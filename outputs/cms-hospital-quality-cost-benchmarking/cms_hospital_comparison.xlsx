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f2d3a6196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28466770415a427b"/>
    <x:sheet xmlns:r="http://schemas.openxmlformats.org/officeDocument/2006/relationships" name="Hospital Comparison" sheetId="2" r:id="R274b9e9cfaea469f"/>
    <x:sheet xmlns:r="http://schemas.openxmlformats.org/officeDocument/2006/relationships" name="State Benchmarks" sheetId="3" r:id="R1d739e7f5a824798"/>
    <x:sheet xmlns:r="http://schemas.openxmlformats.org/officeDocument/2006/relationships" name="Data Quality" sheetId="4" r:id="R21e94ac0f8be44ac"/>
    <x:sheet xmlns:r="http://schemas.openxmlformats.org/officeDocument/2006/relationships" name="KPI Definitions" sheetId="5" r:id="Rccc1171dad1b43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,##0"/>
    <x:numFmt numFmtId="202" formatCode="0.0%"/>
    <x:numFmt numFmtId="203" formatCode="$#,##0"/>
  </x:numFmts>
  <x:fonts count="11">
    <x:font>
      <x:sz val="11"/>
      <x:name val="Carlito"/>
    </x:font>
    <x:font>
      <x:sz val="9"/>
      <x:color rgb="FF22313B"/>
      <x:name val="Arial"/>
    </x:font>
    <x:font>
      <x:b/>
      <x:sz val="9"/>
      <x:color rgb="FFFFFFFF"/>
      <x:name val="Arial"/>
    </x:font>
    <x:font>
      <x:sz val="10"/>
      <x:color rgb="FF22313B"/>
      <x:name val="Arial"/>
    </x:font>
    <x:font>
      <x:b/>
      <x:sz val="10"/>
      <x:color rgb="FFFFFFFF"/>
      <x:name val="Arial"/>
    </x:font>
    <x:font>
      <x:b/>
      <x:sz val="18"/>
      <x:color rgb="FFFFFFFF"/>
      <x:name val="Arial"/>
    </x:font>
    <x:font>
      <x:i/>
      <x:sz val="10"/>
      <x:color rgb="FF5C6D78"/>
      <x:name val="Arial"/>
    </x:font>
    <x:font>
      <x:b/>
      <x:sz val="12"/>
      <x:color rgb="FF123047"/>
      <x:name val="Arial"/>
    </x:font>
    <x:font>
      <x:b/>
      <x:sz val="15"/>
      <x:color rgb="FF123047"/>
      <x:name val="Arial"/>
    </x:font>
    <x:font>
      <x:b/>
      <x:sz val="11"/>
      <x:color rgb="FFFFFFFF"/>
      <x:name val="Arial"/>
    </x:font>
    <x:font>
      <x:b/>
      <x:sz val="10"/>
      <x:color rgb="FF22313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3F8"/>
      </x:patternFill>
    </x:fill>
    <x:fill>
      <x:patternFill patternType="solid">
        <x:fgColor rgb="FFF3F5F7"/>
      </x:patternFill>
    </x:fill>
  </x:fills>
  <x:borders count="1"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/>
    <x:xf numFmtId="200" fontId="3" fillId="0" borderId="0" xfId="0" applyNumberFormat="1" applyFont="1" applyFill="1" applyBorder="1"/>
    <x:xf numFmtId="203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3" fillId="3" borderId="0" xfId="0" applyNumberFormat="1" applyFont="1" applyFill="1" applyBorder="1"/>
    <x:xf numFmtId="201" fontId="3" fillId="3" borderId="0" xfId="0" applyNumberFormat="1" applyFont="1" applyFill="1" applyBorder="1"/>
    <x:xf numFmtId="200" fontId="3" fillId="3" borderId="0" xfId="0" applyNumberFormat="1" applyFont="1" applyFill="1" applyBorder="1"/>
    <x:xf numFmtId="203" fontId="3" fillId="3" borderId="0" xfId="0" applyNumberFormat="1" applyFont="1" applyFill="1" applyBorder="1"/>
    <x:xf numFmtId="202" fontId="3" fillId="3" borderId="0" xfId="0" applyNumberFormat="1" applyFont="1" applyFill="1" applyBorder="1"/>
    <x:xf numFmtId="0" fontId="7" fillId="0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0" fillId="2" borderId="0" xfId="0" applyNumberFormat="1" applyFont="1" applyFill="1" applyBorder="1"/>
    <x:xf numFmtId="0" fontId="9" fillId="2" borderId="0" xfId="0" applyNumberFormat="1" applyFont="1" applyFill="1" applyBorder="1"/>
    <x:xf numFmtId="0" fontId="10" fillId="0" borderId="0" xfId="0" applyNumberFormat="1" applyFont="1" applyFill="1" applyBorder="1"/>
    <x:xf numFmtId="0" fontId="10" fillId="2" borderId="0" xfId="0" applyNumberFormat="1" applyFont="1" applyFill="1" applyBorder="1"/>
    <x:xf numFmtId="0" fontId="3" fillId="4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color rgb="FF7A4B00"/>
      </x:font>
      <x:fill>
        <x:patternFill patternType="solid">
          <x:bgColor rgb="FFFFF3CD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color rgb="FF7A4B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7de7d65e34e41" /><Relationship Type="http://schemas.openxmlformats.org/officeDocument/2006/relationships/theme" Target="/xl/theme/theme1.xml" Id="Rd0a13f14f9c043a4" /><Relationship Type="http://schemas.microsoft.com/office/2022/11/relationships/FeaturePropertyBag" Target="/xl/featurePropertyBag/featurePropertyBag.xml" Id="Rcc32a8f90af44413" /><Relationship Type="http://schemas.openxmlformats.org/officeDocument/2006/relationships/sharedStrings" Target="/xl/sharedStrings.xml" Id="Rbe8cbed891814af4" /><Relationship Type="http://schemas.openxmlformats.org/officeDocument/2006/relationships/worksheet" Target="/xl/worksheets/sheet1.xml" Id="R28466770415a427b" /><Relationship Type="http://schemas.openxmlformats.org/officeDocument/2006/relationships/worksheet" Target="/xl/worksheets/sheet2.xml" Id="R274b9e9cfaea469f" /><Relationship Type="http://schemas.openxmlformats.org/officeDocument/2006/relationships/worksheet" Target="/xl/worksheets/sheet3.xml" Id="R1d739e7f5a824798" /><Relationship Type="http://schemas.openxmlformats.org/officeDocument/2006/relationships/worksheet" Target="/xl/worksheets/sheet4.xml" Id="R21e94ac0f8be44ac" /><Relationship Type="http://schemas.openxmlformats.org/officeDocument/2006/relationships/worksheet" Target="/xl/worksheets/sheet5.xml" Id="Rccc1171dad1b43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d2e7baa7d9460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Priority-review hospitals by state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Priority hospitals</c:v>
          </c:tx>
          <c:spPr>
            <a:solidFill xmlns:a="http://schemas.openxmlformats.org/drawingml/2006/main">
              <a:srgbClr val="2374AB"/>
            </a:solidFill>
          </c:spPr>
          <c:cat>
            <c:strRef>
              <c:f>'Executive Summary'!$A$13:$A$22</c:f>
              <c:strCache>
                <c:ptCount val="0"/>
              </c:strCache>
            </c:strRef>
          </c:cat>
          <c:val>
            <c:numRef>
              <c:f>'Executive Summary'!$H$13:$H$22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11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d2e7baa7d9460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ospitalComparisonTable" displayName="HospitalComparisonTable" ref="A1:U5412" headerRowCount="1" totalsRowCount="0" totalsRowShown="0">
  <x:tableColumns count="21">
    <x:tableColumn id="1" name="CCN"/>
    <x:tableColumn id="2" name="Facility"/>
    <x:tableColumn id="3" name="City"/>
    <x:tableColumn id="4" name="State"/>
    <x:tableColumn id="5" name="Hospital type"/>
    <x:tableColumn id="6" name="Ownership group"/>
    <x:tableColumn id="7" name="Size band"/>
    <x:tableColumn id="8" name="Overall rating"/>
    <x:tableColumn id="9" name="HCAHPS star"/>
    <x:tableColumn id="10" name="MSPB ratio"/>
    <x:tableColumn id="11" name="Beds"/>
    <x:tableColumn id="12" name="Discharges"/>
    <x:tableColumn id="13" name="Bed occupancy proxy"/>
    <x:tableColumn id="14" name="Operating expense / discharge"/>
    <x:tableColumn id="15" name="Operating margin proxy"/>
    <x:tableColumn id="16" name="Cost peer percentile"/>
    <x:tableColumn id="17" name="Quality peer percentile"/>
    <x:tableColumn id="18" name="High-cost flag"/>
    <x:tableColumn id="19" name="Low-quality flag"/>
    <x:tableColumn id="20" name="Priority flag"/>
    <x:tableColumn id="21" name="Review catego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eBenchmarkTable" displayName="StateBenchmarkTable" ref="A1:J57" headerRowCount="1" totalsRowCount="0" totalsRowShown="0">
  <x:tableColumns count="10">
    <x:tableColumn id="1" name="State"/>
    <x:tableColumn id="2" name="Hospitals"/>
    <x:tableColumn id="3" name="Hospitals with rating"/>
    <x:tableColumn id="4" name="Median overall rating"/>
    <x:tableColumn id="5" name="Median HCAHPS star"/>
    <x:tableColumn id="6" name="Median MSPB ratio"/>
    <x:tableColumn id="7" name="Median expense / discharge"/>
    <x:tableColumn id="8" name="High-cost flag rate"/>
    <x:tableColumn id="9" name="Low-quality flag rate"/>
    <x:tableColumn id="10" name="Priority hospita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80e7a9232940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30fe8b69454a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c46519f9da4d07" /></Relationships>
</file>

<file path=xl/worksheets/sheet1.xml><?xml version="1.0" encoding="utf-8"?>
<x:worksheet xmlns:x="http://schemas.openxmlformats.org/spreadsheetml/2006/main">
  <x:sheetPr>
    <x:tabColor rgb="FF123047"/>
  </x:sheetPr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2" hidden="0" customWidth="1"/>
    <x:col min="4" max="4" width="16" hidden="0" customWidth="1"/>
    <x:col min="5" max="5" width="24" hidden="0" customWidth="1"/>
    <x:col min="6" max="6" width="15" hidden="0" customWidth="1"/>
    <x:col min="7" max="7" width="24" hidden="0" customWidth="1"/>
    <x:col min="8" max="8" width="15" hidden="0" customWidth="1"/>
    <x:col min="9" max="9" width="24" hidden="0" customWidth="1"/>
    <x:col min="10" max="10" width="15" hidden="0" customWidth="1"/>
    <x:col min="11" max="11" width="12" hidden="0" customWidth="1"/>
    <x:col min="12" max="12" width="12" hidden="0" customWidth="1"/>
    <x:col min="13" max="13" width="22" hidden="0" customWidth="1"/>
    <x:col min="14" max="14" width="15" hidden="0" customWidth="1"/>
  </x:cols>
  <x:sheetData>
    <x:row r="1" ht="15" hidden="0" customHeight="1">
      <x:c r="A1" s="36"/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</x:row>
    <x:row r="2" ht="21.600000381469727" hidden="0" customHeight="1">
      <x:c r="A2" s="20" t="str">
        <x:v>CMS Hospital Quality &amp; Cost Benchmarking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</x:row>
    <x:row r="3" ht="15" hidden="0" customHeight="1">
      <x:c r="A3" s="37" t="str">
        <x:v>Hospital-level comparison of CMS quality, patient experience, utilization, and 2023 cost reports</x:v>
      </x:c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</x:row>
    <x:row r="4" ht="15" hidden="0" customHeight="1">
      <x:c r="A4" s="36"/>
      <x:c r="B4" s="36"/>
      <x:c r="C4" s="36"/>
      <x:c r="D4" s="36"/>
      <x:c r="E4" s="36"/>
      <x:c r="F4" s="36"/>
      <x:c r="G4" s="36"/>
      <x:c r="H4" s="36"/>
      <x:c r="I4" s="36"/>
      <x:c r="J4" s="36"/>
      <x:c r="K4" s="36"/>
      <x:c r="L4" s="36"/>
      <x:c r="M4" s="36"/>
      <x:c r="N4" s="36"/>
    </x:row>
    <x:row r="5" ht="15" hidden="0" customHeight="1">
      <x:c r="A5" s="38" t="str">
        <x:v>Portfolio scope</x:v>
      </x:c>
      <x:c r="B5" s="38" t="str">
        <x:v>Value</x:v>
      </x:c>
      <x:c r="C5" s="36" t="str"/>
      <x:c r="D5" s="36" t="str"/>
      <x:c r="E5" s="38" t="str">
        <x:v>Coverage</x:v>
      </x:c>
      <x:c r="F5" s="38" t="str">
        <x:v>Value</x:v>
      </x:c>
      <x:c r="G5" s="36" t="str"/>
      <x:c r="H5" s="36" t="str"/>
      <x:c r="I5" s="38" t="str">
        <x:v>Benchmark</x:v>
      </x:c>
      <x:c r="J5" s="38" t="str">
        <x:v>Value</x:v>
      </x:c>
      <x:c r="K5" s="36" t="str"/>
      <x:c r="L5" s="36" t="str"/>
      <x:c r="M5" s="38" t="str">
        <x:v>Review queue</x:v>
      </x:c>
      <x:c r="N5" s="38" t="str">
        <x:v>Value</x:v>
      </x:c>
    </x:row>
    <x:row r="6" ht="15" hidden="0" customHeight="1">
      <x:c r="A6" s="39" t="str">
        <x:v>Hospitals</x:v>
      </x:c>
      <x:c r="B6" s="40" t="n">
        <x:f>COUNTA('Hospital Comparison'!A2:A5412)</x:f>
        <x:v>5411</x:v>
      </x:c>
      <x:c r="C6" s="36"/>
      <x:c r="D6" s="36"/>
      <x:c r="E6" s="39" t="str">
        <x:v>Overall rating reported</x:v>
      </x:c>
      <x:c r="F6" s="40" t="n">
        <x:f>COUNT('Hospital Comparison'!H2:H5412)</x:f>
        <x:v>3169</x:v>
      </x:c>
      <x:c r="G6" s="36"/>
      <x:c r="H6" s="36"/>
      <x:c r="I6" s="39" t="str">
        <x:v>Median overall rating</x:v>
      </x:c>
      <x:c r="J6" s="41" t="n">
        <x:f>MEDIAN('Hospital Comparison'!H2:H5412)</x:f>
        <x:v>3</x:v>
      </x:c>
      <x:c r="K6" s="36"/>
      <x:c r="L6" s="36"/>
      <x:c r="M6" s="39" t="str">
        <x:v>High-cost flags</x:v>
      </x:c>
      <x:c r="N6" s="40" t="n">
        <x:f>COUNTIF('Hospital Comparison'!U2:U5412,"High cost")+COUNTIF('Hospital Comparison'!U2:U5412,"Priority review")</x:f>
        <x:v>497</x:v>
      </x:c>
    </x:row>
    <x:row r="7" ht="15" hidden="0" customHeight="1">
      <x:c r="A7" s="39" t="str">
        <x:v>States / territories</x:v>
      </x:c>
      <x:c r="B7" s="40" t="n">
        <x:f>COUNTA('State Benchmarks'!A2:A57)</x:f>
        <x:v>56</x:v>
      </x:c>
      <x:c r="C7" s="36"/>
      <x:c r="D7" s="36"/>
      <x:c r="E7" s="39" t="str">
        <x:v>Expense / discharge reported</x:v>
      </x:c>
      <x:c r="F7" s="40" t="n">
        <x:f>COUNT('Hospital Comparison'!N2:N5412)</x:f>
        <x:v>4928</x:v>
      </x:c>
      <x:c r="G7" s="36"/>
      <x:c r="H7" s="36"/>
      <x:c r="I7" s="39" t="str">
        <x:v>Median HCAHPS star</x:v>
      </x:c>
      <x:c r="J7" s="41" t="n">
        <x:f>MEDIAN('Hospital Comparison'!I2:I5412)</x:f>
        <x:v>3</x:v>
      </x:c>
      <x:c r="K7" s="36"/>
      <x:c r="L7" s="36"/>
      <x:c r="M7" s="39" t="str">
        <x:v>Low-quality flags</x:v>
      </x:c>
      <x:c r="N7" s="40" t="n">
        <x:f>COUNTIF('Hospital Comparison'!U2:U5412,"Low quality")+COUNTIF('Hospital Comparison'!U2:U5412,"Priority review")</x:f>
        <x:v>992</x:v>
      </x:c>
    </x:row>
    <x:row r="8" ht="15" hidden="0" customHeight="1">
      <x:c r="A8" s="39" t="str">
        <x:v>Small hospitals</x:v>
      </x:c>
      <x:c r="B8" s="40" t="n">
        <x:f>COUNTIF('Hospital Comparison'!G2:G5412,"Small (&lt;100 beds)")</x:f>
        <x:v>2795</x:v>
      </x:c>
      <x:c r="C8" s="36"/>
      <x:c r="D8" s="36"/>
      <x:c r="E8" s="39" t="str">
        <x:v>HCAHPS star reported</x:v>
      </x:c>
      <x:c r="F8" s="40" t="n">
        <x:f>COUNT('Hospital Comparison'!I2:I5412)</x:f>
        <x:v>3181</x:v>
      </x:c>
      <x:c r="G8" s="36"/>
      <x:c r="H8" s="36"/>
      <x:c r="I8" s="39" t="str">
        <x:v>Median MSPB ratio</x:v>
      </x:c>
      <x:c r="J8" s="41" t="n">
        <x:f>MEDIAN('Hospital Comparison'!J2:J5412)</x:f>
        <x:v>0.99</x:v>
      </x:c>
      <x:c r="K8" s="36"/>
      <x:c r="L8" s="36"/>
      <x:c r="M8" s="39" t="str">
        <x:v>Priority review</x:v>
      </x:c>
      <x:c r="N8" s="40" t="n">
        <x:f>COUNTIF('Hospital Comparison'!U2:U5412,"Priority review")</x:f>
        <x:v>42</x:v>
      </x:c>
    </x:row>
    <x:row r="9" ht="15" hidden="0" customHeight="1">
      <x:c r="A9" s="39" t="str">
        <x:v>Large hospitals</x:v>
      </x:c>
      <x:c r="B9" s="40" t="n">
        <x:f>COUNTIF('Hospital Comparison'!G2:G5412,"Large (300+ beds)")</x:f>
        <x:v>689</x:v>
      </x:c>
      <x:c r="C9" s="36"/>
      <x:c r="D9" s="36"/>
      <x:c r="E9" s="39" t="str">
        <x:v>MSPB reported</x:v>
      </x:c>
      <x:c r="F9" s="40" t="n">
        <x:f>COUNT('Hospital Comparison'!J2:J5412)</x:f>
        <x:v>2872</x:v>
      </x:c>
      <x:c r="G9" s="36"/>
      <x:c r="H9" s="36"/>
      <x:c r="I9" s="39" t="str">
        <x:v>Median expense / discharge</x:v>
      </x:c>
      <x:c r="J9" s="42" t="n">
        <x:f>MEDIAN('Hospital Comparison'!N2:N5412)</x:f>
        <x:v>50518.917689514856</x:v>
      </x:c>
      <x:c r="K9" s="36"/>
      <x:c r="L9" s="36"/>
      <x:c r="M9" s="39" t="str">
        <x:v>Priority share</x:v>
      </x:c>
      <x:c r="N9" s="43" t="n">
        <x:f>N8/B6</x:f>
        <x:v>0.007761966364812419</x:v>
      </x:c>
    </x:row>
    <x:row r="10" ht="15" hidden="0" customHeight="1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</x:row>
    <x:row r="11" ht="15" hidden="0" customHeight="1">
      <x:c r="A11" s="44" t="str">
        <x:v>States with the largest priority review queue</x:v>
      </x:c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</x:row>
    <x:row r="12" ht="36" hidden="0" customHeight="1">
      <x:c r="A12" s="45" t="str">
        <x:v>State</x:v>
      </x:c>
      <x:c r="B12" s="45" t="str">
        <x:v>Hospitals</x:v>
      </x:c>
      <x:c r="C12" s="45" t="str">
        <x:v>Rated</x:v>
      </x:c>
      <x:c r="D12" s="45" t="str">
        <x:v>Median rating</x:v>
      </x:c>
      <x:c r="E12" s="45" t="str">
        <x:v>Median HCAHPS</x:v>
      </x:c>
      <x:c r="F12" s="45" t="str">
        <x:v>Median MSPB</x:v>
      </x:c>
      <x:c r="G12" s="45" t="str">
        <x:v>Median expense/discharge</x:v>
      </x:c>
      <x:c r="H12" s="45" t="str">
        <x:v>Priority hospitals</x:v>
      </x:c>
      <x:c r="I12" s="45" t="str">
        <x:v>High-cost rate</x:v>
      </x:c>
      <x:c r="J12" s="45" t="str">
        <x:v>Low-quality rate</x:v>
      </x:c>
      <x:c r="K12" s="36"/>
      <x:c r="L12" s="36"/>
      <x:c r="M12" s="36"/>
      <x:c r="N12" s="36"/>
    </x:row>
    <x:row r="13" ht="15" hidden="0" customHeight="1">
      <x:c r="A13" s="36" t="str">
        <x:v>NY</x:v>
      </x:c>
      <x:c r="B13" s="46" t="n">
        <x:v>192</x:v>
      </x:c>
      <x:c r="C13" s="46" t="n">
        <x:v>136</x:v>
      </x:c>
      <x:c r="D13" s="47" t="n">
        <x:v>3</x:v>
      </x:c>
      <x:c r="E13" s="47" t="n">
        <x:v>3</x:v>
      </x:c>
      <x:c r="F13" s="47" t="n">
        <x:v>0.99</x:v>
      </x:c>
      <x:c r="G13" s="48" t="n">
        <x:v>55732.1727025557</x:v>
      </x:c>
      <x:c r="H13" s="46" t="n">
        <x:v>14</x:v>
      </x:c>
      <x:c r="I13" s="49" t="n">
        <x:v>0.1302083333</x:v>
      </x:c>
      <x:c r="J13" s="49" t="n">
        <x:v>0.3541666667</x:v>
      </x:c>
      <x:c r="K13" s="36"/>
      <x:c r="L13" s="36"/>
      <x:c r="M13" s="36"/>
      <x:c r="N13" s="36"/>
    </x:row>
    <x:row r="14" ht="15" hidden="0" customHeight="1">
      <x:c r="A14" s="36" t="str">
        <x:v>CA</x:v>
      </x:c>
      <x:c r="B14" s="46" t="n">
        <x:v>377</x:v>
      </x:c>
      <x:c r="C14" s="46" t="n">
        <x:v>279</x:v>
      </x:c>
      <x:c r="D14" s="47" t="n">
        <x:v>3</x:v>
      </x:c>
      <x:c r="E14" s="47" t="n">
        <x:v>3</x:v>
      </x:c>
      <x:c r="F14" s="47" t="n">
        <x:v>1</x:v>
      </x:c>
      <x:c r="G14" s="48" t="n">
        <x:v>48426.9157927205</x:v>
      </x:c>
      <x:c r="H14" s="46" t="n">
        <x:v>12</x:v>
      </x:c>
      <x:c r="I14" s="49" t="n">
        <x:v>0.1458885942</x:v>
      </x:c>
      <x:c r="J14" s="49" t="n">
        <x:v>0.2572944297</x:v>
      </x:c>
      <x:c r="K14" s="36"/>
      <x:c r="L14" s="36"/>
      <x:c r="M14" s="36"/>
      <x:c r="N14" s="36"/>
    </x:row>
    <x:row r="15" ht="15" hidden="0" customHeight="1">
      <x:c r="A15" s="36" t="str">
        <x:v>IL</x:v>
      </x:c>
      <x:c r="B15" s="46" t="n">
        <x:v>192</x:v>
      </x:c>
      <x:c r="C15" s="46" t="n">
        <x:v>135</x:v>
      </x:c>
      <x:c r="D15" s="47" t="n">
        <x:v>3</x:v>
      </x:c>
      <x:c r="E15" s="47" t="n">
        <x:v>3</x:v>
      </x:c>
      <x:c r="F15" s="47" t="n">
        <x:v>1</x:v>
      </x:c>
      <x:c r="G15" s="48" t="n">
        <x:v>53206.5964166857</x:v>
      </x:c>
      <x:c r="H15" s="46" t="n">
        <x:v>3</x:v>
      </x:c>
      <x:c r="I15" s="49" t="n">
        <x:v>0.0833333333</x:v>
      </x:c>
      <x:c r="J15" s="49" t="n">
        <x:v>0.2708333333</x:v>
      </x:c>
      <x:c r="K15" s="36"/>
      <x:c r="L15" s="36"/>
      <x:c r="M15" s="36"/>
      <x:c r="N15" s="36"/>
    </x:row>
    <x:row r="16" ht="15" hidden="0" customHeight="1">
      <x:c r="A16" s="36" t="str">
        <x:v>AK</x:v>
      </x:c>
      <x:c r="B16" s="46" t="n">
        <x:v>25</x:v>
      </x:c>
      <x:c r="C16" s="46" t="n">
        <x:v>10</x:v>
      </x:c>
      <x:c r="D16" s="47" t="n">
        <x:v>3</x:v>
      </x:c>
      <x:c r="E16" s="47" t="n">
        <x:v>4</x:v>
      </x:c>
      <x:c r="F16" s="47" t="n">
        <x:v>0.825</x:v>
      </x:c>
      <x:c r="G16" s="48" t="n">
        <x:v>185576.1861545988</x:v>
      </x:c>
      <x:c r="H16" s="46" t="n">
        <x:v>2</x:v>
      </x:c>
      <x:c r="I16" s="49" t="n">
        <x:v>0.2</x:v>
      </x:c>
      <x:c r="J16" s="49" t="n">
        <x:v>0.2</x:v>
      </x:c>
      <x:c r="K16" s="36"/>
      <x:c r="L16" s="36"/>
      <x:c r="M16" s="36"/>
      <x:c r="N16" s="36"/>
    </x:row>
    <x:row r="17" ht="15" hidden="0" customHeight="1">
      <x:c r="A17" s="36" t="str">
        <x:v>IA</x:v>
      </x:c>
      <x:c r="B17" s="46" t="n">
        <x:v>118</x:v>
      </x:c>
      <x:c r="C17" s="46" t="n">
        <x:v>62</x:v>
      </x:c>
      <x:c r="D17" s="47" t="n">
        <x:v>3</x:v>
      </x:c>
      <x:c r="E17" s="47" t="n">
        <x:v>4</x:v>
      </x:c>
      <x:c r="F17" s="47" t="n">
        <x:v>0.95</x:v>
      </x:c>
      <x:c r="G17" s="48" t="n">
        <x:v>130705.3120567376</x:v>
      </x:c>
      <x:c r="H17" s="46" t="n">
        <x:v>2</x:v>
      </x:c>
      <x:c r="I17" s="49" t="n">
        <x:v>0.093220339</x:v>
      </x:c>
      <x:c r="J17" s="49" t="n">
        <x:v>0.2203389831</x:v>
      </x:c>
      <x:c r="K17" s="36"/>
      <x:c r="L17" s="36"/>
      <x:c r="M17" s="36"/>
      <x:c r="N17" s="36"/>
    </x:row>
    <x:row r="18" ht="15" hidden="0" customHeight="1">
      <x:c r="A18" s="36" t="str">
        <x:v>WA</x:v>
      </x:c>
      <x:c r="B18" s="46" t="n">
        <x:v>99</x:v>
      </x:c>
      <x:c r="C18" s="46" t="n">
        <x:v>59</x:v>
      </x:c>
      <x:c r="D18" s="47" t="n">
        <x:v>3</x:v>
      </x:c>
      <x:c r="E18" s="47" t="n">
        <x:v>3</x:v>
      </x:c>
      <x:c r="F18" s="47" t="n">
        <x:v>0.94</x:v>
      </x:c>
      <x:c r="G18" s="48" t="n">
        <x:v>77245.2503703704</x:v>
      </x:c>
      <x:c r="H18" s="46" t="n">
        <x:v>2</x:v>
      </x:c>
      <x:c r="I18" s="49" t="n">
        <x:v>0.1313131313</x:v>
      </x:c>
      <x:c r="J18" s="49" t="n">
        <x:v>0.202020202</x:v>
      </x:c>
      <x:c r="K18" s="36"/>
      <x:c r="L18" s="36"/>
      <x:c r="M18" s="36"/>
      <x:c r="N18" s="36"/>
    </x:row>
    <x:row r="19" ht="15" hidden="0" customHeight="1">
      <x:c r="A19" s="36" t="str">
        <x:v>AZ</x:v>
      </x:c>
      <x:c r="B19" s="46" t="n">
        <x:v>108</x:v>
      </x:c>
      <x:c r="C19" s="46" t="n">
        <x:v>55</x:v>
      </x:c>
      <x:c r="D19" s="47" t="n">
        <x:v>3</x:v>
      </x:c>
      <x:c r="E19" s="47" t="n">
        <x:v>3</x:v>
      </x:c>
      <x:c r="F19" s="47" t="n">
        <x:v>0.98</x:v>
      </x:c>
      <x:c r="G19" s="48" t="n">
        <x:v>39490.1099041534</x:v>
      </x:c>
      <x:c r="H19" s="46" t="n">
        <x:v>1</x:v>
      </x:c>
      <x:c r="I19" s="49" t="n">
        <x:v>0.0925925926</x:v>
      </x:c>
      <x:c r="J19" s="49" t="n">
        <x:v>0.1759259259</x:v>
      </x:c>
      <x:c r="K19" s="36"/>
      <x:c r="L19" s="36"/>
      <x:c r="M19" s="36"/>
      <x:c r="N19" s="36"/>
    </x:row>
    <x:row r="20" ht="15" hidden="0" customHeight="1">
      <x:c r="A20" s="36" t="str">
        <x:v>GA</x:v>
      </x:c>
      <x:c r="B20" s="46" t="n">
        <x:v>149</x:v>
      </x:c>
      <x:c r="C20" s="46" t="n">
        <x:v>84</x:v>
      </x:c>
      <x:c r="D20" s="47" t="n">
        <x:v>3</x:v>
      </x:c>
      <x:c r="E20" s="47" t="n">
        <x:v>3</x:v>
      </x:c>
      <x:c r="F20" s="47" t="n">
        <x:v>0.96</x:v>
      </x:c>
      <x:c r="G20" s="48" t="n">
        <x:v>41766.6682478441</x:v>
      </x:c>
      <x:c r="H20" s="46" t="n">
        <x:v>1</x:v>
      </x:c>
      <x:c r="I20" s="49" t="n">
        <x:v>0.0939597315</x:v>
      </x:c>
      <x:c r="J20" s="49" t="n">
        <x:v>0.2080536913</x:v>
      </x:c>
      <x:c r="K20" s="36"/>
      <x:c r="L20" s="36"/>
      <x:c r="M20" s="36"/>
      <x:c r="N20" s="36"/>
    </x:row>
    <x:row r="21" ht="15" hidden="0" customHeight="1">
      <x:c r="A21" s="36" t="str">
        <x:v>KY</x:v>
      </x:c>
      <x:c r="B21" s="46" t="n">
        <x:v>103</x:v>
      </x:c>
      <x:c r="C21" s="46" t="n">
        <x:v>67</x:v>
      </x:c>
      <x:c r="D21" s="47" t="n">
        <x:v>3</x:v>
      </x:c>
      <x:c r="E21" s="47" t="n">
        <x:v>3</x:v>
      </x:c>
      <x:c r="F21" s="47" t="n">
        <x:v>1.02</x:v>
      </x:c>
      <x:c r="G21" s="48" t="n">
        <x:v>47062.3480719196</x:v>
      </x:c>
      <x:c r="H21" s="46" t="n">
        <x:v>1</x:v>
      </x:c>
      <x:c r="I21" s="49" t="n">
        <x:v>0.0291262136</x:v>
      </x:c>
      <x:c r="J21" s="49" t="n">
        <x:v>0.3009708738</x:v>
      </x:c>
      <x:c r="K21" s="36"/>
      <x:c r="L21" s="36"/>
      <x:c r="M21" s="36"/>
      <x:c r="N21" s="36"/>
    </x:row>
    <x:row r="22" ht="15" hidden="0" customHeight="1">
      <x:c r="A22" s="36" t="str">
        <x:v>LA</x:v>
      </x:c>
      <x:c r="B22" s="46" t="n">
        <x:v>161</x:v>
      </x:c>
      <x:c r="C22" s="46" t="n">
        <x:v>59</x:v>
      </x:c>
      <x:c r="D22" s="47" t="n">
        <x:v>3</x:v>
      </x:c>
      <x:c r="E22" s="47" t="n">
        <x:v>4</x:v>
      </x:c>
      <x:c r="F22" s="47" t="n">
        <x:v>1.04</x:v>
      </x:c>
      <x:c r="G22" s="48" t="n">
        <x:v>46902.3877263935</x:v>
      </x:c>
      <x:c r="H22" s="46" t="n">
        <x:v>1</x:v>
      </x:c>
      <x:c r="I22" s="49" t="n">
        <x:v>0.0807453416</x:v>
      </x:c>
      <x:c r="J22" s="49" t="n">
        <x:v>0.1366459627</x:v>
      </x:c>
      <x:c r="K22" s="36"/>
      <x:c r="L22" s="36"/>
      <x:c r="M22" s="36"/>
      <x:c r="N22" s="36"/>
    </x:row>
    <x:row r="23" ht="15" hidden="0" customHeight="1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</x:row>
    <x:row r="24" ht="15" hidden="0" customHeight="1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</x:row>
    <x:row r="25" ht="28" hidden="0" customHeight="1">
      <x:c r="A25" s="38" t="str">
        <x:v>Interpretation note</x:v>
      </x:c>
      <x:c r="B25" s="29" t="str">
        <x:v>Peer flags use hospital type and bed-size groups, require at least 10 reported peers, and identify the top cost decile / bottom rating decile. They are descriptive review signals—not clinical judgments, causal findings, or a universal hospital score. Source periods and denominators differ by CMS product.</x:v>
      </x:c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</x:row>
    <x:row r="26" ht="28" hidden="0" customHeight="1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</x:row>
    <x:row r="27" ht="28" hidden="0" customHeight="1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</x:row>
    <x:row r="28" ht="15" hidden="0" customHeight="1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</x:row>
  </x:sheetData>
  <x:mergeCells>
    <x:mergeCell ref="A2:N2"/>
    <x:mergeCell ref="A3:N3"/>
    <x:mergeCell ref="B25:N27"/>
  </x:mergeCells>
  <x:pageMargins left="0.7" right="0.7" top="0.75" bottom="0.75" header="0.3" footer="0.3"/>
  <x:drawing xmlns:r="http://schemas.openxmlformats.org/officeDocument/2006/relationships" r:id="Rda80e7a923294056"/>
</x:worksheet>
</file>

<file path=xl/worksheets/sheet2.xml><?xml version="1.0" encoding="utf-8"?>
<x:worksheet xmlns:x="http://schemas.openxmlformats.org/spreadsheetml/2006/main">
  <x:sheetPr>
    <x:tabColor rgb="FF2374A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9" hidden="0" customWidth="1"/>
    <x:col min="5" max="5" width="23" hidden="0" customWidth="1"/>
    <x:col min="6" max="6" width="23" hidden="0" customWidth="1"/>
    <x:col min="7" max="7" width="23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>
      <x:c r="A1" s="6" t="str">
        <x:v>CCN</x:v>
      </x:c>
      <x:c r="B1" s="6" t="str">
        <x:v>Facility</x:v>
      </x:c>
      <x:c r="C1" s="6" t="str">
        <x:v>City</x:v>
      </x:c>
      <x:c r="D1" s="6" t="str">
        <x:v>State</x:v>
      </x:c>
      <x:c r="E1" s="6" t="str">
        <x:v>Hospital type</x:v>
      </x:c>
      <x:c r="F1" s="6" t="str">
        <x:v>Ownership group</x:v>
      </x:c>
      <x:c r="G1" s="6" t="str">
        <x:v>Size band</x:v>
      </x:c>
      <x:c r="H1" s="6" t="str">
        <x:v>Overall rating</x:v>
      </x:c>
      <x:c r="I1" s="6" t="str">
        <x:v>HCAHPS star</x:v>
      </x:c>
      <x:c r="J1" s="6" t="str">
        <x:v>MSPB ratio</x:v>
      </x:c>
      <x:c r="K1" s="6" t="str">
        <x:v>Beds</x:v>
      </x:c>
      <x:c r="L1" s="6" t="str">
        <x:v>Discharges</x:v>
      </x:c>
      <x:c r="M1" s="6" t="str">
        <x:v>Bed occupancy proxy</x:v>
      </x:c>
      <x:c r="N1" s="6" t="str">
        <x:v>Operating expense / discharge</x:v>
      </x:c>
      <x:c r="O1" s="6" t="str">
        <x:v>Operating margin proxy</x:v>
      </x:c>
      <x:c r="P1" s="6" t="str">
        <x:v>Cost peer percentile</x:v>
      </x:c>
      <x:c r="Q1" s="6" t="str">
        <x:v>Quality peer percentile</x:v>
      </x:c>
      <x:c r="R1" s="6" t="str">
        <x:v>High-cost flag</x:v>
      </x:c>
      <x:c r="S1" s="6" t="str">
        <x:v>Low-quality flag</x:v>
      </x:c>
      <x:c r="T1" s="6" t="str">
        <x:v>Priority flag</x:v>
      </x:c>
      <x:c r="U1" s="6" t="str">
        <x:v>Review category</x:v>
      </x:c>
    </x:row>
    <x:row r="2">
      <x:c r="A2" s="2" t="str">
        <x:v>050320</x:v>
      </x:c>
      <x:c r="B2" s="2" t="str">
        <x:v>HIGHLAND HOSPITAL</x:v>
      </x:c>
      <x:c r="C2" s="2" t="str">
        <x:v>OAKLAND</x:v>
      </x:c>
      <x:c r="D2" s="2" t="str">
        <x:v>CA</x:v>
      </x:c>
      <x:c r="E2" s="2" t="str">
        <x:v>Acute Care Hospitals</x:v>
      </x:c>
      <x:c r="F2" s="2" t="str">
        <x:v>Government</x:v>
      </x:c>
      <x:c r="G2" s="2" t="str">
        <x:v>Medium (100-299 beds)</x:v>
      </x:c>
      <x:c r="H2" s="7" t="n">
        <x:v>1</x:v>
      </x:c>
      <x:c r="I2" s="7" t="n">
        <x:v>3</x:v>
      </x:c>
      <x:c r="J2" s="7" t="n">
        <x:v>1</x:v>
      </x:c>
      <x:c r="K2" s="8" t="n">
        <x:v>232</x:v>
      </x:c>
      <x:c r="L2" s="8" t="n">
        <x:v>11847</x:v>
      </x:c>
      <x:c r="M2" s="9" t="n">
        <x:v>0.7766060463</x:v>
      </x:c>
      <x:c r="N2" s="10" t="n">
        <x:v>120176.8372583777</x:v>
      </x:c>
      <x:c r="O2" s="9" t="n">
        <x:v>-3.6329611553</x:v>
      </x:c>
      <x:c r="P2" s="9" t="n">
        <x:v>0.9934800326</x:v>
      </x:c>
      <x:c r="Q2" s="9" t="n">
        <x:v>0</x:v>
      </x:c>
      <x:c r="R2" s="3" t="b">
        <x:v>1</x:v>
      </x:c>
      <x:c r="S2" s="3" t="b">
        <x:v>1</x:v>
      </x:c>
      <x:c r="T2" s="3" t="b">
        <x:v>1</x:v>
      </x:c>
      <x:c r="U2" s="2" t="str">
        <x:f>IF(T2=TRUE,"Priority review",IF(R2=TRUE,"High cost",IF(S2=TRUE,"Low quality","Benchmark")))</x:f>
        <x:v>Priority review</x:v>
      </x:c>
    </x:row>
    <x:row r="3">
      <x:c r="A3" s="2" t="str">
        <x:v>330006</x:v>
      </x:c>
      <x:c r="B3" s="2" t="str">
        <x:v>ST JOSEPH'S MEDICAL CENTER</x:v>
      </x:c>
      <x:c r="C3" s="2" t="str">
        <x:v>YONKERS</x:v>
      </x:c>
      <x:c r="D3" s="2" t="str">
        <x:v>NY</x:v>
      </x:c>
      <x:c r="E3" s="2" t="str">
        <x:v>Acute Care Hospitals</x:v>
      </x:c>
      <x:c r="F3" s="2" t="str">
        <x:v>Voluntary non-profit</x:v>
      </x:c>
      <x:c r="G3" s="2" t="str">
        <x:v>Medium (100-299 beds)</x:v>
      </x:c>
      <x:c r="H3" s="7" t="n">
        <x:v>1</x:v>
      </x:c>
      <x:c r="I3" s="7" t="n">
        <x:v>1</x:v>
      </x:c>
      <x:c r="J3" s="7" t="n">
        <x:v>1.26</x:v>
      </x:c>
      <x:c r="K3" s="8" t="n">
        <x:v>106</x:v>
      </x:c>
      <x:c r="L3" s="8" t="n">
        <x:v>2869</x:v>
      </x:c>
      <x:c r="M3" s="9" t="n">
        <x:v>0.59093721</x:v>
      </x:c>
      <x:c r="N3" s="10" t="n">
        <x:v>117817.4911118857</x:v>
      </x:c>
      <x:c r="O3" s="9" t="n">
        <x:v>-0.2809523919</x:v>
      </x:c>
      <x:c r="P3" s="9" t="n">
        <x:v>0.9918500407</x:v>
      </x:c>
      <x:c r="Q3" s="9" t="n">
        <x:v>0</x:v>
      </x:c>
      <x:c r="R3" s="3" t="b">
        <x:v>1</x:v>
      </x:c>
      <x:c r="S3" s="3" t="b">
        <x:v>1</x:v>
      </x:c>
      <x:c r="T3" s="3" t="b">
        <x:v>1</x:v>
      </x:c>
      <x:c r="U3" s="2" t="str">
        <x:f>IF(T3=TRUE,"Priority review",IF(R3=TRUE,"High cost",IF(S3=TRUE,"Low quality","Benchmark")))</x:f>
        <x:v>Priority review</x:v>
      </x:c>
    </x:row>
    <x:row r="4">
      <x:c r="A4" s="2" t="str">
        <x:v>050228</x:v>
      </x:c>
      <x:c r="B4" s="2" t="str">
        <x:v>ZUCKERBERG SAN FRANCISCO GENERAL HOSP &amp; TRAUMA CTR</x:v>
      </x:c>
      <x:c r="C4" s="2" t="str">
        <x:v>SAN FRANCISCO</x:v>
      </x:c>
      <x:c r="D4" s="2" t="str">
        <x:v>CA</x:v>
      </x:c>
      <x:c r="E4" s="2" t="str">
        <x:v>Acute Care Hospitals</x:v>
      </x:c>
      <x:c r="F4" s="2" t="str">
        <x:v>Government</x:v>
      </x:c>
      <x:c r="G4" s="2" t="str">
        <x:v>Medium (100-299 beds)</x:v>
      </x:c>
      <x:c r="H4" s="7" t="n">
        <x:v>2</x:v>
      </x:c>
      <x:c r="I4" s="7" t="n">
        <x:v>3</x:v>
      </x:c>
      <x:c r="J4" s="7" t="n">
        <x:v>0.91</x:v>
      </x:c>
      <x:c r="K4" s="8" t="n">
        <x:v>284</x:v>
      </x:c>
      <x:c r="L4" s="8" t="n">
        <x:v>13909</x:v>
      </x:c>
      <x:c r="M4" s="9" t="n">
        <x:v>0.8668145861</x:v>
      </x:c>
      <x:c r="N4" s="10" t="n">
        <x:v>109812.4930620462</x:v>
      </x:c>
      <x:c r="O4" s="9" t="n">
        <x:v>-0.4422533187</x:v>
      </x:c>
      <x:c r="P4" s="9" t="n">
        <x:v>0.988590057</x:v>
      </x:c>
      <x:c r="Q4" s="9" t="n">
        <x:v>0.0782396088</x:v>
      </x:c>
      <x:c r="R4" s="3" t="b">
        <x:v>1</x:v>
      </x:c>
      <x:c r="S4" s="3" t="b">
        <x:v>1</x:v>
      </x:c>
      <x:c r="T4" s="3" t="b">
        <x:v>1</x:v>
      </x:c>
      <x:c r="U4" s="2" t="str">
        <x:f>IF(T4=TRUE,"Priority review",IF(R4=TRUE,"High cost",IF(S4=TRUE,"Low quality","Benchmark")))</x:f>
        <x:v>Priority review</x:v>
      </x:c>
    </x:row>
    <x:row r="5">
      <x:c r="A5" s="2" t="str">
        <x:v>330136</x:v>
      </x:c>
      <x:c r="B5" s="2" t="str">
        <x:v>BASSETT HEALTHCARE</x:v>
      </x:c>
      <x:c r="C5" s="2" t="str">
        <x:v>COOPERSTOWN</x:v>
      </x:c>
      <x:c r="D5" s="2" t="str">
        <x:v>NY</x:v>
      </x:c>
      <x:c r="E5" s="2" t="str">
        <x:v>Acute Care Hospitals</x:v>
      </x:c>
      <x:c r="F5" s="2" t="str">
        <x:v>Voluntary non-profit</x:v>
      </x:c>
      <x:c r="G5" s="2" t="str">
        <x:v>Medium (100-299 beds)</x:v>
      </x:c>
      <x:c r="H5" s="7" t="n">
        <x:v>2</x:v>
      </x:c>
      <x:c r="I5" s="7" t="n">
        <x:v>3</x:v>
      </x:c>
      <x:c r="J5" s="7" t="n">
        <x:v>0.99</x:v>
      </x:c>
      <x:c r="K5" s="8" t="n">
        <x:v>180</x:v>
      </x:c>
      <x:c r="L5" s="8" t="n">
        <x:v>8925</x:v>
      </x:c>
      <x:c r="M5" s="9" t="n">
        <x:v>0.7335768645</x:v>
      </x:c>
      <x:c r="N5" s="10" t="n">
        <x:v>91852.2231932773</x:v>
      </x:c>
      <x:c r="O5" s="9" t="n">
        <x:v>-0.2206823555</x:v>
      </x:c>
      <x:c r="P5" s="9" t="n">
        <x:v>0.9845150774</x:v>
      </x:c>
      <x:c r="Q5" s="9" t="n">
        <x:v>0.0782396088</x:v>
      </x:c>
      <x:c r="R5" s="3" t="b">
        <x:v>1</x:v>
      </x:c>
      <x:c r="S5" s="3" t="b">
        <x:v>1</x:v>
      </x:c>
      <x:c r="T5" s="3" t="b">
        <x:v>1</x:v>
      </x:c>
      <x:c r="U5" s="2" t="str">
        <x:f>IF(T5=TRUE,"Priority review",IF(R5=TRUE,"High cost",IF(S5=TRUE,"Low quality","Benchmark")))</x:f>
        <x:v>Priority review</x:v>
      </x:c>
    </x:row>
    <x:row r="6">
      <x:c r="A6" s="2" t="str">
        <x:v>020026</x:v>
      </x:c>
      <x:c r="B6" s="2" t="str">
        <x:v>ALASKA NATIVE MEDICAL CENTER</x:v>
      </x:c>
      <x:c r="C6" s="2" t="str">
        <x:v>ANCHORAGE</x:v>
      </x:c>
      <x:c r="D6" s="2" t="str">
        <x:v>AK</x:v>
      </x:c>
      <x:c r="E6" s="2" t="str">
        <x:v>Acute Care Hospitals</x:v>
      </x:c>
      <x:c r="F6" s="2" t="str">
        <x:v>Government</x:v>
      </x:c>
      <x:c r="G6" s="2" t="str">
        <x:v>Medium (100-299 beds)</x:v>
      </x:c>
      <x:c r="H6" s="7" t="n">
        <x:v>2</x:v>
      </x:c>
      <x:c r="I6" s="7" t="n">
        <x:v>2</x:v>
      </x:c>
      <x:c r="J6" s="7" t="n">
        <x:v>0.88</x:v>
      </x:c>
      <x:c r="K6" s="8" t="n">
        <x:v>183</x:v>
      </x:c>
      <x:c r="L6" s="8" t="n">
        <x:v>9370</x:v>
      </x:c>
      <x:c r="M6" s="9" t="n">
        <x:v>0.6799423536</x:v>
      </x:c>
      <x:c r="N6" s="10" t="n">
        <x:v>90485.27886873</x:v>
      </x:c>
      <x:c r="O6" s="9"/>
      <x:c r="P6" s="9" t="n">
        <x:v>0.9837000815</x:v>
      </x:c>
      <x:c r="Q6" s="9" t="n">
        <x:v>0.0782396088</x:v>
      </x:c>
      <x:c r="R6" s="3" t="b">
        <x:v>1</x:v>
      </x:c>
      <x:c r="S6" s="3" t="b">
        <x:v>1</x:v>
      </x:c>
      <x:c r="T6" s="3" t="b">
        <x:v>1</x:v>
      </x:c>
      <x:c r="U6" s="2" t="str">
        <x:f>IF(T6=TRUE,"Priority review",IF(R6=TRUE,"High cost",IF(S6=TRUE,"Low quality","Benchmark")))</x:f>
        <x:v>Priority review</x:v>
      </x:c>
    </x:row>
    <x:row r="7">
      <x:c r="A7" s="2" t="str">
        <x:v>050289</x:v>
      </x:c>
      <x:c r="B7" s="2" t="str">
        <x:v>AHMC SETON MEDICAL CENTER</x:v>
      </x:c>
      <x:c r="C7" s="2" t="str">
        <x:v>DALY CITY</x:v>
      </x:c>
      <x:c r="D7" s="2" t="str">
        <x:v>CA</x:v>
      </x:c>
      <x:c r="E7" s="2" t="str">
        <x:v>Acute Care Hospitals</x:v>
      </x:c>
      <x:c r="F7" s="2" t="str">
        <x:v>Proprietary</x:v>
      </x:c>
      <x:c r="G7" s="2" t="str">
        <x:v>Medium (100-299 beds)</x:v>
      </x:c>
      <x:c r="H7" s="7" t="n">
        <x:v>1</x:v>
      </x:c>
      <x:c r="I7" s="7" t="n">
        <x:v>3</x:v>
      </x:c>
      <x:c r="J7" s="7" t="n">
        <x:v>1.01</x:v>
      </x:c>
      <x:c r="K7" s="8" t="n">
        <x:v>188</x:v>
      </x:c>
      <x:c r="L7" s="8" t="n">
        <x:v>2168</x:v>
      </x:c>
      <x:c r="M7" s="9" t="n">
        <x:v>0.4465170504</x:v>
      </x:c>
      <x:c r="N7" s="10" t="n">
        <x:v>87654.4838560886</x:v>
      </x:c>
      <x:c r="O7" s="9" t="n">
        <x:v>-0.4166347225</x:v>
      </x:c>
      <x:c r="P7" s="9" t="n">
        <x:v>0.9804400978</x:v>
      </x:c>
      <x:c r="Q7" s="9" t="n">
        <x:v>0</x:v>
      </x:c>
      <x:c r="R7" s="3" t="b">
        <x:v>1</x:v>
      </x:c>
      <x:c r="S7" s="3" t="b">
        <x:v>1</x:v>
      </x:c>
      <x:c r="T7" s="3" t="b">
        <x:v>1</x:v>
      </x:c>
      <x:c r="U7" s="2" t="str">
        <x:f>IF(T7=TRUE,"Priority review",IF(R7=TRUE,"High cost",IF(S7=TRUE,"Low quality","Benchmark")))</x:f>
        <x:v>Priority review</x:v>
      </x:c>
    </x:row>
    <x:row r="8">
      <x:c r="A8" s="2" t="str">
        <x:v>050073</x:v>
      </x:c>
      <x:c r="B8" s="2" t="str">
        <x:v>KAISER FOUNDATION HOSPITAL AND REHAB CENTER</x:v>
      </x:c>
      <x:c r="C8" s="2" t="str">
        <x:v>VALLEJO</x:v>
      </x:c>
      <x:c r="D8" s="2" t="str">
        <x:v>CA</x:v>
      </x:c>
      <x:c r="E8" s="2" t="str">
        <x:v>Acute Care Hospitals</x:v>
      </x:c>
      <x:c r="F8" s="2" t="str">
        <x:v>Voluntary non-profit</x:v>
      </x:c>
      <x:c r="G8" s="2" t="str">
        <x:v>Medium (100-299 beds)</x:v>
      </x:c>
      <x:c r="H8" s="7" t="n">
        <x:v>2</x:v>
      </x:c>
      <x:c r="I8" s="7" t="n">
        <x:v>4</x:v>
      </x:c>
      <x:c r="J8" s="7" t="n">
        <x:v>0.87</x:v>
      </x:c>
      <x:c r="K8" s="8" t="n">
        <x:v>184</x:v>
      </x:c>
      <x:c r="L8" s="8" t="n">
        <x:v>7132</x:v>
      </x:c>
      <x:c r="M8" s="9" t="n">
        <x:v>0.5449186268</x:v>
      </x:c>
      <x:c r="N8" s="10" t="n">
        <x:v>85118.5866517106</x:v>
      </x:c>
      <x:c r="O8" s="9" t="n">
        <x:v>0.0206957327</x:v>
      </x:c>
      <x:c r="P8" s="9" t="n">
        <x:v>0.9788101059</x:v>
      </x:c>
      <x:c r="Q8" s="9" t="n">
        <x:v>0.0782396088</x:v>
      </x:c>
      <x:c r="R8" s="3" t="b">
        <x:v>1</x:v>
      </x:c>
      <x:c r="S8" s="3" t="b">
        <x:v>1</x:v>
      </x:c>
      <x:c r="T8" s="3" t="b">
        <x:v>1</x:v>
      </x:c>
      <x:c r="U8" s="2" t="str">
        <x:f>IF(T8=TRUE,"Priority review",IF(R8=TRUE,"High cost",IF(S8=TRUE,"Low quality","Benchmark")))</x:f>
        <x:v>Priority review</x:v>
      </x:c>
    </x:row>
    <x:row r="9">
      <x:c r="A9" s="2" t="str">
        <x:v>330396</x:v>
      </x:c>
      <x:c r="B9" s="2" t="str">
        <x:v>WOODHULL MEDICAL &amp; MENTAL HEALTH CENTER</x:v>
      </x:c>
      <x:c r="C9" s="2" t="str">
        <x:v>BROOKLYN</x:v>
      </x:c>
      <x:c r="D9" s="2" t="str">
        <x:v>NY</x:v>
      </x:c>
      <x:c r="E9" s="2" t="str">
        <x:v>Acute Care Hospitals</x:v>
      </x:c>
      <x:c r="F9" s="2" t="str">
        <x:v>Government</x:v>
      </x:c>
      <x:c r="G9" s="2" t="str">
        <x:v>Medium (100-299 beds)</x:v>
      </x:c>
      <x:c r="H9" s="7" t="n">
        <x:v>2</x:v>
      </x:c>
      <x:c r="I9" s="7" t="n">
        <x:v>2</x:v>
      </x:c>
      <x:c r="J9" s="7" t="n">
        <x:v>0.98</x:v>
      </x:c>
      <x:c r="K9" s="8" t="n">
        <x:v>221</x:v>
      </x:c>
      <x:c r="L9" s="8" t="n">
        <x:v>8189</x:v>
      </x:c>
      <x:c r="M9" s="9" t="n">
        <x:v>0.6684496175</x:v>
      </x:c>
      <x:c r="N9" s="10" t="n">
        <x:v>83042.4503602394</x:v>
      </x:c>
      <x:c r="O9" s="9" t="n">
        <x:v>-0.1974912258</x:v>
      </x:c>
      <x:c r="P9" s="9" t="n">
        <x:v>0.9763651182</x:v>
      </x:c>
      <x:c r="Q9" s="9" t="n">
        <x:v>0.0782396088</x:v>
      </x:c>
      <x:c r="R9" s="3" t="b">
        <x:v>1</x:v>
      </x:c>
      <x:c r="S9" s="3" t="b">
        <x:v>1</x:v>
      </x:c>
      <x:c r="T9" s="3" t="b">
        <x:v>1</x:v>
      </x:c>
      <x:c r="U9" s="2" t="str">
        <x:f>IF(T9=TRUE,"Priority review",IF(R9=TRUE,"High cost",IF(S9=TRUE,"Low quality","Benchmark")))</x:f>
        <x:v>Priority review</x:v>
      </x:c>
    </x:row>
    <x:row r="10">
      <x:c r="A10" s="2" t="str">
        <x:v>140103</x:v>
      </x:c>
      <x:c r="B10" s="2" t="str">
        <x:v>ST BERNARD HOSPITAL</x:v>
      </x:c>
      <x:c r="C10" s="2" t="str">
        <x:v>CHICAGO</x:v>
      </x:c>
      <x:c r="D10" s="2" t="str">
        <x:v>IL</x:v>
      </x:c>
      <x:c r="E10" s="2" t="str">
        <x:v>Acute Care Hospitals</x:v>
      </x:c>
      <x:c r="F10" s="2" t="str">
        <x:v>Voluntary non-profit</x:v>
      </x:c>
      <x:c r="G10" s="2" t="str">
        <x:v>Medium (100-299 beds)</x:v>
      </x:c>
      <x:c r="H10" s="7" t="n">
        <x:v>1</x:v>
      </x:c>
      <x:c r="I10" s="7"/>
      <x:c r="J10" s="7" t="n">
        <x:v>1.03</x:v>
      </x:c>
      <x:c r="K10" s="8" t="n">
        <x:v>114</x:v>
      </x:c>
      <x:c r="L10" s="8" t="n">
        <x:v>1713</x:v>
      </x:c>
      <x:c r="M10" s="9" t="n">
        <x:v>0.2532355479</x:v>
      </x:c>
      <x:c r="N10" s="10" t="n">
        <x:v>82691.3058960887</x:v>
      </x:c>
      <x:c r="O10" s="9" t="n">
        <x:v>-0.5865170619</x:v>
      </x:c>
      <x:c r="P10" s="9" t="n">
        <x:v>0.9755501222</x:v>
      </x:c>
      <x:c r="Q10" s="9" t="n">
        <x:v>0</x:v>
      </x:c>
      <x:c r="R10" s="3" t="b">
        <x:v>1</x:v>
      </x:c>
      <x:c r="S10" s="3" t="b">
        <x:v>1</x:v>
      </x:c>
      <x:c r="T10" s="3" t="b">
        <x:v>1</x:v>
      </x:c>
      <x:c r="U10" s="2" t="str">
        <x:f>IF(T10=TRUE,"Priority review",IF(R10=TRUE,"High cost",IF(S10=TRUE,"Low quality","Benchmark")))</x:f>
        <x:v>Priority review</x:v>
      </x:c>
    </x:row>
    <x:row r="11">
      <x:c r="A11" s="2" t="str">
        <x:v>050367</x:v>
      </x:c>
      <x:c r="B11" s="2" t="str">
        <x:v>NORTHBAY MEDICAL CENTER</x:v>
      </x:c>
      <x:c r="C11" s="2" t="str">
        <x:v>FAIRFIELD</x:v>
      </x:c>
      <x:c r="D11" s="2" t="str">
        <x:v>CA</x:v>
      </x:c>
      <x:c r="E11" s="2" t="str">
        <x:v>Acute Care Hospitals</x:v>
      </x:c>
      <x:c r="F11" s="2" t="str">
        <x:v>Voluntary non-profit</x:v>
      </x:c>
      <x:c r="G11" s="2" t="str">
        <x:v>Medium (100-299 beds)</x:v>
      </x:c>
      <x:c r="H11" s="7" t="n">
        <x:v>2</x:v>
      </x:c>
      <x:c r="I11" s="7" t="n">
        <x:v>2</x:v>
      </x:c>
      <x:c r="J11" s="7" t="n">
        <x:v>0.94</x:v>
      </x:c>
      <x:c r="K11" s="8" t="n">
        <x:v>178</x:v>
      </x:c>
      <x:c r="L11" s="8" t="n">
        <x:v>10531</x:v>
      </x:c>
      <x:c r="M11" s="9" t="n">
        <x:v>0.7816356603</x:v>
      </x:c>
      <x:c r="N11" s="10" t="n">
        <x:v>78301.2866774286</x:v>
      </x:c>
      <x:c r="O11" s="9" t="n">
        <x:v>-0.0218623949</x:v>
      </x:c>
      <x:c r="P11" s="9" t="n">
        <x:v>0.9722901385</x:v>
      </x:c>
      <x:c r="Q11" s="9" t="n">
        <x:v>0.0782396088</x:v>
      </x:c>
      <x:c r="R11" s="3" t="b">
        <x:v>1</x:v>
      </x:c>
      <x:c r="S11" s="3" t="b">
        <x:v>1</x:v>
      </x:c>
      <x:c r="T11" s="3" t="b">
        <x:v>1</x:v>
      </x:c>
      <x:c r="U11" s="2" t="str">
        <x:f>IF(T11=TRUE,"Priority review",IF(R11=TRUE,"High cost",IF(S11=TRUE,"Low quality","Benchmark")))</x:f>
        <x:v>Priority review</x:v>
      </x:c>
    </x:row>
    <x:row r="12">
      <x:c r="A12" s="2" t="str">
        <x:v>500064</x:v>
      </x:c>
      <x:c r="B12" s="2" t="str">
        <x:v>HARBORVIEW MEDICAL CENTER</x:v>
      </x:c>
      <x:c r="C12" s="2" t="str">
        <x:v>SEATTLE</x:v>
      </x:c>
      <x:c r="D12" s="2" t="str">
        <x:v>WA</x:v>
      </x:c>
      <x:c r="E12" s="2" t="str">
        <x:v>Acute Care Hospitals</x:v>
      </x:c>
      <x:c r="F12" s="2" t="str">
        <x:v>Government</x:v>
      </x:c>
      <x:c r="G12" s="2" t="str">
        <x:v>Large (300+ beds)</x:v>
      </x:c>
      <x:c r="H12" s="7" t="n">
        <x:v>2</x:v>
      </x:c>
      <x:c r="I12" s="7" t="n">
        <x:v>2</x:v>
      </x:c>
      <x:c r="J12" s="7" t="n">
        <x:v>1.01</x:v>
      </x:c>
      <x:c r="K12" s="8" t="n">
        <x:v>448</x:v>
      </x:c>
      <x:c r="L12" s="8" t="n">
        <x:v>15203</x:v>
      </x:c>
      <x:c r="M12" s="9" t="n">
        <x:v>0.8978895242</x:v>
      </x:c>
      <x:c r="N12" s="10" t="n">
        <x:v>105039.54818128</x:v>
      </x:c>
      <x:c r="O12" s="9" t="n">
        <x:v>-0.0404556117</x:v>
      </x:c>
      <x:c r="P12" s="9" t="n">
        <x:v>0.9716088328</x:v>
      </x:c>
      <x:c r="Q12" s="9" t="n">
        <x:v>0.0536277603</x:v>
      </x:c>
      <x:c r="R12" s="3" t="b">
        <x:v>1</x:v>
      </x:c>
      <x:c r="S12" s="3" t="b">
        <x:v>1</x:v>
      </x:c>
      <x:c r="T12" s="3" t="b">
        <x:v>1</x:v>
      </x:c>
      <x:c r="U12" s="2" t="str">
        <x:f>IF(T12=TRUE,"Priority review",IF(R12=TRUE,"High cost",IF(S12=TRUE,"Low quality","Benchmark")))</x:f>
        <x:v>Priority review</x:v>
      </x:c>
    </x:row>
    <x:row r="13">
      <x:c r="A13" s="2" t="str">
        <x:v>050040</x:v>
      </x:c>
      <x:c r="B13" s="2" t="str">
        <x:v>LAC/OLIVE VIEW-UCLA MEDICAL CENTER</x:v>
      </x:c>
      <x:c r="C13" s="2" t="str">
        <x:v>SYLMAR</x:v>
      </x:c>
      <x:c r="D13" s="2" t="str">
        <x:v>CA</x:v>
      </x:c>
      <x:c r="E13" s="2" t="str">
        <x:v>Acute Care Hospitals</x:v>
      </x:c>
      <x:c r="F13" s="2" t="str">
        <x:v>Voluntary non-profit</x:v>
      </x:c>
      <x:c r="G13" s="2" t="str">
        <x:v>Medium (100-299 beds)</x:v>
      </x:c>
      <x:c r="H13" s="7" t="n">
        <x:v>2</x:v>
      </x:c>
      <x:c r="I13" s="7" t="n">
        <x:v>3</x:v>
      </x:c>
      <x:c r="J13" s="7" t="n">
        <x:v>0.83</x:v>
      </x:c>
      <x:c r="K13" s="8" t="n">
        <x:v>238</x:v>
      </x:c>
      <x:c r="L13" s="8" t="n">
        <x:v>11326</x:v>
      </x:c>
      <x:c r="M13" s="9" t="n">
        <x:v>0.6048663468</x:v>
      </x:c>
      <x:c r="N13" s="10" t="n">
        <x:v>75270.3533462829</x:v>
      </x:c>
      <x:c r="O13" s="9" t="n">
        <x:v>0.0378315203</x:v>
      </x:c>
      <x:c r="P13" s="9" t="n">
        <x:v>0.9665851671</x:v>
      </x:c>
      <x:c r="Q13" s="9" t="n">
        <x:v>0.0782396088</x:v>
      </x:c>
      <x:c r="R13" s="3" t="b">
        <x:v>1</x:v>
      </x:c>
      <x:c r="S13" s="3" t="b">
        <x:v>1</x:v>
      </x:c>
      <x:c r="T13" s="3" t="b">
        <x:v>1</x:v>
      </x:c>
      <x:c r="U13" s="2" t="str">
        <x:f>IF(T13=TRUE,"Priority review",IF(R13=TRUE,"High cost",IF(S13=TRUE,"Low quality","Benchmark")))</x:f>
        <x:v>Priority review</x:v>
      </x:c>
    </x:row>
    <x:row r="14">
      <x:c r="A14" s="2" t="str">
        <x:v>330240</x:v>
      </x:c>
      <x:c r="B14" s="2" t="str">
        <x:v>HARLEM HOSPITAL CENTER</x:v>
      </x:c>
      <x:c r="C14" s="2" t="str">
        <x:v>NEW YORK</x:v>
      </x:c>
      <x:c r="D14" s="2" t="str">
        <x:v>NY</x:v>
      </x:c>
      <x:c r="E14" s="2" t="str">
        <x:v>Acute Care Hospitals</x:v>
      </x:c>
      <x:c r="F14" s="2" t="str">
        <x:v>Government</x:v>
      </x:c>
      <x:c r="G14" s="2" t="str">
        <x:v>Medium (100-299 beds)</x:v>
      </x:c>
      <x:c r="H14" s="7" t="n">
        <x:v>2</x:v>
      </x:c>
      <x:c r="I14" s="7" t="n">
        <x:v>1</x:v>
      </x:c>
      <x:c r="J14" s="7" t="n">
        <x:v>0.96</x:v>
      </x:c>
      <x:c r="K14" s="8" t="n">
        <x:v>217</x:v>
      </x:c>
      <x:c r="L14" s="8" t="n">
        <x:v>9206</x:v>
      </x:c>
      <x:c r="M14" s="9" t="n">
        <x:v>0.7929044884</x:v>
      </x:c>
      <x:c r="N14" s="10" t="n">
        <x:v>74898.0293286987</x:v>
      </x:c>
      <x:c r="O14" s="9" t="n">
        <x:v>-0.2010594729</x:v>
      </x:c>
      <x:c r="P14" s="9" t="n">
        <x:v>0.9657701711</x:v>
      </x:c>
      <x:c r="Q14" s="9" t="n">
        <x:v>0.0782396088</x:v>
      </x:c>
      <x:c r="R14" s="3" t="b">
        <x:v>1</x:v>
      </x:c>
      <x:c r="S14" s="3" t="b">
        <x:v>1</x:v>
      </x:c>
      <x:c r="T14" s="3" t="b">
        <x:v>1</x:v>
      </x:c>
      <x:c r="U14" s="2" t="str">
        <x:f>IF(T14=TRUE,"Priority review",IF(R14=TRUE,"High cost",IF(S14=TRUE,"Low quality","Benchmark")))</x:f>
        <x:v>Priority review</x:v>
      </x:c>
    </x:row>
    <x:row r="15">
      <x:c r="A15" s="2" t="str">
        <x:v>050038</x:v>
      </x:c>
      <x:c r="B15" s="2" t="str">
        <x:v>SANTA CLARA VALLEY MEDICAL CENTER</x:v>
      </x:c>
      <x:c r="C15" s="2" t="str">
        <x:v>SAN JOSE</x:v>
      </x:c>
      <x:c r="D15" s="2" t="str">
        <x:v>CA</x:v>
      </x:c>
      <x:c r="E15" s="2" t="str">
        <x:v>Acute Care Hospitals</x:v>
      </x:c>
      <x:c r="F15" s="2" t="str">
        <x:v>Government</x:v>
      </x:c>
      <x:c r="G15" s="2" t="str">
        <x:v>Large (300+ beds)</x:v>
      </x:c>
      <x:c r="H15" s="7" t="n">
        <x:v>2</x:v>
      </x:c>
      <x:c r="I15" s="7" t="n">
        <x:v>3</x:v>
      </x:c>
      <x:c r="J15" s="7" t="n">
        <x:v>1.05</x:v>
      </x:c>
      <x:c r="K15" s="8" t="n">
        <x:v>1060</x:v>
      </x:c>
      <x:c r="L15" s="8" t="n">
        <x:v>38705</x:v>
      </x:c>
      <x:c r="M15" s="9" t="n">
        <x:v>0.6907198693</x:v>
      </x:c>
      <x:c r="N15" s="10" t="n">
        <x:v>99618.0567885286</x:v>
      </x:c>
      <x:c r="O15" s="9" t="n">
        <x:v>-0.2446881323</x:v>
      </x:c>
      <x:c r="P15" s="9" t="n">
        <x:v>0.9621451104</x:v>
      </x:c>
      <x:c r="Q15" s="9" t="n">
        <x:v>0.0536277603</x:v>
      </x:c>
      <x:c r="R15" s="3" t="b">
        <x:v>1</x:v>
      </x:c>
      <x:c r="S15" s="3" t="b">
        <x:v>1</x:v>
      </x:c>
      <x:c r="T15" s="3" t="b">
        <x:v>1</x:v>
      </x:c>
      <x:c r="U15" s="2" t="str">
        <x:f>IF(T15=TRUE,"Priority review",IF(R15=TRUE,"High cost",IF(S15=TRUE,"Low quality","Benchmark")))</x:f>
        <x:v>Priority review</x:v>
      </x:c>
    </x:row>
    <x:row r="16">
      <x:c r="A16" s="2" t="str">
        <x:v>330231</x:v>
      </x:c>
      <x:c r="B16" s="2" t="str">
        <x:v>QUEENS HOSPITAL CENTER</x:v>
      </x:c>
      <x:c r="C16" s="2" t="str">
        <x:v>JAMAICA</x:v>
      </x:c>
      <x:c r="D16" s="2" t="str">
        <x:v>NY</x:v>
      </x:c>
      <x:c r="E16" s="2" t="str">
        <x:v>Acute Care Hospitals</x:v>
      </x:c>
      <x:c r="F16" s="2" t="str">
        <x:v>Voluntary non-profit</x:v>
      </x:c>
      <x:c r="G16" s="2" t="str">
        <x:v>Medium (100-299 beds)</x:v>
      </x:c>
      <x:c r="H16" s="7" t="n">
        <x:v>2</x:v>
      </x:c>
      <x:c r="I16" s="7" t="n">
        <x:v>2</x:v>
      </x:c>
      <x:c r="J16" s="7" t="n">
        <x:v>0.96</x:v>
      </x:c>
      <x:c r="K16" s="8" t="n">
        <x:v>200</x:v>
      </x:c>
      <x:c r="L16" s="8" t="n">
        <x:v>9872</x:v>
      </x:c>
      <x:c r="M16" s="9" t="n">
        <x:v>0.7925753425</x:v>
      </x:c>
      <x:c r="N16" s="10" t="n">
        <x:v>73035.738958671</x:v>
      </x:c>
      <x:c r="O16" s="9" t="n">
        <x:v>-0.5367232467</x:v>
      </x:c>
      <x:c r="P16" s="9" t="n">
        <x:v>0.9592502037</x:v>
      </x:c>
      <x:c r="Q16" s="9" t="n">
        <x:v>0.0782396088</x:v>
      </x:c>
      <x:c r="R16" s="3" t="b">
        <x:v>1</x:v>
      </x:c>
      <x:c r="S16" s="3" t="b">
        <x:v>1</x:v>
      </x:c>
      <x:c r="T16" s="3" t="b">
        <x:v>1</x:v>
      </x:c>
      <x:c r="U16" s="2" t="str">
        <x:f>IF(T16=TRUE,"Priority review",IF(R16=TRUE,"High cost",IF(S16=TRUE,"Low quality","Benchmark")))</x:f>
        <x:v>Priority review</x:v>
      </x:c>
    </x:row>
    <x:row r="17">
      <x:c r="A17" s="2" t="str">
        <x:v>021314</x:v>
      </x:c>
      <x:c r="B17" s="2" t="str">
        <x:v>SOUTHEAST ALASKA REGIONAL HEALTH CONSORTIUM</x:v>
      </x:c>
      <x:c r="C17" s="2" t="str">
        <x:v>SITKA</x:v>
      </x:c>
      <x:c r="D17" s="2" t="str">
        <x:v>AK</x:v>
      </x:c>
      <x:c r="E17" s="2" t="str">
        <x:v>Critical Access Hospitals</x:v>
      </x:c>
      <x:c r="F17" s="2" t="str">
        <x:v>Other / unknown</x:v>
      </x:c>
      <x:c r="G17" s="2" t="str">
        <x:v>Small (&lt;100 beds)</x:v>
      </x:c>
      <x:c r="H17" s="7" t="n">
        <x:v>3</x:v>
      </x:c>
      <x:c r="I17" s="7"/>
      <x:c r="J17" s="7"/>
      <x:c r="K17" s="8" t="n">
        <x:v>25</x:v>
      </x:c>
      <x:c r="L17" s="8" t="n">
        <x:v>592</x:v>
      </x:c>
      <x:c r="M17" s="9" t="n">
        <x:v>0.3416393443</x:v>
      </x:c>
      <x:c r="N17" s="10" t="n">
        <x:v>579858.5219594594</x:v>
      </x:c>
      <x:c r="O17" s="9"/>
      <x:c r="P17" s="9" t="n">
        <x:v>0.950929368</x:v>
      </x:c>
      <x:c r="Q17" s="9" t="n">
        <x:v>0.0765799257</x:v>
      </x:c>
      <x:c r="R17" s="3" t="b">
        <x:v>1</x:v>
      </x:c>
      <x:c r="S17" s="3" t="b">
        <x:v>1</x:v>
      </x:c>
      <x:c r="T17" s="3" t="b">
        <x:v>1</x:v>
      </x:c>
      <x:c r="U17" s="2" t="str">
        <x:f>IF(T17=TRUE,"Priority review",IF(R17=TRUE,"High cost",IF(S17=TRUE,"Low quality","Benchmark")))</x:f>
        <x:v>Priority review</x:v>
      </x:c>
    </x:row>
    <x:row r="18">
      <x:c r="A18" s="2" t="str">
        <x:v>330202</x:v>
      </x:c>
      <x:c r="B18" s="2" t="str">
        <x:v>KINGS COUNTY HOSPITAL CENTER</x:v>
      </x:c>
      <x:c r="C18" s="2" t="str">
        <x:v>BROOKLYN</x:v>
      </x:c>
      <x:c r="D18" s="2" t="str">
        <x:v>NY</x:v>
      </x:c>
      <x:c r="E18" s="2" t="str">
        <x:v>Acute Care Hospitals</x:v>
      </x:c>
      <x:c r="F18" s="2" t="str">
        <x:v>Government</x:v>
      </x:c>
      <x:c r="G18" s="2" t="str">
        <x:v>Large (300+ beds)</x:v>
      </x:c>
      <x:c r="H18" s="7" t="n">
        <x:v>1</x:v>
      </x:c>
      <x:c r="I18" s="7" t="n">
        <x:v>2</x:v>
      </x:c>
      <x:c r="J18" s="7" t="n">
        <x:v>1.02</x:v>
      </x:c>
      <x:c r="K18" s="8" t="n">
        <x:v>381</x:v>
      </x:c>
      <x:c r="L18" s="8" t="n">
        <x:v>15126</x:v>
      </x:c>
      <x:c r="M18" s="9" t="n">
        <x:v>0.9130406644</x:v>
      </x:c>
      <x:c r="N18" s="10" t="n">
        <x:v>92437.0907708581</x:v>
      </x:c>
      <x:c r="O18" s="9" t="n">
        <x:v>-0.2795778282</x:v>
      </x:c>
      <x:c r="P18" s="9" t="n">
        <x:v>0.9495268139</x:v>
      </x:c>
      <x:c r="Q18" s="9" t="n">
        <x:v>0</x:v>
      </x:c>
      <x:c r="R18" s="3" t="b">
        <x:v>1</x:v>
      </x:c>
      <x:c r="S18" s="3" t="b">
        <x:v>1</x:v>
      </x:c>
      <x:c r="T18" s="3" t="b">
        <x:v>1</x:v>
      </x:c>
      <x:c r="U18" s="2" t="str">
        <x:f>IF(T18=TRUE,"Priority review",IF(R18=TRUE,"High cost",IF(S18=TRUE,"Low quality","Benchmark")))</x:f>
        <x:v>Priority review</x:v>
      </x:c>
    </x:row>
    <x:row r="19">
      <x:c r="A19" s="2" t="str">
        <x:v>330350</x:v>
      </x:c>
      <x:c r="B19" s="2" t="str">
        <x:v>SUNY/DOWNSTATE UNIVERSITY HOSPITAL OF BROOKLYN</x:v>
      </x:c>
      <x:c r="C19" s="2" t="str">
        <x:v>BROOKLYN</x:v>
      </x:c>
      <x:c r="D19" s="2" t="str">
        <x:v>NY</x:v>
      </x:c>
      <x:c r="E19" s="2" t="str">
        <x:v>Acute Care Hospitals</x:v>
      </x:c>
      <x:c r="F19" s="2" t="str">
        <x:v>Government</x:v>
      </x:c>
      <x:c r="G19" s="2" t="str">
        <x:v>Medium (100-299 beds)</x:v>
      </x:c>
      <x:c r="H19" s="7" t="n">
        <x:v>1</x:v>
      </x:c>
      <x:c r="I19" s="7" t="n">
        <x:v>2</x:v>
      </x:c>
      <x:c r="J19" s="7" t="n">
        <x:v>1.02</x:v>
      </x:c>
      <x:c r="K19" s="8" t="n">
        <x:v>268</x:v>
      </x:c>
      <x:c r="L19" s="8" t="n">
        <x:v>7968</x:v>
      </x:c>
      <x:c r="M19" s="9" t="n">
        <x:v>0.5721800832</x:v>
      </x:c>
      <x:c r="N19" s="10" t="n">
        <x:v>69533.6044176707</x:v>
      </x:c>
      <x:c r="O19" s="9" t="n">
        <x:v>0.3194018033</x:v>
      </x:c>
      <x:c r="P19" s="9" t="n">
        <x:v>0.9478402608</x:v>
      </x:c>
      <x:c r="Q19" s="9" t="n">
        <x:v>0</x:v>
      </x:c>
      <x:c r="R19" s="3" t="b">
        <x:v>1</x:v>
      </x:c>
      <x:c r="S19" s="3" t="b">
        <x:v>1</x:v>
      </x:c>
      <x:c r="T19" s="3" t="b">
        <x:v>1</x:v>
      </x:c>
      <x:c r="U19" s="2" t="str">
        <x:f>IF(T19=TRUE,"Priority review",IF(R19=TRUE,"High cost",IF(S19=TRUE,"Low quality","Benchmark")))</x:f>
        <x:v>Priority review</x:v>
      </x:c>
    </x:row>
    <x:row r="20">
      <x:c r="A20" s="2" t="str">
        <x:v>330115</x:v>
      </x:c>
      <x:c r="B20" s="2" t="str">
        <x:v>ONEIDA HEALTH HOSPITAL</x:v>
      </x:c>
      <x:c r="C20" s="2" t="str">
        <x:v>ONEIDA</x:v>
      </x:c>
      <x:c r="D20" s="2" t="str">
        <x:v>NY</x:v>
      </x:c>
      <x:c r="E20" s="2" t="str">
        <x:v>Acute Care Hospitals</x:v>
      </x:c>
      <x:c r="F20" s="2" t="str">
        <x:v>Voluntary non-profit</x:v>
      </x:c>
      <x:c r="G20" s="2" t="str">
        <x:v>Medium (100-299 beds)</x:v>
      </x:c>
      <x:c r="H20" s="7" t="n">
        <x:v>2</x:v>
      </x:c>
      <x:c r="I20" s="7" t="n">
        <x:v>4</x:v>
      </x:c>
      <x:c r="J20" s="7" t="n">
        <x:v>0.95</x:v>
      </x:c>
      <x:c r="K20" s="8" t="n">
        <x:v>101</x:v>
      </x:c>
      <x:c r="L20" s="8" t="n">
        <x:v>2250</x:v>
      </x:c>
      <x:c r="M20" s="9" t="n">
        <x:v>0.2588324406</x:v>
      </x:c>
      <x:c r="N20" s="10" t="n">
        <x:v>69454.804</x:v>
      </x:c>
      <x:c r="O20" s="9" t="n">
        <x:v>-0.0273120579</x:v>
      </x:c>
      <x:c r="P20" s="9" t="n">
        <x:v>0.9470252649</x:v>
      </x:c>
      <x:c r="Q20" s="9" t="n">
        <x:v>0.0782396088</x:v>
      </x:c>
      <x:c r="R20" s="3" t="b">
        <x:v>1</x:v>
      </x:c>
      <x:c r="S20" s="3" t="b">
        <x:v>1</x:v>
      </x:c>
      <x:c r="T20" s="3" t="b">
        <x:v>1</x:v>
      </x:c>
      <x:c r="U20" s="2" t="str">
        <x:f>IF(T20=TRUE,"Priority review",IF(R20=TRUE,"High cost",IF(S20=TRUE,"Low quality","Benchmark")))</x:f>
        <x:v>Priority review</x:v>
      </x:c>
    </x:row>
    <x:row r="21">
      <x:c r="A21" s="2" t="str">
        <x:v>160058</x:v>
      </x:c>
      <x:c r="B21" s="2" t="str">
        <x:v>UNIVERSITY OF IOWA HOSPITAL &amp; CLINICS</x:v>
      </x:c>
      <x:c r="C21" s="2" t="str">
        <x:v>IOWA CITY</x:v>
      </x:c>
      <x:c r="D21" s="2" t="str">
        <x:v>IA</x:v>
      </x:c>
      <x:c r="E21" s="2" t="str">
        <x:v>Acute Care Hospitals</x:v>
      </x:c>
      <x:c r="F21" s="2" t="str">
        <x:v>Government</x:v>
      </x:c>
      <x:c r="G21" s="2" t="str">
        <x:v>Large (300+ beds)</x:v>
      </x:c>
      <x:c r="H21" s="7" t="n">
        <x:v>2</x:v>
      </x:c>
      <x:c r="I21" s="7" t="n">
        <x:v>3</x:v>
      </x:c>
      <x:c r="J21" s="7" t="n">
        <x:v>1.05</x:v>
      </x:c>
      <x:c r="K21" s="8" t="n">
        <x:v>743</x:v>
      </x:c>
      <x:c r="L21" s="8" t="n">
        <x:v>33861</x:v>
      </x:c>
      <x:c r="M21" s="9" t="n">
        <x:v>0.827480173</x:v>
      </x:c>
      <x:c r="N21" s="10" t="n">
        <x:v>91273.5468237796</x:v>
      </x:c>
      <x:c r="O21" s="9" t="n">
        <x:v>-0.1695797562</x:v>
      </x:c>
      <x:c r="P21" s="9" t="n">
        <x:v>0.9463722397</x:v>
      </x:c>
      <x:c r="Q21" s="9" t="n">
        <x:v>0.0536277603</x:v>
      </x:c>
      <x:c r="R21" s="3" t="b">
        <x:v>1</x:v>
      </x:c>
      <x:c r="S21" s="3" t="b">
        <x:v>1</x:v>
      </x:c>
      <x:c r="T21" s="3" t="b">
        <x:v>1</x:v>
      </x:c>
      <x:c r="U21" s="2" t="str">
        <x:f>IF(T21=TRUE,"Priority review",IF(R21=TRUE,"High cost",IF(S21=TRUE,"Low quality","Benchmark")))</x:f>
        <x:v>Priority review</x:v>
      </x:c>
    </x:row>
    <x:row r="22">
      <x:c r="A22" s="2" t="str">
        <x:v>110024</x:v>
      </x:c>
      <x:c r="B22" s="2" t="str">
        <x:v>CANDLER HOSPITAL</x:v>
      </x:c>
      <x:c r="C22" s="2" t="str">
        <x:v>SAVANNAH</x:v>
      </x:c>
      <x:c r="D22" s="2" t="str">
        <x:v>GA</x:v>
      </x:c>
      <x:c r="E22" s="2" t="str">
        <x:v>Acute Care Hospitals</x:v>
      </x:c>
      <x:c r="F22" s="2" t="str">
        <x:v>Voluntary non-profit</x:v>
      </x:c>
      <x:c r="G22" s="2" t="str">
        <x:v>Medium (100-299 beds)</x:v>
      </x:c>
      <x:c r="H22" s="7" t="n">
        <x:v>2</x:v>
      </x:c>
      <x:c r="I22" s="7" t="n">
        <x:v>3</x:v>
      </x:c>
      <x:c r="J22" s="7" t="n">
        <x:v>1.01</x:v>
      </x:c>
      <x:c r="K22" s="8" t="n">
        <x:v>263</x:v>
      </x:c>
      <x:c r="L22" s="8" t="n">
        <x:v>8122</x:v>
      </x:c>
      <x:c r="M22" s="9" t="n">
        <x:v>0.7178186364</x:v>
      </x:c>
      <x:c r="N22" s="10" t="n">
        <x:v>67484.3223344004</x:v>
      </x:c>
      <x:c r="O22" s="9" t="n">
        <x:v>-0.0671712525</x:v>
      </x:c>
      <x:c r="P22" s="9" t="n">
        <x:v>0.9413202934</x:v>
      </x:c>
      <x:c r="Q22" s="9" t="n">
        <x:v>0.0782396088</x:v>
      </x:c>
      <x:c r="R22" s="3" t="b">
        <x:v>1</x:v>
      </x:c>
      <x:c r="S22" s="3" t="b">
        <x:v>1</x:v>
      </x:c>
      <x:c r="T22" s="3" t="b">
        <x:v>1</x:v>
      </x:c>
      <x:c r="U22" s="2" t="str">
        <x:f>IF(T22=TRUE,"Priority review",IF(R22=TRUE,"High cost",IF(S22=TRUE,"Low quality","Benchmark")))</x:f>
        <x:v>Priority review</x:v>
      </x:c>
    </x:row>
    <x:row r="23">
      <x:c r="A23" s="2" t="str">
        <x:v>500088</x:v>
      </x:c>
      <x:c r="B23" s="2" t="str">
        <x:v>VALLEY MEDICAL CENTER</x:v>
      </x:c>
      <x:c r="C23" s="2" t="str">
        <x:v>RENTON</x:v>
      </x:c>
      <x:c r="D23" s="2" t="str">
        <x:v>WA</x:v>
      </x:c>
      <x:c r="E23" s="2" t="str">
        <x:v>Acute Care Hospitals</x:v>
      </x:c>
      <x:c r="F23" s="2" t="str">
        <x:v>Government</x:v>
      </x:c>
      <x:c r="G23" s="2" t="str">
        <x:v>Medium (100-299 beds)</x:v>
      </x:c>
      <x:c r="H23" s="7" t="n">
        <x:v>2</x:v>
      </x:c>
      <x:c r="I23" s="7" t="n">
        <x:v>3</x:v>
      </x:c>
      <x:c r="J23" s="7" t="n">
        <x:v>0.94</x:v>
      </x:c>
      <x:c r="K23" s="8" t="n">
        <x:v>283</x:v>
      </x:c>
      <x:c r="L23" s="8" t="n">
        <x:v>15533</x:v>
      </x:c>
      <x:c r="M23" s="9" t="n">
        <x:v>0.7667512109</x:v>
      </x:c>
      <x:c r="N23" s="10" t="n">
        <x:v>67424.8011330715</x:v>
      </x:c>
      <x:c r="O23" s="9" t="n">
        <x:v>-0.1213749159</x:v>
      </x:c>
      <x:c r="P23" s="9" t="n">
        <x:v>0.9405052975</x:v>
      </x:c>
      <x:c r="Q23" s="9" t="n">
        <x:v>0.0782396088</x:v>
      </x:c>
      <x:c r="R23" s="3" t="b">
        <x:v>1</x:v>
      </x:c>
      <x:c r="S23" s="3" t="b">
        <x:v>1</x:v>
      </x:c>
      <x:c r="T23" s="3" t="b">
        <x:v>1</x:v>
      </x:c>
      <x:c r="U23" s="2" t="str">
        <x:f>IF(T23=TRUE,"Priority review",IF(R23=TRUE,"High cost",IF(S23=TRUE,"Low quality","Benchmark")))</x:f>
        <x:v>Priority review</x:v>
      </x:c>
    </x:row>
    <x:row r="24">
      <x:c r="A24" s="2" t="str">
        <x:v>180051</x:v>
      </x:c>
      <x:c r="B24" s="2" t="str">
        <x:v>JENNIE STUART MEDICAL CENTER</x:v>
      </x:c>
      <x:c r="C24" s="2" t="str">
        <x:v>HOPKINSVILLE</x:v>
      </x:c>
      <x:c r="D24" s="2" t="str">
        <x:v>KY</x:v>
      </x:c>
      <x:c r="E24" s="2" t="str">
        <x:v>Acute Care Hospitals</x:v>
      </x:c>
      <x:c r="F24" s="2" t="str">
        <x:v>Voluntary non-profit</x:v>
      </x:c>
      <x:c r="G24" s="2" t="str">
        <x:v>Medium (100-299 beds)</x:v>
      </x:c>
      <x:c r="H24" s="7" t="n">
        <x:v>1</x:v>
      </x:c>
      <x:c r="I24" s="7" t="n">
        <x:v>3</x:v>
      </x:c>
      <x:c r="J24" s="7" t="n">
        <x:v>1.05</x:v>
      </x:c>
      <x:c r="K24" s="8" t="n">
        <x:v>106</x:v>
      </x:c>
      <x:c r="L24" s="8" t="n">
        <x:v>3284</x:v>
      </x:c>
      <x:c r="M24" s="9" t="n">
        <x:v>0.3631302196</x:v>
      </x:c>
      <x:c r="N24" s="10" t="n">
        <x:v>67219.3093788063</x:v>
      </x:c>
      <x:c r="O24" s="9" t="n">
        <x:v>0.0040395895</x:v>
      </x:c>
      <x:c r="P24" s="9" t="n">
        <x:v>0.9388753056</x:v>
      </x:c>
      <x:c r="Q24" s="9" t="n">
        <x:v>0</x:v>
      </x:c>
      <x:c r="R24" s="3" t="b">
        <x:v>1</x:v>
      </x:c>
      <x:c r="S24" s="3" t="b">
        <x:v>1</x:v>
      </x:c>
      <x:c r="T24" s="3" t="b">
        <x:v>1</x:v>
      </x:c>
      <x:c r="U24" s="2" t="str">
        <x:f>IF(T24=TRUE,"Priority review",IF(R24=TRUE,"High cost",IF(S24=TRUE,"Low quality","Benchmark")))</x:f>
        <x:v>Priority review</x:v>
      </x:c>
    </x:row>
    <x:row r="25">
      <x:c r="A25" s="2" t="str">
        <x:v>330196</x:v>
      </x:c>
      <x:c r="B25" s="2" t="str">
        <x:v>SOUTH BROOKLYN HEALTH</x:v>
      </x:c>
      <x:c r="C25" s="2" t="str">
        <x:v>BROOKLYN</x:v>
      </x:c>
      <x:c r="D25" s="2" t="str">
        <x:v>NY</x:v>
      </x:c>
      <x:c r="E25" s="2" t="str">
        <x:v>Acute Care Hospitals</x:v>
      </x:c>
      <x:c r="F25" s="2" t="str">
        <x:v>Voluntary non-profit</x:v>
      </x:c>
      <x:c r="G25" s="2" t="str">
        <x:v>Medium (100-299 beds)</x:v>
      </x:c>
      <x:c r="H25" s="7" t="n">
        <x:v>2</x:v>
      </x:c>
      <x:c r="I25" s="7" t="n">
        <x:v>2</x:v>
      </x:c>
      <x:c r="J25" s="7" t="n">
        <x:v>1.07</x:v>
      </x:c>
      <x:c r="K25" s="8" t="n">
        <x:v>267</x:v>
      </x:c>
      <x:c r="L25" s="8" t="n">
        <x:v>12008</x:v>
      </x:c>
      <x:c r="M25" s="9" t="n">
        <x:v>1.2839554477</x:v>
      </x:c>
      <x:c r="N25" s="10" t="n">
        <x:v>66611.0374750167</x:v>
      </x:c>
      <x:c r="O25" s="9" t="n">
        <x:v>0.0541934088</x:v>
      </x:c>
      <x:c r="P25" s="9" t="n">
        <x:v>0.9372453138</x:v>
      </x:c>
      <x:c r="Q25" s="9" t="n">
        <x:v>0.0782396088</x:v>
      </x:c>
      <x:c r="R25" s="3" t="b">
        <x:v>1</x:v>
      </x:c>
      <x:c r="S25" s="3" t="b">
        <x:v>1</x:v>
      </x:c>
      <x:c r="T25" s="3" t="b">
        <x:v>1</x:v>
      </x:c>
      <x:c r="U25" s="2" t="str">
        <x:f>IF(T25=TRUE,"Priority review",IF(R25=TRUE,"High cost",IF(S25=TRUE,"Low quality","Benchmark")))</x:f>
        <x:v>Priority review</x:v>
      </x:c>
    </x:row>
    <x:row r="26">
      <x:c r="A26" s="2" t="str">
        <x:v>140276</x:v>
      </x:c>
      <x:c r="B26" s="2" t="str">
        <x:v>LOYOLA UNIVERSITY MEDICAL CENTER</x:v>
      </x:c>
      <x:c r="C26" s="2" t="str">
        <x:v>MAYWOOD</x:v>
      </x:c>
      <x:c r="D26" s="2" t="str">
        <x:v>IL</x:v>
      </x:c>
      <x:c r="E26" s="2" t="str">
        <x:v>Acute Care Hospitals</x:v>
      </x:c>
      <x:c r="F26" s="2" t="str">
        <x:v>Voluntary non-profit</x:v>
      </x:c>
      <x:c r="G26" s="2" t="str">
        <x:v>Large (300+ beds)</x:v>
      </x:c>
      <x:c r="H26" s="7" t="n">
        <x:v>2</x:v>
      </x:c>
      <x:c r="I26" s="7" t="n">
        <x:v>3</x:v>
      </x:c>
      <x:c r="J26" s="7" t="n">
        <x:v>0.98</x:v>
      </x:c>
      <x:c r="K26" s="8" t="n">
        <x:v>516</x:v>
      </x:c>
      <x:c r="L26" s="8" t="n">
        <x:v>19076</x:v>
      </x:c>
      <x:c r="M26" s="9" t="n">
        <x:v>0.695210789</x:v>
      </x:c>
      <x:c r="N26" s="10" t="n">
        <x:v>87407.1788110715</x:v>
      </x:c>
      <x:c r="O26" s="9" t="n">
        <x:v>-0.1533650834</x:v>
      </x:c>
      <x:c r="P26" s="9" t="n">
        <x:v>0.9369085174</x:v>
      </x:c>
      <x:c r="Q26" s="9" t="n">
        <x:v>0.0536277603</x:v>
      </x:c>
      <x:c r="R26" s="3" t="b">
        <x:v>1</x:v>
      </x:c>
      <x:c r="S26" s="3" t="b">
        <x:v>1</x:v>
      </x:c>
      <x:c r="T26" s="3" t="b">
        <x:v>1</x:v>
      </x:c>
      <x:c r="U26" s="2" t="str">
        <x:f>IF(T26=TRUE,"Priority review",IF(R26=TRUE,"High cost",IF(S26=TRUE,"Low quality","Benchmark")))</x:f>
        <x:v>Priority review</x:v>
      </x:c>
    </x:row>
    <x:row r="27">
      <x:c r="A27" s="2" t="str">
        <x:v>310044</x:v>
      </x:c>
      <x:c r="B27" s="2" t="str">
        <x:v>CAPITAL HEALTH MEDICAL CENTER - HOPEWELL</x:v>
      </x:c>
      <x:c r="C27" s="2" t="str">
        <x:v>PENNINGTON</x:v>
      </x:c>
      <x:c r="D27" s="2" t="str">
        <x:v>NJ</x:v>
      </x:c>
      <x:c r="E27" s="2" t="str">
        <x:v>Acute Care Hospitals</x:v>
      </x:c>
      <x:c r="F27" s="2" t="str">
        <x:v>Voluntary non-profit</x:v>
      </x:c>
      <x:c r="G27" s="2" t="str">
        <x:v>Medium (100-299 beds)</x:v>
      </x:c>
      <x:c r="H27" s="7" t="n">
        <x:v>2</x:v>
      </x:c>
      <x:c r="I27" s="7" t="n">
        <x:v>2</x:v>
      </x:c>
      <x:c r="J27" s="7" t="n">
        <x:v>1.07</x:v>
      </x:c>
      <x:c r="K27" s="8" t="n">
        <x:v>203</x:v>
      </x:c>
      <x:c r="L27" s="8" t="n">
        <x:v>12089</x:v>
      </x:c>
      <x:c r="M27" s="9" t="n">
        <x:v>0.8504266602</x:v>
      </x:c>
      <x:c r="N27" s="10" t="n">
        <x:v>66396.64901977</x:v>
      </x:c>
      <x:c r="O27" s="9" t="n">
        <x:v>-0.0228078874</x:v>
      </x:c>
      <x:c r="P27" s="9" t="n">
        <x:v>0.9356153219</x:v>
      </x:c>
      <x:c r="Q27" s="9" t="n">
        <x:v>0.0782396088</x:v>
      </x:c>
      <x:c r="R27" s="3" t="b">
        <x:v>1</x:v>
      </x:c>
      <x:c r="S27" s="3" t="b">
        <x:v>1</x:v>
      </x:c>
      <x:c r="T27" s="3" t="b">
        <x:v>1</x:v>
      </x:c>
      <x:c r="U27" s="2" t="str">
        <x:f>IF(T27=TRUE,"Priority review",IF(R27=TRUE,"High cost",IF(S27=TRUE,"Low quality","Benchmark")))</x:f>
        <x:v>Priority review</x:v>
      </x:c>
    </x:row>
    <x:row r="28">
      <x:c r="A28" s="2" t="str">
        <x:v>140124</x:v>
      </x:c>
      <x:c r="B28" s="2" t="str">
        <x:v>JOHN H STROGER JR HOSPITAL</x:v>
      </x:c>
      <x:c r="C28" s="2" t="str">
        <x:v>CHICAGO</x:v>
      </x:c>
      <x:c r="D28" s="2" t="str">
        <x:v>IL</x:v>
      </x:c>
      <x:c r="E28" s="2" t="str">
        <x:v>Acute Care Hospitals</x:v>
      </x:c>
      <x:c r="F28" s="2" t="str">
        <x:v>Government</x:v>
      </x:c>
      <x:c r="G28" s="2" t="str">
        <x:v>Large (300+ beds)</x:v>
      </x:c>
      <x:c r="H28" s="7" t="n">
        <x:v>2</x:v>
      </x:c>
      <x:c r="I28" s="7" t="n">
        <x:v>2</x:v>
      </x:c>
      <x:c r="J28" s="7" t="n">
        <x:v>0.98</x:v>
      </x:c>
      <x:c r="K28" s="8" t="n">
        <x:v>429</x:v>
      </x:c>
      <x:c r="L28" s="8" t="n">
        <x:v>15073</x:v>
      </x:c>
      <x:c r="M28" s="9" t="n">
        <x:v>0.6328320082</x:v>
      </x:c>
      <x:c r="N28" s="10" t="n">
        <x:v>86302.7573144032</x:v>
      </x:c>
      <x:c r="O28" s="9" t="n">
        <x:v>-1.6807419039</x:v>
      </x:c>
      <x:c r="P28" s="9" t="n">
        <x:v>0.9337539432</x:v>
      </x:c>
      <x:c r="Q28" s="9" t="n">
        <x:v>0.0536277603</x:v>
      </x:c>
      <x:c r="R28" s="3" t="b">
        <x:v>1</x:v>
      </x:c>
      <x:c r="S28" s="3" t="b">
        <x:v>1</x:v>
      </x:c>
      <x:c r="T28" s="3" t="b">
        <x:v>1</x:v>
      </x:c>
      <x:c r="U28" s="2" t="str">
        <x:f>IF(T28=TRUE,"Priority review",IF(R28=TRUE,"High cost",IF(S28=TRUE,"Low quality","Benchmark")))</x:f>
        <x:v>Priority review</x:v>
      </x:c>
    </x:row>
    <x:row r="29">
      <x:c r="A29" s="2" t="str">
        <x:v>160064</x:v>
      </x:c>
      <x:c r="B29" s="2" t="str">
        <x:v>MERCYONE NORTH IOWA MEDICAL CENTER</x:v>
      </x:c>
      <x:c r="C29" s="2" t="str">
        <x:v>MASON CITY</x:v>
      </x:c>
      <x:c r="D29" s="2" t="str">
        <x:v>IA</x:v>
      </x:c>
      <x:c r="E29" s="2" t="str">
        <x:v>Acute Care Hospitals</x:v>
      </x:c>
      <x:c r="F29" s="2" t="str">
        <x:v>Voluntary non-profit</x:v>
      </x:c>
      <x:c r="G29" s="2" t="str">
        <x:v>Medium (100-299 beds)</x:v>
      </x:c>
      <x:c r="H29" s="7" t="n">
        <x:v>2</x:v>
      </x:c>
      <x:c r="I29" s="7" t="n">
        <x:v>3</x:v>
      </x:c>
      <x:c r="J29" s="7" t="n">
        <x:v>0.96</x:v>
      </x:c>
      <x:c r="K29" s="8" t="n">
        <x:v>199</x:v>
      </x:c>
      <x:c r="L29" s="8" t="n">
        <x:v>8387</x:v>
      </x:c>
      <x:c r="M29" s="9" t="n">
        <x:v>0.5548702416</x:v>
      </x:c>
      <x:c r="N29" s="10" t="n">
        <x:v>65810.1336592345</x:v>
      </x:c>
      <x:c r="O29" s="9" t="n">
        <x:v>-0.2852081808</x:v>
      </x:c>
      <x:c r="P29" s="9" t="n">
        <x:v>0.9307253464</x:v>
      </x:c>
      <x:c r="Q29" s="9" t="n">
        <x:v>0.0782396088</x:v>
      </x:c>
      <x:c r="R29" s="3" t="b">
        <x:v>1</x:v>
      </x:c>
      <x:c r="S29" s="3" t="b">
        <x:v>1</x:v>
      </x:c>
      <x:c r="T29" s="3" t="b">
        <x:v>1</x:v>
      </x:c>
      <x:c r="U29" s="2" t="str">
        <x:f>IF(T29=TRUE,"Priority review",IF(R29=TRUE,"High cost",IF(S29=TRUE,"Low quality","Benchmark")))</x:f>
        <x:v>Priority review</x:v>
      </x:c>
    </x:row>
    <x:row r="30">
      <x:c r="A30" s="2" t="str">
        <x:v>050608</x:v>
      </x:c>
      <x:c r="B30" s="2" t="str">
        <x:v>ADVENTIST HEALTH DELANO</x:v>
      </x:c>
      <x:c r="C30" s="2" t="str">
        <x:v>DELANO</x:v>
      </x:c>
      <x:c r="D30" s="2" t="str">
        <x:v>CA</x:v>
      </x:c>
      <x:c r="E30" s="2" t="str">
        <x:v>Acute Care Hospitals</x:v>
      </x:c>
      <x:c r="F30" s="2" t="str">
        <x:v>Proprietary</x:v>
      </x:c>
      <x:c r="G30" s="2" t="str">
        <x:v>Medium (100-299 beds)</x:v>
      </x:c>
      <x:c r="H30" s="7" t="n">
        <x:v>2</x:v>
      </x:c>
      <x:c r="I30" s="7" t="n">
        <x:v>3</x:v>
      </x:c>
      <x:c r="J30" s="7" t="n">
        <x:v>0.96</x:v>
      </x:c>
      <x:c r="K30" s="8" t="n">
        <x:v>105</x:v>
      </x:c>
      <x:c r="L30" s="8" t="n">
        <x:v>1821</x:v>
      </x:c>
      <x:c r="M30" s="9" t="n">
        <x:v>0.1602654176</x:v>
      </x:c>
      <x:c r="N30" s="10" t="n">
        <x:v>64189.829763866</x:v>
      </x:c>
      <x:c r="O30" s="9" t="n">
        <x:v>-0.1607317025</x:v>
      </x:c>
      <x:c r="P30" s="9" t="n">
        <x:v>0.923390383</x:v>
      </x:c>
      <x:c r="Q30" s="9" t="n">
        <x:v>0.0782396088</x:v>
      </x:c>
      <x:c r="R30" s="3" t="b">
        <x:v>1</x:v>
      </x:c>
      <x:c r="S30" s="3" t="b">
        <x:v>1</x:v>
      </x:c>
      <x:c r="T30" s="3" t="b">
        <x:v>1</x:v>
      </x:c>
      <x:c r="U30" s="2" t="str">
        <x:f>IF(T30=TRUE,"Priority review",IF(R30=TRUE,"High cost",IF(S30=TRUE,"Low quality","Benchmark")))</x:f>
        <x:v>Priority review</x:v>
      </x:c>
    </x:row>
    <x:row r="31">
      <x:c r="A31" s="2" t="str">
        <x:v>050373</x:v>
      </x:c>
      <x:c r="B31" s="2" t="str">
        <x:v>LOS ANGELES GENERAL MEDICAL CENTER</x:v>
      </x:c>
      <x:c r="C31" s="2" t="str">
        <x:v>LOS ANGELES</x:v>
      </x:c>
      <x:c r="D31" s="2" t="str">
        <x:v>CA</x:v>
      </x:c>
      <x:c r="E31" s="2" t="str">
        <x:v>Acute Care Hospitals</x:v>
      </x:c>
      <x:c r="F31" s="2" t="str">
        <x:v>Government</x:v>
      </x:c>
      <x:c r="G31" s="2" t="str">
        <x:v>Large (300+ beds)</x:v>
      </x:c>
      <x:c r="H31" s="7" t="n">
        <x:v>2</x:v>
      </x:c>
      <x:c r="I31" s="7" t="n">
        <x:v>3</x:v>
      </x:c>
      <x:c r="J31" s="7" t="n">
        <x:v>0.88</x:v>
      </x:c>
      <x:c r="K31" s="8" t="n">
        <x:v>545</x:v>
      </x:c>
      <x:c r="L31" s="8" t="n">
        <x:v>29727</x:v>
      </x:c>
      <x:c r="M31" s="9" t="n">
        <x:v>0.7574010305</x:v>
      </x:c>
      <x:c r="N31" s="10" t="n">
        <x:v>82928.2369563024</x:v>
      </x:c>
      <x:c r="O31" s="9" t="n">
        <x:v>-0.1615494128</x:v>
      </x:c>
      <x:c r="P31" s="9" t="n">
        <x:v>0.9227129338</x:v>
      </x:c>
      <x:c r="Q31" s="9" t="n">
        <x:v>0.0536277603</x:v>
      </x:c>
      <x:c r="R31" s="3" t="b">
        <x:v>1</x:v>
      </x:c>
      <x:c r="S31" s="3" t="b">
        <x:v>1</x:v>
      </x:c>
      <x:c r="T31" s="3" t="b">
        <x:v>1</x:v>
      </x:c>
      <x:c r="U31" s="2" t="str">
        <x:f>IF(T31=TRUE,"Priority review",IF(R31=TRUE,"High cost",IF(S31=TRUE,"Low quality","Benchmark")))</x:f>
        <x:v>Priority review</x:v>
      </x:c>
    </x:row>
    <x:row r="32">
      <x:c r="A32" s="2" t="str">
        <x:v>330014</x:v>
      </x:c>
      <x:c r="B32" s="2" t="str">
        <x:v>JAMAICA HOSPITAL MEDICAL CENTER</x:v>
      </x:c>
      <x:c r="C32" s="2" t="str">
        <x:v>JAMAICA</x:v>
      </x:c>
      <x:c r="D32" s="2" t="str">
        <x:v>NY</x:v>
      </x:c>
      <x:c r="E32" s="2" t="str">
        <x:v>Acute Care Hospitals</x:v>
      </x:c>
      <x:c r="F32" s="2" t="str">
        <x:v>Voluntary non-profit</x:v>
      </x:c>
      <x:c r="G32" s="2" t="str">
        <x:v>Medium (100-299 beds)</x:v>
      </x:c>
      <x:c r="H32" s="7" t="n">
        <x:v>1</x:v>
      </x:c>
      <x:c r="I32" s="7" t="n">
        <x:v>2</x:v>
      </x:c>
      <x:c r="J32" s="7" t="n">
        <x:v>1.05</x:v>
      </x:c>
      <x:c r="K32" s="8" t="n">
        <x:v>275</x:v>
      </x:c>
      <x:c r="L32" s="8" t="n">
        <x:v>14050</x:v>
      </x:c>
      <x:c r="M32" s="9" t="n">
        <x:v>0.874178833</x:v>
      </x:c>
      <x:c r="N32" s="10" t="n">
        <x:v>63131.8671174377</x:v>
      </x:c>
      <x:c r="O32" s="9" t="n">
        <x:v>-0.2688155257</x:v>
      </x:c>
      <x:c r="P32" s="9" t="n">
        <x:v>0.9160554197</x:v>
      </x:c>
      <x:c r="Q32" s="9" t="n">
        <x:v>0</x:v>
      </x:c>
      <x:c r="R32" s="3" t="b">
        <x:v>1</x:v>
      </x:c>
      <x:c r="S32" s="3" t="b">
        <x:v>1</x:v>
      </x:c>
      <x:c r="T32" s="3" t="b">
        <x:v>1</x:v>
      </x:c>
      <x:c r="U32" s="2" t="str">
        <x:f>IF(T32=TRUE,"Priority review",IF(R32=TRUE,"High cost",IF(S32=TRUE,"Low quality","Benchmark")))</x:f>
        <x:v>Priority review</x:v>
      </x:c>
    </x:row>
    <x:row r="33">
      <x:c r="A33" s="2" t="str">
        <x:v>030022</x:v>
      </x:c>
      <x:c r="B33" s="2" t="str">
        <x:v>VALLEYWISE HEALTH MEDICAL CENTER</x:v>
      </x:c>
      <x:c r="C33" s="2" t="str">
        <x:v>PHOENIX</x:v>
      </x:c>
      <x:c r="D33" s="2" t="str">
        <x:v>AZ</x:v>
      </x:c>
      <x:c r="E33" s="2" t="str">
        <x:v>Acute Care Hospitals</x:v>
      </x:c>
      <x:c r="F33" s="2" t="str">
        <x:v>Government</x:v>
      </x:c>
      <x:c r="G33" s="2" t="str">
        <x:v>Medium (100-299 beds)</x:v>
      </x:c>
      <x:c r="H33" s="7" t="n">
        <x:v>1</x:v>
      </x:c>
      <x:c r="I33" s="7" t="n">
        <x:v>3</x:v>
      </x:c>
      <x:c r="J33" s="7" t="n">
        <x:v>1.12</x:v>
      </x:c>
      <x:c r="K33" s="8" t="n">
        <x:v>240</x:v>
      </x:c>
      <x:c r="L33" s="8" t="n">
        <x:v>16052</x:v>
      </x:c>
      <x:c r="M33" s="9" t="n">
        <x:v>0.8390525114</x:v>
      </x:c>
      <x:c r="N33" s="10" t="n">
        <x:v>62690.2796536257</x:v>
      </x:c>
      <x:c r="O33" s="9" t="n">
        <x:v>-0.8386334195</x:v>
      </x:c>
      <x:c r="P33" s="9" t="n">
        <x:v>0.9144254279</x:v>
      </x:c>
      <x:c r="Q33" s="9" t="n">
        <x:v>0</x:v>
      </x:c>
      <x:c r="R33" s="3" t="b">
        <x:v>1</x:v>
      </x:c>
      <x:c r="S33" s="3" t="b">
        <x:v>1</x:v>
      </x:c>
      <x:c r="T33" s="3" t="b">
        <x:v>1</x:v>
      </x:c>
      <x:c r="U33" s="2" t="str">
        <x:f>IF(T33=TRUE,"Priority review",IF(R33=TRUE,"High cost",IF(S33=TRUE,"Low quality","Benchmark")))</x:f>
        <x:v>Priority review</x:v>
      </x:c>
    </x:row>
    <x:row r="34">
      <x:c r="A34" s="2" t="str">
        <x:v>330080</x:v>
      </x:c>
      <x:c r="B34" s="2" t="str">
        <x:v>LINCOLN MEDICAL &amp; MENTAL HEALTH CENTER</x:v>
      </x:c>
      <x:c r="C34" s="2" t="str">
        <x:v>BRONX</x:v>
      </x:c>
      <x:c r="D34" s="2" t="str">
        <x:v>NY</x:v>
      </x:c>
      <x:c r="E34" s="2" t="str">
        <x:v>Acute Care Hospitals</x:v>
      </x:c>
      <x:c r="F34" s="2" t="str">
        <x:v>Government</x:v>
      </x:c>
      <x:c r="G34" s="2" t="str">
        <x:v>Medium (100-299 beds)</x:v>
      </x:c>
      <x:c r="H34" s="7" t="n">
        <x:v>2</x:v>
      </x:c>
      <x:c r="I34" s="7" t="n">
        <x:v>2</x:v>
      </x:c>
      <x:c r="J34" s="7" t="n">
        <x:v>1.01</x:v>
      </x:c>
      <x:c r="K34" s="8" t="n">
        <x:v>287</x:v>
      </x:c>
      <x:c r="L34" s="8" t="n">
        <x:v>16136</x:v>
      </x:c>
      <x:c r="M34" s="9" t="n">
        <x:v>0.8371247196</x:v>
      </x:c>
      <x:c r="N34" s="10" t="n">
        <x:v>62116.7882994546</x:v>
      </x:c>
      <x:c r="O34" s="9" t="n">
        <x:v>-0.907792858</x:v>
      </x:c>
      <x:c r="P34" s="9" t="n">
        <x:v>0.9095354523</x:v>
      </x:c>
      <x:c r="Q34" s="9" t="n">
        <x:v>0.0782396088</x:v>
      </x:c>
      <x:c r="R34" s="3" t="b">
        <x:v>1</x:v>
      </x:c>
      <x:c r="S34" s="3" t="b">
        <x:v>1</x:v>
      </x:c>
      <x:c r="T34" s="3" t="b">
        <x:v>1</x:v>
      </x:c>
      <x:c r="U34" s="2" t="str">
        <x:f>IF(T34=TRUE,"Priority review",IF(R34=TRUE,"High cost",IF(S34=TRUE,"Low quality","Benchmark")))</x:f>
        <x:v>Priority review</x:v>
      </x:c>
    </x:row>
    <x:row r="35">
      <x:c r="A35" s="2" t="str">
        <x:v>420004</x:v>
      </x:c>
      <x:c r="B35" s="2" t="str">
        <x:v>MUSC MEDICAL CENTER</x:v>
      </x:c>
      <x:c r="C35" s="2" t="str">
        <x:v>CHARLESTON</x:v>
      </x:c>
      <x:c r="D35" s="2" t="str">
        <x:v>SC</x:v>
      </x:c>
      <x:c r="E35" s="2" t="str">
        <x:v>Acute Care Hospitals</x:v>
      </x:c>
      <x:c r="F35" s="2" t="str">
        <x:v>Government</x:v>
      </x:c>
      <x:c r="G35" s="2" t="str">
        <x:v>Large (300+ beds)</x:v>
      </x:c>
      <x:c r="H35" s="7" t="n">
        <x:v>2</x:v>
      </x:c>
      <x:c r="I35" s="7" t="n">
        <x:v>3</x:v>
      </x:c>
      <x:c r="J35" s="7" t="n">
        <x:v>0.98</x:v>
      </x:c>
      <x:c r="K35" s="8" t="n">
        <x:v>949</x:v>
      </x:c>
      <x:c r="L35" s="8" t="n">
        <x:v>44220</x:v>
      </x:c>
      <x:c r="M35" s="9" t="n">
        <x:v>0.839941106</x:v>
      </x:c>
      <x:c r="N35" s="10" t="n">
        <x:v>79792.1357078245</x:v>
      </x:c>
      <x:c r="O35" s="9" t="n">
        <x:v>-0.4047943337</x:v>
      </x:c>
      <x:c r="P35" s="9" t="n">
        <x:v>0.9085173502</x:v>
      </x:c>
      <x:c r="Q35" s="9" t="n">
        <x:v>0.0536277603</x:v>
      </x:c>
      <x:c r="R35" s="3" t="b">
        <x:v>1</x:v>
      </x:c>
      <x:c r="S35" s="3" t="b">
        <x:v>1</x:v>
      </x:c>
      <x:c r="T35" s="3" t="b">
        <x:v>1</x:v>
      </x:c>
      <x:c r="U35" s="2" t="str">
        <x:f>IF(T35=TRUE,"Priority review",IF(R35=TRUE,"High cost",IF(S35=TRUE,"Low quality","Benchmark")))</x:f>
        <x:v>Priority review</x:v>
      </x:c>
    </x:row>
    <x:row r="36">
      <x:c r="A36" s="2" t="str">
        <x:v>050777</x:v>
      </x:c>
      <x:c r="B36" s="2" t="str">
        <x:v>KAISER FOUNDATION HOSPITAL - SAN LEANDRO</x:v>
      </x:c>
      <x:c r="C36" s="2" t="str">
        <x:v>SAN LEANDRO</x:v>
      </x:c>
      <x:c r="D36" s="2" t="str">
        <x:v>CA</x:v>
      </x:c>
      <x:c r="E36" s="2" t="str">
        <x:v>Acute Care Hospitals</x:v>
      </x:c>
      <x:c r="F36" s="2" t="str">
        <x:v>Voluntary non-profit</x:v>
      </x:c>
      <x:c r="G36" s="2" t="str">
        <x:v>Medium (100-299 beds)</x:v>
      </x:c>
      <x:c r="H36" s="7" t="n">
        <x:v>2</x:v>
      </x:c>
      <x:c r="I36" s="7" t="n">
        <x:v>3</x:v>
      </x:c>
      <x:c r="J36" s="7" t="n">
        <x:v>1.02</x:v>
      </x:c>
      <x:c r="K36" s="8" t="n">
        <x:v>216</x:v>
      </x:c>
      <x:c r="L36" s="8" t="n">
        <x:v>10810</x:v>
      </x:c>
      <x:c r="M36" s="9" t="n">
        <x:v>0.5744914997</x:v>
      </x:c>
      <x:c r="N36" s="10" t="n">
        <x:v>61899.7866790009</x:v>
      </x:c>
      <x:c r="O36" s="9" t="n">
        <x:v>0.0411597817</x:v>
      </x:c>
      <x:c r="P36" s="9" t="n">
        <x:v>0.9062754686</x:v>
      </x:c>
      <x:c r="Q36" s="9" t="n">
        <x:v>0.0782396088</x:v>
      </x:c>
      <x:c r="R36" s="3" t="b">
        <x:v>1</x:v>
      </x:c>
      <x:c r="S36" s="3" t="b">
        <x:v>1</x:v>
      </x:c>
      <x:c r="T36" s="3" t="b">
        <x:v>1</x:v>
      </x:c>
      <x:c r="U36" s="2" t="str">
        <x:f>IF(T36=TRUE,"Priority review",IF(R36=TRUE,"High cost",IF(S36=TRUE,"Low quality","Benchmark")))</x:f>
        <x:v>Priority review</x:v>
      </x:c>
    </x:row>
    <x:row r="37">
      <x:c r="A37" s="2" t="str">
        <x:v>190098</x:v>
      </x:c>
      <x:c r="B37" s="2" t="str">
        <x:v>OCHSNER LSU HEALTH SHREVEPORT</x:v>
      </x:c>
      <x:c r="C37" s="2" t="str">
        <x:v>SHREVEPORT</x:v>
      </x:c>
      <x:c r="D37" s="2" t="str">
        <x:v>LA</x:v>
      </x:c>
      <x:c r="E37" s="2" t="str">
        <x:v>Acute Care Hospitals</x:v>
      </x:c>
      <x:c r="F37" s="2" t="str">
        <x:v>Voluntary non-profit</x:v>
      </x:c>
      <x:c r="G37" s="2" t="str">
        <x:v>Medium (100-299 beds)</x:v>
      </x:c>
      <x:c r="H37" s="7" t="n">
        <x:v>2</x:v>
      </x:c>
      <x:c r="I37" s="7" t="n">
        <x:v>3</x:v>
      </x:c>
      <x:c r="J37" s="7" t="n">
        <x:v>1.16</x:v>
      </x:c>
      <x:c r="K37" s="8" t="n">
        <x:v>243</x:v>
      </x:c>
      <x:c r="L37" s="8" t="n">
        <x:v>12214</x:v>
      </x:c>
      <x:c r="M37" s="9" t="n">
        <x:v>0.8527315379</x:v>
      </x:c>
      <x:c r="N37" s="10" t="n">
        <x:v>61757.7435729491</x:v>
      </x:c>
      <x:c r="O37" s="9" t="n">
        <x:v>-0.0943214668</x:v>
      </x:c>
      <x:c r="P37" s="9" t="n">
        <x:v>0.9054604727</x:v>
      </x:c>
      <x:c r="Q37" s="9" t="n">
        <x:v>0.0782396088</x:v>
      </x:c>
      <x:c r="R37" s="3" t="b">
        <x:v>1</x:v>
      </x:c>
      <x:c r="S37" s="3" t="b">
        <x:v>1</x:v>
      </x:c>
      <x:c r="T37" s="3" t="b">
        <x:v>1</x:v>
      </x:c>
      <x:c r="U37" s="2" t="str">
        <x:f>IF(T37=TRUE,"Priority review",IF(R37=TRUE,"High cost",IF(S37=TRUE,"Low quality","Benchmark")))</x:f>
        <x:v>Priority review</x:v>
      </x:c>
    </x:row>
    <x:row r="38">
      <x:c r="A38" s="2" t="str">
        <x:v>050067</x:v>
      </x:c>
      <x:c r="B38" s="2" t="str">
        <x:v>OAK VALLEY HOSPITAL DISTRICT</x:v>
      </x:c>
      <x:c r="C38" s="2" t="str">
        <x:v>OAKDALE</x:v>
      </x:c>
      <x:c r="D38" s="2" t="str">
        <x:v>CA</x:v>
      </x:c>
      <x:c r="E38" s="2" t="str">
        <x:v>Acute Care Hospitals</x:v>
      </x:c>
      <x:c r="F38" s="2" t="str">
        <x:v>Government</x:v>
      </x:c>
      <x:c r="G38" s="2" t="str">
        <x:v>Small (&lt;100 beds)</x:v>
      </x:c>
      <x:c r="H38" s="7" t="n">
        <x:v>1</x:v>
      </x:c>
      <x:c r="I38" s="7"/>
      <x:c r="J38" s="7" t="n">
        <x:v>0.83</x:v>
      </x:c>
      <x:c r="K38" s="8" t="n">
        <x:v>35</x:v>
      </x:c>
      <x:c r="L38" s="8" t="n">
        <x:v>526</x:v>
      </x:c>
      <x:c r="M38" s="9" t="n">
        <x:v>0.1461448141</x:v>
      </x:c>
      <x:c r="N38" s="10" t="n">
        <x:v>156971.0247148289</x:v>
      </x:c>
      <x:c r="O38" s="9" t="n">
        <x:v>0.0205531415</x:v>
      </x:c>
      <x:c r="P38" s="9" t="n">
        <x:v>0.9048473968</x:v>
      </x:c>
      <x:c r="Q38" s="9" t="n">
        <x:v>0</x:v>
      </x:c>
      <x:c r="R38" s="3" t="b">
        <x:v>1</x:v>
      </x:c>
      <x:c r="S38" s="3" t="b">
        <x:v>1</x:v>
      </x:c>
      <x:c r="T38" s="3" t="b">
        <x:v>1</x:v>
      </x:c>
      <x:c r="U38" s="2" t="str">
        <x:f>IF(T38=TRUE,"Priority review",IF(R38=TRUE,"High cost",IF(S38=TRUE,"Low quality","Benchmark")))</x:f>
        <x:v>Priority review</x:v>
      </x:c>
    </x:row>
    <x:row r="39">
      <x:c r="A39" s="2" t="str">
        <x:v>330090</x:v>
      </x:c>
      <x:c r="B39" s="2" t="str">
        <x:v>ARNOT OGDEN MEDICAL CENTER</x:v>
      </x:c>
      <x:c r="C39" s="2" t="str">
        <x:v>ELMIRA</x:v>
      </x:c>
      <x:c r="D39" s="2" t="str">
        <x:v>NY</x:v>
      </x:c>
      <x:c r="E39" s="2" t="str">
        <x:v>Acute Care Hospitals</x:v>
      </x:c>
      <x:c r="F39" s="2" t="str">
        <x:v>Voluntary non-profit</x:v>
      </x:c>
      <x:c r="G39" s="2" t="str">
        <x:v>Medium (100-299 beds)</x:v>
      </x:c>
      <x:c r="H39" s="7" t="n">
        <x:v>2</x:v>
      </x:c>
      <x:c r="I39" s="7" t="n">
        <x:v>2</x:v>
      </x:c>
      <x:c r="J39" s="7" t="n">
        <x:v>0.94</x:v>
      </x:c>
      <x:c r="K39" s="8" t="n">
        <x:v>191</x:v>
      </x:c>
      <x:c r="L39" s="8" t="n">
        <x:v>7876</x:v>
      </x:c>
      <x:c r="M39" s="9" t="n">
        <x:v>0.5770892341</x:v>
      </x:c>
      <x:c r="N39" s="10" t="n">
        <x:v>61683.5139664804</x:v>
      </x:c>
      <x:c r="O39" s="9" t="n">
        <x:v>-0.3084678364</x:v>
      </x:c>
      <x:c r="P39" s="9" t="n">
        <x:v>0.9038304808</x:v>
      </x:c>
      <x:c r="Q39" s="9" t="n">
        <x:v>0.0782396088</x:v>
      </x:c>
      <x:c r="R39" s="3" t="b">
        <x:v>1</x:v>
      </x:c>
      <x:c r="S39" s="3" t="b">
        <x:v>1</x:v>
      </x:c>
      <x:c r="T39" s="3" t="b">
        <x:v>1</x:v>
      </x:c>
      <x:c r="U39" s="2" t="str">
        <x:f>IF(T39=TRUE,"Priority review",IF(R39=TRUE,"High cost",IF(S39=TRUE,"Low quality","Benchmark")))</x:f>
        <x:v>Priority review</x:v>
      </x:c>
    </x:row>
    <x:row r="40">
      <x:c r="A40" s="2" t="str">
        <x:v>330058</x:v>
      </x:c>
      <x:c r="B40" s="2" t="str">
        <x:v>GENEVA GENERAL HOSPITAL</x:v>
      </x:c>
      <x:c r="C40" s="2" t="str">
        <x:v>GENEVA</x:v>
      </x:c>
      <x:c r="D40" s="2" t="str">
        <x:v>NY</x:v>
      </x:c>
      <x:c r="E40" s="2" t="str">
        <x:v>Acute Care Hospitals</x:v>
      </x:c>
      <x:c r="F40" s="2" t="str">
        <x:v>Voluntary non-profit</x:v>
      </x:c>
      <x:c r="G40" s="2" t="str">
        <x:v>Medium (100-299 beds)</x:v>
      </x:c>
      <x:c r="H40" s="7" t="n">
        <x:v>2</x:v>
      </x:c>
      <x:c r="I40" s="7" t="n">
        <x:v>2</x:v>
      </x:c>
      <x:c r="J40" s="7" t="n">
        <x:v>0.84</x:v>
      </x:c>
      <x:c r="K40" s="8" t="n">
        <x:v>117</x:v>
      </x:c>
      <x:c r="L40" s="8" t="n">
        <x:v>2538</x:v>
      </x:c>
      <x:c r="M40" s="9" t="n">
        <x:v>0.315935734</x:v>
      </x:c>
      <x:c r="N40" s="10" t="n">
        <x:v>61589.7001576044</x:v>
      </x:c>
      <x:c r="O40" s="9" t="n">
        <x:v>-0.2647045659</x:v>
      </x:c>
      <x:c r="P40" s="9" t="n">
        <x:v>0.9030154849</x:v>
      </x:c>
      <x:c r="Q40" s="9" t="n">
        <x:v>0.0782396088</x:v>
      </x:c>
      <x:c r="R40" s="3" t="b">
        <x:v>1</x:v>
      </x:c>
      <x:c r="S40" s="3" t="b">
        <x:v>1</x:v>
      </x:c>
      <x:c r="T40" s="3" t="b">
        <x:v>1</x:v>
      </x:c>
      <x:c r="U40" s="2" t="str">
        <x:f>IF(T40=TRUE,"Priority review",IF(R40=TRUE,"High cost",IF(S40=TRUE,"Low quality","Benchmark")))</x:f>
        <x:v>Priority review</x:v>
      </x:c>
    </x:row>
    <x:row r="41">
      <x:c r="A41" s="2" t="str">
        <x:v>330394</x:v>
      </x:c>
      <x:c r="B41" s="2" t="str">
        <x:v>UNITED HEALTH SERVICES HOSPITALS, INC</x:v>
      </x:c>
      <x:c r="C41" s="2" t="str">
        <x:v>BINGHAMTON</x:v>
      </x:c>
      <x:c r="D41" s="2" t="str">
        <x:v>NY</x:v>
      </x:c>
      <x:c r="E41" s="2" t="str">
        <x:v>Acute Care Hospitals</x:v>
      </x:c>
      <x:c r="F41" s="2" t="str">
        <x:v>Voluntary non-profit</x:v>
      </x:c>
      <x:c r="G41" s="2" t="str">
        <x:v>Large (300+ beds)</x:v>
      </x:c>
      <x:c r="H41" s="7" t="n">
        <x:v>2</x:v>
      </x:c>
      <x:c r="I41" s="7" t="n">
        <x:v>3</x:v>
      </x:c>
      <x:c r="J41" s="7" t="n">
        <x:v>0.95</x:v>
      </x:c>
      <x:c r="K41" s="8" t="n">
        <x:v>428</x:v>
      </x:c>
      <x:c r="L41" s="8" t="n">
        <x:v>14188</x:v>
      </x:c>
      <x:c r="M41" s="9" t="n">
        <x:v>0.5699586769</x:v>
      </x:c>
      <x:c r="N41" s="10" t="n">
        <x:v>76535.3704539047</x:v>
      </x:c>
      <x:c r="O41" s="9" t="n">
        <x:v>-0.1685761613</x:v>
      </x:c>
      <x:c r="P41" s="9" t="n">
        <x:v>0.9022082019</x:v>
      </x:c>
      <x:c r="Q41" s="9" t="n">
        <x:v>0.0536277603</x:v>
      </x:c>
      <x:c r="R41" s="3" t="b">
        <x:v>1</x:v>
      </x:c>
      <x:c r="S41" s="3" t="b">
        <x:v>1</x:v>
      </x:c>
      <x:c r="T41" s="3" t="b">
        <x:v>1</x:v>
      </x:c>
      <x:c r="U41" s="2" t="str">
        <x:f>IF(T41=TRUE,"Priority review",IF(R41=TRUE,"High cost",IF(S41=TRUE,"Low quality","Benchmark")))</x:f>
        <x:v>Priority review</x:v>
      </x:c>
    </x:row>
    <x:row r="42">
      <x:c r="A42" s="2" t="str">
        <x:v>050744</x:v>
      </x:c>
      <x:c r="B42" s="2" t="str">
        <x:v>ANAHEIM GLOBAL MEDICAL CENTER</x:v>
      </x:c>
      <x:c r="C42" s="2" t="str">
        <x:v>ANAHEIM</x:v>
      </x:c>
      <x:c r="D42" s="2" t="str">
        <x:v>CA</x:v>
      </x:c>
      <x:c r="E42" s="2" t="str">
        <x:v>Acute Care Hospitals</x:v>
      </x:c>
      <x:c r="F42" s="2" t="str">
        <x:v>Proprietary</x:v>
      </x:c>
      <x:c r="G42" s="2" t="str">
        <x:v>Medium (100-299 beds)</x:v>
      </x:c>
      <x:c r="H42" s="7" t="n">
        <x:v>2</x:v>
      </x:c>
      <x:c r="I42" s="7"/>
      <x:c r="J42" s="7" t="n">
        <x:v>1.24</x:v>
      </x:c>
      <x:c r="K42" s="8" t="n">
        <x:v>103</x:v>
      </x:c>
      <x:c r="L42" s="8" t="n">
        <x:v>1374</x:v>
      </x:c>
      <x:c r="M42" s="9" t="n">
        <x:v>0.3616106955</x:v>
      </x:c>
      <x:c r="N42" s="10" t="n">
        <x:v>61525.981077147</x:v>
      </x:c>
      <x:c r="O42" s="9" t="n">
        <x:v>-0.1515176496</x:v>
      </x:c>
      <x:c r="P42" s="9" t="n">
        <x:v>0.902200489</x:v>
      </x:c>
      <x:c r="Q42" s="9" t="n">
        <x:v>0.0782396088</x:v>
      </x:c>
      <x:c r="R42" s="3" t="b">
        <x:v>1</x:v>
      </x:c>
      <x:c r="S42" s="3" t="b">
        <x:v>1</x:v>
      </x:c>
      <x:c r="T42" s="3" t="b">
        <x:v>1</x:v>
      </x:c>
      <x:c r="U42" s="2" t="str">
        <x:f>IF(T42=TRUE,"Priority review",IF(R42=TRUE,"High cost",IF(S42=TRUE,"Low quality","Benchmark")))</x:f>
        <x:v>Priority review</x:v>
      </x:c>
    </x:row>
    <x:row r="43">
      <x:c r="A43" s="2" t="str">
        <x:v>520037</x:v>
      </x:c>
      <x:c r="B43" s="2" t="str">
        <x:v>MARSHFIELD MEDICAL CENTER</x:v>
      </x:c>
      <x:c r="C43" s="2" t="str">
        <x:v>MARSHFIELD</x:v>
      </x:c>
      <x:c r="D43" s="2" t="str">
        <x:v>WI</x:v>
      </x:c>
      <x:c r="E43" s="2" t="str">
        <x:v>Acute Care Hospitals</x:v>
      </x:c>
      <x:c r="F43" s="2" t="str">
        <x:v>Voluntary non-profit</x:v>
      </x:c>
      <x:c r="G43" s="2" t="str">
        <x:v>Medium (100-299 beds)</x:v>
      </x:c>
      <x:c r="H43" s="7" t="n">
        <x:v>1</x:v>
      </x:c>
      <x:c r="I43" s="7" t="n">
        <x:v>3</x:v>
      </x:c>
      <x:c r="J43" s="7" t="n">
        <x:v>0.99</x:v>
      </x:c>
      <x:c r="K43" s="8" t="n">
        <x:v>218</x:v>
      </x:c>
      <x:c r="L43" s="8" t="n">
        <x:v>13187</x:v>
      </x:c>
      <x:c r="M43" s="9" t="n">
        <x:v>0.8639645059</x:v>
      </x:c>
      <x:c r="N43" s="10" t="n">
        <x:v>61506.8929248502</x:v>
      </x:c>
      <x:c r="O43" s="9" t="n">
        <x:v>-0.053055278</x:v>
      </x:c>
      <x:c r="P43" s="9" t="n">
        <x:v>0.9013854931</x:v>
      </x:c>
      <x:c r="Q43" s="9" t="n">
        <x:v>0</x:v>
      </x:c>
      <x:c r="R43" s="3" t="b">
        <x:v>1</x:v>
      </x:c>
      <x:c r="S43" s="3" t="b">
        <x:v>1</x:v>
      </x:c>
      <x:c r="T43" s="3" t="b">
        <x:v>1</x:v>
      </x:c>
      <x:c r="U43" s="2" t="str">
        <x:f>IF(T43=TRUE,"Priority review",IF(R43=TRUE,"High cost",IF(S43=TRUE,"Low quality","Benchmark")))</x:f>
        <x:v>Priority review</x:v>
      </x:c>
    </x:row>
    <x:row r="44">
      <x:c r="A44" s="2" t="str">
        <x:v>380091</x:v>
      </x:c>
      <x:c r="B44" s="2" t="str">
        <x:v>KAISER SUNNYSIDE MEDICAL CENTER</x:v>
      </x:c>
      <x:c r="C44" s="2" t="str">
        <x:v>CLACKAMAS</x:v>
      </x:c>
      <x:c r="D44" s="2" t="str">
        <x:v>OR</x:v>
      </x:c>
      <x:c r="E44" s="2" t="str">
        <x:v>Acute Care Hospitals</x:v>
      </x:c>
      <x:c r="F44" s="2" t="str">
        <x:v>Voluntary non-profit</x:v>
      </x:c>
      <x:c r="G44" s="2" t="str">
        <x:v>Large (300+ beds)</x:v>
      </x:c>
      <x:c r="H44" s="7" t="n">
        <x:v>4</x:v>
      </x:c>
      <x:c r="I44" s="7" t="n">
        <x:v>3</x:v>
      </x:c>
      <x:c r="J44" s="7" t="n">
        <x:v>0.89</x:v>
      </x:c>
      <x:c r="K44" s="8" t="n">
        <x:v>302</x:v>
      </x:c>
      <x:c r="L44" s="8" t="n">
        <x:v>17576</x:v>
      </x:c>
      <x:c r="M44" s="9" t="n">
        <x:v>0.7236275468</x:v>
      </x:c>
      <x:c r="N44" s="10"/>
      <x:c r="O44" s="9" t="n">
        <x:v>1</x:v>
      </x:c>
      <x:c r="P44" s="9" t="n">
        <x:v>1</x:v>
      </x:c>
      <x:c r="Q44" s="9" t="n">
        <x:v>0.5899053628</x:v>
      </x:c>
      <x:c r="R44" s="3" t="b">
        <x:v>1</x:v>
      </x:c>
      <x:c r="S44" s="3" t="b">
        <x:v>0</x:v>
      </x:c>
      <x:c r="T44" s="3" t="b">
        <x:v>0</x:v>
      </x:c>
      <x:c r="U44" s="2" t="str">
        <x:f>IF(T44=TRUE,"Priority review",IF(R44=TRUE,"High cost",IF(S44=TRUE,"Low quality","Benchmark")))</x:f>
        <x:v>High cost</x:v>
      </x:c>
    </x:row>
    <x:row r="45">
      <x:c r="A45" s="2" t="str">
        <x:v>363302</x:v>
      </x:c>
      <x:c r="B45" s="2" t="str">
        <x:v>RAINBOW BABIES AND CHILDRENS HOSPITAL</x:v>
      </x:c>
      <x:c r="C45" s="2" t="str">
        <x:v>CLEVELAND</x:v>
      </x:c>
      <x:c r="D45" s="2" t="str">
        <x:v>OH</x:v>
      </x:c>
      <x:c r="E45" s="2" t="str">
        <x:v>Childrens</x:v>
      </x:c>
      <x:c r="F45" s="2" t="str">
        <x:v>Voluntary non-profit</x:v>
      </x:c>
      <x:c r="G45" s="2" t="str">
        <x:v>Medium (100-299 beds)</x:v>
      </x:c>
      <x:c r="H45" s="7"/>
      <x:c r="I45" s="7"/>
      <x:c r="J45" s="7"/>
      <x:c r="K45" s="8" t="n">
        <x:v>266</x:v>
      </x:c>
      <x:c r="L45" s="8" t="n">
        <x:v>7915</x:v>
      </x:c>
      <x:c r="M45" s="9" t="n">
        <x:v>0.4737766548</x:v>
      </x:c>
      <x:c r="N45" s="10" t="n">
        <x:v>337038.7782691093</x:v>
      </x:c>
      <x:c r="O45" s="9" t="n">
        <x:v>-0.0822895815</x:v>
      </x:c>
      <x:c r="P45" s="9" t="n">
        <x:v>1</x:v>
      </x:c>
      <x:c r="Q45" s="9" t="n">
        <x:v>0</x:v>
      </x:c>
      <x:c r="R45" s="3" t="b">
        <x:v>1</x:v>
      </x:c>
      <x:c r="S45" s="3" t="b">
        <x:v>0</x:v>
      </x:c>
      <x:c r="T45" s="3" t="b">
        <x:v>0</x:v>
      </x:c>
      <x:c r="U45" s="2" t="str">
        <x:f>IF(T45=TRUE,"Priority review",IF(R45=TRUE,"High cost",IF(S45=TRUE,"Low quality","Benchmark")))</x:f>
        <x:v>High cost</x:v>
      </x:c>
    </x:row>
    <x:row r="46">
      <x:c r="A46" s="2" t="str">
        <x:v>054122</x:v>
      </x:c>
      <x:c r="B46" s="2" t="str">
        <x:v>DEPT OF STATE HOSPITALS - NAPA</x:v>
      </x:c>
      <x:c r="C46" s="2" t="str">
        <x:v>NAPA</x:v>
      </x:c>
      <x:c r="D46" s="2" t="str">
        <x:v>CA</x:v>
      </x:c>
      <x:c r="E46" s="2" t="str">
        <x:v>Psychiatric</x:v>
      </x:c>
      <x:c r="F46" s="2" t="str">
        <x:v>Government</x:v>
      </x:c>
      <x:c r="G46" s="2" t="str">
        <x:v>Medium (100-299 beds)</x:v>
      </x:c>
      <x:c r="H46" s="7"/>
      <x:c r="I46" s="7"/>
      <x:c r="J46" s="7"/>
      <x:c r="K46" s="8" t="n">
        <x:v>151</x:v>
      </x:c>
      <x:c r="L46" s="8" t="n">
        <x:v>17</x:v>
      </x:c>
      <x:c r="M46" s="9" t="n">
        <x:v>0.1442982854</x:v>
      </x:c>
      <x:c r="N46" s="10" t="n">
        <x:v>25659579</x:v>
      </x:c>
      <x:c r="O46" s="9"/>
      <x:c r="P46" s="9" t="n">
        <x:v>1</x:v>
      </x:c>
      <x:c r="Q46" s="9" t="n">
        <x:v>0</x:v>
      </x:c>
      <x:c r="R46" s="3" t="b">
        <x:v>1</x:v>
      </x:c>
      <x:c r="S46" s="3" t="b">
        <x:v>0</x:v>
      </x:c>
      <x:c r="T46" s="3" t="b">
        <x:v>0</x:v>
      </x:c>
      <x:c r="U46" s="2" t="str">
        <x:f>IF(T46=TRUE,"Priority review",IF(R46=TRUE,"High cost",IF(S46=TRUE,"Low quality","Benchmark")))</x:f>
        <x:v>High cost</x:v>
      </x:c>
    </x:row>
    <x:row r="47">
      <x:c r="A47" s="2" t="str">
        <x:v>503300</x:v>
      </x:c>
      <x:c r="B47" s="2" t="str">
        <x:v>SEATTLE CHILDREN'S HOSPITAL</x:v>
      </x:c>
      <x:c r="C47" s="2" t="str">
        <x:v>SEATTLE</x:v>
      </x:c>
      <x:c r="D47" s="2" t="str">
        <x:v>WA</x:v>
      </x:c>
      <x:c r="E47" s="2" t="str">
        <x:v>Childrens</x:v>
      </x:c>
      <x:c r="F47" s="2" t="str">
        <x:v>Voluntary non-profit</x:v>
      </x:c>
      <x:c r="G47" s="2" t="str">
        <x:v>Large (300+ beds)</x:v>
      </x:c>
      <x:c r="H47" s="7"/>
      <x:c r="I47" s="7"/>
      <x:c r="J47" s="7"/>
      <x:c r="K47" s="8" t="n">
        <x:v>370</x:v>
      </x:c>
      <x:c r="L47" s="8" t="n">
        <x:v>10290</x:v>
      </x:c>
      <x:c r="M47" s="9" t="n">
        <x:v>0.7476549228</x:v>
      </x:c>
      <x:c r="N47" s="10" t="n">
        <x:v>181769.3534499514</x:v>
      </x:c>
      <x:c r="O47" s="9" t="n">
        <x:v>0.1128419637</x:v>
      </x:c>
      <x:c r="P47" s="9" t="n">
        <x:v>1</x:v>
      </x:c>
      <x:c r="Q47" s="9" t="n">
        <x:v>0</x:v>
      </x:c>
      <x:c r="R47" s="3" t="b">
        <x:v>1</x:v>
      </x:c>
      <x:c r="S47" s="3" t="b">
        <x:v>0</x:v>
      </x:c>
      <x:c r="T47" s="3" t="b">
        <x:v>0</x:v>
      </x:c>
      <x:c r="U47" s="2" t="str">
        <x:f>IF(T47=TRUE,"Priority review",IF(R47=TRUE,"High cost",IF(S47=TRUE,"Low quality","Benchmark")))</x:f>
        <x:v>High cost</x:v>
      </x:c>
    </x:row>
    <x:row r="48">
      <x:c r="A48" s="2" t="str">
        <x:v>264004</x:v>
      </x:c>
      <x:c r="B48" s="2" t="str">
        <x:v>CENTER FOR BEHAVIORAL MEDICINE</x:v>
      </x:c>
      <x:c r="C48" s="2" t="str">
        <x:v>FULTON</x:v>
      </x:c>
      <x:c r="D48" s="2" t="str">
        <x:v>MO</x:v>
      </x:c>
      <x:c r="E48" s="2" t="str">
        <x:v>Psychiatric</x:v>
      </x:c>
      <x:c r="F48" s="2" t="str">
        <x:v>Government</x:v>
      </x:c>
      <x:c r="G48" s="2" t="str">
        <x:v>Large (300+ beds)</x:v>
      </x:c>
      <x:c r="H48" s="7"/>
      <x:c r="I48" s="7"/>
      <x:c r="J48" s="7"/>
      <x:c r="K48" s="8" t="n">
        <x:v>464</x:v>
      </x:c>
      <x:c r="L48" s="8" t="n">
        <x:v>5</x:v>
      </x:c>
      <x:c r="M48" s="9" t="n">
        <x:v>0.9238367974</x:v>
      </x:c>
      <x:c r="N48" s="10" t="n">
        <x:v>31956703.6</x:v>
      </x:c>
      <x:c r="O48" s="9" t="n">
        <x:v>-0.969114276</x:v>
      </x:c>
      <x:c r="P48" s="9" t="n">
        <x:v>1</x:v>
      </x:c>
      <x:c r="Q48" s="9" t="n">
        <x:v>0</x:v>
      </x:c>
      <x:c r="R48" s="3" t="b">
        <x:v>1</x:v>
      </x:c>
      <x:c r="S48" s="3" t="b">
        <x:v>0</x:v>
      </x:c>
      <x:c r="T48" s="3" t="b">
        <x:v>0</x:v>
      </x:c>
      <x:c r="U48" s="2" t="str">
        <x:f>IF(T48=TRUE,"Priority review",IF(R48=TRUE,"High cost",IF(S48=TRUE,"Low quality","Benchmark")))</x:f>
        <x:v>High cost</x:v>
      </x:c>
    </x:row>
    <x:row r="49">
      <x:c r="A49" s="2" t="str">
        <x:v>042009</x:v>
      </x:c>
      <x:c r="B49" s="2" t="str">
        <x:v>NH Beaufort</x:v>
      </x:c>
      <x:c r="C49" s="2" t="str">
        <x:v>Beaufort</x:v>
      </x:c>
      <x:c r="D49" s="2" t="str">
        <x:v>SC</x:v>
      </x:c>
      <x:c r="E49" s="2" t="str">
        <x:v>Acute Care - Department of Defense</x:v>
      </x:c>
      <x:c r="F49" s="2" t="str">
        <x:v>Other / unknown</x:v>
      </x:c>
      <x:c r="G49" s="2" t="str">
        <x:v>Small (&lt;100 beds)</x:v>
      </x:c>
      <x:c r="H49" s="7"/>
      <x:c r="I49" s="7"/>
      <x:c r="J49" s="7"/>
      <x:c r="K49" s="8" t="n">
        <x:v>25</x:v>
      </x:c>
      <x:c r="L49" s="8" t="n">
        <x:v>205</x:v>
      </x:c>
      <x:c r="M49" s="9" t="n">
        <x:v>0.5952876712</x:v>
      </x:c>
      <x:c r="N49" s="10" t="n">
        <x:v>54129.6341463415</x:v>
      </x:c>
      <x:c r="O49" s="9" t="n">
        <x:v>0.0277349299</x:v>
      </x:c>
      <x:c r="P49" s="9" t="n">
        <x:v>1</x:v>
      </x:c>
      <x:c r="Q49" s="9" t="n">
        <x:v>0</x:v>
      </x:c>
      <x:c r="R49" s="3" t="b">
        <x:v>0</x:v>
      </x:c>
      <x:c r="S49" s="3" t="b">
        <x:v>0</x:v>
      </x:c>
      <x:c r="T49" s="3" t="b">
        <x:v>0</x:v>
      </x:c>
      <x:c r="U49" s="2" t="str">
        <x:f>IF(T49=TRUE,"Priority review",IF(R49=TRUE,"High cost",IF(S49=TRUE,"Low quality","Benchmark")))</x:f>
        <x:v>Benchmark</x:v>
      </x:c>
    </x:row>
    <x:row r="50">
      <x:c r="A50" s="2" t="str">
        <x:v>022001</x:v>
      </x:c>
      <x:c r="B50" s="2" t="str">
        <x:v>BEDFORD VA MEDICAL CENTER</x:v>
      </x:c>
      <x:c r="C50" s="2" t="str">
        <x:v>BEDFORD</x:v>
      </x:c>
      <x:c r="D50" s="2" t="str">
        <x:v>MA</x:v>
      </x:c>
      <x:c r="E50" s="2" t="str">
        <x:v>Acute Care - Veterans Administration</x:v>
      </x:c>
      <x:c r="F50" s="2" t="str">
        <x:v>Other / unknown</x:v>
      </x:c>
      <x:c r="G50" s="2" t="str">
        <x:v>Small (&lt;100 beds)</x:v>
      </x:c>
      <x:c r="H50" s="7"/>
      <x:c r="I50" s="7"/>
      <x:c r="J50" s="7"/>
      <x:c r="K50" s="8" t="n">
        <x:v>10</x:v>
      </x:c>
      <x:c r="L50" s="8" t="n">
        <x:v>82</x:v>
      </x:c>
      <x:c r="M50" s="9" t="n">
        <x:v>0.9196721311</x:v>
      </x:c>
      <x:c r="N50" s="10" t="n">
        <x:v>682464.3048780488</x:v>
      </x:c>
      <x:c r="O50" s="9" t="n">
        <x:v>-0.246627603</x:v>
      </x:c>
      <x:c r="P50" s="9" t="n">
        <x:v>1</x:v>
      </x:c>
      <x:c r="Q50" s="9" t="n">
        <x:v>1</x:v>
      </x:c>
      <x:c r="R50" s="3" t="b">
        <x:v>0</x:v>
      </x:c>
      <x:c r="S50" s="3" t="b">
        <x:v>0</x:v>
      </x:c>
      <x:c r="T50" s="3" t="b">
        <x:v>0</x:v>
      </x:c>
      <x:c r="U50" s="2" t="str">
        <x:f>IF(T50=TRUE,"Priority review",IF(R50=TRUE,"High cost",IF(S50=TRUE,"Low quality","Benchmark")))</x:f>
        <x:v>Benchmark</x:v>
      </x:c>
    </x:row>
    <x:row r="51">
      <x:c r="A51" s="2" t="str">
        <x:v>380103</x:v>
      </x:c>
      <x:c r="B51" s="2" t="str">
        <x:v>KAISER FOUNDATION HOSPITAL WESTSIDE</x:v>
      </x:c>
      <x:c r="C51" s="2" t="str">
        <x:v>HILLSBORO</x:v>
      </x:c>
      <x:c r="D51" s="2" t="str">
        <x:v>OR</x:v>
      </x:c>
      <x:c r="E51" s="2" t="str">
        <x:v>Acute Care Hospitals</x:v>
      </x:c>
      <x:c r="F51" s="2" t="str">
        <x:v>Voluntary non-profit</x:v>
      </x:c>
      <x:c r="G51" s="2" t="str">
        <x:v>Medium (100-299 beds)</x:v>
      </x:c>
      <x:c r="H51" s="7" t="n">
        <x:v>4</x:v>
      </x:c>
      <x:c r="I51" s="7" t="n">
        <x:v>4</x:v>
      </x:c>
      <x:c r="J51" s="7" t="n">
        <x:v>0.85</x:v>
      </x:c>
      <x:c r="K51" s="8" t="n">
        <x:v>122</x:v>
      </x:c>
      <x:c r="L51" s="8" t="n">
        <x:v>6777</x:v>
      </x:c>
      <x:c r="M51" s="9" t="n">
        <x:v>0.5539057601</x:v>
      </x:c>
      <x:c r="N51" s="10"/>
      <x:c r="O51" s="9" t="n">
        <x:v>1</x:v>
      </x:c>
      <x:c r="P51" s="9" t="n">
        <x:v>1</x:v>
      </x:c>
      <x:c r="Q51" s="9" t="n">
        <x:v>0.6022819886</x:v>
      </x:c>
      <x:c r="R51" s="3" t="b">
        <x:v>1</x:v>
      </x:c>
      <x:c r="S51" s="3" t="b">
        <x:v>0</x:v>
      </x:c>
      <x:c r="T51" s="3" t="b">
        <x:v>0</x:v>
      </x:c>
      <x:c r="U51" s="2" t="str">
        <x:f>IF(T51=TRUE,"Priority review",IF(R51=TRUE,"High cost",IF(S51=TRUE,"Low quality","Benchmark")))</x:f>
        <x:v>High cost</x:v>
      </x:c>
    </x:row>
    <x:row r="52">
      <x:c r="A52" s="2" t="str">
        <x:v>312024</x:v>
      </x:c>
      <x:c r="B52" s="2" t="str">
        <x:v>SILVER LAKE HOSPITAL LTACH</x:v>
      </x:c>
      <x:c r="C52" s="2" t="str">
        <x:v>NEWARK</x:v>
      </x:c>
      <x:c r="D52" s="2" t="str">
        <x:v>NJ</x:v>
      </x:c>
      <x:c r="E52" s="2" t="str">
        <x:v>Long-term</x:v>
      </x:c>
      <x:c r="F52" s="2" t="str">
        <x:v>Voluntary non-profit</x:v>
      </x:c>
      <x:c r="G52" s="2" t="str">
        <x:v>Small (&lt;100 beds)</x:v>
      </x:c>
      <x:c r="H52" s="7"/>
      <x:c r="I52" s="7"/>
      <x:c r="J52" s="7"/>
      <x:c r="K52" s="8" t="n">
        <x:v>63</x:v>
      </x:c>
      <x:c r="L52" s="8" t="n">
        <x:v>147</x:v>
      </x:c>
      <x:c r="M52" s="9" t="n">
        <x:v>0.327897369</x:v>
      </x:c>
      <x:c r="N52" s="10" t="n">
        <x:v>254968.2380952381</x:v>
      </x:c>
      <x:c r="O52" s="9" t="n">
        <x:v>-0.264829463</x:v>
      </x:c>
      <x:c r="P52" s="9" t="n">
        <x:v>1</x:v>
      </x:c>
      <x:c r="Q52" s="9" t="n">
        <x:v>0</x:v>
      </x:c>
      <x:c r="R52" s="3" t="b">
        <x:v>0</x:v>
      </x:c>
      <x:c r="S52" s="3" t="b">
        <x:v>0</x:v>
      </x:c>
      <x:c r="T52" s="3" t="b">
        <x:v>0</x:v>
      </x:c>
      <x:c r="U52" s="2" t="str">
        <x:f>IF(T52=TRUE,"Priority review",IF(R52=TRUE,"High cost",IF(S52=TRUE,"Low quality","Benchmark")))</x:f>
        <x:v>Benchmark</x:v>
      </x:c>
    </x:row>
    <x:row r="53">
      <x:c r="A53" s="2" t="str">
        <x:v>213301</x:v>
      </x:c>
      <x:c r="B53" s="2" t="str">
        <x:v>KENNEDY KRIEGER INSTITUTE</x:v>
      </x:c>
      <x:c r="C53" s="2" t="str">
        <x:v>BALTIMORE</x:v>
      </x:c>
      <x:c r="D53" s="2" t="str">
        <x:v>MD</x:v>
      </x:c>
      <x:c r="E53" s="2" t="str">
        <x:v>Childrens</x:v>
      </x:c>
      <x:c r="F53" s="2" t="str">
        <x:v>Voluntary non-profit</x:v>
      </x:c>
      <x:c r="G53" s="2" t="str">
        <x:v>Small (&lt;100 beds)</x:v>
      </x:c>
      <x:c r="H53" s="7"/>
      <x:c r="I53" s="7"/>
      <x:c r="J53" s="7"/>
      <x:c r="K53" s="8" t="n">
        <x:v>50</x:v>
      </x:c>
      <x:c r="L53" s="8" t="n">
        <x:v>298</x:v>
      </x:c>
      <x:c r="M53" s="9" t="n">
        <x:v>0.6325479452</x:v>
      </x:c>
      <x:c r="N53" s="10" t="n">
        <x:v>1379655.1845637583</x:v>
      </x:c>
      <x:c r="O53" s="9" t="n">
        <x:v>-0.660697959</x:v>
      </x:c>
      <x:c r="P53" s="9" t="n">
        <x:v>1</x:v>
      </x:c>
      <x:c r="Q53" s="9" t="n">
        <x:v>0</x:v>
      </x:c>
      <x:c r="R53" s="3" t="b">
        <x:v>1</x:v>
      </x:c>
      <x:c r="S53" s="3" t="b">
        <x:v>0</x:v>
      </x:c>
      <x:c r="T53" s="3" t="b">
        <x:v>0</x:v>
      </x:c>
      <x:c r="U53" s="2" t="str">
        <x:f>IF(T53=TRUE,"Priority review",IF(R53=TRUE,"High cost",IF(S53=TRUE,"Low quality","Benchmark")))</x:f>
        <x:v>High cost</x:v>
      </x:c>
    </x:row>
    <x:row r="54">
      <x:c r="A54" s="2" t="str">
        <x:v>264008</x:v>
      </x:c>
      <x:c r="B54" s="2" t="str">
        <x:v>CENTER FOR BEHAVIORAL MEDICINE</x:v>
      </x:c>
      <x:c r="C54" s="2" t="str">
        <x:v>KANSAS CITY</x:v>
      </x:c>
      <x:c r="D54" s="2" t="str">
        <x:v>MO</x:v>
      </x:c>
      <x:c r="E54" s="2" t="str">
        <x:v>Psychiatric</x:v>
      </x:c>
      <x:c r="F54" s="2" t="str">
        <x:v>Government</x:v>
      </x:c>
      <x:c r="G54" s="2" t="str">
        <x:v>Small (&lt;100 beds)</x:v>
      </x:c>
      <x:c r="H54" s="7"/>
      <x:c r="I54" s="7"/>
      <x:c r="J54" s="7"/>
      <x:c r="K54" s="8" t="n">
        <x:v>65</x:v>
      </x:c>
      <x:c r="L54" s="8" t="n">
        <x:v>5</x:v>
      </x:c>
      <x:c r="M54" s="9" t="n">
        <x:v>0.8684088514</x:v>
      </x:c>
      <x:c r="N54" s="10" t="n">
        <x:v>9162011.4</x:v>
      </x:c>
      <x:c r="O54" s="9" t="n">
        <x:v>-1.9748859158</x:v>
      </x:c>
      <x:c r="P54" s="9" t="n">
        <x:v>1</x:v>
      </x:c>
      <x:c r="Q54" s="9" t="n">
        <x:v>0</x:v>
      </x:c>
      <x:c r="R54" s="3" t="b">
        <x:v>1</x:v>
      </x:c>
      <x:c r="S54" s="3" t="b">
        <x:v>0</x:v>
      </x:c>
      <x:c r="T54" s="3" t="b">
        <x:v>0</x:v>
      </x:c>
      <x:c r="U54" s="2" t="str">
        <x:f>IF(T54=TRUE,"Priority review",IF(R54=TRUE,"High cost",IF(S54=TRUE,"Low quality","Benchmark")))</x:f>
        <x:v>High cost</x:v>
      </x:c>
    </x:row>
    <x:row r="55">
      <x:c r="A55" s="2" t="str">
        <x:v>121305</x:v>
      </x:c>
      <x:c r="B55" s="2" t="str">
        <x:v>LANAI COMMUNITY HOSPITAL</x:v>
      </x:c>
      <x:c r="C55" s="2" t="str">
        <x:v>LANAI CITY</x:v>
      </x:c>
      <x:c r="D55" s="2" t="str">
        <x:v>HI</x:v>
      </x:c>
      <x:c r="E55" s="2" t="str">
        <x:v>Critical Access Hospitals</x:v>
      </x:c>
      <x:c r="F55" s="2" t="str">
        <x:v>Voluntary non-profit</x:v>
      </x:c>
      <x:c r="G55" s="2" t="str">
        <x:v>Small (&lt;100 beds)</x:v>
      </x:c>
      <x:c r="H55" s="7"/>
      <x:c r="I55" s="7"/>
      <x:c r="J55" s="7"/>
      <x:c r="K55" s="8" t="n">
        <x:v>4</x:v>
      </x:c>
      <x:c r="L55" s="8"/>
      <x:c r="M55" s="9"/>
      <x:c r="N55" s="10"/>
      <x:c r="O55" s="9" t="n">
        <x:v>-0.3986268608</x:v>
      </x:c>
      <x:c r="P55" s="9" t="n">
        <x:v>0.9992565056</x:v>
      </x:c>
      <x:c r="Q55" s="9" t="n">
        <x:v>0.292936803</x:v>
      </x:c>
      <x:c r="R55" s="3" t="b">
        <x:v>1</x:v>
      </x:c>
      <x:c r="S55" s="3" t="b">
        <x:v>0</x:v>
      </x:c>
      <x:c r="T55" s="3" t="b">
        <x:v>0</x:v>
      </x:c>
      <x:c r="U55" s="2" t="str">
        <x:f>IF(T55=TRUE,"Priority review",IF(R55=TRUE,"High cost",IF(S55=TRUE,"Low quality","Benchmark")))</x:f>
        <x:v>High cost</x:v>
      </x:c>
    </x:row>
    <x:row r="56">
      <x:c r="A56" s="2" t="str">
        <x:v>251339</x:v>
      </x:c>
      <x:c r="B56" s="2" t="str">
        <x:v>QUITMAN COMMUNITY HOSPITAL</x:v>
      </x:c>
      <x:c r="C56" s="2" t="str">
        <x:v>MARKS</x:v>
      </x:c>
      <x:c r="D56" s="2" t="str">
        <x:v>MS</x:v>
      </x:c>
      <x:c r="E56" s="2" t="str">
        <x:v>Critical Access Hospitals</x:v>
      </x:c>
      <x:c r="F56" s="2" t="str">
        <x:v>Government</x:v>
      </x:c>
      <x:c r="G56" s="2" t="str">
        <x:v>Small (&lt;100 beds)</x:v>
      </x:c>
      <x:c r="H56" s="7"/>
      <x:c r="I56" s="7"/>
      <x:c r="J56" s="7"/>
      <x:c r="K56" s="8" t="n">
        <x:v>25</x:v>
      </x:c>
      <x:c r="L56" s="8"/>
      <x:c r="M56" s="9"/>
      <x:c r="N56" s="10"/>
      <x:c r="O56" s="9" t="n">
        <x:v>-0.8458677084</x:v>
      </x:c>
      <x:c r="P56" s="9" t="n">
        <x:v>0.9992565056</x:v>
      </x:c>
      <x:c r="Q56" s="9" t="n">
        <x:v>0.292936803</x:v>
      </x:c>
      <x:c r="R56" s="3" t="b">
        <x:v>1</x:v>
      </x:c>
      <x:c r="S56" s="3" t="b">
        <x:v>0</x:v>
      </x:c>
      <x:c r="T56" s="3" t="b">
        <x:v>0</x:v>
      </x:c>
      <x:c r="U56" s="2" t="str">
        <x:f>IF(T56=TRUE,"Priority review",IF(R56=TRUE,"High cost",IF(S56=TRUE,"Low quality","Benchmark")))</x:f>
        <x:v>High cost</x:v>
      </x:c>
    </x:row>
    <x:row r="57">
      <x:c r="A57" s="2" t="str">
        <x:v>030078</x:v>
      </x:c>
      <x:c r="B57" s="2" t="str">
        <x:v>PHOENIX INDIAN MEDICAL CENTER</x:v>
      </x:c>
      <x:c r="C57" s="2" t="str">
        <x:v>PHOENIX</x:v>
      </x:c>
      <x:c r="D57" s="2" t="str">
        <x:v>AZ</x:v>
      </x:c>
      <x:c r="E57" s="2" t="str">
        <x:v>Acute Care Hospitals</x:v>
      </x:c>
      <x:c r="F57" s="2" t="str">
        <x:v>Government</x:v>
      </x:c>
      <x:c r="G57" s="2" t="str">
        <x:v>Medium (100-299 beds)</x:v>
      </x:c>
      <x:c r="H57" s="7"/>
      <x:c r="I57" s="7" t="n">
        <x:v>4</x:v>
      </x:c>
      <x:c r="J57" s="7" t="n">
        <x:v>0.83</x:v>
      </x:c>
      <x:c r="K57" s="8" t="n">
        <x:v>133</x:v>
      </x:c>
      <x:c r="L57" s="8" t="n">
        <x:v>1213</x:v>
      </x:c>
      <x:c r="M57" s="9" t="n">
        <x:v>0.1015448457</x:v>
      </x:c>
      <x:c r="N57" s="10" t="n">
        <x:v>250836.8054410552</x:v>
      </x:c>
      <x:c r="O57" s="9"/>
      <x:c r="P57" s="9" t="n">
        <x:v>0.9991850041</x:v>
      </x:c>
      <x:c r="Q57" s="9" t="n">
        <x:v>0.9616951915</x:v>
      </x:c>
      <x:c r="R57" s="3" t="b">
        <x:v>1</x:v>
      </x:c>
      <x:c r="S57" s="3" t="b">
        <x:v>0</x:v>
      </x:c>
      <x:c r="T57" s="3" t="b">
        <x:v>0</x:v>
      </x:c>
      <x:c r="U57" s="2" t="str">
        <x:f>IF(T57=TRUE,"Priority review",IF(R57=TRUE,"High cost",IF(S57=TRUE,"Low quality","Benchmark")))</x:f>
        <x:v>High cost</x:v>
      </x:c>
    </x:row>
    <x:row r="58">
      <x:c r="A58" s="2" t="str">
        <x:v>121301</x:v>
      </x:c>
      <x:c r="B58" s="2" t="str">
        <x:v>KAU HOSPITAL</x:v>
      </x:c>
      <x:c r="C58" s="2" t="str">
        <x:v>PAHALA</x:v>
      </x:c>
      <x:c r="D58" s="2" t="str">
        <x:v>HI</x:v>
      </x:c>
      <x:c r="E58" s="2" t="str">
        <x:v>Critical Access Hospitals</x:v>
      </x:c>
      <x:c r="F58" s="2" t="str">
        <x:v>Government</x:v>
      </x:c>
      <x:c r="G58" s="2" t="str">
        <x:v>Small (&lt;100 beds)</x:v>
      </x:c>
      <x:c r="H58" s="7"/>
      <x:c r="I58" s="7"/>
      <x:c r="J58" s="7"/>
      <x:c r="K58" s="8" t="n">
        <x:v>21</x:v>
      </x:c>
      <x:c r="L58" s="8" t="n">
        <x:v>1</x:v>
      </x:c>
      <x:c r="M58" s="9" t="n">
        <x:v>0.7863013699</x:v>
      </x:c>
      <x:c r="N58" s="10" t="n">
        <x:v>67732568</x:v>
      </x:c>
      <x:c r="O58" s="9" t="n">
        <x:v>-0.3584137586</x:v>
      </x:c>
      <x:c r="P58" s="9" t="n">
        <x:v>0.9985130112</x:v>
      </x:c>
      <x:c r="Q58" s="9" t="n">
        <x:v>0.292936803</x:v>
      </x:c>
      <x:c r="R58" s="3" t="b">
        <x:v>1</x:v>
      </x:c>
      <x:c r="S58" s="3" t="b">
        <x:v>0</x:v>
      </x:c>
      <x:c r="T58" s="3" t="b">
        <x:v>0</x:v>
      </x:c>
      <x:c r="U58" s="2" t="str">
        <x:f>IF(T58=TRUE,"Priority review",IF(R58=TRUE,"High cost",IF(S58=TRUE,"Low quality","Benchmark")))</x:f>
        <x:v>High cost</x:v>
      </x:c>
    </x:row>
    <x:row r="59">
      <x:c r="A59" s="2" t="str">
        <x:v>050454</x:v>
      </x:c>
      <x:c r="B59" s="2" t="str">
        <x:v>UCSF MEDICAL CENTER</x:v>
      </x:c>
      <x:c r="C59" s="2" t="str">
        <x:v>SAN FRANCISCO</x:v>
      </x:c>
      <x:c r="D59" s="2" t="str">
        <x:v>CA</x:v>
      </x:c>
      <x:c r="E59" s="2" t="str">
        <x:v>Acute Care Hospitals</x:v>
      </x:c>
      <x:c r="F59" s="2" t="str">
        <x:v>Voluntary non-profit</x:v>
      </x:c>
      <x:c r="G59" s="2" t="str">
        <x:v>Large (300+ beds)</x:v>
      </x:c>
      <x:c r="H59" s="7" t="n">
        <x:v>4</x:v>
      </x:c>
      <x:c r="I59" s="7" t="n">
        <x:v>4</x:v>
      </x:c>
      <x:c r="J59" s="7" t="n">
        <x:v>0.96</x:v>
      </x:c>
      <x:c r="K59" s="8" t="n">
        <x:v>887</x:v>
      </x:c>
      <x:c r="L59" s="8" t="n">
        <x:v>35954</x:v>
      </x:c>
      <x:c r="M59" s="9" t="n">
        <x:v>0.8654105728</x:v>
      </x:c>
      <x:c r="N59" s="10" t="n">
        <x:v>182320.7214218168</x:v>
      </x:c>
      <x:c r="O59" s="9" t="n">
        <x:v>0.0400699523</x:v>
      </x:c>
      <x:c r="P59" s="9" t="n">
        <x:v>0.9984227129</x:v>
      </x:c>
      <x:c r="Q59" s="9" t="n">
        <x:v>0.5899053628</x:v>
      </x:c>
      <x:c r="R59" s="3" t="b">
        <x:v>1</x:v>
      </x:c>
      <x:c r="S59" s="3" t="b">
        <x:v>0</x:v>
      </x:c>
      <x:c r="T59" s="3" t="b">
        <x:v>0</x:v>
      </x:c>
      <x:c r="U59" s="2" t="str">
        <x:f>IF(T59=TRUE,"Priority review",IF(R59=TRUE,"High cost",IF(S59=TRUE,"Low quality","Benchmark")))</x:f>
        <x:v>High cost</x:v>
      </x:c>
    </x:row>
    <x:row r="60">
      <x:c r="A60" s="2" t="str">
        <x:v>230297</x:v>
      </x:c>
      <x:c r="B60" s="2" t="str">
        <x:v>KARMANOS CANCER CENTER</x:v>
      </x:c>
      <x:c r="C60" s="2" t="str">
        <x:v>DETROIT</x:v>
      </x:c>
      <x:c r="D60" s="2" t="str">
        <x:v>MI</x:v>
      </x:c>
      <x:c r="E60" s="2" t="str">
        <x:v>Acute Care Hospitals</x:v>
      </x:c>
      <x:c r="F60" s="2" t="str">
        <x:v>Proprietary</x:v>
      </x:c>
      <x:c r="G60" s="2" t="str">
        <x:v>Medium (100-299 beds)</x:v>
      </x:c>
      <x:c r="H60" s="7" t="n">
        <x:v>3</x:v>
      </x:c>
      <x:c r="I60" s="7" t="n">
        <x:v>4</x:v>
      </x:c>
      <x:c r="J60" s="7" t="n">
        <x:v>1.07</x:v>
      </x:c>
      <x:c r="K60" s="8" t="n">
        <x:v>111</x:v>
      </x:c>
      <x:c r="L60" s="8" t="n">
        <x:v>2240</x:v>
      </x:c>
      <x:c r="M60" s="9" t="n">
        <x:v>0.5326806033</x:v>
      </x:c>
      <x:c r="N60" s="10" t="n">
        <x:v>214475.9415178571</x:v>
      </x:c>
      <x:c r="O60" s="9" t="n">
        <x:v>-0.2116767467</x:v>
      </x:c>
      <x:c r="P60" s="9" t="n">
        <x:v>0.9983700081</x:v>
      </x:c>
      <x:c r="Q60" s="9" t="n">
        <x:v>0.3023634882</x:v>
      </x:c>
      <x:c r="R60" s="3" t="b">
        <x:v>1</x:v>
      </x:c>
      <x:c r="S60" s="3" t="b">
        <x:v>0</x:v>
      </x:c>
      <x:c r="T60" s="3" t="b">
        <x:v>0</x:v>
      </x:c>
      <x:c r="U60" s="2" t="str">
        <x:f>IF(T60=TRUE,"Priority review",IF(R60=TRUE,"High cost",IF(S60=TRUE,"Low quality","Benchmark")))</x:f>
        <x:v>High cost</x:v>
      </x:c>
    </x:row>
    <x:row r="61">
      <x:c r="A61" s="2" t="str">
        <x:v>121306</x:v>
      </x:c>
      <x:c r="B61" s="2" t="str">
        <x:v>SAMUEL MAHELONA MEMORIAL HOSPITAL</x:v>
      </x:c>
      <x:c r="C61" s="2" t="str">
        <x:v>KAPAA</x:v>
      </x:c>
      <x:c r="D61" s="2" t="str">
        <x:v>HI</x:v>
      </x:c>
      <x:c r="E61" s="2" t="str">
        <x:v>Critical Access Hospitals</x:v>
      </x:c>
      <x:c r="F61" s="2" t="str">
        <x:v>Government</x:v>
      </x:c>
      <x:c r="G61" s="2" t="str">
        <x:v>Small (&lt;100 beds)</x:v>
      </x:c>
      <x:c r="H61" s="7"/>
      <x:c r="I61" s="7"/>
      <x:c r="J61" s="7"/>
      <x:c r="K61" s="8" t="n">
        <x:v>5</x:v>
      </x:c>
      <x:c r="L61" s="8" t="n">
        <x:v>1</x:v>
      </x:c>
      <x:c r="M61" s="9" t="n">
        <x:v>0.0482191781</x:v>
      </x:c>
      <x:c r="N61" s="10" t="n">
        <x:v>55905173</x:v>
      </x:c>
      <x:c r="O61" s="9" t="n">
        <x:v>-0.2061084148</x:v>
      </x:c>
      <x:c r="P61" s="9" t="n">
        <x:v>0.9977695167</x:v>
      </x:c>
      <x:c r="Q61" s="9" t="n">
        <x:v>0.292936803</x:v>
      </x:c>
      <x:c r="R61" s="3" t="b">
        <x:v>1</x:v>
      </x:c>
      <x:c r="S61" s="3" t="b">
        <x:v>0</x:v>
      </x:c>
      <x:c r="T61" s="3" t="b">
        <x:v>0</x:v>
      </x:c>
      <x:c r="U61" s="2" t="str">
        <x:f>IF(T61=TRUE,"Priority review",IF(R61=TRUE,"High cost",IF(S61=TRUE,"Low quality","Benchmark")))</x:f>
        <x:v>High cost</x:v>
      </x:c>
    </x:row>
    <x:row r="62">
      <x:c r="A62" s="2" t="str">
        <x:v>330270</x:v>
      </x:c>
      <x:c r="B62" s="2" t="str">
        <x:v>HOSPITAL FOR SPECIAL SURGERY</x:v>
      </x:c>
      <x:c r="C62" s="2" t="str">
        <x:v>NEW YORK</x:v>
      </x:c>
      <x:c r="D62" s="2" t="str">
        <x:v>NY</x:v>
      </x:c>
      <x:c r="E62" s="2" t="str">
        <x:v>Acute Care Hospitals</x:v>
      </x:c>
      <x:c r="F62" s="2" t="str">
        <x:v>Voluntary non-profit</x:v>
      </x:c>
      <x:c r="G62" s="2" t="str">
        <x:v>Medium (100-299 beds)</x:v>
      </x:c>
      <x:c r="H62" s="7" t="n">
        <x:v>5</x:v>
      </x:c>
      <x:c r="I62" s="7" t="n">
        <x:v>4</x:v>
      </x:c>
      <x:c r="J62" s="7" t="n">
        <x:v>0.92</x:v>
      </x:c>
      <x:c r="K62" s="8" t="n">
        <x:v>158</x:v>
      </x:c>
      <x:c r="L62" s="8" t="n">
        <x:v>7805</x:v>
      </x:c>
      <x:c r="M62" s="9" t="n">
        <x:v>0.4722058976</x:v>
      </x:c>
      <x:c r="N62" s="10" t="n">
        <x:v>212057.6600896861</x:v>
      </x:c>
      <x:c r="O62" s="9" t="n">
        <x:v>-0.2700688623</x:v>
      </x:c>
      <x:c r="P62" s="9" t="n">
        <x:v>0.9975550122</x:v>
      </x:c>
      <x:c r="Q62" s="9" t="n">
        <x:v>0.8744906275</x:v>
      </x:c>
      <x:c r="R62" s="3" t="b">
        <x:v>1</x:v>
      </x:c>
      <x:c r="S62" s="3" t="b">
        <x:v>0</x:v>
      </x:c>
      <x:c r="T62" s="3" t="b">
        <x:v>0</x:v>
      </x:c>
      <x:c r="U62" s="2" t="str">
        <x:f>IF(T62=TRUE,"Priority review",IF(R62=TRUE,"High cost",IF(S62=TRUE,"Low quality","Benchmark")))</x:f>
        <x:v>High cost</x:v>
      </x:c>
    </x:row>
    <x:row r="63">
      <x:c r="A63" s="2" t="str">
        <x:v>121307</x:v>
      </x:c>
      <x:c r="B63" s="2" t="str">
        <x:v>HONOKA'A HOSPITAL AND SKILLED NURSING</x:v>
      </x:c>
      <x:c r="C63" s="2" t="str">
        <x:v>HONOKAA</x:v>
      </x:c>
      <x:c r="D63" s="2" t="str">
        <x:v>HI</x:v>
      </x:c>
      <x:c r="E63" s="2" t="str">
        <x:v>Critical Access Hospitals</x:v>
      </x:c>
      <x:c r="F63" s="2" t="str">
        <x:v>Government</x:v>
      </x:c>
      <x:c r="G63" s="2" t="str">
        <x:v>Small (&lt;100 beds)</x:v>
      </x:c>
      <x:c r="H63" s="7"/>
      <x:c r="I63" s="7"/>
      <x:c r="J63" s="7"/>
      <x:c r="K63" s="8" t="n">
        <x:v>11</x:v>
      </x:c>
      <x:c r="L63" s="8" t="n">
        <x:v>1</x:v>
      </x:c>
      <x:c r="M63" s="9" t="n">
        <x:v>0.5561643836</x:v>
      </x:c>
      <x:c r="N63" s="10" t="n">
        <x:v>27108820</x:v>
      </x:c>
      <x:c r="O63" s="9" t="n">
        <x:v>0.0152785225</x:v>
      </x:c>
      <x:c r="P63" s="9" t="n">
        <x:v>0.9970260223</x:v>
      </x:c>
      <x:c r="Q63" s="9" t="n">
        <x:v>0.292936803</x:v>
      </x:c>
      <x:c r="R63" s="3" t="b">
        <x:v>1</x:v>
      </x:c>
      <x:c r="S63" s="3" t="b">
        <x:v>0</x:v>
      </x:c>
      <x:c r="T63" s="3" t="b">
        <x:v>0</x:v>
      </x:c>
      <x:c r="U63" s="2" t="str">
        <x:f>IF(T63=TRUE,"Priority review",IF(R63=TRUE,"High cost",IF(S63=TRUE,"Low quality","Benchmark")))</x:f>
        <x:v>High cost</x:v>
      </x:c>
    </x:row>
    <x:row r="64">
      <x:c r="A64" s="2" t="str">
        <x:v>360180</x:v>
      </x:c>
      <x:c r="B64" s="2" t="str">
        <x:v>CLEVELAND CLINIC</x:v>
      </x:c>
      <x:c r="C64" s="2" t="str">
        <x:v>CLEVELAND</x:v>
      </x:c>
      <x:c r="D64" s="2" t="str">
        <x:v>OH</x:v>
      </x:c>
      <x:c r="E64" s="2" t="str">
        <x:v>Acute Care Hospitals</x:v>
      </x:c>
      <x:c r="F64" s="2" t="str">
        <x:v>Voluntary non-profit</x:v>
      </x:c>
      <x:c r="G64" s="2" t="str">
        <x:v>Large (300+ beds)</x:v>
      </x:c>
      <x:c r="H64" s="7" t="n">
        <x:v>4</x:v>
      </x:c>
      <x:c r="I64" s="7" t="n">
        <x:v>3</x:v>
      </x:c>
      <x:c r="J64" s="7" t="n">
        <x:v>0.95</x:v>
      </x:c>
      <x:c r="K64" s="8" t="n">
        <x:v>1318</x:v>
      </x:c>
      <x:c r="L64" s="8" t="n">
        <x:v>53780</x:v>
      </x:c>
      <x:c r="M64" s="9" t="n">
        <x:v>0.8341609327</x:v>
      </x:c>
      <x:c r="N64" s="10" t="n">
        <x:v>170800.1483079212</x:v>
      </x:c>
      <x:c r="O64" s="9" t="n">
        <x:v>-0.2368678511</x:v>
      </x:c>
      <x:c r="P64" s="9" t="n">
        <x:v>0.9968454259</x:v>
      </x:c>
      <x:c r="Q64" s="9" t="n">
        <x:v>0.5899053628</x:v>
      </x:c>
      <x:c r="R64" s="3" t="b">
        <x:v>1</x:v>
      </x:c>
      <x:c r="S64" s="3" t="b">
        <x:v>0</x:v>
      </x:c>
      <x:c r="T64" s="3" t="b">
        <x:v>0</x:v>
      </x:c>
      <x:c r="U64" s="2" t="str">
        <x:f>IF(T64=TRUE,"Priority review",IF(R64=TRUE,"High cost",IF(S64=TRUE,"Low quality","Benchmark")))</x:f>
        <x:v>High cost</x:v>
      </x:c>
    </x:row>
    <x:row r="65">
      <x:c r="A65" s="2" t="str">
        <x:v>114013</x:v>
      </x:c>
      <x:c r="B65" s="2" t="str">
        <x:v>WEST CENTRAL GEORGIA REGIONAL HOSPITAL</x:v>
      </x:c>
      <x:c r="C65" s="2" t="str">
        <x:v>COLUMBUS</x:v>
      </x:c>
      <x:c r="D65" s="2" t="str">
        <x:v>GA</x:v>
      </x:c>
      <x:c r="E65" s="2" t="str">
        <x:v>Psychiatric</x:v>
      </x:c>
      <x:c r="F65" s="2" t="str">
        <x:v>Government</x:v>
      </x:c>
      <x:c r="G65" s="2" t="str">
        <x:v>Small (&lt;100 beds)</x:v>
      </x:c>
      <x:c r="H65" s="7"/>
      <x:c r="I65" s="7"/>
      <x:c r="J65" s="7"/>
      <x:c r="K65" s="8" t="n">
        <x:v>40</x:v>
      </x:c>
      <x:c r="L65" s="8" t="n">
        <x:v>34</x:v>
      </x:c>
      <x:c r="M65" s="9" t="n">
        <x:v>0.9252739726</x:v>
      </x:c>
      <x:c r="N65" s="10" t="n">
        <x:v>1866128.8823529412</x:v>
      </x:c>
      <x:c r="O65" s="9"/>
      <x:c r="P65" s="9" t="n">
        <x:v>0.996763754</x:v>
      </x:c>
      <x:c r="Q65" s="9" t="n">
        <x:v>0</x:v>
      </x:c>
      <x:c r="R65" s="3" t="b">
        <x:v>1</x:v>
      </x:c>
      <x:c r="S65" s="3" t="b">
        <x:v>0</x:v>
      </x:c>
      <x:c r="T65" s="3" t="b">
        <x:v>0</x:v>
      </x:c>
      <x:c r="U65" s="2" t="str">
        <x:f>IF(T65=TRUE,"Priority review",IF(R65=TRUE,"High cost",IF(S65=TRUE,"Low quality","Benchmark")))</x:f>
        <x:v>High cost</x:v>
      </x:c>
    </x:row>
    <x:row r="66">
      <x:c r="A66" s="2" t="str">
        <x:v>240019</x:v>
      </x:c>
      <x:c r="B66" s="2" t="str">
        <x:v>ESSENTIA HEALTH DULUTH</x:v>
      </x:c>
      <x:c r="C66" s="2" t="str">
        <x:v>DULUTH</x:v>
      </x:c>
      <x:c r="D66" s="2" t="str">
        <x:v>MN</x:v>
      </x:c>
      <x:c r="E66" s="2" t="str">
        <x:v>Acute Care Hospitals</x:v>
      </x:c>
      <x:c r="F66" s="2" t="str">
        <x:v>Voluntary non-profit</x:v>
      </x:c>
      <x:c r="G66" s="2" t="str">
        <x:v>Medium (100-299 beds)</x:v>
      </x:c>
      <x:c r="H66" s="7"/>
      <x:c r="I66" s="7" t="n">
        <x:v>3</x:v>
      </x:c>
      <x:c r="J66" s="7" t="n">
        <x:v>0.96</x:v>
      </x:c>
      <x:c r="K66" s="8" t="n">
        <x:v>123</x:v>
      </x:c>
      <x:c r="L66" s="8" t="n">
        <x:v>3246</x:v>
      </x:c>
      <x:c r="M66" s="9" t="n">
        <x:v>0.4831495712</x:v>
      </x:c>
      <x:c r="N66" s="10" t="n">
        <x:v>201735.7347504621</x:v>
      </x:c>
      <x:c r="O66" s="9" t="n">
        <x:v>-0.107345951</x:v>
      </x:c>
      <x:c r="P66" s="9" t="n">
        <x:v>0.9967400163</x:v>
      </x:c>
      <x:c r="Q66" s="9" t="n">
        <x:v>0.9616951915</x:v>
      </x:c>
      <x:c r="R66" s="3" t="b">
        <x:v>1</x:v>
      </x:c>
      <x:c r="S66" s="3" t="b">
        <x:v>0</x:v>
      </x:c>
      <x:c r="T66" s="3" t="b">
        <x:v>0</x:v>
      </x:c>
      <x:c r="U66" s="2" t="str">
        <x:f>IF(T66=TRUE,"Priority review",IF(R66=TRUE,"High cost",IF(S66=TRUE,"Low quality","Benchmark")))</x:f>
        <x:v>High cost</x:v>
      </x:c>
    </x:row>
    <x:row r="67">
      <x:c r="A67" s="2" t="str">
        <x:v>291301</x:v>
      </x:c>
      <x:c r="B67" s="2" t="str">
        <x:v>INCLINE VILLAGE COMMUNITY HOSPITAL</x:v>
      </x:c>
      <x:c r="C67" s="2" t="str">
        <x:v>INCLINE VILLAGE</x:v>
      </x:c>
      <x:c r="D67" s="2" t="str">
        <x:v>NV</x:v>
      </x:c>
      <x:c r="E67" s="2" t="str">
        <x:v>Critical Access Hospitals</x:v>
      </x:c>
      <x:c r="F67" s="2" t="str">
        <x:v>Government</x:v>
      </x:c>
      <x:c r="G67" s="2" t="str">
        <x:v>Small (&lt;100 beds)</x:v>
      </x:c>
      <x:c r="H67" s="7"/>
      <x:c r="I67" s="7"/>
      <x:c r="J67" s="7"/>
      <x:c r="K67" s="8" t="n">
        <x:v>4</x:v>
      </x:c>
      <x:c r="L67" s="8" t="n">
        <x:v>1</x:v>
      </x:c>
      <x:c r="M67" s="9" t="n">
        <x:v>0.0006849315</x:v>
      </x:c>
      <x:c r="N67" s="10" t="n">
        <x:v>22028164</x:v>
      </x:c>
      <x:c r="O67" s="9" t="n">
        <x:v>0.1642478611</x:v>
      </x:c>
      <x:c r="P67" s="9" t="n">
        <x:v>0.9962825279</x:v>
      </x:c>
      <x:c r="Q67" s="9" t="n">
        <x:v>0.292936803</x:v>
      </x:c>
      <x:c r="R67" s="3" t="b">
        <x:v>1</x:v>
      </x:c>
      <x:c r="S67" s="3" t="b">
        <x:v>0</x:v>
      </x:c>
      <x:c r="T67" s="3" t="b">
        <x:v>0</x:v>
      </x:c>
      <x:c r="U67" s="2" t="str">
        <x:f>IF(T67=TRUE,"Priority review",IF(R67=TRUE,"High cost",IF(S67=TRUE,"Low quality","Benchmark")))</x:f>
        <x:v>High cost</x:v>
      </x:c>
    </x:row>
    <x:row r="68">
      <x:c r="A68" s="2" t="str">
        <x:v>490094</x:v>
      </x:c>
      <x:c r="B68" s="2" t="str">
        <x:v>BON SECOURS RICHMOND COMMUNITY HOSPITAL</x:v>
      </x:c>
      <x:c r="C68" s="2" t="str">
        <x:v>RICHMOND</x:v>
      </x:c>
      <x:c r="D68" s="2" t="str">
        <x:v>VA</x:v>
      </x:c>
      <x:c r="E68" s="2" t="str">
        <x:v>Acute Care Hospitals</x:v>
      </x:c>
      <x:c r="F68" s="2" t="str">
        <x:v>Voluntary non-profit</x:v>
      </x:c>
      <x:c r="G68" s="2" t="str">
        <x:v>Medium (100-299 beds)</x:v>
      </x:c>
      <x:c r="H68" s="7"/>
      <x:c r="I68" s="7"/>
      <x:c r="J68" s="7" t="n">
        <x:v>0.91</x:v>
      </x:c>
      <x:c r="K68" s="8" t="n">
        <x:v>104</x:v>
      </x:c>
      <x:c r="L68" s="8" t="n">
        <x:v>400</x:v>
      </x:c>
      <x:c r="M68" s="9" t="n">
        <x:v>0.2825443787</x:v>
      </x:c>
      <x:c r="N68" s="10" t="n">
        <x:v>139300.24</x:v>
      </x:c>
      <x:c r="O68" s="9" t="n">
        <x:v>0.2188473911</x:v>
      </x:c>
      <x:c r="P68" s="9" t="n">
        <x:v>0.9959250204</x:v>
      </x:c>
      <x:c r="Q68" s="9" t="n">
        <x:v>0.9616951915</x:v>
      </x:c>
      <x:c r="R68" s="3" t="b">
        <x:v>1</x:v>
      </x:c>
      <x:c r="S68" s="3" t="b">
        <x:v>0</x:v>
      </x:c>
      <x:c r="T68" s="3" t="b">
        <x:v>0</x:v>
      </x:c>
      <x:c r="U68" s="2" t="str">
        <x:f>IF(T68=TRUE,"Priority review",IF(R68=TRUE,"High cost",IF(S68=TRUE,"Low quality","Benchmark")))</x:f>
        <x:v>High cost</x:v>
      </x:c>
    </x:row>
    <x:row r="69">
      <x:c r="A69" s="2" t="str">
        <x:v>231300</x:v>
      </x:c>
      <x:c r="B69" s="2" t="str">
        <x:v>PAUL OLIVER MEMORIAL HOSPITAL</x:v>
      </x:c>
      <x:c r="C69" s="2" t="str">
        <x:v>FRANKFORT</x:v>
      </x:c>
      <x:c r="D69" s="2" t="str">
        <x:v>MI</x:v>
      </x:c>
      <x:c r="E69" s="2" t="str">
        <x:v>Critical Access Hospitals</x:v>
      </x:c>
      <x:c r="F69" s="2" t="str">
        <x:v>Government</x:v>
      </x:c>
      <x:c r="G69" s="2" t="str">
        <x:v>Small (&lt;100 beds)</x:v>
      </x:c>
      <x:c r="H69" s="7"/>
      <x:c r="I69" s="7"/>
      <x:c r="J69" s="7"/>
      <x:c r="K69" s="8" t="n">
        <x:v>8</x:v>
      </x:c>
      <x:c r="L69" s="8" t="n">
        <x:v>3</x:v>
      </x:c>
      <x:c r="M69" s="9" t="n">
        <x:v>0.0020547945</x:v>
      </x:c>
      <x:c r="N69" s="10" t="n">
        <x:v>8642690.666666666</x:v>
      </x:c>
      <x:c r="O69" s="9" t="n">
        <x:v>0.0768197226</x:v>
      </x:c>
      <x:c r="P69" s="9" t="n">
        <x:v>0.9955390335</x:v>
      </x:c>
      <x:c r="Q69" s="9" t="n">
        <x:v>0.292936803</x:v>
      </x:c>
      <x:c r="R69" s="3" t="b">
        <x:v>1</x:v>
      </x:c>
      <x:c r="S69" s="3" t="b">
        <x:v>0</x:v>
      </x:c>
      <x:c r="T69" s="3" t="b">
        <x:v>0</x:v>
      </x:c>
      <x:c r="U69" s="2" t="str">
        <x:f>IF(T69=TRUE,"Priority review",IF(R69=TRUE,"High cost",IF(S69=TRUE,"Low quality","Benchmark")))</x:f>
        <x:v>High cost</x:v>
      </x:c>
    </x:row>
    <x:row r="70">
      <x:c r="A70" s="2" t="str">
        <x:v>030103</x:v>
      </x:c>
      <x:c r="B70" s="2" t="str">
        <x:v>MAYO CLINIC HOSPITAL</x:v>
      </x:c>
      <x:c r="C70" s="2" t="str">
        <x:v>PHOENIX</x:v>
      </x:c>
      <x:c r="D70" s="2" t="str">
        <x:v>AZ</x:v>
      </x:c>
      <x:c r="E70" s="2" t="str">
        <x:v>Acute Care Hospitals</x:v>
      </x:c>
      <x:c r="F70" s="2" t="str">
        <x:v>Voluntary non-profit</x:v>
      </x:c>
      <x:c r="G70" s="2" t="str">
        <x:v>Large (300+ beds)</x:v>
      </x:c>
      <x:c r="H70" s="7" t="n">
        <x:v>5</x:v>
      </x:c>
      <x:c r="I70" s="7" t="n">
        <x:v>5</x:v>
      </x:c>
      <x:c r="J70" s="7" t="n">
        <x:v>0.94</x:v>
      </x:c>
      <x:c r="K70" s="8" t="n">
        <x:v>362</x:v>
      </x:c>
      <x:c r="L70" s="8" t="n">
        <x:v>19911</x:v>
      </x:c>
      <x:c r="M70" s="9" t="n">
        <x:v>0.8278688525</x:v>
      </x:c>
      <x:c r="N70" s="10" t="n">
        <x:v>139606.4063080709</x:v>
      </x:c>
      <x:c r="O70" s="9" t="n">
        <x:v>0.0450003809</x:v>
      </x:c>
      <x:c r="P70" s="9" t="n">
        <x:v>0.9952681388</x:v>
      </x:c>
      <x:c r="Q70" s="9" t="n">
        <x:v>0.8722397476</x:v>
      </x:c>
      <x:c r="R70" s="3" t="b">
        <x:v>1</x:v>
      </x:c>
      <x:c r="S70" s="3" t="b">
        <x:v>0</x:v>
      </x:c>
      <x:c r="T70" s="3" t="b">
        <x:v>0</x:v>
      </x:c>
      <x:c r="U70" s="2" t="str">
        <x:f>IF(T70=TRUE,"Priority review",IF(R70=TRUE,"High cost",IF(S70=TRUE,"Low quality","Benchmark")))</x:f>
        <x:v>High cost</x:v>
      </x:c>
    </x:row>
    <x:row r="71">
      <x:c r="A71" s="2" t="str">
        <x:v>220011</x:v>
      </x:c>
      <x:c r="B71" s="2" t="str">
        <x:v>CAMBRIDGE HEALTH ALLIANCE</x:v>
      </x:c>
      <x:c r="C71" s="2" t="str">
        <x:v>CAMBRIDGE</x:v>
      </x:c>
      <x:c r="D71" s="2" t="str">
        <x:v>MA</x:v>
      </x:c>
      <x:c r="E71" s="2" t="str">
        <x:v>Acute Care Hospitals</x:v>
      </x:c>
      <x:c r="F71" s="2" t="str">
        <x:v>Government</x:v>
      </x:c>
      <x:c r="G71" s="2" t="str">
        <x:v>Medium (100-299 beds)</x:v>
      </x:c>
      <x:c r="H71" s="7" t="n">
        <x:v>3</x:v>
      </x:c>
      <x:c r="I71" s="7" t="n">
        <x:v>3</x:v>
      </x:c>
      <x:c r="J71" s="7" t="n">
        <x:v>0.99</x:v>
      </x:c>
      <x:c r="K71" s="8" t="n">
        <x:v>225</x:v>
      </x:c>
      <x:c r="L71" s="8" t="n">
        <x:v>7870</x:v>
      </x:c>
      <x:c r="M71" s="9" t="n">
        <x:v>0.5277199391</x:v>
      </x:c>
      <x:c r="N71" s="10" t="n">
        <x:v>138026.0124523507</x:v>
      </x:c>
      <x:c r="O71" s="9" t="n">
        <x:v>-1.3653485481</x:v>
      </x:c>
      <x:c r="P71" s="9" t="n">
        <x:v>0.9951100244</x:v>
      </x:c>
      <x:c r="Q71" s="9" t="n">
        <x:v>0.3023634882</x:v>
      </x:c>
      <x:c r="R71" s="3" t="b">
        <x:v>1</x:v>
      </x:c>
      <x:c r="S71" s="3" t="b">
        <x:v>0</x:v>
      </x:c>
      <x:c r="T71" s="3" t="b">
        <x:v>0</x:v>
      </x:c>
      <x:c r="U71" s="2" t="str">
        <x:f>IF(T71=TRUE,"Priority review",IF(R71=TRUE,"High cost",IF(S71=TRUE,"Low quality","Benchmark")))</x:f>
        <x:v>High cost</x:v>
      </x:c>
    </x:row>
    <x:row r="72">
      <x:c r="A72" s="2" t="str">
        <x:v>264010</x:v>
      </x:c>
      <x:c r="B72" s="2" t="str">
        <x:v>ST LOUIS FORENSIC TREATMENT CENTER</x:v>
      </x:c>
      <x:c r="C72" s="2" t="str">
        <x:v>SAINT LOUIS</x:v>
      </x:c>
      <x:c r="D72" s="2" t="str">
        <x:v>MO</x:v>
      </x:c>
      <x:c r="E72" s="2" t="str">
        <x:v>Psychiatric</x:v>
      </x:c>
      <x:c r="F72" s="2" t="str">
        <x:v>Government</x:v>
      </x:c>
      <x:c r="G72" s="2" t="str">
        <x:v>Medium (100-299 beds)</x:v>
      </x:c>
      <x:c r="H72" s="7"/>
      <x:c r="I72" s="7"/>
      <x:c r="J72" s="7"/>
      <x:c r="K72" s="8" t="n">
        <x:v>255</x:v>
      </x:c>
      <x:c r="L72" s="8" t="n">
        <x:v>6</x:v>
      </x:c>
      <x:c r="M72" s="9" t="n">
        <x:v>0.9802739726</x:v>
      </x:c>
      <x:c r="N72" s="10" t="n">
        <x:v>14497733.166666666</x:v>
      </x:c>
      <x:c r="O72" s="9" t="n">
        <x:v>-0.849892009</x:v>
      </x:c>
      <x:c r="P72" s="9" t="n">
        <x:v>0.9950248756</x:v>
      </x:c>
      <x:c r="Q72" s="9" t="n">
        <x:v>0</x:v>
      </x:c>
      <x:c r="R72" s="3" t="b">
        <x:v>1</x:v>
      </x:c>
      <x:c r="S72" s="3" t="b">
        <x:v>0</x:v>
      </x:c>
      <x:c r="T72" s="3" t="b">
        <x:v>0</x:v>
      </x:c>
      <x:c r="U72" s="2" t="str">
        <x:f>IF(T72=TRUE,"Priority review",IF(R72=TRUE,"High cost",IF(S72=TRUE,"Low quality","Benchmark")))</x:f>
        <x:v>High cost</x:v>
      </x:c>
    </x:row>
    <x:row r="73">
      <x:c r="A73" s="2" t="str">
        <x:v>121308</x:v>
      </x:c>
      <x:c r="B73" s="2" t="str">
        <x:v>KULA HOSPITAL</x:v>
      </x:c>
      <x:c r="C73" s="2" t="str">
        <x:v>KULA</x:v>
      </x:c>
      <x:c r="D73" s="2" t="str">
        <x:v>HI</x:v>
      </x:c>
      <x:c r="E73" s="2" t="str">
        <x:v>Critical Access Hospitals</x:v>
      </x:c>
      <x:c r="F73" s="2" t="str">
        <x:v>Voluntary non-profit</x:v>
      </x:c>
      <x:c r="G73" s="2" t="str">
        <x:v>Small (&lt;100 beds)</x:v>
      </x:c>
      <x:c r="H73" s="7"/>
      <x:c r="I73" s="7"/>
      <x:c r="J73" s="7"/>
      <x:c r="K73" s="8" t="n">
        <x:v>9</x:v>
      </x:c>
      <x:c r="L73" s="8" t="n">
        <x:v>6</x:v>
      </x:c>
      <x:c r="M73" s="9" t="n">
        <x:v>0.4395871281</x:v>
      </x:c>
      <x:c r="N73" s="10" t="n">
        <x:v>6900923.833333333</x:v>
      </x:c>
      <x:c r="O73" s="9" t="n">
        <x:v>-0.3763910659</x:v>
      </x:c>
      <x:c r="P73" s="9" t="n">
        <x:v>0.994795539</x:v>
      </x:c>
      <x:c r="Q73" s="9" t="n">
        <x:v>0.292936803</x:v>
      </x:c>
      <x:c r="R73" s="3" t="b">
        <x:v>1</x:v>
      </x:c>
      <x:c r="S73" s="3" t="b">
        <x:v>0</x:v>
      </x:c>
      <x:c r="T73" s="3" t="b">
        <x:v>0</x:v>
      </x:c>
      <x:c r="U73" s="2" t="str">
        <x:f>IF(T73=TRUE,"Priority review",IF(R73=TRUE,"High cost",IF(S73=TRUE,"Low quality","Benchmark")))</x:f>
        <x:v>High cost</x:v>
      </x:c>
    </x:row>
    <x:row r="74">
      <x:c r="A74" s="2" t="str">
        <x:v>050276</x:v>
      </x:c>
      <x:c r="B74" s="2" t="str">
        <x:v>CONTRA COSTA REGIONAL MEDICAL CENTER</x:v>
      </x:c>
      <x:c r="C74" s="2" t="str">
        <x:v>MARTINEZ</x:v>
      </x:c>
      <x:c r="D74" s="2" t="str">
        <x:v>CA</x:v>
      </x:c>
      <x:c r="E74" s="2" t="str">
        <x:v>Acute Care Hospitals</x:v>
      </x:c>
      <x:c r="F74" s="2" t="str">
        <x:v>Government</x:v>
      </x:c>
      <x:c r="G74" s="2" t="str">
        <x:v>Medium (100-299 beds)</x:v>
      </x:c>
      <x:c r="H74" s="7" t="n">
        <x:v>4</x:v>
      </x:c>
      <x:c r="I74" s="7" t="n">
        <x:v>3</x:v>
      </x:c>
      <x:c r="J74" s="7" t="n">
        <x:v>0.96</x:v>
      </x:c>
      <x:c r="K74" s="8" t="n">
        <x:v>124</x:v>
      </x:c>
      <x:c r="L74" s="8" t="n">
        <x:v>6643</x:v>
      </x:c>
      <x:c r="M74" s="9" t="n">
        <x:v>0.6634555899</x:v>
      </x:c>
      <x:c r="N74" s="10" t="n">
        <x:v>131489.7690802348</x:v>
      </x:c>
      <x:c r="O74" s="9" t="n">
        <x:v>-0.1262587946</x:v>
      </x:c>
      <x:c r="P74" s="9" t="n">
        <x:v>0.9942950285</x:v>
      </x:c>
      <x:c r="Q74" s="9" t="n">
        <x:v>0.6022819886</x:v>
      </x:c>
      <x:c r="R74" s="3" t="b">
        <x:v>1</x:v>
      </x:c>
      <x:c r="S74" s="3" t="b">
        <x:v>0</x:v>
      </x:c>
      <x:c r="T74" s="3" t="b">
        <x:v>0</x:v>
      </x:c>
      <x:c r="U74" s="2" t="str">
        <x:f>IF(T74=TRUE,"Priority review",IF(R74=TRUE,"High cost",IF(S74=TRUE,"Low quality","Benchmark")))</x:f>
        <x:v>High cost</x:v>
      </x:c>
    </x:row>
    <x:row r="75">
      <x:c r="A75" s="2" t="str">
        <x:v>121302</x:v>
      </x:c>
      <x:c r="B75" s="2" t="str">
        <x:v>KOHALA HOSPITAL</x:v>
      </x:c>
      <x:c r="C75" s="2" t="str">
        <x:v>KAPAAU</x:v>
      </x:c>
      <x:c r="D75" s="2" t="str">
        <x:v>HI</x:v>
      </x:c>
      <x:c r="E75" s="2" t="str">
        <x:v>Critical Access Hospitals</x:v>
      </x:c>
      <x:c r="F75" s="2" t="str">
        <x:v>Government</x:v>
      </x:c>
      <x:c r="G75" s="2" t="str">
        <x:v>Small (&lt;100 beds)</x:v>
      </x:c>
      <x:c r="H75" s="7"/>
      <x:c r="I75" s="7"/>
      <x:c r="J75" s="7"/>
      <x:c r="K75" s="8" t="n">
        <x:v>25</x:v>
      </x:c>
      <x:c r="L75" s="8" t="n">
        <x:v>6</x:v>
      </x:c>
      <x:c r="M75" s="9" t="n">
        <x:v>0.6335342466</x:v>
      </x:c>
      <x:c r="N75" s="10" t="n">
        <x:v>4026309.3333333335</x:v>
      </x:c>
      <x:c r="O75" s="9" t="n">
        <x:v>-0.5385482903</x:v>
      </x:c>
      <x:c r="P75" s="9" t="n">
        <x:v>0.9940520446</x:v>
      </x:c>
      <x:c r="Q75" s="9" t="n">
        <x:v>0.292936803</x:v>
      </x:c>
      <x:c r="R75" s="3" t="b">
        <x:v>1</x:v>
      </x:c>
      <x:c r="S75" s="3" t="b">
        <x:v>0</x:v>
      </x:c>
      <x:c r="T75" s="3" t="b">
        <x:v>0</x:v>
      </x:c>
      <x:c r="U75" s="2" t="str">
        <x:f>IF(T75=TRUE,"Priority review",IF(R75=TRUE,"High cost",IF(S75=TRUE,"Low quality","Benchmark")))</x:f>
        <x:v>High cost</x:v>
      </x:c>
    </x:row>
    <x:row r="76">
      <x:c r="A76" s="2" t="str">
        <x:v>670093</x:v>
      </x:c>
      <x:c r="B76" s="2" t="str">
        <x:v>ASPIRE HOSPITAL</x:v>
      </x:c>
      <x:c r="C76" s="2" t="str">
        <x:v>CONROE</x:v>
      </x:c>
      <x:c r="D76" s="2" t="str">
        <x:v>TX</x:v>
      </x:c>
      <x:c r="E76" s="2" t="str">
        <x:v>Acute Care Hospitals</x:v>
      </x:c>
      <x:c r="F76" s="2" t="str">
        <x:v>Other / unknown</x:v>
      </x:c>
      <x:c r="G76" s="2" t="str">
        <x:v>Small (&lt;100 beds)</x:v>
      </x:c>
      <x:c r="H76" s="7"/>
      <x:c r="I76" s="7"/>
      <x:c r="J76" s="7"/>
      <x:c r="K76" s="8" t="n">
        <x:v>4</x:v>
      </x:c>
      <x:c r="L76" s="8"/>
      <x:c r="M76" s="9"/>
      <x:c r="N76" s="10"/>
      <x:c r="O76" s="9" t="n">
        <x:v>0.007729593</x:v>
      </x:c>
      <x:c r="P76" s="9" t="n">
        <x:v>0.9937163375</x:v>
      </x:c>
      <x:c r="Q76" s="9" t="n">
        <x:v>0.697486535</x:v>
      </x:c>
      <x:c r="R76" s="3" t="b">
        <x:v>1</x:v>
      </x:c>
      <x:c r="S76" s="3" t="b">
        <x:v>0</x:v>
      </x:c>
      <x:c r="T76" s="3" t="b">
        <x:v>0</x:v>
      </x:c>
      <x:c r="U76" s="2" t="str">
        <x:f>IF(T76=TRUE,"Priority review",IF(R76=TRUE,"High cost",IF(S76=TRUE,"Low quality","Benchmark")))</x:f>
        <x:v>High cost</x:v>
      </x:c>
    </x:row>
    <x:row r="77">
      <x:c r="A77" s="2" t="str">
        <x:v>440231</x:v>
      </x:c>
      <x:c r="B77" s="2" t="str">
        <x:v>TRUSTPOINT HOSPITAL</x:v>
      </x:c>
      <x:c r="C77" s="2" t="str">
        <x:v>MURFREESBORO</x:v>
      </x:c>
      <x:c r="D77" s="2" t="str">
        <x:v>TN</x:v>
      </x:c>
      <x:c r="E77" s="2" t="str">
        <x:v>Acute Care Hospitals</x:v>
      </x:c>
      <x:c r="F77" s="2" t="str">
        <x:v>Proprietary</x:v>
      </x:c>
      <x:c r="G77" s="2" t="str">
        <x:v>Small (&lt;100 beds)</x:v>
      </x:c>
      <x:c r="H77" s="7"/>
      <x:c r="I77" s="7"/>
      <x:c r="J77" s="7"/>
      <x:c r="K77" s="8" t="n">
        <x:v>13</x:v>
      </x:c>
      <x:c r="L77" s="8"/>
      <x:c r="M77" s="9"/>
      <x:c r="N77" s="10"/>
      <x:c r="O77" s="9" t="n">
        <x:v>0.234323252</x:v>
      </x:c>
      <x:c r="P77" s="9" t="n">
        <x:v>0.9937163375</x:v>
      </x:c>
      <x:c r="Q77" s="9" t="n">
        <x:v>0.697486535</x:v>
      </x:c>
      <x:c r="R77" s="3" t="b">
        <x:v>1</x:v>
      </x:c>
      <x:c r="S77" s="3" t="b">
        <x:v>0</x:v>
      </x:c>
      <x:c r="T77" s="3" t="b">
        <x:v>0</x:v>
      </x:c>
      <x:c r="U77" s="2" t="str">
        <x:f>IF(T77=TRUE,"Priority review",IF(R77=TRUE,"High cost",IF(S77=TRUE,"Low quality","Benchmark")))</x:f>
        <x:v>High cost</x:v>
      </x:c>
    </x:row>
    <x:row r="78">
      <x:c r="A78" s="2" t="str">
        <x:v>100298</x:v>
      </x:c>
      <x:c r="B78" s="2" t="str">
        <x:v>FLORIDA STATE HOSPITAL UNIT 31 MED</x:v>
      </x:c>
      <x:c r="C78" s="2" t="str">
        <x:v>CHATTAHOOCHEE</x:v>
      </x:c>
      <x:c r="D78" s="2" t="str">
        <x:v>FL</x:v>
      </x:c>
      <x:c r="E78" s="2" t="str">
        <x:v>Acute Care Hospitals</x:v>
      </x:c>
      <x:c r="F78" s="2" t="str">
        <x:v>Government</x:v>
      </x:c>
      <x:c r="G78" s="2" t="str">
        <x:v>Small (&lt;100 beds)</x:v>
      </x:c>
      <x:c r="H78" s="7"/>
      <x:c r="I78" s="7"/>
      <x:c r="J78" s="7"/>
      <x:c r="K78" s="8" t="n">
        <x:v>24</x:v>
      </x:c>
      <x:c r="L78" s="8"/>
      <x:c r="M78" s="9" t="n">
        <x:v>0.3692922374</x:v>
      </x:c>
      <x:c r="N78" s="10"/>
      <x:c r="O78" s="9" t="n">
        <x:v>-37.992873973</x:v>
      </x:c>
      <x:c r="P78" s="9" t="n">
        <x:v>0.9937163375</x:v>
      </x:c>
      <x:c r="Q78" s="9" t="n">
        <x:v>0.697486535</x:v>
      </x:c>
      <x:c r="R78" s="3" t="b">
        <x:v>1</x:v>
      </x:c>
      <x:c r="S78" s="3" t="b">
        <x:v>0</x:v>
      </x:c>
      <x:c r="T78" s="3" t="b">
        <x:v>0</x:v>
      </x:c>
      <x:c r="U78" s="2" t="str">
        <x:f>IF(T78=TRUE,"Priority review",IF(R78=TRUE,"High cost",IF(S78=TRUE,"Low quality","Benchmark")))</x:f>
        <x:v>High cost</x:v>
      </x:c>
    </x:row>
    <x:row r="79">
      <x:c r="A79" s="2" t="str">
        <x:v>670010</x:v>
      </x:c>
      <x:c r="B79" s="2" t="str">
        <x:v>MAYHILL HOSPITAL</x:v>
      </x:c>
      <x:c r="C79" s="2" t="str">
        <x:v>DENTON</x:v>
      </x:c>
      <x:c r="D79" s="2" t="str">
        <x:v>TX</x:v>
      </x:c>
      <x:c r="E79" s="2" t="str">
        <x:v>Acute Care Hospitals</x:v>
      </x:c>
      <x:c r="F79" s="2" t="str">
        <x:v>Proprietary</x:v>
      </x:c>
      <x:c r="G79" s="2" t="str">
        <x:v>Small (&lt;100 beds)</x:v>
      </x:c>
      <x:c r="H79" s="7"/>
      <x:c r="I79" s="7"/>
      <x:c r="J79" s="7"/>
      <x:c r="K79" s="8" t="n">
        <x:v>4</x:v>
      </x:c>
      <x:c r="L79" s="8"/>
      <x:c r="M79" s="9"/>
      <x:c r="N79" s="10"/>
      <x:c r="O79" s="9" t="n">
        <x:v>-0.0065000535</x:v>
      </x:c>
      <x:c r="P79" s="9" t="n">
        <x:v>0.9937163375</x:v>
      </x:c>
      <x:c r="Q79" s="9" t="n">
        <x:v>0.697486535</x:v>
      </x:c>
      <x:c r="R79" s="3" t="b">
        <x:v>1</x:v>
      </x:c>
      <x:c r="S79" s="3" t="b">
        <x:v>0</x:v>
      </x:c>
      <x:c r="T79" s="3" t="b">
        <x:v>0</x:v>
      </x:c>
      <x:c r="U79" s="2" t="str">
        <x:f>IF(T79=TRUE,"Priority review",IF(R79=TRUE,"High cost",IF(S79=TRUE,"Low quality","Benchmark")))</x:f>
        <x:v>High cost</x:v>
      </x:c>
    </x:row>
    <x:row r="80">
      <x:c r="A80" s="2" t="str">
        <x:v>330411</x:v>
      </x:c>
      <x:c r="B80" s="2" t="str">
        <x:v>UNITY SPECIALTY HOSPITAL</x:v>
      </x:c>
      <x:c r="C80" s="2" t="str">
        <x:v>ROCHESTER</x:v>
      </x:c>
      <x:c r="D80" s="2" t="str">
        <x:v>NY</x:v>
      </x:c>
      <x:c r="E80" s="2" t="str">
        <x:v>Acute Care Hospitals</x:v>
      </x:c>
      <x:c r="F80" s="2" t="str">
        <x:v>Voluntary non-profit</x:v>
      </x:c>
      <x:c r="G80" s="2" t="str">
        <x:v>Small (&lt;100 beds)</x:v>
      </x:c>
      <x:c r="H80" s="7"/>
      <x:c r="I80" s="7"/>
      <x:c r="J80" s="7"/>
      <x:c r="K80" s="8" t="n">
        <x:v>33</x:v>
      </x:c>
      <x:c r="L80" s="8"/>
      <x:c r="M80" s="9"/>
      <x:c r="N80" s="10"/>
      <x:c r="O80" s="9" t="n">
        <x:v>-0.8439282064</x:v>
      </x:c>
      <x:c r="P80" s="9" t="n">
        <x:v>0.9937163375</x:v>
      </x:c>
      <x:c r="Q80" s="9" t="n">
        <x:v>0.697486535</x:v>
      </x:c>
      <x:c r="R80" s="3" t="b">
        <x:v>1</x:v>
      </x:c>
      <x:c r="S80" s="3" t="b">
        <x:v>0</x:v>
      </x:c>
      <x:c r="T80" s="3" t="b">
        <x:v>0</x:v>
      </x:c>
      <x:c r="U80" s="2" t="str">
        <x:f>IF(T80=TRUE,"Priority review",IF(R80=TRUE,"High cost",IF(S80=TRUE,"Low quality","Benchmark")))</x:f>
        <x:v>High cost</x:v>
      </x:c>
    </x:row>
    <x:row r="81">
      <x:c r="A81" s="2" t="str">
        <x:v>250152</x:v>
      </x:c>
      <x:c r="B81" s="2" t="str">
        <x:v>MISSISSIPPI METHODIST REHAB CTR</x:v>
      </x:c>
      <x:c r="C81" s="2" t="str">
        <x:v>JACKSON</x:v>
      </x:c>
      <x:c r="D81" s="2" t="str">
        <x:v>MS</x:v>
      </x:c>
      <x:c r="E81" s="2" t="str">
        <x:v>Acute Care Hospitals</x:v>
      </x:c>
      <x:c r="F81" s="2" t="str">
        <x:v>Voluntary non-profit</x:v>
      </x:c>
      <x:c r="G81" s="2" t="str">
        <x:v>Small (&lt;100 beds)</x:v>
      </x:c>
      <x:c r="H81" s="7"/>
      <x:c r="I81" s="7"/>
      <x:c r="J81" s="7"/>
      <x:c r="K81" s="8" t="n">
        <x:v>31</x:v>
      </x:c>
      <x:c r="L81" s="8"/>
      <x:c r="M81" s="9"/>
      <x:c r="N81" s="10"/>
      <x:c r="O81" s="9" t="n">
        <x:v>-0.0080013085</x:v>
      </x:c>
      <x:c r="P81" s="9" t="n">
        <x:v>0.9937163375</x:v>
      </x:c>
      <x:c r="Q81" s="9" t="n">
        <x:v>0.697486535</x:v>
      </x:c>
      <x:c r="R81" s="3" t="b">
        <x:v>1</x:v>
      </x:c>
      <x:c r="S81" s="3" t="b">
        <x:v>0</x:v>
      </x:c>
      <x:c r="T81" s="3" t="b">
        <x:v>0</x:v>
      </x:c>
      <x:c r="U81" s="2" t="str">
        <x:f>IF(T81=TRUE,"Priority review",IF(R81=TRUE,"High cost",IF(S81=TRUE,"Low quality","Benchmark")))</x:f>
        <x:v>High cost</x:v>
      </x:c>
    </x:row>
    <x:row r="82">
      <x:c r="A82" s="2" t="str">
        <x:v>440159</x:v>
      </x:c>
      <x:c r="B82" s="2" t="str">
        <x:v>DELTA SPECIALTY HOSPITAL</x:v>
      </x:c>
      <x:c r="C82" s="2" t="str">
        <x:v>MEMPHIS</x:v>
      </x:c>
      <x:c r="D82" s="2" t="str">
        <x:v>TN</x:v>
      </x:c>
      <x:c r="E82" s="2" t="str">
        <x:v>Acute Care Hospitals</x:v>
      </x:c>
      <x:c r="F82" s="2" t="str">
        <x:v>Proprietary</x:v>
      </x:c>
      <x:c r="G82" s="2" t="str">
        <x:v>Small (&lt;100 beds)</x:v>
      </x:c>
      <x:c r="H82" s="7"/>
      <x:c r="I82" s="7"/>
      <x:c r="J82" s="7"/>
      <x:c r="K82" s="8" t="n">
        <x:v>10</x:v>
      </x:c>
      <x:c r="L82" s="8"/>
      <x:c r="M82" s="9"/>
      <x:c r="N82" s="10"/>
      <x:c r="O82" s="9" t="n">
        <x:v>0.040949508</x:v>
      </x:c>
      <x:c r="P82" s="9" t="n">
        <x:v>0.9937163375</x:v>
      </x:c>
      <x:c r="Q82" s="9" t="n">
        <x:v>0.697486535</x:v>
      </x:c>
      <x:c r="R82" s="3" t="b">
        <x:v>1</x:v>
      </x:c>
      <x:c r="S82" s="3" t="b">
        <x:v>0</x:v>
      </x:c>
      <x:c r="T82" s="3" t="b">
        <x:v>0</x:v>
      </x:c>
      <x:c r="U82" s="2" t="str">
        <x:f>IF(T82=TRUE,"Priority review",IF(R82=TRUE,"High cost",IF(S82=TRUE,"Low quality","Benchmark")))</x:f>
        <x:v>High cost</x:v>
      </x:c>
    </x:row>
    <x:row r="83">
      <x:c r="A83" s="2" t="str">
        <x:v>010110</x:v>
      </x:c>
      <x:c r="B83" s="2" t="str">
        <x:v>BULLOCK COUNTY HOSPITAL</x:v>
      </x:c>
      <x:c r="C83" s="2" t="str">
        <x:v>UNION SPRINGS</x:v>
      </x:c>
      <x:c r="D83" s="2" t="str">
        <x:v>AL</x:v>
      </x:c>
      <x:c r="E83" s="2" t="str">
        <x:v>Acute Care Hospitals</x:v>
      </x:c>
      <x:c r="F83" s="2" t="str">
        <x:v>Proprietary</x:v>
      </x:c>
      <x:c r="G83" s="2" t="str">
        <x:v>Small (&lt;100 beds)</x:v>
      </x:c>
      <x:c r="H83" s="7"/>
      <x:c r="I83" s="7"/>
      <x:c r="J83" s="7"/>
      <x:c r="K83" s="8" t="n">
        <x:v>17</x:v>
      </x:c>
      <x:c r="L83" s="8"/>
      <x:c r="M83" s="9"/>
      <x:c r="N83" s="10"/>
      <x:c r="O83" s="9" t="n">
        <x:v>-0.7601617229</x:v>
      </x:c>
      <x:c r="P83" s="9" t="n">
        <x:v>0.9937163375</x:v>
      </x:c>
      <x:c r="Q83" s="9" t="n">
        <x:v>0.697486535</x:v>
      </x:c>
      <x:c r="R83" s="3" t="b">
        <x:v>1</x:v>
      </x:c>
      <x:c r="S83" s="3" t="b">
        <x:v>0</x:v>
      </x:c>
      <x:c r="T83" s="3" t="b">
        <x:v>0</x:v>
      </x:c>
      <x:c r="U83" s="2" t="str">
        <x:f>IF(T83=TRUE,"Priority review",IF(R83=TRUE,"High cost",IF(S83=TRUE,"Low quality","Benchmark")))</x:f>
        <x:v>High cost</x:v>
      </x:c>
    </x:row>
    <x:row r="84">
      <x:c r="A84" s="2" t="str">
        <x:v>050696</x:v>
      </x:c>
      <x:c r="B84" s="2" t="str">
        <x:v>KECK HOSPITAL OF USC</x:v>
      </x:c>
      <x:c r="C84" s="2" t="str">
        <x:v>LOS ANGELES</x:v>
      </x:c>
      <x:c r="D84" s="2" t="str">
        <x:v>CA</x:v>
      </x:c>
      <x:c r="E84" s="2" t="str">
        <x:v>Acute Care Hospitals</x:v>
      </x:c>
      <x:c r="F84" s="2" t="str">
        <x:v>Voluntary non-profit</x:v>
      </x:c>
      <x:c r="G84" s="2" t="str">
        <x:v>Large (300+ beds)</x:v>
      </x:c>
      <x:c r="H84" s="7" t="n">
        <x:v>5</x:v>
      </x:c>
      <x:c r="I84" s="7" t="n">
        <x:v>4</x:v>
      </x:c>
      <x:c r="J84" s="7" t="n">
        <x:v>0.97</x:v>
      </x:c>
      <x:c r="K84" s="8" t="n">
        <x:v>326</x:v>
      </x:c>
      <x:c r="L84" s="8" t="n">
        <x:v>11967</x:v>
      </x:c>
      <x:c r="M84" s="9" t="n">
        <x:v>0.7230798887</x:v>
      </x:c>
      <x:c r="N84" s="10" t="n">
        <x:v>138276.2492688226</x:v>
      </x:c>
      <x:c r="O84" s="9" t="n">
        <x:v>-0.120296721</x:v>
      </x:c>
      <x:c r="P84" s="9" t="n">
        <x:v>0.9936908517</x:v>
      </x:c>
      <x:c r="Q84" s="9" t="n">
        <x:v>0.8722397476</x:v>
      </x:c>
      <x:c r="R84" s="3" t="b">
        <x:v>1</x:v>
      </x:c>
      <x:c r="S84" s="3" t="b">
        <x:v>0</x:v>
      </x:c>
      <x:c r="T84" s="3" t="b">
        <x:v>0</x:v>
      </x:c>
      <x:c r="U84" s="2" t="str">
        <x:f>IF(T84=TRUE,"Priority review",IF(R84=TRUE,"High cost",IF(S84=TRUE,"Low quality","Benchmark")))</x:f>
        <x:v>High cost</x:v>
      </x:c>
    </x:row>
    <x:row r="85">
      <x:c r="A85" s="2" t="str">
        <x:v>014007</x:v>
      </x:c>
      <x:c r="B85" s="2" t="str">
        <x:v>BRYCE HOSPITAL</x:v>
      </x:c>
      <x:c r="C85" s="2" t="str">
        <x:v>TUSCALOOSA</x:v>
      </x:c>
      <x:c r="D85" s="2" t="str">
        <x:v>AL</x:v>
      </x:c>
      <x:c r="E85" s="2" t="str">
        <x:v>Psychiatric</x:v>
      </x:c>
      <x:c r="F85" s="2" t="str">
        <x:v>Government</x:v>
      </x:c>
      <x:c r="G85" s="2" t="str">
        <x:v>Small (&lt;100 beds)</x:v>
      </x:c>
      <x:c r="H85" s="7"/>
      <x:c r="I85" s="7" t="n">
        <x:v>4</x:v>
      </x:c>
      <x:c r="J85" s="7"/>
      <x:c r="K85" s="8" t="n">
        <x:v>98</x:v>
      </x:c>
      <x:c r="L85" s="8" t="n">
        <x:v>37</x:v>
      </x:c>
      <x:c r="M85" s="9" t="n">
        <x:v>0.961671792</x:v>
      </x:c>
      <x:c r="N85" s="10" t="n">
        <x:v>1472623.4864864864</x:v>
      </x:c>
      <x:c r="O85" s="9" t="n">
        <x:v>0.0246373323</x:v>
      </x:c>
      <x:c r="P85" s="9" t="n">
        <x:v>0.9935275081</x:v>
      </x:c>
      <x:c r="Q85" s="9" t="n">
        <x:v>0</x:v>
      </x:c>
      <x:c r="R85" s="3" t="b">
        <x:v>1</x:v>
      </x:c>
      <x:c r="S85" s="3" t="b">
        <x:v>0</x:v>
      </x:c>
      <x:c r="T85" s="3" t="b">
        <x:v>0</x:v>
      </x:c>
      <x:c r="U85" s="2" t="str">
        <x:f>IF(T85=TRUE,"Priority review",IF(R85=TRUE,"High cost",IF(S85=TRUE,"Low quality","Benchmark")))</x:f>
        <x:v>High cost</x:v>
      </x:c>
    </x:row>
    <x:row r="86">
      <x:c r="A86" s="2" t="str">
        <x:v>191306</x:v>
      </x:c>
      <x:c r="B86" s="2" t="str">
        <x:v>WEST FELICIANA PARISH HOSPITAL</x:v>
      </x:c>
      <x:c r="C86" s="2" t="str">
        <x:v>SAINT FRANCISVILLE</x:v>
      </x:c>
      <x:c r="D86" s="2" t="str">
        <x:v>LA</x:v>
      </x:c>
      <x:c r="E86" s="2" t="str">
        <x:v>Critical Access Hospitals</x:v>
      </x:c>
      <x:c r="F86" s="2" t="str">
        <x:v>Government</x:v>
      </x:c>
      <x:c r="G86" s="2" t="str">
        <x:v>Small (&lt;100 beds)</x:v>
      </x:c>
      <x:c r="H86" s="7"/>
      <x:c r="I86" s="7"/>
      <x:c r="J86" s="7"/>
      <x:c r="K86" s="8" t="n">
        <x:v>25</x:v>
      </x:c>
      <x:c r="L86" s="8" t="n">
        <x:v>10</x:v>
      </x:c>
      <x:c r="M86" s="9" t="n">
        <x:v>0.0747540984</x:v>
      </x:c>
      <x:c r="N86" s="10" t="n">
        <x:v>3546205.3</x:v>
      </x:c>
      <x:c r="O86" s="9" t="n">
        <x:v>-0.217957709</x:v>
      </x:c>
      <x:c r="P86" s="9" t="n">
        <x:v>0.9933085502</x:v>
      </x:c>
      <x:c r="Q86" s="9" t="n">
        <x:v>0.292936803</x:v>
      </x:c>
      <x:c r="R86" s="3" t="b">
        <x:v>1</x:v>
      </x:c>
      <x:c r="S86" s="3" t="b">
        <x:v>0</x:v>
      </x:c>
      <x:c r="T86" s="3" t="b">
        <x:v>0</x:v>
      </x:c>
      <x:c r="U86" s="2" t="str">
        <x:f>IF(T86=TRUE,"Priority review",IF(R86=TRUE,"High cost",IF(S86=TRUE,"Low quality","Benchmark")))</x:f>
        <x:v>High cost</x:v>
      </x:c>
    </x:row>
    <x:row r="87">
      <x:c r="A87" s="2" t="str">
        <x:v>250081</x:v>
      </x:c>
      <x:c r="B87" s="2" t="str">
        <x:v>ANDERSON REGIONAL MEDICAL CENTER SOUTH CAMPUS</x:v>
      </x:c>
      <x:c r="C87" s="2" t="str">
        <x:v>MERIDIAN</x:v>
      </x:c>
      <x:c r="D87" s="2" t="str">
        <x:v>MS</x:v>
      </x:c>
      <x:c r="E87" s="2" t="str">
        <x:v>Acute Care Hospitals</x:v>
      </x:c>
      <x:c r="F87" s="2" t="str">
        <x:v>Proprietary</x:v>
      </x:c>
      <x:c r="G87" s="2" t="str">
        <x:v>Small (&lt;100 beds)</x:v>
      </x:c>
      <x:c r="H87" s="7"/>
      <x:c r="I87" s="7"/>
      <x:c r="J87" s="7"/>
      <x:c r="K87" s="8" t="n">
        <x:v>33</x:v>
      </x:c>
      <x:c r="L87" s="8" t="n">
        <x:v>1</x:v>
      </x:c>
      <x:c r="M87" s="9" t="n">
        <x:v>0.5535684716</x:v>
      </x:c>
      <x:c r="N87" s="10" t="n">
        <x:v>27662428</x:v>
      </x:c>
      <x:c r="O87" s="9" t="n">
        <x:v>-0.0998052013</x:v>
      </x:c>
      <x:c r="P87" s="9" t="n">
        <x:v>0.9928186715</x:v>
      </x:c>
      <x:c r="Q87" s="9" t="n">
        <x:v>0.697486535</x:v>
      </x:c>
      <x:c r="R87" s="3" t="b">
        <x:v>1</x:v>
      </x:c>
      <x:c r="S87" s="3" t="b">
        <x:v>0</x:v>
      </x:c>
      <x:c r="T87" s="3" t="b">
        <x:v>0</x:v>
      </x:c>
      <x:c r="U87" s="2" t="str">
        <x:f>IF(T87=TRUE,"Priority review",IF(R87=TRUE,"High cost",IF(S87=TRUE,"Low quality","Benchmark")))</x:f>
        <x:v>High cost</x:v>
      </x:c>
    </x:row>
    <x:row r="88">
      <x:c r="A88" s="2" t="str">
        <x:v>500005</x:v>
      </x:c>
      <x:c r="B88" s="2" t="str">
        <x:v>VIRGINIA MASON MEDICAL CENTER</x:v>
      </x:c>
      <x:c r="C88" s="2" t="str">
        <x:v>SEATTLE</x:v>
      </x:c>
      <x:c r="D88" s="2" t="str">
        <x:v>WA</x:v>
      </x:c>
      <x:c r="E88" s="2" t="str">
        <x:v>Acute Care Hospitals</x:v>
      </x:c>
      <x:c r="F88" s="2" t="str">
        <x:v>Voluntary non-profit</x:v>
      </x:c>
      <x:c r="G88" s="2" t="str">
        <x:v>Medium (100-299 beds)</x:v>
      </x:c>
      <x:c r="H88" s="7" t="n">
        <x:v>5</x:v>
      </x:c>
      <x:c r="I88" s="7" t="n">
        <x:v>4</x:v>
      </x:c>
      <x:c r="J88" s="7" t="n">
        <x:v>0.97</x:v>
      </x:c>
      <x:c r="K88" s="8" t="n">
        <x:v>199</x:v>
      </x:c>
      <x:c r="L88" s="8" t="n">
        <x:v>11937</x:v>
      </x:c>
      <x:c r="M88" s="9" t="n">
        <x:v>0.8550010326</x:v>
      </x:c>
      <x:c r="N88" s="10" t="n">
        <x:v>119060.8045572589</x:v>
      </x:c>
      <x:c r="O88" s="9" t="n">
        <x:v>-0.1043925499</x:v>
      </x:c>
      <x:c r="P88" s="9" t="n">
        <x:v>0.9926650367</x:v>
      </x:c>
      <x:c r="Q88" s="9" t="n">
        <x:v>0.8744906275</x:v>
      </x:c>
      <x:c r="R88" s="3" t="b">
        <x:v>1</x:v>
      </x:c>
      <x:c r="S88" s="3" t="b">
        <x:v>0</x:v>
      </x:c>
      <x:c r="T88" s="3" t="b">
        <x:v>0</x:v>
      </x:c>
      <x:c r="U88" s="2" t="str">
        <x:f>IF(T88=TRUE,"Priority review",IF(R88=TRUE,"High cost",IF(S88=TRUE,"Low quality","Benchmark")))</x:f>
        <x:v>High cost</x:v>
      </x:c>
    </x:row>
    <x:row r="89">
      <x:c r="A89" s="2" t="str">
        <x:v>491303</x:v>
      </x:c>
      <x:c r="B89" s="2" t="str">
        <x:v>DICKENSON COMMUNITY HOSPITAL</x:v>
      </x:c>
      <x:c r="C89" s="2" t="str">
        <x:v>CLINTWOOD</x:v>
      </x:c>
      <x:c r="D89" s="2" t="str">
        <x:v>VA</x:v>
      </x:c>
      <x:c r="E89" s="2" t="str">
        <x:v>Critical Access Hospitals</x:v>
      </x:c>
      <x:c r="F89" s="2" t="str">
        <x:v>Voluntary non-profit</x:v>
      </x:c>
      <x:c r="G89" s="2" t="str">
        <x:v>Small (&lt;100 beds)</x:v>
      </x:c>
      <x:c r="H89" s="7"/>
      <x:c r="I89" s="7"/>
      <x:c r="J89" s="7"/>
      <x:c r="K89" s="8" t="n">
        <x:v>2</x:v>
      </x:c>
      <x:c r="L89" s="8" t="n">
        <x:v>4</x:v>
      </x:c>
      <x:c r="M89" s="9" t="n">
        <x:v>0.0136612022</x:v>
      </x:c>
      <x:c r="N89" s="10" t="n">
        <x:v>3110616.75</x:v>
      </x:c>
      <x:c r="O89" s="9" t="n">
        <x:v>-0.114808613</x:v>
      </x:c>
      <x:c r="P89" s="9" t="n">
        <x:v>0.9925650558</x:v>
      </x:c>
      <x:c r="Q89" s="9" t="n">
        <x:v>0.292936803</x:v>
      </x:c>
      <x:c r="R89" s="3" t="b">
        <x:v>1</x:v>
      </x:c>
      <x:c r="S89" s="3" t="b">
        <x:v>0</x:v>
      </x:c>
      <x:c r="T89" s="3" t="b">
        <x:v>0</x:v>
      </x:c>
      <x:c r="U89" s="2" t="str">
        <x:f>IF(T89=TRUE,"Priority review",IF(R89=TRUE,"High cost",IF(S89=TRUE,"Low quality","Benchmark")))</x:f>
        <x:v>High cost</x:v>
      </x:c>
    </x:row>
    <x:row r="90">
      <x:c r="A90" s="2" t="str">
        <x:v>050262</x:v>
      </x:c>
      <x:c r="B90" s="2" t="str">
        <x:v>RONALD REAGAN UCLA MEDICAL CENTER</x:v>
      </x:c>
      <x:c r="C90" s="2" t="str">
        <x:v>LOS ANGELES</x:v>
      </x:c>
      <x:c r="D90" s="2" t="str">
        <x:v>CA</x:v>
      </x:c>
      <x:c r="E90" s="2" t="str">
        <x:v>Acute Care Hospitals</x:v>
      </x:c>
      <x:c r="F90" s="2" t="str">
        <x:v>Government</x:v>
      </x:c>
      <x:c r="G90" s="2" t="str">
        <x:v>Large (300+ beds)</x:v>
      </x:c>
      <x:c r="H90" s="7" t="n">
        <x:v>4</x:v>
      </x:c>
      <x:c r="I90" s="7" t="n">
        <x:v>3</x:v>
      </x:c>
      <x:c r="J90" s="7" t="n">
        <x:v>0.99</x:v>
      </x:c>
      <x:c r="K90" s="8" t="n">
        <x:v>446</x:v>
      </x:c>
      <x:c r="L90" s="8" t="n">
        <x:v>22799</x:v>
      </x:c>
      <x:c r="M90" s="9" t="n">
        <x:v>1.1166287856</x:v>
      </x:c>
      <x:c r="N90" s="10" t="n">
        <x:v>138185.8477564805</x:v>
      </x:c>
      <x:c r="O90" s="9" t="n">
        <x:v>-0.0073222667</x:v>
      </x:c>
      <x:c r="P90" s="9" t="n">
        <x:v>0.9921135647</x:v>
      </x:c>
      <x:c r="Q90" s="9" t="n">
        <x:v>0.5899053628</x:v>
      </x:c>
      <x:c r="R90" s="3" t="b">
        <x:v>1</x:v>
      </x:c>
      <x:c r="S90" s="3" t="b">
        <x:v>0</x:v>
      </x:c>
      <x:c r="T90" s="3" t="b">
        <x:v>0</x:v>
      </x:c>
      <x:c r="U90" s="2" t="str">
        <x:f>IF(T90=TRUE,"Priority review",IF(R90=TRUE,"High cost",IF(S90=TRUE,"Low quality","Benchmark")))</x:f>
        <x:v>High cost</x:v>
      </x:c>
    </x:row>
    <x:row r="91">
      <x:c r="A91" s="2" t="str">
        <x:v>490104</x:v>
      </x:c>
      <x:c r="B91" s="2" t="str">
        <x:v>HIRAM W DAVIS MEDICAL CENTER</x:v>
      </x:c>
      <x:c r="C91" s="2" t="str">
        <x:v>PETERSBURG</x:v>
      </x:c>
      <x:c r="D91" s="2" t="str">
        <x:v>VA</x:v>
      </x:c>
      <x:c r="E91" s="2" t="str">
        <x:v>Acute Care Hospitals</x:v>
      </x:c>
      <x:c r="F91" s="2" t="str">
        <x:v>Government</x:v>
      </x:c>
      <x:c r="G91" s="2" t="str">
        <x:v>Small (&lt;100 beds)</x:v>
      </x:c>
      <x:c r="H91" s="7"/>
      <x:c r="I91" s="7"/>
      <x:c r="J91" s="7"/>
      <x:c r="K91" s="8" t="n">
        <x:v>4</x:v>
      </x:c>
      <x:c r="L91" s="8" t="n">
        <x:v>10</x:v>
      </x:c>
      <x:c r="M91" s="9" t="n">
        <x:v>0.5609589041</x:v>
      </x:c>
      <x:c r="N91" s="10" t="n">
        <x:v>13341592.1</x:v>
      </x:c>
      <x:c r="O91" s="9" t="n">
        <x:v>-6.1256726254</x:v>
      </x:c>
      <x:c r="P91" s="9" t="n">
        <x:v>0.9919210054</x:v>
      </x:c>
      <x:c r="Q91" s="9" t="n">
        <x:v>0.697486535</x:v>
      </x:c>
      <x:c r="R91" s="3" t="b">
        <x:v>1</x:v>
      </x:c>
      <x:c r="S91" s="3" t="b">
        <x:v>0</x:v>
      </x:c>
      <x:c r="T91" s="3" t="b">
        <x:v>0</x:v>
      </x:c>
      <x:c r="U91" s="2" t="str">
        <x:f>IF(T91=TRUE,"Priority review",IF(R91=TRUE,"High cost",IF(S91=TRUE,"Low quality","Benchmark")))</x:f>
        <x:v>High cost</x:v>
      </x:c>
    </x:row>
    <x:row r="92">
      <x:c r="A92" s="2" t="str">
        <x:v>351364</x:v>
      </x:c>
      <x:c r="B92" s="2" t="str">
        <x:v>STANDING ROCK SERVICE UNIT</x:v>
      </x:c>
      <x:c r="C92" s="2" t="str">
        <x:v>FORT YATES,</x:v>
      </x:c>
      <x:c r="D92" s="2" t="str">
        <x:v>ND</x:v>
      </x:c>
      <x:c r="E92" s="2" t="str">
        <x:v>Critical Access Hospitals</x:v>
      </x:c>
      <x:c r="F92" s="2" t="str">
        <x:v>Government</x:v>
      </x:c>
      <x:c r="G92" s="2" t="str">
        <x:v>Small (&lt;100 beds)</x:v>
      </x:c>
      <x:c r="H92" s="7"/>
      <x:c r="I92" s="7"/>
      <x:c r="J92" s="7"/>
      <x:c r="K92" s="8" t="n">
        <x:v>12</x:v>
      </x:c>
      <x:c r="L92" s="8" t="n">
        <x:v>13</x:v>
      </x:c>
      <x:c r="M92" s="9" t="n">
        <x:v>0.0063926941</x:v>
      </x:c>
      <x:c r="N92" s="10" t="n">
        <x:v>2993789</x:v>
      </x:c>
      <x:c r="O92" s="9"/>
      <x:c r="P92" s="9" t="n">
        <x:v>0.9918215613</x:v>
      </x:c>
      <x:c r="Q92" s="9" t="n">
        <x:v>0.292936803</x:v>
      </x:c>
      <x:c r="R92" s="3" t="b">
        <x:v>1</x:v>
      </x:c>
      <x:c r="S92" s="3" t="b">
        <x:v>0</x:v>
      </x:c>
      <x:c r="T92" s="3" t="b">
        <x:v>0</x:v>
      </x:c>
      <x:c r="U92" s="2" t="str">
        <x:f>IF(T92=TRUE,"Priority review",IF(R92=TRUE,"High cost",IF(S92=TRUE,"Low quality","Benchmark")))</x:f>
        <x:v>High cost</x:v>
      </x:c>
    </x:row>
    <x:row r="93">
      <x:c r="A93" s="2" t="str">
        <x:v>451316</x:v>
      </x:c>
      <x:c r="B93" s="2" t="str">
        <x:v>MADISON ST JOSEPH HEALTH CENTER</x:v>
      </x:c>
      <x:c r="C93" s="2" t="str">
        <x:v>MADISONVILLE</x:v>
      </x:c>
      <x:c r="D93" s="2" t="str">
        <x:v>TX</x:v>
      </x:c>
      <x:c r="E93" s="2" t="str">
        <x:v>Critical Access Hospitals</x:v>
      </x:c>
      <x:c r="F93" s="2" t="str">
        <x:v>Voluntary non-profit</x:v>
      </x:c>
      <x:c r="G93" s="2" t="str">
        <x:v>Small (&lt;100 beds)</x:v>
      </x:c>
      <x:c r="H93" s="7"/>
      <x:c r="I93" s="7"/>
      <x:c r="J93" s="7"/>
      <x:c r="K93" s="8" t="n">
        <x:v>15</x:v>
      </x:c>
      <x:c r="L93" s="8" t="n">
        <x:v>5</x:v>
      </x:c>
      <x:c r="M93" s="9" t="n">
        <x:v>0.438173516</x:v>
      </x:c>
      <x:c r="N93" s="10" t="n">
        <x:v>2819609.6</x:v>
      </x:c>
      <x:c r="O93" s="9" t="n">
        <x:v>0.0836724215</x:v>
      </x:c>
      <x:c r="P93" s="9" t="n">
        <x:v>0.9910780669</x:v>
      </x:c>
      <x:c r="Q93" s="9" t="n">
        <x:v>0.292936803</x:v>
      </x:c>
      <x:c r="R93" s="3" t="b">
        <x:v>1</x:v>
      </x:c>
      <x:c r="S93" s="3" t="b">
        <x:v>0</x:v>
      </x:c>
      <x:c r="T93" s="3" t="b">
        <x:v>0</x:v>
      </x:c>
      <x:c r="U93" s="2" t="str">
        <x:f>IF(T93=TRUE,"Priority review",IF(R93=TRUE,"High cost",IF(S93=TRUE,"Low quality","Benchmark")))</x:f>
        <x:v>High cost</x:v>
      </x:c>
    </x:row>
    <x:row r="94">
      <x:c r="A94" s="2" t="str">
        <x:v>520066</x:v>
      </x:c>
      <x:c r="B94" s="2" t="str">
        <x:v>MERCY HEALTH SYSTEM CORP</x:v>
      </x:c>
      <x:c r="C94" s="2" t="str">
        <x:v>JANESVILLE</x:v>
      </x:c>
      <x:c r="D94" s="2" t="str">
        <x:v>WI</x:v>
      </x:c>
      <x:c r="E94" s="2" t="str">
        <x:v>Acute Care Hospitals</x:v>
      </x:c>
      <x:c r="F94" s="2" t="str">
        <x:v>Voluntary non-profit</x:v>
      </x:c>
      <x:c r="G94" s="2" t="str">
        <x:v>Medium (100-299 beds)</x:v>
      </x:c>
      <x:c r="H94" s="7" t="n">
        <x:v>3</x:v>
      </x:c>
      <x:c r="I94" s="7" t="n">
        <x:v>3</x:v>
      </x:c>
      <x:c r="J94" s="7" t="n">
        <x:v>0.92</x:v>
      </x:c>
      <x:c r="K94" s="8" t="n">
        <x:v>196</x:v>
      </x:c>
      <x:c r="L94" s="8" t="n">
        <x:v>5826</x:v>
      </x:c>
      <x:c r="M94" s="9" t="n">
        <x:v>0.394310875</x:v>
      </x:c>
      <x:c r="N94" s="10" t="n">
        <x:v>112925.1474424991</x:v>
      </x:c>
      <x:c r="O94" s="9" t="n">
        <x:v>4.3011230444</x:v>
      </x:c>
      <x:c r="P94" s="9" t="n">
        <x:v>0.9910350448</x:v>
      </x:c>
      <x:c r="Q94" s="9" t="n">
        <x:v>0.3023634882</x:v>
      </x:c>
      <x:c r="R94" s="3" t="b">
        <x:v>1</x:v>
      </x:c>
      <x:c r="S94" s="3" t="b">
        <x:v>0</x:v>
      </x:c>
      <x:c r="T94" s="3" t="b">
        <x:v>0</x:v>
      </x:c>
      <x:c r="U94" s="2" t="str">
        <x:f>IF(T94=TRUE,"Priority review",IF(R94=TRUE,"High cost",IF(S94=TRUE,"Low quality","Benchmark")))</x:f>
        <x:v>High cost</x:v>
      </x:c>
    </x:row>
    <x:row r="95">
      <x:c r="A95" s="2" t="str">
        <x:v>040132</x:v>
      </x:c>
      <x:c r="B95" s="2" t="str">
        <x:v>LEVI HOSPITAL</x:v>
      </x:c>
      <x:c r="C95" s="2" t="str">
        <x:v>HOT SPRINGS</x:v>
      </x:c>
      <x:c r="D95" s="2" t="str">
        <x:v>AR</x:v>
      </x:c>
      <x:c r="E95" s="2" t="str">
        <x:v>Acute Care Hospitals</x:v>
      </x:c>
      <x:c r="F95" s="2" t="str">
        <x:v>Voluntary non-profit</x:v>
      </x:c>
      <x:c r="G95" s="2" t="str">
        <x:v>Small (&lt;100 beds)</x:v>
      </x:c>
      <x:c r="H95" s="7"/>
      <x:c r="I95" s="7"/>
      <x:c r="J95" s="7"/>
      <x:c r="K95" s="8" t="n">
        <x:v>1</x:v>
      </x:c>
      <x:c r="L95" s="8" t="n">
        <x:v>1</x:v>
      </x:c>
      <x:c r="M95" s="9" t="n">
        <x:v>0.0027322404</x:v>
      </x:c>
      <x:c r="N95" s="10" t="n">
        <x:v>8630819</x:v>
      </x:c>
      <x:c r="O95" s="9" t="n">
        <x:v>-0.0390939142</x:v>
      </x:c>
      <x:c r="P95" s="9" t="n">
        <x:v>0.9910233393</x:v>
      </x:c>
      <x:c r="Q95" s="9" t="n">
        <x:v>0.697486535</x:v>
      </x:c>
      <x:c r="R95" s="3" t="b">
        <x:v>1</x:v>
      </x:c>
      <x:c r="S95" s="3" t="b">
        <x:v>0</x:v>
      </x:c>
      <x:c r="T95" s="3" t="b">
        <x:v>0</x:v>
      </x:c>
      <x:c r="U95" s="2" t="str">
        <x:f>IF(T95=TRUE,"Priority review",IF(R95=TRUE,"High cost",IF(S95=TRUE,"Low quality","Benchmark")))</x:f>
        <x:v>High cost</x:v>
      </x:c>
    </x:row>
    <x:row r="96">
      <x:c r="A96" s="2" t="str">
        <x:v>220071</x:v>
      </x:c>
      <x:c r="B96" s="2" t="str">
        <x:v>MASSACHUSETTS GENERAL HOSPITAL</x:v>
      </x:c>
      <x:c r="C96" s="2" t="str">
        <x:v>BOSTON</x:v>
      </x:c>
      <x:c r="D96" s="2" t="str">
        <x:v>MA</x:v>
      </x:c>
      <x:c r="E96" s="2" t="str">
        <x:v>Acute Care Hospitals</x:v>
      </x:c>
      <x:c r="F96" s="2" t="str">
        <x:v>Voluntary non-profit</x:v>
      </x:c>
      <x:c r="G96" s="2" t="str">
        <x:v>Large (300+ beds)</x:v>
      </x:c>
      <x:c r="H96" s="7" t="n">
        <x:v>5</x:v>
      </x:c>
      <x:c r="I96" s="7" t="n">
        <x:v>4</x:v>
      </x:c>
      <x:c r="J96" s="7" t="n">
        <x:v>0.98</x:v>
      </x:c>
      <x:c r="K96" s="8" t="n">
        <x:v>997</x:v>
      </x:c>
      <x:c r="L96" s="8" t="n">
        <x:v>46158</x:v>
      </x:c>
      <x:c r="M96" s="9" t="n">
        <x:v>0.9661361133</x:v>
      </x:c>
      <x:c r="N96" s="10" t="n">
        <x:v>130791.4441266953</x:v>
      </x:c>
      <x:c r="O96" s="9" t="n">
        <x:v>-0.4557240073</x:v>
      </x:c>
      <x:c r="P96" s="9" t="n">
        <x:v>0.9905362776</x:v>
      </x:c>
      <x:c r="Q96" s="9" t="n">
        <x:v>0.8722397476</x:v>
      </x:c>
      <x:c r="R96" s="3" t="b">
        <x:v>1</x:v>
      </x:c>
      <x:c r="S96" s="3" t="b">
        <x:v>0</x:v>
      </x:c>
      <x:c r="T96" s="3" t="b">
        <x:v>0</x:v>
      </x:c>
      <x:c r="U96" s="2" t="str">
        <x:f>IF(T96=TRUE,"Priority review",IF(R96=TRUE,"High cost",IF(S96=TRUE,"Low quality","Benchmark")))</x:f>
        <x:v>High cost</x:v>
      </x:c>
    </x:row>
    <x:row r="97">
      <x:c r="A97" s="2" t="str">
        <x:v>251333</x:v>
      </x:c>
      <x:c r="B97" s="2" t="str">
        <x:v>PEARL RIVER COUNTY HOSPITAL</x:v>
      </x:c>
      <x:c r="C97" s="2" t="str">
        <x:v>POPLARVILLE</x:v>
      </x:c>
      <x:c r="D97" s="2" t="str">
        <x:v>MS</x:v>
      </x:c>
      <x:c r="E97" s="2" t="str">
        <x:v>Critical Access Hospitals</x:v>
      </x:c>
      <x:c r="F97" s="2" t="str">
        <x:v>Government</x:v>
      </x:c>
      <x:c r="G97" s="2" t="str">
        <x:v>Small (&lt;100 beds)</x:v>
      </x:c>
      <x:c r="H97" s="7"/>
      <x:c r="I97" s="7"/>
      <x:c r="J97" s="7"/>
      <x:c r="K97" s="8" t="n">
        <x:v>24</x:v>
      </x:c>
      <x:c r="L97" s="8" t="n">
        <x:v>9</x:v>
      </x:c>
      <x:c r="M97" s="9" t="n">
        <x:v>0.2255236794</x:v>
      </x:c>
      <x:c r="N97" s="10" t="n">
        <x:v>2602382.777777778</x:v>
      </x:c>
      <x:c r="O97" s="9" t="n">
        <x:v>-0.277967803</x:v>
      </x:c>
      <x:c r="P97" s="9" t="n">
        <x:v>0.9903345725</x:v>
      </x:c>
      <x:c r="Q97" s="9" t="n">
        <x:v>0.292936803</x:v>
      </x:c>
      <x:c r="R97" s="3" t="b">
        <x:v>1</x:v>
      </x:c>
      <x:c r="S97" s="3" t="b">
        <x:v>0</x:v>
      </x:c>
      <x:c r="T97" s="3" t="b">
        <x:v>0</x:v>
      </x:c>
      <x:c r="U97" s="2" t="str">
        <x:f>IF(T97=TRUE,"Priority review",IF(R97=TRUE,"High cost",IF(S97=TRUE,"Low quality","Benchmark")))</x:f>
        <x:v>High cost</x:v>
      </x:c>
    </x:row>
    <x:row r="98">
      <x:c r="A98" s="2" t="str">
        <x:v>144038</x:v>
      </x:c>
      <x:c r="B98" s="2" t="str">
        <x:v>CHOATE MENTAL HEALTH &amp; DEVELOPMENT CTR</x:v>
      </x:c>
      <x:c r="C98" s="2" t="str">
        <x:v>ANNA</x:v>
      </x:c>
      <x:c r="D98" s="2" t="str">
        <x:v>IL</x:v>
      </x:c>
      <x:c r="E98" s="2" t="str">
        <x:v>Psychiatric</x:v>
      </x:c>
      <x:c r="F98" s="2" t="str">
        <x:v>Government</x:v>
      </x:c>
      <x:c r="G98" s="2" t="str">
        <x:v>Small (&lt;100 beds)</x:v>
      </x:c>
      <x:c r="H98" s="7"/>
      <x:c r="I98" s="7"/>
      <x:c r="J98" s="7"/>
      <x:c r="K98" s="8" t="n">
        <x:v>87</x:v>
      </x:c>
      <x:c r="L98" s="8" t="n">
        <x:v>46</x:v>
      </x:c>
      <x:c r="M98" s="9" t="n">
        <x:v>0.6984096993</x:v>
      </x:c>
      <x:c r="N98" s="10" t="n">
        <x:v>1259622.4130434783</x:v>
      </x:c>
      <x:c r="O98" s="9"/>
      <x:c r="P98" s="9" t="n">
        <x:v>0.9902912621</x:v>
      </x:c>
      <x:c r="Q98" s="9" t="n">
        <x:v>0</x:v>
      </x:c>
      <x:c r="R98" s="3" t="b">
        <x:v>1</x:v>
      </x:c>
      <x:c r="S98" s="3" t="b">
        <x:v>0</x:v>
      </x:c>
      <x:c r="T98" s="3" t="b">
        <x:v>0</x:v>
      </x:c>
      <x:c r="U98" s="2" t="str">
        <x:f>IF(T98=TRUE,"Priority review",IF(R98=TRUE,"High cost",IF(S98=TRUE,"Low quality","Benchmark")))</x:f>
        <x:v>High cost</x:v>
      </x:c>
    </x:row>
    <x:row r="99">
      <x:c r="A99" s="2" t="str">
        <x:v>500016</x:v>
      </x:c>
      <x:c r="B99" s="2" t="str">
        <x:v>CONFLUENCE HEALTH HOSPITAL</x:v>
      </x:c>
      <x:c r="C99" s="2" t="str">
        <x:v>WENATCHEE</x:v>
      </x:c>
      <x:c r="D99" s="2" t="str">
        <x:v>WA</x:v>
      </x:c>
      <x:c r="E99" s="2" t="str">
        <x:v>Acute Care Hospitals</x:v>
      </x:c>
      <x:c r="F99" s="2" t="str">
        <x:v>Voluntary non-profit</x:v>
      </x:c>
      <x:c r="G99" s="2" t="str">
        <x:v>Medium (100-299 beds)</x:v>
      </x:c>
      <x:c r="H99" s="7" t="n">
        <x:v>3</x:v>
      </x:c>
      <x:c r="I99" s="7" t="n">
        <x:v>4</x:v>
      </x:c>
      <x:c r="J99" s="7" t="n">
        <x:v>0.94</x:v>
      </x:c>
      <x:c r="K99" s="8" t="n">
        <x:v>187</x:v>
      </x:c>
      <x:c r="L99" s="8" t="n">
        <x:v>9697</x:v>
      </x:c>
      <x:c r="M99" s="9" t="n">
        <x:v>0.6523187516</x:v>
      </x:c>
      <x:c r="N99" s="10" t="n">
        <x:v>110539.8563473239</x:v>
      </x:c>
      <x:c r="O99" s="9" t="n">
        <x:v>-0.1391829905</x:v>
      </x:c>
      <x:c r="P99" s="9" t="n">
        <x:v>0.9902200489</x:v>
      </x:c>
      <x:c r="Q99" s="9" t="n">
        <x:v>0.3023634882</x:v>
      </x:c>
      <x:c r="R99" s="3" t="b">
        <x:v>1</x:v>
      </x:c>
      <x:c r="S99" s="3" t="b">
        <x:v>0</x:v>
      </x:c>
      <x:c r="T99" s="3" t="b">
        <x:v>0</x:v>
      </x:c>
      <x:c r="U99" s="2" t="str">
        <x:f>IF(T99=TRUE,"Priority review",IF(R99=TRUE,"High cost",IF(S99=TRUE,"Low quality","Benchmark")))</x:f>
        <x:v>High cost</x:v>
      </x:c>
    </x:row>
    <x:row r="100">
      <x:c r="A100" s="2" t="str">
        <x:v>060107</x:v>
      </x:c>
      <x:c r="B100" s="2" t="str">
        <x:v>NATIONAL JEWISH HEALTH</x:v>
      </x:c>
      <x:c r="C100" s="2" t="str">
        <x:v>DENVER</x:v>
      </x:c>
      <x:c r="D100" s="2" t="str">
        <x:v>CO</x:v>
      </x:c>
      <x:c r="E100" s="2" t="str">
        <x:v>Acute Care Hospitals</x:v>
      </x:c>
      <x:c r="F100" s="2" t="str">
        <x:v>Voluntary non-profit</x:v>
      </x:c>
      <x:c r="G100" s="2" t="str">
        <x:v>Small (&lt;100 beds)</x:v>
      </x:c>
      <x:c r="H100" s="7"/>
      <x:c r="I100" s="7"/>
      <x:c r="J100" s="7"/>
      <x:c r="K100" s="8" t="n">
        <x:v>5</x:v>
      </x:c>
      <x:c r="L100" s="8" t="n">
        <x:v>53</x:v>
      </x:c>
      <x:c r="M100" s="9" t="n">
        <x:v>0.1923287671</x:v>
      </x:c>
      <x:c r="N100" s="10" t="n">
        <x:v>7200245.2830188675</x:v>
      </x:c>
      <x:c r="O100" s="9" t="n">
        <x:v>-1.4897113703</x:v>
      </x:c>
      <x:c r="P100" s="9" t="n">
        <x:v>0.9901256732</x:v>
      </x:c>
      <x:c r="Q100" s="9" t="n">
        <x:v>0.697486535</x:v>
      </x:c>
      <x:c r="R100" s="3" t="b">
        <x:v>1</x:v>
      </x:c>
      <x:c r="S100" s="3" t="b">
        <x:v>0</x:v>
      </x:c>
      <x:c r="T100" s="3" t="b">
        <x:v>0</x:v>
      </x:c>
      <x:c r="U100" s="2" t="str">
        <x:f>IF(T100=TRUE,"Priority review",IF(R100=TRUE,"High cost",IF(S100=TRUE,"Low quality","Benchmark")))</x:f>
        <x:v>High cost</x:v>
      </x:c>
    </x:row>
    <x:row r="101">
      <x:c r="A101" s="2" t="str">
        <x:v>264007</x:v>
      </x:c>
      <x:c r="B101" s="2" t="str">
        <x:v>NORTHWEST MISSOURI PSYCHIATRIC REHAB CTR</x:v>
      </x:c>
      <x:c r="C101" s="2" t="str">
        <x:v>SAINT JOSEPH</x:v>
      </x:c>
      <x:c r="D101" s="2" t="str">
        <x:v>MO</x:v>
      </x:c>
      <x:c r="E101" s="2" t="str">
        <x:v>Psychiatric</x:v>
      </x:c>
      <x:c r="F101" s="2" t="str">
        <x:v>Government</x:v>
      </x:c>
      <x:c r="G101" s="2" t="str">
        <x:v>Medium (100-299 beds)</x:v>
      </x:c>
      <x:c r="H101" s="7"/>
      <x:c r="I101" s="7"/>
      <x:c r="J101" s="7"/>
      <x:c r="K101" s="8" t="n">
        <x:v>108</x:v>
      </x:c>
      <x:c r="L101" s="8" t="n">
        <x:v>26</x:v>
      </x:c>
      <x:c r="M101" s="9" t="n">
        <x:v>0.997412481</x:v>
      </x:c>
      <x:c r="N101" s="10" t="n">
        <x:v>2959883.730769231</x:v>
      </x:c>
      <x:c r="O101" s="9" t="n">
        <x:v>-2.1933348053</x:v>
      </x:c>
      <x:c r="P101" s="9" t="n">
        <x:v>0.9900497512</x:v>
      </x:c>
      <x:c r="Q101" s="9" t="n">
        <x:v>0</x:v>
      </x:c>
      <x:c r="R101" s="3" t="b">
        <x:v>1</x:v>
      </x:c>
      <x:c r="S101" s="3" t="b">
        <x:v>0</x:v>
      </x:c>
      <x:c r="T101" s="3" t="b">
        <x:v>0</x:v>
      </x:c>
      <x:c r="U101" s="2" t="str">
        <x:f>IF(T101=TRUE,"Priority review",IF(R101=TRUE,"High cost",IF(S101=TRUE,"Low quality","Benchmark")))</x:f>
        <x:v>High cost</x:v>
      </x:c>
    </x:row>
    <x:row r="102">
      <x:c r="A102" s="2" t="str">
        <x:v>371311</x:v>
      </x:c>
      <x:c r="B102" s="2" t="str">
        <x:v>JEFFERSON COUNTY HOSPITAL</x:v>
      </x:c>
      <x:c r="C102" s="2" t="str">
        <x:v>WAURIKA</x:v>
      </x:c>
      <x:c r="D102" s="2" t="str">
        <x:v>OK</x:v>
      </x:c>
      <x:c r="E102" s="2" t="str">
        <x:v>Critical Access Hospitals</x:v>
      </x:c>
      <x:c r="F102" s="2" t="str">
        <x:v>Voluntary non-profit</x:v>
      </x:c>
      <x:c r="G102" s="2" t="str">
        <x:v>Small (&lt;100 beds)</x:v>
      </x:c>
      <x:c r="H102" s="7"/>
      <x:c r="I102" s="7"/>
      <x:c r="J102" s="7"/>
      <x:c r="K102" s="8" t="n">
        <x:v>25</x:v>
      </x:c>
      <x:c r="L102" s="8" t="n">
        <x:v>17</x:v>
      </x:c>
      <x:c r="M102" s="9" t="n">
        <x:v>0.2278356164</x:v>
      </x:c>
      <x:c r="N102" s="10" t="n">
        <x:v>2307697.470588235</x:v>
      </x:c>
      <x:c r="O102" s="9" t="n">
        <x:v>0.1234583605</x:v>
      </x:c>
      <x:c r="P102" s="9" t="n">
        <x:v>0.9895910781</x:v>
      </x:c>
      <x:c r="Q102" s="9" t="n">
        <x:v>0.292936803</x:v>
      </x:c>
      <x:c r="R102" s="3" t="b">
        <x:v>1</x:v>
      </x:c>
      <x:c r="S102" s="3" t="b">
        <x:v>0</x:v>
      </x:c>
      <x:c r="T102" s="3" t="b">
        <x:v>0</x:v>
      </x:c>
      <x:c r="U102" s="2" t="str">
        <x:f>IF(T102=TRUE,"Priority review",IF(R102=TRUE,"High cost",IF(S102=TRUE,"Low quality","Benchmark")))</x:f>
        <x:v>High cost</x:v>
      </x:c>
    </x:row>
    <x:row r="103">
      <x:c r="A103" s="2" t="str">
        <x:v>210064</x:v>
      </x:c>
      <x:c r="B103" s="2" t="str">
        <x:v>LEVINDALE HEBREW GERIATRIC CENTER AND HOSPITAL</x:v>
      </x:c>
      <x:c r="C103" s="2" t="str">
        <x:v>BALTIMORE</x:v>
      </x:c>
      <x:c r="D103" s="2" t="str">
        <x:v>MD</x:v>
      </x:c>
      <x:c r="E103" s="2" t="str">
        <x:v>Acute Care Hospitals</x:v>
      </x:c>
      <x:c r="F103" s="2" t="str">
        <x:v>Voluntary non-profit</x:v>
      </x:c>
      <x:c r="G103" s="2" t="str">
        <x:v>Medium (100-299 beds)</x:v>
      </x:c>
      <x:c r="H103" s="7"/>
      <x:c r="I103" s="7"/>
      <x:c r="J103" s="7"/>
      <x:c r="K103" s="8" t="n">
        <x:v>120</x:v>
      </x:c>
      <x:c r="L103" s="8" t="n">
        <x:v>846</x:v>
      </x:c>
      <x:c r="M103" s="9" t="n">
        <x:v>0.7382876712</x:v>
      </x:c>
      <x:c r="N103" s="10" t="n">
        <x:v>110311.646572104</x:v>
      </x:c>
      <x:c r="O103" s="9" t="n">
        <x:v>0.0396992961</x:v>
      </x:c>
      <x:c r="P103" s="9" t="n">
        <x:v>0.989405053</x:v>
      </x:c>
      <x:c r="Q103" s="9" t="n">
        <x:v>0.9616951915</x:v>
      </x:c>
      <x:c r="R103" s="3" t="b">
        <x:v>1</x:v>
      </x:c>
      <x:c r="S103" s="3" t="b">
        <x:v>0</x:v>
      </x:c>
      <x:c r="T103" s="3" t="b">
        <x:v>0</x:v>
      </x:c>
      <x:c r="U103" s="2" t="str">
        <x:f>IF(T103=TRUE,"Priority review",IF(R103=TRUE,"High cost",IF(S103=TRUE,"Low quality","Benchmark")))</x:f>
        <x:v>High cost</x:v>
      </x:c>
    </x:row>
    <x:row r="104">
      <x:c r="A104" s="2" t="str">
        <x:v>070038</x:v>
      </x:c>
      <x:c r="B104" s="2" t="str">
        <x:v>THE CONNECTICUT HOSPICE INC.</x:v>
      </x:c>
      <x:c r="C104" s="2" t="str">
        <x:v>BRANFORD</x:v>
      </x:c>
      <x:c r="D104" s="2" t="str">
        <x:v>CT</x:v>
      </x:c>
      <x:c r="E104" s="2" t="str">
        <x:v>Acute Care Hospitals</x:v>
      </x:c>
      <x:c r="F104" s="2" t="str">
        <x:v>Voluntary non-profit</x:v>
      </x:c>
      <x:c r="G104" s="2" t="str">
        <x:v>Small (&lt;100 beds)</x:v>
      </x:c>
      <x:c r="H104" s="7"/>
      <x:c r="I104" s="7"/>
      <x:c r="J104" s="7"/>
      <x:c r="K104" s="8" t="n">
        <x:v>10</x:v>
      </x:c>
      <x:c r="L104" s="8" t="n">
        <x:v>4</x:v>
      </x:c>
      <x:c r="M104" s="9" t="n">
        <x:v>0.0032786885</x:v>
      </x:c>
      <x:c r="N104" s="10" t="n">
        <x:v>5083031</x:v>
      </x:c>
      <x:c r="O104" s="9" t="n">
        <x:v>-0.2282042346</x:v>
      </x:c>
      <x:c r="P104" s="9" t="n">
        <x:v>0.9892280072</x:v>
      </x:c>
      <x:c r="Q104" s="9" t="n">
        <x:v>0.697486535</x:v>
      </x:c>
      <x:c r="R104" s="3" t="b">
        <x:v>1</x:v>
      </x:c>
      <x:c r="S104" s="3" t="b">
        <x:v>0</x:v>
      </x:c>
      <x:c r="T104" s="3" t="b">
        <x:v>0</x:v>
      </x:c>
      <x:c r="U104" s="2" t="str">
        <x:f>IF(T104=TRUE,"Priority review",IF(R104=TRUE,"High cost",IF(S104=TRUE,"Low quality","Benchmark")))</x:f>
        <x:v>High cost</x:v>
      </x:c>
    </x:row>
    <x:row r="105">
      <x:c r="A105" s="2" t="str">
        <x:v>380009</x:v>
      </x:c>
      <x:c r="B105" s="2" t="str">
        <x:v>OHSU HOSPITAL AND CLINICS</x:v>
      </x:c>
      <x:c r="C105" s="2" t="str">
        <x:v>PORTLAND</x:v>
      </x:c>
      <x:c r="D105" s="2" t="str">
        <x:v>OR</x:v>
      </x:c>
      <x:c r="E105" s="2" t="str">
        <x:v>Acute Care Hospitals</x:v>
      </x:c>
      <x:c r="F105" s="2" t="str">
        <x:v>Voluntary non-profit</x:v>
      </x:c>
      <x:c r="G105" s="2" t="str">
        <x:v>Large (300+ beds)</x:v>
      </x:c>
      <x:c r="H105" s="7" t="n">
        <x:v>3</x:v>
      </x:c>
      <x:c r="I105" s="7" t="n">
        <x:v>3</x:v>
      </x:c>
      <x:c r="J105" s="7" t="n">
        <x:v>0.97</x:v>
      </x:c>
      <x:c r="K105" s="8" t="n">
        <x:v>562</x:v>
      </x:c>
      <x:c r="L105" s="8" t="n">
        <x:v>29469</x:v>
      </x:c>
      <x:c r="M105" s="9" t="n">
        <x:v>0.9272401626</x:v>
      </x:c>
      <x:c r="N105" s="10" t="n">
        <x:v>127101.9695612338</x:v>
      </x:c>
      <x:c r="O105" s="9" t="n">
        <x:v>-0.1771372365</x:v>
      </x:c>
      <x:c r="P105" s="9" t="n">
        <x:v>0.9889589905</x:v>
      </x:c>
      <x:c r="Q105" s="9" t="n">
        <x:v>0.2570977918</x:v>
      </x:c>
      <x:c r="R105" s="3" t="b">
        <x:v>1</x:v>
      </x:c>
      <x:c r="S105" s="3" t="b">
        <x:v>0</x:v>
      </x:c>
      <x:c r="T105" s="3" t="b">
        <x:v>0</x:v>
      </x:c>
      <x:c r="U105" s="2" t="str">
        <x:f>IF(T105=TRUE,"Priority review",IF(R105=TRUE,"High cost",IF(S105=TRUE,"Low quality","Benchmark")))</x:f>
        <x:v>High cost</x:v>
      </x:c>
    </x:row>
    <x:row r="106">
      <x:c r="A106" s="2" t="str">
        <x:v>031307</x:v>
      </x:c>
      <x:c r="B106" s="2" t="str">
        <x:v>PARKER INDIAN HEALTH CENTER</x:v>
      </x:c>
      <x:c r="C106" s="2" t="str">
        <x:v>PARKER</x:v>
      </x:c>
      <x:c r="D106" s="2" t="str">
        <x:v>AZ</x:v>
      </x:c>
      <x:c r="E106" s="2" t="str">
        <x:v>Critical Access Hospitals</x:v>
      </x:c>
      <x:c r="F106" s="2" t="str">
        <x:v>Government</x:v>
      </x:c>
      <x:c r="G106" s="2" t="str">
        <x:v>Small (&lt;100 beds)</x:v>
      </x:c>
      <x:c r="H106" s="7"/>
      <x:c r="I106" s="7"/>
      <x:c r="J106" s="7"/>
      <x:c r="K106" s="8" t="n">
        <x:v>20</x:v>
      </x:c>
      <x:c r="L106" s="8" t="n">
        <x:v>34</x:v>
      </x:c>
      <x:c r="M106" s="9" t="n">
        <x:v>0.0333333333</x:v>
      </x:c>
      <x:c r="N106" s="10" t="n">
        <x:v>2045934.4705882352</x:v>
      </x:c>
      <x:c r="O106" s="9"/>
      <x:c r="P106" s="9" t="n">
        <x:v>0.9888475836</x:v>
      </x:c>
      <x:c r="Q106" s="9" t="n">
        <x:v>0.292936803</x:v>
      </x:c>
      <x:c r="R106" s="3" t="b">
        <x:v>1</x:v>
      </x:c>
      <x:c r="S106" s="3" t="b">
        <x:v>0</x:v>
      </x:c>
      <x:c r="T106" s="3" t="b">
        <x:v>0</x:v>
      </x:c>
      <x:c r="U106" s="2" t="str">
        <x:f>IF(T106=TRUE,"Priority review",IF(R106=TRUE,"High cost",IF(S106=TRUE,"Low quality","Benchmark")))</x:f>
        <x:v>High cost</x:v>
      </x:c>
    </x:row>
    <x:row r="107">
      <x:c r="A107" s="2" t="str">
        <x:v>250018</x:v>
      </x:c>
      <x:c r="B107" s="2" t="str">
        <x:v>JASPER GENERAL HOSPITAL</x:v>
      </x:c>
      <x:c r="C107" s="2" t="str">
        <x:v>BAY SPRINGS</x:v>
      </x:c>
      <x:c r="D107" s="2" t="str">
        <x:v>MS</x:v>
      </x:c>
      <x:c r="E107" s="2" t="str">
        <x:v>Acute Care Hospitals</x:v>
      </x:c>
      <x:c r="F107" s="2" t="str">
        <x:v>Government</x:v>
      </x:c>
      <x:c r="G107" s="2" t="str">
        <x:v>Small (&lt;100 beds)</x:v>
      </x:c>
      <x:c r="H107" s="7"/>
      <x:c r="I107" s="7"/>
      <x:c r="J107" s="7"/>
      <x:c r="K107" s="8" t="n">
        <x:v>20</x:v>
      </x:c>
      <x:c r="L107" s="8" t="n">
        <x:v>4</x:v>
      </x:c>
      <x:c r="M107" s="9" t="n">
        <x:v>0.2706284153</x:v>
      </x:c>
      <x:c r="N107" s="10" t="n">
        <x:v>4477171.75</x:v>
      </x:c>
      <x:c r="O107" s="9" t="n">
        <x:v>-0.0999927399</x:v>
      </x:c>
      <x:c r="P107" s="9" t="n">
        <x:v>0.9883303411</x:v>
      </x:c>
      <x:c r="Q107" s="9" t="n">
        <x:v>0.697486535</x:v>
      </x:c>
      <x:c r="R107" s="3" t="b">
        <x:v>1</x:v>
      </x:c>
      <x:c r="S107" s="3" t="b">
        <x:v>0</x:v>
      </x:c>
      <x:c r="T107" s="3" t="b">
        <x:v>0</x:v>
      </x:c>
      <x:c r="U107" s="2" t="str">
        <x:f>IF(T107=TRUE,"Priority review",IF(R107=TRUE,"High cost",IF(S107=TRUE,"Low quality","Benchmark")))</x:f>
        <x:v>High cost</x:v>
      </x:c>
    </x:row>
    <x:row r="108">
      <x:c r="A108" s="2" t="str">
        <x:v>271315</x:v>
      </x:c>
      <x:c r="B108" s="2" t="str">
        <x:v>P H S INDIAN HOSPITAL-FT BELKNAP AT HARLEM - CAH</x:v>
      </x:c>
      <x:c r="C108" s="2" t="str">
        <x:v>HARLEM</x:v>
      </x:c>
      <x:c r="D108" s="2" t="str">
        <x:v>MT</x:v>
      </x:c>
      <x:c r="E108" s="2" t="str">
        <x:v>Critical Access Hospitals</x:v>
      </x:c>
      <x:c r="F108" s="2" t="str">
        <x:v>Government</x:v>
      </x:c>
      <x:c r="G108" s="2" t="str">
        <x:v>Small (&lt;100 beds)</x:v>
      </x:c>
      <x:c r="H108" s="7"/>
      <x:c r="I108" s="7"/>
      <x:c r="J108" s="7"/>
      <x:c r="K108" s="8" t="n">
        <x:v>6</x:v>
      </x:c>
      <x:c r="L108" s="8" t="n">
        <x:v>26</x:v>
      </x:c>
      <x:c r="M108" s="9" t="n">
        <x:v>0.0245901639</x:v>
      </x:c>
      <x:c r="N108" s="10" t="n">
        <x:v>1999279.2307692308</x:v>
      </x:c>
      <x:c r="O108" s="9"/>
      <x:c r="P108" s="9" t="n">
        <x:v>0.9881040892</x:v>
      </x:c>
      <x:c r="Q108" s="9" t="n">
        <x:v>0.292936803</x:v>
      </x:c>
      <x:c r="R108" s="3" t="b">
        <x:v>1</x:v>
      </x:c>
      <x:c r="S108" s="3" t="b">
        <x:v>0</x:v>
      </x:c>
      <x:c r="T108" s="3" t="b">
        <x:v>0</x:v>
      </x:c>
      <x:c r="U108" s="2" t="str">
        <x:f>IF(T108=TRUE,"Priority review",IF(R108=TRUE,"High cost",IF(S108=TRUE,"Low quality","Benchmark")))</x:f>
        <x:v>High cost</x:v>
      </x:c>
    </x:row>
    <x:row r="109">
      <x:c r="A109" s="2" t="str">
        <x:v>140189</x:v>
      </x:c>
      <x:c r="B109" s="2" t="str">
        <x:v>SARAH BUSH LINCOLN HEALTH CENTER</x:v>
      </x:c>
      <x:c r="C109" s="2" t="str">
        <x:v>MATTOON</x:v>
      </x:c>
      <x:c r="D109" s="2" t="str">
        <x:v>IL</x:v>
      </x:c>
      <x:c r="E109" s="2" t="str">
        <x:v>Acute Care Hospitals</x:v>
      </x:c>
      <x:c r="F109" s="2" t="str">
        <x:v>Voluntary non-profit</x:v>
      </x:c>
      <x:c r="G109" s="2" t="str">
        <x:v>Medium (100-299 beds)</x:v>
      </x:c>
      <x:c r="H109" s="7" t="n">
        <x:v>3</x:v>
      </x:c>
      <x:c r="I109" s="7" t="n">
        <x:v>4</x:v>
      </x:c>
      <x:c r="J109" s="7" t="n">
        <x:v>0.93</x:v>
      </x:c>
      <x:c r="K109" s="8" t="n">
        <x:v>100</x:v>
      </x:c>
      <x:c r="L109" s="8" t="n">
        <x:v>6667</x:v>
      </x:c>
      <x:c r="M109" s="9" t="n">
        <x:v>0.7463561644</x:v>
      </x:c>
      <x:c r="N109" s="10" t="n">
        <x:v>96950.3985300735</x:v>
      </x:c>
      <x:c r="O109" s="9" t="n">
        <x:v>-0.0129862396</x:v>
      </x:c>
      <x:c r="P109" s="9" t="n">
        <x:v>0.9877750611</x:v>
      </x:c>
      <x:c r="Q109" s="9" t="n">
        <x:v>0.3023634882</x:v>
      </x:c>
      <x:c r="R109" s="3" t="b">
        <x:v>1</x:v>
      </x:c>
      <x:c r="S109" s="3" t="b">
        <x:v>0</x:v>
      </x:c>
      <x:c r="T109" s="3" t="b">
        <x:v>0</x:v>
      </x:c>
      <x:c r="U109" s="2" t="str">
        <x:f>IF(T109=TRUE,"Priority review",IF(R109=TRUE,"High cost",IF(S109=TRUE,"Low quality","Benchmark")))</x:f>
        <x:v>High cost</x:v>
      </x:c>
    </x:row>
    <x:row r="110">
      <x:c r="A110" s="2" t="str">
        <x:v>230078</x:v>
      </x:c>
      <x:c r="B110" s="2" t="str">
        <x:v>COREWELL HEALTH WATERVLIET HOSPITAL</x:v>
      </x:c>
      <x:c r="C110" s="2" t="str">
        <x:v>WATERVLIET</x:v>
      </x:c>
      <x:c r="D110" s="2" t="str">
        <x:v>MI</x:v>
      </x:c>
      <x:c r="E110" s="2" t="str">
        <x:v>Acute Care Hospitals</x:v>
      </x:c>
      <x:c r="F110" s="2" t="str">
        <x:v>Voluntary non-profit</x:v>
      </x:c>
      <x:c r="G110" s="2" t="str">
        <x:v>Small (&lt;100 beds)</x:v>
      </x:c>
      <x:c r="H110" s="7"/>
      <x:c r="I110" s="7"/>
      <x:c r="J110" s="7"/>
      <x:c r="K110" s="8" t="n">
        <x:v>26</x:v>
      </x:c>
      <x:c r="L110" s="8" t="n">
        <x:v>16</x:v>
      </x:c>
      <x:c r="M110" s="9" t="n">
        <x:v>0.0017913593</x:v>
      </x:c>
      <x:c r="N110" s="10" t="n">
        <x:v>3229221.25</x:v>
      </x:c>
      <x:c r="O110" s="9" t="n">
        <x:v>0.0055639297</x:v>
      </x:c>
      <x:c r="P110" s="9" t="n">
        <x:v>0.987432675</x:v>
      </x:c>
      <x:c r="Q110" s="9" t="n">
        <x:v>0.697486535</x:v>
      </x:c>
      <x:c r="R110" s="3" t="b">
        <x:v>1</x:v>
      </x:c>
      <x:c r="S110" s="3" t="b">
        <x:v>0</x:v>
      </x:c>
      <x:c r="T110" s="3" t="b">
        <x:v>0</x:v>
      </x:c>
      <x:c r="U110" s="2" t="str">
        <x:f>IF(T110=TRUE,"Priority review",IF(R110=TRUE,"High cost",IF(S110=TRUE,"Low quality","Benchmark")))</x:f>
        <x:v>High cost</x:v>
      </x:c>
    </x:row>
    <x:row r="111">
      <x:c r="A111" s="2" t="str">
        <x:v>150056</x:v>
      </x:c>
      <x:c r="B111" s="2" t="str">
        <x:v>INDIANA UNIVERSITY HEALTH</x:v>
      </x:c>
      <x:c r="C111" s="2" t="str">
        <x:v>INDIANAPOLIS</x:v>
      </x:c>
      <x:c r="D111" s="2" t="str">
        <x:v>IN</x:v>
      </x:c>
      <x:c r="E111" s="2" t="str">
        <x:v>Acute Care Hospitals</x:v>
      </x:c>
      <x:c r="F111" s="2" t="str">
        <x:v>Voluntary non-profit</x:v>
      </x:c>
      <x:c r="G111" s="2" t="str">
        <x:v>Large (300+ beds)</x:v>
      </x:c>
      <x:c r="H111" s="7" t="n">
        <x:v>3</x:v>
      </x:c>
      <x:c r="I111" s="7" t="n">
        <x:v>2</x:v>
      </x:c>
      <x:c r="J111" s="7" t="n">
        <x:v>1.05</x:v>
      </x:c>
      <x:c r="K111" s="8" t="n">
        <x:v>1276</x:v>
      </x:c>
      <x:c r="L111" s="8" t="n">
        <x:v>48033</x:v>
      </x:c>
      <x:c r="M111" s="9" t="n">
        <x:v>0.7504908352</x:v>
      </x:c>
      <x:c r="N111" s="10" t="n">
        <x:v>118565.8005537859</x:v>
      </x:c>
      <x:c r="O111" s="9" t="n">
        <x:v>-0.340136821</x:v>
      </x:c>
      <x:c r="P111" s="9" t="n">
        <x:v>0.9873817035</x:v>
      </x:c>
      <x:c r="Q111" s="9" t="n">
        <x:v>0.2570977918</x:v>
      </x:c>
      <x:c r="R111" s="3" t="b">
        <x:v>1</x:v>
      </x:c>
      <x:c r="S111" s="3" t="b">
        <x:v>0</x:v>
      </x:c>
      <x:c r="T111" s="3" t="b">
        <x:v>0</x:v>
      </x:c>
      <x:c r="U111" s="2" t="str">
        <x:f>IF(T111=TRUE,"Priority review",IF(R111=TRUE,"High cost",IF(S111=TRUE,"Low quality","Benchmark")))</x:f>
        <x:v>High cost</x:v>
      </x:c>
    </x:row>
    <x:row r="112">
      <x:c r="A112" s="2" t="str">
        <x:v>451322</x:v>
      </x:c>
      <x:c r="B112" s="2" t="str">
        <x:v>GRIMES ST JOSEPH HEALTH CENTER</x:v>
      </x:c>
      <x:c r="C112" s="2" t="str">
        <x:v>NAVASOTA</x:v>
      </x:c>
      <x:c r="D112" s="2" t="str">
        <x:v>TX</x:v>
      </x:c>
      <x:c r="E112" s="2" t="str">
        <x:v>Critical Access Hospitals</x:v>
      </x:c>
      <x:c r="F112" s="2" t="str">
        <x:v>Voluntary non-profit</x:v>
      </x:c>
      <x:c r="G112" s="2" t="str">
        <x:v>Small (&lt;100 beds)</x:v>
      </x:c>
      <x:c r="H112" s="7"/>
      <x:c r="I112" s="7"/>
      <x:c r="J112" s="7"/>
      <x:c r="K112" s="8" t="n">
        <x:v>15</x:v>
      </x:c>
      <x:c r="L112" s="8" t="n">
        <x:v>8</x:v>
      </x:c>
      <x:c r="M112" s="9" t="n">
        <x:v>0.3863013699</x:v>
      </x:c>
      <x:c r="N112" s="10" t="n">
        <x:v>1859191.625</x:v>
      </x:c>
      <x:c r="O112" s="9" t="n">
        <x:v>0.3189184246</x:v>
      </x:c>
      <x:c r="P112" s="9" t="n">
        <x:v>0.9873605948</x:v>
      </x:c>
      <x:c r="Q112" s="9" t="n">
        <x:v>0.292936803</x:v>
      </x:c>
      <x:c r="R112" s="3" t="b">
        <x:v>1</x:v>
      </x:c>
      <x:c r="S112" s="3" t="b">
        <x:v>0</x:v>
      </x:c>
      <x:c r="T112" s="3" t="b">
        <x:v>0</x:v>
      </x:c>
      <x:c r="U112" s="2" t="str">
        <x:f>IF(T112=TRUE,"Priority review",IF(R112=TRUE,"High cost",IF(S112=TRUE,"Low quality","Benchmark")))</x:f>
        <x:v>High cost</x:v>
      </x:c>
    </x:row>
    <x:row r="113">
      <x:c r="A113" s="2" t="str">
        <x:v>074012</x:v>
      </x:c>
      <x:c r="B113" s="2" t="str">
        <x:v>SOUTHWEST CONNECTICUT MENTAL HEALTH SYSTEM</x:v>
      </x:c>
      <x:c r="C113" s="2" t="str">
        <x:v>BRIDGEPORT</x:v>
      </x:c>
      <x:c r="D113" s="2" t="str">
        <x:v>CT</x:v>
      </x:c>
      <x:c r="E113" s="2" t="str">
        <x:v>Psychiatric</x:v>
      </x:c>
      <x:c r="F113" s="2" t="str">
        <x:v>Government</x:v>
      </x:c>
      <x:c r="G113" s="2" t="str">
        <x:v>Small (&lt;100 beds)</x:v>
      </x:c>
      <x:c r="H113" s="7"/>
      <x:c r="I113" s="7"/>
      <x:c r="J113" s="7"/>
      <x:c r="K113" s="8" t="n">
        <x:v>62</x:v>
      </x:c>
      <x:c r="L113" s="8" t="n">
        <x:v>46</x:v>
      </x:c>
      <x:c r="M113" s="9" t="n">
        <x:v>0.9901458241</x:v>
      </x:c>
      <x:c r="N113" s="10" t="n">
        <x:v>1195413.043478261</x:v>
      </x:c>
      <x:c r="O113" s="9"/>
      <x:c r="P113" s="9" t="n">
        <x:v>0.9870550162</x:v>
      </x:c>
      <x:c r="Q113" s="9" t="n">
        <x:v>0</x:v>
      </x:c>
      <x:c r="R113" s="3" t="b">
        <x:v>1</x:v>
      </x:c>
      <x:c r="S113" s="3" t="b">
        <x:v>0</x:v>
      </x:c>
      <x:c r="T113" s="3" t="b">
        <x:v>0</x:v>
      </x:c>
      <x:c r="U113" s="2" t="str">
        <x:f>IF(T113=TRUE,"Priority review",IF(R113=TRUE,"High cost",IF(S113=TRUE,"Low quality","Benchmark")))</x:f>
        <x:v>High cost</x:v>
      </x:c>
    </x:row>
    <x:row r="114">
      <x:c r="A114" s="2" t="str">
        <x:v>330199</x:v>
      </x:c>
      <x:c r="B114" s="2" t="str">
        <x:v>METROPOLITAN HOSPITAL CENTER</x:v>
      </x:c>
      <x:c r="C114" s="2" t="str">
        <x:v>NEW YORK</x:v>
      </x:c>
      <x:c r="D114" s="2" t="str">
        <x:v>NY</x:v>
      </x:c>
      <x:c r="E114" s="2" t="str">
        <x:v>Acute Care Hospitals</x:v>
      </x:c>
      <x:c r="F114" s="2" t="str">
        <x:v>Government</x:v>
      </x:c>
      <x:c r="G114" s="2" t="str">
        <x:v>Medium (100-299 beds)</x:v>
      </x:c>
      <x:c r="H114" s="7" t="n">
        <x:v>3</x:v>
      </x:c>
      <x:c r="I114" s="7" t="n">
        <x:v>2</x:v>
      </x:c>
      <x:c r="J114" s="7" t="n">
        <x:v>1.1</x:v>
      </x:c>
      <x:c r="K114" s="8" t="n">
        <x:v>196</x:v>
      </x:c>
      <x:c r="L114" s="8" t="n">
        <x:v>6201</x:v>
      </x:c>
      <x:c r="M114" s="9" t="n">
        <x:v>0.479732254</x:v>
      </x:c>
      <x:c r="N114" s="10" t="n">
        <x:v>96689.501048218</x:v>
      </x:c>
      <x:c r="O114" s="9" t="n">
        <x:v>0.0138591735</x:v>
      </x:c>
      <x:c r="P114" s="9" t="n">
        <x:v>0.9869600652</x:v>
      </x:c>
      <x:c r="Q114" s="9" t="n">
        <x:v>0.3023634882</x:v>
      </x:c>
      <x:c r="R114" s="3" t="b">
        <x:v>1</x:v>
      </x:c>
      <x:c r="S114" s="3" t="b">
        <x:v>0</x:v>
      </x:c>
      <x:c r="T114" s="3" t="b">
        <x:v>0</x:v>
      </x:c>
      <x:c r="U114" s="2" t="str">
        <x:f>IF(T114=TRUE,"Priority review",IF(R114=TRUE,"High cost",IF(S114=TRUE,"Low quality","Benchmark")))</x:f>
        <x:v>High cost</x:v>
      </x:c>
    </x:row>
    <x:row r="115">
      <x:c r="A115" s="2" t="str">
        <x:v>271309</x:v>
      </x:c>
      <x:c r="B115" s="2" t="str">
        <x:v>PRAIRIE COMMUNITY CAH</x:v>
      </x:c>
      <x:c r="C115" s="2" t="str">
        <x:v>TERRY</x:v>
      </x:c>
      <x:c r="D115" s="2" t="str">
        <x:v>MT</x:v>
      </x:c>
      <x:c r="E115" s="2" t="str">
        <x:v>Critical Access Hospitals</x:v>
      </x:c>
      <x:c r="F115" s="2" t="str">
        <x:v>Government</x:v>
      </x:c>
      <x:c r="G115" s="2" t="str">
        <x:v>Small (&lt;100 beds)</x:v>
      </x:c>
      <x:c r="H115" s="7"/>
      <x:c r="I115" s="7"/>
      <x:c r="J115" s="7"/>
      <x:c r="K115" s="8" t="n">
        <x:v>25</x:v>
      </x:c>
      <x:c r="L115" s="8" t="n">
        <x:v>3</x:v>
      </x:c>
      <x:c r="M115" s="9" t="n">
        <x:v>0.9287671233</x:v>
      </x:c>
      <x:c r="N115" s="10" t="n">
        <x:v>1764333.3333333333</x:v>
      </x:c>
      <x:c r="O115" s="9" t="n">
        <x:v>-0.2553860282</x:v>
      </x:c>
      <x:c r="P115" s="9" t="n">
        <x:v>0.9866171004</x:v>
      </x:c>
      <x:c r="Q115" s="9" t="n">
        <x:v>0.292936803</x:v>
      </x:c>
      <x:c r="R115" s="3" t="b">
        <x:v>1</x:v>
      </x:c>
      <x:c r="S115" s="3" t="b">
        <x:v>0</x:v>
      </x:c>
      <x:c r="T115" s="3" t="b">
        <x:v>0</x:v>
      </x:c>
      <x:c r="U115" s="2" t="str">
        <x:f>IF(T115=TRUE,"Priority review",IF(R115=TRUE,"High cost",IF(S115=TRUE,"Low quality","Benchmark")))</x:f>
        <x:v>High cost</x:v>
      </x:c>
    </x:row>
    <x:row r="116">
      <x:c r="A116" s="2" t="str">
        <x:v>050668</x:v>
      </x:c>
      <x:c r="B116" s="2" t="str">
        <x:v>LAGUNA HONDA HOSPITAL &amp; REHABILITATION CENTER</x:v>
      </x:c>
      <x:c r="C116" s="2" t="str">
        <x:v>SAN FRANCISCO</x:v>
      </x:c>
      <x:c r="D116" s="2" t="str">
        <x:v>CA</x:v>
      </x:c>
      <x:c r="E116" s="2" t="str">
        <x:v>Acute Care Hospitals</x:v>
      </x:c>
      <x:c r="F116" s="2" t="str">
        <x:v>Government</x:v>
      </x:c>
      <x:c r="G116" s="2" t="str">
        <x:v>Small (&lt;100 beds)</x:v>
      </x:c>
      <x:c r="H116" s="7"/>
      <x:c r="I116" s="7"/>
      <x:c r="J116" s="7" t="n">
        <x:v>0.57</x:v>
      </x:c>
      <x:c r="K116" s="8" t="n">
        <x:v>6</x:v>
      </x:c>
      <x:c r="L116" s="8" t="n">
        <x:v>193</x:v>
      </x:c>
      <x:c r="M116" s="9" t="n">
        <x:v>0.4328767123</x:v>
      </x:c>
      <x:c r="N116" s="10" t="n">
        <x:v>1733269.3626943005</x:v>
      </x:c>
      <x:c r="O116" s="9" t="n">
        <x:v>-0.4089581321</x:v>
      </x:c>
      <x:c r="P116" s="9" t="n">
        <x:v>0.986535009</x:v>
      </x:c>
      <x:c r="Q116" s="9" t="n">
        <x:v>0.697486535</x:v>
      </x:c>
      <x:c r="R116" s="3" t="b">
        <x:v>1</x:v>
      </x:c>
      <x:c r="S116" s="3" t="b">
        <x:v>0</x:v>
      </x:c>
      <x:c r="T116" s="3" t="b">
        <x:v>0</x:v>
      </x:c>
      <x:c r="U116" s="2" t="str">
        <x:f>IF(T116=TRUE,"Priority review",IF(R116=TRUE,"High cost",IF(S116=TRUE,"Low quality","Benchmark")))</x:f>
        <x:v>High cost</x:v>
      </x:c>
    </x:row>
    <x:row r="117">
      <x:c r="A117" s="2" t="str">
        <x:v>150115</x:v>
      </x:c>
      <x:c r="B117" s="2" t="str">
        <x:v>MEMORIAL HOSPITAL AND HEALTH CARE CENTER</x:v>
      </x:c>
      <x:c r="C117" s="2" t="str">
        <x:v>JASPER</x:v>
      </x:c>
      <x:c r="D117" s="2" t="str">
        <x:v>IN</x:v>
      </x:c>
      <x:c r="E117" s="2" t="str">
        <x:v>Acute Care Hospitals</x:v>
      </x:c>
      <x:c r="F117" s="2" t="str">
        <x:v>Voluntary non-profit</x:v>
      </x:c>
      <x:c r="G117" s="2" t="str">
        <x:v>Medium (100-299 beds)</x:v>
      </x:c>
      <x:c r="H117" s="7" t="n">
        <x:v>4</x:v>
      </x:c>
      <x:c r="I117" s="7" t="n">
        <x:v>4</x:v>
      </x:c>
      <x:c r="J117" s="7" t="n">
        <x:v>0.99</x:v>
      </x:c>
      <x:c r="K117" s="8" t="n">
        <x:v>106</x:v>
      </x:c>
      <x:c r="L117" s="8" t="n">
        <x:v>746</x:v>
      </x:c>
      <x:c r="M117" s="9" t="n">
        <x:v>0.3381870386</x:v>
      </x:c>
      <x:c r="N117" s="10" t="n">
        <x:v>95440.68230563</x:v>
      </x:c>
      <x:c r="O117" s="9" t="n">
        <x:v>-0.0132176277</x:v>
      </x:c>
      <x:c r="P117" s="9" t="n">
        <x:v>0.9861450693</x:v>
      </x:c>
      <x:c r="Q117" s="9" t="n">
        <x:v>0.6022819886</x:v>
      </x:c>
      <x:c r="R117" s="3" t="b">
        <x:v>1</x:v>
      </x:c>
      <x:c r="S117" s="3" t="b">
        <x:v>0</x:v>
      </x:c>
      <x:c r="T117" s="3" t="b">
        <x:v>0</x:v>
      </x:c>
      <x:c r="U117" s="2" t="str">
        <x:f>IF(T117=TRUE,"Priority review",IF(R117=TRUE,"High cost",IF(S117=TRUE,"Low quality","Benchmark")))</x:f>
        <x:v>High cost</x:v>
      </x:c>
    </x:row>
    <x:row r="118">
      <x:c r="A118" s="2" t="str">
        <x:v>051309</x:v>
      </x:c>
      <x:c r="B118" s="2" t="str">
        <x:v>JEROLD PHELPS COMMUNITY HOSPITAL</x:v>
      </x:c>
      <x:c r="C118" s="2" t="str">
        <x:v>GARBERVILLE</x:v>
      </x:c>
      <x:c r="D118" s="2" t="str">
        <x:v>CA</x:v>
      </x:c>
      <x:c r="E118" s="2" t="str">
        <x:v>Critical Access Hospitals</x:v>
      </x:c>
      <x:c r="F118" s="2" t="str">
        <x:v>Government</x:v>
      </x:c>
      <x:c r="G118" s="2" t="str">
        <x:v>Small (&lt;100 beds)</x:v>
      </x:c>
      <x:c r="H118" s="7"/>
      <x:c r="I118" s="7"/>
      <x:c r="J118" s="7"/>
      <x:c r="K118" s="8" t="n">
        <x:v>9</x:v>
      </x:c>
      <x:c r="L118" s="8" t="n">
        <x:v>21</x:v>
      </x:c>
      <x:c r="M118" s="9" t="n">
        <x:v>0.3455098935</x:v>
      </x:c>
      <x:c r="N118" s="10" t="n">
        <x:v>1604043.9047619049</x:v>
      </x:c>
      <x:c r="O118" s="9" t="n">
        <x:v>-0.7724510637</x:v>
      </x:c>
      <x:c r="P118" s="9" t="n">
        <x:v>0.9858736059</x:v>
      </x:c>
      <x:c r="Q118" s="9" t="n">
        <x:v>0.292936803</x:v>
      </x:c>
      <x:c r="R118" s="3" t="b">
        <x:v>1</x:v>
      </x:c>
      <x:c r="S118" s="3" t="b">
        <x:v>0</x:v>
      </x:c>
      <x:c r="T118" s="3" t="b">
        <x:v>0</x:v>
      </x:c>
      <x:c r="U118" s="2" t="str">
        <x:f>IF(T118=TRUE,"Priority review",IF(R118=TRUE,"High cost",IF(S118=TRUE,"Low quality","Benchmark")))</x:f>
        <x:v>High cost</x:v>
      </x:c>
    </x:row>
    <x:row r="119">
      <x:c r="A119" s="2" t="str">
        <x:v>440039</x:v>
      </x:c>
      <x:c r="B119" s="2" t="str">
        <x:v>VANDERBILT UNIVERSITY MEDICAL CENTER</x:v>
      </x:c>
      <x:c r="C119" s="2" t="str">
        <x:v>NASHVILLE</x:v>
      </x:c>
      <x:c r="D119" s="2" t="str">
        <x:v>TN</x:v>
      </x:c>
      <x:c r="E119" s="2" t="str">
        <x:v>Acute Care Hospitals</x:v>
      </x:c>
      <x:c r="F119" s="2" t="str">
        <x:v>Voluntary non-profit</x:v>
      </x:c>
      <x:c r="G119" s="2" t="str">
        <x:v>Large (300+ beds)</x:v>
      </x:c>
      <x:c r="H119" s="7" t="n">
        <x:v>5</x:v>
      </x:c>
      <x:c r="I119" s="7" t="n">
        <x:v>4</x:v>
      </x:c>
      <x:c r="J119" s="7" t="n">
        <x:v>1</x:v>
      </x:c>
      <x:c r="K119" s="8" t="n">
        <x:v>1129</x:v>
      </x:c>
      <x:c r="L119" s="8" t="n">
        <x:v>65248</x:v>
      </x:c>
      <x:c r="M119" s="9" t="n">
        <x:v>0.9763743562</x:v>
      </x:c>
      <x:c r="N119" s="10" t="n">
        <x:v>118275.6536139039</x:v>
      </x:c>
      <x:c r="O119" s="9" t="n">
        <x:v>-0.1178614913</x:v>
      </x:c>
      <x:c r="P119" s="9" t="n">
        <x:v>0.9858044164</x:v>
      </x:c>
      <x:c r="Q119" s="9" t="n">
        <x:v>0.8722397476</x:v>
      </x:c>
      <x:c r="R119" s="3" t="b">
        <x:v>1</x:v>
      </x:c>
      <x:c r="S119" s="3" t="b">
        <x:v>0</x:v>
      </x:c>
      <x:c r="T119" s="3" t="b">
        <x:v>0</x:v>
      </x:c>
      <x:c r="U119" s="2" t="str">
        <x:f>IF(T119=TRUE,"Priority review",IF(R119=TRUE,"High cost",IF(S119=TRUE,"Low quality","Benchmark")))</x:f>
        <x:v>High cost</x:v>
      </x:c>
    </x:row>
    <x:row r="120">
      <x:c r="A120" s="2" t="str">
        <x:v>280059</x:v>
      </x:c>
      <x:c r="B120" s="2" t="str">
        <x:v>TWELVE CLANS UNITY HOSPITAL</x:v>
      </x:c>
      <x:c r="C120" s="2" t="str">
        <x:v>WINNEBAGO</x:v>
      </x:c>
      <x:c r="D120" s="2" t="str">
        <x:v>NE</x:v>
      </x:c>
      <x:c r="E120" s="2" t="str">
        <x:v>Acute Care Hospitals</x:v>
      </x:c>
      <x:c r="F120" s="2" t="str">
        <x:v>Other / unknown</x:v>
      </x:c>
      <x:c r="G120" s="2" t="str">
        <x:v>Small (&lt;100 beds)</x:v>
      </x:c>
      <x:c r="H120" s="7"/>
      <x:c r="I120" s="7"/>
      <x:c r="J120" s="7"/>
      <x:c r="K120" s="8" t="n">
        <x:v>13</x:v>
      </x:c>
      <x:c r="L120" s="8" t="n">
        <x:v>58</x:v>
      </x:c>
      <x:c r="M120" s="9" t="n">
        <x:v>0.0279529214</x:v>
      </x:c>
      <x:c r="N120" s="10" t="n">
        <x:v>940388.3965517242</x:v>
      </x:c>
      <x:c r="O120" s="9"/>
      <x:c r="P120" s="9" t="n">
        <x:v>0.9856373429</x:v>
      </x:c>
      <x:c r="Q120" s="9" t="n">
        <x:v>0.697486535</x:v>
      </x:c>
      <x:c r="R120" s="3" t="b">
        <x:v>1</x:v>
      </x:c>
      <x:c r="S120" s="3" t="b">
        <x:v>0</x:v>
      </x:c>
      <x:c r="T120" s="3" t="b">
        <x:v>0</x:v>
      </x:c>
      <x:c r="U120" s="2" t="str">
        <x:f>IF(T120=TRUE,"Priority review",IF(R120=TRUE,"High cost",IF(S120=TRUE,"Low quality","Benchmark")))</x:f>
        <x:v>High cost</x:v>
      </x:c>
    </x:row>
    <x:row r="121">
      <x:c r="A121" s="2" t="str">
        <x:v>050013</x:v>
      </x:c>
      <x:c r="B121" s="2" t="str">
        <x:v>ADVENTIST HEALTH ST HELENA</x:v>
      </x:c>
      <x:c r="C121" s="2" t="str">
        <x:v>SAINT HELENA</x:v>
      </x:c>
      <x:c r="D121" s="2" t="str">
        <x:v>CA</x:v>
      </x:c>
      <x:c r="E121" s="2" t="str">
        <x:v>Acute Care Hospitals</x:v>
      </x:c>
      <x:c r="F121" s="2" t="str">
        <x:v>Voluntary non-profit</x:v>
      </x:c>
      <x:c r="G121" s="2" t="str">
        <x:v>Medium (100-299 beds)</x:v>
      </x:c>
      <x:c r="H121" s="7" t="n">
        <x:v>4</x:v>
      </x:c>
      <x:c r="I121" s="7" t="n">
        <x:v>3</x:v>
      </x:c>
      <x:c r="J121" s="7" t="n">
        <x:v>1.04</x:v>
      </x:c>
      <x:c r="K121" s="8" t="n">
        <x:v>141</x:v>
      </x:c>
      <x:c r="L121" s="8" t="n">
        <x:v>3547</x:v>
      </x:c>
      <x:c r="M121" s="9" t="n">
        <x:v>0.396194241</x:v>
      </x:c>
      <x:c r="N121" s="10" t="n">
        <x:v>94299.43783479</x:v>
      </x:c>
      <x:c r="O121" s="9" t="n">
        <x:v>-0.268830218</x:v>
      </x:c>
      <x:c r="P121" s="9" t="n">
        <x:v>0.9853300733</x:v>
      </x:c>
      <x:c r="Q121" s="9" t="n">
        <x:v>0.6022819886</x:v>
      </x:c>
      <x:c r="R121" s="3" t="b">
        <x:v>1</x:v>
      </x:c>
      <x:c r="S121" s="3" t="b">
        <x:v>0</x:v>
      </x:c>
      <x:c r="T121" s="3" t="b">
        <x:v>0</x:v>
      </x:c>
      <x:c r="U121" s="2" t="str">
        <x:f>IF(T121=TRUE,"Priority review",IF(R121=TRUE,"High cost",IF(S121=TRUE,"Low quality","Benchmark")))</x:f>
        <x:v>High cost</x:v>
      </x:c>
    </x:row>
    <x:row r="122">
      <x:c r="A122" s="2" t="str">
        <x:v>171300</x:v>
      </x:c>
      <x:c r="B122" s="2" t="str">
        <x:v>GRISELL MEMORIAL HOSPITAL</x:v>
      </x:c>
      <x:c r="C122" s="2" t="str">
        <x:v>RANSOM</x:v>
      </x:c>
      <x:c r="D122" s="2" t="str">
        <x:v>KS</x:v>
      </x:c>
      <x:c r="E122" s="2" t="str">
        <x:v>Critical Access Hospitals</x:v>
      </x:c>
      <x:c r="F122" s="2" t="str">
        <x:v>Government</x:v>
      </x:c>
      <x:c r="G122" s="2" t="str">
        <x:v>Small (&lt;100 beds)</x:v>
      </x:c>
      <x:c r="H122" s="7"/>
      <x:c r="I122" s="7"/>
      <x:c r="J122" s="7"/>
      <x:c r="K122" s="8" t="n">
        <x:v>25</x:v>
      </x:c>
      <x:c r="L122" s="8" t="n">
        <x:v>5</x:v>
      </x:c>
      <x:c r="M122" s="9" t="n">
        <x:v>0.6239344262</x:v>
      </x:c>
      <x:c r="N122" s="10" t="n">
        <x:v>1593419.6</x:v>
      </x:c>
      <x:c r="O122" s="9" t="n">
        <x:v>-0.2992863716</x:v>
      </x:c>
      <x:c r="P122" s="9" t="n">
        <x:v>0.9851301115</x:v>
      </x:c>
      <x:c r="Q122" s="9" t="n">
        <x:v>0.292936803</x:v>
      </x:c>
      <x:c r="R122" s="3" t="b">
        <x:v>1</x:v>
      </x:c>
      <x:c r="S122" s="3" t="b">
        <x:v>0</x:v>
      </x:c>
      <x:c r="T122" s="3" t="b">
        <x:v>0</x:v>
      </x:c>
      <x:c r="U122" s="2" t="str">
        <x:f>IF(T122=TRUE,"Priority review",IF(R122=TRUE,"High cost",IF(S122=TRUE,"Low quality","Benchmark")))</x:f>
        <x:v>High cost</x:v>
      </x:c>
    </x:row>
    <x:row r="123">
      <x:c r="A123" s="2" t="str">
        <x:v>394014</x:v>
      </x:c>
      <x:c r="B123" s="2" t="str">
        <x:v>WERNERSVILLE STATE HOSPITAL</x:v>
      </x:c>
      <x:c r="C123" s="2" t="str">
        <x:v>WERNERSVILLE</x:v>
      </x:c>
      <x:c r="D123" s="2" t="str">
        <x:v>PA</x:v>
      </x:c>
      <x:c r="E123" s="2" t="str">
        <x:v>Psychiatric</x:v>
      </x:c>
      <x:c r="F123" s="2" t="str">
        <x:v>Government</x:v>
      </x:c>
      <x:c r="G123" s="2" t="str">
        <x:v>Medium (100-299 beds)</x:v>
      </x:c>
      <x:c r="H123" s="7"/>
      <x:c r="I123" s="7"/>
      <x:c r="J123" s="7"/>
      <x:c r="K123" s="8" t="n">
        <x:v>266</x:v>
      </x:c>
      <x:c r="L123" s="8" t="n">
        <x:v>35</x:v>
      </x:c>
      <x:c r="M123" s="9" t="n">
        <x:v>0.9665362035</x:v>
      </x:c>
      <x:c r="N123" s="10" t="n">
        <x:v>2515907.7714285715</x:v>
      </x:c>
      <x:c r="O123" s="9"/>
      <x:c r="P123" s="9" t="n">
        <x:v>0.9850746269</x:v>
      </x:c>
      <x:c r="Q123" s="9" t="n">
        <x:v>0</x:v>
      </x:c>
      <x:c r="R123" s="3" t="b">
        <x:v>1</x:v>
      </x:c>
      <x:c r="S123" s="3" t="b">
        <x:v>0</x:v>
      </x:c>
      <x:c r="T123" s="3" t="b">
        <x:v>0</x:v>
      </x:c>
      <x:c r="U123" s="2" t="str">
        <x:f>IF(T123=TRUE,"Priority review",IF(R123=TRUE,"High cost",IF(S123=TRUE,"Low quality","Benchmark")))</x:f>
        <x:v>High cost</x:v>
      </x:c>
    </x:row>
    <x:row r="124">
      <x:c r="A124" s="2" t="str">
        <x:v>670115</x:v>
      </x:c>
      <x:c r="B124" s="2" t="str">
        <x:v>CLEVELAND EMERGENCY HOSPITAL</x:v>
      </x:c>
      <x:c r="C124" s="2" t="str">
        <x:v>HUMBLE</x:v>
      </x:c>
      <x:c r="D124" s="2" t="str">
        <x:v>TX</x:v>
      </x:c>
      <x:c r="E124" s="2" t="str">
        <x:v>Acute Care Hospitals</x:v>
      </x:c>
      <x:c r="F124" s="2" t="str">
        <x:v>Proprietary</x:v>
      </x:c>
      <x:c r="G124" s="2" t="str">
        <x:v>Small (&lt;100 beds)</x:v>
      </x:c>
      <x:c r="H124" s="7"/>
      <x:c r="I124" s="7"/>
      <x:c r="J124" s="7"/>
      <x:c r="K124" s="8" t="n">
        <x:v>16</x:v>
      </x:c>
      <x:c r="L124" s="8" t="n">
        <x:v>81</x:v>
      </x:c>
      <x:c r="M124" s="9" t="n">
        <x:v>0.037568306</x:v>
      </x:c>
      <x:c r="N124" s="10" t="n">
        <x:v>664033.024691358</x:v>
      </x:c>
      <x:c r="O124" s="9" t="n">
        <x:v>-1.4340210105</x:v>
      </x:c>
      <x:c r="P124" s="9" t="n">
        <x:v>0.9847396768</x:v>
      </x:c>
      <x:c r="Q124" s="9" t="n">
        <x:v>0.697486535</x:v>
      </x:c>
      <x:c r="R124" s="3" t="b">
        <x:v>1</x:v>
      </x:c>
      <x:c r="S124" s="3" t="b">
        <x:v>0</x:v>
      </x:c>
      <x:c r="T124" s="3" t="b">
        <x:v>0</x:v>
      </x:c>
      <x:c r="U124" s="2" t="str">
        <x:f>IF(T124=TRUE,"Priority review",IF(R124=TRUE,"High cost",IF(S124=TRUE,"Low quality","Benchmark")))</x:f>
        <x:v>High cost</x:v>
      </x:c>
    </x:row>
    <x:row r="125">
      <x:c r="A125" s="2" t="str">
        <x:v>051308</x:v>
      </x:c>
      <x:c r="B125" s="2" t="str">
        <x:v>SURPRISE VALLEY COMMUNITY HOSPITAL</x:v>
      </x:c>
      <x:c r="C125" s="2" t="str">
        <x:v>CEDARVILLE</x:v>
      </x:c>
      <x:c r="D125" s="2" t="str">
        <x:v>CA</x:v>
      </x:c>
      <x:c r="E125" s="2" t="str">
        <x:v>Critical Access Hospitals</x:v>
      </x:c>
      <x:c r="F125" s="2" t="str">
        <x:v>Government</x:v>
      </x:c>
      <x:c r="G125" s="2" t="str">
        <x:v>Small (&lt;100 beds)</x:v>
      </x:c>
      <x:c r="H125" s="7"/>
      <x:c r="I125" s="7"/>
      <x:c r="J125" s="7"/>
      <x:c r="K125" s="8" t="n">
        <x:v>4</x:v>
      </x:c>
      <x:c r="L125" s="8" t="n">
        <x:v>7</x:v>
      </x:c>
      <x:c r="M125" s="9" t="n">
        <x:v>0.4698630137</x:v>
      </x:c>
      <x:c r="N125" s="10" t="n">
        <x:v>1552099.857142857</x:v>
      </x:c>
      <x:c r="O125" s="9" t="n">
        <x:v>-0.7886138937</x:v>
      </x:c>
      <x:c r="P125" s="9" t="n">
        <x:v>0.9843866171</x:v>
      </x:c>
      <x:c r="Q125" s="9" t="n">
        <x:v>0.292936803</x:v>
      </x:c>
      <x:c r="R125" s="3" t="b">
        <x:v>1</x:v>
      </x:c>
      <x:c r="S125" s="3" t="b">
        <x:v>0</x:v>
      </x:c>
      <x:c r="T125" s="3" t="b">
        <x:v>0</x:v>
      </x:c>
      <x:c r="U125" s="2" t="str">
        <x:f>IF(T125=TRUE,"Priority review",IF(R125=TRUE,"High cost",IF(S125=TRUE,"Low quality","Benchmark")))</x:f>
        <x:v>High cost</x:v>
      </x:c>
    </x:row>
    <x:row r="126">
      <x:c r="A126" s="2" t="str">
        <x:v>220031</x:v>
      </x:c>
      <x:c r="B126" s="2" t="str">
        <x:v>BOSTON MEDICAL CENTER</x:v>
      </x:c>
      <x:c r="C126" s="2" t="str">
        <x:v>BOSTON</x:v>
      </x:c>
      <x:c r="D126" s="2" t="str">
        <x:v>MA</x:v>
      </x:c>
      <x:c r="E126" s="2" t="str">
        <x:v>Acute Care Hospitals</x:v>
      </x:c>
      <x:c r="F126" s="2" t="str">
        <x:v>Voluntary non-profit</x:v>
      </x:c>
      <x:c r="G126" s="2" t="str">
        <x:v>Large (300+ beds)</x:v>
      </x:c>
      <x:c r="H126" s="7" t="n">
        <x:v>3</x:v>
      </x:c>
      <x:c r="I126" s="7" t="n">
        <x:v>3</x:v>
      </x:c>
      <x:c r="J126" s="7" t="n">
        <x:v>1</x:v>
      </x:c>
      <x:c r="K126" s="8" t="n">
        <x:v>412</x:v>
      </x:c>
      <x:c r="L126" s="8" t="n">
        <x:v>22898</x:v>
      </x:c>
      <x:c r="M126" s="9" t="n">
        <x:v>0.9723327497</x:v>
      </x:c>
      <x:c r="N126" s="10" t="n">
        <x:v>116095.3795091274</x:v>
      </x:c>
      <x:c r="O126" s="9" t="n">
        <x:v>-0.731928497</x:v>
      </x:c>
      <x:c r="P126" s="9" t="n">
        <x:v>0.9842271293</x:v>
      </x:c>
      <x:c r="Q126" s="9" t="n">
        <x:v>0.2570977918</x:v>
      </x:c>
      <x:c r="R126" s="3" t="b">
        <x:v>1</x:v>
      </x:c>
      <x:c r="S126" s="3" t="b">
        <x:v>0</x:v>
      </x:c>
      <x:c r="T126" s="3" t="b">
        <x:v>0</x:v>
      </x:c>
      <x:c r="U126" s="2" t="str">
        <x:f>IF(T126=TRUE,"Priority review",IF(R126=TRUE,"High cost",IF(S126=TRUE,"Low quality","Benchmark")))</x:f>
        <x:v>High cost</x:v>
      </x:c>
    </x:row>
    <x:row r="127">
      <x:c r="A127" s="2" t="str">
        <x:v>030074</x:v>
      </x:c>
      <x:c r="B127" s="2" t="str">
        <x:v>SELLS HOSPITAL</x:v>
      </x:c>
      <x:c r="C127" s="2" t="str">
        <x:v>SELLS</x:v>
      </x:c>
      <x:c r="D127" s="2" t="str">
        <x:v>AZ</x:v>
      </x:c>
      <x:c r="E127" s="2" t="str">
        <x:v>Acute Care Hospitals</x:v>
      </x:c>
      <x:c r="F127" s="2" t="str">
        <x:v>Other / unknown</x:v>
      </x:c>
      <x:c r="G127" s="2" t="str">
        <x:v>Small (&lt;100 beds)</x:v>
      </x:c>
      <x:c r="H127" s="7"/>
      <x:c r="I127" s="7"/>
      <x:c r="J127" s="7"/>
      <x:c r="K127" s="8" t="n">
        <x:v>14</x:v>
      </x:c>
      <x:c r="L127" s="8" t="n">
        <x:v>158</x:v>
      </x:c>
      <x:c r="M127" s="9" t="n">
        <x:v>0.1139734582</x:v>
      </x:c>
      <x:c r="N127" s="10" t="n">
        <x:v>661405.2911392405</x:v>
      </x:c>
      <x:c r="O127" s="9"/>
      <x:c r="P127" s="9" t="n">
        <x:v>0.9838420108</x:v>
      </x:c>
      <x:c r="Q127" s="9" t="n">
        <x:v>0.697486535</x:v>
      </x:c>
      <x:c r="R127" s="3" t="b">
        <x:v>1</x:v>
      </x:c>
      <x:c r="S127" s="3" t="b">
        <x:v>0</x:v>
      </x:c>
      <x:c r="T127" s="3" t="b">
        <x:v>0</x:v>
      </x:c>
      <x:c r="U127" s="2" t="str">
        <x:f>IF(T127=TRUE,"Priority review",IF(R127=TRUE,"High cost",IF(S127=TRUE,"Low quality","Benchmark")))</x:f>
        <x:v>High cost</x:v>
      </x:c>
    </x:row>
    <x:row r="128">
      <x:c r="A128" s="2" t="str">
        <x:v>054148</x:v>
      </x:c>
      <x:c r="B128" s="2" t="str">
        <x:v>TARZANA TREATMENT CENTER</x:v>
      </x:c>
      <x:c r="C128" s="2" t="str">
        <x:v>TARZANA</x:v>
      </x:c>
      <x:c r="D128" s="2" t="str">
        <x:v>CA</x:v>
      </x:c>
      <x:c r="E128" s="2" t="str">
        <x:v>Psychiatric</x:v>
      </x:c>
      <x:c r="F128" s="2" t="str">
        <x:v>Voluntary non-profit</x:v>
      </x:c>
      <x:c r="G128" s="2" t="str">
        <x:v>Small (&lt;100 beds)</x:v>
      </x:c>
      <x:c r="H128" s="7"/>
      <x:c r="I128" s="7"/>
      <x:c r="J128" s="7"/>
      <x:c r="K128" s="8" t="n">
        <x:v>3</x:v>
      </x:c>
      <x:c r="L128" s="8" t="n">
        <x:v>130</x:v>
      </x:c>
      <x:c r="M128" s="9" t="n">
        <x:v>0.7513661202</x:v>
      </x:c>
      <x:c r="N128" s="10" t="n">
        <x:v>1173838.2692307692</x:v>
      </x:c>
      <x:c r="O128" s="9" t="n">
        <x:v>0.254705333</x:v>
      </x:c>
      <x:c r="P128" s="9" t="n">
        <x:v>0.9838187702</x:v>
      </x:c>
      <x:c r="Q128" s="9" t="n">
        <x:v>0</x:v>
      </x:c>
      <x:c r="R128" s="3" t="b">
        <x:v>1</x:v>
      </x:c>
      <x:c r="S128" s="3" t="b">
        <x:v>0</x:v>
      </x:c>
      <x:c r="T128" s="3" t="b">
        <x:v>0</x:v>
      </x:c>
      <x:c r="U128" s="2" t="str">
        <x:f>IF(T128=TRUE,"Priority review",IF(R128=TRUE,"High cost",IF(S128=TRUE,"Low quality","Benchmark")))</x:f>
        <x:v>High cost</x:v>
      </x:c>
    </x:row>
    <x:row r="129">
      <x:c r="A129" s="2" t="str">
        <x:v>291303</x:v>
      </x:c>
      <x:c r="B129" s="2" t="str">
        <x:v>BATTLE MOUNTAIN GENERAL HOSPITAL</x:v>
      </x:c>
      <x:c r="C129" s="2" t="str">
        <x:v>BATTE MTN</x:v>
      </x:c>
      <x:c r="D129" s="2" t="str">
        <x:v>NV</x:v>
      </x:c>
      <x:c r="E129" s="2" t="str">
        <x:v>Critical Access Hospitals</x:v>
      </x:c>
      <x:c r="F129" s="2" t="str">
        <x:v>Government</x:v>
      </x:c>
      <x:c r="G129" s="2" t="str">
        <x:v>Small (&lt;100 beds)</x:v>
      </x:c>
      <x:c r="H129" s="7"/>
      <x:c r="I129" s="7"/>
      <x:c r="J129" s="7"/>
      <x:c r="K129" s="8" t="n">
        <x:v>5</x:v>
      </x:c>
      <x:c r="L129" s="8" t="n">
        <x:v>12</x:v>
      </x:c>
      <x:c r="M129" s="9" t="n">
        <x:v>0.1046575342</x:v>
      </x:c>
      <x:c r="N129" s="10" t="n">
        <x:v>1509051.3333333333</x:v>
      </x:c>
      <x:c r="O129" s="9" t="n">
        <x:v>-0.4116820905</x:v>
      </x:c>
      <x:c r="P129" s="9" t="n">
        <x:v>0.9836431227</x:v>
      </x:c>
      <x:c r="Q129" s="9" t="n">
        <x:v>0.292936803</x:v>
      </x:c>
      <x:c r="R129" s="3" t="b">
        <x:v>1</x:v>
      </x:c>
      <x:c r="S129" s="3" t="b">
        <x:v>0</x:v>
      </x:c>
      <x:c r="T129" s="3" t="b">
        <x:v>0</x:v>
      </x:c>
      <x:c r="U129" s="2" t="str">
        <x:f>IF(T129=TRUE,"Priority review",IF(R129=TRUE,"High cost",IF(S129=TRUE,"Low quality","Benchmark")))</x:f>
        <x:v>High cost</x:v>
      </x:c>
    </x:row>
    <x:row r="130">
      <x:c r="A130" s="2" t="str">
        <x:v>240206</x:v>
      </x:c>
      <x:c r="B130" s="2" t="str">
        <x:v>RED LAKE HOSPITAL</x:v>
      </x:c>
      <x:c r="C130" s="2" t="str">
        <x:v>REDLAKE</x:v>
      </x:c>
      <x:c r="D130" s="2" t="str">
        <x:v>MN</x:v>
      </x:c>
      <x:c r="E130" s="2" t="str">
        <x:v>Acute Care Hospitals</x:v>
      </x:c>
      <x:c r="F130" s="2" t="str">
        <x:v>Government</x:v>
      </x:c>
      <x:c r="G130" s="2" t="str">
        <x:v>Small (&lt;100 beds)</x:v>
      </x:c>
      <x:c r="H130" s="7"/>
      <x:c r="I130" s="7"/>
      <x:c r="J130" s="7"/>
      <x:c r="K130" s="8" t="n">
        <x:v>23</x:v>
      </x:c>
      <x:c r="L130" s="8" t="n">
        <x:v>100</x:v>
      </x:c>
      <x:c r="M130" s="9" t="n">
        <x:v>0.0430030886</x:v>
      </x:c>
      <x:c r="N130" s="10" t="n">
        <x:v>619210.5</x:v>
      </x:c>
      <x:c r="O130" s="9"/>
      <x:c r="P130" s="9" t="n">
        <x:v>0.9829443447</x:v>
      </x:c>
      <x:c r="Q130" s="9" t="n">
        <x:v>0.697486535</x:v>
      </x:c>
      <x:c r="R130" s="3" t="b">
        <x:v>1</x:v>
      </x:c>
      <x:c r="S130" s="3" t="b">
        <x:v>0</x:v>
      </x:c>
      <x:c r="T130" s="3" t="b">
        <x:v>0</x:v>
      </x:c>
      <x:c r="U130" s="2" t="str">
        <x:f>IF(T130=TRUE,"Priority review",IF(R130=TRUE,"High cost",IF(S130=TRUE,"Low quality","Benchmark")))</x:f>
        <x:v>High cost</x:v>
      </x:c>
    </x:row>
    <x:row r="131">
      <x:c r="A131" s="2" t="str">
        <x:v>361327</x:v>
      </x:c>
      <x:c r="B131" s="2" t="str">
        <x:v>COMMUNITY HOSPITALS AND WELLNESS CENTERS</x:v>
      </x:c>
      <x:c r="C131" s="2" t="str">
        <x:v>MONTPELIER</x:v>
      </x:c>
      <x:c r="D131" s="2" t="str">
        <x:v>OH</x:v>
      </x:c>
      <x:c r="E131" s="2" t="str">
        <x:v>Critical Access Hospitals</x:v>
      </x:c>
      <x:c r="F131" s="2" t="str">
        <x:v>Voluntary non-profit</x:v>
      </x:c>
      <x:c r="G131" s="2" t="str">
        <x:v>Small (&lt;100 beds)</x:v>
      </x:c>
      <x:c r="H131" s="7"/>
      <x:c r="I131" s="7"/>
      <x:c r="J131" s="7"/>
      <x:c r="K131" s="8" t="n">
        <x:v>25</x:v>
      </x:c>
      <x:c r="L131" s="8" t="n">
        <x:v>12</x:v>
      </x:c>
      <x:c r="M131" s="9" t="n">
        <x:v>0.2834972678</x:v>
      </x:c>
      <x:c r="N131" s="10" t="n">
        <x:v>1437535</x:v>
      </x:c>
      <x:c r="O131" s="9" t="n">
        <x:v>-0.3637856757</x:v>
      </x:c>
      <x:c r="P131" s="9" t="n">
        <x:v>0.9828996283</x:v>
      </x:c>
      <x:c r="Q131" s="9" t="n">
        <x:v>0.292936803</x:v>
      </x:c>
      <x:c r="R131" s="3" t="b">
        <x:v>1</x:v>
      </x:c>
      <x:c r="S131" s="3" t="b">
        <x:v>0</x:v>
      </x:c>
      <x:c r="T131" s="3" t="b">
        <x:v>0</x:v>
      </x:c>
      <x:c r="U131" s="2" t="str">
        <x:f>IF(T131=TRUE,"Priority review",IF(R131=TRUE,"High cost",IF(S131=TRUE,"Low quality","Benchmark")))</x:f>
        <x:v>High cost</x:v>
      </x:c>
    </x:row>
    <x:row r="132">
      <x:c r="A132" s="2" t="str">
        <x:v>150059</x:v>
      </x:c>
      <x:c r="B132" s="2" t="str">
        <x:v>RIVERVIEW HEALTH</x:v>
      </x:c>
      <x:c r="C132" s="2" t="str">
        <x:v>NOBLESVILLE</x:v>
      </x:c>
      <x:c r="D132" s="2" t="str">
        <x:v>IN</x:v>
      </x:c>
      <x:c r="E132" s="2" t="str">
        <x:v>Acute Care Hospitals</x:v>
      </x:c>
      <x:c r="F132" s="2" t="str">
        <x:v>Government</x:v>
      </x:c>
      <x:c r="G132" s="2" t="str">
        <x:v>Medium (100-299 beds)</x:v>
      </x:c>
      <x:c r="H132" s="7" t="n">
        <x:v>4</x:v>
      </x:c>
      <x:c r="I132" s="7" t="n">
        <x:v>3</x:v>
      </x:c>
      <x:c r="J132" s="7" t="n">
        <x:v>1.03</x:v>
      </x:c>
      <x:c r="K132" s="8" t="n">
        <x:v>133</x:v>
      </x:c>
      <x:c r="L132" s="8" t="n">
        <x:v>3610</x:v>
      </x:c>
      <x:c r="M132" s="9" t="n">
        <x:v>0.3113932372</x:v>
      </x:c>
      <x:c r="N132" s="10" t="n">
        <x:v>89867.643767313</x:v>
      </x:c>
      <x:c r="O132" s="9" t="n">
        <x:v>-0.1937520378</x:v>
      </x:c>
      <x:c r="P132" s="9" t="n">
        <x:v>0.9828850856</x:v>
      </x:c>
      <x:c r="Q132" s="9" t="n">
        <x:v>0.6022819886</x:v>
      </x:c>
      <x:c r="R132" s="3" t="b">
        <x:v>1</x:v>
      </x:c>
      <x:c r="S132" s="3" t="b">
        <x:v>0</x:v>
      </x:c>
      <x:c r="T132" s="3" t="b">
        <x:v>0</x:v>
      </x:c>
      <x:c r="U132" s="2" t="str">
        <x:f>IF(T132=TRUE,"Priority review",IF(R132=TRUE,"High cost",IF(S132=TRUE,"Low quality","Benchmark")))</x:f>
        <x:v>High cost</x:v>
      </x:c>
    </x:row>
    <x:row r="133">
      <x:c r="A133" s="2" t="str">
        <x:v>230046</x:v>
      </x:c>
      <x:c r="B133" s="2" t="str">
        <x:v>UNIVERSITY OF MICHIGAN HEALTH SYSTEM</x:v>
      </x:c>
      <x:c r="C133" s="2" t="str">
        <x:v>ANN ARBOR</x:v>
      </x:c>
      <x:c r="D133" s="2" t="str">
        <x:v>MI</x:v>
      </x:c>
      <x:c r="E133" s="2" t="str">
        <x:v>Acute Care Hospitals</x:v>
      </x:c>
      <x:c r="F133" s="2" t="str">
        <x:v>Voluntary non-profit</x:v>
      </x:c>
      <x:c r="G133" s="2" t="str">
        <x:v>Large (300+ beds)</x:v>
      </x:c>
      <x:c r="H133" s="7" t="n">
        <x:v>4</x:v>
      </x:c>
      <x:c r="I133" s="7" t="n">
        <x:v>4</x:v>
      </x:c>
      <x:c r="J133" s="7" t="n">
        <x:v>0.91</x:v>
      </x:c>
      <x:c r="K133" s="8" t="n">
        <x:v>975</x:v>
      </x:c>
      <x:c r="L133" s="8" t="n">
        <x:v>47554</x:v>
      </x:c>
      <x:c r="M133" s="9" t="n">
        <x:v>0.8785447756</x:v>
      </x:c>
      <x:c r="N133" s="10" t="n">
        <x:v>115334.2829204694</x:v>
      </x:c>
      <x:c r="O133" s="9" t="n">
        <x:v>0.0157677848</x:v>
      </x:c>
      <x:c r="P133" s="9" t="n">
        <x:v>0.9826498423</x:v>
      </x:c>
      <x:c r="Q133" s="9" t="n">
        <x:v>0.5899053628</x:v>
      </x:c>
      <x:c r="R133" s="3" t="b">
        <x:v>1</x:v>
      </x:c>
      <x:c r="S133" s="3" t="b">
        <x:v>0</x:v>
      </x:c>
      <x:c r="T133" s="3" t="b">
        <x:v>0</x:v>
      </x:c>
      <x:c r="U133" s="2" t="str">
        <x:f>IF(T133=TRUE,"Priority review",IF(R133=TRUE,"High cost",IF(S133=TRUE,"Low quality","Benchmark")))</x:f>
        <x:v>High cost</x:v>
      </x:c>
    </x:row>
    <x:row r="134">
      <x:c r="A134" s="2" t="str">
        <x:v>191300</x:v>
      </x:c>
      <x:c r="B134" s="2" t="str">
        <x:v>ST HELENA PARISH HOSPITAL</x:v>
      </x:c>
      <x:c r="C134" s="2" t="str">
        <x:v>GREENSBURG</x:v>
      </x:c>
      <x:c r="D134" s="2" t="str">
        <x:v>LA</x:v>
      </x:c>
      <x:c r="E134" s="2" t="str">
        <x:v>Critical Access Hospitals</x:v>
      </x:c>
      <x:c r="F134" s="2" t="str">
        <x:v>Government</x:v>
      </x:c>
      <x:c r="G134" s="2" t="str">
        <x:v>Small (&lt;100 beds)</x:v>
      </x:c>
      <x:c r="H134" s="7"/>
      <x:c r="I134" s="7"/>
      <x:c r="J134" s="7"/>
      <x:c r="K134" s="8" t="n">
        <x:v>25</x:v>
      </x:c>
      <x:c r="L134" s="8" t="n">
        <x:v>12</x:v>
      </x:c>
      <x:c r="M134" s="9" t="n">
        <x:v>0.1546448087</x:v>
      </x:c>
      <x:c r="N134" s="10" t="n">
        <x:v>1413535.1666666667</x:v>
      </x:c>
      <x:c r="O134" s="9" t="n">
        <x:v>0.0423426239</x:v>
      </x:c>
      <x:c r="P134" s="9" t="n">
        <x:v>0.9821561338</x:v>
      </x:c>
      <x:c r="Q134" s="9" t="n">
        <x:v>0.292936803</x:v>
      </x:c>
      <x:c r="R134" s="3" t="b">
        <x:v>1</x:v>
      </x:c>
      <x:c r="S134" s="3" t="b">
        <x:v>0</x:v>
      </x:c>
      <x:c r="T134" s="3" t="b">
        <x:v>0</x:v>
      </x:c>
      <x:c r="U134" s="2" t="str">
        <x:f>IF(T134=TRUE,"Priority review",IF(R134=TRUE,"High cost",IF(S134=TRUE,"Low quality","Benchmark")))</x:f>
        <x:v>High cost</x:v>
      </x:c>
    </x:row>
    <x:row r="135">
      <x:c r="A135" s="2" t="str">
        <x:v>050152</x:v>
      </x:c>
      <x:c r="B135" s="2" t="str">
        <x:v>UCSF HEALTH SAINT FRANCIS HOSPITAL</x:v>
      </x:c>
      <x:c r="C135" s="2" t="str">
        <x:v>SAN FRANCISCO</x:v>
      </x:c>
      <x:c r="D135" s="2" t="str">
        <x:v>CA</x:v>
      </x:c>
      <x:c r="E135" s="2" t="str">
        <x:v>Acute Care Hospitals</x:v>
      </x:c>
      <x:c r="F135" s="2" t="str">
        <x:v>Voluntary non-profit</x:v>
      </x:c>
      <x:c r="G135" s="2" t="str">
        <x:v>Medium (100-299 beds)</x:v>
      </x:c>
      <x:c r="H135" s="7" t="n">
        <x:v>3</x:v>
      </x:c>
      <x:c r="I135" s="7" t="n">
        <x:v>2</x:v>
      </x:c>
      <x:c r="J135" s="7" t="n">
        <x:v>1.09</x:v>
      </x:c>
      <x:c r="K135" s="8" t="n">
        <x:v>171</x:v>
      </x:c>
      <x:c r="L135" s="8" t="n">
        <x:v>2753</x:v>
      </x:c>
      <x:c r="M135" s="9" t="n">
        <x:v>0.2614961813</x:v>
      </x:c>
      <x:c r="N135" s="10" t="n">
        <x:v>89779.5819106429</x:v>
      </x:c>
      <x:c r="O135" s="9" t="n">
        <x:v>-0.4041346562</x:v>
      </x:c>
      <x:c r="P135" s="9" t="n">
        <x:v>0.9820700896</x:v>
      </x:c>
      <x:c r="Q135" s="9" t="n">
        <x:v>0.3023634882</x:v>
      </x:c>
      <x:c r="R135" s="3" t="b">
        <x:v>1</x:v>
      </x:c>
      <x:c r="S135" s="3" t="b">
        <x:v>0</x:v>
      </x:c>
      <x:c r="T135" s="3" t="b">
        <x:v>0</x:v>
      </x:c>
      <x:c r="U135" s="2" t="str">
        <x:f>IF(T135=TRUE,"Priority review",IF(R135=TRUE,"High cost",IF(S135=TRUE,"Low quality","Benchmark")))</x:f>
        <x:v>High cost</x:v>
      </x:c>
    </x:row>
    <x:row r="136">
      <x:c r="A136" s="2" t="str">
        <x:v>430093</x:v>
      </x:c>
      <x:c r="B136" s="2" t="str">
        <x:v>SAME DAY SURGERY CENTER LLC</x:v>
      </x:c>
      <x:c r="C136" s="2" t="str">
        <x:v>RAPID CITY</x:v>
      </x:c>
      <x:c r="D136" s="2" t="str">
        <x:v>SD</x:v>
      </x:c>
      <x:c r="E136" s="2" t="str">
        <x:v>Acute Care Hospitals</x:v>
      </x:c>
      <x:c r="F136" s="2" t="str">
        <x:v>Proprietary</x:v>
      </x:c>
      <x:c r="G136" s="2" t="str">
        <x:v>Small (&lt;100 beds)</x:v>
      </x:c>
      <x:c r="H136" s="7"/>
      <x:c r="I136" s="7"/>
      <x:c r="J136" s="7"/>
      <x:c r="K136" s="8" t="n">
        <x:v>6</x:v>
      </x:c>
      <x:c r="L136" s="8" t="n">
        <x:v>23</x:v>
      </x:c>
      <x:c r="M136" s="9" t="n">
        <x:v>0.0187214612</x:v>
      </x:c>
      <x:c r="N136" s="10" t="n">
        <x:v>595891.304347826</x:v>
      </x:c>
      <x:c r="O136" s="9" t="n">
        <x:v>0.2666118398</x:v>
      </x:c>
      <x:c r="P136" s="9" t="n">
        <x:v>0.9820466786</x:v>
      </x:c>
      <x:c r="Q136" s="9" t="n">
        <x:v>0.697486535</x:v>
      </x:c>
      <x:c r="R136" s="3" t="b">
        <x:v>1</x:v>
      </x:c>
      <x:c r="S136" s="3" t="b">
        <x:v>0</x:v>
      </x:c>
      <x:c r="T136" s="3" t="b">
        <x:v>0</x:v>
      </x:c>
      <x:c r="U136" s="2" t="str">
        <x:f>IF(T136=TRUE,"Priority review",IF(R136=TRUE,"High cost",IF(S136=TRUE,"Low quality","Benchmark")))</x:f>
        <x:v>High cost</x:v>
      </x:c>
    </x:row>
    <x:row r="137">
      <x:c r="A137" s="2" t="str">
        <x:v>051307</x:v>
      </x:c>
      <x:c r="B137" s="2" t="str">
        <x:v>CATALINA ISLAND MEDICAL CENTER</x:v>
      </x:c>
      <x:c r="C137" s="2" t="str">
        <x:v>AVALON</x:v>
      </x:c>
      <x:c r="D137" s="2" t="str">
        <x:v>CA</x:v>
      </x:c>
      <x:c r="E137" s="2" t="str">
        <x:v>Critical Access Hospitals</x:v>
      </x:c>
      <x:c r="F137" s="2" t="str">
        <x:v>Voluntary non-profit</x:v>
      </x:c>
      <x:c r="G137" s="2" t="str">
        <x:v>Small (&lt;100 beds)</x:v>
      </x:c>
      <x:c r="H137" s="7"/>
      <x:c r="I137" s="7"/>
      <x:c r="J137" s="7"/>
      <x:c r="K137" s="8" t="n">
        <x:v>8</x:v>
      </x:c>
      <x:c r="L137" s="8" t="n">
        <x:v>14</x:v>
      </x:c>
      <x:c r="M137" s="9" t="n">
        <x:v>0.1568493151</x:v>
      </x:c>
      <x:c r="N137" s="10" t="n">
        <x:v>1400073</x:v>
      </x:c>
      <x:c r="O137" s="9" t="n">
        <x:v>-0.1388569587</x:v>
      </x:c>
      <x:c r="P137" s="9" t="n">
        <x:v>0.9814126394</x:v>
      </x:c>
      <x:c r="Q137" s="9" t="n">
        <x:v>0.292936803</x:v>
      </x:c>
      <x:c r="R137" s="3" t="b">
        <x:v>1</x:v>
      </x:c>
      <x:c r="S137" s="3" t="b">
        <x:v>0</x:v>
      </x:c>
      <x:c r="T137" s="3" t="b">
        <x:v>0</x:v>
      </x:c>
      <x:c r="U137" s="2" t="str">
        <x:f>IF(T137=TRUE,"Priority review",IF(R137=TRUE,"High cost",IF(S137=TRUE,"Low quality","Benchmark")))</x:f>
        <x:v>High cost</x:v>
      </x:c>
    </x:row>
    <x:row r="138">
      <x:c r="A138" s="2" t="str">
        <x:v>220052</x:v>
      </x:c>
      <x:c r="B138" s="2" t="str">
        <x:v>SIGNATURE HEALTHCARE BROCKTON HOSPITAL</x:v>
      </x:c>
      <x:c r="C138" s="2" t="str">
        <x:v>BROCKTON</x:v>
      </x:c>
      <x:c r="D138" s="2" t="str">
        <x:v>MA</x:v>
      </x:c>
      <x:c r="E138" s="2" t="str">
        <x:v>Acute Care Hospitals</x:v>
      </x:c>
      <x:c r="F138" s="2" t="str">
        <x:v>Voluntary non-profit</x:v>
      </x:c>
      <x:c r="G138" s="2" t="str">
        <x:v>Medium (100-299 beds)</x:v>
      </x:c>
      <x:c r="H138" s="7" t="n">
        <x:v>3</x:v>
      </x:c>
      <x:c r="I138" s="7" t="n">
        <x:v>2</x:v>
      </x:c>
      <x:c r="J138" s="7" t="n">
        <x:v>1.01</x:v>
      </x:c>
      <x:c r="K138" s="8" t="n">
        <x:v>139</x:v>
      </x:c>
      <x:c r="L138" s="8" t="n">
        <x:v>3380</x:v>
      </x:c>
      <x:c r="M138" s="9" t="n">
        <x:v>0.506844627</x:v>
      </x:c>
      <x:c r="N138" s="10" t="n">
        <x:v>88067.4869822485</x:v>
      </x:c>
      <x:c r="O138" s="9" t="n">
        <x:v>-1.0138880476</x:v>
      </x:c>
      <x:c r="P138" s="9" t="n">
        <x:v>0.9812550937</x:v>
      </x:c>
      <x:c r="Q138" s="9" t="n">
        <x:v>0.3023634882</x:v>
      </x:c>
      <x:c r="R138" s="3" t="b">
        <x:v>1</x:v>
      </x:c>
      <x:c r="S138" s="3" t="b">
        <x:v>0</x:v>
      </x:c>
      <x:c r="T138" s="3" t="b">
        <x:v>0</x:v>
      </x:c>
      <x:c r="U138" s="2" t="str">
        <x:f>IF(T138=TRUE,"Priority review",IF(R138=TRUE,"High cost",IF(S138=TRUE,"Low quality","Benchmark")))</x:f>
        <x:v>High cost</x:v>
      </x:c>
    </x:row>
    <x:row r="139">
      <x:c r="A139" s="2" t="str">
        <x:v>390327</x:v>
      </x:c>
      <x:c r="B139" s="2" t="str">
        <x:v>WELLSPAN SURGERY AND REHABILITATION HOSPITAL</x:v>
      </x:c>
      <x:c r="C139" s="2" t="str">
        <x:v>YORK</x:v>
      </x:c>
      <x:c r="D139" s="2" t="str">
        <x:v>PA</x:v>
      </x:c>
      <x:c r="E139" s="2" t="str">
        <x:v>Acute Care Hospitals</x:v>
      </x:c>
      <x:c r="F139" s="2" t="str">
        <x:v>Voluntary non-profit</x:v>
      </x:c>
      <x:c r="G139" s="2" t="str">
        <x:v>Small (&lt;100 beds)</x:v>
      </x:c>
      <x:c r="H139" s="7"/>
      <x:c r="I139" s="7" t="n">
        <x:v>4</x:v>
      </x:c>
      <x:c r="J139" s="7" t="n">
        <x:v>1.09</x:v>
      </x:c>
      <x:c r="K139" s="8" t="n">
        <x:v>19</x:v>
      </x:c>
      <x:c r="L139" s="8" t="n">
        <x:v>220</x:v>
      </x:c>
      <x:c r="M139" s="9" t="n">
        <x:v>0.0847873107</x:v>
      </x:c>
      <x:c r="N139" s="10" t="n">
        <x:v>532886.0681818182</x:v>
      </x:c>
      <x:c r="O139" s="9" t="n">
        <x:v>0.1523937643</x:v>
      </x:c>
      <x:c r="P139" s="9" t="n">
        <x:v>0.9811490126</x:v>
      </x:c>
      <x:c r="Q139" s="9" t="n">
        <x:v>0.697486535</x:v>
      </x:c>
      <x:c r="R139" s="3" t="b">
        <x:v>1</x:v>
      </x:c>
      <x:c r="S139" s="3" t="b">
        <x:v>0</x:v>
      </x:c>
      <x:c r="T139" s="3" t="b">
        <x:v>0</x:v>
      </x:c>
      <x:c r="U139" s="2" t="str">
        <x:f>IF(T139=TRUE,"Priority review",IF(R139=TRUE,"High cost",IF(S139=TRUE,"Low quality","Benchmark")))</x:f>
        <x:v>High cost</x:v>
      </x:c>
    </x:row>
    <x:row r="140">
      <x:c r="A140" s="2" t="str">
        <x:v>280013</x:v>
      </x:c>
      <x:c r="B140" s="2" t="str">
        <x:v>THE NEBRASKA MEDICAL CENTER</x:v>
      </x:c>
      <x:c r="C140" s="2" t="str">
        <x:v>OMAHA</x:v>
      </x:c>
      <x:c r="D140" s="2" t="str">
        <x:v>NE</x:v>
      </x:c>
      <x:c r="E140" s="2" t="str">
        <x:v>Acute Care Hospitals</x:v>
      </x:c>
      <x:c r="F140" s="2" t="str">
        <x:v>Voluntary non-profit</x:v>
      </x:c>
      <x:c r="G140" s="2" t="str">
        <x:v>Large (300+ beds)</x:v>
      </x:c>
      <x:c r="H140" s="7" t="n">
        <x:v>4</x:v>
      </x:c>
      <x:c r="I140" s="7" t="n">
        <x:v>3</x:v>
      </x:c>
      <x:c r="J140" s="7" t="n">
        <x:v>1.01</x:v>
      </x:c>
      <x:c r="K140" s="8" t="n">
        <x:v>643</x:v>
      </x:c>
      <x:c r="L140" s="8" t="n">
        <x:v>23676</x:v>
      </x:c>
      <x:c r="M140" s="9" t="n">
        <x:v>0.8025403665</x:v>
      </x:c>
      <x:c r="N140" s="10" t="n">
        <x:v>113043.0800810948</x:v>
      </x:c>
      <x:c r="O140" s="9" t="n">
        <x:v>-0.4738902775</x:v>
      </x:c>
      <x:c r="P140" s="9" t="n">
        <x:v>0.9810725552</x:v>
      </x:c>
      <x:c r="Q140" s="9" t="n">
        <x:v>0.5899053628</x:v>
      </x:c>
      <x:c r="R140" s="3" t="b">
        <x:v>1</x:v>
      </x:c>
      <x:c r="S140" s="3" t="b">
        <x:v>0</x:v>
      </x:c>
      <x:c r="T140" s="3" t="b">
        <x:v>0</x:v>
      </x:c>
      <x:c r="U140" s="2" t="str">
        <x:f>IF(T140=TRUE,"Priority review",IF(R140=TRUE,"High cost",IF(S140=TRUE,"Low quality","Benchmark")))</x:f>
        <x:v>High cost</x:v>
      </x:c>
    </x:row>
    <x:row r="141">
      <x:c r="A141" s="2" t="str">
        <x:v>331301</x:v>
      </x:c>
      <x:c r="B141" s="2" t="str">
        <x:v>CUBA MEMORIAL HOSPITAL, INC</x:v>
      </x:c>
      <x:c r="C141" s="2" t="str">
        <x:v>CUBA</x:v>
      </x:c>
      <x:c r="D141" s="2" t="str">
        <x:v>NY</x:v>
      </x:c>
      <x:c r="E141" s="2" t="str">
        <x:v>Critical Access Hospitals</x:v>
      </x:c>
      <x:c r="F141" s="2" t="str">
        <x:v>Voluntary non-profit</x:v>
      </x:c>
      <x:c r="G141" s="2" t="str">
        <x:v>Small (&lt;100 beds)</x:v>
      </x:c>
      <x:c r="H141" s="7"/>
      <x:c r="I141" s="7"/>
      <x:c r="J141" s="7"/>
      <x:c r="K141" s="8" t="n">
        <x:v>20</x:v>
      </x:c>
      <x:c r="L141" s="8" t="n">
        <x:v>9</x:v>
      </x:c>
      <x:c r="M141" s="9" t="n">
        <x:v>0.212295082</x:v>
      </x:c>
      <x:c r="N141" s="10" t="n">
        <x:v>1356039.888888889</x:v>
      </x:c>
      <x:c r="O141" s="9" t="n">
        <x:v>0.0109281766</x:v>
      </x:c>
      <x:c r="P141" s="9" t="n">
        <x:v>0.980669145</x:v>
      </x:c>
      <x:c r="Q141" s="9" t="n">
        <x:v>0.292936803</x:v>
      </x:c>
      <x:c r="R141" s="3" t="b">
        <x:v>1</x:v>
      </x:c>
      <x:c r="S141" s="3" t="b">
        <x:v>0</x:v>
      </x:c>
      <x:c r="T141" s="3" t="b">
        <x:v>0</x:v>
      </x:c>
      <x:c r="U141" s="2" t="str">
        <x:f>IF(T141=TRUE,"Priority review",IF(R141=TRUE,"High cost",IF(S141=TRUE,"Low quality","Benchmark")))</x:f>
        <x:v>High cost</x:v>
      </x:c>
    </x:row>
    <x:row r="142">
      <x:c r="A142" s="2" t="str">
        <x:v>054089</x:v>
      </x:c>
      <x:c r="B142" s="2" t="str">
        <x:v>JEWISH HOME &amp; REHAB CENTER</x:v>
      </x:c>
      <x:c r="C142" s="2" t="str">
        <x:v>SAN FRANCISCO</x:v>
      </x:c>
      <x:c r="D142" s="2" t="str">
        <x:v>CA</x:v>
      </x:c>
      <x:c r="E142" s="2" t="str">
        <x:v>Psychiatric</x:v>
      </x:c>
      <x:c r="F142" s="2" t="str">
        <x:v>Voluntary non-profit</x:v>
      </x:c>
      <x:c r="G142" s="2" t="str">
        <x:v>Small (&lt;100 beds)</x:v>
      </x:c>
      <x:c r="H142" s="7"/>
      <x:c r="I142" s="7"/>
      <x:c r="J142" s="7"/>
      <x:c r="K142" s="8" t="n">
        <x:v>13</x:v>
      </x:c>
      <x:c r="L142" s="8" t="n">
        <x:v>168</x:v>
      </x:c>
      <x:c r="M142" s="9" t="n">
        <x:v>0.7924130664</x:v>
      </x:c>
      <x:c r="N142" s="10" t="n">
        <x:v>819697.4166666666</x:v>
      </x:c>
      <x:c r="O142" s="9" t="n">
        <x:v>-0.4379270461</x:v>
      </x:c>
      <x:c r="P142" s="9" t="n">
        <x:v>0.9805825243</x:v>
      </x:c>
      <x:c r="Q142" s="9" t="n">
        <x:v>0</x:v>
      </x:c>
      <x:c r="R142" s="3" t="b">
        <x:v>1</x:v>
      </x:c>
      <x:c r="S142" s="3" t="b">
        <x:v>0</x:v>
      </x:c>
      <x:c r="T142" s="3" t="b">
        <x:v>0</x:v>
      </x:c>
      <x:c r="U142" s="2" t="str">
        <x:f>IF(T142=TRUE,"Priority review",IF(R142=TRUE,"High cost",IF(S142=TRUE,"Low quality","Benchmark")))</x:f>
        <x:v>High cost</x:v>
      </x:c>
    </x:row>
    <x:row r="143">
      <x:c r="A143" s="2" t="str">
        <x:v>170199</x:v>
      </x:c>
      <x:c r="B143" s="2" t="str">
        <x:v>MINIMALLY INVASIVE SURGERY HOSPITAL</x:v>
      </x:c>
      <x:c r="C143" s="2" t="str">
        <x:v>LENEXA</x:v>
      </x:c>
      <x:c r="D143" s="2" t="str">
        <x:v>KS</x:v>
      </x:c>
      <x:c r="E143" s="2" t="str">
        <x:v>Acute Care Hospitals</x:v>
      </x:c>
      <x:c r="F143" s="2" t="str">
        <x:v>Proprietary</x:v>
      </x:c>
      <x:c r="G143" s="2" t="str">
        <x:v>Small (&lt;100 beds)</x:v>
      </x:c>
      <x:c r="H143" s="7"/>
      <x:c r="I143" s="7"/>
      <x:c r="J143" s="7"/>
      <x:c r="K143" s="8" t="n">
        <x:v>9</x:v>
      </x:c>
      <x:c r="L143" s="8" t="n">
        <x:v>27</x:v>
      </x:c>
      <x:c r="M143" s="9" t="n">
        <x:v>0.0188221008</x:v>
      </x:c>
      <x:c r="N143" s="10" t="n">
        <x:v>524967.6666666666</x:v>
      </x:c>
      <x:c r="O143" s="9" t="n">
        <x:v>-0.9047615656</x:v>
      </x:c>
      <x:c r="P143" s="9" t="n">
        <x:v>0.9802513465</x:v>
      </x:c>
      <x:c r="Q143" s="9" t="n">
        <x:v>0.697486535</x:v>
      </x:c>
      <x:c r="R143" s="3" t="b">
        <x:v>1</x:v>
      </x:c>
      <x:c r="S143" s="3" t="b">
        <x:v>0</x:v>
      </x:c>
      <x:c r="T143" s="3" t="b">
        <x:v>0</x:v>
      </x:c>
      <x:c r="U143" s="2" t="str">
        <x:f>IF(T143=TRUE,"Priority review",IF(R143=TRUE,"High cost",IF(S143=TRUE,"Low quality","Benchmark")))</x:f>
        <x:v>High cost</x:v>
      </x:c>
    </x:row>
    <x:row r="144">
      <x:c r="A144" s="2" t="str">
        <x:v>394012</x:v>
      </x:c>
      <x:c r="B144" s="2" t="str">
        <x:v>CLARKS SUMMIT STATE HOSPITAL</x:v>
      </x:c>
      <x:c r="C144" s="2" t="str">
        <x:v>CLARKS SUMMIT</x:v>
      </x:c>
      <x:c r="D144" s="2" t="str">
        <x:v>PA</x:v>
      </x:c>
      <x:c r="E144" s="2" t="str">
        <x:v>Psychiatric</x:v>
      </x:c>
      <x:c r="F144" s="2" t="str">
        <x:v>Government</x:v>
      </x:c>
      <x:c r="G144" s="2" t="str">
        <x:v>Medium (100-299 beds)</x:v>
      </x:c>
      <x:c r="H144" s="7"/>
      <x:c r="I144" s="7"/>
      <x:c r="J144" s="7"/>
      <x:c r="K144" s="8" t="n">
        <x:v>203</x:v>
      </x:c>
      <x:c r="L144" s="8" t="n">
        <x:v>32</x:v>
      </x:c>
      <x:c r="M144" s="9" t="n">
        <x:v>0.6966057089</x:v>
      </x:c>
      <x:c r="N144" s="10" t="n">
        <x:v>1875258.46875</x:v>
      </x:c>
      <x:c r="O144" s="9"/>
      <x:c r="P144" s="9" t="n">
        <x:v>0.9800995025</x:v>
      </x:c>
      <x:c r="Q144" s="9" t="n">
        <x:v>0</x:v>
      </x:c>
      <x:c r="R144" s="3" t="b">
        <x:v>1</x:v>
      </x:c>
      <x:c r="S144" s="3" t="b">
        <x:v>0</x:v>
      </x:c>
      <x:c r="T144" s="3" t="b">
        <x:v>0</x:v>
      </x:c>
      <x:c r="U144" s="2" t="str">
        <x:f>IF(T144=TRUE,"Priority review",IF(R144=TRUE,"High cost",IF(S144=TRUE,"Low quality","Benchmark")))</x:f>
        <x:v>High cost</x:v>
      </x:c>
    </x:row>
    <x:row r="145">
      <x:c r="A145" s="2" t="str">
        <x:v>451366</x:v>
      </x:c>
      <x:c r="B145" s="2" t="str">
        <x:v>COCHRAN MEMORIAL HOSPITAL</x:v>
      </x:c>
      <x:c r="C145" s="2" t="str">
        <x:v>MORTON</x:v>
      </x:c>
      <x:c r="D145" s="2" t="str">
        <x:v>TX</x:v>
      </x:c>
      <x:c r="E145" s="2" t="str">
        <x:v>Critical Access Hospitals</x:v>
      </x:c>
      <x:c r="F145" s="2" t="str">
        <x:v>Government</x:v>
      </x:c>
      <x:c r="G145" s="2" t="str">
        <x:v>Small (&lt;100 beds)</x:v>
      </x:c>
      <x:c r="H145" s="7"/>
      <x:c r="I145" s="7"/>
      <x:c r="J145" s="7"/>
      <x:c r="K145" s="8" t="n">
        <x:v>18</x:v>
      </x:c>
      <x:c r="L145" s="8" t="n">
        <x:v>4</x:v>
      </x:c>
      <x:c r="M145" s="9" t="n">
        <x:v>0.0009107468</x:v>
      </x:c>
      <x:c r="N145" s="10" t="n">
        <x:v>1345486</x:v>
      </x:c>
      <x:c r="O145" s="9" t="n">
        <x:v>-2.2812009979</x:v>
      </x:c>
      <x:c r="P145" s="9" t="n">
        <x:v>0.9799256506</x:v>
      </x:c>
      <x:c r="Q145" s="9" t="n">
        <x:v>0.292936803</x:v>
      </x:c>
      <x:c r="R145" s="3" t="b">
        <x:v>1</x:v>
      </x:c>
      <x:c r="S145" s="3" t="b">
        <x:v>0</x:v>
      </x:c>
      <x:c r="T145" s="3" t="b">
        <x:v>0</x:v>
      </x:c>
      <x:c r="U145" s="2" t="str">
        <x:f>IF(T145=TRUE,"Priority review",IF(R145=TRUE,"High cost",IF(S145=TRUE,"Low quality","Benchmark")))</x:f>
        <x:v>High cost</x:v>
      </x:c>
    </x:row>
    <x:row r="146">
      <x:c r="A146" s="2" t="str">
        <x:v>050047</x:v>
      </x:c>
      <x:c r="B146" s="2" t="str">
        <x:v>CALIFORNIA PACIFIC MEDICAL CENTER- VAN NESS CAMPUS</x:v>
      </x:c>
      <x:c r="C146" s="2" t="str">
        <x:v>SAN FRANCISCO</x:v>
      </x:c>
      <x:c r="D146" s="2" t="str">
        <x:v>CA</x:v>
      </x:c>
      <x:c r="E146" s="2" t="str">
        <x:v>Acute Care Hospitals</x:v>
      </x:c>
      <x:c r="F146" s="2" t="str">
        <x:v>Voluntary non-profit</x:v>
      </x:c>
      <x:c r="G146" s="2" t="str">
        <x:v>Medium (100-299 beds)</x:v>
      </x:c>
      <x:c r="H146" s="7" t="n">
        <x:v>3</x:v>
      </x:c>
      <x:c r="I146" s="7" t="n">
        <x:v>4</x:v>
      </x:c>
      <x:c r="J146" s="7" t="n">
        <x:v>0.95</x:v>
      </x:c>
      <x:c r="K146" s="8" t="n">
        <x:v>274</x:v>
      </x:c>
      <x:c r="L146" s="8" t="n">
        <x:v>15180</x:v>
      </x:c>
      <x:c r="M146" s="9" t="n">
        <x:v>0.8672171034</x:v>
      </x:c>
      <x:c r="N146" s="10" t="n">
        <x:v>86901.1039525692</x:v>
      </x:c>
      <x:c r="O146" s="9" t="n">
        <x:v>-0.1514608446</x:v>
      </x:c>
      <x:c r="P146" s="9" t="n">
        <x:v>0.9796251019</x:v>
      </x:c>
      <x:c r="Q146" s="9" t="n">
        <x:v>0.3023634882</x:v>
      </x:c>
      <x:c r="R146" s="3" t="b">
        <x:v>1</x:v>
      </x:c>
      <x:c r="S146" s="3" t="b">
        <x:v>0</x:v>
      </x:c>
      <x:c r="T146" s="3" t="b">
        <x:v>0</x:v>
      </x:c>
      <x:c r="U146" s="2" t="str">
        <x:f>IF(T146=TRUE,"Priority review",IF(R146=TRUE,"High cost",IF(S146=TRUE,"Low quality","Benchmark")))</x:f>
        <x:v>High cost</x:v>
      </x:c>
    </x:row>
    <x:row r="147">
      <x:c r="A147" s="2" t="str">
        <x:v>300003</x:v>
      </x:c>
      <x:c r="B147" s="2" t="str">
        <x:v>MARY HITCHCOCK MEMORIAL HOSPITAL</x:v>
      </x:c>
      <x:c r="C147" s="2" t="str">
        <x:v>LEBANON</x:v>
      </x:c>
      <x:c r="D147" s="2" t="str">
        <x:v>NH</x:v>
      </x:c>
      <x:c r="E147" s="2" t="str">
        <x:v>Acute Care Hospitals</x:v>
      </x:c>
      <x:c r="F147" s="2" t="str">
        <x:v>Voluntary non-profit</x:v>
      </x:c>
      <x:c r="G147" s="2" t="str">
        <x:v>Large (300+ beds)</x:v>
      </x:c>
      <x:c r="H147" s="7" t="n">
        <x:v>3</x:v>
      </x:c>
      <x:c r="I147" s="7" t="n">
        <x:v>3</x:v>
      </x:c>
      <x:c r="J147" s="7" t="n">
        <x:v>1.02</x:v>
      </x:c>
      <x:c r="K147" s="8" t="n">
        <x:v>506</x:v>
      </x:c>
      <x:c r="L147" s="8" t="n">
        <x:v>23096</x:v>
      </x:c>
      <x:c r="M147" s="9" t="n">
        <x:v>0.8210279798</x:v>
      </x:c>
      <x:c r="N147" s="10" t="n">
        <x:v>112608.7990994112</x:v>
      </x:c>
      <x:c r="O147" s="9" t="n">
        <x:v>-0.3624172272</x:v>
      </x:c>
      <x:c r="P147" s="9" t="n">
        <x:v>0.9794952681</x:v>
      </x:c>
      <x:c r="Q147" s="9" t="n">
        <x:v>0.2570977918</x:v>
      </x:c>
      <x:c r="R147" s="3" t="b">
        <x:v>1</x:v>
      </x:c>
      <x:c r="S147" s="3" t="b">
        <x:v>0</x:v>
      </x:c>
      <x:c r="T147" s="3" t="b">
        <x:v>0</x:v>
      </x:c>
      <x:c r="U147" s="2" t="str">
        <x:f>IF(T147=TRUE,"Priority review",IF(R147=TRUE,"High cost",IF(S147=TRUE,"Low quality","Benchmark")))</x:f>
        <x:v>High cost</x:v>
      </x:c>
    </x:row>
    <x:row r="148">
      <x:c r="A148" s="2" t="str">
        <x:v>320062</x:v>
      </x:c>
      <x:c r="B148" s="2" t="str">
        <x:v>CROWNPOINT HEALTHCARE FACILITY</x:v>
      </x:c>
      <x:c r="C148" s="2" t="str">
        <x:v>CROWNPOINT</x:v>
      </x:c>
      <x:c r="D148" s="2" t="str">
        <x:v>NM</x:v>
      </x:c>
      <x:c r="E148" s="2" t="str">
        <x:v>Acute Care Hospitals</x:v>
      </x:c>
      <x:c r="F148" s="2" t="str">
        <x:v>Government</x:v>
      </x:c>
      <x:c r="G148" s="2" t="str">
        <x:v>Small (&lt;100 beds)</x:v>
      </x:c>
      <x:c r="H148" s="7"/>
      <x:c r="I148" s="7"/>
      <x:c r="J148" s="7"/>
      <x:c r="K148" s="8" t="n">
        <x:v>19</x:v>
      </x:c>
      <x:c r="L148" s="8" t="n">
        <x:v>215</x:v>
      </x:c>
      <x:c r="M148" s="9" t="n">
        <x:v>0.0936151855</x:v>
      </x:c>
      <x:c r="N148" s="10" t="n">
        <x:v>491567.2651162791</x:v>
      </x:c>
      <x:c r="O148" s="9"/>
      <x:c r="P148" s="9" t="n">
        <x:v>0.9793536804</x:v>
      </x:c>
      <x:c r="Q148" s="9" t="n">
        <x:v>0.697486535</x:v>
      </x:c>
      <x:c r="R148" s="3" t="b">
        <x:v>1</x:v>
      </x:c>
      <x:c r="S148" s="3" t="b">
        <x:v>0</x:v>
      </x:c>
      <x:c r="T148" s="3" t="b">
        <x:v>0</x:v>
      </x:c>
      <x:c r="U148" s="2" t="str">
        <x:f>IF(T148=TRUE,"Priority review",IF(R148=TRUE,"High cost",IF(S148=TRUE,"Low quality","Benchmark")))</x:f>
        <x:v>High cost</x:v>
      </x:c>
    </x:row>
    <x:row r="149">
      <x:c r="A149" s="2" t="str">
        <x:v>381308</x:v>
      </x:c>
      <x:c r="B149" s="2" t="str">
        <x:v>SALEM HEALTH WEST VALLEY</x:v>
      </x:c>
      <x:c r="C149" s="2" t="str">
        <x:v>DALLAS</x:v>
      </x:c>
      <x:c r="D149" s="2" t="str">
        <x:v>OR</x:v>
      </x:c>
      <x:c r="E149" s="2" t="str">
        <x:v>Critical Access Hospitals</x:v>
      </x:c>
      <x:c r="F149" s="2" t="str">
        <x:v>Voluntary non-profit</x:v>
      </x:c>
      <x:c r="G149" s="2" t="str">
        <x:v>Small (&lt;100 beds)</x:v>
      </x:c>
      <x:c r="H149" s="7"/>
      <x:c r="I149" s="7"/>
      <x:c r="J149" s="7"/>
      <x:c r="K149" s="8" t="n">
        <x:v>25</x:v>
      </x:c>
      <x:c r="L149" s="8" t="n">
        <x:v>49</x:v>
      </x:c>
      <x:c r="M149" s="9" t="n">
        <x:v>0.9283287671</x:v>
      </x:c>
      <x:c r="N149" s="10" t="n">
        <x:v>1316415.9387755103</x:v>
      </x:c>
      <x:c r="O149" s="9" t="n">
        <x:v>0.3005034927</x:v>
      </x:c>
      <x:c r="P149" s="9" t="n">
        <x:v>0.9791821561</x:v>
      </x:c>
      <x:c r="Q149" s="9" t="n">
        <x:v>0.292936803</x:v>
      </x:c>
      <x:c r="R149" s="3" t="b">
        <x:v>1</x:v>
      </x:c>
      <x:c r="S149" s="3" t="b">
        <x:v>0</x:v>
      </x:c>
      <x:c r="T149" s="3" t="b">
        <x:v>0</x:v>
      </x:c>
      <x:c r="U149" s="2" t="str">
        <x:f>IF(T149=TRUE,"Priority review",IF(R149=TRUE,"High cost",IF(S149=TRUE,"Low quality","Benchmark")))</x:f>
        <x:v>High cost</x:v>
      </x:c>
    </x:row>
    <x:row r="150">
      <x:c r="A150" s="2" t="str">
        <x:v>450162</x:v>
      </x:c>
      <x:c r="B150" s="2" t="str">
        <x:v>GRACE SURGICAL HOSPITAL</x:v>
      </x:c>
      <x:c r="C150" s="2" t="str">
        <x:v>LUBBOCK</x:v>
      </x:c>
      <x:c r="D150" s="2" t="str">
        <x:v>TX</x:v>
      </x:c>
      <x:c r="E150" s="2" t="str">
        <x:v>Acute Care Hospitals</x:v>
      </x:c>
      <x:c r="F150" s="2" t="str">
        <x:v>Voluntary non-profit</x:v>
      </x:c>
      <x:c r="G150" s="2" t="str">
        <x:v>Small (&lt;100 beds)</x:v>
      </x:c>
      <x:c r="H150" s="7"/>
      <x:c r="I150" s="7"/>
      <x:c r="J150" s="7" t="n">
        <x:v>0.92</x:v>
      </x:c>
      <x:c r="K150" s="8" t="n">
        <x:v>92</x:v>
      </x:c>
      <x:c r="L150" s="8" t="n">
        <x:v>144</x:v>
      </x:c>
      <x:c r="M150" s="9" t="n">
        <x:v>0.0061772392</x:v>
      </x:c>
      <x:c r="N150" s="10" t="n">
        <x:v>487841.5416666667</x:v>
      </x:c>
      <x:c r="O150" s="9" t="n">
        <x:v>-0.0676532718</x:v>
      </x:c>
      <x:c r="P150" s="9" t="n">
        <x:v>0.9784560144</x:v>
      </x:c>
      <x:c r="Q150" s="9" t="n">
        <x:v>0.697486535</x:v>
      </x:c>
      <x:c r="R150" s="3" t="b">
        <x:v>1</x:v>
      </x:c>
      <x:c r="S150" s="3" t="b">
        <x:v>0</x:v>
      </x:c>
      <x:c r="T150" s="3" t="b">
        <x:v>0</x:v>
      </x:c>
      <x:c r="U150" s="2" t="str">
        <x:f>IF(T150=TRUE,"Priority review",IF(R150=TRUE,"High cost",IF(S150=TRUE,"Low quality","Benchmark")))</x:f>
        <x:v>High cost</x:v>
      </x:c>
    </x:row>
    <x:row r="151">
      <x:c r="A151" s="2" t="str">
        <x:v>131324</x:v>
      </x:c>
      <x:c r="B151" s="2" t="str">
        <x:v>LOST RIVERS MEDICAL CENTER</x:v>
      </x:c>
      <x:c r="C151" s="2" t="str">
        <x:v>ARCO</x:v>
      </x:c>
      <x:c r="D151" s="2" t="str">
        <x:v>ID</x:v>
      </x:c>
      <x:c r="E151" s="2" t="str">
        <x:v>Critical Access Hospitals</x:v>
      </x:c>
      <x:c r="F151" s="2" t="str">
        <x:v>Government</x:v>
      </x:c>
      <x:c r="G151" s="2" t="str">
        <x:v>Small (&lt;100 beds)</x:v>
      </x:c>
      <x:c r="H151" s="7"/>
      <x:c r="I151" s="7"/>
      <x:c r="J151" s="7"/>
      <x:c r="K151" s="8" t="n">
        <x:v>14</x:v>
      </x:c>
      <x:c r="L151" s="8" t="n">
        <x:v>11</x:v>
      </x:c>
      <x:c r="M151" s="9" t="n">
        <x:v>0.0218579235</x:v>
      </x:c>
      <x:c r="N151" s="10" t="n">
        <x:v>1315983.1818181819</x:v>
      </x:c>
      <x:c r="O151" s="9" t="n">
        <x:v>-0.1214641104</x:v>
      </x:c>
      <x:c r="P151" s="9" t="n">
        <x:v>0.9784386617</x:v>
      </x:c>
      <x:c r="Q151" s="9" t="n">
        <x:v>0.292936803</x:v>
      </x:c>
      <x:c r="R151" s="3" t="b">
        <x:v>1</x:v>
      </x:c>
      <x:c r="S151" s="3" t="b">
        <x:v>0</x:v>
      </x:c>
      <x:c r="T151" s="3" t="b">
        <x:v>0</x:v>
      </x:c>
      <x:c r="U151" s="2" t="str">
        <x:f>IF(T151=TRUE,"Priority review",IF(R151=TRUE,"High cost",IF(S151=TRUE,"Low quality","Benchmark")))</x:f>
        <x:v>High cost</x:v>
      </x:c>
    </x:row>
    <x:row r="152">
      <x:c r="A152" s="2" t="str">
        <x:v>240056</x:v>
      </x:c>
      <x:c r="B152" s="2" t="str">
        <x:v>RIDGEVIEW MEDICAL CENTER</x:v>
      </x:c>
      <x:c r="C152" s="2" t="str">
        <x:v>WACONIA</x:v>
      </x:c>
      <x:c r="D152" s="2" t="str">
        <x:v>MN</x:v>
      </x:c>
      <x:c r="E152" s="2" t="str">
        <x:v>Acute Care Hospitals</x:v>
      </x:c>
      <x:c r="F152" s="2" t="str">
        <x:v>Voluntary non-profit</x:v>
      </x:c>
      <x:c r="G152" s="2" t="str">
        <x:v>Medium (100-299 beds)</x:v>
      </x:c>
      <x:c r="H152" s="7" t="n">
        <x:v>4</x:v>
      </x:c>
      <x:c r="I152" s="7" t="n">
        <x:v>4</x:v>
      </x:c>
      <x:c r="J152" s="7" t="n">
        <x:v>0.94</x:v>
      </x:c>
      <x:c r="K152" s="8" t="n">
        <x:v>128</x:v>
      </x:c>
      <x:c r="L152" s="8" t="n">
        <x:v>4944</x:v>
      </x:c>
      <x:c r="M152" s="9" t="n">
        <x:v>0.533085724</x:v>
      </x:c>
      <x:c r="N152" s="10" t="n">
        <x:v>83775.0770631068</x:v>
      </x:c>
      <x:c r="O152" s="9" t="n">
        <x:v>-0.1102122473</x:v>
      </x:c>
      <x:c r="P152" s="9" t="n">
        <x:v>0.97799511</x:v>
      </x:c>
      <x:c r="Q152" s="9" t="n">
        <x:v>0.6022819886</x:v>
      </x:c>
      <x:c r="R152" s="3" t="b">
        <x:v>1</x:v>
      </x:c>
      <x:c r="S152" s="3" t="b">
        <x:v>0</x:v>
      </x:c>
      <x:c r="T152" s="3" t="b">
        <x:v>0</x:v>
      </x:c>
      <x:c r="U152" s="2" t="str">
        <x:f>IF(T152=TRUE,"Priority review",IF(R152=TRUE,"High cost",IF(S152=TRUE,"Low quality","Benchmark")))</x:f>
        <x:v>High cost</x:v>
      </x:c>
    </x:row>
    <x:row r="153">
      <x:c r="A153" s="2" t="str">
        <x:v>520098</x:v>
      </x:c>
      <x:c r="B153" s="2" t="str">
        <x:v>UNIVERSITY OF WI  HOSPITALS &amp; CLINICS AUTHORITY</x:v>
      </x:c>
      <x:c r="C153" s="2" t="str">
        <x:v>MADISON</x:v>
      </x:c>
      <x:c r="D153" s="2" t="str">
        <x:v>WI</x:v>
      </x:c>
      <x:c r="E153" s="2" t="str">
        <x:v>Acute Care Hospitals</x:v>
      </x:c>
      <x:c r="F153" s="2" t="str">
        <x:v>Government</x:v>
      </x:c>
      <x:c r="G153" s="2" t="str">
        <x:v>Large (300+ beds)</x:v>
      </x:c>
      <x:c r="H153" s="7" t="n">
        <x:v>5</x:v>
      </x:c>
      <x:c r="I153" s="7" t="n">
        <x:v>4</x:v>
      </x:c>
      <x:c r="J153" s="7" t="n">
        <x:v>0.93</x:v>
      </x:c>
      <x:c r="K153" s="8" t="n">
        <x:v>681</x:v>
      </x:c>
      <x:c r="L153" s="8" t="n">
        <x:v>31420</x:v>
      </x:c>
      <x:c r="M153" s="9" t="n">
        <x:v>0.7994810211</x:v>
      </x:c>
      <x:c r="N153" s="10" t="n">
        <x:v>110661.4804901337</x:v>
      </x:c>
      <x:c r="O153" s="9" t="n">
        <x:v>-0.017013286</x:v>
      </x:c>
      <x:c r="P153" s="9" t="n">
        <x:v>0.9779179811</x:v>
      </x:c>
      <x:c r="Q153" s="9" t="n">
        <x:v>0.8722397476</x:v>
      </x:c>
      <x:c r="R153" s="3" t="b">
        <x:v>1</x:v>
      </x:c>
      <x:c r="S153" s="3" t="b">
        <x:v>0</x:v>
      </x:c>
      <x:c r="T153" s="3" t="b">
        <x:v>0</x:v>
      </x:c>
      <x:c r="U153" s="2" t="str">
        <x:f>IF(T153=TRUE,"Priority review",IF(R153=TRUE,"High cost",IF(S153=TRUE,"Low quality","Benchmark")))</x:f>
        <x:v>High cost</x:v>
      </x:c>
    </x:row>
    <x:row r="154">
      <x:c r="A154" s="2" t="str">
        <x:v>371316</x:v>
      </x:c>
      <x:c r="B154" s="2" t="str">
        <x:v>RURAL WELLNESS STROUD HOSPITAL</x:v>
      </x:c>
      <x:c r="C154" s="2" t="str">
        <x:v>STROUD</x:v>
      </x:c>
      <x:c r="D154" s="2" t="str">
        <x:v>OK</x:v>
      </x:c>
      <x:c r="E154" s="2" t="str">
        <x:v>Critical Access Hospitals</x:v>
      </x:c>
      <x:c r="F154" s="2" t="str">
        <x:v>Proprietary</x:v>
      </x:c>
      <x:c r="G154" s="2" t="str">
        <x:v>Small (&lt;100 beds)</x:v>
      </x:c>
      <x:c r="H154" s="7"/>
      <x:c r="I154" s="7"/>
      <x:c r="J154" s="7"/>
      <x:c r="K154" s="8" t="n">
        <x:v>25</x:v>
      </x:c>
      <x:c r="L154" s="8" t="n">
        <x:v>46</x:v>
      </x:c>
      <x:c r="M154" s="9" t="n">
        <x:v>0.8067759563</x:v>
      </x:c>
      <x:c r="N154" s="10" t="n">
        <x:v>1302513.847826087</x:v>
      </x:c>
      <x:c r="O154" s="9" t="n">
        <x:v>-0.3796318809</x:v>
      </x:c>
      <x:c r="P154" s="9" t="n">
        <x:v>0.9776951673</x:v>
      </x:c>
      <x:c r="Q154" s="9" t="n">
        <x:v>0.292936803</x:v>
      </x:c>
      <x:c r="R154" s="3" t="b">
        <x:v>1</x:v>
      </x:c>
      <x:c r="S154" s="3" t="b">
        <x:v>0</x:v>
      </x:c>
      <x:c r="T154" s="3" t="b">
        <x:v>0</x:v>
      </x:c>
      <x:c r="U154" s="2" t="str">
        <x:f>IF(T154=TRUE,"Priority review",IF(R154=TRUE,"High cost",IF(S154=TRUE,"Low quality","Benchmark")))</x:f>
        <x:v>High cost</x:v>
      </x:c>
    </x:row>
    <x:row r="155">
      <x:c r="A155" s="2" t="str">
        <x:v>370170</x:v>
      </x:c>
      <x:c r="B155" s="2" t="str">
        <x:v>LAWTON INDIAN HOSPITAL</x:v>
      </x:c>
      <x:c r="C155" s="2" t="str">
        <x:v>LAWTON</x:v>
      </x:c>
      <x:c r="D155" s="2" t="str">
        <x:v>OK</x:v>
      </x:c>
      <x:c r="E155" s="2" t="str">
        <x:v>Acute Care Hospitals</x:v>
      </x:c>
      <x:c r="F155" s="2" t="str">
        <x:v>Other / unknown</x:v>
      </x:c>
      <x:c r="G155" s="2" t="str">
        <x:v>Small (&lt;100 beds)</x:v>
      </x:c>
      <x:c r="H155" s="7"/>
      <x:c r="I155" s="7"/>
      <x:c r="J155" s="7" t="n">
        <x:v>0.89</x:v>
      </x:c>
      <x:c r="K155" s="8" t="n">
        <x:v>38</x:v>
      </x:c>
      <x:c r="L155" s="8" t="n">
        <x:v>307</x:v>
      </x:c>
      <x:c r="M155" s="9" t="n">
        <x:v>0.1279119931</x:v>
      </x:c>
      <x:c r="N155" s="10" t="n">
        <x:v>468699.8403908795</x:v>
      </x:c>
      <x:c r="O155" s="9"/>
      <x:c r="P155" s="9" t="n">
        <x:v>0.9775583483</x:v>
      </x:c>
      <x:c r="Q155" s="9" t="n">
        <x:v>0.697486535</x:v>
      </x:c>
      <x:c r="R155" s="3" t="b">
        <x:v>1</x:v>
      </x:c>
      <x:c r="S155" s="3" t="b">
        <x:v>0</x:v>
      </x:c>
      <x:c r="T155" s="3" t="b">
        <x:v>0</x:v>
      </x:c>
      <x:c r="U155" s="2" t="str">
        <x:f>IF(T155=TRUE,"Priority review",IF(R155=TRUE,"High cost",IF(S155=TRUE,"Low quality","Benchmark")))</x:f>
        <x:v>High cost</x:v>
      </x:c>
    </x:row>
    <x:row r="156">
      <x:c r="A156" s="2" t="str">
        <x:v>224001</x:v>
      </x:c>
      <x:c r="B156" s="2" t="str">
        <x:v>TAUNTON STATE HOSPITAL</x:v>
      </x:c>
      <x:c r="C156" s="2" t="str">
        <x:v>TAUNTON</x:v>
      </x:c>
      <x:c r="D156" s="2" t="str">
        <x:v>MA</x:v>
      </x:c>
      <x:c r="E156" s="2" t="str">
        <x:v>Psychiatric</x:v>
      </x:c>
      <x:c r="F156" s="2" t="str">
        <x:v>Government</x:v>
      </x:c>
      <x:c r="G156" s="2" t="str">
        <x:v>Small (&lt;100 beds)</x:v>
      </x:c>
      <x:c r="H156" s="7"/>
      <x:c r="I156" s="7"/>
      <x:c r="J156" s="7"/>
      <x:c r="K156" s="8" t="n">
        <x:v>62</x:v>
      </x:c>
      <x:c r="L156" s="8" t="n">
        <x:v>55</x:v>
      </x:c>
      <x:c r="M156" s="9" t="n">
        <x:v>0.9823243482</x:v>
      </x:c>
      <x:c r="N156" s="10" t="n">
        <x:v>671470.8727272727</x:v>
      </x:c>
      <x:c r="O156" s="9"/>
      <x:c r="P156" s="9" t="n">
        <x:v>0.9773462783</x:v>
      </x:c>
      <x:c r="Q156" s="9" t="n">
        <x:v>0</x:v>
      </x:c>
      <x:c r="R156" s="3" t="b">
        <x:v>1</x:v>
      </x:c>
      <x:c r="S156" s="3" t="b">
        <x:v>0</x:v>
      </x:c>
      <x:c r="T156" s="3" t="b">
        <x:v>0</x:v>
      </x:c>
      <x:c r="U156" s="2" t="str">
        <x:f>IF(T156=TRUE,"Priority review",IF(R156=TRUE,"High cost",IF(S156=TRUE,"Low quality","Benchmark")))</x:f>
        <x:v>High cost</x:v>
      </x:c>
    </x:row>
    <x:row r="157">
      <x:c r="A157" s="2" t="str">
        <x:v>120022</x:v>
      </x:c>
      <x:c r="B157" s="2" t="str">
        <x:v>STRAUB CLINIC AND HOSPITAL</x:v>
      </x:c>
      <x:c r="C157" s="2" t="str">
        <x:v>HONOLULU</x:v>
      </x:c>
      <x:c r="D157" s="2" t="str">
        <x:v>HI</x:v>
      </x:c>
      <x:c r="E157" s="2" t="str">
        <x:v>Acute Care Hospitals</x:v>
      </x:c>
      <x:c r="F157" s="2" t="str">
        <x:v>Proprietary</x:v>
      </x:c>
      <x:c r="G157" s="2" t="str">
        <x:v>Medium (100-299 beds)</x:v>
      </x:c>
      <x:c r="H157" s="7" t="n">
        <x:v>4</x:v>
      </x:c>
      <x:c r="I157" s="7" t="n">
        <x:v>4</x:v>
      </x:c>
      <x:c r="J157" s="7" t="n">
        <x:v>0.95</x:v>
      </x:c>
      <x:c r="K157" s="8" t="n">
        <x:v>159</x:v>
      </x:c>
      <x:c r="L157" s="8" t="n">
        <x:v>7592</x:v>
      </x:c>
      <x:c r="M157" s="9" t="n">
        <x:v>0.8344619626</x:v>
      </x:c>
      <x:c r="N157" s="10" t="n">
        <x:v>83186.0774499473</x:v>
      </x:c>
      <x:c r="O157" s="9" t="n">
        <x:v>-0.0698775833</x:v>
      </x:c>
      <x:c r="P157" s="9" t="n">
        <x:v>0.9771801141</x:v>
      </x:c>
      <x:c r="Q157" s="9" t="n">
        <x:v>0.6022819886</x:v>
      </x:c>
      <x:c r="R157" s="3" t="b">
        <x:v>1</x:v>
      </x:c>
      <x:c r="S157" s="3" t="b">
        <x:v>0</x:v>
      </x:c>
      <x:c r="T157" s="3" t="b">
        <x:v>0</x:v>
      </x:c>
      <x:c r="U157" s="2" t="str">
        <x:f>IF(T157=TRUE,"Priority review",IF(R157=TRUE,"High cost",IF(S157=TRUE,"Low quality","Benchmark")))</x:f>
        <x:v>High cost</x:v>
      </x:c>
    </x:row>
    <x:row r="158">
      <x:c r="A158" s="2" t="str">
        <x:v>031308</x:v>
      </x:c>
      <x:c r="B158" s="2" t="str">
        <x:v>HUHU KAM MEMORIAL HOSPITAL</x:v>
      </x:c>
      <x:c r="C158" s="2" t="str">
        <x:v>SACATON</x:v>
      </x:c>
      <x:c r="D158" s="2" t="str">
        <x:v>AZ</x:v>
      </x:c>
      <x:c r="E158" s="2" t="str">
        <x:v>Critical Access Hospitals</x:v>
      </x:c>
      <x:c r="F158" s="2" t="str">
        <x:v>Government</x:v>
      </x:c>
      <x:c r="G158" s="2" t="str">
        <x:v>Small (&lt;100 beds)</x:v>
      </x:c>
      <x:c r="H158" s="7"/>
      <x:c r="I158" s="7"/>
      <x:c r="J158" s="7"/>
      <x:c r="K158" s="8" t="n">
        <x:v>12</x:v>
      </x:c>
      <x:c r="L158" s="8" t="n">
        <x:v>265</x:v>
      </x:c>
      <x:c r="M158" s="9" t="n">
        <x:v>0.1384335155</x:v>
      </x:c>
      <x:c r="N158" s="10" t="n">
        <x:v>1207657.158490566</x:v>
      </x:c>
      <x:c r="O158" s="9"/>
      <x:c r="P158" s="9" t="n">
        <x:v>0.9769516729</x:v>
      </x:c>
      <x:c r="Q158" s="9" t="n">
        <x:v>0.292936803</x:v>
      </x:c>
      <x:c r="R158" s="3" t="b">
        <x:v>1</x:v>
      </x:c>
      <x:c r="S158" s="3" t="b">
        <x:v>0</x:v>
      </x:c>
      <x:c r="T158" s="3" t="b">
        <x:v>0</x:v>
      </x:c>
      <x:c r="U158" s="2" t="str">
        <x:f>IF(T158=TRUE,"Priority review",IF(R158=TRUE,"High cost",IF(S158=TRUE,"Low quality","Benchmark")))</x:f>
        <x:v>High cost</x:v>
      </x:c>
    </x:row>
    <x:row r="159">
      <x:c r="A159" s="2" t="str">
        <x:v>330100</x:v>
      </x:c>
      <x:c r="B159" s="2" t="str">
        <x:v>NY EYE AND EAR INFIRMARY OF MOUNT SINAI</x:v>
      </x:c>
      <x:c r="C159" s="2" t="str">
        <x:v>NEW YORK</x:v>
      </x:c>
      <x:c r="D159" s="2" t="str">
        <x:v>NY</x:v>
      </x:c>
      <x:c r="E159" s="2" t="str">
        <x:v>Acute Care Hospitals</x:v>
      </x:c>
      <x:c r="F159" s="2" t="str">
        <x:v>Voluntary non-profit</x:v>
      </x:c>
      <x:c r="G159" s="2" t="str">
        <x:v>Small (&lt;100 beds)</x:v>
      </x:c>
      <x:c r="H159" s="7"/>
      <x:c r="I159" s="7"/>
      <x:c r="J159" s="7"/>
      <x:c r="K159" s="8" t="n">
        <x:v>12</x:v>
      </x:c>
      <x:c r="L159" s="8" t="n">
        <x:v>304</x:v>
      </x:c>
      <x:c r="M159" s="9" t="n">
        <x:v>0.1488203267</x:v>
      </x:c>
      <x:c r="N159" s="10" t="n">
        <x:v>462197.3684210526</x:v>
      </x:c>
      <x:c r="O159" s="9" t="n">
        <x:v>-0.3701513883</x:v>
      </x:c>
      <x:c r="P159" s="9" t="n">
        <x:v>0.9766606822</x:v>
      </x:c>
      <x:c r="Q159" s="9" t="n">
        <x:v>0.697486535</x:v>
      </x:c>
      <x:c r="R159" s="3" t="b">
        <x:v>1</x:v>
      </x:c>
      <x:c r="S159" s="3" t="b">
        <x:v>0</x:v>
      </x:c>
      <x:c r="T159" s="3" t="b">
        <x:v>0</x:v>
      </x:c>
      <x:c r="U159" s="2" t="str">
        <x:f>IF(T159=TRUE,"Priority review",IF(R159=TRUE,"High cost",IF(S159=TRUE,"Low quality","Benchmark")))</x:f>
        <x:v>High cost</x:v>
      </x:c>
    </x:row>
    <x:row r="160">
      <x:c r="A160" s="2" t="str">
        <x:v>050599</x:v>
      </x:c>
      <x:c r="B160" s="2" t="str">
        <x:v>UNIVERSITY OF CALIFORNIA DAVIS MEDICAL CENTER</x:v>
      </x:c>
      <x:c r="C160" s="2" t="str">
        <x:v>SACRAMENTO</x:v>
      </x:c>
      <x:c r="D160" s="2" t="str">
        <x:v>CA</x:v>
      </x:c>
      <x:c r="E160" s="2" t="str">
        <x:v>Acute Care Hospitals</x:v>
      </x:c>
      <x:c r="F160" s="2" t="str">
        <x:v>Government</x:v>
      </x:c>
      <x:c r="G160" s="2" t="str">
        <x:v>Large (300+ beds)</x:v>
      </x:c>
      <x:c r="H160" s="7" t="n">
        <x:v>4</x:v>
      </x:c>
      <x:c r="I160" s="7" t="n">
        <x:v>3</x:v>
      </x:c>
      <x:c r="J160" s="7" t="n">
        <x:v>1</x:v>
      </x:c>
      <x:c r="K160" s="8" t="n">
        <x:v>654</x:v>
      </x:c>
      <x:c r="L160" s="8" t="n">
        <x:v>35199</x:v>
      </x:c>
      <x:c r="M160" s="9" t="n">
        <x:v>0.890711552</x:v>
      </x:c>
      <x:c r="N160" s="10" t="n">
        <x:v>110394.5313787324</x:v>
      </x:c>
      <x:c r="O160" s="9" t="n">
        <x:v>-0.0053547879</x:v>
      </x:c>
      <x:c r="P160" s="9" t="n">
        <x:v>0.976340694</x:v>
      </x:c>
      <x:c r="Q160" s="9" t="n">
        <x:v>0.5899053628</x:v>
      </x:c>
      <x:c r="R160" s="3" t="b">
        <x:v>1</x:v>
      </x:c>
      <x:c r="S160" s="3" t="b">
        <x:v>0</x:v>
      </x:c>
      <x:c r="T160" s="3" t="b">
        <x:v>0</x:v>
      </x:c>
      <x:c r="U160" s="2" t="str">
        <x:f>IF(T160=TRUE,"Priority review",IF(R160=TRUE,"High cost",IF(S160=TRUE,"Low quality","Benchmark")))</x:f>
        <x:v>High cost</x:v>
      </x:c>
    </x:row>
    <x:row r="161">
      <x:c r="A161" s="2" t="str">
        <x:v>171314</x:v>
      </x:c>
      <x:c r="B161" s="2" t="str">
        <x:v>F W HUSTON MEDICAL CENTER</x:v>
      </x:c>
      <x:c r="C161" s="2" t="str">
        <x:v>WINCHESTER</x:v>
      </x:c>
      <x:c r="D161" s="2" t="str">
        <x:v>KS</x:v>
      </x:c>
      <x:c r="E161" s="2" t="str">
        <x:v>Critical Access Hospitals</x:v>
      </x:c>
      <x:c r="F161" s="2" t="str">
        <x:v>Voluntary non-profit</x:v>
      </x:c>
      <x:c r="G161" s="2" t="str">
        <x:v>Small (&lt;100 beds)</x:v>
      </x:c>
      <x:c r="H161" s="7"/>
      <x:c r="I161" s="7"/>
      <x:c r="J161" s="7"/>
      <x:c r="K161" s="8" t="n">
        <x:v>25</x:v>
      </x:c>
      <x:c r="L161" s="8" t="n">
        <x:v>8</x:v>
      </x:c>
      <x:c r="M161" s="9" t="n">
        <x:v>0.0919125683</x:v>
      </x:c>
      <x:c r="N161" s="10" t="n">
        <x:v>1180111</x:v>
      </x:c>
      <x:c r="O161" s="9" t="n">
        <x:v>-0.0641418819</x:v>
      </x:c>
      <x:c r="P161" s="9" t="n">
        <x:v>0.9762081784</x:v>
      </x:c>
      <x:c r="Q161" s="9" t="n">
        <x:v>0.292936803</x:v>
      </x:c>
      <x:c r="R161" s="3" t="b">
        <x:v>1</x:v>
      </x:c>
      <x:c r="S161" s="3" t="b">
        <x:v>0</x:v>
      </x:c>
      <x:c r="T161" s="3" t="b">
        <x:v>0</x:v>
      </x:c>
      <x:c r="U161" s="2" t="str">
        <x:f>IF(T161=TRUE,"Priority review",IF(R161=TRUE,"High cost",IF(S161=TRUE,"Low quality","Benchmark")))</x:f>
        <x:v>High cost</x:v>
      </x:c>
    </x:row>
    <x:row r="162">
      <x:c r="A162" s="2" t="str">
        <x:v>360352</x:v>
      </x:c>
      <x:c r="B162" s="2" t="str">
        <x:v>SURGICAL HOSPITAL AT SOUTHWOODS</x:v>
      </x:c>
      <x:c r="C162" s="2" t="str">
        <x:v>YOUNGSTOWN</x:v>
      </x:c>
      <x:c r="D162" s="2" t="str">
        <x:v>OH</x:v>
      </x:c>
      <x:c r="E162" s="2" t="str">
        <x:v>Acute Care Hospitals</x:v>
      </x:c>
      <x:c r="F162" s="2" t="str">
        <x:v>Proprietary</x:v>
      </x:c>
      <x:c r="G162" s="2" t="str">
        <x:v>Small (&lt;100 beds)</x:v>
      </x:c>
      <x:c r="H162" s="7" t="n">
        <x:v>4</x:v>
      </x:c>
      <x:c r="I162" s="7" t="n">
        <x:v>5</x:v>
      </x:c>
      <x:c r="J162" s="7" t="n">
        <x:v>0.95</x:v>
      </x:c>
      <x:c r="K162" s="8" t="n">
        <x:v>24</x:v>
      </x:c>
      <x:c r="L162" s="8" t="n">
        <x:v>537</x:v>
      </x:c>
      <x:c r="M162" s="9" t="n">
        <x:v>0.1426457195</x:v>
      </x:c>
      <x:c r="N162" s="10" t="n">
        <x:v>446437.8882681564</x:v>
      </x:c>
      <x:c r="O162" s="9" t="n">
        <x:v>-0.1512048169</x:v>
      </x:c>
      <x:c r="P162" s="9" t="n">
        <x:v>0.9757630162</x:v>
      </x:c>
      <x:c r="Q162" s="9" t="n">
        <x:v>0.3913824057</x:v>
      </x:c>
      <x:c r="R162" s="3" t="b">
        <x:v>1</x:v>
      </x:c>
      <x:c r="S162" s="3" t="b">
        <x:v>0</x:v>
      </x:c>
      <x:c r="T162" s="3" t="b">
        <x:v>0</x:v>
      </x:c>
      <x:c r="U162" s="2" t="str">
        <x:f>IF(T162=TRUE,"Priority review",IF(R162=TRUE,"High cost",IF(S162=TRUE,"Low quality","Benchmark")))</x:f>
        <x:v>High cost</x:v>
      </x:c>
    </x:row>
    <x:row r="163">
      <x:c r="A163" s="2" t="str">
        <x:v>451329</x:v>
      </x:c>
      <x:c r="B163" s="2" t="str">
        <x:v>RANKIN HOSPITAL MEDICAL CLINIC</x:v>
      </x:c>
      <x:c r="C163" s="2" t="str">
        <x:v>RANKIN</x:v>
      </x:c>
      <x:c r="D163" s="2" t="str">
        <x:v>TX</x:v>
      </x:c>
      <x:c r="E163" s="2" t="str">
        <x:v>Critical Access Hospitals</x:v>
      </x:c>
      <x:c r="F163" s="2" t="str">
        <x:v>Government</x:v>
      </x:c>
      <x:c r="G163" s="2" t="str">
        <x:v>Small (&lt;100 beds)</x:v>
      </x:c>
      <x:c r="H163" s="7"/>
      <x:c r="I163" s="7"/>
      <x:c r="J163" s="7"/>
      <x:c r="K163" s="8" t="n">
        <x:v>15</x:v>
      </x:c>
      <x:c r="L163" s="8" t="n">
        <x:v>17</x:v>
      </x:c>
      <x:c r="M163" s="9" t="n">
        <x:v>0.1157990868</x:v>
      </x:c>
      <x:c r="N163" s="10" t="n">
        <x:v>1111246.705882353</x:v>
      </x:c>
      <x:c r="O163" s="9" t="n">
        <x:v>-1.0574933386</x:v>
      </x:c>
      <x:c r="P163" s="9" t="n">
        <x:v>0.975464684</x:v>
      </x:c>
      <x:c r="Q163" s="9" t="n">
        <x:v>0.292936803</x:v>
      </x:c>
      <x:c r="R163" s="3" t="b">
        <x:v>1</x:v>
      </x:c>
      <x:c r="S163" s="3" t="b">
        <x:v>0</x:v>
      </x:c>
      <x:c r="T163" s="3" t="b">
        <x:v>0</x:v>
      </x:c>
      <x:c r="U163" s="2" t="str">
        <x:f>IF(T163=TRUE,"Priority review",IF(R163=TRUE,"High cost",IF(S163=TRUE,"Low quality","Benchmark")))</x:f>
        <x:v>High cost</x:v>
      </x:c>
    </x:row>
    <x:row r="164">
      <x:c r="A164" s="2" t="str">
        <x:v>394004</x:v>
      </x:c>
      <x:c r="B164" s="2" t="str">
        <x:v>DANVILLE STATE HOSPITAL</x:v>
      </x:c>
      <x:c r="C164" s="2" t="str">
        <x:v>DANVILLE</x:v>
      </x:c>
      <x:c r="D164" s="2" t="str">
        <x:v>PA</x:v>
      </x:c>
      <x:c r="E164" s="2" t="str">
        <x:v>Psychiatric</x:v>
      </x:c>
      <x:c r="F164" s="2" t="str">
        <x:v>Government</x:v>
      </x:c>
      <x:c r="G164" s="2" t="str">
        <x:v>Medium (100-299 beds)</x:v>
      </x:c>
      <x:c r="H164" s="7"/>
      <x:c r="I164" s="7"/>
      <x:c r="J164" s="7"/>
      <x:c r="K164" s="8" t="n">
        <x:v>161</x:v>
      </x:c>
      <x:c r="L164" s="8" t="n">
        <x:v>39</x:v>
      </x:c>
      <x:c r="M164" s="9"/>
      <x:c r="N164" s="10" t="n">
        <x:v>1556410.1282051282</x:v>
      </x:c>
      <x:c r="O164" s="9"/>
      <x:c r="P164" s="9" t="n">
        <x:v>0.9751243781</x:v>
      </x:c>
      <x:c r="Q164" s="9" t="n">
        <x:v>0</x:v>
      </x:c>
      <x:c r="R164" s="3" t="b">
        <x:v>1</x:v>
      </x:c>
      <x:c r="S164" s="3" t="b">
        <x:v>0</x:v>
      </x:c>
      <x:c r="T164" s="3" t="b">
        <x:v>0</x:v>
      </x:c>
      <x:c r="U164" s="2" t="str">
        <x:f>IF(T164=TRUE,"Priority review",IF(R164=TRUE,"High cost",IF(S164=TRUE,"Low quality","Benchmark")))</x:f>
        <x:v>High cost</x:v>
      </x:c>
    </x:row>
    <x:row r="165">
      <x:c r="A165" s="2" t="str">
        <x:v>280129</x:v>
      </x:c>
      <x:c r="B165" s="2" t="str">
        <x:v>NEBRASKA ORTHOPAEDIC HOSPITAL</x:v>
      </x:c>
      <x:c r="C165" s="2" t="str">
        <x:v>OMAHA</x:v>
      </x:c>
      <x:c r="D165" s="2" t="str">
        <x:v>NE</x:v>
      </x:c>
      <x:c r="E165" s="2" t="str">
        <x:v>Acute Care Hospitals</x:v>
      </x:c>
      <x:c r="F165" s="2" t="str">
        <x:v>Other / unknown</x:v>
      </x:c>
      <x:c r="G165" s="2" t="str">
        <x:v>Small (&lt;100 beds)</x:v>
      </x:c>
      <x:c r="H165" s="7"/>
      <x:c r="I165" s="7" t="n">
        <x:v>5</x:v>
      </x:c>
      <x:c r="J165" s="7" t="n">
        <x:v>0.93</x:v>
      </x:c>
      <x:c r="K165" s="8" t="n">
        <x:v>24</x:v>
      </x:c>
      <x:c r="L165" s="8" t="n">
        <x:v>385</x:v>
      </x:c>
      <x:c r="M165" s="9" t="n">
        <x:v>0.0837887067</x:v>
      </x:c>
      <x:c r="N165" s="10" t="n">
        <x:v>431327.3896103896</x:v>
      </x:c>
      <x:c r="O165" s="9" t="n">
        <x:v>-0.1248217153</x:v>
      </x:c>
      <x:c r="P165" s="9" t="n">
        <x:v>0.9748653501</x:v>
      </x:c>
      <x:c r="Q165" s="9" t="n">
        <x:v>0.697486535</x:v>
      </x:c>
      <x:c r="R165" s="3" t="b">
        <x:v>1</x:v>
      </x:c>
      <x:c r="S165" s="3" t="b">
        <x:v>0</x:v>
      </x:c>
      <x:c r="T165" s="3" t="b">
        <x:v>0</x:v>
      </x:c>
      <x:c r="U165" s="2" t="str">
        <x:f>IF(T165=TRUE,"Priority review",IF(R165=TRUE,"High cost",IF(S165=TRUE,"Low quality","Benchmark")))</x:f>
        <x:v>High cost</x:v>
      </x:c>
    </x:row>
    <x:row r="166">
      <x:c r="A166" s="2" t="str">
        <x:v>140088</x:v>
      </x:c>
      <x:c r="B166" s="2" t="str">
        <x:v>THE UNIVERSITY OF CHICAGO MEDICAL CENTER</x:v>
      </x:c>
      <x:c r="C166" s="2" t="str">
        <x:v>CHICAGO</x:v>
      </x:c>
      <x:c r="D166" s="2" t="str">
        <x:v>IL</x:v>
      </x:c>
      <x:c r="E166" s="2" t="str">
        <x:v>Acute Care Hospitals</x:v>
      </x:c>
      <x:c r="F166" s="2" t="str">
        <x:v>Voluntary non-profit</x:v>
      </x:c>
      <x:c r="G166" s="2" t="str">
        <x:v>Large (300+ beds)</x:v>
      </x:c>
      <x:c r="H166" s="7" t="n">
        <x:v>4</x:v>
      </x:c>
      <x:c r="I166" s="7" t="n">
        <x:v>3</x:v>
      </x:c>
      <x:c r="J166" s="7" t="n">
        <x:v>0.99</x:v>
      </x:c>
      <x:c r="K166" s="8" t="n">
        <x:v>737</x:v>
      </x:c>
      <x:c r="L166" s="8" t="n">
        <x:v>30652</x:v>
      </x:c>
      <x:c r="M166" s="9" t="n">
        <x:v>0.8117790312</x:v>
      </x:c>
      <x:c r="N166" s="10" t="n">
        <x:v>109843.9117512723</x:v>
      </x:c>
      <x:c r="O166" s="9" t="n">
        <x:v>-0.1962324554</x:v>
      </x:c>
      <x:c r="P166" s="9" t="n">
        <x:v>0.9747634069</x:v>
      </x:c>
      <x:c r="Q166" s="9" t="n">
        <x:v>0.5899053628</x:v>
      </x:c>
      <x:c r="R166" s="3" t="b">
        <x:v>1</x:v>
      </x:c>
      <x:c r="S166" s="3" t="b">
        <x:v>0</x:v>
      </x:c>
      <x:c r="T166" s="3" t="b">
        <x:v>0</x:v>
      </x:c>
      <x:c r="U166" s="2" t="str">
        <x:f>IF(T166=TRUE,"Priority review",IF(R166=TRUE,"High cost",IF(S166=TRUE,"Low quality","Benchmark")))</x:f>
        <x:v>High cost</x:v>
      </x:c>
    </x:row>
    <x:row r="167">
      <x:c r="A167" s="2" t="str">
        <x:v>050512</x:v>
      </x:c>
      <x:c r="B167" s="2" t="str">
        <x:v>KAISER FOUNDATION HOSPITAL - FREMONT</x:v>
      </x:c>
      <x:c r="C167" s="2" t="str">
        <x:v>FREMONT</x:v>
      </x:c>
      <x:c r="D167" s="2" t="str">
        <x:v>CA</x:v>
      </x:c>
      <x:c r="E167" s="2" t="str">
        <x:v>Acute Care Hospitals</x:v>
      </x:c>
      <x:c r="F167" s="2" t="str">
        <x:v>Voluntary non-profit</x:v>
      </x:c>
      <x:c r="G167" s="2" t="str">
        <x:v>Medium (100-299 beds)</x:v>
      </x:c>
      <x:c r="H167" s="7" t="n">
        <x:v>4</x:v>
      </x:c>
      <x:c r="I167" s="7" t="n">
        <x:v>3</x:v>
      </x:c>
      <x:c r="J167" s="7" t="n">
        <x:v>0.86</x:v>
      </x:c>
      <x:c r="K167" s="8" t="n">
        <x:v>100</x:v>
      </x:c>
      <x:c r="L167" s="8" t="n">
        <x:v>4476</x:v>
      </x:c>
      <x:c r="M167" s="9" t="n">
        <x:v>0.6407650273</x:v>
      </x:c>
      <x:c r="N167" s="10" t="n">
        <x:v>80144.5424486148</x:v>
      </x:c>
      <x:c r="O167" s="9" t="n">
        <x:v>-0.0236900012</x:v>
      </x:c>
      <x:c r="P167" s="9" t="n">
        <x:v>0.9747351263</x:v>
      </x:c>
      <x:c r="Q167" s="9" t="n">
        <x:v>0.6022819886</x:v>
      </x:c>
      <x:c r="R167" s="3" t="b">
        <x:v>1</x:v>
      </x:c>
      <x:c r="S167" s="3" t="b">
        <x:v>0</x:v>
      </x:c>
      <x:c r="T167" s="3" t="b">
        <x:v>0</x:v>
      </x:c>
      <x:c r="U167" s="2" t="str">
        <x:f>IF(T167=TRUE,"Priority review",IF(R167=TRUE,"High cost",IF(S167=TRUE,"Low quality","Benchmark")))</x:f>
        <x:v>High cost</x:v>
      </x:c>
    </x:row>
    <x:row r="168">
      <x:c r="A168" s="2" t="str">
        <x:v>141329</x:v>
      </x:c>
      <x:c r="B168" s="2" t="str">
        <x:v>MORRISON COMMUNITY HOSPITAL</x:v>
      </x:c>
      <x:c r="C168" s="2" t="str">
        <x:v>MORRISON</x:v>
      </x:c>
      <x:c r="D168" s="2" t="str">
        <x:v>IL</x:v>
      </x:c>
      <x:c r="E168" s="2" t="str">
        <x:v>Critical Access Hospitals</x:v>
      </x:c>
      <x:c r="F168" s="2" t="str">
        <x:v>Government</x:v>
      </x:c>
      <x:c r="G168" s="2" t="str">
        <x:v>Small (&lt;100 beds)</x:v>
      </x:c>
      <x:c r="H168" s="7"/>
      <x:c r="I168" s="7"/>
      <x:c r="J168" s="7"/>
      <x:c r="K168" s="8" t="n">
        <x:v>25</x:v>
      </x:c>
      <x:c r="L168" s="8" t="n">
        <x:v>51</x:v>
      </x:c>
      <x:c r="M168" s="9" t="n">
        <x:v>0.2730958904</x:v>
      </x:c>
      <x:c r="N168" s="10" t="n">
        <x:v>1028022.8431372549</x:v>
      </x:c>
      <x:c r="O168" s="9" t="n">
        <x:v>0.1070346624</x:v>
      </x:c>
      <x:c r="P168" s="9" t="n">
        <x:v>0.9747211896</x:v>
      </x:c>
      <x:c r="Q168" s="9" t="n">
        <x:v>0.292936803</x:v>
      </x:c>
      <x:c r="R168" s="3" t="b">
        <x:v>1</x:v>
      </x:c>
      <x:c r="S168" s="3" t="b">
        <x:v>0</x:v>
      </x:c>
      <x:c r="T168" s="3" t="b">
        <x:v>0</x:v>
      </x:c>
      <x:c r="U168" s="2" t="str">
        <x:f>IF(T168=TRUE,"Priority review",IF(R168=TRUE,"High cost",IF(S168=TRUE,"Low quality","Benchmark")))</x:f>
        <x:v>High cost</x:v>
      </x:c>
    </x:row>
    <x:row r="169">
      <x:c r="A169" s="2" t="str">
        <x:v>074011</x:v>
      </x:c>
      <x:c r="B169" s="2" t="str">
        <x:v>CONNECTICUT MENTAL HEALTH CENTER</x:v>
      </x:c>
      <x:c r="C169" s="2" t="str">
        <x:v>NEW HAVEN</x:v>
      </x:c>
      <x:c r="D169" s="2" t="str">
        <x:v>CT</x:v>
      </x:c>
      <x:c r="E169" s="2" t="str">
        <x:v>Psychiatric</x:v>
      </x:c>
      <x:c r="F169" s="2" t="str">
        <x:v>Government</x:v>
      </x:c>
      <x:c r="G169" s="2" t="str">
        <x:v>Small (&lt;100 beds)</x:v>
      </x:c>
      <x:c r="H169" s="7"/>
      <x:c r="I169" s="7"/>
      <x:c r="J169" s="7"/>
      <x:c r="K169" s="8" t="n">
        <x:v>30</x:v>
      </x:c>
      <x:c r="L169" s="8" t="n">
        <x:v>90</x:v>
      </x:c>
      <x:c r="M169" s="9" t="n">
        <x:v>0.7612785388</x:v>
      </x:c>
      <x:c r="N169" s="10" t="n">
        <x:v>533481.9555555555</x:v>
      </x:c>
      <x:c r="O169" s="9"/>
      <x:c r="P169" s="9" t="n">
        <x:v>0.9741100324</x:v>
      </x:c>
      <x:c r="Q169" s="9" t="n">
        <x:v>0</x:v>
      </x:c>
      <x:c r="R169" s="3" t="b">
        <x:v>1</x:v>
      </x:c>
      <x:c r="S169" s="3" t="b">
        <x:v>0</x:v>
      </x:c>
      <x:c r="T169" s="3" t="b">
        <x:v>0</x:v>
      </x:c>
      <x:c r="U169" s="2" t="str">
        <x:f>IF(T169=TRUE,"Priority review",IF(R169=TRUE,"High cost",IF(S169=TRUE,"Low quality","Benchmark")))</x:f>
        <x:v>High cost</x:v>
      </x:c>
    </x:row>
    <x:row r="170">
      <x:c r="A170" s="2" t="str">
        <x:v>521356</x:v>
      </x:c>
      <x:c r="B170" s="2" t="str">
        <x:v>BELLIN HEALTH OCONTO HOSPITAL</x:v>
      </x:c>
      <x:c r="C170" s="2" t="str">
        <x:v>OCONTO</x:v>
      </x:c>
      <x:c r="D170" s="2" t="str">
        <x:v>WI</x:v>
      </x:c>
      <x:c r="E170" s="2" t="str">
        <x:v>Critical Access Hospitals</x:v>
      </x:c>
      <x:c r="F170" s="2" t="str">
        <x:v>Voluntary non-profit</x:v>
      </x:c>
      <x:c r="G170" s="2" t="str">
        <x:v>Small (&lt;100 beds)</x:v>
      </x:c>
      <x:c r="H170" s="7"/>
      <x:c r="I170" s="7"/>
      <x:c r="J170" s="7"/>
      <x:c r="K170" s="8" t="n">
        <x:v>10</x:v>
      </x:c>
      <x:c r="L170" s="8" t="n">
        <x:v>84</x:v>
      </x:c>
      <x:c r="M170" s="9" t="n">
        <x:v>0.4956284153</x:v>
      </x:c>
      <x:c r="N170" s="10" t="n">
        <x:v>1015951.6428571428</x:v>
      </x:c>
      <x:c r="O170" s="9" t="n">
        <x:v>0.0115153449</x:v>
      </x:c>
      <x:c r="P170" s="9" t="n">
        <x:v>0.9739776952</x:v>
      </x:c>
      <x:c r="Q170" s="9" t="n">
        <x:v>0.292936803</x:v>
      </x:c>
      <x:c r="R170" s="3" t="b">
        <x:v>1</x:v>
      </x:c>
      <x:c r="S170" s="3" t="b">
        <x:v>0</x:v>
      </x:c>
      <x:c r="T170" s="3" t="b">
        <x:v>0</x:v>
      </x:c>
      <x:c r="U170" s="2" t="str">
        <x:f>IF(T170=TRUE,"Priority review",IF(R170=TRUE,"High cost",IF(S170=TRUE,"Low quality","Benchmark")))</x:f>
        <x:v>High cost</x:v>
      </x:c>
    </x:row>
    <x:row r="171">
      <x:c r="A171" s="2" t="str">
        <x:v>510091</x:v>
      </x:c>
      <x:c r="B171" s="2" t="str">
        <x:v>CAMC CHARLESTON SURGICAL HOSPITAL</x:v>
      </x:c>
      <x:c r="C171" s="2" t="str">
        <x:v>CHARLESTON</x:v>
      </x:c>
      <x:c r="D171" s="2" t="str">
        <x:v>WV</x:v>
      </x:c>
      <x:c r="E171" s="2" t="str">
        <x:v>Acute Care Hospitals</x:v>
      </x:c>
      <x:c r="F171" s="2" t="str">
        <x:v>Other / unknown</x:v>
      </x:c>
      <x:c r="G171" s="2" t="str">
        <x:v>Small (&lt;100 beds)</x:v>
      </x:c>
      <x:c r="H171" s="7"/>
      <x:c r="I171" s="7"/>
      <x:c r="J171" s="7"/>
      <x:c r="K171" s="8" t="n">
        <x:v>7</x:v>
      </x:c>
      <x:c r="L171" s="8" t="n">
        <x:v>62</x:v>
      </x:c>
      <x:c r="M171" s="9" t="n">
        <x:v>0.0534738486</x:v>
      </x:c>
      <x:c r="N171" s="10" t="n">
        <x:v>424510.2096774193</x:v>
      </x:c>
      <x:c r="O171" s="9" t="n">
        <x:v>0.2104371287</x:v>
      </x:c>
      <x:c r="P171" s="9" t="n">
        <x:v>0.973967684</x:v>
      </x:c>
      <x:c r="Q171" s="9" t="n">
        <x:v>0.697486535</x:v>
      </x:c>
      <x:c r="R171" s="3" t="b">
        <x:v>1</x:v>
      </x:c>
      <x:c r="S171" s="3" t="b">
        <x:v>0</x:v>
      </x:c>
      <x:c r="T171" s="3" t="b">
        <x:v>0</x:v>
      </x:c>
      <x:c r="U171" s="2" t="str">
        <x:f>IF(T171=TRUE,"Priority review",IF(R171=TRUE,"High cost",IF(S171=TRUE,"Low quality","Benchmark")))</x:f>
        <x:v>High cost</x:v>
      </x:c>
    </x:row>
    <x:row r="172">
      <x:c r="A172" s="2" t="str">
        <x:v>310045</x:v>
      </x:c>
      <x:c r="B172" s="2" t="str">
        <x:v>ENGLEWOOD HOSPITAL AND MEDICAL CENTER</x:v>
      </x:c>
      <x:c r="C172" s="2" t="str">
        <x:v>ENGLEWOOD</x:v>
      </x:c>
      <x:c r="D172" s="2" t="str">
        <x:v>NJ</x:v>
      </x:c>
      <x:c r="E172" s="2" t="str">
        <x:v>Acute Care Hospitals</x:v>
      </x:c>
      <x:c r="F172" s="2" t="str">
        <x:v>Voluntary non-profit</x:v>
      </x:c>
      <x:c r="G172" s="2" t="str">
        <x:v>Medium (100-299 beds)</x:v>
      </x:c>
      <x:c r="H172" s="7" t="n">
        <x:v>4</x:v>
      </x:c>
      <x:c r="I172" s="7" t="n">
        <x:v>3</x:v>
      </x:c>
      <x:c r="J172" s="7" t="n">
        <x:v>1.05</x:v>
      </x:c>
      <x:c r="K172" s="8" t="n">
        <x:v>280</x:v>
      </x:c>
      <x:c r="L172" s="8" t="n">
        <x:v>14803</x:v>
      </x:c>
      <x:c r="M172" s="9" t="n">
        <x:v>0.6962877842</x:v>
      </x:c>
      <x:c r="N172" s="10" t="n">
        <x:v>78495.5573194623</x:v>
      </x:c>
      <x:c r="O172" s="9" t="n">
        <x:v>0.0028569784</x:v>
      </x:c>
      <x:c r="P172" s="9" t="n">
        <x:v>0.9739201304</x:v>
      </x:c>
      <x:c r="Q172" s="9" t="n">
        <x:v>0.6022819886</x:v>
      </x:c>
      <x:c r="R172" s="3" t="b">
        <x:v>1</x:v>
      </x:c>
      <x:c r="S172" s="3" t="b">
        <x:v>0</x:v>
      </x:c>
      <x:c r="T172" s="3" t="b">
        <x:v>0</x:v>
      </x:c>
      <x:c r="U172" s="2" t="str">
        <x:f>IF(T172=TRUE,"Priority review",IF(R172=TRUE,"High cost",IF(S172=TRUE,"Low quality","Benchmark")))</x:f>
        <x:v>High cost</x:v>
      </x:c>
    </x:row>
    <x:row r="173">
      <x:c r="A173" s="2" t="str">
        <x:v>051300</x:v>
      </x:c>
      <x:c r="B173" s="2" t="str">
        <x:v>EASTERN PLUMAS HOSPITAL - PORTOLA CAMPUS</x:v>
      </x:c>
      <x:c r="C173" s="2" t="str">
        <x:v>PORTOLA</x:v>
      </x:c>
      <x:c r="D173" s="2" t="str">
        <x:v>CA</x:v>
      </x:c>
      <x:c r="E173" s="2" t="str">
        <x:v>Critical Access Hospitals</x:v>
      </x:c>
      <x:c r="F173" s="2" t="str">
        <x:v>Government</x:v>
      </x:c>
      <x:c r="G173" s="2" t="str">
        <x:v>Small (&lt;100 beds)</x:v>
      </x:c>
      <x:c r="H173" s="7"/>
      <x:c r="I173" s="7"/>
      <x:c r="J173" s="7"/>
      <x:c r="K173" s="8" t="n">
        <x:v>9</x:v>
      </x:c>
      <x:c r="L173" s="8" t="n">
        <x:v>44</x:v>
      </x:c>
      <x:c r="M173" s="9" t="n">
        <x:v>0.2441400304</x:v>
      </x:c>
      <x:c r="N173" s="10" t="n">
        <x:v>969278.9090909091</x:v>
      </x:c>
      <x:c r="O173" s="9" t="n">
        <x:v>0.0325578677</x:v>
      </x:c>
      <x:c r="P173" s="9" t="n">
        <x:v>0.9732342007</x:v>
      </x:c>
      <x:c r="Q173" s="9" t="n">
        <x:v>0.292936803</x:v>
      </x:c>
      <x:c r="R173" s="3" t="b">
        <x:v>1</x:v>
      </x:c>
      <x:c r="S173" s="3" t="b">
        <x:v>0</x:v>
      </x:c>
      <x:c r="T173" s="3" t="b">
        <x:v>0</x:v>
      </x:c>
      <x:c r="U173" s="2" t="str">
        <x:f>IF(T173=TRUE,"Priority review",IF(R173=TRUE,"High cost",IF(S173=TRUE,"Low quality","Benchmark")))</x:f>
        <x:v>High cost</x:v>
      </x:c>
    </x:row>
    <x:row r="174">
      <x:c r="A174" s="2" t="str">
        <x:v>390111</x:v>
      </x:c>
      <x:c r="B174" s="2" t="str">
        <x:v>HOSPITAL OF UNIV OF PENNSYLVANIA</x:v>
      </x:c>
      <x:c r="C174" s="2" t="str">
        <x:v>PHILADELPHIA</x:v>
      </x:c>
      <x:c r="D174" s="2" t="str">
        <x:v>PA</x:v>
      </x:c>
      <x:c r="E174" s="2" t="str">
        <x:v>Acute Care Hospitals</x:v>
      </x:c>
      <x:c r="F174" s="2" t="str">
        <x:v>Voluntary non-profit</x:v>
      </x:c>
      <x:c r="G174" s="2" t="str">
        <x:v>Large (300+ beds)</x:v>
      </x:c>
      <x:c r="H174" s="7" t="n">
        <x:v>5</x:v>
      </x:c>
      <x:c r="I174" s="7" t="n">
        <x:v>4</x:v>
      </x:c>
      <x:c r="J174" s="7" t="n">
        <x:v>1.03</x:v>
      </x:c>
      <x:c r="K174" s="8" t="n">
        <x:v>1002</x:v>
      </x:c>
      <x:c r="L174" s="8" t="n">
        <x:v>43973</x:v>
      </x:c>
      <x:c r="M174" s="9" t="n">
        <x:v>0.8498825714</x:v>
      </x:c>
      <x:c r="N174" s="10" t="n">
        <x:v>107631.0848702613</x:v>
      </x:c>
      <x:c r="O174" s="9" t="n">
        <x:v>-0.1818041372</x:v>
      </x:c>
      <x:c r="P174" s="9" t="n">
        <x:v>0.9731861199</x:v>
      </x:c>
      <x:c r="Q174" s="9" t="n">
        <x:v>0.8722397476</x:v>
      </x:c>
      <x:c r="R174" s="3" t="b">
        <x:v>1</x:v>
      </x:c>
      <x:c r="S174" s="3" t="b">
        <x:v>0</x:v>
      </x:c>
      <x:c r="T174" s="3" t="b">
        <x:v>0</x:v>
      </x:c>
      <x:c r="U174" s="2" t="str">
        <x:f>IF(T174=TRUE,"Priority review",IF(R174=TRUE,"High cost",IF(S174=TRUE,"Low quality","Benchmark")))</x:f>
        <x:v>High cost</x:v>
      </x:c>
    </x:row>
    <x:row r="175">
      <x:c r="A175" s="2" t="str">
        <x:v>310058</x:v>
      </x:c>
      <x:c r="B175" s="2" t="str">
        <x:v>BERGEN NEW BRIDGE MEDICAL CENTER</x:v>
      </x:c>
      <x:c r="C175" s="2" t="str">
        <x:v>PARAMUS</x:v>
      </x:c>
      <x:c r="D175" s="2" t="str">
        <x:v>NJ</x:v>
      </x:c>
      <x:c r="E175" s="2" t="str">
        <x:v>Acute Care Hospitals</x:v>
      </x:c>
      <x:c r="F175" s="2" t="str">
        <x:v>Voluntary non-profit</x:v>
      </x:c>
      <x:c r="G175" s="2" t="str">
        <x:v>Medium (100-299 beds)</x:v>
      </x:c>
      <x:c r="H175" s="7"/>
      <x:c r="I175" s="7"/>
      <x:c r="J175" s="7" t="n">
        <x:v>1.19</x:v>
      </x:c>
      <x:c r="K175" s="8" t="n">
        <x:v>107</x:v>
      </x:c>
      <x:c r="L175" s="8" t="n">
        <x:v>4789</x:v>
      </x:c>
      <x:c r="M175" s="9" t="n">
        <x:v>0.4792145447</x:v>
      </x:c>
      <x:c r="N175" s="10" t="n">
        <x:v>78466.414700355</x:v>
      </x:c>
      <x:c r="O175" s="9" t="n">
        <x:v>-1.3322560629</x:v>
      </x:c>
      <x:c r="P175" s="9" t="n">
        <x:v>0.9731051345</x:v>
      </x:c>
      <x:c r="Q175" s="9" t="n">
        <x:v>0.9616951915</x:v>
      </x:c>
      <x:c r="R175" s="3" t="b">
        <x:v>1</x:v>
      </x:c>
      <x:c r="S175" s="3" t="b">
        <x:v>0</x:v>
      </x:c>
      <x:c r="T175" s="3" t="b">
        <x:v>0</x:v>
      </x:c>
      <x:c r="U175" s="2" t="str">
        <x:f>IF(T175=TRUE,"Priority review",IF(R175=TRUE,"High cost",IF(S175=TRUE,"Low quality","Benchmark")))</x:f>
        <x:v>High cost</x:v>
      </x:c>
    </x:row>
    <x:row r="176">
      <x:c r="A176" s="2" t="str">
        <x:v>050717</x:v>
      </x:c>
      <x:c r="B176" s="2" t="str">
        <x:v>LAC/RANCHO LOS AMIGOS NATIONAL REHABILITATION  CTR</x:v>
      </x:c>
      <x:c r="C176" s="2" t="str">
        <x:v>DOWNEY</x:v>
      </x:c>
      <x:c r="D176" s="2" t="str">
        <x:v>CA</x:v>
      </x:c>
      <x:c r="E176" s="2" t="str">
        <x:v>Acute Care Hospitals</x:v>
      </x:c>
      <x:c r="F176" s="2" t="str">
        <x:v>Government</x:v>
      </x:c>
      <x:c r="G176" s="2" t="str">
        <x:v>Small (&lt;100 beds)</x:v>
      </x:c>
      <x:c r="H176" s="7" t="n">
        <x:v>3</x:v>
      </x:c>
      <x:c r="I176" s="7" t="n">
        <x:v>3</x:v>
      </x:c>
      <x:c r="J176" s="7" t="n">
        <x:v>1.03</x:v>
      </x:c>
      <x:c r="K176" s="8" t="n">
        <x:v>58</x:v>
      </x:c>
      <x:c r="L176" s="8" t="n">
        <x:v>1255</x:v>
      </x:c>
      <x:c r="M176" s="9" t="n">
        <x:v>0.5683986774</x:v>
      </x:c>
      <x:c r="N176" s="10" t="n">
        <x:v>414343.0916334661</x:v>
      </x:c>
      <x:c r="O176" s="9" t="n">
        <x:v>-0.1838044818</x:v>
      </x:c>
      <x:c r="P176" s="9" t="n">
        <x:v>0.973070018</x:v>
      </x:c>
      <x:c r="Q176" s="9" t="n">
        <x:v>0.1687612208</x:v>
      </x:c>
      <x:c r="R176" s="3" t="b">
        <x:v>1</x:v>
      </x:c>
      <x:c r="S176" s="3" t="b">
        <x:v>0</x:v>
      </x:c>
      <x:c r="T176" s="3" t="b">
        <x:v>0</x:v>
      </x:c>
      <x:c r="U176" s="2" t="str">
        <x:f>IF(T176=TRUE,"Priority review",IF(R176=TRUE,"High cost",IF(S176=TRUE,"Low quality","Benchmark")))</x:f>
        <x:v>High cost</x:v>
      </x:c>
    </x:row>
    <x:row r="177">
      <x:c r="A177" s="2" t="str">
        <x:v>451301</x:v>
      </x:c>
      <x:c r="B177" s="2" t="str">
        <x:v>REAGAN MEMORIAL HOSPITAL</x:v>
      </x:c>
      <x:c r="C177" s="2" t="str">
        <x:v>BIG LAKE</x:v>
      </x:c>
      <x:c r="D177" s="2" t="str">
        <x:v>TX</x:v>
      </x:c>
      <x:c r="E177" s="2" t="str">
        <x:v>Critical Access Hospitals</x:v>
      </x:c>
      <x:c r="F177" s="2" t="str">
        <x:v>Government</x:v>
      </x:c>
      <x:c r="G177" s="2" t="str">
        <x:v>Small (&lt;100 beds)</x:v>
      </x:c>
      <x:c r="H177" s="7"/>
      <x:c r="I177" s="7"/>
      <x:c r="J177" s="7"/>
      <x:c r="K177" s="8" t="n">
        <x:v>7</x:v>
      </x:c>
      <x:c r="L177" s="8" t="n">
        <x:v>20</x:v>
      </x:c>
      <x:c r="M177" s="9" t="n">
        <x:v>0.0671350507</x:v>
      </x:c>
      <x:c r="N177" s="10" t="n">
        <x:v>957983.8</x:v>
      </x:c>
      <x:c r="O177" s="9" t="n">
        <x:v>-1.3040126333</x:v>
      </x:c>
      <x:c r="P177" s="9" t="n">
        <x:v>0.9724907063</x:v>
      </x:c>
      <x:c r="Q177" s="9" t="n">
        <x:v>0.292936803</x:v>
      </x:c>
      <x:c r="R177" s="3" t="b">
        <x:v>1</x:v>
      </x:c>
      <x:c r="S177" s="3" t="b">
        <x:v>0</x:v>
      </x:c>
      <x:c r="T177" s="3" t="b">
        <x:v>0</x:v>
      </x:c>
      <x:c r="U177" s="2" t="str">
        <x:f>IF(T177=TRUE,"Priority review",IF(R177=TRUE,"High cost",IF(S177=TRUE,"Low quality","Benchmark")))</x:f>
        <x:v>High cost</x:v>
      </x:c>
    </x:row>
    <x:row r="178">
      <x:c r="A178" s="2" t="str">
        <x:v>280127</x:v>
      </x:c>
      <x:c r="B178" s="2" t="str">
        <x:v>LINCOLN SURGICAL HOSPITAL</x:v>
      </x:c>
      <x:c r="C178" s="2" t="str">
        <x:v>LINCOLN</x:v>
      </x:c>
      <x:c r="D178" s="2" t="str">
        <x:v>NE</x:v>
      </x:c>
      <x:c r="E178" s="2" t="str">
        <x:v>Acute Care Hospitals</x:v>
      </x:c>
      <x:c r="F178" s="2" t="str">
        <x:v>Proprietary</x:v>
      </x:c>
      <x:c r="G178" s="2" t="str">
        <x:v>Small (&lt;100 beds)</x:v>
      </x:c>
      <x:c r="H178" s="7"/>
      <x:c r="I178" s="7"/>
      <x:c r="J178" s="7" t="n">
        <x:v>1.02</x:v>
      </x:c>
      <x:c r="K178" s="8" t="n">
        <x:v>20</x:v>
      </x:c>
      <x:c r="L178" s="8" t="n">
        <x:v>179</x:v>
      </x:c>
      <x:c r="M178" s="9" t="n">
        <x:v>0.0468579235</x:v>
      </x:c>
      <x:c r="N178" s="10" t="n">
        <x:v>407375.6033519553</x:v>
      </x:c>
      <x:c r="O178" s="9" t="n">
        <x:v>0.1745434613</x:v>
      </x:c>
      <x:c r="P178" s="9" t="n">
        <x:v>0.9721723519</x:v>
      </x:c>
      <x:c r="Q178" s="9" t="n">
        <x:v>0.697486535</x:v>
      </x:c>
      <x:c r="R178" s="3" t="b">
        <x:v>1</x:v>
      </x:c>
      <x:c r="S178" s="3" t="b">
        <x:v>0</x:v>
      </x:c>
      <x:c r="T178" s="3" t="b">
        <x:v>0</x:v>
      </x:c>
      <x:c r="U178" s="2" t="str">
        <x:f>IF(T178=TRUE,"Priority review",IF(R178=TRUE,"High cost",IF(S178=TRUE,"Low quality","Benchmark")))</x:f>
        <x:v>High cost</x:v>
      </x:c>
    </x:row>
    <x:row r="179">
      <x:c r="A179" s="2" t="str">
        <x:v>111303</x:v>
      </x:c>
      <x:c r="B179" s="2" t="str">
        <x:v>JASPER MEMORIAL HOSPITAL</x:v>
      </x:c>
      <x:c r="C179" s="2" t="str">
        <x:v>MONTICELLO</x:v>
      </x:c>
      <x:c r="D179" s="2" t="str">
        <x:v>GA</x:v>
      </x:c>
      <x:c r="E179" s="2" t="str">
        <x:v>Critical Access Hospitals</x:v>
      </x:c>
      <x:c r="F179" s="2" t="str">
        <x:v>Government</x:v>
      </x:c>
      <x:c r="G179" s="2" t="str">
        <x:v>Small (&lt;100 beds)</x:v>
      </x:c>
      <x:c r="H179" s="7"/>
      <x:c r="I179" s="7"/>
      <x:c r="J179" s="7"/>
      <x:c r="K179" s="8" t="n">
        <x:v>12</x:v>
      </x:c>
      <x:c r="L179" s="8" t="n">
        <x:v>18</x:v>
      </x:c>
      <x:c r="M179" s="9" t="n">
        <x:v>0.2957650273</x:v>
      </x:c>
      <x:c r="N179" s="10" t="n">
        <x:v>913110.1666666666</x:v>
      </x:c>
      <x:c r="O179" s="9" t="n">
        <x:v>-0.1933937355</x:v>
      </x:c>
      <x:c r="P179" s="9" t="n">
        <x:v>0.9717472119</x:v>
      </x:c>
      <x:c r="Q179" s="9" t="n">
        <x:v>0.292936803</x:v>
      </x:c>
      <x:c r="R179" s="3" t="b">
        <x:v>1</x:v>
      </x:c>
      <x:c r="S179" s="3" t="b">
        <x:v>0</x:v>
      </x:c>
      <x:c r="T179" s="3" t="b">
        <x:v>0</x:v>
      </x:c>
      <x:c r="U179" s="2" t="str">
        <x:f>IF(T179=TRUE,"Priority review",IF(R179=TRUE,"High cost",IF(S179=TRUE,"Low quality","Benchmark")))</x:f>
        <x:v>High cost</x:v>
      </x:c>
    </x:row>
    <x:row r="180">
      <x:c r="A180" s="2" t="str">
        <x:v>240100</x:v>
      </x:c>
      <x:c r="B180" s="2" t="str">
        <x:v>SANFORD BEMIDJI MEDICAL CENTER</x:v>
      </x:c>
      <x:c r="C180" s="2" t="str">
        <x:v>BEMIDJI</x:v>
      </x:c>
      <x:c r="D180" s="2" t="str">
        <x:v>MN</x:v>
      </x:c>
      <x:c r="E180" s="2" t="str">
        <x:v>Acute Care Hospitals</x:v>
      </x:c>
      <x:c r="F180" s="2" t="str">
        <x:v>Voluntary non-profit</x:v>
      </x:c>
      <x:c r="G180" s="2" t="str">
        <x:v>Medium (100-299 beds)</x:v>
      </x:c>
      <x:c r="H180" s="7" t="n">
        <x:v>4</x:v>
      </x:c>
      <x:c r="I180" s="7" t="n">
        <x:v>3</x:v>
      </x:c>
      <x:c r="J180" s="7" t="n">
        <x:v>0.91</x:v>
      </x:c>
      <x:c r="K180" s="8" t="n">
        <x:v>110</x:v>
      </x:c>
      <x:c r="L180" s="8" t="n">
        <x:v>5732</x:v>
      </x:c>
      <x:c r="M180" s="9" t="n">
        <x:v>0.537988869</x:v>
      </x:c>
      <x:c r="N180" s="10" t="n">
        <x:v>77500.1536985345</x:v>
      </x:c>
      <x:c r="O180" s="9" t="n">
        <x:v>-0.1836738791</x:v>
      </x:c>
      <x:c r="P180" s="9" t="n">
        <x:v>0.9714751426</x:v>
      </x:c>
      <x:c r="Q180" s="9" t="n">
        <x:v>0.6022819886</x:v>
      </x:c>
      <x:c r="R180" s="3" t="b">
        <x:v>1</x:v>
      </x:c>
      <x:c r="S180" s="3" t="b">
        <x:v>0</x:v>
      </x:c>
      <x:c r="T180" s="3" t="b">
        <x:v>0</x:v>
      </x:c>
      <x:c r="U180" s="2" t="str">
        <x:f>IF(T180=TRUE,"Priority review",IF(R180=TRUE,"High cost",IF(S180=TRUE,"Low quality","Benchmark")))</x:f>
        <x:v>High cost</x:v>
      </x:c>
    </x:row>
    <x:row r="181">
      <x:c r="A181" s="2" t="str">
        <x:v>110190</x:v>
      </x:c>
      <x:c r="B181" s="2" t="str">
        <x:v>FLINT RIVER COMMUNITY HOSPITAL</x:v>
      </x:c>
      <x:c r="C181" s="2" t="str">
        <x:v>MONTEZUMA</x:v>
      </x:c>
      <x:c r="D181" s="2" t="str">
        <x:v>GA</x:v>
      </x:c>
      <x:c r="E181" s="2" t="str">
        <x:v>Acute Care Hospitals</x:v>
      </x:c>
      <x:c r="F181" s="2" t="str">
        <x:v>Voluntary non-profit</x:v>
      </x:c>
      <x:c r="G181" s="2" t="str">
        <x:v>Small (&lt;100 beds)</x:v>
      </x:c>
      <x:c r="H181" s="7"/>
      <x:c r="I181" s="7"/>
      <x:c r="J181" s="7"/>
      <x:c r="K181" s="8" t="n">
        <x:v>22</x:v>
      </x:c>
      <x:c r="L181" s="8" t="n">
        <x:v>28</x:v>
      </x:c>
      <x:c r="M181" s="9" t="n">
        <x:v>0.0120466965</x:v>
      </x:c>
      <x:c r="N181" s="10" t="n">
        <x:v>393398.75</x:v>
      </x:c>
      <x:c r="O181" s="9" t="n">
        <x:v>0.0039136609</x:v>
      </x:c>
      <x:c r="P181" s="9" t="n">
        <x:v>0.9712746858</x:v>
      </x:c>
      <x:c r="Q181" s="9" t="n">
        <x:v>0.697486535</x:v>
      </x:c>
      <x:c r="R181" s="3" t="b">
        <x:v>1</x:v>
      </x:c>
      <x:c r="S181" s="3" t="b">
        <x:v>0</x:v>
      </x:c>
      <x:c r="T181" s="3" t="b">
        <x:v>0</x:v>
      </x:c>
      <x:c r="U181" s="2" t="str">
        <x:f>IF(T181=TRUE,"Priority review",IF(R181=TRUE,"High cost",IF(S181=TRUE,"Low quality","Benchmark")))</x:f>
        <x:v>High cost</x:v>
      </x:c>
    </x:row>
    <x:row r="182">
      <x:c r="A182" s="2" t="str">
        <x:v>101303</x:v>
      </x:c>
      <x:c r="B182" s="2" t="str">
        <x:v>LAKE BUTLER HOSPITAL</x:v>
      </x:c>
      <x:c r="C182" s="2" t="str">
        <x:v>LAKE BUTLER</x:v>
      </x:c>
      <x:c r="D182" s="2" t="str">
        <x:v>FL</x:v>
      </x:c>
      <x:c r="E182" s="2" t="str">
        <x:v>Critical Access Hospitals</x:v>
      </x:c>
      <x:c r="F182" s="2" t="str">
        <x:v>Proprietary</x:v>
      </x:c>
      <x:c r="G182" s="2" t="str">
        <x:v>Small (&lt;100 beds)</x:v>
      </x:c>
      <x:c r="H182" s="7"/>
      <x:c r="I182" s="7"/>
      <x:c r="J182" s="7"/>
      <x:c r="K182" s="8" t="n">
        <x:v>25</x:v>
      </x:c>
      <x:c r="L182" s="8" t="n">
        <x:v>15</x:v>
      </x:c>
      <x:c r="M182" s="9" t="n">
        <x:v>0.3883060109</x:v>
      </x:c>
      <x:c r="N182" s="10" t="n">
        <x:v>887118.8</x:v>
      </x:c>
      <x:c r="O182" s="9" t="n">
        <x:v>0.1667213866</x:v>
      </x:c>
      <x:c r="P182" s="9" t="n">
        <x:v>0.9710037175</x:v>
      </x:c>
      <x:c r="Q182" s="9" t="n">
        <x:v>0.292936803</x:v>
      </x:c>
      <x:c r="R182" s="3" t="b">
        <x:v>1</x:v>
      </x:c>
      <x:c r="S182" s="3" t="b">
        <x:v>0</x:v>
      </x:c>
      <x:c r="T182" s="3" t="b">
        <x:v>0</x:v>
      </x:c>
      <x:c r="U182" s="2" t="str">
        <x:f>IF(T182=TRUE,"Priority review",IF(R182=TRUE,"High cost",IF(S182=TRUE,"Low quality","Benchmark")))</x:f>
        <x:v>High cost</x:v>
      </x:c>
    </x:row>
    <x:row r="183">
      <x:c r="A183" s="2" t="str">
        <x:v>214012</x:v>
      </x:c>
      <x:c r="B183" s="2" t="str">
        <x:v>THOMAS B FINAN CENTER</x:v>
      </x:c>
      <x:c r="C183" s="2" t="str">
        <x:v>CUMBERLAND</x:v>
      </x:c>
      <x:c r="D183" s="2" t="str">
        <x:v>MD</x:v>
      </x:c>
      <x:c r="E183" s="2" t="str">
        <x:v>Psychiatric</x:v>
      </x:c>
      <x:c r="F183" s="2" t="str">
        <x:v>Government</x:v>
      </x:c>
      <x:c r="G183" s="2" t="str">
        <x:v>Small (&lt;100 beds)</x:v>
      </x:c>
      <x:c r="H183" s="7"/>
      <x:c r="I183" s="7"/>
      <x:c r="J183" s="7"/>
      <x:c r="K183" s="8" t="n">
        <x:v>88</x:v>
      </x:c>
      <x:c r="L183" s="8" t="n">
        <x:v>67</x:v>
      </x:c>
      <x:c r="M183" s="9" t="n">
        <x:v>0.7377334994</x:v>
      </x:c>
      <x:c r="N183" s="10" t="n">
        <x:v>492324.4029850746</x:v>
      </x:c>
      <x:c r="O183" s="9"/>
      <x:c r="P183" s="9" t="n">
        <x:v>0.9708737864</x:v>
      </x:c>
      <x:c r="Q183" s="9" t="n">
        <x:v>0</x:v>
      </x:c>
      <x:c r="R183" s="3" t="b">
        <x:v>1</x:v>
      </x:c>
      <x:c r="S183" s="3" t="b">
        <x:v>0</x:v>
      </x:c>
      <x:c r="T183" s="3" t="b">
        <x:v>0</x:v>
      </x:c>
      <x:c r="U183" s="2" t="str">
        <x:f>IF(T183=TRUE,"Priority review",IF(R183=TRUE,"High cost",IF(S183=TRUE,"Low quality","Benchmark")))</x:f>
        <x:v>High cost</x:v>
      </x:c>
    </x:row>
    <x:row r="184">
      <x:c r="A184" s="2" t="str">
        <x:v>380014</x:v>
      </x:c>
      <x:c r="B184" s="2" t="str">
        <x:v>GOOD SAMARITAN REGIONAL MEDICAL CENTER</x:v>
      </x:c>
      <x:c r="C184" s="2" t="str">
        <x:v>CORVALLIS</x:v>
      </x:c>
      <x:c r="D184" s="2" t="str">
        <x:v>OR</x:v>
      </x:c>
      <x:c r="E184" s="2" t="str">
        <x:v>Acute Care Hospitals</x:v>
      </x:c>
      <x:c r="F184" s="2" t="str">
        <x:v>Voluntary non-profit</x:v>
      </x:c>
      <x:c r="G184" s="2" t="str">
        <x:v>Medium (100-299 beds)</x:v>
      </x:c>
      <x:c r="H184" s="7" t="n">
        <x:v>3</x:v>
      </x:c>
      <x:c r="I184" s="7" t="n">
        <x:v>4</x:v>
      </x:c>
      <x:c r="J184" s="7" t="n">
        <x:v>0.86</x:v>
      </x:c>
      <x:c r="K184" s="8" t="n">
        <x:v>169</x:v>
      </x:c>
      <x:c r="L184" s="8" t="n">
        <x:v>8213</x:v>
      </x:c>
      <x:c r="M184" s="9" t="n">
        <x:v>0.7089113073</x:v>
      </x:c>
      <x:c r="N184" s="10" t="n">
        <x:v>77168.8439060027</x:v>
      </x:c>
      <x:c r="O184" s="9" t="n">
        <x:v>-0.2012181502</x:v>
      </x:c>
      <x:c r="P184" s="9" t="n">
        <x:v>0.9706601467</x:v>
      </x:c>
      <x:c r="Q184" s="9" t="n">
        <x:v>0.3023634882</x:v>
      </x:c>
      <x:c r="R184" s="3" t="b">
        <x:v>1</x:v>
      </x:c>
      <x:c r="S184" s="3" t="b">
        <x:v>0</x:v>
      </x:c>
      <x:c r="T184" s="3" t="b">
        <x:v>0</x:v>
      </x:c>
      <x:c r="U184" s="2" t="str">
        <x:f>IF(T184=TRUE,"Priority review",IF(R184=TRUE,"High cost",IF(S184=TRUE,"Low quality","Benchmark")))</x:f>
        <x:v>High cost</x:v>
      </x:c>
    </x:row>
    <x:row r="185">
      <x:c r="A185" s="2" t="str">
        <x:v>530034</x:v>
      </x:c>
      <x:c r="B185" s="2" t="str">
        <x:v>SUMMIT MEDICAL CENTER</x:v>
      </x:c>
      <x:c r="C185" s="2" t="str">
        <x:v>CASPER</x:v>
      </x:c>
      <x:c r="D185" s="2" t="str">
        <x:v>WY</x:v>
      </x:c>
      <x:c r="E185" s="2" t="str">
        <x:v>Acute Care Hospitals</x:v>
      </x:c>
      <x:c r="F185" s="2" t="str">
        <x:v>Other / unknown</x:v>
      </x:c>
      <x:c r="G185" s="2" t="str">
        <x:v>Small (&lt;100 beds)</x:v>
      </x:c>
      <x:c r="H185" s="7"/>
      <x:c r="I185" s="7"/>
      <x:c r="J185" s="7" t="n">
        <x:v>1.13</x:v>
      </x:c>
      <x:c r="K185" s="8" t="n">
        <x:v>16</x:v>
      </x:c>
      <x:c r="L185" s="8" t="n">
        <x:v>79</x:v>
      </x:c>
      <x:c r="M185" s="9" t="n">
        <x:v>0.0231164384</x:v>
      </x:c>
      <x:c r="N185" s="10" t="n">
        <x:v>379787.3164556962</x:v>
      </x:c>
      <x:c r="O185" s="9" t="n">
        <x:v>0.1484740124</x:v>
      </x:c>
      <x:c r="P185" s="9" t="n">
        <x:v>0.9703770197</x:v>
      </x:c>
      <x:c r="Q185" s="9" t="n">
        <x:v>0.697486535</x:v>
      </x:c>
      <x:c r="R185" s="3" t="b">
        <x:v>1</x:v>
      </x:c>
      <x:c r="S185" s="3" t="b">
        <x:v>0</x:v>
      </x:c>
      <x:c r="T185" s="3" t="b">
        <x:v>0</x:v>
      </x:c>
      <x:c r="U185" s="2" t="str">
        <x:f>IF(T185=TRUE,"Priority review",IF(R185=TRUE,"High cost",IF(S185=TRUE,"Low quality","Benchmark")))</x:f>
        <x:v>High cost</x:v>
      </x:c>
    </x:row>
    <x:row r="186">
      <x:c r="A186" s="2" t="str">
        <x:v>191309</x:v>
      </x:c>
      <x:c r="B186" s="2" t="str">
        <x:v>HOOD MEMORIAL HOSPITAL</x:v>
      </x:c>
      <x:c r="C186" s="2" t="str">
        <x:v>AMITE</x:v>
      </x:c>
      <x:c r="D186" s="2" t="str">
        <x:v>LA</x:v>
      </x:c>
      <x:c r="E186" s="2" t="str">
        <x:v>Critical Access Hospitals</x:v>
      </x:c>
      <x:c r="F186" s="2" t="str">
        <x:v>Government</x:v>
      </x:c>
      <x:c r="G186" s="2" t="str">
        <x:v>Small (&lt;100 beds)</x:v>
      </x:c>
      <x:c r="H186" s="7"/>
      <x:c r="I186" s="7"/>
      <x:c r="J186" s="7"/>
      <x:c r="K186" s="8" t="n">
        <x:v>25</x:v>
      </x:c>
      <x:c r="L186" s="8" t="n">
        <x:v>26</x:v>
      </x:c>
      <x:c r="M186" s="9" t="n">
        <x:v>0.4991256831</x:v>
      </x:c>
      <x:c r="N186" s="10" t="n">
        <x:v>871244.2307692308</x:v>
      </x:c>
      <x:c r="O186" s="9" t="n">
        <x:v>0.0375709877</x:v>
      </x:c>
      <x:c r="P186" s="9" t="n">
        <x:v>0.970260223</x:v>
      </x:c>
      <x:c r="Q186" s="9" t="n">
        <x:v>0.292936803</x:v>
      </x:c>
      <x:c r="R186" s="3" t="b">
        <x:v>1</x:v>
      </x:c>
      <x:c r="S186" s="3" t="b">
        <x:v>0</x:v>
      </x:c>
      <x:c r="T186" s="3" t="b">
        <x:v>0</x:v>
      </x:c>
      <x:c r="U186" s="2" t="str">
        <x:f>IF(T186=TRUE,"Priority review",IF(R186=TRUE,"High cost",IF(S186=TRUE,"Low quality","Benchmark")))</x:f>
        <x:v>High cost</x:v>
      </x:c>
    </x:row>
    <x:row r="187">
      <x:c r="A187" s="2" t="str">
        <x:v>394016</x:v>
      </x:c>
      <x:c r="B187" s="2" t="str">
        <x:v>WARREN STATE HOSPITAL</x:v>
      </x:c>
      <x:c r="C187" s="2" t="str">
        <x:v>NORTH WARREN</x:v>
      </x:c>
      <x:c r="D187" s="2" t="str">
        <x:v>PA</x:v>
      </x:c>
      <x:c r="E187" s="2" t="str">
        <x:v>Psychiatric</x:v>
      </x:c>
      <x:c r="F187" s="2" t="str">
        <x:v>Government</x:v>
      </x:c>
      <x:c r="G187" s="2" t="str">
        <x:v>Medium (100-299 beds)</x:v>
      </x:c>
      <x:c r="H187" s="7"/>
      <x:c r="I187" s="7"/>
      <x:c r="J187" s="7"/>
      <x:c r="K187" s="8" t="n">
        <x:v>186</x:v>
      </x:c>
      <x:c r="L187" s="8" t="n">
        <x:v>81</x:v>
      </x:c>
      <x:c r="M187" s="9" t="n">
        <x:v>0.7681543674</x:v>
      </x:c>
      <x:c r="N187" s="10" t="n">
        <x:v>818073.8024691358</x:v>
      </x:c>
      <x:c r="O187" s="9"/>
      <x:c r="P187" s="9" t="n">
        <x:v>0.9701492537</x:v>
      </x:c>
      <x:c r="Q187" s="9" t="n">
        <x:v>0</x:v>
      </x:c>
      <x:c r="R187" s="3" t="b">
        <x:v>1</x:v>
      </x:c>
      <x:c r="S187" s="3" t="b">
        <x:v>0</x:v>
      </x:c>
      <x:c r="T187" s="3" t="b">
        <x:v>0</x:v>
      </x:c>
      <x:c r="U187" s="2" t="str">
        <x:f>IF(T187=TRUE,"Priority review",IF(R187=TRUE,"High cost",IF(S187=TRUE,"Low quality","Benchmark")))</x:f>
        <x:v>High cost</x:v>
      </x:c>
    </x:row>
    <x:row r="188">
      <x:c r="A188" s="2" t="str">
        <x:v>050327</x:v>
      </x:c>
      <x:c r="B188" s="2" t="str">
        <x:v>LOMA LINDA UNIVERSITY MEDICAL CENTER</x:v>
      </x:c>
      <x:c r="C188" s="2" t="str">
        <x:v>LOMA LINDA</x:v>
      </x:c>
      <x:c r="D188" s="2" t="str">
        <x:v>CA</x:v>
      </x:c>
      <x:c r="E188" s="2" t="str">
        <x:v>Acute Care Hospitals</x:v>
      </x:c>
      <x:c r="F188" s="2" t="str">
        <x:v>Voluntary non-profit</x:v>
      </x:c>
      <x:c r="G188" s="2" t="str">
        <x:v>Large (300+ beds)</x:v>
      </x:c>
      <x:c r="H188" s="7" t="n">
        <x:v>4</x:v>
      </x:c>
      <x:c r="I188" s="7" t="n">
        <x:v>3</x:v>
      </x:c>
      <x:c r="J188" s="7" t="n">
        <x:v>0.99</x:v>
      </x:c>
      <x:c r="K188" s="8" t="n">
        <x:v>437</x:v>
      </x:c>
      <x:c r="L188" s="8" t="n">
        <x:v>19120</x:v>
      </x:c>
      <x:c r="M188" s="9" t="n">
        <x:v>0.9372308078</x:v>
      </x:c>
      <x:c r="N188" s="10" t="n">
        <x:v>104797.0478556485</x:v>
      </x:c>
      <x:c r="O188" s="9" t="n">
        <x:v>-0.2871152401</x:v>
      </x:c>
      <x:c r="P188" s="9" t="n">
        <x:v>0.9700315457</x:v>
      </x:c>
      <x:c r="Q188" s="9" t="n">
        <x:v>0.5899053628</x:v>
      </x:c>
      <x:c r="R188" s="3" t="b">
        <x:v>1</x:v>
      </x:c>
      <x:c r="S188" s="3" t="b">
        <x:v>0</x:v>
      </x:c>
      <x:c r="T188" s="3" t="b">
        <x:v>0</x:v>
      </x:c>
      <x:c r="U188" s="2" t="str">
        <x:f>IF(T188=TRUE,"Priority review",IF(R188=TRUE,"High cost",IF(S188=TRUE,"Low quality","Benchmark")))</x:f>
        <x:v>High cost</x:v>
      </x:c>
    </x:row>
    <x:row r="189">
      <x:c r="A189" s="2" t="str">
        <x:v>050254</x:v>
      </x:c>
      <x:c r="B189" s="2" t="str">
        <x:v>MARSHALL MEDICAL CENTER</x:v>
      </x:c>
      <x:c r="C189" s="2" t="str">
        <x:v>PLACERVILLE</x:v>
      </x:c>
      <x:c r="D189" s="2" t="str">
        <x:v>CA</x:v>
      </x:c>
      <x:c r="E189" s="2" t="str">
        <x:v>Acute Care Hospitals</x:v>
      </x:c>
      <x:c r="F189" s="2" t="str">
        <x:v>Voluntary non-profit</x:v>
      </x:c>
      <x:c r="G189" s="2" t="str">
        <x:v>Medium (100-299 beds)</x:v>
      </x:c>
      <x:c r="H189" s="7" t="n">
        <x:v>4</x:v>
      </x:c>
      <x:c r="I189" s="7" t="n">
        <x:v>3</x:v>
      </x:c>
      <x:c r="J189" s="7" t="n">
        <x:v>0.95</x:v>
      </x:c>
      <x:c r="K189" s="8" t="n">
        <x:v>111</x:v>
      </x:c>
      <x:c r="L189" s="8" t="n">
        <x:v>4380</x:v>
      </x:c>
      <x:c r="M189" s="9" t="n">
        <x:v>0.4242175857</x:v>
      </x:c>
      <x:c r="N189" s="10" t="n">
        <x:v>76511.29543379</x:v>
      </x:c>
      <x:c r="O189" s="9" t="n">
        <x:v>-0.0055939251</x:v>
      </x:c>
      <x:c r="P189" s="9" t="n">
        <x:v>0.9698451508</x:v>
      </x:c>
      <x:c r="Q189" s="9" t="n">
        <x:v>0.6022819886</x:v>
      </x:c>
      <x:c r="R189" s="3" t="b">
        <x:v>1</x:v>
      </x:c>
      <x:c r="S189" s="3" t="b">
        <x:v>0</x:v>
      </x:c>
      <x:c r="T189" s="3" t="b">
        <x:v>0</x:v>
      </x:c>
      <x:c r="U189" s="2" t="str">
        <x:f>IF(T189=TRUE,"Priority review",IF(R189=TRUE,"High cost",IF(S189=TRUE,"Low quality","Benchmark")))</x:f>
        <x:v>High cost</x:v>
      </x:c>
    </x:row>
    <x:row r="190">
      <x:c r="A190" s="2" t="str">
        <x:v>451364</x:v>
      </x:c>
      <x:c r="B190" s="2" t="str">
        <x:v>OTTO KAISER MEMORIAL HOSPITAL</x:v>
      </x:c>
      <x:c r="C190" s="2" t="str">
        <x:v>KENEDY</x:v>
      </x:c>
      <x:c r="D190" s="2" t="str">
        <x:v>TX</x:v>
      </x:c>
      <x:c r="E190" s="2" t="str">
        <x:v>Critical Access Hospitals</x:v>
      </x:c>
      <x:c r="F190" s="2" t="str">
        <x:v>Government</x:v>
      </x:c>
      <x:c r="G190" s="2" t="str">
        <x:v>Small (&lt;100 beds)</x:v>
      </x:c>
      <x:c r="H190" s="7"/>
      <x:c r="I190" s="7"/>
      <x:c r="J190" s="7"/>
      <x:c r="K190" s="8" t="n">
        <x:v>25</x:v>
      </x:c>
      <x:c r="L190" s="8" t="n">
        <x:v>41</x:v>
      </x:c>
      <x:c r="M190" s="9" t="n">
        <x:v>0.1261369863</x:v>
      </x:c>
      <x:c r="N190" s="10" t="n">
        <x:v>857794.8048780488</x:v>
      </x:c>
      <x:c r="O190" s="9" t="n">
        <x:v>-0.3133805812</x:v>
      </x:c>
      <x:c r="P190" s="9" t="n">
        <x:v>0.9695167286</x:v>
      </x:c>
      <x:c r="Q190" s="9" t="n">
        <x:v>0.292936803</x:v>
      </x:c>
      <x:c r="R190" s="3" t="b">
        <x:v>1</x:v>
      </x:c>
      <x:c r="S190" s="3" t="b">
        <x:v>0</x:v>
      </x:c>
      <x:c r="T190" s="3" t="b">
        <x:v>0</x:v>
      </x:c>
      <x:c r="U190" s="2" t="str">
        <x:f>IF(T190=TRUE,"Priority review",IF(R190=TRUE,"High cost",IF(S190=TRUE,"Low quality","Benchmark")))</x:f>
        <x:v>High cost</x:v>
      </x:c>
    </x:row>
    <x:row r="191">
      <x:c r="A191" s="2" t="str">
        <x:v>370172</x:v>
      </x:c>
      <x:c r="B191" s="2" t="str">
        <x:v>CHOCTAW NATION HEALTH SERVICES AUTHORITY</x:v>
      </x:c>
      <x:c r="C191" s="2" t="str">
        <x:v>TALIHINA</x:v>
      </x:c>
      <x:c r="D191" s="2" t="str">
        <x:v>OK</x:v>
      </x:c>
      <x:c r="E191" s="2" t="str">
        <x:v>Acute Care Hospitals</x:v>
      </x:c>
      <x:c r="F191" s="2" t="str">
        <x:v>Other / unknown</x:v>
      </x:c>
      <x:c r="G191" s="2" t="str">
        <x:v>Small (&lt;100 beds)</x:v>
      </x:c>
      <x:c r="H191" s="7"/>
      <x:c r="I191" s="7"/>
      <x:c r="J191" s="7" t="n">
        <x:v>0.89</x:v>
      </x:c>
      <x:c r="K191" s="8" t="n">
        <x:v>43</x:v>
      </x:c>
      <x:c r="L191" s="8" t="n">
        <x:v>978</x:v>
      </x:c>
      <x:c r="M191" s="9" t="n">
        <x:v>0.1528783835</x:v>
      </x:c>
      <x:c r="N191" s="10" t="n">
        <x:v>379514.4038854806</x:v>
      </x:c>
      <x:c r="O191" s="9"/>
      <x:c r="P191" s="9" t="n">
        <x:v>0.9694793537</x:v>
      </x:c>
      <x:c r="Q191" s="9" t="n">
        <x:v>0.697486535</x:v>
      </x:c>
      <x:c r="R191" s="3" t="b">
        <x:v>1</x:v>
      </x:c>
      <x:c r="S191" s="3" t="b">
        <x:v>0</x:v>
      </x:c>
      <x:c r="T191" s="3" t="b">
        <x:v>0</x:v>
      </x:c>
      <x:c r="U191" s="2" t="str">
        <x:f>IF(T191=TRUE,"Priority review",IF(R191=TRUE,"High cost",IF(S191=TRUE,"Low quality","Benchmark")))</x:f>
        <x:v>High cost</x:v>
      </x:c>
    </x:row>
    <x:row r="192">
      <x:c r="A192" s="2" t="str">
        <x:v>230036</x:v>
      </x:c>
      <x:c r="B192" s="2" t="str">
        <x:v>MYMICHIGAN MEDICAL CENTER ALPENA</x:v>
      </x:c>
      <x:c r="C192" s="2" t="str">
        <x:v>ALPENA</x:v>
      </x:c>
      <x:c r="D192" s="2" t="str">
        <x:v>MI</x:v>
      </x:c>
      <x:c r="E192" s="2" t="str">
        <x:v>Acute Care Hospitals</x:v>
      </x:c>
      <x:c r="F192" s="2" t="str">
        <x:v>Proprietary</x:v>
      </x:c>
      <x:c r="G192" s="2" t="str">
        <x:v>Medium (100-299 beds)</x:v>
      </x:c>
      <x:c r="H192" s="7" t="n">
        <x:v>3</x:v>
      </x:c>
      <x:c r="I192" s="7" t="n">
        <x:v>4</x:v>
      </x:c>
      <x:c r="J192" s="7" t="n">
        <x:v>0.97</x:v>
      </x:c>
      <x:c r="K192" s="8" t="n">
        <x:v>128</x:v>
      </x:c>
      <x:c r="L192" s="8" t="n">
        <x:v>4221</x:v>
      </x:c>
      <x:c r="M192" s="9" t="n">
        <x:v>0.3604452055</x:v>
      </x:c>
      <x:c r="N192" s="10" t="n">
        <x:v>76129.6875148069</x:v>
      </x:c>
      <x:c r="O192" s="9" t="n">
        <x:v>0.0415600206</x:v>
      </x:c>
      <x:c r="P192" s="9" t="n">
        <x:v>0.9690301548</x:v>
      </x:c>
      <x:c r="Q192" s="9" t="n">
        <x:v>0.3023634882</x:v>
      </x:c>
      <x:c r="R192" s="3" t="b">
        <x:v>1</x:v>
      </x:c>
      <x:c r="S192" s="3" t="b">
        <x:v>0</x:v>
      </x:c>
      <x:c r="T192" s="3" t="b">
        <x:v>0</x:v>
      </x:c>
      <x:c r="U192" s="2" t="str">
        <x:f>IF(T192=TRUE,"Priority review",IF(R192=TRUE,"High cost",IF(S192=TRUE,"Low quality","Benchmark")))</x:f>
        <x:v>High cost</x:v>
      </x:c>
    </x:row>
    <x:row r="193">
      <x:c r="A193" s="2" t="str">
        <x:v>231329</x:v>
      </x:c>
      <x:c r="B193" s="2" t="str">
        <x:v>MCLAREN CARO REGION</x:v>
      </x:c>
      <x:c r="C193" s="2" t="str">
        <x:v>CARO</x:v>
      </x:c>
      <x:c r="D193" s="2" t="str">
        <x:v>MI</x:v>
      </x:c>
      <x:c r="E193" s="2" t="str">
        <x:v>Critical Access Hospitals</x:v>
      </x:c>
      <x:c r="F193" s="2" t="str">
        <x:v>Voluntary non-profit</x:v>
      </x:c>
      <x:c r="G193" s="2" t="str">
        <x:v>Small (&lt;100 beds)</x:v>
      </x:c>
      <x:c r="H193" s="7"/>
      <x:c r="I193" s="7"/>
      <x:c r="J193" s="7"/>
      <x:c r="K193" s="8" t="n">
        <x:v>25</x:v>
      </x:c>
      <x:c r="L193" s="8" t="n">
        <x:v>24</x:v>
      </x:c>
      <x:c r="M193" s="9" t="n">
        <x:v>0.1446994536</x:v>
      </x:c>
      <x:c r="N193" s="10" t="n">
        <x:v>819111.75</x:v>
      </x:c>
      <x:c r="O193" s="9" t="n">
        <x:v>0.0519926247</x:v>
      </x:c>
      <x:c r="P193" s="9" t="n">
        <x:v>0.9687732342</x:v>
      </x:c>
      <x:c r="Q193" s="9" t="n">
        <x:v>0.292936803</x:v>
      </x:c>
      <x:c r="R193" s="3" t="b">
        <x:v>1</x:v>
      </x:c>
      <x:c r="S193" s="3" t="b">
        <x:v>0</x:v>
      </x:c>
      <x:c r="T193" s="3" t="b">
        <x:v>0</x:v>
      </x:c>
      <x:c r="U193" s="2" t="str">
        <x:f>IF(T193=TRUE,"Priority review",IF(R193=TRUE,"High cost",IF(S193=TRUE,"Low quality","Benchmark")))</x:f>
        <x:v>High cost</x:v>
      </x:c>
    </x:row>
    <x:row r="194">
      <x:c r="A194" s="2" t="str">
        <x:v>150195</x:v>
      </x:c>
      <x:c r="B194" s="2" t="str">
        <x:v>UCHICAGO MEDICINE NORTHWEST INDIANA</x:v>
      </x:c>
      <x:c r="C194" s="2" t="str">
        <x:v>CROWN POINT</x:v>
      </x:c>
      <x:c r="D194" s="2" t="str">
        <x:v>IN</x:v>
      </x:c>
      <x:c r="E194" s="2" t="str">
        <x:v>Acute Care Hospitals</x:v>
      </x:c>
      <x:c r="F194" s="2" t="str">
        <x:v>Voluntary non-profit</x:v>
      </x:c>
      <x:c r="G194" s="2" t="str">
        <x:v>Small (&lt;100 beds)</x:v>
      </x:c>
      <x:c r="H194" s="7"/>
      <x:c r="I194" s="7"/>
      <x:c r="J194" s="7"/>
      <x:c r="K194" s="8" t="n">
        <x:v>8</x:v>
      </x:c>
      <x:c r="L194" s="8" t="n">
        <x:v>128</x:v>
      </x:c>
      <x:c r="M194" s="9" t="n">
        <x:v>0.1078767123</x:v>
      </x:c>
      <x:c r="N194" s="10" t="n">
        <x:v>361361.1328125</x:v>
      </x:c>
      <x:c r="O194" s="9" t="n">
        <x:v>-0.4593496249</x:v>
      </x:c>
      <x:c r="P194" s="9" t="n">
        <x:v>0.9685816876</x:v>
      </x:c>
      <x:c r="Q194" s="9" t="n">
        <x:v>0.697486535</x:v>
      </x:c>
      <x:c r="R194" s="3" t="b">
        <x:v>1</x:v>
      </x:c>
      <x:c r="S194" s="3" t="b">
        <x:v>0</x:v>
      </x:c>
      <x:c r="T194" s="3" t="b">
        <x:v>0</x:v>
      </x:c>
      <x:c r="U194" s="2" t="str">
        <x:f>IF(T194=TRUE,"Priority review",IF(R194=TRUE,"High cost",IF(S194=TRUE,"Low quality","Benchmark")))</x:f>
        <x:v>High cost</x:v>
      </x:c>
    </x:row>
    <x:row r="195">
      <x:c r="A195" s="2" t="str">
        <x:v>110161</x:v>
      </x:c>
      <x:c r="B195" s="2" t="str">
        <x:v>NORTHSIDE HOSPITAL</x:v>
      </x:c>
      <x:c r="C195" s="2" t="str">
        <x:v>ATLANTA</x:v>
      </x:c>
      <x:c r="D195" s="2" t="str">
        <x:v>GA</x:v>
      </x:c>
      <x:c r="E195" s="2" t="str">
        <x:v>Acute Care Hospitals</x:v>
      </x:c>
      <x:c r="F195" s="2" t="str">
        <x:v>Voluntary non-profit</x:v>
      </x:c>
      <x:c r="G195" s="2" t="str">
        <x:v>Large (300+ beds)</x:v>
      </x:c>
      <x:c r="H195" s="7" t="n">
        <x:v>3</x:v>
      </x:c>
      <x:c r="I195" s="7" t="n">
        <x:v>3</x:v>
      </x:c>
      <x:c r="J195" s="7" t="n">
        <x:v>0.93</x:v>
      </x:c>
      <x:c r="K195" s="8" t="n">
        <x:v>685</x:v>
      </x:c>
      <x:c r="L195" s="8" t="n">
        <x:v>33633</x:v>
      </x:c>
      <x:c r="M195" s="9" t="n">
        <x:v>0.9162099637</x:v>
      </x:c>
      <x:c r="N195" s="10" t="n">
        <x:v>104423.3356822169</x:v>
      </x:c>
      <x:c r="O195" s="9" t="n">
        <x:v>-0.0540114615</x:v>
      </x:c>
      <x:c r="P195" s="9" t="n">
        <x:v>0.9684542587</x:v>
      </x:c>
      <x:c r="Q195" s="9" t="n">
        <x:v>0.2570977918</x:v>
      </x:c>
      <x:c r="R195" s="3" t="b">
        <x:v>1</x:v>
      </x:c>
      <x:c r="S195" s="3" t="b">
        <x:v>0</x:v>
      </x:c>
      <x:c r="T195" s="3" t="b">
        <x:v>0</x:v>
      </x:c>
      <x:c r="U195" s="2" t="str">
        <x:f>IF(T195=TRUE,"Priority review",IF(R195=TRUE,"High cost",IF(S195=TRUE,"Low quality","Benchmark")))</x:f>
        <x:v>High cost</x:v>
      </x:c>
    </x:row>
    <x:row r="196">
      <x:c r="A196" s="2" t="str">
        <x:v>070006</x:v>
      </x:c>
      <x:c r="B196" s="2" t="str">
        <x:v>STAMFORD HOSPITAL</x:v>
      </x:c>
      <x:c r="C196" s="2" t="str">
        <x:v>STAMFORD</x:v>
      </x:c>
      <x:c r="D196" s="2" t="str">
        <x:v>CT</x:v>
      </x:c>
      <x:c r="E196" s="2" t="str">
        <x:v>Acute Care Hospitals</x:v>
      </x:c>
      <x:c r="F196" s="2" t="str">
        <x:v>Voluntary non-profit</x:v>
      </x:c>
      <x:c r="G196" s="2" t="str">
        <x:v>Medium (100-299 beds)</x:v>
      </x:c>
      <x:c r="H196" s="7" t="n">
        <x:v>5</x:v>
      </x:c>
      <x:c r="I196" s="7" t="n">
        <x:v>3</x:v>
      </x:c>
      <x:c r="J196" s="7" t="n">
        <x:v>1</x:v>
      </x:c>
      <x:c r="K196" s="8" t="n">
        <x:v>288</x:v>
      </x:c>
      <x:c r="L196" s="8" t="n">
        <x:v>13497</x:v>
      </x:c>
      <x:c r="M196" s="9" t="n">
        <x:v>0.7017114451</x:v>
      </x:c>
      <x:c r="N196" s="10" t="n">
        <x:v>76028.6485885752</x:v>
      </x:c>
      <x:c r="O196" s="9" t="n">
        <x:v>0.1020472182</x:v>
      </x:c>
      <x:c r="P196" s="9" t="n">
        <x:v>0.9682151589</x:v>
      </x:c>
      <x:c r="Q196" s="9" t="n">
        <x:v>0.8744906275</x:v>
      </x:c>
      <x:c r="R196" s="3" t="b">
        <x:v>1</x:v>
      </x:c>
      <x:c r="S196" s="3" t="b">
        <x:v>0</x:v>
      </x:c>
      <x:c r="T196" s="3" t="b">
        <x:v>0</x:v>
      </x:c>
      <x:c r="U196" s="2" t="str">
        <x:f>IF(T196=TRUE,"Priority review",IF(R196=TRUE,"High cost",IF(S196=TRUE,"Low quality","Benchmark")))</x:f>
        <x:v>High cost</x:v>
      </x:c>
    </x:row>
    <x:row r="197">
      <x:c r="A197" s="2" t="str">
        <x:v>371320</x:v>
      </x:c>
      <x:c r="B197" s="2" t="str">
        <x:v>CLEVELAND AREA HOSPITAL</x:v>
      </x:c>
      <x:c r="C197" s="2" t="str">
        <x:v>CLEVELAND</x:v>
      </x:c>
      <x:c r="D197" s="2" t="str">
        <x:v>OK</x:v>
      </x:c>
      <x:c r="E197" s="2" t="str">
        <x:v>Critical Access Hospitals</x:v>
      </x:c>
      <x:c r="F197" s="2" t="str">
        <x:v>Government</x:v>
      </x:c>
      <x:c r="G197" s="2" t="str">
        <x:v>Small (&lt;100 beds)</x:v>
      </x:c>
      <x:c r="H197" s="7"/>
      <x:c r="I197" s="7"/>
      <x:c r="J197" s="7"/>
      <x:c r="K197" s="8" t="n">
        <x:v>14</x:v>
      </x:c>
      <x:c r="L197" s="8" t="n">
        <x:v>30</x:v>
      </x:c>
      <x:c r="M197" s="9" t="n">
        <x:v>0.4359875098</x:v>
      </x:c>
      <x:c r="N197" s="10" t="n">
        <x:v>808849.0333333333</x:v>
      </x:c>
      <x:c r="O197" s="9" t="n">
        <x:v>-0.1665488923</x:v>
      </x:c>
      <x:c r="P197" s="9" t="n">
        <x:v>0.9680297398</x:v>
      </x:c>
      <x:c r="Q197" s="9" t="n">
        <x:v>0.292936803</x:v>
      </x:c>
      <x:c r="R197" s="3" t="b">
        <x:v>1</x:v>
      </x:c>
      <x:c r="S197" s="3" t="b">
        <x:v>0</x:v>
      </x:c>
      <x:c r="T197" s="3" t="b">
        <x:v>0</x:v>
      </x:c>
      <x:c r="U197" s="2" t="str">
        <x:f>IF(T197=TRUE,"Priority review",IF(R197=TRUE,"High cost",IF(S197=TRUE,"Low quality","Benchmark")))</x:f>
        <x:v>High cost</x:v>
      </x:c>
    </x:row>
    <x:row r="198">
      <x:c r="A198" s="2" t="str">
        <x:v>140100</x:v>
      </x:c>
      <x:c r="B198" s="2" t="str">
        <x:v>MIDWESTERN REGION MED CENTER, INC</x:v>
      </x:c>
      <x:c r="C198" s="2" t="str">
        <x:v>ZION</x:v>
      </x:c>
      <x:c r="D198" s="2" t="str">
        <x:v>IL</x:v>
      </x:c>
      <x:c r="E198" s="2" t="str">
        <x:v>Acute Care Hospitals</x:v>
      </x:c>
      <x:c r="F198" s="2" t="str">
        <x:v>Proprietary</x:v>
      </x:c>
      <x:c r="G198" s="2" t="str">
        <x:v>Small (&lt;100 beds)</x:v>
      </x:c>
      <x:c r="H198" s="7" t="n">
        <x:v>4</x:v>
      </x:c>
      <x:c r="I198" s="7" t="n">
        <x:v>5</x:v>
      </x:c>
      <x:c r="J198" s="7" t="n">
        <x:v>1.04</x:v>
      </x:c>
      <x:c r="K198" s="8" t="n">
        <x:v>73</x:v>
      </x:c>
      <x:c r="L198" s="8" t="n">
        <x:v>738</x:v>
      </x:c>
      <x:c r="M198" s="9" t="n">
        <x:v>0.1518826259</x:v>
      </x:c>
      <x:c r="N198" s="10" t="n">
        <x:v>357795.472899729</x:v>
      </x:c>
      <x:c r="O198" s="9" t="n">
        <x:v>-0.126521517</x:v>
      </x:c>
      <x:c r="P198" s="9" t="n">
        <x:v>0.9676840215</x:v>
      </x:c>
      <x:c r="Q198" s="9" t="n">
        <x:v>0.3913824057</x:v>
      </x:c>
      <x:c r="R198" s="3" t="b">
        <x:v>1</x:v>
      </x:c>
      <x:c r="S198" s="3" t="b">
        <x:v>0</x:v>
      </x:c>
      <x:c r="T198" s="3" t="b">
        <x:v>0</x:v>
      </x:c>
      <x:c r="U198" s="2" t="str">
        <x:f>IF(T198=TRUE,"Priority review",IF(R198=TRUE,"High cost",IF(S198=TRUE,"Low quality","Benchmark")))</x:f>
        <x:v>High cost</x:v>
      </x:c>
    </x:row>
    <x:row r="199">
      <x:c r="A199" s="2" t="str">
        <x:v>214002</x:v>
      </x:c>
      <x:c r="B199" s="2" t="str">
        <x:v>EASTERN SHORE HOSPITAL CENTER</x:v>
      </x:c>
      <x:c r="C199" s="2" t="str">
        <x:v>CAMBRIDGE</x:v>
      </x:c>
      <x:c r="D199" s="2" t="str">
        <x:v>MD</x:v>
      </x:c>
      <x:c r="E199" s="2" t="str">
        <x:v>Psychiatric</x:v>
      </x:c>
      <x:c r="F199" s="2" t="str">
        <x:v>Government</x:v>
      </x:c>
      <x:c r="G199" s="2" t="str">
        <x:v>Small (&lt;100 beds)</x:v>
      </x:c>
      <x:c r="H199" s="7"/>
      <x:c r="I199" s="7"/>
      <x:c r="J199" s="7"/>
      <x:c r="K199" s="8" t="n">
        <x:v>84</x:v>
      </x:c>
      <x:c r="L199" s="8" t="n">
        <x:v>67</x:v>
      </x:c>
      <x:c r="M199" s="9" t="n">
        <x:v>0.9867579909</x:v>
      </x:c>
      <x:c r="N199" s="10" t="n">
        <x:v>486993.3432835821</x:v>
      </x:c>
      <x:c r="O199" s="9"/>
      <x:c r="P199" s="9" t="n">
        <x:v>0.9676375405</x:v>
      </x:c>
      <x:c r="Q199" s="9" t="n">
        <x:v>0</x:v>
      </x:c>
      <x:c r="R199" s="3" t="b">
        <x:v>1</x:v>
      </x:c>
      <x:c r="S199" s="3" t="b">
        <x:v>0</x:v>
      </x:c>
      <x:c r="T199" s="3" t="b">
        <x:v>0</x:v>
      </x:c>
      <x:c r="U199" s="2" t="str">
        <x:f>IF(T199=TRUE,"Priority review",IF(R199=TRUE,"High cost",IF(S199=TRUE,"Low quality","Benchmark")))</x:f>
        <x:v>High cost</x:v>
      </x:c>
    </x:row>
    <x:row r="200">
      <x:c r="A200" s="2" t="str">
        <x:v>150005</x:v>
      </x:c>
      <x:c r="B200" s="2" t="str">
        <x:v>HENDRICKS REGIONAL HEALTH</x:v>
      </x:c>
      <x:c r="C200" s="2" t="str">
        <x:v>DANVILLE</x:v>
      </x:c>
      <x:c r="D200" s="2" t="str">
        <x:v>IN</x:v>
      </x:c>
      <x:c r="E200" s="2" t="str">
        <x:v>Acute Care Hospitals</x:v>
      </x:c>
      <x:c r="F200" s="2" t="str">
        <x:v>Government</x:v>
      </x:c>
      <x:c r="G200" s="2" t="str">
        <x:v>Medium (100-299 beds)</x:v>
      </x:c>
      <x:c r="H200" s="7" t="n">
        <x:v>5</x:v>
      </x:c>
      <x:c r="I200" s="7" t="n">
        <x:v>4</x:v>
      </x:c>
      <x:c r="J200" s="7" t="n">
        <x:v>0.94</x:v>
      </x:c>
      <x:c r="K200" s="8" t="n">
        <x:v>130</x:v>
      </x:c>
      <x:c r="L200" s="8" t="n">
        <x:v>6625</x:v>
      </x:c>
      <x:c r="M200" s="9" t="n">
        <x:v>0.5416351408</x:v>
      </x:c>
      <x:c r="N200" s="10" t="n">
        <x:v>75358.5166792453</x:v>
      </x:c>
      <x:c r="O200" s="9" t="n">
        <x:v>-0.0362620867</x:v>
      </x:c>
      <x:c r="P200" s="9" t="n">
        <x:v>0.967400163</x:v>
      </x:c>
      <x:c r="Q200" s="9" t="n">
        <x:v>0.8744906275</x:v>
      </x:c>
      <x:c r="R200" s="3" t="b">
        <x:v>1</x:v>
      </x:c>
      <x:c r="S200" s="3" t="b">
        <x:v>0</x:v>
      </x:c>
      <x:c r="T200" s="3" t="b">
        <x:v>0</x:v>
      </x:c>
      <x:c r="U200" s="2" t="str">
        <x:f>IF(T200=TRUE,"Priority review",IF(R200=TRUE,"High cost",IF(S200=TRUE,"Low quality","Benchmark")))</x:f>
        <x:v>High cost</x:v>
      </x:c>
    </x:row>
    <x:row r="201">
      <x:c r="A201" s="2" t="str">
        <x:v>251304</x:v>
      </x:c>
      <x:c r="B201" s="2" t="str">
        <x:v>TALLAHATCHIE GENERAL HOSPITAL-CAH</x:v>
      </x:c>
      <x:c r="C201" s="2" t="str">
        <x:v>CHARLESTON</x:v>
      </x:c>
      <x:c r="D201" s="2" t="str">
        <x:v>MS</x:v>
      </x:c>
      <x:c r="E201" s="2" t="str">
        <x:v>Critical Access Hospitals</x:v>
      </x:c>
      <x:c r="F201" s="2" t="str">
        <x:v>Government</x:v>
      </x:c>
      <x:c r="G201" s="2" t="str">
        <x:v>Small (&lt;100 beds)</x:v>
      </x:c>
      <x:c r="H201" s="7"/>
      <x:c r="I201" s="7"/>
      <x:c r="J201" s="7"/>
      <x:c r="K201" s="8" t="n">
        <x:v>18</x:v>
      </x:c>
      <x:c r="L201" s="8" t="n">
        <x:v>50</x:v>
      </x:c>
      <x:c r="M201" s="9" t="n">
        <x:v>0.8574681239</x:v>
      </x:c>
      <x:c r="N201" s="10" t="n">
        <x:v>800261.24</x:v>
      </x:c>
      <x:c r="O201" s="9" t="n">
        <x:v>-0.0486110793</x:v>
      </x:c>
      <x:c r="P201" s="9" t="n">
        <x:v>0.9672862454</x:v>
      </x:c>
      <x:c r="Q201" s="9" t="n">
        <x:v>0.292936803</x:v>
      </x:c>
      <x:c r="R201" s="3" t="b">
        <x:v>1</x:v>
      </x:c>
      <x:c r="S201" s="3" t="b">
        <x:v>0</x:v>
      </x:c>
      <x:c r="T201" s="3" t="b">
        <x:v>0</x:v>
      </x:c>
      <x:c r="U201" s="2" t="str">
        <x:f>IF(T201=TRUE,"Priority review",IF(R201=TRUE,"High cost",IF(S201=TRUE,"Low quality","Benchmark")))</x:f>
        <x:v>High cost</x:v>
      </x:c>
    </x:row>
    <x:row r="202">
      <x:c r="A202" s="2" t="str">
        <x:v>330285</x:v>
      </x:c>
      <x:c r="B202" s="2" t="str">
        <x:v>STRONG MEMORIAL HOSPITAL</x:v>
      </x:c>
      <x:c r="C202" s="2" t="str">
        <x:v>ROCHESTER</x:v>
      </x:c>
      <x:c r="D202" s="2" t="str">
        <x:v>NY</x:v>
      </x:c>
      <x:c r="E202" s="2" t="str">
        <x:v>Acute Care Hospitals</x:v>
      </x:c>
      <x:c r="F202" s="2" t="str">
        <x:v>Voluntary non-profit</x:v>
      </x:c>
      <x:c r="G202" s="2" t="str">
        <x:v>Large (300+ beds)</x:v>
      </x:c>
      <x:c r="H202" s="7" t="n">
        <x:v>3</x:v>
      </x:c>
      <x:c r="I202" s="7" t="n">
        <x:v>3</x:v>
      </x:c>
      <x:c r="J202" s="7" t="n">
        <x:v>0.92</x:v>
      </x:c>
      <x:c r="K202" s="8" t="n">
        <x:v>749</x:v>
      </x:c>
      <x:c r="L202" s="8" t="n">
        <x:v>37199</x:v>
      </x:c>
      <x:c r="M202" s="9" t="n">
        <x:v>1.1164731057</x:v>
      </x:c>
      <x:c r="N202" s="10" t="n">
        <x:v>103599.4436678405</x:v>
      </x:c>
      <x:c r="O202" s="9" t="n">
        <x:v>0.0821754972</x:v>
      </x:c>
      <x:c r="P202" s="9" t="n">
        <x:v>0.9668769716</x:v>
      </x:c>
      <x:c r="Q202" s="9" t="n">
        <x:v>0.2570977918</x:v>
      </x:c>
      <x:c r="R202" s="3" t="b">
        <x:v>1</x:v>
      </x:c>
      <x:c r="S202" s="3" t="b">
        <x:v>0</x:v>
      </x:c>
      <x:c r="T202" s="3" t="b">
        <x:v>0</x:v>
      </x:c>
      <x:c r="U202" s="2" t="str">
        <x:f>IF(T202=TRUE,"Priority review",IF(R202=TRUE,"High cost",IF(S202=TRUE,"Low quality","Benchmark")))</x:f>
        <x:v>High cost</x:v>
      </x:c>
    </x:row>
    <x:row r="203">
      <x:c r="A203" s="2" t="str">
        <x:v>670109</x:v>
      </x:c>
      <x:c r="B203" s="2" t="str">
        <x:v>BAYTOWN MEDICAL CENTER LP</x:v>
      </x:c>
      <x:c r="C203" s="2" t="str">
        <x:v>BAYTOWN</x:v>
      </x:c>
      <x:c r="D203" s="2" t="str">
        <x:v>TX</x:v>
      </x:c>
      <x:c r="E203" s="2" t="str">
        <x:v>Acute Care Hospitals</x:v>
      </x:c>
      <x:c r="F203" s="2" t="str">
        <x:v>Proprietary</x:v>
      </x:c>
      <x:c r="G203" s="2" t="str">
        <x:v>Small (&lt;100 beds)</x:v>
      </x:c>
      <x:c r="H203" s="7"/>
      <x:c r="I203" s="7"/>
      <x:c r="J203" s="7"/>
      <x:c r="K203" s="8" t="n">
        <x:v>14</x:v>
      </x:c>
      <x:c r="L203" s="8" t="n">
        <x:v>159</x:v>
      </x:c>
      <x:c r="M203" s="9" t="n">
        <x:v>0.1559686888</x:v>
      </x:c>
      <x:c r="N203" s="10" t="n">
        <x:v>351494.2955974843</x:v>
      </x:c>
      <x:c r="O203" s="9" t="n">
        <x:v>-0.1437127908</x:v>
      </x:c>
      <x:c r="P203" s="9" t="n">
        <x:v>0.9667863555</x:v>
      </x:c>
      <x:c r="Q203" s="9" t="n">
        <x:v>0.697486535</x:v>
      </x:c>
      <x:c r="R203" s="3" t="b">
        <x:v>1</x:v>
      </x:c>
      <x:c r="S203" s="3" t="b">
        <x:v>0</x:v>
      </x:c>
      <x:c r="T203" s="3" t="b">
        <x:v>0</x:v>
      </x:c>
      <x:c r="U203" s="2" t="str">
        <x:f>IF(T203=TRUE,"Priority review",IF(R203=TRUE,"High cost",IF(S203=TRUE,"Low quality","Benchmark")))</x:f>
        <x:v>High cost</x:v>
      </x:c>
    </x:row>
    <x:row r="204">
      <x:c r="A204" s="2" t="str">
        <x:v>121304</x:v>
      </x:c>
      <x:c r="B204" s="2" t="str">
        <x:v>KAHUKU MEDICAL CENTER</x:v>
      </x:c>
      <x:c r="C204" s="2" t="str">
        <x:v>KAHUKU</x:v>
      </x:c>
      <x:c r="D204" s="2" t="str">
        <x:v>HI</x:v>
      </x:c>
      <x:c r="E204" s="2" t="str">
        <x:v>Critical Access Hospitals</x:v>
      </x:c>
      <x:c r="F204" s="2" t="str">
        <x:v>Voluntary non-profit</x:v>
      </x:c>
      <x:c r="G204" s="2" t="str">
        <x:v>Small (&lt;100 beds)</x:v>
      </x:c>
      <x:c r="H204" s="7"/>
      <x:c r="I204" s="7"/>
      <x:c r="J204" s="7"/>
      <x:c r="K204" s="8" t="n">
        <x:v>21</x:v>
      </x:c>
      <x:c r="L204" s="8" t="n">
        <x:v>37</x:v>
      </x:c>
      <x:c r="M204" s="9" t="n">
        <x:v>0.7801696021</x:v>
      </x:c>
      <x:c r="N204" s="10" t="n">
        <x:v>799920.3243243244</x:v>
      </x:c>
      <x:c r="O204" s="9" t="n">
        <x:v>-0.2146197827</x:v>
      </x:c>
      <x:c r="P204" s="9" t="n">
        <x:v>0.9665427509</x:v>
      </x:c>
      <x:c r="Q204" s="9" t="n">
        <x:v>0.292936803</x:v>
      </x:c>
      <x:c r="R204" s="3" t="b">
        <x:v>1</x:v>
      </x:c>
      <x:c r="S204" s="3" t="b">
        <x:v>0</x:v>
      </x:c>
      <x:c r="T204" s="3" t="b">
        <x:v>0</x:v>
      </x:c>
      <x:c r="U204" s="2" t="str">
        <x:f>IF(T204=TRUE,"Priority review",IF(R204=TRUE,"High cost",IF(S204=TRUE,"Low quality","Benchmark")))</x:f>
        <x:v>High cost</x:v>
      </x:c>
    </x:row>
    <x:row r="205">
      <x:c r="A205" s="2" t="str">
        <x:v>360361</x:v>
      </x:c>
      <x:c r="B205" s="2" t="str">
        <x:v>KINGS DAUGHTERS MEDICAL CENTER OHIO</x:v>
      </x:c>
      <x:c r="C205" s="2" t="str">
        <x:v>PORTSMOUTH</x:v>
      </x:c>
      <x:c r="D205" s="2" t="str">
        <x:v>OH</x:v>
      </x:c>
      <x:c r="E205" s="2" t="str">
        <x:v>Acute Care Hospitals</x:v>
      </x:c>
      <x:c r="F205" s="2" t="str">
        <x:v>Voluntary non-profit</x:v>
      </x:c>
      <x:c r="G205" s="2" t="str">
        <x:v>Small (&lt;100 beds)</x:v>
      </x:c>
      <x:c r="H205" s="7"/>
      <x:c r="I205" s="7"/>
      <x:c r="J205" s="7"/>
      <x:c r="K205" s="8" t="n">
        <x:v>10</x:v>
      </x:c>
      <x:c r="L205" s="8" t="n">
        <x:v>87</x:v>
      </x:c>
      <x:c r="M205" s="9" t="n">
        <x:v>0.0493150685</x:v>
      </x:c>
      <x:c r="N205" s="10" t="n">
        <x:v>343438.2183908046</x:v>
      </x:c>
      <x:c r="O205" s="9" t="n">
        <x:v>0.1652020721</x:v>
      </x:c>
      <x:c r="P205" s="9" t="n">
        <x:v>0.9658886894</x:v>
      </x:c>
      <x:c r="Q205" s="9" t="n">
        <x:v>0.697486535</x:v>
      </x:c>
      <x:c r="R205" s="3" t="b">
        <x:v>1</x:v>
      </x:c>
      <x:c r="S205" s="3" t="b">
        <x:v>0</x:v>
      </x:c>
      <x:c r="T205" s="3" t="b">
        <x:v>0</x:v>
      </x:c>
      <x:c r="U205" s="2" t="str">
        <x:f>IF(T205=TRUE,"Priority review",IF(R205=TRUE,"High cost",IF(S205=TRUE,"Low quality","Benchmark")))</x:f>
        <x:v>High cost</x:v>
      </x:c>
    </x:row>
    <x:row r="206">
      <x:c r="A206" s="2" t="str">
        <x:v>371318</x:v>
      </x:c>
      <x:c r="B206" s="2" t="str">
        <x:v>RURAL WELLNESS FAIRFAX HOSPITAL</x:v>
      </x:c>
      <x:c r="C206" s="2" t="str">
        <x:v>FAIRFAX</x:v>
      </x:c>
      <x:c r="D206" s="2" t="str">
        <x:v>OK</x:v>
      </x:c>
      <x:c r="E206" s="2" t="str">
        <x:v>Critical Access Hospitals</x:v>
      </x:c>
      <x:c r="F206" s="2" t="str">
        <x:v>Proprietary</x:v>
      </x:c>
      <x:c r="G206" s="2" t="str">
        <x:v>Small (&lt;100 beds)</x:v>
      </x:c>
      <x:c r="H206" s="7"/>
      <x:c r="I206" s="7"/>
      <x:c r="J206" s="7"/>
      <x:c r="K206" s="8" t="n">
        <x:v>25</x:v>
      </x:c>
      <x:c r="L206" s="8" t="n">
        <x:v>58</x:v>
      </x:c>
      <x:c r="M206" s="9" t="n">
        <x:v>0.470273224</x:v>
      </x:c>
      <x:c r="N206" s="10" t="n">
        <x:v>799190.6206896552</x:v>
      </x:c>
      <x:c r="O206" s="9" t="n">
        <x:v>-0.9301816662</x:v>
      </x:c>
      <x:c r="P206" s="9" t="n">
        <x:v>0.9657992565</x:v>
      </x:c>
      <x:c r="Q206" s="9" t="n">
        <x:v>0.292936803</x:v>
      </x:c>
      <x:c r="R206" s="3" t="b">
        <x:v>1</x:v>
      </x:c>
      <x:c r="S206" s="3" t="b">
        <x:v>0</x:v>
      </x:c>
      <x:c r="T206" s="3" t="b">
        <x:v>0</x:v>
      </x:c>
      <x:c r="U206" s="2" t="str">
        <x:f>IF(T206=TRUE,"Priority review",IF(R206=TRUE,"High cost",IF(S206=TRUE,"Low quality","Benchmark")))</x:f>
        <x:v>High cost</x:v>
      </x:c>
    </x:row>
    <x:row r="207">
      <x:c r="A207" s="2" t="str">
        <x:v>240004</x:v>
      </x:c>
      <x:c r="B207" s="2" t="str">
        <x:v>HENNEPIN COUNTY MEDICAL CENTER</x:v>
      </x:c>
      <x:c r="C207" s="2" t="str">
        <x:v>MINNEAPOLIS</x:v>
      </x:c>
      <x:c r="D207" s="2" t="str">
        <x:v>MN</x:v>
      </x:c>
      <x:c r="E207" s="2" t="str">
        <x:v>Acute Care Hospitals</x:v>
      </x:c>
      <x:c r="F207" s="2" t="str">
        <x:v>Government</x:v>
      </x:c>
      <x:c r="G207" s="2" t="str">
        <x:v>Large (300+ beds)</x:v>
      </x:c>
      <x:c r="H207" s="7" t="n">
        <x:v>3</x:v>
      </x:c>
      <x:c r="I207" s="7" t="n">
        <x:v>2</x:v>
      </x:c>
      <x:c r="J207" s="7" t="n">
        <x:v>0.99</x:v>
      </x:c>
      <x:c r="K207" s="8" t="n">
        <x:v>347</x:v>
      </x:c>
      <x:c r="L207" s="8" t="n">
        <x:v>14252</x:v>
      </x:c>
      <x:c r="M207" s="9" t="n">
        <x:v>0.7718618604</x:v>
      </x:c>
      <x:c r="N207" s="10" t="n">
        <x:v>102486.8790345215</x:v>
      </x:c>
      <x:c r="O207" s="9" t="n">
        <x:v>-0.0917299741</x:v>
      </x:c>
      <x:c r="P207" s="9" t="n">
        <x:v>0.9652996845</x:v>
      </x:c>
      <x:c r="Q207" s="9" t="n">
        <x:v>0.2570977918</x:v>
      </x:c>
      <x:c r="R207" s="3" t="b">
        <x:v>1</x:v>
      </x:c>
      <x:c r="S207" s="3" t="b">
        <x:v>0</x:v>
      </x:c>
      <x:c r="T207" s="3" t="b">
        <x:v>0</x:v>
      </x:c>
      <x:c r="U207" s="2" t="str">
        <x:f>IF(T207=TRUE,"Priority review",IF(R207=TRUE,"High cost",IF(S207=TRUE,"Low quality","Benchmark")))</x:f>
        <x:v>High cost</x:v>
      </x:c>
    </x:row>
    <x:row r="208">
      <x:c r="A208" s="2" t="str">
        <x:v>234025</x:v>
      </x:c>
      <x:c r="B208" s="2" t="str">
        <x:v>CARO PSYCHIATRIC HOSPITAL</x:v>
      </x:c>
      <x:c r="C208" s="2" t="str">
        <x:v>CARO</x:v>
      </x:c>
      <x:c r="D208" s="2" t="str">
        <x:v>MI</x:v>
      </x:c>
      <x:c r="E208" s="2" t="str">
        <x:v>Psychiatric</x:v>
      </x:c>
      <x:c r="F208" s="2" t="str">
        <x:v>Government</x:v>
      </x:c>
      <x:c r="G208" s="2" t="str">
        <x:v>Medium (100-299 beds)</x:v>
      </x:c>
      <x:c r="H208" s="7"/>
      <x:c r="I208" s="7"/>
      <x:c r="J208" s="7"/>
      <x:c r="K208" s="8" t="n">
        <x:v>100</x:v>
      </x:c>
      <x:c r="L208" s="8" t="n">
        <x:v>80</x:v>
      </x:c>
      <x:c r="M208" s="9" t="n">
        <x:v>0.9590983607</x:v>
      </x:c>
      <x:c r="N208" s="10" t="n">
        <x:v>786848.45</x:v>
      </x:c>
      <x:c r="O208" s="9" t="n">
        <x:v>-3.7749392417</x:v>
      </x:c>
      <x:c r="P208" s="9" t="n">
        <x:v>0.9651741294</x:v>
      </x:c>
      <x:c r="Q208" s="9" t="n">
        <x:v>0</x:v>
      </x:c>
      <x:c r="R208" s="3" t="b">
        <x:v>1</x:v>
      </x:c>
      <x:c r="S208" s="3" t="b">
        <x:v>0</x:v>
      </x:c>
      <x:c r="T208" s="3" t="b">
        <x:v>0</x:v>
      </x:c>
      <x:c r="U208" s="2" t="str">
        <x:f>IF(T208=TRUE,"Priority review",IF(R208=TRUE,"High cost",IF(S208=TRUE,"Low quality","Benchmark")))</x:f>
        <x:v>High cost</x:v>
      </x:c>
    </x:row>
    <x:row r="209">
      <x:c r="A209" s="2" t="str">
        <x:v>111331</x:v>
      </x:c>
      <x:c r="B209" s="2" t="str">
        <x:v>ARCHBOLD MITCHELL</x:v>
      </x:c>
      <x:c r="C209" s="2" t="str">
        <x:v>CAMILLA</x:v>
      </x:c>
      <x:c r="D209" s="2" t="str">
        <x:v>GA</x:v>
      </x:c>
      <x:c r="E209" s="2" t="str">
        <x:v>Critical Access Hospitals</x:v>
      </x:c>
      <x:c r="F209" s="2" t="str">
        <x:v>Government</x:v>
      </x:c>
      <x:c r="G209" s="2" t="str">
        <x:v>Small (&lt;100 beds)</x:v>
      </x:c>
      <x:c r="H209" s="7"/>
      <x:c r="I209" s="7"/>
      <x:c r="J209" s="7"/>
      <x:c r="K209" s="8" t="n">
        <x:v>25</x:v>
      </x:c>
      <x:c r="L209" s="8" t="n">
        <x:v>54</x:v>
      </x:c>
      <x:c r="M209" s="9" t="n">
        <x:v>0.5123497268</x:v>
      </x:c>
      <x:c r="N209" s="10" t="n">
        <x:v>725872.7407407408</x:v>
      </x:c>
      <x:c r="O209" s="9" t="n">
        <x:v>-0.0051946986</x:v>
      </x:c>
      <x:c r="P209" s="9" t="n">
        <x:v>0.9650557621</x:v>
      </x:c>
      <x:c r="Q209" s="9" t="n">
        <x:v>0.292936803</x:v>
      </x:c>
      <x:c r="R209" s="3" t="b">
        <x:v>1</x:v>
      </x:c>
      <x:c r="S209" s="3" t="b">
        <x:v>0</x:v>
      </x:c>
      <x:c r="T209" s="3" t="b">
        <x:v>0</x:v>
      </x:c>
      <x:c r="U209" s="2" t="str">
        <x:f>IF(T209=TRUE,"Priority review",IF(R209=TRUE,"High cost",IF(S209=TRUE,"Low quality","Benchmark")))</x:f>
        <x:v>High cost</x:v>
      </x:c>
    </x:row>
    <x:row r="210">
      <x:c r="A210" s="2" t="str">
        <x:v>190245</x:v>
      </x:c>
      <x:c r="B210" s="2" t="str">
        <x:v>MONROE SURGICAL HOSPITAL</x:v>
      </x:c>
      <x:c r="C210" s="2" t="str">
        <x:v>MONROE</x:v>
      </x:c>
      <x:c r="D210" s="2" t="str">
        <x:v>LA</x:v>
      </x:c>
      <x:c r="E210" s="2" t="str">
        <x:v>Acute Care Hospitals</x:v>
      </x:c>
      <x:c r="F210" s="2" t="str">
        <x:v>Proprietary</x:v>
      </x:c>
      <x:c r="G210" s="2" t="str">
        <x:v>Small (&lt;100 beds)</x:v>
      </x:c>
      <x:c r="H210" s="7"/>
      <x:c r="I210" s="7"/>
      <x:c r="J210" s="7" t="n">
        <x:v>1.18</x:v>
      </x:c>
      <x:c r="K210" s="8" t="n">
        <x:v>10</x:v>
      </x:c>
      <x:c r="L210" s="8" t="n">
        <x:v>88</x:v>
      </x:c>
      <x:c r="M210" s="9" t="n">
        <x:v>0.0699453552</x:v>
      </x:c>
      <x:c r="N210" s="10" t="n">
        <x:v>332144.7045454545</x:v>
      </x:c>
      <x:c r="O210" s="9" t="n">
        <x:v>-0.3435455492</x:v>
      </x:c>
      <x:c r="P210" s="9" t="n">
        <x:v>0.9649910233</x:v>
      </x:c>
      <x:c r="Q210" s="9" t="n">
        <x:v>0.697486535</x:v>
      </x:c>
      <x:c r="R210" s="3" t="b">
        <x:v>1</x:v>
      </x:c>
      <x:c r="S210" s="3" t="b">
        <x:v>0</x:v>
      </x:c>
      <x:c r="T210" s="3" t="b">
        <x:v>0</x:v>
      </x:c>
      <x:c r="U210" s="2" t="str">
        <x:f>IF(T210=TRUE,"Priority review",IF(R210=TRUE,"High cost",IF(S210=TRUE,"Low quality","Benchmark")))</x:f>
        <x:v>High cost</x:v>
      </x:c>
    </x:row>
    <x:row r="211">
      <x:c r="A211" s="2" t="str">
        <x:v>200039</x:v>
      </x:c>
      <x:c r="B211" s="2" t="str">
        <x:v>MAINE GENERAL MEDICAL CENTER</x:v>
      </x:c>
      <x:c r="C211" s="2" t="str">
        <x:v>AUGUSTA</x:v>
      </x:c>
      <x:c r="D211" s="2" t="str">
        <x:v>ME</x:v>
      </x:c>
      <x:c r="E211" s="2" t="str">
        <x:v>Acute Care Hospitals</x:v>
      </x:c>
      <x:c r="F211" s="2" t="str">
        <x:v>Voluntary non-profit</x:v>
      </x:c>
      <x:c r="G211" s="2" t="str">
        <x:v>Medium (100-299 beds)</x:v>
      </x:c>
      <x:c r="H211" s="7" t="n">
        <x:v>4</x:v>
      </x:c>
      <x:c r="I211" s="7" t="n">
        <x:v>4</x:v>
      </x:c>
      <x:c r="J211" s="7" t="n">
        <x:v>0.92</x:v>
      </x:c>
      <x:c r="K211" s="8" t="n">
        <x:v>186</x:v>
      </x:c>
      <x:c r="L211" s="8" t="n">
        <x:v>9761</x:v>
      </x:c>
      <x:c r="M211" s="9" t="n">
        <x:v>0.8508764177</x:v>
      </x:c>
      <x:c r="N211" s="10" t="n">
        <x:v>74220.9825837517</x:v>
      </x:c>
      <x:c r="O211" s="9" t="n">
        <x:v>-0.1100385585</x:v>
      </x:c>
      <x:c r="P211" s="9" t="n">
        <x:v>0.9649551752</x:v>
      </x:c>
      <x:c r="Q211" s="9" t="n">
        <x:v>0.6022819886</x:v>
      </x:c>
      <x:c r="R211" s="3" t="b">
        <x:v>1</x:v>
      </x:c>
      <x:c r="S211" s="3" t="b">
        <x:v>0</x:v>
      </x:c>
      <x:c r="T211" s="3" t="b">
        <x:v>0</x:v>
      </x:c>
      <x:c r="U211" s="2" t="str">
        <x:f>IF(T211=TRUE,"Priority review",IF(R211=TRUE,"High cost",IF(S211=TRUE,"Low quality","Benchmark")))</x:f>
        <x:v>High cost</x:v>
      </x:c>
    </x:row>
    <x:row r="212">
      <x:c r="A212" s="2" t="str">
        <x:v>524044</x:v>
      </x:c>
      <x:c r="B212" s="2" t="str">
        <x:v>MENTAL HEALTH EMERGENCY CENTER, INC</x:v>
      </x:c>
      <x:c r="C212" s="2" t="str">
        <x:v>MILWAUKEE</x:v>
      </x:c>
      <x:c r="D212" s="2" t="str">
        <x:v>WI</x:v>
      </x:c>
      <x:c r="E212" s="2" t="str">
        <x:v>Psychiatric</x:v>
      </x:c>
      <x:c r="F212" s="2" t="str">
        <x:v>Voluntary non-profit</x:v>
      </x:c>
      <x:c r="G212" s="2" t="str">
        <x:v>Small (&lt;100 beds)</x:v>
      </x:c>
      <x:c r="H212" s="7"/>
      <x:c r="I212" s="7"/>
      <x:c r="J212" s="7"/>
      <x:c r="K212" s="8" t="n">
        <x:v>6</x:v>
      </x:c>
      <x:c r="L212" s="8" t="n">
        <x:v>56</x:v>
      </x:c>
      <x:c r="M212" s="9" t="n">
        <x:v>0.0883424408</x:v>
      </x:c>
      <x:c r="N212" s="10" t="n">
        <x:v>312600.5357142857</x:v>
      </x:c>
      <x:c r="O212" s="9" t="n">
        <x:v>-2.5281623078</x:v>
      </x:c>
      <x:c r="P212" s="9" t="n">
        <x:v>0.9644012945</x:v>
      </x:c>
      <x:c r="Q212" s="9" t="n">
        <x:v>0</x:v>
      </x:c>
      <x:c r="R212" s="3" t="b">
        <x:v>1</x:v>
      </x:c>
      <x:c r="S212" s="3" t="b">
        <x:v>0</x:v>
      </x:c>
      <x:c r="T212" s="3" t="b">
        <x:v>0</x:v>
      </x:c>
      <x:c r="U212" s="2" t="str">
        <x:f>IF(T212=TRUE,"Priority review",IF(R212=TRUE,"High cost",IF(S212=TRUE,"Low quality","Benchmark")))</x:f>
        <x:v>High cost</x:v>
      </x:c>
    </x:row>
    <x:row r="213">
      <x:c r="A213" s="2" t="str">
        <x:v>451309</x:v>
      </x:c>
      <x:c r="B213" s="2" t="str">
        <x:v>MC CAMEY HOSPITAL</x:v>
      </x:c>
      <x:c r="C213" s="2" t="str">
        <x:v>MCCAMEY</x:v>
      </x:c>
      <x:c r="D213" s="2" t="str">
        <x:v>TX</x:v>
      </x:c>
      <x:c r="E213" s="2" t="str">
        <x:v>Critical Access Hospitals</x:v>
      </x:c>
      <x:c r="F213" s="2" t="str">
        <x:v>Government</x:v>
      </x:c>
      <x:c r="G213" s="2" t="str">
        <x:v>Small (&lt;100 beds)</x:v>
      </x:c>
      <x:c r="H213" s="7"/>
      <x:c r="I213" s="7"/>
      <x:c r="J213" s="7"/>
      <x:c r="K213" s="8" t="n">
        <x:v>14</x:v>
      </x:c>
      <x:c r="L213" s="8" t="n">
        <x:v>25</x:v>
      </x:c>
      <x:c r="M213" s="9" t="n">
        <x:v>0.056401249</x:v>
      </x:c>
      <x:c r="N213" s="10" t="n">
        <x:v>709369.28</x:v>
      </x:c>
      <x:c r="O213" s="9" t="n">
        <x:v>-1.3750553612</x:v>
      </x:c>
      <x:c r="P213" s="9" t="n">
        <x:v>0.9643122677</x:v>
      </x:c>
      <x:c r="Q213" s="9" t="n">
        <x:v>0.292936803</x:v>
      </x:c>
      <x:c r="R213" s="3" t="b">
        <x:v>1</x:v>
      </x:c>
      <x:c r="S213" s="3" t="b">
        <x:v>0</x:v>
      </x:c>
      <x:c r="T213" s="3" t="b">
        <x:v>0</x:v>
      </x:c>
      <x:c r="U213" s="2" t="str">
        <x:f>IF(T213=TRUE,"Priority review",IF(R213=TRUE,"High cost",IF(S213=TRUE,"Low quality","Benchmark")))</x:f>
        <x:v>High cost</x:v>
      </x:c>
    </x:row>
    <x:row r="214">
      <x:c r="A214" s="2" t="str">
        <x:v>520087</x:v>
      </x:c>
      <x:c r="B214" s="2" t="str">
        <x:v>GUNDERSEN LUTHERAN MEDICAL CENTER</x:v>
      </x:c>
      <x:c r="C214" s="2" t="str">
        <x:v>LA CROSSE</x:v>
      </x:c>
      <x:c r="D214" s="2" t="str">
        <x:v>WI</x:v>
      </x:c>
      <x:c r="E214" s="2" t="str">
        <x:v>Acute Care Hospitals</x:v>
      </x:c>
      <x:c r="F214" s="2" t="str">
        <x:v>Voluntary non-profit</x:v>
      </x:c>
      <x:c r="G214" s="2" t="str">
        <x:v>Medium (100-299 beds)</x:v>
      </x:c>
      <x:c r="H214" s="7" t="n">
        <x:v>4</x:v>
      </x:c>
      <x:c r="I214" s="7" t="n">
        <x:v>4</x:v>
      </x:c>
      <x:c r="J214" s="7" t="n">
        <x:v>1.07</x:v>
      </x:c>
      <x:c r="K214" s="8" t="n">
        <x:v>263</x:v>
      </x:c>
      <x:c r="L214" s="8" t="n">
        <x:v>16092</x:v>
      </x:c>
      <x:c r="M214" s="9" t="n">
        <x:v>0.7466496291</x:v>
      </x:c>
      <x:c r="N214" s="10" t="n">
        <x:v>74141.267648521</x:v>
      </x:c>
      <x:c r="O214" s="9" t="n">
        <x:v>-0.9289408136</x:v>
      </x:c>
      <x:c r="P214" s="9" t="n">
        <x:v>0.9641401793</x:v>
      </x:c>
      <x:c r="Q214" s="9" t="n">
        <x:v>0.6022819886</x:v>
      </x:c>
      <x:c r="R214" s="3" t="b">
        <x:v>1</x:v>
      </x:c>
      <x:c r="S214" s="3" t="b">
        <x:v>0</x:v>
      </x:c>
      <x:c r="T214" s="3" t="b">
        <x:v>0</x:v>
      </x:c>
      <x:c r="U214" s="2" t="str">
        <x:f>IF(T214=TRUE,"Priority review",IF(R214=TRUE,"High cost",IF(S214=TRUE,"Low quality","Benchmark")))</x:f>
        <x:v>High cost</x:v>
      </x:c>
    </x:row>
    <x:row r="215">
      <x:c r="A215" s="2" t="str">
        <x:v>110101</x:v>
      </x:c>
      <x:c r="B215" s="2" t="str">
        <x:v>SOUTHWELL MEDICAL, A CAMPUS OF TRMC</x:v>
      </x:c>
      <x:c r="C215" s="2" t="str">
        <x:v>ADEL</x:v>
      </x:c>
      <x:c r="D215" s="2" t="str">
        <x:v>GA</x:v>
      </x:c>
      <x:c r="E215" s="2" t="str">
        <x:v>Acute Care Hospitals</x:v>
      </x:c>
      <x:c r="F215" s="2" t="str">
        <x:v>Proprietary</x:v>
      </x:c>
      <x:c r="G215" s="2" t="str">
        <x:v>Small (&lt;100 beds)</x:v>
      </x:c>
      <x:c r="H215" s="7"/>
      <x:c r="I215" s="7"/>
      <x:c r="J215" s="7" t="n">
        <x:v>0.92</x:v>
      </x:c>
      <x:c r="K215" s="8" t="n">
        <x:v>8</x:v>
      </x:c>
      <x:c r="L215" s="8" t="n">
        <x:v>162</x:v>
      </x:c>
      <x:c r="M215" s="9" t="n">
        <x:v>0.1544520548</x:v>
      </x:c>
      <x:c r="N215" s="10" t="n">
        <x:v>325396.5555555556</x:v>
      </x:c>
      <x:c r="O215" s="9" t="n">
        <x:v>-0.1111283672</x:v>
      </x:c>
      <x:c r="P215" s="9" t="n">
        <x:v>0.9640933573</x:v>
      </x:c>
      <x:c r="Q215" s="9" t="n">
        <x:v>0.697486535</x:v>
      </x:c>
      <x:c r="R215" s="3" t="b">
        <x:v>1</x:v>
      </x:c>
      <x:c r="S215" s="3" t="b">
        <x:v>0</x:v>
      </x:c>
      <x:c r="T215" s="3" t="b">
        <x:v>0</x:v>
      </x:c>
      <x:c r="U215" s="2" t="str">
        <x:f>IF(T215=TRUE,"Priority review",IF(R215=TRUE,"High cost",IF(S215=TRUE,"Low quality","Benchmark")))</x:f>
        <x:v>High cost</x:v>
      </x:c>
    </x:row>
    <x:row r="216">
      <x:c r="A216" s="2" t="str">
        <x:v>100038</x:v>
      </x:c>
      <x:c r="B216" s="2" t="str">
        <x:v>MEMORIAL REGIONAL HOSPITAL</x:v>
      </x:c>
      <x:c r="C216" s="2" t="str">
        <x:v>HOLLYWOOD</x:v>
      </x:c>
      <x:c r="D216" s="2" t="str">
        <x:v>FL</x:v>
      </x:c>
      <x:c r="E216" s="2" t="str">
        <x:v>Acute Care Hospitals</x:v>
      </x:c>
      <x:c r="F216" s="2" t="str">
        <x:v>Government</x:v>
      </x:c>
      <x:c r="G216" s="2" t="str">
        <x:v>Large (300+ beds)</x:v>
      </x:c>
      <x:c r="H216" s="7" t="n">
        <x:v>3</x:v>
      </x:c>
      <x:c r="I216" s="7" t="n">
        <x:v>2</x:v>
      </x:c>
      <x:c r="J216" s="7" t="n">
        <x:v>1.04</x:v>
      </x:c>
      <x:c r="K216" s="8" t="n">
        <x:v>829</x:v>
      </x:c>
      <x:c r="L216" s="8" t="n">
        <x:v>34400</x:v>
      </x:c>
      <x:c r="M216" s="9" t="n">
        <x:v>0.7434383697</x:v>
      </x:c>
      <x:c r="N216" s="10" t="n">
        <x:v>99783.489127907</x:v>
      </x:c>
      <x:c r="O216" s="9" t="n">
        <x:v>-0.9347067816</x:v>
      </x:c>
      <x:c r="P216" s="9" t="n">
        <x:v>0.9637223975</x:v>
      </x:c>
      <x:c r="Q216" s="9" t="n">
        <x:v>0.2570977918</x:v>
      </x:c>
      <x:c r="R216" s="3" t="b">
        <x:v>1</x:v>
      </x:c>
      <x:c r="S216" s="3" t="b">
        <x:v>0</x:v>
      </x:c>
      <x:c r="T216" s="3" t="b">
        <x:v>0</x:v>
      </x:c>
      <x:c r="U216" s="2" t="str">
        <x:f>IF(T216=TRUE,"Priority review",IF(R216=TRUE,"High cost",IF(S216=TRUE,"Low quality","Benchmark")))</x:f>
        <x:v>High cost</x:v>
      </x:c>
    </x:row>
    <x:row r="217">
      <x:c r="A217" s="2" t="str">
        <x:v>281316</x:v>
      </x:c>
      <x:c r="B217" s="2" t="str">
        <x:v>WEBSTER COUNTY COMMUNITY HOSPITAL</x:v>
      </x:c>
      <x:c r="C217" s="2" t="str">
        <x:v>RED CLOUD</x:v>
      </x:c>
      <x:c r="D217" s="2" t="str">
        <x:v>NE</x:v>
      </x:c>
      <x:c r="E217" s="2" t="str">
        <x:v>Critical Access Hospitals</x:v>
      </x:c>
      <x:c r="F217" s="2" t="str">
        <x:v>Government</x:v>
      </x:c>
      <x:c r="G217" s="2" t="str">
        <x:v>Small (&lt;100 beds)</x:v>
      </x:c>
      <x:c r="H217" s="7"/>
      <x:c r="I217" s="7"/>
      <x:c r="J217" s="7"/>
      <x:c r="K217" s="8" t="n">
        <x:v>13</x:v>
      </x:c>
      <x:c r="L217" s="8" t="n">
        <x:v>12</x:v>
      </x:c>
      <x:c r="M217" s="9" t="n">
        <x:v>0.0349841939</x:v>
      </x:c>
      <x:c r="N217" s="10" t="n">
        <x:v>705660.9166666666</x:v>
      </x:c>
      <x:c r="O217" s="9" t="n">
        <x:v>-0.0767900764</x:v>
      </x:c>
      <x:c r="P217" s="9" t="n">
        <x:v>0.9635687732</x:v>
      </x:c>
      <x:c r="Q217" s="9" t="n">
        <x:v>0.292936803</x:v>
      </x:c>
      <x:c r="R217" s="3" t="b">
        <x:v>1</x:v>
      </x:c>
      <x:c r="S217" s="3" t="b">
        <x:v>0</x:v>
      </x:c>
      <x:c r="T217" s="3" t="b">
        <x:v>0</x:v>
      </x:c>
      <x:c r="U217" s="2" t="str">
        <x:f>IF(T217=TRUE,"Priority review",IF(R217=TRUE,"High cost",IF(S217=TRUE,"Low quality","Benchmark")))</x:f>
        <x:v>High cost</x:v>
      </x:c>
    </x:row>
    <x:row r="218">
      <x:c r="A218" s="2" t="str">
        <x:v>520049</x:v>
      </x:c>
      <x:c r="B218" s="2" t="str">
        <x:v>BELLIN MEMORIAL HOSPITAL</x:v>
      </x:c>
      <x:c r="C218" s="2" t="str">
        <x:v>GREEN BAY</x:v>
      </x:c>
      <x:c r="D218" s="2" t="str">
        <x:v>WI</x:v>
      </x:c>
      <x:c r="E218" s="2" t="str">
        <x:v>Acute Care Hospitals</x:v>
      </x:c>
      <x:c r="F218" s="2" t="str">
        <x:v>Voluntary non-profit</x:v>
      </x:c>
      <x:c r="G218" s="2" t="str">
        <x:v>Medium (100-299 beds)</x:v>
      </x:c>
      <x:c r="H218" s="7" t="n">
        <x:v>4</x:v>
      </x:c>
      <x:c r="I218" s="7" t="n">
        <x:v>4</x:v>
      </x:c>
      <x:c r="J218" s="7" t="n">
        <x:v>0.94</x:v>
      </x:c>
      <x:c r="K218" s="8" t="n">
        <x:v>192</x:v>
      </x:c>
      <x:c r="L218" s="8" t="n">
        <x:v>8755</x:v>
      </x:c>
      <x:c r="M218" s="9" t="n">
        <x:v>0.5546305783</x:v>
      </x:c>
      <x:c r="N218" s="10" t="n">
        <x:v>74133.5483723587</x:v>
      </x:c>
      <x:c r="O218" s="9" t="n">
        <x:v>0.1489317579</x:v>
      </x:c>
      <x:c r="P218" s="9" t="n">
        <x:v>0.9633251834</x:v>
      </x:c>
      <x:c r="Q218" s="9" t="n">
        <x:v>0.6022819886</x:v>
      </x:c>
      <x:c r="R218" s="3" t="b">
        <x:v>1</x:v>
      </x:c>
      <x:c r="S218" s="3" t="b">
        <x:v>0</x:v>
      </x:c>
      <x:c r="T218" s="3" t="b">
        <x:v>0</x:v>
      </x:c>
      <x:c r="U218" s="2" t="str">
        <x:f>IF(T218=TRUE,"Priority review",IF(R218=TRUE,"High cost",IF(S218=TRUE,"Low quality","Benchmark")))</x:f>
        <x:v>High cost</x:v>
      </x:c>
    </x:row>
    <x:row r="219">
      <x:c r="A219" s="2" t="str">
        <x:v>670314</x:v>
      </x:c>
      <x:c r="B219" s="2" t="str">
        <x:v>ST MICHAELS MEDICAL HOSPITAL LLC</x:v>
      </x:c>
      <x:c r="C219" s="2" t="str">
        <x:v>SUGAR LAND</x:v>
      </x:c>
      <x:c r="D219" s="2" t="str">
        <x:v>TX</x:v>
      </x:c>
      <x:c r="E219" s="2" t="str">
        <x:v>Acute Care Hospitals</x:v>
      </x:c>
      <x:c r="F219" s="2" t="str">
        <x:v>Proprietary</x:v>
      </x:c>
      <x:c r="G219" s="2" t="str">
        <x:v>Small (&lt;100 beds)</x:v>
      </x:c>
      <x:c r="H219" s="7"/>
      <x:c r="I219" s="7"/>
      <x:c r="J219" s="7"/>
      <x:c r="K219" s="8" t="n">
        <x:v>7</x:v>
      </x:c>
      <x:c r="L219" s="8" t="n">
        <x:v>25</x:v>
      </x:c>
      <x:c r="M219" s="9" t="n">
        <x:v>0.0202966432</x:v>
      </x:c>
      <x:c r="N219" s="10" t="n">
        <x:v>322558.92</x:v>
      </x:c>
      <x:c r="O219" s="9" t="n">
        <x:v>-0.0235763527</x:v>
      </x:c>
      <x:c r="P219" s="9" t="n">
        <x:v>0.9631956912</x:v>
      </x:c>
      <x:c r="Q219" s="9" t="n">
        <x:v>0.697486535</x:v>
      </x:c>
      <x:c r="R219" s="3" t="b">
        <x:v>1</x:v>
      </x:c>
      <x:c r="S219" s="3" t="b">
        <x:v>0</x:v>
      </x:c>
      <x:c r="T219" s="3" t="b">
        <x:v>0</x:v>
      </x:c>
      <x:c r="U219" s="2" t="str">
        <x:f>IF(T219=TRUE,"Priority review",IF(R219=TRUE,"High cost",IF(S219=TRUE,"Low quality","Benchmark")))</x:f>
        <x:v>High cost</x:v>
      </x:c>
    </x:row>
    <x:row r="220">
      <x:c r="A220" s="2" t="str">
        <x:v>363300</x:v>
      </x:c>
      <x:c r="B220" s="2" t="str">
        <x:v>CINCINNATI CHILDREN'S HOSPITAL MEDICAL CENTER</x:v>
      </x:c>
      <x:c r="C220" s="2" t="str">
        <x:v>CINCINNATI</x:v>
      </x:c>
      <x:c r="D220" s="2" t="str">
        <x:v>OH</x:v>
      </x:c>
      <x:c r="E220" s="2" t="str">
        <x:v>Childrens</x:v>
      </x:c>
      <x:c r="F220" s="2" t="str">
        <x:v>Voluntary non-profit</x:v>
      </x:c>
      <x:c r="G220" s="2" t="str">
        <x:v>Large (300+ beds)</x:v>
      </x:c>
      <x:c r="H220" s="7"/>
      <x:c r="I220" s="7"/>
      <x:c r="J220" s="7"/>
      <x:c r="K220" s="8" t="n">
        <x:v>719</x:v>
      </x:c>
      <x:c r="L220" s="8" t="n">
        <x:v>19492</x:v>
      </x:c>
      <x:c r="M220" s="9" t="n">
        <x:v>0.6408062949</x:v>
      </x:c>
      <x:c r="N220" s="10" t="n">
        <x:v>177435.9208393187</x:v>
      </x:c>
      <x:c r="O220" s="9" t="n">
        <x:v>-0.2022169387</x:v>
      </x:c>
      <x:c r="P220" s="9" t="n">
        <x:v>0.962962963</x:v>
      </x:c>
      <x:c r="Q220" s="9" t="n">
        <x:v>0</x:v>
      </x:c>
      <x:c r="R220" s="3" t="b">
        <x:v>1</x:v>
      </x:c>
      <x:c r="S220" s="3" t="b">
        <x:v>0</x:v>
      </x:c>
      <x:c r="T220" s="3" t="b">
        <x:v>0</x:v>
      </x:c>
      <x:c r="U220" s="2" t="str">
        <x:f>IF(T220=TRUE,"Priority review",IF(R220=TRUE,"High cost",IF(S220=TRUE,"Low quality","Benchmark")))</x:f>
        <x:v>High cost</x:v>
      </x:c>
    </x:row>
    <x:row r="221">
      <x:c r="A221" s="2" t="str">
        <x:v>191311</x:v>
      </x:c>
      <x:c r="B221" s="2" t="str">
        <x:v>BUNKIE GENERAL HOSPITAL</x:v>
      </x:c>
      <x:c r="C221" s="2" t="str">
        <x:v>BUNKIE</x:v>
      </x:c>
      <x:c r="D221" s="2" t="str">
        <x:v>LA</x:v>
      </x:c>
      <x:c r="E221" s="2" t="str">
        <x:v>Critical Access Hospitals</x:v>
      </x:c>
      <x:c r="F221" s="2" t="str">
        <x:v>Government</x:v>
      </x:c>
      <x:c r="G221" s="2" t="str">
        <x:v>Small (&lt;100 beds)</x:v>
      </x:c>
      <x:c r="H221" s="7"/>
      <x:c r="I221" s="7"/>
      <x:c r="J221" s="7"/>
      <x:c r="K221" s="8" t="n">
        <x:v>24</x:v>
      </x:c>
      <x:c r="L221" s="8" t="n">
        <x:v>30</x:v>
      </x:c>
      <x:c r="M221" s="9" t="n">
        <x:v>0.274543379</x:v>
      </x:c>
      <x:c r="N221" s="10" t="n">
        <x:v>695013.6333333333</x:v>
      </x:c>
      <x:c r="O221" s="9" t="n">
        <x:v>-0.1944495334</x:v>
      </x:c>
      <x:c r="P221" s="9" t="n">
        <x:v>0.9628252788</x:v>
      </x:c>
      <x:c r="Q221" s="9" t="n">
        <x:v>0.292936803</x:v>
      </x:c>
      <x:c r="R221" s="3" t="b">
        <x:v>1</x:v>
      </x:c>
      <x:c r="S221" s="3" t="b">
        <x:v>0</x:v>
      </x:c>
      <x:c r="T221" s="3" t="b">
        <x:v>0</x:v>
      </x:c>
      <x:c r="U221" s="2" t="str">
        <x:f>IF(T221=TRUE,"Priority review",IF(R221=TRUE,"High cost",IF(S221=TRUE,"Low quality","Benchmark")))</x:f>
        <x:v>High cost</x:v>
      </x:c>
    </x:row>
    <x:row r="222">
      <x:c r="A222" s="2" t="str">
        <x:v>050767</x:v>
      </x:c>
      <x:c r="B222" s="2" t="str">
        <x:v>KAISER FOUNDATION HOSPITAL - VACAVILLE</x:v>
      </x:c>
      <x:c r="C222" s="2" t="str">
        <x:v>VACAVILLE</x:v>
      </x:c>
      <x:c r="D222" s="2" t="str">
        <x:v>CA</x:v>
      </x:c>
      <x:c r="E222" s="2" t="str">
        <x:v>Acute Care Hospitals</x:v>
      </x:c>
      <x:c r="F222" s="2" t="str">
        <x:v>Voluntary non-profit</x:v>
      </x:c>
      <x:c r="G222" s="2" t="str">
        <x:v>Medium (100-299 beds)</x:v>
      </x:c>
      <x:c r="H222" s="7" t="n">
        <x:v>4</x:v>
      </x:c>
      <x:c r="I222" s="7" t="n">
        <x:v>4</x:v>
      </x:c>
      <x:c r="J222" s="7" t="n">
        <x:v>0.86</x:v>
      </x:c>
      <x:c r="K222" s="8" t="n">
        <x:v>144</x:v>
      </x:c>
      <x:c r="L222" s="8" t="n">
        <x:v>6027</x:v>
      </x:c>
      <x:c r="M222" s="9" t="n">
        <x:v>0.5483454766</x:v>
      </x:c>
      <x:c r="N222" s="10" t="n">
        <x:v>73674.769039323</x:v>
      </x:c>
      <x:c r="O222" s="9" t="n">
        <x:v>0.0596359396</x:v>
      </x:c>
      <x:c r="P222" s="9" t="n">
        <x:v>0.9625101874</x:v>
      </x:c>
      <x:c r="Q222" s="9" t="n">
        <x:v>0.6022819886</x:v>
      </x:c>
      <x:c r="R222" s="3" t="b">
        <x:v>1</x:v>
      </x:c>
      <x:c r="S222" s="3" t="b">
        <x:v>0</x:v>
      </x:c>
      <x:c r="T222" s="3" t="b">
        <x:v>0</x:v>
      </x:c>
      <x:c r="U222" s="2" t="str">
        <x:f>IF(T222=TRUE,"Priority review",IF(R222=TRUE,"High cost",IF(S222=TRUE,"Low quality","Benchmark")))</x:f>
        <x:v>High cost</x:v>
      </x:c>
    </x:row>
    <x:row r="223">
      <x:c r="A223" s="2" t="str">
        <x:v>360355</x:v>
      </x:c>
      <x:c r="B223" s="2" t="str">
        <x:v>OHIO VALLEY SURGICAL HOSPITAL</x:v>
      </x:c>
      <x:c r="C223" s="2" t="str">
        <x:v>SPRINGFIELD</x:v>
      </x:c>
      <x:c r="D223" s="2" t="str">
        <x:v>OH</x:v>
      </x:c>
      <x:c r="E223" s="2" t="str">
        <x:v>Acute Care Hospitals</x:v>
      </x:c>
      <x:c r="F223" s="2" t="str">
        <x:v>Voluntary non-profit</x:v>
      </x:c>
      <x:c r="G223" s="2" t="str">
        <x:v>Small (&lt;100 beds)</x:v>
      </x:c>
      <x:c r="H223" s="7"/>
      <x:c r="I223" s="7"/>
      <x:c r="J223" s="7" t="n">
        <x:v>0.95</x:v>
      </x:c>
      <x:c r="K223" s="8" t="n">
        <x:v>24</x:v>
      </x:c>
      <x:c r="L223" s="8" t="n">
        <x:v>187</x:v>
      </x:c>
      <x:c r="M223" s="9" t="n">
        <x:v>0.0438356164</x:v>
      </x:c>
      <x:c r="N223" s="10" t="n">
        <x:v>311054.8663101604</x:v>
      </x:c>
      <x:c r="O223" s="9" t="n">
        <x:v>-0.0293247501</x:v>
      </x:c>
      <x:c r="P223" s="9" t="n">
        <x:v>0.9622980251</x:v>
      </x:c>
      <x:c r="Q223" s="9" t="n">
        <x:v>0.697486535</x:v>
      </x:c>
      <x:c r="R223" s="3" t="b">
        <x:v>1</x:v>
      </x:c>
      <x:c r="S223" s="3" t="b">
        <x:v>0</x:v>
      </x:c>
      <x:c r="T223" s="3" t="b">
        <x:v>0</x:v>
      </x:c>
      <x:c r="U223" s="2" t="str">
        <x:f>IF(T223=TRUE,"Priority review",IF(R223=TRUE,"High cost",IF(S223=TRUE,"Low quality","Benchmark")))</x:f>
        <x:v>High cost</x:v>
      </x:c>
    </x:row>
    <x:row r="224">
      <x:c r="A224" s="2" t="str">
        <x:v>371301</x:v>
      </x:c>
      <x:c r="B224" s="2" t="str">
        <x:v>PRAGUE REGIONAL MEMORIAL HOSPITAL</x:v>
      </x:c>
      <x:c r="C224" s="2" t="str">
        <x:v>PRAGUE</x:v>
      </x:c>
      <x:c r="D224" s="2" t="str">
        <x:v>OK</x:v>
      </x:c>
      <x:c r="E224" s="2" t="str">
        <x:v>Critical Access Hospitals</x:v>
      </x:c>
      <x:c r="F224" s="2" t="str">
        <x:v>Government</x:v>
      </x:c>
      <x:c r="G224" s="2" t="str">
        <x:v>Small (&lt;100 beds)</x:v>
      </x:c>
      <x:c r="H224" s="7"/>
      <x:c r="I224" s="7"/>
      <x:c r="J224" s="7"/>
      <x:c r="K224" s="8" t="n">
        <x:v>25</x:v>
      </x:c>
      <x:c r="L224" s="8" t="n">
        <x:v>29</x:v>
      </x:c>
      <x:c r="M224" s="9" t="n">
        <x:v>0.383715847</x:v>
      </x:c>
      <x:c r="N224" s="10" t="n">
        <x:v>687588.1034482758</x:v>
      </x:c>
      <x:c r="O224" s="9" t="n">
        <x:v>-0.0201606518</x:v>
      </x:c>
      <x:c r="P224" s="9" t="n">
        <x:v>0.9620817844</x:v>
      </x:c>
      <x:c r="Q224" s="9" t="n">
        <x:v>0.292936803</x:v>
      </x:c>
      <x:c r="R224" s="3" t="b">
        <x:v>1</x:v>
      </x:c>
      <x:c r="S224" s="3" t="b">
        <x:v>0</x:v>
      </x:c>
      <x:c r="T224" s="3" t="b">
        <x:v>0</x:v>
      </x:c>
      <x:c r="U224" s="2" t="str">
        <x:f>IF(T224=TRUE,"Priority review",IF(R224=TRUE,"High cost",IF(S224=TRUE,"Low quality","Benchmark")))</x:f>
        <x:v>High cost</x:v>
      </x:c>
    </x:row>
    <x:row r="225">
      <x:c r="A225" s="2" t="str">
        <x:v>330261</x:v>
      </x:c>
      <x:c r="B225" s="2" t="str">
        <x:v>PHELPS HOSPITAL</x:v>
      </x:c>
      <x:c r="C225" s="2" t="str">
        <x:v>SLEEPY HOLLOW</x:v>
      </x:c>
      <x:c r="D225" s="2" t="str">
        <x:v>NY</x:v>
      </x:c>
      <x:c r="E225" s="2" t="str">
        <x:v>Acute Care Hospitals</x:v>
      </x:c>
      <x:c r="F225" s="2" t="str">
        <x:v>Voluntary non-profit</x:v>
      </x:c>
      <x:c r="G225" s="2" t="str">
        <x:v>Medium (100-299 beds)</x:v>
      </x:c>
      <x:c r="H225" s="7" t="n">
        <x:v>4</x:v>
      </x:c>
      <x:c r="I225" s="7" t="n">
        <x:v>3</x:v>
      </x:c>
      <x:c r="J225" s="7" t="n">
        <x:v>1.03</x:v>
      </x:c>
      <x:c r="K225" s="8" t="n">
        <x:v>145</x:v>
      </x:c>
      <x:c r="L225" s="8" t="n">
        <x:v>6737</x:v>
      </x:c>
      <x:c r="M225" s="9" t="n">
        <x:v>0.7753452273</x:v>
      </x:c>
      <x:c r="N225" s="10" t="n">
        <x:v>73390.1181534808</x:v>
      </x:c>
      <x:c r="O225" s="9" t="n">
        <x:v>-0.3036229268</x:v>
      </x:c>
      <x:c r="P225" s="9" t="n">
        <x:v>0.9616951915</x:v>
      </x:c>
      <x:c r="Q225" s="9" t="n">
        <x:v>0.6022819886</x:v>
      </x:c>
      <x:c r="R225" s="3" t="b">
        <x:v>1</x:v>
      </x:c>
      <x:c r="S225" s="3" t="b">
        <x:v>0</x:v>
      </x:c>
      <x:c r="T225" s="3" t="b">
        <x:v>0</x:v>
      </x:c>
      <x:c r="U225" s="2" t="str">
        <x:f>IF(T225=TRUE,"Priority review",IF(R225=TRUE,"High cost",IF(S225=TRUE,"Low quality","Benchmark")))</x:f>
        <x:v>High cost</x:v>
      </x:c>
    </x:row>
    <x:row r="226">
      <x:c r="A226" s="2" t="str">
        <x:v>450891</x:v>
      </x:c>
      <x:c r="B226" s="2" t="str">
        <x:v>TEXAS HEALTH CENTER FOR DIAGNOSTICS &amp; SURGERY PLAN</x:v>
      </x:c>
      <x:c r="C226" s="2" t="str">
        <x:v>PLANO</x:v>
      </x:c>
      <x:c r="D226" s="2" t="str">
        <x:v>TX</x:v>
      </x:c>
      <x:c r="E226" s="2" t="str">
        <x:v>Acute Care Hospitals</x:v>
      </x:c>
      <x:c r="F226" s="2" t="str">
        <x:v>Other / unknown</x:v>
      </x:c>
      <x:c r="G226" s="2" t="str">
        <x:v>Small (&lt;100 beds)</x:v>
      </x:c>
      <x:c r="H226" s="7"/>
      <x:c r="I226" s="7" t="n">
        <x:v>4</x:v>
      </x:c>
      <x:c r="J226" s="7" t="n">
        <x:v>0.92</x:v>
      </x:c>
      <x:c r="K226" s="8" t="n">
        <x:v>18</x:v>
      </x:c>
      <x:c r="L226" s="8" t="n">
        <x:v>235</x:v>
      </x:c>
      <x:c r="M226" s="9" t="n">
        <x:v>0.0540376442</x:v>
      </x:c>
      <x:c r="N226" s="10" t="n">
        <x:v>303518.0510638298</x:v>
      </x:c>
      <x:c r="O226" s="9" t="n">
        <x:v>0.1373655224</x:v>
      </x:c>
      <x:c r="P226" s="9" t="n">
        <x:v>0.9614003591</x:v>
      </x:c>
      <x:c r="Q226" s="9" t="n">
        <x:v>0.697486535</x:v>
      </x:c>
      <x:c r="R226" s="3" t="b">
        <x:v>1</x:v>
      </x:c>
      <x:c r="S226" s="3" t="b">
        <x:v>0</x:v>
      </x:c>
      <x:c r="T226" s="3" t="b">
        <x:v>0</x:v>
      </x:c>
      <x:c r="U226" s="2" t="str">
        <x:f>IF(T226=TRUE,"Priority review",IF(R226=TRUE,"High cost",IF(S226=TRUE,"Low quality","Benchmark")))</x:f>
        <x:v>High cost</x:v>
      </x:c>
    </x:row>
    <x:row r="227">
      <x:c r="A227" s="2" t="str">
        <x:v>501307</x:v>
      </x:c>
      <x:c r="B227" s="2" t="str">
        <x:v>ODESSA MEMORIAL HEALTHCARE CENTER</x:v>
      </x:c>
      <x:c r="C227" s="2" t="str">
        <x:v>ODESSA</x:v>
      </x:c>
      <x:c r="D227" s="2" t="str">
        <x:v>WA</x:v>
      </x:c>
      <x:c r="E227" s="2" t="str">
        <x:v>Critical Access Hospitals</x:v>
      </x:c>
      <x:c r="F227" s="2" t="str">
        <x:v>Government</x:v>
      </x:c>
      <x:c r="G227" s="2" t="str">
        <x:v>Small (&lt;100 beds)</x:v>
      </x:c>
      <x:c r="H227" s="7"/>
      <x:c r="I227" s="7"/>
      <x:c r="J227" s="7"/>
      <x:c r="K227" s="8" t="n">
        <x:v>25</x:v>
      </x:c>
      <x:c r="L227" s="8" t="n">
        <x:v>20</x:v>
      </x:c>
      <x:c r="M227" s="9" t="n">
        <x:v>0.6064480874</x:v>
      </x:c>
      <x:c r="N227" s="10" t="n">
        <x:v>679973.1</x:v>
      </x:c>
      <x:c r="O227" s="9" t="n">
        <x:v>-0.2170613696</x:v>
      </x:c>
      <x:c r="P227" s="9" t="n">
        <x:v>0.96133829</x:v>
      </x:c>
      <x:c r="Q227" s="9" t="n">
        <x:v>0.292936803</x:v>
      </x:c>
      <x:c r="R227" s="3" t="b">
        <x:v>1</x:v>
      </x:c>
      <x:c r="S227" s="3" t="b">
        <x:v>0</x:v>
      </x:c>
      <x:c r="T227" s="3" t="b">
        <x:v>0</x:v>
      </x:c>
      <x:c r="U227" s="2" t="str">
        <x:f>IF(T227=TRUE,"Priority review",IF(R227=TRUE,"High cost",IF(S227=TRUE,"Low quality","Benchmark")))</x:f>
        <x:v>High cost</x:v>
      </x:c>
    </x:row>
    <x:row r="228">
      <x:c r="A228" s="2" t="str">
        <x:v>154014</x:v>
      </x:c>
      <x:c r="B228" s="2" t="str">
        <x:v>OTIS R BOWEN CENTER FOR HUMAN SERVICES INC</x:v>
      </x:c>
      <x:c r="C228" s="2" t="str">
        <x:v>PIERCETON</x:v>
      </x:c>
      <x:c r="D228" s="2" t="str">
        <x:v>IN</x:v>
      </x:c>
      <x:c r="E228" s="2" t="str">
        <x:v>Psychiatric</x:v>
      </x:c>
      <x:c r="F228" s="2" t="str">
        <x:v>Voluntary non-profit</x:v>
      </x:c>
      <x:c r="G228" s="2" t="str">
        <x:v>Small (&lt;100 beds)</x:v>
      </x:c>
      <x:c r="H228" s="7"/>
      <x:c r="I228" s="7"/>
      <x:c r="J228" s="7"/>
      <x:c r="K228" s="8" t="n">
        <x:v>20</x:v>
      </x:c>
      <x:c r="L228" s="8" t="n">
        <x:v>426</x:v>
      </x:c>
      <x:c r="M228" s="9" t="n">
        <x:v>0.3131506849</x:v>
      </x:c>
      <x:c r="N228" s="10" t="n">
        <x:v>295983.5516431925</x:v>
      </x:c>
      <x:c r="O228" s="9" t="n">
        <x:v>-0.0910446712</x:v>
      </x:c>
      <x:c r="P228" s="9" t="n">
        <x:v>0.9611650485</x:v>
      </x:c>
      <x:c r="Q228" s="9" t="n">
        <x:v>0</x:v>
      </x:c>
      <x:c r="R228" s="3" t="b">
        <x:v>1</x:v>
      </x:c>
      <x:c r="S228" s="3" t="b">
        <x:v>0</x:v>
      </x:c>
      <x:c r="T228" s="3" t="b">
        <x:v>0</x:v>
      </x:c>
      <x:c r="U228" s="2" t="str">
        <x:f>IF(T228=TRUE,"Priority review",IF(R228=TRUE,"High cost",IF(S228=TRUE,"Low quality","Benchmark")))</x:f>
        <x:v>High cost</x:v>
      </x:c>
    </x:row>
    <x:row r="229">
      <x:c r="A229" s="2" t="str">
        <x:v>060064</x:v>
      </x:c>
      <x:c r="B229" s="2" t="str">
        <x:v>AdventHealth Porter</x:v>
      </x:c>
      <x:c r="C229" s="2" t="str">
        <x:v>DENVER</x:v>
      </x:c>
      <x:c r="D229" s="2" t="str">
        <x:v>CO</x:v>
      </x:c>
      <x:c r="E229" s="2" t="str">
        <x:v>Acute Care Hospitals</x:v>
      </x:c>
      <x:c r="F229" s="2" t="str">
        <x:v>Voluntary non-profit</x:v>
      </x:c>
      <x:c r="G229" s="2" t="str">
        <x:v>Medium (100-299 beds)</x:v>
      </x:c>
      <x:c r="H229" s="7" t="n">
        <x:v>4</x:v>
      </x:c>
      <x:c r="I229" s="7" t="n">
        <x:v>3</x:v>
      </x:c>
      <x:c r="J229" s="7" t="n">
        <x:v>0.93</x:v>
      </x:c>
      <x:c r="K229" s="8" t="n">
        <x:v>169</x:v>
      </x:c>
      <x:c r="L229" s="8" t="n">
        <x:v>6160</x:v>
      </x:c>
      <x:c r="M229" s="9" t="n">
        <x:v>0.5005496815</x:v>
      </x:c>
      <x:c r="N229" s="10" t="n">
        <x:v>73305.9767857143</x:v>
      </x:c>
      <x:c r="O229" s="9" t="n">
        <x:v>-0.147957974</x:v>
      </x:c>
      <x:c r="P229" s="9" t="n">
        <x:v>0.9608801956</x:v>
      </x:c>
      <x:c r="Q229" s="9" t="n">
        <x:v>0.6022819886</x:v>
      </x:c>
      <x:c r="R229" s="3" t="b">
        <x:v>1</x:v>
      </x:c>
      <x:c r="S229" s="3" t="b">
        <x:v>0</x:v>
      </x:c>
      <x:c r="T229" s="3" t="b">
        <x:v>0</x:v>
      </x:c>
      <x:c r="U229" s="2" t="str">
        <x:f>IF(T229=TRUE,"Priority review",IF(R229=TRUE,"High cost",IF(S229=TRUE,"Low quality","Benchmark")))</x:f>
        <x:v>High cost</x:v>
      </x:c>
    </x:row>
    <x:row r="230">
      <x:c r="A230" s="2" t="str">
        <x:v>231312</x:v>
      </x:c>
      <x:c r="B230" s="2" t="str">
        <x:v>SHERIDAN COMMUNITY HOSPITAL</x:v>
      </x:c>
      <x:c r="C230" s="2" t="str">
        <x:v>SHERIDAN</x:v>
      </x:c>
      <x:c r="D230" s="2" t="str">
        <x:v>MI</x:v>
      </x:c>
      <x:c r="E230" s="2" t="str">
        <x:v>Critical Access Hospitals</x:v>
      </x:c>
      <x:c r="F230" s="2" t="str">
        <x:v>Voluntary non-profit</x:v>
      </x:c>
      <x:c r="G230" s="2" t="str">
        <x:v>Small (&lt;100 beds)</x:v>
      </x:c>
      <x:c r="H230" s="7"/>
      <x:c r="I230" s="7"/>
      <x:c r="J230" s="7"/>
      <x:c r="K230" s="8" t="n">
        <x:v>22</x:v>
      </x:c>
      <x:c r="L230" s="8" t="n">
        <x:v>36</x:v>
      </x:c>
      <x:c r="M230" s="9" t="n">
        <x:v>0.1174346202</x:v>
      </x:c>
      <x:c r="N230" s="10" t="n">
        <x:v>652587.8888888889</x:v>
      </x:c>
      <x:c r="O230" s="9" t="n">
        <x:v>0.3065213137</x:v>
      </x:c>
      <x:c r="P230" s="9" t="n">
        <x:v>0.9605947955</x:v>
      </x:c>
      <x:c r="Q230" s="9" t="n">
        <x:v>0.292936803</x:v>
      </x:c>
      <x:c r="R230" s="3" t="b">
        <x:v>1</x:v>
      </x:c>
      <x:c r="S230" s="3" t="b">
        <x:v>0</x:v>
      </x:c>
      <x:c r="T230" s="3" t="b">
        <x:v>0</x:v>
      </x:c>
      <x:c r="U230" s="2" t="str">
        <x:f>IF(T230=TRUE,"Priority review",IF(R230=TRUE,"High cost",IF(S230=TRUE,"Low quality","Benchmark")))</x:f>
        <x:v>High cost</x:v>
      </x:c>
    </x:row>
    <x:row r="231">
      <x:c r="A231" s="2" t="str">
        <x:v>220110</x:v>
      </x:c>
      <x:c r="B231" s="2" t="str">
        <x:v>BRIGHAM AND WOMEN'S HOSPITAL</x:v>
      </x:c>
      <x:c r="C231" s="2" t="str">
        <x:v>BOSTON</x:v>
      </x:c>
      <x:c r="D231" s="2" t="str">
        <x:v>MA</x:v>
      </x:c>
      <x:c r="E231" s="2" t="str">
        <x:v>Acute Care Hospitals</x:v>
      </x:c>
      <x:c r="F231" s="2" t="str">
        <x:v>Voluntary non-profit</x:v>
      </x:c>
      <x:c r="G231" s="2" t="str">
        <x:v>Large (300+ beds)</x:v>
      </x:c>
      <x:c r="H231" s="7" t="n">
        <x:v>5</x:v>
      </x:c>
      <x:c r="I231" s="7" t="n">
        <x:v>4</x:v>
      </x:c>
      <x:c r="J231" s="7" t="n">
        <x:v>1</x:v>
      </x:c>
      <x:c r="K231" s="8" t="n">
        <x:v>818</x:v>
      </x:c>
      <x:c r="L231" s="8" t="n">
        <x:v>41488</x:v>
      </x:c>
      <x:c r="M231" s="9" t="n">
        <x:v>1.0354108023</x:v>
      </x:c>
      <x:c r="N231" s="10" t="n">
        <x:v>98857.1495372156</x:v>
      </x:c>
      <x:c r="O231" s="9"/>
      <x:c r="P231" s="9" t="n">
        <x:v>0.9605678233</x:v>
      </x:c>
      <x:c r="Q231" s="9" t="n">
        <x:v>0.8722397476</x:v>
      </x:c>
      <x:c r="R231" s="3" t="b">
        <x:v>1</x:v>
      </x:c>
      <x:c r="S231" s="3" t="b">
        <x:v>0</x:v>
      </x:c>
      <x:c r="T231" s="3" t="b">
        <x:v>0</x:v>
      </x:c>
      <x:c r="U231" s="2" t="str">
        <x:f>IF(T231=TRUE,"Priority review",IF(R231=TRUE,"High cost",IF(S231=TRUE,"Low quality","Benchmark")))</x:f>
        <x:v>High cost</x:v>
      </x:c>
    </x:row>
    <x:row r="232">
      <x:c r="A232" s="2" t="str">
        <x:v>030138</x:v>
      </x:c>
      <x:c r="B232" s="2" t="str">
        <x:v>CITY OF HOPE CANCER CENTER PHOENIX</x:v>
      </x:c>
      <x:c r="C232" s="2" t="str">
        <x:v>GOODYEAR</x:v>
      </x:c>
      <x:c r="D232" s="2" t="str">
        <x:v>AZ</x:v>
      </x:c>
      <x:c r="E232" s="2" t="str">
        <x:v>Acute Care Hospitals</x:v>
      </x:c>
      <x:c r="F232" s="2" t="str">
        <x:v>Proprietary</x:v>
      </x:c>
      <x:c r="G232" s="2" t="str">
        <x:v>Small (&lt;100 beds)</x:v>
      </x:c>
      <x:c r="H232" s="7" t="n">
        <x:v>4</x:v>
      </x:c>
      <x:c r="I232" s="7" t="n">
        <x:v>4</x:v>
      </x:c>
      <x:c r="J232" s="7" t="n">
        <x:v>1.09</x:v>
      </x:c>
      <x:c r="K232" s="8" t="n">
        <x:v>38</x:v>
      </x:c>
      <x:c r="L232" s="8" t="n">
        <x:v>691</x:v>
      </x:c>
      <x:c r="M232" s="9" t="n">
        <x:v>0.2491371872</x:v>
      </x:c>
      <x:c r="N232" s="10" t="n">
        <x:v>296941.1678726483</x:v>
      </x:c>
      <x:c r="O232" s="9" t="n">
        <x:v>-0.3172886339</x:v>
      </x:c>
      <x:c r="P232" s="9" t="n">
        <x:v>0.960502693</x:v>
      </x:c>
      <x:c r="Q232" s="9" t="n">
        <x:v>0.3913824057</x:v>
      </x:c>
      <x:c r="R232" s="3" t="b">
        <x:v>1</x:v>
      </x:c>
      <x:c r="S232" s="3" t="b">
        <x:v>0</x:v>
      </x:c>
      <x:c r="T232" s="3" t="b">
        <x:v>0</x:v>
      </x:c>
      <x:c r="U232" s="2" t="str">
        <x:f>IF(T232=TRUE,"Priority review",IF(R232=TRUE,"High cost",IF(S232=TRUE,"Low quality","Benchmark")))</x:f>
        <x:v>High cost</x:v>
      </x:c>
    </x:row>
    <x:row r="233">
      <x:c r="A233" s="2" t="str">
        <x:v>234026</x:v>
      </x:c>
      <x:c r="B233" s="2" t="str">
        <x:v>KALAMAZOO REGIONAL PSYCHIATRIC HOSPITAL</x:v>
      </x:c>
      <x:c r="C233" s="2" t="str">
        <x:v>KALAMAZOO</x:v>
      </x:c>
      <x:c r="D233" s="2" t="str">
        <x:v>MI</x:v>
      </x:c>
      <x:c r="E233" s="2" t="str">
        <x:v>Psychiatric</x:v>
      </x:c>
      <x:c r="F233" s="2" t="str">
        <x:v>Government</x:v>
      </x:c>
      <x:c r="G233" s="2" t="str">
        <x:v>Medium (100-299 beds)</x:v>
      </x:c>
      <x:c r="H233" s="7"/>
      <x:c r="I233" s="7"/>
      <x:c r="J233" s="7"/>
      <x:c r="K233" s="8" t="n">
        <x:v>123</x:v>
      </x:c>
      <x:c r="L233" s="8" t="n">
        <x:v>108</x:v>
      </x:c>
      <x:c r="M233" s="9" t="n">
        <x:v>0.9450495601</x:v>
      </x:c>
      <x:c r="N233" s="10" t="n">
        <x:v>607115.1481481482</x:v>
      </x:c>
      <x:c r="O233" s="9" t="n">
        <x:v>-0.0651246071</x:v>
      </x:c>
      <x:c r="P233" s="9" t="n">
        <x:v>0.960199005</x:v>
      </x:c>
      <x:c r="Q233" s="9" t="n">
        <x:v>0</x:v>
      </x:c>
      <x:c r="R233" s="3" t="b">
        <x:v>1</x:v>
      </x:c>
      <x:c r="S233" s="3" t="b">
        <x:v>0</x:v>
      </x:c>
      <x:c r="T233" s="3" t="b">
        <x:v>0</x:v>
      </x:c>
      <x:c r="U233" s="2" t="str">
        <x:f>IF(T233=TRUE,"Priority review",IF(R233=TRUE,"High cost",IF(S233=TRUE,"Low quality","Benchmark")))</x:f>
        <x:v>High cost</x:v>
      </x:c>
    </x:row>
    <x:row r="234">
      <x:c r="A234" s="2" t="str">
        <x:v>350006</x:v>
      </x:c>
      <x:c r="B234" s="2" t="str">
        <x:v>TRINITY HOSPITALS</x:v>
      </x:c>
      <x:c r="C234" s="2" t="str">
        <x:v>MINOT</x:v>
      </x:c>
      <x:c r="D234" s="2" t="str">
        <x:v>ND</x:v>
      </x:c>
      <x:c r="E234" s="2" t="str">
        <x:v>Acute Care Hospitals</x:v>
      </x:c>
      <x:c r="F234" s="2" t="str">
        <x:v>Voluntary non-profit</x:v>
      </x:c>
      <x:c r="G234" s="2" t="str">
        <x:v>Medium (100-299 beds)</x:v>
      </x:c>
      <x:c r="H234" s="7" t="n">
        <x:v>3</x:v>
      </x:c>
      <x:c r="I234" s="7" t="n">
        <x:v>2</x:v>
      </x:c>
      <x:c r="J234" s="7" t="n">
        <x:v>0.93</x:v>
      </x:c>
      <x:c r="K234" s="8" t="n">
        <x:v>107</x:v>
      </x:c>
      <x:c r="L234" s="8" t="n">
        <x:v>7359</x:v>
      </x:c>
      <x:c r="M234" s="9" t="n">
        <x:v>0.8080911535</x:v>
      </x:c>
      <x:c r="N234" s="10" t="n">
        <x:v>73189.3478733524</x:v>
      </x:c>
      <x:c r="O234" s="9" t="n">
        <x:v>-0.0907424064</x:v>
      </x:c>
      <x:c r="P234" s="9" t="n">
        <x:v>0.9600651997</x:v>
      </x:c>
      <x:c r="Q234" s="9" t="n">
        <x:v>0.3023634882</x:v>
      </x:c>
      <x:c r="R234" s="3" t="b">
        <x:v>1</x:v>
      </x:c>
      <x:c r="S234" s="3" t="b">
        <x:v>0</x:v>
      </x:c>
      <x:c r="T234" s="3" t="b">
        <x:v>0</x:v>
      </x:c>
      <x:c r="U234" s="2" t="str">
        <x:f>IF(T234=TRUE,"Priority review",IF(R234=TRUE,"High cost",IF(S234=TRUE,"Low quality","Benchmark")))</x:f>
        <x:v>High cost</x:v>
      </x:c>
    </x:row>
    <x:row r="235">
      <x:c r="A235" s="2" t="str">
        <x:v>264005</x:v>
      </x:c>
      <x:c r="B235" s="2" t="str">
        <x:v>SOUTHEAST MISSOURI MENTAL HLTH CTR</x:v>
      </x:c>
      <x:c r="C235" s="2" t="str">
        <x:v>FARMINGTON</x:v>
      </x:c>
      <x:c r="D235" s="2" t="str">
        <x:v>MO</x:v>
      </x:c>
      <x:c r="E235" s="2" t="str">
        <x:v>Psychiatric</x:v>
      </x:c>
      <x:c r="F235" s="2" t="str">
        <x:v>Government</x:v>
      </x:c>
      <x:c r="G235" s="2" t="str">
        <x:v>Large (300+ beds)</x:v>
      </x:c>
      <x:c r="H235" s="7"/>
      <x:c r="I235" s="7"/>
      <x:c r="J235" s="7"/>
      <x:c r="K235" s="8" t="n">
        <x:v>348</x:v>
      </x:c>
      <x:c r="L235" s="8" t="n">
        <x:v>14</x:v>
      </x:c>
      <x:c r="M235" s="9" t="n">
        <x:v>0.949787435</x:v>
      </x:c>
      <x:c r="N235" s="10" t="n">
        <x:v>8083258.357142857</x:v>
      </x:c>
      <x:c r="O235" s="9" t="n">
        <x:v>-0.8212911077</x:v>
      </x:c>
      <x:c r="P235" s="9" t="n">
        <x:v>0.96</x:v>
      </x:c>
      <x:c r="Q235" s="9" t="n">
        <x:v>0</x:v>
      </x:c>
      <x:c r="R235" s="3" t="b">
        <x:v>1</x:v>
      </x:c>
      <x:c r="S235" s="3" t="b">
        <x:v>0</x:v>
      </x:c>
      <x:c r="T235" s="3" t="b">
        <x:v>0</x:v>
      </x:c>
      <x:c r="U235" s="2" t="str">
        <x:f>IF(T235=TRUE,"Priority review",IF(R235=TRUE,"High cost",IF(S235=TRUE,"Low quality","Benchmark")))</x:f>
        <x:v>High cost</x:v>
      </x:c>
    </x:row>
    <x:row r="236">
      <x:c r="A236" s="2" t="str">
        <x:v>381310</x:v>
      </x:c>
      <x:c r="B236" s="2" t="str">
        <x:v>PIONEER MEMORIAL HOSPITAL</x:v>
      </x:c>
      <x:c r="C236" s="2" t="str">
        <x:v>HEPPNER</x:v>
      </x:c>
      <x:c r="D236" s="2" t="str">
        <x:v>OR</x:v>
      </x:c>
      <x:c r="E236" s="2" t="str">
        <x:v>Critical Access Hospitals</x:v>
      </x:c>
      <x:c r="F236" s="2" t="str">
        <x:v>Government</x:v>
      </x:c>
      <x:c r="G236" s="2" t="str">
        <x:v>Small (&lt;100 beds)</x:v>
      </x:c>
      <x:c r="H236" s="7"/>
      <x:c r="I236" s="7"/>
      <x:c r="J236" s="7"/>
      <x:c r="K236" s="8" t="n">
        <x:v>21</x:v>
      </x:c>
      <x:c r="L236" s="8" t="n">
        <x:v>34</x:v>
      </x:c>
      <x:c r="M236" s="9" t="n">
        <x:v>0.3835616438</x:v>
      </x:c>
      <x:c r="N236" s="10" t="n">
        <x:v>649107.2647058824</x:v>
      </x:c>
      <x:c r="O236" s="9" t="n">
        <x:v>-0.5151727376</x:v>
      </x:c>
      <x:c r="P236" s="9" t="n">
        <x:v>0.9598513011</x:v>
      </x:c>
      <x:c r="Q236" s="9" t="n">
        <x:v>0.292936803</x:v>
      </x:c>
      <x:c r="R236" s="3" t="b">
        <x:v>1</x:v>
      </x:c>
      <x:c r="S236" s="3" t="b">
        <x:v>0</x:v>
      </x:c>
      <x:c r="T236" s="3" t="b">
        <x:v>0</x:v>
      </x:c>
      <x:c r="U236" s="2" t="str">
        <x:f>IF(T236=TRUE,"Priority review",IF(R236=TRUE,"High cost",IF(S236=TRUE,"Low quality","Benchmark")))</x:f>
        <x:v>High cost</x:v>
      </x:c>
    </x:row>
    <x:row r="237">
      <x:c r="A237" s="2" t="str">
        <x:v>110233</x:v>
      </x:c>
      <x:c r="B237" s="2" t="str">
        <x:v>SOUTHEASTERN REGIONAL MEDICAL CENTER, INC</x:v>
      </x:c>
      <x:c r="C237" s="2" t="str">
        <x:v>NEWNAN</x:v>
      </x:c>
      <x:c r="D237" s="2" t="str">
        <x:v>GA</x:v>
      </x:c>
      <x:c r="E237" s="2" t="str">
        <x:v>Acute Care Hospitals</x:v>
      </x:c>
      <x:c r="F237" s="2" t="str">
        <x:v>Proprietary</x:v>
      </x:c>
      <x:c r="G237" s="2" t="str">
        <x:v>Small (&lt;100 beds)</x:v>
      </x:c>
      <x:c r="H237" s="7" t="n">
        <x:v>5</x:v>
      </x:c>
      <x:c r="I237" s="7" t="n">
        <x:v>5</x:v>
      </x:c>
      <x:c r="J237" s="7" t="n">
        <x:v>1.08</x:v>
      </x:c>
      <x:c r="K237" s="8" t="n">
        <x:v>50</x:v>
      </x:c>
      <x:c r="L237" s="8" t="n">
        <x:v>948</x:v>
      </x:c>
      <x:c r="M237" s="9" t="n">
        <x:v>0.2357923497</x:v>
      </x:c>
      <x:c r="N237" s="10" t="n">
        <x:v>294627.003164557</x:v>
      </x:c>
      <x:c r="O237" s="9" t="n">
        <x:v>-0.1416325818</x:v>
      </x:c>
      <x:c r="P237" s="9" t="n">
        <x:v>0.9596050269</x:v>
      </x:c>
      <x:c r="Q237" s="9" t="n">
        <x:v>0.6131059246</x:v>
      </x:c>
      <x:c r="R237" s="3" t="b">
        <x:v>1</x:v>
      </x:c>
      <x:c r="S237" s="3" t="b">
        <x:v>0</x:v>
      </x:c>
      <x:c r="T237" s="3" t="b">
        <x:v>0</x:v>
      </x:c>
      <x:c r="U237" s="2" t="str">
        <x:f>IF(T237=TRUE,"Priority review",IF(R237=TRUE,"High cost",IF(S237=TRUE,"Low quality","Benchmark")))</x:f>
        <x:v>High cost</x:v>
      </x:c>
    </x:row>
    <x:row r="238">
      <x:c r="A238" s="2" t="str">
        <x:v>371333</x:v>
      </x:c>
      <x:c r="B238" s="2" t="str">
        <x:v>CREEK NATION COMMUNITY HOSPITAL</x:v>
      </x:c>
      <x:c r="C238" s="2" t="str">
        <x:v>OKEMAH</x:v>
      </x:c>
      <x:c r="D238" s="2" t="str">
        <x:v>OK</x:v>
      </x:c>
      <x:c r="E238" s="2" t="str">
        <x:v>Critical Access Hospitals</x:v>
      </x:c>
      <x:c r="F238" s="2" t="str">
        <x:v>Other / unknown</x:v>
      </x:c>
      <x:c r="G238" s="2" t="str">
        <x:v>Small (&lt;100 beds)</x:v>
      </x:c>
      <x:c r="H238" s="7"/>
      <x:c r="I238" s="7"/>
      <x:c r="J238" s="7"/>
      <x:c r="K238" s="8" t="n">
        <x:v>25</x:v>
      </x:c>
      <x:c r="L238" s="8" t="n">
        <x:v>140</x:v>
      </x:c>
      <x:c r="M238" s="9" t="n">
        <x:v>0.0503825137</x:v>
      </x:c>
      <x:c r="N238" s="10" t="n">
        <x:v>645983.3142857143</x:v>
      </x:c>
      <x:c r="O238" s="9" t="n">
        <x:v>-4.8267316919</x:v>
      </x:c>
      <x:c r="P238" s="9" t="n">
        <x:v>0.9591078067</x:v>
      </x:c>
      <x:c r="Q238" s="9" t="n">
        <x:v>0.292936803</x:v>
      </x:c>
      <x:c r="R238" s="3" t="b">
        <x:v>1</x:v>
      </x:c>
      <x:c r="S238" s="3" t="b">
        <x:v>0</x:v>
      </x:c>
      <x:c r="T238" s="3" t="b">
        <x:v>0</x:v>
      </x:c>
      <x:c r="U238" s="2" t="str">
        <x:f>IF(T238=TRUE,"Priority review",IF(R238=TRUE,"High cost",IF(S238=TRUE,"Low quality","Benchmark")))</x:f>
        <x:v>High cost</x:v>
      </x:c>
    </x:row>
    <x:row r="239">
      <x:c r="A239" s="2" t="str">
        <x:v>210002</x:v>
      </x:c>
      <x:c r="B239" s="2" t="str">
        <x:v>UNIVERSITY OF MARYLAND MEDICAL CENTER</x:v>
      </x:c>
      <x:c r="C239" s="2" t="str">
        <x:v>BALTIMORE</x:v>
      </x:c>
      <x:c r="D239" s="2" t="str">
        <x:v>MD</x:v>
      </x:c>
      <x:c r="E239" s="2" t="str">
        <x:v>Acute Care Hospitals</x:v>
      </x:c>
      <x:c r="F239" s="2" t="str">
        <x:v>Voluntary non-profit</x:v>
      </x:c>
      <x:c r="G239" s="2" t="str">
        <x:v>Large (300+ beds)</x:v>
      </x:c>
      <x:c r="H239" s="7" t="n">
        <x:v>3</x:v>
      </x:c>
      <x:c r="I239" s="7" t="n">
        <x:v>3</x:v>
      </x:c>
      <x:c r="J239" s="7"/>
      <x:c r="K239" s="8" t="n">
        <x:v>781</x:v>
      </x:c>
      <x:c r="L239" s="8" t="n">
        <x:v>23588</x:v>
      </x:c>
      <x:c r="M239" s="9" t="n">
        <x:v>0.7668145861</x:v>
      </x:c>
      <x:c r="N239" s="10" t="n">
        <x:v>96081.5603272851</x:v>
      </x:c>
      <x:c r="O239" s="9" t="n">
        <x:v>-0.1487598662</x:v>
      </x:c>
      <x:c r="P239" s="9" t="n">
        <x:v>0.9589905363</x:v>
      </x:c>
      <x:c r="Q239" s="9" t="n">
        <x:v>0.2570977918</x:v>
      </x:c>
      <x:c r="R239" s="3" t="b">
        <x:v>1</x:v>
      </x:c>
      <x:c r="S239" s="3" t="b">
        <x:v>0</x:v>
      </x:c>
      <x:c r="T239" s="3" t="b">
        <x:v>0</x:v>
      </x:c>
      <x:c r="U239" s="2" t="str">
        <x:f>IF(T239=TRUE,"Priority review",IF(R239=TRUE,"High cost",IF(S239=TRUE,"Low quality","Benchmark")))</x:f>
        <x:v>High cost</x:v>
      </x:c>
    </x:row>
    <x:row r="240">
      <x:c r="A240" s="2" t="str">
        <x:v>250127</x:v>
      </x:c>
      <x:c r="B240" s="2" t="str">
        <x:v>CHOCTAW HEALTH CENTER</x:v>
      </x:c>
      <x:c r="C240" s="2" t="str">
        <x:v>PHILADELPHIA</x:v>
      </x:c>
      <x:c r="D240" s="2" t="str">
        <x:v>MS</x:v>
      </x:c>
      <x:c r="E240" s="2" t="str">
        <x:v>Acute Care Hospitals</x:v>
      </x:c>
      <x:c r="F240" s="2" t="str">
        <x:v>Government</x:v>
      </x:c>
      <x:c r="G240" s="2" t="str">
        <x:v>Small (&lt;100 beds)</x:v>
      </x:c>
      <x:c r="H240" s="7"/>
      <x:c r="I240" s="7"/>
      <x:c r="J240" s="7"/>
      <x:c r="K240" s="8" t="n">
        <x:v>20</x:v>
      </x:c>
      <x:c r="L240" s="8" t="n">
        <x:v>220</x:v>
      </x:c>
      <x:c r="M240" s="9" t="n">
        <x:v>0.1040983607</x:v>
      </x:c>
      <x:c r="N240" s="10" t="n">
        <x:v>294093.7227272727</x:v>
      </x:c>
      <x:c r="O240" s="9"/>
      <x:c r="P240" s="9" t="n">
        <x:v>0.9587073609</x:v>
      </x:c>
      <x:c r="Q240" s="9" t="n">
        <x:v>0.697486535</x:v>
      </x:c>
      <x:c r="R240" s="3" t="b">
        <x:v>1</x:v>
      </x:c>
      <x:c r="S240" s="3" t="b">
        <x:v>0</x:v>
      </x:c>
      <x:c r="T240" s="3" t="b">
        <x:v>0</x:v>
      </x:c>
      <x:c r="U240" s="2" t="str">
        <x:f>IF(T240=TRUE,"Priority review",IF(R240=TRUE,"High cost",IF(S240=TRUE,"Low quality","Benchmark")))</x:f>
        <x:v>High cost</x:v>
      </x:c>
    </x:row>
    <x:row r="241">
      <x:c r="A241" s="2" t="str">
        <x:v>230121</x:v>
      </x:c>
      <x:c r="B241" s="2" t="str">
        <x:v>MEMORIAL HEALTHCARE</x:v>
      </x:c>
      <x:c r="C241" s="2" t="str">
        <x:v>OWOSSO</x:v>
      </x:c>
      <x:c r="D241" s="2" t="str">
        <x:v>MI</x:v>
      </x:c>
      <x:c r="E241" s="2" t="str">
        <x:v>Acute Care Hospitals</x:v>
      </x:c>
      <x:c r="F241" s="2" t="str">
        <x:v>Voluntary non-profit</x:v>
      </x:c>
      <x:c r="G241" s="2" t="str">
        <x:v>Medium (100-299 beds)</x:v>
      </x:c>
      <x:c r="H241" s="7" t="n">
        <x:v>3</x:v>
      </x:c>
      <x:c r="I241" s="7" t="n">
        <x:v>3</x:v>
      </x:c>
      <x:c r="J241" s="7" t="n">
        <x:v>0.9</x:v>
      </x:c>
      <x:c r="K241" s="8" t="n">
        <x:v>113</x:v>
      </x:c>
      <x:c r="L241" s="8" t="n">
        <x:v>4510</x:v>
      </x:c>
      <x:c r="M241" s="9" t="n">
        <x:v>0.4048793462</x:v>
      </x:c>
      <x:c r="N241" s="10" t="n">
        <x:v>72512.578713969</x:v>
      </x:c>
      <x:c r="O241" s="9" t="n">
        <x:v>-0.0033642915</x:v>
      </x:c>
      <x:c r="P241" s="9" t="n">
        <x:v>0.9584352078</x:v>
      </x:c>
      <x:c r="Q241" s="9" t="n">
        <x:v>0.3023634882</x:v>
      </x:c>
      <x:c r="R241" s="3" t="b">
        <x:v>1</x:v>
      </x:c>
      <x:c r="S241" s="3" t="b">
        <x:v>0</x:v>
      </x:c>
      <x:c r="T241" s="3" t="b">
        <x:v>0</x:v>
      </x:c>
      <x:c r="U241" s="2" t="str">
        <x:f>IF(T241=TRUE,"Priority review",IF(R241=TRUE,"High cost",IF(S241=TRUE,"Low quality","Benchmark")))</x:f>
        <x:v>High cost</x:v>
      </x:c>
    </x:row>
    <x:row r="242">
      <x:c r="A242" s="2" t="str">
        <x:v>021309</x:v>
      </x:c>
      <x:c r="B242" s="2" t="str">
        <x:v>BRISTOL BAY DBA KANAKANAK HOSPITAL</x:v>
      </x:c>
      <x:c r="C242" s="2" t="str">
        <x:v>DILLINGHAM</x:v>
      </x:c>
      <x:c r="D242" s="2" t="str">
        <x:v>AK</x:v>
      </x:c>
      <x:c r="E242" s="2" t="str">
        <x:v>Critical Access Hospitals</x:v>
      </x:c>
      <x:c r="F242" s="2" t="str">
        <x:v>Voluntary non-profit</x:v>
      </x:c>
      <x:c r="G242" s="2" t="str">
        <x:v>Small (&lt;100 beds)</x:v>
      </x:c>
      <x:c r="H242" s="7"/>
      <x:c r="I242" s="7"/>
      <x:c r="J242" s="7"/>
      <x:c r="K242" s="8" t="n">
        <x:v>16</x:v>
      </x:c>
      <x:c r="L242" s="8" t="n">
        <x:v>247</x:v>
      </x:c>
      <x:c r="M242" s="9" t="n">
        <x:v>0.2165300546</x:v>
      </x:c>
      <x:c r="N242" s="10" t="n">
        <x:v>644456.020242915</x:v>
      </x:c>
      <x:c r="O242" s="9"/>
      <x:c r="P242" s="9" t="n">
        <x:v>0.9583643123</x:v>
      </x:c>
      <x:c r="Q242" s="9" t="n">
        <x:v>0.292936803</x:v>
      </x:c>
      <x:c r="R242" s="3" t="b">
        <x:v>1</x:v>
      </x:c>
      <x:c r="S242" s="3" t="b">
        <x:v>0</x:v>
      </x:c>
      <x:c r="T242" s="3" t="b">
        <x:v>0</x:v>
      </x:c>
      <x:c r="U242" s="2" t="str">
        <x:f>IF(T242=TRUE,"Priority review",IF(R242=TRUE,"High cost",IF(S242=TRUE,"Low quality","Benchmark")))</x:f>
        <x:v>High cost</x:v>
      </x:c>
    </x:row>
    <x:row r="243">
      <x:c r="A243" s="2" t="str">
        <x:v>223300</x:v>
      </x:c>
      <x:c r="B243" s="2" t="str">
        <x:v>FRANCISCAN CHILDREN'S HOSPITAL &amp; REHAB CENTER</x:v>
      </x:c>
      <x:c r="C243" s="2" t="str">
        <x:v>BRIGHTON</x:v>
      </x:c>
      <x:c r="D243" s="2" t="str">
        <x:v>MA</x:v>
      </x:c>
      <x:c r="E243" s="2" t="str">
        <x:v>Childrens</x:v>
      </x:c>
      <x:c r="F243" s="2" t="str">
        <x:v>Voluntary non-profit</x:v>
      </x:c>
      <x:c r="G243" s="2" t="str">
        <x:v>Medium (100-299 beds)</x:v>
      </x:c>
      <x:c r="H243" s="7"/>
      <x:c r="I243" s="7"/>
      <x:c r="J243" s="7"/>
      <x:c r="K243" s="8" t="n">
        <x:v>112</x:v>
      </x:c>
      <x:c r="L243" s="8" t="n">
        <x:v>515</x:v>
      </x:c>
      <x:c r="M243" s="9" t="n">
        <x:v>0.5380806011</x:v>
      </x:c>
      <x:c r="N243" s="10" t="n">
        <x:v>180378.640776699</x:v>
      </x:c>
      <x:c r="O243" s="9" t="n">
        <x:v>-0.2473951839</x:v>
      </x:c>
      <x:c r="P243" s="9" t="n">
        <x:v>0.9583333333</x:v>
      </x:c>
      <x:c r="Q243" s="9" t="n">
        <x:v>0</x:v>
      </x:c>
      <x:c r="R243" s="3" t="b">
        <x:v>1</x:v>
      </x:c>
      <x:c r="S243" s="3" t="b">
        <x:v>0</x:v>
      </x:c>
      <x:c r="T243" s="3" t="b">
        <x:v>0</x:v>
      </x:c>
      <x:c r="U243" s="2" t="str">
        <x:f>IF(T243=TRUE,"Priority review",IF(R243=TRUE,"High cost",IF(S243=TRUE,"Low quality","Benchmark")))</x:f>
        <x:v>High cost</x:v>
      </x:c>
    </x:row>
    <x:row r="244">
      <x:c r="A244" s="2" t="str">
        <x:v>054124</x:v>
      </x:c>
      <x:c r="B244" s="2" t="str">
        <x:v>SEMPERVIRENS</x:v>
      </x:c>
      <x:c r="C244" s="2" t="str">
        <x:v>EUREKA</x:v>
      </x:c>
      <x:c r="D244" s="2" t="str">
        <x:v>CA</x:v>
      </x:c>
      <x:c r="E244" s="2" t="str">
        <x:v>Psychiatric</x:v>
      </x:c>
      <x:c r="F244" s="2" t="str">
        <x:v>Government</x:v>
      </x:c>
      <x:c r="G244" s="2" t="str">
        <x:v>Small (&lt;100 beds)</x:v>
      </x:c>
      <x:c r="H244" s="7"/>
      <x:c r="I244" s="7"/>
      <x:c r="J244" s="7"/>
      <x:c r="K244" s="8" t="n">
        <x:v>16</x:v>
      </x:c>
      <x:c r="L244" s="8" t="n">
        <x:v>262</x:v>
      </x:c>
      <x:c r="M244" s="9" t="n">
        <x:v>0.8299657534</x:v>
      </x:c>
      <x:c r="N244" s="10" t="n">
        <x:v>295674.0610687023</x:v>
      </x:c>
      <x:c r="O244" s="9" t="n">
        <x:v>-5.5453553358</x:v>
      </x:c>
      <x:c r="P244" s="9" t="n">
        <x:v>0.9579288026</x:v>
      </x:c>
      <x:c r="Q244" s="9" t="n">
        <x:v>0</x:v>
      </x:c>
      <x:c r="R244" s="3" t="b">
        <x:v>1</x:v>
      </x:c>
      <x:c r="S244" s="3" t="b">
        <x:v>0</x:v>
      </x:c>
      <x:c r="T244" s="3" t="b">
        <x:v>0</x:v>
      </x:c>
      <x:c r="U244" s="2" t="str">
        <x:f>IF(T244=TRUE,"Priority review",IF(R244=TRUE,"High cost",IF(S244=TRUE,"Low quality","Benchmark")))</x:f>
        <x:v>High cost</x:v>
      </x:c>
    </x:row>
    <x:row r="245">
      <x:c r="A245" s="2" t="str">
        <x:v>100277</x:v>
      </x:c>
      <x:c r="B245" s="2" t="str">
        <x:v>DOUGLAS GARDENS HOSPITAL</x:v>
      </x:c>
      <x:c r="C245" s="2" t="str">
        <x:v>MIAMI</x:v>
      </x:c>
      <x:c r="D245" s="2" t="str">
        <x:v>FL</x:v>
      </x:c>
      <x:c r="E245" s="2" t="str">
        <x:v>Acute Care Hospitals</x:v>
      </x:c>
      <x:c r="F245" s="2" t="str">
        <x:v>Voluntary non-profit</x:v>
      </x:c>
      <x:c r="G245" s="2" t="str">
        <x:v>Small (&lt;100 beds)</x:v>
      </x:c>
      <x:c r="H245" s="7"/>
      <x:c r="I245" s="7"/>
      <x:c r="J245" s="7"/>
      <x:c r="K245" s="8" t="n">
        <x:v>32</x:v>
      </x:c>
      <x:c r="L245" s="8" t="n">
        <x:v>200</x:v>
      </x:c>
      <x:c r="M245" s="9" t="n">
        <x:v>0.1042808219</x:v>
      </x:c>
      <x:c r="N245" s="10" t="n">
        <x:v>290251.815</x:v>
      </x:c>
      <x:c r="O245" s="9" t="n">
        <x:v>-0.4665140474</x:v>
      </x:c>
      <x:c r="P245" s="9" t="n">
        <x:v>0.9578096948</x:v>
      </x:c>
      <x:c r="Q245" s="9" t="n">
        <x:v>0.697486535</x:v>
      </x:c>
      <x:c r="R245" s="3" t="b">
        <x:v>1</x:v>
      </x:c>
      <x:c r="S245" s="3" t="b">
        <x:v>0</x:v>
      </x:c>
      <x:c r="T245" s="3" t="b">
        <x:v>0</x:v>
      </x:c>
      <x:c r="U245" s="2" t="str">
        <x:f>IF(T245=TRUE,"Priority review",IF(R245=TRUE,"High cost",IF(S245=TRUE,"Low quality","Benchmark")))</x:f>
        <x:v>High cost</x:v>
      </x:c>
    </x:row>
    <x:row r="246">
      <x:c r="A246" s="2" t="str">
        <x:v>451344</x:v>
      </x:c>
      <x:c r="B246" s="2" t="str">
        <x:v>HANSFORD COUNTY HOSPITAL</x:v>
      </x:c>
      <x:c r="C246" s="2" t="str">
        <x:v>SPEARMAN</x:v>
      </x:c>
      <x:c r="D246" s="2" t="str">
        <x:v>TX</x:v>
      </x:c>
      <x:c r="E246" s="2" t="str">
        <x:v>Critical Access Hospitals</x:v>
      </x:c>
      <x:c r="F246" s="2" t="str">
        <x:v>Government</x:v>
      </x:c>
      <x:c r="G246" s="2" t="str">
        <x:v>Small (&lt;100 beds)</x:v>
      </x:c>
      <x:c r="H246" s="7"/>
      <x:c r="I246" s="7"/>
      <x:c r="J246" s="7"/>
      <x:c r="K246" s="8" t="n">
        <x:v>14</x:v>
      </x:c>
      <x:c r="L246" s="8" t="n">
        <x:v>42</x:v>
      </x:c>
      <x:c r="M246" s="9" t="n">
        <x:v>0.1451990632</x:v>
      </x:c>
      <x:c r="N246" s="10" t="n">
        <x:v>644331.9761904762</x:v>
      </x:c>
      <x:c r="O246" s="9" t="n">
        <x:v>-0.4692071992</x:v>
      </x:c>
      <x:c r="P246" s="9" t="n">
        <x:v>0.9576208178</x:v>
      </x:c>
      <x:c r="Q246" s="9" t="n">
        <x:v>0.292936803</x:v>
      </x:c>
      <x:c r="R246" s="3" t="b">
        <x:v>1</x:v>
      </x:c>
      <x:c r="S246" s="3" t="b">
        <x:v>0</x:v>
      </x:c>
      <x:c r="T246" s="3" t="b">
        <x:v>0</x:v>
      </x:c>
      <x:c r="U246" s="2" t="str">
        <x:f>IF(T246=TRUE,"Priority review",IF(R246=TRUE,"High cost",IF(S246=TRUE,"Low quality","Benchmark")))</x:f>
        <x:v>High cost</x:v>
      </x:c>
    </x:row>
    <x:row r="247">
      <x:c r="A247" s="2" t="str">
        <x:v>350015</x:v>
      </x:c>
      <x:c r="B247" s="2" t="str">
        <x:v>SANFORD MEDICAL CENTER BISMARCK</x:v>
      </x:c>
      <x:c r="C247" s="2" t="str">
        <x:v>BISMARCK</x:v>
      </x:c>
      <x:c r="D247" s="2" t="str">
        <x:v>ND</x:v>
      </x:c>
      <x:c r="E247" s="2" t="str">
        <x:v>Acute Care Hospitals</x:v>
      </x:c>
      <x:c r="F247" s="2" t="str">
        <x:v>Voluntary non-profit</x:v>
      </x:c>
      <x:c r="G247" s="2" t="str">
        <x:v>Medium (100-299 beds)</x:v>
      </x:c>
      <x:c r="H247" s="7" t="n">
        <x:v>4</x:v>
      </x:c>
      <x:c r="I247" s="7" t="n">
        <x:v>2</x:v>
      </x:c>
      <x:c r="J247" s="7" t="n">
        <x:v>0.88</x:v>
      </x:c>
      <x:c r="K247" s="8" t="n">
        <x:v>248</x:v>
      </x:c>
      <x:c r="L247" s="8" t="n">
        <x:v>12423</x:v>
      </x:c>
      <x:c r="M247" s="9" t="n">
        <x:v>0.7124414183</x:v>
      </x:c>
      <x:c r="N247" s="10" t="n">
        <x:v>72294.2417290509</x:v>
      </x:c>
      <x:c r="O247" s="9" t="n">
        <x:v>0.0428064183</x:v>
      </x:c>
      <x:c r="P247" s="9" t="n">
        <x:v>0.9576202119</x:v>
      </x:c>
      <x:c r="Q247" s="9" t="n">
        <x:v>0.6022819886</x:v>
      </x:c>
      <x:c r="R247" s="3" t="b">
        <x:v>1</x:v>
      </x:c>
      <x:c r="S247" s="3" t="b">
        <x:v>0</x:v>
      </x:c>
      <x:c r="T247" s="3" t="b">
        <x:v>0</x:v>
      </x:c>
      <x:c r="U247" s="2" t="str">
        <x:f>IF(T247=TRUE,"Priority review",IF(R247=TRUE,"High cost",IF(S247=TRUE,"Low quality","Benchmark")))</x:f>
        <x:v>High cost</x:v>
      </x:c>
    </x:row>
    <x:row r="248">
      <x:c r="A248" s="2" t="str">
        <x:v>360059</x:v>
      </x:c>
      <x:c r="B248" s="2" t="str">
        <x:v>METROHEALTH SYSTEM</x:v>
      </x:c>
      <x:c r="C248" s="2" t="str">
        <x:v>CLEVELAND</x:v>
      </x:c>
      <x:c r="D248" s="2" t="str">
        <x:v>OH</x:v>
      </x:c>
      <x:c r="E248" s="2" t="str">
        <x:v>Acute Care Hospitals</x:v>
      </x:c>
      <x:c r="F248" s="2" t="str">
        <x:v>Voluntary non-profit</x:v>
      </x:c>
      <x:c r="G248" s="2" t="str">
        <x:v>Large (300+ beds)</x:v>
      </x:c>
      <x:c r="H248" s="7" t="n">
        <x:v>3</x:v>
      </x:c>
      <x:c r="I248" s="7" t="n">
        <x:v>3</x:v>
      </x:c>
      <x:c r="J248" s="7" t="n">
        <x:v>0.96</x:v>
      </x:c>
      <x:c r="K248" s="8" t="n">
        <x:v>501</x:v>
      </x:c>
      <x:c r="L248" s="8" t="n">
        <x:v>21080</x:v>
      </x:c>
      <x:c r="M248" s="9" t="n">
        <x:v>0.6274609251</x:v>
      </x:c>
      <x:c r="N248" s="10" t="n">
        <x:v>95712.9996204934</x:v>
      </x:c>
      <x:c r="O248" s="9" t="n">
        <x:v>-0.4857326414</x:v>
      </x:c>
      <x:c r="P248" s="9" t="n">
        <x:v>0.9574132492</x:v>
      </x:c>
      <x:c r="Q248" s="9" t="n">
        <x:v>0.2570977918</x:v>
      </x:c>
      <x:c r="R248" s="3" t="b">
        <x:v>1</x:v>
      </x:c>
      <x:c r="S248" s="3" t="b">
        <x:v>0</x:v>
      </x:c>
      <x:c r="T248" s="3" t="b">
        <x:v>0</x:v>
      </x:c>
      <x:c r="U248" s="2" t="str">
        <x:f>IF(T248=TRUE,"Priority review",IF(R248=TRUE,"High cost",IF(S248=TRUE,"Low quality","Benchmark")))</x:f>
        <x:v>High cost</x:v>
      </x:c>
    </x:row>
    <x:row r="249">
      <x:c r="A249" s="2" t="str">
        <x:v>190255</x:v>
      </x:c>
      <x:c r="B249" s="2" t="str">
        <x:v>PARK PLACE SURGICAL HOSPITAL</x:v>
      </x:c>
      <x:c r="C249" s="2" t="str">
        <x:v>LAFAYETTE</x:v>
      </x:c>
      <x:c r="D249" s="2" t="str">
        <x:v>LA</x:v>
      </x:c>
      <x:c r="E249" s="2" t="str">
        <x:v>Acute Care Hospitals</x:v>
      </x:c>
      <x:c r="F249" s="2" t="str">
        <x:v>Proprietary</x:v>
      </x:c>
      <x:c r="G249" s="2" t="str">
        <x:v>Small (&lt;100 beds)</x:v>
      </x:c>
      <x:c r="H249" s="7"/>
      <x:c r="I249" s="7"/>
      <x:c r="J249" s="7" t="n">
        <x:v>0.88</x:v>
      </x:c>
      <x:c r="K249" s="8" t="n">
        <x:v>10</x:v>
      </x:c>
      <x:c r="L249" s="8" t="n">
        <x:v>169</x:v>
      </x:c>
      <x:c r="M249" s="9" t="n">
        <x:v>0.0822404372</x:v>
      </x:c>
      <x:c r="N249" s="10" t="n">
        <x:v>284915.9171597633</x:v>
      </x:c>
      <x:c r="O249" s="9" t="n">
        <x:v>0.1202105409</x:v>
      </x:c>
      <x:c r="P249" s="9" t="n">
        <x:v>0.9569120287</x:v>
      </x:c>
      <x:c r="Q249" s="9" t="n">
        <x:v>0.697486535</x:v>
      </x:c>
      <x:c r="R249" s="3" t="b">
        <x:v>1</x:v>
      </x:c>
      <x:c r="S249" s="3" t="b">
        <x:v>0</x:v>
      </x:c>
      <x:c r="T249" s="3" t="b">
        <x:v>0</x:v>
      </x:c>
      <x:c r="U249" s="2" t="str">
        <x:f>IF(T249=TRUE,"Priority review",IF(R249=TRUE,"High cost",IF(S249=TRUE,"Low quality","Benchmark")))</x:f>
        <x:v>High cost</x:v>
      </x:c>
    </x:row>
    <x:row r="250">
      <x:c r="A250" s="2" t="str">
        <x:v>251302</x:v>
      </x:c>
      <x:c r="B250" s="2" t="str">
        <x:v>MONROE REGIONAL HOSPITAL</x:v>
      </x:c>
      <x:c r="C250" s="2" t="str">
        <x:v>ABERDEEN</x:v>
      </x:c>
      <x:c r="D250" s="2" t="str">
        <x:v>MS</x:v>
      </x:c>
      <x:c r="E250" s="2" t="str">
        <x:v>Critical Access Hospitals</x:v>
      </x:c>
      <x:c r="F250" s="2" t="str">
        <x:v>Voluntary non-profit</x:v>
      </x:c>
      <x:c r="G250" s="2" t="str">
        <x:v>Small (&lt;100 beds)</x:v>
      </x:c>
      <x:c r="H250" s="7"/>
      <x:c r="I250" s="7"/>
      <x:c r="J250" s="7"/>
      <x:c r="K250" s="8" t="n">
        <x:v>25</x:v>
      </x:c>
      <x:c r="L250" s="8" t="n">
        <x:v>85</x:v>
      </x:c>
      <x:c r="M250" s="9" t="n">
        <x:v>0.2412021858</x:v>
      </x:c>
      <x:c r="N250" s="10" t="n">
        <x:v>640787.9529411765</x:v>
      </x:c>
      <x:c r="O250" s="9" t="n">
        <x:v>-0.3551804768</x:v>
      </x:c>
      <x:c r="P250" s="9" t="n">
        <x:v>0.9568773234</x:v>
      </x:c>
      <x:c r="Q250" s="9" t="n">
        <x:v>0.292936803</x:v>
      </x:c>
      <x:c r="R250" s="3" t="b">
        <x:v>1</x:v>
      </x:c>
      <x:c r="S250" s="3" t="b">
        <x:v>0</x:v>
      </x:c>
      <x:c r="T250" s="3" t="b">
        <x:v>0</x:v>
      </x:c>
      <x:c r="U250" s="2" t="str">
        <x:f>IF(T250=TRUE,"Priority review",IF(R250=TRUE,"High cost",IF(S250=TRUE,"Low quality","Benchmark")))</x:f>
        <x:v>High cost</x:v>
      </x:c>
    </x:row>
    <x:row r="251">
      <x:c r="A251" s="2" t="str">
        <x:v>500003</x:v>
      </x:c>
      <x:c r="B251" s="2" t="str">
        <x:v>SKAGIT VALLEY HOSPITAL</x:v>
      </x:c>
      <x:c r="C251" s="2" t="str">
        <x:v>MOUNT VERNON</x:v>
      </x:c>
      <x:c r="D251" s="2" t="str">
        <x:v>WA</x:v>
      </x:c>
      <x:c r="E251" s="2" t="str">
        <x:v>Acute Care Hospitals</x:v>
      </x:c>
      <x:c r="F251" s="2" t="str">
        <x:v>Government</x:v>
      </x:c>
      <x:c r="G251" s="2" t="str">
        <x:v>Medium (100-299 beds)</x:v>
      </x:c>
      <x:c r="H251" s="7" t="n">
        <x:v>3</x:v>
      </x:c>
      <x:c r="I251" s="7" t="n">
        <x:v>4</x:v>
      </x:c>
      <x:c r="J251" s="7" t="n">
        <x:v>0.92</x:v>
      </x:c>
      <x:c r="K251" s="8" t="n">
        <x:v>137</x:v>
      </x:c>
      <x:c r="L251" s="8" t="n">
        <x:v>7969</x:v>
      </x:c>
      <x:c r="M251" s="9" t="n">
        <x:v>0.8893342906</x:v>
      </x:c>
      <x:c r="N251" s="10" t="n">
        <x:v>72264.0931108044</x:v>
      </x:c>
      <x:c r="O251" s="9" t="n">
        <x:v>-0.040587405</x:v>
      </x:c>
      <x:c r="P251" s="9" t="n">
        <x:v>0.956805216</x:v>
      </x:c>
      <x:c r="Q251" s="9" t="n">
        <x:v>0.3023634882</x:v>
      </x:c>
      <x:c r="R251" s="3" t="b">
        <x:v>1</x:v>
      </x:c>
      <x:c r="S251" s="3" t="b">
        <x:v>0</x:v>
      </x:c>
      <x:c r="T251" s="3" t="b">
        <x:v>0</x:v>
      </x:c>
      <x:c r="U251" s="2" t="str">
        <x:f>IF(T251=TRUE,"Priority review",IF(R251=TRUE,"High cost",IF(S251=TRUE,"Low quality","Benchmark")))</x:f>
        <x:v>High cost</x:v>
      </x:c>
    </x:row>
    <x:row r="252">
      <x:c r="A252" s="2" t="str">
        <x:v>271389</x:v>
      </x:c>
      <x:c r="B252" s="2" t="str">
        <x:v>BOZEMAN HEALTH BIG SKY MEDICAL CENTER</x:v>
      </x:c>
      <x:c r="C252" s="2" t="str">
        <x:v>BIG SKY</x:v>
      </x:c>
      <x:c r="D252" s="2" t="str">
        <x:v>MT</x:v>
      </x:c>
      <x:c r="E252" s="2" t="str">
        <x:v>Critical Access Hospitals</x:v>
      </x:c>
      <x:c r="F252" s="2" t="str">
        <x:v>Voluntary non-profit</x:v>
      </x:c>
      <x:c r="G252" s="2" t="str">
        <x:v>Small (&lt;100 beds)</x:v>
      </x:c>
      <x:c r="H252" s="7"/>
      <x:c r="I252" s="7"/>
      <x:c r="J252" s="7"/>
      <x:c r="K252" s="8" t="n">
        <x:v>8</x:v>
      </x:c>
      <x:c r="L252" s="8" t="n">
        <x:v>34</x:v>
      </x:c>
      <x:c r="M252" s="9" t="n">
        <x:v>0.3442622951</x:v>
      </x:c>
      <x:c r="N252" s="10" t="n">
        <x:v>636312.2352941176</x:v>
      </x:c>
      <x:c r="O252" s="9" t="n">
        <x:v>-0.2192404575</x:v>
      </x:c>
      <x:c r="P252" s="9" t="n">
        <x:v>0.956133829</x:v>
      </x:c>
      <x:c r="Q252" s="9" t="n">
        <x:v>0.292936803</x:v>
      </x:c>
      <x:c r="R252" s="3" t="b">
        <x:v>1</x:v>
      </x:c>
      <x:c r="S252" s="3" t="b">
        <x:v>0</x:v>
      </x:c>
      <x:c r="T252" s="3" t="b">
        <x:v>0</x:v>
      </x:c>
      <x:c r="U252" s="2" t="str">
        <x:f>IF(T252=TRUE,"Priority review",IF(R252=TRUE,"High cost",IF(S252=TRUE,"Low quality","Benchmark")))</x:f>
        <x:v>High cost</x:v>
      </x:c>
    </x:row>
    <x:row r="253">
      <x:c r="A253" s="2" t="str">
        <x:v>500052</x:v>
      </x:c>
      <x:c r="B253" s="2" t="str">
        <x:v>KAISER PERMANENTE CENTRAL HOSPITAL</x:v>
      </x:c>
      <x:c r="C253" s="2" t="str">
        <x:v>SEATTLE</x:v>
      </x:c>
      <x:c r="D253" s="2" t="str">
        <x:v>WA</x:v>
      </x:c>
      <x:c r="E253" s="2" t="str">
        <x:v>Acute Care Hospitals</x:v>
      </x:c>
      <x:c r="F253" s="2" t="str">
        <x:v>Voluntary non-profit</x:v>
      </x:c>
      <x:c r="G253" s="2" t="str">
        <x:v>Small (&lt;100 beds)</x:v>
      </x:c>
      <x:c r="H253" s="7"/>
      <x:c r="I253" s="7" t="n">
        <x:v>3</x:v>
      </x:c>
      <x:c r="J253" s="7"/>
      <x:c r="K253" s="8" t="n">
        <x:v>24</x:v>
      </x:c>
      <x:c r="L253" s="8" t="n">
        <x:v>481</x:v>
      </x:c>
      <x:c r="M253" s="9" t="n">
        <x:v>0.1993397086</x:v>
      </x:c>
      <x:c r="N253" s="10" t="n">
        <x:v>278481.3201663202</x:v>
      </x:c>
      <x:c r="O253" s="9" t="n">
        <x:v>-17.6184044463</x:v>
      </x:c>
      <x:c r="P253" s="9" t="n">
        <x:v>0.9560143627</x:v>
      </x:c>
      <x:c r="Q253" s="9" t="n">
        <x:v>0.697486535</x:v>
      </x:c>
      <x:c r="R253" s="3" t="b">
        <x:v>1</x:v>
      </x:c>
      <x:c r="S253" s="3" t="b">
        <x:v>0</x:v>
      </x:c>
      <x:c r="T253" s="3" t="b">
        <x:v>0</x:v>
      </x:c>
      <x:c r="U253" s="2" t="str">
        <x:f>IF(T253=TRUE,"Priority review",IF(R253=TRUE,"High cost",IF(S253=TRUE,"Low quality","Benchmark")))</x:f>
        <x:v>High cost</x:v>
      </x:c>
    </x:row>
    <x:row r="254">
      <x:c r="A254" s="2" t="str">
        <x:v>200034</x:v>
      </x:c>
      <x:c r="B254" s="2" t="str">
        <x:v>ST MARY'S REGIONAL MEDICAL CENTER</x:v>
      </x:c>
      <x:c r="C254" s="2" t="str">
        <x:v>LEWISTON</x:v>
      </x:c>
      <x:c r="D254" s="2" t="str">
        <x:v>ME</x:v>
      </x:c>
      <x:c r="E254" s="2" t="str">
        <x:v>Acute Care Hospitals</x:v>
      </x:c>
      <x:c r="F254" s="2" t="str">
        <x:v>Voluntary non-profit</x:v>
      </x:c>
      <x:c r="G254" s="2" t="str">
        <x:v>Medium (100-299 beds)</x:v>
      </x:c>
      <x:c r="H254" s="7" t="n">
        <x:v>4</x:v>
      </x:c>
      <x:c r="I254" s="7" t="n">
        <x:v>4</x:v>
      </x:c>
      <x:c r="J254" s="7" t="n">
        <x:v>0.97</x:v>
      </x:c>
      <x:c r="K254" s="8" t="n">
        <x:v>140</x:v>
      </x:c>
      <x:c r="L254" s="8" t="n">
        <x:v>3181</x:v>
      </x:c>
      <x:c r="M254" s="9" t="n">
        <x:v>0.2988680718</x:v>
      </x:c>
      <x:c r="N254" s="10" t="n">
        <x:v>72240.8088651367</x:v>
      </x:c>
      <x:c r="O254" s="9" t="n">
        <x:v>-0.1359017451</x:v>
      </x:c>
      <x:c r="P254" s="9" t="n">
        <x:v>0.95599022</x:v>
      </x:c>
      <x:c r="Q254" s="9" t="n">
        <x:v>0.6022819886</x:v>
      </x:c>
      <x:c r="R254" s="3" t="b">
        <x:v>1</x:v>
      </x:c>
      <x:c r="S254" s="3" t="b">
        <x:v>0</x:v>
      </x:c>
      <x:c r="T254" s="3" t="b">
        <x:v>0</x:v>
      </x:c>
      <x:c r="U254" s="2" t="str">
        <x:f>IF(T254=TRUE,"Priority review",IF(R254=TRUE,"High cost",IF(S254=TRUE,"Low quality","Benchmark")))</x:f>
        <x:v>High cost</x:v>
      </x:c>
    </x:row>
    <x:row r="255">
      <x:c r="A255" s="2" t="str">
        <x:v>230053</x:v>
      </x:c>
      <x:c r="B255" s="2" t="str">
        <x:v>HENRY FORD HEALTH HOSPITAL</x:v>
      </x:c>
      <x:c r="C255" s="2" t="str">
        <x:v>DETROIT</x:v>
      </x:c>
      <x:c r="D255" s="2" t="str">
        <x:v>MI</x:v>
      </x:c>
      <x:c r="E255" s="2" t="str">
        <x:v>Acute Care Hospitals</x:v>
      </x:c>
      <x:c r="F255" s="2" t="str">
        <x:v>Voluntary non-profit</x:v>
      </x:c>
      <x:c r="G255" s="2" t="str">
        <x:v>Large (300+ beds)</x:v>
      </x:c>
      <x:c r="H255" s="7" t="n">
        <x:v>3</x:v>
      </x:c>
      <x:c r="I255" s="7" t="n">
        <x:v>3</x:v>
      </x:c>
      <x:c r="J255" s="7" t="n">
        <x:v>0.96</x:v>
      </x:c>
      <x:c r="K255" s="8" t="n">
        <x:v>670</x:v>
      </x:c>
      <x:c r="L255" s="8" t="n">
        <x:v>33339</x:v>
      </x:c>
      <x:c r="M255" s="9" t="n">
        <x:v>0.8173577159</x:v>
      </x:c>
      <x:c r="N255" s="10" t="n">
        <x:v>95511.8412369897</x:v>
      </x:c>
      <x:c r="O255" s="9" t="n">
        <x:v>-0.0859085893</x:v>
      </x:c>
      <x:c r="P255" s="9" t="n">
        <x:v>0.9558359621</x:v>
      </x:c>
      <x:c r="Q255" s="9" t="n">
        <x:v>0.2570977918</x:v>
      </x:c>
      <x:c r="R255" s="3" t="b">
        <x:v>1</x:v>
      </x:c>
      <x:c r="S255" s="3" t="b">
        <x:v>0</x:v>
      </x:c>
      <x:c r="T255" s="3" t="b">
        <x:v>0</x:v>
      </x:c>
      <x:c r="U255" s="2" t="str">
        <x:f>IF(T255=TRUE,"Priority review",IF(R255=TRUE,"High cost",IF(S255=TRUE,"Low quality","Benchmark")))</x:f>
        <x:v>High cost</x:v>
      </x:c>
    </x:row>
    <x:row r="256">
      <x:c r="A256" s="2" t="str">
        <x:v>111308</x:v>
      </x:c>
      <x:c r="B256" s="2" t="str">
        <x:v>CLINCH MEMORIAL HOSPITAL</x:v>
      </x:c>
      <x:c r="C256" s="2" t="str">
        <x:v>HOMERVILLE</x:v>
      </x:c>
      <x:c r="D256" s="2" t="str">
        <x:v>GA</x:v>
      </x:c>
      <x:c r="E256" s="2" t="str">
        <x:v>Critical Access Hospitals</x:v>
      </x:c>
      <x:c r="F256" s="2" t="str">
        <x:v>Government</x:v>
      </x:c>
      <x:c r="G256" s="2" t="str">
        <x:v>Small (&lt;100 beds)</x:v>
      </x:c>
      <x:c r="H256" s="7"/>
      <x:c r="I256" s="7"/>
      <x:c r="J256" s="7"/>
      <x:c r="K256" s="8" t="n">
        <x:v>15</x:v>
      </x:c>
      <x:c r="L256" s="8" t="n">
        <x:v>37</x:v>
      </x:c>
      <x:c r="M256" s="9" t="n">
        <x:v>0.6852968037</x:v>
      </x:c>
      <x:c r="N256" s="10" t="n">
        <x:v>631751.1621621621</x:v>
      </x:c>
      <x:c r="O256" s="9" t="n">
        <x:v>-0.2729541811</x:v>
      </x:c>
      <x:c r="P256" s="9" t="n">
        <x:v>0.9553903346</x:v>
      </x:c>
      <x:c r="Q256" s="9" t="n">
        <x:v>0.292936803</x:v>
      </x:c>
      <x:c r="R256" s="3" t="b">
        <x:v>1</x:v>
      </x:c>
      <x:c r="S256" s="3" t="b">
        <x:v>0</x:v>
      </x:c>
      <x:c r="T256" s="3" t="b">
        <x:v>0</x:v>
      </x:c>
      <x:c r="U256" s="2" t="str">
        <x:f>IF(T256=TRUE,"Priority review",IF(R256=TRUE,"High cost",IF(S256=TRUE,"Low quality","Benchmark")))</x:f>
        <x:v>High cost</x:v>
      </x:c>
    </x:row>
    <x:row r="257">
      <x:c r="A257" s="2" t="str">
        <x:v>014012</x:v>
      </x:c>
      <x:c r="B257" s="2" t="str">
        <x:v>MARY S HARPER GERIATRIC PSYCHIATRY CENTER</x:v>
      </x:c>
      <x:c r="C257" s="2" t="str">
        <x:v>TUSCALOOSA</x:v>
      </x:c>
      <x:c r="D257" s="2" t="str">
        <x:v>AL</x:v>
      </x:c>
      <x:c r="E257" s="2" t="str">
        <x:v>Psychiatric</x:v>
      </x:c>
      <x:c r="F257" s="2" t="str">
        <x:v>Government</x:v>
      </x:c>
      <x:c r="G257" s="2" t="str">
        <x:v>Medium (100-299 beds)</x:v>
      </x:c>
      <x:c r="H257" s="7"/>
      <x:c r="I257" s="7"/>
      <x:c r="J257" s="7"/>
      <x:c r="K257" s="8" t="n">
        <x:v>126</x:v>
      </x:c>
      <x:c r="L257" s="8" t="n">
        <x:v>52</x:v>
      </x:c>
      <x:c r="M257" s="9" t="n">
        <x:v>0.5165235493</x:v>
      </x:c>
      <x:c r="N257" s="10" t="n">
        <x:v>559225.2692307692</x:v>
      </x:c>
      <x:c r="O257" s="9" t="n">
        <x:v>-0.11861945</x:v>
      </x:c>
      <x:c r="P257" s="9" t="n">
        <x:v>0.9552238806</x:v>
      </x:c>
      <x:c r="Q257" s="9" t="n">
        <x:v>0</x:v>
      </x:c>
      <x:c r="R257" s="3" t="b">
        <x:v>1</x:v>
      </x:c>
      <x:c r="S257" s="3" t="b">
        <x:v>0</x:v>
      </x:c>
      <x:c r="T257" s="3" t="b">
        <x:v>0</x:v>
      </x:c>
      <x:c r="U257" s="2" t="str">
        <x:f>IF(T257=TRUE,"Priority review",IF(R257=TRUE,"High cost",IF(S257=TRUE,"Low quality","Benchmark")))</x:f>
        <x:v>High cost</x:v>
      </x:c>
    </x:row>
    <x:row r="258">
      <x:c r="A258" s="2" t="str">
        <x:v>160101</x:v>
      </x:c>
      <x:c r="B258" s="2" t="str">
        <x:v>BROADLAWNS MEDICAL CENTER</x:v>
      </x:c>
      <x:c r="C258" s="2" t="str">
        <x:v>DES MOINES</x:v>
      </x:c>
      <x:c r="D258" s="2" t="str">
        <x:v>IA</x:v>
      </x:c>
      <x:c r="E258" s="2" t="str">
        <x:v>Acute Care Hospitals</x:v>
      </x:c>
      <x:c r="F258" s="2" t="str">
        <x:v>Government</x:v>
      </x:c>
      <x:c r="G258" s="2" t="str">
        <x:v>Medium (100-299 beds)</x:v>
      </x:c>
      <x:c r="H258" s="7" t="n">
        <x:v>3</x:v>
      </x:c>
      <x:c r="I258" s="7" t="n">
        <x:v>3</x:v>
      </x:c>
      <x:c r="J258" s="7" t="n">
        <x:v>0.98</x:v>
      </x:c>
      <x:c r="K258" s="8" t="n">
        <x:v>113</x:v>
      </x:c>
      <x:c r="L258" s="8" t="n">
        <x:v>4085</x:v>
      </x:c>
      <x:c r="M258" s="9" t="n">
        <x:v>0.6664807855</x:v>
      </x:c>
      <x:c r="N258" s="10" t="n">
        <x:v>72014.3238678091</x:v>
      </x:c>
      <x:c r="O258" s="9" t="n">
        <x:v>-0.1801930866</x:v>
      </x:c>
      <x:c r="P258" s="9" t="n">
        <x:v>0.9551752241</x:v>
      </x:c>
      <x:c r="Q258" s="9" t="n">
        <x:v>0.3023634882</x:v>
      </x:c>
      <x:c r="R258" s="3" t="b">
        <x:v>1</x:v>
      </x:c>
      <x:c r="S258" s="3" t="b">
        <x:v>0</x:v>
      </x:c>
      <x:c r="T258" s="3" t="b">
        <x:v>0</x:v>
      </x:c>
      <x:c r="U258" s="2" t="str">
        <x:f>IF(T258=TRUE,"Priority review",IF(R258=TRUE,"High cost",IF(S258=TRUE,"Low quality","Benchmark")))</x:f>
        <x:v>High cost</x:v>
      </x:c>
    </x:row>
    <x:row r="259">
      <x:c r="A259" s="2" t="str">
        <x:v>220075</x:v>
      </x:c>
      <x:c r="B259" s="2" t="str">
        <x:v>MASSACHUSETTS EYE AND EAR INFIRMARY -</x:v>
      </x:c>
      <x:c r="C259" s="2" t="str">
        <x:v>BOSTON</x:v>
      </x:c>
      <x:c r="D259" s="2" t="str">
        <x:v>MA</x:v>
      </x:c>
      <x:c r="E259" s="2" t="str">
        <x:v>Acute Care Hospitals</x:v>
      </x:c>
      <x:c r="F259" s="2" t="str">
        <x:v>Voluntary non-profit</x:v>
      </x:c>
      <x:c r="G259" s="2" t="str">
        <x:v>Small (&lt;100 beds)</x:v>
      </x:c>
      <x:c r="H259" s="7"/>
      <x:c r="I259" s="7" t="n">
        <x:v>4</x:v>
      </x:c>
      <x:c r="J259" s="7" t="n">
        <x:v>0.96</x:v>
      </x:c>
      <x:c r="K259" s="8" t="n">
        <x:v>41</x:v>
      </x:c>
      <x:c r="L259" s="8" t="n">
        <x:v>1555</x:v>
      </x:c>
      <x:c r="M259" s="9" t="n">
        <x:v>0.4230974277</x:v>
      </x:c>
      <x:c r="N259" s="10" t="n">
        <x:v>278088.3054662379</x:v>
      </x:c>
      <x:c r="O259" s="9" t="n">
        <x:v>-0.3868416254</x:v>
      </x:c>
      <x:c r="P259" s="9" t="n">
        <x:v>0.9551166966</x:v>
      </x:c>
      <x:c r="Q259" s="9" t="n">
        <x:v>0.697486535</x:v>
      </x:c>
      <x:c r="R259" s="3" t="b">
        <x:v>1</x:v>
      </x:c>
      <x:c r="S259" s="3" t="b">
        <x:v>0</x:v>
      </x:c>
      <x:c r="T259" s="3" t="b">
        <x:v>0</x:v>
      </x:c>
      <x:c r="U259" s="2" t="str">
        <x:f>IF(T259=TRUE,"Priority review",IF(R259=TRUE,"High cost",IF(S259=TRUE,"Low quality","Benchmark")))</x:f>
        <x:v>High cost</x:v>
      </x:c>
    </x:row>
    <x:row r="260">
      <x:c r="A260" s="2" t="str">
        <x:v>204004</x:v>
      </x:c>
      <x:c r="B260" s="2" t="str">
        <x:v>DOROTHEA DIX PSYCHIATRIC CENTER</x:v>
      </x:c>
      <x:c r="C260" s="2" t="str">
        <x:v>BANGOR</x:v>
      </x:c>
      <x:c r="D260" s="2" t="str">
        <x:v>ME</x:v>
      </x:c>
      <x:c r="E260" s="2" t="str">
        <x:v>Psychiatric</x:v>
      </x:c>
      <x:c r="F260" s="2" t="str">
        <x:v>Government</x:v>
      </x:c>
      <x:c r="G260" s="2" t="str">
        <x:v>Small (&lt;100 beds)</x:v>
      </x:c>
      <x:c r="H260" s="7"/>
      <x:c r="I260" s="7"/>
      <x:c r="J260" s="7"/>
      <x:c r="K260" s="8" t="n">
        <x:v>67</x:v>
      </x:c>
      <x:c r="L260" s="8" t="n">
        <x:v>144</x:v>
      </x:c>
      <x:c r="M260" s="9" t="n">
        <x:v>0.8011858516</x:v>
      </x:c>
      <x:c r="N260" s="10" t="n">
        <x:v>285630.9652777778</x:v>
      </x:c>
      <x:c r="O260" s="9"/>
      <x:c r="P260" s="9" t="n">
        <x:v>0.9546925566</x:v>
      </x:c>
      <x:c r="Q260" s="9" t="n">
        <x:v>0</x:v>
      </x:c>
      <x:c r="R260" s="3" t="b">
        <x:v>1</x:v>
      </x:c>
      <x:c r="S260" s="3" t="b">
        <x:v>0</x:v>
      </x:c>
      <x:c r="T260" s="3" t="b">
        <x:v>0</x:v>
      </x:c>
      <x:c r="U260" s="2" t="str">
        <x:f>IF(T260=TRUE,"Priority review",IF(R260=TRUE,"High cost",IF(S260=TRUE,"Low quality","Benchmark")))</x:f>
        <x:v>High cost</x:v>
      </x:c>
    </x:row>
    <x:row r="261">
      <x:c r="A261" s="2" t="str">
        <x:v>451307</x:v>
      </x:c>
      <x:c r="B261" s="2" t="str">
        <x:v>IRAAN GENERAL HOSPITAL</x:v>
      </x:c>
      <x:c r="C261" s="2" t="str">
        <x:v>IRAAN</x:v>
      </x:c>
      <x:c r="D261" s="2" t="str">
        <x:v>TX</x:v>
      </x:c>
      <x:c r="E261" s="2" t="str">
        <x:v>Critical Access Hospitals</x:v>
      </x:c>
      <x:c r="F261" s="2" t="str">
        <x:v>Government</x:v>
      </x:c>
      <x:c r="G261" s="2" t="str">
        <x:v>Small (&lt;100 beds)</x:v>
      </x:c>
      <x:c r="H261" s="7"/>
      <x:c r="I261" s="7"/>
      <x:c r="J261" s="7"/>
      <x:c r="K261" s="8" t="n">
        <x:v>14</x:v>
      </x:c>
      <x:c r="L261" s="8" t="n">
        <x:v>16</x:v>
      </x:c>
      <x:c r="M261" s="9" t="n">
        <x:v>0.0523028884</x:v>
      </x:c>
      <x:c r="N261" s="10" t="n">
        <x:v>617580.25</x:v>
      </x:c>
      <x:c r="O261" s="9" t="n">
        <x:v>-1.1488942353</x:v>
      </x:c>
      <x:c r="P261" s="9" t="n">
        <x:v>0.9546468401</x:v>
      </x:c>
      <x:c r="Q261" s="9" t="n">
        <x:v>0.292936803</x:v>
      </x:c>
      <x:c r="R261" s="3" t="b">
        <x:v>1</x:v>
      </x:c>
      <x:c r="S261" s="3" t="b">
        <x:v>0</x:v>
      </x:c>
      <x:c r="T261" s="3" t="b">
        <x:v>0</x:v>
      </x:c>
      <x:c r="U261" s="2" t="str">
        <x:f>IF(T261=TRUE,"Priority review",IF(R261=TRUE,"High cost",IF(S261=TRUE,"Low quality","Benchmark")))</x:f>
        <x:v>High cost</x:v>
      </x:c>
    </x:row>
    <x:row r="262">
      <x:c r="A262" s="2" t="str">
        <x:v>240075</x:v>
      </x:c>
      <x:c r="B262" s="2" t="str">
        <x:v>ESSENTIA HEALTH ST JOSEPH'S MEDICAL CENTER</x:v>
      </x:c>
      <x:c r="C262" s="2" t="str">
        <x:v>BRAINERD</x:v>
      </x:c>
      <x:c r="D262" s="2" t="str">
        <x:v>MN</x:v>
      </x:c>
      <x:c r="E262" s="2" t="str">
        <x:v>Acute Care Hospitals</x:v>
      </x:c>
      <x:c r="F262" s="2" t="str">
        <x:v>Voluntary non-profit</x:v>
      </x:c>
      <x:c r="G262" s="2" t="str">
        <x:v>Medium (100-299 beds)</x:v>
      </x:c>
      <x:c r="H262" s="7" t="n">
        <x:v>3</x:v>
      </x:c>
      <x:c r="I262" s="7" t="n">
        <x:v>3</x:v>
      </x:c>
      <x:c r="J262" s="7" t="n">
        <x:v>0.83</x:v>
      </x:c>
      <x:c r="K262" s="8" t="n">
        <x:v>113</x:v>
      </x:c>
      <x:c r="L262" s="8" t="n">
        <x:v>4534</x:v>
      </x:c>
      <x:c r="M262" s="9" t="n">
        <x:v>0.4844950903</x:v>
      </x:c>
      <x:c r="N262" s="10" t="n">
        <x:v>71951.2441552713</x:v>
      </x:c>
      <x:c r="O262" s="9" t="n">
        <x:v>0.0245459352</x:v>
      </x:c>
      <x:c r="P262" s="9" t="n">
        <x:v>0.9543602282</x:v>
      </x:c>
      <x:c r="Q262" s="9" t="n">
        <x:v>0.3023634882</x:v>
      </x:c>
      <x:c r="R262" s="3" t="b">
        <x:v>1</x:v>
      </x:c>
      <x:c r="S262" s="3" t="b">
        <x:v>0</x:v>
      </x:c>
      <x:c r="T262" s="3" t="b">
        <x:v>0</x:v>
      </x:c>
      <x:c r="U262" s="2" t="str">
        <x:f>IF(T262=TRUE,"Priority review",IF(R262=TRUE,"High cost",IF(S262=TRUE,"Low quality","Benchmark")))</x:f>
        <x:v>High cost</x:v>
      </x:c>
    </x:row>
    <x:row r="263">
      <x:c r="A263" s="2" t="str">
        <x:v>490009</x:v>
      </x:c>
      <x:c r="B263" s="2" t="str">
        <x:v>UNIVERSITY OF VIRGINIA MEDICAL CENTER</x:v>
      </x:c>
      <x:c r="C263" s="2" t="str">
        <x:v>CHARLOTTESVILLE</x:v>
      </x:c>
      <x:c r="D263" s="2" t="str">
        <x:v>VA</x:v>
      </x:c>
      <x:c r="E263" s="2" t="str">
        <x:v>Acute Care Hospitals</x:v>
      </x:c>
      <x:c r="F263" s="2" t="str">
        <x:v>Government</x:v>
      </x:c>
      <x:c r="G263" s="2" t="str">
        <x:v>Large (300+ beds)</x:v>
      </x:c>
      <x:c r="H263" s="7" t="n">
        <x:v>4</x:v>
      </x:c>
      <x:c r="I263" s="7" t="n">
        <x:v>4</x:v>
      </x:c>
      <x:c r="J263" s="7" t="n">
        <x:v>1.01</x:v>
      </x:c>
      <x:c r="K263" s="8" t="n">
        <x:v>646</x:v>
      </x:c>
      <x:c r="L263" s="8" t="n">
        <x:v>31484</x:v>
      </x:c>
      <x:c r="M263" s="9" t="n">
        <x:v>0.8645150346</x:v>
      </x:c>
      <x:c r="N263" s="10" t="n">
        <x:v>95376.7100431965</x:v>
      </x:c>
      <x:c r="O263" s="9" t="n">
        <x:v>-0.0378698962</x:v>
      </x:c>
      <x:c r="P263" s="9" t="n">
        <x:v>0.9542586751</x:v>
      </x:c>
      <x:c r="Q263" s="9" t="n">
        <x:v>0.5899053628</x:v>
      </x:c>
      <x:c r="R263" s="3" t="b">
        <x:v>1</x:v>
      </x:c>
      <x:c r="S263" s="3" t="b">
        <x:v>0</x:v>
      </x:c>
      <x:c r="T263" s="3" t="b">
        <x:v>0</x:v>
      </x:c>
      <x:c r="U263" s="2" t="str">
        <x:f>IF(T263=TRUE,"Priority review",IF(R263=TRUE,"High cost",IF(S263=TRUE,"Low quality","Benchmark")))</x:f>
        <x:v>High cost</x:v>
      </x:c>
    </x:row>
    <x:row r="264">
      <x:c r="A264" s="2" t="str">
        <x:v>370212</x:v>
      </x:c>
      <x:c r="B264" s="2" t="str">
        <x:v>OKLAHOMA CENTER FOR ORTHOPAEDIC &amp; MULTI-SP</x:v>
      </x:c>
      <x:c r="C264" s="2" t="str">
        <x:v>OKLAHOMA CITY</x:v>
      </x:c>
      <x:c r="D264" s="2" t="str">
        <x:v>OK</x:v>
      </x:c>
      <x:c r="E264" s="2" t="str">
        <x:v>Acute Care Hospitals</x:v>
      </x:c>
      <x:c r="F264" s="2" t="str">
        <x:v>Other / unknown</x:v>
      </x:c>
      <x:c r="G264" s="2" t="str">
        <x:v>Small (&lt;100 beds)</x:v>
      </x:c>
      <x:c r="H264" s="7"/>
      <x:c r="I264" s="7"/>
      <x:c r="J264" s="7" t="n">
        <x:v>0.93</x:v>
      </x:c>
      <x:c r="K264" s="8" t="n">
        <x:v>9</x:v>
      </x:c>
      <x:c r="L264" s="8" t="n">
        <x:v>204</x:v>
      </x:c>
      <x:c r="M264" s="9" t="n">
        <x:v>0.1514875531</x:v>
      </x:c>
      <x:c r="N264" s="10" t="n">
        <x:v>275321.0343137255</x:v>
      </x:c>
      <x:c r="O264" s="9" t="n">
        <x:v>0.3120964573</x:v>
      </x:c>
      <x:c r="P264" s="9" t="n">
        <x:v>0.9542190305</x:v>
      </x:c>
      <x:c r="Q264" s="9" t="n">
        <x:v>0.697486535</x:v>
      </x:c>
      <x:c r="R264" s="3" t="b">
        <x:v>1</x:v>
      </x:c>
      <x:c r="S264" s="3" t="b">
        <x:v>0</x:v>
      </x:c>
      <x:c r="T264" s="3" t="b">
        <x:v>0</x:v>
      </x:c>
      <x:c r="U264" s="2" t="str">
        <x:f>IF(T264=TRUE,"Priority review",IF(R264=TRUE,"High cost",IF(S264=TRUE,"Low quality","Benchmark")))</x:f>
        <x:v>High cost</x:v>
      </x:c>
    </x:row>
    <x:row r="265">
      <x:c r="A265" s="2" t="str">
        <x:v>191320</x:v>
      </x:c>
      <x:c r="B265" s="2" t="str">
        <x:v>BIENVILLE MEDICAL CENTER</x:v>
      </x:c>
      <x:c r="C265" s="2" t="str">
        <x:v>ARCADIA</x:v>
      </x:c>
      <x:c r="D265" s="2" t="str">
        <x:v>LA</x:v>
      </x:c>
      <x:c r="E265" s="2" t="str">
        <x:v>Critical Access Hospitals</x:v>
      </x:c>
      <x:c r="F265" s="2" t="str">
        <x:v>Proprietary</x:v>
      </x:c>
      <x:c r="G265" s="2" t="str">
        <x:v>Small (&lt;100 beds)</x:v>
      </x:c>
      <x:c r="H265" s="7"/>
      <x:c r="I265" s="7"/>
      <x:c r="J265" s="7"/>
      <x:c r="K265" s="8" t="n">
        <x:v>21</x:v>
      </x:c>
      <x:c r="L265" s="8" t="n">
        <x:v>21</x:v>
      </x:c>
      <x:c r="M265" s="9" t="n">
        <x:v>0.3177205308</x:v>
      </x:c>
      <x:c r="N265" s="10" t="n">
        <x:v>616882.1904761905</x:v>
      </x:c>
      <x:c r="O265" s="9" t="n">
        <x:v>-0.1940938538</x:v>
      </x:c>
      <x:c r="P265" s="9" t="n">
        <x:v>0.9539033457</x:v>
      </x:c>
      <x:c r="Q265" s="9" t="n">
        <x:v>0.292936803</x:v>
      </x:c>
      <x:c r="R265" s="3" t="b">
        <x:v>1</x:v>
      </x:c>
      <x:c r="S265" s="3" t="b">
        <x:v>0</x:v>
      </x:c>
      <x:c r="T265" s="3" t="b">
        <x:v>0</x:v>
      </x:c>
      <x:c r="U265" s="2" t="str">
        <x:f>IF(T265=TRUE,"Priority review",IF(R265=TRUE,"High cost",IF(S265=TRUE,"Low quality","Benchmark")))</x:f>
        <x:v>High cost</x:v>
      </x:c>
    </x:row>
    <x:row r="266">
      <x:c r="A266" s="2" t="str">
        <x:v>160057</x:v>
      </x:c>
      <x:c r="B266" s="2" t="str">
        <x:v>SOUTHEAST IOWA REGIONAL MEDICAL CENTER</x:v>
      </x:c>
      <x:c r="C266" s="2" t="str">
        <x:v>WEST BURLINGTON</x:v>
      </x:c>
      <x:c r="D266" s="2" t="str">
        <x:v>IA</x:v>
      </x:c>
      <x:c r="E266" s="2" t="str">
        <x:v>Acute Care Hospitals</x:v>
      </x:c>
      <x:c r="F266" s="2" t="str">
        <x:v>Voluntary non-profit</x:v>
      </x:c>
      <x:c r="G266" s="2" t="str">
        <x:v>Medium (100-299 beds)</x:v>
      </x:c>
      <x:c r="H266" s="7" t="n">
        <x:v>4</x:v>
      </x:c>
      <x:c r="I266" s="7" t="n">
        <x:v>2</x:v>
      </x:c>
      <x:c r="J266" s="7" t="n">
        <x:v>0.93</x:v>
      </x:c>
      <x:c r="K266" s="8" t="n">
        <x:v>174</x:v>
      </x:c>
      <x:c r="L266" s="8" t="n">
        <x:v>6141</x:v>
      </x:c>
      <x:c r="M266" s="9" t="n">
        <x:v>0.4966461974</x:v>
      </x:c>
      <x:c r="N266" s="10" t="n">
        <x:v>71542.4945448624</x:v>
      </x:c>
      <x:c r="O266" s="9" t="n">
        <x:v>-0.0725064522</x:v>
      </x:c>
      <x:c r="P266" s="9" t="n">
        <x:v>0.9535452323</x:v>
      </x:c>
      <x:c r="Q266" s="9" t="n">
        <x:v>0.6022819886</x:v>
      </x:c>
      <x:c r="R266" s="3" t="b">
        <x:v>1</x:v>
      </x:c>
      <x:c r="S266" s="3" t="b">
        <x:v>0</x:v>
      </x:c>
      <x:c r="T266" s="3" t="b">
        <x:v>0</x:v>
      </x:c>
      <x:c r="U266" s="2" t="str">
        <x:f>IF(T266=TRUE,"Priority review",IF(R266=TRUE,"High cost",IF(S266=TRUE,"Low quality","Benchmark")))</x:f>
        <x:v>High cost</x:v>
      </x:c>
    </x:row>
    <x:row r="267">
      <x:c r="A267" s="2" t="str">
        <x:v>020018</x:v>
      </x:c>
      <x:c r="B267" s="2" t="str">
        <x:v>YUKON KUSKOKWIM DELTA REG HOSPITAL</x:v>
      </x:c>
      <x:c r="C267" s="2" t="str">
        <x:v>BETHEL</x:v>
      </x:c>
      <x:c r="D267" s="2" t="str">
        <x:v>AK</x:v>
      </x:c>
      <x:c r="E267" s="2" t="str">
        <x:v>Acute Care Hospitals</x:v>
      </x:c>
      <x:c r="F267" s="2" t="str">
        <x:v>Other / unknown</x:v>
      </x:c>
      <x:c r="G267" s="2" t="str">
        <x:v>Small (&lt;100 beds)</x:v>
      </x:c>
      <x:c r="H267" s="7" t="n">
        <x:v>5</x:v>
      </x:c>
      <x:c r="I267" s="7" t="n">
        <x:v>3</x:v>
      </x:c>
      <x:c r="J267" s="7" t="n">
        <x:v>0.66</x:v>
      </x:c>
      <x:c r="K267" s="8" t="n">
        <x:v>34</x:v>
      </x:c>
      <x:c r="L267" s="8" t="n">
        <x:v>1330</x:v>
      </x:c>
      <x:c r="M267" s="9" t="n">
        <x:v>0.3709418194</x:v>
      </x:c>
      <x:c r="N267" s="10" t="n">
        <x:v>254202.5210526316</x:v>
      </x:c>
      <x:c r="O267" s="9"/>
      <x:c r="P267" s="9" t="n">
        <x:v>0.9533213645</x:v>
      </x:c>
      <x:c r="Q267" s="9" t="n">
        <x:v>0.6131059246</x:v>
      </x:c>
      <x:c r="R267" s="3" t="b">
        <x:v>1</x:v>
      </x:c>
      <x:c r="S267" s="3" t="b">
        <x:v>0</x:v>
      </x:c>
      <x:c r="T267" s="3" t="b">
        <x:v>0</x:v>
      </x:c>
      <x:c r="U267" s="2" t="str">
        <x:f>IF(T267=TRUE,"Priority review",IF(R267=TRUE,"High cost",IF(S267=TRUE,"Low quality","Benchmark")))</x:f>
        <x:v>High cost</x:v>
      </x:c>
    </x:row>
    <x:row r="268">
      <x:c r="A268" s="2" t="str">
        <x:v>061307</x:v>
      </x:c>
      <x:c r="B268" s="2" t="str">
        <x:v>RANGELY DISTRICT HOSPITAL</x:v>
      </x:c>
      <x:c r="C268" s="2" t="str">
        <x:v>RANGELY</x:v>
      </x:c>
      <x:c r="D268" s="2" t="str">
        <x:v>CO</x:v>
      </x:c>
      <x:c r="E268" s="2" t="str">
        <x:v>Critical Access Hospitals</x:v>
      </x:c>
      <x:c r="F268" s="2" t="str">
        <x:v>Government</x:v>
      </x:c>
      <x:c r="G268" s="2" t="str">
        <x:v>Small (&lt;100 beds)</x:v>
      </x:c>
      <x:c r="H268" s="7"/>
      <x:c r="I268" s="7"/>
      <x:c r="J268" s="7"/>
      <x:c r="K268" s="8" t="n">
        <x:v>20</x:v>
      </x:c>
      <x:c r="L268" s="8" t="n">
        <x:v>38</x:v>
      </x:c>
      <x:c r="M268" s="9" t="n">
        <x:v>0.6808743169</x:v>
      </x:c>
      <x:c r="N268" s="10" t="n">
        <x:v>611536.3947368421</x:v>
      </x:c>
      <x:c r="O268" s="9" t="n">
        <x:v>-0.1955527385</x:v>
      </x:c>
      <x:c r="P268" s="9" t="n">
        <x:v>0.9531598513</x:v>
      </x:c>
      <x:c r="Q268" s="9" t="n">
        <x:v>0.292936803</x:v>
      </x:c>
      <x:c r="R268" s="3" t="b">
        <x:v>1</x:v>
      </x:c>
      <x:c r="S268" s="3" t="b">
        <x:v>0</x:v>
      </x:c>
      <x:c r="T268" s="3" t="b">
        <x:v>0</x:v>
      </x:c>
      <x:c r="U268" s="2" t="str">
        <x:f>IF(T268=TRUE,"Priority review",IF(R268=TRUE,"High cost",IF(S268=TRUE,"Low quality","Benchmark")))</x:f>
        <x:v>High cost</x:v>
      </x:c>
    </x:row>
    <x:row r="269">
      <x:c r="A269" s="2" t="str">
        <x:v>150037</x:v>
      </x:c>
      <x:c r="B269" s="2" t="str">
        <x:v>HANCOCK REGIONAL HOSPITAL</x:v>
      </x:c>
      <x:c r="C269" s="2" t="str">
        <x:v>GREENFIELD</x:v>
      </x:c>
      <x:c r="D269" s="2" t="str">
        <x:v>IN</x:v>
      </x:c>
      <x:c r="E269" s="2" t="str">
        <x:v>Acute Care Hospitals</x:v>
      </x:c>
      <x:c r="F269" s="2" t="str">
        <x:v>Government</x:v>
      </x:c>
      <x:c r="G269" s="2" t="str">
        <x:v>Medium (100-299 beds)</x:v>
      </x:c>
      <x:c r="H269" s="7" t="n">
        <x:v>4</x:v>
      </x:c>
      <x:c r="I269" s="7" t="n">
        <x:v>4</x:v>
      </x:c>
      <x:c r="J269" s="7" t="n">
        <x:v>1.03</x:v>
      </x:c>
      <x:c r="K269" s="8" t="n">
        <x:v>107</x:v>
      </x:c>
      <x:c r="L269" s="8" t="n">
        <x:v>2839</x:v>
      </x:c>
      <x:c r="M269" s="9" t="n">
        <x:v>0.2812930902</x:v>
      </x:c>
      <x:c r="N269" s="10" t="n">
        <x:v>71518.2532581895</x:v>
      </x:c>
      <x:c r="O269" s="9" t="n">
        <x:v>-0.2822030398</x:v>
      </x:c>
      <x:c r="P269" s="9" t="n">
        <x:v>0.9527302363</x:v>
      </x:c>
      <x:c r="Q269" s="9" t="n">
        <x:v>0.6022819886</x:v>
      </x:c>
      <x:c r="R269" s="3" t="b">
        <x:v>1</x:v>
      </x:c>
      <x:c r="S269" s="3" t="b">
        <x:v>0</x:v>
      </x:c>
      <x:c r="T269" s="3" t="b">
        <x:v>0</x:v>
      </x:c>
      <x:c r="U269" s="2" t="str">
        <x:f>IF(T269=TRUE,"Priority review",IF(R269=TRUE,"High cost",IF(S269=TRUE,"Low quality","Benchmark")))</x:f>
        <x:v>High cost</x:v>
      </x:c>
    </x:row>
    <x:row r="270">
      <x:c r="A270" s="2" t="str">
        <x:v>050025</x:v>
      </x:c>
      <x:c r="B270" s="2" t="str">
        <x:v>UC SAN DIEGO HEALTH HILLCREST - HILLCREST MED CTR</x:v>
      </x:c>
      <x:c r="C270" s="2" t="str">
        <x:v>SAN DIEGO</x:v>
      </x:c>
      <x:c r="D270" s="2" t="str">
        <x:v>CA</x:v>
      </x:c>
      <x:c r="E270" s="2" t="str">
        <x:v>Acute Care Hospitals</x:v>
      </x:c>
      <x:c r="F270" s="2" t="str">
        <x:v>Voluntary non-profit</x:v>
      </x:c>
      <x:c r="G270" s="2" t="str">
        <x:v>Large (300+ beds)</x:v>
      </x:c>
      <x:c r="H270" s="7" t="n">
        <x:v>5</x:v>
      </x:c>
      <x:c r="I270" s="7" t="n">
        <x:v>3</x:v>
      </x:c>
      <x:c r="J270" s="7" t="n">
        <x:v>0.99</x:v>
      </x:c>
      <x:c r="K270" s="8" t="n">
        <x:v>840</x:v>
      </x:c>
      <x:c r="L270" s="8" t="n">
        <x:v>41182</x:v>
      </x:c>
      <x:c r="M270" s="9" t="n">
        <x:v>0.8642237443</x:v>
      </x:c>
      <x:c r="N270" s="10" t="n">
        <x:v>94050.0345053664</x:v>
      </x:c>
      <x:c r="O270" s="9" t="n">
        <x:v>0.0594395904</x:v>
      </x:c>
      <x:c r="P270" s="9" t="n">
        <x:v>0.952681388</x:v>
      </x:c>
      <x:c r="Q270" s="9" t="n">
        <x:v>0.8722397476</x:v>
      </x:c>
      <x:c r="R270" s="3" t="b">
        <x:v>1</x:v>
      </x:c>
      <x:c r="S270" s="3" t="b">
        <x:v>0</x:v>
      </x:c>
      <x:c r="T270" s="3" t="b">
        <x:v>0</x:v>
      </x:c>
      <x:c r="U270" s="2" t="str">
        <x:f>IF(T270=TRUE,"Priority review",IF(R270=TRUE,"High cost",IF(S270=TRUE,"Low quality","Benchmark")))</x:f>
        <x:v>High cost</x:v>
      </x:c>
    </x:row>
    <x:row r="271">
      <x:c r="A271" s="2" t="str">
        <x:v>430090</x:v>
      </x:c>
      <x:c r="B271" s="2" t="str">
        <x:v>SIOUX FALLS SPECIALTY HOSPITAL</x:v>
      </x:c>
      <x:c r="C271" s="2" t="str">
        <x:v>SIOUX FALLS</x:v>
      </x:c>
      <x:c r="D271" s="2" t="str">
        <x:v>SD</x:v>
      </x:c>
      <x:c r="E271" s="2" t="str">
        <x:v>Acute Care Hospitals</x:v>
      </x:c>
      <x:c r="F271" s="2" t="str">
        <x:v>Proprietary</x:v>
      </x:c>
      <x:c r="G271" s="2" t="str">
        <x:v>Small (&lt;100 beds)</x:v>
      </x:c>
      <x:c r="H271" s="7"/>
      <x:c r="I271" s="7" t="n">
        <x:v>5</x:v>
      </x:c>
      <x:c r="J271" s="7" t="n">
        <x:v>0.94</x:v>
      </x:c>
      <x:c r="K271" s="8" t="n">
        <x:v>33</x:v>
      </x:c>
      <x:c r="L271" s="8" t="n">
        <x:v>444</x:v>
      </x:c>
      <x:c r="M271" s="9" t="n">
        <x:v>0.072362974</x:v>
      </x:c>
      <x:c r="N271" s="10" t="n">
        <x:v>252925.9954954955</x:v>
      </x:c>
      <x:c r="O271" s="9" t="n">
        <x:v>0.2698342919</x:v>
      </x:c>
      <x:c r="P271" s="9" t="n">
        <x:v>0.9524236984</x:v>
      </x:c>
      <x:c r="Q271" s="9" t="n">
        <x:v>0.697486535</x:v>
      </x:c>
      <x:c r="R271" s="3" t="b">
        <x:v>1</x:v>
      </x:c>
      <x:c r="S271" s="3" t="b">
        <x:v>0</x:v>
      </x:c>
      <x:c r="T271" s="3" t="b">
        <x:v>0</x:v>
      </x:c>
      <x:c r="U271" s="2" t="str">
        <x:f>IF(T271=TRUE,"Priority review",IF(R271=TRUE,"High cost",IF(S271=TRUE,"Low quality","Benchmark")))</x:f>
        <x:v>High cost</x:v>
      </x:c>
    </x:row>
    <x:row r="272">
      <x:c r="A272" s="2" t="str">
        <x:v>511304</x:v>
      </x:c>
      <x:c r="B272" s="2" t="str">
        <x:v>SISTERSVILLE GENERAL HOSPITAL</x:v>
      </x:c>
      <x:c r="C272" s="2" t="str">
        <x:v>SISTERSVILLE</x:v>
      </x:c>
      <x:c r="D272" s="2" t="str">
        <x:v>WV</x:v>
      </x:c>
      <x:c r="E272" s="2" t="str">
        <x:v>Critical Access Hospitals</x:v>
      </x:c>
      <x:c r="F272" s="2" t="str">
        <x:v>Proprietary</x:v>
      </x:c>
      <x:c r="G272" s="2" t="str">
        <x:v>Small (&lt;100 beds)</x:v>
      </x:c>
      <x:c r="H272" s="7"/>
      <x:c r="I272" s="7"/>
      <x:c r="J272" s="7"/>
      <x:c r="K272" s="8" t="n">
        <x:v>6</x:v>
      </x:c>
      <x:c r="L272" s="8" t="n">
        <x:v>41</x:v>
      </x:c>
      <x:c r="M272" s="9" t="n">
        <x:v>0.2973588342</x:v>
      </x:c>
      <x:c r="N272" s="10" t="n">
        <x:v>593239.0975609756</x:v>
      </x:c>
      <x:c r="O272" s="9" t="n">
        <x:v>0.0694122753</x:v>
      </x:c>
      <x:c r="P272" s="9" t="n">
        <x:v>0.9524163569</x:v>
      </x:c>
      <x:c r="Q272" s="9" t="n">
        <x:v>0.292936803</x:v>
      </x:c>
      <x:c r="R272" s="3" t="b">
        <x:v>1</x:v>
      </x:c>
      <x:c r="S272" s="3" t="b">
        <x:v>0</x:v>
      </x:c>
      <x:c r="T272" s="3" t="b">
        <x:v>0</x:v>
      </x:c>
      <x:c r="U272" s="2" t="str">
        <x:f>IF(T272=TRUE,"Priority review",IF(R272=TRUE,"High cost",IF(S272=TRUE,"Low quality","Benchmark")))</x:f>
        <x:v>High cost</x:v>
      </x:c>
    </x:row>
    <x:row r="273">
      <x:c r="A273" s="2" t="str">
        <x:v>330011</x:v>
      </x:c>
      <x:c r="B273" s="2" t="str">
        <x:v>OUR LADY OF LOURDES MEMORIAL HOSPITAL, INC</x:v>
      </x:c>
      <x:c r="C273" s="2" t="str">
        <x:v>BINGHAMTON</x:v>
      </x:c>
      <x:c r="D273" s="2" t="str">
        <x:v>NY</x:v>
      </x:c>
      <x:c r="E273" s="2" t="str">
        <x:v>Acute Care Hospitals</x:v>
      </x:c>
      <x:c r="F273" s="2" t="str">
        <x:v>Voluntary non-profit</x:v>
      </x:c>
      <x:c r="G273" s="2" t="str">
        <x:v>Medium (100-299 beds)</x:v>
      </x:c>
      <x:c r="H273" s="7" t="n">
        <x:v>3</x:v>
      </x:c>
      <x:c r="I273" s="7" t="n">
        <x:v>2</x:v>
      </x:c>
      <x:c r="J273" s="7" t="n">
        <x:v>0.92</x:v>
      </x:c>
      <x:c r="K273" s="8" t="n">
        <x:v>175</x:v>
      </x:c>
      <x:c r="L273" s="8" t="n">
        <x:v>8098</x:v>
      </x:c>
      <x:c r="M273" s="9" t="n">
        <x:v>0.5769863014</x:v>
      </x:c>
      <x:c r="N273" s="10" t="n">
        <x:v>71502.4455421092</x:v>
      </x:c>
      <x:c r="O273" s="9" t="n">
        <x:v>-0.1529599784</x:v>
      </x:c>
      <x:c r="P273" s="9" t="n">
        <x:v>0.9519152404</x:v>
      </x:c>
      <x:c r="Q273" s="9" t="n">
        <x:v>0.3023634882</x:v>
      </x:c>
      <x:c r="R273" s="3" t="b">
        <x:v>1</x:v>
      </x:c>
      <x:c r="S273" s="3" t="b">
        <x:v>0</x:v>
      </x:c>
      <x:c r="T273" s="3" t="b">
        <x:v>0</x:v>
      </x:c>
      <x:c r="U273" s="2" t="str">
        <x:f>IF(T273=TRUE,"Priority review",IF(R273=TRUE,"High cost",IF(S273=TRUE,"Low quality","Benchmark")))</x:f>
        <x:v>High cost</x:v>
      </x:c>
    </x:row>
    <x:row r="274">
      <x:c r="A274" s="2" t="str">
        <x:v>451335</x:v>
      </x:c>
      <x:c r="B274" s="2" t="str">
        <x:v>MUENSTER MEMORIAL HOSPITAL</x:v>
      </x:c>
      <x:c r="C274" s="2" t="str">
        <x:v>MUENSTER</x:v>
      </x:c>
      <x:c r="D274" s="2" t="str">
        <x:v>TX</x:v>
      </x:c>
      <x:c r="E274" s="2" t="str">
        <x:v>Critical Access Hospitals</x:v>
      </x:c>
      <x:c r="F274" s="2" t="str">
        <x:v>Government</x:v>
      </x:c>
      <x:c r="G274" s="2" t="str">
        <x:v>Small (&lt;100 beds)</x:v>
      </x:c>
      <x:c r="H274" s="7"/>
      <x:c r="I274" s="7"/>
      <x:c r="J274" s="7"/>
      <x:c r="K274" s="8" t="n">
        <x:v>18</x:v>
      </x:c>
      <x:c r="L274" s="8" t="n">
        <x:v>24</x:v>
      </x:c>
      <x:c r="M274" s="9" t="n">
        <x:v>0.5127853881</x:v>
      </x:c>
      <x:c r="N274" s="10" t="n">
        <x:v>581776.7916666666</x:v>
      </x:c>
      <x:c r="O274" s="9" t="n">
        <x:v>-0.3555365273</x:v>
      </x:c>
      <x:c r="P274" s="9" t="n">
        <x:v>0.9516728625</x:v>
      </x:c>
      <x:c r="Q274" s="9" t="n">
        <x:v>0.292936803</x:v>
      </x:c>
      <x:c r="R274" s="3" t="b">
        <x:v>1</x:v>
      </x:c>
      <x:c r="S274" s="3" t="b">
        <x:v>0</x:v>
      </x:c>
      <x:c r="T274" s="3" t="b">
        <x:v>0</x:v>
      </x:c>
      <x:c r="U274" s="2" t="str">
        <x:f>IF(T274=TRUE,"Priority review",IF(R274=TRUE,"High cost",IF(S274=TRUE,"Low quality","Benchmark")))</x:f>
        <x:v>High cost</x:v>
      </x:c>
    </x:row>
    <x:row r="275">
      <x:c r="A275" s="2" t="str">
        <x:v>150177</x:v>
      </x:c>
      <x:c r="B275" s="2" t="str">
        <x:v>UNITY PHYSICIANS HOSPITAL</x:v>
      </x:c>
      <x:c r="C275" s="2" t="str">
        <x:v>MISHAWAKA</x:v>
      </x:c>
      <x:c r="D275" s="2" t="str">
        <x:v>IN</x:v>
      </x:c>
      <x:c r="E275" s="2" t="str">
        <x:v>Acute Care Hospitals</x:v>
      </x:c>
      <x:c r="F275" s="2" t="str">
        <x:v>Other / unknown</x:v>
      </x:c>
      <x:c r="G275" s="2" t="str">
        <x:v>Small (&lt;100 beds)</x:v>
      </x:c>
      <x:c r="H275" s="7"/>
      <x:c r="I275" s="7" t="n">
        <x:v>4</x:v>
      </x:c>
      <x:c r="J275" s="7" t="n">
        <x:v>0.9</x:v>
      </x:c>
      <x:c r="K275" s="8" t="n">
        <x:v>29</x:v>
      </x:c>
      <x:c r="L275" s="8" t="n">
        <x:v>342</x:v>
      </x:c>
      <x:c r="M275" s="9" t="n">
        <x:v>0.0734878462</x:v>
      </x:c>
      <x:c r="N275" s="10" t="n">
        <x:v>249363.7105263158</x:v>
      </x:c>
      <x:c r="O275" s="9" t="n">
        <x:v>-0.0001268183</x:v>
      </x:c>
      <x:c r="P275" s="9" t="n">
        <x:v>0.9515260323</x:v>
      </x:c>
      <x:c r="Q275" s="9" t="n">
        <x:v>0.697486535</x:v>
      </x:c>
      <x:c r="R275" s="3" t="b">
        <x:v>1</x:v>
      </x:c>
      <x:c r="S275" s="3" t="b">
        <x:v>0</x:v>
      </x:c>
      <x:c r="T275" s="3" t="b">
        <x:v>0</x:v>
      </x:c>
      <x:c r="U275" s="2" t="str">
        <x:f>IF(T275=TRUE,"Priority review",IF(R275=TRUE,"High cost",IF(S275=TRUE,"Low quality","Benchmark")))</x:f>
        <x:v>High cost</x:v>
      </x:c>
    </x:row>
    <x:row r="276">
      <x:c r="A276" s="2" t="str">
        <x:v>104007</x:v>
      </x:c>
      <x:c r="B276" s="2" t="str">
        <x:v>NORTHEAST FLORIDA STATE HOSPITAL</x:v>
      </x:c>
      <x:c r="C276" s="2" t="str">
        <x:v>MACCLENNY</x:v>
      </x:c>
      <x:c r="D276" s="2" t="str">
        <x:v>FL</x:v>
      </x:c>
      <x:c r="E276" s="2" t="str">
        <x:v>Psychiatric</x:v>
      </x:c>
      <x:c r="F276" s="2" t="str">
        <x:v>Government</x:v>
      </x:c>
      <x:c r="G276" s="2" t="str">
        <x:v>Small (&lt;100 beds)</x:v>
      </x:c>
      <x:c r="H276" s="7"/>
      <x:c r="I276" s="7"/>
      <x:c r="J276" s="7"/>
      <x:c r="K276" s="8" t="n">
        <x:v>60</x:v>
      </x:c>
      <x:c r="L276" s="8" t="n">
        <x:v>374</x:v>
      </x:c>
      <x:c r="M276" s="9" t="n">
        <x:v>0.9929680365</x:v>
      </x:c>
      <x:c r="N276" s="10" t="n">
        <x:v>283372.3235294117</x:v>
      </x:c>
      <x:c r="O276" s="9" t="n">
        <x:v>-12.9397508131</x:v>
      </x:c>
      <x:c r="P276" s="9" t="n">
        <x:v>0.9514563107</x:v>
      </x:c>
      <x:c r="Q276" s="9" t="n">
        <x:v>0</x:v>
      </x:c>
      <x:c r="R276" s="3" t="b">
        <x:v>1</x:v>
      </x:c>
      <x:c r="S276" s="3" t="b">
        <x:v>0</x:v>
      </x:c>
      <x:c r="T276" s="3" t="b">
        <x:v>0</x:v>
      </x:c>
      <x:c r="U276" s="2" t="str">
        <x:f>IF(T276=TRUE,"Priority review",IF(R276=TRUE,"High cost",IF(S276=TRUE,"Low quality","Benchmark")))</x:f>
        <x:v>High cost</x:v>
      </x:c>
    </x:row>
    <x:row r="277">
      <x:c r="A277" s="2" t="str">
        <x:v>140150</x:v>
      </x:c>
      <x:c r="B277" s="2" t="str">
        <x:v>UNIVERSITY OF ILLINOIS HOSPITAL AND CLINICS</x:v>
      </x:c>
      <x:c r="C277" s="2" t="str">
        <x:v>CHICAGO</x:v>
      </x:c>
      <x:c r="D277" s="2" t="str">
        <x:v>IL</x:v>
      </x:c>
      <x:c r="E277" s="2" t="str">
        <x:v>Acute Care Hospitals</x:v>
      </x:c>
      <x:c r="F277" s="2" t="str">
        <x:v>Government</x:v>
      </x:c>
      <x:c r="G277" s="2" t="str">
        <x:v>Large (300+ beds)</x:v>
      </x:c>
      <x:c r="H277" s="7" t="n">
        <x:v>4</x:v>
      </x:c>
      <x:c r="I277" s="7" t="n">
        <x:v>3</x:v>
      </x:c>
      <x:c r="J277" s="7" t="n">
        <x:v>1.04</x:v>
      </x:c>
      <x:c r="K277" s="8" t="n">
        <x:v>401</x:v>
      </x:c>
      <x:c r="L277" s="8" t="n">
        <x:v>17601</x:v>
      </x:c>
      <x:c r="M277" s="9" t="n">
        <x:v>0.7586308202</x:v>
      </x:c>
      <x:c r="N277" s="10" t="n">
        <x:v>92953.0573831032</x:v>
      </x:c>
      <x:c r="O277" s="9" t="n">
        <x:v>-0.243621103</x:v>
      </x:c>
      <x:c r="P277" s="9" t="n">
        <x:v>0.9511041009</x:v>
      </x:c>
      <x:c r="Q277" s="9" t="n">
        <x:v>0.5899053628</x:v>
      </x:c>
      <x:c r="R277" s="3" t="b">
        <x:v>1</x:v>
      </x:c>
      <x:c r="S277" s="3" t="b">
        <x:v>0</x:v>
      </x:c>
      <x:c r="T277" s="3" t="b">
        <x:v>0</x:v>
      </x:c>
      <x:c r="U277" s="2" t="str">
        <x:f>IF(T277=TRUE,"Priority review",IF(R277=TRUE,"High cost",IF(S277=TRUE,"Low quality","Benchmark")))</x:f>
        <x:v>High cost</x:v>
      </x:c>
    </x:row>
    <x:row r="278">
      <x:c r="A278" s="2" t="str">
        <x:v>520075</x:v>
      </x:c>
      <x:c r="B278" s="2" t="str">
        <x:v>ST VINCENT HOSPITAL</x:v>
      </x:c>
      <x:c r="C278" s="2" t="str">
        <x:v>GREEN BAY</x:v>
      </x:c>
      <x:c r="D278" s="2" t="str">
        <x:v>WI</x:v>
      </x:c>
      <x:c r="E278" s="2" t="str">
        <x:v>Acute Care Hospitals</x:v>
      </x:c>
      <x:c r="F278" s="2" t="str">
        <x:v>Voluntary non-profit</x:v>
      </x:c>
      <x:c r="G278" s="2" t="str">
        <x:v>Medium (100-299 beds)</x:v>
      </x:c>
      <x:c r="H278" s="7" t="n">
        <x:v>4</x:v>
      </x:c>
      <x:c r="I278" s="7" t="n">
        <x:v>3</x:v>
      </x:c>
      <x:c r="J278" s="7" t="n">
        <x:v>0.99</x:v>
      </x:c>
      <x:c r="K278" s="8" t="n">
        <x:v>210</x:v>
      </x:c>
      <x:c r="L278" s="8" t="n">
        <x:v>10219</x:v>
      </x:c>
      <x:c r="M278" s="9" t="n">
        <x:v>0.6952250489</x:v>
      </x:c>
      <x:c r="N278" s="10" t="n">
        <x:v>70982.8112339759</x:v>
      </x:c>
      <x:c r="O278" s="9" t="n">
        <x:v>0.0235174171</x:v>
      </x:c>
      <x:c r="P278" s="9" t="n">
        <x:v>0.9511002445</x:v>
      </x:c>
      <x:c r="Q278" s="9" t="n">
        <x:v>0.6022819886</x:v>
      </x:c>
      <x:c r="R278" s="3" t="b">
        <x:v>1</x:v>
      </x:c>
      <x:c r="S278" s="3" t="b">
        <x:v>0</x:v>
      </x:c>
      <x:c r="T278" s="3" t="b">
        <x:v>0</x:v>
      </x:c>
      <x:c r="U278" s="2" t="str">
        <x:f>IF(T278=TRUE,"Priority review",IF(R278=TRUE,"High cost",IF(S278=TRUE,"Low quality","Benchmark")))</x:f>
        <x:v>High cost</x:v>
      </x:c>
    </x:row>
    <x:row r="279">
      <x:c r="A279" s="2" t="str">
        <x:v>330406</x:v>
      </x:c>
      <x:c r="B279" s="2" t="str">
        <x:v>SUNNYVIEW HOSPITAL AND REHABILITATION CENTER</x:v>
      </x:c>
      <x:c r="C279" s="2" t="str">
        <x:v>SCHENECTADY</x:v>
      </x:c>
      <x:c r="D279" s="2" t="str">
        <x:v>NY</x:v>
      </x:c>
      <x:c r="E279" s="2" t="str">
        <x:v>Acute Care Hospitals</x:v>
      </x:c>
      <x:c r="F279" s="2" t="str">
        <x:v>Voluntary non-profit</x:v>
      </x:c>
      <x:c r="G279" s="2" t="str">
        <x:v>Small (&lt;100 beds)</x:v>
      </x:c>
      <x:c r="H279" s="7"/>
      <x:c r="I279" s="7"/>
      <x:c r="J279" s="7" t="n">
        <x:v>0.86</x:v>
      </x:c>
      <x:c r="K279" s="8" t="n">
        <x:v>17</x:v>
      </x:c>
      <x:c r="L279" s="8" t="n">
        <x:v>292</x:v>
      </x:c>
      <x:c r="M279" s="9" t="n">
        <x:v>0.4905721193</x:v>
      </x:c>
      <x:c r="N279" s="10" t="n">
        <x:v>249308.2089041096</x:v>
      </x:c>
      <x:c r="O279" s="9" t="n">
        <x:v>-0.0165400078</x:v>
      </x:c>
      <x:c r="P279" s="9" t="n">
        <x:v>0.9506283662</x:v>
      </x:c>
      <x:c r="Q279" s="9" t="n">
        <x:v>0.697486535</x:v>
      </x:c>
      <x:c r="R279" s="3" t="b">
        <x:v>1</x:v>
      </x:c>
      <x:c r="S279" s="3" t="b">
        <x:v>0</x:v>
      </x:c>
      <x:c r="T279" s="3" t="b">
        <x:v>0</x:v>
      </x:c>
      <x:c r="U279" s="2" t="str">
        <x:f>IF(T279=TRUE,"Priority review",IF(R279=TRUE,"High cost",IF(S279=TRUE,"Low quality","Benchmark")))</x:f>
        <x:v>High cost</x:v>
      </x:c>
    </x:row>
    <x:row r="280">
      <x:c r="A280" s="2" t="str">
        <x:v>030014</x:v>
      </x:c>
      <x:c r="B280" s="2" t="str">
        <x:v>HONOR HEALTH JOHN C. LINCOLN MEDICAL CENTER</x:v>
      </x:c>
      <x:c r="C280" s="2" t="str">
        <x:v>PHOENIX</x:v>
      </x:c>
      <x:c r="D280" s="2" t="str">
        <x:v>AZ</x:v>
      </x:c>
      <x:c r="E280" s="2" t="str">
        <x:v>Acute Care Hospitals</x:v>
      </x:c>
      <x:c r="F280" s="2" t="str">
        <x:v>Voluntary non-profit</x:v>
      </x:c>
      <x:c r="G280" s="2" t="str">
        <x:v>Medium (100-299 beds)</x:v>
      </x:c>
      <x:c r="H280" s="7" t="n">
        <x:v>3</x:v>
      </x:c>
      <x:c r="I280" s="7" t="n">
        <x:v>3</x:v>
      </x:c>
      <x:c r="J280" s="7" t="n">
        <x:v>0.98</x:v>
      </x:c>
      <x:c r="K280" s="8" t="n">
        <x:v>239</x:v>
      </x:c>
      <x:c r="L280" s="8" t="n">
        <x:v>12148</x:v>
      </x:c>
      <x:c r="M280" s="9" t="n">
        <x:v>0.7089813599</x:v>
      </x:c>
      <x:c r="N280" s="10" t="n">
        <x:v>70705.6397760948</x:v>
      </x:c>
      <x:c r="O280" s="9" t="n">
        <x:v>-0.0592293651</x:v>
      </x:c>
      <x:c r="P280" s="9" t="n">
        <x:v>0.9502852486</x:v>
      </x:c>
      <x:c r="Q280" s="9" t="n">
        <x:v>0.3023634882</x:v>
      </x:c>
      <x:c r="R280" s="3" t="b">
        <x:v>1</x:v>
      </x:c>
      <x:c r="S280" s="3" t="b">
        <x:v>0</x:v>
      </x:c>
      <x:c r="T280" s="3" t="b">
        <x:v>0</x:v>
      </x:c>
      <x:c r="U280" s="2" t="str">
        <x:f>IF(T280=TRUE,"Priority review",IF(R280=TRUE,"High cost",IF(S280=TRUE,"Low quality","Benchmark")))</x:f>
        <x:v>High cost</x:v>
      </x:c>
    </x:row>
    <x:row r="281">
      <x:c r="A281" s="2" t="str">
        <x:v>234035</x:v>
      </x:c>
      <x:c r="B281" s="2" t="str">
        <x:v>WALTER P REUTHER PSYCHIATRIC HOSPITAL</x:v>
      </x:c>
      <x:c r="C281" s="2" t="str">
        <x:v>WESTLAND</x:v>
      </x:c>
      <x:c r="D281" s="2" t="str">
        <x:v>MI</x:v>
      </x:c>
      <x:c r="E281" s="2" t="str">
        <x:v>Psychiatric</x:v>
      </x:c>
      <x:c r="F281" s="2" t="str">
        <x:v>Government</x:v>
      </x:c>
      <x:c r="G281" s="2" t="str">
        <x:v>Medium (100-299 beds)</x:v>
      </x:c>
      <x:c r="H281" s="7"/>
      <x:c r="I281" s="7"/>
      <x:c r="J281" s="7"/>
      <x:c r="K281" s="8" t="n">
        <x:v>108</x:v>
      </x:c>
      <x:c r="L281" s="8" t="n">
        <x:v>141</x:v>
      </x:c>
      <x:c r="M281" s="9" t="n">
        <x:v>0.8553683465</x:v>
      </x:c>
      <x:c r="N281" s="10" t="n">
        <x:v>452955.5744680851</x:v>
      </x:c>
      <x:c r="O281" s="9" t="n">
        <x:v>-5.91924513</x:v>
      </x:c>
      <x:c r="P281" s="9" t="n">
        <x:v>0.9502487562</x:v>
      </x:c>
      <x:c r="Q281" s="9" t="n">
        <x:v>0</x:v>
      </x:c>
      <x:c r="R281" s="3" t="b">
        <x:v>1</x:v>
      </x:c>
      <x:c r="S281" s="3" t="b">
        <x:v>0</x:v>
      </x:c>
      <x:c r="T281" s="3" t="b">
        <x:v>0</x:v>
      </x:c>
      <x:c r="U281" s="2" t="str">
        <x:f>IF(T281=TRUE,"Priority review",IF(R281=TRUE,"High cost",IF(S281=TRUE,"Low quality","Benchmark")))</x:f>
        <x:v>High cost</x:v>
      </x:c>
    </x:row>
    <x:row r="282">
      <x:c r="A282" s="2" t="str">
        <x:v>231310</x:v>
      </x:c>
      <x:c r="B282" s="2" t="str">
        <x:v>SCHEURER HOSPITAL</x:v>
      </x:c>
      <x:c r="C282" s="2" t="str">
        <x:v>PIGEON</x:v>
      </x:c>
      <x:c r="D282" s="2" t="str">
        <x:v>MI</x:v>
      </x:c>
      <x:c r="E282" s="2" t="str">
        <x:v>Critical Access Hospitals</x:v>
      </x:c>
      <x:c r="F282" s="2" t="str">
        <x:v>Voluntary non-profit</x:v>
      </x:c>
      <x:c r="G282" s="2" t="str">
        <x:v>Small (&lt;100 beds)</x:v>
      </x:c>
      <x:c r="H282" s="7"/>
      <x:c r="I282" s="7"/>
      <x:c r="J282" s="7"/>
      <x:c r="K282" s="8" t="n">
        <x:v>25</x:v>
      </x:c>
      <x:c r="L282" s="8" t="n">
        <x:v>128</x:v>
      </x:c>
      <x:c r="M282" s="9" t="n">
        <x:v>0.1826849315</x:v>
      </x:c>
      <x:c r="N282" s="10" t="n">
        <x:v>577357.9765625</x:v>
      </x:c>
      <x:c r="O282" s="9" t="n">
        <x:v>-0.1026624958</x:v>
      </x:c>
      <x:c r="P282" s="9" t="n">
        <x:v>0.9501858736</x:v>
      </x:c>
      <x:c r="Q282" s="9" t="n">
        <x:v>0.292936803</x:v>
      </x:c>
      <x:c r="R282" s="3" t="b">
        <x:v>1</x:v>
      </x:c>
      <x:c r="S282" s="3" t="b">
        <x:v>0</x:v>
      </x:c>
      <x:c r="T282" s="3" t="b">
        <x:v>0</x:v>
      </x:c>
      <x:c r="U282" s="2" t="str">
        <x:f>IF(T282=TRUE,"Priority review",IF(R282=TRUE,"High cost",IF(S282=TRUE,"Low quality","Benchmark")))</x:f>
        <x:v>High cost</x:v>
      </x:c>
    </x:row>
    <x:row r="283">
      <x:c r="A283" s="2" t="str">
        <x:v>190302</x:v>
      </x:c>
      <x:c r="B283" s="2" t="str">
        <x:v>OMEGA HOSPITAL, LLC</x:v>
      </x:c>
      <x:c r="C283" s="2" t="str">
        <x:v>METAIRIE</x:v>
      </x:c>
      <x:c r="D283" s="2" t="str">
        <x:v>LA</x:v>
      </x:c>
      <x:c r="E283" s="2" t="str">
        <x:v>Acute Care Hospitals</x:v>
      </x:c>
      <x:c r="F283" s="2" t="str">
        <x:v>Other / unknown</x:v>
      </x:c>
      <x:c r="G283" s="2" t="str">
        <x:v>Small (&lt;100 beds)</x:v>
      </x:c>
      <x:c r="H283" s="7"/>
      <x:c r="I283" s="7"/>
      <x:c r="J283" s="7"/>
      <x:c r="K283" s="8" t="n">
        <x:v>10</x:v>
      </x:c>
      <x:c r="L283" s="8" t="n">
        <x:v>73</x:v>
      </x:c>
      <x:c r="M283" s="9" t="n">
        <x:v>0.0308743169</x:v>
      </x:c>
      <x:c r="N283" s="10" t="n">
        <x:v>248460.4109589041</x:v>
      </x:c>
      <x:c r="O283" s="9" t="n">
        <x:v>0.1781083561</x:v>
      </x:c>
      <x:c r="P283" s="9" t="n">
        <x:v>0.9497307002</x:v>
      </x:c>
      <x:c r="Q283" s="9" t="n">
        <x:v>0.697486535</x:v>
      </x:c>
      <x:c r="R283" s="3" t="b">
        <x:v>1</x:v>
      </x:c>
      <x:c r="S283" s="3" t="b">
        <x:v>0</x:v>
      </x:c>
      <x:c r="T283" s="3" t="b">
        <x:v>0</x:v>
      </x:c>
      <x:c r="U283" s="2" t="str">
        <x:f>IF(T283=TRUE,"Priority review",IF(R283=TRUE,"High cost",IF(S283=TRUE,"Low quality","Benchmark")))</x:f>
        <x:v>High cost</x:v>
      </x:c>
    </x:row>
    <x:row r="284">
      <x:c r="A284" s="2" t="str">
        <x:v>390090</x:v>
      </x:c>
      <x:c r="B284" s="2" t="str">
        <x:v>WEST PENN HOSPITAL</x:v>
      </x:c>
      <x:c r="C284" s="2" t="str">
        <x:v>PITTSBURGH</x:v>
      </x:c>
      <x:c r="D284" s="2" t="str">
        <x:v>PA</x:v>
      </x:c>
      <x:c r="E284" s="2" t="str">
        <x:v>Acute Care Hospitals</x:v>
      </x:c>
      <x:c r="F284" s="2" t="str">
        <x:v>Voluntary non-profit</x:v>
      </x:c>
      <x:c r="G284" s="2" t="str">
        <x:v>Medium (100-299 beds)</x:v>
      </x:c>
      <x:c r="H284" s="7" t="n">
        <x:v>3</x:v>
      </x:c>
      <x:c r="I284" s="7" t="n">
        <x:v>4</x:v>
      </x:c>
      <x:c r="J284" s="7" t="n">
        <x:v>1.07</x:v>
      </x:c>
      <x:c r="K284" s="8" t="n">
        <x:v>255</x:v>
      </x:c>
      <x:c r="L284" s="8" t="n">
        <x:v>11309</x:v>
      </x:c>
      <x:c r="M284" s="9" t="n">
        <x:v>0.7850443191</x:v>
      </x:c>
      <x:c r="N284" s="10" t="n">
        <x:v>70569.3140861261</x:v>
      </x:c>
      <x:c r="O284" s="9" t="n">
        <x:v>0.1356141595</x:v>
      </x:c>
      <x:c r="P284" s="9" t="n">
        <x:v>0.9494702526</x:v>
      </x:c>
      <x:c r="Q284" s="9" t="n">
        <x:v>0.3023634882</x:v>
      </x:c>
      <x:c r="R284" s="3" t="b">
        <x:v>1</x:v>
      </x:c>
      <x:c r="S284" s="3" t="b">
        <x:v>0</x:v>
      </x:c>
      <x:c r="T284" s="3" t="b">
        <x:v>0</x:v>
      </x:c>
      <x:c r="U284" s="2" t="str">
        <x:f>IF(T284=TRUE,"Priority review",IF(R284=TRUE,"High cost",IF(S284=TRUE,"Low quality","Benchmark")))</x:f>
        <x:v>High cost</x:v>
      </x:c>
    </x:row>
    <x:row r="285">
      <x:c r="A285" s="2" t="str">
        <x:v>451374</x:v>
      </x:c>
      <x:c r="B285" s="2" t="str">
        <x:v>BAYLOR SCOTT &amp; WHITE MEDICAL CENTER -TAYLOR</x:v>
      </x:c>
      <x:c r="C285" s="2" t="str">
        <x:v>TAYLOR</x:v>
      </x:c>
      <x:c r="D285" s="2" t="str">
        <x:v>TX</x:v>
      </x:c>
      <x:c r="E285" s="2" t="str">
        <x:v>Critical Access Hospitals</x:v>
      </x:c>
      <x:c r="F285" s="2" t="str">
        <x:v>Voluntary non-profit</x:v>
      </x:c>
      <x:c r="G285" s="2" t="str">
        <x:v>Small (&lt;100 beds)</x:v>
      </x:c>
      <x:c r="H285" s="7"/>
      <x:c r="I285" s="7"/>
      <x:c r="J285" s="7"/>
      <x:c r="K285" s="8" t="n">
        <x:v>25</x:v>
      </x:c>
      <x:c r="L285" s="8" t="n">
        <x:v>418</x:v>
      </x:c>
      <x:c r="M285" s="9" t="n">
        <x:v>0.2419672131</x:v>
      </x:c>
      <x:c r="N285" s="10" t="n">
        <x:v>568346.1220095694</x:v>
      </x:c>
      <x:c r="O285" s="9" t="n">
        <x:v>-0.334400637</x:v>
      </x:c>
      <x:c r="P285" s="9" t="n">
        <x:v>0.9494423792</x:v>
      </x:c>
      <x:c r="Q285" s="9" t="n">
        <x:v>0.292936803</x:v>
      </x:c>
      <x:c r="R285" s="3" t="b">
        <x:v>1</x:v>
      </x:c>
      <x:c r="S285" s="3" t="b">
        <x:v>0</x:v>
      </x:c>
      <x:c r="T285" s="3" t="b">
        <x:v>0</x:v>
      </x:c>
      <x:c r="U285" s="2" t="str">
        <x:f>IF(T285=TRUE,"Priority review",IF(R285=TRUE,"High cost",IF(S285=TRUE,"Low quality","Benchmark")))</x:f>
        <x:v>High cost</x:v>
      </x:c>
    </x:row>
    <x:row r="286">
      <x:c r="A286" s="2" t="str">
        <x:v>670266</x:v>
      </x:c>
      <x:c r="B286" s="2" t="str">
        <x:v>TOWNSEN MEMORIAL HOSPITAL</x:v>
      </x:c>
      <x:c r="C286" s="2" t="str">
        <x:v>HUMBLE</x:v>
      </x:c>
      <x:c r="D286" s="2" t="str">
        <x:v>TX</x:v>
      </x:c>
      <x:c r="E286" s="2" t="str">
        <x:v>Acute Care Hospitals</x:v>
      </x:c>
      <x:c r="F286" s="2" t="str">
        <x:v>Proprietary</x:v>
      </x:c>
      <x:c r="G286" s="2" t="str">
        <x:v>Small (&lt;100 beds)</x:v>
      </x:c>
      <x:c r="H286" s="7"/>
      <x:c r="I286" s="7"/>
      <x:c r="J286" s="7" t="n">
        <x:v>1.1</x:v>
      </x:c>
      <x:c r="K286" s="8" t="n">
        <x:v>5</x:v>
      </x:c>
      <x:c r="L286" s="8" t="n">
        <x:v>556</x:v>
      </x:c>
      <x:c r="M286" s="9" t="n">
        <x:v>0.4338797814</x:v>
      </x:c>
      <x:c r="N286" s="10" t="n">
        <x:v>245482.5683453237</x:v>
      </x:c>
      <x:c r="O286" s="9" t="n">
        <x:v>-0.0000111366</x:v>
      </x:c>
      <x:c r="P286" s="9" t="n">
        <x:v>0.9488330341</x:v>
      </x:c>
      <x:c r="Q286" s="9" t="n">
        <x:v>0.697486535</x:v>
      </x:c>
      <x:c r="R286" s="3" t="b">
        <x:v>1</x:v>
      </x:c>
      <x:c r="S286" s="3" t="b">
        <x:v>0</x:v>
      </x:c>
      <x:c r="T286" s="3" t="b">
        <x:v>0</x:v>
      </x:c>
      <x:c r="U286" s="2" t="str">
        <x:f>IF(T286=TRUE,"Priority review",IF(R286=TRUE,"High cost",IF(S286=TRUE,"Low quality","Benchmark")))</x:f>
        <x:v>High cost</x:v>
      </x:c>
    </x:row>
    <x:row r="287">
      <x:c r="A287" s="2" t="str">
        <x:v>051327</x:v>
      </x:c>
      <x:c r="B287" s="2" t="str">
        <x:v>SENECA DISTRICT HOSPITAL</x:v>
      </x:c>
      <x:c r="C287" s="2" t="str">
        <x:v>CHESTER</x:v>
      </x:c>
      <x:c r="D287" s="2" t="str">
        <x:v>CA</x:v>
      </x:c>
      <x:c r="E287" s="2" t="str">
        <x:v>Critical Access Hospitals</x:v>
      </x:c>
      <x:c r="F287" s="2" t="str">
        <x:v>Government</x:v>
      </x:c>
      <x:c r="G287" s="2" t="str">
        <x:v>Small (&lt;100 beds)</x:v>
      </x:c>
      <x:c r="H287" s="7"/>
      <x:c r="I287" s="7"/>
      <x:c r="J287" s="7"/>
      <x:c r="K287" s="8" t="n">
        <x:v>10</x:v>
      </x:c>
      <x:c r="L287" s="8" t="n">
        <x:v>41</x:v>
      </x:c>
      <x:c r="M287" s="9" t="n">
        <x:v>0.0654794521</x:v>
      </x:c>
      <x:c r="N287" s="10" t="n">
        <x:v>566175.8780487805</x:v>
      </x:c>
      <x:c r="O287" s="9" t="n">
        <x:v>0.1366082189</x:v>
      </x:c>
      <x:c r="P287" s="9" t="n">
        <x:v>0.9486988848</x:v>
      </x:c>
      <x:c r="Q287" s="9" t="n">
        <x:v>0.292936803</x:v>
      </x:c>
      <x:c r="R287" s="3" t="b">
        <x:v>1</x:v>
      </x:c>
      <x:c r="S287" s="3" t="b">
        <x:v>0</x:v>
      </x:c>
      <x:c r="T287" s="3" t="b">
        <x:v>0</x:v>
      </x:c>
      <x:c r="U287" s="2" t="str">
        <x:f>IF(T287=TRUE,"Priority review",IF(R287=TRUE,"High cost",IF(S287=TRUE,"Low quality","Benchmark")))</x:f>
        <x:v>High cost</x:v>
      </x:c>
    </x:row>
    <x:row r="288">
      <x:c r="A288" s="2" t="str">
        <x:v>500025</x:v>
      </x:c>
      <x:c r="B288" s="2" t="str">
        <x:v>SWEDISH MEDICAL CENTER / CHERRY HILL</x:v>
      </x:c>
      <x:c r="C288" s="2" t="str">
        <x:v>SEATTLE</x:v>
      </x:c>
      <x:c r="D288" s="2" t="str">
        <x:v>WA</x:v>
      </x:c>
      <x:c r="E288" s="2" t="str">
        <x:v>Acute Care Hospitals</x:v>
      </x:c>
      <x:c r="F288" s="2" t="str">
        <x:v>Voluntary non-profit</x:v>
      </x:c>
      <x:c r="G288" s="2" t="str">
        <x:v>Medium (100-299 beds)</x:v>
      </x:c>
      <x:c r="H288" s="7" t="n">
        <x:v>4</x:v>
      </x:c>
      <x:c r="I288" s="7" t="n">
        <x:v>3</x:v>
      </x:c>
      <x:c r="J288" s="7" t="n">
        <x:v>0.99</x:v>
      </x:c>
      <x:c r="K288" s="8" t="n">
        <x:v>181</x:v>
      </x:c>
      <x:c r="L288" s="8" t="n">
        <x:v>9135</x:v>
      </x:c>
      <x:c r="M288" s="9" t="n">
        <x:v>0.7587024122</x:v>
      </x:c>
      <x:c r="N288" s="10" t="n">
        <x:v>70187.9290640394</x:v>
      </x:c>
      <x:c r="O288" s="9" t="n">
        <x:v>-0.0409475615</x:v>
      </x:c>
      <x:c r="P288" s="9" t="n">
        <x:v>0.9486552567</x:v>
      </x:c>
      <x:c r="Q288" s="9" t="n">
        <x:v>0.6022819886</x:v>
      </x:c>
      <x:c r="R288" s="3" t="b">
        <x:v>1</x:v>
      </x:c>
      <x:c r="S288" s="3" t="b">
        <x:v>0</x:v>
      </x:c>
      <x:c r="T288" s="3" t="b">
        <x:v>0</x:v>
      </x:c>
      <x:c r="U288" s="2" t="str">
        <x:f>IF(T288=TRUE,"Priority review",IF(R288=TRUE,"High cost",IF(S288=TRUE,"Low quality","Benchmark")))</x:f>
        <x:v>High cost</x:v>
      </x:c>
    </x:row>
    <x:row r="289">
      <x:c r="A289" s="2" t="str">
        <x:v>174006</x:v>
      </x:c>
      <x:c r="B289" s="2" t="str">
        <x:v>LARNED STATE HOSPITAL</x:v>
      </x:c>
      <x:c r="C289" s="2" t="str">
        <x:v>LARNED</x:v>
      </x:c>
      <x:c r="D289" s="2" t="str">
        <x:v>KS</x:v>
      </x:c>
      <x:c r="E289" s="2" t="str">
        <x:v>Psychiatric</x:v>
      </x:c>
      <x:c r="F289" s="2" t="str">
        <x:v>Government</x:v>
      </x:c>
      <x:c r="G289" s="2" t="str">
        <x:v>Small (&lt;100 beds)</x:v>
      </x:c>
      <x:c r="H289" s="7"/>
      <x:c r="I289" s="7"/>
      <x:c r="J289" s="7"/>
      <x:c r="K289" s="8" t="n">
        <x:v>90</x:v>
      </x:c>
      <x:c r="L289" s="8" t="n">
        <x:v>458</x:v>
      </x:c>
      <x:c r="M289" s="9" t="n">
        <x:v>0.801497006</x:v>
      </x:c>
      <x:c r="N289" s="10" t="n">
        <x:v>279189.8013100437</x:v>
      </x:c>
      <x:c r="O289" s="9" t="n">
        <x:v>-0.0854042188</x:v>
      </x:c>
      <x:c r="P289" s="9" t="n">
        <x:v>0.9482200647</x:v>
      </x:c>
      <x:c r="Q289" s="9" t="n">
        <x:v>0</x:v>
      </x:c>
      <x:c r="R289" s="3" t="b">
        <x:v>1</x:v>
      </x:c>
      <x:c r="S289" s="3" t="b">
        <x:v>0</x:v>
      </x:c>
      <x:c r="T289" s="3" t="b">
        <x:v>0</x:v>
      </x:c>
      <x:c r="U289" s="2" t="str">
        <x:f>IF(T289=TRUE,"Priority review",IF(R289=TRUE,"High cost",IF(S289=TRUE,"Low quality","Benchmark")))</x:f>
        <x:v>High cost</x:v>
      </x:c>
    </x:row>
    <x:row r="290">
      <x:c r="A290" s="2" t="str">
        <x:v>281311</x:v>
      </x:c>
      <x:c r="B290" s="2" t="str">
        <x:v>FRANKLIN COUNTY MEMORIAL HOSPITAL</x:v>
      </x:c>
      <x:c r="C290" s="2" t="str">
        <x:v>FRANKLIN</x:v>
      </x:c>
      <x:c r="D290" s="2" t="str">
        <x:v>NE</x:v>
      </x:c>
      <x:c r="E290" s="2" t="str">
        <x:v>Critical Access Hospitals</x:v>
      </x:c>
      <x:c r="F290" s="2" t="str">
        <x:v>Government</x:v>
      </x:c>
      <x:c r="G290" s="2" t="str">
        <x:v>Small (&lt;100 beds)</x:v>
      </x:c>
      <x:c r="H290" s="7"/>
      <x:c r="I290" s="7"/>
      <x:c r="J290" s="7"/>
      <x:c r="K290" s="8" t="n">
        <x:v>14</x:v>
      </x:c>
      <x:c r="L290" s="8" t="n">
        <x:v>12</x:v>
      </x:c>
      <x:c r="M290" s="9" t="n">
        <x:v>0.0142857143</x:v>
      </x:c>
      <x:c r="N290" s="10" t="n">
        <x:v>543006.5833333334</x:v>
      </x:c>
      <x:c r="O290" s="9" t="n">
        <x:v>-0.1475934117</x:v>
      </x:c>
      <x:c r="P290" s="9" t="n">
        <x:v>0.9479553903</x:v>
      </x:c>
      <x:c r="Q290" s="9" t="n">
        <x:v>0.292936803</x:v>
      </x:c>
      <x:c r="R290" s="3" t="b">
        <x:v>1</x:v>
      </x:c>
      <x:c r="S290" s="3" t="b">
        <x:v>0</x:v>
      </x:c>
      <x:c r="T290" s="3" t="b">
        <x:v>0</x:v>
      </x:c>
      <x:c r="U290" s="2" t="str">
        <x:f>IF(T290=TRUE,"Priority review",IF(R290=TRUE,"High cost",IF(S290=TRUE,"Low quality","Benchmark")))</x:f>
        <x:v>High cost</x:v>
      </x:c>
    </x:row>
    <x:row r="291">
      <x:c r="A291" s="2" t="str">
        <x:v>170040</x:v>
      </x:c>
      <x:c r="B291" s="2" t="str">
        <x:v>UNIVERSITY OF KANSAS HOSPITAL</x:v>
      </x:c>
      <x:c r="C291" s="2" t="str">
        <x:v>KANSAS CITY</x:v>
      </x:c>
      <x:c r="D291" s="2" t="str">
        <x:v>KS</x:v>
      </x:c>
      <x:c r="E291" s="2" t="str">
        <x:v>Acute Care Hospitals</x:v>
      </x:c>
      <x:c r="F291" s="2" t="str">
        <x:v>Government</x:v>
      </x:c>
      <x:c r="G291" s="2" t="str">
        <x:v>Large (300+ beds)</x:v>
      </x:c>
      <x:c r="H291" s="7" t="n">
        <x:v>5</x:v>
      </x:c>
      <x:c r="I291" s="7" t="n">
        <x:v>4</x:v>
      </x:c>
      <x:c r="J291" s="7" t="n">
        <x:v>0.99</x:v>
      </x:c>
      <x:c r="K291" s="8" t="n">
        <x:v>974</x:v>
      </x:c>
      <x:c r="L291" s="8" t="n">
        <x:v>48165</x:v>
      </x:c>
      <x:c r="M291" s="9" t="n">
        <x:v>0.7808181393</x:v>
      </x:c>
      <x:c r="N291" s="10" t="n">
        <x:v>91911.4327208554</x:v>
      </x:c>
      <x:c r="O291" s="9" t="n">
        <x:v>-0.3716992435</x:v>
      </x:c>
      <x:c r="P291" s="9" t="n">
        <x:v>0.9479495268</x:v>
      </x:c>
      <x:c r="Q291" s="9" t="n">
        <x:v>0.8722397476</x:v>
      </x:c>
      <x:c r="R291" s="3" t="b">
        <x:v>1</x:v>
      </x:c>
      <x:c r="S291" s="3" t="b">
        <x:v>0</x:v>
      </x:c>
      <x:c r="T291" s="3" t="b">
        <x:v>0</x:v>
      </x:c>
      <x:c r="U291" s="2" t="str">
        <x:f>IF(T291=TRUE,"Priority review",IF(R291=TRUE,"High cost",IF(S291=TRUE,"Low quality","Benchmark")))</x:f>
        <x:v>High cost</x:v>
      </x:c>
    </x:row>
    <x:row r="292">
      <x:c r="A292" s="2" t="str">
        <x:v>390325</x:v>
      </x:c>
      <x:c r="B292" s="2" t="str">
        <x:v>OSS ORTHOPAEDIC HOSPITAL</x:v>
      </x:c>
      <x:c r="C292" s="2" t="str">
        <x:v>YORK</x:v>
      </x:c>
      <x:c r="D292" s="2" t="str">
        <x:v>PA</x:v>
      </x:c>
      <x:c r="E292" s="2" t="str">
        <x:v>Acute Care Hospitals</x:v>
      </x:c>
      <x:c r="F292" s="2" t="str">
        <x:v>Proprietary</x:v>
      </x:c>
      <x:c r="G292" s="2" t="str">
        <x:v>Small (&lt;100 beds)</x:v>
      </x:c>
      <x:c r="H292" s="7"/>
      <x:c r="I292" s="7" t="n">
        <x:v>5</x:v>
      </x:c>
      <x:c r="J292" s="7" t="n">
        <x:v>0.75</x:v>
      </x:c>
      <x:c r="K292" s="8" t="n">
        <x:v>30</x:v>
      </x:c>
      <x:c r="L292" s="8" t="n">
        <x:v>772</x:v>
      </x:c>
      <x:c r="M292" s="9" t="n">
        <x:v>0.1496803653</x:v>
      </x:c>
      <x:c r="N292" s="10" t="n">
        <x:v>245203.4494818653</x:v>
      </x:c>
      <x:c r="O292" s="9" t="n">
        <x:v>-0.0430971159</x:v>
      </x:c>
      <x:c r="P292" s="9" t="n">
        <x:v>0.947935368</x:v>
      </x:c>
      <x:c r="Q292" s="9" t="n">
        <x:v>0.697486535</x:v>
      </x:c>
      <x:c r="R292" s="3" t="b">
        <x:v>1</x:v>
      </x:c>
      <x:c r="S292" s="3" t="b">
        <x:v>0</x:v>
      </x:c>
      <x:c r="T292" s="3" t="b">
        <x:v>0</x:v>
      </x:c>
      <x:c r="U292" s="2" t="str">
        <x:f>IF(T292=TRUE,"Priority review",IF(R292=TRUE,"High cost",IF(S292=TRUE,"Low quality","Benchmark")))</x:f>
        <x:v>High cost</x:v>
      </x:c>
    </x:row>
    <x:row r="293">
      <x:c r="A293" s="2" t="str">
        <x:v>441322</x:v>
      </x:c>
      <x:c r="B293" s="2" t="str">
        <x:v>HOUSTON COUNTY COMMUNITY HOSPITAL</x:v>
      </x:c>
      <x:c r="C293" s="2" t="str">
        <x:v>ERIN</x:v>
      </x:c>
      <x:c r="D293" s="2" t="str">
        <x:v>TN</x:v>
      </x:c>
      <x:c r="E293" s="2" t="str">
        <x:v>Critical Access Hospitals</x:v>
      </x:c>
      <x:c r="F293" s="2" t="str">
        <x:v>Government</x:v>
      </x:c>
      <x:c r="G293" s="2" t="str">
        <x:v>Small (&lt;100 beds)</x:v>
      </x:c>
      <x:c r="H293" s="7"/>
      <x:c r="I293" s="7"/>
      <x:c r="J293" s="7"/>
      <x:c r="K293" s="8" t="n">
        <x:v>25</x:v>
      </x:c>
      <x:c r="L293" s="8" t="n">
        <x:v>101</x:v>
      </x:c>
      <x:c r="M293" s="9" t="n">
        <x:v>0.5428415301</x:v>
      </x:c>
      <x:c r="N293" s="10" t="n">
        <x:v>540253</x:v>
      </x:c>
      <x:c r="O293" s="9" t="n">
        <x:v>-0.2025786118</x:v>
      </x:c>
      <x:c r="P293" s="9" t="n">
        <x:v>0.9472118959</x:v>
      </x:c>
      <x:c r="Q293" s="9" t="n">
        <x:v>0.292936803</x:v>
      </x:c>
      <x:c r="R293" s="3" t="b">
        <x:v>1</x:v>
      </x:c>
      <x:c r="S293" s="3" t="b">
        <x:v>0</x:v>
      </x:c>
      <x:c r="T293" s="3" t="b">
        <x:v>0</x:v>
      </x:c>
      <x:c r="U293" s="2" t="str">
        <x:f>IF(T293=TRUE,"Priority review",IF(R293=TRUE,"High cost",IF(S293=TRUE,"Low quality","Benchmark")))</x:f>
        <x:v>High cost</x:v>
      </x:c>
    </x:row>
    <x:row r="294">
      <x:c r="A294" s="2" t="str">
        <x:v>520196</x:v>
      </x:c>
      <x:c r="B294" s="2" t="str">
        <x:v>OAKLEAF SURGICAL HOSPITAL</x:v>
      </x:c>
      <x:c r="C294" s="2" t="str">
        <x:v>ALTOONA</x:v>
      </x:c>
      <x:c r="D294" s="2" t="str">
        <x:v>WI</x:v>
      </x:c>
      <x:c r="E294" s="2" t="str">
        <x:v>Acute Care Hospitals</x:v>
      </x:c>
      <x:c r="F294" s="2" t="str">
        <x:v>Other / unknown</x:v>
      </x:c>
      <x:c r="G294" s="2" t="str">
        <x:v>Small (&lt;100 beds)</x:v>
      </x:c>
      <x:c r="H294" s="7"/>
      <x:c r="I294" s="7" t="n">
        <x:v>5</x:v>
      </x:c>
      <x:c r="J294" s="7" t="n">
        <x:v>1.08</x:v>
      </x:c>
      <x:c r="K294" s="8" t="n">
        <x:v>13</x:v>
      </x:c>
      <x:c r="L294" s="8" t="n">
        <x:v>368</x:v>
      </x:c>
      <x:c r="M294" s="9" t="n">
        <x:v>0.2215216478</x:v>
      </x:c>
      <x:c r="N294" s="10" t="n">
        <x:v>240178.9619565217</x:v>
      </x:c>
      <x:c r="O294" s="9" t="n">
        <x:v>0.3113211632</x:v>
      </x:c>
      <x:c r="P294" s="9" t="n">
        <x:v>0.947037702</x:v>
      </x:c>
      <x:c r="Q294" s="9" t="n">
        <x:v>0.697486535</x:v>
      </x:c>
      <x:c r="R294" s="3" t="b">
        <x:v>1</x:v>
      </x:c>
      <x:c r="S294" s="3" t="b">
        <x:v>0</x:v>
      </x:c>
      <x:c r="T294" s="3" t="b">
        <x:v>0</x:v>
      </x:c>
      <x:c r="U294" s="2" t="str">
        <x:f>IF(T294=TRUE,"Priority review",IF(R294=TRUE,"High cost",IF(S294=TRUE,"Low quality","Benchmark")))</x:f>
        <x:v>High cost</x:v>
      </x:c>
    </x:row>
    <x:row r="295">
      <x:c r="A295" s="2" t="str">
        <x:v>061318</x:v>
      </x:c>
      <x:c r="B295" s="2" t="str">
        <x:v>MIDDLE PARK MEDICAL CENTER</x:v>
      </x:c>
      <x:c r="C295" s="2" t="str">
        <x:v>KREMMLING</x:v>
      </x:c>
      <x:c r="D295" s="2" t="str">
        <x:v>CO</x:v>
      </x:c>
      <x:c r="E295" s="2" t="str">
        <x:v>Critical Access Hospitals</x:v>
      </x:c>
      <x:c r="F295" s="2" t="str">
        <x:v>Government</x:v>
      </x:c>
      <x:c r="G295" s="2" t="str">
        <x:v>Small (&lt;100 beds)</x:v>
      </x:c>
      <x:c r="H295" s="7"/>
      <x:c r="I295" s="7"/>
      <x:c r="J295" s="7"/>
      <x:c r="K295" s="8" t="n">
        <x:v>24</x:v>
      </x:c>
      <x:c r="L295" s="8" t="n">
        <x:v>110</x:v>
      </x:c>
      <x:c r="M295" s="9" t="n">
        <x:v>0.4160974499</x:v>
      </x:c>
      <x:c r="N295" s="10" t="n">
        <x:v>539102.6363636364</x:v>
      </x:c>
      <x:c r="O295" s="9" t="n">
        <x:v>-0.0426790001</x:v>
      </x:c>
      <x:c r="P295" s="9" t="n">
        <x:v>0.9464684015</x:v>
      </x:c>
      <x:c r="Q295" s="9" t="n">
        <x:v>0.292936803</x:v>
      </x:c>
      <x:c r="R295" s="3" t="b">
        <x:v>1</x:v>
      </x:c>
      <x:c r="S295" s="3" t="b">
        <x:v>0</x:v>
      </x:c>
      <x:c r="T295" s="3" t="b">
        <x:v>0</x:v>
      </x:c>
      <x:c r="U295" s="2" t="str">
        <x:f>IF(T295=TRUE,"Priority review",IF(R295=TRUE,"High cost",IF(S295=TRUE,"Low quality","Benchmark")))</x:f>
        <x:v>High cost</x:v>
      </x:c>
    </x:row>
    <x:row r="296">
      <x:c r="A296" s="2" t="str">
        <x:v>270057</x:v>
      </x:c>
      <x:c r="B296" s="2" t="str">
        <x:v>BOZEMAN HEALTH DEACONESS HOSPITAL</x:v>
      </x:c>
      <x:c r="C296" s="2" t="str">
        <x:v>BOZEMAN</x:v>
      </x:c>
      <x:c r="D296" s="2" t="str">
        <x:v>MT</x:v>
      </x:c>
      <x:c r="E296" s="2" t="str">
        <x:v>Acute Care Hospitals</x:v>
      </x:c>
      <x:c r="F296" s="2" t="str">
        <x:v>Voluntary non-profit</x:v>
      </x:c>
      <x:c r="G296" s="2" t="str">
        <x:v>Medium (100-299 beds)</x:v>
      </x:c>
      <x:c r="H296" s="7" t="n">
        <x:v>4</x:v>
      </x:c>
      <x:c r="I296" s="7" t="n">
        <x:v>4</x:v>
      </x:c>
      <x:c r="J296" s="7" t="n">
        <x:v>0.9</x:v>
      </x:c>
      <x:c r="K296" s="8" t="n">
        <x:v>139</x:v>
      </x:c>
      <x:c r="L296" s="8" t="n">
        <x:v>7076</x:v>
      </x:c>
      <x:c r="M296" s="9" t="n">
        <x:v>0.573200456</x:v>
      </x:c>
      <x:c r="N296" s="10" t="n">
        <x:v>69322.2101469757</x:v>
      </x:c>
      <x:c r="O296" s="9" t="n">
        <x:v>0.0513287811</x:v>
      </x:c>
      <x:c r="P296" s="9" t="n">
        <x:v>0.9462102689</x:v>
      </x:c>
      <x:c r="Q296" s="9" t="n">
        <x:v>0.6022819886</x:v>
      </x:c>
      <x:c r="R296" s="3" t="b">
        <x:v>1</x:v>
      </x:c>
      <x:c r="S296" s="3" t="b">
        <x:v>0</x:v>
      </x:c>
      <x:c r="T296" s="3" t="b">
        <x:v>0</x:v>
      </x:c>
      <x:c r="U296" s="2" t="str">
        <x:f>IF(T296=TRUE,"Priority review",IF(R296=TRUE,"High cost",IF(S296=TRUE,"Low quality","Benchmark")))</x:f>
        <x:v>High cost</x:v>
      </x:c>
    </x:row>
    <x:row r="297">
      <x:c r="A297" s="2" t="str">
        <x:v>390331</x:v>
      </x:c>
      <x:c r="B297" s="2" t="str">
        <x:v>WILLS EYE HOSPITAL</x:v>
      </x:c>
      <x:c r="C297" s="2" t="str">
        <x:v>PHILADELPHIA</x:v>
      </x:c>
      <x:c r="D297" s="2" t="str">
        <x:v>PA</x:v>
      </x:c>
      <x:c r="E297" s="2" t="str">
        <x:v>Acute Care Hospitals</x:v>
      </x:c>
      <x:c r="F297" s="2" t="str">
        <x:v>Voluntary non-profit</x:v>
      </x:c>
      <x:c r="G297" s="2" t="str">
        <x:v>Small (&lt;100 beds)</x:v>
      </x:c>
      <x:c r="H297" s="7"/>
      <x:c r="I297" s="7"/>
      <x:c r="J297" s="7"/>
      <x:c r="K297" s="8" t="n">
        <x:v>4</x:v>
      </x:c>
      <x:c r="L297" s="8" t="n">
        <x:v>235</x:v>
      </x:c>
      <x:c r="M297" s="9" t="n">
        <x:v>0.4280821918</x:v>
      </x:c>
      <x:c r="N297" s="10" t="n">
        <x:v>237941.5872340426</x:v>
      </x:c>
      <x:c r="O297" s="9" t="n">
        <x:v>-0.2601778312</x:v>
      </x:c>
      <x:c r="P297" s="9" t="n">
        <x:v>0.9461400359</x:v>
      </x:c>
      <x:c r="Q297" s="9" t="n">
        <x:v>0.697486535</x:v>
      </x:c>
      <x:c r="R297" s="3" t="b">
        <x:v>1</x:v>
      </x:c>
      <x:c r="S297" s="3" t="b">
        <x:v>0</x:v>
      </x:c>
      <x:c r="T297" s="3" t="b">
        <x:v>0</x:v>
      </x:c>
      <x:c r="U297" s="2" t="str">
        <x:f>IF(T297=TRUE,"Priority review",IF(R297=TRUE,"High cost",IF(S297=TRUE,"Low quality","Benchmark")))</x:f>
        <x:v>High cost</x:v>
      </x:c>
    </x:row>
    <x:row r="298">
      <x:c r="A298" s="2" t="str">
        <x:v>271321</x:v>
      </x:c>
      <x:c r="B298" s="2" t="str">
        <x:v>WHEATLAND MEMORIAL HOSPITAL</x:v>
      </x:c>
      <x:c r="C298" s="2" t="str">
        <x:v>HARLOWTON</x:v>
      </x:c>
      <x:c r="D298" s="2" t="str">
        <x:v>MT</x:v>
      </x:c>
      <x:c r="E298" s="2" t="str">
        <x:v>Critical Access Hospitals</x:v>
      </x:c>
      <x:c r="F298" s="2" t="str">
        <x:v>Voluntary non-profit</x:v>
      </x:c>
      <x:c r="G298" s="2" t="str">
        <x:v>Small (&lt;100 beds)</x:v>
      </x:c>
      <x:c r="H298" s="7"/>
      <x:c r="I298" s="7"/>
      <x:c r="J298" s="7"/>
      <x:c r="K298" s="8" t="n">
        <x:v>25</x:v>
      </x:c>
      <x:c r="L298" s="8" t="n">
        <x:v>20</x:v>
      </x:c>
      <x:c r="M298" s="9" t="n">
        <x:v>0.4892896175</x:v>
      </x:c>
      <x:c r="N298" s="10" t="n">
        <x:v>530771.65</x:v>
      </x:c>
      <x:c r="O298" s="9" t="n">
        <x:v>-0.0077178642</x:v>
      </x:c>
      <x:c r="P298" s="9" t="n">
        <x:v>0.9457249071</x:v>
      </x:c>
      <x:c r="Q298" s="9" t="n">
        <x:v>0.292936803</x:v>
      </x:c>
      <x:c r="R298" s="3" t="b">
        <x:v>1</x:v>
      </x:c>
      <x:c r="S298" s="3" t="b">
        <x:v>0</x:v>
      </x:c>
      <x:c r="T298" s="3" t="b">
        <x:v>0</x:v>
      </x:c>
      <x:c r="U298" s="2" t="str">
        <x:f>IF(T298=TRUE,"Priority review",IF(R298=TRUE,"High cost",IF(S298=TRUE,"Low quality","Benchmark")))</x:f>
        <x:v>High cost</x:v>
      </x:c>
    </x:row>
    <x:row r="299">
      <x:c r="A299" s="2" t="str">
        <x:v>210058</x:v>
      </x:c>
      <x:c r="B299" s="2" t="str">
        <x:v>UMD REHABILITATION &amp;  ORTHOPAEDIC INSTITUTE</x:v>
      </x:c>
      <x:c r="C299" s="2" t="str">
        <x:v>BALTIMORE</x:v>
      </x:c>
      <x:c r="D299" s="2" t="str">
        <x:v>MD</x:v>
      </x:c>
      <x:c r="E299" s="2" t="str">
        <x:v>Acute Care Hospitals</x:v>
      </x:c>
      <x:c r="F299" s="2" t="str">
        <x:v>Voluntary non-profit</x:v>
      </x:c>
      <x:c r="G299" s="2" t="str">
        <x:v>Medium (100-299 beds)</x:v>
      </x:c>
      <x:c r="H299" s="7"/>
      <x:c r="I299" s="7"/>
      <x:c r="J299" s="7"/>
      <x:c r="K299" s="8" t="n">
        <x:v>138</x:v>
      </x:c>
      <x:c r="L299" s="8" t="n">
        <x:v>1876</x:v>
      </x:c>
      <x:c r="M299" s="9" t="n">
        <x:v>0.6354973198</x:v>
      </x:c>
      <x:c r="N299" s="10" t="n">
        <x:v>69216.0559701493</x:v>
      </x:c>
      <x:c r="O299" s="9" t="n">
        <x:v>0.0134592817</x:v>
      </x:c>
      <x:c r="P299" s="9" t="n">
        <x:v>0.945395273</x:v>
      </x:c>
      <x:c r="Q299" s="9" t="n">
        <x:v>0.9616951915</x:v>
      </x:c>
      <x:c r="R299" s="3" t="b">
        <x:v>1</x:v>
      </x:c>
      <x:c r="S299" s="3" t="b">
        <x:v>0</x:v>
      </x:c>
      <x:c r="T299" s="3" t="b">
        <x:v>0</x:v>
      </x:c>
      <x:c r="U299" s="2" t="str">
        <x:f>IF(T299=TRUE,"Priority review",IF(R299=TRUE,"High cost",IF(S299=TRUE,"Low quality","Benchmark")))</x:f>
        <x:v>High cost</x:v>
      </x:c>
    </x:row>
    <x:row r="300">
      <x:c r="A300" s="2" t="str">
        <x:v>424011</x:v>
      </x:c>
      <x:c r="B300" s="2" t="str">
        <x:v>PATRICK B HARRIS PSYCHIATRIC HOSPITAL</x:v>
      </x:c>
      <x:c r="C300" s="2" t="str">
        <x:v>ANDERSON</x:v>
      </x:c>
      <x:c r="D300" s="2" t="str">
        <x:v>SC</x:v>
      </x:c>
      <x:c r="E300" s="2" t="str">
        <x:v>Psychiatric</x:v>
      </x:c>
      <x:c r="F300" s="2" t="str">
        <x:v>Government</x:v>
      </x:c>
      <x:c r="G300" s="2" t="str">
        <x:v>Medium (100-299 beds)</x:v>
      </x:c>
      <x:c r="H300" s="7"/>
      <x:c r="I300" s="7"/>
      <x:c r="J300" s="7"/>
      <x:c r="K300" s="8" t="n">
        <x:v>116</x:v>
      </x:c>
      <x:c r="L300" s="8" t="n">
        <x:v>84</x:v>
      </x:c>
      <x:c r="M300" s="9" t="n">
        <x:v>0.9104629192</x:v>
      </x:c>
      <x:c r="N300" s="10" t="n">
        <x:v>426247.4047619047</x:v>
      </x:c>
      <x:c r="O300" s="9" t="n">
        <x:v>-0.4248870808</x:v>
      </x:c>
      <x:c r="P300" s="9" t="n">
        <x:v>0.9452736318</x:v>
      </x:c>
      <x:c r="Q300" s="9" t="n">
        <x:v>0</x:v>
      </x:c>
      <x:c r="R300" s="3" t="b">
        <x:v>1</x:v>
      </x:c>
      <x:c r="S300" s="3" t="b">
        <x:v>0</x:v>
      </x:c>
      <x:c r="T300" s="3" t="b">
        <x:v>0</x:v>
      </x:c>
      <x:c r="U300" s="2" t="str">
        <x:f>IF(T300=TRUE,"Priority review",IF(R300=TRUE,"High cost",IF(S300=TRUE,"Low quality","Benchmark")))</x:f>
        <x:v>High cost</x:v>
      </x:c>
    </x:row>
    <x:row r="301">
      <x:c r="A301" s="2" t="str">
        <x:v>270074</x:v>
      </x:c>
      <x:c r="B301" s="2" t="str">
        <x:v>P H S INDIAN HOSPITAL AT BROWNING - BLACKFEET</x:v>
      </x:c>
      <x:c r="C301" s="2" t="str">
        <x:v>BROWNING</x:v>
      </x:c>
      <x:c r="D301" s="2" t="str">
        <x:v>MT</x:v>
      </x:c>
      <x:c r="E301" s="2" t="str">
        <x:v>Acute Care Hospitals</x:v>
      </x:c>
      <x:c r="F301" s="2" t="str">
        <x:v>Government</x:v>
      </x:c>
      <x:c r="G301" s="2" t="str">
        <x:v>Small (&lt;100 beds)</x:v>
      </x:c>
      <x:c r="H301" s="7"/>
      <x:c r="I301" s="7"/>
      <x:c r="J301" s="7" t="n">
        <x:v>0.64</x:v>
      </x:c>
      <x:c r="K301" s="8" t="n">
        <x:v>26</x:v>
      </x:c>
      <x:c r="L301" s="8" t="n">
        <x:v>353</x:v>
      </x:c>
      <x:c r="M301" s="9" t="n">
        <x:v>0.1211643548</x:v>
      </x:c>
      <x:c r="N301" s="10" t="n">
        <x:v>237709.3994334278</x:v>
      </x:c>
      <x:c r="O301" s="9"/>
      <x:c r="P301" s="9" t="n">
        <x:v>0.9452423698</x:v>
      </x:c>
      <x:c r="Q301" s="9" t="n">
        <x:v>0.697486535</x:v>
      </x:c>
      <x:c r="R301" s="3" t="b">
        <x:v>1</x:v>
      </x:c>
      <x:c r="S301" s="3" t="b">
        <x:v>0</x:v>
      </x:c>
      <x:c r="T301" s="3" t="b">
        <x:v>0</x:v>
      </x:c>
      <x:c r="U301" s="2" t="str">
        <x:f>IF(T301=TRUE,"Priority review",IF(R301=TRUE,"High cost",IF(S301=TRUE,"Low quality","Benchmark")))</x:f>
        <x:v>High cost</x:v>
      </x:c>
    </x:row>
    <x:row r="302">
      <x:c r="A302" s="2" t="str">
        <x:v>144010</x:v>
      </x:c>
      <x:c r="B302" s="2" t="str">
        <x:v>CHICAGO READ MENTAL HEALTH CENTER</x:v>
      </x:c>
      <x:c r="C302" s="2" t="str">
        <x:v>CHICAGO</x:v>
      </x:c>
      <x:c r="D302" s="2" t="str">
        <x:v>IL</x:v>
      </x:c>
      <x:c r="E302" s="2" t="str">
        <x:v>Psychiatric</x:v>
      </x:c>
      <x:c r="F302" s="2" t="str">
        <x:v>Government</x:v>
      </x:c>
      <x:c r="G302" s="2" t="str">
        <x:v>Small (&lt;100 beds)</x:v>
      </x:c>
      <x:c r="H302" s="7"/>
      <x:c r="I302" s="7"/>
      <x:c r="J302" s="7"/>
      <x:c r="K302" s="8" t="n">
        <x:v>24</x:v>
      </x:c>
      <x:c r="L302" s="8" t="n">
        <x:v>177</x:v>
      </x:c>
      <x:c r="M302" s="9" t="n">
        <x:v>0.9578767123</x:v>
      </x:c>
      <x:c r="N302" s="10" t="n">
        <x:v>256719.4293785311</x:v>
      </x:c>
      <x:c r="O302" s="9"/>
      <x:c r="P302" s="9" t="n">
        <x:v>0.9449838188</x:v>
      </x:c>
      <x:c r="Q302" s="9" t="n">
        <x:v>0</x:v>
      </x:c>
      <x:c r="R302" s="3" t="b">
        <x:v>1</x:v>
      </x:c>
      <x:c r="S302" s="3" t="b">
        <x:v>0</x:v>
      </x:c>
      <x:c r="T302" s="3" t="b">
        <x:v>0</x:v>
      </x:c>
      <x:c r="U302" s="2" t="str">
        <x:f>IF(T302=TRUE,"Priority review",IF(R302=TRUE,"High cost",IF(S302=TRUE,"Low quality","Benchmark")))</x:f>
        <x:v>High cost</x:v>
      </x:c>
    </x:row>
    <x:row r="303">
      <x:c r="A303" s="2" t="str">
        <x:v>061302</x:v>
      </x:c>
      <x:c r="B303" s="2" t="str">
        <x:v>FAMILY HEALTH WEST HOSPITAL</x:v>
      </x:c>
      <x:c r="C303" s="2" t="str">
        <x:v>FRUITA</x:v>
      </x:c>
      <x:c r="D303" s="2" t="str">
        <x:v>CO</x:v>
      </x:c>
      <x:c r="E303" s="2" t="str">
        <x:v>Critical Access Hospitals</x:v>
      </x:c>
      <x:c r="F303" s="2" t="str">
        <x:v>Voluntary non-profit</x:v>
      </x:c>
      <x:c r="G303" s="2" t="str">
        <x:v>Small (&lt;100 beds)</x:v>
      </x:c>
      <x:c r="H303" s="7"/>
      <x:c r="I303" s="7"/>
      <x:c r="J303" s="7"/>
      <x:c r="K303" s="8" t="n">
        <x:v>25</x:v>
      </x:c>
      <x:c r="L303" s="8" t="n">
        <x:v>158</x:v>
      </x:c>
      <x:c r="M303" s="9" t="n">
        <x:v>0.748852459</x:v>
      </x:c>
      <x:c r="N303" s="10" t="n">
        <x:v>520279.5</x:v>
      </x:c>
      <x:c r="O303" s="9" t="n">
        <x:v>-0.0410282534</x:v>
      </x:c>
      <x:c r="P303" s="9" t="n">
        <x:v>0.9449814126</x:v>
      </x:c>
      <x:c r="Q303" s="9" t="n">
        <x:v>0.292936803</x:v>
      </x:c>
      <x:c r="R303" s="3" t="b">
        <x:v>1</x:v>
      </x:c>
      <x:c r="S303" s="3" t="b">
        <x:v>0</x:v>
      </x:c>
      <x:c r="T303" s="3" t="b">
        <x:v>0</x:v>
      </x:c>
      <x:c r="U303" s="2" t="str">
        <x:f>IF(T303=TRUE,"Priority review",IF(R303=TRUE,"High cost",IF(S303=TRUE,"Low quality","Benchmark")))</x:f>
        <x:v>High cost</x:v>
      </x:c>
    </x:row>
    <x:row r="304">
      <x:c r="A304" s="2" t="str">
        <x:v>050625</x:v>
      </x:c>
      <x:c r="B304" s="2" t="str">
        <x:v>CEDARS-SINAI MEDICAL CENTER</x:v>
      </x:c>
      <x:c r="C304" s="2" t="str">
        <x:v>LOS ANGELES</x:v>
      </x:c>
      <x:c r="D304" s="2" t="str">
        <x:v>CA</x:v>
      </x:c>
      <x:c r="E304" s="2" t="str">
        <x:v>Acute Care Hospitals</x:v>
      </x:c>
      <x:c r="F304" s="2" t="str">
        <x:v>Voluntary non-profit</x:v>
      </x:c>
      <x:c r="G304" s="2" t="str">
        <x:v>Large (300+ beds)</x:v>
      </x:c>
      <x:c r="H304" s="7" t="n">
        <x:v>5</x:v>
      </x:c>
      <x:c r="I304" s="7" t="n">
        <x:v>3</x:v>
      </x:c>
      <x:c r="J304" s="7" t="n">
        <x:v>1.04</x:v>
      </x:c>
      <x:c r="K304" s="8" t="n">
        <x:v>913</x:v>
      </x:c>
      <x:c r="L304" s="8" t="n">
        <x:v>51618</x:v>
      </x:c>
      <x:c r="M304" s="9" t="n">
        <x:v>0.9066062507</x:v>
      </x:c>
      <x:c r="N304" s="10" t="n">
        <x:v>90984.856212949</x:v>
      </x:c>
      <x:c r="O304" s="9" t="n">
        <x:v>-0.0672315895</x:v>
      </x:c>
      <x:c r="P304" s="9" t="n">
        <x:v>0.9447949527</x:v>
      </x:c>
      <x:c r="Q304" s="9" t="n">
        <x:v>0.8722397476</x:v>
      </x:c>
      <x:c r="R304" s="3" t="b">
        <x:v>1</x:v>
      </x:c>
      <x:c r="S304" s="3" t="b">
        <x:v>0</x:v>
      </x:c>
      <x:c r="T304" s="3" t="b">
        <x:v>0</x:v>
      </x:c>
      <x:c r="U304" s="2" t="str">
        <x:f>IF(T304=TRUE,"Priority review",IF(R304=TRUE,"High cost",IF(S304=TRUE,"Low quality","Benchmark")))</x:f>
        <x:v>High cost</x:v>
      </x:c>
    </x:row>
    <x:row r="305">
      <x:c r="A305" s="2" t="str">
        <x:v>260183</x:v>
      </x:c>
      <x:c r="B305" s="2" t="str">
        <x:v>SAINT FRANCIS MEDICAL CENTER</x:v>
      </x:c>
      <x:c r="C305" s="2" t="str">
        <x:v>CAPE GIRARDEAU</x:v>
      </x:c>
      <x:c r="D305" s="2" t="str">
        <x:v>MO</x:v>
      </x:c>
      <x:c r="E305" s="2" t="str">
        <x:v>Acute Care Hospitals</x:v>
      </x:c>
      <x:c r="F305" s="2" t="str">
        <x:v>Voluntary non-profit</x:v>
      </x:c>
      <x:c r="G305" s="2" t="str">
        <x:v>Medium (100-299 beds)</x:v>
      </x:c>
      <x:c r="H305" s="7" t="n">
        <x:v>3</x:v>
      </x:c>
      <x:c r="I305" s="7" t="n">
        <x:v>4</x:v>
      </x:c>
      <x:c r="J305" s="7" t="n">
        <x:v>1.01</x:v>
      </x:c>
      <x:c r="K305" s="8" t="n">
        <x:v>282</x:v>
      </x:c>
      <x:c r="L305" s="8" t="n">
        <x:v>9012</x:v>
      </x:c>
      <x:c r="M305" s="9" t="n">
        <x:v>0.4230642184</x:v>
      </x:c>
      <x:c r="N305" s="10" t="n">
        <x:v>68960.2114957834</x:v>
      </x:c>
      <x:c r="O305" s="9" t="n">
        <x:v>0.0210750187</x:v>
      </x:c>
      <x:c r="P305" s="9" t="n">
        <x:v>0.9445802771</x:v>
      </x:c>
      <x:c r="Q305" s="9" t="n">
        <x:v>0.3023634882</x:v>
      </x:c>
      <x:c r="R305" s="3" t="b">
        <x:v>1</x:v>
      </x:c>
      <x:c r="S305" s="3" t="b">
        <x:v>0</x:v>
      </x:c>
      <x:c r="T305" s="3" t="b">
        <x:v>0</x:v>
      </x:c>
      <x:c r="U305" s="2" t="str">
        <x:f>IF(T305=TRUE,"Priority review",IF(R305=TRUE,"High cost",IF(S305=TRUE,"Low quality","Benchmark")))</x:f>
        <x:v>High cost</x:v>
      </x:c>
    </x:row>
    <x:row r="306">
      <x:c r="A306" s="2" t="str">
        <x:v>050697</x:v>
      </x:c>
      <x:c r="B306" s="2" t="str">
        <x:v>PATIENTS' HOSPITAL OF REDDING</x:v>
      </x:c>
      <x:c r="C306" s="2" t="str">
        <x:v>REDDING</x:v>
      </x:c>
      <x:c r="D306" s="2" t="str">
        <x:v>CA</x:v>
      </x:c>
      <x:c r="E306" s="2" t="str">
        <x:v>Acute Care Hospitals</x:v>
      </x:c>
      <x:c r="F306" s="2" t="str">
        <x:v>Proprietary</x:v>
      </x:c>
      <x:c r="G306" s="2" t="str">
        <x:v>Small (&lt;100 beds)</x:v>
      </x:c>
      <x:c r="H306" s="7"/>
      <x:c r="I306" s="7"/>
      <x:c r="J306" s="7"/>
      <x:c r="K306" s="8" t="n">
        <x:v>10</x:v>
      </x:c>
      <x:c r="L306" s="8" t="n">
        <x:v>58</x:v>
      </x:c>
      <x:c r="M306" s="9" t="n">
        <x:v>0.0428961749</x:v>
      </x:c>
      <x:c r="N306" s="10" t="n">
        <x:v>232879.9482758621</x:v>
      </x:c>
      <x:c r="O306" s="9" t="n">
        <x:v>-0.4151841605</x:v>
      </x:c>
      <x:c r="P306" s="9" t="n">
        <x:v>0.9443447038</x:v>
      </x:c>
      <x:c r="Q306" s="9" t="n">
        <x:v>0.697486535</x:v>
      </x:c>
      <x:c r="R306" s="3" t="b">
        <x:v>1</x:v>
      </x:c>
      <x:c r="S306" s="3" t="b">
        <x:v>0</x:v>
      </x:c>
      <x:c r="T306" s="3" t="b">
        <x:v>0</x:v>
      </x:c>
      <x:c r="U306" s="2" t="str">
        <x:f>IF(T306=TRUE,"Priority review",IF(R306=TRUE,"High cost",IF(S306=TRUE,"Low quality","Benchmark")))</x:f>
        <x:v>High cost</x:v>
      </x:c>
    </x:row>
    <x:row r="307">
      <x:c r="A307" s="2" t="str">
        <x:v>231313</x:v>
      </x:c>
      <x:c r="B307" s="2" t="str">
        <x:v>HARBOR BEACH COMMUNITY HOSPITAL</x:v>
      </x:c>
      <x:c r="C307" s="2" t="str">
        <x:v>HARBOR BEACH</x:v>
      </x:c>
      <x:c r="D307" s="2" t="str">
        <x:v>MI</x:v>
      </x:c>
      <x:c r="E307" s="2" t="str">
        <x:v>Critical Access Hospitals</x:v>
      </x:c>
      <x:c r="F307" s="2" t="str">
        <x:v>Voluntary non-profit</x:v>
      </x:c>
      <x:c r="G307" s="2" t="str">
        <x:v>Small (&lt;100 beds)</x:v>
      </x:c>
      <x:c r="H307" s="7"/>
      <x:c r="I307" s="7"/>
      <x:c r="J307" s="7"/>
      <x:c r="K307" s="8" t="n">
        <x:v>14</x:v>
      </x:c>
      <x:c r="L307" s="8" t="n">
        <x:v>38</x:v>
      </x:c>
      <x:c r="M307" s="9" t="n">
        <x:v>0.0177595628</x:v>
      </x:c>
      <x:c r="N307" s="10" t="n">
        <x:v>515513.9736842105</x:v>
      </x:c>
      <x:c r="O307" s="9" t="n">
        <x:v>-0.196420924</x:v>
      </x:c>
      <x:c r="P307" s="9" t="n">
        <x:v>0.9442379182</x:v>
      </x:c>
      <x:c r="Q307" s="9" t="n">
        <x:v>0.292936803</x:v>
      </x:c>
      <x:c r="R307" s="3" t="b">
        <x:v>1</x:v>
      </x:c>
      <x:c r="S307" s="3" t="b">
        <x:v>0</x:v>
      </x:c>
      <x:c r="T307" s="3" t="b">
        <x:v>0</x:v>
      </x:c>
      <x:c r="U307" s="2" t="str">
        <x:f>IF(T307=TRUE,"Priority review",IF(R307=TRUE,"High cost",IF(S307=TRUE,"Low quality","Benchmark")))</x:f>
        <x:v>High cost</x:v>
      </x:c>
    </x:row>
    <x:row r="308">
      <x:c r="A308" s="2" t="str">
        <x:v>350070</x:v>
      </x:c>
      <x:c r="B308" s="2" t="str">
        <x:v>ESSENTIA HEALTH</x:v>
      </x:c>
      <x:c r="C308" s="2" t="str">
        <x:v>FARGO</x:v>
      </x:c>
      <x:c r="D308" s="2" t="str">
        <x:v>ND</x:v>
      </x:c>
      <x:c r="E308" s="2" t="str">
        <x:v>Acute Care Hospitals</x:v>
      </x:c>
      <x:c r="F308" s="2" t="str">
        <x:v>Voluntary non-profit</x:v>
      </x:c>
      <x:c r="G308" s="2" t="str">
        <x:v>Medium (100-299 beds)</x:v>
      </x:c>
      <x:c r="H308" s="7" t="n">
        <x:v>3</x:v>
      </x:c>
      <x:c r="I308" s="7" t="n">
        <x:v>3</x:v>
      </x:c>
      <x:c r="J308" s="7" t="n">
        <x:v>1.02</x:v>
      </x:c>
      <x:c r="K308" s="8" t="n">
        <x:v>142</x:v>
      </x:c>
      <x:c r="L308" s="8" t="n">
        <x:v>9398</x:v>
      </x:c>
      <x:c r="M308" s="9" t="n">
        <x:v>0.8335519969</x:v>
      </x:c>
      <x:c r="N308" s="10" t="n">
        <x:v>68903.6338582677</x:v>
      </x:c>
      <x:c r="O308" s="9" t="n">
        <x:v>-0.0228565774</x:v>
      </x:c>
      <x:c r="P308" s="9" t="n">
        <x:v>0.9437652812</x:v>
      </x:c>
      <x:c r="Q308" s="9" t="n">
        <x:v>0.3023634882</x:v>
      </x:c>
      <x:c r="R308" s="3" t="b">
        <x:v>1</x:v>
      </x:c>
      <x:c r="S308" s="3" t="b">
        <x:v>0</x:v>
      </x:c>
      <x:c r="T308" s="3" t="b">
        <x:v>0</x:v>
      </x:c>
      <x:c r="U308" s="2" t="str">
        <x:f>IF(T308=TRUE,"Priority review",IF(R308=TRUE,"High cost",IF(S308=TRUE,"Low quality","Benchmark")))</x:f>
        <x:v>High cost</x:v>
      </x:c>
    </x:row>
    <x:row r="309">
      <x:c r="A309" s="2" t="str">
        <x:v>511300</x:v>
      </x:c>
      <x:c r="B309" s="2" t="str">
        <x:v>VANDALIA HEALTH BROADDUS HOSPITAL</x:v>
      </x:c>
      <x:c r="C309" s="2" t="str">
        <x:v>PHILIPPI</x:v>
      </x:c>
      <x:c r="D309" s="2" t="str">
        <x:v>WV</x:v>
      </x:c>
      <x:c r="E309" s="2" t="str">
        <x:v>Critical Access Hospitals</x:v>
      </x:c>
      <x:c r="F309" s="2" t="str">
        <x:v>Voluntary non-profit</x:v>
      </x:c>
      <x:c r="G309" s="2" t="str">
        <x:v>Small (&lt;100 beds)</x:v>
      </x:c>
      <x:c r="H309" s="7"/>
      <x:c r="I309" s="7"/>
      <x:c r="J309" s="7"/>
      <x:c r="K309" s="8" t="n">
        <x:v>12</x:v>
      </x:c>
      <x:c r="L309" s="8" t="n">
        <x:v>46</x:v>
      </x:c>
      <x:c r="M309" s="9" t="n">
        <x:v>0.4920309654</x:v>
      </x:c>
      <x:c r="N309" s="10" t="n">
        <x:v>513178.2826086957</x:v>
      </x:c>
      <x:c r="O309" s="9" t="n">
        <x:v>0.0847999342</x:v>
      </x:c>
      <x:c r="P309" s="9" t="n">
        <x:v>0.9434944238</x:v>
      </x:c>
      <x:c r="Q309" s="9" t="n">
        <x:v>0.292936803</x:v>
      </x:c>
      <x:c r="R309" s="3" t="b">
        <x:v>1</x:v>
      </x:c>
      <x:c r="S309" s="3" t="b">
        <x:v>0</x:v>
      </x:c>
      <x:c r="T309" s="3" t="b">
        <x:v>0</x:v>
      </x:c>
      <x:c r="U309" s="2" t="str">
        <x:f>IF(T309=TRUE,"Priority review",IF(R309=TRUE,"High cost",IF(S309=TRUE,"Low quality","Benchmark")))</x:f>
        <x:v>High cost</x:v>
      </x:c>
    </x:row>
    <x:row r="310">
      <x:c r="A310" s="2" t="str">
        <x:v>390307</x:v>
      </x:c>
      <x:c r="B310" s="2" t="str">
        <x:v>EDGEWOOD SURGICAL HOSPITAL</x:v>
      </x:c>
      <x:c r="C310" s="2" t="str">
        <x:v>TRANSFER</x:v>
      </x:c>
      <x:c r="D310" s="2" t="str">
        <x:v>PA</x:v>
      </x:c>
      <x:c r="E310" s="2" t="str">
        <x:v>Acute Care Hospitals</x:v>
      </x:c>
      <x:c r="F310" s="2" t="str">
        <x:v>Other / unknown</x:v>
      </x:c>
      <x:c r="G310" s="2" t="str">
        <x:v>Small (&lt;100 beds)</x:v>
      </x:c>
      <x:c r="H310" s="7"/>
      <x:c r="I310" s="7"/>
      <x:c r="J310" s="7"/>
      <x:c r="K310" s="8" t="n">
        <x:v>10</x:v>
      </x:c>
      <x:c r="L310" s="8" t="n">
        <x:v>78</x:v>
      </x:c>
      <x:c r="M310" s="9" t="n">
        <x:v>0.0333333333</x:v>
      </x:c>
      <x:c r="N310" s="10" t="n">
        <x:v>230982.6538461538</x:v>
      </x:c>
      <x:c r="O310" s="9" t="n">
        <x:v>0.234265564</x:v>
      </x:c>
      <x:c r="P310" s="9" t="n">
        <x:v>0.9434470377</x:v>
      </x:c>
      <x:c r="Q310" s="9" t="n">
        <x:v>0.697486535</x:v>
      </x:c>
      <x:c r="R310" s="3" t="b">
        <x:v>1</x:v>
      </x:c>
      <x:c r="S310" s="3" t="b">
        <x:v>0</x:v>
      </x:c>
      <x:c r="T310" s="3" t="b">
        <x:v>0</x:v>
      </x:c>
      <x:c r="U310" s="2" t="str">
        <x:f>IF(T310=TRUE,"Priority review",IF(R310=TRUE,"High cost",IF(S310=TRUE,"Low quality","Benchmark")))</x:f>
        <x:v>High cost</x:v>
      </x:c>
    </x:row>
    <x:row r="311">
      <x:c r="A311" s="2" t="str">
        <x:v>050348</x:v>
      </x:c>
      <x:c r="B311" s="2" t="str">
        <x:v>UCI HEALTH-ORANGE</x:v>
      </x:c>
      <x:c r="C311" s="2" t="str">
        <x:v>ORANGE</x:v>
      </x:c>
      <x:c r="D311" s="2" t="str">
        <x:v>CA</x:v>
      </x:c>
      <x:c r="E311" s="2" t="str">
        <x:v>Acute Care Hospitals</x:v>
      </x:c>
      <x:c r="F311" s="2" t="str">
        <x:v>Government</x:v>
      </x:c>
      <x:c r="G311" s="2" t="str">
        <x:v>Large (300+ beds)</x:v>
      </x:c>
      <x:c r="H311" s="7" t="n">
        <x:v>4</x:v>
      </x:c>
      <x:c r="I311" s="7" t="n">
        <x:v>2</x:v>
      </x:c>
      <x:c r="J311" s="7" t="n">
        <x:v>1.02</x:v>
      </x:c>
      <x:c r="K311" s="8" t="n">
        <x:v>911</x:v>
      </x:c>
      <x:c r="L311" s="8" t="n">
        <x:v>30155</x:v>
      </x:c>
      <x:c r="M311" s="9" t="n">
        <x:v>0.9209355224</x:v>
      </x:c>
      <x:c r="N311" s="10" t="n">
        <x:v>89420.7709169292</x:v>
      </x:c>
      <x:c r="O311" s="9" t="n">
        <x:v>-0.0612954841</x:v>
      </x:c>
      <x:c r="P311" s="9" t="n">
        <x:v>0.9432176656</x:v>
      </x:c>
      <x:c r="Q311" s="9" t="n">
        <x:v>0.5899053628</x:v>
      </x:c>
      <x:c r="R311" s="3" t="b">
        <x:v>1</x:v>
      </x:c>
      <x:c r="S311" s="3" t="b">
        <x:v>0</x:v>
      </x:c>
      <x:c r="T311" s="3" t="b">
        <x:v>0</x:v>
      </x:c>
      <x:c r="U311" s="2" t="str">
        <x:f>IF(T311=TRUE,"Priority review",IF(R311=TRUE,"High cost",IF(S311=TRUE,"Low quality","Benchmark")))</x:f>
        <x:v>High cost</x:v>
      </x:c>
    </x:row>
    <x:row r="312">
      <x:c r="A312" s="2" t="str">
        <x:v>260162</x:v>
      </x:c>
      <x:c r="B312" s="2" t="str">
        <x:v>BARNES-JEWISH WEST COUNTY HOSPITAL</x:v>
      </x:c>
      <x:c r="C312" s="2" t="str">
        <x:v>CREVE COEUR</x:v>
      </x:c>
      <x:c r="D312" s="2" t="str">
        <x:v>MO</x:v>
      </x:c>
      <x:c r="E312" s="2" t="str">
        <x:v>Acute Care Hospitals</x:v>
      </x:c>
      <x:c r="F312" s="2" t="str">
        <x:v>Voluntary non-profit</x:v>
      </x:c>
      <x:c r="G312" s="2" t="str">
        <x:v>Medium (100-299 beds)</x:v>
      </x:c>
      <x:c r="H312" s="7" t="n">
        <x:v>5</x:v>
      </x:c>
      <x:c r="I312" s="7" t="n">
        <x:v>4</x:v>
      </x:c>
      <x:c r="J312" s="7" t="n">
        <x:v>0.96</x:v>
      </x:c>
      <x:c r="K312" s="8" t="n">
        <x:v>100</x:v>
      </x:c>
      <x:c r="L312" s="8" t="n">
        <x:v>3865</x:v>
      </x:c>
      <x:c r="M312" s="9" t="n">
        <x:v>0.3428961749</x:v>
      </x:c>
      <x:c r="N312" s="10" t="n">
        <x:v>68586.2401034929</x:v>
      </x:c>
      <x:c r="O312" s="9" t="n">
        <x:v>0.0631389923</x:v>
      </x:c>
      <x:c r="P312" s="9" t="n">
        <x:v>0.9429502852</x:v>
      </x:c>
      <x:c r="Q312" s="9" t="n">
        <x:v>0.8744906275</x:v>
      </x:c>
      <x:c r="R312" s="3" t="b">
        <x:v>1</x:v>
      </x:c>
      <x:c r="S312" s="3" t="b">
        <x:v>0</x:v>
      </x:c>
      <x:c r="T312" s="3" t="b">
        <x:v>0</x:v>
      </x:c>
      <x:c r="U312" s="2" t="str">
        <x:f>IF(T312=TRUE,"Priority review",IF(R312=TRUE,"High cost",IF(S312=TRUE,"Low quality","Benchmark")))</x:f>
        <x:v>High cost</x:v>
      </x:c>
    </x:row>
    <x:row r="313">
      <x:c r="A313" s="2" t="str">
        <x:v>351305</x:v>
      </x:c>
      <x:c r="B313" s="2" t="str">
        <x:v>TRINITY KENMARE COMMUNITY HOSPITAL</x:v>
      </x:c>
      <x:c r="C313" s="2" t="str">
        <x:v>KENMARE</x:v>
      </x:c>
      <x:c r="D313" s="2" t="str">
        <x:v>ND</x:v>
      </x:c>
      <x:c r="E313" s="2" t="str">
        <x:v>Critical Access Hospitals</x:v>
      </x:c>
      <x:c r="F313" s="2" t="str">
        <x:v>Voluntary non-profit</x:v>
      </x:c>
      <x:c r="G313" s="2" t="str">
        <x:v>Small (&lt;100 beds)</x:v>
      </x:c>
      <x:c r="H313" s="7"/>
      <x:c r="I313" s="7"/>
      <x:c r="J313" s="7"/>
      <x:c r="K313" s="8" t="n">
        <x:v>25</x:v>
      </x:c>
      <x:c r="L313" s="8" t="n">
        <x:v>13</x:v>
      </x:c>
      <x:c r="M313" s="9" t="n">
        <x:v>0.6279452055</x:v>
      </x:c>
      <x:c r="N313" s="10" t="n">
        <x:v>498906.1538461539</x:v>
      </x:c>
      <x:c r="O313" s="9" t="n">
        <x:v>-0.0191508171</x:v>
      </x:c>
      <x:c r="P313" s="9" t="n">
        <x:v>0.9427509294</x:v>
      </x:c>
      <x:c r="Q313" s="9" t="n">
        <x:v>0.292936803</x:v>
      </x:c>
      <x:c r="R313" s="3" t="b">
        <x:v>1</x:v>
      </x:c>
      <x:c r="S313" s="3" t="b">
        <x:v>0</x:v>
      </x:c>
      <x:c r="T313" s="3" t="b">
        <x:v>0</x:v>
      </x:c>
      <x:c r="U313" s="2" t="str">
        <x:f>IF(T313=TRUE,"Priority review",IF(R313=TRUE,"High cost",IF(S313=TRUE,"Low quality","Benchmark")))</x:f>
        <x:v>High cost</x:v>
      </x:c>
    </x:row>
    <x:row r="314">
      <x:c r="A314" s="2" t="str">
        <x:v>670267</x:v>
      </x:c>
      <x:c r="B314" s="2" t="str">
        <x:v>THE WOODLANDS SPECIALTY HOSPITAL</x:v>
      </x:c>
      <x:c r="C314" s="2" t="str">
        <x:v>SPRING</x:v>
      </x:c>
      <x:c r="D314" s="2" t="str">
        <x:v>TX</x:v>
      </x:c>
      <x:c r="E314" s="2" t="str">
        <x:v>Acute Care Hospitals</x:v>
      </x:c>
      <x:c r="F314" s="2" t="str">
        <x:v>Proprietary</x:v>
      </x:c>
      <x:c r="G314" s="2" t="str">
        <x:v>Small (&lt;100 beds)</x:v>
      </x:c>
      <x:c r="H314" s="7"/>
      <x:c r="I314" s="7"/>
      <x:c r="J314" s="7"/>
      <x:c r="K314" s="8" t="n">
        <x:v>6</x:v>
      </x:c>
      <x:c r="L314" s="8" t="n">
        <x:v>166</x:v>
      </x:c>
      <x:c r="M314" s="9" t="n">
        <x:v>0.1607468124</x:v>
      </x:c>
      <x:c r="N314" s="10" t="n">
        <x:v>224626.4939759036</x:v>
      </x:c>
      <x:c r="O314" s="9" t="n">
        <x:v>-0.2093810847</x:v>
      </x:c>
      <x:c r="P314" s="9" t="n">
        <x:v>0.9425493716</x:v>
      </x:c>
      <x:c r="Q314" s="9" t="n">
        <x:v>0.697486535</x:v>
      </x:c>
      <x:c r="R314" s="3" t="b">
        <x:v>1</x:v>
      </x:c>
      <x:c r="S314" s="3" t="b">
        <x:v>0</x:v>
      </x:c>
      <x:c r="T314" s="3" t="b">
        <x:v>0</x:v>
      </x:c>
      <x:c r="U314" s="2" t="str">
        <x:f>IF(T314=TRUE,"Priority review",IF(R314=TRUE,"High cost",IF(S314=TRUE,"Low quality","Benchmark")))</x:f>
        <x:v>High cost</x:v>
      </x:c>
    </x:row>
    <x:row r="315">
      <x:c r="A315" s="2" t="str">
        <x:v>050076</x:v>
      </x:c>
      <x:c r="B315" s="2" t="str">
        <x:v>KAISER FOUNDATION HOSPITAL - SAN FRANCISCO</x:v>
      </x:c>
      <x:c r="C315" s="2" t="str">
        <x:v>SAN FRANCISCO</x:v>
      </x:c>
      <x:c r="D315" s="2" t="str">
        <x:v>CA</x:v>
      </x:c>
      <x:c r="E315" s="2" t="str">
        <x:v>Acute Care Hospitals</x:v>
      </x:c>
      <x:c r="F315" s="2" t="str">
        <x:v>Voluntary non-profit</x:v>
      </x:c>
      <x:c r="G315" s="2" t="str">
        <x:v>Medium (100-299 beds)</x:v>
      </x:c>
      <x:c r="H315" s="7" t="n">
        <x:v>4</x:v>
      </x:c>
      <x:c r="I315" s="7" t="n">
        <x:v>3</x:v>
      </x:c>
      <x:c r="J315" s="7" t="n">
        <x:v>0.86</x:v>
      </x:c>
      <x:c r="K315" s="8" t="n">
        <x:v>239</x:v>
      </x:c>
      <x:c r="L315" s="8" t="n">
        <x:v>11704</x:v>
      </x:c>
      <x:c r="M315" s="9" t="n">
        <x:v>0.6931659693</x:v>
      </x:c>
      <x:c r="N315" s="10" t="n">
        <x:v>67783.7660628845</x:v>
      </x:c>
      <x:c r="O315" s="9" t="n">
        <x:v>0.0536774706</x:v>
      </x:c>
      <x:c r="P315" s="9" t="n">
        <x:v>0.9421352893</x:v>
      </x:c>
      <x:c r="Q315" s="9" t="n">
        <x:v>0.6022819886</x:v>
      </x:c>
      <x:c r="R315" s="3" t="b">
        <x:v>1</x:v>
      </x:c>
      <x:c r="S315" s="3" t="b">
        <x:v>0</x:v>
      </x:c>
      <x:c r="T315" s="3" t="b">
        <x:v>0</x:v>
      </x:c>
      <x:c r="U315" s="2" t="str">
        <x:f>IF(T315=TRUE,"Priority review",IF(R315=TRUE,"High cost",IF(S315=TRUE,"Low quality","Benchmark")))</x:f>
        <x:v>High cost</x:v>
      </x:c>
    </x:row>
    <x:row r="316">
      <x:c r="A316" s="2" t="str">
        <x:v>111332</x:v>
      </x:c>
      <x:c r="B316" s="2" t="str">
        <x:v>ARCHBOLD BROOKS</x:v>
      </x:c>
      <x:c r="C316" s="2" t="str">
        <x:v>QUITMAN</x:v>
      </x:c>
      <x:c r="D316" s="2" t="str">
        <x:v>GA</x:v>
      </x:c>
      <x:c r="E316" s="2" t="str">
        <x:v>Critical Access Hospitals</x:v>
      </x:c>
      <x:c r="F316" s="2" t="str">
        <x:v>Government</x:v>
      </x:c>
      <x:c r="G316" s="2" t="str">
        <x:v>Small (&lt;100 beds)</x:v>
      </x:c>
      <x:c r="H316" s="7"/>
      <x:c r="I316" s="7"/>
      <x:c r="J316" s="7"/>
      <x:c r="K316" s="8" t="n">
        <x:v>25</x:v>
      </x:c>
      <x:c r="L316" s="8" t="n">
        <x:v>26</x:v>
      </x:c>
      <x:c r="M316" s="9" t="n">
        <x:v>0.3710382514</x:v>
      </x:c>
      <x:c r="N316" s="10" t="n">
        <x:v>493897.8461538461</x:v>
      </x:c>
      <x:c r="O316" s="9" t="n">
        <x:v>-0.0222215182</x:v>
      </x:c>
      <x:c r="P316" s="9" t="n">
        <x:v>0.9420074349</x:v>
      </x:c>
      <x:c r="Q316" s="9" t="n">
        <x:v>0.292936803</x:v>
      </x:c>
      <x:c r="R316" s="3" t="b">
        <x:v>1</x:v>
      </x:c>
      <x:c r="S316" s="3" t="b">
        <x:v>0</x:v>
      </x:c>
      <x:c r="T316" s="3" t="b">
        <x:v>0</x:v>
      </x:c>
      <x:c r="U316" s="2" t="str">
        <x:f>IF(T316=TRUE,"Priority review",IF(R316=TRUE,"High cost",IF(S316=TRUE,"Low quality","Benchmark")))</x:f>
        <x:v>High cost</x:v>
      </x:c>
    </x:row>
    <x:row r="317">
      <x:c r="A317" s="2" t="str">
        <x:v>204008</x:v>
      </x:c>
      <x:c r="B317" s="2" t="str">
        <x:v>RIVERVIEW PSYCHIATRIC CENTER</x:v>
      </x:c>
      <x:c r="C317" s="2" t="str">
        <x:v>AUGUSTA</x:v>
      </x:c>
      <x:c r="D317" s="2" t="str">
        <x:v>ME</x:v>
      </x:c>
      <x:c r="E317" s="2" t="str">
        <x:v>Psychiatric</x:v>
      </x:c>
      <x:c r="F317" s="2" t="str">
        <x:v>Government</x:v>
      </x:c>
      <x:c r="G317" s="2" t="str">
        <x:v>Small (&lt;100 beds)</x:v>
      </x:c>
      <x:c r="H317" s="7"/>
      <x:c r="I317" s="7"/>
      <x:c r="J317" s="7"/>
      <x:c r="K317" s="8" t="n">
        <x:v>92</x:v>
      </x:c>
      <x:c r="L317" s="8" t="n">
        <x:v>217</x:v>
      </x:c>
      <x:c r="M317" s="9" t="n">
        <x:v>0.7235854675</x:v>
      </x:c>
      <x:c r="N317" s="10" t="n">
        <x:v>244336.0552995392</x:v>
      </x:c>
      <x:c r="O317" s="9"/>
      <x:c r="P317" s="9" t="n">
        <x:v>0.9417475728</x:v>
      </x:c>
      <x:c r="Q317" s="9" t="n">
        <x:v>0</x:v>
      </x:c>
      <x:c r="R317" s="3" t="b">
        <x:v>1</x:v>
      </x:c>
      <x:c r="S317" s="3" t="b">
        <x:v>0</x:v>
      </x:c>
      <x:c r="T317" s="3" t="b">
        <x:v>0</x:v>
      </x:c>
      <x:c r="U317" s="2" t="str">
        <x:f>IF(T317=TRUE,"Priority review",IF(R317=TRUE,"High cost",IF(S317=TRUE,"Low quality","Benchmark")))</x:f>
        <x:v>High cost</x:v>
      </x:c>
    </x:row>
    <x:row r="318">
      <x:c r="A318" s="2" t="str">
        <x:v>370173</x:v>
      </x:c>
      <x:c r="B318" s="2" t="str">
        <x:v>CLAREMORE INDIAN HOSPITAL</x:v>
      </x:c>
      <x:c r="C318" s="2" t="str">
        <x:v>CLAREMORE</x:v>
      </x:c>
      <x:c r="D318" s="2" t="str">
        <x:v>OK</x:v>
      </x:c>
      <x:c r="E318" s="2" t="str">
        <x:v>Acute Care Hospitals</x:v>
      </x:c>
      <x:c r="F318" s="2" t="str">
        <x:v>Government</x:v>
      </x:c>
      <x:c r="G318" s="2" t="str">
        <x:v>Small (&lt;100 beds)</x:v>
      </x:c>
      <x:c r="H318" s="7"/>
      <x:c r="I318" s="7"/>
      <x:c r="J318" s="7" t="n">
        <x:v>0.75</x:v>
      </x:c>
      <x:c r="K318" s="8" t="n">
        <x:v>46</x:v>
      </x:c>
      <x:c r="L318" s="8" t="n">
        <x:v>500</x:v>
      </x:c>
      <x:c r="M318" s="9" t="n">
        <x:v>0.0787004039</x:v>
      </x:c>
      <x:c r="N318" s="10" t="n">
        <x:v>223072.708</x:v>
      </x:c>
      <x:c r="O318" s="9"/>
      <x:c r="P318" s="9" t="n">
        <x:v>0.9416517056</x:v>
      </x:c>
      <x:c r="Q318" s="9" t="n">
        <x:v>0.697486535</x:v>
      </x:c>
      <x:c r="R318" s="3" t="b">
        <x:v>1</x:v>
      </x:c>
      <x:c r="S318" s="3" t="b">
        <x:v>0</x:v>
      </x:c>
      <x:c r="T318" s="3" t="b">
        <x:v>0</x:v>
      </x:c>
      <x:c r="U318" s="2" t="str">
        <x:f>IF(T318=TRUE,"Priority review",IF(R318=TRUE,"High cost",IF(S318=TRUE,"Low quality","Benchmark")))</x:f>
        <x:v>High cost</x:v>
      </x:c>
    </x:row>
    <x:row r="319">
      <x:c r="A319" s="2" t="str">
        <x:v>140119</x:v>
      </x:c>
      <x:c r="B319" s="2" t="str">
        <x:v>RUSH UNIVERSITY MEDICAL CENTER</x:v>
      </x:c>
      <x:c r="C319" s="2" t="str">
        <x:v>CHICAGO</x:v>
      </x:c>
      <x:c r="D319" s="2" t="str">
        <x:v>IL</x:v>
      </x:c>
      <x:c r="E319" s="2" t="str">
        <x:v>Acute Care Hospitals</x:v>
      </x:c>
      <x:c r="F319" s="2" t="str">
        <x:v>Voluntary non-profit</x:v>
      </x:c>
      <x:c r="G319" s="2" t="str">
        <x:v>Large (300+ beds)</x:v>
      </x:c>
      <x:c r="H319" s="7" t="n">
        <x:v>5</x:v>
      </x:c>
      <x:c r="I319" s="7" t="n">
        <x:v>3</x:v>
      </x:c>
      <x:c r="J319" s="7" t="n">
        <x:v>0.94</x:v>
      </x:c>
      <x:c r="K319" s="8" t="n">
        <x:v>608</x:v>
      </x:c>
      <x:c r="L319" s="8" t="n">
        <x:v>28105</x:v>
      </x:c>
      <x:c r="M319" s="9" t="n">
        <x:v>0.7160207155</x:v>
      </x:c>
      <x:c r="N319" s="10" t="n">
        <x:v>89109.371535314</x:v>
      </x:c>
      <x:c r="O319" s="9" t="n">
        <x:v>-0.0527318698</x:v>
      </x:c>
      <x:c r="P319" s="9" t="n">
        <x:v>0.9416403785</x:v>
      </x:c>
      <x:c r="Q319" s="9" t="n">
        <x:v>0.8722397476</x:v>
      </x:c>
      <x:c r="R319" s="3" t="b">
        <x:v>1</x:v>
      </x:c>
      <x:c r="S319" s="3" t="b">
        <x:v>0</x:v>
      </x:c>
      <x:c r="T319" s="3" t="b">
        <x:v>0</x:v>
      </x:c>
      <x:c r="U319" s="2" t="str">
        <x:f>IF(T319=TRUE,"Priority review",IF(R319=TRUE,"High cost",IF(S319=TRUE,"Low quality","Benchmark")))</x:f>
        <x:v>High cost</x:v>
      </x:c>
    </x:row>
    <x:row r="320">
      <x:c r="A320" s="2" t="str">
        <x:v>141333</x:v>
      </x:c>
      <x:c r="B320" s="2" t="str">
        <x:v>SARAH D CULBERTSON MEMORIAL HOSPITAL</x:v>
      </x:c>
      <x:c r="C320" s="2" t="str">
        <x:v>RUSHVILLE</x:v>
      </x:c>
      <x:c r="D320" s="2" t="str">
        <x:v>IL</x:v>
      </x:c>
      <x:c r="E320" s="2" t="str">
        <x:v>Critical Access Hospitals</x:v>
      </x:c>
      <x:c r="F320" s="2" t="str">
        <x:v>Government</x:v>
      </x:c>
      <x:c r="G320" s="2" t="str">
        <x:v>Small (&lt;100 beds)</x:v>
      </x:c>
      <x:c r="H320" s="7"/>
      <x:c r="I320" s="7"/>
      <x:c r="J320" s="7"/>
      <x:c r="K320" s="8" t="n">
        <x:v>22</x:v>
      </x:c>
      <x:c r="L320" s="8" t="n">
        <x:v>61</x:v>
      </x:c>
      <x:c r="M320" s="9" t="n">
        <x:v>0.0597758406</x:v>
      </x:c>
      <x:c r="N320" s="10" t="n">
        <x:v>490947.5737704918</x:v>
      </x:c>
      <x:c r="O320" s="9" t="n">
        <x:v>0.0599766662</x:v>
      </x:c>
      <x:c r="P320" s="9" t="n">
        <x:v>0.9412639405</x:v>
      </x:c>
      <x:c r="Q320" s="9" t="n">
        <x:v>0.292936803</x:v>
      </x:c>
      <x:c r="R320" s="3" t="b">
        <x:v>1</x:v>
      </x:c>
      <x:c r="S320" s="3" t="b">
        <x:v>0</x:v>
      </x:c>
      <x:c r="T320" s="3" t="b">
        <x:v>0</x:v>
      </x:c>
      <x:c r="U320" s="2" t="str">
        <x:f>IF(T320=TRUE,"Priority review",IF(R320=TRUE,"High cost",IF(S320=TRUE,"Low quality","Benchmark")))</x:f>
        <x:v>High cost</x:v>
      </x:c>
    </x:row>
    <x:row r="321">
      <x:c r="A321" s="2" t="str">
        <x:v>670135</x:v>
      </x:c>
      <x:c r="B321" s="2" t="str">
        <x:v>ALTUS HOUSTON HOSPITAL, LP</x:v>
      </x:c>
      <x:c r="C321" s="2" t="str">
        <x:v>HOUSTON</x:v>
      </x:c>
      <x:c r="D321" s="2" t="str">
        <x:v>TX</x:v>
      </x:c>
      <x:c r="E321" s="2" t="str">
        <x:v>Acute Care Hospitals</x:v>
      </x:c>
      <x:c r="F321" s="2" t="str">
        <x:v>Proprietary</x:v>
      </x:c>
      <x:c r="G321" s="2" t="str">
        <x:v>Small (&lt;100 beds)</x:v>
      </x:c>
      <x:c r="H321" s="7"/>
      <x:c r="I321" s="7"/>
      <x:c r="J321" s="7"/>
      <x:c r="K321" s="8" t="n">
        <x:v>10</x:v>
      </x:c>
      <x:c r="L321" s="8" t="n">
        <x:v>77</x:v>
      </x:c>
      <x:c r="M321" s="9" t="n">
        <x:v>0.0843835616</x:v>
      </x:c>
      <x:c r="N321" s="10" t="n">
        <x:v>222036.7922077922</x:v>
      </x:c>
      <x:c r="O321" s="9" t="n">
        <x:v>-0.0329185045</x:v>
      </x:c>
      <x:c r="P321" s="9" t="n">
        <x:v>0.9407540395</x:v>
      </x:c>
      <x:c r="Q321" s="9" t="n">
        <x:v>0.697486535</x:v>
      </x:c>
      <x:c r="R321" s="3" t="b">
        <x:v>1</x:v>
      </x:c>
      <x:c r="S321" s="3" t="b">
        <x:v>0</x:v>
      </x:c>
      <x:c r="T321" s="3" t="b">
        <x:v>0</x:v>
      </x:c>
      <x:c r="U321" s="2" t="str">
        <x:f>IF(T321=TRUE,"Priority review",IF(R321=TRUE,"High cost",IF(S321=TRUE,"Low quality","Benchmark")))</x:f>
        <x:v>High cost</x:v>
      </x:c>
    </x:row>
    <x:row r="322">
      <x:c r="A322" s="2" t="str">
        <x:v>501340</x:v>
      </x:c>
      <x:c r="B322" s="2" t="str">
        <x:v>PEACEHEALTH PEACE ISLAND MEDICAL CENTER</x:v>
      </x:c>
      <x:c r="C322" s="2" t="str">
        <x:v>FRIDAY HARBOR</x:v>
      </x:c>
      <x:c r="D322" s="2" t="str">
        <x:v>WA</x:v>
      </x:c>
      <x:c r="E322" s="2" t="str">
        <x:v>Critical Access Hospitals</x:v>
      </x:c>
      <x:c r="F322" s="2" t="str">
        <x:v>Voluntary non-profit</x:v>
      </x:c>
      <x:c r="G322" s="2" t="str">
        <x:v>Small (&lt;100 beds)</x:v>
      </x:c>
      <x:c r="H322" s="7"/>
      <x:c r="I322" s="7"/>
      <x:c r="J322" s="7"/>
      <x:c r="K322" s="8" t="n">
        <x:v>10</x:v>
      </x:c>
      <x:c r="L322" s="8" t="n">
        <x:v>67</x:v>
      </x:c>
      <x:c r="M322" s="9" t="n">
        <x:v>0.0479452055</x:v>
      </x:c>
      <x:c r="N322" s="10" t="n">
        <x:v>486767.7462686567</x:v>
      </x:c>
      <x:c r="O322" s="9" t="n">
        <x:v>-0.0910524599</x:v>
      </x:c>
      <x:c r="P322" s="9" t="n">
        <x:v>0.9405204461</x:v>
      </x:c>
      <x:c r="Q322" s="9" t="n">
        <x:v>0.292936803</x:v>
      </x:c>
      <x:c r="R322" s="3" t="b">
        <x:v>1</x:v>
      </x:c>
      <x:c r="S322" s="3" t="b">
        <x:v>0</x:v>
      </x:c>
      <x:c r="T322" s="3" t="b">
        <x:v>0</x:v>
      </x:c>
      <x:c r="U322" s="2" t="str">
        <x:f>IF(T322=TRUE,"Priority review",IF(R322=TRUE,"High cost",IF(S322=TRUE,"Low quality","Benchmark")))</x:f>
        <x:v>High cost</x:v>
      </x:c>
    </x:row>
    <x:row r="323">
      <x:c r="A323" s="2" t="str">
        <x:v>234041</x:v>
      </x:c>
      <x:c r="B323" s="2" t="str">
        <x:v>THE CENTER FOR FORENSIC PSYCHIATRY</x:v>
      </x:c>
      <x:c r="C323" s="2" t="str">
        <x:v>SALINE</x:v>
      </x:c>
      <x:c r="D323" s="2" t="str">
        <x:v>MI</x:v>
      </x:c>
      <x:c r="E323" s="2" t="str">
        <x:v>Psychiatric</x:v>
      </x:c>
      <x:c r="F323" s="2" t="str">
        <x:v>Government</x:v>
      </x:c>
      <x:c r="G323" s="2" t="str">
        <x:v>Medium (100-299 beds)</x:v>
      </x:c>
      <x:c r="H323" s="7"/>
      <x:c r="I323" s="7"/>
      <x:c r="J323" s="7"/>
      <x:c r="K323" s="8" t="n">
        <x:v>272</x:v>
      </x:c>
      <x:c r="L323" s="8" t="n">
        <x:v>277</x:v>
      </x:c>
      <x:c r="M323" s="9" t="n">
        <x:v>0.8827949212</x:v>
      </x:c>
      <x:c r="N323" s="10" t="n">
        <x:v>393374.2996389891</x:v>
      </x:c>
      <x:c r="O323" s="9" t="n">
        <x:v>-7.1404721719</x:v>
      </x:c>
      <x:c r="P323" s="9" t="n">
        <x:v>0.9402985075</x:v>
      </x:c>
      <x:c r="Q323" s="9" t="n">
        <x:v>0</x:v>
      </x:c>
      <x:c r="R323" s="3" t="b">
        <x:v>1</x:v>
      </x:c>
      <x:c r="S323" s="3" t="b">
        <x:v>0</x:v>
      </x:c>
      <x:c r="T323" s="3" t="b">
        <x:v>0</x:v>
      </x:c>
      <x:c r="U323" s="2" t="str">
        <x:f>IF(T323=TRUE,"Priority review",IF(R323=TRUE,"High cost",IF(S323=TRUE,"Low quality","Benchmark")))</x:f>
        <x:v>High cost</x:v>
      </x:c>
    </x:row>
    <x:row r="324">
      <x:c r="A324" s="2" t="str">
        <x:v>360137</x:v>
      </x:c>
      <x:c r="B324" s="2" t="str">
        <x:v>UH CLEVELAND MEDICAL CENTER</x:v>
      </x:c>
      <x:c r="C324" s="2" t="str">
        <x:v>CLEVELAND</x:v>
      </x:c>
      <x:c r="D324" s="2" t="str">
        <x:v>OH</x:v>
      </x:c>
      <x:c r="E324" s="2" t="str">
        <x:v>Acute Care Hospitals</x:v>
      </x:c>
      <x:c r="F324" s="2" t="str">
        <x:v>Voluntary non-profit</x:v>
      </x:c>
      <x:c r="G324" s="2" t="str">
        <x:v>Large (300+ beds)</x:v>
      </x:c>
      <x:c r="H324" s="7" t="n">
        <x:v>3</x:v>
      </x:c>
      <x:c r="I324" s="7" t="n">
        <x:v>3</x:v>
      </x:c>
      <x:c r="J324" s="7" t="n">
        <x:v>1.05</x:v>
      </x:c>
      <x:c r="K324" s="8" t="n">
        <x:v>656</x:v>
      </x:c>
      <x:c r="L324" s="8" t="n">
        <x:v>29970</x:v>
      </x:c>
      <x:c r="M324" s="9" t="n">
        <x:v>0.7671139877</x:v>
      </x:c>
      <x:c r="N324" s="10" t="n">
        <x:v>89011.0754087421</x:v>
      </x:c>
      <x:c r="O324" s="9" t="n">
        <x:v>-0.0822895815</x:v>
      </x:c>
      <x:c r="P324" s="9" t="n">
        <x:v>0.9400630915</x:v>
      </x:c>
      <x:c r="Q324" s="9" t="n">
        <x:v>0.2570977918</x:v>
      </x:c>
      <x:c r="R324" s="3" t="b">
        <x:v>1</x:v>
      </x:c>
      <x:c r="S324" s="3" t="b">
        <x:v>0</x:v>
      </x:c>
      <x:c r="T324" s="3" t="b">
        <x:v>0</x:v>
      </x:c>
      <x:c r="U324" s="2" t="str">
        <x:f>IF(T324=TRUE,"Priority review",IF(R324=TRUE,"High cost",IF(S324=TRUE,"Low quality","Benchmark")))</x:f>
        <x:v>High cost</x:v>
      </x:c>
    </x:row>
    <x:row r="325">
      <x:c r="A325" s="2" t="str">
        <x:v>360367</x:v>
      </x:c>
      <x:c r="B325" s="2" t="str">
        <x:v>LAKE HEALTH BEACHWOOD MEDICAL CENTER</x:v>
      </x:c>
      <x:c r="C325" s="2" t="str">
        <x:v>BEACHWOOD</x:v>
      </x:c>
      <x:c r="D325" s="2" t="str">
        <x:v>OH</x:v>
      </x:c>
      <x:c r="E325" s="2" t="str">
        <x:v>Acute Care Hospitals</x:v>
      </x:c>
      <x:c r="F325" s="2" t="str">
        <x:v>Proprietary</x:v>
      </x:c>
      <x:c r="G325" s="2" t="str">
        <x:v>Small (&lt;100 beds)</x:v>
      </x:c>
      <x:c r="H325" s="7"/>
      <x:c r="I325" s="7"/>
      <x:c r="J325" s="7" t="n">
        <x:v>1.07</x:v>
      </x:c>
      <x:c r="K325" s="8" t="n">
        <x:v>24</x:v>
      </x:c>
      <x:c r="L325" s="8" t="n">
        <x:v>296</x:v>
      </x:c>
      <x:c r="M325" s="9" t="n">
        <x:v>0.0779826958</x:v>
      </x:c>
      <x:c r="N325" s="10" t="n">
        <x:v>220642.7668918919</x:v>
      </x:c>
      <x:c r="O325" s="9" t="n">
        <x:v>-0.1526073017</x:v>
      </x:c>
      <x:c r="P325" s="9" t="n">
        <x:v>0.9398563734</x:v>
      </x:c>
      <x:c r="Q325" s="9" t="n">
        <x:v>0.697486535</x:v>
      </x:c>
      <x:c r="R325" s="3" t="b">
        <x:v>1</x:v>
      </x:c>
      <x:c r="S325" s="3" t="b">
        <x:v>0</x:v>
      </x:c>
      <x:c r="T325" s="3" t="b">
        <x:v>0</x:v>
      </x:c>
      <x:c r="U325" s="2" t="str">
        <x:f>IF(T325=TRUE,"Priority review",IF(R325=TRUE,"High cost",IF(S325=TRUE,"Low quality","Benchmark")))</x:f>
        <x:v>High cost</x:v>
      </x:c>
    </x:row>
    <x:row r="326">
      <x:c r="A326" s="2" t="str">
        <x:v>451305</x:v>
      </x:c>
      <x:c r="B326" s="2" t="str">
        <x:v>BURLESON ST JOSEPH HEALTH CENTER</x:v>
      </x:c>
      <x:c r="C326" s="2" t="str">
        <x:v>CALDWELL</x:v>
      </x:c>
      <x:c r="D326" s="2" t="str">
        <x:v>TX</x:v>
      </x:c>
      <x:c r="E326" s="2" t="str">
        <x:v>Critical Access Hospitals</x:v>
      </x:c>
      <x:c r="F326" s="2" t="str">
        <x:v>Voluntary non-profit</x:v>
      </x:c>
      <x:c r="G326" s="2" t="str">
        <x:v>Small (&lt;100 beds)</x:v>
      </x:c>
      <x:c r="H326" s="7"/>
      <x:c r="I326" s="7"/>
      <x:c r="J326" s="7"/>
      <x:c r="K326" s="8" t="n">
        <x:v>15</x:v>
      </x:c>
      <x:c r="L326" s="8" t="n">
        <x:v>30</x:v>
      </x:c>
      <x:c r="M326" s="9" t="n">
        <x:v>0.3784474886</x:v>
      </x:c>
      <x:c r="N326" s="10" t="n">
        <x:v>477881.5</x:v>
      </x:c>
      <x:c r="O326" s="9" t="n">
        <x:v>0.0577106695</x:v>
      </x:c>
      <x:c r="P326" s="9" t="n">
        <x:v>0.9397769517</x:v>
      </x:c>
      <x:c r="Q326" s="9" t="n">
        <x:v>0.292936803</x:v>
      </x:c>
      <x:c r="R326" s="3" t="b">
        <x:v>1</x:v>
      </x:c>
      <x:c r="S326" s="3" t="b">
        <x:v>0</x:v>
      </x:c>
      <x:c r="T326" s="3" t="b">
        <x:v>0</x:v>
      </x:c>
      <x:c r="U326" s="2" t="str">
        <x:f>IF(T326=TRUE,"Priority review",IF(R326=TRUE,"High cost",IF(S326=TRUE,"Low quality","Benchmark")))</x:f>
        <x:v>High cost</x:v>
      </x:c>
    </x:row>
    <x:row r="327">
      <x:c r="A327" s="2" t="str">
        <x:v>050007</x:v>
      </x:c>
      <x:c r="B327" s="2" t="str">
        <x:v>PENINSULA MEDICAL CENTER</x:v>
      </x:c>
      <x:c r="C327" s="2" t="str">
        <x:v>BURLINGAME</x:v>
      </x:c>
      <x:c r="D327" s="2" t="str">
        <x:v>CA</x:v>
      </x:c>
      <x:c r="E327" s="2" t="str">
        <x:v>Acute Care Hospitals</x:v>
      </x:c>
      <x:c r="F327" s="2" t="str">
        <x:v>Voluntary non-profit</x:v>
      </x:c>
      <x:c r="G327" s="2" t="str">
        <x:v>Medium (100-299 beds)</x:v>
      </x:c>
      <x:c r="H327" s="7" t="n">
        <x:v>5</x:v>
      </x:c>
      <x:c r="I327" s="7" t="n">
        <x:v>4</x:v>
      </x:c>
      <x:c r="J327" s="7" t="n">
        <x:v>0.97</x:v>
      </x:c>
      <x:c r="K327" s="8" t="n">
        <x:v>241</x:v>
      </x:c>
      <x:c r="L327" s="8" t="n">
        <x:v>12607</x:v>
      </x:c>
      <x:c r="M327" s="9" t="n">
        <x:v>0.6412602317</x:v>
      </x:c>
      <x:c r="N327" s="10" t="n">
        <x:v>67353.4265884033</x:v>
      </x:c>
      <x:c r="O327" s="9" t="n">
        <x:v>0.0525862825</x:v>
      </x:c>
      <x:c r="P327" s="9" t="n">
        <x:v>0.9396903015</x:v>
      </x:c>
      <x:c r="Q327" s="9" t="n">
        <x:v>0.8744906275</x:v>
      </x:c>
      <x:c r="R327" s="3" t="b">
        <x:v>1</x:v>
      </x:c>
      <x:c r="S327" s="3" t="b">
        <x:v>0</x:v>
      </x:c>
      <x:c r="T327" s="3" t="b">
        <x:v>0</x:v>
      </x:c>
      <x:c r="U327" s="2" t="str">
        <x:f>IF(T327=TRUE,"Priority review",IF(R327=TRUE,"High cost",IF(S327=TRUE,"Low quality","Benchmark")))</x:f>
        <x:v>High cost</x:v>
      </x:c>
    </x:row>
    <x:row r="328">
      <x:c r="A328" s="2" t="str">
        <x:v>501311</x:v>
      </x:c>
      <x:c r="B328" s="2" t="str">
        <x:v>EAST ADAMS RURAL HOSPITAL</x:v>
      </x:c>
      <x:c r="C328" s="2" t="str">
        <x:v>RITZVILLE</x:v>
      </x:c>
      <x:c r="D328" s="2" t="str">
        <x:v>WA</x:v>
      </x:c>
      <x:c r="E328" s="2" t="str">
        <x:v>Critical Access Hospitals</x:v>
      </x:c>
      <x:c r="F328" s="2" t="str">
        <x:v>Government</x:v>
      </x:c>
      <x:c r="G328" s="2" t="str">
        <x:v>Small (&lt;100 beds)</x:v>
      </x:c>
      <x:c r="H328" s="7"/>
      <x:c r="I328" s="7"/>
      <x:c r="J328" s="7"/>
      <x:c r="K328" s="8" t="n">
        <x:v>12</x:v>
      </x:c>
      <x:c r="L328" s="8" t="n">
        <x:v>40</x:v>
      </x:c>
      <x:c r="M328" s="9" t="n">
        <x:v>0.3870673953</x:v>
      </x:c>
      <x:c r="N328" s="10" t="n">
        <x:v>471207.825</x:v>
      </x:c>
      <x:c r="O328" s="9" t="n">
        <x:v>-0.5976773879</x:v>
      </x:c>
      <x:c r="P328" s="9" t="n">
        <x:v>0.9390334572</x:v>
      </x:c>
      <x:c r="Q328" s="9" t="n">
        <x:v>0.292936803</x:v>
      </x:c>
      <x:c r="R328" s="3" t="b">
        <x:v>1</x:v>
      </x:c>
      <x:c r="S328" s="3" t="b">
        <x:v>0</x:v>
      </x:c>
      <x:c r="T328" s="3" t="b">
        <x:v>0</x:v>
      </x:c>
      <x:c r="U328" s="2" t="str">
        <x:f>IF(T328=TRUE,"Priority review",IF(R328=TRUE,"High cost",IF(S328=TRUE,"Low quality","Benchmark")))</x:f>
        <x:v>High cost</x:v>
      </x:c>
    </x:row>
    <x:row r="329">
      <x:c r="A329" s="2" t="str">
        <x:v>230264</x:v>
      </x:c>
      <x:c r="B329" s="2" t="str">
        <x:v>SOUTHEAST MICHIGAN SURGICAL HOSPITAL LLC</x:v>
      </x:c>
      <x:c r="C329" s="2" t="str">
        <x:v>WARREN</x:v>
      </x:c>
      <x:c r="D329" s="2" t="str">
        <x:v>MI</x:v>
      </x:c>
      <x:c r="E329" s="2" t="str">
        <x:v>Acute Care Hospitals</x:v>
      </x:c>
      <x:c r="F329" s="2" t="str">
        <x:v>Voluntary non-profit</x:v>
      </x:c>
      <x:c r="G329" s="2" t="str">
        <x:v>Small (&lt;100 beds)</x:v>
      </x:c>
      <x:c r="H329" s="7"/>
      <x:c r="I329" s="7"/>
      <x:c r="J329" s="7"/>
      <x:c r="K329" s="8" t="n">
        <x:v>13</x:v>
      </x:c>
      <x:c r="L329" s="8" t="n">
        <x:v>210</x:v>
      </x:c>
      <x:c r="M329" s="9" t="n">
        <x:v>0.0924758302</x:v>
      </x:c>
      <x:c r="N329" s="10" t="n">
        <x:v>220173.5095238095</x:v>
      </x:c>
      <x:c r="O329" s="9" t="n">
        <x:v>-0.4106208409</x:v>
      </x:c>
      <x:c r="P329" s="9" t="n">
        <x:v>0.9389587074</x:v>
      </x:c>
      <x:c r="Q329" s="9" t="n">
        <x:v>0.697486535</x:v>
      </x:c>
      <x:c r="R329" s="3" t="b">
        <x:v>1</x:v>
      </x:c>
      <x:c r="S329" s="3" t="b">
        <x:v>0</x:v>
      </x:c>
      <x:c r="T329" s="3" t="b">
        <x:v>0</x:v>
      </x:c>
      <x:c r="U329" s="2" t="str">
        <x:f>IF(T329=TRUE,"Priority review",IF(R329=TRUE,"High cost",IF(S329=TRUE,"Low quality","Benchmark")))</x:f>
        <x:v>High cost</x:v>
      </x:c>
    </x:row>
    <x:row r="330">
      <x:c r="A330" s="2" t="str">
        <x:v>014017</x:v>
      </x:c>
      <x:c r="B330" s="2" t="str">
        <x:v>EASTPOINTE HOSPITAL</x:v>
      </x:c>
      <x:c r="C330" s="2" t="str">
        <x:v>DAPHNE</x:v>
      </x:c>
      <x:c r="D330" s="2" t="str">
        <x:v>AL</x:v>
      </x:c>
      <x:c r="E330" s="2" t="str">
        <x:v>Psychiatric</x:v>
      </x:c>
      <x:c r="F330" s="2" t="str">
        <x:v>Voluntary non-profit</x:v>
      </x:c>
      <x:c r="G330" s="2" t="str">
        <x:v>Small (&lt;100 beds)</x:v>
      </x:c>
      <x:c r="H330" s="7"/>
      <x:c r="I330" s="7"/>
      <x:c r="J330" s="7"/>
      <x:c r="K330" s="8" t="n">
        <x:v>82</x:v>
      </x:c>
      <x:c r="L330" s="8" t="n">
        <x:v>744</x:v>
      </x:c>
      <x:c r="M330" s="9" t="n">
        <x:v>0.8789484206</x:v>
      </x:c>
      <x:c r="N330" s="10" t="n">
        <x:v>223705.4744623656</x:v>
      </x:c>
      <x:c r="O330" s="9" t="n">
        <x:v>-0.7590015536</x:v>
      </x:c>
      <x:c r="P330" s="9" t="n">
        <x:v>0.9385113269</x:v>
      </x:c>
      <x:c r="Q330" s="9" t="n">
        <x:v>0</x:v>
      </x:c>
      <x:c r="R330" s="3" t="b">
        <x:v>1</x:v>
      </x:c>
      <x:c r="S330" s="3" t="b">
        <x:v>0</x:v>
      </x:c>
      <x:c r="T330" s="3" t="b">
        <x:v>0</x:v>
      </x:c>
      <x:c r="U330" s="2" t="str">
        <x:f>IF(T330=TRUE,"Priority review",IF(R330=TRUE,"High cost",IF(S330=TRUE,"Low quality","Benchmark")))</x:f>
        <x:v>High cost</x:v>
      </x:c>
    </x:row>
    <x:row r="331">
      <x:c r="A331" s="2" t="str">
        <x:v>390256</x:v>
      </x:c>
      <x:c r="B331" s="2" t="str">
        <x:v>MILTON S HERSHEY MEDICAL CENTER</x:v>
      </x:c>
      <x:c r="C331" s="2" t="str">
        <x:v>HERSHEY</x:v>
      </x:c>
      <x:c r="D331" s="2" t="str">
        <x:v>PA</x:v>
      </x:c>
      <x:c r="E331" s="2" t="str">
        <x:v>Acute Care Hospitals</x:v>
      </x:c>
      <x:c r="F331" s="2" t="str">
        <x:v>Voluntary non-profit</x:v>
      </x:c>
      <x:c r="G331" s="2" t="str">
        <x:v>Large (300+ beds)</x:v>
      </x:c>
      <x:c r="H331" s="7" t="n">
        <x:v>4</x:v>
      </x:c>
      <x:c r="I331" s="7" t="n">
        <x:v>3</x:v>
      </x:c>
      <x:c r="J331" s="7" t="n">
        <x:v>1.05</x:v>
      </x:c>
      <x:c r="K331" s="8" t="n">
        <x:v>645</x:v>
      </x:c>
      <x:c r="L331" s="8" t="n">
        <x:v>27441</x:v>
      </x:c>
      <x:c r="M331" s="9" t="n">
        <x:v>0.7426611447</x:v>
      </x:c>
      <x:c r="N331" s="10" t="n">
        <x:v>87550.803542145</x:v>
      </x:c>
      <x:c r="O331" s="9" t="n">
        <x:v>-0.0196514634</x:v>
      </x:c>
      <x:c r="P331" s="9" t="n">
        <x:v>0.9384858044</x:v>
      </x:c>
      <x:c r="Q331" s="9" t="n">
        <x:v>0.5899053628</x:v>
      </x:c>
      <x:c r="R331" s="3" t="b">
        <x:v>1</x:v>
      </x:c>
      <x:c r="S331" s="3" t="b">
        <x:v>0</x:v>
      </x:c>
      <x:c r="T331" s="3" t="b">
        <x:v>0</x:v>
      </x:c>
      <x:c r="U331" s="2" t="str">
        <x:f>IF(T331=TRUE,"Priority review",IF(R331=TRUE,"High cost",IF(S331=TRUE,"Low quality","Benchmark")))</x:f>
        <x:v>High cost</x:v>
      </x:c>
    </x:row>
    <x:row r="332">
      <x:c r="A332" s="2" t="str">
        <x:v>141301</x:v>
      </x:c>
      <x:c r="B332" s="2" t="str">
        <x:v>KIRBY MEDICAL CENTER</x:v>
      </x:c>
      <x:c r="C332" s="2" t="str">
        <x:v>MONTICELLO</x:v>
      </x:c>
      <x:c r="D332" s="2" t="str">
        <x:v>IL</x:v>
      </x:c>
      <x:c r="E332" s="2" t="str">
        <x:v>Critical Access Hospitals</x:v>
      </x:c>
      <x:c r="F332" s="2" t="str">
        <x:v>Voluntary non-profit</x:v>
      </x:c>
      <x:c r="G332" s="2" t="str">
        <x:v>Small (&lt;100 beds)</x:v>
      </x:c>
      <x:c r="H332" s="7"/>
      <x:c r="I332" s="7"/>
      <x:c r="J332" s="7"/>
      <x:c r="K332" s="8" t="n">
        <x:v>16</x:v>
      </x:c>
      <x:c r="L332" s="8" t="n">
        <x:v>168</x:v>
      </x:c>
      <x:c r="M332" s="9" t="n">
        <x:v>0.3035958904</x:v>
      </x:c>
      <x:c r="N332" s="10" t="n">
        <x:v>466788.7738095238</x:v>
      </x:c>
      <x:c r="O332" s="9" t="n">
        <x:v>-0.0528842771</x:v>
      </x:c>
      <x:c r="P332" s="9" t="n">
        <x:v>0.9382899628</x:v>
      </x:c>
      <x:c r="Q332" s="9" t="n">
        <x:v>0.292936803</x:v>
      </x:c>
      <x:c r="R332" s="3" t="b">
        <x:v>1</x:v>
      </x:c>
      <x:c r="S332" s="3" t="b">
        <x:v>0</x:v>
      </x:c>
      <x:c r="T332" s="3" t="b">
        <x:v>0</x:v>
      </x:c>
      <x:c r="U332" s="2" t="str">
        <x:f>IF(T332=TRUE,"Priority review",IF(R332=TRUE,"High cost",IF(S332=TRUE,"Low quality","Benchmark")))</x:f>
        <x:v>High cost</x:v>
      </x:c>
    </x:row>
    <x:row r="333">
      <x:c r="A333" s="2" t="str">
        <x:v>190298</x:v>
      </x:c>
      <x:c r="B333" s="2" t="str">
        <x:v>CHRISTUS CENTRAL LOUISIANA SURGICAL HOSPITAL</x:v>
      </x:c>
      <x:c r="C333" s="2" t="str">
        <x:v>ALEXANDRIA</x:v>
      </x:c>
      <x:c r="D333" s="2" t="str">
        <x:v>LA</x:v>
      </x:c>
      <x:c r="E333" s="2" t="str">
        <x:v>Acute Care Hospitals</x:v>
      </x:c>
      <x:c r="F333" s="2" t="str">
        <x:v>Proprietary</x:v>
      </x:c>
      <x:c r="G333" s="2" t="str">
        <x:v>Small (&lt;100 beds)</x:v>
      </x:c>
      <x:c r="H333" s="7"/>
      <x:c r="I333" s="7"/>
      <x:c r="J333" s="7" t="n">
        <x:v>1.13</x:v>
      </x:c>
      <x:c r="K333" s="8" t="n">
        <x:v>24</x:v>
      </x:c>
      <x:c r="L333" s="8" t="n">
        <x:v>278</x:v>
      </x:c>
      <x:c r="M333" s="9" t="n">
        <x:v>0.0917808219</x:v>
      </x:c>
      <x:c r="N333" s="10" t="n">
        <x:v>217901.6438848921</x:v>
      </x:c>
      <x:c r="O333" s="9" t="n">
        <x:v>0.0071395978</x:v>
      </x:c>
      <x:c r="P333" s="9" t="n">
        <x:v>0.9380610413</x:v>
      </x:c>
      <x:c r="Q333" s="9" t="n">
        <x:v>0.697486535</x:v>
      </x:c>
      <x:c r="R333" s="3" t="b">
        <x:v>1</x:v>
      </x:c>
      <x:c r="S333" s="3" t="b">
        <x:v>0</x:v>
      </x:c>
      <x:c r="T333" s="3" t="b">
        <x:v>0</x:v>
      </x:c>
      <x:c r="U333" s="2" t="str">
        <x:f>IF(T333=TRUE,"Priority review",IF(R333=TRUE,"High cost",IF(S333=TRUE,"Low quality","Benchmark")))</x:f>
        <x:v>High cost</x:v>
      </x:c>
    </x:row>
    <x:row r="334">
      <x:c r="A334" s="2" t="str">
        <x:v>230151</x:v>
      </x:c>
      <x:c r="B334" s="2" t="str">
        <x:v>BEAUMONT HOSPITAL - FARMINGTON HILLS</x:v>
      </x:c>
      <x:c r="C334" s="2" t="str">
        <x:v>FARMINGTON HILLS</x:v>
      </x:c>
      <x:c r="D334" s="2" t="str">
        <x:v>MI</x:v>
      </x:c>
      <x:c r="E334" s="2" t="str">
        <x:v>Acute Care Hospitals</x:v>
      </x:c>
      <x:c r="F334" s="2" t="str">
        <x:v>Voluntary non-profit</x:v>
      </x:c>
      <x:c r="G334" s="2" t="str">
        <x:v>Medium (100-299 beds)</x:v>
      </x:c>
      <x:c r="H334" s="7" t="n">
        <x:v>3</x:v>
      </x:c>
      <x:c r="I334" s="7" t="n">
        <x:v>2</x:v>
      </x:c>
      <x:c r="J334" s="7" t="n">
        <x:v>1.01</x:v>
      </x:c>
      <x:c r="K334" s="8" t="n">
        <x:v>209</x:v>
      </x:c>
      <x:c r="L334" s="8" t="n">
        <x:v>7299</x:v>
      </x:c>
      <x:c r="M334" s="9" t="n">
        <x:v>0.883036578</x:v>
      </x:c>
      <x:c r="N334" s="10" t="n">
        <x:v>67099.3990957665</x:v>
      </x:c>
      <x:c r="O334" s="9" t="n">
        <x:v>-0.0080490686</x:v>
      </x:c>
      <x:c r="P334" s="9" t="n">
        <x:v>0.9380603097</x:v>
      </x:c>
      <x:c r="Q334" s="9" t="n">
        <x:v>0.3023634882</x:v>
      </x:c>
      <x:c r="R334" s="3" t="b">
        <x:v>1</x:v>
      </x:c>
      <x:c r="S334" s="3" t="b">
        <x:v>0</x:v>
      </x:c>
      <x:c r="T334" s="3" t="b">
        <x:v>0</x:v>
      </x:c>
      <x:c r="U334" s="2" t="str">
        <x:f>IF(T334=TRUE,"Priority review",IF(R334=TRUE,"High cost",IF(S334=TRUE,"Low quality","Benchmark")))</x:f>
        <x:v>High cost</x:v>
      </x:c>
    </x:row>
    <x:row r="335">
      <x:c r="A335" s="2" t="str">
        <x:v>111305</x:v>
      </x:c>
      <x:c r="B335" s="2" t="str">
        <x:v>MILLER COUNTY HOSPITAL</x:v>
      </x:c>
      <x:c r="C335" s="2" t="str">
        <x:v>COLQUITT</x:v>
      </x:c>
      <x:c r="D335" s="2" t="str">
        <x:v>GA</x:v>
      </x:c>
      <x:c r="E335" s="2" t="str">
        <x:v>Critical Access Hospitals</x:v>
      </x:c>
      <x:c r="F335" s="2" t="str">
        <x:v>Government</x:v>
      </x:c>
      <x:c r="G335" s="2" t="str">
        <x:v>Small (&lt;100 beds)</x:v>
      </x:c>
      <x:c r="H335" s="7"/>
      <x:c r="I335" s="7"/>
      <x:c r="J335" s="7"/>
      <x:c r="K335" s="8" t="n">
        <x:v>25</x:v>
      </x:c>
      <x:c r="L335" s="8" t="n">
        <x:v>187</x:v>
      </x:c>
      <x:c r="M335" s="9" t="n">
        <x:v>0.6508493151</x:v>
      </x:c>
      <x:c r="N335" s="10" t="n">
        <x:v>463535.8395721925</x:v>
      </x:c>
      <x:c r="O335" s="9" t="n">
        <x:v>-0.0853763777</x:v>
      </x:c>
      <x:c r="P335" s="9" t="n">
        <x:v>0.9375464684</x:v>
      </x:c>
      <x:c r="Q335" s="9" t="n">
        <x:v>0.292936803</x:v>
      </x:c>
      <x:c r="R335" s="3" t="b">
        <x:v>1</x:v>
      </x:c>
      <x:c r="S335" s="3" t="b">
        <x:v>0</x:v>
      </x:c>
      <x:c r="T335" s="3" t="b">
        <x:v>0</x:v>
      </x:c>
      <x:c r="U335" s="2" t="str">
        <x:f>IF(T335=TRUE,"Priority review",IF(R335=TRUE,"High cost",IF(S335=TRUE,"Low quality","Benchmark")))</x:f>
        <x:v>High cost</x:v>
      </x:c>
    </x:row>
    <x:row r="336">
      <x:c r="A336" s="2" t="str">
        <x:v>400127</x:v>
      </x:c>
      <x:c r="B336" s="2" t="str">
        <x:v>ASEM</x:v>
      </x:c>
      <x:c r="C336" s="2" t="str">
        <x:v>SAN JUAN</x:v>
      </x:c>
      <x:c r="D336" s="2" t="str">
        <x:v>PR</x:v>
      </x:c>
      <x:c r="E336" s="2" t="str">
        <x:v>Acute Care Hospitals</x:v>
      </x:c>
      <x:c r="F336" s="2" t="str">
        <x:v>Government</x:v>
      </x:c>
      <x:c r="G336" s="2" t="str">
        <x:v>Small (&lt;100 beds)</x:v>
      </x:c>
      <x:c r="H336" s="7"/>
      <x:c r="I336" s="7"/>
      <x:c r="J336" s="7"/>
      <x:c r="K336" s="8" t="n">
        <x:v>69</x:v>
      </x:c>
      <x:c r="L336" s="8" t="n">
        <x:v>1633</x:v>
      </x:c>
      <x:c r="M336" s="9" t="n">
        <x:v>0.8741314274</x:v>
      </x:c>
      <x:c r="N336" s="10" t="n">
        <x:v>212416.5492957747</x:v>
      </x:c>
      <x:c r="O336" s="9" t="n">
        <x:v>-0.615225338</x:v>
      </x:c>
      <x:c r="P336" s="9" t="n">
        <x:v>0.9371633752</x:v>
      </x:c>
      <x:c r="Q336" s="9" t="n">
        <x:v>0.697486535</x:v>
      </x:c>
      <x:c r="R336" s="3" t="b">
        <x:v>1</x:v>
      </x:c>
      <x:c r="S336" s="3" t="b">
        <x:v>0</x:v>
      </x:c>
      <x:c r="T336" s="3" t="b">
        <x:v>0</x:v>
      </x:c>
      <x:c r="U336" s="2" t="str">
        <x:f>IF(T336=TRUE,"Priority review",IF(R336=TRUE,"High cost",IF(S336=TRUE,"Low quality","Benchmark")))</x:f>
        <x:v>High cost</x:v>
      </x:c>
    </x:row>
    <x:row r="337">
      <x:c r="A337" s="2" t="str">
        <x:v>131304</x:v>
      </x:c>
      <x:c r="B337" s="2" t="str">
        <x:v>POWER COUNTY HOSPITAL DISTRICT</x:v>
      </x:c>
      <x:c r="C337" s="2" t="str">
        <x:v>AMERICAN FALLS</x:v>
      </x:c>
      <x:c r="D337" s="2" t="str">
        <x:v>ID</x:v>
      </x:c>
      <x:c r="E337" s="2" t="str">
        <x:v>Critical Access Hospitals</x:v>
      </x:c>
      <x:c r="F337" s="2" t="str">
        <x:v>Government</x:v>
      </x:c>
      <x:c r="G337" s="2" t="str">
        <x:v>Small (&lt;100 beds)</x:v>
      </x:c>
      <x:c r="H337" s="7"/>
      <x:c r="I337" s="7"/>
      <x:c r="J337" s="7"/>
      <x:c r="K337" s="8" t="n">
        <x:v>10</x:v>
      </x:c>
      <x:c r="L337" s="8" t="n">
        <x:v>31</x:v>
      </x:c>
      <x:c r="M337" s="9" t="n">
        <x:v>0.1057377049</x:v>
      </x:c>
      <x:c r="N337" s="10" t="n">
        <x:v>458937.3870967742</x:v>
      </x:c>
      <x:c r="O337" s="9" t="n">
        <x:v>-0.2755345913</x:v>
      </x:c>
      <x:c r="P337" s="9" t="n">
        <x:v>0.936802974</x:v>
      </x:c>
      <x:c r="Q337" s="9" t="n">
        <x:v>0.292936803</x:v>
      </x:c>
      <x:c r="R337" s="3" t="b">
        <x:v>1</x:v>
      </x:c>
      <x:c r="S337" s="3" t="b">
        <x:v>0</x:v>
      </x:c>
      <x:c r="T337" s="3" t="b">
        <x:v>0</x:v>
      </x:c>
      <x:c r="U337" s="2" t="str">
        <x:f>IF(T337=TRUE,"Priority review",IF(R337=TRUE,"High cost",IF(S337=TRUE,"Low quality","Benchmark")))</x:f>
        <x:v>High cost</x:v>
      </x:c>
    </x:row>
    <x:row r="338">
      <x:c r="A338" s="2" t="str">
        <x:v>210038</x:v>
      </x:c>
      <x:c r="B338" s="2" t="str">
        <x:v>UNIVERSITY OF MD MEDICAL CENTER MIDTOWN CAMPUS</x:v>
      </x:c>
      <x:c r="C338" s="2" t="str">
        <x:v>BALTIMORE</x:v>
      </x:c>
      <x:c r="D338" s="2" t="str">
        <x:v>MD</x:v>
      </x:c>
      <x:c r="E338" s="2" t="str">
        <x:v>Acute Care Hospitals</x:v>
      </x:c>
      <x:c r="F338" s="2" t="str">
        <x:v>Voluntary non-profit</x:v>
      </x:c>
      <x:c r="G338" s="2" t="str">
        <x:v>Medium (100-299 beds)</x:v>
      </x:c>
      <x:c r="H338" s="7" t="n">
        <x:v>3</x:v>
      </x:c>
      <x:c r="I338" s="7" t="n">
        <x:v>2</x:v>
      </x:c>
      <x:c r="J338" s="7"/>
      <x:c r="K338" s="8" t="n">
        <x:v>134</x:v>
      </x:c>
      <x:c r="L338" s="8" t="n">
        <x:v>4149</x:v>
      </x:c>
      <x:c r="M338" s="9" t="n">
        <x:v>0.739173993</x:v>
      </x:c>
      <x:c r="N338" s="10" t="n">
        <x:v>66518.2383706917</x:v>
      </x:c>
      <x:c r="O338" s="9" t="n">
        <x:v>-0.1459134557</x:v>
      </x:c>
      <x:c r="P338" s="9" t="n">
        <x:v>0.9364303178</x:v>
      </x:c>
      <x:c r="Q338" s="9" t="n">
        <x:v>0.3023634882</x:v>
      </x:c>
      <x:c r="R338" s="3" t="b">
        <x:v>1</x:v>
      </x:c>
      <x:c r="S338" s="3" t="b">
        <x:v>0</x:v>
      </x:c>
      <x:c r="T338" s="3" t="b">
        <x:v>0</x:v>
      </x:c>
      <x:c r="U338" s="2" t="str">
        <x:f>IF(T338=TRUE,"Priority review",IF(R338=TRUE,"High cost",IF(S338=TRUE,"Low quality","Benchmark")))</x:f>
        <x:v>High cost</x:v>
      </x:c>
    </x:row>
    <x:row r="339">
      <x:c r="A339" s="2" t="str">
        <x:v>230275</x:v>
      </x:c>
      <x:c r="B339" s="2" t="str">
        <x:v>HEALTHSOURCE SAGINAW</x:v>
      </x:c>
      <x:c r="C339" s="2" t="str">
        <x:v>SAGINAW</x:v>
      </x:c>
      <x:c r="D339" s="2" t="str">
        <x:v>MI</x:v>
      </x:c>
      <x:c r="E339" s="2" t="str">
        <x:v>Acute Care Hospitals</x:v>
      </x:c>
      <x:c r="F339" s="2" t="str">
        <x:v>Voluntary non-profit</x:v>
      </x:c>
      <x:c r="G339" s="2" t="str">
        <x:v>Small (&lt;100 beds)</x:v>
      </x:c>
      <x:c r="H339" s="7"/>
      <x:c r="I339" s="7"/>
      <x:c r="J339" s="7"/>
      <x:c r="K339" s="8" t="n">
        <x:v>7</x:v>
      </x:c>
      <x:c r="L339" s="8" t="n">
        <x:v>257</x:v>
      </x:c>
      <x:c r="M339" s="9" t="n">
        <x:v>0.3321623731</x:v>
      </x:c>
      <x:c r="N339" s="10" t="n">
        <x:v>205498.5175097276</x:v>
      </x:c>
      <x:c r="O339" s="9" t="n">
        <x:v>-0.0392273037</x:v>
      </x:c>
      <x:c r="P339" s="9" t="n">
        <x:v>0.9362657092</x:v>
      </x:c>
      <x:c r="Q339" s="9" t="n">
        <x:v>0.697486535</x:v>
      </x:c>
      <x:c r="R339" s="3" t="b">
        <x:v>1</x:v>
      </x:c>
      <x:c r="S339" s="3" t="b">
        <x:v>0</x:v>
      </x:c>
      <x:c r="T339" s="3" t="b">
        <x:v>0</x:v>
      </x:c>
      <x:c r="U339" s="2" t="str">
        <x:f>IF(T339=TRUE,"Priority review",IF(R339=TRUE,"High cost",IF(S339=TRUE,"Low quality","Benchmark")))</x:f>
        <x:v>High cost</x:v>
      </x:c>
    </x:row>
    <x:row r="340">
      <x:c r="A340" s="2" t="str">
        <x:v>271307</x:v>
      </x:c>
      <x:c r="B340" s="2" t="str">
        <x:v>BENEFIS TETON MEDICAL CENTER</x:v>
      </x:c>
      <x:c r="C340" s="2" t="str">
        <x:v>CHOTEAU</x:v>
      </x:c>
      <x:c r="D340" s="2" t="str">
        <x:v>MT</x:v>
      </x:c>
      <x:c r="E340" s="2" t="str">
        <x:v>Critical Access Hospitals</x:v>
      </x:c>
      <x:c r="F340" s="2" t="str">
        <x:v>Voluntary non-profit</x:v>
      </x:c>
      <x:c r="G340" s="2" t="str">
        <x:v>Small (&lt;100 beds)</x:v>
      </x:c>
      <x:c r="H340" s="7"/>
      <x:c r="I340" s="7"/>
      <x:c r="J340" s="7"/>
      <x:c r="K340" s="8" t="n">
        <x:v>25</x:v>
      </x:c>
      <x:c r="L340" s="8" t="n">
        <x:v>25</x:v>
      </x:c>
      <x:c r="M340" s="9" t="n">
        <x:v>0.7983606557</x:v>
      </x:c>
      <x:c r="N340" s="10" t="n">
        <x:v>458494.64</x:v>
      </x:c>
      <x:c r="O340" s="9" t="n">
        <x:v>-0.0581135201</x:v>
      </x:c>
      <x:c r="P340" s="9" t="n">
        <x:v>0.9360594796</x:v>
      </x:c>
      <x:c r="Q340" s="9" t="n">
        <x:v>0.292936803</x:v>
      </x:c>
      <x:c r="R340" s="3" t="b">
        <x:v>1</x:v>
      </x:c>
      <x:c r="S340" s="3" t="b">
        <x:v>0</x:v>
      </x:c>
      <x:c r="T340" s="3" t="b">
        <x:v>0</x:v>
      </x:c>
      <x:c r="U340" s="2" t="str">
        <x:f>IF(T340=TRUE,"Priority review",IF(R340=TRUE,"High cost",IF(S340=TRUE,"Low quality","Benchmark")))</x:f>
        <x:v>High cost</x:v>
      </x:c>
    </x:row>
    <x:row r="341">
      <x:c r="A341" s="2" t="str">
        <x:v>350063</x:v>
      </x:c>
      <x:c r="B341" s="2" t="str">
        <x:v>P H S INDIAN HOSP AT BELCOURT-QUENTIN N BURDICK</x:v>
      </x:c>
      <x:c r="C341" s="2" t="str">
        <x:v>BELCOURT</x:v>
      </x:c>
      <x:c r="D341" s="2" t="str">
        <x:v>ND</x:v>
      </x:c>
      <x:c r="E341" s="2" t="str">
        <x:v>Acute Care Hospitals</x:v>
      </x:c>
      <x:c r="F341" s="2" t="str">
        <x:v>Government</x:v>
      </x:c>
      <x:c r="G341" s="2" t="str">
        <x:v>Small (&lt;100 beds)</x:v>
      </x:c>
      <x:c r="H341" s="7" t="n">
        <x:v>3</x:v>
      </x:c>
      <x:c r="I341" s="7"/>
      <x:c r="J341" s="7" t="n">
        <x:v>0.73</x:v>
      </x:c>
      <x:c r="K341" s="8" t="n">
        <x:v>27</x:v>
      </x:c>
      <x:c r="L341" s="8" t="n">
        <x:v>494</x:v>
      </x:c>
      <x:c r="M341" s="9" t="n">
        <x:v>0.1531066586</x:v>
      </x:c>
      <x:c r="N341" s="10" t="n">
        <x:v>203329.3137651822</x:v>
      </x:c>
      <x:c r="O341" s="9"/>
      <x:c r="P341" s="9" t="n">
        <x:v>0.9353680431</x:v>
      </x:c>
      <x:c r="Q341" s="9" t="n">
        <x:v>0.1687612208</x:v>
      </x:c>
      <x:c r="R341" s="3" t="b">
        <x:v>1</x:v>
      </x:c>
      <x:c r="S341" s="3" t="b">
        <x:v>0</x:v>
      </x:c>
      <x:c r="T341" s="3" t="b">
        <x:v>0</x:v>
      </x:c>
      <x:c r="U341" s="2" t="str">
        <x:f>IF(T341=TRUE,"Priority review",IF(R341=TRUE,"High cost",IF(S341=TRUE,"Low quality","Benchmark")))</x:f>
        <x:v>High cost</x:v>
      </x:c>
    </x:row>
    <x:row r="342">
      <x:c r="A342" s="2" t="str">
        <x:v>210009</x:v>
      </x:c>
      <x:c r="B342" s="2" t="str">
        <x:v>JOHNS HOPKINS HOSPITAL, THE</x:v>
      </x:c>
      <x:c r="C342" s="2" t="str">
        <x:v>BALTIMORE</x:v>
      </x:c>
      <x:c r="D342" s="2" t="str">
        <x:v>MD</x:v>
      </x:c>
      <x:c r="E342" s="2" t="str">
        <x:v>Acute Care Hospitals</x:v>
      </x:c>
      <x:c r="F342" s="2" t="str">
        <x:v>Voluntary non-profit</x:v>
      </x:c>
      <x:c r="G342" s="2" t="str">
        <x:v>Large (300+ beds)</x:v>
      </x:c>
      <x:c r="H342" s="7" t="n">
        <x:v>5</x:v>
      </x:c>
      <x:c r="I342" s="7" t="n">
        <x:v>4</x:v>
      </x:c>
      <x:c r="J342" s="7"/>
      <x:c r="K342" s="8" t="n">
        <x:v>1039</x:v>
      </x:c>
      <x:c r="L342" s="8" t="n">
        <x:v>40685</x:v>
      </x:c>
      <x:c r="M342" s="9" t="n">
        <x:v>0.8752989571</x:v>
      </x:c>
      <x:c r="N342" s="10" t="n">
        <x:v>86424.7511367826</x:v>
      </x:c>
      <x:c r="O342" s="9" t="n">
        <x:v>-0.2563424698</x:v>
      </x:c>
      <x:c r="P342" s="9" t="n">
        <x:v>0.9353312303</x:v>
      </x:c>
      <x:c r="Q342" s="9" t="n">
        <x:v>0.8722397476</x:v>
      </x:c>
      <x:c r="R342" s="3" t="b">
        <x:v>1</x:v>
      </x:c>
      <x:c r="S342" s="3" t="b">
        <x:v>0</x:v>
      </x:c>
      <x:c r="T342" s="3" t="b">
        <x:v>0</x:v>
      </x:c>
      <x:c r="U342" s="2" t="str">
        <x:f>IF(T342=TRUE,"Priority review",IF(R342=TRUE,"High cost",IF(S342=TRUE,"Low quality","Benchmark")))</x:f>
        <x:v>High cost</x:v>
      </x:c>
    </x:row>
    <x:row r="343">
      <x:c r="A343" s="2" t="str">
        <x:v>064003</x:v>
      </x:c>
      <x:c r="B343" s="2" t="str">
        <x:v>COLORADO MENTAL HEALTH HOSPITAL IN FORT LOGAN</x:v>
      </x:c>
      <x:c r="C343" s="2" t="str">
        <x:v>DENVER</x:v>
      </x:c>
      <x:c r="D343" s="2" t="str">
        <x:v>CO</x:v>
      </x:c>
      <x:c r="E343" s="2" t="str">
        <x:v>Psychiatric</x:v>
      </x:c>
      <x:c r="F343" s="2" t="str">
        <x:v>Voluntary non-profit</x:v>
      </x:c>
      <x:c r="G343" s="2" t="str">
        <x:v>Medium (100-299 beds)</x:v>
      </x:c>
      <x:c r="H343" s="7"/>
      <x:c r="I343" s="7"/>
      <x:c r="J343" s="7"/>
      <x:c r="K343" s="8" t="n">
        <x:v>138</x:v>
      </x:c>
      <x:c r="L343" s="8" t="n">
        <x:v>166</x:v>
      </x:c>
      <x:c r="M343" s="9" t="n">
        <x:v>0.9635878668</x:v>
      </x:c>
      <x:c r="N343" s="10" t="n">
        <x:v>379220.5120481928</x:v>
      </x:c>
      <x:c r="O343" s="9" t="n">
        <x:v>-17.2486732516</x:v>
      </x:c>
      <x:c r="P343" s="9" t="n">
        <x:v>0.9353233831</x:v>
      </x:c>
      <x:c r="Q343" s="9" t="n">
        <x:v>0</x:v>
      </x:c>
      <x:c r="R343" s="3" t="b">
        <x:v>1</x:v>
      </x:c>
      <x:c r="S343" s="3" t="b">
        <x:v>0</x:v>
      </x:c>
      <x:c r="T343" s="3" t="b">
        <x:v>0</x:v>
      </x:c>
      <x:c r="U343" s="2" t="str">
        <x:f>IF(T343=TRUE,"Priority review",IF(R343=TRUE,"High cost",IF(S343=TRUE,"Low quality","Benchmark")))</x:f>
        <x:v>High cost</x:v>
      </x:c>
    </x:row>
    <x:row r="344">
      <x:c r="A344" s="2" t="str">
        <x:v>371314</x:v>
      </x:c>
      <x:c r="B344" s="2" t="str">
        <x:v>THE PHYSICIANS' HOSPITAL IN ANADARKO</x:v>
      </x:c>
      <x:c r="C344" s="2" t="str">
        <x:v>ANADARKO</x:v>
      </x:c>
      <x:c r="D344" s="2" t="str">
        <x:v>OK</x:v>
      </x:c>
      <x:c r="E344" s="2" t="str">
        <x:v>Critical Access Hospitals</x:v>
      </x:c>
      <x:c r="F344" s="2" t="str">
        <x:v>Proprietary</x:v>
      </x:c>
      <x:c r="G344" s="2" t="str">
        <x:v>Small (&lt;100 beds)</x:v>
      </x:c>
      <x:c r="H344" s="7"/>
      <x:c r="I344" s="7"/>
      <x:c r="J344" s="7"/>
      <x:c r="K344" s="8" t="n">
        <x:v>25</x:v>
      </x:c>
      <x:c r="L344" s="8" t="n">
        <x:v>129</x:v>
      </x:c>
      <x:c r="M344" s="9" t="n">
        <x:v>0.64</x:v>
      </x:c>
      <x:c r="N344" s="10" t="n">
        <x:v>457914.007751938</x:v>
      </x:c>
      <x:c r="O344" s="9" t="n">
        <x:v>-0.3110456844</x:v>
      </x:c>
      <x:c r="P344" s="9" t="n">
        <x:v>0.9353159851</x:v>
      </x:c>
      <x:c r="Q344" s="9" t="n">
        <x:v>0.292936803</x:v>
      </x:c>
      <x:c r="R344" s="3" t="b">
        <x:v>1</x:v>
      </x:c>
      <x:c r="S344" s="3" t="b">
        <x:v>0</x:v>
      </x:c>
      <x:c r="T344" s="3" t="b">
        <x:v>0</x:v>
      </x:c>
      <x:c r="U344" s="2" t="str">
        <x:f>IF(T344=TRUE,"Priority review",IF(R344=TRUE,"High cost",IF(S344=TRUE,"Low quality","Benchmark")))</x:f>
        <x:v>High cost</x:v>
      </x:c>
    </x:row>
    <x:row r="345">
      <x:c r="A345" s="2" t="str">
        <x:v>314024</x:v>
      </x:c>
      <x:c r="B345" s="2" t="str">
        <x:v>HUDSON COUNTY MEADOWVIEW PSYCHIATRIC H</x:v>
      </x:c>
      <x:c r="C345" s="2" t="str">
        <x:v>SECAUCUS</x:v>
      </x:c>
      <x:c r="D345" s="2" t="str">
        <x:v>NJ</x:v>
      </x:c>
      <x:c r="E345" s="2" t="str">
        <x:v>Psychiatric</x:v>
      </x:c>
      <x:c r="F345" s="2" t="str">
        <x:v>Government</x:v>
      </x:c>
      <x:c r="G345" s="2" t="str">
        <x:v>Small (&lt;100 beds)</x:v>
      </x:c>
      <x:c r="H345" s="7"/>
      <x:c r="I345" s="7"/>
      <x:c r="J345" s="7"/>
      <x:c r="K345" s="8" t="n">
        <x:v>84</x:v>
      </x:c>
      <x:c r="L345" s="8" t="n">
        <x:v>189</x:v>
      </x:c>
      <x:c r="M345" s="9" t="n">
        <x:v>0.889864689</x:v>
      </x:c>
      <x:c r="N345" s="10" t="n">
        <x:v>212636.1058201058</x:v>
      </x:c>
      <x:c r="O345" s="9" t="n">
        <x:v>-0.2674498964</x:v>
      </x:c>
      <x:c r="P345" s="9" t="n">
        <x:v>0.9352750809</x:v>
      </x:c>
      <x:c r="Q345" s="9" t="n">
        <x:v>0</x:v>
      </x:c>
      <x:c r="R345" s="3" t="b">
        <x:v>1</x:v>
      </x:c>
      <x:c r="S345" s="3" t="b">
        <x:v>0</x:v>
      </x:c>
      <x:c r="T345" s="3" t="b">
        <x:v>0</x:v>
      </x:c>
      <x:c r="U345" s="2" t="str">
        <x:f>IF(T345=TRUE,"Priority review",IF(R345=TRUE,"High cost",IF(S345=TRUE,"Low quality","Benchmark")))</x:f>
        <x:v>High cost</x:v>
      </x:c>
    </x:row>
    <x:row r="346">
      <x:c r="A346" s="2" t="str">
        <x:v>270051</x:v>
      </x:c>
      <x:c r="B346" s="2" t="str">
        <x:v>LOGAN HEALTH MEDICAL CENTER</x:v>
      </x:c>
      <x:c r="C346" s="2" t="str">
        <x:v>KALISPELL</x:v>
      </x:c>
      <x:c r="D346" s="2" t="str">
        <x:v>MT</x:v>
      </x:c>
      <x:c r="E346" s="2" t="str">
        <x:v>Acute Care Hospitals</x:v>
      </x:c>
      <x:c r="F346" s="2" t="str">
        <x:v>Voluntary non-profit</x:v>
      </x:c>
      <x:c r="G346" s="2" t="str">
        <x:v>Medium (100-299 beds)</x:v>
      </x:c>
      <x:c r="H346" s="7" t="n">
        <x:v>3</x:v>
      </x:c>
      <x:c r="I346" s="7" t="n">
        <x:v>3</x:v>
      </x:c>
      <x:c r="J346" s="7" t="n">
        <x:v>0.95</x:v>
      </x:c>
      <x:c r="K346" s="8" t="n">
        <x:v>202</x:v>
      </x:c>
      <x:c r="L346" s="8" t="n">
        <x:v>8653</x:v>
      </x:c>
      <x:c r="M346" s="9" t="n">
        <x:v>0.5716604447</x:v>
      </x:c>
      <x:c r="N346" s="10" t="n">
        <x:v>66280.8172888016</x:v>
      </x:c>
      <x:c r="O346" s="9" t="n">
        <x:v>0.099117546</x:v>
      </x:c>
      <x:c r="P346" s="9" t="n">
        <x:v>0.934800326</x:v>
      </x:c>
      <x:c r="Q346" s="9" t="n">
        <x:v>0.3023634882</x:v>
      </x:c>
      <x:c r="R346" s="3" t="b">
        <x:v>1</x:v>
      </x:c>
      <x:c r="S346" s="3" t="b">
        <x:v>0</x:v>
      </x:c>
      <x:c r="T346" s="3" t="b">
        <x:v>0</x:v>
      </x:c>
      <x:c r="U346" s="2" t="str">
        <x:f>IF(T346=TRUE,"Priority review",IF(R346=TRUE,"High cost",IF(S346=TRUE,"Low quality","Benchmark")))</x:f>
        <x:v>High cost</x:v>
      </x:c>
    </x:row>
    <x:row r="347">
      <x:c r="A347" s="2" t="str">
        <x:v>271303</x:v>
      </x:c>
      <x:c r="B347" s="2" t="str">
        <x:v>GRANITE COUNTY MEDICAL CENTER</x:v>
      </x:c>
      <x:c r="C347" s="2" t="str">
        <x:v>PHILIPSBURG</x:v>
      </x:c>
      <x:c r="D347" s="2" t="str">
        <x:v>MT</x:v>
      </x:c>
      <x:c r="E347" s="2" t="str">
        <x:v>Critical Access Hospitals</x:v>
      </x:c>
      <x:c r="F347" s="2" t="str">
        <x:v>Government</x:v>
      </x:c>
      <x:c r="G347" s="2" t="str">
        <x:v>Small (&lt;100 beds)</x:v>
      </x:c>
      <x:c r="H347" s="7"/>
      <x:c r="I347" s="7"/>
      <x:c r="J347" s="7"/>
      <x:c r="K347" s="8" t="n">
        <x:v>25</x:v>
      </x:c>
      <x:c r="L347" s="8" t="n">
        <x:v>18</x:v>
      </x:c>
      <x:c r="M347" s="9" t="n">
        <x:v>0.5124383562</x:v>
      </x:c>
      <x:c r="N347" s="10" t="n">
        <x:v>452849.6666666667</x:v>
      </x:c>
      <x:c r="O347" s="9" t="n">
        <x:v>-0.2393320711</x:v>
      </x:c>
      <x:c r="P347" s="9" t="n">
        <x:v>0.9345724907</x:v>
      </x:c>
      <x:c r="Q347" s="9" t="n">
        <x:v>0.292936803</x:v>
      </x:c>
      <x:c r="R347" s="3" t="b">
        <x:v>1</x:v>
      </x:c>
      <x:c r="S347" s="3" t="b">
        <x:v>0</x:v>
      </x:c>
      <x:c r="T347" s="3" t="b">
        <x:v>0</x:v>
      </x:c>
      <x:c r="U347" s="2" t="str">
        <x:f>IF(T347=TRUE,"Priority review",IF(R347=TRUE,"High cost",IF(S347=TRUE,"Low quality","Benchmark")))</x:f>
        <x:v>High cost</x:v>
      </x:c>
    </x:row>
    <x:row r="348">
      <x:c r="A348" s="2" t="str">
        <x:v>450860</x:v>
      </x:c>
      <x:c r="B348" s="2" t="str">
        <x:v>SUGAR LAND SURGICAL HOSPITAL LLP</x:v>
      </x:c>
      <x:c r="C348" s="2" t="str">
        <x:v>SUGAR LAND</x:v>
      </x:c>
      <x:c r="D348" s="2" t="str">
        <x:v>TX</x:v>
      </x:c>
      <x:c r="E348" s="2" t="str">
        <x:v>Acute Care Hospitals</x:v>
      </x:c>
      <x:c r="F348" s="2" t="str">
        <x:v>Other / unknown</x:v>
      </x:c>
      <x:c r="G348" s="2" t="str">
        <x:v>Small (&lt;100 beds)</x:v>
      </x:c>
      <x:c r="H348" s="7"/>
      <x:c r="I348" s="7"/>
      <x:c r="J348" s="7"/>
      <x:c r="K348" s="8" t="n">
        <x:v>6</x:v>
      </x:c>
      <x:c r="L348" s="8" t="n">
        <x:v>229</x:v>
      </x:c>
      <x:c r="M348" s="9" t="n">
        <x:v>0.3192167577</x:v>
      </x:c>
      <x:c r="N348" s="10" t="n">
        <x:v>199391.8689956332</x:v>
      </x:c>
      <x:c r="O348" s="9" t="n">
        <x:v>0.2239610377</x:v>
      </x:c>
      <x:c r="P348" s="9" t="n">
        <x:v>0.934470377</x:v>
      </x:c>
      <x:c r="Q348" s="9" t="n">
        <x:v>0.697486535</x:v>
      </x:c>
      <x:c r="R348" s="3" t="b">
        <x:v>1</x:v>
      </x:c>
      <x:c r="S348" s="3" t="b">
        <x:v>0</x:v>
      </x:c>
      <x:c r="T348" s="3" t="b">
        <x:v>0</x:v>
      </x:c>
      <x:c r="U348" s="2" t="str">
        <x:f>IF(T348=TRUE,"Priority review",IF(R348=TRUE,"High cost",IF(S348=TRUE,"Low quality","Benchmark")))</x:f>
        <x:v>High cost</x:v>
      </x:c>
    </x:row>
    <x:row r="349">
      <x:c r="A349" s="2" t="str">
        <x:v>060010</x:v>
      </x:c>
      <x:c r="B349" s="2" t="str">
        <x:v>POUDRE VALLEY HOSPITAL</x:v>
      </x:c>
      <x:c r="C349" s="2" t="str">
        <x:v>FORT COLLINS</x:v>
      </x:c>
      <x:c r="D349" s="2" t="str">
        <x:v>CO</x:v>
      </x:c>
      <x:c r="E349" s="2" t="str">
        <x:v>Acute Care Hospitals</x:v>
      </x:c>
      <x:c r="F349" s="2" t="str">
        <x:v>Voluntary non-profit</x:v>
      </x:c>
      <x:c r="G349" s="2" t="str">
        <x:v>Medium (100-299 beds)</x:v>
      </x:c>
      <x:c r="H349" s="7" t="n">
        <x:v>5</x:v>
      </x:c>
      <x:c r="I349" s="7" t="n">
        <x:v>4</x:v>
      </x:c>
      <x:c r="J349" s="7" t="n">
        <x:v>0.98</x:v>
      </x:c>
      <x:c r="K349" s="8" t="n">
        <x:v>215</x:v>
      </x:c>
      <x:c r="L349" s="8" t="n">
        <x:v>10791</x:v>
      </x:c>
      <x:c r="M349" s="9" t="n">
        <x:v>0.7036499518</x:v>
      </x:c>
      <x:c r="N349" s="10" t="n">
        <x:v>66243.3320359559</x:v>
      </x:c>
      <x:c r="O349" s="9" t="n">
        <x:v>0.1166081089</x:v>
      </x:c>
      <x:c r="P349" s="9" t="n">
        <x:v>0.9339853301</x:v>
      </x:c>
      <x:c r="Q349" s="9" t="n">
        <x:v>0.8744906275</x:v>
      </x:c>
      <x:c r="R349" s="3" t="b">
        <x:v>1</x:v>
      </x:c>
      <x:c r="S349" s="3" t="b">
        <x:v>0</x:v>
      </x:c>
      <x:c r="T349" s="3" t="b">
        <x:v>0</x:v>
      </x:c>
      <x:c r="U349" s="2" t="str">
        <x:f>IF(T349=TRUE,"Priority review",IF(R349=TRUE,"High cost",IF(S349=TRUE,"Low quality","Benchmark")))</x:f>
        <x:v>High cost</x:v>
      </x:c>
    </x:row>
    <x:row r="350">
      <x:c r="A350" s="2" t="str">
        <x:v>181325</x:v>
      </x:c>
      <x:c r="B350" s="2" t="str">
        <x:v>JANE TODD CRAWFORD HOSPITAL</x:v>
      </x:c>
      <x:c r="C350" s="2" t="str">
        <x:v>GREENSBURG</x:v>
      </x:c>
      <x:c r="D350" s="2" t="str">
        <x:v>KY</x:v>
      </x:c>
      <x:c r="E350" s="2" t="str">
        <x:v>Critical Access Hospitals</x:v>
      </x:c>
      <x:c r="F350" s="2" t="str">
        <x:v>Voluntary non-profit</x:v>
      </x:c>
      <x:c r="G350" s="2" t="str">
        <x:v>Small (&lt;100 beds)</x:v>
      </x:c>
      <x:c r="H350" s="7"/>
      <x:c r="I350" s="7"/>
      <x:c r="J350" s="7"/>
      <x:c r="K350" s="8" t="n">
        <x:v>25</x:v>
      </x:c>
      <x:c r="L350" s="8" t="n">
        <x:v>43</x:v>
      </x:c>
      <x:c r="M350" s="9" t="n">
        <x:v>0.7504657534</x:v>
      </x:c>
      <x:c r="N350" s="10" t="n">
        <x:v>450079.3023255814</x:v>
      </x:c>
      <x:c r="O350" s="9" t="n">
        <x:v>0.436559905</x:v>
      </x:c>
      <x:c r="P350" s="9" t="n">
        <x:v>0.9338289963</x:v>
      </x:c>
      <x:c r="Q350" s="9" t="n">
        <x:v>0.292936803</x:v>
      </x:c>
      <x:c r="R350" s="3" t="b">
        <x:v>1</x:v>
      </x:c>
      <x:c r="S350" s="3" t="b">
        <x:v>0</x:v>
      </x:c>
      <x:c r="T350" s="3" t="b">
        <x:v>0</x:v>
      </x:c>
      <x:c r="U350" s="2" t="str">
        <x:f>IF(T350=TRUE,"Priority review",IF(R350=TRUE,"High cost",IF(S350=TRUE,"Low quality","Benchmark")))</x:f>
        <x:v>High cost</x:v>
      </x:c>
    </x:row>
    <x:row r="351">
      <x:c r="A351" s="2" t="str">
        <x:v>170183</x:v>
      </x:c>
      <x:c r="B351" s="2" t="str">
        <x:v>KANSAS SURGERY &amp; RECOVERY CENTER</x:v>
      </x:c>
      <x:c r="C351" s="2" t="str">
        <x:v>WICHITA</x:v>
      </x:c>
      <x:c r="D351" s="2" t="str">
        <x:v>KS</x:v>
      </x:c>
      <x:c r="E351" s="2" t="str">
        <x:v>Acute Care Hospitals</x:v>
      </x:c>
      <x:c r="F351" s="2" t="str">
        <x:v>Voluntary non-profit</x:v>
      </x:c>
      <x:c r="G351" s="2" t="str">
        <x:v>Small (&lt;100 beds)</x:v>
      </x:c>
      <x:c r="H351" s="7"/>
      <x:c r="I351" s="7" t="n">
        <x:v>4</x:v>
      </x:c>
      <x:c r="J351" s="7" t="n">
        <x:v>0.98</x:v>
      </x:c>
      <x:c r="K351" s="8" t="n">
        <x:v>30</x:v>
      </x:c>
      <x:c r="L351" s="8" t="n">
        <x:v>321</x:v>
      </x:c>
      <x:c r="M351" s="9" t="n">
        <x:v>0.0673059361</x:v>
      </x:c>
      <x:c r="N351" s="10" t="n">
        <x:v>193775.7289719626</x:v>
      </x:c>
      <x:c r="O351" s="9" t="n">
        <x:v>0.2112554698</x:v>
      </x:c>
      <x:c r="P351" s="9" t="n">
        <x:v>0.933572711</x:v>
      </x:c>
      <x:c r="Q351" s="9" t="n">
        <x:v>0.697486535</x:v>
      </x:c>
      <x:c r="R351" s="3" t="b">
        <x:v>1</x:v>
      </x:c>
      <x:c r="S351" s="3" t="b">
        <x:v>0</x:v>
      </x:c>
      <x:c r="T351" s="3" t="b">
        <x:v>0</x:v>
      </x:c>
      <x:c r="U351" s="2" t="str">
        <x:f>IF(T351=TRUE,"Priority review",IF(R351=TRUE,"High cost",IF(S351=TRUE,"Low quality","Benchmark")))</x:f>
        <x:v>High cost</x:v>
      </x:c>
    </x:row>
    <x:row r="352">
      <x:c r="A352" s="2" t="str">
        <x:v>520070</x:v>
      </x:c>
      <x:c r="B352" s="2" t="str">
        <x:v>MAYO CLINIC HEALTH SYSTEM EAU CLAIRE HOSPITAL</x:v>
      </x:c>
      <x:c r="C352" s="2" t="str">
        <x:v>EAU CLAIRE</x:v>
      </x:c>
      <x:c r="D352" s="2" t="str">
        <x:v>WI</x:v>
      </x:c>
      <x:c r="E352" s="2" t="str">
        <x:v>Acute Care Hospitals</x:v>
      </x:c>
      <x:c r="F352" s="2" t="str">
        <x:v>Voluntary non-profit</x:v>
      </x:c>
      <x:c r="G352" s="2" t="str">
        <x:v>Medium (100-299 beds)</x:v>
      </x:c>
      <x:c r="H352" s="7" t="n">
        <x:v>5</x:v>
      </x:c>
      <x:c r="I352" s="7" t="n">
        <x:v>4</x:v>
      </x:c>
      <x:c r="J352" s="7" t="n">
        <x:v>0.95</x:v>
      </x:c>
      <x:c r="K352" s="8" t="n">
        <x:v>197</x:v>
      </x:c>
      <x:c r="L352" s="8" t="n">
        <x:v>12956</x:v>
      </x:c>
      <x:c r="M352" s="9" t="n">
        <x:v>0.9144279595</x:v>
      </x:c>
      <x:c r="N352" s="10" t="n">
        <x:v>66112.46387774</x:v>
      </x:c>
      <x:c r="O352" s="9" t="n">
        <x:v>0.012271187</x:v>
      </x:c>
      <x:c r="P352" s="9" t="n">
        <x:v>0.9331703341</x:v>
      </x:c>
      <x:c r="Q352" s="9" t="n">
        <x:v>0.8744906275</x:v>
      </x:c>
      <x:c r="R352" s="3" t="b">
        <x:v>1</x:v>
      </x:c>
      <x:c r="S352" s="3" t="b">
        <x:v>0</x:v>
      </x:c>
      <x:c r="T352" s="3" t="b">
        <x:v>0</x:v>
      </x:c>
      <x:c r="U352" s="2" t="str">
        <x:f>IF(T352=TRUE,"Priority review",IF(R352=TRUE,"High cost",IF(S352=TRUE,"Low quality","Benchmark")))</x:f>
        <x:v>High cost</x:v>
      </x:c>
    </x:row>
    <x:row r="353">
      <x:c r="A353" s="2" t="str">
        <x:v>451340</x:v>
      </x:c>
      <x:c r="B353" s="2" t="str">
        <x:v>SHAMROCK GENERAL HOSPITAL</x:v>
      </x:c>
      <x:c r="C353" s="2" t="str">
        <x:v>SHAMROCK</x:v>
      </x:c>
      <x:c r="D353" s="2" t="str">
        <x:v>TX</x:v>
      </x:c>
      <x:c r="E353" s="2" t="str">
        <x:v>Critical Access Hospitals</x:v>
      </x:c>
      <x:c r="F353" s="2" t="str">
        <x:v>Proprietary</x:v>
      </x:c>
      <x:c r="G353" s="2" t="str">
        <x:v>Small (&lt;100 beds)</x:v>
      </x:c>
      <x:c r="H353" s="7"/>
      <x:c r="I353" s="7"/>
      <x:c r="J353" s="7"/>
      <x:c r="K353" s="8" t="n">
        <x:v>25</x:v>
      </x:c>
      <x:c r="L353" s="8" t="n">
        <x:v>20</x:v>
      </x:c>
      <x:c r="M353" s="9" t="n">
        <x:v>0.042739726</x:v>
      </x:c>
      <x:c r="N353" s="10" t="n">
        <x:v>444383.05</x:v>
      </x:c>
      <x:c r="O353" s="9" t="n">
        <x:v>-0.7268579003</x:v>
      </x:c>
      <x:c r="P353" s="9" t="n">
        <x:v>0.9330855019</x:v>
      </x:c>
      <x:c r="Q353" s="9" t="n">
        <x:v>0.292936803</x:v>
      </x:c>
      <x:c r="R353" s="3" t="b">
        <x:v>1</x:v>
      </x:c>
      <x:c r="S353" s="3" t="b">
        <x:v>0</x:v>
      </x:c>
      <x:c r="T353" s="3" t="b">
        <x:v>0</x:v>
      </x:c>
      <x:c r="U353" s="2" t="str">
        <x:f>IF(T353=TRUE,"Priority review",IF(R353=TRUE,"High cost",IF(S353=TRUE,"Low quality","Benchmark")))</x:f>
        <x:v>High cost</x:v>
      </x:c>
    </x:row>
    <x:row r="354">
      <x:c r="A354" s="2" t="str">
        <x:v>030073</x:v>
      </x:c>
      <x:c r="B354" s="2" t="str">
        <x:v>TUBA CITY REGIONAL HEALTH CARE CORPORATION</x:v>
      </x:c>
      <x:c r="C354" s="2" t="str">
        <x:v>TUBA CITY</x:v>
      </x:c>
      <x:c r="D354" s="2" t="str">
        <x:v>AZ</x:v>
      </x:c>
      <x:c r="E354" s="2" t="str">
        <x:v>Acute Care Hospitals</x:v>
      </x:c>
      <x:c r="F354" s="2" t="str">
        <x:v>Voluntary non-profit</x:v>
      </x:c>
      <x:c r="G354" s="2" t="str">
        <x:v>Small (&lt;100 beds)</x:v>
      </x:c>
      <x:c r="H354" s="7"/>
      <x:c r="I354" s="7" t="n">
        <x:v>3</x:v>
      </x:c>
      <x:c r="J354" s="7" t="n">
        <x:v>0.79</x:v>
      </x:c>
      <x:c r="K354" s="8" t="n">
        <x:v>73</x:v>
      </x:c>
      <x:c r="L354" s="8" t="n">
        <x:v>1286</x:v>
      </x:c>
      <x:c r="M354" s="9" t="n">
        <x:v>0.2352346733</x:v>
      </x:c>
      <x:c r="N354" s="10" t="n">
        <x:v>192540.5357698289</x:v>
      </x:c>
      <x:c r="O354" s="9"/>
      <x:c r="P354" s="9" t="n">
        <x:v>0.9326750449</x:v>
      </x:c>
      <x:c r="Q354" s="9" t="n">
        <x:v>0.697486535</x:v>
      </x:c>
      <x:c r="R354" s="3" t="b">
        <x:v>1</x:v>
      </x:c>
      <x:c r="S354" s="3" t="b">
        <x:v>0</x:v>
      </x:c>
      <x:c r="T354" s="3" t="b">
        <x:v>0</x:v>
      </x:c>
      <x:c r="U354" s="2" t="str">
        <x:f>IF(T354=TRUE,"Priority review",IF(R354=TRUE,"High cost",IF(S354=TRUE,"Low quality","Benchmark")))</x:f>
        <x:v>High cost</x:v>
      </x:c>
    </x:row>
    <x:row r="355">
      <x:c r="A355" s="2" t="str">
        <x:v>270003</x:v>
      </x:c>
      <x:c r="B355" s="2" t="str">
        <x:v>ST PETERS HEALTH</x:v>
      </x:c>
      <x:c r="C355" s="2" t="str">
        <x:v>HELENA</x:v>
      </x:c>
      <x:c r="D355" s="2" t="str">
        <x:v>MT</x:v>
      </x:c>
      <x:c r="E355" s="2" t="str">
        <x:v>Acute Care Hospitals</x:v>
      </x:c>
      <x:c r="F355" s="2" t="str">
        <x:v>Voluntary non-profit</x:v>
      </x:c>
      <x:c r="G355" s="2" t="str">
        <x:v>Medium (100-299 beds)</x:v>
      </x:c>
      <x:c r="H355" s="7" t="n">
        <x:v>3</x:v>
      </x:c>
      <x:c r="I355" s="7" t="n">
        <x:v>4</x:v>
      </x:c>
      <x:c r="J355" s="7" t="n">
        <x:v>0.89</x:v>
      </x:c>
      <x:c r="K355" s="8" t="n">
        <x:v>125</x:v>
      </x:c>
      <x:c r="L355" s="8" t="n">
        <x:v>5587</x:v>
      </x:c>
      <x:c r="M355" s="9" t="n">
        <x:v>0.5860383562</x:v>
      </x:c>
      <x:c r="N355" s="10" t="n">
        <x:v>65901.8408806157</x:v>
      </x:c>
      <x:c r="O355" s="9" t="n">
        <x:v>-0.1010514776</x:v>
      </x:c>
      <x:c r="P355" s="9" t="n">
        <x:v>0.9323553382</x:v>
      </x:c>
      <x:c r="Q355" s="9" t="n">
        <x:v>0.3023634882</x:v>
      </x:c>
      <x:c r="R355" s="3" t="b">
        <x:v>1</x:v>
      </x:c>
      <x:c r="S355" s="3" t="b">
        <x:v>0</x:v>
      </x:c>
      <x:c r="T355" s="3" t="b">
        <x:v>0</x:v>
      </x:c>
      <x:c r="U355" s="2" t="str">
        <x:f>IF(T355=TRUE,"Priority review",IF(R355=TRUE,"High cost",IF(S355=TRUE,"Low quality","Benchmark")))</x:f>
        <x:v>High cost</x:v>
      </x:c>
    </x:row>
    <x:row r="356">
      <x:c r="A356" s="2" t="str">
        <x:v>451314</x:v>
      </x:c>
      <x:c r="B356" s="2" t="str">
        <x:v>WINKLER COUNTY MEMORIAL HOSPITAL</x:v>
      </x:c>
      <x:c r="C356" s="2" t="str">
        <x:v>KERMIT</x:v>
      </x:c>
      <x:c r="D356" s="2" t="str">
        <x:v>TX</x:v>
      </x:c>
      <x:c r="E356" s="2" t="str">
        <x:v>Critical Access Hospitals</x:v>
      </x:c>
      <x:c r="F356" s="2" t="str">
        <x:v>Government</x:v>
      </x:c>
      <x:c r="G356" s="2" t="str">
        <x:v>Small (&lt;100 beds)</x:v>
      </x:c>
      <x:c r="H356" s="7"/>
      <x:c r="I356" s="7"/>
      <x:c r="J356" s="7"/>
      <x:c r="K356" s="8" t="n">
        <x:v>19</x:v>
      </x:c>
      <x:c r="L356" s="8" t="n">
        <x:v>49</x:v>
      </x:c>
      <x:c r="M356" s="9" t="n">
        <x:v>0.1157607133</x:v>
      </x:c>
      <x:c r="N356" s="10" t="n">
        <x:v>438091.6734693878</x:v>
      </x:c>
      <x:c r="O356" s="9" t="n">
        <x:v>-0.6746077524</x:v>
      </x:c>
      <x:c r="P356" s="9" t="n">
        <x:v>0.9323420074</x:v>
      </x:c>
      <x:c r="Q356" s="9" t="n">
        <x:v>0.292936803</x:v>
      </x:c>
      <x:c r="R356" s="3" t="b">
        <x:v>1</x:v>
      </x:c>
      <x:c r="S356" s="3" t="b">
        <x:v>0</x:v>
      </x:c>
      <x:c r="T356" s="3" t="b">
        <x:v>0</x:v>
      </x:c>
      <x:c r="U356" s="2" t="str">
        <x:f>IF(T356=TRUE,"Priority review",IF(R356=TRUE,"High cost",IF(S356=TRUE,"Low quality","Benchmark")))</x:f>
        <x:v>High cost</x:v>
      </x:c>
    </x:row>
    <x:row r="357">
      <x:c r="A357" s="2" t="str">
        <x:v>390114</x:v>
      </x:c>
      <x:c r="B357" s="2" t="str">
        <x:v>MAGEE WOMENS HOSPITAL OF UPMC HEALTH SYSTEM</x:v>
      </x:c>
      <x:c r="C357" s="2" t="str">
        <x:v>PITTSBURGH</x:v>
      </x:c>
      <x:c r="D357" s="2" t="str">
        <x:v>PA</x:v>
      </x:c>
      <x:c r="E357" s="2" t="str">
        <x:v>Acute Care Hospitals</x:v>
      </x:c>
      <x:c r="F357" s="2" t="str">
        <x:v>Voluntary non-profit</x:v>
      </x:c>
      <x:c r="G357" s="2" t="str">
        <x:v>Large (300+ beds)</x:v>
      </x:c>
      <x:c r="H357" s="7" t="n">
        <x:v>4</x:v>
      </x:c>
      <x:c r="I357" s="7" t="n">
        <x:v>3</x:v>
      </x:c>
      <x:c r="J357" s="7" t="n">
        <x:v>1.02</x:v>
      </x:c>
      <x:c r="K357" s="8" t="n">
        <x:v>332</x:v>
      </x:c>
      <x:c r="L357" s="8" t="n">
        <x:v>18119</x:v>
      </x:c>
      <x:c r="M357" s="9" t="n">
        <x:v>0.7416630898</x:v>
      </x:c>
      <x:c r="N357" s="10" t="n">
        <x:v>85633.4182901926</x:v>
      </x:c>
      <x:c r="O357" s="9" t="n">
        <x:v>-0.0072642163</x:v>
      </x:c>
      <x:c r="P357" s="9" t="n">
        <x:v>0.9321766562</x:v>
      </x:c>
      <x:c r="Q357" s="9" t="n">
        <x:v>0.5899053628</x:v>
      </x:c>
      <x:c r="R357" s="3" t="b">
        <x:v>1</x:v>
      </x:c>
      <x:c r="S357" s="3" t="b">
        <x:v>0</x:v>
      </x:c>
      <x:c r="T357" s="3" t="b">
        <x:v>0</x:v>
      </x:c>
      <x:c r="U357" s="2" t="str">
        <x:f>IF(T357=TRUE,"Priority review",IF(R357=TRUE,"High cost",IF(S357=TRUE,"Low quality","Benchmark")))</x:f>
        <x:v>High cost</x:v>
      </x:c>
    </x:row>
    <x:row r="358">
      <x:c r="A358" s="2" t="str">
        <x:v>154031</x:v>
      </x:c>
      <x:c r="B358" s="2" t="str">
        <x:v>OAKLAWN PSYCHIATRIC CENTER INC</x:v>
      </x:c>
      <x:c r="C358" s="2" t="str">
        <x:v>GOSHEN</x:v>
      </x:c>
      <x:c r="D358" s="2" t="str">
        <x:v>IN</x:v>
      </x:c>
      <x:c r="E358" s="2" t="str">
        <x:v>Psychiatric</x:v>
      </x:c>
      <x:c r="F358" s="2" t="str">
        <x:v>Voluntary non-profit</x:v>
      </x:c>
      <x:c r="G358" s="2" t="str">
        <x:v>Small (&lt;100 beds)</x:v>
      </x:c>
      <x:c r="H358" s="7"/>
      <x:c r="I358" s="7"/>
      <x:c r="J358" s="7"/>
      <x:c r="K358" s="8" t="n">
        <x:v>16</x:v>
      </x:c>
      <x:c r="L358" s="8" t="n">
        <x:v>338</x:v>
      </x:c>
      <x:c r="M358" s="9" t="n">
        <x:v>0.5515410959</x:v>
      </x:c>
      <x:c r="N358" s="10" t="n">
        <x:v>208739.6952662722</x:v>
      </x:c>
      <x:c r="O358" s="9" t="n">
        <x:v>-0.3757795966</x:v>
      </x:c>
      <x:c r="P358" s="9" t="n">
        <x:v>0.932038835</x:v>
      </x:c>
      <x:c r="Q358" s="9" t="n">
        <x:v>0</x:v>
      </x:c>
      <x:c r="R358" s="3" t="b">
        <x:v>1</x:v>
      </x:c>
      <x:c r="S358" s="3" t="b">
        <x:v>0</x:v>
      </x:c>
      <x:c r="T358" s="3" t="b">
        <x:v>0</x:v>
      </x:c>
      <x:c r="U358" s="2" t="str">
        <x:f>IF(T358=TRUE,"Priority review",IF(R358=TRUE,"High cost",IF(S358=TRUE,"Low quality","Benchmark")))</x:f>
        <x:v>High cost</x:v>
      </x:c>
    </x:row>
    <x:row r="359">
      <x:c r="A359" s="2" t="str">
        <x:v>670069</x:v>
      </x:c>
      <x:c r="B359" s="2" t="str">
        <x:v>METHODIST MCKINNEY HOSPITAL</x:v>
      </x:c>
      <x:c r="C359" s="2" t="str">
        <x:v>MCKINNEY</x:v>
      </x:c>
      <x:c r="D359" s="2" t="str">
        <x:v>TX</x:v>
      </x:c>
      <x:c r="E359" s="2" t="str">
        <x:v>Acute Care Hospitals</x:v>
      </x:c>
      <x:c r="F359" s="2" t="str">
        <x:v>Other / unknown</x:v>
      </x:c>
      <x:c r="G359" s="2" t="str">
        <x:v>Small (&lt;100 beds)</x:v>
      </x:c>
      <x:c r="H359" s="7"/>
      <x:c r="I359" s="7"/>
      <x:c r="J359" s="7" t="n">
        <x:v>1.09</x:v>
      </x:c>
      <x:c r="K359" s="8" t="n">
        <x:v>23</x:v>
      </x:c>
      <x:c r="L359" s="8" t="n">
        <x:v>393</x:v>
      </x:c>
      <x:c r="M359" s="9" t="n">
        <x:v>0.1218816821</x:v>
      </x:c>
      <x:c r="N359" s="10" t="n">
        <x:v>192139.5750636132</x:v>
      </x:c>
      <x:c r="O359" s="9" t="n">
        <x:v>0.0607540014</x:v>
      </x:c>
      <x:c r="P359" s="9" t="n">
        <x:v>0.9317773788</x:v>
      </x:c>
      <x:c r="Q359" s="9" t="n">
        <x:v>0.697486535</x:v>
      </x:c>
      <x:c r="R359" s="3" t="b">
        <x:v>1</x:v>
      </x:c>
      <x:c r="S359" s="3" t="b">
        <x:v>0</x:v>
      </x:c>
      <x:c r="T359" s="3" t="b">
        <x:v>0</x:v>
      </x:c>
      <x:c r="U359" s="2" t="str">
        <x:f>IF(T359=TRUE,"Priority review",IF(R359=TRUE,"High cost",IF(S359=TRUE,"Low quality","Benchmark")))</x:f>
        <x:v>High cost</x:v>
      </x:c>
    </x:row>
    <x:row r="360">
      <x:c r="A360" s="2" t="str">
        <x:v>111314</x:v>
      </x:c>
      <x:c r="B360" s="2" t="str">
        <x:v>LIFEBRITE COMMUNITY HOSPITAL OF EARLY</x:v>
      </x:c>
      <x:c r="C360" s="2" t="str">
        <x:v>BLAKELY</x:v>
      </x:c>
      <x:c r="D360" s="2" t="str">
        <x:v>GA</x:v>
      </x:c>
      <x:c r="E360" s="2" t="str">
        <x:v>Critical Access Hospitals</x:v>
      </x:c>
      <x:c r="F360" s="2" t="str">
        <x:v>Voluntary non-profit</x:v>
      </x:c>
      <x:c r="G360" s="2" t="str">
        <x:v>Small (&lt;100 beds)</x:v>
      </x:c>
      <x:c r="H360" s="7"/>
      <x:c r="I360" s="7"/>
      <x:c r="J360" s="7"/>
      <x:c r="K360" s="8" t="n">
        <x:v>25</x:v>
      </x:c>
      <x:c r="L360" s="8" t="n">
        <x:v>54</x:v>
      </x:c>
      <x:c r="M360" s="9" t="n">
        <x:v>0.4004371585</x:v>
      </x:c>
      <x:c r="N360" s="10" t="n">
        <x:v>430644.3888888889</x:v>
      </x:c>
      <x:c r="O360" s="9" t="n">
        <x:v>-0.287478206</x:v>
      </x:c>
      <x:c r="P360" s="9" t="n">
        <x:v>0.931598513</x:v>
      </x:c>
      <x:c r="Q360" s="9" t="n">
        <x:v>0.292936803</x:v>
      </x:c>
      <x:c r="R360" s="3" t="b">
        <x:v>1</x:v>
      </x:c>
      <x:c r="S360" s="3" t="b">
        <x:v>0</x:v>
      </x:c>
      <x:c r="T360" s="3" t="b">
        <x:v>0</x:v>
      </x:c>
      <x:c r="U360" s="2" t="str">
        <x:f>IF(T360=TRUE,"Priority review",IF(R360=TRUE,"High cost",IF(S360=TRUE,"Low quality","Benchmark")))</x:f>
        <x:v>High cost</x:v>
      </x:c>
    </x:row>
    <x:row r="361">
      <x:c r="A361" s="2" t="str">
        <x:v>070036</x:v>
      </x:c>
      <x:c r="B361" s="2" t="str">
        <x:v>JOHN DEMPSEY HOSPITAL OF THE UNIVERSITY OF CONNECT</x:v>
      </x:c>
      <x:c r="C361" s="2" t="str">
        <x:v>FARMINGTON</x:v>
      </x:c>
      <x:c r="D361" s="2" t="str">
        <x:v>CT</x:v>
      </x:c>
      <x:c r="E361" s="2" t="str">
        <x:v>Acute Care Hospitals</x:v>
      </x:c>
      <x:c r="F361" s="2" t="str">
        <x:v>Government</x:v>
      </x:c>
      <x:c r="G361" s="2" t="str">
        <x:v>Medium (100-299 beds)</x:v>
      </x:c>
      <x:c r="H361" s="7" t="n">
        <x:v>3</x:v>
      </x:c>
      <x:c r="I361" s="7" t="n">
        <x:v>4</x:v>
      </x:c>
      <x:c r="J361" s="7" t="n">
        <x:v>0.99</x:v>
      </x:c>
      <x:c r="K361" s="8" t="n">
        <x:v>171</x:v>
      </x:c>
      <x:c r="L361" s="8" t="n">
        <x:v>12441</x:v>
      </x:c>
      <x:c r="M361" s="9" t="n">
        <x:v>0.8050949291</x:v>
      </x:c>
      <x:c r="N361" s="10" t="n">
        <x:v>65828.0077968009</x:v>
      </x:c>
      <x:c r="O361" s="9" t="n">
        <x:v>-0.1244947791</x:v>
      </x:c>
      <x:c r="P361" s="9" t="n">
        <x:v>0.9315403423</x:v>
      </x:c>
      <x:c r="Q361" s="9" t="n">
        <x:v>0.3023634882</x:v>
      </x:c>
      <x:c r="R361" s="3" t="b">
        <x:v>1</x:v>
      </x:c>
      <x:c r="S361" s="3" t="b">
        <x:v>0</x:v>
      </x:c>
      <x:c r="T361" s="3" t="b">
        <x:v>0</x:v>
      </x:c>
      <x:c r="U361" s="2" t="str">
        <x:f>IF(T361=TRUE,"Priority review",IF(R361=TRUE,"High cost",IF(S361=TRUE,"Low quality","Benchmark")))</x:f>
        <x:v>High cost</x:v>
      </x:c>
    </x:row>
    <x:row r="362">
      <x:c r="A362" s="2" t="str">
        <x:v>450889</x:v>
      </x:c>
      <x:c r="B362" s="2" t="str">
        <x:v>TEXAS INSTITUTE FOR SURGERY AT PRESBYTERIAN HOSPIT</x:v>
      </x:c>
      <x:c r="C362" s="2" t="str">
        <x:v>DALLAS</x:v>
      </x:c>
      <x:c r="D362" s="2" t="str">
        <x:v>TX</x:v>
      </x:c>
      <x:c r="E362" s="2" t="str">
        <x:v>Acute Care Hospitals</x:v>
      </x:c>
      <x:c r="F362" s="2" t="str">
        <x:v>Other / unknown</x:v>
      </x:c>
      <x:c r="G362" s="2" t="str">
        <x:v>Small (&lt;100 beds)</x:v>
      </x:c>
      <x:c r="H362" s="7"/>
      <x:c r="I362" s="7" t="n">
        <x:v>5</x:v>
      </x:c>
      <x:c r="J362" s="7" t="n">
        <x:v>0.95</x:v>
      </x:c>
      <x:c r="K362" s="8" t="n">
        <x:v>9</x:v>
      </x:c>
      <x:c r="L362" s="8" t="n">
        <x:v>350</x:v>
      </x:c>
      <x:c r="M362" s="9" t="n">
        <x:v>0.2246508804</x:v>
      </x:c>
      <x:c r="N362" s="10" t="n">
        <x:v>190498.9571428571</x:v>
      </x:c>
      <x:c r="O362" s="9" t="n">
        <x:v>0.2502001501</x:v>
      </x:c>
      <x:c r="P362" s="9" t="n">
        <x:v>0.9308797127</x:v>
      </x:c>
      <x:c r="Q362" s="9" t="n">
        <x:v>0.697486535</x:v>
      </x:c>
      <x:c r="R362" s="3" t="b">
        <x:v>1</x:v>
      </x:c>
      <x:c r="S362" s="3" t="b">
        <x:v>0</x:v>
      </x:c>
      <x:c r="T362" s="3" t="b">
        <x:v>0</x:v>
      </x:c>
      <x:c r="U362" s="2" t="str">
        <x:f>IF(T362=TRUE,"Priority review",IF(R362=TRUE,"High cost",IF(S362=TRUE,"Low quality","Benchmark")))</x:f>
        <x:v>High cost</x:v>
      </x:c>
    </x:row>
    <x:row r="363">
      <x:c r="A363" s="2" t="str">
        <x:v>251325</x:v>
      </x:c>
      <x:c r="B363" s="2" t="str">
        <x:v>COVINGTON COUNTY HOSPITAL CAH</x:v>
      </x:c>
      <x:c r="C363" s="2" t="str">
        <x:v>COLLINS</x:v>
      </x:c>
      <x:c r="D363" s="2" t="str">
        <x:v>MS</x:v>
      </x:c>
      <x:c r="E363" s="2" t="str">
        <x:v>Critical Access Hospitals</x:v>
      </x:c>
      <x:c r="F363" s="2" t="str">
        <x:v>Government</x:v>
      </x:c>
      <x:c r="G363" s="2" t="str">
        <x:v>Small (&lt;100 beds)</x:v>
      </x:c>
      <x:c r="H363" s="7"/>
      <x:c r="I363" s="7"/>
      <x:c r="J363" s="7"/>
      <x:c r="K363" s="8" t="n">
        <x:v>25</x:v>
      </x:c>
      <x:c r="L363" s="8" t="n">
        <x:v>102</x:v>
      </x:c>
      <x:c r="M363" s="9" t="n">
        <x:v>0.5810928962</x:v>
      </x:c>
      <x:c r="N363" s="10" t="n">
        <x:v>427498.4019607843</x:v>
      </x:c>
      <x:c r="O363" s="9" t="n">
        <x:v>-0.2660906922</x:v>
      </x:c>
      <x:c r="P363" s="9" t="n">
        <x:v>0.9308550186</x:v>
      </x:c>
      <x:c r="Q363" s="9" t="n">
        <x:v>0.292936803</x:v>
      </x:c>
      <x:c r="R363" s="3" t="b">
        <x:v>1</x:v>
      </x:c>
      <x:c r="S363" s="3" t="b">
        <x:v>0</x:v>
      </x:c>
      <x:c r="T363" s="3" t="b">
        <x:v>0</x:v>
      </x:c>
      <x:c r="U363" s="2" t="str">
        <x:f>IF(T363=TRUE,"Priority review",IF(R363=TRUE,"High cost",IF(S363=TRUE,"Low quality","Benchmark")))</x:f>
        <x:v>High cost</x:v>
      </x:c>
    </x:row>
    <x:row r="364">
      <x:c r="A364" s="2" t="str">
        <x:v>200009</x:v>
      </x:c>
      <x:c r="B364" s="2" t="str">
        <x:v>MAINEHEALTH MAINE MEDICAL CENTER</x:v>
      </x:c>
      <x:c r="C364" s="2" t="str">
        <x:v>PORTLAND</x:v>
      </x:c>
      <x:c r="D364" s="2" t="str">
        <x:v>ME</x:v>
      </x:c>
      <x:c r="E364" s="2" t="str">
        <x:v>Acute Care Hospitals</x:v>
      </x:c>
      <x:c r="F364" s="2" t="str">
        <x:v>Voluntary non-profit</x:v>
      </x:c>
      <x:c r="G364" s="2" t="str">
        <x:v>Large (300+ beds)</x:v>
      </x:c>
      <x:c r="H364" s="7" t="n">
        <x:v>4</x:v>
      </x:c>
      <x:c r="I364" s="7" t="n">
        <x:v>3</x:v>
      </x:c>
      <x:c r="J364" s="7" t="n">
        <x:v>1.02</x:v>
      </x:c>
      <x:c r="K364" s="8" t="n">
        <x:v>846</x:v>
      </x:c>
      <x:c r="L364" s="8" t="n">
        <x:v>29365</x:v>
      </x:c>
      <x:c r="M364" s="9" t="n">
        <x:v>0.8257152826</x:v>
      </x:c>
      <x:c r="N364" s="10" t="n">
        <x:v>85225.548476077</x:v>
      </x:c>
      <x:c r="O364" s="9" t="n">
        <x:v>-0.1008728836</x:v>
      </x:c>
      <x:c r="P364" s="9" t="n">
        <x:v>0.9305993691</x:v>
      </x:c>
      <x:c r="Q364" s="9" t="n">
        <x:v>0.5899053628</x:v>
      </x:c>
      <x:c r="R364" s="3" t="b">
        <x:v>1</x:v>
      </x:c>
      <x:c r="S364" s="3" t="b">
        <x:v>0</x:v>
      </x:c>
      <x:c r="T364" s="3" t="b">
        <x:v>0</x:v>
      </x:c>
      <x:c r="U364" s="2" t="str">
        <x:f>IF(T364=TRUE,"Priority review",IF(R364=TRUE,"High cost",IF(S364=TRUE,"Low quality","Benchmark")))</x:f>
        <x:v>High cost</x:v>
      </x:c>
    </x:row>
    <x:row r="365">
      <x:c r="A365" s="2" t="str">
        <x:v>154019</x:v>
      </x:c>
      <x:c r="B365" s="2" t="str">
        <x:v>MADISON STATE HOSPITAL</x:v>
      </x:c>
      <x:c r="C365" s="2" t="str">
        <x:v>MADISON</x:v>
      </x:c>
      <x:c r="D365" s="2" t="str">
        <x:v>IN</x:v>
      </x:c>
      <x:c r="E365" s="2" t="str">
        <x:v>Psychiatric</x:v>
      </x:c>
      <x:c r="F365" s="2" t="str">
        <x:v>Government</x:v>
      </x:c>
      <x:c r="G365" s="2" t="str">
        <x:v>Medium (100-299 beds)</x:v>
      </x:c>
      <x:c r="H365" s="7"/>
      <x:c r="I365" s="7"/>
      <x:c r="J365" s="7"/>
      <x:c r="K365" s="8" t="n">
        <x:v>150</x:v>
      </x:c>
      <x:c r="L365" s="8" t="n">
        <x:v>93</x:v>
      </x:c>
      <x:c r="M365" s="9" t="n">
        <x:v>0.7085844749</x:v>
      </x:c>
      <x:c r="N365" s="10" t="n">
        <x:v>370004.9139784946</x:v>
      </x:c>
      <x:c r="O365" s="9" t="n">
        <x:v>-3.5329863579</x:v>
      </x:c>
      <x:c r="P365" s="9" t="n">
        <x:v>0.9303482587</x:v>
      </x:c>
      <x:c r="Q365" s="9" t="n">
        <x:v>0</x:v>
      </x:c>
      <x:c r="R365" s="3" t="b">
        <x:v>1</x:v>
      </x:c>
      <x:c r="S365" s="3" t="b">
        <x:v>0</x:v>
      </x:c>
      <x:c r="T365" s="3" t="b">
        <x:v>0</x:v>
      </x:c>
      <x:c r="U365" s="2" t="str">
        <x:f>IF(T365=TRUE,"Priority review",IF(R365=TRUE,"High cost",IF(S365=TRUE,"Low quality","Benchmark")))</x:f>
        <x:v>High cost</x:v>
      </x:c>
    </x:row>
    <x:row r="366">
      <x:c r="A366" s="2" t="str">
        <x:v>061312</x:v>
      </x:c>
      <x:c r="B366" s="2" t="str">
        <x:v>ESTES PARK MEDICAL CENTER</x:v>
      </x:c>
      <x:c r="C366" s="2" t="str">
        <x:v>ESTES PARK</x:v>
      </x:c>
      <x:c r="D366" s="2" t="str">
        <x:v>CO</x:v>
      </x:c>
      <x:c r="E366" s="2" t="str">
        <x:v>Critical Access Hospitals</x:v>
      </x:c>
      <x:c r="F366" s="2" t="str">
        <x:v>Government</x:v>
      </x:c>
      <x:c r="G366" s="2" t="str">
        <x:v>Small (&lt;100 beds)</x:v>
      </x:c>
      <x:c r="H366" s="7"/>
      <x:c r="I366" s="7"/>
      <x:c r="J366" s="7"/>
      <x:c r="K366" s="8" t="n">
        <x:v>23</x:v>
      </x:c>
      <x:c r="L366" s="8" t="n">
        <x:v>149</x:v>
      </x:c>
      <x:c r="M366" s="9" t="n">
        <x:v>0.0801853172</x:v>
      </x:c>
      <x:c r="N366" s="10" t="n">
        <x:v>427451.8120805369</x:v>
      </x:c>
      <x:c r="O366" s="9" t="n">
        <x:v>-0.0928834563</x:v>
      </x:c>
      <x:c r="P366" s="9" t="n">
        <x:v>0.9301115242</x:v>
      </x:c>
      <x:c r="Q366" s="9" t="n">
        <x:v>0.292936803</x:v>
      </x:c>
      <x:c r="R366" s="3" t="b">
        <x:v>1</x:v>
      </x:c>
      <x:c r="S366" s="3" t="b">
        <x:v>0</x:v>
      </x:c>
      <x:c r="T366" s="3" t="b">
        <x:v>0</x:v>
      </x:c>
      <x:c r="U366" s="2" t="str">
        <x:f>IF(T366=TRUE,"Priority review",IF(R366=TRUE,"High cost",IF(S366=TRUE,"Low quality","Benchmark")))</x:f>
        <x:v>High cost</x:v>
      </x:c>
    </x:row>
    <x:row r="367">
      <x:c r="A367" s="2" t="str">
        <x:v>450825</x:v>
      </x:c>
      <x:c r="B367" s="2" t="str">
        <x:v>CORNERSTONE REGIONAL HOSPITAL</x:v>
      </x:c>
      <x:c r="C367" s="2" t="str">
        <x:v>EDINBURG</x:v>
      </x:c>
      <x:c r="D367" s="2" t="str">
        <x:v>TX</x:v>
      </x:c>
      <x:c r="E367" s="2" t="str">
        <x:v>Acute Care Hospitals</x:v>
      </x:c>
      <x:c r="F367" s="2" t="str">
        <x:v>Proprietary</x:v>
      </x:c>
      <x:c r="G367" s="2" t="str">
        <x:v>Small (&lt;100 beds)</x:v>
      </x:c>
      <x:c r="H367" s="7"/>
      <x:c r="I367" s="7"/>
      <x:c r="J367" s="7"/>
      <x:c r="K367" s="8" t="n">
        <x:v>14</x:v>
      </x:c>
      <x:c r="L367" s="8" t="n">
        <x:v>145</x:v>
      </x:c>
      <x:c r="M367" s="9" t="n">
        <x:v>0.0784543326</x:v>
      </x:c>
      <x:c r="N367" s="10" t="n">
        <x:v>184934.2</x:v>
      </x:c>
      <x:c r="O367" s="9" t="n">
        <x:v>0.058325806</x:v>
      </x:c>
      <x:c r="P367" s="9" t="n">
        <x:v>0.9299820467</x:v>
      </x:c>
      <x:c r="Q367" s="9" t="n">
        <x:v>0.697486535</x:v>
      </x:c>
      <x:c r="R367" s="3" t="b">
        <x:v>1</x:v>
      </x:c>
      <x:c r="S367" s="3" t="b">
        <x:v>0</x:v>
      </x:c>
      <x:c r="T367" s="3" t="b">
        <x:v>0</x:v>
      </x:c>
      <x:c r="U367" s="2" t="str">
        <x:f>IF(T367=TRUE,"Priority review",IF(R367=TRUE,"High cost",IF(S367=TRUE,"Low quality","Benchmark")))</x:f>
        <x:v>High cost</x:v>
      </x:c>
    </x:row>
    <x:row r="368">
      <x:c r="A368" s="2" t="str">
        <x:v>300011</x:v>
      </x:c>
      <x:c r="B368" s="2" t="str">
        <x:v>ST JOSEPH HOSPITAL</x:v>
      </x:c>
      <x:c r="C368" s="2" t="str">
        <x:v>NASHUA</x:v>
      </x:c>
      <x:c r="D368" s="2" t="str">
        <x:v>NH</x:v>
      </x:c>
      <x:c r="E368" s="2" t="str">
        <x:v>Acute Care Hospitals</x:v>
      </x:c>
      <x:c r="F368" s="2" t="str">
        <x:v>Voluntary non-profit</x:v>
      </x:c>
      <x:c r="G368" s="2" t="str">
        <x:v>Medium (100-299 beds)</x:v>
      </x:c>
      <x:c r="H368" s="7" t="n">
        <x:v>4</x:v>
      </x:c>
      <x:c r="I368" s="7" t="n">
        <x:v>3</x:v>
      </x:c>
      <x:c r="J368" s="7" t="n">
        <x:v>1.02</x:v>
      </x:c>
      <x:c r="K368" s="8" t="n">
        <x:v>160</x:v>
      </x:c>
      <x:c r="L368" s="8" t="n">
        <x:v>4672</x:v>
      </x:c>
      <x:c r="M368" s="9" t="n">
        <x:v>0.4107411202</x:v>
      </x:c>
      <x:c r="N368" s="10" t="n">
        <x:v>65276.2643407534</x:v>
      </x:c>
      <x:c r="O368" s="9" t="n">
        <x:v>-0.0609824637</x:v>
      </x:c>
      <x:c r="P368" s="9" t="n">
        <x:v>0.9299103504</x:v>
      </x:c>
      <x:c r="Q368" s="9" t="n">
        <x:v>0.6022819886</x:v>
      </x:c>
      <x:c r="R368" s="3" t="b">
        <x:v>1</x:v>
      </x:c>
      <x:c r="S368" s="3" t="b">
        <x:v>0</x:v>
      </x:c>
      <x:c r="T368" s="3" t="b">
        <x:v>0</x:v>
      </x:c>
      <x:c r="U368" s="2" t="str">
        <x:f>IF(T368=TRUE,"Priority review",IF(R368=TRUE,"High cost",IF(S368=TRUE,"Low quality","Benchmark")))</x:f>
        <x:v>High cost</x:v>
      </x:c>
    </x:row>
    <x:row r="369">
      <x:c r="A369" s="2" t="str">
        <x:v>161342</x:v>
      </x:c>
      <x:c r="B369" s="2" t="str">
        <x:v>MONROE COUNTY HOSPITAL</x:v>
      </x:c>
      <x:c r="C369" s="2" t="str">
        <x:v>ALBIA</x:v>
      </x:c>
      <x:c r="D369" s="2" t="str">
        <x:v>IA</x:v>
      </x:c>
      <x:c r="E369" s="2" t="str">
        <x:v>Critical Access Hospitals</x:v>
      </x:c>
      <x:c r="F369" s="2" t="str">
        <x:v>Government</x:v>
      </x:c>
      <x:c r="G369" s="2" t="str">
        <x:v>Small (&lt;100 beds)</x:v>
      </x:c>
      <x:c r="H369" s="7"/>
      <x:c r="I369" s="7"/>
      <x:c r="J369" s="7"/>
      <x:c r="K369" s="8" t="n">
        <x:v>25</x:v>
      </x:c>
      <x:c r="L369" s="8" t="n">
        <x:v>89</x:v>
      </x:c>
      <x:c r="M369" s="9" t="n">
        <x:v>0.1283287671</x:v>
      </x:c>
      <x:c r="N369" s="10" t="n">
        <x:v>426299.7078651685</x:v>
      </x:c>
      <x:c r="O369" s="9" t="n">
        <x:v>-0.0474034972</x:v>
      </x:c>
      <x:c r="P369" s="9" t="n">
        <x:v>0.9293680297</x:v>
      </x:c>
      <x:c r="Q369" s="9" t="n">
        <x:v>0.292936803</x:v>
      </x:c>
      <x:c r="R369" s="3" t="b">
        <x:v>1</x:v>
      </x:c>
      <x:c r="S369" s="3" t="b">
        <x:v>0</x:v>
      </x:c>
      <x:c r="T369" s="3" t="b">
        <x:v>0</x:v>
      </x:c>
      <x:c r="U369" s="2" t="str">
        <x:f>IF(T369=TRUE,"Priority review",IF(R369=TRUE,"High cost",IF(S369=TRUE,"Low quality","Benchmark")))</x:f>
        <x:v>High cost</x:v>
      </x:c>
    </x:row>
    <x:row r="370">
      <x:c r="A370" s="2" t="str">
        <x:v>050006</x:v>
      </x:c>
      <x:c r="B370" s="2" t="str">
        <x:v>PROVIDENCE ST JOSEPH HOSPITAL</x:v>
      </x:c>
      <x:c r="C370" s="2" t="str">
        <x:v>EUREKA</x:v>
      </x:c>
      <x:c r="D370" s="2" t="str">
        <x:v>CA</x:v>
      </x:c>
      <x:c r="E370" s="2" t="str">
        <x:v>Acute Care Hospitals</x:v>
      </x:c>
      <x:c r="F370" s="2" t="str">
        <x:v>Voluntary non-profit</x:v>
      </x:c>
      <x:c r="G370" s="2" t="str">
        <x:v>Medium (100-299 beds)</x:v>
      </x:c>
      <x:c r="H370" s="7" t="n">
        <x:v>4</x:v>
      </x:c>
      <x:c r="I370" s="7" t="n">
        <x:v>3</x:v>
      </x:c>
      <x:c r="J370" s="7" t="n">
        <x:v>0.96</x:v>
      </x:c>
      <x:c r="K370" s="8" t="n">
        <x:v>132</x:v>
      </x:c>
      <x:c r="L370" s="8" t="n">
        <x:v>7066</x:v>
      </x:c>
      <x:c r="M370" s="9" t="n">
        <x:v>0.7599833956</x:v>
      </x:c>
      <x:c r="N370" s="10" t="n">
        <x:v>64789.1413812624</x:v>
      </x:c>
      <x:c r="O370" s="9" t="n">
        <x:v>-0.1497750284</x:v>
      </x:c>
      <x:c r="P370" s="9" t="n">
        <x:v>0.9290953545</x:v>
      </x:c>
      <x:c r="Q370" s="9" t="n">
        <x:v>0.6022819886</x:v>
      </x:c>
      <x:c r="R370" s="3" t="b">
        <x:v>1</x:v>
      </x:c>
      <x:c r="S370" s="3" t="b">
        <x:v>0</x:v>
      </x:c>
      <x:c r="T370" s="3" t="b">
        <x:v>0</x:v>
      </x:c>
      <x:c r="U370" s="2" t="str">
        <x:f>IF(T370=TRUE,"Priority review",IF(R370=TRUE,"High cost",IF(S370=TRUE,"Low quality","Benchmark")))</x:f>
        <x:v>High cost</x:v>
      </x:c>
    </x:row>
    <x:row r="371">
      <x:c r="A371" s="2" t="str">
        <x:v>340156</x:v>
      </x:c>
      <x:c r="B371" s="2" t="str">
        <x:v>CHEROKEE INDIAN HOSPITAL AUTHORITY</x:v>
      </x:c>
      <x:c r="C371" s="2" t="str">
        <x:v>CHEROKEE</x:v>
      </x:c>
      <x:c r="D371" s="2" t="str">
        <x:v>NC</x:v>
      </x:c>
      <x:c r="E371" s="2" t="str">
        <x:v>Acute Care Hospitals</x:v>
      </x:c>
      <x:c r="F371" s="2" t="str">
        <x:v>Government</x:v>
      </x:c>
      <x:c r="G371" s="2" t="str">
        <x:v>Small (&lt;100 beds)</x:v>
      </x:c>
      <x:c r="H371" s="7"/>
      <x:c r="I371" s="7"/>
      <x:c r="J371" s="7" t="n">
        <x:v>0.98</x:v>
      </x:c>
      <x:c r="K371" s="8" t="n">
        <x:v>34</x:v>
      </x:c>
      <x:c r="L371" s="8" t="n">
        <x:v>783</x:v>
      </x:c>
      <x:c r="M371" s="9" t="n">
        <x:v>0.2634201221</x:v>
      </x:c>
      <x:c r="N371" s="10" t="n">
        <x:v>183663.4189016603</x:v>
      </x:c>
      <x:c r="O371" s="9"/>
      <x:c r="P371" s="9" t="n">
        <x:v>0.9290843806</x:v>
      </x:c>
      <x:c r="Q371" s="9" t="n">
        <x:v>0.697486535</x:v>
      </x:c>
      <x:c r="R371" s="3" t="b">
        <x:v>1</x:v>
      </x:c>
      <x:c r="S371" s="3" t="b">
        <x:v>0</x:v>
      </x:c>
      <x:c r="T371" s="3" t="b">
        <x:v>0</x:v>
      </x:c>
      <x:c r="U371" s="2" t="str">
        <x:f>IF(T371=TRUE,"Priority review",IF(R371=TRUE,"High cost",IF(S371=TRUE,"Low quality","Benchmark")))</x:f>
        <x:v>High cost</x:v>
      </x:c>
    </x:row>
    <x:row r="372">
      <x:c r="A372" s="2" t="str">
        <x:v>390223</x:v>
      </x:c>
      <x:c r="B372" s="2" t="str">
        <x:v>PENN PRESBYTERIAN MEDICAL CENTER</x:v>
      </x:c>
      <x:c r="C372" s="2" t="str">
        <x:v>PHILADELPHIA</x:v>
      </x:c>
      <x:c r="D372" s="2" t="str">
        <x:v>PA</x:v>
      </x:c>
      <x:c r="E372" s="2" t="str">
        <x:v>Acute Care Hospitals</x:v>
      </x:c>
      <x:c r="F372" s="2" t="str">
        <x:v>Voluntary non-profit</x:v>
      </x:c>
      <x:c r="G372" s="2" t="str">
        <x:v>Large (300+ beds)</x:v>
      </x:c>
      <x:c r="H372" s="7" t="n">
        <x:v>4</x:v>
      </x:c>
      <x:c r="I372" s="7" t="n">
        <x:v>3</x:v>
      </x:c>
      <x:c r="J372" s="7" t="n">
        <x:v>0.99</x:v>
      </x:c>
      <x:c r="K372" s="8" t="n">
        <x:v>352</x:v>
      </x:c>
      <x:c r="L372" s="8" t="n">
        <x:v>17088</x:v>
      </x:c>
      <x:c r="M372" s="9" t="n">
        <x:v>0.8903414556</x:v>
      </x:c>
      <x:c r="N372" s="10" t="n">
        <x:v>84870.7200959738</x:v>
      </x:c>
      <x:c r="O372" s="9" t="n">
        <x:v>-0.2788281897</x:v>
      </x:c>
      <x:c r="P372" s="9" t="n">
        <x:v>0.929022082</x:v>
      </x:c>
      <x:c r="Q372" s="9" t="n">
        <x:v>0.5899053628</x:v>
      </x:c>
      <x:c r="R372" s="3" t="b">
        <x:v>1</x:v>
      </x:c>
      <x:c r="S372" s="3" t="b">
        <x:v>0</x:v>
      </x:c>
      <x:c r="T372" s="3" t="b">
        <x:v>0</x:v>
      </x:c>
      <x:c r="U372" s="2" t="str">
        <x:f>IF(T372=TRUE,"Priority review",IF(R372=TRUE,"High cost",IF(S372=TRUE,"Low quality","Benchmark")))</x:f>
        <x:v>High cost</x:v>
      </x:c>
    </x:row>
    <x:row r="373">
      <x:c r="A373" s="2" t="str">
        <x:v>364015</x:v>
      </x:c>
      <x:c r="B373" s="2" t="str">
        <x:v>APPALACHIAN BEHAVIORAL HEALTH CARE</x:v>
      </x:c>
      <x:c r="C373" s="2" t="str">
        <x:v>ATHENS</x:v>
      </x:c>
      <x:c r="D373" s="2" t="str">
        <x:v>OH</x:v>
      </x:c>
      <x:c r="E373" s="2" t="str">
        <x:v>Psychiatric</x:v>
      </x:c>
      <x:c r="F373" s="2" t="str">
        <x:v>Proprietary</x:v>
      </x:c>
      <x:c r="G373" s="2" t="str">
        <x:v>Small (&lt;100 beds)</x:v>
      </x:c>
      <x:c r="H373" s="7"/>
      <x:c r="I373" s="7"/>
      <x:c r="J373" s="7"/>
      <x:c r="K373" s="8" t="n">
        <x:v>92</x:v>
      </x:c>
      <x:c r="L373" s="8" t="n">
        <x:v>165</x:v>
      </x:c>
      <x:c r="M373" s="9" t="n">
        <x:v>0.9473496129</x:v>
      </x:c>
      <x:c r="N373" s="10" t="n">
        <x:v>194165.1818181818</x:v>
      </x:c>
      <x:c r="O373" s="9"/>
      <x:c r="P373" s="9" t="n">
        <x:v>0.928802589</x:v>
      </x:c>
      <x:c r="Q373" s="9" t="n">
        <x:v>0</x:v>
      </x:c>
      <x:c r="R373" s="3" t="b">
        <x:v>1</x:v>
      </x:c>
      <x:c r="S373" s="3" t="b">
        <x:v>0</x:v>
      </x:c>
      <x:c r="T373" s="3" t="b">
        <x:v>0</x:v>
      </x:c>
      <x:c r="U373" s="2" t="str">
        <x:f>IF(T373=TRUE,"Priority review",IF(R373=TRUE,"High cost",IF(S373=TRUE,"Low quality","Benchmark")))</x:f>
        <x:v>High cost</x:v>
      </x:c>
    </x:row>
    <x:row r="374">
      <x:c r="A374" s="2" t="str">
        <x:v>451310</x:v>
      </x:c>
      <x:c r="B374" s="2" t="str">
        <x:v>BALLINGER MEMORIAL HOSPITAL</x:v>
      </x:c>
      <x:c r="C374" s="2" t="str">
        <x:v>BALLINGER</x:v>
      </x:c>
      <x:c r="D374" s="2" t="str">
        <x:v>TX</x:v>
      </x:c>
      <x:c r="E374" s="2" t="str">
        <x:v>Critical Access Hospitals</x:v>
      </x:c>
      <x:c r="F374" s="2" t="str">
        <x:v>Government</x:v>
      </x:c>
      <x:c r="G374" s="2" t="str">
        <x:v>Small (&lt;100 beds)</x:v>
      </x:c>
      <x:c r="H374" s="7"/>
      <x:c r="I374" s="7"/>
      <x:c r="J374" s="7"/>
      <x:c r="K374" s="8" t="n">
        <x:v>16</x:v>
      </x:c>
      <x:c r="L374" s="8" t="n">
        <x:v>65</x:v>
      </x:c>
      <x:c r="M374" s="9" t="n">
        <x:v>0.4672131148</x:v>
      </x:c>
      <x:c r="N374" s="10" t="n">
        <x:v>423427.5076923077</x:v>
      </x:c>
      <x:c r="O374" s="9" t="n">
        <x:v>0.1310122682</x:v>
      </x:c>
      <x:c r="P374" s="9" t="n">
        <x:v>0.9286245353</x:v>
      </x:c>
      <x:c r="Q374" s="9" t="n">
        <x:v>0.292936803</x:v>
      </x:c>
      <x:c r="R374" s="3" t="b">
        <x:v>1</x:v>
      </x:c>
      <x:c r="S374" s="3" t="b">
        <x:v>0</x:v>
      </x:c>
      <x:c r="T374" s="3" t="b">
        <x:v>0</x:v>
      </x:c>
      <x:c r="U374" s="2" t="str">
        <x:f>IF(T374=TRUE,"Priority review",IF(R374=TRUE,"High cost",IF(S374=TRUE,"Low quality","Benchmark")))</x:f>
        <x:v>High cost</x:v>
      </x:c>
    </x:row>
    <x:row r="375">
      <x:c r="A375" s="2" t="str">
        <x:v>363304</x:v>
      </x:c>
      <x:c r="B375" s="2" t="str">
        <x:v>CLEVELAND CLINIC CHILDREN'S HOSPITAL FOR REHAB</x:v>
      </x:c>
      <x:c r="C375" s="2" t="str">
        <x:v>CLEVELAND</x:v>
      </x:c>
      <x:c r="D375" s="2" t="str">
        <x:v>OH</x:v>
      </x:c>
      <x:c r="E375" s="2" t="str">
        <x:v>Childrens</x:v>
      </x:c>
      <x:c r="F375" s="2" t="str">
        <x:v>Voluntary non-profit</x:v>
      </x:c>
      <x:c r="G375" s="2" t="str">
        <x:v>Small (&lt;100 beds)</x:v>
      </x:c>
      <x:c r="H375" s="7"/>
      <x:c r="I375" s="7"/>
      <x:c r="J375" s="7"/>
      <x:c r="K375" s="8" t="n">
        <x:v>52</x:v>
      </x:c>
      <x:c r="L375" s="8" t="n">
        <x:v>152</x:v>
      </x:c>
      <x:c r="M375" s="9" t="n">
        <x:v>0.2724973656</x:v>
      </x:c>
      <x:c r="N375" s="10" t="n">
        <x:v>430106.5526315789</x:v>
      </x:c>
      <x:c r="O375" s="9" t="n">
        <x:v>-0.0146238021</x:v>
      </x:c>
      <x:c r="P375" s="9" t="n">
        <x:v>0.9285714286</x:v>
      </x:c>
      <x:c r="Q375" s="9" t="n">
        <x:v>0</x:v>
      </x:c>
      <x:c r="R375" s="3" t="b">
        <x:v>1</x:v>
      </x:c>
      <x:c r="S375" s="3" t="b">
        <x:v>0</x:v>
      </x:c>
      <x:c r="T375" s="3" t="b">
        <x:v>0</x:v>
      </x:c>
      <x:c r="U375" s="2" t="str">
        <x:f>IF(T375=TRUE,"Priority review",IF(R375=TRUE,"High cost",IF(S375=TRUE,"Low quality","Benchmark")))</x:f>
        <x:v>High cost</x:v>
      </x:c>
    </x:row>
    <x:row r="376">
      <x:c r="A376" s="2" t="str">
        <x:v>170137</x:v>
      </x:c>
      <x:c r="B376" s="2" t="str">
        <x:v>LMH</x:v>
      </x:c>
      <x:c r="C376" s="2" t="str">
        <x:v>LAWRENCE</x:v>
      </x:c>
      <x:c r="D376" s="2" t="str">
        <x:v>KS</x:v>
      </x:c>
      <x:c r="E376" s="2" t="str">
        <x:v>Acute Care Hospitals</x:v>
      </x:c>
      <x:c r="F376" s="2" t="str">
        <x:v>Government</x:v>
      </x:c>
      <x:c r="G376" s="2" t="str">
        <x:v>Medium (100-299 beds)</x:v>
      </x:c>
      <x:c r="H376" s="7" t="n">
        <x:v>4</x:v>
      </x:c>
      <x:c r="I376" s="7" t="n">
        <x:v>4</x:v>
      </x:c>
      <x:c r="J376" s="7" t="n">
        <x:v>0.92</x:v>
      </x:c>
      <x:c r="K376" s="8" t="n">
        <x:v>110</x:v>
      </x:c>
      <x:c r="L376" s="8" t="n">
        <x:v>6033</x:v>
      </x:c>
      <x:c r="M376" s="9" t="n">
        <x:v>0.5890759796</x:v>
      </x:c>
      <x:c r="N376" s="10" t="n">
        <x:v>64587.7450687883</x:v>
      </x:c>
      <x:c r="O376" s="9" t="n">
        <x:v>-0.0010972128</x:v>
      </x:c>
      <x:c r="P376" s="9" t="n">
        <x:v>0.9282803586</x:v>
      </x:c>
      <x:c r="Q376" s="9" t="n">
        <x:v>0.6022819886</x:v>
      </x:c>
      <x:c r="R376" s="3" t="b">
        <x:v>1</x:v>
      </x:c>
      <x:c r="S376" s="3" t="b">
        <x:v>0</x:v>
      </x:c>
      <x:c r="T376" s="3" t="b">
        <x:v>0</x:v>
      </x:c>
      <x:c r="U376" s="2" t="str">
        <x:f>IF(T376=TRUE,"Priority review",IF(R376=TRUE,"High cost",IF(S376=TRUE,"Low quality","Benchmark")))</x:f>
        <x:v>High cost</x:v>
      </x:c>
    </x:row>
    <x:row r="377">
      <x:c r="A377" s="2" t="str">
        <x:v>390324</x:v>
      </x:c>
      <x:c r="B377" s="2" t="str">
        <x:v>PHYSICIANS CARE SURGICAL HOSPITAL</x:v>
      </x:c>
      <x:c r="C377" s="2" t="str">
        <x:v>ROYERSFORD</x:v>
      </x:c>
      <x:c r="D377" s="2" t="str">
        <x:v>PA</x:v>
      </x:c>
      <x:c r="E377" s="2" t="str">
        <x:v>Acute Care Hospitals</x:v>
      </x:c>
      <x:c r="F377" s="2" t="str">
        <x:v>Other / unknown</x:v>
      </x:c>
      <x:c r="G377" s="2" t="str">
        <x:v>Small (&lt;100 beds)</x:v>
      </x:c>
      <x:c r="H377" s="7"/>
      <x:c r="I377" s="7" t="n">
        <x:v>5</x:v>
      </x:c>
      <x:c r="J377" s="7" t="n">
        <x:v>0.86</x:v>
      </x:c>
      <x:c r="K377" s="8" t="n">
        <x:v>12</x:v>
      </x:c>
      <x:c r="L377" s="8" t="n">
        <x:v>218</x:v>
      </x:c>
      <x:c r="M377" s="9" t="n">
        <x:v>0.1109589041</x:v>
      </x:c>
      <x:c r="N377" s="10" t="n">
        <x:v>183386.5871559633</x:v>
      </x:c>
      <x:c r="O377" s="9" t="n">
        <x:v>0.7741661457</x:v>
      </x:c>
      <x:c r="P377" s="9" t="n">
        <x:v>0.9281867145</x:v>
      </x:c>
      <x:c r="Q377" s="9" t="n">
        <x:v>0.697486535</x:v>
      </x:c>
      <x:c r="R377" s="3" t="b">
        <x:v>1</x:v>
      </x:c>
      <x:c r="S377" s="3" t="b">
        <x:v>0</x:v>
      </x:c>
      <x:c r="T377" s="3" t="b">
        <x:v>0</x:v>
      </x:c>
      <x:c r="U377" s="2" t="str">
        <x:f>IF(T377=TRUE,"Priority review",IF(R377=TRUE,"High cost",IF(S377=TRUE,"Low quality","Benchmark")))</x:f>
        <x:v>High cost</x:v>
      </x:c>
    </x:row>
    <x:row r="378">
      <x:c r="A378" s="2" t="str">
        <x:v>231306</x:v>
      </x:c>
      <x:c r="B378" s="2" t="str">
        <x:v>MACKINAC STRAITS HOSPITAL AND HEALTH CENTER</x:v>
      </x:c>
      <x:c r="C378" s="2" t="str">
        <x:v>SAINT IGNACE</x:v>
      </x:c>
      <x:c r="D378" s="2" t="str">
        <x:v>MI</x:v>
      </x:c>
      <x:c r="E378" s="2" t="str">
        <x:v>Critical Access Hospitals</x:v>
      </x:c>
      <x:c r="F378" s="2" t="str">
        <x:v>Voluntary non-profit</x:v>
      </x:c>
      <x:c r="G378" s="2" t="str">
        <x:v>Small (&lt;100 beds)</x:v>
      </x:c>
      <x:c r="H378" s="7"/>
      <x:c r="I378" s="7"/>
      <x:c r="J378" s="7"/>
      <x:c r="K378" s="8" t="n">
        <x:v>15</x:v>
      </x:c>
      <x:c r="L378" s="8" t="n">
        <x:v>170</x:v>
      </x:c>
      <x:c r="M378" s="9" t="n">
        <x:v>0.0840182648</x:v>
      </x:c>
      <x:c r="N378" s="10" t="n">
        <x:v>421742.4941176471</x:v>
      </x:c>
      <x:c r="O378" s="9" t="n">
        <x:v>0.0808678398</x:v>
      </x:c>
      <x:c r="P378" s="9" t="n">
        <x:v>0.9278810409</x:v>
      </x:c>
      <x:c r="Q378" s="9" t="n">
        <x:v>0.292936803</x:v>
      </x:c>
      <x:c r="R378" s="3" t="b">
        <x:v>1</x:v>
      </x:c>
      <x:c r="S378" s="3" t="b">
        <x:v>0</x:v>
      </x:c>
      <x:c r="T378" s="3" t="b">
        <x:v>0</x:v>
      </x:c>
      <x:c r="U378" s="2" t="str">
        <x:f>IF(T378=TRUE,"Priority review",IF(R378=TRUE,"High cost",IF(S378=TRUE,"Low quality","Benchmark")))</x:f>
        <x:v>High cost</x:v>
      </x:c>
    </x:row>
    <x:row r="379">
      <x:c r="A379" s="2" t="str">
        <x:v>240093</x:v>
      </x:c>
      <x:c r="B379" s="2" t="str">
        <x:v>MAYO CLINIC HEALTH SYSTEM - MANKATO</x:v>
      </x:c>
      <x:c r="C379" s="2" t="str">
        <x:v>MANKATO</x:v>
      </x:c>
      <x:c r="D379" s="2" t="str">
        <x:v>MN</x:v>
      </x:c>
      <x:c r="E379" s="2" t="str">
        <x:v>Acute Care Hospitals</x:v>
      </x:c>
      <x:c r="F379" s="2" t="str">
        <x:v>Voluntary non-profit</x:v>
      </x:c>
      <x:c r="G379" s="2" t="str">
        <x:v>Medium (100-299 beds)</x:v>
      </x:c>
      <x:c r="H379" s="7" t="n">
        <x:v>5</x:v>
      </x:c>
      <x:c r="I379" s="7" t="n">
        <x:v>4</x:v>
      </x:c>
      <x:c r="J379" s="7" t="n">
        <x:v>0.93</x:v>
      </x:c>
      <x:c r="K379" s="8" t="n">
        <x:v>152</x:v>
      </x:c>
      <x:c r="L379" s="8" t="n">
        <x:v>9040</x:v>
      </x:c>
      <x:c r="M379" s="9" t="n">
        <x:v>0.8131291343</x:v>
      </x:c>
      <x:c r="N379" s="10" t="n">
        <x:v>64414.9357300885</x:v>
      </x:c>
      <x:c r="O379" s="9" t="n">
        <x:v>-0.0366174841</x:v>
      </x:c>
      <x:c r="P379" s="9" t="n">
        <x:v>0.9274653627</x:v>
      </x:c>
      <x:c r="Q379" s="9" t="n">
        <x:v>0.8744906275</x:v>
      </x:c>
      <x:c r="R379" s="3" t="b">
        <x:v>1</x:v>
      </x:c>
      <x:c r="S379" s="3" t="b">
        <x:v>0</x:v>
      </x:c>
      <x:c r="T379" s="3" t="b">
        <x:v>0</x:v>
      </x:c>
      <x:c r="U379" s="2" t="str">
        <x:f>IF(T379=TRUE,"Priority review",IF(R379=TRUE,"High cost",IF(S379=TRUE,"Low quality","Benchmark")))</x:f>
        <x:v>High cost</x:v>
      </x:c>
    </x:row>
    <x:row r="380">
      <x:c r="A380" s="2" t="str">
        <x:v>090004</x:v>
      </x:c>
      <x:c r="B380" s="2" t="str">
        <x:v>MEDSTAR GEORGETOWN UNIVERSITY HOSPITAL</x:v>
      </x:c>
      <x:c r="C380" s="2" t="str">
        <x:v>WASHINGTON</x:v>
      </x:c>
      <x:c r="D380" s="2" t="str">
        <x:v>DC</x:v>
      </x:c>
      <x:c r="E380" s="2" t="str">
        <x:v>Acute Care Hospitals</x:v>
      </x:c>
      <x:c r="F380" s="2" t="str">
        <x:v>Proprietary</x:v>
      </x:c>
      <x:c r="G380" s="2" t="str">
        <x:v>Large (300+ beds)</x:v>
      </x:c>
      <x:c r="H380" s="7" t="n">
        <x:v>3</x:v>
      </x:c>
      <x:c r="I380" s="7" t="n">
        <x:v>3</x:v>
      </x:c>
      <x:c r="J380" s="7" t="n">
        <x:v>1</x:v>
      </x:c>
      <x:c r="K380" s="8" t="n">
        <x:v>474</x:v>
      </x:c>
      <x:c r="L380" s="8" t="n">
        <x:v>16149</x:v>
      </x:c>
      <x:c r="M380" s="9" t="n">
        <x:v>0.8017130349</x:v>
      </x:c>
      <x:c r="N380" s="10" t="n">
        <x:v>83915.8526843767</x:v>
      </x:c>
      <x:c r="O380" s="9" t="n">
        <x:v>0.0356548076</x:v>
      </x:c>
      <x:c r="P380" s="9" t="n">
        <x:v>0.927444795</x:v>
      </x:c>
      <x:c r="Q380" s="9" t="n">
        <x:v>0.2570977918</x:v>
      </x:c>
      <x:c r="R380" s="3" t="b">
        <x:v>1</x:v>
      </x:c>
      <x:c r="S380" s="3" t="b">
        <x:v>0</x:v>
      </x:c>
      <x:c r="T380" s="3" t="b">
        <x:v>0</x:v>
      </x:c>
      <x:c r="U380" s="2" t="str">
        <x:f>IF(T380=TRUE,"Priority review",IF(R380=TRUE,"High cost",IF(S380=TRUE,"Low quality","Benchmark")))</x:f>
        <x:v>High cost</x:v>
      </x:c>
    </x:row>
    <x:row r="381">
      <x:c r="A381" s="2" t="str">
        <x:v>060096</x:v>
      </x:c>
      <x:c r="B381" s="2" t="str">
        <x:v>VAIL HEALTH HOSPITAL</x:v>
      </x:c>
      <x:c r="C381" s="2" t="str">
        <x:v>VAIL</x:v>
      </x:c>
      <x:c r="D381" s="2" t="str">
        <x:v>CO</x:v>
      </x:c>
      <x:c r="E381" s="2" t="str">
        <x:v>Acute Care Hospitals</x:v>
      </x:c>
      <x:c r="F381" s="2" t="str">
        <x:v>Voluntary non-profit</x:v>
      </x:c>
      <x:c r="G381" s="2" t="str">
        <x:v>Small (&lt;100 beds)</x:v>
      </x:c>
      <x:c r="H381" s="7" t="n">
        <x:v>5</x:v>
      </x:c>
      <x:c r="I381" s="7" t="n">
        <x:v>4</x:v>
      </x:c>
      <x:c r="J381" s="7" t="n">
        <x:v>0.9</x:v>
      </x:c>
      <x:c r="K381" s="8" t="n">
        <x:v>54</x:v>
      </x:c>
      <x:c r="L381" s="8" t="n">
        <x:v>1711</x:v>
      </x:c>
      <x:c r="M381" s="9" t="n">
        <x:v>0.2688726978</x:v>
      </x:c>
      <x:c r="N381" s="10" t="n">
        <x:v>181771.7662185856</x:v>
      </x:c>
      <x:c r="O381" s="9" t="n">
        <x:v>-0.2527380761</x:v>
      </x:c>
      <x:c r="P381" s="9" t="n">
        <x:v>0.9272890485</x:v>
      </x:c>
      <x:c r="Q381" s="9" t="n">
        <x:v>0.6131059246</x:v>
      </x:c>
      <x:c r="R381" s="3" t="b">
        <x:v>1</x:v>
      </x:c>
      <x:c r="S381" s="3" t="b">
        <x:v>0</x:v>
      </x:c>
      <x:c r="T381" s="3" t="b">
        <x:v>0</x:v>
      </x:c>
      <x:c r="U381" s="2" t="str">
        <x:f>IF(T381=TRUE,"Priority review",IF(R381=TRUE,"High cost",IF(S381=TRUE,"Low quality","Benchmark")))</x:f>
        <x:v>High cost</x:v>
      </x:c>
    </x:row>
    <x:row r="382">
      <x:c r="A382" s="2" t="str">
        <x:v>031305</x:v>
      </x:c>
      <x:c r="B382" s="2" t="str">
        <x:v>HOPI HEALTH CARE CENTER</x:v>
      </x:c>
      <x:c r="C382" s="2" t="str">
        <x:v>POLACCA</x:v>
      </x:c>
      <x:c r="D382" s="2" t="str">
        <x:v>AZ</x:v>
      </x:c>
      <x:c r="E382" s="2" t="str">
        <x:v>Critical Access Hospitals</x:v>
      </x:c>
      <x:c r="F382" s="2" t="str">
        <x:v>Other / unknown</x:v>
      </x:c>
      <x:c r="G382" s="2" t="str">
        <x:v>Small (&lt;100 beds)</x:v>
      </x:c>
      <x:c r="H382" s="7"/>
      <x:c r="I382" s="7"/>
      <x:c r="J382" s="7"/>
      <x:c r="K382" s="8" t="n">
        <x:v>6</x:v>
      </x:c>
      <x:c r="L382" s="8" t="n">
        <x:v>190</x:v>
      </x:c>
      <x:c r="M382" s="9" t="n">
        <x:v>0.2003642987</x:v>
      </x:c>
      <x:c r="N382" s="10" t="n">
        <x:v>421189.2263157894</x:v>
      </x:c>
      <x:c r="O382" s="9"/>
      <x:c r="P382" s="9" t="n">
        <x:v>0.9271375465</x:v>
      </x:c>
      <x:c r="Q382" s="9" t="n">
        <x:v>0.292936803</x:v>
      </x:c>
      <x:c r="R382" s="3" t="b">
        <x:v>1</x:v>
      </x:c>
      <x:c r="S382" s="3" t="b">
        <x:v>0</x:v>
      </x:c>
      <x:c r="T382" s="3" t="b">
        <x:v>0</x:v>
      </x:c>
      <x:c r="U382" s="2" t="str">
        <x:f>IF(T382=TRUE,"Priority review",IF(R382=TRUE,"High cost",IF(S382=TRUE,"Low quality","Benchmark")))</x:f>
        <x:v>High cost</x:v>
      </x:c>
    </x:row>
    <x:row r="383">
      <x:c r="A383" s="2" t="str">
        <x:v>140182</x:v>
      </x:c>
      <x:c r="B383" s="2" t="str">
        <x:v>ADVOCATE ILLINOIS MASONIC MEDICAL CENTER</x:v>
      </x:c>
      <x:c r="C383" s="2" t="str">
        <x:v>CHICAGO</x:v>
      </x:c>
      <x:c r="D383" s="2" t="str">
        <x:v>IL</x:v>
      </x:c>
      <x:c r="E383" s="2" t="str">
        <x:v>Acute Care Hospitals</x:v>
      </x:c>
      <x:c r="F383" s="2" t="str">
        <x:v>Voluntary non-profit</x:v>
      </x:c>
      <x:c r="G383" s="2" t="str">
        <x:v>Medium (100-299 beds)</x:v>
      </x:c>
      <x:c r="H383" s="7" t="n">
        <x:v>3</x:v>
      </x:c>
      <x:c r="I383" s="7" t="n">
        <x:v>3</x:v>
      </x:c>
      <x:c r="J383" s="7" t="n">
        <x:v>1.01</x:v>
      </x:c>
      <x:c r="K383" s="8" t="n">
        <x:v>255</x:v>
      </x:c>
      <x:c r="L383" s="8" t="n">
        <x:v>11383</x:v>
      </x:c>
      <x:c r="M383" s="9" t="n">
        <x:v>0.549539903</x:v>
      </x:c>
      <x:c r="N383" s="10" t="n">
        <x:v>64414.9273477993</x:v>
      </x:c>
      <x:c r="O383" s="9" t="n">
        <x:v>0.1532726867</x:v>
      </x:c>
      <x:c r="P383" s="9" t="n">
        <x:v>0.9266503667</x:v>
      </x:c>
      <x:c r="Q383" s="9" t="n">
        <x:v>0.3023634882</x:v>
      </x:c>
      <x:c r="R383" s="3" t="b">
        <x:v>1</x:v>
      </x:c>
      <x:c r="S383" s="3" t="b">
        <x:v>0</x:v>
      </x:c>
      <x:c r="T383" s="3" t="b">
        <x:v>0</x:v>
      </x:c>
      <x:c r="U383" s="2" t="str">
        <x:f>IF(T383=TRUE,"Priority review",IF(R383=TRUE,"High cost",IF(S383=TRUE,"Low quality","Benchmark")))</x:f>
        <x:v>High cost</x:v>
      </x:c>
    </x:row>
    <x:row r="384">
      <x:c r="A384" s="2" t="str">
        <x:v>021302</x:v>
      </x:c>
      <x:c r="B384" s="2" t="str">
        <x:v>PROVIDENCE SEWARD HOSPITAL</x:v>
      </x:c>
      <x:c r="C384" s="2" t="str">
        <x:v>SEWARD</x:v>
      </x:c>
      <x:c r="D384" s="2" t="str">
        <x:v>AK</x:v>
      </x:c>
      <x:c r="E384" s="2" t="str">
        <x:v>Critical Access Hospitals</x:v>
      </x:c>
      <x:c r="F384" s="2" t="str">
        <x:v>Government</x:v>
      </x:c>
      <x:c r="G384" s="2" t="str">
        <x:v>Small (&lt;100 beds)</x:v>
      </x:c>
      <x:c r="H384" s="7"/>
      <x:c r="I384" s="7"/>
      <x:c r="J384" s="7"/>
      <x:c r="K384" s="8" t="n">
        <x:v>6</x:v>
      </x:c>
      <x:c r="L384" s="8" t="n">
        <x:v>63</x:v>
      </x:c>
      <x:c r="M384" s="9" t="n">
        <x:v>0.1475409836</x:v>
      </x:c>
      <x:c r="N384" s="10" t="n">
        <x:v>420905.7301587302</x:v>
      </x:c>
      <x:c r="O384" s="9" t="n">
        <x:v>0.0741886793</x:v>
      </x:c>
      <x:c r="P384" s="9" t="n">
        <x:v>0.926394052</x:v>
      </x:c>
      <x:c r="Q384" s="9" t="n">
        <x:v>0.292936803</x:v>
      </x:c>
      <x:c r="R384" s="3" t="b">
        <x:v>1</x:v>
      </x:c>
      <x:c r="S384" s="3" t="b">
        <x:v>0</x:v>
      </x:c>
      <x:c r="T384" s="3" t="b">
        <x:v>0</x:v>
      </x:c>
      <x:c r="U384" s="2" t="str">
        <x:f>IF(T384=TRUE,"Priority review",IF(R384=TRUE,"High cost",IF(S384=TRUE,"Low quality","Benchmark")))</x:f>
        <x:v>High cost</x:v>
      </x:c>
    </x:row>
    <x:row r="385">
      <x:c r="A385" s="2" t="str">
        <x:v>220177</x:v>
      </x:c>
      <x:c r="B385" s="2" t="str">
        <x:v>NANTUCKET COTTAGE HOSPITAL</x:v>
      </x:c>
      <x:c r="C385" s="2" t="str">
        <x:v>NANTUCKET</x:v>
      </x:c>
      <x:c r="D385" s="2" t="str">
        <x:v>MA</x:v>
      </x:c>
      <x:c r="E385" s="2" t="str">
        <x:v>Acute Care Hospitals</x:v>
      </x:c>
      <x:c r="F385" s="2" t="str">
        <x:v>Voluntary non-profit</x:v>
      </x:c>
      <x:c r="G385" s="2" t="str">
        <x:v>Small (&lt;100 beds)</x:v>
      </x:c>
      <x:c r="H385" s="7" t="n">
        <x:v>3</x:v>
      </x:c>
      <x:c r="I385" s="7"/>
      <x:c r="J385" s="7" t="n">
        <x:v>0.76</x:v>
      </x:c>
      <x:c r="K385" s="8" t="n">
        <x:v>14</x:v>
      </x:c>
      <x:c r="L385" s="8" t="n">
        <x:v>522</x:v>
      </x:c>
      <x:c r="M385" s="9" t="n">
        <x:v>0.3928571429</x:v>
      </x:c>
      <x:c r="N385" s="10" t="n">
        <x:v>179712.9329501916</x:v>
      </x:c>
      <x:c r="O385" s="9"/>
      <x:c r="P385" s="9" t="n">
        <x:v>0.9263913824</x:v>
      </x:c>
      <x:c r="Q385" s="9" t="n">
        <x:v>0.1687612208</x:v>
      </x:c>
      <x:c r="R385" s="3" t="b">
        <x:v>1</x:v>
      </x:c>
      <x:c r="S385" s="3" t="b">
        <x:v>0</x:v>
      </x:c>
      <x:c r="T385" s="3" t="b">
        <x:v>0</x:v>
      </x:c>
      <x:c r="U385" s="2" t="str">
        <x:f>IF(T385=TRUE,"Priority review",IF(R385=TRUE,"High cost",IF(S385=TRUE,"Low quality","Benchmark")))</x:f>
        <x:v>High cost</x:v>
      </x:c>
    </x:row>
    <x:row r="386">
      <x:c r="A386" s="2" t="str">
        <x:v>223302</x:v>
      </x:c>
      <x:c r="B386" s="2" t="str">
        <x:v>BOSTON CHILDREN'S HOSPITAL</x:v>
      </x:c>
      <x:c r="C386" s="2" t="str">
        <x:v>BOSTON</x:v>
      </x:c>
      <x:c r="D386" s="2" t="str">
        <x:v>MA</x:v>
      </x:c>
      <x:c r="E386" s="2" t="str">
        <x:v>Childrens</x:v>
      </x:c>
      <x:c r="F386" s="2" t="str">
        <x:v>Voluntary non-profit</x:v>
      </x:c>
      <x:c r="G386" s="2" t="str">
        <x:v>Large (300+ beds)</x:v>
      </x:c>
      <x:c r="H386" s="7"/>
      <x:c r="I386" s="7"/>
      <x:c r="J386" s="7"/>
      <x:c r="K386" s="8" t="n">
        <x:v>460</x:v>
      </x:c>
      <x:c r="L386" s="8" t="n">
        <x:v>15765</x:v>
      </x:c>
      <x:c r="M386" s="9" t="n">
        <x:v>0.8206284153</x:v>
      </x:c>
      <x:c r="N386" s="10" t="n">
        <x:v>162812.7589597209</x:v>
      </x:c>
      <x:c r="O386" s="9" t="n">
        <x:v>-0.2783154418</x:v>
      </x:c>
      <x:c r="P386" s="9" t="n">
        <x:v>0.9259259259</x:v>
      </x:c>
      <x:c r="Q386" s="9" t="n">
        <x:v>0</x:v>
      </x:c>
      <x:c r="R386" s="3" t="b">
        <x:v>1</x:v>
      </x:c>
      <x:c r="S386" s="3" t="b">
        <x:v>0</x:v>
      </x:c>
      <x:c r="T386" s="3" t="b">
        <x:v>0</x:v>
      </x:c>
      <x:c r="U386" s="2" t="str">
        <x:f>IF(T386=TRUE,"Priority review",IF(R386=TRUE,"High cost",IF(S386=TRUE,"Low quality","Benchmark")))</x:f>
        <x:v>High cost</x:v>
      </x:c>
    </x:row>
    <x:row r="387">
      <x:c r="A387" s="2" t="str">
        <x:v>060024</x:v>
      </x:c>
      <x:c r="B387" s="2" t="str">
        <x:v>UNIVERSITY OF COLORADO HOSPITAL AUTHORITY</x:v>
      </x:c>
      <x:c r="C387" s="2" t="str">
        <x:v>AURORA</x:v>
      </x:c>
      <x:c r="D387" s="2" t="str">
        <x:v>CO</x:v>
      </x:c>
      <x:c r="E387" s="2" t="str">
        <x:v>Acute Care Hospitals</x:v>
      </x:c>
      <x:c r="F387" s="2" t="str">
        <x:v>Government</x:v>
      </x:c>
      <x:c r="G387" s="2" t="str">
        <x:v>Large (300+ beds)</x:v>
      </x:c>
      <x:c r="H387" s="7" t="n">
        <x:v>5</x:v>
      </x:c>
      <x:c r="I387" s="7" t="n">
        <x:v>3</x:v>
      </x:c>
      <x:c r="J387" s="7" t="n">
        <x:v>0.96</x:v>
      </x:c>
      <x:c r="K387" s="8" t="n">
        <x:v>773</x:v>
      </x:c>
      <x:c r="L387" s="8" t="n">
        <x:v>36973</x:v>
      </x:c>
      <x:c r="M387" s="9" t="n">
        <x:v>0.8700269348</x:v>
      </x:c>
      <x:c r="N387" s="10" t="n">
        <x:v>83828.2733616423</x:v>
      </x:c>
      <x:c r="O387" s="9" t="n">
        <x:v>-0.0112261837</x:v>
      </x:c>
      <x:c r="P387" s="9" t="n">
        <x:v>0.9258675079</x:v>
      </x:c>
      <x:c r="Q387" s="9" t="n">
        <x:v>0.8722397476</x:v>
      </x:c>
      <x:c r="R387" s="3" t="b">
        <x:v>1</x:v>
      </x:c>
      <x:c r="S387" s="3" t="b">
        <x:v>0</x:v>
      </x:c>
      <x:c r="T387" s="3" t="b">
        <x:v>0</x:v>
      </x:c>
      <x:c r="U387" s="2" t="str">
        <x:f>IF(T387=TRUE,"Priority review",IF(R387=TRUE,"High cost",IF(S387=TRUE,"Low quality","Benchmark")))</x:f>
        <x:v>High cost</x:v>
      </x:c>
    </x:row>
    <x:row r="388">
      <x:c r="A388" s="2" t="str">
        <x:v>170013</x:v>
      </x:c>
      <x:c r="B388" s="2" t="str">
        <x:v>HAYS MEDICAL CENTER</x:v>
      </x:c>
      <x:c r="C388" s="2" t="str">
        <x:v>HAYS</x:v>
      </x:c>
      <x:c r="D388" s="2" t="str">
        <x:v>KS</x:v>
      </x:c>
      <x:c r="E388" s="2" t="str">
        <x:v>Acute Care Hospitals</x:v>
      </x:c>
      <x:c r="F388" s="2" t="str">
        <x:v>Voluntary non-profit</x:v>
      </x:c>
      <x:c r="G388" s="2" t="str">
        <x:v>Medium (100-299 beds)</x:v>
      </x:c>
      <x:c r="H388" s="7" t="n">
        <x:v>3</x:v>
      </x:c>
      <x:c r="I388" s="7" t="n">
        <x:v>3</x:v>
      </x:c>
      <x:c r="J388" s="7" t="n">
        <x:v>1.05</x:v>
      </x:c>
      <x:c r="K388" s="8" t="n">
        <x:v>111</x:v>
      </x:c>
      <x:c r="L388" s="8" t="n">
        <x:v>4340</x:v>
      </x:c>
      <x:c r="M388" s="9" t="n">
        <x:v>0.5115636184</x:v>
      </x:c>
      <x:c r="N388" s="10" t="n">
        <x:v>64369.8006912442</x:v>
      </x:c>
      <x:c r="O388" s="9" t="n">
        <x:v>-0.0959460688</x:v>
      </x:c>
      <x:c r="P388" s="9" t="n">
        <x:v>0.9258353708</x:v>
      </x:c>
      <x:c r="Q388" s="9" t="n">
        <x:v>0.3023634882</x:v>
      </x:c>
      <x:c r="R388" s="3" t="b">
        <x:v>1</x:v>
      </x:c>
      <x:c r="S388" s="3" t="b">
        <x:v>0</x:v>
      </x:c>
      <x:c r="T388" s="3" t="b">
        <x:v>0</x:v>
      </x:c>
      <x:c r="U388" s="2" t="str">
        <x:f>IF(T388=TRUE,"Priority review",IF(R388=TRUE,"High cost",IF(S388=TRUE,"Low quality","Benchmark")))</x:f>
        <x:v>High cost</x:v>
      </x:c>
    </x:row>
    <x:row r="389">
      <x:c r="A389" s="2" t="str">
        <x:v>241336</x:v>
      </x:c>
      <x:c r="B389" s="2" t="str">
        <x:v>KITTSON HEALTHCARE</x:v>
      </x:c>
      <x:c r="C389" s="2" t="str">
        <x:v>HALLOCK</x:v>
      </x:c>
      <x:c r="D389" s="2" t="str">
        <x:v>MN</x:v>
      </x:c>
      <x:c r="E389" s="2" t="str">
        <x:v>Critical Access Hospitals</x:v>
      </x:c>
      <x:c r="F389" s="2" t="str">
        <x:v>Voluntary non-profit</x:v>
      </x:c>
      <x:c r="G389" s="2" t="str">
        <x:v>Small (&lt;100 beds)</x:v>
      </x:c>
      <x:c r="H389" s="7"/>
      <x:c r="I389" s="7"/>
      <x:c r="J389" s="7"/>
      <x:c r="K389" s="8" t="n">
        <x:v>15</x:v>
      </x:c>
      <x:c r="L389" s="8" t="n">
        <x:v>43</x:v>
      </x:c>
      <x:c r="M389" s="9" t="n">
        <x:v>0.0378870674</x:v>
      </x:c>
      <x:c r="N389" s="10" t="n">
        <x:v>417987.5581395349</x:v>
      </x:c>
      <x:c r="O389" s="9" t="n">
        <x:v>-0.1578007521</x:v>
      </x:c>
      <x:c r="P389" s="9" t="n">
        <x:v>0.9256505576</x:v>
      </x:c>
      <x:c r="Q389" s="9" t="n">
        <x:v>0.292936803</x:v>
      </x:c>
      <x:c r="R389" s="3" t="b">
        <x:v>1</x:v>
      </x:c>
      <x:c r="S389" s="3" t="b">
        <x:v>0</x:v>
      </x:c>
      <x:c r="T389" s="3" t="b">
        <x:v>0</x:v>
      </x:c>
      <x:c r="U389" s="2" t="str">
        <x:f>IF(T389=TRUE,"Priority review",IF(R389=TRUE,"High cost",IF(S389=TRUE,"Low quality","Benchmark")))</x:f>
        <x:v>High cost</x:v>
      </x:c>
    </x:row>
    <x:row r="390">
      <x:c r="A390" s="2" t="str">
        <x:v>434003</x:v>
      </x:c>
      <x:c r="B390" s="2" t="str">
        <x:v>SOUTH DAKOTA HUMAN SERVICES CENTER</x:v>
      </x:c>
      <x:c r="C390" s="2" t="str">
        <x:v>YANKTON</x:v>
      </x:c>
      <x:c r="D390" s="2" t="str">
        <x:v>SD</x:v>
      </x:c>
      <x:c r="E390" s="2" t="str">
        <x:v>Psychiatric</x:v>
      </x:c>
      <x:c r="F390" s="2" t="str">
        <x:v>Government</x:v>
      </x:c>
      <x:c r="G390" s="2" t="str">
        <x:v>Small (&lt;100 beds)</x:v>
      </x:c>
      <x:c r="H390" s="7"/>
      <x:c r="I390" s="7"/>
      <x:c r="J390" s="7"/>
      <x:c r="K390" s="8" t="n">
        <x:v>68</x:v>
      </x:c>
      <x:c r="L390" s="8" t="n">
        <x:v>367</x:v>
      </x:c>
      <x:c r="M390" s="9" t="n">
        <x:v>0.3974617244</x:v>
      </x:c>
      <x:c r="N390" s="10" t="n">
        <x:v>180911.485013624</x:v>
      </x:c>
      <x:c r="O390" s="9" t="n">
        <x:v>0.0610684043</x:v>
      </x:c>
      <x:c r="P390" s="9" t="n">
        <x:v>0.925566343</x:v>
      </x:c>
      <x:c r="Q390" s="9" t="n">
        <x:v>0</x:v>
      </x:c>
      <x:c r="R390" s="3" t="b">
        <x:v>1</x:v>
      </x:c>
      <x:c r="S390" s="3" t="b">
        <x:v>0</x:v>
      </x:c>
      <x:c r="T390" s="3" t="b">
        <x:v>0</x:v>
      </x:c>
      <x:c r="U390" s="2" t="str">
        <x:f>IF(T390=TRUE,"Priority review",IF(R390=TRUE,"High cost",IF(S390=TRUE,"Low quality","Benchmark")))</x:f>
        <x:v>High cost</x:v>
      </x:c>
    </x:row>
    <x:row r="391">
      <x:c r="A391" s="2" t="str">
        <x:v>170194</x:v>
      </x:c>
      <x:c r="B391" s="2" t="str">
        <x:v>ASCENTIST HOSPITAL LLC</x:v>
      </x:c>
      <x:c r="C391" s="2" t="str">
        <x:v>LEAWOOD</x:v>
      </x:c>
      <x:c r="D391" s="2" t="str">
        <x:v>KS</x:v>
      </x:c>
      <x:c r="E391" s="2" t="str">
        <x:v>Acute Care Hospitals</x:v>
      </x:c>
      <x:c r="F391" s="2" t="str">
        <x:v>Proprietary</x:v>
      </x:c>
      <x:c r="G391" s="2" t="str">
        <x:v>Small (&lt;100 beds)</x:v>
      </x:c>
      <x:c r="H391" s="7"/>
      <x:c r="I391" s="7"/>
      <x:c r="J391" s="7" t="n">
        <x:v>0.97</x:v>
      </x:c>
      <x:c r="K391" s="8" t="n">
        <x:v>9</x:v>
      </x:c>
      <x:c r="L391" s="8" t="n">
        <x:v>213</x:v>
      </x:c>
      <x:c r="M391" s="9" t="n">
        <x:v>0.1399514268</x:v>
      </x:c>
      <x:c r="N391" s="10" t="n">
        <x:v>176705.4882629108</x:v>
      </x:c>
      <x:c r="O391" s="9" t="n">
        <x:v>-0.0241054603</x:v>
      </x:c>
      <x:c r="P391" s="9" t="n">
        <x:v>0.9254937163</x:v>
      </x:c>
      <x:c r="Q391" s="9" t="n">
        <x:v>0.697486535</x:v>
      </x:c>
      <x:c r="R391" s="3" t="b">
        <x:v>1</x:v>
      </x:c>
      <x:c r="S391" s="3" t="b">
        <x:v>0</x:v>
      </x:c>
      <x:c r="T391" s="3" t="b">
        <x:v>0</x:v>
      </x:c>
      <x:c r="U391" s="2" t="str">
        <x:f>IF(T391=TRUE,"Priority review",IF(R391=TRUE,"High cost",IF(S391=TRUE,"Low quality","Benchmark")))</x:f>
        <x:v>High cost</x:v>
      </x:c>
    </x:row>
    <x:row r="392">
      <x:c r="A392" s="2" t="str">
        <x:v>114029</x:v>
      </x:c>
      <x:c r="B392" s="2" t="str">
        <x:v>EAST CENTRAL REGIONAL HOSPITAL</x:v>
      </x:c>
      <x:c r="C392" s="2" t="str">
        <x:v>AUGUSTA</x:v>
      </x:c>
      <x:c r="D392" s="2" t="str">
        <x:v>GA</x:v>
      </x:c>
      <x:c r="E392" s="2" t="str">
        <x:v>Psychiatric</x:v>
      </x:c>
      <x:c r="F392" s="2" t="str">
        <x:v>Government</x:v>
      </x:c>
      <x:c r="G392" s="2" t="str">
        <x:v>Medium (100-299 beds)</x:v>
      </x:c>
      <x:c r="H392" s="7"/>
      <x:c r="I392" s="7"/>
      <x:c r="J392" s="7"/>
      <x:c r="K392" s="8" t="n">
        <x:v>110</x:v>
      </x:c>
      <x:c r="L392" s="8" t="n">
        <x:v>332</x:v>
      </x:c>
      <x:c r="M392" s="9" t="n">
        <x:v>0.6975591532</x:v>
      </x:c>
      <x:c r="N392" s="10" t="n">
        <x:v>368375.7771084337</x:v>
      </x:c>
      <x:c r="O392" s="9"/>
      <x:c r="P392" s="9" t="n">
        <x:v>0.9253731343</x:v>
      </x:c>
      <x:c r="Q392" s="9" t="n">
        <x:v>0</x:v>
      </x:c>
      <x:c r="R392" s="3" t="b">
        <x:v>1</x:v>
      </x:c>
      <x:c r="S392" s="3" t="b">
        <x:v>0</x:v>
      </x:c>
      <x:c r="T392" s="3" t="b">
        <x:v>0</x:v>
      </x:c>
      <x:c r="U392" s="2" t="str">
        <x:f>IF(T392=TRUE,"Priority review",IF(R392=TRUE,"High cost",IF(S392=TRUE,"Low quality","Benchmark")))</x:f>
        <x:v>High cost</x:v>
      </x:c>
    </x:row>
    <x:row r="393">
      <x:c r="A393" s="2" t="str">
        <x:v>050112</x:v>
      </x:c>
      <x:c r="B393" s="2" t="str">
        <x:v>SANTA MONICA - UCLA MED CTR &amp; ORTHOPAEDIC HOSPITAL</x:v>
      </x:c>
      <x:c r="C393" s="2" t="str">
        <x:v>SANTA MONICA</x:v>
      </x:c>
      <x:c r="D393" s="2" t="str">
        <x:v>CA</x:v>
      </x:c>
      <x:c r="E393" s="2" t="str">
        <x:v>Acute Care Hospitals</x:v>
      </x:c>
      <x:c r="F393" s="2" t="str">
        <x:v>Voluntary non-profit</x:v>
      </x:c>
      <x:c r="G393" s="2" t="str">
        <x:v>Medium (100-299 beds)</x:v>
      </x:c>
      <x:c r="H393" s="7" t="n">
        <x:v>5</x:v>
      </x:c>
      <x:c r="I393" s="7" t="n">
        <x:v>3</x:v>
      </x:c>
      <x:c r="J393" s="7" t="n">
        <x:v>1.01</x:v>
      </x:c>
      <x:c r="K393" s="8" t="n">
        <x:v>281</x:v>
      </x:c>
      <x:c r="L393" s="8" t="n">
        <x:v>13792</x:v>
      </x:c>
      <x:c r="M393" s="9" t="n">
        <x:v>0.8315799737</x:v>
      </x:c>
      <x:c r="N393" s="10" t="n">
        <x:v>64332.1510295824</x:v>
      </x:c>
      <x:c r="O393" s="9" t="n">
        <x:v>0.0851148613</x:v>
      </x:c>
      <x:c r="P393" s="9" t="n">
        <x:v>0.9250203749</x:v>
      </x:c>
      <x:c r="Q393" s="9" t="n">
        <x:v>0.8744906275</x:v>
      </x:c>
      <x:c r="R393" s="3" t="b">
        <x:v>1</x:v>
      </x:c>
      <x:c r="S393" s="3" t="b">
        <x:v>0</x:v>
      </x:c>
      <x:c r="T393" s="3" t="b">
        <x:v>0</x:v>
      </x:c>
      <x:c r="U393" s="2" t="str">
        <x:f>IF(T393=TRUE,"Priority review",IF(R393=TRUE,"High cost",IF(S393=TRUE,"Low quality","Benchmark")))</x:f>
        <x:v>High cost</x:v>
      </x:c>
    </x:row>
    <x:row r="394">
      <x:c r="A394" s="2" t="str">
        <x:v>061343</x:v>
      </x:c>
      <x:c r="B394" s="2" t="str">
        <x:v>KEEFE MEMORIAL HOSPITAL</x:v>
      </x:c>
      <x:c r="C394" s="2" t="str">
        <x:v>CHEYENNE WELLS</x:v>
      </x:c>
      <x:c r="D394" s="2" t="str">
        <x:v>CO</x:v>
      </x:c>
      <x:c r="E394" s="2" t="str">
        <x:v>Critical Access Hospitals</x:v>
      </x:c>
      <x:c r="F394" s="2" t="str">
        <x:v>Government</x:v>
      </x:c>
      <x:c r="G394" s="2" t="str">
        <x:v>Small (&lt;100 beds)</x:v>
      </x:c>
      <x:c r="H394" s="7"/>
      <x:c r="I394" s="7"/>
      <x:c r="J394" s="7"/>
      <x:c r="K394" s="8" t="n">
        <x:v>11</x:v>
      </x:c>
      <x:c r="L394" s="8" t="n">
        <x:v>40</x:v>
      </x:c>
      <x:c r="M394" s="9" t="n">
        <x:v>0.0986090412</x:v>
      </x:c>
      <x:c r="N394" s="10" t="n">
        <x:v>415875.45</x:v>
      </x:c>
      <x:c r="O394" s="9" t="n">
        <x:v>-0.2830749523</x:v>
      </x:c>
      <x:c r="P394" s="9" t="n">
        <x:v>0.9249070632</x:v>
      </x:c>
      <x:c r="Q394" s="9" t="n">
        <x:v>0.292936803</x:v>
      </x:c>
      <x:c r="R394" s="3" t="b">
        <x:v>1</x:v>
      </x:c>
      <x:c r="S394" s="3" t="b">
        <x:v>0</x:v>
      </x:c>
      <x:c r="T394" s="3" t="b">
        <x:v>0</x:v>
      </x:c>
      <x:c r="U394" s="2" t="str">
        <x:f>IF(T394=TRUE,"Priority review",IF(R394=TRUE,"High cost",IF(S394=TRUE,"Low quality","Benchmark")))</x:f>
        <x:v>High cost</x:v>
      </x:c>
    </x:row>
    <x:row r="395">
      <x:c r="A395" s="2" t="str">
        <x:v>370180</x:v>
      </x:c>
      <x:c r="B395" s="2" t="str">
        <x:v>CHICKASAW NATION MEDICAL CENTER</x:v>
      </x:c>
      <x:c r="C395" s="2" t="str">
        <x:v>ADA</x:v>
      </x:c>
      <x:c r="D395" s="2" t="str">
        <x:v>OK</x:v>
      </x:c>
      <x:c r="E395" s="2" t="str">
        <x:v>Acute Care Hospitals</x:v>
      </x:c>
      <x:c r="F395" s="2" t="str">
        <x:v>Other / unknown</x:v>
      </x:c>
      <x:c r="G395" s="2" t="str">
        <x:v>Small (&lt;100 beds)</x:v>
      </x:c>
      <x:c r="H395" s="7" t="n">
        <x:v>5</x:v>
      </x:c>
      <x:c r="I395" s="7" t="n">
        <x:v>4</x:v>
      </x:c>
      <x:c r="J395" s="7" t="n">
        <x:v>0.73</x:v>
      </x:c>
      <x:c r="K395" s="8" t="n">
        <x:v>72</x:v>
      </x:c>
      <x:c r="L395" s="8" t="n">
        <x:v>2299</x:v>
      </x:c>
      <x:c r="M395" s="9" t="n">
        <x:v>0.284228901</x:v>
      </x:c>
      <x:c r="N395" s="10" t="n">
        <x:v>174477.6463679861</x:v>
      </x:c>
      <x:c r="O395" s="9"/>
      <x:c r="P395" s="9" t="n">
        <x:v>0.9245960503</x:v>
      </x:c>
      <x:c r="Q395" s="9" t="n">
        <x:v>0.6131059246</x:v>
      </x:c>
      <x:c r="R395" s="3" t="b">
        <x:v>1</x:v>
      </x:c>
      <x:c r="S395" s="3" t="b">
        <x:v>0</x:v>
      </x:c>
      <x:c r="T395" s="3" t="b">
        <x:v>0</x:v>
      </x:c>
      <x:c r="U395" s="2" t="str">
        <x:f>IF(T395=TRUE,"Priority review",IF(R395=TRUE,"High cost",IF(S395=TRUE,"Low quality","Benchmark")))</x:f>
        <x:v>High cost</x:v>
      </x:c>
    </x:row>
    <x:row r="396">
      <x:c r="A396" s="2" t="str">
        <x:v>460009</x:v>
      </x:c>
      <x:c r="B396" s="2" t="str">
        <x:v>UNIVERSITY OF UTAH HOSPITAL AND CLINICS</x:v>
      </x:c>
      <x:c r="C396" s="2" t="str">
        <x:v>SALT LAKE CITY</x:v>
      </x:c>
      <x:c r="D396" s="2" t="str">
        <x:v>UT</x:v>
      </x:c>
      <x:c r="E396" s="2" t="str">
        <x:v>Acute Care Hospitals</x:v>
      </x:c>
      <x:c r="F396" s="2" t="str">
        <x:v>Government</x:v>
      </x:c>
      <x:c r="G396" s="2" t="str">
        <x:v>Large (300+ beds)</x:v>
      </x:c>
      <x:c r="H396" s="7" t="n">
        <x:v>5</x:v>
      </x:c>
      <x:c r="I396" s="7" t="n">
        <x:v>4</x:v>
      </x:c>
      <x:c r="J396" s="7" t="n">
        <x:v>1</x:v>
      </x:c>
      <x:c r="K396" s="8" t="n">
        <x:v>757</x:v>
      </x:c>
      <x:c r="L396" s="8" t="n">
        <x:v>41410</x:v>
      </x:c>
      <x:c r="M396" s="9" t="n">
        <x:v>0.8283646427</x:v>
      </x:c>
      <x:c r="N396" s="10" t="n">
        <x:v>83548.1779280367</x:v>
      </x:c>
      <x:c r="O396" s="9" t="n">
        <x:v>0.0342891071</x:v>
      </x:c>
      <x:c r="P396" s="9" t="n">
        <x:v>0.9242902208</x:v>
      </x:c>
      <x:c r="Q396" s="9" t="n">
        <x:v>0.8722397476</x:v>
      </x:c>
      <x:c r="R396" s="3" t="b">
        <x:v>1</x:v>
      </x:c>
      <x:c r="S396" s="3" t="b">
        <x:v>0</x:v>
      </x:c>
      <x:c r="T396" s="3" t="b">
        <x:v>0</x:v>
      </x:c>
      <x:c r="U396" s="2" t="str">
        <x:f>IF(T396=TRUE,"Priority review",IF(R396=TRUE,"High cost",IF(S396=TRUE,"Low quality","Benchmark")))</x:f>
        <x:v>High cost</x:v>
      </x:c>
    </x:row>
    <x:row r="397">
      <x:c r="A397" s="2" t="str">
        <x:v>320002</x:v>
      </x:c>
      <x:c r="B397" s="2" t="str">
        <x:v>CHRISTUS ST VINCENT REGIONAL MEDICAL CENTER</x:v>
      </x:c>
      <x:c r="C397" s="2" t="str">
        <x:v>SANTA FE</x:v>
      </x:c>
      <x:c r="D397" s="2" t="str">
        <x:v>NM</x:v>
      </x:c>
      <x:c r="E397" s="2" t="str">
        <x:v>Acute Care Hospitals</x:v>
      </x:c>
      <x:c r="F397" s="2" t="str">
        <x:v>Voluntary non-profit</x:v>
      </x:c>
      <x:c r="G397" s="2" t="str">
        <x:v>Medium (100-299 beds)</x:v>
      </x:c>
      <x:c r="H397" s="7" t="n">
        <x:v>4</x:v>
      </x:c>
      <x:c r="I397" s="7" t="n">
        <x:v>3</x:v>
      </x:c>
      <x:c r="J397" s="7" t="n">
        <x:v>0.93</x:v>
      </x:c>
      <x:c r="K397" s="8" t="n">
        <x:v>175</x:v>
      </x:c>
      <x:c r="L397" s="8" t="n">
        <x:v>10708</x:v>
      </x:c>
      <x:c r="M397" s="9" t="n">
        <x:v>0.7364089031</x:v>
      </x:c>
      <x:c r="N397" s="10" t="n">
        <x:v>64201.6486738887</x:v>
      </x:c>
      <x:c r="O397" s="9" t="n">
        <x:v>0.0264837127</x:v>
      </x:c>
      <x:c r="P397" s="9" t="n">
        <x:v>0.924205379</x:v>
      </x:c>
      <x:c r="Q397" s="9" t="n">
        <x:v>0.6022819886</x:v>
      </x:c>
      <x:c r="R397" s="3" t="b">
        <x:v>1</x:v>
      </x:c>
      <x:c r="S397" s="3" t="b">
        <x:v>0</x:v>
      </x:c>
      <x:c r="T397" s="3" t="b">
        <x:v>0</x:v>
      </x:c>
      <x:c r="U397" s="2" t="str">
        <x:f>IF(T397=TRUE,"Priority review",IF(R397=TRUE,"High cost",IF(S397=TRUE,"Low quality","Benchmark")))</x:f>
        <x:v>High cost</x:v>
      </x:c>
    </x:row>
    <x:row r="398">
      <x:c r="A398" s="2" t="str">
        <x:v>101312</x:v>
      </x:c>
      <x:c r="B398" s="2" t="str">
        <x:v>FISHERMEN'S COMMUNITY HOSPITAL</x:v>
      </x:c>
      <x:c r="C398" s="2" t="str">
        <x:v>MARATHON</x:v>
      </x:c>
      <x:c r="D398" s="2" t="str">
        <x:v>FL</x:v>
      </x:c>
      <x:c r="E398" s="2" t="str">
        <x:v>Critical Access Hospitals</x:v>
      </x:c>
      <x:c r="F398" s="2" t="str">
        <x:v>Voluntary non-profit</x:v>
      </x:c>
      <x:c r="G398" s="2" t="str">
        <x:v>Small (&lt;100 beds)</x:v>
      </x:c>
      <x:c r="H398" s="7"/>
      <x:c r="I398" s="7"/>
      <x:c r="J398" s="7"/>
      <x:c r="K398" s="8" t="n">
        <x:v>8</x:v>
      </x:c>
      <x:c r="L398" s="8" t="n">
        <x:v>118</x:v>
      </x:c>
      <x:c r="M398" s="9" t="n">
        <x:v>0.0823087432</x:v>
      </x:c>
      <x:c r="N398" s="10" t="n">
        <x:v>415249.1779661017</x:v>
      </x:c>
      <x:c r="O398" s="9" t="n">
        <x:v>0.2243628415</x:v>
      </x:c>
      <x:c r="P398" s="9" t="n">
        <x:v>0.9241635688</x:v>
      </x:c>
      <x:c r="Q398" s="9" t="n">
        <x:v>0.292936803</x:v>
      </x:c>
      <x:c r="R398" s="3" t="b">
        <x:v>1</x:v>
      </x:c>
      <x:c r="S398" s="3" t="b">
        <x:v>0</x:v>
      </x:c>
      <x:c r="T398" s="3" t="b">
        <x:v>0</x:v>
      </x:c>
      <x:c r="U398" s="2" t="str">
        <x:f>IF(T398=TRUE,"Priority review",IF(R398=TRUE,"High cost",IF(S398=TRUE,"Low quality","Benchmark")))</x:f>
        <x:v>High cost</x:v>
      </x:c>
    </x:row>
    <x:row r="399">
      <x:c r="A399" s="2" t="str">
        <x:v>430084</x:v>
      </x:c>
      <x:c r="B399" s="2" t="str">
        <x:v>PHS INDIAN HOSPITAL AT ROSEBUD</x:v>
      </x:c>
      <x:c r="C399" s="2" t="str">
        <x:v>ROSEBUD</x:v>
      </x:c>
      <x:c r="D399" s="2" t="str">
        <x:v>SD</x:v>
      </x:c>
      <x:c r="E399" s="2" t="str">
        <x:v>Acute Care Hospitals</x:v>
      </x:c>
      <x:c r="F399" s="2" t="str">
        <x:v>Government</x:v>
      </x:c>
      <x:c r="G399" s="2" t="str">
        <x:v>Small (&lt;100 beds)</x:v>
      </x:c>
      <x:c r="H399" s="7"/>
      <x:c r="I399" s="7"/>
      <x:c r="J399" s="7" t="n">
        <x:v>0.89</x:v>
      </x:c>
      <x:c r="K399" s="8" t="n">
        <x:v>35</x:v>
      </x:c>
      <x:c r="L399" s="8" t="n">
        <x:v>447</x:v>
      </x:c>
      <x:c r="M399" s="9" t="n">
        <x:v>0.1348165496</x:v>
      </x:c>
      <x:c r="N399" s="10" t="n">
        <x:v>173329.3825503356</x:v>
      </x:c>
      <x:c r="O399" s="9"/>
      <x:c r="P399" s="9" t="n">
        <x:v>0.9236983842</x:v>
      </x:c>
      <x:c r="Q399" s="9" t="n">
        <x:v>0.697486535</x:v>
      </x:c>
      <x:c r="R399" s="3" t="b">
        <x:v>1</x:v>
      </x:c>
      <x:c r="S399" s="3" t="b">
        <x:v>0</x:v>
      </x:c>
      <x:c r="T399" s="3" t="b">
        <x:v>0</x:v>
      </x:c>
      <x:c r="U399" s="2" t="str">
        <x:f>IF(T399=TRUE,"Priority review",IF(R399=TRUE,"High cost",IF(S399=TRUE,"Low quality","Benchmark")))</x:f>
        <x:v>High cost</x:v>
      </x:c>
    </x:row>
    <x:row r="400">
      <x:c r="A400" s="2" t="str">
        <x:v>061300</x:v>
      </x:c>
      <x:c r="B400" s="2" t="str">
        <x:v>WEISBROD MEMORIAL COUNTY HOSPITAL</x:v>
      </x:c>
      <x:c r="C400" s="2" t="str">
        <x:v>EADS</x:v>
      </x:c>
      <x:c r="D400" s="2" t="str">
        <x:v>CO</x:v>
      </x:c>
      <x:c r="E400" s="2" t="str">
        <x:v>Critical Access Hospitals</x:v>
      </x:c>
      <x:c r="F400" s="2" t="str">
        <x:v>Government</x:v>
      </x:c>
      <x:c r="G400" s="2" t="str">
        <x:v>Small (&lt;100 beds)</x:v>
      </x:c>
      <x:c r="H400" s="7"/>
      <x:c r="I400" s="7"/>
      <x:c r="J400" s="7"/>
      <x:c r="K400" s="8" t="n">
        <x:v>25</x:v>
      </x:c>
      <x:c r="L400" s="8" t="n">
        <x:v>28</x:v>
      </x:c>
      <x:c r="M400" s="9" t="n">
        <x:v>0.5355191257</x:v>
      </x:c>
      <x:c r="N400" s="10" t="n">
        <x:v>410583.75</x:v>
      </x:c>
      <x:c r="O400" s="9" t="n">
        <x:v>-0.5005999087</x:v>
      </x:c>
      <x:c r="P400" s="9" t="n">
        <x:v>0.9234200743</x:v>
      </x:c>
      <x:c r="Q400" s="9" t="n">
        <x:v>0.292936803</x:v>
      </x:c>
      <x:c r="R400" s="3" t="b">
        <x:v>1</x:v>
      </x:c>
      <x:c r="S400" s="3" t="b">
        <x:v>0</x:v>
      </x:c>
      <x:c r="T400" s="3" t="b">
        <x:v>0</x:v>
      </x:c>
      <x:c r="U400" s="2" t="str">
        <x:f>IF(T400=TRUE,"Priority review",IF(R400=TRUE,"High cost",IF(S400=TRUE,"Low quality","Benchmark")))</x:f>
        <x:v>High cost</x:v>
      </x:c>
    </x:row>
    <x:row r="401">
      <x:c r="A401" s="2" t="str">
        <x:v>320030</x:v>
      </x:c>
      <x:c r="B401" s="2" t="str">
        <x:v>ARTESIA GENERAL HOSPITAL</x:v>
      </x:c>
      <x:c r="C401" s="2" t="str">
        <x:v>ARTESIA</x:v>
      </x:c>
      <x:c r="D401" s="2" t="str">
        <x:v>NM</x:v>
      </x:c>
      <x:c r="E401" s="2" t="str">
        <x:v>Acute Care Hospitals</x:v>
      </x:c>
      <x:c r="F401" s="2" t="str">
        <x:v>Voluntary non-profit</x:v>
      </x:c>
      <x:c r="G401" s="2" t="str">
        <x:v>Small (&lt;100 beds)</x:v>
      </x:c>
      <x:c r="H401" s="7"/>
      <x:c r="I401" s="7"/>
      <x:c r="J401" s="7" t="n">
        <x:v>0.83</x:v>
      </x:c>
      <x:c r="K401" s="8" t="n">
        <x:v>20</x:v>
      </x:c>
      <x:c r="L401" s="8" t="n">
        <x:v>481</x:v>
      </x:c>
      <x:c r="M401" s="9" t="n">
        <x:v>0.1810958904</x:v>
      </x:c>
      <x:c r="N401" s="10" t="n">
        <x:v>172711.9397089397</x:v>
      </x:c>
      <x:c r="O401" s="9" t="n">
        <x:v>-0.1706818847</x:v>
      </x:c>
      <x:c r="P401" s="9" t="n">
        <x:v>0.9228007181</x:v>
      </x:c>
      <x:c r="Q401" s="9" t="n">
        <x:v>0.697486535</x:v>
      </x:c>
      <x:c r="R401" s="3" t="b">
        <x:v>1</x:v>
      </x:c>
      <x:c r="S401" s="3" t="b">
        <x:v>0</x:v>
      </x:c>
      <x:c r="T401" s="3" t="b">
        <x:v>0</x:v>
      </x:c>
      <x:c r="U401" s="2" t="str">
        <x:f>IF(T401=TRUE,"Priority review",IF(R401=TRUE,"High cost",IF(S401=TRUE,"Low quality","Benchmark")))</x:f>
        <x:v>High cost</x:v>
      </x:c>
    </x:row>
    <x:row r="402">
      <x:c r="A402" s="2" t="str">
        <x:v>351301</x:v>
      </x:c>
      <x:c r="B402" s="2" t="str">
        <x:v>MOUNTRAIL COUNTY MEDICAL CENTER INC</x:v>
      </x:c>
      <x:c r="C402" s="2" t="str">
        <x:v>STANLEY</x:v>
      </x:c>
      <x:c r="D402" s="2" t="str">
        <x:v>ND</x:v>
      </x:c>
      <x:c r="E402" s="2" t="str">
        <x:v>Critical Access Hospitals</x:v>
      </x:c>
      <x:c r="F402" s="2" t="str">
        <x:v>Voluntary non-profit</x:v>
      </x:c>
      <x:c r="G402" s="2" t="str">
        <x:v>Small (&lt;100 beds)</x:v>
      </x:c>
      <x:c r="H402" s="7"/>
      <x:c r="I402" s="7"/>
      <x:c r="J402" s="7"/>
      <x:c r="K402" s="8" t="n">
        <x:v>11</x:v>
      </x:c>
      <x:c r="L402" s="8" t="n">
        <x:v>43</x:v>
      </x:c>
      <x:c r="M402" s="9" t="n">
        <x:v>0.1850560399</x:v>
      </x:c>
      <x:c r="N402" s="10" t="n">
        <x:v>409848.3023255814</x:v>
      </x:c>
      <x:c r="O402" s="9" t="n">
        <x:v>-0.0718485856</x:v>
      </x:c>
      <x:c r="P402" s="9" t="n">
        <x:v>0.9226765799</x:v>
      </x:c>
      <x:c r="Q402" s="9" t="n">
        <x:v>0.292936803</x:v>
      </x:c>
      <x:c r="R402" s="3" t="b">
        <x:v>1</x:v>
      </x:c>
      <x:c r="S402" s="3" t="b">
        <x:v>0</x:v>
      </x:c>
      <x:c r="T402" s="3" t="b">
        <x:v>0</x:v>
      </x:c>
      <x:c r="U402" s="2" t="str">
        <x:f>IF(T402=TRUE,"Priority review",IF(R402=TRUE,"High cost",IF(S402=TRUE,"Low quality","Benchmark")))</x:f>
        <x:v>High cost</x:v>
      </x:c>
    </x:row>
    <x:row r="403">
      <x:c r="A403" s="2" t="str">
        <x:v>330047</x:v>
      </x:c>
      <x:c r="B403" s="2" t="str">
        <x:v>St Marys Healthcare</x:v>
      </x:c>
      <x:c r="C403" s="2" t="str">
        <x:v>AMSTERDAM</x:v>
      </x:c>
      <x:c r="D403" s="2" t="str">
        <x:v>NY</x:v>
      </x:c>
      <x:c r="E403" s="2" t="str">
        <x:v>Acute Care Hospitals</x:v>
      </x:c>
      <x:c r="F403" s="2" t="str">
        <x:v>Voluntary non-profit</x:v>
      </x:c>
      <x:c r="G403" s="2" t="str">
        <x:v>Medium (100-299 beds)</x:v>
      </x:c>
      <x:c r="H403" s="7" t="n">
        <x:v>3</x:v>
      </x:c>
      <x:c r="I403" s="7" t="n">
        <x:v>3</x:v>
      </x:c>
      <x:c r="J403" s="7" t="n">
        <x:v>1.07</x:v>
      </x:c>
      <x:c r="K403" s="8" t="n">
        <x:v>100</x:v>
      </x:c>
      <x:c r="L403" s="8" t="n">
        <x:v>3308</x:v>
      </x:c>
      <x:c r="M403" s="9" t="n">
        <x:v>0.5266849315</x:v>
      </x:c>
      <x:c r="N403" s="10" t="n">
        <x:v>64044.3231559855</x:v>
      </x:c>
      <x:c r="O403" s="9" t="n">
        <x:v>-0.2191587177</x:v>
      </x:c>
      <x:c r="P403" s="9" t="n">
        <x:v>0.9225753871</x:v>
      </x:c>
      <x:c r="Q403" s="9" t="n">
        <x:v>0.3023634882</x:v>
      </x:c>
      <x:c r="R403" s="3" t="b">
        <x:v>1</x:v>
      </x:c>
      <x:c r="S403" s="3" t="b">
        <x:v>0</x:v>
      </x:c>
      <x:c r="T403" s="3" t="b">
        <x:v>0</x:v>
      </x:c>
      <x:c r="U403" s="2" t="str">
        <x:f>IF(T403=TRUE,"Priority review",IF(R403=TRUE,"High cost",IF(S403=TRUE,"Low quality","Benchmark")))</x:f>
        <x:v>High cost</x:v>
      </x:c>
    </x:row>
    <x:row r="404">
      <x:c r="A404" s="2" t="str">
        <x:v>154020</x:v>
      </x:c>
      <x:c r="B404" s="2" t="str">
        <x:v>REGIONAL MENTAL HEALTH CENTER</x:v>
      </x:c>
      <x:c r="C404" s="2" t="str">
        <x:v>MERRILLVILLE</x:v>
      </x:c>
      <x:c r="D404" s="2" t="str">
        <x:v>IN</x:v>
      </x:c>
      <x:c r="E404" s="2" t="str">
        <x:v>Psychiatric</x:v>
      </x:c>
      <x:c r="F404" s="2" t="str">
        <x:v>Voluntary non-profit</x:v>
      </x:c>
      <x:c r="G404" s="2" t="str">
        <x:v>Small (&lt;100 beds)</x:v>
      </x:c>
      <x:c r="H404" s="7"/>
      <x:c r="I404" s="7"/>
      <x:c r="J404" s="7"/>
      <x:c r="K404" s="8" t="n">
        <x:v>16</x:v>
      </x:c>
      <x:c r="L404" s="8" t="n">
        <x:v>258</x:v>
      </x:c>
      <x:c r="M404" s="9" t="n">
        <x:v>0.2436643836</x:v>
      </x:c>
      <x:c r="N404" s="10" t="n">
        <x:v>180477.988372093</x:v>
      </x:c>
      <x:c r="O404" s="9" t="n">
        <x:v>-1.2542243359</x:v>
      </x:c>
      <x:c r="P404" s="9" t="n">
        <x:v>0.9223300971</x:v>
      </x:c>
      <x:c r="Q404" s="9" t="n">
        <x:v>0</x:v>
      </x:c>
      <x:c r="R404" s="3" t="b">
        <x:v>1</x:v>
      </x:c>
      <x:c r="S404" s="3" t="b">
        <x:v>0</x:v>
      </x:c>
      <x:c r="T404" s="3" t="b">
        <x:v>0</x:v>
      </x:c>
      <x:c r="U404" s="2" t="str">
        <x:f>IF(T404=TRUE,"Priority review",IF(R404=TRUE,"High cost",IF(S404=TRUE,"Low quality","Benchmark")))</x:f>
        <x:v>High cost</x:v>
      </x:c>
    </x:row>
    <x:row r="405">
      <x:c r="A405" s="2" t="str">
        <x:v>161333</x:v>
      </x:c>
      <x:c r="B405" s="2" t="str">
        <x:v>STORY COUNTY HOSPITAL</x:v>
      </x:c>
      <x:c r="C405" s="2" t="str">
        <x:v>NEVADA</x:v>
      </x:c>
      <x:c r="D405" s="2" t="str">
        <x:v>IA</x:v>
      </x:c>
      <x:c r="E405" s="2" t="str">
        <x:v>Critical Access Hospitals</x:v>
      </x:c>
      <x:c r="F405" s="2" t="str">
        <x:v>Government</x:v>
      </x:c>
      <x:c r="G405" s="2" t="str">
        <x:v>Small (&lt;100 beds)</x:v>
      </x:c>
      <x:c r="H405" s="7"/>
      <x:c r="I405" s="7"/>
      <x:c r="J405" s="7"/>
      <x:c r="K405" s="8" t="n">
        <x:v>17</x:v>
      </x:c>
      <x:c r="L405" s="8" t="n">
        <x:v>87</x:v>
      </x:c>
      <x:c r="M405" s="9" t="n">
        <x:v>0.3405318292</x:v>
      </x:c>
      <x:c r="N405" s="10" t="n">
        <x:v>399281.8505747126</x:v>
      </x:c>
      <x:c r="O405" s="9" t="n">
        <x:v>0.0068605844</x:v>
      </x:c>
      <x:c r="P405" s="9" t="n">
        <x:v>0.9219330855</x:v>
      </x:c>
      <x:c r="Q405" s="9" t="n">
        <x:v>0.292936803</x:v>
      </x:c>
      <x:c r="R405" s="3" t="b">
        <x:v>1</x:v>
      </x:c>
      <x:c r="S405" s="3" t="b">
        <x:v>0</x:v>
      </x:c>
      <x:c r="T405" s="3" t="b">
        <x:v>0</x:v>
      </x:c>
      <x:c r="U405" s="2" t="str">
        <x:f>IF(T405=TRUE,"Priority review",IF(R405=TRUE,"High cost",IF(S405=TRUE,"Low quality","Benchmark")))</x:f>
        <x:v>High cost</x:v>
      </x:c>
    </x:row>
    <x:row r="406">
      <x:c r="A406" s="2" t="str">
        <x:v>450888</x:v>
      </x:c>
      <x:c r="B406" s="2" t="str">
        <x:v>TEXAS HEALTH HARRIS METHODIST HOSPITAL SOUTHLAKE</x:v>
      </x:c>
      <x:c r="C406" s="2" t="str">
        <x:v>SOUTHLAKE</x:v>
      </x:c>
      <x:c r="D406" s="2" t="str">
        <x:v>TX</x:v>
      </x:c>
      <x:c r="E406" s="2" t="str">
        <x:v>Acute Care Hospitals</x:v>
      </x:c>
      <x:c r="F406" s="2" t="str">
        <x:v>Proprietary</x:v>
      </x:c>
      <x:c r="G406" s="2" t="str">
        <x:v>Small (&lt;100 beds)</x:v>
      </x:c>
      <x:c r="H406" s="7"/>
      <x:c r="I406" s="7" t="n">
        <x:v>4</x:v>
      </x:c>
      <x:c r="J406" s="7" t="n">
        <x:v>0.9</x:v>
      </x:c>
      <x:c r="K406" s="8" t="n">
        <x:v>17</x:v>
      </x:c>
      <x:c r="L406" s="8" t="n">
        <x:v>385</x:v>
      </x:c>
      <x:c r="M406" s="9" t="n">
        <x:v>0.1043072967</x:v>
      </x:c>
      <x:c r="N406" s="10" t="n">
        <x:v>172250.0909090909</x:v>
      </x:c>
      <x:c r="O406" s="9" t="n">
        <x:v>0.1020183282</x:v>
      </x:c>
      <x:c r="P406" s="9" t="n">
        <x:v>0.9219030521</x:v>
      </x:c>
      <x:c r="Q406" s="9" t="n">
        <x:v>0.697486535</x:v>
      </x:c>
      <x:c r="R406" s="3" t="b">
        <x:v>1</x:v>
      </x:c>
      <x:c r="S406" s="3" t="b">
        <x:v>0</x:v>
      </x:c>
      <x:c r="T406" s="3" t="b">
        <x:v>0</x:v>
      </x:c>
      <x:c r="U406" s="2" t="str">
        <x:f>IF(T406=TRUE,"Priority review",IF(R406=TRUE,"High cost",IF(S406=TRUE,"Low quality","Benchmark")))</x:f>
        <x:v>High cost</x:v>
      </x:c>
    </x:row>
    <x:row r="407">
      <x:c r="A407" s="2" t="str">
        <x:v>050510</x:v>
      </x:c>
      <x:c r="B407" s="2" t="str">
        <x:v>KAISER FOUNDATION HOSPITAL</x:v>
      </x:c>
      <x:c r="C407" s="2" t="str">
        <x:v>SAN RAFAEL</x:v>
      </x:c>
      <x:c r="D407" s="2" t="str">
        <x:v>CA</x:v>
      </x:c>
      <x:c r="E407" s="2" t="str">
        <x:v>Acute Care Hospitals</x:v>
      </x:c>
      <x:c r="F407" s="2" t="str">
        <x:v>Voluntary non-profit</x:v>
      </x:c>
      <x:c r="G407" s="2" t="str">
        <x:v>Medium (100-299 beds)</x:v>
      </x:c>
      <x:c r="H407" s="7" t="n">
        <x:v>4</x:v>
      </x:c>
      <x:c r="I407" s="7" t="n">
        <x:v>3</x:v>
      </x:c>
      <x:c r="J407" s="7" t="n">
        <x:v>0.9</x:v>
      </x:c>
      <x:c r="K407" s="8" t="n">
        <x:v>107</x:v>
      </x:c>
      <x:c r="L407" s="8" t="n">
        <x:v>4824</x:v>
      </x:c>
      <x:c r="M407" s="9" t="n">
        <x:v>0.5153465094</x:v>
      </x:c>
      <x:c r="N407" s="10" t="n">
        <x:v>63986.2595356551</x:v>
      </x:c>
      <x:c r="O407" s="9" t="n">
        <x:v>-0.2249725976</x:v>
      </x:c>
      <x:c r="P407" s="9" t="n">
        <x:v>0.9217603912</x:v>
      </x:c>
      <x:c r="Q407" s="9" t="n">
        <x:v>0.6022819886</x:v>
      </x:c>
      <x:c r="R407" s="3" t="b">
        <x:v>1</x:v>
      </x:c>
      <x:c r="S407" s="3" t="b">
        <x:v>0</x:v>
      </x:c>
      <x:c r="T407" s="3" t="b">
        <x:v>0</x:v>
      </x:c>
      <x:c r="U407" s="2" t="str">
        <x:f>IF(T407=TRUE,"Priority review",IF(R407=TRUE,"High cost",IF(S407=TRUE,"Low quality","Benchmark")))</x:f>
        <x:v>High cost</x:v>
      </x:c>
    </x:row>
    <x:row r="408">
      <x:c r="A408" s="2" t="str">
        <x:v>281307</x:v>
      </x:c>
      <x:c r="B408" s="2" t="str">
        <x:v>SAUNDERS MEDICAL CENTER</x:v>
      </x:c>
      <x:c r="C408" s="2" t="str">
        <x:v>WAHOO</x:v>
      </x:c>
      <x:c r="D408" s="2" t="str">
        <x:v>NE</x:v>
      </x:c>
      <x:c r="E408" s="2" t="str">
        <x:v>Critical Access Hospitals</x:v>
      </x:c>
      <x:c r="F408" s="2" t="str">
        <x:v>Government</x:v>
      </x:c>
      <x:c r="G408" s="2" t="str">
        <x:v>Small (&lt;100 beds)</x:v>
      </x:c>
      <x:c r="H408" s="7"/>
      <x:c r="I408" s="7"/>
      <x:c r="J408" s="7"/>
      <x:c r="K408" s="8" t="n">
        <x:v>16</x:v>
      </x:c>
      <x:c r="L408" s="8" t="n">
        <x:v>104</x:v>
      </x:c>
      <x:c r="M408" s="9" t="n">
        <x:v>0.0914383562</x:v>
      </x:c>
      <x:c r="N408" s="10" t="n">
        <x:v>394247.4326923077</x:v>
      </x:c>
      <x:c r="O408" s="9" t="n">
        <x:v>0.0465414602</x:v>
      </x:c>
      <x:c r="P408" s="9" t="n">
        <x:v>0.9211895911</x:v>
      </x:c>
      <x:c r="Q408" s="9" t="n">
        <x:v>0.292936803</x:v>
      </x:c>
      <x:c r="R408" s="3" t="b">
        <x:v>1</x:v>
      </x:c>
      <x:c r="S408" s="3" t="b">
        <x:v>0</x:v>
      </x:c>
      <x:c r="T408" s="3" t="b">
        <x:v>0</x:v>
      </x:c>
      <x:c r="U408" s="2" t="str">
        <x:f>IF(T408=TRUE,"Priority review",IF(R408=TRUE,"High cost",IF(S408=TRUE,"Low quality","Benchmark")))</x:f>
        <x:v>High cost</x:v>
      </x:c>
    </x:row>
    <x:row r="409">
      <x:c r="A409" s="2" t="str">
        <x:v>500008</x:v>
      </x:c>
      <x:c r="B409" s="2" t="str">
        <x:v>UNIVERSITY OF WASHINGTON MEDICAL CTR</x:v>
      </x:c>
      <x:c r="C409" s="2" t="str">
        <x:v>SEATTLE</x:v>
      </x:c>
      <x:c r="D409" s="2" t="str">
        <x:v>WA</x:v>
      </x:c>
      <x:c r="E409" s="2" t="str">
        <x:v>Acute Care Hospitals</x:v>
      </x:c>
      <x:c r="F409" s="2" t="str">
        <x:v>Government</x:v>
      </x:c>
      <x:c r="G409" s="2" t="str">
        <x:v>Large (300+ beds)</x:v>
      </x:c>
      <x:c r="H409" s="7" t="n">
        <x:v>4</x:v>
      </x:c>
      <x:c r="I409" s="7" t="n">
        <x:v>4</x:v>
      </x:c>
      <x:c r="J409" s="7" t="n">
        <x:v>0.97</x:v>
      </x:c>
      <x:c r="K409" s="8" t="n">
        <x:v>652</x:v>
      </x:c>
      <x:c r="L409" s="8" t="n">
        <x:v>33580</x:v>
      </x:c>
      <x:c r="M409" s="9" t="n">
        <x:v>0.8508446088</x:v>
      </x:c>
      <x:c r="N409" s="10" t="n">
        <x:v>82687.5069982132</x:v>
      </x:c>
      <x:c r="O409" s="9" t="n">
        <x:v>-0.0812397683</x:v>
      </x:c>
      <x:c r="P409" s="9" t="n">
        <x:v>0.9211356467</x:v>
      </x:c>
      <x:c r="Q409" s="9" t="n">
        <x:v>0.5899053628</x:v>
      </x:c>
      <x:c r="R409" s="3" t="b">
        <x:v>1</x:v>
      </x:c>
      <x:c r="S409" s="3" t="b">
        <x:v>0</x:v>
      </x:c>
      <x:c r="T409" s="3" t="b">
        <x:v>0</x:v>
      </x:c>
      <x:c r="U409" s="2" t="str">
        <x:f>IF(T409=TRUE,"Priority review",IF(R409=TRUE,"High cost",IF(S409=TRUE,"Low quality","Benchmark")))</x:f>
        <x:v>High cost</x:v>
      </x:c>
    </x:row>
    <x:row r="410">
      <x:c r="A410" s="2" t="str">
        <x:v>320059</x:v>
      </x:c>
      <x:c r="B410" s="2" t="str">
        <x:v>NORTHERN NAVAJO MEDICAL CENTER</x:v>
      </x:c>
      <x:c r="C410" s="2" t="str">
        <x:v>SHIPROCK</x:v>
      </x:c>
      <x:c r="D410" s="2" t="str">
        <x:v>NM</x:v>
      </x:c>
      <x:c r="E410" s="2" t="str">
        <x:v>Acute Care Hospitals</x:v>
      </x:c>
      <x:c r="F410" s="2" t="str">
        <x:v>Government</x:v>
      </x:c>
      <x:c r="G410" s="2" t="str">
        <x:v>Small (&lt;100 beds)</x:v>
      </x:c>
      <x:c r="H410" s="7" t="n">
        <x:v>3</x:v>
      </x:c>
      <x:c r="I410" s="7" t="n">
        <x:v>3</x:v>
      </x:c>
      <x:c r="J410" s="7" t="n">
        <x:v>0.94</x:v>
      </x:c>
      <x:c r="K410" s="8" t="n">
        <x:v>60</x:v>
      </x:c>
      <x:c r="L410" s="8" t="n">
        <x:v>1662</x:v>
      </x:c>
      <x:c r="M410" s="9" t="n">
        <x:v>0.3061930783</x:v>
      </x:c>
      <x:c r="N410" s="10" t="n">
        <x:v>170412.5716004813</x:v>
      </x:c>
      <x:c r="O410" s="9"/>
      <x:c r="P410" s="9" t="n">
        <x:v>0.921005386</x:v>
      </x:c>
      <x:c r="Q410" s="9" t="n">
        <x:v>0.1687612208</x:v>
      </x:c>
      <x:c r="R410" s="3" t="b">
        <x:v>1</x:v>
      </x:c>
      <x:c r="S410" s="3" t="b">
        <x:v>0</x:v>
      </x:c>
      <x:c r="T410" s="3" t="b">
        <x:v>0</x:v>
      </x:c>
      <x:c r="U410" s="2" t="str">
        <x:f>IF(T410=TRUE,"Priority review",IF(R410=TRUE,"High cost",IF(S410=TRUE,"Low quality","Benchmark")))</x:f>
        <x:v>High cost</x:v>
      </x:c>
    </x:row>
    <x:row r="411">
      <x:c r="A411" s="2" t="str">
        <x:v>260186</x:v>
      </x:c>
      <x:c r="B411" s="2" t="str">
        <x:v>LAKE REGIONAL HEALTH SYSTEM</x:v>
      </x:c>
      <x:c r="C411" s="2" t="str">
        <x:v>OSAGE BEACH</x:v>
      </x:c>
      <x:c r="D411" s="2" t="str">
        <x:v>MO</x:v>
      </x:c>
      <x:c r="E411" s="2" t="str">
        <x:v>Acute Care Hospitals</x:v>
      </x:c>
      <x:c r="F411" s="2" t="str">
        <x:v>Voluntary non-profit</x:v>
      </x:c>
      <x:c r="G411" s="2" t="str">
        <x:v>Medium (100-299 beds)</x:v>
      </x:c>
      <x:c r="H411" s="7" t="n">
        <x:v>3</x:v>
      </x:c>
      <x:c r="I411" s="7" t="n">
        <x:v>4</x:v>
      </x:c>
      <x:c r="J411" s="7" t="n">
        <x:v>0.98</x:v>
      </x:c>
      <x:c r="K411" s="8" t="n">
        <x:v>105</x:v>
      </x:c>
      <x:c r="L411" s="8" t="n">
        <x:v>4165</x:v>
      </x:c>
      <x:c r="M411" s="9" t="n">
        <x:v>0.4627005871</x:v>
      </x:c>
      <x:c r="N411" s="10" t="n">
        <x:v>63885.2088835534</x:v>
      </x:c>
      <x:c r="O411" s="9"/>
      <x:c r="P411" s="9" t="n">
        <x:v>0.9209453953</x:v>
      </x:c>
      <x:c r="Q411" s="9" t="n">
        <x:v>0.3023634882</x:v>
      </x:c>
      <x:c r="R411" s="3" t="b">
        <x:v>1</x:v>
      </x:c>
      <x:c r="S411" s="3" t="b">
        <x:v>0</x:v>
      </x:c>
      <x:c r="T411" s="3" t="b">
        <x:v>0</x:v>
      </x:c>
      <x:c r="U411" s="2" t="str">
        <x:f>IF(T411=TRUE,"Priority review",IF(R411=TRUE,"High cost",IF(S411=TRUE,"Low quality","Benchmark")))</x:f>
        <x:v>High cost</x:v>
      </x:c>
    </x:row>
    <x:row r="412">
      <x:c r="A412" s="2" t="str">
        <x:v>161335</x:v>
      </x:c>
      <x:c r="B412" s="2" t="str">
        <x:v>BUCHANAN COUNTY HEALTH CENTER</x:v>
      </x:c>
      <x:c r="C412" s="2" t="str">
        <x:v>INDEPENDENCE</x:v>
      </x:c>
      <x:c r="D412" s="2" t="str">
        <x:v>IA</x:v>
      </x:c>
      <x:c r="E412" s="2" t="str">
        <x:v>Critical Access Hospitals</x:v>
      </x:c>
      <x:c r="F412" s="2" t="str">
        <x:v>Voluntary non-profit</x:v>
      </x:c>
      <x:c r="G412" s="2" t="str">
        <x:v>Small (&lt;100 beds)</x:v>
      </x:c>
      <x:c r="H412" s="7"/>
      <x:c r="I412" s="7"/>
      <x:c r="J412" s="7"/>
      <x:c r="K412" s="8" t="n">
        <x:v>25</x:v>
      </x:c>
      <x:c r="L412" s="8" t="n">
        <x:v>163</x:v>
      </x:c>
      <x:c r="M412" s="9" t="n">
        <x:v>0.0795616438</x:v>
      </x:c>
      <x:c r="N412" s="10" t="n">
        <x:v>394130.7055214724</x:v>
      </x:c>
      <x:c r="O412" s="9" t="n">
        <x:v>0.0135569973</x:v>
      </x:c>
      <x:c r="P412" s="9" t="n">
        <x:v>0.9204460967</x:v>
      </x:c>
      <x:c r="Q412" s="9" t="n">
        <x:v>0.292936803</x:v>
      </x:c>
      <x:c r="R412" s="3" t="b">
        <x:v>1</x:v>
      </x:c>
      <x:c r="S412" s="3" t="b">
        <x:v>0</x:v>
      </x:c>
      <x:c r="T412" s="3" t="b">
        <x:v>0</x:v>
      </x:c>
      <x:c r="U412" s="2" t="str">
        <x:f>IF(T412=TRUE,"Priority review",IF(R412=TRUE,"High cost",IF(S412=TRUE,"Low quality","Benchmark")))</x:f>
        <x:v>High cost</x:v>
      </x:c>
    </x:row>
    <x:row r="413">
      <x:c r="A413" s="2" t="str">
        <x:v>144016</x:v>
      </x:c>
      <x:c r="B413" s="2" t="str">
        <x:v>ALTON MENTAL HEALTH CENTER</x:v>
      </x:c>
      <x:c r="C413" s="2" t="str">
        <x:v>ALTON</x:v>
      </x:c>
      <x:c r="D413" s="2" t="str">
        <x:v>IL</x:v>
      </x:c>
      <x:c r="E413" s="2" t="str">
        <x:v>Psychiatric</x:v>
      </x:c>
      <x:c r="F413" s="2" t="str">
        <x:v>Government</x:v>
      </x:c>
      <x:c r="G413" s="2" t="str">
        <x:v>Medium (100-299 beds)</x:v>
      </x:c>
      <x:c r="H413" s="7"/>
      <x:c r="I413" s="7"/>
      <x:c r="J413" s="7"/>
      <x:c r="K413" s="8" t="n">
        <x:v>134</x:v>
      </x:c>
      <x:c r="L413" s="8" t="n">
        <x:v>90</x:v>
      </x:c>
      <x:c r="M413" s="9" t="n">
        <x:v>0.9278810864</x:v>
      </x:c>
      <x:c r="N413" s="10" t="n">
        <x:v>355768.1666666667</x:v>
      </x:c>
      <x:c r="O413" s="9"/>
      <x:c r="P413" s="9" t="n">
        <x:v>0.92039801</x:v>
      </x:c>
      <x:c r="Q413" s="9" t="n">
        <x:v>0</x:v>
      </x:c>
      <x:c r="R413" s="3" t="b">
        <x:v>1</x:v>
      </x:c>
      <x:c r="S413" s="3" t="b">
        <x:v>0</x:v>
      </x:c>
      <x:c r="T413" s="3" t="b">
        <x:v>0</x:v>
      </x:c>
      <x:c r="U413" s="2" t="str">
        <x:f>IF(T413=TRUE,"Priority review",IF(R413=TRUE,"High cost",IF(S413=TRUE,"Low quality","Benchmark")))</x:f>
        <x:v>High cost</x:v>
      </x:c>
    </x:row>
    <x:row r="414">
      <x:c r="A414" s="2" t="str">
        <x:v>380017</x:v>
      </x:c>
      <x:c r="B414" s="2" t="str">
        <x:v>LEGACY GOOD SAMARITAN MEDICAL CENTER</x:v>
      </x:c>
      <x:c r="C414" s="2" t="str">
        <x:v>PORTLAND</x:v>
      </x:c>
      <x:c r="D414" s="2" t="str">
        <x:v>OR</x:v>
      </x:c>
      <x:c r="E414" s="2" t="str">
        <x:v>Acute Care Hospitals</x:v>
      </x:c>
      <x:c r="F414" s="2" t="str">
        <x:v>Voluntary non-profit</x:v>
      </x:c>
      <x:c r="G414" s="2" t="str">
        <x:v>Medium (100-299 beds)</x:v>
      </x:c>
      <x:c r="H414" s="7" t="n">
        <x:v>4</x:v>
      </x:c>
      <x:c r="I414" s="7" t="n">
        <x:v>4</x:v>
      </x:c>
      <x:c r="J414" s="7" t="n">
        <x:v>0.96</x:v>
      </x:c>
      <x:c r="K414" s="8" t="n">
        <x:v>176</x:v>
      </x:c>
      <x:c r="L414" s="8" t="n">
        <x:v>7921</x:v>
      </x:c>
      <x:c r="M414" s="9" t="n">
        <x:v>0.5727739726</x:v>
      </x:c>
      <x:c r="N414" s="10" t="n">
        <x:v>63860.3115768211</x:v>
      </x:c>
      <x:c r="O414" s="9" t="n">
        <x:v>-0.0728724903</x:v>
      </x:c>
      <x:c r="P414" s="9" t="n">
        <x:v>0.9201303993</x:v>
      </x:c>
      <x:c r="Q414" s="9" t="n">
        <x:v>0.6022819886</x:v>
      </x:c>
      <x:c r="R414" s="3" t="b">
        <x:v>1</x:v>
      </x:c>
      <x:c r="S414" s="3" t="b">
        <x:v>0</x:v>
      </x:c>
      <x:c r="T414" s="3" t="b">
        <x:v>0</x:v>
      </x:c>
      <x:c r="U414" s="2" t="str">
        <x:f>IF(T414=TRUE,"Priority review",IF(R414=TRUE,"High cost",IF(S414=TRUE,"Low quality","Benchmark")))</x:f>
        <x:v>High cost</x:v>
      </x:c>
    </x:row>
    <x:row r="415">
      <x:c r="A415" s="2" t="str">
        <x:v>150167</x:v>
      </x:c>
      <x:c r="B415" s="2" t="str">
        <x:v>ORTHOPAEDIC HOSPITAL AT PARKVIEW NORTH</x:v>
      </x:c>
      <x:c r="C415" s="2" t="str">
        <x:v>FORT WAYNE</x:v>
      </x:c>
      <x:c r="D415" s="2" t="str">
        <x:v>IN</x:v>
      </x:c>
      <x:c r="E415" s="2" t="str">
        <x:v>Acute Care Hospitals</x:v>
      </x:c>
      <x:c r="F415" s="2" t="str">
        <x:v>Voluntary non-profit</x:v>
      </x:c>
      <x:c r="G415" s="2" t="str">
        <x:v>Small (&lt;100 beds)</x:v>
      </x:c>
      <x:c r="H415" s="7"/>
      <x:c r="I415" s="7" t="n">
        <x:v>4</x:v>
      </x:c>
      <x:c r="J415" s="7" t="n">
        <x:v>0.9</x:v>
      </x:c>
      <x:c r="K415" s="8" t="n">
        <x:v>37</x:v>
      </x:c>
      <x:c r="L415" s="8" t="n">
        <x:v>690</x:v>
      </x:c>
      <x:c r="M415" s="9" t="n">
        <x:v>0.095333038</x:v>
      </x:c>
      <x:c r="N415" s="10" t="n">
        <x:v>169159.5507246377</x:v>
      </x:c>
      <x:c r="O415" s="9" t="n">
        <x:v>0.3710066572</x:v>
      </x:c>
      <x:c r="P415" s="9" t="n">
        <x:v>0.9201077199</x:v>
      </x:c>
      <x:c r="Q415" s="9" t="n">
        <x:v>0.697486535</x:v>
      </x:c>
      <x:c r="R415" s="3" t="b">
        <x:v>1</x:v>
      </x:c>
      <x:c r="S415" s="3" t="b">
        <x:v>0</x:v>
      </x:c>
      <x:c r="T415" s="3" t="b">
        <x:v>0</x:v>
      </x:c>
      <x:c r="U415" s="2" t="str">
        <x:f>IF(T415=TRUE,"Priority review",IF(R415=TRUE,"High cost",IF(S415=TRUE,"Low quality","Benchmark")))</x:f>
        <x:v>High cost</x:v>
      </x:c>
    </x:row>
    <x:row r="416">
      <x:c r="A416" s="2" t="str">
        <x:v>104001</x:v>
      </x:c>
      <x:c r="B416" s="2" t="str">
        <x:v>SOUTH FLORIDA STATE HOSPITAL</x:v>
      </x:c>
      <x:c r="C416" s="2" t="str">
        <x:v>PEMBROKE PINES</x:v>
      </x:c>
      <x:c r="D416" s="2" t="str">
        <x:v>FL</x:v>
      </x:c>
      <x:c r="E416" s="2" t="str">
        <x:v>Psychiatric</x:v>
      </x:c>
      <x:c r="F416" s="2" t="str">
        <x:v>Government</x:v>
      </x:c>
      <x:c r="G416" s="2" t="str">
        <x:v>Large (300+ beds)</x:v>
      </x:c>
      <x:c r="H416" s="7"/>
      <x:c r="I416" s="7"/>
      <x:c r="J416" s="7"/>
      <x:c r="K416" s="8" t="n">
        <x:v>368</x:v>
      </x:c>
      <x:c r="L416" s="8" t="n">
        <x:v>27</x:v>
      </x:c>
      <x:c r="M416" s="9" t="n">
        <x:v>0.9599761763</x:v>
      </x:c>
      <x:c r="N416" s="10" t="n">
        <x:v>1562908.1851851852</x:v>
      </x:c>
      <x:c r="O416" s="9" t="n">
        <x:v>-22.9526158649</x:v>
      </x:c>
      <x:c r="P416" s="9" t="n">
        <x:v>0.92</x:v>
      </x:c>
      <x:c r="Q416" s="9" t="n">
        <x:v>0</x:v>
      </x:c>
      <x:c r="R416" s="3" t="b">
        <x:v>1</x:v>
      </x:c>
      <x:c r="S416" s="3" t="b">
        <x:v>0</x:v>
      </x:c>
      <x:c r="T416" s="3" t="b">
        <x:v>0</x:v>
      </x:c>
      <x:c r="U416" s="2" t="str">
        <x:f>IF(T416=TRUE,"Priority review",IF(R416=TRUE,"High cost",IF(S416=TRUE,"Low quality","Benchmark")))</x:f>
        <x:v>High cost</x:v>
      </x:c>
    </x:row>
    <x:row r="417">
      <x:c r="A417" s="2" t="str">
        <x:v>191313</x:v>
      </x:c>
      <x:c r="B417" s="2" t="str">
        <x:v>RIVERSIDE MEDICAL CENTER</x:v>
      </x:c>
      <x:c r="C417" s="2" t="str">
        <x:v>FRANKLINTON</x:v>
      </x:c>
      <x:c r="D417" s="2" t="str">
        <x:v>LA</x:v>
      </x:c>
      <x:c r="E417" s="2" t="str">
        <x:v>Critical Access Hospitals</x:v>
      </x:c>
      <x:c r="F417" s="2" t="str">
        <x:v>Government</x:v>
      </x:c>
      <x:c r="G417" s="2" t="str">
        <x:v>Small (&lt;100 beds)</x:v>
      </x:c>
      <x:c r="H417" s="7"/>
      <x:c r="I417" s="7"/>
      <x:c r="J417" s="7"/>
      <x:c r="K417" s="8" t="n">
        <x:v>25</x:v>
      </x:c>
      <x:c r="L417" s="8" t="n">
        <x:v>86</x:v>
      </x:c>
      <x:c r="M417" s="9" t="n">
        <x:v>0.133989071</x:v>
      </x:c>
      <x:c r="N417" s="10" t="n">
        <x:v>394070.2906976744</x:v>
      </x:c>
      <x:c r="O417" s="9" t="n">
        <x:v>-0.5032964021</x:v>
      </x:c>
      <x:c r="P417" s="9" t="n">
        <x:v>0.9197026022</x:v>
      </x:c>
      <x:c r="Q417" s="9" t="n">
        <x:v>0.292936803</x:v>
      </x:c>
      <x:c r="R417" s="3" t="b">
        <x:v>1</x:v>
      </x:c>
      <x:c r="S417" s="3" t="b">
        <x:v>0</x:v>
      </x:c>
      <x:c r="T417" s="3" t="b">
        <x:v>0</x:v>
      </x:c>
      <x:c r="U417" s="2" t="str">
        <x:f>IF(T417=TRUE,"Priority review",IF(R417=TRUE,"High cost",IF(S417=TRUE,"Low quality","Benchmark")))</x:f>
        <x:v>High cost</x:v>
      </x:c>
    </x:row>
    <x:row r="418">
      <x:c r="A418" s="2" t="str">
        <x:v>450213</x:v>
      </x:c>
      <x:c r="B418" s="2" t="str">
        <x:v>UNIVERSITY HEALTH SYSTEM</x:v>
      </x:c>
      <x:c r="C418" s="2" t="str">
        <x:v>SAN ANTONIO</x:v>
      </x:c>
      <x:c r="D418" s="2" t="str">
        <x:v>TX</x:v>
      </x:c>
      <x:c r="E418" s="2" t="str">
        <x:v>Acute Care Hospitals</x:v>
      </x:c>
      <x:c r="F418" s="2" t="str">
        <x:v>Government</x:v>
      </x:c>
      <x:c r="G418" s="2" t="str">
        <x:v>Large (300+ beds)</x:v>
      </x:c>
      <x:c r="H418" s="7" t="n">
        <x:v>3</x:v>
      </x:c>
      <x:c r="I418" s="7" t="n">
        <x:v>4</x:v>
      </x:c>
      <x:c r="J418" s="7" t="n">
        <x:v>1.03</x:v>
      </x:c>
      <x:c r="K418" s="8" t="n">
        <x:v>764</x:v>
      </x:c>
      <x:c r="L418" s="8" t="n">
        <x:v>39411</x:v>
      </x:c>
      <x:c r="M418" s="9" t="n">
        <x:v>0.8999585157</x:v>
      </x:c>
      <x:c r="N418" s="10" t="n">
        <x:v>82039.5129532364</x:v>
      </x:c>
      <x:c r="O418" s="9" t="n">
        <x:v>-1.216446433</x:v>
      </x:c>
      <x:c r="P418" s="9" t="n">
        <x:v>0.9195583596</x:v>
      </x:c>
      <x:c r="Q418" s="9" t="n">
        <x:v>0.2570977918</x:v>
      </x:c>
      <x:c r="R418" s="3" t="b">
        <x:v>1</x:v>
      </x:c>
      <x:c r="S418" s="3" t="b">
        <x:v>0</x:v>
      </x:c>
      <x:c r="T418" s="3" t="b">
        <x:v>0</x:v>
      </x:c>
      <x:c r="U418" s="2" t="str">
        <x:f>IF(T418=TRUE,"Priority review",IF(R418=TRUE,"High cost",IF(S418=TRUE,"Low quality","Benchmark")))</x:f>
        <x:v>High cost</x:v>
      </x:c>
    </x:row>
    <x:row r="419">
      <x:c r="A419" s="2" t="str">
        <x:v>230077</x:v>
      </x:c>
      <x:c r="B419" s="2" t="str">
        <x:v>MYMICHIGAN MEDICAL CENTER SAGINAW</x:v>
      </x:c>
      <x:c r="C419" s="2" t="str">
        <x:v>SAGINAW</x:v>
      </x:c>
      <x:c r="D419" s="2" t="str">
        <x:v>MI</x:v>
      </x:c>
      <x:c r="E419" s="2" t="str">
        <x:v>Acute Care Hospitals</x:v>
      </x:c>
      <x:c r="F419" s="2" t="str">
        <x:v>Voluntary non-profit</x:v>
      </x:c>
      <x:c r="G419" s="2" t="str">
        <x:v>Medium (100-299 beds)</x:v>
      </x:c>
      <x:c r="H419" s="7" t="n">
        <x:v>3</x:v>
      </x:c>
      <x:c r="I419" s="7" t="n">
        <x:v>3</x:v>
      </x:c>
      <x:c r="J419" s="7" t="n">
        <x:v>1.01</x:v>
      </x:c>
      <x:c r="K419" s="8" t="n">
        <x:v>123</x:v>
      </x:c>
      <x:c r="L419" s="8" t="n">
        <x:v>5088</x:v>
      </x:c>
      <x:c r="M419" s="9" t="n">
        <x:v>0.8825258938</x:v>
      </x:c>
      <x:c r="N419" s="10" t="n">
        <x:v>63854.5911949686</x:v>
      </x:c>
      <x:c r="O419" s="9" t="n">
        <x:v>-0.3277648797</x:v>
      </x:c>
      <x:c r="P419" s="9" t="n">
        <x:v>0.9193154034</x:v>
      </x:c>
      <x:c r="Q419" s="9" t="n">
        <x:v>0.3023634882</x:v>
      </x:c>
      <x:c r="R419" s="3" t="b">
        <x:v>1</x:v>
      </x:c>
      <x:c r="S419" s="3" t="b">
        <x:v>0</x:v>
      </x:c>
      <x:c r="T419" s="3" t="b">
        <x:v>0</x:v>
      </x:c>
      <x:c r="U419" s="2" t="str">
        <x:f>IF(T419=TRUE,"Priority review",IF(R419=TRUE,"High cost",IF(S419=TRUE,"Low quality","Benchmark")))</x:f>
        <x:v>High cost</x:v>
      </x:c>
    </x:row>
    <x:row r="420">
      <x:c r="A420" s="2" t="str">
        <x:v>130065</x:v>
      </x:c>
      <x:c r="B420" s="2" t="str">
        <x:v>MOUNTAIN VIEW HOSPITAL</x:v>
      </x:c>
      <x:c r="C420" s="2" t="str">
        <x:v>IDAHO FALLS</x:v>
      </x:c>
      <x:c r="D420" s="2" t="str">
        <x:v>ID</x:v>
      </x:c>
      <x:c r="E420" s="2" t="str">
        <x:v>Acute Care Hospitals</x:v>
      </x:c>
      <x:c r="F420" s="2" t="str">
        <x:v>Other / unknown</x:v>
      </x:c>
      <x:c r="G420" s="2" t="str">
        <x:v>Small (&lt;100 beds)</x:v>
      </x:c>
      <x:c r="H420" s="7" t="n">
        <x:v>3</x:v>
      </x:c>
      <x:c r="I420" s="7" t="n">
        <x:v>4</x:v>
      </x:c>
      <x:c r="J420" s="7" t="n">
        <x:v>0.97</x:v>
      </x:c>
      <x:c r="K420" s="8" t="n">
        <x:v>40</x:v>
      </x:c>
      <x:c r="L420" s="8" t="n">
        <x:v>2746</x:v>
      </x:c>
      <x:c r="M420" s="9" t="n">
        <x:v>0.6984289617</x:v>
      </x:c>
      <x:c r="N420" s="10" t="n">
        <x:v>168860.2250546249</x:v>
      </x:c>
      <x:c r="O420" s="9" t="n">
        <x:v>0.0762244343</x:v>
      </x:c>
      <x:c r="P420" s="9" t="n">
        <x:v>0.9192100539</x:v>
      </x:c>
      <x:c r="Q420" s="9" t="n">
        <x:v>0.1687612208</x:v>
      </x:c>
      <x:c r="R420" s="3" t="b">
        <x:v>1</x:v>
      </x:c>
      <x:c r="S420" s="3" t="b">
        <x:v>0</x:v>
      </x:c>
      <x:c r="T420" s="3" t="b">
        <x:v>0</x:v>
      </x:c>
      <x:c r="U420" s="2" t="str">
        <x:f>IF(T420=TRUE,"Priority review",IF(R420=TRUE,"High cost",IF(S420=TRUE,"Low quality","Benchmark")))</x:f>
        <x:v>High cost</x:v>
      </x:c>
    </x:row>
    <x:row r="421">
      <x:c r="A421" s="2" t="str">
        <x:v>244005</x:v>
      </x:c>
      <x:c r="B421" s="2" t="str">
        <x:v>CHILD AND ADOLESCENT BEHAVIORAL HEALTH HOSPITAL</x:v>
      </x:c>
      <x:c r="C421" s="2" t="str">
        <x:v>WILLMAR</x:v>
      </x:c>
      <x:c r="D421" s="2" t="str">
        <x:v>MN</x:v>
      </x:c>
      <x:c r="E421" s="2" t="str">
        <x:v>Psychiatric</x:v>
      </x:c>
      <x:c r="F421" s="2" t="str">
        <x:v>Government</x:v>
      </x:c>
      <x:c r="G421" s="2" t="str">
        <x:v>Small (&lt;100 beds)</x:v>
      </x:c>
      <x:c r="H421" s="7"/>
      <x:c r="I421" s="7"/>
      <x:c r="J421" s="7"/>
      <x:c r="K421" s="8" t="n">
        <x:v>5</x:v>
      </x:c>
      <x:c r="L421" s="8" t="n">
        <x:v>58</x:v>
      </x:c>
      <x:c r="M421" s="9" t="n">
        <x:v>1.9671232877</x:v>
      </x:c>
      <x:c r="N421" s="10" t="n">
        <x:v>164896.1034482759</x:v>
      </x:c>
      <x:c r="O421" s="9"/>
      <x:c r="P421" s="9" t="n">
        <x:v>0.9190938511</x:v>
      </x:c>
      <x:c r="Q421" s="9" t="n">
        <x:v>0</x:v>
      </x:c>
      <x:c r="R421" s="3" t="b">
        <x:v>1</x:v>
      </x:c>
      <x:c r="S421" s="3" t="b">
        <x:v>0</x:v>
      </x:c>
      <x:c r="T421" s="3" t="b">
        <x:v>0</x:v>
      </x:c>
      <x:c r="U421" s="2" t="str">
        <x:f>IF(T421=TRUE,"Priority review",IF(R421=TRUE,"High cost",IF(S421=TRUE,"Low quality","Benchmark")))</x:f>
        <x:v>High cost</x:v>
      </x:c>
    </x:row>
    <x:row r="422">
      <x:c r="A422" s="2" t="str">
        <x:v>511303</x:v>
      </x:c>
      <x:c r="B422" s="2" t="str">
        <x:v>MINNIE HAMILTON HEALTH SYSTEM</x:v>
      </x:c>
      <x:c r="C422" s="2" t="str">
        <x:v>GRANTSVILLE</x:v>
      </x:c>
      <x:c r="D422" s="2" t="str">
        <x:v>WV</x:v>
      </x:c>
      <x:c r="E422" s="2" t="str">
        <x:v>Critical Access Hospitals</x:v>
      </x:c>
      <x:c r="F422" s="2" t="str">
        <x:v>Voluntary non-profit</x:v>
      </x:c>
      <x:c r="G422" s="2" t="str">
        <x:v>Small (&lt;100 beds)</x:v>
      </x:c>
      <x:c r="H422" s="7"/>
      <x:c r="I422" s="7"/>
      <x:c r="J422" s="7"/>
      <x:c r="K422" s="8" t="n">
        <x:v>25</x:v>
      </x:c>
      <x:c r="L422" s="8" t="n">
        <x:v>77</x:v>
      </x:c>
      <x:c r="M422" s="9" t="n">
        <x:v>0.0855737705</x:v>
      </x:c>
      <x:c r="N422" s="10" t="n">
        <x:v>392874.7142857143</x:v>
      </x:c>
      <x:c r="O422" s="9" t="n">
        <x:v>-0.1435886558</x:v>
      </x:c>
      <x:c r="P422" s="9" t="n">
        <x:v>0.9189591078</x:v>
      </x:c>
      <x:c r="Q422" s="9" t="n">
        <x:v>0.292936803</x:v>
      </x:c>
      <x:c r="R422" s="3" t="b">
        <x:v>1</x:v>
      </x:c>
      <x:c r="S422" s="3" t="b">
        <x:v>0</x:v>
      </x:c>
      <x:c r="T422" s="3" t="b">
        <x:v>0</x:v>
      </x:c>
      <x:c r="U422" s="2" t="str">
        <x:f>IF(T422=TRUE,"Priority review",IF(R422=TRUE,"High cost",IF(S422=TRUE,"Low quality","Benchmark")))</x:f>
        <x:v>High cost</x:v>
      </x:c>
    </x:row>
    <x:row r="423">
      <x:c r="A423" s="2" t="str">
        <x:v>050174</x:v>
      </x:c>
      <x:c r="B423" s="2" t="str">
        <x:v>PROVIDENCE SANTA ROSA MEMORIAL HOSPITAL</x:v>
      </x:c>
      <x:c r="C423" s="2" t="str">
        <x:v>SANTA ROSA</x:v>
      </x:c>
      <x:c r="D423" s="2" t="str">
        <x:v>CA</x:v>
      </x:c>
      <x:c r="E423" s="2" t="str">
        <x:v>Acute Care Hospitals</x:v>
      </x:c>
      <x:c r="F423" s="2" t="str">
        <x:v>Voluntary non-profit</x:v>
      </x:c>
      <x:c r="G423" s="2" t="str">
        <x:v>Medium (100-299 beds)</x:v>
      </x:c>
      <x:c r="H423" s="7" t="n">
        <x:v>3</x:v>
      </x:c>
      <x:c r="I423" s="7" t="n">
        <x:v>3</x:v>
      </x:c>
      <x:c r="J423" s="7" t="n">
        <x:v>1.04</x:v>
      </x:c>
      <x:c r="K423" s="8" t="n">
        <x:v>233</x:v>
      </x:c>
      <x:c r="L423" s="8" t="n">
        <x:v>11517</x:v>
      </x:c>
      <x:c r="M423" s="9" t="n">
        <x:v>0.644729261</x:v>
      </x:c>
      <x:c r="N423" s="10" t="n">
        <x:v>63794.4999565859</x:v>
      </x:c>
      <x:c r="O423" s="9" t="n">
        <x:v>-0.2080287646</x:v>
      </x:c>
      <x:c r="P423" s="9" t="n">
        <x:v>0.9185004075</x:v>
      </x:c>
      <x:c r="Q423" s="9" t="n">
        <x:v>0.3023634882</x:v>
      </x:c>
      <x:c r="R423" s="3" t="b">
        <x:v>1</x:v>
      </x:c>
      <x:c r="S423" s="3" t="b">
        <x:v>0</x:v>
      </x:c>
      <x:c r="T423" s="3" t="b">
        <x:v>0</x:v>
      </x:c>
      <x:c r="U423" s="2" t="str">
        <x:f>IF(T423=TRUE,"Priority review",IF(R423=TRUE,"High cost",IF(S423=TRUE,"Low quality","Benchmark")))</x:f>
        <x:v>High cost</x:v>
      </x:c>
    </x:row>
    <x:row r="424">
      <x:c r="A424" s="2" t="str">
        <x:v>670008</x:v>
      </x:c>
      <x:c r="B424" s="2" t="str">
        <x:v>MEMORIAL HERMANN HOUSTON PHYSICIANS HOSPITAL</x:v>
      </x:c>
      <x:c r="C424" s="2" t="str">
        <x:v>WEBSTER</x:v>
      </x:c>
      <x:c r="D424" s="2" t="str">
        <x:v>TX</x:v>
      </x:c>
      <x:c r="E424" s="2" t="str">
        <x:v>Acute Care Hospitals</x:v>
      </x:c>
      <x:c r="F424" s="2" t="str">
        <x:v>Other / unknown</x:v>
      </x:c>
      <x:c r="G424" s="2" t="str">
        <x:v>Small (&lt;100 beds)</x:v>
      </x:c>
      <x:c r="H424" s="7"/>
      <x:c r="I424" s="7" t="n">
        <x:v>5</x:v>
      </x:c>
      <x:c r="J424" s="7" t="n">
        <x:v>0.9</x:v>
      </x:c>
      <x:c r="K424" s="8" t="n">
        <x:v>20</x:v>
      </x:c>
      <x:c r="L424" s="8" t="n">
        <x:v>594</x:v>
      </x:c>
      <x:c r="M424" s="9" t="n">
        <x:v>0.1792349727</x:v>
      </x:c>
      <x:c r="N424" s="10" t="n">
        <x:v>167971.1245791246</x:v>
      </x:c>
      <x:c r="O424" s="9" t="n">
        <x:v>-0.0459835074</x:v>
      </x:c>
      <x:c r="P424" s="9" t="n">
        <x:v>0.9183123878</x:v>
      </x:c>
      <x:c r="Q424" s="9" t="n">
        <x:v>0.697486535</x:v>
      </x:c>
      <x:c r="R424" s="3" t="b">
        <x:v>1</x:v>
      </x:c>
      <x:c r="S424" s="3" t="b">
        <x:v>0</x:v>
      </x:c>
      <x:c r="T424" s="3" t="b">
        <x:v>0</x:v>
      </x:c>
      <x:c r="U424" s="2" t="str">
        <x:f>IF(T424=TRUE,"Priority review",IF(R424=TRUE,"High cost",IF(S424=TRUE,"Low quality","Benchmark")))</x:f>
        <x:v>High cost</x:v>
      </x:c>
    </x:row>
    <x:row r="425">
      <x:c r="A425" s="2" t="str">
        <x:v>111306</x:v>
      </x:c>
      <x:c r="B425" s="2" t="str">
        <x:v>EFFINGHAM HEALTH SYSTEM</x:v>
      </x:c>
      <x:c r="C425" s="2" t="str">
        <x:v>SPRINGFIELD</x:v>
      </x:c>
      <x:c r="D425" s="2" t="str">
        <x:v>GA</x:v>
      </x:c>
      <x:c r="E425" s="2" t="str">
        <x:v>Critical Access Hospitals</x:v>
      </x:c>
      <x:c r="F425" s="2" t="str">
        <x:v>Government</x:v>
      </x:c>
      <x:c r="G425" s="2" t="str">
        <x:v>Small (&lt;100 beds)</x:v>
      </x:c>
      <x:c r="H425" s="7"/>
      <x:c r="I425" s="7"/>
      <x:c r="J425" s="7"/>
      <x:c r="K425" s="8" t="n">
        <x:v>25</x:v>
      </x:c>
      <x:c r="L425" s="8" t="n">
        <x:v>217</x:v>
      </x:c>
      <x:c r="M425" s="9" t="n">
        <x:v>0.1994520548</x:v>
      </x:c>
      <x:c r="N425" s="10" t="n">
        <x:v>391241.7096774193</x:v>
      </x:c>
      <x:c r="O425" s="9" t="n">
        <x:v>-0.2559017371</x:v>
      </x:c>
      <x:c r="P425" s="9" t="n">
        <x:v>0.9182156134</x:v>
      </x:c>
      <x:c r="Q425" s="9" t="n">
        <x:v>0.292936803</x:v>
      </x:c>
      <x:c r="R425" s="3" t="b">
        <x:v>1</x:v>
      </x:c>
      <x:c r="S425" s="3" t="b">
        <x:v>0</x:v>
      </x:c>
      <x:c r="T425" s="3" t="b">
        <x:v>0</x:v>
      </x:c>
      <x:c r="U425" s="2" t="str">
        <x:f>IF(T425=TRUE,"Priority review",IF(R425=TRUE,"High cost",IF(S425=TRUE,"Low quality","Benchmark")))</x:f>
        <x:v>High cost</x:v>
      </x:c>
    </x:row>
    <x:row r="426">
      <x:c r="A426" s="2" t="str">
        <x:v>340061</x:v>
      </x:c>
      <x:c r="B426" s="2" t="str">
        <x:v>UNC HOSPITALS</x:v>
      </x:c>
      <x:c r="C426" s="2" t="str">
        <x:v>CHAPEL HILL</x:v>
      </x:c>
      <x:c r="D426" s="2" t="str">
        <x:v>NC</x:v>
      </x:c>
      <x:c r="E426" s="2" t="str">
        <x:v>Acute Care Hospitals</x:v>
      </x:c>
      <x:c r="F426" s="2" t="str">
        <x:v>Government</x:v>
      </x:c>
      <x:c r="G426" s="2" t="str">
        <x:v>Large (300+ beds)</x:v>
      </x:c>
      <x:c r="H426" s="7" t="n">
        <x:v>5</x:v>
      </x:c>
      <x:c r="I426" s="7" t="n">
        <x:v>4</x:v>
      </x:c>
      <x:c r="J426" s="7" t="n">
        <x:v>0.95</x:v>
      </x:c>
      <x:c r="K426" s="8" t="n">
        <x:v>842</x:v>
      </x:c>
      <x:c r="L426" s="8" t="n">
        <x:v>36630</x:v>
      </x:c>
      <x:c r="M426" s="9" t="n">
        <x:v>0.9288313552</x:v>
      </x:c>
      <x:c r="N426" s="10" t="n">
        <x:v>81602.2848757849</x:v>
      </x:c>
      <x:c r="O426" s="9" t="n">
        <x:v>0.1710981355</x:v>
      </x:c>
      <x:c r="P426" s="9" t="n">
        <x:v>0.9179810726</x:v>
      </x:c>
      <x:c r="Q426" s="9" t="n">
        <x:v>0.8722397476</x:v>
      </x:c>
      <x:c r="R426" s="3" t="b">
        <x:v>1</x:v>
      </x:c>
      <x:c r="S426" s="3" t="b">
        <x:v>0</x:v>
      </x:c>
      <x:c r="T426" s="3" t="b">
        <x:v>0</x:v>
      </x:c>
      <x:c r="U426" s="2" t="str">
        <x:f>IF(T426=TRUE,"Priority review",IF(R426=TRUE,"High cost",IF(S426=TRUE,"Low quality","Benchmark")))</x:f>
        <x:v>High cost</x:v>
      </x:c>
    </x:row>
    <x:row r="427">
      <x:c r="A427" s="2" t="str">
        <x:v>050457</x:v>
      </x:c>
      <x:c r="B427" s="2" t="str">
        <x:v>UCSF HEALTH ST. MARY'S HOSPITAL</x:v>
      </x:c>
      <x:c r="C427" s="2" t="str">
        <x:v>SAN FRANCISCO</x:v>
      </x:c>
      <x:c r="D427" s="2" t="str">
        <x:v>CA</x:v>
      </x:c>
      <x:c r="E427" s="2" t="str">
        <x:v>Acute Care Hospitals</x:v>
      </x:c>
      <x:c r="F427" s="2" t="str">
        <x:v>Voluntary non-profit</x:v>
      </x:c>
      <x:c r="G427" s="2" t="str">
        <x:v>Medium (100-299 beds)</x:v>
      </x:c>
      <x:c r="H427" s="7" t="n">
        <x:v>4</x:v>
      </x:c>
      <x:c r="I427" s="7" t="n">
        <x:v>2</x:v>
      </x:c>
      <x:c r="J427" s="7" t="n">
        <x:v>0.99</x:v>
      </x:c>
      <x:c r="K427" s="8" t="n">
        <x:v>113</x:v>
      </x:c>
      <x:c r="L427" s="8" t="n">
        <x:v>4114</x:v>
      </x:c>
      <x:c r="M427" s="9" t="n">
        <x:v>0.5495734195</x:v>
      </x:c>
      <x:c r="N427" s="10" t="n">
        <x:v>63207.9156538649</x:v>
      </x:c>
      <x:c r="O427" s="9" t="n">
        <x:v>-0.4306217533</x:v>
      </x:c>
      <x:c r="P427" s="9" t="n">
        <x:v>0.9176854116</x:v>
      </x:c>
      <x:c r="Q427" s="9" t="n">
        <x:v>0.6022819886</x:v>
      </x:c>
      <x:c r="R427" s="3" t="b">
        <x:v>1</x:v>
      </x:c>
      <x:c r="S427" s="3" t="b">
        <x:v>0</x:v>
      </x:c>
      <x:c r="T427" s="3" t="b">
        <x:v>0</x:v>
      </x:c>
      <x:c r="U427" s="2" t="str">
        <x:f>IF(T427=TRUE,"Priority review",IF(R427=TRUE,"High cost",IF(S427=TRUE,"Low quality","Benchmark")))</x:f>
        <x:v>High cost</x:v>
      </x:c>
    </x:row>
    <x:row r="428">
      <x:c r="A428" s="2" t="str">
        <x:v>271339</x:v>
      </x:c>
      <x:c r="B428" s="2" t="str">
        <x:v>P H S INDIAN HOSPITAL CROW / NORTHERN CHEYENNE</x:v>
      </x:c>
      <x:c r="C428" s="2" t="str">
        <x:v>CROW AGENCY</x:v>
      </x:c>
      <x:c r="D428" s="2" t="str">
        <x:v>MT</x:v>
      </x:c>
      <x:c r="E428" s="2" t="str">
        <x:v>Critical Access Hospitals</x:v>
      </x:c>
      <x:c r="F428" s="2" t="str">
        <x:v>Government</x:v>
      </x:c>
      <x:c r="G428" s="2" t="str">
        <x:v>Small (&lt;100 beds)</x:v>
      </x:c>
      <x:c r="H428" s="7"/>
      <x:c r="I428" s="7"/>
      <x:c r="J428" s="7"/>
      <x:c r="K428" s="8" t="n">
        <x:v>24</x:v>
      </x:c>
      <x:c r="L428" s="8" t="n">
        <x:v>237</x:v>
      </x:c>
      <x:c r="M428" s="9" t="n">
        <x:v>0.1129326047</x:v>
      </x:c>
      <x:c r="N428" s="10" t="n">
        <x:v>386664.746835443</x:v>
      </x:c>
      <x:c r="O428" s="9"/>
      <x:c r="P428" s="9" t="n">
        <x:v>0.917472119</x:v>
      </x:c>
      <x:c r="Q428" s="9" t="n">
        <x:v>0.292936803</x:v>
      </x:c>
      <x:c r="R428" s="3" t="b">
        <x:v>1</x:v>
      </x:c>
      <x:c r="S428" s="3" t="b">
        <x:v>0</x:v>
      </x:c>
      <x:c r="T428" s="3" t="b">
        <x:v>0</x:v>
      </x:c>
      <x:c r="U428" s="2" t="str">
        <x:f>IF(T428=TRUE,"Priority review",IF(R428=TRUE,"High cost",IF(S428=TRUE,"Low quality","Benchmark")))</x:f>
        <x:v>High cost</x:v>
      </x:c>
    </x:row>
    <x:row r="429">
      <x:c r="A429" s="2" t="str">
        <x:v>060130</x:v>
      </x:c>
      <x:c r="B429" s="2" t="str">
        <x:v>UCHEALTH GRANDVIEW HOSPITAL</x:v>
      </x:c>
      <x:c r="C429" s="2" t="str">
        <x:v>COLORADO SPRINGS</x:v>
      </x:c>
      <x:c r="D429" s="2" t="str">
        <x:v>CO</x:v>
      </x:c>
      <x:c r="E429" s="2" t="str">
        <x:v>Acute Care Hospitals</x:v>
      </x:c>
      <x:c r="F429" s="2" t="str">
        <x:v>Voluntary non-profit</x:v>
      </x:c>
      <x:c r="G429" s="2" t="str">
        <x:v>Small (&lt;100 beds)</x:v>
      </x:c>
      <x:c r="H429" s="7"/>
      <x:c r="I429" s="7"/>
      <x:c r="J429" s="7" t="n">
        <x:v>0.86</x:v>
      </x:c>
      <x:c r="K429" s="8" t="n">
        <x:v>22</x:v>
      </x:c>
      <x:c r="L429" s="8" t="n">
        <x:v>311</x:v>
      </x:c>
      <x:c r="M429" s="9" t="n">
        <x:v>0.0769613948</x:v>
      </x:c>
      <x:c r="N429" s="10" t="n">
        <x:v>167948.1864951768</x:v>
      </x:c>
      <x:c r="O429" s="9" t="n">
        <x:v>0.0047778845</x:v>
      </x:c>
      <x:c r="P429" s="9" t="n">
        <x:v>0.9174147217</x:v>
      </x:c>
      <x:c r="Q429" s="9" t="n">
        <x:v>0.697486535</x:v>
      </x:c>
      <x:c r="R429" s="3" t="b">
        <x:v>1</x:v>
      </x:c>
      <x:c r="S429" s="3" t="b">
        <x:v>0</x:v>
      </x:c>
      <x:c r="T429" s="3" t="b">
        <x:v>0</x:v>
      </x:c>
      <x:c r="U429" s="2" t="str">
        <x:f>IF(T429=TRUE,"Priority review",IF(R429=TRUE,"High cost",IF(S429=TRUE,"Low quality","Benchmark")))</x:f>
        <x:v>High cost</x:v>
      </x:c>
    </x:row>
    <x:row r="430">
      <x:c r="A430" s="2" t="str">
        <x:v>670034</x:v>
      </x:c>
      <x:c r="B430" s="2" t="str">
        <x:v>BAYLOR SCOTT &amp; WHITE MEDICAL CENTER - ROUND ROCK</x:v>
      </x:c>
      <x:c r="C430" s="2" t="str">
        <x:v>ROUND ROCK</x:v>
      </x:c>
      <x:c r="D430" s="2" t="str">
        <x:v>TX</x:v>
      </x:c>
      <x:c r="E430" s="2" t="str">
        <x:v>Acute Care Hospitals</x:v>
      </x:c>
      <x:c r="F430" s="2" t="str">
        <x:v>Voluntary non-profit</x:v>
      </x:c>
      <x:c r="G430" s="2" t="str">
        <x:v>Medium (100-299 beds)</x:v>
      </x:c>
      <x:c r="H430" s="7" t="n">
        <x:v>4</x:v>
      </x:c>
      <x:c r="I430" s="7" t="n">
        <x:v>4</x:v>
      </x:c>
      <x:c r="J430" s="7" t="n">
        <x:v>0.99</x:v>
      </x:c>
      <x:c r="K430" s="8" t="n">
        <x:v>180</x:v>
      </x:c>
      <x:c r="L430" s="8" t="n">
        <x:v>12015</x:v>
      </x:c>
      <x:c r="M430" s="9" t="n">
        <x:v>0.7829573935</x:v>
      </x:c>
      <x:c r="N430" s="10" t="n">
        <x:v>63137.5230129005</x:v>
      </x:c>
      <x:c r="O430" s="9" t="n">
        <x:v>-0.0120812088</x:v>
      </x:c>
      <x:c r="P430" s="9" t="n">
        <x:v>0.9168704156</x:v>
      </x:c>
      <x:c r="Q430" s="9" t="n">
        <x:v>0.6022819886</x:v>
      </x:c>
      <x:c r="R430" s="3" t="b">
        <x:v>1</x:v>
      </x:c>
      <x:c r="S430" s="3" t="b">
        <x:v>0</x:v>
      </x:c>
      <x:c r="T430" s="3" t="b">
        <x:v>0</x:v>
      </x:c>
      <x:c r="U430" s="2" t="str">
        <x:f>IF(T430=TRUE,"Priority review",IF(R430=TRUE,"High cost",IF(S430=TRUE,"Low quality","Benchmark")))</x:f>
        <x:v>High cost</x:v>
      </x:c>
    </x:row>
    <x:row r="431">
      <x:c r="A431" s="2" t="str">
        <x:v>471300</x:v>
      </x:c>
      <x:c r="B431" s="2" t="str">
        <x:v>GRACE COTTAGE HOSPITAL</x:v>
      </x:c>
      <x:c r="C431" s="2" t="str">
        <x:v>TOWNSHEND</x:v>
      </x:c>
      <x:c r="D431" s="2" t="str">
        <x:v>VT</x:v>
      </x:c>
      <x:c r="E431" s="2" t="str">
        <x:v>Critical Access Hospitals</x:v>
      </x:c>
      <x:c r="F431" s="2" t="str">
        <x:v>Voluntary non-profit</x:v>
      </x:c>
      <x:c r="G431" s="2" t="str">
        <x:v>Small (&lt;100 beds)</x:v>
      </x:c>
      <x:c r="H431" s="7"/>
      <x:c r="I431" s="7"/>
      <x:c r="J431" s="7"/>
      <x:c r="K431" s="8" t="n">
        <x:v>19</x:v>
      </x:c>
      <x:c r="L431" s="8" t="n">
        <x:v>103</x:v>
      </x:c>
      <x:c r="M431" s="9" t="n">
        <x:v>0.5475985045</x:v>
      </x:c>
      <x:c r="N431" s="10" t="n">
        <x:v>381149.8932038835</x:v>
      </x:c>
      <x:c r="O431" s="9" t="n">
        <x:v>-0.4580343319</x:v>
      </x:c>
      <x:c r="P431" s="9" t="n">
        <x:v>0.9167286245</x:v>
      </x:c>
      <x:c r="Q431" s="9" t="n">
        <x:v>0.292936803</x:v>
      </x:c>
      <x:c r="R431" s="3" t="b">
        <x:v>1</x:v>
      </x:c>
      <x:c r="S431" s="3" t="b">
        <x:v>0</x:v>
      </x:c>
      <x:c r="T431" s="3" t="b">
        <x:v>0</x:v>
      </x:c>
      <x:c r="U431" s="2" t="str">
        <x:f>IF(T431=TRUE,"Priority review",IF(R431=TRUE,"High cost",IF(S431=TRUE,"Low quality","Benchmark")))</x:f>
        <x:v>High cost</x:v>
      </x:c>
    </x:row>
    <x:row r="432">
      <x:c r="A432" s="2" t="str">
        <x:v>453309</x:v>
      </x:c>
      <x:c r="B432" s="2" t="str">
        <x:v>HEALTHBRIDGE CHILDRENS'S HOSPITAL OF HOUSTON</x:v>
      </x:c>
      <x:c r="C432" s="2" t="str">
        <x:v>HOUSTON</x:v>
      </x:c>
      <x:c r="D432" s="2" t="str">
        <x:v>TX</x:v>
      </x:c>
      <x:c r="E432" s="2" t="str">
        <x:v>Childrens</x:v>
      </x:c>
      <x:c r="F432" s="2" t="str">
        <x:v>Voluntary non-profit</x:v>
      </x:c>
      <x:c r="G432" s="2" t="str">
        <x:v>Medium (100-299 beds)</x:v>
      </x:c>
      <x:c r="H432" s="7"/>
      <x:c r="I432" s="7"/>
      <x:c r="J432" s="7"/>
      <x:c r="K432" s="8" t="n">
        <x:v>111</x:v>
      </x:c>
      <x:c r="L432" s="8" t="n">
        <x:v>318</x:v>
      </x:c>
      <x:c r="M432" s="9" t="n">
        <x:v>0.6578053463</x:v>
      </x:c>
      <x:c r="N432" s="10" t="n">
        <x:v>164144.2893081761</x:v>
      </x:c>
      <x:c r="O432" s="9" t="n">
        <x:v>0.2168068657</x:v>
      </x:c>
      <x:c r="P432" s="9" t="n">
        <x:v>0.9166666667</x:v>
      </x:c>
      <x:c r="Q432" s="9" t="n">
        <x:v>0</x:v>
      </x:c>
      <x:c r="R432" s="3" t="b">
        <x:v>1</x:v>
      </x:c>
      <x:c r="S432" s="3" t="b">
        <x:v>0</x:v>
      </x:c>
      <x:c r="T432" s="3" t="b">
        <x:v>0</x:v>
      </x:c>
      <x:c r="U432" s="2" t="str">
        <x:f>IF(T432=TRUE,"Priority review",IF(R432=TRUE,"High cost",IF(S432=TRUE,"Low quality","Benchmark")))</x:f>
        <x:v>High cost</x:v>
      </x:c>
    </x:row>
    <x:row r="433">
      <x:c r="A433" s="2" t="str">
        <x:v>520109</x:v>
      </x:c>
      <x:c r="B433" s="2" t="str">
        <x:v>MILE BLUFF MEDICAL CENTER</x:v>
      </x:c>
      <x:c r="C433" s="2" t="str">
        <x:v>MAUSTON</x:v>
      </x:c>
      <x:c r="D433" s="2" t="str">
        <x:v>WI</x:v>
      </x:c>
      <x:c r="E433" s="2" t="str">
        <x:v>Acute Care Hospitals</x:v>
      </x:c>
      <x:c r="F433" s="2" t="str">
        <x:v>Proprietary</x:v>
      </x:c>
      <x:c r="G433" s="2" t="str">
        <x:v>Small (&lt;100 beds)</x:v>
      </x:c>
      <x:c r="H433" s="7" t="n">
        <x:v>4</x:v>
      </x:c>
      <x:c r="I433" s="7" t="n">
        <x:v>5</x:v>
      </x:c>
      <x:c r="J433" s="7" t="n">
        <x:v>0.78</x:v>
      </x:c>
      <x:c r="K433" s="8" t="n">
        <x:v>40</x:v>
      </x:c>
      <x:c r="L433" s="8" t="n">
        <x:v>707</x:v>
      </x:c>
      <x:c r="M433" s="9" t="n">
        <x:v>0.1609972678</x:v>
      </x:c>
      <x:c r="N433" s="10" t="n">
        <x:v>167522.828854314</x:v>
      </x:c>
      <x:c r="O433" s="9" t="n">
        <x:v>-0.230841177</x:v>
      </x:c>
      <x:c r="P433" s="9" t="n">
        <x:v>0.9165170557</x:v>
      </x:c>
      <x:c r="Q433" s="9" t="n">
        <x:v>0.3913824057</x:v>
      </x:c>
      <x:c r="R433" s="3" t="b">
        <x:v>1</x:v>
      </x:c>
      <x:c r="S433" s="3" t="b">
        <x:v>0</x:v>
      </x:c>
      <x:c r="T433" s="3" t="b">
        <x:v>0</x:v>
      </x:c>
      <x:c r="U433" s="2" t="str">
        <x:f>IF(T433=TRUE,"Priority review",IF(R433=TRUE,"High cost",IF(S433=TRUE,"Low quality","Benchmark")))</x:f>
        <x:v>High cost</x:v>
      </x:c>
    </x:row>
    <x:row r="434">
      <x:c r="A434" s="2" t="str">
        <x:v>240080</x:v>
      </x:c>
      <x:c r="B434" s="2" t="str">
        <x:v>M HEALTH FAIRVIEW UNIVERSITY OF MN MEDICAL CENTER</x:v>
      </x:c>
      <x:c r="C434" s="2" t="str">
        <x:v>MINNEAPOLIS</x:v>
      </x:c>
      <x:c r="D434" s="2" t="str">
        <x:v>MN</x:v>
      </x:c>
      <x:c r="E434" s="2" t="str">
        <x:v>Acute Care Hospitals</x:v>
      </x:c>
      <x:c r="F434" s="2" t="str">
        <x:v>Voluntary non-profit</x:v>
      </x:c>
      <x:c r="G434" s="2" t="str">
        <x:v>Large (300+ beds)</x:v>
      </x:c>
      <x:c r="H434" s="7" t="n">
        <x:v>4</x:v>
      </x:c>
      <x:c r="I434" s="7" t="n">
        <x:v>3</x:v>
      </x:c>
      <x:c r="J434" s="7" t="n">
        <x:v>0.98</x:v>
      </x:c>
      <x:c r="K434" s="8" t="n">
        <x:v>650</x:v>
      </x:c>
      <x:c r="L434" s="8" t="n">
        <x:v>27818</x:v>
      </x:c>
      <x:c r="M434" s="9" t="n">
        <x:v>0.8183544785</x:v>
      </x:c>
      <x:c r="N434" s="10" t="n">
        <x:v>81397.9900064706</x:v>
      </x:c>
      <x:c r="O434" s="9" t="n">
        <x:v>0.0154997809</x:v>
      </x:c>
      <x:c r="P434" s="9" t="n">
        <x:v>0.9164037855</x:v>
      </x:c>
      <x:c r="Q434" s="9" t="n">
        <x:v>0.5899053628</x:v>
      </x:c>
      <x:c r="R434" s="3" t="b">
        <x:v>1</x:v>
      </x:c>
      <x:c r="S434" s="3" t="b">
        <x:v>0</x:v>
      </x:c>
      <x:c r="T434" s="3" t="b">
        <x:v>0</x:v>
      </x:c>
      <x:c r="U434" s="2" t="str">
        <x:f>IF(T434=TRUE,"Priority review",IF(R434=TRUE,"High cost",IF(S434=TRUE,"Low quality","Benchmark")))</x:f>
        <x:v>High cost</x:v>
      </x:c>
    </x:row>
    <x:row r="435">
      <x:c r="A435" s="2" t="str">
        <x:v>061305</x:v>
      </x:c>
      <x:c r="B435" s="2" t="str">
        <x:v>MELISSA MEMORIAL HOSPITAL</x:v>
      </x:c>
      <x:c r="C435" s="2" t="str">
        <x:v>HOLYOKE</x:v>
      </x:c>
      <x:c r="D435" s="2" t="str">
        <x:v>CO</x:v>
      </x:c>
      <x:c r="E435" s="2" t="str">
        <x:v>Critical Access Hospitals</x:v>
      </x:c>
      <x:c r="F435" s="2" t="str">
        <x:v>Government</x:v>
      </x:c>
      <x:c r="G435" s="2" t="str">
        <x:v>Small (&lt;100 beds)</x:v>
      </x:c>
      <x:c r="H435" s="7"/>
      <x:c r="I435" s="7"/>
      <x:c r="J435" s="7"/>
      <x:c r="K435" s="8" t="n">
        <x:v>15</x:v>
      </x:c>
      <x:c r="L435" s="8" t="n">
        <x:v>77</x:v>
      </x:c>
      <x:c r="M435" s="9" t="n">
        <x:v>0.1092896175</x:v>
      </x:c>
      <x:c r="N435" s="10" t="n">
        <x:v>380648.0649350649</x:v>
      </x:c>
      <x:c r="O435" s="9" t="n">
        <x:v>-0.0700849992</x:v>
      </x:c>
      <x:c r="P435" s="9" t="n">
        <x:v>0.9159851301</x:v>
      </x:c>
      <x:c r="Q435" s="9" t="n">
        <x:v>0.292936803</x:v>
      </x:c>
      <x:c r="R435" s="3" t="b">
        <x:v>1</x:v>
      </x:c>
      <x:c r="S435" s="3" t="b">
        <x:v>0</x:v>
      </x:c>
      <x:c r="T435" s="3" t="b">
        <x:v>0</x:v>
      </x:c>
      <x:c r="U435" s="2" t="str">
        <x:f>IF(T435=TRUE,"Priority review",IF(R435=TRUE,"High cost",IF(S435=TRUE,"Low quality","Benchmark")))</x:f>
        <x:v>High cost</x:v>
      </x:c>
    </x:row>
    <x:row r="436">
      <x:c r="A436" s="2" t="str">
        <x:v>314027</x:v>
      </x:c>
      <x:c r="B436" s="2" t="str">
        <x:v>MOUNTAINVIEW BEHAVIORAL HOSPITAL</x:v>
      </x:c>
      <x:c r="C436" s="2" t="str">
        <x:v>BERKELEY HEIGHTS</x:v>
      </x:c>
      <x:c r="D436" s="2" t="str">
        <x:v>NJ</x:v>
      </x:c>
      <x:c r="E436" s="2" t="str">
        <x:v>Psychiatric</x:v>
      </x:c>
      <x:c r="F436" s="2" t="str">
        <x:v>Proprietary</x:v>
      </x:c>
      <x:c r="G436" s="2" t="str">
        <x:v>Small (&lt;100 beds)</x:v>
      </x:c>
      <x:c r="H436" s="7"/>
      <x:c r="I436" s="7"/>
      <x:c r="J436" s="7"/>
      <x:c r="K436" s="8" t="n">
        <x:v>44</x:v>
      </x:c>
      <x:c r="L436" s="8" t="n">
        <x:v>126</x:v>
      </x:c>
      <x:c r="M436" s="9" t="n">
        <x:v>0.5727895392</x:v>
      </x:c>
      <x:c r="N436" s="10" t="n">
        <x:v>140126.0793650794</x:v>
      </x:c>
      <x:c r="O436" s="9" t="n">
        <x:v>-0.1754634143</x:v>
      </x:c>
      <x:c r="P436" s="9" t="n">
        <x:v>0.9158576052</x:v>
      </x:c>
      <x:c r="Q436" s="9" t="n">
        <x:v>0</x:v>
      </x:c>
      <x:c r="R436" s="3" t="b">
        <x:v>1</x:v>
      </x:c>
      <x:c r="S436" s="3" t="b">
        <x:v>0</x:v>
      </x:c>
      <x:c r="T436" s="3" t="b">
        <x:v>0</x:v>
      </x:c>
      <x:c r="U436" s="2" t="str">
        <x:f>IF(T436=TRUE,"Priority review",IF(R436=TRUE,"High cost",IF(S436=TRUE,"Low quality","Benchmark")))</x:f>
        <x:v>High cost</x:v>
      </x:c>
    </x:row>
    <x:row r="437">
      <x:c r="A437" s="2" t="str">
        <x:v>370222</x:v>
      </x:c>
      <x:c r="B437" s="2" t="str">
        <x:v>MCBRIDE ORTHOPEDIC HOSPITAL</x:v>
      </x:c>
      <x:c r="C437" s="2" t="str">
        <x:v>OKLAHOMA CITY</x:v>
      </x:c>
      <x:c r="D437" s="2" t="str">
        <x:v>OK</x:v>
      </x:c>
      <x:c r="E437" s="2" t="str">
        <x:v>Acute Care Hospitals</x:v>
      </x:c>
      <x:c r="F437" s="2" t="str">
        <x:v>Other / unknown</x:v>
      </x:c>
      <x:c r="G437" s="2" t="str">
        <x:v>Small (&lt;100 beds)</x:v>
      </x:c>
      <x:c r="H437" s="7"/>
      <x:c r="I437" s="7" t="n">
        <x:v>4</x:v>
      </x:c>
      <x:c r="J437" s="7" t="n">
        <x:v>0.96</x:v>
      </x:c>
      <x:c r="K437" s="8" t="n">
        <x:v>68</x:v>
      </x:c>
      <x:c r="L437" s="8" t="n">
        <x:v>1073</x:v>
      </x:c>
      <x:c r="M437" s="9" t="n">
        <x:v>0.0986017358</x:v>
      </x:c>
      <x:c r="N437" s="10" t="n">
        <x:v>166101.5405405405</x:v>
      </x:c>
      <x:c r="O437" s="9" t="n">
        <x:v>-0.0054183402</x:v>
      </x:c>
      <x:c r="P437" s="9" t="n">
        <x:v>0.9156193896</x:v>
      </x:c>
      <x:c r="Q437" s="9" t="n">
        <x:v>0.697486535</x:v>
      </x:c>
      <x:c r="R437" s="3" t="b">
        <x:v>1</x:v>
      </x:c>
      <x:c r="S437" s="3" t="b">
        <x:v>0</x:v>
      </x:c>
      <x:c r="T437" s="3" t="b">
        <x:v>0</x:v>
      </x:c>
      <x:c r="U437" s="2" t="str">
        <x:f>IF(T437=TRUE,"Priority review",IF(R437=TRUE,"High cost",IF(S437=TRUE,"Low quality","Benchmark")))</x:f>
        <x:v>High cost</x:v>
      </x:c>
    </x:row>
    <x:row r="438">
      <x:c r="A438" s="2" t="str">
        <x:v>314020</x:v>
      </x:c>
      <x:c r="B438" s="2" t="str">
        <x:v>ESSEX COUNTY HOSPITAL CENTER</x:v>
      </x:c>
      <x:c r="C438" s="2" t="str">
        <x:v>CEDAR GROVE</x:v>
      </x:c>
      <x:c r="D438" s="2" t="str">
        <x:v>NJ</x:v>
      </x:c>
      <x:c r="E438" s="2" t="str">
        <x:v>Psychiatric</x:v>
      </x:c>
      <x:c r="F438" s="2" t="str">
        <x:v>Government</x:v>
      </x:c>
      <x:c r="G438" s="2" t="str">
        <x:v>Medium (100-299 beds)</x:v>
      </x:c>
      <x:c r="H438" s="7"/>
      <x:c r="I438" s="7"/>
      <x:c r="J438" s="7"/>
      <x:c r="K438" s="8" t="n">
        <x:v>180</x:v>
      </x:c>
      <x:c r="L438" s="8" t="n">
        <x:v>176</x:v>
      </x:c>
      <x:c r="M438" s="9" t="n">
        <x:v>0.8745294475</x:v>
      </x:c>
      <x:c r="N438" s="10" t="n">
        <x:v>300858.8806818182</x:v>
      </x:c>
      <x:c r="O438" s="9" t="n">
        <x:v>0.023536495</x:v>
      </x:c>
      <x:c r="P438" s="9" t="n">
        <x:v>0.9154228856</x:v>
      </x:c>
      <x:c r="Q438" s="9" t="n">
        <x:v>0</x:v>
      </x:c>
      <x:c r="R438" s="3" t="b">
        <x:v>1</x:v>
      </x:c>
      <x:c r="S438" s="3" t="b">
        <x:v>0</x:v>
      </x:c>
      <x:c r="T438" s="3" t="b">
        <x:v>0</x:v>
      </x:c>
      <x:c r="U438" s="2" t="str">
        <x:f>IF(T438=TRUE,"Priority review",IF(R438=TRUE,"High cost",IF(S438=TRUE,"Low quality","Benchmark")))</x:f>
        <x:v>High cost</x:v>
      </x:c>
    </x:row>
    <x:row r="439">
      <x:c r="A439" s="2" t="str">
        <x:v>451363</x:v>
      </x:c>
      <x:c r="B439" s="2" t="str">
        <x:v>JACKSON HEALTHCARE CENTER</x:v>
      </x:c>
      <x:c r="C439" s="2" t="str">
        <x:v>EDNA</x:v>
      </x:c>
      <x:c r="D439" s="2" t="str">
        <x:v>TX</x:v>
      </x:c>
      <x:c r="E439" s="2" t="str">
        <x:v>Critical Access Hospitals</x:v>
      </x:c>
      <x:c r="F439" s="2" t="str">
        <x:v>Government</x:v>
      </x:c>
      <x:c r="G439" s="2" t="str">
        <x:v>Small (&lt;100 beds)</x:v>
      </x:c>
      <x:c r="H439" s="7"/>
      <x:c r="I439" s="7"/>
      <x:c r="J439" s="7"/>
      <x:c r="K439" s="8" t="n">
        <x:v>25</x:v>
      </x:c>
      <x:c r="L439" s="8" t="n">
        <x:v>75</x:v>
      </x:c>
      <x:c r="M439" s="9" t="n">
        <x:v>0.1180327869</x:v>
      </x:c>
      <x:c r="N439" s="10" t="n">
        <x:v>378491.48</x:v>
      </x:c>
      <x:c r="O439" s="9" t="n">
        <x:v>-0.5462361572</x:v>
      </x:c>
      <x:c r="P439" s="9" t="n">
        <x:v>0.9152416357</x:v>
      </x:c>
      <x:c r="Q439" s="9" t="n">
        <x:v>0.292936803</x:v>
      </x:c>
      <x:c r="R439" s="3" t="b">
        <x:v>1</x:v>
      </x:c>
      <x:c r="S439" s="3" t="b">
        <x:v>0</x:v>
      </x:c>
      <x:c r="T439" s="3" t="b">
        <x:v>0</x:v>
      </x:c>
      <x:c r="U439" s="2" t="str">
        <x:f>IF(T439=TRUE,"Priority review",IF(R439=TRUE,"High cost",IF(S439=TRUE,"Low quality","Benchmark")))</x:f>
        <x:v>High cost</x:v>
      </x:c>
    </x:row>
    <x:row r="440">
      <x:c r="A440" s="2" t="str">
        <x:v>050281</x:v>
      </x:c>
      <x:c r="B440" s="2" t="str">
        <x:v>ALHAMBRA HOSPITAL MEDICAL CENTER</x:v>
      </x:c>
      <x:c r="C440" s="2" t="str">
        <x:v>ALHAMBRA</x:v>
      </x:c>
      <x:c r="D440" s="2" t="str">
        <x:v>CA</x:v>
      </x:c>
      <x:c r="E440" s="2" t="str">
        <x:v>Acute Care Hospitals</x:v>
      </x:c>
      <x:c r="F440" s="2" t="str">
        <x:v>Proprietary</x:v>
      </x:c>
      <x:c r="G440" s="2" t="str">
        <x:v>Medium (100-299 beds)</x:v>
      </x:c>
      <x:c r="H440" s="7" t="n">
        <x:v>4</x:v>
      </x:c>
      <x:c r="I440" s="7" t="n">
        <x:v>3</x:v>
      </x:c>
      <x:c r="J440" s="7" t="n">
        <x:v>1.18</x:v>
      </x:c>
      <x:c r="K440" s="8" t="n">
        <x:v>101</x:v>
      </x:c>
      <x:c r="L440" s="8" t="n">
        <x:v>4262</x:v>
      </x:c>
      <x:c r="M440" s="9" t="n">
        <x:v>0.5306116913</x:v>
      </x:c>
      <x:c r="N440" s="10" t="n">
        <x:v>63070.2508212107</x:v>
      </x:c>
      <x:c r="O440" s="9" t="n">
        <x:v>-1.9273882809</x:v>
      </x:c>
      <x:c r="P440" s="9" t="n">
        <x:v>0.9152404238</x:v>
      </x:c>
      <x:c r="Q440" s="9" t="n">
        <x:v>0.6022819886</x:v>
      </x:c>
      <x:c r="R440" s="3" t="b">
        <x:v>1</x:v>
      </x:c>
      <x:c r="S440" s="3" t="b">
        <x:v>0</x:v>
      </x:c>
      <x:c r="T440" s="3" t="b">
        <x:v>0</x:v>
      </x:c>
      <x:c r="U440" s="2" t="str">
        <x:f>IF(T440=TRUE,"Priority review",IF(R440=TRUE,"High cost",IF(S440=TRUE,"Low quality","Benchmark")))</x:f>
        <x:v>High cost</x:v>
      </x:c>
    </x:row>
    <x:row r="441">
      <x:c r="A441" s="2" t="str">
        <x:v>130006</x:v>
      </x:c>
      <x:c r="B441" s="2" t="str">
        <x:v>ST LUKE'S REGIONAL MEDICAL CENTER</x:v>
      </x:c>
      <x:c r="C441" s="2" t="str">
        <x:v>BOISE</x:v>
      </x:c>
      <x:c r="D441" s="2" t="str">
        <x:v>ID</x:v>
      </x:c>
      <x:c r="E441" s="2" t="str">
        <x:v>Acute Care Hospitals</x:v>
      </x:c>
      <x:c r="F441" s="2" t="str">
        <x:v>Voluntary non-profit</x:v>
      </x:c>
      <x:c r="G441" s="2" t="str">
        <x:v>Large (300+ beds)</x:v>
      </x:c>
      <x:c r="H441" s="7" t="n">
        <x:v>5</x:v>
      </x:c>
      <x:c r="I441" s="7" t="n">
        <x:v>4</x:v>
      </x:c>
      <x:c r="J441" s="7" t="n">
        <x:v>0.96</x:v>
      </x:c>
      <x:c r="K441" s="8" t="n">
        <x:v>560</x:v>
      </x:c>
      <x:c r="L441" s="8" t="n">
        <x:v>31044</x:v>
      </x:c>
      <x:c r="M441" s="9" t="n">
        <x:v>0.674824356</x:v>
      </x:c>
      <x:c r="N441" s="10" t="n">
        <x:v>80682.1661834815</x:v>
      </x:c>
      <x:c r="O441" s="9" t="n">
        <x:v>-0.0031429814</x:v>
      </x:c>
      <x:c r="P441" s="9" t="n">
        <x:v>0.9148264984</x:v>
      </x:c>
      <x:c r="Q441" s="9" t="n">
        <x:v>0.8722397476</x:v>
      </x:c>
      <x:c r="R441" s="3" t="b">
        <x:v>1</x:v>
      </x:c>
      <x:c r="S441" s="3" t="b">
        <x:v>0</x:v>
      </x:c>
      <x:c r="T441" s="3" t="b">
        <x:v>0</x:v>
      </x:c>
      <x:c r="U441" s="2" t="str">
        <x:f>IF(T441=TRUE,"Priority review",IF(R441=TRUE,"High cost",IF(S441=TRUE,"Low quality","Benchmark")))</x:f>
        <x:v>High cost</x:v>
      </x:c>
    </x:row>
    <x:row r="442">
      <x:c r="A442" s="2" t="str">
        <x:v>260034</x:v>
      </x:c>
      <x:c r="B442" s="2" t="str">
        <x:v>BATES COUNTY MEMORIAL HOSPITAL</x:v>
      </x:c>
      <x:c r="C442" s="2" t="str">
        <x:v>BUTLER</x:v>
      </x:c>
      <x:c r="D442" s="2" t="str">
        <x:v>MO</x:v>
      </x:c>
      <x:c r="E442" s="2" t="str">
        <x:v>Acute Care Hospitals</x:v>
      </x:c>
      <x:c r="F442" s="2" t="str">
        <x:v>Government</x:v>
      </x:c>
      <x:c r="G442" s="2" t="str">
        <x:v>Small (&lt;100 beds)</x:v>
      </x:c>
      <x:c r="H442" s="7" t="n">
        <x:v>3</x:v>
      </x:c>
      <x:c r="I442" s="7"/>
      <x:c r="J442" s="7" t="n">
        <x:v>0.88</x:v>
      </x:c>
      <x:c r="K442" s="8" t="n">
        <x:v>40</x:v>
      </x:c>
      <x:c r="L442" s="8" t="n">
        <x:v>294</x:v>
      </x:c>
      <x:c r="M442" s="9" t="n">
        <x:v>0.0672814208</x:v>
      </x:c>
      <x:c r="N442" s="10" t="n">
        <x:v>166041.3605442177</x:v>
      </x:c>
      <x:c r="O442" s="9" t="n">
        <x:v>-0.1160202286</x:v>
      </x:c>
      <x:c r="P442" s="9" t="n">
        <x:v>0.9147217235</x:v>
      </x:c>
      <x:c r="Q442" s="9" t="n">
        <x:v>0.1687612208</x:v>
      </x:c>
      <x:c r="R442" s="3" t="b">
        <x:v>1</x:v>
      </x:c>
      <x:c r="S442" s="3" t="b">
        <x:v>0</x:v>
      </x:c>
      <x:c r="T442" s="3" t="b">
        <x:v>0</x:v>
      </x:c>
      <x:c r="U442" s="2" t="str">
        <x:f>IF(T442=TRUE,"Priority review",IF(R442=TRUE,"High cost",IF(S442=TRUE,"Low quality","Benchmark")))</x:f>
        <x:v>High cost</x:v>
      </x:c>
    </x:row>
    <x:row r="443">
      <x:c r="A443" s="2" t="str">
        <x:v>231323</x:v>
      </x:c>
      <x:c r="B443" s="2" t="str">
        <x:v>COREWELL HEALTH REED CITY HOSPITAL</x:v>
      </x:c>
      <x:c r="C443" s="2" t="str">
        <x:v>REED CITY</x:v>
      </x:c>
      <x:c r="D443" s="2" t="str">
        <x:v>MI</x:v>
      </x:c>
      <x:c r="E443" s="2" t="str">
        <x:v>Critical Access Hospitals</x:v>
      </x:c>
      <x:c r="F443" s="2" t="str">
        <x:v>Voluntary non-profit</x:v>
      </x:c>
      <x:c r="G443" s="2" t="str">
        <x:v>Small (&lt;100 beds)</x:v>
      </x:c>
      <x:c r="H443" s="7"/>
      <x:c r="I443" s="7"/>
      <x:c r="J443" s="7"/>
      <x:c r="K443" s="8" t="n">
        <x:v>22</x:v>
      </x:c>
      <x:c r="L443" s="8" t="n">
        <x:v>191</x:v>
      </x:c>
      <x:c r="M443" s="9" t="n">
        <x:v>0.0542963885</x:v>
      </x:c>
      <x:c r="N443" s="10" t="n">
        <x:v>375209.8272251309</x:v>
      </x:c>
      <x:c r="O443" s="9" t="n">
        <x:v>0.2273290651</x:v>
      </x:c>
      <x:c r="P443" s="9" t="n">
        <x:v>0.9144981413</x:v>
      </x:c>
      <x:c r="Q443" s="9" t="n">
        <x:v>0.292936803</x:v>
      </x:c>
      <x:c r="R443" s="3" t="b">
        <x:v>1</x:v>
      </x:c>
      <x:c r="S443" s="3" t="b">
        <x:v>0</x:v>
      </x:c>
      <x:c r="T443" s="3" t="b">
        <x:v>0</x:v>
      </x:c>
      <x:c r="U443" s="2" t="str">
        <x:f>IF(T443=TRUE,"Priority review",IF(R443=TRUE,"High cost",IF(S443=TRUE,"Low quality","Benchmark")))</x:f>
        <x:v>High cost</x:v>
      </x:c>
    </x:row>
    <x:row r="444">
      <x:c r="A444" s="2" t="str">
        <x:v>450422</x:v>
      </x:c>
      <x:c r="B444" s="2" t="str">
        <x:v>BAYLOR SCOTT AND WHITE MEDICAL CENTER UPTOWN</x:v>
      </x:c>
      <x:c r="C444" s="2" t="str">
        <x:v>DALLAS</x:v>
      </x:c>
      <x:c r="D444" s="2" t="str">
        <x:v>TX</x:v>
      </x:c>
      <x:c r="E444" s="2" t="str">
        <x:v>Acute Care Hospitals</x:v>
      </x:c>
      <x:c r="F444" s="2" t="str">
        <x:v>Proprietary</x:v>
      </x:c>
      <x:c r="G444" s="2" t="str">
        <x:v>Small (&lt;100 beds)</x:v>
      </x:c>
      <x:c r="H444" s="7"/>
      <x:c r="I444" s="7"/>
      <x:c r="J444" s="7" t="n">
        <x:v>1.07</x:v>
      </x:c>
      <x:c r="K444" s="8" t="n">
        <x:v>24</x:v>
      </x:c>
      <x:c r="L444" s="8" t="n">
        <x:v>377</x:v>
      </x:c>
      <x:c r="M444" s="9" t="n">
        <x:v>0.0936930783</x:v>
      </x:c>
      <x:c r="N444" s="10" t="n">
        <x:v>165773.3580901857</x:v>
      </x:c>
      <x:c r="O444" s="9" t="n">
        <x:v>0.2599486821</x:v>
      </x:c>
      <x:c r="P444" s="9" t="n">
        <x:v>0.9138240575</x:v>
      </x:c>
      <x:c r="Q444" s="9" t="n">
        <x:v>0.697486535</x:v>
      </x:c>
      <x:c r="R444" s="3" t="b">
        <x:v>1</x:v>
      </x:c>
      <x:c r="S444" s="3" t="b">
        <x:v>0</x:v>
      </x:c>
      <x:c r="T444" s="3" t="b">
        <x:v>0</x:v>
      </x:c>
      <x:c r="U444" s="2" t="str">
        <x:f>IF(T444=TRUE,"Priority review",IF(R444=TRUE,"High cost",IF(S444=TRUE,"Low quality","Benchmark")))</x:f>
        <x:v>High cost</x:v>
      </x:c>
    </x:row>
    <x:row r="445">
      <x:c r="A445" s="2" t="str">
        <x:v>271324</x:v>
      </x:c>
      <x:c r="B445" s="2" t="str">
        <x:v>PONDERA MEDICAL CENTER</x:v>
      </x:c>
      <x:c r="C445" s="2" t="str">
        <x:v>CONRAD</x:v>
      </x:c>
      <x:c r="D445" s="2" t="str">
        <x:v>MT</x:v>
      </x:c>
      <x:c r="E445" s="2" t="str">
        <x:v>Critical Access Hospitals</x:v>
      </x:c>
      <x:c r="F445" s="2" t="str">
        <x:v>Voluntary non-profit</x:v>
      </x:c>
      <x:c r="G445" s="2" t="str">
        <x:v>Small (&lt;100 beds)</x:v>
      </x:c>
      <x:c r="H445" s="7"/>
      <x:c r="I445" s="7"/>
      <x:c r="J445" s="7"/>
      <x:c r="K445" s="8" t="n">
        <x:v>20</x:v>
      </x:c>
      <x:c r="L445" s="8" t="n">
        <x:v>54</x:v>
      </x:c>
      <x:c r="M445" s="9" t="n">
        <x:v>0.0733606557</x:v>
      </x:c>
      <x:c r="N445" s="10" t="n">
        <x:v>374199.0740740741</x:v>
      </x:c>
      <x:c r="O445" s="9" t="n">
        <x:v>-0.0525849988</x:v>
      </x:c>
      <x:c r="P445" s="9" t="n">
        <x:v>0.9137546468</x:v>
      </x:c>
      <x:c r="Q445" s="9" t="n">
        <x:v>0.292936803</x:v>
      </x:c>
      <x:c r="R445" s="3" t="b">
        <x:v>1</x:v>
      </x:c>
      <x:c r="S445" s="3" t="b">
        <x:v>0</x:v>
      </x:c>
      <x:c r="T445" s="3" t="b">
        <x:v>0</x:v>
      </x:c>
      <x:c r="U445" s="2" t="str">
        <x:f>IF(T445=TRUE,"Priority review",IF(R445=TRUE,"High cost",IF(S445=TRUE,"Low quality","Benchmark")))</x:f>
        <x:v>High cost</x:v>
      </x:c>
    </x:row>
    <x:row r="446">
      <x:c r="A446" s="2" t="str">
        <x:v>050425</x:v>
      </x:c>
      <x:c r="B446" s="2" t="str">
        <x:v>KAISER FOUNDATION HOSPITAL - SACRAMENTO</x:v>
      </x:c>
      <x:c r="C446" s="2" t="str">
        <x:v>SACRAMENTO</x:v>
      </x:c>
      <x:c r="D446" s="2" t="str">
        <x:v>CA</x:v>
      </x:c>
      <x:c r="E446" s="2" t="str">
        <x:v>Acute Care Hospitals</x:v>
      </x:c>
      <x:c r="F446" s="2" t="str">
        <x:v>Voluntary non-profit</x:v>
      </x:c>
      <x:c r="G446" s="2" t="str">
        <x:v>Medium (100-299 beds)</x:v>
      </x:c>
      <x:c r="H446" s="7" t="n">
        <x:v>4</x:v>
      </x:c>
      <x:c r="I446" s="7" t="n">
        <x:v>3</x:v>
      </x:c>
      <x:c r="J446" s="7" t="n">
        <x:v>0.98</x:v>
      </x:c>
      <x:c r="K446" s="8" t="n">
        <x:v>283</x:v>
      </x:c>
      <x:c r="L446" s="8" t="n">
        <x:v>14378</x:v>
      </x:c>
      <x:c r="M446" s="9" t="n">
        <x:v>0.6138632073</x:v>
      </x:c>
      <x:c r="N446" s="10" t="n">
        <x:v>62416.3670886076</x:v>
      </x:c>
      <x:c r="O446" s="9" t="n">
        <x:v>0.018096689</x:v>
      </x:c>
      <x:c r="P446" s="9" t="n">
        <x:v>0.9136104319</x:v>
      </x:c>
      <x:c r="Q446" s="9" t="n">
        <x:v>0.6022819886</x:v>
      </x:c>
      <x:c r="R446" s="3" t="b">
        <x:v>1</x:v>
      </x:c>
      <x:c r="S446" s="3" t="b">
        <x:v>0</x:v>
      </x:c>
      <x:c r="T446" s="3" t="b">
        <x:v>0</x:v>
      </x:c>
      <x:c r="U446" s="2" t="str">
        <x:f>IF(T446=TRUE,"Priority review",IF(R446=TRUE,"High cost",IF(S446=TRUE,"Low quality","Benchmark")))</x:f>
        <x:v>High cost</x:v>
      </x:c>
    </x:row>
    <x:row r="447">
      <x:c r="A447" s="2" t="str">
        <x:v>220086</x:v>
      </x:c>
      <x:c r="B447" s="2" t="str">
        <x:v>BETH ISRAEL DEACONESS MEDICAL CENTER</x:v>
      </x:c>
      <x:c r="C447" s="2" t="str">
        <x:v>BOSTON</x:v>
      </x:c>
      <x:c r="D447" s="2" t="str">
        <x:v>MA</x:v>
      </x:c>
      <x:c r="E447" s="2" t="str">
        <x:v>Acute Care Hospitals</x:v>
      </x:c>
      <x:c r="F447" s="2" t="str">
        <x:v>Voluntary non-profit</x:v>
      </x:c>
      <x:c r="G447" s="2" t="str">
        <x:v>Large (300+ beds)</x:v>
      </x:c>
      <x:c r="H447" s="7" t="n">
        <x:v>3</x:v>
      </x:c>
      <x:c r="I447" s="7" t="n">
        <x:v>4</x:v>
      </x:c>
      <x:c r="J447" s="7" t="n">
        <x:v>0.98</x:v>
      </x:c>
      <x:c r="K447" s="8" t="n">
        <x:v>705</x:v>
      </x:c>
      <x:c r="L447" s="8" t="n">
        <x:v>38568</x:v>
      </x:c>
      <x:c r="M447" s="9" t="n">
        <x:v>0.9647715382</x:v>
      </x:c>
      <x:c r="N447" s="10" t="n">
        <x:v>80404.7051960174</x:v>
      </x:c>
      <x:c r="O447" s="9" t="n">
        <x:v>-0.4672951864</x:v>
      </x:c>
      <x:c r="P447" s="9" t="n">
        <x:v>0.9132492114</x:v>
      </x:c>
      <x:c r="Q447" s="9" t="n">
        <x:v>0.2570977918</x:v>
      </x:c>
      <x:c r="R447" s="3" t="b">
        <x:v>1</x:v>
      </x:c>
      <x:c r="S447" s="3" t="b">
        <x:v>0</x:v>
      </x:c>
      <x:c r="T447" s="3" t="b">
        <x:v>0</x:v>
      </x:c>
      <x:c r="U447" s="2" t="str">
        <x:f>IF(T447=TRUE,"Priority review",IF(R447=TRUE,"High cost",IF(S447=TRUE,"Low quality","Benchmark")))</x:f>
        <x:v>High cost</x:v>
      </x:c>
    </x:row>
    <x:row r="448">
      <x:c r="A448" s="2" t="str">
        <x:v>241339</x:v>
      </x:c>
      <x:c r="B448" s="2" t="str">
        <x:v>HENDRICKS COMMUNITY HOSPITAL</x:v>
      </x:c>
      <x:c r="C448" s="2" t="str">
        <x:v>HENDRICKS</x:v>
      </x:c>
      <x:c r="D448" s="2" t="str">
        <x:v>MN</x:v>
      </x:c>
      <x:c r="E448" s="2" t="str">
        <x:v>Critical Access Hospitals</x:v>
      </x:c>
      <x:c r="F448" s="2" t="str">
        <x:v>Voluntary non-profit</x:v>
      </x:c>
      <x:c r="G448" s="2" t="str">
        <x:v>Small (&lt;100 beds)</x:v>
      </x:c>
      <x:c r="H448" s="7"/>
      <x:c r="I448" s="7"/>
      <x:c r="J448" s="7"/>
      <x:c r="K448" s="8" t="n">
        <x:v>24</x:v>
      </x:c>
      <x:c r="L448" s="8" t="n">
        <x:v>48</x:v>
      </x:c>
      <x:c r="M448" s="9" t="n">
        <x:v>0.1107305936</x:v>
      </x:c>
      <x:c r="N448" s="10" t="n">
        <x:v>373943.75</x:v>
      </x:c>
      <x:c r="O448" s="9" t="n">
        <x:v>-0.041634205</x:v>
      </x:c>
      <x:c r="P448" s="9" t="n">
        <x:v>0.9130111524</x:v>
      </x:c>
      <x:c r="Q448" s="9" t="n">
        <x:v>0.292936803</x:v>
      </x:c>
      <x:c r="R448" s="3" t="b">
        <x:v>1</x:v>
      </x:c>
      <x:c r="S448" s="3" t="b">
        <x:v>0</x:v>
      </x:c>
      <x:c r="T448" s="3" t="b">
        <x:v>0</x:v>
      </x:c>
      <x:c r="U448" s="2" t="str">
        <x:f>IF(T448=TRUE,"Priority review",IF(R448=TRUE,"High cost",IF(S448=TRUE,"Low quality","Benchmark")))</x:f>
        <x:v>High cost</x:v>
      </x:c>
    </x:row>
    <x:row r="449">
      <x:c r="A449" s="2" t="str">
        <x:v>180138</x:v>
      </x:c>
      <x:c r="B449" s="2" t="str">
        <x:v>BAPTIST HEALTH LAGRANGE</x:v>
      </x:c>
      <x:c r="C449" s="2" t="str">
        <x:v>LA GRANGE</x:v>
      </x:c>
      <x:c r="D449" s="2" t="str">
        <x:v>KY</x:v>
      </x:c>
      <x:c r="E449" s="2" t="str">
        <x:v>Acute Care Hospitals</x:v>
      </x:c>
      <x:c r="F449" s="2" t="str">
        <x:v>Voluntary non-profit</x:v>
      </x:c>
      <x:c r="G449" s="2" t="str">
        <x:v>Small (&lt;100 beds)</x:v>
      </x:c>
      <x:c r="H449" s="7" t="n">
        <x:v>5</x:v>
      </x:c>
      <x:c r="I449" s="7" t="n">
        <x:v>4</x:v>
      </x:c>
      <x:c r="J449" s="7" t="n">
        <x:v>1.01</x:v>
      </x:c>
      <x:c r="K449" s="8" t="n">
        <x:v>52</x:v>
      </x:c>
      <x:c r="L449" s="8" t="n">
        <x:v>1755</x:v>
      </x:c>
      <x:c r="M449" s="9" t="n">
        <x:v>0.3384088514</x:v>
      </x:c>
      <x:c r="N449" s="10" t="n">
        <x:v>165526.6774928775</x:v>
      </x:c>
      <x:c r="O449" s="9" t="n">
        <x:v>0.0253065603</x:v>
      </x:c>
      <x:c r="P449" s="9" t="n">
        <x:v>0.9129263914</x:v>
      </x:c>
      <x:c r="Q449" s="9" t="n">
        <x:v>0.6131059246</x:v>
      </x:c>
      <x:c r="R449" s="3" t="b">
        <x:v>1</x:v>
      </x:c>
      <x:c r="S449" s="3" t="b">
        <x:v>0</x:v>
      </x:c>
      <x:c r="T449" s="3" t="b">
        <x:v>0</x:v>
      </x:c>
      <x:c r="U449" s="2" t="str">
        <x:f>IF(T449=TRUE,"Priority review",IF(R449=TRUE,"High cost",IF(S449=TRUE,"Low quality","Benchmark")))</x:f>
        <x:v>High cost</x:v>
      </x:c>
    </x:row>
    <x:row r="450">
      <x:c r="A450" s="2" t="str">
        <x:v>220017</x:v>
      </x:c>
      <x:c r="B450" s="2" t="str">
        <x:v>CARNEY HOSPITAL</x:v>
      </x:c>
      <x:c r="C450" s="2" t="str">
        <x:v>BOSTON</x:v>
      </x:c>
      <x:c r="D450" s="2" t="str">
        <x:v>MA</x:v>
      </x:c>
      <x:c r="E450" s="2" t="str">
        <x:v>Acute Care Hospitals</x:v>
      </x:c>
      <x:c r="F450" s="2" t="str">
        <x:v>Proprietary</x:v>
      </x:c>
      <x:c r="G450" s="2" t="str">
        <x:v>Medium (100-299 beds)</x:v>
      </x:c>
      <x:c r="H450" s="7"/>
      <x:c r="I450" s="7"/>
      <x:c r="J450" s="7"/>
      <x:c r="K450" s="8" t="n">
        <x:v>106</x:v>
      </x:c>
      <x:c r="L450" s="8" t="n">
        <x:v>1369</x:v>
      </x:c>
      <x:c r="M450" s="9" t="n">
        <x:v>0.3449802003</x:v>
      </x:c>
      <x:c r="N450" s="10" t="n">
        <x:v>62404.5478451424</x:v>
      </x:c>
      <x:c r="O450" s="9" t="n">
        <x:v>-0.6925086726</x:v>
      </x:c>
      <x:c r="P450" s="9" t="n">
        <x:v>0.912795436</x:v>
      </x:c>
      <x:c r="Q450" s="9" t="n">
        <x:v>0.9616951915</x:v>
      </x:c>
      <x:c r="R450" s="3" t="b">
        <x:v>1</x:v>
      </x:c>
      <x:c r="S450" s="3" t="b">
        <x:v>0</x:v>
      </x:c>
      <x:c r="T450" s="3" t="b">
        <x:v>0</x:v>
      </x:c>
      <x:c r="U450" s="2" t="str">
        <x:f>IF(T450=TRUE,"Priority review",IF(R450=TRUE,"High cost",IF(S450=TRUE,"Low quality","Benchmark")))</x:f>
        <x:v>High cost</x:v>
      </x:c>
    </x:row>
    <x:row r="451">
      <x:c r="A451" s="2" t="str">
        <x:v>164002</x:v>
      </x:c>
      <x:c r="B451" s="2" t="str">
        <x:v>MENTAL HEALTH INSTITUTE</x:v>
      </x:c>
      <x:c r="C451" s="2" t="str">
        <x:v>CHEROKEE</x:v>
      </x:c>
      <x:c r="D451" s="2" t="str">
        <x:v>IA</x:v>
      </x:c>
      <x:c r="E451" s="2" t="str">
        <x:v>Psychiatric</x:v>
      </x:c>
      <x:c r="F451" s="2" t="str">
        <x:v>Government</x:v>
      </x:c>
      <x:c r="G451" s="2" t="str">
        <x:v>Small (&lt;100 beds)</x:v>
      </x:c>
      <x:c r="H451" s="7"/>
      <x:c r="I451" s="7"/>
      <x:c r="J451" s="7"/>
      <x:c r="K451" s="8" t="n">
        <x:v>36</x:v>
      </x:c>
      <x:c r="L451" s="8" t="n">
        <x:v>165</x:v>
      </x:c>
      <x:c r="M451" s="9" t="n">
        <x:v>0.9928658166</x:v>
      </x:c>
      <x:c r="N451" s="10" t="n">
        <x:v>136385.2666666667</x:v>
      </x:c>
      <x:c r="O451" s="9"/>
      <x:c r="P451" s="9" t="n">
        <x:v>0.9126213592</x:v>
      </x:c>
      <x:c r="Q451" s="9" t="n">
        <x:v>0</x:v>
      </x:c>
      <x:c r="R451" s="3" t="b">
        <x:v>1</x:v>
      </x:c>
      <x:c r="S451" s="3" t="b">
        <x:v>0</x:v>
      </x:c>
      <x:c r="T451" s="3" t="b">
        <x:v>0</x:v>
      </x:c>
      <x:c r="U451" s="2" t="str">
        <x:f>IF(T451=TRUE,"Priority review",IF(R451=TRUE,"High cost",IF(S451=TRUE,"Low quality","Benchmark")))</x:f>
        <x:v>High cost</x:v>
      </x:c>
    </x:row>
    <x:row r="452">
      <x:c r="A452" s="2" t="str">
        <x:v>291304</x:v>
      </x:c>
      <x:c r="B452" s="2" t="str">
        <x:v>PERSHING GENERAL HOSPITAL</x:v>
      </x:c>
      <x:c r="C452" s="2" t="str">
        <x:v>LOVELOCK</x:v>
      </x:c>
      <x:c r="D452" s="2" t="str">
        <x:v>NV</x:v>
      </x:c>
      <x:c r="E452" s="2" t="str">
        <x:v>Critical Access Hospitals</x:v>
      </x:c>
      <x:c r="F452" s="2" t="str">
        <x:v>Government</x:v>
      </x:c>
      <x:c r="G452" s="2" t="str">
        <x:v>Small (&lt;100 beds)</x:v>
      </x:c>
      <x:c r="H452" s="7"/>
      <x:c r="I452" s="7"/>
      <x:c r="J452" s="7"/>
      <x:c r="K452" s="8" t="n">
        <x:v>13</x:v>
      </x:c>
      <x:c r="L452" s="8" t="n">
        <x:v>51</x:v>
      </x:c>
      <x:c r="M452" s="9" t="n">
        <x:v>0.3928345627</x:v>
      </x:c>
      <x:c r="N452" s="10" t="n">
        <x:v>370266.8431372549</x:v>
      </x:c>
      <x:c r="O452" s="9" t="n">
        <x:v>-0.1473979339</x:v>
      </x:c>
      <x:c r="P452" s="9" t="n">
        <x:v>0.912267658</x:v>
      </x:c>
      <x:c r="Q452" s="9" t="n">
        <x:v>0.292936803</x:v>
      </x:c>
      <x:c r="R452" s="3" t="b">
        <x:v>1</x:v>
      </x:c>
      <x:c r="S452" s="3" t="b">
        <x:v>0</x:v>
      </x:c>
      <x:c r="T452" s="3" t="b">
        <x:v>0</x:v>
      </x:c>
      <x:c r="U452" s="2" t="str">
        <x:f>IF(T452=TRUE,"Priority review",IF(R452=TRUE,"High cost",IF(S452=TRUE,"Low quality","Benchmark")))</x:f>
        <x:v>High cost</x:v>
      </x:c>
    </x:row>
    <x:row r="453">
      <x:c r="A453" s="2" t="str">
        <x:v>340148</x:v>
      </x:c>
      <x:c r="B453" s="2" t="str">
        <x:v>NOVANT HEALTH MEDICAL PARK HOSPITAL</x:v>
      </x:c>
      <x:c r="C453" s="2" t="str">
        <x:v>WINSTON-SALEM</x:v>
      </x:c>
      <x:c r="D453" s="2" t="str">
        <x:v>NC</x:v>
      </x:c>
      <x:c r="E453" s="2" t="str">
        <x:v>Acute Care Hospitals</x:v>
      </x:c>
      <x:c r="F453" s="2" t="str">
        <x:v>Voluntary non-profit</x:v>
      </x:c>
      <x:c r="G453" s="2" t="str">
        <x:v>Small (&lt;100 beds)</x:v>
      </x:c>
      <x:c r="H453" s="7" t="n">
        <x:v>5</x:v>
      </x:c>
      <x:c r="I453" s="7" t="n">
        <x:v>4</x:v>
      </x:c>
      <x:c r="J453" s="7" t="n">
        <x:v>0.92</x:v>
      </x:c>
      <x:c r="K453" s="8" t="n">
        <x:v>9</x:v>
      </x:c>
      <x:c r="L453" s="8" t="n">
        <x:v>487</x:v>
      </x:c>
      <x:c r="M453" s="9" t="n">
        <x:v>0.393442623</x:v>
      </x:c>
      <x:c r="N453" s="10" t="n">
        <x:v>165030.9199178645</x:v>
      </x:c>
      <x:c r="O453" s="9" t="n">
        <x:v>0.1641196568</x:v>
      </x:c>
      <x:c r="P453" s="9" t="n">
        <x:v>0.9120287253</x:v>
      </x:c>
      <x:c r="Q453" s="9" t="n">
        <x:v>0.6131059246</x:v>
      </x:c>
      <x:c r="R453" s="3" t="b">
        <x:v>1</x:v>
      </x:c>
      <x:c r="S453" s="3" t="b">
        <x:v>0</x:v>
      </x:c>
      <x:c r="T453" s="3" t="b">
        <x:v>0</x:v>
      </x:c>
      <x:c r="U453" s="2" t="str">
        <x:f>IF(T453=TRUE,"Priority review",IF(R453=TRUE,"High cost",IF(S453=TRUE,"Low quality","Benchmark")))</x:f>
        <x:v>High cost</x:v>
      </x:c>
    </x:row>
    <x:row r="454">
      <x:c r="A454" s="2" t="str">
        <x:v>050039</x:v>
      </x:c>
      <x:c r="B454" s="2" t="str">
        <x:v>ENLOE HEALTH</x:v>
      </x:c>
      <x:c r="C454" s="2" t="str">
        <x:v>CHICO</x:v>
      </x:c>
      <x:c r="D454" s="2" t="str">
        <x:v>CA</x:v>
      </x:c>
      <x:c r="E454" s="2" t="str">
        <x:v>Acute Care Hospitals</x:v>
      </x:c>
      <x:c r="F454" s="2" t="str">
        <x:v>Voluntary non-profit</x:v>
      </x:c>
      <x:c r="G454" s="2" t="str">
        <x:v>Medium (100-299 beds)</x:v>
      </x:c>
      <x:c r="H454" s="7" t="n">
        <x:v>3</x:v>
      </x:c>
      <x:c r="I454" s="7" t="n">
        <x:v>3</x:v>
      </x:c>
      <x:c r="J454" s="7" t="n">
        <x:v>0.99</x:v>
      </x:c>
      <x:c r="K454" s="8" t="n">
        <x:v>228</x:v>
      </x:c>
      <x:c r="L454" s="8" t="n">
        <x:v>16893</x:v>
      </x:c>
      <x:c r="M454" s="9" t="n">
        <x:v>0.8846690307</x:v>
      </x:c>
      <x:c r="N454" s="10" t="n">
        <x:v>62354.028414136</x:v>
      </x:c>
      <x:c r="O454" s="9" t="n">
        <x:v>0.0042353519</x:v>
      </x:c>
      <x:c r="P454" s="9" t="n">
        <x:v>0.9119804401</x:v>
      </x:c>
      <x:c r="Q454" s="9" t="n">
        <x:v>0.3023634882</x:v>
      </x:c>
      <x:c r="R454" s="3" t="b">
        <x:v>1</x:v>
      </x:c>
      <x:c r="S454" s="3" t="b">
        <x:v>0</x:v>
      </x:c>
      <x:c r="T454" s="3" t="b">
        <x:v>0</x:v>
      </x:c>
      <x:c r="U454" s="2" t="str">
        <x:f>IF(T454=TRUE,"Priority review",IF(R454=TRUE,"High cost",IF(S454=TRUE,"Low quality","Benchmark")))</x:f>
        <x:v>High cost</x:v>
      </x:c>
    </x:row>
    <x:row r="455">
      <x:c r="A455" s="2" t="str">
        <x:v>340030</x:v>
      </x:c>
      <x:c r="B455" s="2" t="str">
        <x:v>DUKE UNIVERSITY HOSPITAL</x:v>
      </x:c>
      <x:c r="C455" s="2" t="str">
        <x:v>DURHAM</x:v>
      </x:c>
      <x:c r="D455" s="2" t="str">
        <x:v>NC</x:v>
      </x:c>
      <x:c r="E455" s="2" t="str">
        <x:v>Acute Care Hospitals</x:v>
      </x:c>
      <x:c r="F455" s="2" t="str">
        <x:v>Proprietary</x:v>
      </x:c>
      <x:c r="G455" s="2" t="str">
        <x:v>Large (300+ beds)</x:v>
      </x:c>
      <x:c r="H455" s="7" t="n">
        <x:v>5</x:v>
      </x:c>
      <x:c r="I455" s="7" t="n">
        <x:v>4</x:v>
      </x:c>
      <x:c r="J455" s="7" t="n">
        <x:v>0.95</x:v>
      </x:c>
      <x:c r="K455" s="8" t="n">
        <x:v>1266</x:v>
      </x:c>
      <x:c r="L455" s="8" t="n">
        <x:v>57595</x:v>
      </x:c>
      <x:c r="M455" s="9" t="n">
        <x:v>0.9020493843</x:v>
      </x:c>
      <x:c r="N455" s="10" t="n">
        <x:v>80276.5711433284</x:v>
      </x:c>
      <x:c r="O455" s="9" t="n">
        <x:v>0.0451635115</x:v>
      </x:c>
      <x:c r="P455" s="9" t="n">
        <x:v>0.9116719243</x:v>
      </x:c>
      <x:c r="Q455" s="9" t="n">
        <x:v>0.8722397476</x:v>
      </x:c>
      <x:c r="R455" s="3" t="b">
        <x:v>1</x:v>
      </x:c>
      <x:c r="S455" s="3" t="b">
        <x:v>0</x:v>
      </x:c>
      <x:c r="T455" s="3" t="b">
        <x:v>0</x:v>
      </x:c>
      <x:c r="U455" s="2" t="str">
        <x:f>IF(T455=TRUE,"Priority review",IF(R455=TRUE,"High cost",IF(S455=TRUE,"Low quality","Benchmark")))</x:f>
        <x:v>High cost</x:v>
      </x:c>
    </x:row>
    <x:row r="456">
      <x:c r="A456" s="2" t="str">
        <x:v>501319</x:v>
      </x:c>
      <x:c r="B456" s="2" t="str">
        <x:v>ARBOR HEALTH MORTON HOSPITAL</x:v>
      </x:c>
      <x:c r="C456" s="2" t="str">
        <x:v>MORTON</x:v>
      </x:c>
      <x:c r="D456" s="2" t="str">
        <x:v>WA</x:v>
      </x:c>
      <x:c r="E456" s="2" t="str">
        <x:v>Critical Access Hospitals</x:v>
      </x:c>
      <x:c r="F456" s="2" t="str">
        <x:v>Government</x:v>
      </x:c>
      <x:c r="G456" s="2" t="str">
        <x:v>Small (&lt;100 beds)</x:v>
      </x:c>
      <x:c r="H456" s="7"/>
      <x:c r="I456" s="7"/>
      <x:c r="J456" s="7"/>
      <x:c r="K456" s="8" t="n">
        <x:v>25</x:v>
      </x:c>
      <x:c r="L456" s="8" t="n">
        <x:v>115</x:v>
      </x:c>
      <x:c r="M456" s="9" t="n">
        <x:v>0.1656830601</x:v>
      </x:c>
      <x:c r="N456" s="10" t="n">
        <x:v>369195.3217391304</x:v>
      </x:c>
      <x:c r="O456" s="9" t="n">
        <x:v>-0.0314950091</x:v>
      </x:c>
      <x:c r="P456" s="9" t="n">
        <x:v>0.9115241636</x:v>
      </x:c>
      <x:c r="Q456" s="9" t="n">
        <x:v>0.292936803</x:v>
      </x:c>
      <x:c r="R456" s="3" t="b">
        <x:v>1</x:v>
      </x:c>
      <x:c r="S456" s="3" t="b">
        <x:v>0</x:v>
      </x:c>
      <x:c r="T456" s="3" t="b">
        <x:v>0</x:v>
      </x:c>
      <x:c r="U456" s="2" t="str">
        <x:f>IF(T456=TRUE,"Priority review",IF(R456=TRUE,"High cost",IF(S456=TRUE,"Low quality","Benchmark")))</x:f>
        <x:v>High cost</x:v>
      </x:c>
    </x:row>
    <x:row r="457">
      <x:c r="A457" s="2" t="str">
        <x:v>240047</x:v>
      </x:c>
      <x:c r="B457" s="2" t="str">
        <x:v>ST LUKES HOSPITAL</x:v>
      </x:c>
      <x:c r="C457" s="2" t="str">
        <x:v>DULUTH</x:v>
      </x:c>
      <x:c r="D457" s="2" t="str">
        <x:v>MN</x:v>
      </x:c>
      <x:c r="E457" s="2" t="str">
        <x:v>Acute Care Hospitals</x:v>
      </x:c>
      <x:c r="F457" s="2" t="str">
        <x:v>Voluntary non-profit</x:v>
      </x:c>
      <x:c r="G457" s="2" t="str">
        <x:v>Medium (100-299 beds)</x:v>
      </x:c>
      <x:c r="H457" s="7" t="n">
        <x:v>3</x:v>
      </x:c>
      <x:c r="I457" s="7" t="n">
        <x:v>3</x:v>
      </x:c>
      <x:c r="J457" s="7" t="n">
        <x:v>0.99</x:v>
      </x:c>
      <x:c r="K457" s="8" t="n">
        <x:v>238</x:v>
      </x:c>
      <x:c r="L457" s="8" t="n">
        <x:v>9799</x:v>
      </x:c>
      <x:c r="M457" s="9" t="n">
        <x:v>0.4646598365</x:v>
      </x:c>
      <x:c r="N457" s="10" t="n">
        <x:v>62258.7057863047</x:v>
      </x:c>
      <x:c r="O457" s="9" t="n">
        <x:v>1.53804452</x:v>
      </x:c>
      <x:c r="P457" s="9" t="n">
        <x:v>0.9111654442</x:v>
      </x:c>
      <x:c r="Q457" s="9" t="n">
        <x:v>0.3023634882</x:v>
      </x:c>
      <x:c r="R457" s="3" t="b">
        <x:v>1</x:v>
      </x:c>
      <x:c r="S457" s="3" t="b">
        <x:v>0</x:v>
      </x:c>
      <x:c r="T457" s="3" t="b">
        <x:v>0</x:v>
      </x:c>
      <x:c r="U457" s="2" t="str">
        <x:f>IF(T457=TRUE,"Priority review",IF(R457=TRUE,"High cost",IF(S457=TRUE,"Low quality","Benchmark")))</x:f>
        <x:v>High cost</x:v>
      </x:c>
    </x:row>
    <x:row r="458">
      <x:c r="A458" s="2" t="str">
        <x:v>060129</x:v>
      </x:c>
      <x:c r="B458" s="2" t="str">
        <x:v>UCHEALTH BROOMFIELD HOSPITAL</x:v>
      </x:c>
      <x:c r="C458" s="2" t="str">
        <x:v>BROOMFIELD</x:v>
      </x:c>
      <x:c r="D458" s="2" t="str">
        <x:v>CO</x:v>
      </x:c>
      <x:c r="E458" s="2" t="str">
        <x:v>Acute Care Hospitals</x:v>
      </x:c>
      <x:c r="F458" s="2" t="str">
        <x:v>Proprietary</x:v>
      </x:c>
      <x:c r="G458" s="2" t="str">
        <x:v>Small (&lt;100 beds)</x:v>
      </x:c>
      <x:c r="H458" s="7"/>
      <x:c r="I458" s="7" t="n">
        <x:v>4</x:v>
      </x:c>
      <x:c r="J458" s="7" t="n">
        <x:v>0.91</x:v>
      </x:c>
      <x:c r="K458" s="8" t="n">
        <x:v>20</x:v>
      </x:c>
      <x:c r="L458" s="8" t="n">
        <x:v>453</x:v>
      </x:c>
      <x:c r="M458" s="9" t="n">
        <x:v>0.2528767123</x:v>
      </x:c>
      <x:c r="N458" s="10" t="n">
        <x:v>164621.9845474614</x:v>
      </x:c>
      <x:c r="O458" s="9" t="n">
        <x:v>-0.006372159</x:v>
      </x:c>
      <x:c r="P458" s="9" t="n">
        <x:v>0.9111310592</x:v>
      </x:c>
      <x:c r="Q458" s="9" t="n">
        <x:v>0.697486535</x:v>
      </x:c>
      <x:c r="R458" s="3" t="b">
        <x:v>1</x:v>
      </x:c>
      <x:c r="S458" s="3" t="b">
        <x:v>0</x:v>
      </x:c>
      <x:c r="T458" s="3" t="b">
        <x:v>0</x:v>
      </x:c>
      <x:c r="U458" s="2" t="str">
        <x:f>IF(T458=TRUE,"Priority review",IF(R458=TRUE,"High cost",IF(S458=TRUE,"Low quality","Benchmark")))</x:f>
        <x:v>High cost</x:v>
      </x:c>
    </x:row>
    <x:row r="459">
      <x:c r="A459" s="2" t="str">
        <x:v>241317</x:v>
      </x:c>
      <x:c r="B459" s="2" t="str">
        <x:v>NORTH SHORE HEALTH</x:v>
      </x:c>
      <x:c r="C459" s="2" t="str">
        <x:v>GRAND MARAIS</x:v>
      </x:c>
      <x:c r="D459" s="2" t="str">
        <x:v>MN</x:v>
      </x:c>
      <x:c r="E459" s="2" t="str">
        <x:v>Critical Access Hospitals</x:v>
      </x:c>
      <x:c r="F459" s="2" t="str">
        <x:v>Government</x:v>
      </x:c>
      <x:c r="G459" s="2" t="str">
        <x:v>Small (&lt;100 beds)</x:v>
      </x:c>
      <x:c r="H459" s="7"/>
      <x:c r="I459" s="7"/>
      <x:c r="J459" s="7"/>
      <x:c r="K459" s="8" t="n">
        <x:v>16</x:v>
      </x:c>
      <x:c r="L459" s="8" t="n">
        <x:v>66</x:v>
      </x:c>
      <x:c r="M459" s="9" t="n">
        <x:v>0.1080942623</x:v>
      </x:c>
      <x:c r="N459" s="10" t="n">
        <x:v>368777.4393939394</x:v>
      </x:c>
      <x:c r="O459" s="9" t="n">
        <x:v>-0.0588909244</x:v>
      </x:c>
      <x:c r="P459" s="9" t="n">
        <x:v>0.9107806691</x:v>
      </x:c>
      <x:c r="Q459" s="9" t="n">
        <x:v>0.292936803</x:v>
      </x:c>
      <x:c r="R459" s="3" t="b">
        <x:v>1</x:v>
      </x:c>
      <x:c r="S459" s="3" t="b">
        <x:v>0</x:v>
      </x:c>
      <x:c r="T459" s="3" t="b">
        <x:v>0</x:v>
      </x:c>
      <x:c r="U459" s="2" t="str">
        <x:f>IF(T459=TRUE,"Priority review",IF(R459=TRUE,"High cost",IF(S459=TRUE,"Low quality","Benchmark")))</x:f>
        <x:v>High cost</x:v>
      </x:c>
    </x:row>
    <x:row r="460">
      <x:c r="A460" s="2" t="str">
        <x:v>154056</x:v>
      </x:c>
      <x:c r="B460" s="2" t="str">
        <x:v>EVANSVILLE STATE HOSPITAL</x:v>
      </x:c>
      <x:c r="C460" s="2" t="str">
        <x:v>EVANSVILLE</x:v>
      </x:c>
      <x:c r="D460" s="2" t="str">
        <x:v>IN</x:v>
      </x:c>
      <x:c r="E460" s="2" t="str">
        <x:v>Psychiatric</x:v>
      </x:c>
      <x:c r="F460" s="2" t="str">
        <x:v>Government</x:v>
      </x:c>
      <x:c r="G460" s="2" t="str">
        <x:v>Medium (100-299 beds)</x:v>
      </x:c>
      <x:c r="H460" s="7"/>
      <x:c r="I460" s="7"/>
      <x:c r="J460" s="7"/>
      <x:c r="K460" s="8" t="n">
        <x:v>168</x:v>
      </x:c>
      <x:c r="L460" s="8" t="n">
        <x:v>131</x:v>
      </x:c>
      <x:c r="M460" s="9" t="n">
        <x:v>0.9125570776</x:v>
      </x:c>
      <x:c r="N460" s="10" t="n">
        <x:v>260033.6564885496</x:v>
      </x:c>
      <x:c r="O460" s="9" t="n">
        <x:v>-3.7396809102</x:v>
      </x:c>
      <x:c r="P460" s="9" t="n">
        <x:v>0.9104477612</x:v>
      </x:c>
      <x:c r="Q460" s="9" t="n">
        <x:v>0</x:v>
      </x:c>
      <x:c r="R460" s="3" t="b">
        <x:v>1</x:v>
      </x:c>
      <x:c r="S460" s="3" t="b">
        <x:v>0</x:v>
      </x:c>
      <x:c r="T460" s="3" t="b">
        <x:v>0</x:v>
      </x:c>
      <x:c r="U460" s="2" t="str">
        <x:f>IF(T460=TRUE,"Priority review",IF(R460=TRUE,"High cost",IF(S460=TRUE,"Low quality","Benchmark")))</x:f>
        <x:v>High cost</x:v>
      </x:c>
    </x:row>
    <x:row r="461">
      <x:c r="A461" s="2" t="str">
        <x:v>050145</x:v>
      </x:c>
      <x:c r="B461" s="2" t="str">
        <x:v>COMMUNITY HOSPITAL OF THE MONTEREY PENINSULA</x:v>
      </x:c>
      <x:c r="C461" s="2" t="str">
        <x:v>MONTEREY</x:v>
      </x:c>
      <x:c r="D461" s="2" t="str">
        <x:v>CA</x:v>
      </x:c>
      <x:c r="E461" s="2" t="str">
        <x:v>Acute Care Hospitals</x:v>
      </x:c>
      <x:c r="F461" s="2" t="str">
        <x:v>Voluntary non-profit</x:v>
      </x:c>
      <x:c r="G461" s="2" t="str">
        <x:v>Medium (100-299 beds)</x:v>
      </x:c>
      <x:c r="H461" s="7" t="n">
        <x:v>4</x:v>
      </x:c>
      <x:c r="I461" s="7" t="n">
        <x:v>4</x:v>
      </x:c>
      <x:c r="J461" s="7" t="n">
        <x:v>0.94</x:v>
      </x:c>
      <x:c r="K461" s="8" t="n">
        <x:v>227</x:v>
      </x:c>
      <x:c r="L461" s="8" t="n">
        <x:v>13301</x:v>
      </x:c>
      <x:c r="M461" s="9" t="n">
        <x:v>0.6971666546</x:v>
      </x:c>
      <x:c r="N461" s="10" t="n">
        <x:v>62248.4220735283</x:v>
      </x:c>
      <x:c r="O461" s="9" t="n">
        <x:v>0.0595470418</x:v>
      </x:c>
      <x:c r="P461" s="9" t="n">
        <x:v>0.9103504482</x:v>
      </x:c>
      <x:c r="Q461" s="9" t="n">
        <x:v>0.6022819886</x:v>
      </x:c>
      <x:c r="R461" s="3" t="b">
        <x:v>1</x:v>
      </x:c>
      <x:c r="S461" s="3" t="b">
        <x:v>0</x:v>
      </x:c>
      <x:c r="T461" s="3" t="b">
        <x:v>0</x:v>
      </x:c>
      <x:c r="U461" s="2" t="str">
        <x:f>IF(T461=TRUE,"Priority review",IF(R461=TRUE,"High cost",IF(S461=TRUE,"Low quality","Benchmark")))</x:f>
        <x:v>High cost</x:v>
      </x:c>
    </x:row>
    <x:row r="462">
      <x:c r="A462" s="2" t="str">
        <x:v>150193</x:v>
      </x:c>
      <x:c r="B462" s="2" t="str">
        <x:v>FRANCISCAN HEALTH ORTHOPEDIC HOSPITAL CARMEL</x:v>
      </x:c>
      <x:c r="C462" s="2" t="str">
        <x:v>CARMEL</x:v>
      </x:c>
      <x:c r="D462" s="2" t="str">
        <x:v>IN</x:v>
      </x:c>
      <x:c r="E462" s="2" t="str">
        <x:v>Acute Care Hospitals</x:v>
      </x:c>
      <x:c r="F462" s="2" t="str">
        <x:v>Voluntary non-profit</x:v>
      </x:c>
      <x:c r="G462" s="2" t="str">
        <x:v>Small (&lt;100 beds)</x:v>
      </x:c>
      <x:c r="H462" s="7"/>
      <x:c r="I462" s="7" t="n">
        <x:v>5</x:v>
      </x:c>
      <x:c r="J462" s="7" t="n">
        <x:v>1.03</x:v>
      </x:c>
      <x:c r="K462" s="8" t="n">
        <x:v>20</x:v>
      </x:c>
      <x:c r="L462" s="8" t="n">
        <x:v>333</x:v>
      </x:c>
      <x:c r="M462" s="9" t="n">
        <x:v>0.0729508197</x:v>
      </x:c>
      <x:c r="N462" s="10" t="n">
        <x:v>161778.8168168168</x:v>
      </x:c>
      <x:c r="O462" s="9" t="n">
        <x:v>-0.5275696306</x:v>
      </x:c>
      <x:c r="P462" s="9" t="n">
        <x:v>0.9102333932</x:v>
      </x:c>
      <x:c r="Q462" s="9" t="n">
        <x:v>0.697486535</x:v>
      </x:c>
      <x:c r="R462" s="3" t="b">
        <x:v>1</x:v>
      </x:c>
      <x:c r="S462" s="3" t="b">
        <x:v>0</x:v>
      </x:c>
      <x:c r="T462" s="3" t="b">
        <x:v>0</x:v>
      </x:c>
      <x:c r="U462" s="2" t="str">
        <x:f>IF(T462=TRUE,"Priority review",IF(R462=TRUE,"High cost",IF(S462=TRUE,"Low quality","Benchmark")))</x:f>
        <x:v>High cost</x:v>
      </x:c>
    </x:row>
    <x:row r="463">
      <x:c r="A463" s="2" t="str">
        <x:v>450289</x:v>
      </x:c>
      <x:c r="B463" s="2" t="str">
        <x:v>HARRIS HEALTH</x:v>
      </x:c>
      <x:c r="C463" s="2" t="str">
        <x:v>HOUSTON</x:v>
      </x:c>
      <x:c r="D463" s="2" t="str">
        <x:v>TX</x:v>
      </x:c>
      <x:c r="E463" s="2" t="str">
        <x:v>Acute Care Hospitals</x:v>
      </x:c>
      <x:c r="F463" s="2" t="str">
        <x:v>Government</x:v>
      </x:c>
      <x:c r="G463" s="2" t="str">
        <x:v>Large (300+ beds)</x:v>
      </x:c>
      <x:c r="H463" s="7" t="n">
        <x:v>3</x:v>
      </x:c>
      <x:c r="I463" s="7" t="n">
        <x:v>3</x:v>
      </x:c>
      <x:c r="J463" s="7" t="n">
        <x:v>0.98</x:v>
      </x:c>
      <x:c r="K463" s="8" t="n">
        <x:v>595</x:v>
      </x:c>
      <x:c r="L463" s="8" t="n">
        <x:v>29886</x:v>
      </x:c>
      <x:c r="M463" s="9" t="n">
        <x:v>0.8986545438</x:v>
      </x:c>
      <x:c r="N463" s="10" t="n">
        <x:v>80135.4395034464</x:v>
      </x:c>
      <x:c r="O463" s="9" t="n">
        <x:v>-2.2014939322</x:v>
      </x:c>
      <x:c r="P463" s="9" t="n">
        <x:v>0.9100946372</x:v>
      </x:c>
      <x:c r="Q463" s="9" t="n">
        <x:v>0.2570977918</x:v>
      </x:c>
      <x:c r="R463" s="3" t="b">
        <x:v>1</x:v>
      </x:c>
      <x:c r="S463" s="3" t="b">
        <x:v>0</x:v>
      </x:c>
      <x:c r="T463" s="3" t="b">
        <x:v>0</x:v>
      </x:c>
      <x:c r="U463" s="2" t="str">
        <x:f>IF(T463=TRUE,"Priority review",IF(R463=TRUE,"High cost",IF(S463=TRUE,"Low quality","Benchmark")))</x:f>
        <x:v>High cost</x:v>
      </x:c>
    </x:row>
    <x:row r="464">
      <x:c r="A464" s="2" t="str">
        <x:v>251335</x:v>
      </x:c>
      <x:c r="B464" s="2" t="str">
        <x:v>OCHSNER STENNIS MEMORIAL HOSPITAL</x:v>
      </x:c>
      <x:c r="C464" s="2" t="str">
        <x:v>DE KALB</x:v>
      </x:c>
      <x:c r="D464" s="2" t="str">
        <x:v>MS</x:v>
      </x:c>
      <x:c r="E464" s="2" t="str">
        <x:v>Critical Access Hospitals</x:v>
      </x:c>
      <x:c r="F464" s="2" t="str">
        <x:v>Voluntary non-profit</x:v>
      </x:c>
      <x:c r="G464" s="2" t="str">
        <x:v>Small (&lt;100 beds)</x:v>
      </x:c>
      <x:c r="H464" s="7"/>
      <x:c r="I464" s="7"/>
      <x:c r="J464" s="7"/>
      <x:c r="K464" s="8" t="n">
        <x:v>25</x:v>
      </x:c>
      <x:c r="L464" s="8" t="n">
        <x:v>62</x:v>
      </x:c>
      <x:c r="M464" s="9" t="n">
        <x:v>0.2506010929</x:v>
      </x:c>
      <x:c r="N464" s="10" t="n">
        <x:v>364779.3548387097</x:v>
      </x:c>
      <x:c r="O464" s="9" t="n">
        <x:v>-0.1211338877</x:v>
      </x:c>
      <x:c r="P464" s="9" t="n">
        <x:v>0.9100371747</x:v>
      </x:c>
      <x:c r="Q464" s="9" t="n">
        <x:v>0.292936803</x:v>
      </x:c>
      <x:c r="R464" s="3" t="b">
        <x:v>1</x:v>
      </x:c>
      <x:c r="S464" s="3" t="b">
        <x:v>0</x:v>
      </x:c>
      <x:c r="T464" s="3" t="b">
        <x:v>0</x:v>
      </x:c>
      <x:c r="U464" s="2" t="str">
        <x:f>IF(T464=TRUE,"Priority review",IF(R464=TRUE,"High cost",IF(S464=TRUE,"Low quality","Benchmark")))</x:f>
        <x:v>High cost</x:v>
      </x:c>
    </x:row>
    <x:row r="465">
      <x:c r="A465" s="2" t="str">
        <x:v>314019</x:v>
      </x:c>
      <x:c r="B465" s="2" t="str">
        <x:v>RAMAPO RIDGE BEHAVIORAL HEALTH HOSPITAL</x:v>
      </x:c>
      <x:c r="C465" s="2" t="str">
        <x:v>WYCKOFF</x:v>
      </x:c>
      <x:c r="D465" s="2" t="str">
        <x:v>NJ</x:v>
      </x:c>
      <x:c r="E465" s="2" t="str">
        <x:v>Psychiatric</x:v>
      </x:c>
      <x:c r="F465" s="2" t="str">
        <x:v>Voluntary non-profit</x:v>
      </x:c>
      <x:c r="G465" s="2" t="str">
        <x:v>Small (&lt;100 beds)</x:v>
      </x:c>
      <x:c r="H465" s="7"/>
      <x:c r="I465" s="7"/>
      <x:c r="J465" s="7"/>
      <x:c r="K465" s="8" t="n">
        <x:v>58</x:v>
      </x:c>
      <x:c r="L465" s="8" t="n">
        <x:v>849</x:v>
      </x:c>
      <x:c r="M465" s="9" t="n">
        <x:v>0.7543810062</x:v>
      </x:c>
      <x:c r="N465" s="10" t="n">
        <x:v>130158.0683156655</x:v>
      </x:c>
      <x:c r="O465" s="9" t="n">
        <x:v>-0.1930101031</x:v>
      </x:c>
      <x:c r="P465" s="9" t="n">
        <x:v>0.9093851133</x:v>
      </x:c>
      <x:c r="Q465" s="9" t="n">
        <x:v>0</x:v>
      </x:c>
      <x:c r="R465" s="3" t="b">
        <x:v>1</x:v>
      </x:c>
      <x:c r="S465" s="3" t="b">
        <x:v>0</x:v>
      </x:c>
      <x:c r="T465" s="3" t="b">
        <x:v>0</x:v>
      </x:c>
      <x:c r="U465" s="2" t="str">
        <x:f>IF(T465=TRUE,"Priority review",IF(R465=TRUE,"High cost",IF(S465=TRUE,"Low quality","Benchmark")))</x:f>
        <x:v>High cost</x:v>
      </x:c>
    </x:row>
    <x:row r="466">
      <x:c r="A466" s="2" t="str">
        <x:v>130066</x:v>
      </x:c>
      <x:c r="B466" s="2" t="str">
        <x:v>NORTHWEST SPECIALTY HOSPITAL</x:v>
      </x:c>
      <x:c r="C466" s="2" t="str">
        <x:v>POST FALLS</x:v>
      </x:c>
      <x:c r="D466" s="2" t="str">
        <x:v>ID</x:v>
      </x:c>
      <x:c r="E466" s="2" t="str">
        <x:v>Acute Care Hospitals</x:v>
      </x:c>
      <x:c r="F466" s="2" t="str">
        <x:v>Proprietary</x:v>
      </x:c>
      <x:c r="G466" s="2" t="str">
        <x:v>Small (&lt;100 beds)</x:v>
      </x:c>
      <x:c r="H466" s="7"/>
      <x:c r="I466" s="7" t="n">
        <x:v>4</x:v>
      </x:c>
      <x:c r="J466" s="7" t="n">
        <x:v>0.97</x:v>
      </x:c>
      <x:c r="K466" s="8" t="n">
        <x:v>30</x:v>
      </x:c>
      <x:c r="L466" s="8" t="n">
        <x:v>1007</x:v>
      </x:c>
      <x:c r="M466" s="9" t="n">
        <x:v>0.1898801128</x:v>
      </x:c>
      <x:c r="N466" s="10" t="n">
        <x:v>161287.4438927507</x:v>
      </x:c>
      <x:c r="O466" s="9" t="n">
        <x:v>0.0024009543</x:v>
      </x:c>
      <x:c r="P466" s="9" t="n">
        <x:v>0.9093357271</x:v>
      </x:c>
      <x:c r="Q466" s="9" t="n">
        <x:v>0.697486535</x:v>
      </x:c>
      <x:c r="R466" s="3" t="b">
        <x:v>1</x:v>
      </x:c>
      <x:c r="S466" s="3" t="b">
        <x:v>0</x:v>
      </x:c>
      <x:c r="T466" s="3" t="b">
        <x:v>0</x:v>
      </x:c>
      <x:c r="U466" s="2" t="str">
        <x:f>IF(T466=TRUE,"Priority review",IF(R466=TRUE,"High cost",IF(S466=TRUE,"Low quality","Benchmark")))</x:f>
        <x:v>High cost</x:v>
      </x:c>
    </x:row>
    <x:row r="467">
      <x:c r="A467" s="2" t="str">
        <x:v>161325</x:v>
      </x:c>
      <x:c r="B467" s="2" t="str">
        <x:v>GREENE COUNTY MEDICAL CENTER</x:v>
      </x:c>
      <x:c r="C467" s="2" t="str">
        <x:v>JEFFERSON</x:v>
      </x:c>
      <x:c r="D467" s="2" t="str">
        <x:v>IA</x:v>
      </x:c>
      <x:c r="E467" s="2" t="str">
        <x:v>Critical Access Hospitals</x:v>
      </x:c>
      <x:c r="F467" s="2" t="str">
        <x:v>Government</x:v>
      </x:c>
      <x:c r="G467" s="2" t="str">
        <x:v>Small (&lt;100 beds)</x:v>
      </x:c>
      <x:c r="H467" s="7"/>
      <x:c r="I467" s="7"/>
      <x:c r="J467" s="7"/>
      <x:c r="K467" s="8" t="n">
        <x:v>25</x:v>
      </x:c>
      <x:c r="L467" s="8" t="n">
        <x:v>97</x:v>
      </x:c>
      <x:c r="M467" s="9" t="n">
        <x:v>0.3105753425</x:v>
      </x:c>
      <x:c r="N467" s="10" t="n">
        <x:v>359851.5360824742</x:v>
      </x:c>
      <x:c r="O467" s="9" t="n">
        <x:v>-0.0034230786</x:v>
      </x:c>
      <x:c r="P467" s="9" t="n">
        <x:v>0.9092936803</x:v>
      </x:c>
      <x:c r="Q467" s="9" t="n">
        <x:v>0.292936803</x:v>
      </x:c>
      <x:c r="R467" s="3" t="b">
        <x:v>1</x:v>
      </x:c>
      <x:c r="S467" s="3" t="b">
        <x:v>0</x:v>
      </x:c>
      <x:c r="T467" s="3" t="b">
        <x:v>0</x:v>
      </x:c>
      <x:c r="U467" s="2" t="str">
        <x:f>IF(T467=TRUE,"Priority review",IF(R467=TRUE,"High cost",IF(S467=TRUE,"Low quality","Benchmark")))</x:f>
        <x:v>High cost</x:v>
      </x:c>
    </x:row>
    <x:row r="468">
      <x:c r="A468" s="2" t="str">
        <x:v>050168</x:v>
      </x:c>
      <x:c r="B468" s="2" t="str">
        <x:v>PROVIDENCE ST. JUDE MEDICAL CENTER</x:v>
      </x:c>
      <x:c r="C468" s="2" t="str">
        <x:v>FULLERTON</x:v>
      </x:c>
      <x:c r="D468" s="2" t="str">
        <x:v>CA</x:v>
      </x:c>
      <x:c r="E468" s="2" t="str">
        <x:v>Acute Care Hospitals</x:v>
      </x:c>
      <x:c r="F468" s="2" t="str">
        <x:v>Voluntary non-profit</x:v>
      </x:c>
      <x:c r="G468" s="2" t="str">
        <x:v>Medium (100-299 beds)</x:v>
      </x:c>
      <x:c r="H468" s="7" t="n">
        <x:v>4</x:v>
      </x:c>
      <x:c r="I468" s="7" t="n">
        <x:v>3</x:v>
      </x:c>
      <x:c r="J468" s="7" t="n">
        <x:v>1.06</x:v>
      </x:c>
      <x:c r="K468" s="8" t="n">
        <x:v>290</x:v>
      </x:c>
      <x:c r="L468" s="8" t="n">
        <x:v>15854</x:v>
      </x:c>
      <x:c r="M468" s="9" t="n">
        <x:v>0.7359754369</x:v>
      </x:c>
      <x:c r="N468" s="10" t="n">
        <x:v>62106.1574366091</x:v>
      </x:c>
      <x:c r="O468" s="9" t="n">
        <x:v>-0.4425350574</x:v>
      </x:c>
      <x:c r="P468" s="9" t="n">
        <x:v>0.9087204564</x:v>
      </x:c>
      <x:c r="Q468" s="9" t="n">
        <x:v>0.6022819886</x:v>
      </x:c>
      <x:c r="R468" s="3" t="b">
        <x:v>1</x:v>
      </x:c>
      <x:c r="S468" s="3" t="b">
        <x:v>0</x:v>
      </x:c>
      <x:c r="T468" s="3" t="b">
        <x:v>0</x:v>
      </x:c>
      <x:c r="U468" s="2" t="str">
        <x:f>IF(T468=TRUE,"Priority review",IF(R468=TRUE,"High cost",IF(S468=TRUE,"Low quality","Benchmark")))</x:f>
        <x:v>High cost</x:v>
      </x:c>
    </x:row>
    <x:row r="469">
      <x:c r="A469" s="2" t="str">
        <x:v>281303</x:v>
      </x:c>
      <x:c r="B469" s="2" t="str">
        <x:v>NIOBRARA VALLEY HOSPITAL</x:v>
      </x:c>
      <x:c r="C469" s="2" t="str">
        <x:v>LYNCH</x:v>
      </x:c>
      <x:c r="D469" s="2" t="str">
        <x:v>NE</x:v>
      </x:c>
      <x:c r="E469" s="2" t="str">
        <x:v>Critical Access Hospitals</x:v>
      </x:c>
      <x:c r="F469" s="2" t="str">
        <x:v>Voluntary non-profit</x:v>
      </x:c>
      <x:c r="G469" s="2" t="str">
        <x:v>Small (&lt;100 beds)</x:v>
      </x:c>
      <x:c r="H469" s="7"/>
      <x:c r="I469" s="7"/>
      <x:c r="J469" s="7"/>
      <x:c r="K469" s="8" t="n">
        <x:v>15</x:v>
      </x:c>
      <x:c r="L469" s="8" t="n">
        <x:v>12</x:v>
      </x:c>
      <x:c r="M469" s="9" t="n">
        <x:v>0.0142465753</x:v>
      </x:c>
      <x:c r="N469" s="10" t="n">
        <x:v>359036</x:v>
      </x:c>
      <x:c r="O469" s="9" t="n">
        <x:v>-0.8389602806</x:v>
      </x:c>
      <x:c r="P469" s="9" t="n">
        <x:v>0.9085501859</x:v>
      </x:c>
      <x:c r="Q469" s="9" t="n">
        <x:v>0.292936803</x:v>
      </x:c>
      <x:c r="R469" s="3" t="b">
        <x:v>1</x:v>
      </x:c>
      <x:c r="S469" s="3" t="b">
        <x:v>0</x:v>
      </x:c>
      <x:c r="T469" s="3" t="b">
        <x:v>0</x:v>
      </x:c>
      <x:c r="U469" s="2" t="str">
        <x:f>IF(T469=TRUE,"Priority review",IF(R469=TRUE,"High cost",IF(S469=TRUE,"Low quality","Benchmark")))</x:f>
        <x:v>High cost</x:v>
      </x:c>
    </x:row>
    <x:row r="470">
      <x:c r="A470" s="2" t="str">
        <x:v>190251</x:v>
      </x:c>
      <x:c r="B470" s="2" t="str">
        <x:v>SURGICAL SPECIALTY CENTER OF BATON ROUGE</x:v>
      </x:c>
      <x:c r="C470" s="2" t="str">
        <x:v>BATON ROUGE</x:v>
      </x:c>
      <x:c r="D470" s="2" t="str">
        <x:v>LA</x:v>
      </x:c>
      <x:c r="E470" s="2" t="str">
        <x:v>Acute Care Hospitals</x:v>
      </x:c>
      <x:c r="F470" s="2" t="str">
        <x:v>Other / unknown</x:v>
      </x:c>
      <x:c r="G470" s="2" t="str">
        <x:v>Small (&lt;100 beds)</x:v>
      </x:c>
      <x:c r="H470" s="7"/>
      <x:c r="I470" s="7"/>
      <x:c r="J470" s="7" t="n">
        <x:v>0.88</x:v>
      </x:c>
      <x:c r="K470" s="8" t="n">
        <x:v>16</x:v>
      </x:c>
      <x:c r="L470" s="8" t="n">
        <x:v>286</x:v>
      </x:c>
      <x:c r="M470" s="9" t="n">
        <x:v>0.0759904372</x:v>
      </x:c>
      <x:c r="N470" s="10" t="n">
        <x:v>160981.6713286713</x:v>
      </x:c>
      <x:c r="O470" s="9" t="n">
        <x:v>0.1532197516</x:v>
      </x:c>
      <x:c r="P470" s="9" t="n">
        <x:v>0.908438061</x:v>
      </x:c>
      <x:c r="Q470" s="9" t="n">
        <x:v>0.697486535</x:v>
      </x:c>
      <x:c r="R470" s="3" t="b">
        <x:v>1</x:v>
      </x:c>
      <x:c r="S470" s="3" t="b">
        <x:v>0</x:v>
      </x:c>
      <x:c r="T470" s="3" t="b">
        <x:v>0</x:v>
      </x:c>
      <x:c r="U470" s="2" t="str">
        <x:f>IF(T470=TRUE,"Priority review",IF(R470=TRUE,"High cost",IF(S470=TRUE,"Low quality","Benchmark")))</x:f>
        <x:v>High cost</x:v>
      </x:c>
    </x:row>
    <x:row r="471">
      <x:c r="A471" s="2" t="str">
        <x:v>050072</x:v>
      </x:c>
      <x:c r="B471" s="2" t="str">
        <x:v>KAISER FOUNDATION HOSPITAL - WALNUT CREEK</x:v>
      </x:c>
      <x:c r="C471" s="2" t="str">
        <x:v>WALNUT CREEK</x:v>
      </x:c>
      <x:c r="D471" s="2" t="str">
        <x:v>CA</x:v>
      </x:c>
      <x:c r="E471" s="2" t="str">
        <x:v>Acute Care Hospitals</x:v>
      </x:c>
      <x:c r="F471" s="2" t="str">
        <x:v>Voluntary non-profit</x:v>
      </x:c>
      <x:c r="G471" s="2" t="str">
        <x:v>Medium (100-299 beds)</x:v>
      </x:c>
      <x:c r="H471" s="7" t="n">
        <x:v>3</x:v>
      </x:c>
      <x:c r="I471" s="7" t="n">
        <x:v>3</x:v>
      </x:c>
      <x:c r="J471" s="7" t="n">
        <x:v>0.88</x:v>
      </x:c>
      <x:c r="K471" s="8" t="n">
        <x:v>249</x:v>
      </x:c>
      <x:c r="L471" s="8" t="n">
        <x:v>13093</x:v>
      </x:c>
      <x:c r="M471" s="9" t="n">
        <x:v>0.6602365747</x:v>
      </x:c>
      <x:c r="N471" s="10" t="n">
        <x:v>62104.0992133201</x:v>
      </x:c>
      <x:c r="O471" s="9" t="n">
        <x:v>-0.0362108126</x:v>
      </x:c>
      <x:c r="P471" s="9" t="n">
        <x:v>0.9079054605</x:v>
      </x:c>
      <x:c r="Q471" s="9" t="n">
        <x:v>0.3023634882</x:v>
      </x:c>
      <x:c r="R471" s="3" t="b">
        <x:v>1</x:v>
      </x:c>
      <x:c r="S471" s="3" t="b">
        <x:v>0</x:v>
      </x:c>
      <x:c r="T471" s="3" t="b">
        <x:v>0</x:v>
      </x:c>
      <x:c r="U471" s="2" t="str">
        <x:f>IF(T471=TRUE,"Priority review",IF(R471=TRUE,"High cost",IF(S471=TRUE,"Low quality","Benchmark")))</x:f>
        <x:v>High cost</x:v>
      </x:c>
    </x:row>
    <x:row r="472">
      <x:c r="A472" s="2" t="str">
        <x:v>141308</x:v>
      </x:c>
      <x:c r="B472" s="2" t="str">
        <x:v>WASHINGTON COUNTY HOSPITAL</x:v>
      </x:c>
      <x:c r="C472" s="2" t="str">
        <x:v>NASHVILLE</x:v>
      </x:c>
      <x:c r="D472" s="2" t="str">
        <x:v>IL</x:v>
      </x:c>
      <x:c r="E472" s="2" t="str">
        <x:v>Critical Access Hospitals</x:v>
      </x:c>
      <x:c r="F472" s="2" t="str">
        <x:v>Government</x:v>
      </x:c>
      <x:c r="G472" s="2" t="str">
        <x:v>Small (&lt;100 beds)</x:v>
      </x:c>
      <x:c r="H472" s="7"/>
      <x:c r="I472" s="7"/>
      <x:c r="J472" s="7"/>
      <x:c r="K472" s="8" t="n">
        <x:v>22</x:v>
      </x:c>
      <x:c r="L472" s="8" t="n">
        <x:v>48</x:v>
      </x:c>
      <x:c r="M472" s="9" t="n">
        <x:v>0.698505604</x:v>
      </x:c>
      <x:c r="N472" s="10" t="n">
        <x:v>358093.8541666667</x:v>
      </x:c>
      <x:c r="O472" s="9" t="n">
        <x:v>0.069568397</x:v>
      </x:c>
      <x:c r="P472" s="9" t="n">
        <x:v>0.9078066914</x:v>
      </x:c>
      <x:c r="Q472" s="9" t="n">
        <x:v>0.292936803</x:v>
      </x:c>
      <x:c r="R472" s="3" t="b">
        <x:v>1</x:v>
      </x:c>
      <x:c r="S472" s="3" t="b">
        <x:v>0</x:v>
      </x:c>
      <x:c r="T472" s="3" t="b">
        <x:v>0</x:v>
      </x:c>
      <x:c r="U472" s="2" t="str">
        <x:f>IF(T472=TRUE,"Priority review",IF(R472=TRUE,"High cost",IF(S472=TRUE,"Low quality","Benchmark")))</x:f>
        <x:v>High cost</x:v>
      </x:c>
    </x:row>
    <x:row r="473">
      <x:c r="A473" s="2" t="str">
        <x:v>060133</x:v>
      </x:c>
      <x:c r="B473" s="2" t="str">
        <x:v>ST FRANCIS HOSPITAL - INTERQUEST</x:v>
      </x:c>
      <x:c r="C473" s="2" t="str">
        <x:v>COLORADO SPRINGS</x:v>
      </x:c>
      <x:c r="D473" s="2" t="str">
        <x:v>CO</x:v>
      </x:c>
      <x:c r="E473" s="2" t="str">
        <x:v>Acute Care Hospitals</x:v>
      </x:c>
      <x:c r="F473" s="2" t="str">
        <x:v>Voluntary non-profit</x:v>
      </x:c>
      <x:c r="G473" s="2" t="str">
        <x:v>Small (&lt;100 beds)</x:v>
      </x:c>
      <x:c r="H473" s="7"/>
      <x:c r="I473" s="7" t="n">
        <x:v>4</x:v>
      </x:c>
      <x:c r="J473" s="7" t="n">
        <x:v>0.88</x:v>
      </x:c>
      <x:c r="K473" s="8" t="n">
        <x:v>48</x:v>
      </x:c>
      <x:c r="L473" s="8" t="n">
        <x:v>458</x:v>
      </x:c>
      <x:c r="M473" s="9" t="n">
        <x:v>0.0555936073</x:v>
      </x:c>
      <x:c r="N473" s="10" t="n">
        <x:v>160690.172489083</x:v>
      </x:c>
      <x:c r="O473" s="9" t="n">
        <x:v>-0.5269085527</x:v>
      </x:c>
      <x:c r="P473" s="9" t="n">
        <x:v>0.907540395</x:v>
      </x:c>
      <x:c r="Q473" s="9" t="n">
        <x:v>0.697486535</x:v>
      </x:c>
      <x:c r="R473" s="3" t="b">
        <x:v>1</x:v>
      </x:c>
      <x:c r="S473" s="3" t="b">
        <x:v>0</x:v>
      </x:c>
      <x:c r="T473" s="3" t="b">
        <x:v>0</x:v>
      </x:c>
      <x:c r="U473" s="2" t="str">
        <x:f>IF(T473=TRUE,"Priority review",IF(R473=TRUE,"High cost",IF(S473=TRUE,"Low quality","Benchmark")))</x:f>
        <x:v>High cost</x:v>
      </x:c>
    </x:row>
    <x:row r="474">
      <x:c r="A474" s="2" t="str">
        <x:v>050686</x:v>
      </x:c>
      <x:c r="B474" s="2" t="str">
        <x:v>KAISER FOUNDATION HOSPITAL, RIVERSIDE</x:v>
      </x:c>
      <x:c r="C474" s="2" t="str">
        <x:v>RIVERSIDE</x:v>
      </x:c>
      <x:c r="D474" s="2" t="str">
        <x:v>CA</x:v>
      </x:c>
      <x:c r="E474" s="2" t="str">
        <x:v>Acute Care Hospitals</x:v>
      </x:c>
      <x:c r="F474" s="2" t="str">
        <x:v>Voluntary non-profit</x:v>
      </x:c>
      <x:c r="G474" s="2" t="str">
        <x:v>Medium (100-299 beds)</x:v>
      </x:c>
      <x:c r="H474" s="7" t="n">
        <x:v>4</x:v>
      </x:c>
      <x:c r="I474" s="7" t="n">
        <x:v>3</x:v>
      </x:c>
      <x:c r="J474" s="7" t="n">
        <x:v>0.97</x:v>
      </x:c>
      <x:c r="K474" s="8" t="n">
        <x:v>225</x:v>
      </x:c>
      <x:c r="L474" s="8" t="n">
        <x:v>10243</x:v>
      </x:c>
      <x:c r="M474" s="9" t="n">
        <x:v>0.5635458409</x:v>
      </x:c>
      <x:c r="N474" s="10" t="n">
        <x:v>61929.0394415699</x:v>
      </x:c>
      <x:c r="O474" s="9" t="n">
        <x:v>-0.0261655681</x:v>
      </x:c>
      <x:c r="P474" s="9" t="n">
        <x:v>0.9070904645</x:v>
      </x:c>
      <x:c r="Q474" s="9" t="n">
        <x:v>0.6022819886</x:v>
      </x:c>
      <x:c r="R474" s="3" t="b">
        <x:v>1</x:v>
      </x:c>
      <x:c r="S474" s="3" t="b">
        <x:v>0</x:v>
      </x:c>
      <x:c r="T474" s="3" t="b">
        <x:v>0</x:v>
      </x:c>
      <x:c r="U474" s="2" t="str">
        <x:f>IF(T474=TRUE,"Priority review",IF(R474=TRUE,"High cost",IF(S474=TRUE,"Low quality","Benchmark")))</x:f>
        <x:v>High cost</x:v>
      </x:c>
    </x:row>
    <x:row r="475">
      <x:c r="A475" s="2" t="str">
        <x:v>161322</x:v>
      </x:c>
      <x:c r="B475" s="2" t="str">
        <x:v>DALLAS COUNTY HOSPITAL</x:v>
      </x:c>
      <x:c r="C475" s="2" t="str">
        <x:v>PERRY</x:v>
      </x:c>
      <x:c r="D475" s="2" t="str">
        <x:v>IA</x:v>
      </x:c>
      <x:c r="E475" s="2" t="str">
        <x:v>Critical Access Hospitals</x:v>
      </x:c>
      <x:c r="F475" s="2" t="str">
        <x:v>Government</x:v>
      </x:c>
      <x:c r="G475" s="2" t="str">
        <x:v>Small (&lt;100 beds)</x:v>
      </x:c>
      <x:c r="H475" s="7"/>
      <x:c r="I475" s="7"/>
      <x:c r="J475" s="7"/>
      <x:c r="K475" s="8" t="n">
        <x:v>25</x:v>
      </x:c>
      <x:c r="L475" s="8" t="n">
        <x:v>86</x:v>
      </x:c>
      <x:c r="M475" s="9" t="n">
        <x:v>0.0753972603</x:v>
      </x:c>
      <x:c r="N475" s="10" t="n">
        <x:v>355077.8255813954</x:v>
      </x:c>
      <x:c r="O475" s="9" t="n">
        <x:v>-0.0568384925</x:v>
      </x:c>
      <x:c r="P475" s="9" t="n">
        <x:v>0.907063197</x:v>
      </x:c>
      <x:c r="Q475" s="9" t="n">
        <x:v>0.292936803</x:v>
      </x:c>
      <x:c r="R475" s="3" t="b">
        <x:v>1</x:v>
      </x:c>
      <x:c r="S475" s="3" t="b">
        <x:v>0</x:v>
      </x:c>
      <x:c r="T475" s="3" t="b">
        <x:v>0</x:v>
      </x:c>
      <x:c r="U475" s="2" t="str">
        <x:f>IF(T475=TRUE,"Priority review",IF(R475=TRUE,"High cost",IF(S475=TRUE,"Low quality","Benchmark")))</x:f>
        <x:v>High cost</x:v>
      </x:c>
    </x:row>
    <x:row r="476">
      <x:c r="A476" s="2" t="str">
        <x:v>350011</x:v>
      </x:c>
      <x:c r="B476" s="2" t="str">
        <x:v>SANFORD MEDICAL CENTER FARGO</x:v>
      </x:c>
      <x:c r="C476" s="2" t="str">
        <x:v>FARGO</x:v>
      </x:c>
      <x:c r="D476" s="2" t="str">
        <x:v>ND</x:v>
      </x:c>
      <x:c r="E476" s="2" t="str">
        <x:v>Acute Care Hospitals</x:v>
      </x:c>
      <x:c r="F476" s="2" t="str">
        <x:v>Voluntary non-profit</x:v>
      </x:c>
      <x:c r="G476" s="2" t="str">
        <x:v>Large (300+ beds)</x:v>
      </x:c>
      <x:c r="H476" s="7" t="n">
        <x:v>4</x:v>
      </x:c>
      <x:c r="I476" s="7" t="n">
        <x:v>3</x:v>
      </x:c>
      <x:c r="J476" s="7" t="n">
        <x:v>1.04</x:v>
      </x:c>
      <x:c r="K476" s="8" t="n">
        <x:v>506</x:v>
      </x:c>
      <x:c r="L476" s="8" t="n">
        <x:v>24646</x:v>
      </x:c>
      <x:c r="M476" s="9" t="n">
        <x:v>0.7162078462</x:v>
      </x:c>
      <x:c r="N476" s="10" t="n">
        <x:v>78374.3166030999</x:v>
      </x:c>
      <x:c r="O476" s="9" t="n">
        <x:v>-0.1758603706</x:v>
      </x:c>
      <x:c r="P476" s="9" t="n">
        <x:v>0.9069400631</x:v>
      </x:c>
      <x:c r="Q476" s="9" t="n">
        <x:v>0.5899053628</x:v>
      </x:c>
      <x:c r="R476" s="3" t="b">
        <x:v>1</x:v>
      </x:c>
      <x:c r="S476" s="3" t="b">
        <x:v>0</x:v>
      </x:c>
      <x:c r="T476" s="3" t="b">
        <x:v>0</x:v>
      </x:c>
      <x:c r="U476" s="2" t="str">
        <x:f>IF(T476=TRUE,"Priority review",IF(R476=TRUE,"High cost",IF(S476=TRUE,"Low quality","Benchmark")))</x:f>
        <x:v>High cost</x:v>
      </x:c>
    </x:row>
    <x:row r="477">
      <x:c r="A477" s="2" t="str">
        <x:v>370244</x:v>
      </x:c>
      <x:c r="B477" s="2" t="str">
        <x:v>COUNCIL OAK COMPREHENSIVE HEALTHCARE</x:v>
      </x:c>
      <x:c r="C477" s="2" t="str">
        <x:v>TULSA</x:v>
      </x:c>
      <x:c r="D477" s="2" t="str">
        <x:v>OK</x:v>
      </x:c>
      <x:c r="E477" s="2" t="str">
        <x:v>Acute Care Hospitals</x:v>
      </x:c>
      <x:c r="F477" s="2" t="str">
        <x:v>Other / unknown</x:v>
      </x:c>
      <x:c r="G477" s="2" t="str">
        <x:v>Small (&lt;100 beds)</x:v>
      </x:c>
      <x:c r="H477" s="7"/>
      <x:c r="I477" s="7"/>
      <x:c r="J477" s="7" t="n">
        <x:v>1.06</x:v>
      </x:c>
      <x:c r="K477" s="8" t="n">
        <x:v>40</x:v>
      </x:c>
      <x:c r="L477" s="8" t="n">
        <x:v>223</x:v>
      </x:c>
      <x:c r="M477" s="9" t="n">
        <x:v>0.0652322404</x:v>
      </x:c>
      <x:c r="N477" s="10" t="n">
        <x:v>159766.6502242152</x:v>
      </x:c>
      <x:c r="O477" s="9"/>
      <x:c r="P477" s="9" t="n">
        <x:v>0.9066427289</x:v>
      </x:c>
      <x:c r="Q477" s="9" t="n">
        <x:v>0.697486535</x:v>
      </x:c>
      <x:c r="R477" s="3" t="b">
        <x:v>1</x:v>
      </x:c>
      <x:c r="S477" s="3" t="b">
        <x:v>0</x:v>
      </x:c>
      <x:c r="T477" s="3" t="b">
        <x:v>0</x:v>
      </x:c>
      <x:c r="U477" s="2" t="str">
        <x:f>IF(T477=TRUE,"Priority review",IF(R477=TRUE,"High cost",IF(S477=TRUE,"Low quality","Benchmark")))</x:f>
        <x:v>High cost</x:v>
      </x:c>
    </x:row>
    <x:row r="478">
      <x:c r="A478" s="2" t="str">
        <x:v>251322</x:v>
      </x:c>
      <x:c r="B478" s="2" t="str">
        <x:v>OCHSNER LAIRD HOSPITAL</x:v>
      </x:c>
      <x:c r="C478" s="2" t="str">
        <x:v>UNION</x:v>
      </x:c>
      <x:c r="D478" s="2" t="str">
        <x:v>MS</x:v>
      </x:c>
      <x:c r="E478" s="2" t="str">
        <x:v>Critical Access Hospitals</x:v>
      </x:c>
      <x:c r="F478" s="2" t="str">
        <x:v>Voluntary non-profit</x:v>
      </x:c>
      <x:c r="G478" s="2" t="str">
        <x:v>Small (&lt;100 beds)</x:v>
      </x:c>
      <x:c r="H478" s="7"/>
      <x:c r="I478" s="7"/>
      <x:c r="J478" s="7"/>
      <x:c r="K478" s="8" t="n">
        <x:v>25</x:v>
      </x:c>
      <x:c r="L478" s="8" t="n">
        <x:v>96</x:v>
      </x:c>
      <x:c r="M478" s="9" t="n">
        <x:v>0.2639344262</x:v>
      </x:c>
      <x:c r="N478" s="10" t="n">
        <x:v>354877.8854166667</x:v>
      </x:c>
      <x:c r="O478" s="9" t="n">
        <x:v>-0.1918302499</x:v>
      </x:c>
      <x:c r="P478" s="9" t="n">
        <x:v>0.9063197026</x:v>
      </x:c>
      <x:c r="Q478" s="9" t="n">
        <x:v>0.292936803</x:v>
      </x:c>
      <x:c r="R478" s="3" t="b">
        <x:v>1</x:v>
      </x:c>
      <x:c r="S478" s="3" t="b">
        <x:v>0</x:v>
      </x:c>
      <x:c r="T478" s="3" t="b">
        <x:v>0</x:v>
      </x:c>
      <x:c r="U478" s="2" t="str">
        <x:f>IF(T478=TRUE,"Priority review",IF(R478=TRUE,"High cost",IF(S478=TRUE,"Low quality","Benchmark")))</x:f>
        <x:v>High cost</x:v>
      </x:c>
    </x:row>
    <x:row r="479">
      <x:c r="A479" s="2" t="str">
        <x:v>244013</x:v>
      </x:c>
      <x:c r="B479" s="2" t="str">
        <x:v>COMMUNITY BEHAVIORAL HEALTH HOSPITAL FERGUS FALLS</x:v>
      </x:c>
      <x:c r="C479" s="2" t="str">
        <x:v>FERGUS FALLS</x:v>
      </x:c>
      <x:c r="D479" s="2" t="str">
        <x:v>MN</x:v>
      </x:c>
      <x:c r="E479" s="2" t="str">
        <x:v>Psychiatric</x:v>
      </x:c>
      <x:c r="F479" s="2" t="str">
        <x:v>Government</x:v>
      </x:c>
      <x:c r="G479" s="2" t="str">
        <x:v>Small (&lt;100 beds)</x:v>
      </x:c>
      <x:c r="H479" s="7"/>
      <x:c r="I479" s="7"/>
      <x:c r="J479" s="7"/>
      <x:c r="K479" s="8" t="n">
        <x:v>16</x:v>
      </x:c>
      <x:c r="L479" s="8" t="n">
        <x:v>71</x:v>
      </x:c>
      <x:c r="M479" s="9" t="n">
        <x:v>0.9690068493</x:v>
      </x:c>
      <x:c r="N479" s="10" t="n">
        <x:v>128412.7323943662</x:v>
      </x:c>
      <x:c r="O479" s="9"/>
      <x:c r="P479" s="9" t="n">
        <x:v>0.9061488673</x:v>
      </x:c>
      <x:c r="Q479" s="9" t="n">
        <x:v>0</x:v>
      </x:c>
      <x:c r="R479" s="3" t="b">
        <x:v>1</x:v>
      </x:c>
      <x:c r="S479" s="3" t="b">
        <x:v>0</x:v>
      </x:c>
      <x:c r="T479" s="3" t="b">
        <x:v>0</x:v>
      </x:c>
      <x:c r="U479" s="2" t="str">
        <x:f>IF(T479=TRUE,"Priority review",IF(R479=TRUE,"High cost",IF(S479=TRUE,"Low quality","Benchmark")))</x:f>
        <x:v>High cost</x:v>
      </x:c>
    </x:row>
    <x:row r="480">
      <x:c r="A480" s="2" t="str">
        <x:v>430089</x:v>
      </x:c>
      <x:c r="B480" s="2" t="str">
        <x:v>DUNES SURGICAL HOSPITAL</x:v>
      </x:c>
      <x:c r="C480" s="2" t="str">
        <x:v>DAKOTA DUNES</x:v>
      </x:c>
      <x:c r="D480" s="2" t="str">
        <x:v>SD</x:v>
      </x:c>
      <x:c r="E480" s="2" t="str">
        <x:v>Acute Care Hospitals</x:v>
      </x:c>
      <x:c r="F480" s="2" t="str">
        <x:v>Proprietary</x:v>
      </x:c>
      <x:c r="G480" s="2" t="str">
        <x:v>Small (&lt;100 beds)</x:v>
      </x:c>
      <x:c r="H480" s="7"/>
      <x:c r="I480" s="7" t="n">
        <x:v>4</x:v>
      </x:c>
      <x:c r="J480" s="7" t="n">
        <x:v>0.95</x:v>
      </x:c>
      <x:c r="K480" s="8" t="n">
        <x:v>38</x:v>
      </x:c>
      <x:c r="L480" s="8" t="n">
        <x:v>428</x:v>
      </x:c>
      <x:c r="M480" s="9" t="n">
        <x:v>0.076215128</x:v>
      </x:c>
      <x:c r="N480" s="10" t="n">
        <x:v>159564.261682243</x:v>
      </x:c>
      <x:c r="O480" s="9" t="n">
        <x:v>0.3476661871</x:v>
      </x:c>
      <x:c r="P480" s="9" t="n">
        <x:v>0.9057450628</x:v>
      </x:c>
      <x:c r="Q480" s="9" t="n">
        <x:v>0.697486535</x:v>
      </x:c>
      <x:c r="R480" s="3" t="b">
        <x:v>1</x:v>
      </x:c>
      <x:c r="S480" s="3" t="b">
        <x:v>0</x:v>
      </x:c>
      <x:c r="T480" s="3" t="b">
        <x:v>0</x:v>
      </x:c>
      <x:c r="U480" s="2" t="str">
        <x:f>IF(T480=TRUE,"Priority review",IF(R480=TRUE,"High cost",IF(S480=TRUE,"Low quality","Benchmark")))</x:f>
        <x:v>High cost</x:v>
      </x:c>
    </x:row>
    <x:row r="481">
      <x:c r="A481" s="2" t="str">
        <x:v>521305</x:v>
      </x:c>
      <x:c r="B481" s="2" t="str">
        <x:v>MAYO CLINIC HLTH SYSTM FRANCISCAN HLTHCARE SPARTA</x:v>
      </x:c>
      <x:c r="C481" s="2" t="str">
        <x:v>SPARTA</x:v>
      </x:c>
      <x:c r="D481" s="2" t="str">
        <x:v>WI</x:v>
      </x:c>
      <x:c r="E481" s="2" t="str">
        <x:v>Critical Access Hospitals</x:v>
      </x:c>
      <x:c r="F481" s="2" t="str">
        <x:v>Voluntary non-profit</x:v>
      </x:c>
      <x:c r="G481" s="2" t="str">
        <x:v>Small (&lt;100 beds)</x:v>
      </x:c>
      <x:c r="H481" s="7"/>
      <x:c r="I481" s="7"/>
      <x:c r="J481" s="7"/>
      <x:c r="K481" s="8" t="n">
        <x:v>25</x:v>
      </x:c>
      <x:c r="L481" s="8" t="n">
        <x:v>123</x:v>
      </x:c>
      <x:c r="M481" s="9" t="n">
        <x:v>0.3703825137</x:v>
      </x:c>
      <x:c r="N481" s="10" t="n">
        <x:v>353890.6585365853</x:v>
      </x:c>
      <x:c r="O481" s="9" t="n">
        <x:v>0.0364520999</x:v>
      </x:c>
      <x:c r="P481" s="9" t="n">
        <x:v>0.9055762082</x:v>
      </x:c>
      <x:c r="Q481" s="9" t="n">
        <x:v>0.292936803</x:v>
      </x:c>
      <x:c r="R481" s="3" t="b">
        <x:v>1</x:v>
      </x:c>
      <x:c r="S481" s="3" t="b">
        <x:v>0</x:v>
      </x:c>
      <x:c r="T481" s="3" t="b">
        <x:v>0</x:v>
      </x:c>
      <x:c r="U481" s="2" t="str">
        <x:f>IF(T481=TRUE,"Priority review",IF(R481=TRUE,"High cost",IF(S481=TRUE,"Low quality","Benchmark")))</x:f>
        <x:v>High cost</x:v>
      </x:c>
    </x:row>
    <x:row r="482">
      <x:c r="A482" s="2" t="str">
        <x:v>514012</x:v>
      </x:c>
      <x:c r="B482" s="2" t="str">
        <x:v>WILLIAM R SHARPE, JR HOSPITAL</x:v>
      </x:c>
      <x:c r="C482" s="2" t="str">
        <x:v>WESTON</x:v>
      </x:c>
      <x:c r="D482" s="2" t="str">
        <x:v>WV</x:v>
      </x:c>
      <x:c r="E482" s="2" t="str">
        <x:v>Psychiatric</x:v>
      </x:c>
      <x:c r="F482" s="2" t="str">
        <x:v>Government</x:v>
      </x:c>
      <x:c r="G482" s="2" t="str">
        <x:v>Medium (100-299 beds)</x:v>
      </x:c>
      <x:c r="H482" s="7"/>
      <x:c r="I482" s="7"/>
      <x:c r="J482" s="7"/>
      <x:c r="K482" s="8" t="n">
        <x:v>200</x:v>
      </x:c>
      <x:c r="L482" s="8" t="n">
        <x:v>582</x:v>
      </x:c>
      <x:c r="M482" s="9" t="n">
        <x:v>0.7590410959</x:v>
      </x:c>
      <x:c r="N482" s="10" t="n">
        <x:v>233870.6082474227</x:v>
      </x:c>
      <x:c r="O482" s="9" t="n">
        <x:v>-7.5041264596</x:v>
      </x:c>
      <x:c r="P482" s="9" t="n">
        <x:v>0.9054726368</x:v>
      </x:c>
      <x:c r="Q482" s="9" t="n">
        <x:v>0</x:v>
      </x:c>
      <x:c r="R482" s="3" t="b">
        <x:v>1</x:v>
      </x:c>
      <x:c r="S482" s="3" t="b">
        <x:v>0</x:v>
      </x:c>
      <x:c r="T482" s="3" t="b">
        <x:v>0</x:v>
      </x:c>
      <x:c r="U482" s="2" t="str">
        <x:f>IF(T482=TRUE,"Priority review",IF(R482=TRUE,"High cost",IF(S482=TRUE,"Low quality","Benchmark")))</x:f>
        <x:v>High cost</x:v>
      </x:c>
    </x:row>
    <x:row r="483">
      <x:c r="A483" s="2" t="str">
        <x:v>050305</x:v>
      </x:c>
      <x:c r="B483" s="2" t="str">
        <x:v>ALTA BATES SUMMIT MEDICAL CENTER - ALTA BATES CAMP</x:v>
      </x:c>
      <x:c r="C483" s="2" t="str">
        <x:v>BERKELEY</x:v>
      </x:c>
      <x:c r="D483" s="2" t="str">
        <x:v>CA</x:v>
      </x:c>
      <x:c r="E483" s="2" t="str">
        <x:v>Acute Care Hospitals</x:v>
      </x:c>
      <x:c r="F483" s="2" t="str">
        <x:v>Voluntary non-profit</x:v>
      </x:c>
      <x:c r="G483" s="2" t="str">
        <x:v>Large (300+ beds)</x:v>
      </x:c>
      <x:c r="H483" s="7" t="n">
        <x:v>4</x:v>
      </x:c>
      <x:c r="I483" s="7" t="n">
        <x:v>2</x:v>
      </x:c>
      <x:c r="J483" s="7" t="n">
        <x:v>0.97</x:v>
      </x:c>
      <x:c r="K483" s="8" t="n">
        <x:v>315</x:v>
      </x:c>
      <x:c r="L483" s="8" t="n">
        <x:v>11434</x:v>
      </x:c>
      <x:c r="M483" s="9" t="n">
        <x:v>0.5173909272</x:v>
      </x:c>
      <x:c r="N483" s="10" t="n">
        <x:v>77692.0890327095</x:v>
      </x:c>
      <x:c r="O483" s="9" t="n">
        <x:v>-0.1620573854</x:v>
      </x:c>
      <x:c r="P483" s="9" t="n">
        <x:v>0.905362776</x:v>
      </x:c>
      <x:c r="Q483" s="9" t="n">
        <x:v>0.5899053628</x:v>
      </x:c>
      <x:c r="R483" s="3" t="b">
        <x:v>1</x:v>
      </x:c>
      <x:c r="S483" s="3" t="b">
        <x:v>0</x:v>
      </x:c>
      <x:c r="T483" s="3" t="b">
        <x:v>0</x:v>
      </x:c>
      <x:c r="U483" s="2" t="str">
        <x:f>IF(T483=TRUE,"Priority review",IF(R483=TRUE,"High cost",IF(S483=TRUE,"Low quality","Benchmark")))</x:f>
        <x:v>High cost</x:v>
      </x:c>
    </x:row>
    <x:row r="484">
      <x:c r="A484" s="2" t="str">
        <x:v>191325</x:v>
      </x:c>
      <x:c r="B484" s="2" t="str">
        <x:v>LADY OF THE SEA GENERAL HOSPITAL</x:v>
      </x:c>
      <x:c r="C484" s="2" t="str">
        <x:v>CUT OFF</x:v>
      </x:c>
      <x:c r="D484" s="2" t="str">
        <x:v>LA</x:v>
      </x:c>
      <x:c r="E484" s="2" t="str">
        <x:v>Critical Access Hospitals</x:v>
      </x:c>
      <x:c r="F484" s="2" t="str">
        <x:v>Government</x:v>
      </x:c>
      <x:c r="G484" s="2" t="str">
        <x:v>Small (&lt;100 beds)</x:v>
      </x:c>
      <x:c r="H484" s="7"/>
      <x:c r="I484" s="7"/>
      <x:c r="J484" s="7"/>
      <x:c r="K484" s="8" t="n">
        <x:v>10</x:v>
      </x:c>
      <x:c r="L484" s="8" t="n">
        <x:v>124</x:v>
      </x:c>
      <x:c r="M484" s="9" t="n">
        <x:v>0.182739726</x:v>
      </x:c>
      <x:c r="N484" s="10" t="n">
        <x:v>346423.6693548387</x:v>
      </x:c>
      <x:c r="O484" s="9" t="n">
        <x:v>-0.7751687662</x:v>
      </x:c>
      <x:c r="P484" s="9" t="n">
        <x:v>0.9048327138</x:v>
      </x:c>
      <x:c r="Q484" s="9" t="n">
        <x:v>0.292936803</x:v>
      </x:c>
      <x:c r="R484" s="3" t="b">
        <x:v>1</x:v>
      </x:c>
      <x:c r="S484" s="3" t="b">
        <x:v>0</x:v>
      </x:c>
      <x:c r="T484" s="3" t="b">
        <x:v>0</x:v>
      </x:c>
      <x:c r="U484" s="2" t="str">
        <x:f>IF(T484=TRUE,"Priority review",IF(R484=TRUE,"High cost",IF(S484=TRUE,"Low quality","Benchmark")))</x:f>
        <x:v>High cost</x:v>
      </x:c>
    </x:row>
    <x:row r="485">
      <x:c r="A485" s="2" t="str">
        <x:v>100296</x:v>
      </x:c>
      <x:c r="B485" s="2" t="str">
        <x:v>DOCTORS HOSPITAL</x:v>
      </x:c>
      <x:c r="C485" s="2" t="str">
        <x:v>CORAL GABLES</x:v>
      </x:c>
      <x:c r="D485" s="2" t="str">
        <x:v>FL</x:v>
      </x:c>
      <x:c r="E485" s="2" t="str">
        <x:v>Acute Care Hospitals</x:v>
      </x:c>
      <x:c r="F485" s="2" t="str">
        <x:v>Voluntary non-profit</x:v>
      </x:c>
      <x:c r="G485" s="2" t="str">
        <x:v>Medium (100-299 beds)</x:v>
      </x:c>
      <x:c r="H485" s="7" t="n">
        <x:v>5</x:v>
      </x:c>
      <x:c r="I485" s="7" t="n">
        <x:v>3</x:v>
      </x:c>
      <x:c r="J485" s="7" t="n">
        <x:v>0.97</x:v>
      </x:c>
      <x:c r="K485" s="8" t="n">
        <x:v>128</x:v>
      </x:c>
      <x:c r="L485" s="8" t="n">
        <x:v>4282</x:v>
      </x:c>
      <x:c r="M485" s="9" t="n">
        <x:v>0.4190787227</x:v>
      </x:c>
      <x:c r="N485" s="10" t="n">
        <x:v>61686.957496497</x:v>
      </x:c>
      <x:c r="O485" s="9" t="n">
        <x:v>0.0331297087</x:v>
      </x:c>
      <x:c r="P485" s="9" t="n">
        <x:v>0.9046454768</x:v>
      </x:c>
      <x:c r="Q485" s="9" t="n">
        <x:v>0.8744906275</x:v>
      </x:c>
      <x:c r="R485" s="3" t="b">
        <x:v>1</x:v>
      </x:c>
      <x:c r="S485" s="3" t="b">
        <x:v>0</x:v>
      </x:c>
      <x:c r="T485" s="3" t="b">
        <x:v>0</x:v>
      </x:c>
      <x:c r="U485" s="2" t="str">
        <x:f>IF(T485=TRUE,"Priority review",IF(R485=TRUE,"High cost",IF(S485=TRUE,"Low quality","Benchmark")))</x:f>
        <x:v>High cost</x:v>
      </x:c>
    </x:row>
    <x:row r="486">
      <x:c r="A486" s="2" t="str">
        <x:v>321305</x:v>
      </x:c>
      <x:c r="B486" s="2" t="str">
        <x:v>NOR-LEA HOSPITAL DISTRICT</x:v>
      </x:c>
      <x:c r="C486" s="2" t="str">
        <x:v>LOVINGTON</x:v>
      </x:c>
      <x:c r="D486" s="2" t="str">
        <x:v>NM</x:v>
      </x:c>
      <x:c r="E486" s="2" t="str">
        <x:v>Critical Access Hospitals</x:v>
      </x:c>
      <x:c r="F486" s="2" t="str">
        <x:v>Government</x:v>
      </x:c>
      <x:c r="G486" s="2" t="str">
        <x:v>Small (&lt;100 beds)</x:v>
      </x:c>
      <x:c r="H486" s="7"/>
      <x:c r="I486" s="7"/>
      <x:c r="J486" s="7"/>
      <x:c r="K486" s="8" t="n">
        <x:v>25</x:v>
      </x:c>
      <x:c r="L486" s="8" t="n">
        <x:v>415</x:v>
      </x:c>
      <x:c r="M486" s="9" t="n">
        <x:v>0.1355616438</x:v>
      </x:c>
      <x:c r="N486" s="10" t="n">
        <x:v>345632.9975903615</x:v>
      </x:c>
      <x:c r="O486" s="9"/>
      <x:c r="P486" s="9" t="n">
        <x:v>0.9040892193</x:v>
      </x:c>
      <x:c r="Q486" s="9" t="n">
        <x:v>0.292936803</x:v>
      </x:c>
      <x:c r="R486" s="3" t="b">
        <x:v>1</x:v>
      </x:c>
      <x:c r="S486" s="3" t="b">
        <x:v>0</x:v>
      </x:c>
      <x:c r="T486" s="3" t="b">
        <x:v>0</x:v>
      </x:c>
      <x:c r="U486" s="2" t="str">
        <x:f>IF(T486=TRUE,"Priority review",IF(R486=TRUE,"High cost",IF(S486=TRUE,"Low quality","Benchmark")))</x:f>
        <x:v>High cost</x:v>
      </x:c>
    </x:row>
    <x:row r="487">
      <x:c r="A487" s="2" t="str">
        <x:v>230144</x:v>
      </x:c>
      <x:c r="B487" s="2" t="str">
        <x:v>FOREST HEALTH MEDICAL CENTER</x:v>
      </x:c>
      <x:c r="C487" s="2" t="str">
        <x:v>YPSILANTI</x:v>
      </x:c>
      <x:c r="D487" s="2" t="str">
        <x:v>MI</x:v>
      </x:c>
      <x:c r="E487" s="2" t="str">
        <x:v>Acute Care Hospitals</x:v>
      </x:c>
      <x:c r="F487" s="2" t="str">
        <x:v>Government</x:v>
      </x:c>
      <x:c r="G487" s="2" t="str">
        <x:v>Small (&lt;100 beds)</x:v>
      </x:c>
      <x:c r="H487" s="7"/>
      <x:c r="I487" s="7"/>
      <x:c r="J487" s="7"/>
      <x:c r="K487" s="8" t="n">
        <x:v>24</x:v>
      </x:c>
      <x:c r="L487" s="8" t="n">
        <x:v>273</x:v>
      </x:c>
      <x:c r="M487" s="9" t="n">
        <x:v>0.0659153005</x:v>
      </x:c>
      <x:c r="N487" s="10" t="n">
        <x:v>156116.2490842491</x:v>
      </x:c>
      <x:c r="O487" s="9" t="n">
        <x:v>-0.3309779479</x:v>
      </x:c>
      <x:c r="P487" s="9" t="n">
        <x:v>0.9039497307</x:v>
      </x:c>
      <x:c r="Q487" s="9" t="n">
        <x:v>0.697486535</x:v>
      </x:c>
      <x:c r="R487" s="3" t="b">
        <x:v>1</x:v>
      </x:c>
      <x:c r="S487" s="3" t="b">
        <x:v>0</x:v>
      </x:c>
      <x:c r="T487" s="3" t="b">
        <x:v>0</x:v>
      </x:c>
      <x:c r="U487" s="2" t="str">
        <x:f>IF(T487=TRUE,"Priority review",IF(R487=TRUE,"High cost",IF(S487=TRUE,"Low quality","Benchmark")))</x:f>
        <x:v>High cost</x:v>
      </x:c>
    </x:row>
    <x:row r="488">
      <x:c r="A488" s="2" t="str">
        <x:v>330106</x:v>
      </x:c>
      <x:c r="B488" s="2" t="str">
        <x:v>NORTH SHORE UNIVERSITY HOSPITAL</x:v>
      </x:c>
      <x:c r="C488" s="2" t="str">
        <x:v>MANHASSET</x:v>
      </x:c>
      <x:c r="D488" s="2" t="str">
        <x:v>NY</x:v>
      </x:c>
      <x:c r="E488" s="2" t="str">
        <x:v>Acute Care Hospitals</x:v>
      </x:c>
      <x:c r="F488" s="2" t="str">
        <x:v>Voluntary non-profit</x:v>
      </x:c>
      <x:c r="G488" s="2" t="str">
        <x:v>Large (300+ beds)</x:v>
      </x:c>
      <x:c r="H488" s="7" t="n">
        <x:v>5</x:v>
      </x:c>
      <x:c r="I488" s="7" t="n">
        <x:v>3</x:v>
      </x:c>
      <x:c r="J488" s="7" t="n">
        <x:v>1.03</x:v>
      </x:c>
      <x:c r="K488" s="8" t="n">
        <x:v>815</x:v>
      </x:c>
      <x:c r="L488" s="8" t="n">
        <x:v>48845</x:v>
      </x:c>
      <x:c r="M488" s="9" t="n">
        <x:v>0.9793959655</x:v>
      </x:c>
      <x:c r="N488" s="10" t="n">
        <x:v>77334.0910021497</x:v>
      </x:c>
      <x:c r="O488" s="9" t="n">
        <x:v>-0.4305200977</x:v>
      </x:c>
      <x:c r="P488" s="9" t="n">
        <x:v>0.903785489</x:v>
      </x:c>
      <x:c r="Q488" s="9" t="n">
        <x:v>0.8722397476</x:v>
      </x:c>
      <x:c r="R488" s="3" t="b">
        <x:v>1</x:v>
      </x:c>
      <x:c r="S488" s="3" t="b">
        <x:v>0</x:v>
      </x:c>
      <x:c r="T488" s="3" t="b">
        <x:v>0</x:v>
      </x:c>
      <x:c r="U488" s="2" t="str">
        <x:f>IF(T488=TRUE,"Priority review",IF(R488=TRUE,"High cost",IF(S488=TRUE,"Low quality","Benchmark")))</x:f>
        <x:v>High cost</x:v>
      </x:c>
    </x:row>
    <x:row r="489">
      <x:c r="A489" s="2" t="str">
        <x:v>061319</x:v>
      </x:c>
      <x:c r="B489" s="2" t="str">
        <x:v>ST VINCENT GENERAL HOSPITAL DISTRICT</x:v>
      </x:c>
      <x:c r="C489" s="2" t="str">
        <x:v>LEADVILLE</x:v>
      </x:c>
      <x:c r="D489" s="2" t="str">
        <x:v>CO</x:v>
      </x:c>
      <x:c r="E489" s="2" t="str">
        <x:v>Critical Access Hospitals</x:v>
      </x:c>
      <x:c r="F489" s="2" t="str">
        <x:v>Government</x:v>
      </x:c>
      <x:c r="G489" s="2" t="str">
        <x:v>Small (&lt;100 beds)</x:v>
      </x:c>
      <x:c r="H489" s="7"/>
      <x:c r="I489" s="7"/>
      <x:c r="J489" s="7"/>
      <x:c r="K489" s="8" t="n">
        <x:v>8</x:v>
      </x:c>
      <x:c r="L489" s="8" t="n">
        <x:v>65</x:v>
      </x:c>
      <x:c r="M489" s="9" t="n">
        <x:v>0.3008879781</x:v>
      </x:c>
      <x:c r="N489" s="10" t="n">
        <x:v>342035.0769230769</x:v>
      </x:c>
      <x:c r="O489" s="9" t="n">
        <x:v>-0.3052436293</x:v>
      </x:c>
      <x:c r="P489" s="9" t="n">
        <x:v>0.9033457249</x:v>
      </x:c>
      <x:c r="Q489" s="9" t="n">
        <x:v>0.292936803</x:v>
      </x:c>
      <x:c r="R489" s="3" t="b">
        <x:v>1</x:v>
      </x:c>
      <x:c r="S489" s="3" t="b">
        <x:v>0</x:v>
      </x:c>
      <x:c r="T489" s="3" t="b">
        <x:v>0</x:v>
      </x:c>
      <x:c r="U489" s="2" t="str">
        <x:f>IF(T489=TRUE,"Priority review",IF(R489=TRUE,"High cost",IF(S489=TRUE,"Low quality","Benchmark")))</x:f>
        <x:v>High cost</x:v>
      </x:c>
    </x:row>
    <x:row r="490">
      <x:c r="A490" s="2" t="str">
        <x:v>240006</x:v>
      </x:c>
      <x:c r="B490" s="2" t="str">
        <x:v>OLMSTED MEDICAL CENTER</x:v>
      </x:c>
      <x:c r="C490" s="2" t="str">
        <x:v>ROCHESTER</x:v>
      </x:c>
      <x:c r="D490" s="2" t="str">
        <x:v>MN</x:v>
      </x:c>
      <x:c r="E490" s="2" t="str">
        <x:v>Acute Care Hospitals</x:v>
      </x:c>
      <x:c r="F490" s="2" t="str">
        <x:v>Voluntary non-profit</x:v>
      </x:c>
      <x:c r="G490" s="2" t="str">
        <x:v>Small (&lt;100 beds)</x:v>
      </x:c>
      <x:c r="H490" s="7" t="n">
        <x:v>4</x:v>
      </x:c>
      <x:c r="I490" s="7" t="n">
        <x:v>4</x:v>
      </x:c>
      <x:c r="J490" s="7" t="n">
        <x:v>0.87</x:v>
      </x:c>
      <x:c r="K490" s="8" t="n">
        <x:v>61</x:v>
      </x:c>
      <x:c r="L490" s="8" t="n">
        <x:v>1856</x:v>
      </x:c>
      <x:c r="M490" s="9" t="n">
        <x:v>0.2915882827</x:v>
      </x:c>
      <x:c r="N490" s="10" t="n">
        <x:v>155453.838362069</x:v>
      </x:c>
      <x:c r="O490" s="9" t="n">
        <x:v>-0.1170529324</x:v>
      </x:c>
      <x:c r="P490" s="9" t="n">
        <x:v>0.9030520646</x:v>
      </x:c>
      <x:c r="Q490" s="9" t="n">
        <x:v>0.3913824057</x:v>
      </x:c>
      <x:c r="R490" s="3" t="b">
        <x:v>1</x:v>
      </x:c>
      <x:c r="S490" s="3" t="b">
        <x:v>0</x:v>
      </x:c>
      <x:c r="T490" s="3" t="b">
        <x:v>0</x:v>
      </x:c>
      <x:c r="U490" s="2" t="str">
        <x:f>IF(T490=TRUE,"Priority review",IF(R490=TRUE,"High cost",IF(S490=TRUE,"Low quality","Benchmark")))</x:f>
        <x:v>High cost</x:v>
      </x:c>
    </x:row>
    <x:row r="491">
      <x:c r="A491" s="2" t="str">
        <x:v>244017</x:v>
      </x:c>
      <x:c r="B491" s="2" t="str">
        <x:v>COMMUNITY BEHAVIORAL HEALTH HOSPITAL ROCHESTER</x:v>
      </x:c>
      <x:c r="C491" s="2" t="str">
        <x:v>ROCHESTER</x:v>
      </x:c>
      <x:c r="D491" s="2" t="str">
        <x:v>MN</x:v>
      </x:c>
      <x:c r="E491" s="2" t="str">
        <x:v>Psychiatric</x:v>
      </x:c>
      <x:c r="F491" s="2" t="str">
        <x:v>Government</x:v>
      </x:c>
      <x:c r="G491" s="2" t="str">
        <x:v>Small (&lt;100 beds)</x:v>
      </x:c>
      <x:c r="H491" s="7"/>
      <x:c r="I491" s="7"/>
      <x:c r="J491" s="7"/>
      <x:c r="K491" s="8" t="n">
        <x:v>16</x:v>
      </x:c>
      <x:c r="L491" s="8" t="n">
        <x:v>82</x:v>
      </x:c>
      <x:c r="M491" s="9" t="n">
        <x:v>0.9404109589</x:v>
      </x:c>
      <x:c r="N491" s="10" t="n">
        <x:v>114500.5487804878</x:v>
      </x:c>
      <x:c r="O491" s="9"/>
      <x:c r="P491" s="9" t="n">
        <x:v>0.9029126214</x:v>
      </x:c>
      <x:c r="Q491" s="9" t="n">
        <x:v>0</x:v>
      </x:c>
      <x:c r="R491" s="3" t="b">
        <x:v>1</x:v>
      </x:c>
      <x:c r="S491" s="3" t="b">
        <x:v>0</x:v>
      </x:c>
      <x:c r="T491" s="3" t="b">
        <x:v>0</x:v>
      </x:c>
      <x:c r="U491" s="2" t="str">
        <x:f>IF(T491=TRUE,"Priority review",IF(R491=TRUE,"High cost",IF(S491=TRUE,"Low quality","Benchmark")))</x:f>
        <x:v>High cost</x:v>
      </x:c>
    </x:row>
    <x:row r="492">
      <x:c r="A492" s="2" t="str">
        <x:v>161310</x:v>
      </x:c>
      <x:c r="B492" s="2" t="str">
        <x:v>ADAIR COUNTY MEMORIAL HOSPITAL</x:v>
      </x:c>
      <x:c r="C492" s="2" t="str">
        <x:v>GREENFIELD</x:v>
      </x:c>
      <x:c r="D492" s="2" t="str">
        <x:v>IA</x:v>
      </x:c>
      <x:c r="E492" s="2" t="str">
        <x:v>Critical Access Hospitals</x:v>
      </x:c>
      <x:c r="F492" s="2" t="str">
        <x:v>Government</x:v>
      </x:c>
      <x:c r="G492" s="2" t="str">
        <x:v>Small (&lt;100 beds)</x:v>
      </x:c>
      <x:c r="H492" s="7"/>
      <x:c r="I492" s="7"/>
      <x:c r="J492" s="7"/>
      <x:c r="K492" s="8" t="n">
        <x:v>25</x:v>
      </x:c>
      <x:c r="L492" s="8" t="n">
        <x:v>61</x:v>
      </x:c>
      <x:c r="M492" s="9" t="n">
        <x:v>0.0424137931</x:v>
      </x:c>
      <x:c r="N492" s="10" t="n">
        <x:v>340104.3770491803</x:v>
      </x:c>
      <x:c r="O492" s="9" t="n">
        <x:v>-0.2837438248</x:v>
      </x:c>
      <x:c r="P492" s="9" t="n">
        <x:v>0.9026022305</x:v>
      </x:c>
      <x:c r="Q492" s="9" t="n">
        <x:v>0.292936803</x:v>
      </x:c>
      <x:c r="R492" s="3" t="b">
        <x:v>1</x:v>
      </x:c>
      <x:c r="S492" s="3" t="b">
        <x:v>0</x:v>
      </x:c>
      <x:c r="T492" s="3" t="b">
        <x:v>0</x:v>
      </x:c>
      <x:c r="U492" s="2" t="str">
        <x:f>IF(T492=TRUE,"Priority review",IF(R492=TRUE,"High cost",IF(S492=TRUE,"Low quality","Benchmark")))</x:f>
        <x:v>High cost</x:v>
      </x:c>
    </x:row>
    <x:row r="493">
      <x:c r="A493" s="2" t="str">
        <x:v>450155</x:v>
      </x:c>
      <x:c r="B493" s="2" t="str">
        <x:v>HEREFORD REGIONAL MEDICAL CENTER</x:v>
      </x:c>
      <x:c r="C493" s="2" t="str">
        <x:v>HEREFORD</x:v>
      </x:c>
      <x:c r="D493" s="2" t="str">
        <x:v>TX</x:v>
      </x:c>
      <x:c r="E493" s="2" t="str">
        <x:v>Acute Care Hospitals</x:v>
      </x:c>
      <x:c r="F493" s="2" t="str">
        <x:v>Government</x:v>
      </x:c>
      <x:c r="G493" s="2" t="str">
        <x:v>Small (&lt;100 beds)</x:v>
      </x:c>
      <x:c r="H493" s="7"/>
      <x:c r="I493" s="7"/>
      <x:c r="J493" s="7" t="n">
        <x:v>0.98</x:v>
      </x:c>
      <x:c r="K493" s="8" t="n">
        <x:v>32</x:v>
      </x:c>
      <x:c r="L493" s="8" t="n">
        <x:v>217</x:v>
      </x:c>
      <x:c r="M493" s="9" t="n">
        <x:v>0.1314036885</x:v>
      </x:c>
      <x:c r="N493" s="10" t="n">
        <x:v>154730.7741935484</x:v>
      </x:c>
      <x:c r="O493" s="9" t="n">
        <x:v>-1.0170212372</x:v>
      </x:c>
      <x:c r="P493" s="9" t="n">
        <x:v>0.9021543986</x:v>
      </x:c>
      <x:c r="Q493" s="9" t="n">
        <x:v>0.697486535</x:v>
      </x:c>
      <x:c r="R493" s="3" t="b">
        <x:v>1</x:v>
      </x:c>
      <x:c r="S493" s="3" t="b">
        <x:v>0</x:v>
      </x:c>
      <x:c r="T493" s="3" t="b">
        <x:v>0</x:v>
      </x:c>
      <x:c r="U493" s="2" t="str">
        <x:f>IF(T493=TRUE,"Priority review",IF(R493=TRUE,"High cost",IF(S493=TRUE,"Low quality","Benchmark")))</x:f>
        <x:v>High cost</x:v>
      </x:c>
    </x:row>
    <x:row r="494">
      <x:c r="A494" s="2" t="str">
        <x:v>371335</x:v>
      </x:c>
      <x:c r="B494" s="2" t="str">
        <x:v>HASKELL REGIONAL HOSPITAL, INC</x:v>
      </x:c>
      <x:c r="C494" s="2" t="str">
        <x:v>STIGLER</x:v>
      </x:c>
      <x:c r="D494" s="2" t="str">
        <x:v>OK</x:v>
      </x:c>
      <x:c r="E494" s="2" t="str">
        <x:v>Critical Access Hospitals</x:v>
      </x:c>
      <x:c r="F494" s="2" t="str">
        <x:v>Voluntary non-profit</x:v>
      </x:c>
      <x:c r="G494" s="2" t="str">
        <x:v>Small (&lt;100 beds)</x:v>
      </x:c>
      <x:c r="H494" s="7"/>
      <x:c r="I494" s="7"/>
      <x:c r="J494" s="7"/>
      <x:c r="K494" s="8" t="n">
        <x:v>25</x:v>
      </x:c>
      <x:c r="L494" s="8" t="n">
        <x:v>50</x:v>
      </x:c>
      <x:c r="M494" s="9" t="n">
        <x:v>0.114739726</x:v>
      </x:c>
      <x:c r="N494" s="10" t="n">
        <x:v>339702.82</x:v>
      </x:c>
      <x:c r="O494" s="9" t="n">
        <x:v>-0.1446353539</x:v>
      </x:c>
      <x:c r="P494" s="9" t="n">
        <x:v>0.9018587361</x:v>
      </x:c>
      <x:c r="Q494" s="9" t="n">
        <x:v>0.292936803</x:v>
      </x:c>
      <x:c r="R494" s="3" t="b">
        <x:v>1</x:v>
      </x:c>
      <x:c r="S494" s="3" t="b">
        <x:v>0</x:v>
      </x:c>
      <x:c r="T494" s="3" t="b">
        <x:v>0</x:v>
      </x:c>
      <x:c r="U494" s="2" t="str">
        <x:f>IF(T494=TRUE,"Priority review",IF(R494=TRUE,"High cost",IF(S494=TRUE,"Low quality","Benchmark")))</x:f>
        <x:v>High cost</x:v>
      </x:c>
    </x:row>
    <x:row r="495">
      <x:c r="A495" s="2" t="str">
        <x:v>450253</x:v>
      </x:c>
      <x:c r="B495" s="2" t="str">
        <x:v>BELLVILLE MEDICAL CENTER</x:v>
      </x:c>
      <x:c r="C495" s="2" t="str">
        <x:v>BELLVILLE</x:v>
      </x:c>
      <x:c r="D495" s="2" t="str">
        <x:v>TX</x:v>
      </x:c>
      <x:c r="E495" s="2" t="str">
        <x:v>Acute Care Hospitals</x:v>
      </x:c>
      <x:c r="F495" s="2" t="str">
        <x:v>Government</x:v>
      </x:c>
      <x:c r="G495" s="2" t="str">
        <x:v>Small (&lt;100 beds)</x:v>
      </x:c>
      <x:c r="H495" s="7"/>
      <x:c r="I495" s="7"/>
      <x:c r="J495" s="7" t="n">
        <x:v>1.13</x:v>
      </x:c>
      <x:c r="K495" s="8" t="n">
        <x:v>5</x:v>
      </x:c>
      <x:c r="L495" s="8" t="n">
        <x:v>83</x:v>
      </x:c>
      <x:c r="M495" s="9" t="n">
        <x:v>0.1349726776</x:v>
      </x:c>
      <x:c r="N495" s="10" t="n">
        <x:v>154648.5421686747</x:v>
      </x:c>
      <x:c r="O495" s="9" t="n">
        <x:v>-0.575145285</x:v>
      </x:c>
      <x:c r="P495" s="9" t="n">
        <x:v>0.9012567325</x:v>
      </x:c>
      <x:c r="Q495" s="9" t="n">
        <x:v>0.697486535</x:v>
      </x:c>
      <x:c r="R495" s="3" t="b">
        <x:v>1</x:v>
      </x:c>
      <x:c r="S495" s="3" t="b">
        <x:v>0</x:v>
      </x:c>
      <x:c r="T495" s="3" t="b">
        <x:v>0</x:v>
      </x:c>
      <x:c r="U495" s="2" t="str">
        <x:f>IF(T495=TRUE,"Priority review",IF(R495=TRUE,"High cost",IF(S495=TRUE,"Low quality","Benchmark")))</x:f>
        <x:v>High cost</x:v>
      </x:c>
    </x:row>
    <x:row r="496">
      <x:c r="A496" s="2" t="str">
        <x:v>281333</x:v>
      </x:c>
      <x:c r="B496" s="2" t="str">
        <x:v>ROCK COUNTY HOSPITAL</x:v>
      </x:c>
      <x:c r="C496" s="2" t="str">
        <x:v>BASSETT</x:v>
      </x:c>
      <x:c r="D496" s="2" t="str">
        <x:v>NE</x:v>
      </x:c>
      <x:c r="E496" s="2" t="str">
        <x:v>Critical Access Hospitals</x:v>
      </x:c>
      <x:c r="F496" s="2" t="str">
        <x:v>Government</x:v>
      </x:c>
      <x:c r="G496" s="2" t="str">
        <x:v>Small (&lt;100 beds)</x:v>
      </x:c>
      <x:c r="H496" s="7"/>
      <x:c r="I496" s="7"/>
      <x:c r="J496" s="7"/>
      <x:c r="K496" s="8" t="n">
        <x:v>15</x:v>
      </x:c>
      <x:c r="L496" s="8" t="n">
        <x:v>51</x:v>
      </x:c>
      <x:c r="M496" s="9" t="n">
        <x:v>0.0582648402</x:v>
      </x:c>
      <x:c r="N496" s="10" t="n">
        <x:v>339488.5882352941</x:v>
      </x:c>
      <x:c r="O496" s="9" t="n">
        <x:v>-0.5445725112</x:v>
      </x:c>
      <x:c r="P496" s="9" t="n">
        <x:v>0.9011152416</x:v>
      </x:c>
      <x:c r="Q496" s="9" t="n">
        <x:v>0.292936803</x:v>
      </x:c>
      <x:c r="R496" s="3" t="b">
        <x:v>1</x:v>
      </x:c>
      <x:c r="S496" s="3" t="b">
        <x:v>0</x:v>
      </x:c>
      <x:c r="T496" s="3" t="b">
        <x:v>0</x:v>
      </x:c>
      <x:c r="U496" s="2" t="str">
        <x:f>IF(T496=TRUE,"Priority review",IF(R496=TRUE,"High cost",IF(S496=TRUE,"Low quality","Benchmark")))</x:f>
        <x:v>High cost</x:v>
      </x:c>
    </x:row>
    <x:row r="497">
      <x:c r="A497" s="2" t="str">
        <x:v>390027</x:v>
      </x:c>
      <x:c r="B497" s="2" t="str">
        <x:v>TEMPLE UNIVERSITY HOSPITAL</x:v>
      </x:c>
      <x:c r="C497" s="2" t="str">
        <x:v>PHILADELPHIA</x:v>
      </x:c>
      <x:c r="D497" s="2" t="str">
        <x:v>PA</x:v>
      </x:c>
      <x:c r="E497" s="2" t="str">
        <x:v>Acute Care Hospitals</x:v>
      </x:c>
      <x:c r="F497" s="2" t="str">
        <x:v>Voluntary non-profit</x:v>
      </x:c>
      <x:c r="G497" s="2" t="str">
        <x:v>Large (300+ beds)</x:v>
      </x:c>
      <x:c r="H497" s="7" t="n">
        <x:v>4</x:v>
      </x:c>
      <x:c r="I497" s="7" t="n">
        <x:v>3</x:v>
      </x:c>
      <x:c r="J497" s="7" t="n">
        <x:v>1.02</x:v>
      </x:c>
      <x:c r="K497" s="8" t="n">
        <x:v>761</x:v>
      </x:c>
      <x:c r="L497" s="8" t="n">
        <x:v>33714</x:v>
      </x:c>
      <x:c r="M497" s="9" t="n">
        <x:v>0.778411538</x:v>
      </x:c>
      <x:c r="N497" s="10" t="n">
        <x:v>76400.8472741294</x:v>
      </x:c>
      <x:c r="O497" s="9" t="n">
        <x:v>-0.0019139208</x:v>
      </x:c>
      <x:c r="P497" s="9" t="n">
        <x:v>0.9006309148</x:v>
      </x:c>
      <x:c r="Q497" s="9" t="n">
        <x:v>0.5899053628</x:v>
      </x:c>
      <x:c r="R497" s="3" t="b">
        <x:v>1</x:v>
      </x:c>
      <x:c r="S497" s="3" t="b">
        <x:v>0</x:v>
      </x:c>
      <x:c r="T497" s="3" t="b">
        <x:v>0</x:v>
      </x:c>
      <x:c r="U497" s="2" t="str">
        <x:f>IF(T497=TRUE,"Priority review",IF(R497=TRUE,"High cost",IF(S497=TRUE,"Low quality","Benchmark")))</x:f>
        <x:v>High cost</x:v>
      </x:c>
    </x:row>
    <x:row r="498">
      <x:c r="A498" s="2" t="str">
        <x:v>050197</x:v>
      </x:c>
      <x:c r="B498" s="2" t="str">
        <x:v>SEQUOIA HOSPITAL</x:v>
      </x:c>
      <x:c r="C498" s="2" t="str">
        <x:v>REDWOOD CITY</x:v>
      </x:c>
      <x:c r="D498" s="2" t="str">
        <x:v>CA</x:v>
      </x:c>
      <x:c r="E498" s="2" t="str">
        <x:v>Acute Care Hospitals</x:v>
      </x:c>
      <x:c r="F498" s="2" t="str">
        <x:v>Voluntary non-profit</x:v>
      </x:c>
      <x:c r="G498" s="2" t="str">
        <x:v>Medium (100-299 beds)</x:v>
      </x:c>
      <x:c r="H498" s="7" t="n">
        <x:v>5</x:v>
      </x:c>
      <x:c r="I498" s="7" t="n">
        <x:v>4</x:v>
      </x:c>
      <x:c r="J498" s="7" t="n">
        <x:v>0.94</x:v>
      </x:c>
      <x:c r="K498" s="8" t="n">
        <x:v>184</x:v>
      </x:c>
      <x:c r="L498" s="8" t="n">
        <x:v>5520</x:v>
      </x:c>
      <x:c r="M498" s="9" t="n">
        <x:v>0.2533262057</x:v>
      </x:c>
      <x:c r="N498" s="10" t="n">
        <x:v>61452.7105072464</x:v>
      </x:c>
      <x:c r="O498" s="9" t="n">
        <x:v>-0.0372974557</x:v>
      </x:c>
      <x:c r="P498" s="9" t="n">
        <x:v>0.9005704971</x:v>
      </x:c>
      <x:c r="Q498" s="9" t="n">
        <x:v>0.8744906275</x:v>
      </x:c>
      <x:c r="R498" s="3" t="b">
        <x:v>1</x:v>
      </x:c>
      <x:c r="S498" s="3" t="b">
        <x:v>0</x:v>
      </x:c>
      <x:c r="T498" s="3" t="b">
        <x:v>0</x:v>
      </x:c>
      <x:c r="U498" s="2" t="str">
        <x:f>IF(T498=TRUE,"Priority review",IF(R498=TRUE,"High cost",IF(S498=TRUE,"Low quality","Benchmark")))</x:f>
        <x:v>High cost</x:v>
      </x:c>
    </x:row>
    <x:row r="499">
      <x:c r="A499" s="2" t="str">
        <x:v>244002</x:v>
      </x:c>
      <x:c r="B499" s="2" t="str">
        <x:v>ANOKA METRO REGIONAL TREATMENT CENTER</x:v>
      </x:c>
      <x:c r="C499" s="2" t="str">
        <x:v>ANOKA</x:v>
      </x:c>
      <x:c r="D499" s="2" t="str">
        <x:v>MN</x:v>
      </x:c>
      <x:c r="E499" s="2" t="str">
        <x:v>Psychiatric</x:v>
      </x:c>
      <x:c r="F499" s="2" t="str">
        <x:v>Government</x:v>
      </x:c>
      <x:c r="G499" s="2" t="str">
        <x:v>Medium (100-299 beds)</x:v>
      </x:c>
      <x:c r="H499" s="7"/>
      <x:c r="I499" s="7"/>
      <x:c r="J499" s="7"/>
      <x:c r="K499" s="8" t="n">
        <x:v>110</x:v>
      </x:c>
      <x:c r="L499" s="8" t="n">
        <x:v>320</x:v>
      </x:c>
      <x:c r="M499" s="9" t="n">
        <x:v>0.81501868</x:v>
      </x:c>
      <x:c r="N499" s="10" t="n">
        <x:v>227760.575</x:v>
      </x:c>
      <x:c r="O499" s="9"/>
      <x:c r="P499" s="9" t="n">
        <x:v>0.9004975124</x:v>
      </x:c>
      <x:c r="Q499" s="9" t="n">
        <x:v>0</x:v>
      </x:c>
      <x:c r="R499" s="3" t="b">
        <x:v>1</x:v>
      </x:c>
      <x:c r="S499" s="3" t="b">
        <x:v>0</x:v>
      </x:c>
      <x:c r="T499" s="3" t="b">
        <x:v>0</x:v>
      </x:c>
      <x:c r="U499" s="2" t="str">
        <x:f>IF(T499=TRUE,"Priority review",IF(R499=TRUE,"High cost",IF(S499=TRUE,"Low quality","Benchmark")))</x:f>
        <x:v>High cost</x:v>
      </x:c>
    </x:row>
    <x:row r="500">
      <x:c r="A500" s="2" t="str">
        <x:v>361303</x:v>
      </x:c>
      <x:c r="B500" s="2" t="str">
        <x:v>LODI COMMUNITY HOSPITAL</x:v>
      </x:c>
      <x:c r="C500" s="2" t="str">
        <x:v>LODI</x:v>
      </x:c>
      <x:c r="D500" s="2" t="str">
        <x:v>OH</x:v>
      </x:c>
      <x:c r="E500" s="2" t="str">
        <x:v>Critical Access Hospitals</x:v>
      </x:c>
      <x:c r="F500" s="2" t="str">
        <x:v>Voluntary non-profit</x:v>
      </x:c>
      <x:c r="G500" s="2" t="str">
        <x:v>Small (&lt;100 beds)</x:v>
      </x:c>
      <x:c r="H500" s="7"/>
      <x:c r="I500" s="7" t="n">
        <x:v>4</x:v>
      </x:c>
      <x:c r="J500" s="7"/>
      <x:c r="K500" s="8" t="n">
        <x:v>20</x:v>
      </x:c>
      <x:c r="L500" s="8" t="n">
        <x:v>65</x:v>
      </x:c>
      <x:c r="M500" s="9" t="n">
        <x:v>0.5885245902</x:v>
      </x:c>
      <x:c r="N500" s="10" t="n">
        <x:v>336873.1230769231</x:v>
      </x:c>
      <x:c r="O500" s="9" t="n">
        <x:v>0.5034067155</x:v>
      </x:c>
      <x:c r="P500" s="9" t="n">
        <x:v>0.9003717472</x:v>
      </x:c>
      <x:c r="Q500" s="9" t="n">
        <x:v>0.292936803</x:v>
      </x:c>
      <x:c r="R500" s="3" t="b">
        <x:v>1</x:v>
      </x:c>
      <x:c r="S500" s="3" t="b">
        <x:v>0</x:v>
      </x:c>
      <x:c r="T500" s="3" t="b">
        <x:v>0</x:v>
      </x:c>
      <x:c r="U500" s="2" t="str">
        <x:f>IF(T500=TRUE,"Priority review",IF(R500=TRUE,"High cost",IF(S500=TRUE,"Low quality","Benchmark")))</x:f>
        <x:v>High cost</x:v>
      </x:c>
    </x:row>
    <x:row r="501">
      <x:c r="A501" s="2" t="str">
        <x:v>670076</x:v>
      </x:c>
      <x:c r="B501" s="2" t="str">
        <x:v>BAYLOR SCOTT AND WHITE SURGICAL HOSPITAL AT SHERMA</x:v>
      </x:c>
      <x:c r="C501" s="2" t="str">
        <x:v>SHERMAN</x:v>
      </x:c>
      <x:c r="D501" s="2" t="str">
        <x:v>TX</x:v>
      </x:c>
      <x:c r="E501" s="2" t="str">
        <x:v>Acute Care Hospitals</x:v>
      </x:c>
      <x:c r="F501" s="2" t="str">
        <x:v>Other / unknown</x:v>
      </x:c>
      <x:c r="G501" s="2" t="str">
        <x:v>Small (&lt;100 beds)</x:v>
      </x:c>
      <x:c r="H501" s="7" t="n">
        <x:v>3</x:v>
      </x:c>
      <x:c r="I501" s="7"/>
      <x:c r="J501" s="7" t="n">
        <x:v>0.96</x:v>
      </x:c>
      <x:c r="K501" s="8" t="n">
        <x:v>12</x:v>
      </x:c>
      <x:c r="L501" s="8" t="n">
        <x:v>297</x:v>
      </x:c>
      <x:c r="M501" s="9" t="n">
        <x:v>0.1821493625</x:v>
      </x:c>
      <x:c r="N501" s="10" t="n">
        <x:v>154202.5420875421</x:v>
      </x:c>
      <x:c r="O501" s="9" t="n">
        <x:v>0.1848915847</x:v>
      </x:c>
      <x:c r="P501" s="9" t="n">
        <x:v>0.9003590664</x:v>
      </x:c>
      <x:c r="Q501" s="9" t="n">
        <x:v>0.1687612208</x:v>
      </x:c>
      <x:c r="R501" s="3" t="b">
        <x:v>1</x:v>
      </x:c>
      <x:c r="S501" s="3" t="b">
        <x:v>0</x:v>
      </x:c>
      <x:c r="T501" s="3" t="b">
        <x:v>0</x:v>
      </x:c>
      <x:c r="U501" s="2" t="str">
        <x:f>IF(T501=TRUE,"Priority review",IF(R501=TRUE,"High cost",IF(S501=TRUE,"Low quality","Benchmark")))</x:f>
        <x:v>High cost</x:v>
      </x:c>
    </x:row>
    <x:row r="502">
      <x:c r="A502" s="2" t="str">
        <x:v>210027</x:v>
      </x:c>
      <x:c r="B502" s="2" t="str">
        <x:v>WESTERN MARYLAND REGIONAL MEDICAL CENTER</x:v>
      </x:c>
      <x:c r="C502" s="2" t="str">
        <x:v>CUMBERLAND</x:v>
      </x:c>
      <x:c r="D502" s="2" t="str">
        <x:v>MD</x:v>
      </x:c>
      <x:c r="E502" s="2" t="str">
        <x:v>Acute Care Hospitals</x:v>
      </x:c>
      <x:c r="F502" s="2" t="str">
        <x:v>Voluntary non-profit</x:v>
      </x:c>
      <x:c r="G502" s="2" t="str">
        <x:v>Medium (100-299 beds)</x:v>
      </x:c>
      <x:c r="H502" s="7" t="n">
        <x:v>4</x:v>
      </x:c>
      <x:c r="I502" s="7" t="n">
        <x:v>3</x:v>
      </x:c>
      <x:c r="J502" s="7"/>
      <x:c r="K502" s="8" t="n">
        <x:v>175</x:v>
      </x:c>
      <x:c r="L502" s="8" t="n">
        <x:v>6076</x:v>
      </x:c>
      <x:c r="M502" s="9" t="n">
        <x:v>0.6477651663</x:v>
      </x:c>
      <x:c r="N502" s="10" t="n">
        <x:v>61170.7259710336</x:v>
      </x:c>
      <x:c r="O502" s="9" t="n">
        <x:v>-0.1521243418</x:v>
      </x:c>
      <x:c r="P502" s="9" t="n">
        <x:v>0.8997555012</x:v>
      </x:c>
      <x:c r="Q502" s="9" t="n">
        <x:v>0.6022819886</x:v>
      </x:c>
      <x:c r="R502" s="3" t="b">
        <x:v>0</x:v>
      </x:c>
      <x:c r="S502" s="3" t="b">
        <x:v>0</x:v>
      </x:c>
      <x:c r="T502" s="3" t="b">
        <x:v>0</x:v>
      </x:c>
      <x:c r="U502" s="2" t="str">
        <x:f>IF(T502=TRUE,"Priority review",IF(R502=TRUE,"High cost",IF(S502=TRUE,"Low quality","Benchmark")))</x:f>
        <x:v>Benchmark</x:v>
      </x:c>
    </x:row>
    <x:row r="503">
      <x:c r="A503" s="2" t="str">
        <x:v>314011</x:v>
      </x:c>
      <x:c r="B503" s="2" t="str">
        <x:v>UNIVERSITY BEHAVIORAL HEALTH CARE</x:v>
      </x:c>
      <x:c r="C503" s="2" t="str">
        <x:v>PISCATAWAY</x:v>
      </x:c>
      <x:c r="D503" s="2" t="str">
        <x:v>NJ</x:v>
      </x:c>
      <x:c r="E503" s="2" t="str">
        <x:v>Psychiatric</x:v>
      </x:c>
      <x:c r="F503" s="2" t="str">
        <x:v>Government</x:v>
      </x:c>
      <x:c r="G503" s="2" t="str">
        <x:v>Small (&lt;100 beds)</x:v>
      </x:c>
      <x:c r="H503" s="7"/>
      <x:c r="I503" s="7"/>
      <x:c r="J503" s="7"/>
      <x:c r="K503" s="8" t="n">
        <x:v>64</x:v>
      </x:c>
      <x:c r="L503" s="8" t="n">
        <x:v>1439</x:v>
      </x:c>
      <x:c r="M503" s="9" t="n">
        <x:v>0.5863869863</x:v>
      </x:c>
      <x:c r="N503" s="10" t="n">
        <x:v>112017.3516330785</x:v>
      </x:c>
      <x:c r="O503" s="9" t="n">
        <x:v>-3.5705748809</x:v>
      </x:c>
      <x:c r="P503" s="9" t="n">
        <x:v>0.8996763754</x:v>
      </x:c>
      <x:c r="Q503" s="9" t="n">
        <x:v>0</x:v>
      </x:c>
      <x:c r="R503" s="3" t="b">
        <x:v>0</x:v>
      </x:c>
      <x:c r="S503" s="3" t="b">
        <x:v>0</x:v>
      </x:c>
      <x:c r="T503" s="3" t="b">
        <x:v>0</x:v>
      </x:c>
      <x:c r="U503" s="2" t="str">
        <x:f>IF(T503=TRUE,"Priority review",IF(R503=TRUE,"High cost",IF(S503=TRUE,"Low quality","Benchmark")))</x:f>
        <x:v>Benchmark</x:v>
      </x:c>
    </x:row>
    <x:row r="504">
      <x:c r="A504" s="2" t="str">
        <x:v>521304</x:v>
      </x:c>
      <x:c r="B504" s="2" t="str">
        <x:v>GUNDERSEN ST JOSEPHS HOSPITAL AND CLINICS</x:v>
      </x:c>
      <x:c r="C504" s="2" t="str">
        <x:v>HILLSBORO</x:v>
      </x:c>
      <x:c r="D504" s="2" t="str">
        <x:v>WI</x:v>
      </x:c>
      <x:c r="E504" s="2" t="str">
        <x:v>Critical Access Hospitals</x:v>
      </x:c>
      <x:c r="F504" s="2" t="str">
        <x:v>Voluntary non-profit</x:v>
      </x:c>
      <x:c r="G504" s="2" t="str">
        <x:v>Small (&lt;100 beds)</x:v>
      </x:c>
      <x:c r="H504" s="7"/>
      <x:c r="I504" s="7"/>
      <x:c r="J504" s="7"/>
      <x:c r="K504" s="8" t="n">
        <x:v>25</x:v>
      </x:c>
      <x:c r="L504" s="8" t="n">
        <x:v>109</x:v>
      </x:c>
      <x:c r="M504" s="9" t="n">
        <x:v>0.2797814208</x:v>
      </x:c>
      <x:c r="N504" s="10" t="n">
        <x:v>336638.6880733945</x:v>
      </x:c>
      <x:c r="O504" s="9" t="n">
        <x:v>0.1018743667</x:v>
      </x:c>
      <x:c r="P504" s="9" t="n">
        <x:v>0.8996282528</x:v>
      </x:c>
      <x:c r="Q504" s="9" t="n">
        <x:v>0.292936803</x:v>
      </x:c>
      <x:c r="R504" s="3" t="b">
        <x:v>0</x:v>
      </x:c>
      <x:c r="S504" s="3" t="b">
        <x:v>0</x:v>
      </x:c>
      <x:c r="T504" s="3" t="b">
        <x:v>0</x:v>
      </x:c>
      <x:c r="U504" s="2" t="str">
        <x:f>IF(T504=TRUE,"Priority review",IF(R504=TRUE,"High cost",IF(S504=TRUE,"Low quality","Benchmark")))</x:f>
        <x:v>Benchmark</x:v>
      </x:c>
    </x:row>
    <x:row r="505">
      <x:c r="A505" s="2" t="str">
        <x:v>100130</x:v>
      </x:c>
      <x:c r="B505" s="2" t="str">
        <x:v>LAKESIDE MEDICAL CENTER</x:v>
      </x:c>
      <x:c r="C505" s="2" t="str">
        <x:v>BELLE GLADE</x:v>
      </x:c>
      <x:c r="D505" s="2" t="str">
        <x:v>FL</x:v>
      </x:c>
      <x:c r="E505" s="2" t="str">
        <x:v>Acute Care Hospitals</x:v>
      </x:c>
      <x:c r="F505" s="2" t="str">
        <x:v>Government</x:v>
      </x:c>
      <x:c r="G505" s="2" t="str">
        <x:v>Small (&lt;100 beds)</x:v>
      </x:c>
      <x:c r="H505" s="7"/>
      <x:c r="I505" s="7"/>
      <x:c r="J505" s="7" t="n">
        <x:v>1.07</x:v>
      </x:c>
      <x:c r="K505" s="8" t="n">
        <x:v>70</x:v>
      </x:c>
      <x:c r="L505" s="8" t="n">
        <x:v>374</x:v>
      </x:c>
      <x:c r="M505" s="9" t="n">
        <x:v>0.0738095238</x:v>
      </x:c>
      <x:c r="N505" s="10" t="n">
        <x:v>151477.7272727273</x:v>
      </x:c>
      <x:c r="O505" s="9" t="n">
        <x:v>-1.1155215239</x:v>
      </x:c>
      <x:c r="P505" s="9" t="n">
        <x:v>0.8994614004</x:v>
      </x:c>
      <x:c r="Q505" s="9" t="n">
        <x:v>0.697486535</x:v>
      </x:c>
      <x:c r="R505" s="3" t="b">
        <x:v>0</x:v>
      </x:c>
      <x:c r="S505" s="3" t="b">
        <x:v>0</x:v>
      </x:c>
      <x:c r="T505" s="3" t="b">
        <x:v>0</x:v>
      </x:c>
      <x:c r="U505" s="2" t="str">
        <x:f>IF(T505=TRUE,"Priority review",IF(R505=TRUE,"High cost",IF(S505=TRUE,"Low quality","Benchmark")))</x:f>
        <x:v>Benchmark</x:v>
      </x:c>
    </x:row>
    <x:row r="506">
      <x:c r="A506" s="2" t="str">
        <x:v>500027</x:v>
      </x:c>
      <x:c r="B506" s="2" t="str">
        <x:v>SWEDISH MEDICAL CENTER</x:v>
      </x:c>
      <x:c r="C506" s="2" t="str">
        <x:v>SEATTLE</x:v>
      </x:c>
      <x:c r="D506" s="2" t="str">
        <x:v>WA</x:v>
      </x:c>
      <x:c r="E506" s="2" t="str">
        <x:v>Acute Care Hospitals</x:v>
      </x:c>
      <x:c r="F506" s="2" t="str">
        <x:v>Voluntary non-profit</x:v>
      </x:c>
      <x:c r="G506" s="2" t="str">
        <x:v>Large (300+ beds)</x:v>
      </x:c>
      <x:c r="H506" s="7" t="n">
        <x:v>4</x:v>
      </x:c>
      <x:c r="I506" s="7" t="n">
        <x:v>3</x:v>
      </x:c>
      <x:c r="J506" s="7" t="n">
        <x:v>0.95</x:v>
      </x:c>
      <x:c r="K506" s="8" t="n">
        <x:v>590</x:v>
      </x:c>
      <x:c r="L506" s="8" t="n">
        <x:v>23925</x:v>
      </x:c>
      <x:c r="M506" s="9" t="n">
        <x:v>0.6795776605</x:v>
      </x:c>
      <x:c r="N506" s="10" t="n">
        <x:v>75625.7775548589</x:v>
      </x:c>
      <x:c r="O506" s="9" t="n">
        <x:v>-0.0840595709</x:v>
      </x:c>
      <x:c r="P506" s="9" t="n">
        <x:v>0.8990536278</x:v>
      </x:c>
      <x:c r="Q506" s="9" t="n">
        <x:v>0.5899053628</x:v>
      </x:c>
      <x:c r="R506" s="3" t="b">
        <x:v>0</x:v>
      </x:c>
      <x:c r="S506" s="3" t="b">
        <x:v>0</x:v>
      </x:c>
      <x:c r="T506" s="3" t="b">
        <x:v>0</x:v>
      </x:c>
      <x:c r="U506" s="2" t="str">
        <x:f>IF(T506=TRUE,"Priority review",IF(R506=TRUE,"High cost",IF(S506=TRUE,"Low quality","Benchmark")))</x:f>
        <x:v>Benchmark</x:v>
      </x:c>
    </x:row>
    <x:row r="507">
      <x:c r="A507" s="2" t="str">
        <x:v>050008</x:v>
      </x:c>
      <x:c r="B507" s="2" t="str">
        <x:v>CALIFORNIA PACIFIC MEDICAL CTR-DAVIES CAMPUS HOSP</x:v>
      </x:c>
      <x:c r="C507" s="2" t="str">
        <x:v>SAN FRANCISCO</x:v>
      </x:c>
      <x:c r="D507" s="2" t="str">
        <x:v>CA</x:v>
      </x:c>
      <x:c r="E507" s="2" t="str">
        <x:v>Acute Care Hospitals</x:v>
      </x:c>
      <x:c r="F507" s="2" t="str">
        <x:v>Voluntary non-profit</x:v>
      </x:c>
      <x:c r="G507" s="2" t="str">
        <x:v>Medium (100-299 beds)</x:v>
      </x:c>
      <x:c r="H507" s="7" t="n">
        <x:v>3</x:v>
      </x:c>
      <x:c r="I507" s="7" t="n">
        <x:v>3</x:v>
      </x:c>
      <x:c r="J507" s="7" t="n">
        <x:v>0.99</x:v>
      </x:c>
      <x:c r="K507" s="8" t="n">
        <x:v>105</x:v>
      </x:c>
      <x:c r="L507" s="8" t="n">
        <x:v>3751</x:v>
      </x:c>
      <x:c r="M507" s="9" t="n">
        <x:v>0.4371844913</x:v>
      </x:c>
      <x:c r="N507" s="10" t="n">
        <x:v>61118.8813649693</x:v>
      </x:c>
      <x:c r="O507" s="9" t="n">
        <x:v>0.1634944732</x:v>
      </x:c>
      <x:c r="P507" s="9" t="n">
        <x:v>0.8989405053</x:v>
      </x:c>
      <x:c r="Q507" s="9" t="n">
        <x:v>0.3023634882</x:v>
      </x:c>
      <x:c r="R507" s="3" t="b">
        <x:v>0</x:v>
      </x:c>
      <x:c r="S507" s="3" t="b">
        <x:v>0</x:v>
      </x:c>
      <x:c r="T507" s="3" t="b">
        <x:v>0</x:v>
      </x:c>
      <x:c r="U507" s="2" t="str">
        <x:f>IF(T507=TRUE,"Priority review",IF(R507=TRUE,"High cost",IF(S507=TRUE,"Low quality","Benchmark")))</x:f>
        <x:v>Benchmark</x:v>
      </x:c>
    </x:row>
    <x:row r="508">
      <x:c r="A508" s="2" t="str">
        <x:v>101300</x:v>
      </x:c>
      <x:c r="B508" s="2" t="str">
        <x:v>ADVENTHEALTH WAUCHULA</x:v>
      </x:c>
      <x:c r="C508" s="2" t="str">
        <x:v>WAUCHULA</x:v>
      </x:c>
      <x:c r="D508" s="2" t="str">
        <x:v>FL</x:v>
      </x:c>
      <x:c r="E508" s="2" t="str">
        <x:v>Critical Access Hospitals</x:v>
      </x:c>
      <x:c r="F508" s="2" t="str">
        <x:v>Voluntary non-profit</x:v>
      </x:c>
      <x:c r="G508" s="2" t="str">
        <x:v>Small (&lt;100 beds)</x:v>
      </x:c>
      <x:c r="H508" s="7"/>
      <x:c r="I508" s="7"/>
      <x:c r="J508" s="7"/>
      <x:c r="K508" s="8" t="n">
        <x:v>25</x:v>
      </x:c>
      <x:c r="L508" s="8" t="n">
        <x:v>105</x:v>
      </x:c>
      <x:c r="M508" s="9" t="n">
        <x:v>0.9167213115</x:v>
      </x:c>
      <x:c r="N508" s="10" t="n">
        <x:v>336096.4571428571</x:v>
      </x:c>
      <x:c r="O508" s="9" t="n">
        <x:v>0.1423237697</x:v>
      </x:c>
      <x:c r="P508" s="9" t="n">
        <x:v>0.8988847584</x:v>
      </x:c>
      <x:c r="Q508" s="9" t="n">
        <x:v>0.292936803</x:v>
      </x:c>
      <x:c r="R508" s="3" t="b">
        <x:v>0</x:v>
      </x:c>
      <x:c r="S508" s="3" t="b">
        <x:v>0</x:v>
      </x:c>
      <x:c r="T508" s="3" t="b">
        <x:v>0</x:v>
      </x:c>
      <x:c r="U508" s="2" t="str">
        <x:f>IF(T508=TRUE,"Priority review",IF(R508=TRUE,"High cost",IF(S508=TRUE,"Low quality","Benchmark")))</x:f>
        <x:v>Benchmark</x:v>
      </x:c>
    </x:row>
    <x:row r="509">
      <x:c r="A509" s="2" t="str">
        <x:v>320084</x:v>
      </x:c>
      <x:c r="B509" s="2" t="str">
        <x:v>ROOSEVELT GENERAL HOSPITAL</x:v>
      </x:c>
      <x:c r="C509" s="2" t="str">
        <x:v>PORTALES</x:v>
      </x:c>
      <x:c r="D509" s="2" t="str">
        <x:v>NM</x:v>
      </x:c>
      <x:c r="E509" s="2" t="str">
        <x:v>Acute Care Hospitals</x:v>
      </x:c>
      <x:c r="F509" s="2" t="str">
        <x:v>Government</x:v>
      </x:c>
      <x:c r="G509" s="2" t="str">
        <x:v>Small (&lt;100 beds)</x:v>
      </x:c>
      <x:c r="H509" s="7"/>
      <x:c r="I509" s="7"/>
      <x:c r="J509" s="7" t="n">
        <x:v>0.98</x:v>
      </x:c>
      <x:c r="K509" s="8" t="n">
        <x:v>12</x:v>
      </x:c>
      <x:c r="L509" s="8" t="n">
        <x:v>305</x:v>
      </x:c>
      <x:c r="M509" s="9" t="n">
        <x:v>0.2255707763</x:v>
      </x:c>
      <x:c r="N509" s="10" t="n">
        <x:v>151069.8819672131</x:v>
      </x:c>
      <x:c r="O509" s="9" t="n">
        <x:v>-0.2160509824</x:v>
      </x:c>
      <x:c r="P509" s="9" t="n">
        <x:v>0.8985637343</x:v>
      </x:c>
      <x:c r="Q509" s="9" t="n">
        <x:v>0.697486535</x:v>
      </x:c>
      <x:c r="R509" s="3" t="b">
        <x:v>0</x:v>
      </x:c>
      <x:c r="S509" s="3" t="b">
        <x:v>0</x:v>
      </x:c>
      <x:c r="T509" s="3" t="b">
        <x:v>0</x:v>
      </x:c>
      <x:c r="U509" s="2" t="str">
        <x:f>IF(T509=TRUE,"Priority review",IF(R509=TRUE,"High cost",IF(S509=TRUE,"Low quality","Benchmark")))</x:f>
        <x:v>Benchmark</x:v>
      </x:c>
    </x:row>
    <x:row r="510">
      <x:c r="A510" s="2" t="str">
        <x:v>021312</x:v>
      </x:c>
      <x:c r="B510" s="2" t="str">
        <x:v>SAMUEL SIMMONDS MEMORIAL HOSPITAL</x:v>
      </x:c>
      <x:c r="C510" s="2" t="str">
        <x:v>BARROW</x:v>
      </x:c>
      <x:c r="D510" s="2" t="str">
        <x:v>AK</x:v>
      </x:c>
      <x:c r="E510" s="2" t="str">
        <x:v>Critical Access Hospitals</x:v>
      </x:c>
      <x:c r="F510" s="2" t="str">
        <x:v>Other / unknown</x:v>
      </x:c>
      <x:c r="G510" s="2" t="str">
        <x:v>Small (&lt;100 beds)</x:v>
      </x:c>
      <x:c r="H510" s="7"/>
      <x:c r="I510" s="7"/>
      <x:c r="J510" s="7"/>
      <x:c r="K510" s="8" t="n">
        <x:v>10</x:v>
      </x:c>
      <x:c r="L510" s="8" t="n">
        <x:v>375</x:v>
      </x:c>
      <x:c r="M510" s="9" t="n">
        <x:v>0.3568306011</x:v>
      </x:c>
      <x:c r="N510" s="10" t="n">
        <x:v>334724.4693333333</x:v>
      </x:c>
      <x:c r="O510" s="9" t="n">
        <x:v>0.2111628915</x:v>
      </x:c>
      <x:c r="P510" s="9" t="n">
        <x:v>0.8981412639</x:v>
      </x:c>
      <x:c r="Q510" s="9" t="n">
        <x:v>0.292936803</x:v>
      </x:c>
      <x:c r="R510" s="3" t="b">
        <x:v>0</x:v>
      </x:c>
      <x:c r="S510" s="3" t="b">
        <x:v>0</x:v>
      </x:c>
      <x:c r="T510" s="3" t="b">
        <x:v>0</x:v>
      </x:c>
      <x:c r="U510" s="2" t="str">
        <x:f>IF(T510=TRUE,"Priority review",IF(R510=TRUE,"High cost",IF(S510=TRUE,"Low quality","Benchmark")))</x:f>
        <x:v>Benchmark</x:v>
      </x:c>
    </x:row>
    <x:row r="511">
      <x:c r="A511" s="2" t="str">
        <x:v>260048</x:v>
      </x:c>
      <x:c r="B511" s="2" t="str">
        <x:v>TRUMAN MEDICAL CENTER HOSPITAL HILL</x:v>
      </x:c>
      <x:c r="C511" s="2" t="str">
        <x:v>KANSAS CITY</x:v>
      </x:c>
      <x:c r="D511" s="2" t="str">
        <x:v>MO</x:v>
      </x:c>
      <x:c r="E511" s="2" t="str">
        <x:v>Acute Care Hospitals</x:v>
      </x:c>
      <x:c r="F511" s="2" t="str">
        <x:v>Voluntary non-profit</x:v>
      </x:c>
      <x:c r="G511" s="2" t="str">
        <x:v>Medium (100-299 beds)</x:v>
      </x:c>
      <x:c r="H511" s="7" t="n">
        <x:v>3</x:v>
      </x:c>
      <x:c r="I511" s="7" t="n">
        <x:v>2</x:v>
      </x:c>
      <x:c r="J511" s="7" t="n">
        <x:v>0.97</x:v>
      </x:c>
      <x:c r="K511" s="8" t="n">
        <x:v>262</x:v>
      </x:c>
      <x:c r="L511" s="8" t="n">
        <x:v>11443</x:v>
      </x:c>
      <x:c r="M511" s="9" t="n">
        <x:v>0.8066550883</x:v>
      </x:c>
      <x:c r="N511" s="10" t="n">
        <x:v>61002.6679192519</x:v>
      </x:c>
      <x:c r="O511" s="9" t="n">
        <x:v>-0.0312454764</x:v>
      </x:c>
      <x:c r="P511" s="9" t="n">
        <x:v>0.8981255094</x:v>
      </x:c>
      <x:c r="Q511" s="9" t="n">
        <x:v>0.3023634882</x:v>
      </x:c>
      <x:c r="R511" s="3" t="b">
        <x:v>0</x:v>
      </x:c>
      <x:c r="S511" s="3" t="b">
        <x:v>0</x:v>
      </x:c>
      <x:c r="T511" s="3" t="b">
        <x:v>0</x:v>
      </x:c>
      <x:c r="U511" s="2" t="str">
        <x:f>IF(T511=TRUE,"Priority review",IF(R511=TRUE,"High cost",IF(S511=TRUE,"Low quality","Benchmark")))</x:f>
        <x:v>Benchmark</x:v>
      </x:c>
    </x:row>
    <x:row r="512">
      <x:c r="A512" s="2" t="str">
        <x:v>670107</x:v>
      </x:c>
      <x:c r="B512" s="2" t="str">
        <x:v>BAYLOR SCOTT AND WHITE EMERGENCY HOSPITAL</x:v>
      </x:c>
      <x:c r="C512" s="2" t="str">
        <x:v>BURLESON</x:v>
      </x:c>
      <x:c r="D512" s="2" t="str">
        <x:v>TX</x:v>
      </x:c>
      <x:c r="E512" s="2" t="str">
        <x:v>Acute Care Hospitals</x:v>
      </x:c>
      <x:c r="F512" s="2" t="str">
        <x:v>Proprietary</x:v>
      </x:c>
      <x:c r="G512" s="2" t="str">
        <x:v>Small (&lt;100 beds)</x:v>
      </x:c>
      <x:c r="H512" s="7"/>
      <x:c r="I512" s="7"/>
      <x:c r="J512" s="7"/>
      <x:c r="K512" s="8" t="n">
        <x:v>24</x:v>
      </x:c>
      <x:c r="L512" s="8" t="n">
        <x:v>229</x:v>
      </x:c>
      <x:c r="M512" s="9" t="n">
        <x:v>0.0579462659</x:v>
      </x:c>
      <x:c r="N512" s="10" t="n">
        <x:v>149532.5109170306</x:v>
      </x:c>
      <x:c r="O512" s="9" t="n">
        <x:v>0.1094257281</x:v>
      </x:c>
      <x:c r="P512" s="9" t="n">
        <x:v>0.8976660682</x:v>
      </x:c>
      <x:c r="Q512" s="9" t="n">
        <x:v>0.697486535</x:v>
      </x:c>
      <x:c r="R512" s="3" t="b">
        <x:v>0</x:v>
      </x:c>
      <x:c r="S512" s="3" t="b">
        <x:v>0</x:v>
      </x:c>
      <x:c r="T512" s="3" t="b">
        <x:v>0</x:v>
      </x:c>
      <x:c r="U512" s="2" t="str">
        <x:f>IF(T512=TRUE,"Priority review",IF(R512=TRUE,"High cost",IF(S512=TRUE,"Low quality","Benchmark")))</x:f>
        <x:v>Benchmark</x:v>
      </x:c>
    </x:row>
    <x:row r="513">
      <x:c r="A513" s="2" t="str">
        <x:v>330204</x:v>
      </x:c>
      <x:c r="B513" s="2" t="str">
        <x:v>BELLEVUE HOSPITAL CENTER</x:v>
      </x:c>
      <x:c r="C513" s="2" t="str">
        <x:v>NEW YORK</x:v>
      </x:c>
      <x:c r="D513" s="2" t="str">
        <x:v>NY</x:v>
      </x:c>
      <x:c r="E513" s="2" t="str">
        <x:v>Acute Care Hospitals</x:v>
      </x:c>
      <x:c r="F513" s="2" t="str">
        <x:v>Government</x:v>
      </x:c>
      <x:c r="G513" s="2" t="str">
        <x:v>Large (300+ beds)</x:v>
      </x:c>
      <x:c r="H513" s="7" t="n">
        <x:v>2</x:v>
      </x:c>
      <x:c r="I513" s="7" t="n">
        <x:v>2</x:v>
      </x:c>
      <x:c r="J513" s="7" t="n">
        <x:v>0.91</x:v>
      </x:c>
      <x:c r="K513" s="8" t="n">
        <x:v>527</x:v>
      </x:c>
      <x:c r="L513" s="8" t="n">
        <x:v>24404</x:v>
      </x:c>
      <x:c r="M513" s="9" t="n">
        <x:v>0.9924930467</x:v>
      </x:c>
      <x:c r="N513" s="10" t="n">
        <x:v>75225.676528438</x:v>
      </x:c>
      <x:c r="O513" s="9" t="n">
        <x:v>-0.2597668325</x:v>
      </x:c>
      <x:c r="P513" s="9" t="n">
        <x:v>0.8974763407</x:v>
      </x:c>
      <x:c r="Q513" s="9" t="n">
        <x:v>0.0536277603</x:v>
      </x:c>
      <x:c r="R513" s="3" t="b">
        <x:v>0</x:v>
      </x:c>
      <x:c r="S513" s="3" t="b">
        <x:v>1</x:v>
      </x:c>
      <x:c r="T513" s="3" t="b">
        <x:v>0</x:v>
      </x:c>
      <x:c r="U513" s="2" t="str">
        <x:f>IF(T513=TRUE,"Priority review",IF(R513=TRUE,"High cost",IF(S513=TRUE,"Low quality","Benchmark")))</x:f>
        <x:v>Low quality</x:v>
      </x:c>
    </x:row>
    <x:row r="514">
      <x:c r="A514" s="2" t="str">
        <x:v>501302</x:v>
      </x:c>
      <x:c r="B514" s="2" t="str">
        <x:v>DAYTON GENERAL HOSPITAL</x:v>
      </x:c>
      <x:c r="C514" s="2" t="str">
        <x:v>DAYTON</x:v>
      </x:c>
      <x:c r="D514" s="2" t="str">
        <x:v>WA</x:v>
      </x:c>
      <x:c r="E514" s="2" t="str">
        <x:v>Critical Access Hospitals</x:v>
      </x:c>
      <x:c r="F514" s="2" t="str">
        <x:v>Government</x:v>
      </x:c>
      <x:c r="G514" s="2" t="str">
        <x:v>Small (&lt;100 beds)</x:v>
      </x:c>
      <x:c r="H514" s="7"/>
      <x:c r="I514" s="7"/>
      <x:c r="J514" s="7"/>
      <x:c r="K514" s="8" t="n">
        <x:v>25</x:v>
      </x:c>
      <x:c r="L514" s="8" t="n">
        <x:v>103</x:v>
      </x:c>
      <x:c r="M514" s="9" t="n">
        <x:v>0.2733333333</x:v>
      </x:c>
      <x:c r="N514" s="10" t="n">
        <x:v>332867.932038835</x:v>
      </x:c>
      <x:c r="O514" s="9" t="n">
        <x:v>-0.1080595183</x:v>
      </x:c>
      <x:c r="P514" s="9" t="n">
        <x:v>0.8973977695</x:v>
      </x:c>
      <x:c r="Q514" s="9" t="n">
        <x:v>0.292936803</x:v>
      </x:c>
      <x:c r="R514" s="3" t="b">
        <x:v>0</x:v>
      </x:c>
      <x:c r="S514" s="3" t="b">
        <x:v>0</x:v>
      </x:c>
      <x:c r="T514" s="3" t="b">
        <x:v>0</x:v>
      </x:c>
      <x:c r="U514" s="2" t="str">
        <x:f>IF(T514=TRUE,"Priority review",IF(R514=TRUE,"High cost",IF(S514=TRUE,"Low quality","Benchmark")))</x:f>
        <x:v>Benchmark</x:v>
      </x:c>
    </x:row>
    <x:row r="515">
      <x:c r="A515" s="2" t="str">
        <x:v>330250</x:v>
      </x:c>
      <x:c r="B515" s="2" t="str">
        <x:v>THE UNIVERSITY OF VERMONT HEALTH NETWORK  - CHAMPL</x:v>
      </x:c>
      <x:c r="C515" s="2" t="str">
        <x:v>PLATTSBURGH</x:v>
      </x:c>
      <x:c r="D515" s="2" t="str">
        <x:v>NY</x:v>
      </x:c>
      <x:c r="E515" s="2" t="str">
        <x:v>Acute Care Hospitals</x:v>
      </x:c>
      <x:c r="F515" s="2" t="str">
        <x:v>Voluntary non-profit</x:v>
      </x:c>
      <x:c r="G515" s="2" t="str">
        <x:v>Medium (100-299 beds)</x:v>
      </x:c>
      <x:c r="H515" s="7" t="n">
        <x:v>2</x:v>
      </x:c>
      <x:c r="I515" s="7" t="n">
        <x:v>3</x:v>
      </x:c>
      <x:c r="J515" s="7" t="n">
        <x:v>0.98</x:v>
      </x:c>
      <x:c r="K515" s="8" t="n">
        <x:v>286</x:v>
      </x:c>
      <x:c r="L515" s="8" t="n">
        <x:v>7539</x:v>
      </x:c>
      <x:c r="M515" s="9" t="n">
        <x:v>0.8149435546</x:v>
      </x:c>
      <x:c r="N515" s="10" t="n">
        <x:v>60901.9058230535</x:v>
      </x:c>
      <x:c r="O515" s="9" t="n">
        <x:v>-0.0862362655</x:v>
      </x:c>
      <x:c r="P515" s="9" t="n">
        <x:v>0.8973105134</x:v>
      </x:c>
      <x:c r="Q515" s="9" t="n">
        <x:v>0.0782396088</x:v>
      </x:c>
      <x:c r="R515" s="3" t="b">
        <x:v>0</x:v>
      </x:c>
      <x:c r="S515" s="3" t="b">
        <x:v>1</x:v>
      </x:c>
      <x:c r="T515" s="3" t="b">
        <x:v>0</x:v>
      </x:c>
      <x:c r="U515" s="2" t="str">
        <x:f>IF(T515=TRUE,"Priority review",IF(R515=TRUE,"High cost",IF(S515=TRUE,"Low quality","Benchmark")))</x:f>
        <x:v>Low quality</x:v>
      </x:c>
    </x:row>
    <x:row r="516">
      <x:c r="A516" s="2" t="str">
        <x:v>290012</x:v>
      </x:c>
      <x:c r="B516" s="2" t="str">
        <x:v>SAINT ROSE DOMINICAN HOSPITALS - ROSE DE LIMA</x:v>
      </x:c>
      <x:c r="C516" s="2" t="str">
        <x:v>HENDERSON</x:v>
      </x:c>
      <x:c r="D516" s="2" t="str">
        <x:v>NV</x:v>
      </x:c>
      <x:c r="E516" s="2" t="str">
        <x:v>Acute Care Hospitals</x:v>
      </x:c>
      <x:c r="F516" s="2" t="str">
        <x:v>Voluntary non-profit</x:v>
      </x:c>
      <x:c r="G516" s="2" t="str">
        <x:v>Small (&lt;100 beds)</x:v>
      </x:c>
      <x:c r="H516" s="7"/>
      <x:c r="I516" s="7"/>
      <x:c r="J516" s="7" t="n">
        <x:v>1.33</x:v>
      </x:c>
      <x:c r="K516" s="8" t="n">
        <x:v>10</x:v>
      </x:c>
      <x:c r="L516" s="8" t="n">
        <x:v>215</x:v>
      </x:c>
      <x:c r="M516" s="9" t="n">
        <x:v>0.2106849315</x:v>
      </x:c>
      <x:c r="N516" s="10" t="n">
        <x:v>148266.8325581395</x:v>
      </x:c>
      <x:c r="O516" s="9" t="n">
        <x:v>0.0402877869</x:v>
      </x:c>
      <x:c r="P516" s="9" t="n">
        <x:v>0.8967684022</x:v>
      </x:c>
      <x:c r="Q516" s="9" t="n">
        <x:v>0.697486535</x:v>
      </x:c>
      <x:c r="R516" s="3" t="b">
        <x:v>0</x:v>
      </x:c>
      <x:c r="S516" s="3" t="b">
        <x:v>0</x:v>
      </x:c>
      <x:c r="T516" s="3" t="b">
        <x:v>0</x:v>
      </x:c>
      <x:c r="U516" s="2" t="str">
        <x:f>IF(T516=TRUE,"Priority review",IF(R516=TRUE,"High cost",IF(S516=TRUE,"Low quality","Benchmark")))</x:f>
        <x:v>Benchmark</x:v>
      </x:c>
    </x:row>
    <x:row r="517">
      <x:c r="A517" s="2" t="str">
        <x:v>161313</x:v>
      </x:c>
      <x:c r="B517" s="2" t="str">
        <x:v>MERCYONE GENESIS DEWITT MEDICAL CENTER</x:v>
      </x:c>
      <x:c r="C517" s="2" t="str">
        <x:v>DEWITT</x:v>
      </x:c>
      <x:c r="D517" s="2" t="str">
        <x:v>IA</x:v>
      </x:c>
      <x:c r="E517" s="2" t="str">
        <x:v>Critical Access Hospitals</x:v>
      </x:c>
      <x:c r="F517" s="2" t="str">
        <x:v>Voluntary non-profit</x:v>
      </x:c>
      <x:c r="G517" s="2" t="str">
        <x:v>Small (&lt;100 beds)</x:v>
      </x:c>
      <x:c r="H517" s="7"/>
      <x:c r="I517" s="7"/>
      <x:c r="J517" s="7"/>
      <x:c r="K517" s="8" t="n">
        <x:v>13</x:v>
      </x:c>
      <x:c r="L517" s="8" t="n">
        <x:v>117</x:v>
      </x:c>
      <x:c r="M517" s="9" t="n">
        <x:v>0.2120126449</x:v>
      </x:c>
      <x:c r="N517" s="10" t="n">
        <x:v>331371.0341880342</x:v>
      </x:c>
      <x:c r="O517" s="9" t="n">
        <x:v>-0.1303563109</x:v>
      </x:c>
      <x:c r="P517" s="9" t="n">
        <x:v>0.8966542751</x:v>
      </x:c>
      <x:c r="Q517" s="9" t="n">
        <x:v>0.292936803</x:v>
      </x:c>
      <x:c r="R517" s="3" t="b">
        <x:v>0</x:v>
      </x:c>
      <x:c r="S517" s="3" t="b">
        <x:v>0</x:v>
      </x:c>
      <x:c r="T517" s="3" t="b">
        <x:v>0</x:v>
      </x:c>
      <x:c r="U517" s="2" t="str">
        <x:f>IF(T517=TRUE,"Priority review",IF(R517=TRUE,"High cost",IF(S517=TRUE,"Low quality","Benchmark")))</x:f>
        <x:v>Benchmark</x:v>
      </x:c>
    </x:row>
    <x:row r="518">
      <x:c r="A518" s="2" t="str">
        <x:v>220095</x:v>
      </x:c>
      <x:c r="B518" s="2" t="str">
        <x:v>HEYWOOD HOSPITAL -</x:v>
      </x:c>
      <x:c r="C518" s="2" t="str">
        <x:v>GARDNER</x:v>
      </x:c>
      <x:c r="D518" s="2" t="str">
        <x:v>MA</x:v>
      </x:c>
      <x:c r="E518" s="2" t="str">
        <x:v>Acute Care Hospitals</x:v>
      </x:c>
      <x:c r="F518" s="2" t="str">
        <x:v>Voluntary non-profit</x:v>
      </x:c>
      <x:c r="G518" s="2" t="str">
        <x:v>Medium (100-299 beds)</x:v>
      </x:c>
      <x:c r="H518" s="7" t="n">
        <x:v>2</x:v>
      </x:c>
      <x:c r="I518" s="7" t="n">
        <x:v>4</x:v>
      </x:c>
      <x:c r="J518" s="7" t="n">
        <x:v>1.08</x:v>
      </x:c>
      <x:c r="K518" s="8" t="n">
        <x:v>114</x:v>
      </x:c>
      <x:c r="L518" s="8" t="n">
        <x:v>3321</x:v>
      </x:c>
      <x:c r="M518" s="9" t="n">
        <x:v>0.3595532547</x:v>
      </x:c>
      <x:c r="N518" s="10" t="n">
        <x:v>60858.1571815718</x:v>
      </x:c>
      <x:c r="O518" s="9" t="n">
        <x:v>-0.2959708043</x:v>
      </x:c>
      <x:c r="P518" s="9" t="n">
        <x:v>0.8964955175</x:v>
      </x:c>
      <x:c r="Q518" s="9" t="n">
        <x:v>0.0782396088</x:v>
      </x:c>
      <x:c r="R518" s="3" t="b">
        <x:v>0</x:v>
      </x:c>
      <x:c r="S518" s="3" t="b">
        <x:v>1</x:v>
      </x:c>
      <x:c r="T518" s="3" t="b">
        <x:v>0</x:v>
      </x:c>
      <x:c r="U518" s="2" t="str">
        <x:f>IF(T518=TRUE,"Priority review",IF(R518=TRUE,"High cost",IF(S518=TRUE,"Low quality","Benchmark")))</x:f>
        <x:v>Low quality</x:v>
      </x:c>
    </x:row>
    <x:row r="519">
      <x:c r="A519" s="2" t="str">
        <x:v>244012</x:v>
      </x:c>
      <x:c r="B519" s="2" t="str">
        <x:v>COMMUNITY BEHAVIORAL HEALTH HOSPITAL ALEXANDRIA</x:v>
      </x:c>
      <x:c r="C519" s="2" t="str">
        <x:v>ALEXANDRIA</x:v>
      </x:c>
      <x:c r="D519" s="2" t="str">
        <x:v>MN</x:v>
      </x:c>
      <x:c r="E519" s="2" t="str">
        <x:v>Psychiatric</x:v>
      </x:c>
      <x:c r="F519" s="2" t="str">
        <x:v>Government</x:v>
      </x:c>
      <x:c r="G519" s="2" t="str">
        <x:v>Small (&lt;100 beds)</x:v>
      </x:c>
      <x:c r="H519" s="7"/>
      <x:c r="I519" s="7"/>
      <x:c r="J519" s="7"/>
      <x:c r="K519" s="8" t="n">
        <x:v>16</x:v>
      </x:c>
      <x:c r="L519" s="8" t="n">
        <x:v>86</x:v>
      </x:c>
      <x:c r="M519" s="9" t="n">
        <x:v>0.9676369863</x:v>
      </x:c>
      <x:c r="N519" s="10" t="n">
        <x:v>106824.8255813953</x:v>
      </x:c>
      <x:c r="O519" s="9"/>
      <x:c r="P519" s="9" t="n">
        <x:v>0.8964401294</x:v>
      </x:c>
      <x:c r="Q519" s="9" t="n">
        <x:v>0</x:v>
      </x:c>
      <x:c r="R519" s="3" t="b">
        <x:v>0</x:v>
      </x:c>
      <x:c r="S519" s="3" t="b">
        <x:v>0</x:v>
      </x:c>
      <x:c r="T519" s="3" t="b">
        <x:v>0</x:v>
      </x:c>
      <x:c r="U519" s="2" t="str">
        <x:f>IF(T519=TRUE,"Priority review",IF(R519=TRUE,"High cost",IF(S519=TRUE,"Low quality","Benchmark")))</x:f>
        <x:v>Benchmark</x:v>
      </x:c>
    </x:row>
    <x:row r="520">
      <x:c r="A520" s="2" t="str">
        <x:v>281353</x:v>
      </x:c>
      <x:c r="B520" s="2" t="str">
        <x:v>VALLEY COUNTY HEALTH SYSTEM</x:v>
      </x:c>
      <x:c r="C520" s="2" t="str">
        <x:v>ORD</x:v>
      </x:c>
      <x:c r="D520" s="2" t="str">
        <x:v>NE</x:v>
      </x:c>
      <x:c r="E520" s="2" t="str">
        <x:v>Critical Access Hospitals</x:v>
      </x:c>
      <x:c r="F520" s="2" t="str">
        <x:v>Government</x:v>
      </x:c>
      <x:c r="G520" s="2" t="str">
        <x:v>Small (&lt;100 beds)</x:v>
      </x:c>
      <x:c r="H520" s="7"/>
      <x:c r="I520" s="7"/>
      <x:c r="J520" s="7"/>
      <x:c r="K520" s="8" t="n">
        <x:v>16</x:v>
      </x:c>
      <x:c r="L520" s="8" t="n">
        <x:v>89</x:v>
      </x:c>
      <x:c r="M520" s="9" t="n">
        <x:v>0.1075342466</x:v>
      </x:c>
      <x:c r="N520" s="10" t="n">
        <x:v>326627.6179775281</x:v>
      </x:c>
      <x:c r="O520" s="9" t="n">
        <x:v>0.0367322272</x:v>
      </x:c>
      <x:c r="P520" s="9" t="n">
        <x:v>0.8959107807</x:v>
      </x:c>
      <x:c r="Q520" s="9" t="n">
        <x:v>0.292936803</x:v>
      </x:c>
      <x:c r="R520" s="3" t="b">
        <x:v>0</x:v>
      </x:c>
      <x:c r="S520" s="3" t="b">
        <x:v>0</x:v>
      </x:c>
      <x:c r="T520" s="3" t="b">
        <x:v>0</x:v>
      </x:c>
      <x:c r="U520" s="2" t="str">
        <x:f>IF(T520=TRUE,"Priority review",IF(R520=TRUE,"High cost",IF(S520=TRUE,"Low quality","Benchmark")))</x:f>
        <x:v>Benchmark</x:v>
      </x:c>
    </x:row>
    <x:row r="521">
      <x:c r="A521" s="2" t="str">
        <x:v>330059</x:v>
      </x:c>
      <x:c r="B521" s="2" t="str">
        <x:v>MONTEFIORE MEDICAL CENTER</x:v>
      </x:c>
      <x:c r="C521" s="2" t="str">
        <x:v>BRONX</x:v>
      </x:c>
      <x:c r="D521" s="2" t="str">
        <x:v>NY</x:v>
      </x:c>
      <x:c r="E521" s="2" t="str">
        <x:v>Acute Care Hospitals</x:v>
      </x:c>
      <x:c r="F521" s="2" t="str">
        <x:v>Voluntary non-profit</x:v>
      </x:c>
      <x:c r="G521" s="2" t="str">
        <x:v>Large (300+ beds)</x:v>
      </x:c>
      <x:c r="H521" s="7" t="n">
        <x:v>3</x:v>
      </x:c>
      <x:c r="I521" s="7" t="n">
        <x:v>2</x:v>
      </x:c>
      <x:c r="J521" s="7" t="n">
        <x:v>1.04</x:v>
      </x:c>
      <x:c r="K521" s="8" t="n">
        <x:v>1450</x:v>
      </x:c>
      <x:c r="L521" s="8" t="n">
        <x:v>75053</x:v>
      </x:c>
      <x:c r="M521" s="9" t="n">
        <x:v>0.8935458948</x:v>
      </x:c>
      <x:c r="N521" s="10" t="n">
        <x:v>75006.8618176489</x:v>
      </x:c>
      <x:c r="O521" s="9" t="n">
        <x:v>-0.437213361</x:v>
      </x:c>
      <x:c r="P521" s="9" t="n">
        <x:v>0.8958990536</x:v>
      </x:c>
      <x:c r="Q521" s="9" t="n">
        <x:v>0.2570977918</x:v>
      </x:c>
      <x:c r="R521" s="3" t="b">
        <x:v>0</x:v>
      </x:c>
      <x:c r="S521" s="3" t="b">
        <x:v>0</x:v>
      </x:c>
      <x:c r="T521" s="3" t="b">
        <x:v>0</x:v>
      </x:c>
      <x:c r="U521" s="2" t="str">
        <x:f>IF(T521=TRUE,"Priority review",IF(R521=TRUE,"High cost",IF(S521=TRUE,"Low quality","Benchmark")))</x:f>
        <x:v>Benchmark</x:v>
      </x:c>
    </x:row>
    <x:row r="522">
      <x:c r="A522" s="2" t="str">
        <x:v>150172</x:v>
      </x:c>
      <x:c r="B522" s="2" t="str">
        <x:v>PHYSICIANS' MEDICAL CENTER LLC</x:v>
      </x:c>
      <x:c r="C522" s="2" t="str">
        <x:v>NEW ALBANY</x:v>
      </x:c>
      <x:c r="D522" s="2" t="str">
        <x:v>IN</x:v>
      </x:c>
      <x:c r="E522" s="2" t="str">
        <x:v>Acute Care Hospitals</x:v>
      </x:c>
      <x:c r="F522" s="2" t="str">
        <x:v>Other / unknown</x:v>
      </x:c>
      <x:c r="G522" s="2" t="str">
        <x:v>Small (&lt;100 beds)</x:v>
      </x:c>
      <x:c r="H522" s="7"/>
      <x:c r="I522" s="7"/>
      <x:c r="J522" s="7" t="n">
        <x:v>0.97</x:v>
      </x:c>
      <x:c r="K522" s="8" t="n">
        <x:v>10</x:v>
      </x:c>
      <x:c r="L522" s="8" t="n">
        <x:v>360</x:v>
      </x:c>
      <x:c r="M522" s="9" t="n">
        <x:v>0.187704918</x:v>
      </x:c>
      <x:c r="N522" s="10" t="n">
        <x:v>147698.2416666667</x:v>
      </x:c>
      <x:c r="O522" s="9" t="n">
        <x:v>0.1237312991</x:v>
      </x:c>
      <x:c r="P522" s="9" t="n">
        <x:v>0.8958707361</x:v>
      </x:c>
      <x:c r="Q522" s="9" t="n">
        <x:v>0.697486535</x:v>
      </x:c>
      <x:c r="R522" s="3" t="b">
        <x:v>0</x:v>
      </x:c>
      <x:c r="S522" s="3" t="b">
        <x:v>0</x:v>
      </x:c>
      <x:c r="T522" s="3" t="b">
        <x:v>0</x:v>
      </x:c>
      <x:c r="U522" s="2" t="str">
        <x:f>IF(T522=TRUE,"Priority review",IF(R522=TRUE,"High cost",IF(S522=TRUE,"Low quality","Benchmark")))</x:f>
        <x:v>Benchmark</x:v>
      </x:c>
    </x:row>
    <x:row r="523">
      <x:c r="A523" s="2" t="str">
        <x:v>140077</x:v>
      </x:c>
      <x:c r="B523" s="2" t="str">
        <x:v>TOUCHETTE REGIONAL HOSPITAL INC</x:v>
      </x:c>
      <x:c r="C523" s="2" t="str">
        <x:v>CENTREVILLE</x:v>
      </x:c>
      <x:c r="D523" s="2" t="str">
        <x:v>IL</x:v>
      </x:c>
      <x:c r="E523" s="2" t="str">
        <x:v>Acute Care Hospitals</x:v>
      </x:c>
      <x:c r="F523" s="2" t="str">
        <x:v>Voluntary non-profit</x:v>
      </x:c>
      <x:c r="G523" s="2" t="str">
        <x:v>Medium (100-299 beds)</x:v>
      </x:c>
      <x:c r="H523" s="7"/>
      <x:c r="I523" s="7"/>
      <x:c r="J523" s="7" t="n">
        <x:v>0.88</x:v>
      </x:c>
      <x:c r="K523" s="8" t="n">
        <x:v>122</x:v>
      </x:c>
      <x:c r="L523" s="8" t="n">
        <x:v>1358</x:v>
      </x:c>
      <x:c r="M523" s="9" t="n">
        <x:v>0.1380677237</x:v>
      </x:c>
      <x:c r="N523" s="10" t="n">
        <x:v>60856.3910162003</x:v>
      </x:c>
      <x:c r="O523" s="9" t="n">
        <x:v>-0.2189095645</x:v>
      </x:c>
      <x:c r="P523" s="9" t="n">
        <x:v>0.8956805216</x:v>
      </x:c>
      <x:c r="Q523" s="9" t="n">
        <x:v>0.9616951915</x:v>
      </x:c>
      <x:c r="R523" s="3" t="b">
        <x:v>0</x:v>
      </x:c>
      <x:c r="S523" s="3" t="b">
        <x:v>0</x:v>
      </x:c>
      <x:c r="T523" s="3" t="b">
        <x:v>0</x:v>
      </x:c>
      <x:c r="U523" s="2" t="str">
        <x:f>IF(T523=TRUE,"Priority review",IF(R523=TRUE,"High cost",IF(S523=TRUE,"Low quality","Benchmark")))</x:f>
        <x:v>Benchmark</x:v>
      </x:c>
    </x:row>
    <x:row r="524">
      <x:c r="A524" s="2" t="str">
        <x:v>114019</x:v>
      </x:c>
      <x:c r="B524" s="2" t="str">
        <x:v>GEORGIA REGIONAL HOSPITAL ATLANTA</x:v>
      </x:c>
      <x:c r="C524" s="2" t="str">
        <x:v>DECATUR</x:v>
      </x:c>
      <x:c r="D524" s="2" t="str">
        <x:v>GA</x:v>
      </x:c>
      <x:c r="E524" s="2" t="str">
        <x:v>Psychiatric</x:v>
      </x:c>
      <x:c r="F524" s="2" t="str">
        <x:v>Government</x:v>
      </x:c>
      <x:c r="G524" s="2" t="str">
        <x:v>Medium (100-299 beds)</x:v>
      </x:c>
      <x:c r="H524" s="7"/>
      <x:c r="I524" s="7"/>
      <x:c r="J524" s="7"/>
      <x:c r="K524" s="8" t="n">
        <x:v>116</x:v>
      </x:c>
      <x:c r="L524" s="8" t="n">
        <x:v>498</x:v>
      </x:c>
      <x:c r="M524" s="9" t="n">
        <x:v>0.9709022201</x:v>
      </x:c>
      <x:c r="N524" s="10" t="n">
        <x:v>218767.6606425703</x:v>
      </x:c>
      <x:c r="O524" s="9"/>
      <x:c r="P524" s="9" t="n">
        <x:v>0.8955223881</x:v>
      </x:c>
      <x:c r="Q524" s="9" t="n">
        <x:v>0</x:v>
      </x:c>
      <x:c r="R524" s="3" t="b">
        <x:v>0</x:v>
      </x:c>
      <x:c r="S524" s="3" t="b">
        <x:v>0</x:v>
      </x:c>
      <x:c r="T524" s="3" t="b">
        <x:v>0</x:v>
      </x:c>
      <x:c r="U524" s="2" t="str">
        <x:f>IF(T524=TRUE,"Priority review",IF(R524=TRUE,"High cost",IF(S524=TRUE,"Low quality","Benchmark")))</x:f>
        <x:v>Benchmark</x:v>
      </x:c>
    </x:row>
    <x:row r="525">
      <x:c r="A525" s="2" t="str">
        <x:v>171323</x:v>
      </x:c>
      <x:c r="B525" s="2" t="str">
        <x:v>STAFFORD COUNTY HOSPITAL</x:v>
      </x:c>
      <x:c r="C525" s="2" t="str">
        <x:v>STAFFORD</x:v>
      </x:c>
      <x:c r="D525" s="2" t="str">
        <x:v>KS</x:v>
      </x:c>
      <x:c r="E525" s="2" t="str">
        <x:v>Critical Access Hospitals</x:v>
      </x:c>
      <x:c r="F525" s="2" t="str">
        <x:v>Government</x:v>
      </x:c>
      <x:c r="G525" s="2" t="str">
        <x:v>Small (&lt;100 beds)</x:v>
      </x:c>
      <x:c r="H525" s="7"/>
      <x:c r="I525" s="7"/>
      <x:c r="J525" s="7"/>
      <x:c r="K525" s="8" t="n">
        <x:v>25</x:v>
      </x:c>
      <x:c r="L525" s="8" t="n">
        <x:v>45</x:v>
      </x:c>
      <x:c r="M525" s="9" t="n">
        <x:v>0.2349726776</x:v>
      </x:c>
      <x:c r="N525" s="10" t="n">
        <x:v>325754.1111111111</x:v>
      </x:c>
      <x:c r="O525" s="9" t="n">
        <x:v>-0.1555886071</x:v>
      </x:c>
      <x:c r="P525" s="9" t="n">
        <x:v>0.8951672862</x:v>
      </x:c>
      <x:c r="Q525" s="9" t="n">
        <x:v>0.292936803</x:v>
      </x:c>
      <x:c r="R525" s="3" t="b">
        <x:v>0</x:v>
      </x:c>
      <x:c r="S525" s="3" t="b">
        <x:v>0</x:v>
      </x:c>
      <x:c r="T525" s="3" t="b">
        <x:v>0</x:v>
      </x:c>
      <x:c r="U525" s="2" t="str">
        <x:f>IF(T525=TRUE,"Priority review",IF(R525=TRUE,"High cost",IF(S525=TRUE,"Low quality","Benchmark")))</x:f>
        <x:v>Benchmark</x:v>
      </x:c>
    </x:row>
    <x:row r="526">
      <x:c r="A526" s="2" t="str">
        <x:v>050407</x:v>
      </x:c>
      <x:c r="B526" s="2" t="str">
        <x:v>CHINESE HOSPITAL</x:v>
      </x:c>
      <x:c r="C526" s="2" t="str">
        <x:v>SAN FRANCISCO</x:v>
      </x:c>
      <x:c r="D526" s="2" t="str">
        <x:v>CA</x:v>
      </x:c>
      <x:c r="E526" s="2" t="str">
        <x:v>Acute Care Hospitals</x:v>
      </x:c>
      <x:c r="F526" s="2" t="str">
        <x:v>Voluntary non-profit</x:v>
      </x:c>
      <x:c r="G526" s="2" t="str">
        <x:v>Small (&lt;100 beds)</x:v>
      </x:c>
      <x:c r="H526" s="7" t="n">
        <x:v>2</x:v>
      </x:c>
      <x:c r="I526" s="7" t="n">
        <x:v>3</x:v>
      </x:c>
      <x:c r="J526" s="7" t="n">
        <x:v>0.9</x:v>
      </x:c>
      <x:c r="K526" s="8" t="n">
        <x:v>58</x:v>
      </x:c>
      <x:c r="L526" s="8" t="n">
        <x:v>1134</x:v>
      </x:c>
      <x:c r="M526" s="9" t="n">
        <x:v>0.2408458978</x:v>
      </x:c>
      <x:c r="N526" s="10" t="n">
        <x:v>146036.3774250441</x:v>
      </x:c>
      <x:c r="O526" s="9" t="n">
        <x:v>-0.6555507557</x:v>
      </x:c>
      <x:c r="P526" s="9" t="n">
        <x:v>0.89497307</x:v>
      </x:c>
      <x:c r="Q526" s="9" t="n">
        <x:v>0.0350089767</x:v>
      </x:c>
      <x:c r="R526" s="3" t="b">
        <x:v>0</x:v>
      </x:c>
      <x:c r="S526" s="3" t="b">
        <x:v>1</x:v>
      </x:c>
      <x:c r="T526" s="3" t="b">
        <x:v>0</x:v>
      </x:c>
      <x:c r="U526" s="2" t="str">
        <x:f>IF(T526=TRUE,"Priority review",IF(R526=TRUE,"High cost",IF(S526=TRUE,"Low quality","Benchmark")))</x:f>
        <x:v>Low quality</x:v>
      </x:c>
    </x:row>
    <x:row r="527">
      <x:c r="A527" s="2" t="str">
        <x:v>070018</x:v>
      </x:c>
      <x:c r="B527" s="2" t="str">
        <x:v>GREENWICH HOSPITAL ASSOCIATION -</x:v>
      </x:c>
      <x:c r="C527" s="2" t="str">
        <x:v>GREENWICH</x:v>
      </x:c>
      <x:c r="D527" s="2" t="str">
        <x:v>CT</x:v>
      </x:c>
      <x:c r="E527" s="2" t="str">
        <x:v>Acute Care Hospitals</x:v>
      </x:c>
      <x:c r="F527" s="2" t="str">
        <x:v>Voluntary non-profit</x:v>
      </x:c>
      <x:c r="G527" s="2" t="str">
        <x:v>Medium (100-299 beds)</x:v>
      </x:c>
      <x:c r="H527" s="7" t="n">
        <x:v>5</x:v>
      </x:c>
      <x:c r="I527" s="7" t="n">
        <x:v>3</x:v>
      </x:c>
      <x:c r="J527" s="7" t="n">
        <x:v>0.94</x:v>
      </x:c>
      <x:c r="K527" s="8" t="n">
        <x:v>195</x:v>
      </x:c>
      <x:c r="L527" s="8" t="n">
        <x:v>8985</x:v>
      </x:c>
      <x:c r="M527" s="9" t="n">
        <x:v>0.6679417122</x:v>
      </x:c>
      <x:c r="N527" s="10" t="n">
        <x:v>60599.2821368948</x:v>
      </x:c>
      <x:c r="O527" s="9" t="n">
        <x:v>-0.0439811882</x:v>
      </x:c>
      <x:c r="P527" s="9" t="n">
        <x:v>0.8948655257</x:v>
      </x:c>
      <x:c r="Q527" s="9" t="n">
        <x:v>0.8744906275</x:v>
      </x:c>
      <x:c r="R527" s="3" t="b">
        <x:v>0</x:v>
      </x:c>
      <x:c r="S527" s="3" t="b">
        <x:v>0</x:v>
      </x:c>
      <x:c r="T527" s="3" t="b">
        <x:v>0</x:v>
      </x:c>
      <x:c r="U527" s="2" t="str">
        <x:f>IF(T527=TRUE,"Priority review",IF(R527=TRUE,"High cost",IF(S527=TRUE,"Low quality","Benchmark")))</x:f>
        <x:v>Benchmark</x:v>
      </x:c>
    </x:row>
    <x:row r="528">
      <x:c r="A528" s="2" t="str">
        <x:v>281310</x:v>
      </x:c>
      <x:c r="B528" s="2" t="str">
        <x:v>GARDEN COUNTY HEALTH SERVICES</x:v>
      </x:c>
      <x:c r="C528" s="2" t="str">
        <x:v>OSHKOSH</x:v>
      </x:c>
      <x:c r="D528" s="2" t="str">
        <x:v>NE</x:v>
      </x:c>
      <x:c r="E528" s="2" t="str">
        <x:v>Critical Access Hospitals</x:v>
      </x:c>
      <x:c r="F528" s="2" t="str">
        <x:v>Voluntary non-profit</x:v>
      </x:c>
      <x:c r="G528" s="2" t="str">
        <x:v>Small (&lt;100 beds)</x:v>
      </x:c>
      <x:c r="H528" s="7"/>
      <x:c r="I528" s="7"/>
      <x:c r="J528" s="7"/>
      <x:c r="K528" s="8" t="n">
        <x:v>10</x:v>
      </x:c>
      <x:c r="L528" s="8" t="n">
        <x:v>34</x:v>
      </x:c>
      <x:c r="M528" s="9" t="n">
        <x:v>0.0928767123</x:v>
      </x:c>
      <x:c r="N528" s="10" t="n">
        <x:v>324782.1764705883</x:v>
      </x:c>
      <x:c r="O528" s="9" t="n">
        <x:v>-0.5379790188</x:v>
      </x:c>
      <x:c r="P528" s="9" t="n">
        <x:v>0.8944237918</x:v>
      </x:c>
      <x:c r="Q528" s="9" t="n">
        <x:v>0.292936803</x:v>
      </x:c>
      <x:c r="R528" s="3" t="b">
        <x:v>0</x:v>
      </x:c>
      <x:c r="S528" s="3" t="b">
        <x:v>0</x:v>
      </x:c>
      <x:c r="T528" s="3" t="b">
        <x:v>0</x:v>
      </x:c>
      <x:c r="U528" s="2" t="str">
        <x:f>IF(T528=TRUE,"Priority review",IF(R528=TRUE,"High cost",IF(S528=TRUE,"Low quality","Benchmark")))</x:f>
        <x:v>Benchmark</x:v>
      </x:c>
    </x:row>
    <x:row r="529">
      <x:c r="A529" s="2" t="str">
        <x:v>330241</x:v>
      </x:c>
      <x:c r="B529" s="2" t="str">
        <x:v>UNIVERSITY HOSPITAL S U N Y HEALTH SCIENCE CENTER</x:v>
      </x:c>
      <x:c r="C529" s="2" t="str">
        <x:v>SYRACUSE</x:v>
      </x:c>
      <x:c r="D529" s="2" t="str">
        <x:v>NY</x:v>
      </x:c>
      <x:c r="E529" s="2" t="str">
        <x:v>Acute Care Hospitals</x:v>
      </x:c>
      <x:c r="F529" s="2" t="str">
        <x:v>Government</x:v>
      </x:c>
      <x:c r="G529" s="2" t="str">
        <x:v>Large (300+ beds)</x:v>
      </x:c>
      <x:c r="H529" s="7" t="n">
        <x:v>3</x:v>
      </x:c>
      <x:c r="I529" s="7" t="n">
        <x:v>3</x:v>
      </x:c>
      <x:c r="J529" s="7" t="n">
        <x:v>0.99</x:v>
      </x:c>
      <x:c r="K529" s="8" t="n">
        <x:v>645</x:v>
      </x:c>
      <x:c r="L529" s="8" t="n">
        <x:v>29162</x:v>
      </x:c>
      <x:c r="M529" s="9" t="n">
        <x:v>0.827048695</x:v>
      </x:c>
      <x:c r="N529" s="10" t="n">
        <x:v>74844.4274055277</x:v>
      </x:c>
      <x:c r="O529" s="9" t="n">
        <x:v>-0.1776211387</x:v>
      </x:c>
      <x:c r="P529" s="9" t="n">
        <x:v>0.8943217666</x:v>
      </x:c>
      <x:c r="Q529" s="9" t="n">
        <x:v>0.2570977918</x:v>
      </x:c>
      <x:c r="R529" s="3" t="b">
        <x:v>0</x:v>
      </x:c>
      <x:c r="S529" s="3" t="b">
        <x:v>0</x:v>
      </x:c>
      <x:c r="T529" s="3" t="b">
        <x:v>0</x:v>
      </x:c>
      <x:c r="U529" s="2" t="str">
        <x:f>IF(T529=TRUE,"Priority review",IF(R529=TRUE,"High cost",IF(S529=TRUE,"Low quality","Benchmark")))</x:f>
        <x:v>Benchmark</x:v>
      </x:c>
    </x:row>
    <x:row r="530">
      <x:c r="A530" s="2" t="str">
        <x:v>130063</x:v>
      </x:c>
      <x:c r="B530" s="2" t="str">
        <x:v>TREASURE VALLEY HOSPITAL</x:v>
      </x:c>
      <x:c r="C530" s="2" t="str">
        <x:v>BOISE</x:v>
      </x:c>
      <x:c r="D530" s="2" t="str">
        <x:v>ID</x:v>
      </x:c>
      <x:c r="E530" s="2" t="str">
        <x:v>Acute Care Hospitals</x:v>
      </x:c>
      <x:c r="F530" s="2" t="str">
        <x:v>Proprietary</x:v>
      </x:c>
      <x:c r="G530" s="2" t="str">
        <x:v>Small (&lt;100 beds)</x:v>
      </x:c>
      <x:c r="H530" s="7"/>
      <x:c r="I530" s="7" t="n">
        <x:v>5</x:v>
      </x:c>
      <x:c r="J530" s="7" t="n">
        <x:v>0.9</x:v>
      </x:c>
      <x:c r="K530" s="8" t="n">
        <x:v>7</x:v>
      </x:c>
      <x:c r="L530" s="8" t="n">
        <x:v>644</x:v>
      </x:c>
      <x:c r="M530" s="9" t="n">
        <x:v>0.3844652615</x:v>
      </x:c>
      <x:c r="N530" s="10" t="n">
        <x:v>146027.352484472</x:v>
      </x:c>
      <x:c r="O530" s="9" t="n">
        <x:v>0.2611593389</x:v>
      </x:c>
      <x:c r="P530" s="9" t="n">
        <x:v>0.8940754039</x:v>
      </x:c>
      <x:c r="Q530" s="9" t="n">
        <x:v>0.697486535</x:v>
      </x:c>
      <x:c r="R530" s="3" t="b">
        <x:v>0</x:v>
      </x:c>
      <x:c r="S530" s="3" t="b">
        <x:v>0</x:v>
      </x:c>
      <x:c r="T530" s="3" t="b">
        <x:v>0</x:v>
      </x:c>
      <x:c r="U530" s="2" t="str">
        <x:f>IF(T530=TRUE,"Priority review",IF(R530=TRUE,"High cost",IF(S530=TRUE,"Low quality","Benchmark")))</x:f>
        <x:v>Benchmark</x:v>
      </x:c>
    </x:row>
    <x:row r="531">
      <x:c r="A531" s="2" t="str">
        <x:v>670025</x:v>
      </x:c>
      <x:c r="B531" s="2" t="str">
        <x:v>BAYLOR SCOTT &amp; WHITE THE HEART HOSPITAL PLANO</x:v>
      </x:c>
      <x:c r="C531" s="2" t="str">
        <x:v>PLANO</x:v>
      </x:c>
      <x:c r="D531" s="2" t="str">
        <x:v>TX</x:v>
      </x:c>
      <x:c r="E531" s="2" t="str">
        <x:v>Acute Care Hospitals</x:v>
      </x:c>
      <x:c r="F531" s="2" t="str">
        <x:v>Other / unknown</x:v>
      </x:c>
      <x:c r="G531" s="2" t="str">
        <x:v>Medium (100-299 beds)</x:v>
      </x:c>
      <x:c r="H531" s="7" t="n">
        <x:v>4</x:v>
      </x:c>
      <x:c r="I531" s="7" t="n">
        <x:v>4</x:v>
      </x:c>
      <x:c r="J531" s="7" t="n">
        <x:v>0.99</x:v>
      </x:c>
      <x:c r="K531" s="8" t="n">
        <x:v>108</x:v>
      </x:c>
      <x:c r="L531" s="8" t="n">
        <x:v>7087</x:v>
      </x:c>
      <x:c r="M531" s="9" t="n">
        <x:v>0.9339708561</x:v>
      </x:c>
      <x:c r="N531" s="10" t="n">
        <x:v>60373.9338224919</x:v>
      </x:c>
      <x:c r="O531" s="9" t="n">
        <x:v>0.2512146746</x:v>
      </x:c>
      <x:c r="P531" s="9" t="n">
        <x:v>0.8940505297</x:v>
      </x:c>
      <x:c r="Q531" s="9" t="n">
        <x:v>0.6022819886</x:v>
      </x:c>
      <x:c r="R531" s="3" t="b">
        <x:v>0</x:v>
      </x:c>
      <x:c r="S531" s="3" t="b">
        <x:v>0</x:v>
      </x:c>
      <x:c r="T531" s="3" t="b">
        <x:v>0</x:v>
      </x:c>
      <x:c r="U531" s="2" t="str">
        <x:f>IF(T531=TRUE,"Priority review",IF(R531=TRUE,"High cost",IF(S531=TRUE,"Low quality","Benchmark")))</x:f>
        <x:v>Benchmark</x:v>
      </x:c>
    </x:row>
    <x:row r="532">
      <x:c r="A532" s="2" t="str">
        <x:v>421304</x:v>
      </x:c>
      <x:c r="B532" s="2" t="str">
        <x:v>EDGEFIELD COUNTY HEALTHCARE AN AFFILIATE OF SELF R</x:v>
      </x:c>
      <x:c r="C532" s="2" t="str">
        <x:v>EDGEFIELD</x:v>
      </x:c>
      <x:c r="D532" s="2" t="str">
        <x:v>SC</x:v>
      </x:c>
      <x:c r="E532" s="2" t="str">
        <x:v>Critical Access Hospitals</x:v>
      </x:c>
      <x:c r="F532" s="2" t="str">
        <x:v>Voluntary non-profit</x:v>
      </x:c>
      <x:c r="G532" s="2" t="str">
        <x:v>Small (&lt;100 beds)</x:v>
      </x:c>
      <x:c r="H532" s="7"/>
      <x:c r="I532" s="7"/>
      <x:c r="J532" s="7"/>
      <x:c r="K532" s="8" t="n">
        <x:v>25</x:v>
      </x:c>
      <x:c r="L532" s="8" t="n">
        <x:v>62</x:v>
      </x:c>
      <x:c r="M532" s="9" t="n">
        <x:v>0.3354098361</x:v>
      </x:c>
      <x:c r="N532" s="10" t="n">
        <x:v>324047</x:v>
      </x:c>
      <x:c r="O532" s="9" t="n">
        <x:v>-0.0204846497</x:v>
      </x:c>
      <x:c r="P532" s="9" t="n">
        <x:v>0.8936802974</x:v>
      </x:c>
      <x:c r="Q532" s="9" t="n">
        <x:v>0.292936803</x:v>
      </x:c>
      <x:c r="R532" s="3" t="b">
        <x:v>0</x:v>
      </x:c>
      <x:c r="S532" s="3" t="b">
        <x:v>0</x:v>
      </x:c>
      <x:c r="T532" s="3" t="b">
        <x:v>0</x:v>
      </x:c>
      <x:c r="U532" s="2" t="str">
        <x:f>IF(T532=TRUE,"Priority review",IF(R532=TRUE,"High cost",IF(S532=TRUE,"Low quality","Benchmark")))</x:f>
        <x:v>Benchmark</x:v>
      </x:c>
    </x:row>
    <x:row r="533">
      <x:c r="A533" s="2" t="str">
        <x:v>230236</x:v>
      </x:c>
      <x:c r="B533" s="2" t="str">
        <x:v>UNIVERSITY OF MICHIGAN HEALTH - WEST</x:v>
      </x:c>
      <x:c r="C533" s="2" t="str">
        <x:v>WYOMING</x:v>
      </x:c>
      <x:c r="D533" s="2" t="str">
        <x:v>MI</x:v>
      </x:c>
      <x:c r="E533" s="2" t="str">
        <x:v>Acute Care Hospitals</x:v>
      </x:c>
      <x:c r="F533" s="2" t="str">
        <x:v>Voluntary non-profit</x:v>
      </x:c>
      <x:c r="G533" s="2" t="str">
        <x:v>Medium (100-299 beds)</x:v>
      </x:c>
      <x:c r="H533" s="7" t="n">
        <x:v>4</x:v>
      </x:c>
      <x:c r="I533" s="7" t="n">
        <x:v>4</x:v>
      </x:c>
      <x:c r="J533" s="7" t="n">
        <x:v>0.95</x:v>
      </x:c>
      <x:c r="K533" s="8" t="n">
        <x:v>202</x:v>
      </x:c>
      <x:c r="L533" s="8" t="n">
        <x:v>10622</x:v>
      </x:c>
      <x:c r="M533" s="9" t="n">
        <x:v>0.5806375867</x:v>
      </x:c>
      <x:c r="N533" s="10" t="n">
        <x:v>60260.0196761438</x:v>
      </x:c>
      <x:c r="O533" s="9" t="n">
        <x:v>-0.0626329439</x:v>
      </x:c>
      <x:c r="P533" s="9" t="n">
        <x:v>0.8932355338</x:v>
      </x:c>
      <x:c r="Q533" s="9" t="n">
        <x:v>0.6022819886</x:v>
      </x:c>
      <x:c r="R533" s="3" t="b">
        <x:v>0</x:v>
      </x:c>
      <x:c r="S533" s="3" t="b">
        <x:v>0</x:v>
      </x:c>
      <x:c r="T533" s="3" t="b">
        <x:v>0</x:v>
      </x:c>
      <x:c r="U533" s="2" t="str">
        <x:f>IF(T533=TRUE,"Priority review",IF(R533=TRUE,"High cost",IF(S533=TRUE,"Low quality","Benchmark")))</x:f>
        <x:v>Benchmark</x:v>
      </x:c>
    </x:row>
    <x:row r="534">
      <x:c r="A534" s="2" t="str">
        <x:v>244015</x:v>
      </x:c>
      <x:c r="B534" s="2" t="str">
        <x:v>COMMUNITY BEHAVIORAL HEALTH HOSPITAL - BAXTER</x:v>
      </x:c>
      <x:c r="C534" s="2" t="str">
        <x:v>BAXTER</x:v>
      </x:c>
      <x:c r="D534" s="2" t="str">
        <x:v>MN</x:v>
      </x:c>
      <x:c r="E534" s="2" t="str">
        <x:v>Psychiatric</x:v>
      </x:c>
      <x:c r="F534" s="2" t="str">
        <x:v>Government</x:v>
      </x:c>
      <x:c r="G534" s="2" t="str">
        <x:v>Small (&lt;100 beds)</x:v>
      </x:c>
      <x:c r="H534" s="7"/>
      <x:c r="I534" s="7"/>
      <x:c r="J534" s="7"/>
      <x:c r="K534" s="8" t="n">
        <x:v>16</x:v>
      </x:c>
      <x:c r="L534" s="8" t="n">
        <x:v>92</x:v>
      </x:c>
      <x:c r="M534" s="9" t="n">
        <x:v>0.9565068493</x:v>
      </x:c>
      <x:c r="N534" s="10" t="n">
        <x:v>106813.9782608696</x:v>
      </x:c>
      <x:c r="O534" s="9"/>
      <x:c r="P534" s="9" t="n">
        <x:v>0.8932038835</x:v>
      </x:c>
      <x:c r="Q534" s="9" t="n">
        <x:v>0</x:v>
      </x:c>
      <x:c r="R534" s="3" t="b">
        <x:v>0</x:v>
      </x:c>
      <x:c r="S534" s="3" t="b">
        <x:v>0</x:v>
      </x:c>
      <x:c r="T534" s="3" t="b">
        <x:v>0</x:v>
      </x:c>
      <x:c r="U534" s="2" t="str">
        <x:f>IF(T534=TRUE,"Priority review",IF(R534=TRUE,"High cost",IF(S534=TRUE,"Low quality","Benchmark")))</x:f>
        <x:v>Benchmark</x:v>
      </x:c>
    </x:row>
    <x:row r="535">
      <x:c r="A535" s="2" t="str">
        <x:v>110113</x:v>
      </x:c>
      <x:c r="B535" s="2" t="str">
        <x:v>BURKE MEDICAL CENTER</x:v>
      </x:c>
      <x:c r="C535" s="2" t="str">
        <x:v>WAYNESBORO</x:v>
      </x:c>
      <x:c r="D535" s="2" t="str">
        <x:v>GA</x:v>
      </x:c>
      <x:c r="E535" s="2" t="str">
        <x:v>Acute Care Hospitals</x:v>
      </x:c>
      <x:c r="F535" s="2" t="str">
        <x:v>Proprietary</x:v>
      </x:c>
      <x:c r="G535" s="2" t="str">
        <x:v>Small (&lt;100 beds)</x:v>
      </x:c>
      <x:c r="H535" s="7"/>
      <x:c r="I535" s="7" t="n">
        <x:v>4</x:v>
      </x:c>
      <x:c r="J535" s="7" t="n">
        <x:v>1.01</x:v>
      </x:c>
      <x:c r="K535" s="8" t="n">
        <x:v>40</x:v>
      </x:c>
      <x:c r="L535" s="8" t="n">
        <x:v>518</x:v>
      </x:c>
      <x:c r="M535" s="9" t="n">
        <x:v>0.0825819672</x:v>
      </x:c>
      <x:c r="N535" s="10" t="n">
        <x:v>145966.7451737452</x:v>
      </x:c>
      <x:c r="O535" s="9"/>
      <x:c r="P535" s="9" t="n">
        <x:v>0.8931777379</x:v>
      </x:c>
      <x:c r="Q535" s="9" t="n">
        <x:v>0.697486535</x:v>
      </x:c>
      <x:c r="R535" s="3" t="b">
        <x:v>0</x:v>
      </x:c>
      <x:c r="S535" s="3" t="b">
        <x:v>0</x:v>
      </x:c>
      <x:c r="T535" s="3" t="b">
        <x:v>0</x:v>
      </x:c>
      <x:c r="U535" s="2" t="str">
        <x:f>IF(T535=TRUE,"Priority review",IF(R535=TRUE,"High cost",IF(S535=TRUE,"Low quality","Benchmark")))</x:f>
        <x:v>Benchmark</x:v>
      </x:c>
    </x:row>
    <x:row r="536">
      <x:c r="A536" s="2" t="str">
        <x:v>231301</x:v>
      </x:c>
      <x:c r="B536" s="2" t="str">
        <x:v>KALKASKA MEMORIAL HEALTH CENTER</x:v>
      </x:c>
      <x:c r="C536" s="2" t="str">
        <x:v>KALKASKA</x:v>
      </x:c>
      <x:c r="D536" s="2" t="str">
        <x:v>MI</x:v>
      </x:c>
      <x:c r="E536" s="2" t="str">
        <x:v>Critical Access Hospitals</x:v>
      </x:c>
      <x:c r="F536" s="2" t="str">
        <x:v>Government</x:v>
      </x:c>
      <x:c r="G536" s="2" t="str">
        <x:v>Small (&lt;100 beds)</x:v>
      </x:c>
      <x:c r="H536" s="7"/>
      <x:c r="I536" s="7"/>
      <x:c r="J536" s="7"/>
      <x:c r="K536" s="8" t="n">
        <x:v>8</x:v>
      </x:c>
      <x:c r="L536" s="8" t="n">
        <x:v>280</x:v>
      </x:c>
      <x:c r="M536" s="9" t="n">
        <x:v>0.3407534247</x:v>
      </x:c>
      <x:c r="N536" s="10" t="n">
        <x:v>322443.5321428571</x:v>
      </x:c>
      <x:c r="O536" s="9" t="n">
        <x:v>-0.0391862785</x:v>
      </x:c>
      <x:c r="P536" s="9" t="n">
        <x:v>0.892936803</x:v>
      </x:c>
      <x:c r="Q536" s="9" t="n">
        <x:v>0.292936803</x:v>
      </x:c>
      <x:c r="R536" s="3" t="b">
        <x:v>0</x:v>
      </x:c>
      <x:c r="S536" s="3" t="b">
        <x:v>0</x:v>
      </x:c>
      <x:c r="T536" s="3" t="b">
        <x:v>0</x:v>
      </x:c>
      <x:c r="U536" s="2" t="str">
        <x:f>IF(T536=TRUE,"Priority review",IF(R536=TRUE,"High cost",IF(S536=TRUE,"Low quality","Benchmark")))</x:f>
        <x:v>Benchmark</x:v>
      </x:c>
    </x:row>
    <x:row r="537">
      <x:c r="A537" s="2" t="str">
        <x:v>330119</x:v>
      </x:c>
      <x:c r="B537" s="2" t="str">
        <x:v>LENOX HILL HOSPITAL</x:v>
      </x:c>
      <x:c r="C537" s="2" t="str">
        <x:v>NEW YORK</x:v>
      </x:c>
      <x:c r="D537" s="2" t="str">
        <x:v>NY</x:v>
      </x:c>
      <x:c r="E537" s="2" t="str">
        <x:v>Acute Care Hospitals</x:v>
      </x:c>
      <x:c r="F537" s="2" t="str">
        <x:v>Voluntary non-profit</x:v>
      </x:c>
      <x:c r="G537" s="2" t="str">
        <x:v>Large (300+ beds)</x:v>
      </x:c>
      <x:c r="H537" s="7" t="n">
        <x:v>5</x:v>
      </x:c>
      <x:c r="I537" s="7" t="n">
        <x:v>2</x:v>
      </x:c>
      <x:c r="J537" s="7" t="n">
        <x:v>1.03</x:v>
      </x:c>
      <x:c r="K537" s="8" t="n">
        <x:v>419</x:v>
      </x:c>
      <x:c r="L537" s="8" t="n">
        <x:v>27966</x:v>
      </x:c>
      <x:c r="M537" s="9" t="n">
        <x:v>0.746292891</x:v>
      </x:c>
      <x:c r="N537" s="10" t="n">
        <x:v>74706.8610455553</x:v>
      </x:c>
      <x:c r="O537" s="9" t="n">
        <x:v>-0.3143181865</x:v>
      </x:c>
      <x:c r="P537" s="9" t="n">
        <x:v>0.8927444795</x:v>
      </x:c>
      <x:c r="Q537" s="9" t="n">
        <x:v>0.8722397476</x:v>
      </x:c>
      <x:c r="R537" s="3" t="b">
        <x:v>0</x:v>
      </x:c>
      <x:c r="S537" s="3" t="b">
        <x:v>0</x:v>
      </x:c>
      <x:c r="T537" s="3" t="b">
        <x:v>0</x:v>
      </x:c>
      <x:c r="U537" s="2" t="str">
        <x:f>IF(T537=TRUE,"Priority review",IF(R537=TRUE,"High cost",IF(S537=TRUE,"Low quality","Benchmark")))</x:f>
        <x:v>Benchmark</x:v>
      </x:c>
    </x:row>
    <x:row r="538">
      <x:c r="A538" s="2" t="str">
        <x:v>350019</x:v>
      </x:c>
      <x:c r="B538" s="2" t="str">
        <x:v>ALTRU HOSPITAL</x:v>
      </x:c>
      <x:c r="C538" s="2" t="str">
        <x:v>GRAND FORKS</x:v>
      </x:c>
      <x:c r="D538" s="2" t="str">
        <x:v>ND</x:v>
      </x:c>
      <x:c r="E538" s="2" t="str">
        <x:v>Acute Care Hospitals</x:v>
      </x:c>
      <x:c r="F538" s="2" t="str">
        <x:v>Government</x:v>
      </x:c>
      <x:c r="G538" s="2" t="str">
        <x:v>Medium (100-299 beds)</x:v>
      </x:c>
      <x:c r="H538" s="7" t="n">
        <x:v>3</x:v>
      </x:c>
      <x:c r="I538" s="7" t="n">
        <x:v>2</x:v>
      </x:c>
      <x:c r="J538" s="7" t="n">
        <x:v>1.02</x:v>
      </x:c>
      <x:c r="K538" s="8" t="n">
        <x:v>202</x:v>
      </x:c>
      <x:c r="L538" s="8" t="n">
        <x:v>10840</x:v>
      </x:c>
      <x:c r="M538" s="9" t="n">
        <x:v>0.7886706703</x:v>
      </x:c>
      <x:c r="N538" s="10" t="n">
        <x:v>60253.6303505535</x:v>
      </x:c>
      <x:c r="O538" s="9" t="n">
        <x:v>-0.0500397109</x:v>
      </x:c>
      <x:c r="P538" s="9" t="n">
        <x:v>0.8924205379</x:v>
      </x:c>
      <x:c r="Q538" s="9" t="n">
        <x:v>0.3023634882</x:v>
      </x:c>
      <x:c r="R538" s="3" t="b">
        <x:v>0</x:v>
      </x:c>
      <x:c r="S538" s="3" t="b">
        <x:v>0</x:v>
      </x:c>
      <x:c r="T538" s="3" t="b">
        <x:v>0</x:v>
      </x:c>
      <x:c r="U538" s="2" t="str">
        <x:f>IF(T538=TRUE,"Priority review",IF(R538=TRUE,"High cost",IF(S538=TRUE,"Low quality","Benchmark")))</x:f>
        <x:v>Benchmark</x:v>
      </x:c>
    </x:row>
    <x:row r="539">
      <x:c r="A539" s="2" t="str">
        <x:v>030108</x:v>
      </x:c>
      <x:c r="B539" s="2" t="str">
        <x:v>THE CORE INSTITUTE SPECIALTY HOSP</x:v>
      </x:c>
      <x:c r="C539" s="2" t="str">
        <x:v>PHOENIX</x:v>
      </x:c>
      <x:c r="D539" s="2" t="str">
        <x:v>AZ</x:v>
      </x:c>
      <x:c r="E539" s="2" t="str">
        <x:v>Acute Care Hospitals</x:v>
      </x:c>
      <x:c r="F539" s="2" t="str">
        <x:v>Other / unknown</x:v>
      </x:c>
      <x:c r="G539" s="2" t="str">
        <x:v>Small (&lt;100 beds)</x:v>
      </x:c>
      <x:c r="H539" s="7"/>
      <x:c r="I539" s="7" t="n">
        <x:v>4</x:v>
      </x:c>
      <x:c r="J539" s="7" t="n">
        <x:v>0.96</x:v>
      </x:c>
      <x:c r="K539" s="8" t="n">
        <x:v>28</x:v>
      </x:c>
      <x:c r="L539" s="8" t="n">
        <x:v>690</x:v>
      </x:c>
      <x:c r="M539" s="9" t="n">
        <x:v>0.0991412959</x:v>
      </x:c>
      <x:c r="N539" s="10" t="n">
        <x:v>144969.7086956522</x:v>
      </x:c>
      <x:c r="O539" s="9" t="n">
        <x:v>0.0938393885</x:v>
      </x:c>
      <x:c r="P539" s="9" t="n">
        <x:v>0.8922800718</x:v>
      </x:c>
      <x:c r="Q539" s="9" t="n">
        <x:v>0.697486535</x:v>
      </x:c>
      <x:c r="R539" s="3" t="b">
        <x:v>0</x:v>
      </x:c>
      <x:c r="S539" s="3" t="b">
        <x:v>0</x:v>
      </x:c>
      <x:c r="T539" s="3" t="b">
        <x:v>0</x:v>
      </x:c>
      <x:c r="U539" s="2" t="str">
        <x:f>IF(T539=TRUE,"Priority review",IF(R539=TRUE,"High cost",IF(S539=TRUE,"Low quality","Benchmark")))</x:f>
        <x:v>Benchmark</x:v>
      </x:c>
    </x:row>
    <x:row r="540">
      <x:c r="A540" s="2" t="str">
        <x:v>451313</x:v>
      </x:c>
      <x:c r="B540" s="2" t="str">
        <x:v>FISHER COUNTY HOSPITAL DISTRICT</x:v>
      </x:c>
      <x:c r="C540" s="2" t="str">
        <x:v>ROTAN</x:v>
      </x:c>
      <x:c r="D540" s="2" t="str">
        <x:v>TX</x:v>
      </x:c>
      <x:c r="E540" s="2" t="str">
        <x:v>Critical Access Hospitals</x:v>
      </x:c>
      <x:c r="F540" s="2" t="str">
        <x:v>Government</x:v>
      </x:c>
      <x:c r="G540" s="2" t="str">
        <x:v>Small (&lt;100 beds)</x:v>
      </x:c>
      <x:c r="H540" s="7"/>
      <x:c r="I540" s="7"/>
      <x:c r="J540" s="7"/>
      <x:c r="K540" s="8" t="n">
        <x:v>13</x:v>
      </x:c>
      <x:c r="L540" s="8" t="n">
        <x:v>36</x:v>
      </x:c>
      <x:c r="M540" s="9" t="n">
        <x:v>0.1874737285</x:v>
      </x:c>
      <x:c r="N540" s="10" t="n">
        <x:v>322165.9444444444</x:v>
      </x:c>
      <x:c r="O540" s="9" t="n">
        <x:v>-0.2107093</x:v>
      </x:c>
      <x:c r="P540" s="9" t="n">
        <x:v>0.8921933086</x:v>
      </x:c>
      <x:c r="Q540" s="9" t="n">
        <x:v>0.292936803</x:v>
      </x:c>
      <x:c r="R540" s="3" t="b">
        <x:v>0</x:v>
      </x:c>
      <x:c r="S540" s="3" t="b">
        <x:v>0</x:v>
      </x:c>
      <x:c r="T540" s="3" t="b">
        <x:v>0</x:v>
      </x:c>
      <x:c r="U540" s="2" t="str">
        <x:f>IF(T540=TRUE,"Priority review",IF(R540=TRUE,"High cost",IF(S540=TRUE,"Low quality","Benchmark")))</x:f>
        <x:v>Benchmark</x:v>
      </x:c>
    </x:row>
    <x:row r="541">
      <x:c r="A541" s="2" t="str">
        <x:v>130003</x:v>
      </x:c>
      <x:c r="B541" s="2" t="str">
        <x:v>ST JOSEPH REGIONAL MEDICAL CENTER</x:v>
      </x:c>
      <x:c r="C541" s="2" t="str">
        <x:v>LEWISTON</x:v>
      </x:c>
      <x:c r="D541" s="2" t="str">
        <x:v>ID</x:v>
      </x:c>
      <x:c r="E541" s="2" t="str">
        <x:v>Acute Care Hospitals</x:v>
      </x:c>
      <x:c r="F541" s="2" t="str">
        <x:v>Voluntary non-profit</x:v>
      </x:c>
      <x:c r="G541" s="2" t="str">
        <x:v>Medium (100-299 beds)</x:v>
      </x:c>
      <x:c r="H541" s="7" t="n">
        <x:v>2</x:v>
      </x:c>
      <x:c r="I541" s="7" t="n">
        <x:v>3</x:v>
      </x:c>
      <x:c r="J541" s="7" t="n">
        <x:v>1.07</x:v>
      </x:c>
      <x:c r="K541" s="8" t="n">
        <x:v>102</x:v>
      </x:c>
      <x:c r="L541" s="8" t="n">
        <x:v>3252</x:v>
      </x:c>
      <x:c r="M541" s="9" t="n">
        <x:v>0.3193123825</x:v>
      </x:c>
      <x:c r="N541" s="10" t="n">
        <x:v>59978.7456949569</x:v>
      </x:c>
      <x:c r="O541" s="9" t="n">
        <x:v>0.0018021471</x:v>
      </x:c>
      <x:c r="P541" s="9" t="n">
        <x:v>0.891605542</x:v>
      </x:c>
      <x:c r="Q541" s="9" t="n">
        <x:v>0.0782396088</x:v>
      </x:c>
      <x:c r="R541" s="3" t="b">
        <x:v>0</x:v>
      </x:c>
      <x:c r="S541" s="3" t="b">
        <x:v>1</x:v>
      </x:c>
      <x:c r="T541" s="3" t="b">
        <x:v>0</x:v>
      </x:c>
      <x:c r="U541" s="2" t="str">
        <x:f>IF(T541=TRUE,"Priority review",IF(R541=TRUE,"High cost",IF(S541=TRUE,"Low quality","Benchmark")))</x:f>
        <x:v>Low quality</x:v>
      </x:c>
    </x:row>
    <x:row r="542">
      <x:c r="A542" s="2" t="str">
        <x:v>191314</x:v>
      </x:c>
      <x:c r="B542" s="2" t="str">
        <x:v>MADISON PARISH HOSPITAL</x:v>
      </x:c>
      <x:c r="C542" s="2" t="str">
        <x:v>TALLULAH</x:v>
      </x:c>
      <x:c r="D542" s="2" t="str">
        <x:v>LA</x:v>
      </x:c>
      <x:c r="E542" s="2" t="str">
        <x:v>Critical Access Hospitals</x:v>
      </x:c>
      <x:c r="F542" s="2" t="str">
        <x:v>Government</x:v>
      </x:c>
      <x:c r="G542" s="2" t="str">
        <x:v>Small (&lt;100 beds)</x:v>
      </x:c>
      <x:c r="H542" s="7"/>
      <x:c r="I542" s="7"/>
      <x:c r="J542" s="7"/>
      <x:c r="K542" s="8" t="n">
        <x:v>17</x:v>
      </x:c>
      <x:c r="L542" s="8" t="n">
        <x:v>82</x:v>
      </x:c>
      <x:c r="M542" s="9" t="n">
        <x:v>0.1441658631</x:v>
      </x:c>
      <x:c r="N542" s="10" t="n">
        <x:v>321028.9634146342</x:v>
      </x:c>
      <x:c r="O542" s="9" t="n">
        <x:v>-0.434656064</x:v>
      </x:c>
      <x:c r="P542" s="9" t="n">
        <x:v>0.8914498141</x:v>
      </x:c>
      <x:c r="Q542" s="9" t="n">
        <x:v>0.292936803</x:v>
      </x:c>
      <x:c r="R542" s="3" t="b">
        <x:v>0</x:v>
      </x:c>
      <x:c r="S542" s="3" t="b">
        <x:v>0</x:v>
      </x:c>
      <x:c r="T542" s="3" t="b">
        <x:v>0</x:v>
      </x:c>
      <x:c r="U542" s="2" t="str">
        <x:f>IF(T542=TRUE,"Priority review",IF(R542=TRUE,"High cost",IF(S542=TRUE,"Low quality","Benchmark")))</x:f>
        <x:v>Benchmark</x:v>
      </x:c>
    </x:row>
    <x:row r="543">
      <x:c r="A543" s="2" t="str">
        <x:v>520019</x:v>
      </x:c>
      <x:c r="B543" s="2" t="str">
        <x:v>ASPIRUS RHINELANDER HOSPITAL</x:v>
      </x:c>
      <x:c r="C543" s="2" t="str">
        <x:v>RHINELANDER</x:v>
      </x:c>
      <x:c r="D543" s="2" t="str">
        <x:v>WI</x:v>
      </x:c>
      <x:c r="E543" s="2" t="str">
        <x:v>Acute Care Hospitals</x:v>
      </x:c>
      <x:c r="F543" s="2" t="str">
        <x:v>Voluntary non-profit</x:v>
      </x:c>
      <x:c r="G543" s="2" t="str">
        <x:v>Small (&lt;100 beds)</x:v>
      </x:c>
      <x:c r="H543" s="7" t="n">
        <x:v>3</x:v>
      </x:c>
      <x:c r="I543" s="7" t="n">
        <x:v>4</x:v>
      </x:c>
      <x:c r="J543" s="7" t="n">
        <x:v>0.89</x:v>
      </x:c>
      <x:c r="K543" s="8" t="n">
        <x:v>42</x:v>
      </x:c>
      <x:c r="L543" s="8" t="n">
        <x:v>2242</x:v>
      </x:c>
      <x:c r="M543" s="9" t="n">
        <x:v>0.7156555773</x:v>
      </x:c>
      <x:c r="N543" s="10" t="n">
        <x:v>144755.2033898305</x:v>
      </x:c>
      <x:c r="O543" s="9" t="n">
        <x:v>-0.3226005126</x:v>
      </x:c>
      <x:c r="P543" s="9" t="n">
        <x:v>0.8913824057</x:v>
      </x:c>
      <x:c r="Q543" s="9" t="n">
        <x:v>0.1687612208</x:v>
      </x:c>
      <x:c r="R543" s="3" t="b">
        <x:v>0</x:v>
      </x:c>
      <x:c r="S543" s="3" t="b">
        <x:v>0</x:v>
      </x:c>
      <x:c r="T543" s="3" t="b">
        <x:v>0</x:v>
      </x:c>
      <x:c r="U543" s="2" t="str">
        <x:f>IF(T543=TRUE,"Priority review",IF(R543=TRUE,"High cost",IF(S543=TRUE,"Low quality","Benchmark")))</x:f>
        <x:v>Benchmark</x:v>
      </x:c>
    </x:row>
    <x:row r="544">
      <x:c r="A544" s="2" t="str">
        <x:v>330024</x:v>
      </x:c>
      <x:c r="B544" s="2" t="str">
        <x:v>MOUNT SINAI HOSPITAL</x:v>
      </x:c>
      <x:c r="C544" s="2" t="str">
        <x:v>NEW YORK</x:v>
      </x:c>
      <x:c r="D544" s="2" t="str">
        <x:v>NY</x:v>
      </x:c>
      <x:c r="E544" s="2" t="str">
        <x:v>Acute Care Hospitals</x:v>
      </x:c>
      <x:c r="F544" s="2" t="str">
        <x:v>Voluntary non-profit</x:v>
      </x:c>
      <x:c r="G544" s="2" t="str">
        <x:v>Large (300+ beds)</x:v>
      </x:c>
      <x:c r="H544" s="7" t="n">
        <x:v>4</x:v>
      </x:c>
      <x:c r="I544" s="7" t="n">
        <x:v>3</x:v>
      </x:c>
      <x:c r="J544" s="7" t="n">
        <x:v>0.98</x:v>
      </x:c>
      <x:c r="K544" s="8" t="n">
        <x:v>1046</x:v>
      </x:c>
      <x:c r="L544" s="8" t="n">
        <x:v>57509</x:v>
      </x:c>
      <x:c r="M544" s="9" t="n">
        <x:v>1.0218531264</x:v>
      </x:c>
      <x:c r="N544" s="10" t="n">
        <x:v>74609.7394668661</x:v>
      </x:c>
      <x:c r="O544" s="9" t="n">
        <x:v>-0.1806869674</x:v>
      </x:c>
      <x:c r="P544" s="9" t="n">
        <x:v>0.8911671924</x:v>
      </x:c>
      <x:c r="Q544" s="9" t="n">
        <x:v>0.5899053628</x:v>
      </x:c>
      <x:c r="R544" s="3" t="b">
        <x:v>0</x:v>
      </x:c>
      <x:c r="S544" s="3" t="b">
        <x:v>0</x:v>
      </x:c>
      <x:c r="T544" s="3" t="b">
        <x:v>0</x:v>
      </x:c>
      <x:c r="U544" s="2" t="str">
        <x:f>IF(T544=TRUE,"Priority review",IF(R544=TRUE,"High cost",IF(S544=TRUE,"Low quality","Benchmark")))</x:f>
        <x:v>Benchmark</x:v>
      </x:c>
    </x:row>
    <x:row r="545">
      <x:c r="A545" s="2" t="str">
        <x:v>050009</x:v>
      </x:c>
      <x:c r="B545" s="2" t="str">
        <x:v>PROVIDENCE QUEEN OF THE VALLEY MEDICAL CENTER</x:v>
      </x:c>
      <x:c r="C545" s="2" t="str">
        <x:v>NAPA</x:v>
      </x:c>
      <x:c r="D545" s="2" t="str">
        <x:v>CA</x:v>
      </x:c>
      <x:c r="E545" s="2" t="str">
        <x:v>Acute Care Hospitals</x:v>
      </x:c>
      <x:c r="F545" s="2" t="str">
        <x:v>Voluntary non-profit</x:v>
      </x:c>
      <x:c r="G545" s="2" t="str">
        <x:v>Medium (100-299 beds)</x:v>
      </x:c>
      <x:c r="H545" s="7" t="n">
        <x:v>4</x:v>
      </x:c>
      <x:c r="I545" s="7" t="n">
        <x:v>3</x:v>
      </x:c>
      <x:c r="J545" s="7" t="n">
        <x:v>0.98</x:v>
      </x:c>
      <x:c r="K545" s="8" t="n">
        <x:v>164</x:v>
      </x:c>
      <x:c r="L545" s="8" t="n">
        <x:v>5836</x:v>
      </x:c>
      <x:c r="M545" s="9" t="n">
        <x:v>0.3665720013</x:v>
      </x:c>
      <x:c r="N545" s="10" t="n">
        <x:v>59941.2978067169</x:v>
      </x:c>
      <x:c r="O545" s="9" t="n">
        <x:v>-0.1343539577</x:v>
      </x:c>
      <x:c r="P545" s="9" t="n">
        <x:v>0.890790546</x:v>
      </x:c>
      <x:c r="Q545" s="9" t="n">
        <x:v>0.6022819886</x:v>
      </x:c>
      <x:c r="R545" s="3" t="b">
        <x:v>0</x:v>
      </x:c>
      <x:c r="S545" s="3" t="b">
        <x:v>0</x:v>
      </x:c>
      <x:c r="T545" s="3" t="b">
        <x:v>0</x:v>
      </x:c>
      <x:c r="U545" s="2" t="str">
        <x:f>IF(T545=TRUE,"Priority review",IF(R545=TRUE,"High cost",IF(S545=TRUE,"Low quality","Benchmark")))</x:f>
        <x:v>Benchmark</x:v>
      </x:c>
    </x:row>
    <x:row r="546">
      <x:c r="A546" s="2" t="str">
        <x:v>331304</x:v>
      </x:c>
      <x:c r="B546" s="2" t="str">
        <x:v>MARGARETVILLE MEMORIAL HOSPITAL</x:v>
      </x:c>
      <x:c r="C546" s="2" t="str">
        <x:v>MARGARETVILLE</x:v>
      </x:c>
      <x:c r="D546" s="2" t="str">
        <x:v>NY</x:v>
      </x:c>
      <x:c r="E546" s="2" t="str">
        <x:v>Critical Access Hospitals</x:v>
      </x:c>
      <x:c r="F546" s="2" t="str">
        <x:v>Voluntary non-profit</x:v>
      </x:c>
      <x:c r="G546" s="2" t="str">
        <x:v>Small (&lt;100 beds)</x:v>
      </x:c>
      <x:c r="H546" s="7"/>
      <x:c r="I546" s="7"/>
      <x:c r="J546" s="7"/>
      <x:c r="K546" s="8" t="n">
        <x:v>15</x:v>
      </x:c>
      <x:c r="L546" s="8" t="n">
        <x:v>94</x:v>
      </x:c>
      <x:c r="M546" s="9" t="n">
        <x:v>0.3078324226</x:v>
      </x:c>
      <x:c r="N546" s="10" t="n">
        <x:v>320007.0957446808</x:v>
      </x:c>
      <x:c r="O546" s="9" t="n">
        <x:v>-0.6972135002</x:v>
      </x:c>
      <x:c r="P546" s="9" t="n">
        <x:v>0.8907063197</x:v>
      </x:c>
      <x:c r="Q546" s="9" t="n">
        <x:v>0.292936803</x:v>
      </x:c>
      <x:c r="R546" s="3" t="b">
        <x:v>0</x:v>
      </x:c>
      <x:c r="S546" s="3" t="b">
        <x:v>0</x:v>
      </x:c>
      <x:c r="T546" s="3" t="b">
        <x:v>0</x:v>
      </x:c>
      <x:c r="U546" s="2" t="str">
        <x:f>IF(T546=TRUE,"Priority review",IF(R546=TRUE,"High cost",IF(S546=TRUE,"Low quality","Benchmark")))</x:f>
        <x:v>Benchmark</x:v>
      </x:c>
    </x:row>
    <x:row r="547">
      <x:c r="A547" s="2" t="str">
        <x:v>364035</x:v>
      </x:c>
      <x:c r="B547" s="2" t="str">
        <x:v>SUMMIT BEHAVIORAL HEALTHCARE</x:v>
      </x:c>
      <x:c r="C547" s="2" t="str">
        <x:v>CINCINNATI</x:v>
      </x:c>
      <x:c r="D547" s="2" t="str">
        <x:v>OH</x:v>
      </x:c>
      <x:c r="E547" s="2" t="str">
        <x:v>Psychiatric</x:v>
      </x:c>
      <x:c r="F547" s="2" t="str">
        <x:v>Government</x:v>
      </x:c>
      <x:c r="G547" s="2" t="str">
        <x:v>Medium (100-299 beds)</x:v>
      </x:c>
      <x:c r="H547" s="7"/>
      <x:c r="I547" s="7"/>
      <x:c r="J547" s="7"/>
      <x:c r="K547" s="8" t="n">
        <x:v>291</x:v>
      </x:c>
      <x:c r="L547" s="8" t="n">
        <x:v>297</x:v>
      </x:c>
      <x:c r="M547" s="9" t="n">
        <x:v>0.9208209763</x:v>
      </x:c>
      <x:c r="N547" s="10" t="n">
        <x:v>216676.5622895623</x:v>
      </x:c>
      <x:c r="O547" s="9"/>
      <x:c r="P547" s="9" t="n">
        <x:v>0.8905472637</x:v>
      </x:c>
      <x:c r="Q547" s="9" t="n">
        <x:v>0</x:v>
      </x:c>
      <x:c r="R547" s="3" t="b">
        <x:v>0</x:v>
      </x:c>
      <x:c r="S547" s="3" t="b">
        <x:v>0</x:v>
      </x:c>
      <x:c r="T547" s="3" t="b">
        <x:v>0</x:v>
      </x:c>
      <x:c r="U547" s="2" t="str">
        <x:f>IF(T547=TRUE,"Priority review",IF(R547=TRUE,"High cost",IF(S547=TRUE,"Low quality","Benchmark")))</x:f>
        <x:v>Benchmark</x:v>
      </x:c>
    </x:row>
    <x:row r="548">
      <x:c r="A548" s="2" t="str">
        <x:v>670062</x:v>
      </x:c>
      <x:c r="B548" s="2" t="str">
        <x:v>BAYLOR SCOTT &amp; WHITE EMERGENCY HOSPITAL</x:v>
      </x:c>
      <x:c r="C548" s="2" t="str">
        <x:v>AUBREY</x:v>
      </x:c>
      <x:c r="D548" s="2" t="str">
        <x:v>TX</x:v>
      </x:c>
      <x:c r="E548" s="2" t="str">
        <x:v>Acute Care Hospitals</x:v>
      </x:c>
      <x:c r="F548" s="2" t="str">
        <x:v>Proprietary</x:v>
      </x:c>
      <x:c r="G548" s="2" t="str">
        <x:v>Small (&lt;100 beds)</x:v>
      </x:c>
      <x:c r="H548" s="7"/>
      <x:c r="I548" s="7"/>
      <x:c r="J548" s="7" t="n">
        <x:v>0.76</x:v>
      </x:c>
      <x:c r="K548" s="8" t="n">
        <x:v>40</x:v>
      </x:c>
      <x:c r="L548" s="8" t="n">
        <x:v>319</x:v>
      </x:c>
      <x:c r="M548" s="9" t="n">
        <x:v>0.0469945355</x:v>
      </x:c>
      <x:c r="N548" s="10" t="n">
        <x:v>143009.5642633229</x:v>
      </x:c>
      <x:c r="O548" s="9" t="n">
        <x:v>0.1728157646</x:v>
      </x:c>
      <x:c r="P548" s="9" t="n">
        <x:v>0.8904847397</x:v>
      </x:c>
      <x:c r="Q548" s="9" t="n">
        <x:v>0.697486535</x:v>
      </x:c>
      <x:c r="R548" s="3" t="b">
        <x:v>0</x:v>
      </x:c>
      <x:c r="S548" s="3" t="b">
        <x:v>0</x:v>
      </x:c>
      <x:c r="T548" s="3" t="b">
        <x:v>0</x:v>
      </x:c>
      <x:c r="U548" s="2" t="str">
        <x:f>IF(T548=TRUE,"Priority review",IF(R548=TRUE,"High cost",IF(S548=TRUE,"Low quality","Benchmark")))</x:f>
        <x:v>Benchmark</x:v>
      </x:c>
    </x:row>
    <x:row r="549">
      <x:c r="A549" s="2" t="str">
        <x:v>060030</x:v>
      </x:c>
      <x:c r="B549" s="2" t="str">
        <x:v>BANNER NORTH CO MEDICAL CENTER - LOVELAND CAMPUS</x:v>
      </x:c>
      <x:c r="C549" s="2" t="str">
        <x:v>LOVELAND</x:v>
      </x:c>
      <x:c r="D549" s="2" t="str">
        <x:v>CO</x:v>
      </x:c>
      <x:c r="E549" s="2" t="str">
        <x:v>Acute Care Hospitals</x:v>
      </x:c>
      <x:c r="F549" s="2" t="str">
        <x:v>Voluntary non-profit</x:v>
      </x:c>
      <x:c r="G549" s="2" t="str">
        <x:v>Medium (100-299 beds)</x:v>
      </x:c>
      <x:c r="H549" s="7" t="n">
        <x:v>3</x:v>
      </x:c>
      <x:c r="I549" s="7" t="n">
        <x:v>3</x:v>
      </x:c>
      <x:c r="J549" s="7" t="n">
        <x:v>0.99</x:v>
      </x:c>
      <x:c r="K549" s="8" t="n">
        <x:v>101</x:v>
      </x:c>
      <x:c r="L549" s="8" t="n">
        <x:v>1951</x:v>
      </x:c>
      <x:c r="M549" s="9" t="n">
        <x:v>0.2207704377</x:v>
      </x:c>
      <x:c r="N549" s="10" t="n">
        <x:v>59543</x:v>
      </x:c>
      <x:c r="O549" s="9" t="n">
        <x:v>-0.1857633206</x:v>
      </x:c>
      <x:c r="P549" s="9" t="n">
        <x:v>0.8899755501</x:v>
      </x:c>
      <x:c r="Q549" s="9" t="n">
        <x:v>0.3023634882</x:v>
      </x:c>
      <x:c r="R549" s="3" t="b">
        <x:v>0</x:v>
      </x:c>
      <x:c r="S549" s="3" t="b">
        <x:v>0</x:v>
      </x:c>
      <x:c r="T549" s="3" t="b">
        <x:v>0</x:v>
      </x:c>
      <x:c r="U549" s="2" t="str">
        <x:f>IF(T549=TRUE,"Priority review",IF(R549=TRUE,"High cost",IF(S549=TRUE,"Low quality","Benchmark")))</x:f>
        <x:v>Benchmark</x:v>
      </x:c>
    </x:row>
    <x:row r="550">
      <x:c r="A550" s="2" t="str">
        <x:v>174027</x:v>
      </x:c>
      <x:c r="B550" s="2" t="str">
        <x:v>ST VERONICA</x:v>
      </x:c>
      <x:c r="C550" s="2" t="str">
        <x:v>BEL AIRE</x:v>
      </x:c>
      <x:c r="D550" s="2" t="str">
        <x:v>KS</x:v>
      </x:c>
      <x:c r="E550" s="2" t="str">
        <x:v>Psychiatric</x:v>
      </x:c>
      <x:c r="F550" s="2" t="str">
        <x:v>Voluntary non-profit</x:v>
      </x:c>
      <x:c r="G550" s="2" t="str">
        <x:v>Small (&lt;100 beds)</x:v>
      </x:c>
      <x:c r="H550" s="7"/>
      <x:c r="I550" s="7"/>
      <x:c r="J550" s="7"/>
      <x:c r="K550" s="8" t="n">
        <x:v>20</x:v>
      </x:c>
      <x:c r="L550" s="8" t="n">
        <x:v>298</x:v>
      </x:c>
      <x:c r="M550" s="9" t="n">
        <x:v>0.5109589041</x:v>
      </x:c>
      <x:c r="N550" s="10" t="n">
        <x:v>102797.4932885906</x:v>
      </x:c>
      <x:c r="O550" s="9" t="n">
        <x:v>-0.0683679534</x:v>
      </x:c>
      <x:c r="P550" s="9" t="n">
        <x:v>0.8899676375</x:v>
      </x:c>
      <x:c r="Q550" s="9" t="n">
        <x:v>0</x:v>
      </x:c>
      <x:c r="R550" s="3" t="b">
        <x:v>0</x:v>
      </x:c>
      <x:c r="S550" s="3" t="b">
        <x:v>0</x:v>
      </x:c>
      <x:c r="T550" s="3" t="b">
        <x:v>0</x:v>
      </x:c>
      <x:c r="U550" s="2" t="str">
        <x:f>IF(T550=TRUE,"Priority review",IF(R550=TRUE,"High cost",IF(S550=TRUE,"Low quality","Benchmark")))</x:f>
        <x:v>Benchmark</x:v>
      </x:c>
    </x:row>
    <x:row r="551">
      <x:c r="A551" s="2" t="str">
        <x:v>061328</x:v>
      </x:c>
      <x:c r="B551" s="2" t="str">
        <x:v>PAGOSA SPRINGS MEDICAL CENTER</x:v>
      </x:c>
      <x:c r="C551" s="2" t="str">
        <x:v>PAGOSA SPRINGS</x:v>
      </x:c>
      <x:c r="D551" s="2" t="str">
        <x:v>CO</x:v>
      </x:c>
      <x:c r="E551" s="2" t="str">
        <x:v>Critical Access Hospitals</x:v>
      </x:c>
      <x:c r="F551" s="2" t="str">
        <x:v>Government</x:v>
      </x:c>
      <x:c r="G551" s="2" t="str">
        <x:v>Small (&lt;100 beds)</x:v>
      </x:c>
      <x:c r="H551" s="7"/>
      <x:c r="I551" s="7"/>
      <x:c r="J551" s="7"/>
      <x:c r="K551" s="8" t="n">
        <x:v>11</x:v>
      </x:c>
      <x:c r="L551" s="8" t="n">
        <x:v>143</x:v>
      </x:c>
      <x:c r="M551" s="9" t="n">
        <x:v>0.1117734724</x:v>
      </x:c>
      <x:c r="N551" s="10" t="n">
        <x:v>319745.3636363636</x:v>
      </x:c>
      <x:c r="O551" s="9" t="n">
        <x:v>-0.1669747005</x:v>
      </x:c>
      <x:c r="P551" s="9" t="n">
        <x:v>0.8899628253</x:v>
      </x:c>
      <x:c r="Q551" s="9" t="n">
        <x:v>0.292936803</x:v>
      </x:c>
      <x:c r="R551" s="3" t="b">
        <x:v>0</x:v>
      </x:c>
      <x:c r="S551" s="3" t="b">
        <x:v>0</x:v>
      </x:c>
      <x:c r="T551" s="3" t="b">
        <x:v>0</x:v>
      </x:c>
      <x:c r="U551" s="2" t="str">
        <x:f>IF(T551=TRUE,"Priority review",IF(R551=TRUE,"High cost",IF(S551=TRUE,"Low quality","Benchmark")))</x:f>
        <x:v>Benchmark</x:v>
      </x:c>
    </x:row>
    <x:row r="552">
      <x:c r="A552" s="2" t="str">
        <x:v>360085</x:v>
      </x:c>
      <x:c r="B552" s="2" t="str">
        <x:v>OHIO STATE UNIVERSITY STATE HEALTH SYSTEM</x:v>
      </x:c>
      <x:c r="C552" s="2" t="str">
        <x:v>COLUMBUS</x:v>
      </x:c>
      <x:c r="D552" s="2" t="str">
        <x:v>OH</x:v>
      </x:c>
      <x:c r="E552" s="2" t="str">
        <x:v>Acute Care Hospitals</x:v>
      </x:c>
      <x:c r="F552" s="2" t="str">
        <x:v>Government</x:v>
      </x:c>
      <x:c r="G552" s="2" t="str">
        <x:v>Large (300+ beds)</x:v>
      </x:c>
      <x:c r="H552" s="7" t="n">
        <x:v>3</x:v>
      </x:c>
      <x:c r="I552" s="7" t="n">
        <x:v>3</x:v>
      </x:c>
      <x:c r="J552" s="7" t="n">
        <x:v>0.98</x:v>
      </x:c>
      <x:c r="K552" s="8" t="n">
        <x:v>968</x:v>
      </x:c>
      <x:c r="L552" s="8" t="n">
        <x:v>46347</x:v>
      </x:c>
      <x:c r="M552" s="9" t="n">
        <x:v>0.7466976151</x:v>
      </x:c>
      <x:c r="N552" s="10" t="n">
        <x:v>73456.7929747341</x:v>
      </x:c>
      <x:c r="O552" s="9" t="n">
        <x:v>-0.6808565456</x:v>
      </x:c>
      <x:c r="P552" s="9" t="n">
        <x:v>0.8895899054</x:v>
      </x:c>
      <x:c r="Q552" s="9" t="n">
        <x:v>0.2570977918</x:v>
      </x:c>
      <x:c r="R552" s="3" t="b">
        <x:v>0</x:v>
      </x:c>
      <x:c r="S552" s="3" t="b">
        <x:v>0</x:v>
      </x:c>
      <x:c r="T552" s="3" t="b">
        <x:v>0</x:v>
      </x:c>
      <x:c r="U552" s="2" t="str">
        <x:f>IF(T552=TRUE,"Priority review",IF(R552=TRUE,"High cost",IF(S552=TRUE,"Low quality","Benchmark")))</x:f>
        <x:v>Benchmark</x:v>
      </x:c>
    </x:row>
    <x:row r="553">
      <x:c r="A553" s="2" t="str">
        <x:v>050113</x:v>
      </x:c>
      <x:c r="B553" s="2" t="str">
        <x:v>SAN MATEO MEDICAL CENTER</x:v>
      </x:c>
      <x:c r="C553" s="2" t="str">
        <x:v>SAN MATEO</x:v>
      </x:c>
      <x:c r="D553" s="2" t="str">
        <x:v>CA</x:v>
      </x:c>
      <x:c r="E553" s="2" t="str">
        <x:v>Acute Care Hospitals</x:v>
      </x:c>
      <x:c r="F553" s="2" t="str">
        <x:v>Government</x:v>
      </x:c>
      <x:c r="G553" s="2" t="str">
        <x:v>Small (&lt;100 beds)</x:v>
      </x:c>
      <x:c r="H553" s="7"/>
      <x:c r="I553" s="7" t="n">
        <x:v>3</x:v>
      </x:c>
      <x:c r="J553" s="7" t="n">
        <x:v>0.91</x:v>
      </x:c>
      <x:c r="K553" s="8" t="n">
        <x:v>69</x:v>
      </x:c>
      <x:c r="L553" s="8" t="n">
        <x:v>3411</x:v>
      </x:c>
      <x:c r="M553" s="9" t="n">
        <x:v>0.4162398253</x:v>
      </x:c>
      <x:c r="N553" s="10" t="n">
        <x:v>141932.2357080035</x:v>
      </x:c>
      <x:c r="O553" s="9" t="n">
        <x:v>-1.2563220891</x:v>
      </x:c>
      <x:c r="P553" s="9" t="n">
        <x:v>0.8895870736</x:v>
      </x:c>
      <x:c r="Q553" s="9" t="n">
        <x:v>0.697486535</x:v>
      </x:c>
      <x:c r="R553" s="3" t="b">
        <x:v>0</x:v>
      </x:c>
      <x:c r="S553" s="3" t="b">
        <x:v>0</x:v>
      </x:c>
      <x:c r="T553" s="3" t="b">
        <x:v>0</x:v>
      </x:c>
      <x:c r="U553" s="2" t="str">
        <x:f>IF(T553=TRUE,"Priority review",IF(R553=TRUE,"High cost",IF(S553=TRUE,"Low quality","Benchmark")))</x:f>
        <x:v>Benchmark</x:v>
      </x:c>
    </x:row>
    <x:row r="554">
      <x:c r="A554" s="2" t="str">
        <x:v>051315</x:v>
      </x:c>
      <x:c r="B554" s="2" t="str">
        <x:v>TRINITY HOSPITAL</x:v>
      </x:c>
      <x:c r="C554" s="2" t="str">
        <x:v>WEAVERVILLE</x:v>
      </x:c>
      <x:c r="D554" s="2" t="str">
        <x:v>CA</x:v>
      </x:c>
      <x:c r="E554" s="2" t="str">
        <x:v>Critical Access Hospitals</x:v>
      </x:c>
      <x:c r="F554" s="2" t="str">
        <x:v>Government</x:v>
      </x:c>
      <x:c r="G554" s="2" t="str">
        <x:v>Small (&lt;100 beds)</x:v>
      </x:c>
      <x:c r="H554" s="7"/>
      <x:c r="I554" s="7"/>
      <x:c r="J554" s="7"/>
      <x:c r="K554" s="8" t="n">
        <x:v>25</x:v>
      </x:c>
      <x:c r="L554" s="8" t="n">
        <x:v>99</x:v>
      </x:c>
      <x:c r="M554" s="9" t="n">
        <x:v>0.2808743169</x:v>
      </x:c>
      <x:c r="N554" s="10" t="n">
        <x:v>316918.1313131313</x:v>
      </x:c>
      <x:c r="O554" s="9" t="n">
        <x:v>0.1090334569</x:v>
      </x:c>
      <x:c r="P554" s="9" t="n">
        <x:v>0.8892193309</x:v>
      </x:c>
      <x:c r="Q554" s="9" t="n">
        <x:v>0.292936803</x:v>
      </x:c>
      <x:c r="R554" s="3" t="b">
        <x:v>0</x:v>
      </x:c>
      <x:c r="S554" s="3" t="b">
        <x:v>0</x:v>
      </x:c>
      <x:c r="T554" s="3" t="b">
        <x:v>0</x:v>
      </x:c>
      <x:c r="U554" s="2" t="str">
        <x:f>IF(T554=TRUE,"Priority review",IF(R554=TRUE,"High cost",IF(S554=TRUE,"Low quality","Benchmark")))</x:f>
        <x:v>Benchmark</x:v>
      </x:c>
    </x:row>
    <x:row r="555">
      <x:c r="A555" s="2" t="str">
        <x:v>220046</x:v>
      </x:c>
      <x:c r="B555" s="2" t="str">
        <x:v>BERKSHIRE MEDICAL CENTER</x:v>
      </x:c>
      <x:c r="C555" s="2" t="str">
        <x:v>PITTSFIELD</x:v>
      </x:c>
      <x:c r="D555" s="2" t="str">
        <x:v>MA</x:v>
      </x:c>
      <x:c r="E555" s="2" t="str">
        <x:v>Acute Care Hospitals</x:v>
      </x:c>
      <x:c r="F555" s="2" t="str">
        <x:v>Voluntary non-profit</x:v>
      </x:c>
      <x:c r="G555" s="2" t="str">
        <x:v>Medium (100-299 beds)</x:v>
      </x:c>
      <x:c r="H555" s="7" t="n">
        <x:v>4</x:v>
      </x:c>
      <x:c r="I555" s="7" t="n">
        <x:v>3</x:v>
      </x:c>
      <x:c r="J555" s="7" t="n">
        <x:v>1.02</x:v>
      </x:c>
      <x:c r="K555" s="8" t="n">
        <x:v>238</x:v>
      </x:c>
      <x:c r="L555" s="8" t="n">
        <x:v>11095</x:v>
      </x:c>
      <x:c r="M555" s="9" t="n">
        <x:v>0.6409055425</x:v>
      </x:c>
      <x:c r="N555" s="10" t="n">
        <x:v>59427.3424966201</x:v>
      </x:c>
      <x:c r="O555" s="9" t="n">
        <x:v>-0.1300768083</x:v>
      </x:c>
      <x:c r="P555" s="9" t="n">
        <x:v>0.8891605542</x:v>
      </x:c>
      <x:c r="Q555" s="9" t="n">
        <x:v>0.6022819886</x:v>
      </x:c>
      <x:c r="R555" s="3" t="b">
        <x:v>0</x:v>
      </x:c>
      <x:c r="S555" s="3" t="b">
        <x:v>0</x:v>
      </x:c>
      <x:c r="T555" s="3" t="b">
        <x:v>0</x:v>
      </x:c>
      <x:c r="U555" s="2" t="str">
        <x:f>IF(T555=TRUE,"Priority review",IF(R555=TRUE,"High cost",IF(S555=TRUE,"Low quality","Benchmark")))</x:f>
        <x:v>Benchmark</x:v>
      </x:c>
    </x:row>
    <x:row r="556">
      <x:c r="A556" s="2" t="str">
        <x:v>393303</x:v>
      </x:c>
      <x:c r="B556" s="2" t="str">
        <x:v>CHILDREN'S HOSPITAL OF PHILADELPHIA</x:v>
      </x:c>
      <x:c r="C556" s="2" t="str">
        <x:v>PHILADELPHIA</x:v>
      </x:c>
      <x:c r="D556" s="2" t="str">
        <x:v>PA</x:v>
      </x:c>
      <x:c r="E556" s="2" t="str">
        <x:v>Childrens</x:v>
      </x:c>
      <x:c r="F556" s="2" t="str">
        <x:v>Voluntary non-profit</x:v>
      </x:c>
      <x:c r="G556" s="2" t="str">
        <x:v>Large (300+ beds)</x:v>
      </x:c>
      <x:c r="H556" s="7"/>
      <x:c r="I556" s="7"/>
      <x:c r="J556" s="7"/>
      <x:c r="K556" s="8" t="n">
        <x:v>723</x:v>
      </x:c>
      <x:c r="L556" s="8" t="n">
        <x:v>24780</x:v>
      </x:c>
      <x:c r="M556" s="9" t="n">
        <x:v>0.8400159154</x:v>
      </x:c>
      <x:c r="N556" s="10" t="n">
        <x:v>161126.30645682</x:v>
      </x:c>
      <x:c r="O556" s="9" t="n">
        <x:v>-0.1863088638</x:v>
      </x:c>
      <x:c r="P556" s="9" t="n">
        <x:v>0.8888888889</x:v>
      </x:c>
      <x:c r="Q556" s="9" t="n">
        <x:v>0</x:v>
      </x:c>
      <x:c r="R556" s="3" t="b">
        <x:v>0</x:v>
      </x:c>
      <x:c r="S556" s="3" t="b">
        <x:v>0</x:v>
      </x:c>
      <x:c r="T556" s="3" t="b">
        <x:v>0</x:v>
      </x:c>
      <x:c r="U556" s="2" t="str">
        <x:f>IF(T556=TRUE,"Priority review",IF(R556=TRUE,"High cost",IF(S556=TRUE,"Low quality","Benchmark")))</x:f>
        <x:v>Benchmark</x:v>
      </x:c>
    </x:row>
    <x:row r="557">
      <x:c r="A557" s="2" t="str">
        <x:v>450235</x:v>
      </x:c>
      <x:c r="B557" s="2" t="str">
        <x:v>MEMORIAL HOSPITAL</x:v>
      </x:c>
      <x:c r="C557" s="2" t="str">
        <x:v>GONZALES</x:v>
      </x:c>
      <x:c r="D557" s="2" t="str">
        <x:v>TX</x:v>
      </x:c>
      <x:c r="E557" s="2" t="str">
        <x:v>Acute Care Hospitals</x:v>
      </x:c>
      <x:c r="F557" s="2" t="str">
        <x:v>Government</x:v>
      </x:c>
      <x:c r="G557" s="2" t="str">
        <x:v>Small (&lt;100 beds)</x:v>
      </x:c>
      <x:c r="H557" s="7"/>
      <x:c r="I557" s="7"/>
      <x:c r="J557" s="7" t="n">
        <x:v>1.17</x:v>
      </x:c>
      <x:c r="K557" s="8" t="n">
        <x:v>12</x:v>
      </x:c>
      <x:c r="L557" s="8" t="n">
        <x:v>472</x:v>
      </x:c>
      <x:c r="M557" s="9" t="n">
        <x:v>0.2776255708</x:v>
      </x:c>
      <x:c r="N557" s="10" t="n">
        <x:v>141749.9237288136</x:v>
      </x:c>
      <x:c r="O557" s="9" t="n">
        <x:v>-0.3355475496</x:v>
      </x:c>
      <x:c r="P557" s="9" t="n">
        <x:v>0.8886894075</x:v>
      </x:c>
      <x:c r="Q557" s="9" t="n">
        <x:v>0.697486535</x:v>
      </x:c>
      <x:c r="R557" s="3" t="b">
        <x:v>0</x:v>
      </x:c>
      <x:c r="S557" s="3" t="b">
        <x:v>0</x:v>
      </x:c>
      <x:c r="T557" s="3" t="b">
        <x:v>0</x:v>
      </x:c>
      <x:c r="U557" s="2" t="str">
        <x:f>IF(T557=TRUE,"Priority review",IF(R557=TRUE,"High cost",IF(S557=TRUE,"Low quality","Benchmark")))</x:f>
        <x:v>Benchmark</x:v>
      </x:c>
    </x:row>
    <x:row r="558">
      <x:c r="A558" s="2" t="str">
        <x:v>331310</x:v>
      </x:c>
      <x:c r="B558" s="2" t="str">
        <x:v>ELLENVILLE REGIONAL HOSPITAL</x:v>
      </x:c>
      <x:c r="C558" s="2" t="str">
        <x:v>ELLENVILLE</x:v>
      </x:c>
      <x:c r="D558" s="2" t="str">
        <x:v>NY</x:v>
      </x:c>
      <x:c r="E558" s="2" t="str">
        <x:v>Critical Access Hospitals</x:v>
      </x:c>
      <x:c r="F558" s="2" t="str">
        <x:v>Voluntary non-profit</x:v>
      </x:c>
      <x:c r="G558" s="2" t="str">
        <x:v>Small (&lt;100 beds)</x:v>
      </x:c>
      <x:c r="H558" s="7"/>
      <x:c r="I558" s="7"/>
      <x:c r="J558" s="7"/>
      <x:c r="K558" s="8" t="n">
        <x:v>25</x:v>
      </x:c>
      <x:c r="L558" s="8" t="n">
        <x:v>92</x:v>
      </x:c>
      <x:c r="M558" s="9" t="n">
        <x:v>0.5629508197</x:v>
      </x:c>
      <x:c r="N558" s="10" t="n">
        <x:v>315468.2065217391</x:v>
      </x:c>
      <x:c r="O558" s="9" t="n">
        <x:v>0.0857458722</x:v>
      </x:c>
      <x:c r="P558" s="9" t="n">
        <x:v>0.8884758364</x:v>
      </x:c>
      <x:c r="Q558" s="9" t="n">
        <x:v>0.292936803</x:v>
      </x:c>
      <x:c r="R558" s="3" t="b">
        <x:v>0</x:v>
      </x:c>
      <x:c r="S558" s="3" t="b">
        <x:v>0</x:v>
      </x:c>
      <x:c r="T558" s="3" t="b">
        <x:v>0</x:v>
      </x:c>
      <x:c r="U558" s="2" t="str">
        <x:f>IF(T558=TRUE,"Priority review",IF(R558=TRUE,"High cost",IF(S558=TRUE,"Low quality","Benchmark")))</x:f>
        <x:v>Benchmark</x:v>
      </x:c>
    </x:row>
    <x:row r="559">
      <x:c r="A559" s="2" t="str">
        <x:v>050496</x:v>
      </x:c>
      <x:c r="B559" s="2" t="str">
        <x:v>JOHN MUIR MEDICAL CENTER - CONCORD CAMPUS</x:v>
      </x:c>
      <x:c r="C559" s="2" t="str">
        <x:v>CONCORD</x:v>
      </x:c>
      <x:c r="D559" s="2" t="str">
        <x:v>CA</x:v>
      </x:c>
      <x:c r="E559" s="2" t="str">
        <x:v>Acute Care Hospitals</x:v>
      </x:c>
      <x:c r="F559" s="2" t="str">
        <x:v>Voluntary non-profit</x:v>
      </x:c>
      <x:c r="G559" s="2" t="str">
        <x:v>Medium (100-299 beds)</x:v>
      </x:c>
      <x:c r="H559" s="7" t="n">
        <x:v>4</x:v>
      </x:c>
      <x:c r="I559" s="7" t="n">
        <x:v>3</x:v>
      </x:c>
      <x:c r="J559" s="7" t="n">
        <x:v>0.97</x:v>
      </x:c>
      <x:c r="K559" s="8" t="n">
        <x:v>247</x:v>
      </x:c>
      <x:c r="L559" s="8" t="n">
        <x:v>11824</x:v>
      </x:c>
      <x:c r="M559" s="9" t="n">
        <x:v>0.6441229176</x:v>
      </x:c>
      <x:c r="N559" s="10" t="n">
        <x:v>59287.2393437077</x:v>
      </x:c>
      <x:c r="O559" s="9" t="n">
        <x:v>0.001075737</x:v>
      </x:c>
      <x:c r="P559" s="9" t="n">
        <x:v>0.8883455583</x:v>
      </x:c>
      <x:c r="Q559" s="9" t="n">
        <x:v>0.6022819886</x:v>
      </x:c>
      <x:c r="R559" s="3" t="b">
        <x:v>0</x:v>
      </x:c>
      <x:c r="S559" s="3" t="b">
        <x:v>0</x:v>
      </x:c>
      <x:c r="T559" s="3" t="b">
        <x:v>0</x:v>
      </x:c>
      <x:c r="U559" s="2" t="str">
        <x:f>IF(T559=TRUE,"Priority review",IF(R559=TRUE,"High cost",IF(S559=TRUE,"Low quality","Benchmark")))</x:f>
        <x:v>Benchmark</x:v>
      </x:c>
    </x:row>
    <x:row r="560">
      <x:c r="A560" s="2" t="str">
        <x:v>070022</x:v>
      </x:c>
      <x:c r="B560" s="2" t="str">
        <x:v>YALE-NEW HAVEN HOSPITAL</x:v>
      </x:c>
      <x:c r="C560" s="2" t="str">
        <x:v>NEW HAVEN</x:v>
      </x:c>
      <x:c r="D560" s="2" t="str">
        <x:v>CT</x:v>
      </x:c>
      <x:c r="E560" s="2" t="str">
        <x:v>Acute Care Hospitals</x:v>
      </x:c>
      <x:c r="F560" s="2" t="str">
        <x:v>Voluntary non-profit</x:v>
      </x:c>
      <x:c r="G560" s="2" t="str">
        <x:v>Large (300+ beds)</x:v>
      </x:c>
      <x:c r="H560" s="7" t="n">
        <x:v>5</x:v>
      </x:c>
      <x:c r="I560" s="7" t="n">
        <x:v>3</x:v>
      </x:c>
      <x:c r="J560" s="7" t="n">
        <x:v>0.99</x:v>
      </x:c>
      <x:c r="K560" s="8" t="n">
        <x:v>1411</x:v>
      </x:c>
      <x:c r="L560" s="8" t="n">
        <x:v>59882</x:v>
      </x:c>
      <x:c r="M560" s="9" t="n">
        <x:v>0.8156638124</x:v>
      </x:c>
      <x:c r="N560" s="10" t="n">
        <x:v>73191.6781670619</x:v>
      </x:c>
      <x:c r="O560" s="9" t="n">
        <x:v>-0.0956556249</x:v>
      </x:c>
      <x:c r="P560" s="9" t="n">
        <x:v>0.8880126183</x:v>
      </x:c>
      <x:c r="Q560" s="9" t="n">
        <x:v>0.8722397476</x:v>
      </x:c>
      <x:c r="R560" s="3" t="b">
        <x:v>0</x:v>
      </x:c>
      <x:c r="S560" s="3" t="b">
        <x:v>0</x:v>
      </x:c>
      <x:c r="T560" s="3" t="b">
        <x:v>0</x:v>
      </x:c>
      <x:c r="U560" s="2" t="str">
        <x:f>IF(T560=TRUE,"Priority review",IF(R560=TRUE,"High cost",IF(S560=TRUE,"Low quality","Benchmark")))</x:f>
        <x:v>Benchmark</x:v>
      </x:c>
    </x:row>
    <x:row r="561">
      <x:c r="A561" s="2" t="str">
        <x:v>380056</x:v>
      </x:c>
      <x:c r="B561" s="2" t="str">
        <x:v>SANTIAM HOSPITAL &amp; CLINICS</x:v>
      </x:c>
      <x:c r="C561" s="2" t="str">
        <x:v>STAYTON</x:v>
      </x:c>
      <x:c r="D561" s="2" t="str">
        <x:v>OR</x:v>
      </x:c>
      <x:c r="E561" s="2" t="str">
        <x:v>Acute Care Hospitals</x:v>
      </x:c>
      <x:c r="F561" s="2" t="str">
        <x:v>Voluntary non-profit</x:v>
      </x:c>
      <x:c r="G561" s="2" t="str">
        <x:v>Small (&lt;100 beds)</x:v>
      </x:c>
      <x:c r="H561" s="7"/>
      <x:c r="I561" s="7" t="n">
        <x:v>4</x:v>
      </x:c>
      <x:c r="J561" s="7" t="n">
        <x:v>0.91</x:v>
      </x:c>
      <x:c r="K561" s="8" t="n">
        <x:v>40</x:v>
      </x:c>
      <x:c r="L561" s="8" t="n">
        <x:v>882</x:v>
      </x:c>
      <x:c r="M561" s="9" t="n">
        <x:v>0.2629781421</x:v>
      </x:c>
      <x:c r="N561" s="10" t="n">
        <x:v>138464.4523809524</x:v>
      </x:c>
      <x:c r="O561" s="9" t="n">
        <x:v>-0.0473948886</x:v>
      </x:c>
      <x:c r="P561" s="9" t="n">
        <x:v>0.8877917415</x:v>
      </x:c>
      <x:c r="Q561" s="9" t="n">
        <x:v>0.697486535</x:v>
      </x:c>
      <x:c r="R561" s="3" t="b">
        <x:v>0</x:v>
      </x:c>
      <x:c r="S561" s="3" t="b">
        <x:v>0</x:v>
      </x:c>
      <x:c r="T561" s="3" t="b">
        <x:v>0</x:v>
      </x:c>
      <x:c r="U561" s="2" t="str">
        <x:f>IF(T561=TRUE,"Priority review",IF(R561=TRUE,"High cost",IF(S561=TRUE,"Low quality","Benchmark")))</x:f>
        <x:v>Benchmark</x:v>
      </x:c>
    </x:row>
    <x:row r="562">
      <x:c r="A562" s="2" t="str">
        <x:v>251318</x:v>
      </x:c>
      <x:c r="B562" s="2" t="str">
        <x:v>NORTH SUNFLOWER MEDICAL CENTER CAH</x:v>
      </x:c>
      <x:c r="C562" s="2" t="str">
        <x:v>RULEVILLE</x:v>
      </x:c>
      <x:c r="D562" s="2" t="str">
        <x:v>MS</x:v>
      </x:c>
      <x:c r="E562" s="2" t="str">
        <x:v>Critical Access Hospitals</x:v>
      </x:c>
      <x:c r="F562" s="2" t="str">
        <x:v>Government</x:v>
      </x:c>
      <x:c r="G562" s="2" t="str">
        <x:v>Small (&lt;100 beds)</x:v>
      </x:c>
      <x:c r="H562" s="7" t="n">
        <x:v>1</x:v>
      </x:c>
      <x:c r="I562" s="7"/>
      <x:c r="J562" s="7"/>
      <x:c r="K562" s="8" t="n">
        <x:v>25</x:v>
      </x:c>
      <x:c r="L562" s="8" t="n">
        <x:v>274</x:v>
      </x:c>
      <x:c r="M562" s="9" t="n">
        <x:v>0.5891803279</x:v>
      </x:c>
      <x:c r="N562" s="10" t="n">
        <x:v>315000.5474452554</x:v>
      </x:c>
      <x:c r="O562" s="9" t="n">
        <x:v>-0.1279808862</x:v>
      </x:c>
      <x:c r="P562" s="9" t="n">
        <x:v>0.887732342</x:v>
      </x:c>
      <x:c r="Q562" s="9" t="n">
        <x:v>0</x:v>
      </x:c>
      <x:c r="R562" s="3" t="b">
        <x:v>0</x:v>
      </x:c>
      <x:c r="S562" s="3" t="b">
        <x:v>1</x:v>
      </x:c>
      <x:c r="T562" s="3" t="b">
        <x:v>0</x:v>
      </x:c>
      <x:c r="U562" s="2" t="str">
        <x:f>IF(T562=TRUE,"Priority review",IF(R562=TRUE,"High cost",IF(S562=TRUE,"Low quality","Benchmark")))</x:f>
        <x:v>Low quality</x:v>
      </x:c>
    </x:row>
    <x:row r="563">
      <x:c r="A563" s="2" t="str">
        <x:v>140114</x:v>
      </x:c>
      <x:c r="B563" s="2" t="str">
        <x:v>SWEDISH HOSPITAL</x:v>
      </x:c>
      <x:c r="C563" s="2" t="str">
        <x:v>CHICAGO</x:v>
      </x:c>
      <x:c r="D563" s="2" t="str">
        <x:v>IL</x:v>
      </x:c>
      <x:c r="E563" s="2" t="str">
        <x:v>Acute Care Hospitals</x:v>
      </x:c>
      <x:c r="F563" s="2" t="str">
        <x:v>Voluntary non-profit</x:v>
      </x:c>
      <x:c r="G563" s="2" t="str">
        <x:v>Medium (100-299 beds)</x:v>
      </x:c>
      <x:c r="H563" s="7" t="n">
        <x:v>3</x:v>
      </x:c>
      <x:c r="I563" s="7" t="n">
        <x:v>2</x:v>
      </x:c>
      <x:c r="J563" s="7" t="n">
        <x:v>1.08</x:v>
      </x:c>
      <x:c r="K563" s="8" t="n">
        <x:v>172</x:v>
      </x:c>
      <x:c r="L563" s="8" t="n">
        <x:v>9173</x:v>
      </x:c>
      <x:c r="M563" s="9" t="n">
        <x:v>0.6510833651</x:v>
      </x:c>
      <x:c r="N563" s="10" t="n">
        <x:v>59102.4121879429</x:v>
      </x:c>
      <x:c r="O563" s="9" t="n">
        <x:v>0.0991339208</x:v>
      </x:c>
      <x:c r="P563" s="9" t="n">
        <x:v>0.8875305623</x:v>
      </x:c>
      <x:c r="Q563" s="9" t="n">
        <x:v>0.3023634882</x:v>
      </x:c>
      <x:c r="R563" s="3" t="b">
        <x:v>0</x:v>
      </x:c>
      <x:c r="S563" s="3" t="b">
        <x:v>0</x:v>
      </x:c>
      <x:c r="T563" s="3" t="b">
        <x:v>0</x:v>
      </x:c>
      <x:c r="U563" s="2" t="str">
        <x:f>IF(T563=TRUE,"Priority review",IF(R563=TRUE,"High cost",IF(S563=TRUE,"Low quality","Benchmark")))</x:f>
        <x:v>Benchmark</x:v>
      </x:c>
    </x:row>
    <x:row r="564">
      <x:c r="A564" s="2" t="str">
        <x:v>491300</x:v>
      </x:c>
      <x:c r="B564" s="2" t="str">
        <x:v>BATH COMMUNITY HOSPITAL</x:v>
      </x:c>
      <x:c r="C564" s="2" t="str">
        <x:v>HOT SPRINGS</x:v>
      </x:c>
      <x:c r="D564" s="2" t="str">
        <x:v>VA</x:v>
      </x:c>
      <x:c r="E564" s="2" t="str">
        <x:v>Critical Access Hospitals</x:v>
      </x:c>
      <x:c r="F564" s="2" t="str">
        <x:v>Voluntary non-profit</x:v>
      </x:c>
      <x:c r="G564" s="2" t="str">
        <x:v>Small (&lt;100 beds)</x:v>
      </x:c>
      <x:c r="H564" s="7"/>
      <x:c r="I564" s="7"/>
      <x:c r="J564" s="7"/>
      <x:c r="K564" s="8" t="n">
        <x:v>14</x:v>
      </x:c>
      <x:c r="L564" s="8" t="n">
        <x:v>93</x:v>
      </x:c>
      <x:c r="M564" s="9" t="n">
        <x:v>0.2825917252</x:v>
      </x:c>
      <x:c r="N564" s="10" t="n">
        <x:v>313405.752688172</x:v>
      </x:c>
      <x:c r="O564" s="9" t="n">
        <x:v>-0.4857852283</x:v>
      </x:c>
      <x:c r="P564" s="9" t="n">
        <x:v>0.8869888476</x:v>
      </x:c>
      <x:c r="Q564" s="9" t="n">
        <x:v>0.292936803</x:v>
      </x:c>
      <x:c r="R564" s="3" t="b">
        <x:v>0</x:v>
      </x:c>
      <x:c r="S564" s="3" t="b">
        <x:v>0</x:v>
      </x:c>
      <x:c r="T564" s="3" t="b">
        <x:v>0</x:v>
      </x:c>
      <x:c r="U564" s="2" t="str">
        <x:f>IF(T564=TRUE,"Priority review",IF(R564=TRUE,"High cost",IF(S564=TRUE,"Low quality","Benchmark")))</x:f>
        <x:v>Benchmark</x:v>
      </x:c>
    </x:row>
    <x:row r="565">
      <x:c r="A565" s="2" t="str">
        <x:v>670326</x:v>
      </x:c>
      <x:c r="B565" s="2" t="str">
        <x:v>BRUSHY CREEK FAMILY HOSPITAL LLC</x:v>
      </x:c>
      <x:c r="C565" s="2" t="str">
        <x:v>ROUND ROCK</x:v>
      </x:c>
      <x:c r="D565" s="2" t="str">
        <x:v>TX</x:v>
      </x:c>
      <x:c r="E565" s="2" t="str">
        <x:v>Acute Care Hospitals</x:v>
      </x:c>
      <x:c r="F565" s="2" t="str">
        <x:v>Proprietary</x:v>
      </x:c>
      <x:c r="G565" s="2" t="str">
        <x:v>Small (&lt;100 beds)</x:v>
      </x:c>
      <x:c r="H565" s="7"/>
      <x:c r="I565" s="7"/>
      <x:c r="J565" s="7"/>
      <x:c r="K565" s="8" t="n">
        <x:v>4</x:v>
      </x:c>
      <x:c r="L565" s="8" t="n">
        <x:v>134</x:v>
      </x:c>
      <x:c r="M565" s="9" t="n">
        <x:v>0.4191729323</x:v>
      </x:c>
      <x:c r="N565" s="10" t="n">
        <x:v>138073.776119403</x:v>
      </x:c>
      <x:c r="O565" s="9" t="n">
        <x:v>0.0851177529</x:v>
      </x:c>
      <x:c r="P565" s="9" t="n">
        <x:v>0.8868940754</x:v>
      </x:c>
      <x:c r="Q565" s="9" t="n">
        <x:v>0.697486535</x:v>
      </x:c>
      <x:c r="R565" s="3" t="b">
        <x:v>0</x:v>
      </x:c>
      <x:c r="S565" s="3" t="b">
        <x:v>0</x:v>
      </x:c>
      <x:c r="T565" s="3" t="b">
        <x:v>0</x:v>
      </x:c>
      <x:c r="U565" s="2" t="str">
        <x:f>IF(T565=TRUE,"Priority review",IF(R565=TRUE,"High cost",IF(S565=TRUE,"Low quality","Benchmark")))</x:f>
        <x:v>Benchmark</x:v>
      </x:c>
    </x:row>
    <x:row r="566">
      <x:c r="A566" s="2" t="str">
        <x:v>494017</x:v>
      </x:c>
      <x:c r="B566" s="2" t="str">
        <x:v>SOUTHERN VIRGINIA MENTAL HEALTH INSTITUTE</x:v>
      </x:c>
      <x:c r="C566" s="2" t="str">
        <x:v>DANVILLE</x:v>
      </x:c>
      <x:c r="D566" s="2" t="str">
        <x:v>VA</x:v>
      </x:c>
      <x:c r="E566" s="2" t="str">
        <x:v>Psychiatric</x:v>
      </x:c>
      <x:c r="F566" s="2" t="str">
        <x:v>Government</x:v>
      </x:c>
      <x:c r="G566" s="2" t="str">
        <x:v>Small (&lt;100 beds)</x:v>
      </x:c>
      <x:c r="H566" s="7"/>
      <x:c r="I566" s="7"/>
      <x:c r="J566" s="7"/>
      <x:c r="K566" s="8" t="n">
        <x:v>72</x:v>
      </x:c>
      <x:c r="L566" s="8" t="n">
        <x:v>301</x:v>
      </x:c>
      <x:c r="M566" s="9" t="n">
        <x:v>0.9371385084</x:v>
      </x:c>
      <x:c r="N566" s="10" t="n">
        <x:v>101497.4817275747</x:v>
      </x:c>
      <x:c r="O566" s="9" t="n">
        <x:v>-9.8362939994</x:v>
      </x:c>
      <x:c r="P566" s="9" t="n">
        <x:v>0.8867313916</x:v>
      </x:c>
      <x:c r="Q566" s="9" t="n">
        <x:v>0</x:v>
      </x:c>
      <x:c r="R566" s="3" t="b">
        <x:v>0</x:v>
      </x:c>
      <x:c r="S566" s="3" t="b">
        <x:v>0</x:v>
      </x:c>
      <x:c r="T566" s="3" t="b">
        <x:v>0</x:v>
      </x:c>
      <x:c r="U566" s="2" t="str">
        <x:f>IF(T566=TRUE,"Priority review",IF(R566=TRUE,"High cost",IF(S566=TRUE,"Low quality","Benchmark")))</x:f>
        <x:v>Benchmark</x:v>
      </x:c>
    </x:row>
    <x:row r="567">
      <x:c r="A567" s="2" t="str">
        <x:v>120026</x:v>
      </x:c>
      <x:c r="B567" s="2" t="str">
        <x:v>PALI MOMI MEDICAL CENTER</x:v>
      </x:c>
      <x:c r="C567" s="2" t="str">
        <x:v>AIEA</x:v>
      </x:c>
      <x:c r="D567" s="2" t="str">
        <x:v>HI</x:v>
      </x:c>
      <x:c r="E567" s="2" t="str">
        <x:v>Acute Care Hospitals</x:v>
      </x:c>
      <x:c r="F567" s="2" t="str">
        <x:v>Proprietary</x:v>
      </x:c>
      <x:c r="G567" s="2" t="str">
        <x:v>Medium (100-299 beds)</x:v>
      </x:c>
      <x:c r="H567" s="7" t="n">
        <x:v>4</x:v>
      </x:c>
      <x:c r="I567" s="7" t="n">
        <x:v>4</x:v>
      </x:c>
      <x:c r="J567" s="7" t="n">
        <x:v>0.92</x:v>
      </x:c>
      <x:c r="K567" s="8" t="n">
        <x:v>118</x:v>
      </x:c>
      <x:c r="L567" s="8" t="n">
        <x:v>6068</x:v>
      </x:c>
      <x:c r="M567" s="9" t="n">
        <x:v>0.804086371</x:v>
      </x:c>
      <x:c r="N567" s="10" t="n">
        <x:v>58917.7033618985</x:v>
      </x:c>
      <x:c r="O567" s="9" t="n">
        <x:v>-0.0230875609</x:v>
      </x:c>
      <x:c r="P567" s="9" t="n">
        <x:v>0.8867155664</x:v>
      </x:c>
      <x:c r="Q567" s="9" t="n">
        <x:v>0.6022819886</x:v>
      </x:c>
      <x:c r="R567" s="3" t="b">
        <x:v>0</x:v>
      </x:c>
      <x:c r="S567" s="3" t="b">
        <x:v>0</x:v>
      </x:c>
      <x:c r="T567" s="3" t="b">
        <x:v>0</x:v>
      </x:c>
      <x:c r="U567" s="2" t="str">
        <x:f>IF(T567=TRUE,"Priority review",IF(R567=TRUE,"High cost",IF(S567=TRUE,"Low quality","Benchmark")))</x:f>
        <x:v>Benchmark</x:v>
      </x:c>
    </x:row>
    <x:row r="568">
      <x:c r="A568" s="2" t="str">
        <x:v>330101</x:v>
      </x:c>
      <x:c r="B568" s="2" t="str">
        <x:v>NEW YORK-PRESBYTERIAN HOSPITAL</x:v>
      </x:c>
      <x:c r="C568" s="2" t="str">
        <x:v>NEW YORK</x:v>
      </x:c>
      <x:c r="D568" s="2" t="str">
        <x:v>NY</x:v>
      </x:c>
      <x:c r="E568" s="2" t="str">
        <x:v>Acute Care Hospitals</x:v>
      </x:c>
      <x:c r="F568" s="2" t="str">
        <x:v>Voluntary non-profit</x:v>
      </x:c>
      <x:c r="G568" s="2" t="str">
        <x:v>Large (300+ beds)</x:v>
      </x:c>
      <x:c r="H568" s="7" t="n">
        <x:v>5</x:v>
      </x:c>
      <x:c r="I568" s="7" t="n">
        <x:v>3</x:v>
      </x:c>
      <x:c r="J568" s="7" t="n">
        <x:v>0.99</x:v>
      </x:c>
      <x:c r="K568" s="8" t="n">
        <x:v>2850</x:v>
      </x:c>
      <x:c r="L568" s="8" t="n">
        <x:v>139420</x:v>
      </x:c>
      <x:c r="M568" s="9" t="n">
        <x:v>0.9001936535</x:v>
      </x:c>
      <x:c r="N568" s="10" t="n">
        <x:v>73128.3890403098</x:v>
      </x:c>
      <x:c r="O568" s="9" t="n">
        <x:v>-0.0103557608</x:v>
      </x:c>
      <x:c r="P568" s="9" t="n">
        <x:v>0.8864353312</x:v>
      </x:c>
      <x:c r="Q568" s="9" t="n">
        <x:v>0.8722397476</x:v>
      </x:c>
      <x:c r="R568" s="3" t="b">
        <x:v>0</x:v>
      </x:c>
      <x:c r="S568" s="3" t="b">
        <x:v>0</x:v>
      </x:c>
      <x:c r="T568" s="3" t="b">
        <x:v>0</x:v>
      </x:c>
      <x:c r="U568" s="2" t="str">
        <x:f>IF(T568=TRUE,"Priority review",IF(R568=TRUE,"High cost",IF(S568=TRUE,"Low quality","Benchmark")))</x:f>
        <x:v>Benchmark</x:v>
      </x:c>
    </x:row>
    <x:row r="569">
      <x:c r="A569" s="2" t="str">
        <x:v>021308</x:v>
      </x:c>
      <x:c r="B569" s="2" t="str">
        <x:v>NORTON SOUND REGIONAL HOSPITAL</x:v>
      </x:c>
      <x:c r="C569" s="2" t="str">
        <x:v>NOME</x:v>
      </x:c>
      <x:c r="D569" s="2" t="str">
        <x:v>AK</x:v>
      </x:c>
      <x:c r="E569" s="2" t="str">
        <x:v>Critical Access Hospitals</x:v>
      </x:c>
      <x:c r="F569" s="2" t="str">
        <x:v>Other / unknown</x:v>
      </x:c>
      <x:c r="G569" s="2" t="str">
        <x:v>Small (&lt;100 beds)</x:v>
      </x:c>
      <x:c r="H569" s="7"/>
      <x:c r="I569" s="7"/>
      <x:c r="J569" s="7"/>
      <x:c r="K569" s="8" t="n">
        <x:v>18</x:v>
      </x:c>
      <x:c r="L569" s="8" t="n">
        <x:v>696</x:v>
      </x:c>
      <x:c r="M569" s="9" t="n">
        <x:v>0.6337279903</x:v>
      </x:c>
      <x:c r="N569" s="10" t="n">
        <x:v>312056.6293103448</x:v>
      </x:c>
      <x:c r="O569" s="9" t="n">
        <x:v>-0.3294607321</x:v>
      </x:c>
      <x:c r="P569" s="9" t="n">
        <x:v>0.8862453532</x:v>
      </x:c>
      <x:c r="Q569" s="9" t="n">
        <x:v>0.292936803</x:v>
      </x:c>
      <x:c r="R569" s="3" t="b">
        <x:v>0</x:v>
      </x:c>
      <x:c r="S569" s="3" t="b">
        <x:v>0</x:v>
      </x:c>
      <x:c r="T569" s="3" t="b">
        <x:v>0</x:v>
      </x:c>
      <x:c r="U569" s="2" t="str">
        <x:f>IF(T569=TRUE,"Priority review",IF(R569=TRUE,"High cost",IF(S569=TRUE,"Low quality","Benchmark")))</x:f>
        <x:v>Benchmark</x:v>
      </x:c>
    </x:row>
    <x:row r="570">
      <x:c r="A570" s="2" t="str">
        <x:v>030084</x:v>
      </x:c>
      <x:c r="B570" s="2" t="str">
        <x:v>CHINLE COMPREHENSIVE HEALTH CARE FACILITY</x:v>
      </x:c>
      <x:c r="C570" s="2" t="str">
        <x:v>CHINLE</x:v>
      </x:c>
      <x:c r="D570" s="2" t="str">
        <x:v>AZ</x:v>
      </x:c>
      <x:c r="E570" s="2" t="str">
        <x:v>Acute Care Hospitals</x:v>
      </x:c>
      <x:c r="F570" s="2" t="str">
        <x:v>Government</x:v>
      </x:c>
      <x:c r="G570" s="2" t="str">
        <x:v>Small (&lt;100 beds)</x:v>
      </x:c>
      <x:c r="H570" s="7"/>
      <x:c r="I570" s="7"/>
      <x:c r="J570" s="7" t="n">
        <x:v>0.62</x:v>
      </x:c>
      <x:c r="K570" s="8" t="n">
        <x:v>60</x:v>
      </x:c>
      <x:c r="L570" s="8" t="n">
        <x:v>1741</x:v>
      </x:c>
      <x:c r="M570" s="9" t="n">
        <x:v>0.2502276867</x:v>
      </x:c>
      <x:c r="N570" s="10" t="n">
        <x:v>137122.2946582424</x:v>
      </x:c>
      <x:c r="O570" s="9"/>
      <x:c r="P570" s="9" t="n">
        <x:v>0.8859964093</x:v>
      </x:c>
      <x:c r="Q570" s="9" t="n">
        <x:v>0.697486535</x:v>
      </x:c>
      <x:c r="R570" s="3" t="b">
        <x:v>0</x:v>
      </x:c>
      <x:c r="S570" s="3" t="b">
        <x:v>0</x:v>
      </x:c>
      <x:c r="T570" s="3" t="b">
        <x:v>0</x:v>
      </x:c>
      <x:c r="U570" s="2" t="str">
        <x:f>IF(T570=TRUE,"Priority review",IF(R570=TRUE,"High cost",IF(S570=TRUE,"Low quality","Benchmark")))</x:f>
        <x:v>Benchmark</x:v>
      </x:c>
    </x:row>
    <x:row r="571">
      <x:c r="A571" s="2" t="str">
        <x:v>360008</x:v>
      </x:c>
      <x:c r="B571" s="2" t="str">
        <x:v>SOUTHERN OHIO MEDICAL CENTER</x:v>
      </x:c>
      <x:c r="C571" s="2" t="str">
        <x:v>PORTSMOUTH</x:v>
      </x:c>
      <x:c r="D571" s="2" t="str">
        <x:v>OH</x:v>
      </x:c>
      <x:c r="E571" s="2" t="str">
        <x:v>Acute Care Hospitals</x:v>
      </x:c>
      <x:c r="F571" s="2" t="str">
        <x:v>Voluntary non-profit</x:v>
      </x:c>
      <x:c r="G571" s="2" t="str">
        <x:v>Medium (100-299 beds)</x:v>
      </x:c>
      <x:c r="H571" s="7" t="n">
        <x:v>4</x:v>
      </x:c>
      <x:c r="I571" s="7" t="n">
        <x:v>4</x:v>
      </x:c>
      <x:c r="J571" s="7" t="n">
        <x:v>0.99</x:v>
      </x:c>
      <x:c r="K571" s="8" t="n">
        <x:v>192</x:v>
      </x:c>
      <x:c r="L571" s="8" t="n">
        <x:v>8512</x:v>
      </x:c>
      <x:c r="M571" s="9" t="n">
        <x:v>0.466994863</x:v>
      </x:c>
      <x:c r="N571" s="10" t="n">
        <x:v>58704.6128994361</x:v>
      </x:c>
      <x:c r="O571" s="9" t="n">
        <x:v>-0.0989234803</x:v>
      </x:c>
      <x:c r="P571" s="9" t="n">
        <x:v>0.8859005705</x:v>
      </x:c>
      <x:c r="Q571" s="9" t="n">
        <x:v>0.6022819886</x:v>
      </x:c>
      <x:c r="R571" s="3" t="b">
        <x:v>0</x:v>
      </x:c>
      <x:c r="S571" s="3" t="b">
        <x:v>0</x:v>
      </x:c>
      <x:c r="T571" s="3" t="b">
        <x:v>0</x:v>
      </x:c>
      <x:c r="U571" s="2" t="str">
        <x:f>IF(T571=TRUE,"Priority review",IF(R571=TRUE,"High cost",IF(S571=TRUE,"Low quality","Benchmark")))</x:f>
        <x:v>Benchmark</x:v>
      </x:c>
    </x:row>
    <x:row r="572">
      <x:c r="A572" s="2" t="str">
        <x:v>154018</x:v>
      </x:c>
      <x:c r="B572" s="2" t="str">
        <x:v>RICHMOND STATE HOSPITAL</x:v>
      </x:c>
      <x:c r="C572" s="2" t="str">
        <x:v>RICHMOND</x:v>
      </x:c>
      <x:c r="D572" s="2" t="str">
        <x:v>IN</x:v>
      </x:c>
      <x:c r="E572" s="2" t="str">
        <x:v>Psychiatric</x:v>
      </x:c>
      <x:c r="F572" s="2" t="str">
        <x:v>Proprietary</x:v>
      </x:c>
      <x:c r="G572" s="2" t="str">
        <x:v>Medium (100-299 beds)</x:v>
      </x:c>
      <x:c r="H572" s="7"/>
      <x:c r="I572" s="7"/>
      <x:c r="J572" s="7"/>
      <x:c r="K572" s="8" t="n">
        <x:v>190</x:v>
      </x:c>
      <x:c r="L572" s="8" t="n">
        <x:v>209</x:v>
      </x:c>
      <x:c r="M572" s="9" t="n">
        <x:v>0.9260850757</x:v>
      </x:c>
      <x:c r="N572" s="10" t="n">
        <x:v>210750.7942583732</x:v>
      </x:c>
      <x:c r="O572" s="9" t="n">
        <x:v>-9.9004490409</x:v>
      </x:c>
      <x:c r="P572" s="9" t="n">
        <x:v>0.8855721393</x:v>
      </x:c>
      <x:c r="Q572" s="9" t="n">
        <x:v>0</x:v>
      </x:c>
      <x:c r="R572" s="3" t="b">
        <x:v>0</x:v>
      </x:c>
      <x:c r="S572" s="3" t="b">
        <x:v>0</x:v>
      </x:c>
      <x:c r="T572" s="3" t="b">
        <x:v>0</x:v>
      </x:c>
      <x:c r="U572" s="2" t="str">
        <x:f>IF(T572=TRUE,"Priority review",IF(R572=TRUE,"High cost",IF(S572=TRUE,"Low quality","Benchmark")))</x:f>
        <x:v>Benchmark</x:v>
      </x:c>
    </x:row>
    <x:row r="573">
      <x:c r="A573" s="2" t="str">
        <x:v>271346</x:v>
      </x:c>
      <x:c r="B573" s="2" t="str">
        <x:v>ROUNDUP MEMORIAL HEALTHCARE</x:v>
      </x:c>
      <x:c r="C573" s="2" t="str">
        <x:v>ROUNDUP</x:v>
      </x:c>
      <x:c r="D573" s="2" t="str">
        <x:v>MT</x:v>
      </x:c>
      <x:c r="E573" s="2" t="str">
        <x:v>Critical Access Hospitals</x:v>
      </x:c>
      <x:c r="F573" s="2" t="str">
        <x:v>Voluntary non-profit</x:v>
      </x:c>
      <x:c r="G573" s="2" t="str">
        <x:v>Small (&lt;100 beds)</x:v>
      </x:c>
      <x:c r="H573" s="7"/>
      <x:c r="I573" s="7"/>
      <x:c r="J573" s="7"/>
      <x:c r="K573" s="8" t="n">
        <x:v>25</x:v>
      </x:c>
      <x:c r="L573" s="8" t="n">
        <x:v>46</x:v>
      </x:c>
      <x:c r="M573" s="9" t="n">
        <x:v>0.7943013699</x:v>
      </x:c>
      <x:c r="N573" s="10" t="n">
        <x:v>311457.6956521739</x:v>
      </x:c>
      <x:c r="O573" s="9" t="n">
        <x:v>0.0461097376</x:v>
      </x:c>
      <x:c r="P573" s="9" t="n">
        <x:v>0.8855018587</x:v>
      </x:c>
      <x:c r="Q573" s="9" t="n">
        <x:v>0.292936803</x:v>
      </x:c>
      <x:c r="R573" s="3" t="b">
        <x:v>0</x:v>
      </x:c>
      <x:c r="S573" s="3" t="b">
        <x:v>0</x:v>
      </x:c>
      <x:c r="T573" s="3" t="b">
        <x:v>0</x:v>
      </x:c>
      <x:c r="U573" s="2" t="str">
        <x:f>IF(T573=TRUE,"Priority review",IF(R573=TRUE,"High cost",IF(S573=TRUE,"Low quality","Benchmark")))</x:f>
        <x:v>Benchmark</x:v>
      </x:c>
    </x:row>
    <x:row r="574">
      <x:c r="A574" s="2" t="str">
        <x:v>670132</x:v>
      </x:c>
      <x:c r="B574" s="2" t="str">
        <x:v>METHODIST SOUTHLAKE MEDICAL CENTER</x:v>
      </x:c>
      <x:c r="C574" s="2" t="str">
        <x:v>SOUTHLAKE</x:v>
      </x:c>
      <x:c r="D574" s="2" t="str">
        <x:v>TX</x:v>
      </x:c>
      <x:c r="E574" s="2" t="str">
        <x:v>Acute Care Hospitals</x:v>
      </x:c>
      <x:c r="F574" s="2" t="str">
        <x:v>Proprietary</x:v>
      </x:c>
      <x:c r="G574" s="2" t="str">
        <x:v>Small (&lt;100 beds)</x:v>
      </x:c>
      <x:c r="H574" s="7"/>
      <x:c r="I574" s="7" t="n">
        <x:v>5</x:v>
      </x:c>
      <x:c r="J574" s="7" t="n">
        <x:v>1.04</x:v>
      </x:c>
      <x:c r="K574" s="8" t="n">
        <x:v>22</x:v>
      </x:c>
      <x:c r="L574" s="8" t="n">
        <x:v>498</x:v>
      </x:c>
      <x:c r="M574" s="9" t="n">
        <x:v>0.1990809737</x:v>
      </x:c>
      <x:c r="N574" s="10" t="n">
        <x:v>136902.1586345382</x:v>
      </x:c>
      <x:c r="O574" s="9" t="n">
        <x:v>-0.2044838873</x:v>
      </x:c>
      <x:c r="P574" s="9" t="n">
        <x:v>0.8850987433</x:v>
      </x:c>
      <x:c r="Q574" s="9" t="n">
        <x:v>0.697486535</x:v>
      </x:c>
      <x:c r="R574" s="3" t="b">
        <x:v>0</x:v>
      </x:c>
      <x:c r="S574" s="3" t="b">
        <x:v>0</x:v>
      </x:c>
      <x:c r="T574" s="3" t="b">
        <x:v>0</x:v>
      </x:c>
      <x:c r="U574" s="2" t="str">
        <x:f>IF(T574=TRUE,"Priority review",IF(R574=TRUE,"High cost",IF(S574=TRUE,"Low quality","Benchmark")))</x:f>
        <x:v>Benchmark</x:v>
      </x:c>
    </x:row>
    <x:row r="575">
      <x:c r="A575" s="2" t="str">
        <x:v>360147</x:v>
      </x:c>
      <x:c r="B575" s="2" t="str">
        <x:v>MARIETTA MEMORIAL HOSPITAL</x:v>
      </x:c>
      <x:c r="C575" s="2" t="str">
        <x:v>MARIETTA</x:v>
      </x:c>
      <x:c r="D575" s="2" t="str">
        <x:v>OH</x:v>
      </x:c>
      <x:c r="E575" s="2" t="str">
        <x:v>Acute Care Hospitals</x:v>
      </x:c>
      <x:c r="F575" s="2" t="str">
        <x:v>Voluntary non-profit</x:v>
      </x:c>
      <x:c r="G575" s="2" t="str">
        <x:v>Medium (100-299 beds)</x:v>
      </x:c>
      <x:c r="H575" s="7" t="n">
        <x:v>3</x:v>
      </x:c>
      <x:c r="I575" s="7" t="n">
        <x:v>4</x:v>
      </x:c>
      <x:c r="J575" s="7" t="n">
        <x:v>0.97</x:v>
      </x:c>
      <x:c r="K575" s="8" t="n">
        <x:v>188</x:v>
      </x:c>
      <x:c r="L575" s="8" t="n">
        <x:v>10489</x:v>
      </x:c>
      <x:c r="M575" s="9" t="n">
        <x:v>0.6160330194</x:v>
      </x:c>
      <x:c r="N575" s="10" t="n">
        <x:v>58252.6955858518</x:v>
      </x:c>
      <x:c r="O575" s="9" t="n">
        <x:v>-0.0928952472</x:v>
      </x:c>
      <x:c r="P575" s="9" t="n">
        <x:v>0.8850855746</x:v>
      </x:c>
      <x:c r="Q575" s="9" t="n">
        <x:v>0.3023634882</x:v>
      </x:c>
      <x:c r="R575" s="3" t="b">
        <x:v>0</x:v>
      </x:c>
      <x:c r="S575" s="3" t="b">
        <x:v>0</x:v>
      </x:c>
      <x:c r="T575" s="3" t="b">
        <x:v>0</x:v>
      </x:c>
      <x:c r="U575" s="2" t="str">
        <x:f>IF(T575=TRUE,"Priority review",IF(R575=TRUE,"High cost",IF(S575=TRUE,"Low quality","Benchmark")))</x:f>
        <x:v>Benchmark</x:v>
      </x:c>
    </x:row>
    <x:row r="576">
      <x:c r="A576" s="2" t="str">
        <x:v>330169</x:v>
      </x:c>
      <x:c r="B576" s="2" t="str">
        <x:v>MOUNT SINAI BETH ISRAEL</x:v>
      </x:c>
      <x:c r="C576" s="2" t="str">
        <x:v>NEW YORK</x:v>
      </x:c>
      <x:c r="D576" s="2" t="str">
        <x:v>NY</x:v>
      </x:c>
      <x:c r="E576" s="2" t="str">
        <x:v>Acute Care Hospitals</x:v>
      </x:c>
      <x:c r="F576" s="2" t="str">
        <x:v>Voluntary non-profit</x:v>
      </x:c>
      <x:c r="G576" s="2" t="str">
        <x:v>Large (300+ beds)</x:v>
      </x:c>
      <x:c r="H576" s="7" t="n">
        <x:v>3</x:v>
      </x:c>
      <x:c r="I576" s="7" t="n">
        <x:v>2</x:v>
      </x:c>
      <x:c r="J576" s="7" t="n">
        <x:v>1.03</x:v>
      </x:c>
      <x:c r="K576" s="8" t="n">
        <x:v>377</x:v>
      </x:c>
      <x:c r="L576" s="8" t="n">
        <x:v>14741</x:v>
      </x:c>
      <x:c r="M576" s="9" t="n">
        <x:v>0.6956184202</x:v>
      </x:c>
      <x:c r="N576" s="10" t="n">
        <x:v>72939.5199104538</x:v>
      </x:c>
      <x:c r="O576" s="9" t="n">
        <x:v>-0.4558592156</x:v>
      </x:c>
      <x:c r="P576" s="9" t="n">
        <x:v>0.8848580442</x:v>
      </x:c>
      <x:c r="Q576" s="9" t="n">
        <x:v>0.2570977918</x:v>
      </x:c>
      <x:c r="R576" s="3" t="b">
        <x:v>0</x:v>
      </x:c>
      <x:c r="S576" s="3" t="b">
        <x:v>0</x:v>
      </x:c>
      <x:c r="T576" s="3" t="b">
        <x:v>0</x:v>
      </x:c>
      <x:c r="U576" s="2" t="str">
        <x:f>IF(T576=TRUE,"Priority review",IF(R576=TRUE,"High cost",IF(S576=TRUE,"Low quality","Benchmark")))</x:f>
        <x:v>Benchmark</x:v>
      </x:c>
    </x:row>
    <x:row r="577">
      <x:c r="A577" s="2" t="str">
        <x:v>051306</x:v>
      </x:c>
      <x:c r="B577" s="2" t="str">
        <x:v>GLENN MEDICAL CENTER</x:v>
      </x:c>
      <x:c r="C577" s="2" t="str">
        <x:v>WILLOWS</x:v>
      </x:c>
      <x:c r="D577" s="2" t="str">
        <x:v>CA</x:v>
      </x:c>
      <x:c r="E577" s="2" t="str">
        <x:v>Critical Access Hospitals</x:v>
      </x:c>
      <x:c r="F577" s="2" t="str">
        <x:v>Proprietary</x:v>
      </x:c>
      <x:c r="G577" s="2" t="str">
        <x:v>Small (&lt;100 beds)</x:v>
      </x:c>
      <x:c r="H577" s="7"/>
      <x:c r="I577" s="7"/>
      <x:c r="J577" s="7"/>
      <x:c r="K577" s="8" t="n">
        <x:v>25</x:v>
      </x:c>
      <x:c r="L577" s="8" t="n">
        <x:v>117</x:v>
      </x:c>
      <x:c r="M577" s="9" t="n">
        <x:v>0.8115846995</x:v>
      </x:c>
      <x:c r="N577" s="10" t="n">
        <x:v>308986.4188034188</x:v>
      </x:c>
      <x:c r="O577" s="9" t="n">
        <x:v>-0.3632762862</x:v>
      </x:c>
      <x:c r="P577" s="9" t="n">
        <x:v>0.8847583643</x:v>
      </x:c>
      <x:c r="Q577" s="9" t="n">
        <x:v>0.292936803</x:v>
      </x:c>
      <x:c r="R577" s="3" t="b">
        <x:v>0</x:v>
      </x:c>
      <x:c r="S577" s="3" t="b">
        <x:v>0</x:v>
      </x:c>
      <x:c r="T577" s="3" t="b">
        <x:v>0</x:v>
      </x:c>
      <x:c r="U577" s="2" t="str">
        <x:f>IF(T577=TRUE,"Priority review",IF(R577=TRUE,"High cost",IF(S577=TRUE,"Low quality","Benchmark")))</x:f>
        <x:v>Benchmark</x:v>
      </x:c>
    </x:row>
    <x:row r="578">
      <x:c r="A578" s="2" t="str">
        <x:v>260110</x:v>
      </x:c>
      <x:c r="B578" s="2" t="str">
        <x:v>MERCY HOSPITAL SOUTHEAST</x:v>
      </x:c>
      <x:c r="C578" s="2" t="str">
        <x:v>CAPE GIRARDEAU</x:v>
      </x:c>
      <x:c r="D578" s="2" t="str">
        <x:v>MO</x:v>
      </x:c>
      <x:c r="E578" s="2" t="str">
        <x:v>Acute Care Hospitals</x:v>
      </x:c>
      <x:c r="F578" s="2" t="str">
        <x:v>Voluntary non-profit</x:v>
      </x:c>
      <x:c r="G578" s="2" t="str">
        <x:v>Medium (100-299 beds)</x:v>
      </x:c>
      <x:c r="H578" s="7" t="n">
        <x:v>2</x:v>
      </x:c>
      <x:c r="I578" s="7" t="n">
        <x:v>3</x:v>
      </x:c>
      <x:c r="J578" s="7" t="n">
        <x:v>1.01</x:v>
      </x:c>
      <x:c r="K578" s="8" t="n">
        <x:v>232</x:v>
      </x:c>
      <x:c r="L578" s="8" t="n">
        <x:v>6380</x:v>
      </x:c>
      <x:c r="M578" s="9" t="n">
        <x:v>0.3422013379</x:v>
      </x:c>
      <x:c r="N578" s="10" t="n">
        <x:v>58130.6167711599</x:v>
      </x:c>
      <x:c r="O578" s="9" t="n">
        <x:v>-0.1594322345</x:v>
      </x:c>
      <x:c r="P578" s="9" t="n">
        <x:v>0.8842705786</x:v>
      </x:c>
      <x:c r="Q578" s="9" t="n">
        <x:v>0.0782396088</x:v>
      </x:c>
      <x:c r="R578" s="3" t="b">
        <x:v>0</x:v>
      </x:c>
      <x:c r="S578" s="3" t="b">
        <x:v>1</x:v>
      </x:c>
      <x:c r="T578" s="3" t="b">
        <x:v>0</x:v>
      </x:c>
      <x:c r="U578" s="2" t="str">
        <x:f>IF(T578=TRUE,"Priority review",IF(R578=TRUE,"High cost",IF(S578=TRUE,"Low quality","Benchmark")))</x:f>
        <x:v>Low quality</x:v>
      </x:c>
    </x:row>
    <x:row r="579">
      <x:c r="A579" s="2" t="str">
        <x:v>450872</x:v>
      </x:c>
      <x:c r="B579" s="2" t="str">
        <x:v>USMD HOSPITAL AT ARLINGTON L P</x:v>
      </x:c>
      <x:c r="C579" s="2" t="str">
        <x:v>ARLINGTON</x:v>
      </x:c>
      <x:c r="D579" s="2" t="str">
        <x:v>TX</x:v>
      </x:c>
      <x:c r="E579" s="2" t="str">
        <x:v>Acute Care Hospitals</x:v>
      </x:c>
      <x:c r="F579" s="2" t="str">
        <x:v>Other / unknown</x:v>
      </x:c>
      <x:c r="G579" s="2" t="str">
        <x:v>Small (&lt;100 beds)</x:v>
      </x:c>
      <x:c r="H579" s="7"/>
      <x:c r="I579" s="7" t="n">
        <x:v>3</x:v>
      </x:c>
      <x:c r="J579" s="7" t="n">
        <x:v>1.01</x:v>
      </x:c>
      <x:c r="K579" s="8" t="n">
        <x:v>34</x:v>
      </x:c>
      <x:c r="L579" s="8" t="n">
        <x:v>611</x:v>
      </x:c>
      <x:c r="M579" s="9" t="n">
        <x:v>0.131227901</x:v>
      </x:c>
      <x:c r="N579" s="10" t="n">
        <x:v>136438.1996726677</x:v>
      </x:c>
      <x:c r="O579" s="9" t="n">
        <x:v>-0.0923764377</x:v>
      </x:c>
      <x:c r="P579" s="9" t="n">
        <x:v>0.8842010772</x:v>
      </x:c>
      <x:c r="Q579" s="9" t="n">
        <x:v>0.697486535</x:v>
      </x:c>
      <x:c r="R579" s="3" t="b">
        <x:v>0</x:v>
      </x:c>
      <x:c r="S579" s="3" t="b">
        <x:v>0</x:v>
      </x:c>
      <x:c r="T579" s="3" t="b">
        <x:v>0</x:v>
      </x:c>
      <x:c r="U579" s="2" t="str">
        <x:f>IF(T579=TRUE,"Priority review",IF(R579=TRUE,"High cost",IF(S579=TRUE,"Low quality","Benchmark")))</x:f>
        <x:v>Benchmark</x:v>
      </x:c>
    </x:row>
    <x:row r="580">
      <x:c r="A580" s="2" t="str">
        <x:v>251326</x:v>
      </x:c>
      <x:c r="B580" s="2" t="str">
        <x:v>JEFFERSON DAVIS COMMUNITY HOSPITAL CAH</x:v>
      </x:c>
      <x:c r="C580" s="2" t="str">
        <x:v>PRENTISS</x:v>
      </x:c>
      <x:c r="D580" s="2" t="str">
        <x:v>MS</x:v>
      </x:c>
      <x:c r="E580" s="2" t="str">
        <x:v>Critical Access Hospitals</x:v>
      </x:c>
      <x:c r="F580" s="2" t="str">
        <x:v>Government</x:v>
      </x:c>
      <x:c r="G580" s="2" t="str">
        <x:v>Small (&lt;100 beds)</x:v>
      </x:c>
      <x:c r="H580" s="7"/>
      <x:c r="I580" s="7"/>
      <x:c r="J580" s="7"/>
      <x:c r="K580" s="8" t="n">
        <x:v>25</x:v>
      </x:c>
      <x:c r="L580" s="8" t="n">
        <x:v>49</x:v>
      </x:c>
      <x:c r="M580" s="9" t="n">
        <x:v>0.112568306</x:v>
      </x:c>
      <x:c r="N580" s="10" t="n">
        <x:v>307175.9183673469</x:v>
      </x:c>
      <x:c r="O580" s="9" t="n">
        <x:v>-0.1103228626</x:v>
      </x:c>
      <x:c r="P580" s="9" t="n">
        <x:v>0.8840148699</x:v>
      </x:c>
      <x:c r="Q580" s="9" t="n">
        <x:v>0.292936803</x:v>
      </x:c>
      <x:c r="R580" s="3" t="b">
        <x:v>0</x:v>
      </x:c>
      <x:c r="S580" s="3" t="b">
        <x:v>0</x:v>
      </x:c>
      <x:c r="T580" s="3" t="b">
        <x:v>0</x:v>
      </x:c>
      <x:c r="U580" s="2" t="str">
        <x:f>IF(T580=TRUE,"Priority review",IF(R580=TRUE,"High cost",IF(S580=TRUE,"Low quality","Benchmark")))</x:f>
        <x:v>Benchmark</x:v>
      </x:c>
    </x:row>
    <x:row r="581">
      <x:c r="A581" s="2" t="str">
        <x:v>164003</x:v>
      </x:c>
      <x:c r="B581" s="2" t="str">
        <x:v>MENTAL HEALTH INSTITUTE</x:v>
      </x:c>
      <x:c r="C581" s="2" t="str">
        <x:v>INDEPENDENCE</x:v>
      </x:c>
      <x:c r="D581" s="2" t="str">
        <x:v>IA</x:v>
      </x:c>
      <x:c r="E581" s="2" t="str">
        <x:v>Psychiatric</x:v>
      </x:c>
      <x:c r="F581" s="2" t="str">
        <x:v>Government</x:v>
      </x:c>
      <x:c r="G581" s="2" t="str">
        <x:v>Small (&lt;100 beds)</x:v>
      </x:c>
      <x:c r="H581" s="7"/>
      <x:c r="I581" s="7"/>
      <x:c r="J581" s="7"/>
      <x:c r="K581" s="8" t="n">
        <x:v>56</x:v>
      </x:c>
      <x:c r="L581" s="8" t="n">
        <x:v>265</x:v>
      </x:c>
      <x:c r="M581" s="9" t="n">
        <x:v>0.8799902153</x:v>
      </x:c>
      <x:c r="N581" s="10" t="n">
        <x:v>100124.679245283</x:v>
      </x:c>
      <x:c r="O581" s="9"/>
      <x:c r="P581" s="9" t="n">
        <x:v>0.8834951456</x:v>
      </x:c>
      <x:c r="Q581" s="9" t="n">
        <x:v>0</x:v>
      </x:c>
      <x:c r="R581" s="3" t="b">
        <x:v>0</x:v>
      </x:c>
      <x:c r="S581" s="3" t="b">
        <x:v>0</x:v>
      </x:c>
      <x:c r="T581" s="3" t="b">
        <x:v>0</x:v>
      </x:c>
      <x:c r="U581" s="2" t="str">
        <x:f>IF(T581=TRUE,"Priority review",IF(R581=TRUE,"High cost",IF(S581=TRUE,"Low quality","Benchmark")))</x:f>
        <x:v>Benchmark</x:v>
      </x:c>
    </x:row>
    <x:row r="582">
      <x:c r="A582" s="2" t="str">
        <x:v>440152</x:v>
      </x:c>
      <x:c r="B582" s="2" t="str">
        <x:v>REGIONAL ONE HEALTH</x:v>
      </x:c>
      <x:c r="C582" s="2" t="str">
        <x:v>MEMPHIS</x:v>
      </x:c>
      <x:c r="D582" s="2" t="str">
        <x:v>TN</x:v>
      </x:c>
      <x:c r="E582" s="2" t="str">
        <x:v>Acute Care Hospitals</x:v>
      </x:c>
      <x:c r="F582" s="2" t="str">
        <x:v>Government</x:v>
      </x:c>
      <x:c r="G582" s="2" t="str">
        <x:v>Medium (100-299 beds)</x:v>
      </x:c>
      <x:c r="H582" s="7" t="n">
        <x:v>1</x:v>
      </x:c>
      <x:c r="I582" s="7" t="n">
        <x:v>2</x:v>
      </x:c>
      <x:c r="J582" s="7" t="n">
        <x:v>1.14</x:v>
      </x:c>
      <x:c r="K582" s="8" t="n">
        <x:v>291</x:v>
      </x:c>
      <x:c r="L582" s="8" t="n">
        <x:v>13913</x:v>
      </x:c>
      <x:c r="M582" s="9" t="n">
        <x:v>0.8191592525</x:v>
      </x:c>
      <x:c r="N582" s="10" t="n">
        <x:v>58083.1630848846</x:v>
      </x:c>
      <x:c r="O582" s="9" t="n">
        <x:v>-0.7825842685</x:v>
      </x:c>
      <x:c r="P582" s="9" t="n">
        <x:v>0.8834555827</x:v>
      </x:c>
      <x:c r="Q582" s="9" t="n">
        <x:v>0</x:v>
      </x:c>
      <x:c r="R582" s="3" t="b">
        <x:v>0</x:v>
      </x:c>
      <x:c r="S582" s="3" t="b">
        <x:v>1</x:v>
      </x:c>
      <x:c r="T582" s="3" t="b">
        <x:v>0</x:v>
      </x:c>
      <x:c r="U582" s="2" t="str">
        <x:f>IF(T582=TRUE,"Priority review",IF(R582=TRUE,"High cost",IF(S582=TRUE,"Low quality","Benchmark")))</x:f>
        <x:v>Low quality</x:v>
      </x:c>
    </x:row>
    <x:row r="583">
      <x:c r="A583" s="2" t="str">
        <x:v>190259</x:v>
      </x:c>
      <x:c r="B583" s="2" t="str">
        <x:v>LAFAYETTE SURGICAL SPECIALTY HOSPITAL</x:v>
      </x:c>
      <x:c r="C583" s="2" t="str">
        <x:v>LAFAYETTE</x:v>
      </x:c>
      <x:c r="D583" s="2" t="str">
        <x:v>LA</x:v>
      </x:c>
      <x:c r="E583" s="2" t="str">
        <x:v>Acute Care Hospitals</x:v>
      </x:c>
      <x:c r="F583" s="2" t="str">
        <x:v>Other / unknown</x:v>
      </x:c>
      <x:c r="G583" s="2" t="str">
        <x:v>Small (&lt;100 beds)</x:v>
      </x:c>
      <x:c r="H583" s="7"/>
      <x:c r="I583" s="7"/>
      <x:c r="J583" s="7" t="n">
        <x:v>1.02</x:v>
      </x:c>
      <x:c r="K583" s="8" t="n">
        <x:v>20</x:v>
      </x:c>
      <x:c r="L583" s="8" t="n">
        <x:v>359</x:v>
      </x:c>
      <x:c r="M583" s="9" t="n">
        <x:v>0.1109289617</x:v>
      </x:c>
      <x:c r="N583" s="10" t="n">
        <x:v>136141.4846796657</x:v>
      </x:c>
      <x:c r="O583" s="9" t="n">
        <x:v>0.1224983489</x:v>
      </x:c>
      <x:c r="P583" s="9" t="n">
        <x:v>0.8833034111</x:v>
      </x:c>
      <x:c r="Q583" s="9" t="n">
        <x:v>0.697486535</x:v>
      </x:c>
      <x:c r="R583" s="3" t="b">
        <x:v>0</x:v>
      </x:c>
      <x:c r="S583" s="3" t="b">
        <x:v>0</x:v>
      </x:c>
      <x:c r="T583" s="3" t="b">
        <x:v>0</x:v>
      </x:c>
      <x:c r="U583" s="2" t="str">
        <x:f>IF(T583=TRUE,"Priority review",IF(R583=TRUE,"High cost",IF(S583=TRUE,"Low quality","Benchmark")))</x:f>
        <x:v>Benchmark</x:v>
      </x:c>
    </x:row>
    <x:row r="584">
      <x:c r="A584" s="2" t="str">
        <x:v>330055</x:v>
      </x:c>
      <x:c r="B584" s="2" t="str">
        <x:v>NEW YORK-PRESBYTERIAN/QUEENS</x:v>
      </x:c>
      <x:c r="C584" s="2" t="str">
        <x:v>FLUSHING</x:v>
      </x:c>
      <x:c r="D584" s="2" t="str">
        <x:v>NY</x:v>
      </x:c>
      <x:c r="E584" s="2" t="str">
        <x:v>Acute Care Hospitals</x:v>
      </x:c>
      <x:c r="F584" s="2" t="str">
        <x:v>Voluntary non-profit</x:v>
      </x:c>
      <x:c r="G584" s="2" t="str">
        <x:v>Large (300+ beds)</x:v>
      </x:c>
      <x:c r="H584" s="7" t="n">
        <x:v>5</x:v>
      </x:c>
      <x:c r="I584" s="7" t="n">
        <x:v>3</x:v>
      </x:c>
      <x:c r="J584" s="7" t="n">
        <x:v>1.08</x:v>
      </x:c>
      <x:c r="K584" s="8" t="n">
        <x:v>480</x:v>
      </x:c>
      <x:c r="L584" s="8" t="n">
        <x:v>27028</x:v>
      </x:c>
      <x:c r="M584" s="9" t="n">
        <x:v>0.9058216839</x:v>
      </x:c>
      <x:c r="N584" s="10" t="n">
        <x:v>72699.2918824922</x:v>
      </x:c>
      <x:c r="O584" s="9" t="n">
        <x:v>-0.780776275</x:v>
      </x:c>
      <x:c r="P584" s="9" t="n">
        <x:v>0.8832807571</x:v>
      </x:c>
      <x:c r="Q584" s="9" t="n">
        <x:v>0.8722397476</x:v>
      </x:c>
      <x:c r="R584" s="3" t="b">
        <x:v>0</x:v>
      </x:c>
      <x:c r="S584" s="3" t="b">
        <x:v>0</x:v>
      </x:c>
      <x:c r="T584" s="3" t="b">
        <x:v>0</x:v>
      </x:c>
      <x:c r="U584" s="2" t="str">
        <x:f>IF(T584=TRUE,"Priority review",IF(R584=TRUE,"High cost",IF(S584=TRUE,"Low quality","Benchmark")))</x:f>
        <x:v>Benchmark</x:v>
      </x:c>
    </x:row>
    <x:row r="585">
      <x:c r="A585" s="2" t="str">
        <x:v>151319</x:v>
      </x:c>
      <x:c r="B585" s="2" t="str">
        <x:v>GIBSON GENERAL HOSPITAL</x:v>
      </x:c>
      <x:c r="C585" s="2" t="str">
        <x:v>PRINCETON</x:v>
      </x:c>
      <x:c r="D585" s="2" t="str">
        <x:v>IN</x:v>
      </x:c>
      <x:c r="E585" s="2" t="str">
        <x:v>Critical Access Hospitals</x:v>
      </x:c>
      <x:c r="F585" s="2" t="str">
        <x:v>Voluntary non-profit</x:v>
      </x:c>
      <x:c r="G585" s="2" t="str">
        <x:v>Small (&lt;100 beds)</x:v>
      </x:c>
      <x:c r="H585" s="7"/>
      <x:c r="I585" s="7" t="n">
        <x:v>4</x:v>
      </x:c>
      <x:c r="J585" s="7"/>
      <x:c r="K585" s="8" t="n">
        <x:v>25</x:v>
      </x:c>
      <x:c r="L585" s="8" t="n">
        <x:v>143</x:v>
      </x:c>
      <x:c r="M585" s="9" t="n">
        <x:v>0.3324590164</x:v>
      </x:c>
      <x:c r="N585" s="10" t="n">
        <x:v>306786.8111888112</x:v>
      </x:c>
      <x:c r="O585" s="9" t="n">
        <x:v>0.234282417</x:v>
      </x:c>
      <x:c r="P585" s="9" t="n">
        <x:v>0.8832713755</x:v>
      </x:c>
      <x:c r="Q585" s="9" t="n">
        <x:v>0.292936803</x:v>
      </x:c>
      <x:c r="R585" s="3" t="b">
        <x:v>0</x:v>
      </x:c>
      <x:c r="S585" s="3" t="b">
        <x:v>0</x:v>
      </x:c>
      <x:c r="T585" s="3" t="b">
        <x:v>0</x:v>
      </x:c>
      <x:c r="U585" s="2" t="str">
        <x:f>IF(T585=TRUE,"Priority review",IF(R585=TRUE,"High cost",IF(S585=TRUE,"Low quality","Benchmark")))</x:f>
        <x:v>Benchmark</x:v>
      </x:c>
    </x:row>
    <x:row r="586">
      <x:c r="A586" s="2" t="str">
        <x:v>500058</x:v>
      </x:c>
      <x:c r="B586" s="2" t="str">
        <x:v>KADLEC REGIONAL MEDICAL CENTER</x:v>
      </x:c>
      <x:c r="C586" s="2" t="str">
        <x:v>RICHLAND</x:v>
      </x:c>
      <x:c r="D586" s="2" t="str">
        <x:v>WA</x:v>
      </x:c>
      <x:c r="E586" s="2" t="str">
        <x:v>Acute Care Hospitals</x:v>
      </x:c>
      <x:c r="F586" s="2" t="str">
        <x:v>Voluntary non-profit</x:v>
      </x:c>
      <x:c r="G586" s="2" t="str">
        <x:v>Medium (100-299 beds)</x:v>
      </x:c>
      <x:c r="H586" s="7" t="n">
        <x:v>4</x:v>
      </x:c>
      <x:c r="I586" s="7" t="n">
        <x:v>3</x:v>
      </x:c>
      <x:c r="J586" s="7" t="n">
        <x:v>0.95</x:v>
      </x:c>
      <x:c r="K586" s="8" t="n">
        <x:v>283</x:v>
      </x:c>
      <x:c r="L586" s="8" t="n">
        <x:v>16440</x:v>
      </x:c>
      <x:c r="M586" s="9" t="n">
        <x:v>0.8281295256</x:v>
      </x:c>
      <x:c r="N586" s="10" t="n">
        <x:v>58037.551703163</x:v>
      </x:c>
      <x:c r="O586" s="9" t="n">
        <x:v>0.0124502216</x:v>
      </x:c>
      <x:c r="P586" s="9" t="n">
        <x:v>0.8826405868</x:v>
      </x:c>
      <x:c r="Q586" s="9" t="n">
        <x:v>0.6022819886</x:v>
      </x:c>
      <x:c r="R586" s="3" t="b">
        <x:v>0</x:v>
      </x:c>
      <x:c r="S586" s="3" t="b">
        <x:v>0</x:v>
      </x:c>
      <x:c r="T586" s="3" t="b">
        <x:v>0</x:v>
      </x:c>
      <x:c r="U586" s="2" t="str">
        <x:f>IF(T586=TRUE,"Priority review",IF(R586=TRUE,"High cost",IF(S586=TRUE,"Low quality","Benchmark")))</x:f>
        <x:v>Benchmark</x:v>
      </x:c>
    </x:row>
    <x:row r="587">
      <x:c r="A587" s="2" t="str">
        <x:v>191319</x:v>
      </x:c>
      <x:c r="B587" s="2" t="str">
        <x:v>ACADIA ST LANDRY</x:v>
      </x:c>
      <x:c r="C587" s="2" t="str">
        <x:v>CHURCH POINT</x:v>
      </x:c>
      <x:c r="D587" s="2" t="str">
        <x:v>LA</x:v>
      </x:c>
      <x:c r="E587" s="2" t="str">
        <x:v>Critical Access Hospitals</x:v>
      </x:c>
      <x:c r="F587" s="2" t="str">
        <x:v>Government</x:v>
      </x:c>
      <x:c r="G587" s="2" t="str">
        <x:v>Small (&lt;100 beds)</x:v>
      </x:c>
      <x:c r="H587" s="7"/>
      <x:c r="I587" s="7"/>
      <x:c r="J587" s="7"/>
      <x:c r="K587" s="8" t="n">
        <x:v>15</x:v>
      </x:c>
      <x:c r="L587" s="8" t="n">
        <x:v>59</x:v>
      </x:c>
      <x:c r="M587" s="9" t="n">
        <x:v>0.3959817352</x:v>
      </x:c>
      <x:c r="N587" s="10" t="n">
        <x:v>306537.7966101695</x:v>
      </x:c>
      <x:c r="O587" s="9" t="n">
        <x:v>-0.0586816705</x:v>
      </x:c>
      <x:c r="P587" s="9" t="n">
        <x:v>0.882527881</x:v>
      </x:c>
      <x:c r="Q587" s="9" t="n">
        <x:v>0.292936803</x:v>
      </x:c>
      <x:c r="R587" s="3" t="b">
        <x:v>0</x:v>
      </x:c>
      <x:c r="S587" s="3" t="b">
        <x:v>0</x:v>
      </x:c>
      <x:c r="T587" s="3" t="b">
        <x:v>0</x:v>
      </x:c>
      <x:c r="U587" s="2" t="str">
        <x:f>IF(T587=TRUE,"Priority review",IF(R587=TRUE,"High cost",IF(S587=TRUE,"Low quality","Benchmark")))</x:f>
        <x:v>Benchmark</x:v>
      </x:c>
    </x:row>
    <x:row r="588">
      <x:c r="A588" s="2" t="str">
        <x:v>670005</x:v>
      </x:c>
      <x:c r="B588" s="2" t="str">
        <x:v>MEMORIAL HERMANN SURGICAL HOSPITAL KINGWOOD</x:v>
      </x:c>
      <x:c r="C588" s="2" t="str">
        <x:v>KINGWOOD</x:v>
      </x:c>
      <x:c r="D588" s="2" t="str">
        <x:v>TX</x:v>
      </x:c>
      <x:c r="E588" s="2" t="str">
        <x:v>Acute Care Hospitals</x:v>
      </x:c>
      <x:c r="F588" s="2" t="str">
        <x:v>Proprietary</x:v>
      </x:c>
      <x:c r="G588" s="2" t="str">
        <x:v>Small (&lt;100 beds)</x:v>
      </x:c>
      <x:c r="H588" s="7"/>
      <x:c r="I588" s="7"/>
      <x:c r="J588" s="7" t="n">
        <x:v>1</x:v>
      </x:c>
      <x:c r="K588" s="8" t="n">
        <x:v>10</x:v>
      </x:c>
      <x:c r="L588" s="8" t="n">
        <x:v>202</x:v>
      </x:c>
      <x:c r="M588" s="9" t="n">
        <x:v>0.106557377</x:v>
      </x:c>
      <x:c r="N588" s="10" t="n">
        <x:v>134520.6039603961</x:v>
      </x:c>
      <x:c r="O588" s="9" t="n">
        <x:v>0.1845965924</x:v>
      </x:c>
      <x:c r="P588" s="9" t="n">
        <x:v>0.8824057451</x:v>
      </x:c>
      <x:c r="Q588" s="9" t="n">
        <x:v>0.697486535</x:v>
      </x:c>
      <x:c r="R588" s="3" t="b">
        <x:v>0</x:v>
      </x:c>
      <x:c r="S588" s="3" t="b">
        <x:v>0</x:v>
      </x:c>
      <x:c r="T588" s="3" t="b">
        <x:v>0</x:v>
      </x:c>
      <x:c r="U588" s="2" t="str">
        <x:f>IF(T588=TRUE,"Priority review",IF(R588=TRUE,"High cost",IF(S588=TRUE,"Low quality","Benchmark")))</x:f>
        <x:v>Benchmark</x:v>
      </x:c>
    </x:row>
    <x:row r="589">
      <x:c r="A589" s="2" t="str">
        <x:v>470005</x:v>
      </x:c>
      <x:c r="B589" s="2" t="str">
        <x:v>RUTLAND REGIONAL MEDICAL CENTER</x:v>
      </x:c>
      <x:c r="C589" s="2" t="str">
        <x:v>RUTLAND</x:v>
      </x:c>
      <x:c r="D589" s="2" t="str">
        <x:v>VT</x:v>
      </x:c>
      <x:c r="E589" s="2" t="str">
        <x:v>Acute Care Hospitals</x:v>
      </x:c>
      <x:c r="F589" s="2" t="str">
        <x:v>Voluntary non-profit</x:v>
      </x:c>
      <x:c r="G589" s="2" t="str">
        <x:v>Medium (100-299 beds)</x:v>
      </x:c>
      <x:c r="H589" s="7" t="n">
        <x:v>3</x:v>
      </x:c>
      <x:c r="I589" s="7" t="n">
        <x:v>4</x:v>
      </x:c>
      <x:c r="J589" s="7" t="n">
        <x:v>0.95</x:v>
      </x:c>
      <x:c r="K589" s="8" t="n">
        <x:v>134</x:v>
      </x:c>
      <x:c r="L589" s="8" t="n">
        <x:v>5982</x:v>
      </x:c>
      <x:c r="M589" s="9" t="n">
        <x:v>0.6753527445</x:v>
      </x:c>
      <x:c r="N589" s="10" t="n">
        <x:v>58020.7352056169</x:v>
      </x:c>
      <x:c r="O589" s="9" t="n">
        <x:v>-0.0468590125</x:v>
      </x:c>
      <x:c r="P589" s="9" t="n">
        <x:v>0.8818255909</x:v>
      </x:c>
      <x:c r="Q589" s="9" t="n">
        <x:v>0.3023634882</x:v>
      </x:c>
      <x:c r="R589" s="3" t="b">
        <x:v>0</x:v>
      </x:c>
      <x:c r="S589" s="3" t="b">
        <x:v>0</x:v>
      </x:c>
      <x:c r="T589" s="3" t="b">
        <x:v>0</x:v>
      </x:c>
      <x:c r="U589" s="2" t="str">
        <x:f>IF(T589=TRUE,"Priority review",IF(R589=TRUE,"High cost",IF(S589=TRUE,"Low quality","Benchmark")))</x:f>
        <x:v>Benchmark</x:v>
      </x:c>
    </x:row>
    <x:row r="590">
      <x:c r="A590" s="2" t="str">
        <x:v>501338</x:v>
      </x:c>
      <x:c r="B590" s="2" t="str">
        <x:v>SNOQUALMIE VALLEY HOSPITAL</x:v>
      </x:c>
      <x:c r="C590" s="2" t="str">
        <x:v>SNOQUALMIE</x:v>
      </x:c>
      <x:c r="D590" s="2" t="str">
        <x:v>WA</x:v>
      </x:c>
      <x:c r="E590" s="2" t="str">
        <x:v>Critical Access Hospitals</x:v>
      </x:c>
      <x:c r="F590" s="2" t="str">
        <x:v>Government</x:v>
      </x:c>
      <x:c r="G590" s="2" t="str">
        <x:v>Small (&lt;100 beds)</x:v>
      </x:c>
      <x:c r="H590" s="7"/>
      <x:c r="I590" s="7"/>
      <x:c r="J590" s="7"/>
      <x:c r="K590" s="8" t="n">
        <x:v>25</x:v>
      </x:c>
      <x:c r="L590" s="8" t="n">
        <x:v>190</x:v>
      </x:c>
      <x:c r="M590" s="9" t="n">
        <x:v>0.7610928962</x:v>
      </x:c>
      <x:c r="N590" s="10" t="n">
        <x:v>305371.1052631579</x:v>
      </x:c>
      <x:c r="O590" s="9" t="n">
        <x:v>-0.0853291076</x:v>
      </x:c>
      <x:c r="P590" s="9" t="n">
        <x:v>0.8817843866</x:v>
      </x:c>
      <x:c r="Q590" s="9" t="n">
        <x:v>0.292936803</x:v>
      </x:c>
      <x:c r="R590" s="3" t="b">
        <x:v>0</x:v>
      </x:c>
      <x:c r="S590" s="3" t="b">
        <x:v>0</x:v>
      </x:c>
      <x:c r="T590" s="3" t="b">
        <x:v>0</x:v>
      </x:c>
      <x:c r="U590" s="2" t="str">
        <x:f>IF(T590=TRUE,"Priority review",IF(R590=TRUE,"High cost",IF(S590=TRUE,"Low quality","Benchmark")))</x:f>
        <x:v>Benchmark</x:v>
      </x:c>
    </x:row>
    <x:row r="591">
      <x:c r="A591" s="2" t="str">
        <x:v>200033</x:v>
      </x:c>
      <x:c r="B591" s="2" t="str">
        <x:v>NORTHERN LIGHT EASTERN MAINE MEDICAL CENTER</x:v>
      </x:c>
      <x:c r="C591" s="2" t="str">
        <x:v>BANGOR</x:v>
      </x:c>
      <x:c r="D591" s="2" t="str">
        <x:v>ME</x:v>
      </x:c>
      <x:c r="E591" s="2" t="str">
        <x:v>Acute Care Hospitals</x:v>
      </x:c>
      <x:c r="F591" s="2" t="str">
        <x:v>Voluntary non-profit</x:v>
      </x:c>
      <x:c r="G591" s="2" t="str">
        <x:v>Large (300+ beds)</x:v>
      </x:c>
      <x:c r="H591" s="7" t="n">
        <x:v>5</x:v>
      </x:c>
      <x:c r="I591" s="7" t="n">
        <x:v>3</x:v>
      </x:c>
      <x:c r="J591" s="7" t="n">
        <x:v>0.99</x:v>
      </x:c>
      <x:c r="K591" s="8" t="n">
        <x:v>349</x:v>
      </x:c>
      <x:c r="L591" s="8" t="n">
        <x:v>15275</x:v>
      </x:c>
      <x:c r="M591" s="9" t="n">
        <x:v>0.8971847746</x:v>
      </x:c>
      <x:c r="N591" s="10" t="n">
        <x:v>72605.261603928</x:v>
      </x:c>
      <x:c r="O591" s="9" t="n">
        <x:v>-0.2055687233</x:v>
      </x:c>
      <x:c r="P591" s="9" t="n">
        <x:v>0.88170347</x:v>
      </x:c>
      <x:c r="Q591" s="9" t="n">
        <x:v>0.8722397476</x:v>
      </x:c>
      <x:c r="R591" s="3" t="b">
        <x:v>0</x:v>
      </x:c>
      <x:c r="S591" s="3" t="b">
        <x:v>0</x:v>
      </x:c>
      <x:c r="T591" s="3" t="b">
        <x:v>0</x:v>
      </x:c>
      <x:c r="U591" s="2" t="str">
        <x:f>IF(T591=TRUE,"Priority review",IF(R591=TRUE,"High cost",IF(S591=TRUE,"Low quality","Benchmark")))</x:f>
        <x:v>Benchmark</x:v>
      </x:c>
    </x:row>
    <x:row r="592">
      <x:c r="A592" s="2" t="str">
        <x:v>450144</x:v>
      </x:c>
      <x:c r="B592" s="2" t="str">
        <x:v>PERMIAN REGIONAL MEDICAL CENTER ANDREWS COUNTY HO</x:v>
      </x:c>
      <x:c r="C592" s="2" t="str">
        <x:v>ANDREWS</x:v>
      </x:c>
      <x:c r="D592" s="2" t="str">
        <x:v>TX</x:v>
      </x:c>
      <x:c r="E592" s="2" t="str">
        <x:v>Acute Care Hospitals</x:v>
      </x:c>
      <x:c r="F592" s="2" t="str">
        <x:v>Government</x:v>
      </x:c>
      <x:c r="G592" s="2" t="str">
        <x:v>Small (&lt;100 beds)</x:v>
      </x:c>
      <x:c r="H592" s="7"/>
      <x:c r="I592" s="7"/>
      <x:c r="J592" s="7" t="n">
        <x:v>0.98</x:v>
      </x:c>
      <x:c r="K592" s="8" t="n">
        <x:v>36</x:v>
      </x:c>
      <x:c r="L592" s="8" t="n">
        <x:v>496</x:v>
      </x:c>
      <x:c r="M592" s="9" t="n">
        <x:v>0.1015482696</x:v>
      </x:c>
      <x:c r="N592" s="10" t="n">
        <x:v>134450.1108870968</x:v>
      </x:c>
      <x:c r="O592" s="9" t="n">
        <x:v>-1.1162106408</x:v>
      </x:c>
      <x:c r="P592" s="9" t="n">
        <x:v>0.881508079</x:v>
      </x:c>
      <x:c r="Q592" s="9" t="n">
        <x:v>0.697486535</x:v>
      </x:c>
      <x:c r="R592" s="3" t="b">
        <x:v>0</x:v>
      </x:c>
      <x:c r="S592" s="3" t="b">
        <x:v>0</x:v>
      </x:c>
      <x:c r="T592" s="3" t="b">
        <x:v>0</x:v>
      </x:c>
      <x:c r="U592" s="2" t="str">
        <x:f>IF(T592=TRUE,"Priority review",IF(R592=TRUE,"High cost",IF(S592=TRUE,"Low quality","Benchmark")))</x:f>
        <x:v>Benchmark</x:v>
      </x:c>
    </x:row>
    <x:row r="593">
      <x:c r="A593" s="2" t="str">
        <x:v>241343</x:v>
      </x:c>
      <x:c r="B593" s="2" t="str">
        <x:v>AVERA GRANITE FALLS</x:v>
      </x:c>
      <x:c r="C593" s="2" t="str">
        <x:v>GRANITE FALLS</x:v>
      </x:c>
      <x:c r="D593" s="2" t="str">
        <x:v>MN</x:v>
      </x:c>
      <x:c r="E593" s="2" t="str">
        <x:v>Critical Access Hospitals</x:v>
      </x:c>
      <x:c r="F593" s="2" t="str">
        <x:v>Voluntary non-profit</x:v>
      </x:c>
      <x:c r="G593" s="2" t="str">
        <x:v>Small (&lt;100 beds)</x:v>
      </x:c>
      <x:c r="H593" s="7"/>
      <x:c r="I593" s="7"/>
      <x:c r="J593" s="7"/>
      <x:c r="K593" s="8" t="n">
        <x:v>25</x:v>
      </x:c>
      <x:c r="L593" s="8" t="n">
        <x:v>97</x:v>
      </x:c>
      <x:c r="M593" s="9" t="n">
        <x:v>0.0786849315</x:v>
      </x:c>
      <x:c r="N593" s="10" t="n">
        <x:v>305166.206185567</x:v>
      </x:c>
      <x:c r="O593" s="9" t="n">
        <x:v>-0.0315985118</x:v>
      </x:c>
      <x:c r="P593" s="9" t="n">
        <x:v>0.8810408922</x:v>
      </x:c>
      <x:c r="Q593" s="9" t="n">
        <x:v>0.292936803</x:v>
      </x:c>
      <x:c r="R593" s="3" t="b">
        <x:v>0</x:v>
      </x:c>
      <x:c r="S593" s="3" t="b">
        <x:v>0</x:v>
      </x:c>
      <x:c r="T593" s="3" t="b">
        <x:v>0</x:v>
      </x:c>
      <x:c r="U593" s="2" t="str">
        <x:f>IF(T593=TRUE,"Priority review",IF(R593=TRUE,"High cost",IF(S593=TRUE,"Low quality","Benchmark")))</x:f>
        <x:v>Benchmark</x:v>
      </x:c>
    </x:row>
    <x:row r="594">
      <x:c r="A594" s="2" t="str">
        <x:v>230059</x:v>
      </x:c>
      <x:c r="B594" s="2" t="str">
        <x:v>MERCY HEALTH SAINT MARY'S</x:v>
      </x:c>
      <x:c r="C594" s="2" t="str">
        <x:v>GRAND RAPIDS</x:v>
      </x:c>
      <x:c r="D594" s="2" t="str">
        <x:v>MI</x:v>
      </x:c>
      <x:c r="E594" s="2" t="str">
        <x:v>Acute Care Hospitals</x:v>
      </x:c>
      <x:c r="F594" s="2" t="str">
        <x:v>Voluntary non-profit</x:v>
      </x:c>
      <x:c r="G594" s="2" t="str">
        <x:v>Medium (100-299 beds)</x:v>
      </x:c>
      <x:c r="H594" s="7" t="n">
        <x:v>3</x:v>
      </x:c>
      <x:c r="I594" s="7" t="n">
        <x:v>4</x:v>
      </x:c>
      <x:c r="J594" s="7" t="n">
        <x:v>0.92</x:v>
      </x:c>
      <x:c r="K594" s="8" t="n">
        <x:v>273</x:v>
      </x:c>
      <x:c r="L594" s="8" t="n">
        <x:v>15587</x:v>
      </x:c>
      <x:c r="M594" s="9" t="n">
        <x:v>0.6740586741</x:v>
      </x:c>
      <x:c r="N594" s="10" t="n">
        <x:v>58006.5577725027</x:v>
      </x:c>
      <x:c r="O594" s="9" t="n">
        <x:v>-0.1769562046</x:v>
      </x:c>
      <x:c r="P594" s="9" t="n">
        <x:v>0.8810105949</x:v>
      </x:c>
      <x:c r="Q594" s="9" t="n">
        <x:v>0.3023634882</x:v>
      </x:c>
      <x:c r="R594" s="3" t="b">
        <x:v>0</x:v>
      </x:c>
      <x:c r="S594" s="3" t="b">
        <x:v>0</x:v>
      </x:c>
      <x:c r="T594" s="3" t="b">
        <x:v>0</x:v>
      </x:c>
      <x:c r="U594" s="2" t="str">
        <x:f>IF(T594=TRUE,"Priority review",IF(R594=TRUE,"High cost",IF(S594=TRUE,"Low quality","Benchmark")))</x:f>
        <x:v>Benchmark</x:v>
      </x:c>
    </x:row>
    <x:row r="595">
      <x:c r="A595" s="2" t="str">
        <x:v>060049</x:v>
      </x:c>
      <x:c r="B595" s="2" t="str">
        <x:v>UCHEALTH YAMPA VALLEY MEDICAL CENTER</x:v>
      </x:c>
      <x:c r="C595" s="2" t="str">
        <x:v>STEAMBOAT SPRINGS</x:v>
      </x:c>
      <x:c r="D595" s="2" t="str">
        <x:v>CO</x:v>
      </x:c>
      <x:c r="E595" s="2" t="str">
        <x:v>Acute Care Hospitals</x:v>
      </x:c>
      <x:c r="F595" s="2" t="str">
        <x:v>Voluntary non-profit</x:v>
      </x:c>
      <x:c r="G595" s="2" t="str">
        <x:v>Small (&lt;100 beds)</x:v>
      </x:c>
      <x:c r="H595" s="7"/>
      <x:c r="I595" s="7" t="n">
        <x:v>4</x:v>
      </x:c>
      <x:c r="J595" s="7" t="n">
        <x:v>0.82</x:v>
      </x:c>
      <x:c r="K595" s="8" t="n">
        <x:v>34</x:v>
      </x:c>
      <x:c r="L595" s="8" t="n">
        <x:v>1043</x:v>
      </x:c>
      <x:c r="M595" s="9" t="n">
        <x:v>0.259548751</x:v>
      </x:c>
      <x:c r="N595" s="10" t="n">
        <x:v>134235.347075743</x:v>
      </x:c>
      <x:c r="O595" s="9" t="n">
        <x:v>-0.0113417664</x:v>
      </x:c>
      <x:c r="P595" s="9" t="n">
        <x:v>0.8806104129</x:v>
      </x:c>
      <x:c r="Q595" s="9" t="n">
        <x:v>0.697486535</x:v>
      </x:c>
      <x:c r="R595" s="3" t="b">
        <x:v>0</x:v>
      </x:c>
      <x:c r="S595" s="3" t="b">
        <x:v>0</x:v>
      </x:c>
      <x:c r="T595" s="3" t="b">
        <x:v>0</x:v>
      </x:c>
      <x:c r="U595" s="2" t="str">
        <x:f>IF(T595=TRUE,"Priority review",IF(R595=TRUE,"High cost",IF(S595=TRUE,"Low quality","Benchmark")))</x:f>
        <x:v>Benchmark</x:v>
      </x:c>
    </x:row>
    <x:row r="596">
      <x:c r="A596" s="2" t="str">
        <x:v>144021</x:v>
      </x:c>
      <x:c r="B596" s="2" t="str">
        <x:v>ANDREW MCFARLAND MENTAL HLTH CTR</x:v>
      </x:c>
      <x:c r="C596" s="2" t="str">
        <x:v>SPRINGFIELD</x:v>
      </x:c>
      <x:c r="D596" s="2" t="str">
        <x:v>IL</x:v>
      </x:c>
      <x:c r="E596" s="2" t="str">
        <x:v>Psychiatric</x:v>
      </x:c>
      <x:c r="F596" s="2" t="str">
        <x:v>Government</x:v>
      </x:c>
      <x:c r="G596" s="2" t="str">
        <x:v>Medium (100-299 beds)</x:v>
      </x:c>
      <x:c r="H596" s="7"/>
      <x:c r="I596" s="7"/>
      <x:c r="J596" s="7"/>
      <x:c r="K596" s="8" t="n">
        <x:v>150</x:v>
      </x:c>
      <x:c r="L596" s="8" t="n">
        <x:v>169</x:v>
      </x:c>
      <x:c r="M596" s="9" t="n">
        <x:v>0.9756712329</x:v>
      </x:c>
      <x:c r="N596" s="10" t="n">
        <x:v>209813.023668639</x:v>
      </x:c>
      <x:c r="O596" s="9"/>
      <x:c r="P596" s="9" t="n">
        <x:v>0.8805970149</x:v>
      </x:c>
      <x:c r="Q596" s="9" t="n">
        <x:v>0</x:v>
      </x:c>
      <x:c r="R596" s="3" t="b">
        <x:v>0</x:v>
      </x:c>
      <x:c r="S596" s="3" t="b">
        <x:v>0</x:v>
      </x:c>
      <x:c r="T596" s="3" t="b">
        <x:v>0</x:v>
      </x:c>
      <x:c r="U596" s="2" t="str">
        <x:f>IF(T596=TRUE,"Priority review",IF(R596=TRUE,"High cost",IF(S596=TRUE,"Low quality","Benchmark")))</x:f>
        <x:v>Benchmark</x:v>
      </x:c>
    </x:row>
    <x:row r="597">
      <x:c r="A597" s="2" t="str">
        <x:v>161306</x:v>
      </x:c>
      <x:c r="B597" s="2" t="str">
        <x:v>JONES REGIONAL MEDICAL CENTER</x:v>
      </x:c>
      <x:c r="C597" s="2" t="str">
        <x:v>ANAMOSA</x:v>
      </x:c>
      <x:c r="D597" s="2" t="str">
        <x:v>IA</x:v>
      </x:c>
      <x:c r="E597" s="2" t="str">
        <x:v>Critical Access Hospitals</x:v>
      </x:c>
      <x:c r="F597" s="2" t="str">
        <x:v>Voluntary non-profit</x:v>
      </x:c>
      <x:c r="G597" s="2" t="str">
        <x:v>Small (&lt;100 beds)</x:v>
      </x:c>
      <x:c r="H597" s="7" t="n">
        <x:v>4</x:v>
      </x:c>
      <x:c r="I597" s="7"/>
      <x:c r="J597" s="7"/>
      <x:c r="K597" s="8" t="n">
        <x:v>9</x:v>
      </x:c>
      <x:c r="L597" s="8" t="n">
        <x:v>165</x:v>
      </x:c>
      <x:c r="M597" s="9" t="n">
        <x:v>0.4914996964</x:v>
      </x:c>
      <x:c r="N597" s="10" t="n">
        <x:v>304157.4303030303</x:v>
      </x:c>
      <x:c r="O597" s="9" t="n">
        <x:v>0.1228154558</x:v>
      </x:c>
      <x:c r="P597" s="9" t="n">
        <x:v>0.8802973978</x:v>
      </x:c>
      <x:c r="Q597" s="9" t="n">
        <x:v>0.1657992565</x:v>
      </x:c>
      <x:c r="R597" s="3" t="b">
        <x:v>0</x:v>
      </x:c>
      <x:c r="S597" s="3" t="b">
        <x:v>0</x:v>
      </x:c>
      <x:c r="T597" s="3" t="b">
        <x:v>0</x:v>
      </x:c>
      <x:c r="U597" s="2" t="str">
        <x:f>IF(T597=TRUE,"Priority review",IF(R597=TRUE,"High cost",IF(S597=TRUE,"Low quality","Benchmark")))</x:f>
        <x:v>Benchmark</x:v>
      </x:c>
    </x:row>
    <x:row r="598">
      <x:c r="A598" s="2" t="str">
        <x:v>174022</x:v>
      </x:c>
      <x:c r="B598" s="2" t="str">
        <x:v>ADAIR ACUTE CARE AT OSAWATOMIE STATE HOSPITAL</x:v>
      </x:c>
      <x:c r="C598" s="2" t="str">
        <x:v>OSAWATOMIE</x:v>
      </x:c>
      <x:c r="D598" s="2" t="str">
        <x:v>KS</x:v>
      </x:c>
      <x:c r="E598" s="2" t="str">
        <x:v>Psychiatric</x:v>
      </x:c>
      <x:c r="F598" s="2" t="str">
        <x:v>Government</x:v>
      </x:c>
      <x:c r="G598" s="2" t="str">
        <x:v>Small (&lt;100 beds)</x:v>
      </x:c>
      <x:c r="H598" s="7"/>
      <x:c r="I598" s="7"/>
      <x:c r="J598" s="7"/>
      <x:c r="K598" s="8" t="n">
        <x:v>60</x:v>
      </x:c>
      <x:c r="L598" s="8" t="n">
        <x:v>707</x:v>
      </x:c>
      <x:c r="M598" s="9" t="n">
        <x:v>0.4802739726</x:v>
      </x:c>
      <x:c r="N598" s="10" t="n">
        <x:v>96443.2050919378</x:v>
      </x:c>
      <x:c r="O598" s="9" t="n">
        <x:v>-53.0531499465</x:v>
      </x:c>
      <x:c r="P598" s="9" t="n">
        <x:v>0.8802588997</x:v>
      </x:c>
      <x:c r="Q598" s="9" t="n">
        <x:v>0</x:v>
      </x:c>
      <x:c r="R598" s="3" t="b">
        <x:v>0</x:v>
      </x:c>
      <x:c r="S598" s="3" t="b">
        <x:v>0</x:v>
      </x:c>
      <x:c r="T598" s="3" t="b">
        <x:v>0</x:v>
      </x:c>
      <x:c r="U598" s="2" t="str">
        <x:f>IF(T598=TRUE,"Priority review",IF(R598=TRUE,"High cost",IF(S598=TRUE,"Low quality","Benchmark")))</x:f>
        <x:v>Benchmark</x:v>
      </x:c>
    </x:row>
    <x:row r="599">
      <x:c r="A599" s="2" t="str">
        <x:v>350002</x:v>
      </x:c>
      <x:c r="B599" s="2" t="str">
        <x:v>CHI ST ALEXIUS HEALTH</x:v>
      </x:c>
      <x:c r="C599" s="2" t="str">
        <x:v>BISMARCK</x:v>
      </x:c>
      <x:c r="D599" s="2" t="str">
        <x:v>ND</x:v>
      </x:c>
      <x:c r="E599" s="2" t="str">
        <x:v>Acute Care Hospitals</x:v>
      </x:c>
      <x:c r="F599" s="2" t="str">
        <x:v>Voluntary non-profit</x:v>
      </x:c>
      <x:c r="G599" s="2" t="str">
        <x:v>Medium (100-299 beds)</x:v>
      </x:c>
      <x:c r="H599" s="7" t="n">
        <x:v>4</x:v>
      </x:c>
      <x:c r="I599" s="7" t="n">
        <x:v>3</x:v>
      </x:c>
      <x:c r="J599" s="7" t="n">
        <x:v>0.94</x:v>
      </x:c>
      <x:c r="K599" s="8" t="n">
        <x:v>157</x:v>
      </x:c>
      <x:c r="L599" s="8" t="n">
        <x:v>6142</x:v>
      </x:c>
      <x:c r="M599" s="9" t="n">
        <x:v>0.5471075822</x:v>
      </x:c>
      <x:c r="N599" s="10" t="n">
        <x:v>57957.3671442527</x:v>
      </x:c>
      <x:c r="O599" s="9"/>
      <x:c r="P599" s="9" t="n">
        <x:v>0.880195599</x:v>
      </x:c>
      <x:c r="Q599" s="9" t="n">
        <x:v>0.6022819886</x:v>
      </x:c>
      <x:c r="R599" s="3" t="b">
        <x:v>0</x:v>
      </x:c>
      <x:c r="S599" s="3" t="b">
        <x:v>0</x:v>
      </x:c>
      <x:c r="T599" s="3" t="b">
        <x:v>0</x:v>
      </x:c>
      <x:c r="U599" s="2" t="str">
        <x:f>IF(T599=TRUE,"Priority review",IF(R599=TRUE,"High cost",IF(S599=TRUE,"Low quality","Benchmark")))</x:f>
        <x:v>Benchmark</x:v>
      </x:c>
    </x:row>
    <x:row r="600">
      <x:c r="A600" s="2" t="str">
        <x:v>220116</x:v>
      </x:c>
      <x:c r="B600" s="2" t="str">
        <x:v>TUFTS MEDICAL CENTER</x:v>
      </x:c>
      <x:c r="C600" s="2" t="str">
        <x:v>BOSTON</x:v>
      </x:c>
      <x:c r="D600" s="2" t="str">
        <x:v>MA</x:v>
      </x:c>
      <x:c r="E600" s="2" t="str">
        <x:v>Acute Care Hospitals</x:v>
      </x:c>
      <x:c r="F600" s="2" t="str">
        <x:v>Voluntary non-profit</x:v>
      </x:c>
      <x:c r="G600" s="2" t="str">
        <x:v>Large (300+ beds)</x:v>
      </x:c>
      <x:c r="H600" s="7" t="n">
        <x:v>2</x:v>
      </x:c>
      <x:c r="I600" s="7" t="n">
        <x:v>4</x:v>
      </x:c>
      <x:c r="J600" s="7" t="n">
        <x:v>1.03</x:v>
      </x:c>
      <x:c r="K600" s="8" t="n">
        <x:v>369</x:v>
      </x:c>
      <x:c r="L600" s="8" t="n">
        <x:v>17929</x:v>
      </x:c>
      <x:c r="M600" s="9" t="n">
        <x:v>0.7825018141</x:v>
      </x:c>
      <x:c r="N600" s="10" t="n">
        <x:v>72395.0682692844</x:v>
      </x:c>
      <x:c r="O600" s="9" t="n">
        <x:v>-0.3465231256</x:v>
      </x:c>
      <x:c r="P600" s="9" t="n">
        <x:v>0.880126183</x:v>
      </x:c>
      <x:c r="Q600" s="9" t="n">
        <x:v>0.0536277603</x:v>
      </x:c>
      <x:c r="R600" s="3" t="b">
        <x:v>0</x:v>
      </x:c>
      <x:c r="S600" s="3" t="b">
        <x:v>1</x:v>
      </x:c>
      <x:c r="T600" s="3" t="b">
        <x:v>0</x:v>
      </x:c>
      <x:c r="U600" s="2" t="str">
        <x:f>IF(T600=TRUE,"Priority review",IF(R600=TRUE,"High cost",IF(S600=TRUE,"Low quality","Benchmark")))</x:f>
        <x:v>Low quality</x:v>
      </x:c>
    </x:row>
    <x:row r="601">
      <x:c r="A601" s="2" t="str">
        <x:v>314016</x:v>
      </x:c>
      <x:c r="B601" s="2" t="str">
        <x:v>GREYSTONE PARK PSYCHIATRIC HOSPITAL</x:v>
      </x:c>
      <x:c r="C601" s="2" t="str">
        <x:v>MORRIS PLAINS</x:v>
      </x:c>
      <x:c r="D601" s="2" t="str">
        <x:v>NJ</x:v>
      </x:c>
      <x:c r="E601" s="2" t="str">
        <x:v>Psychiatric</x:v>
      </x:c>
      <x:c r="F601" s="2" t="str">
        <x:v>Government</x:v>
      </x:c>
      <x:c r="G601" s="2" t="str">
        <x:v>Large (300+ beds)</x:v>
      </x:c>
      <x:c r="H601" s="7"/>
      <x:c r="I601" s="7"/>
      <x:c r="J601" s="7"/>
      <x:c r="K601" s="8" t="n">
        <x:v>400</x:v>
      </x:c>
      <x:c r="L601" s="8" t="n">
        <x:v>133</x:v>
      </x:c>
      <x:c r="M601" s="9" t="n">
        <x:v>0.9374112022</x:v>
      </x:c>
      <x:c r="N601" s="10" t="n">
        <x:v>998688.052631579</x:v>
      </x:c>
      <x:c r="O601" s="9" t="n">
        <x:v>-27.9934927786</x:v>
      </x:c>
      <x:c r="P601" s="9" t="n">
        <x:v>0.88</x:v>
      </x:c>
      <x:c r="Q601" s="9" t="n">
        <x:v>0</x:v>
      </x:c>
      <x:c r="R601" s="3" t="b">
        <x:v>0</x:v>
      </x:c>
      <x:c r="S601" s="3" t="b">
        <x:v>0</x:v>
      </x:c>
      <x:c r="T601" s="3" t="b">
        <x:v>0</x:v>
      </x:c>
      <x:c r="U601" s="2" t="str">
        <x:f>IF(T601=TRUE,"Priority review",IF(R601=TRUE,"High cost",IF(S601=TRUE,"Low quality","Benchmark")))</x:f>
        <x:v>Benchmark</x:v>
      </x:c>
    </x:row>
    <x:row r="602">
      <x:c r="A602" s="2" t="str">
        <x:v>670320</x:v>
      </x:c>
      <x:c r="B602" s="2" t="str">
        <x:v>EAST HOUSTON MEDICAL CENTER</x:v>
      </x:c>
      <x:c r="C602" s="2" t="str">
        <x:v>HOUSTON</x:v>
      </x:c>
      <x:c r="D602" s="2" t="str">
        <x:v>TX</x:v>
      </x:c>
      <x:c r="E602" s="2" t="str">
        <x:v>Acute Care Hospitals</x:v>
      </x:c>
      <x:c r="F602" s="2" t="str">
        <x:v>Proprietary</x:v>
      </x:c>
      <x:c r="G602" s="2" t="str">
        <x:v>Small (&lt;100 beds)</x:v>
      </x:c>
      <x:c r="H602" s="7"/>
      <x:c r="I602" s="7"/>
      <x:c r="J602" s="7"/>
      <x:c r="K602" s="8" t="n">
        <x:v>4</x:v>
      </x:c>
      <x:c r="L602" s="8" t="n">
        <x:v>208</x:v>
      </x:c>
      <x:c r="M602" s="9" t="n">
        <x:v>0.4849315068</x:v>
      </x:c>
      <x:c r="N602" s="10" t="n">
        <x:v>133637.8990384615</x:v>
      </x:c>
      <x:c r="O602" s="9" t="n">
        <x:v>0.3620562609</x:v>
      </x:c>
      <x:c r="P602" s="9" t="n">
        <x:v>0.8797127469</x:v>
      </x:c>
      <x:c r="Q602" s="9" t="n">
        <x:v>0.697486535</x:v>
      </x:c>
      <x:c r="R602" s="3" t="b">
        <x:v>0</x:v>
      </x:c>
      <x:c r="S602" s="3" t="b">
        <x:v>0</x:v>
      </x:c>
      <x:c r="T602" s="3" t="b">
        <x:v>0</x:v>
      </x:c>
      <x:c r="U602" s="2" t="str">
        <x:f>IF(T602=TRUE,"Priority review",IF(R602=TRUE,"High cost",IF(S602=TRUE,"Low quality","Benchmark")))</x:f>
        <x:v>Benchmark</x:v>
      </x:c>
    </x:row>
    <x:row r="603">
      <x:c r="A603" s="2" t="str">
        <x:v>271313</x:v>
      </x:c>
      <x:c r="B603" s="2" t="str">
        <x:v>PIONEER MEDICAL CENTER</x:v>
      </x:c>
      <x:c r="C603" s="2" t="str">
        <x:v>BIG TIMBER</x:v>
      </x:c>
      <x:c r="D603" s="2" t="str">
        <x:v>MT</x:v>
      </x:c>
      <x:c r="E603" s="2" t="str">
        <x:v>Critical Access Hospitals</x:v>
      </x:c>
      <x:c r="F603" s="2" t="str">
        <x:v>Voluntary non-profit</x:v>
      </x:c>
      <x:c r="G603" s="2" t="str">
        <x:v>Small (&lt;100 beds)</x:v>
      </x:c>
      <x:c r="H603" s="7"/>
      <x:c r="I603" s="7"/>
      <x:c r="J603" s="7"/>
      <x:c r="K603" s="8" t="n">
        <x:v>25</x:v>
      </x:c>
      <x:c r="L603" s="8" t="n">
        <x:v>45</x:v>
      </x:c>
      <x:c r="M603" s="9" t="n">
        <x:v>0.7436712329</x:v>
      </x:c>
      <x:c r="N603" s="10" t="n">
        <x:v>303898.8888888889</x:v>
      </x:c>
      <x:c r="O603" s="9" t="n">
        <x:v>-0.2896883216</x:v>
      </x:c>
      <x:c r="P603" s="9" t="n">
        <x:v>0.8795539033</x:v>
      </x:c>
      <x:c r="Q603" s="9" t="n">
        <x:v>0.292936803</x:v>
      </x:c>
      <x:c r="R603" s="3" t="b">
        <x:v>0</x:v>
      </x:c>
      <x:c r="S603" s="3" t="b">
        <x:v>0</x:v>
      </x:c>
      <x:c r="T603" s="3" t="b">
        <x:v>0</x:v>
      </x:c>
      <x:c r="U603" s="2" t="str">
        <x:f>IF(T603=TRUE,"Priority review",IF(R603=TRUE,"High cost",IF(S603=TRUE,"Low quality","Benchmark")))</x:f>
        <x:v>Benchmark</x:v>
      </x:c>
    </x:row>
    <x:row r="604">
      <x:c r="A604" s="2" t="str">
        <x:v>230207</x:v>
      </x:c>
      <x:c r="B604" s="2" t="str">
        <x:v>MCLAREN OAKLAND</x:v>
      </x:c>
      <x:c r="C604" s="2" t="str">
        <x:v>PONTIAC</x:v>
      </x:c>
      <x:c r="D604" s="2" t="str">
        <x:v>MI</x:v>
      </x:c>
      <x:c r="E604" s="2" t="str">
        <x:v>Acute Care Hospitals</x:v>
      </x:c>
      <x:c r="F604" s="2" t="str">
        <x:v>Voluntary non-profit</x:v>
      </x:c>
      <x:c r="G604" s="2" t="str">
        <x:v>Medium (100-299 beds)</x:v>
      </x:c>
      <x:c r="H604" s="7" t="n">
        <x:v>2</x:v>
      </x:c>
      <x:c r="I604" s="7" t="n">
        <x:v>2</x:v>
      </x:c>
      <x:c r="J604" s="7" t="n">
        <x:v>1.04</x:v>
      </x:c>
      <x:c r="K604" s="8" t="n">
        <x:v>109</x:v>
      </x:c>
      <x:c r="L604" s="8" t="n">
        <x:v>4222</x:v>
      </x:c>
      <x:c r="M604" s="9" t="n">
        <x:v>0.5388577828</x:v>
      </x:c>
      <x:c r="N604" s="10" t="n">
        <x:v>57760.6347702511</x:v>
      </x:c>
      <x:c r="O604" s="9" t="n">
        <x:v>0.0676046307</x:v>
      </x:c>
      <x:c r="P604" s="9" t="n">
        <x:v>0.8793806031</x:v>
      </x:c>
      <x:c r="Q604" s="9" t="n">
        <x:v>0.0782396088</x:v>
      </x:c>
      <x:c r="R604" s="3" t="b">
        <x:v>0</x:v>
      </x:c>
      <x:c r="S604" s="3" t="b">
        <x:v>1</x:v>
      </x:c>
      <x:c r="T604" s="3" t="b">
        <x:v>0</x:v>
      </x:c>
      <x:c r="U604" s="2" t="str">
        <x:f>IF(T604=TRUE,"Priority review",IF(R604=TRUE,"High cost",IF(S604=TRUE,"Low quality","Benchmark")))</x:f>
        <x:v>Low quality</x:v>
      </x:c>
    </x:row>
    <x:row r="605">
      <x:c r="A605" s="2" t="str">
        <x:v>050192</x:v>
      </x:c>
      <x:c r="B605" s="2" t="str">
        <x:v>ADVENTIST HEALTH REEDLEY</x:v>
      </x:c>
      <x:c r="C605" s="2" t="str">
        <x:v>REEDLEY</x:v>
      </x:c>
      <x:c r="D605" s="2" t="str">
        <x:v>CA</x:v>
      </x:c>
      <x:c r="E605" s="2" t="str">
        <x:v>Acute Care Hospitals</x:v>
      </x:c>
      <x:c r="F605" s="2" t="str">
        <x:v>Voluntary non-profit</x:v>
      </x:c>
      <x:c r="G605" s="2" t="str">
        <x:v>Small (&lt;100 beds)</x:v>
      </x:c>
      <x:c r="H605" s="7"/>
      <x:c r="I605" s="7" t="n">
        <x:v>3</x:v>
      </x:c>
      <x:c r="J605" s="7" t="n">
        <x:v>1.06</x:v>
      </x:c>
      <x:c r="K605" s="8" t="n">
        <x:v>49</x:v>
      </x:c>
      <x:c r="L605" s="8" t="n">
        <x:v>1624</x:v>
      </x:c>
      <x:c r="M605" s="9" t="n">
        <x:v>0.3782201405</x:v>
      </x:c>
      <x:c r="N605" s="10" t="n">
        <x:v>132468.1311576355</x:v>
      </x:c>
      <x:c r="O605" s="9" t="n">
        <x:v>0.0184606863</x:v>
      </x:c>
      <x:c r="P605" s="9" t="n">
        <x:v>0.8788150808</x:v>
      </x:c>
      <x:c r="Q605" s="9" t="n">
        <x:v>0.697486535</x:v>
      </x:c>
      <x:c r="R605" s="3" t="b">
        <x:v>0</x:v>
      </x:c>
      <x:c r="S605" s="3" t="b">
        <x:v>0</x:v>
      </x:c>
      <x:c r="T605" s="3" t="b">
        <x:v>0</x:v>
      </x:c>
      <x:c r="U605" s="2" t="str">
        <x:f>IF(T605=TRUE,"Priority review",IF(R605=TRUE,"High cost",IF(S605=TRUE,"Low quality","Benchmark")))</x:f>
        <x:v>Benchmark</x:v>
      </x:c>
    </x:row>
    <x:row r="606">
      <x:c r="A606" s="2" t="str">
        <x:v>451325</x:v>
      </x:c>
      <x:c r="B606" s="2" t="str">
        <x:v>CONCHO COUNTY HOSPITAL</x:v>
      </x:c>
      <x:c r="C606" s="2" t="str">
        <x:v>EDEN</x:v>
      </x:c>
      <x:c r="D606" s="2" t="str">
        <x:v>TX</x:v>
      </x:c>
      <x:c r="E606" s="2" t="str">
        <x:v>Critical Access Hospitals</x:v>
      </x:c>
      <x:c r="F606" s="2" t="str">
        <x:v>Government</x:v>
      </x:c>
      <x:c r="G606" s="2" t="str">
        <x:v>Small (&lt;100 beds)</x:v>
      </x:c>
      <x:c r="H606" s="7"/>
      <x:c r="I606" s="7"/>
      <x:c r="J606" s="7"/>
      <x:c r="K606" s="8" t="n">
        <x:v>16</x:v>
      </x:c>
      <x:c r="L606" s="8" t="n">
        <x:v>34</x:v>
      </x:c>
      <x:c r="M606" s="9" t="n">
        <x:v>0.0788934426</x:v>
      </x:c>
      <x:c r="N606" s="10" t="n">
        <x:v>303734.3529411764</x:v>
      </x:c>
      <x:c r="O606" s="9" t="n">
        <x:v>-0.6375180053</x:v>
      </x:c>
      <x:c r="P606" s="9" t="n">
        <x:v>0.8788104089</x:v>
      </x:c>
      <x:c r="Q606" s="9" t="n">
        <x:v>0.292936803</x:v>
      </x:c>
      <x:c r="R606" s="3" t="b">
        <x:v>0</x:v>
      </x:c>
      <x:c r="S606" s="3" t="b">
        <x:v>0</x:v>
      </x:c>
      <x:c r="T606" s="3" t="b">
        <x:v>0</x:v>
      </x:c>
      <x:c r="U606" s="2" t="str">
        <x:f>IF(T606=TRUE,"Priority review",IF(R606=TRUE,"High cost",IF(S606=TRUE,"Low quality","Benchmark")))</x:f>
        <x:v>Benchmark</x:v>
      </x:c>
    </x:row>
    <x:row r="607">
      <x:c r="A607" s="2" t="str">
        <x:v>210024</x:v>
      </x:c>
      <x:c r="B607" s="2" t="str">
        <x:v>MEDSTAR UNION MEMORIAL HOSPITAL</x:v>
      </x:c>
      <x:c r="C607" s="2" t="str">
        <x:v>BALTIMORE</x:v>
      </x:c>
      <x:c r="D607" s="2" t="str">
        <x:v>MD</x:v>
      </x:c>
      <x:c r="E607" s="2" t="str">
        <x:v>Acute Care Hospitals</x:v>
      </x:c>
      <x:c r="F607" s="2" t="str">
        <x:v>Voluntary non-profit</x:v>
      </x:c>
      <x:c r="G607" s="2" t="str">
        <x:v>Medium (100-299 beds)</x:v>
      </x:c>
      <x:c r="H607" s="7" t="n">
        <x:v>5</x:v>
      </x:c>
      <x:c r="I607" s="7" t="n">
        <x:v>3</x:v>
      </x:c>
      <x:c r="J607" s="7"/>
      <x:c r="K607" s="8" t="n">
        <x:v>189</x:v>
      </x:c>
      <x:c r="L607" s="8" t="n">
        <x:v>8352</x:v>
      </x:c>
      <x:c r="M607" s="9" t="n">
        <x:v>0.6942233819</x:v>
      </x:c>
      <x:c r="N607" s="10" t="n">
        <x:v>57724.8079501916</x:v>
      </x:c>
      <x:c r="O607" s="9" t="n">
        <x:v>-0.0814427972</x:v>
      </x:c>
      <x:c r="P607" s="9" t="n">
        <x:v>0.8785656072</x:v>
      </x:c>
      <x:c r="Q607" s="9" t="n">
        <x:v>0.8744906275</x:v>
      </x:c>
      <x:c r="R607" s="3" t="b">
        <x:v>0</x:v>
      </x:c>
      <x:c r="S607" s="3" t="b">
        <x:v>0</x:v>
      </x:c>
      <x:c r="T607" s="3" t="b">
        <x:v>0</x:v>
      </x:c>
      <x:c r="U607" s="2" t="str">
        <x:f>IF(T607=TRUE,"Priority review",IF(R607=TRUE,"High cost",IF(S607=TRUE,"Low quality","Benchmark")))</x:f>
        <x:v>Benchmark</x:v>
      </x:c>
    </x:row>
    <x:row r="608">
      <x:c r="A608" s="2" t="str">
        <x:v>220163</x:v>
      </x:c>
      <x:c r="B608" s="2" t="str">
        <x:v>UMASS MEMORIAL MEDICAL CENTER/UNIVERSITY CAMPUS</x:v>
      </x:c>
      <x:c r="C608" s="2" t="str">
        <x:v>WORCESTER</x:v>
      </x:c>
      <x:c r="D608" s="2" t="str">
        <x:v>MA</x:v>
      </x:c>
      <x:c r="E608" s="2" t="str">
        <x:v>Acute Care Hospitals</x:v>
      </x:c>
      <x:c r="F608" s="2" t="str">
        <x:v>Voluntary non-profit</x:v>
      </x:c>
      <x:c r="G608" s="2" t="str">
        <x:v>Large (300+ beds)</x:v>
      </x:c>
      <x:c r="H608" s="7" t="n">
        <x:v>3</x:v>
      </x:c>
      <x:c r="I608" s="7" t="n">
        <x:v>3</x:v>
      </x:c>
      <x:c r="J608" s="7" t="n">
        <x:v>1.02</x:v>
      </x:c>
      <x:c r="K608" s="8" t="n">
        <x:v>700</x:v>
      </x:c>
      <x:c r="L608" s="8" t="n">
        <x:v>39453</x:v>
      </x:c>
      <x:c r="M608" s="9" t="n">
        <x:v>1.0323106948</x:v>
      </x:c>
      <x:c r="N608" s="10" t="n">
        <x:v>71669.2740982942</x:v>
      </x:c>
      <x:c r="O608" s="9" t="n">
        <x:v>-0.0204540914</x:v>
      </x:c>
      <x:c r="P608" s="9" t="n">
        <x:v>0.8785488959</x:v>
      </x:c>
      <x:c r="Q608" s="9" t="n">
        <x:v>0.2570977918</x:v>
      </x:c>
      <x:c r="R608" s="3" t="b">
        <x:v>0</x:v>
      </x:c>
      <x:c r="S608" s="3" t="b">
        <x:v>0</x:v>
      </x:c>
      <x:c r="T608" s="3" t="b">
        <x:v>0</x:v>
      </x:c>
      <x:c r="U608" s="2" t="str">
        <x:f>IF(T608=TRUE,"Priority review",IF(R608=TRUE,"High cost",IF(S608=TRUE,"Low quality","Benchmark")))</x:f>
        <x:v>Benchmark</x:v>
      </x:c>
    </x:row>
    <x:row r="609">
      <x:c r="A609" s="2" t="str">
        <x:v>281320</x:v>
      </x:c>
      <x:c r="B609" s="2" t="str">
        <x:v>MEMORIAL HOSPITAL</x:v>
      </x:c>
      <x:c r="C609" s="2" t="str">
        <x:v>AURORA</x:v>
      </x:c>
      <x:c r="D609" s="2" t="str">
        <x:v>NE</x:v>
      </x:c>
      <x:c r="E609" s="2" t="str">
        <x:v>Critical Access Hospitals</x:v>
      </x:c>
      <x:c r="F609" s="2" t="str">
        <x:v>Voluntary non-profit</x:v>
      </x:c>
      <x:c r="G609" s="2" t="str">
        <x:v>Small (&lt;100 beds)</x:v>
      </x:c>
      <x:c r="H609" s="7"/>
      <x:c r="I609" s="7"/>
      <x:c r="J609" s="7"/>
      <x:c r="K609" s="8" t="n">
        <x:v>12</x:v>
      </x:c>
      <x:c r="L609" s="8" t="n">
        <x:v>103</x:v>
      </x:c>
      <x:c r="M609" s="9" t="n">
        <x:v>0.2515938069</x:v>
      </x:c>
      <x:c r="N609" s="10" t="n">
        <x:v>303540.3495145631</x:v>
      </x:c>
      <x:c r="O609" s="9" t="n">
        <x:v>-0.1962335961</x:v>
      </x:c>
      <x:c r="P609" s="9" t="n">
        <x:v>0.8780669145</x:v>
      </x:c>
      <x:c r="Q609" s="9" t="n">
        <x:v>0.292936803</x:v>
      </x:c>
      <x:c r="R609" s="3" t="b">
        <x:v>0</x:v>
      </x:c>
      <x:c r="S609" s="3" t="b">
        <x:v>0</x:v>
      </x:c>
      <x:c r="T609" s="3" t="b">
        <x:v>0</x:v>
      </x:c>
      <x:c r="U609" s="2" t="str">
        <x:f>IF(T609=TRUE,"Priority review",IF(R609=TRUE,"High cost",IF(S609=TRUE,"Low quality","Benchmark")))</x:f>
        <x:v>Benchmark</x:v>
      </x:c>
    </x:row>
    <x:row r="610">
      <x:c r="A610" s="2" t="str">
        <x:v>170203</x:v>
      </x:c>
      <x:c r="B610" s="2" t="str">
        <x:v>MERCY SPECIALTY HOSPITAL SOUTHEAST KANSAS</x:v>
      </x:c>
      <x:c r="C610" s="2" t="str">
        <x:v>GALENA</x:v>
      </x:c>
      <x:c r="D610" s="2" t="str">
        <x:v>KS</x:v>
      </x:c>
      <x:c r="E610" s="2" t="str">
        <x:v>Acute Care Hospitals</x:v>
      </x:c>
      <x:c r="F610" s="2" t="str">
        <x:v>Voluntary non-profit</x:v>
      </x:c>
      <x:c r="G610" s="2" t="str">
        <x:v>Small (&lt;100 beds)</x:v>
      </x:c>
      <x:c r="H610" s="7"/>
      <x:c r="I610" s="7"/>
      <x:c r="J610" s="7" t="n">
        <x:v>1</x:v>
      </x:c>
      <x:c r="K610" s="8" t="n">
        <x:v>26</x:v>
      </x:c>
      <x:c r="L610" s="8" t="n">
        <x:v>329</x:v>
      </x:c>
      <x:c r="M610" s="9" t="n">
        <x:v>0.0738672287</x:v>
      </x:c>
      <x:c r="N610" s="10" t="n">
        <x:v>131628.1641337386</x:v>
      </x:c>
      <x:c r="O610" s="9" t="n">
        <x:v>0.0823825952</x:v>
      </x:c>
      <x:c r="P610" s="9" t="n">
        <x:v>0.8779174147</x:v>
      </x:c>
      <x:c r="Q610" s="9" t="n">
        <x:v>0.697486535</x:v>
      </x:c>
      <x:c r="R610" s="3" t="b">
        <x:v>0</x:v>
      </x:c>
      <x:c r="S610" s="3" t="b">
        <x:v>0</x:v>
      </x:c>
      <x:c r="T610" s="3" t="b">
        <x:v>0</x:v>
      </x:c>
      <x:c r="U610" s="2" t="str">
        <x:f>IF(T610=TRUE,"Priority review",IF(R610=TRUE,"High cost",IF(S610=TRUE,"Low quality","Benchmark")))</x:f>
        <x:v>Benchmark</x:v>
      </x:c>
    </x:row>
    <x:row r="611">
      <x:c r="A611" s="2" t="str">
        <x:v>210011</x:v>
      </x:c>
      <x:c r="B611" s="2" t="str">
        <x:v>SAINT AGNES HOSPITAL</x:v>
      </x:c>
      <x:c r="C611" s="2" t="str">
        <x:v>BALTIMORE</x:v>
      </x:c>
      <x:c r="D611" s="2" t="str">
        <x:v>MD</x:v>
      </x:c>
      <x:c r="E611" s="2" t="str">
        <x:v>Acute Care Hospitals</x:v>
      </x:c>
      <x:c r="F611" s="2" t="str">
        <x:v>Voluntary non-profit</x:v>
      </x:c>
      <x:c r="G611" s="2" t="str">
        <x:v>Medium (100-299 beds)</x:v>
      </x:c>
      <x:c r="H611" s="7" t="n">
        <x:v>3</x:v>
      </x:c>
      <x:c r="I611" s="7" t="n">
        <x:v>2</x:v>
      </x:c>
      <x:c r="J611" s="7"/>
      <x:c r="K611" s="8" t="n">
        <x:v>191</x:v>
      </x:c>
      <x:c r="L611" s="8" t="n">
        <x:v>9827</x:v>
      </x:c>
      <x:c r="M611" s="9" t="n">
        <x:v>0.7419493653</x:v>
      </x:c>
      <x:c r="N611" s="10" t="n">
        <x:v>57487.7345069706</x:v>
      </x:c>
      <x:c r="O611" s="9" t="n">
        <x:v>-0.069241378</x:v>
      </x:c>
      <x:c r="P611" s="9" t="n">
        <x:v>0.8777506112</x:v>
      </x:c>
      <x:c r="Q611" s="9" t="n">
        <x:v>0.3023634882</x:v>
      </x:c>
      <x:c r="R611" s="3" t="b">
        <x:v>0</x:v>
      </x:c>
      <x:c r="S611" s="3" t="b">
        <x:v>0</x:v>
      </x:c>
      <x:c r="T611" s="3" t="b">
        <x:v>0</x:v>
      </x:c>
      <x:c r="U611" s="2" t="str">
        <x:f>IF(T611=TRUE,"Priority review",IF(R611=TRUE,"High cost",IF(S611=TRUE,"Low quality","Benchmark")))</x:f>
        <x:v>Benchmark</x:v>
      </x:c>
    </x:row>
    <x:row r="612">
      <x:c r="A612" s="2" t="str">
        <x:v>241346</x:v>
      </x:c>
      <x:c r="B612" s="2" t="str">
        <x:v>MAYO CLINIC HEALTH SYSTEM - CANNON FALLS</x:v>
      </x:c>
      <x:c r="C612" s="2" t="str">
        <x:v>CANNON FALLS</x:v>
      </x:c>
      <x:c r="D612" s="2" t="str">
        <x:v>MN</x:v>
      </x:c>
      <x:c r="E612" s="2" t="str">
        <x:v>Critical Access Hospitals</x:v>
      </x:c>
      <x:c r="F612" s="2" t="str">
        <x:v>Voluntary non-profit</x:v>
      </x:c>
      <x:c r="G612" s="2" t="str">
        <x:v>Small (&lt;100 beds)</x:v>
      </x:c>
      <x:c r="H612" s="7"/>
      <x:c r="I612" s="7" t="n">
        <x:v>5</x:v>
      </x:c>
      <x:c r="J612" s="7"/>
      <x:c r="K612" s="8" t="n">
        <x:v>15</x:v>
      </x:c>
      <x:c r="L612" s="8" t="n">
        <x:v>153</x:v>
      </x:c>
      <x:c r="M612" s="9" t="n">
        <x:v>0.6870673953</x:v>
      </x:c>
      <x:c r="N612" s="10" t="n">
        <x:v>303494.2418300654</x:v>
      </x:c>
      <x:c r="O612" s="9" t="n">
        <x:v>0.1759889168</x:v>
      </x:c>
      <x:c r="P612" s="9" t="n">
        <x:v>0.8773234201</x:v>
      </x:c>
      <x:c r="Q612" s="9" t="n">
        <x:v>0.292936803</x:v>
      </x:c>
      <x:c r="R612" s="3" t="b">
        <x:v>0</x:v>
      </x:c>
      <x:c r="S612" s="3" t="b">
        <x:v>0</x:v>
      </x:c>
      <x:c r="T612" s="3" t="b">
        <x:v>0</x:v>
      </x:c>
      <x:c r="U612" s="2" t="str">
        <x:f>IF(T612=TRUE,"Priority review",IF(R612=TRUE,"High cost",IF(S612=TRUE,"Low quality","Benchmark")))</x:f>
        <x:v>Benchmark</x:v>
      </x:c>
    </x:row>
    <x:row r="613">
      <x:c r="A613" s="2" t="str">
        <x:v>294000</x:v>
      </x:c>
      <x:c r="B613" s="2" t="str">
        <x:v>DINI-TOWNSEND HOSPITAL AT NNMH</x:v>
      </x:c>
      <x:c r="C613" s="2" t="str">
        <x:v>SPARKS</x:v>
      </x:c>
      <x:c r="D613" s="2" t="str">
        <x:v>NV</x:v>
      </x:c>
      <x:c r="E613" s="2" t="str">
        <x:v>Psychiatric</x:v>
      </x:c>
      <x:c r="F613" s="2" t="str">
        <x:v>Government</x:v>
      </x:c>
      <x:c r="G613" s="2" t="str">
        <x:v>Small (&lt;100 beds)</x:v>
      </x:c>
      <x:c r="H613" s="7"/>
      <x:c r="I613" s="7"/>
      <x:c r="J613" s="7"/>
      <x:c r="K613" s="8" t="n">
        <x:v>70</x:v>
      </x:c>
      <x:c r="L613" s="8" t="n">
        <x:v>310</x:v>
      </x:c>
      <x:c r="M613" s="9" t="n">
        <x:v>0.2356555773</x:v>
      </x:c>
      <x:c r="N613" s="10" t="n">
        <x:v>96249.4580645161</x:v>
      </x:c>
      <x:c r="O613" s="9" t="n">
        <x:v>-7.2458648154</x:v>
      </x:c>
      <x:c r="P613" s="9" t="n">
        <x:v>0.8770226537</x:v>
      </x:c>
      <x:c r="Q613" s="9" t="n">
        <x:v>0</x:v>
      </x:c>
      <x:c r="R613" s="3" t="b">
        <x:v>0</x:v>
      </x:c>
      <x:c r="S613" s="3" t="b">
        <x:v>0</x:v>
      </x:c>
      <x:c r="T613" s="3" t="b">
        <x:v>0</x:v>
      </x:c>
      <x:c r="U613" s="2" t="str">
        <x:f>IF(T613=TRUE,"Priority review",IF(R613=TRUE,"High cost",IF(S613=TRUE,"Low quality","Benchmark")))</x:f>
        <x:v>Benchmark</x:v>
      </x:c>
    </x:row>
    <x:row r="614">
      <x:c r="A614" s="2" t="str">
        <x:v>050766</x:v>
      </x:c>
      <x:c r="B614" s="2" t="str">
        <x:v>SUTTER SURGICAL HOSPITAL - NORTH VALLEY</x:v>
      </x:c>
      <x:c r="C614" s="2" t="str">
        <x:v>YUBA CITY</x:v>
      </x:c>
      <x:c r="D614" s="2" t="str">
        <x:v>CA</x:v>
      </x:c>
      <x:c r="E614" s="2" t="str">
        <x:v>Acute Care Hospitals</x:v>
      </x:c>
      <x:c r="F614" s="2" t="str">
        <x:v>Other / unknown</x:v>
      </x:c>
      <x:c r="G614" s="2" t="str">
        <x:v>Small (&lt;100 beds)</x:v>
      </x:c>
      <x:c r="H614" s="7"/>
      <x:c r="I614" s="7"/>
      <x:c r="J614" s="7" t="n">
        <x:v>1</x:v>
      </x:c>
      <x:c r="K614" s="8" t="n">
        <x:v>14</x:v>
      </x:c>
      <x:c r="L614" s="8" t="n">
        <x:v>274</x:v>
      </x:c>
      <x:c r="M614" s="9" t="n">
        <x:v>0.1358313817</x:v>
      </x:c>
      <x:c r="N614" s="10" t="n">
        <x:v>131208.8868613139</x:v>
      </x:c>
      <x:c r="O614" s="9" t="n">
        <x:v>0.0857690796</x:v>
      </x:c>
      <x:c r="P614" s="9" t="n">
        <x:v>0.8770197487</x:v>
      </x:c>
      <x:c r="Q614" s="9" t="n">
        <x:v>0.697486535</x:v>
      </x:c>
      <x:c r="R614" s="3" t="b">
        <x:v>0</x:v>
      </x:c>
      <x:c r="S614" s="3" t="b">
        <x:v>0</x:v>
      </x:c>
      <x:c r="T614" s="3" t="b">
        <x:v>0</x:v>
      </x:c>
      <x:c r="U614" s="2" t="str">
        <x:f>IF(T614=TRUE,"Priority review",IF(R614=TRUE,"High cost",IF(S614=TRUE,"Low quality","Benchmark")))</x:f>
        <x:v>Benchmark</x:v>
      </x:c>
    </x:row>
    <x:row r="615">
      <x:c r="A615" s="2" t="str">
        <x:v>270004</x:v>
      </x:c>
      <x:c r="B615" s="2" t="str">
        <x:v>BILLINGS CLINIC HOSPITAL</x:v>
      </x:c>
      <x:c r="C615" s="2" t="str">
        <x:v>BILLINGS</x:v>
      </x:c>
      <x:c r="D615" s="2" t="str">
        <x:v>MT</x:v>
      </x:c>
      <x:c r="E615" s="2" t="str">
        <x:v>Acute Care Hospitals</x:v>
      </x:c>
      <x:c r="F615" s="2" t="str">
        <x:v>Voluntary non-profit</x:v>
      </x:c>
      <x:c r="G615" s="2" t="str">
        <x:v>Large (300+ beds)</x:v>
      </x:c>
      <x:c r="H615" s="7" t="n">
        <x:v>4</x:v>
      </x:c>
      <x:c r="I615" s="7" t="n">
        <x:v>3</x:v>
      </x:c>
      <x:c r="J615" s="7" t="n">
        <x:v>1.03</x:v>
      </x:c>
      <x:c r="K615" s="8" t="n">
        <x:v>320</x:v>
      </x:c>
      <x:c r="L615" s="8" t="n">
        <x:v>15752</x:v>
      </x:c>
      <x:c r="M615" s="9" t="n">
        <x:v>0.7080417083</x:v>
      </x:c>
      <x:c r="N615" s="10" t="n">
        <x:v>70954.1009395632</x:v>
      </x:c>
      <x:c r="O615" s="9" t="n">
        <x:v>-0.2101983442</x:v>
      </x:c>
      <x:c r="P615" s="9" t="n">
        <x:v>0.8769716088</x:v>
      </x:c>
      <x:c r="Q615" s="9" t="n">
        <x:v>0.5899053628</x:v>
      </x:c>
      <x:c r="R615" s="3" t="b">
        <x:v>0</x:v>
      </x:c>
      <x:c r="S615" s="3" t="b">
        <x:v>0</x:v>
      </x:c>
      <x:c r="T615" s="3" t="b">
        <x:v>0</x:v>
      </x:c>
      <x:c r="U615" s="2" t="str">
        <x:f>IF(T615=TRUE,"Priority review",IF(R615=TRUE,"High cost",IF(S615=TRUE,"Low quality","Benchmark")))</x:f>
        <x:v>Benchmark</x:v>
      </x:c>
    </x:row>
    <x:row r="616">
      <x:c r="A616" s="2" t="str">
        <x:v>200024</x:v>
      </x:c>
      <x:c r="B616" s="2" t="str">
        <x:v>CENTRAL MAINE MEDICAL CENTER</x:v>
      </x:c>
      <x:c r="C616" s="2" t="str">
        <x:v>LEWISTON</x:v>
      </x:c>
      <x:c r="D616" s="2" t="str">
        <x:v>ME</x:v>
      </x:c>
      <x:c r="E616" s="2" t="str">
        <x:v>Acute Care Hospitals</x:v>
      </x:c>
      <x:c r="F616" s="2" t="str">
        <x:v>Voluntary non-profit</x:v>
      </x:c>
      <x:c r="G616" s="2" t="str">
        <x:v>Medium (100-299 beds)</x:v>
      </x:c>
      <x:c r="H616" s="7" t="n">
        <x:v>4</x:v>
      </x:c>
      <x:c r="I616" s="7" t="n">
        <x:v>3</x:v>
      </x:c>
      <x:c r="J616" s="7" t="n">
        <x:v>1.02</x:v>
      </x:c>
      <x:c r="K616" s="8" t="n">
        <x:v>187</x:v>
      </x:c>
      <x:c r="L616" s="8" t="n">
        <x:v>9002</x:v>
      </x:c>
      <x:c r="M616" s="9" t="n">
        <x:v>0.6359094572</x:v>
      </x:c>
      <x:c r="N616" s="10" t="n">
        <x:v>57469.3994667852</x:v>
      </x:c>
      <x:c r="O616" s="9" t="n">
        <x:v>-0.1803033221</x:v>
      </x:c>
      <x:c r="P616" s="9" t="n">
        <x:v>0.8769356153</x:v>
      </x:c>
      <x:c r="Q616" s="9" t="n">
        <x:v>0.6022819886</x:v>
      </x:c>
      <x:c r="R616" s="3" t="b">
        <x:v>0</x:v>
      </x:c>
      <x:c r="S616" s="3" t="b">
        <x:v>0</x:v>
      </x:c>
      <x:c r="T616" s="3" t="b">
        <x:v>0</x:v>
      </x:c>
      <x:c r="U616" s="2" t="str">
        <x:f>IF(T616=TRUE,"Priority review",IF(R616=TRUE,"High cost",IF(S616=TRUE,"Low quality","Benchmark")))</x:f>
        <x:v>Benchmark</x:v>
      </x:c>
    </x:row>
    <x:row r="617">
      <x:c r="A617" s="2" t="str">
        <x:v>051305</x:v>
      </x:c>
      <x:c r="B617" s="2" t="str">
        <x:v>MAYERS MEMORIAL HOSPITAL</x:v>
      </x:c>
      <x:c r="C617" s="2" t="str">
        <x:v>FALL RIVER MILLS</x:v>
      </x:c>
      <x:c r="D617" s="2" t="str">
        <x:v>CA</x:v>
      </x:c>
      <x:c r="E617" s="2" t="str">
        <x:v>Critical Access Hospitals</x:v>
      </x:c>
      <x:c r="F617" s="2" t="str">
        <x:v>Government</x:v>
      </x:c>
      <x:c r="G617" s="2" t="str">
        <x:v>Small (&lt;100 beds)</x:v>
      </x:c>
      <x:c r="H617" s="7"/>
      <x:c r="I617" s="7"/>
      <x:c r="J617" s="7"/>
      <x:c r="K617" s="8" t="n">
        <x:v>16</x:v>
      </x:c>
      <x:c r="L617" s="8" t="n">
        <x:v>170</x:v>
      </x:c>
      <x:c r="M617" s="9" t="n">
        <x:v>0.2465753425</x:v>
      </x:c>
      <x:c r="N617" s="10" t="n">
        <x:v>302253.6411764706</x:v>
      </x:c>
      <x:c r="O617" s="9" t="n">
        <x:v>-0.0180995945</x:v>
      </x:c>
      <x:c r="P617" s="9" t="n">
        <x:v>0.8765799257</x:v>
      </x:c>
      <x:c r="Q617" s="9" t="n">
        <x:v>0.292936803</x:v>
      </x:c>
      <x:c r="R617" s="3" t="b">
        <x:v>0</x:v>
      </x:c>
      <x:c r="S617" s="3" t="b">
        <x:v>0</x:v>
      </x:c>
      <x:c r="T617" s="3" t="b">
        <x:v>0</x:v>
      </x:c>
      <x:c r="U617" s="2" t="str">
        <x:f>IF(T617=TRUE,"Priority review",IF(R617=TRUE,"High cost",IF(S617=TRUE,"Low quality","Benchmark")))</x:f>
        <x:v>Benchmark</x:v>
      </x:c>
    </x:row>
    <x:row r="618">
      <x:c r="A618" s="2" t="str">
        <x:v>670285</x:v>
      </x:c>
      <x:c r="B618" s="2" t="str">
        <x:v>ELITE HOSPITAL KINGWOOD</x:v>
      </x:c>
      <x:c r="C618" s="2" t="str">
        <x:v>KINGWOOD</x:v>
      </x:c>
      <x:c r="D618" s="2" t="str">
        <x:v>TX</x:v>
      </x:c>
      <x:c r="E618" s="2" t="str">
        <x:v>Acute Care Hospitals</x:v>
      </x:c>
      <x:c r="F618" s="2" t="str">
        <x:v>Proprietary</x:v>
      </x:c>
      <x:c r="G618" s="2" t="str">
        <x:v>Small (&lt;100 beds)</x:v>
      </x:c>
      <x:c r="H618" s="7"/>
      <x:c r="I618" s="7"/>
      <x:c r="J618" s="7"/>
      <x:c r="K618" s="8" t="n">
        <x:v>6</x:v>
      </x:c>
      <x:c r="L618" s="8" t="n">
        <x:v>115</x:v>
      </x:c>
      <x:c r="M618" s="9" t="n">
        <x:v>0.1270491803</x:v>
      </x:c>
      <x:c r="N618" s="10" t="n">
        <x:v>131005.4608695652</x:v>
      </x:c>
      <x:c r="O618" s="9" t="n">
        <x:v>0.3576891656</x:v>
      </x:c>
      <x:c r="P618" s="9" t="n">
        <x:v>0.8761220826</x:v>
      </x:c>
      <x:c r="Q618" s="9" t="n">
        <x:v>0.697486535</x:v>
      </x:c>
      <x:c r="R618" s="3" t="b">
        <x:v>0</x:v>
      </x:c>
      <x:c r="S618" s="3" t="b">
        <x:v>0</x:v>
      </x:c>
      <x:c r="T618" s="3" t="b">
        <x:v>0</x:v>
      </x:c>
      <x:c r="U618" s="2" t="str">
        <x:f>IF(T618=TRUE,"Priority review",IF(R618=TRUE,"High cost",IF(S618=TRUE,"Low quality","Benchmark")))</x:f>
        <x:v>Benchmark</x:v>
      </x:c>
    </x:row>
    <x:row r="619">
      <x:c r="A619" s="2" t="str">
        <x:v>310005</x:v>
      </x:c>
      <x:c r="B619" s="2" t="str">
        <x:v>HUNTERDON MEDICAL CENTER</x:v>
      </x:c>
      <x:c r="C619" s="2" t="str">
        <x:v>FLEMINGTON</x:v>
      </x:c>
      <x:c r="D619" s="2" t="str">
        <x:v>NJ</x:v>
      </x:c>
      <x:c r="E619" s="2" t="str">
        <x:v>Acute Care Hospitals</x:v>
      </x:c>
      <x:c r="F619" s="2" t="str">
        <x:v>Voluntary non-profit</x:v>
      </x:c>
      <x:c r="G619" s="2" t="str">
        <x:v>Medium (100-299 beds)</x:v>
      </x:c>
      <x:c r="H619" s="7" t="n">
        <x:v>4</x:v>
      </x:c>
      <x:c r="I619" s="7" t="n">
        <x:v>3</x:v>
      </x:c>
      <x:c r="J619" s="7" t="n">
        <x:v>0.98</x:v>
      </x:c>
      <x:c r="K619" s="8" t="n">
        <x:v>184</x:v>
      </x:c>
      <x:c r="L619" s="8" t="n">
        <x:v>7804</x:v>
      </x:c>
      <x:c r="M619" s="9" t="n">
        <x:v>0.5645788786</x:v>
      </x:c>
      <x:c r="N619" s="10" t="n">
        <x:v>57437.3216299334</x:v>
      </x:c>
      <x:c r="O619" s="9" t="n">
        <x:v>-0.0580293852</x:v>
      </x:c>
      <x:c r="P619" s="9" t="n">
        <x:v>0.8761206194</x:v>
      </x:c>
      <x:c r="Q619" s="9" t="n">
        <x:v>0.6022819886</x:v>
      </x:c>
      <x:c r="R619" s="3" t="b">
        <x:v>0</x:v>
      </x:c>
      <x:c r="S619" s="3" t="b">
        <x:v>0</x:v>
      </x:c>
      <x:c r="T619" s="3" t="b">
        <x:v>0</x:v>
      </x:c>
      <x:c r="U619" s="2" t="str">
        <x:f>IF(T619=TRUE,"Priority review",IF(R619=TRUE,"High cost",IF(S619=TRUE,"Low quality","Benchmark")))</x:f>
        <x:v>Benchmark</x:v>
      </x:c>
    </x:row>
    <x:row r="620">
      <x:c r="A620" s="2" t="str">
        <x:v>231311</x:v>
      </x:c>
      <x:c r="B620" s="2" t="str">
        <x:v>DECKERVILLE COMMUNITY HOSPITAL</x:v>
      </x:c>
      <x:c r="C620" s="2" t="str">
        <x:v>DECKERVILLE</x:v>
      </x:c>
      <x:c r="D620" s="2" t="str">
        <x:v>MI</x:v>
      </x:c>
      <x:c r="E620" s="2" t="str">
        <x:v>Critical Access Hospitals</x:v>
      </x:c>
      <x:c r="F620" s="2" t="str">
        <x:v>Voluntary non-profit</x:v>
      </x:c>
      <x:c r="G620" s="2" t="str">
        <x:v>Small (&lt;100 beds)</x:v>
      </x:c>
      <x:c r="H620" s="7"/>
      <x:c r="I620" s="7"/>
      <x:c r="J620" s="7"/>
      <x:c r="K620" s="8" t="n">
        <x:v>15</x:v>
      </x:c>
      <x:c r="L620" s="8" t="n">
        <x:v>22</x:v>
      </x:c>
      <x:c r="M620" s="9" t="n">
        <x:v>0.0862318841</x:v>
      </x:c>
      <x:c r="N620" s="10" t="n">
        <x:v>301636.1363636364</x:v>
      </x:c>
      <x:c r="O620" s="9" t="n">
        <x:v>-0.2019354508</x:v>
      </x:c>
      <x:c r="P620" s="9" t="n">
        <x:v>0.8758364312</x:v>
      </x:c>
      <x:c r="Q620" s="9" t="n">
        <x:v>0.292936803</x:v>
      </x:c>
      <x:c r="R620" s="3" t="b">
        <x:v>0</x:v>
      </x:c>
      <x:c r="S620" s="3" t="b">
        <x:v>0</x:v>
      </x:c>
      <x:c r="T620" s="3" t="b">
        <x:v>0</x:v>
      </x:c>
      <x:c r="U620" s="2" t="str">
        <x:f>IF(T620=TRUE,"Priority review",IF(R620=TRUE,"High cost",IF(S620=TRUE,"Low quality","Benchmark")))</x:f>
        <x:v>Benchmark</x:v>
      </x:c>
    </x:row>
    <x:row r="621">
      <x:c r="A621" s="2" t="str">
        <x:v>364011</x:v>
      </x:c>
      <x:c r="B621" s="2" t="str">
        <x:v>NORTHCOAST BEHAVIORAL HEALTHCARE NORTHFIELD CAMPUS</x:v>
      </x:c>
      <x:c r="C621" s="2" t="str">
        <x:v>NORTHFIELD</x:v>
      </x:c>
      <x:c r="D621" s="2" t="str">
        <x:v>OH</x:v>
      </x:c>
      <x:c r="E621" s="2" t="str">
        <x:v>Psychiatric</x:v>
      </x:c>
      <x:c r="F621" s="2" t="str">
        <x:v>Government</x:v>
      </x:c>
      <x:c r="G621" s="2" t="str">
        <x:v>Medium (100-299 beds)</x:v>
      </x:c>
      <x:c r="H621" s="7"/>
      <x:c r="I621" s="7"/>
      <x:c r="J621" s="7"/>
      <x:c r="K621" s="8" t="n">
        <x:v>258</x:v>
      </x:c>
      <x:c r="L621" s="8" t="n">
        <x:v>351</x:v>
      </x:c>
      <x:c r="M621" s="9" t="n">
        <x:v>0.9710842094</x:v>
      </x:c>
      <x:c r="N621" s="10" t="n">
        <x:v>198500.5698005698</x:v>
      </x:c>
      <x:c r="O621" s="9"/>
      <x:c r="P621" s="9" t="n">
        <x:v>0.8756218905</x:v>
      </x:c>
      <x:c r="Q621" s="9" t="n">
        <x:v>0</x:v>
      </x:c>
      <x:c r="R621" s="3" t="b">
        <x:v>0</x:v>
      </x:c>
      <x:c r="S621" s="3" t="b">
        <x:v>0</x:v>
      </x:c>
      <x:c r="T621" s="3" t="b">
        <x:v>0</x:v>
      </x:c>
      <x:c r="U621" s="2" t="str">
        <x:f>IF(T621=TRUE,"Priority review",IF(R621=TRUE,"High cost",IF(S621=TRUE,"Low quality","Benchmark")))</x:f>
        <x:v>Benchmark</x:v>
      </x:c>
    </x:row>
    <x:row r="622">
      <x:c r="A622" s="2" t="str">
        <x:v>050071</x:v>
      </x:c>
      <x:c r="B622" s="2" t="str">
        <x:v>KAISER FOUNDATION HOSPITAL-SANTA CLARA</x:v>
      </x:c>
      <x:c r="C622" s="2" t="str">
        <x:v>SANTA CLARA</x:v>
      </x:c>
      <x:c r="D622" s="2" t="str">
        <x:v>CA</x:v>
      </x:c>
      <x:c r="E622" s="2" t="str">
        <x:v>Acute Care Hospitals</x:v>
      </x:c>
      <x:c r="F622" s="2" t="str">
        <x:v>Voluntary non-profit</x:v>
      </x:c>
      <x:c r="G622" s="2" t="str">
        <x:v>Large (300+ beds)</x:v>
      </x:c>
      <x:c r="H622" s="7" t="n">
        <x:v>2</x:v>
      </x:c>
      <x:c r="I622" s="7" t="n">
        <x:v>3</x:v>
      </x:c>
      <x:c r="J622" s="7" t="n">
        <x:v>1.01</x:v>
      </x:c>
      <x:c r="K622" s="8" t="n">
        <x:v>357</x:v>
      </x:c>
      <x:c r="L622" s="8" t="n">
        <x:v>17805</x:v>
      </x:c>
      <x:c r="M622" s="9" t="n">
        <x:v>0.7708723267</x:v>
      </x:c>
      <x:c r="N622" s="10" t="n">
        <x:v>70802.4266217355</x:v>
      </x:c>
      <x:c r="O622" s="9" t="n">
        <x:v>0.171724622</x:v>
      </x:c>
      <x:c r="P622" s="9" t="n">
        <x:v>0.8753943218</x:v>
      </x:c>
      <x:c r="Q622" s="9" t="n">
        <x:v>0.0536277603</x:v>
      </x:c>
      <x:c r="R622" s="3" t="b">
        <x:v>0</x:v>
      </x:c>
      <x:c r="S622" s="3" t="b">
        <x:v>1</x:v>
      </x:c>
      <x:c r="T622" s="3" t="b">
        <x:v>0</x:v>
      </x:c>
      <x:c r="U622" s="2" t="str">
        <x:f>IF(T622=TRUE,"Priority review",IF(R622=TRUE,"High cost",IF(S622=TRUE,"Low quality","Benchmark")))</x:f>
        <x:v>Low quality</x:v>
      </x:c>
    </x:row>
    <x:row r="623">
      <x:c r="A623" s="2" t="str">
        <x:v>300018</x:v>
      </x:c>
      <x:c r="B623" s="2" t="str">
        <x:v>WENTWORTH-DOUGLASS HOSPITAL</x:v>
      </x:c>
      <x:c r="C623" s="2" t="str">
        <x:v>DOVER</x:v>
      </x:c>
      <x:c r="D623" s="2" t="str">
        <x:v>NH</x:v>
      </x:c>
      <x:c r="E623" s="2" t="str">
        <x:v>Acute Care Hospitals</x:v>
      </x:c>
      <x:c r="F623" s="2" t="str">
        <x:v>Voluntary non-profit</x:v>
      </x:c>
      <x:c r="G623" s="2" t="str">
        <x:v>Medium (100-299 beds)</x:v>
      </x:c>
      <x:c r="H623" s="7" t="n">
        <x:v>4</x:v>
      </x:c>
      <x:c r="I623" s="7" t="n">
        <x:v>4</x:v>
      </x:c>
      <x:c r="J623" s="7" t="n">
        <x:v>0.94</x:v>
      </x:c>
      <x:c r="K623" s="8" t="n">
        <x:v>118</x:v>
      </x:c>
      <x:c r="L623" s="8" t="n">
        <x:v>9007</x:v>
      </x:c>
      <x:c r="M623" s="9" t="n">
        <x:v>1.0162776697</x:v>
      </x:c>
      <x:c r="N623" s="10" t="n">
        <x:v>57305.2725657822</x:v>
      </x:c>
      <x:c r="O623" s="9" t="n">
        <x:v>0.1350155655</x:v>
      </x:c>
      <x:c r="P623" s="9" t="n">
        <x:v>0.8753056235</x:v>
      </x:c>
      <x:c r="Q623" s="9" t="n">
        <x:v>0.6022819886</x:v>
      </x:c>
      <x:c r="R623" s="3" t="b">
        <x:v>0</x:v>
      </x:c>
      <x:c r="S623" s="3" t="b">
        <x:v>0</x:v>
      </x:c>
      <x:c r="T623" s="3" t="b">
        <x:v>0</x:v>
      </x:c>
      <x:c r="U623" s="2" t="str">
        <x:f>IF(T623=TRUE,"Priority review",IF(R623=TRUE,"High cost",IF(S623=TRUE,"Low quality","Benchmark")))</x:f>
        <x:v>Benchmark</x:v>
      </x:c>
    </x:row>
    <x:row r="624">
      <x:c r="A624" s="2" t="str">
        <x:v>170190</x:v>
      </x:c>
      <x:c r="B624" s="2" t="str">
        <x:v>MANHATTAN SURGICAL HOSPITAL LLC</x:v>
      </x:c>
      <x:c r="C624" s="2" t="str">
        <x:v>MANHATTAN</x:v>
      </x:c>
      <x:c r="D624" s="2" t="str">
        <x:v>KS</x:v>
      </x:c>
      <x:c r="E624" s="2" t="str">
        <x:v>Acute Care Hospitals</x:v>
      </x:c>
      <x:c r="F624" s="2" t="str">
        <x:v>Other / unknown</x:v>
      </x:c>
      <x:c r="G624" s="2" t="str">
        <x:v>Small (&lt;100 beds)</x:v>
      </x:c>
      <x:c r="H624" s="7"/>
      <x:c r="I624" s="7"/>
      <x:c r="J624" s="7" t="n">
        <x:v>0.96</x:v>
      </x:c>
      <x:c r="K624" s="8" t="n">
        <x:v>13</x:v>
      </x:c>
      <x:c r="L624" s="8" t="n">
        <x:v>327</x:v>
      </x:c>
      <x:c r="M624" s="9" t="n">
        <x:v>0.0998318621</x:v>
      </x:c>
      <x:c r="N624" s="10" t="n">
        <x:v>129123.7155963303</x:v>
      </x:c>
      <x:c r="O624" s="9" t="n">
        <x:v>0.1093109804</x:v>
      </x:c>
      <x:c r="P624" s="9" t="n">
        <x:v>0.8752244165</x:v>
      </x:c>
      <x:c r="Q624" s="9" t="n">
        <x:v>0.697486535</x:v>
      </x:c>
      <x:c r="R624" s="3" t="b">
        <x:v>0</x:v>
      </x:c>
      <x:c r="S624" s="3" t="b">
        <x:v>0</x:v>
      </x:c>
      <x:c r="T624" s="3" t="b">
        <x:v>0</x:v>
      </x:c>
      <x:c r="U624" s="2" t="str">
        <x:f>IF(T624=TRUE,"Priority review",IF(R624=TRUE,"High cost",IF(S624=TRUE,"Low quality","Benchmark")))</x:f>
        <x:v>Benchmark</x:v>
      </x:c>
    </x:row>
    <x:row r="625">
      <x:c r="A625" s="2" t="str">
        <x:v>461305</x:v>
      </x:c>
      <x:c r="B625" s="2" t="str">
        <x:v>MILFORD MEMORIAL HOSPITAL</x:v>
      </x:c>
      <x:c r="C625" s="2" t="str">
        <x:v>MILFORD</x:v>
      </x:c>
      <x:c r="D625" s="2" t="str">
        <x:v>UT</x:v>
      </x:c>
      <x:c r="E625" s="2" t="str">
        <x:v>Critical Access Hospitals</x:v>
      </x:c>
      <x:c r="F625" s="2" t="str">
        <x:v>Voluntary non-profit</x:v>
      </x:c>
      <x:c r="G625" s="2" t="str">
        <x:v>Small (&lt;100 beds)</x:v>
      </x:c>
      <x:c r="H625" s="7"/>
      <x:c r="I625" s="7"/>
      <x:c r="J625" s="7"/>
      <x:c r="K625" s="8" t="n">
        <x:v>23</x:v>
      </x:c>
      <x:c r="L625" s="8" t="n">
        <x:v>24</x:v>
      </x:c>
      <x:c r="M625" s="9" t="n">
        <x:v>0.4875267284</x:v>
      </x:c>
      <x:c r="N625" s="10" t="n">
        <x:v>301049.2083333333</x:v>
      </x:c>
      <x:c r="O625" s="9" t="n">
        <x:v>0.1055543252</x:v>
      </x:c>
      <x:c r="P625" s="9" t="n">
        <x:v>0.8750929368</x:v>
      </x:c>
      <x:c r="Q625" s="9" t="n">
        <x:v>0.292936803</x:v>
      </x:c>
      <x:c r="R625" s="3" t="b">
        <x:v>0</x:v>
      </x:c>
      <x:c r="S625" s="3" t="b">
        <x:v>0</x:v>
      </x:c>
      <x:c r="T625" s="3" t="b">
        <x:v>0</x:v>
      </x:c>
      <x:c r="U625" s="2" t="str">
        <x:f>IF(T625=TRUE,"Priority review",IF(R625=TRUE,"High cost",IF(S625=TRUE,"Low quality","Benchmark")))</x:f>
        <x:v>Benchmark</x:v>
      </x:c>
    </x:row>
    <x:row r="626">
      <x:c r="A626" s="2" t="str">
        <x:v>493301</x:v>
      </x:c>
      <x:c r="B626" s="2" t="str">
        <x:v>CHILDRENS HOSPITAL OF THE KINGS DAUGHTERS INC</x:v>
      </x:c>
      <x:c r="C626" s="2" t="str">
        <x:v>NORFOLK</x:v>
      </x:c>
      <x:c r="D626" s="2" t="str">
        <x:v>VA</x:v>
      </x:c>
      <x:c r="E626" s="2" t="str">
        <x:v>Childrens</x:v>
      </x:c>
      <x:c r="F626" s="2" t="str">
        <x:v>Voluntary non-profit</x:v>
      </x:c>
      <x:c r="G626" s="2" t="str">
        <x:v>Medium (100-299 beds)</x:v>
      </x:c>
      <x:c r="H626" s="7"/>
      <x:c r="I626" s="7"/>
      <x:c r="J626" s="7"/>
      <x:c r="K626" s="8" t="n">
        <x:v>192</x:v>
      </x:c>
      <x:c r="L626" s="8" t="n">
        <x:v>4556</x:v>
      </x:c>
      <x:c r="M626" s="9" t="n">
        <x:v>0.6437357306</x:v>
      </x:c>
      <x:c r="N626" s="10" t="n">
        <x:v>154757.5118525022</x:v>
      </x:c>
      <x:c r="O626" s="9" t="n">
        <x:v>0.0386381417</x:v>
      </x:c>
      <x:c r="P626" s="9" t="n">
        <x:v>0.875</x:v>
      </x:c>
      <x:c r="Q626" s="9" t="n">
        <x:v>0</x:v>
      </x:c>
      <x:c r="R626" s="3" t="b">
        <x:v>0</x:v>
      </x:c>
      <x:c r="S626" s="3" t="b">
        <x:v>0</x:v>
      </x:c>
      <x:c r="T626" s="3" t="b">
        <x:v>0</x:v>
      </x:c>
      <x:c r="U626" s="2" t="str">
        <x:f>IF(T626=TRUE,"Priority review",IF(R626=TRUE,"High cost",IF(S626=TRUE,"Low quality","Benchmark")))</x:f>
        <x:v>Benchmark</x:v>
      </x:c>
    </x:row>
    <x:row r="627">
      <x:c r="A627" s="2" t="str">
        <x:v>450330</x:v>
      </x:c>
      <x:c r="B627" s="2" t="str">
        <x:v>OAKBEND MEDICAL CENTER</x:v>
      </x:c>
      <x:c r="C627" s="2" t="str">
        <x:v>RICHMOND</x:v>
      </x:c>
      <x:c r="D627" s="2" t="str">
        <x:v>TX</x:v>
      </x:c>
      <x:c r="E627" s="2" t="str">
        <x:v>Acute Care Hospitals</x:v>
      </x:c>
      <x:c r="F627" s="2" t="str">
        <x:v>Government</x:v>
      </x:c>
      <x:c r="G627" s="2" t="str">
        <x:v>Medium (100-299 beds)</x:v>
      </x:c>
      <x:c r="H627" s="7" t="n">
        <x:v>3</x:v>
      </x:c>
      <x:c r="I627" s="7" t="n">
        <x:v>2</x:v>
      </x:c>
      <x:c r="J627" s="7" t="n">
        <x:v>1.12</x:v>
      </x:c>
      <x:c r="K627" s="8" t="n">
        <x:v>158</x:v>
      </x:c>
      <x:c r="L627" s="8" t="n">
        <x:v>2895</x:v>
      </x:c>
      <x:c r="M627" s="9" t="n">
        <x:v>0.1998685758</x:v>
      </x:c>
      <x:c r="N627" s="10" t="n">
        <x:v>57206.2569948187</x:v>
      </x:c>
      <x:c r="O627" s="9" t="n">
        <x:v>-0.1024114225</x:v>
      </x:c>
      <x:c r="P627" s="9" t="n">
        <x:v>0.8744906275</x:v>
      </x:c>
      <x:c r="Q627" s="9" t="n">
        <x:v>0.3023634882</x:v>
      </x:c>
      <x:c r="R627" s="3" t="b">
        <x:v>0</x:v>
      </x:c>
      <x:c r="S627" s="3" t="b">
        <x:v>0</x:v>
      </x:c>
      <x:c r="T627" s="3" t="b">
        <x:v>0</x:v>
      </x:c>
      <x:c r="U627" s="2" t="str">
        <x:f>IF(T627=TRUE,"Priority review",IF(R627=TRUE,"High cost",IF(S627=TRUE,"Low quality","Benchmark")))</x:f>
        <x:v>Benchmark</x:v>
      </x:c>
    </x:row>
    <x:row r="628">
      <x:c r="A628" s="2" t="str">
        <x:v>451334</x:v>
      </x:c>
      <x:c r="B628" s="2" t="str">
        <x:v>PARKVIEW HOSPITAL</x:v>
      </x:c>
      <x:c r="C628" s="2" t="str">
        <x:v>WHEELER</x:v>
      </x:c>
      <x:c r="D628" s="2" t="str">
        <x:v>TX</x:v>
      </x:c>
      <x:c r="E628" s="2" t="str">
        <x:v>Critical Access Hospitals</x:v>
      </x:c>
      <x:c r="F628" s="2" t="str">
        <x:v>Government</x:v>
      </x:c>
      <x:c r="G628" s="2" t="str">
        <x:v>Small (&lt;100 beds)</x:v>
      </x:c>
      <x:c r="H628" s="7"/>
      <x:c r="I628" s="7"/>
      <x:c r="J628" s="7"/>
      <x:c r="K628" s="8" t="n">
        <x:v>15</x:v>
      </x:c>
      <x:c r="L628" s="8" t="n">
        <x:v>35</x:v>
      </x:c>
      <x:c r="M628" s="9" t="n">
        <x:v>0.0918721461</x:v>
      </x:c>
      <x:c r="N628" s="10" t="n">
        <x:v>300957.7714285714</x:v>
      </x:c>
      <x:c r="O628" s="9" t="n">
        <x:v>-1.1027873278</x:v>
      </x:c>
      <x:c r="P628" s="9" t="n">
        <x:v>0.8743494424</x:v>
      </x:c>
      <x:c r="Q628" s="9" t="n">
        <x:v>0.292936803</x:v>
      </x:c>
      <x:c r="R628" s="3" t="b">
        <x:v>0</x:v>
      </x:c>
      <x:c r="S628" s="3" t="b">
        <x:v>0</x:v>
      </x:c>
      <x:c r="T628" s="3" t="b">
        <x:v>0</x:v>
      </x:c>
      <x:c r="U628" s="2" t="str">
        <x:f>IF(T628=TRUE,"Priority review",IF(R628=TRUE,"High cost",IF(S628=TRUE,"Low quality","Benchmark")))</x:f>
        <x:v>Benchmark</x:v>
      </x:c>
    </x:row>
    <x:row r="629">
      <x:c r="A629" s="2" t="str">
        <x:v>330166</x:v>
      </x:c>
      <x:c r="B629" s="2" t="str">
        <x:v>WESTFIELD MEMORIAL HOSPITAL, INC</x:v>
      </x:c>
      <x:c r="C629" s="2" t="str">
        <x:v>WESTFIELD</x:v>
      </x:c>
      <x:c r="D629" s="2" t="str">
        <x:v>NY</x:v>
      </x:c>
      <x:c r="E629" s="2" t="str">
        <x:v>Acute Care Hospitals</x:v>
      </x:c>
      <x:c r="F629" s="2" t="str">
        <x:v>Voluntary non-profit</x:v>
      </x:c>
      <x:c r="G629" s="2" t="str">
        <x:v>Small (&lt;100 beds)</x:v>
      </x:c>
      <x:c r="H629" s="7"/>
      <x:c r="I629" s="7"/>
      <x:c r="J629" s="7" t="n">
        <x:v>0.86</x:v>
      </x:c>
      <x:c r="K629" s="8" t="n">
        <x:v>4</x:v>
      </x:c>
      <x:c r="L629" s="8" t="n">
        <x:v>113</x:v>
      </x:c>
      <x:c r="M629" s="9" t="n">
        <x:v>0.2978142077</x:v>
      </x:c>
      <x:c r="N629" s="10" t="n">
        <x:v>129029.3097345133</x:v>
      </x:c>
      <x:c r="O629" s="9" t="n">
        <x:v>-0.6637242503</x:v>
      </x:c>
      <x:c r="P629" s="9" t="n">
        <x:v>0.8743267504</x:v>
      </x:c>
      <x:c r="Q629" s="9" t="n">
        <x:v>0.697486535</x:v>
      </x:c>
      <x:c r="R629" s="3" t="b">
        <x:v>0</x:v>
      </x:c>
      <x:c r="S629" s="3" t="b">
        <x:v>0</x:v>
      </x:c>
      <x:c r="T629" s="3" t="b">
        <x:v>0</x:v>
      </x:c>
      <x:c r="U629" s="2" t="str">
        <x:f>IF(T629=TRUE,"Priority review",IF(R629=TRUE,"High cost",IF(S629=TRUE,"Low quality","Benchmark")))</x:f>
        <x:v>Benchmark</x:v>
      </x:c>
    </x:row>
    <x:row r="630">
      <x:c r="A630" s="2" t="str">
        <x:v>390164</x:v>
      </x:c>
      <x:c r="B630" s="2" t="str">
        <x:v>UPMC PRESBYTERIAN SHADYSIDE</x:v>
      </x:c>
      <x:c r="C630" s="2" t="str">
        <x:v>PITTSBURGH</x:v>
      </x:c>
      <x:c r="D630" s="2" t="str">
        <x:v>PA</x:v>
      </x:c>
      <x:c r="E630" s="2" t="str">
        <x:v>Acute Care Hospitals</x:v>
      </x:c>
      <x:c r="F630" s="2" t="str">
        <x:v>Voluntary non-profit</x:v>
      </x:c>
      <x:c r="G630" s="2" t="str">
        <x:v>Large (300+ beds)</x:v>
      </x:c>
      <x:c r="H630" s="7" t="n">
        <x:v>4</x:v>
      </x:c>
      <x:c r="I630" s="7" t="n">
        <x:v>3</x:v>
      </x:c>
      <x:c r="J630" s="7" t="n">
        <x:v>1.01</x:v>
      </x:c>
      <x:c r="K630" s="8" t="n">
        <x:v>1093</x:v>
      </x:c>
      <x:c r="L630" s="8" t="n">
        <x:v>42722</x:v>
      </x:c>
      <x:c r="M630" s="9" t="n">
        <x:v>0.7728139813</x:v>
      </x:c>
      <x:c r="N630" s="10" t="n">
        <x:v>70705.3765273161</x:v>
      </x:c>
      <x:c r="O630" s="9" t="n">
        <x:v>-0.2428041347</x:v>
      </x:c>
      <x:c r="P630" s="9" t="n">
        <x:v>0.8738170347</x:v>
      </x:c>
      <x:c r="Q630" s="9" t="n">
        <x:v>0.5899053628</x:v>
      </x:c>
      <x:c r="R630" s="3" t="b">
        <x:v>0</x:v>
      </x:c>
      <x:c r="S630" s="3" t="b">
        <x:v>0</x:v>
      </x:c>
      <x:c r="T630" s="3" t="b">
        <x:v>0</x:v>
      </x:c>
      <x:c r="U630" s="2" t="str">
        <x:f>IF(T630=TRUE,"Priority review",IF(R630=TRUE,"High cost",IF(S630=TRUE,"Low quality","Benchmark")))</x:f>
        <x:v>Benchmark</x:v>
      </x:c>
    </x:row>
    <x:row r="631">
      <x:c r="A631" s="2" t="str">
        <x:v>244011</x:v>
      </x:c>
      <x:c r="B631" s="2" t="str">
        <x:v>COMMUNITY BEHAVIORAL HEALTH HOSPITAL ANNANDALE</x:v>
      </x:c>
      <x:c r="C631" s="2" t="str">
        <x:v>ANNANDALE</x:v>
      </x:c>
      <x:c r="D631" s="2" t="str">
        <x:v>MN</x:v>
      </x:c>
      <x:c r="E631" s="2" t="str">
        <x:v>Psychiatric</x:v>
      </x:c>
      <x:c r="F631" s="2" t="str">
        <x:v>Government</x:v>
      </x:c>
      <x:c r="G631" s="2" t="str">
        <x:v>Small (&lt;100 beds)</x:v>
      </x:c>
      <x:c r="H631" s="7"/>
      <x:c r="I631" s="7"/>
      <x:c r="J631" s="7"/>
      <x:c r="K631" s="8" t="n">
        <x:v>16</x:v>
      </x:c>
      <x:c r="L631" s="8" t="n">
        <x:v>104</x:v>
      </x:c>
      <x:c r="M631" s="9" t="n">
        <x:v>0.9450342466</x:v>
      </x:c>
      <x:c r="N631" s="10" t="n">
        <x:v>93346.5480769231</x:v>
      </x:c>
      <x:c r="O631" s="9"/>
      <x:c r="P631" s="9" t="n">
        <x:v>0.8737864078</x:v>
      </x:c>
      <x:c r="Q631" s="9" t="n">
        <x:v>0</x:v>
      </x:c>
      <x:c r="R631" s="3" t="b">
        <x:v>0</x:v>
      </x:c>
      <x:c r="S631" s="3" t="b">
        <x:v>0</x:v>
      </x:c>
      <x:c r="T631" s="3" t="b">
        <x:v>0</x:v>
      </x:c>
      <x:c r="U631" s="2" t="str">
        <x:f>IF(T631=TRUE,"Priority review",IF(R631=TRUE,"High cost",IF(S631=TRUE,"Low quality","Benchmark")))</x:f>
        <x:v>Benchmark</x:v>
      </x:c>
    </x:row>
    <x:row r="632">
      <x:c r="A632" s="2" t="str">
        <x:v>080009</x:v>
      </x:c>
      <x:c r="B632" s="2" t="str">
        <x:v>BAYHEALTH HOSPITAL, SUSSEX CAMPUS</x:v>
      </x:c>
      <x:c r="C632" s="2" t="str">
        <x:v>MILFORD</x:v>
      </x:c>
      <x:c r="D632" s="2" t="str">
        <x:v>DE</x:v>
      </x:c>
      <x:c r="E632" s="2" t="str">
        <x:v>Acute Care Hospitals</x:v>
      </x:c>
      <x:c r="F632" s="2" t="str">
        <x:v>Voluntary non-profit</x:v>
      </x:c>
      <x:c r="G632" s="2" t="str">
        <x:v>Medium (100-299 beds)</x:v>
      </x:c>
      <x:c r="H632" s="7" t="n">
        <x:v>3</x:v>
      </x:c>
      <x:c r="I632" s="7" t="n">
        <x:v>4</x:v>
      </x:c>
      <x:c r="J632" s="7" t="n">
        <x:v>1.01</x:v>
      </x:c>
      <x:c r="K632" s="8" t="n">
        <x:v>128</x:v>
      </x:c>
      <x:c r="L632" s="8" t="n">
        <x:v>6741</x:v>
      </x:c>
      <x:c r="M632" s="9" t="n">
        <x:v>0.7420590753</x:v>
      </x:c>
      <x:c r="N632" s="10" t="n">
        <x:v>57140.0707610147</x:v>
      </x:c>
      <x:c r="O632" s="9" t="n">
        <x:v>0.1534240329</x:v>
      </x:c>
      <x:c r="P632" s="9" t="n">
        <x:v>0.8736756316</x:v>
      </x:c>
      <x:c r="Q632" s="9" t="n">
        <x:v>0.3023634882</x:v>
      </x:c>
      <x:c r="R632" s="3" t="b">
        <x:v>0</x:v>
      </x:c>
      <x:c r="S632" s="3" t="b">
        <x:v>0</x:v>
      </x:c>
      <x:c r="T632" s="3" t="b">
        <x:v>0</x:v>
      </x:c>
      <x:c r="U632" s="2" t="str">
        <x:f>IF(T632=TRUE,"Priority review",IF(R632=TRUE,"High cost",IF(S632=TRUE,"Low quality","Benchmark")))</x:f>
        <x:v>Benchmark</x:v>
      </x:c>
    </x:row>
    <x:row r="633">
      <x:c r="A633" s="2" t="str">
        <x:v>501313</x:v>
      </x:c>
      <x:c r="B633" s="2" t="str">
        <x:v>CASCADE MEDICAL CENTER</x:v>
      </x:c>
      <x:c r="C633" s="2" t="str">
        <x:v>LEAVENWORTH</x:v>
      </x:c>
      <x:c r="D633" s="2" t="str">
        <x:v>WA</x:v>
      </x:c>
      <x:c r="E633" s="2" t="str">
        <x:v>Critical Access Hospitals</x:v>
      </x:c>
      <x:c r="F633" s="2" t="str">
        <x:v>Government</x:v>
      </x:c>
      <x:c r="G633" s="2" t="str">
        <x:v>Small (&lt;100 beds)</x:v>
      </x:c>
      <x:c r="H633" s="7"/>
      <x:c r="I633" s="7"/>
      <x:c r="J633" s="7"/>
      <x:c r="K633" s="8" t="n">
        <x:v>9</x:v>
      </x:c>
      <x:c r="L633" s="8" t="n">
        <x:v>107</x:v>
      </x:c>
      <x:c r="M633" s="9" t="n">
        <x:v>0.3557984214</x:v>
      </x:c>
      <x:c r="N633" s="10" t="n">
        <x:v>300727.1962616823</x:v>
      </x:c>
      <x:c r="O633" s="9" t="n">
        <x:v>-0.0766071865</x:v>
      </x:c>
      <x:c r="P633" s="9" t="n">
        <x:v>0.873605948</x:v>
      </x:c>
      <x:c r="Q633" s="9" t="n">
        <x:v>0.292936803</x:v>
      </x:c>
      <x:c r="R633" s="3" t="b">
        <x:v>0</x:v>
      </x:c>
      <x:c r="S633" s="3" t="b">
        <x:v>0</x:v>
      </x:c>
      <x:c r="T633" s="3" t="b">
        <x:v>0</x:v>
      </x:c>
      <x:c r="U633" s="2" t="str">
        <x:f>IF(T633=TRUE,"Priority review",IF(R633=TRUE,"High cost",IF(S633=TRUE,"Low quality","Benchmark")))</x:f>
        <x:v>Benchmark</x:v>
      </x:c>
    </x:row>
    <x:row r="634">
      <x:c r="A634" s="2" t="str">
        <x:v>250027</x:v>
      </x:c>
      <x:c r="B634" s="2" t="str">
        <x:v>WINSTON MEDICAL CENTER</x:v>
      </x:c>
      <x:c r="C634" s="2" t="str">
        <x:v>LOUISVILLE</x:v>
      </x:c>
      <x:c r="D634" s="2" t="str">
        <x:v>MS</x:v>
      </x:c>
      <x:c r="E634" s="2" t="str">
        <x:v>Acute Care Hospitals</x:v>
      </x:c>
      <x:c r="F634" s="2" t="str">
        <x:v>Voluntary non-profit</x:v>
      </x:c>
      <x:c r="G634" s="2" t="str">
        <x:v>Small (&lt;100 beds)</x:v>
      </x:c>
      <x:c r="H634" s="7"/>
      <x:c r="I634" s="7"/>
      <x:c r="J634" s="7" t="n">
        <x:v>0.99</x:v>
      </x:c>
      <x:c r="K634" s="8" t="n">
        <x:v>14</x:v>
      </x:c>
      <x:c r="L634" s="8" t="n">
        <x:v>259</x:v>
      </x:c>
      <x:c r="M634" s="9" t="n">
        <x:v>0.2226775956</x:v>
      </x:c>
      <x:c r="N634" s="10" t="n">
        <x:v>128445.2393822394</x:v>
      </x:c>
      <x:c r="O634" s="9" t="n">
        <x:v>-0.1233573162</x:v>
      </x:c>
      <x:c r="P634" s="9" t="n">
        <x:v>0.8734290844</x:v>
      </x:c>
      <x:c r="Q634" s="9" t="n">
        <x:v>0.697486535</x:v>
      </x:c>
      <x:c r="R634" s="3" t="b">
        <x:v>0</x:v>
      </x:c>
      <x:c r="S634" s="3" t="b">
        <x:v>0</x:v>
      </x:c>
      <x:c r="T634" s="3" t="b">
        <x:v>0</x:v>
      </x:c>
      <x:c r="U634" s="2" t="str">
        <x:f>IF(T634=TRUE,"Priority review",IF(R634=TRUE,"High cost",IF(S634=TRUE,"Low quality","Benchmark")))</x:f>
        <x:v>Benchmark</x:v>
      </x:c>
    </x:row>
    <x:row r="635">
      <x:c r="A635" s="2" t="str">
        <x:v>341307</x:v>
      </x:c>
      <x:c r="B635" s="2" t="str">
        <x:v>PENDER MEMORIAL HOSPITAL</x:v>
      </x:c>
      <x:c r="C635" s="2" t="str">
        <x:v>BURGAW</x:v>
      </x:c>
      <x:c r="D635" s="2" t="str">
        <x:v>NC</x:v>
      </x:c>
      <x:c r="E635" s="2" t="str">
        <x:v>Critical Access Hospitals</x:v>
      </x:c>
      <x:c r="F635" s="2" t="str">
        <x:v>Government</x:v>
      </x:c>
      <x:c r="G635" s="2" t="str">
        <x:v>Small (&lt;100 beds)</x:v>
      </x:c>
      <x:c r="H635" s="7"/>
      <x:c r="I635" s="7" t="n">
        <x:v>4</x:v>
      </x:c>
      <x:c r="J635" s="7"/>
      <x:c r="K635" s="8" t="n">
        <x:v>25</x:v>
      </x:c>
      <x:c r="L635" s="8" t="n">
        <x:v>134</x:v>
      </x:c>
      <x:c r="M635" s="9" t="n">
        <x:v>0.3291803279</x:v>
      </x:c>
      <x:c r="N635" s="10" t="n">
        <x:v>300446.5298507463</x:v>
      </x:c>
      <x:c r="O635" s="9" t="n">
        <x:v>-0.0449318379</x:v>
      </x:c>
      <x:c r="P635" s="9" t="n">
        <x:v>0.8728624535</x:v>
      </x:c>
      <x:c r="Q635" s="9" t="n">
        <x:v>0.292936803</x:v>
      </x:c>
      <x:c r="R635" s="3" t="b">
        <x:v>0</x:v>
      </x:c>
      <x:c r="S635" s="3" t="b">
        <x:v>0</x:v>
      </x:c>
      <x:c r="T635" s="3" t="b">
        <x:v>0</x:v>
      </x:c>
      <x:c r="U635" s="2" t="str">
        <x:f>IF(T635=TRUE,"Priority review",IF(R635=TRUE,"High cost",IF(S635=TRUE,"Low quality","Benchmark")))</x:f>
        <x:v>Benchmark</x:v>
      </x:c>
    </x:row>
    <x:row r="636">
      <x:c r="A636" s="2" t="str">
        <x:v>050167</x:v>
      </x:c>
      <x:c r="B636" s="2" t="str">
        <x:v>SAN JOAQUIN GENERAL HOSPITAL</x:v>
      </x:c>
      <x:c r="C636" s="2" t="str">
        <x:v>FRENCH CAMP</x:v>
      </x:c>
      <x:c r="D636" s="2" t="str">
        <x:v>CA</x:v>
      </x:c>
      <x:c r="E636" s="2" t="str">
        <x:v>Acute Care Hospitals</x:v>
      </x:c>
      <x:c r="F636" s="2" t="str">
        <x:v>Government</x:v>
      </x:c>
      <x:c r="G636" s="2" t="str">
        <x:v>Medium (100-299 beds)</x:v>
      </x:c>
      <x:c r="H636" s="7" t="n">
        <x:v>2</x:v>
      </x:c>
      <x:c r="I636" s="7" t="n">
        <x:v>2</x:v>
      </x:c>
      <x:c r="J636" s="7" t="n">
        <x:v>1.01</x:v>
      </x:c>
      <x:c r="K636" s="8" t="n">
        <x:v>152</x:v>
      </x:c>
      <x:c r="L636" s="8" t="n">
        <x:v>9444</x:v>
      </x:c>
      <x:c r="M636" s="9" t="n">
        <x:v>0.9179524153</x:v>
      </x:c>
      <x:c r="N636" s="10" t="n">
        <x:v>57065.9200550614</x:v>
      </x:c>
      <x:c r="O636" s="9" t="n">
        <x:v>-0.8946860672</x:v>
      </x:c>
      <x:c r="P636" s="9" t="n">
        <x:v>0.8728606357</x:v>
      </x:c>
      <x:c r="Q636" s="9" t="n">
        <x:v>0.0782396088</x:v>
      </x:c>
      <x:c r="R636" s="3" t="b">
        <x:v>0</x:v>
      </x:c>
      <x:c r="S636" s="3" t="b">
        <x:v>1</x:v>
      </x:c>
      <x:c r="T636" s="3" t="b">
        <x:v>0</x:v>
      </x:c>
      <x:c r="U636" s="2" t="str">
        <x:f>IF(T636=TRUE,"Priority review",IF(R636=TRUE,"High cost",IF(S636=TRUE,"Low quality","Benchmark")))</x:f>
        <x:v>Low quality</x:v>
      </x:c>
    </x:row>
    <x:row r="637">
      <x:c r="A637" s="2" t="str">
        <x:v>140308</x:v>
      </x:c>
      <x:c r="B637" s="2" t="str">
        <x:v>MERCYHEALTH HOSPITAL &amp; PHYSICIAN CLINIC-CRYSTAL LA</x:v>
      </x:c>
      <x:c r="C637" s="2" t="str">
        <x:v>CRYSTAL LAKE</x:v>
      </x:c>
      <x:c r="D637" s="2" t="str">
        <x:v>IL</x:v>
      </x:c>
      <x:c r="E637" s="2" t="str">
        <x:v>Acute Care Hospitals</x:v>
      </x:c>
      <x:c r="F637" s="2" t="str">
        <x:v>Voluntary non-profit</x:v>
      </x:c>
      <x:c r="G637" s="2" t="str">
        <x:v>Small (&lt;100 beds)</x:v>
      </x:c>
      <x:c r="H637" s="7"/>
      <x:c r="I637" s="7"/>
      <x:c r="J637" s="7" t="n">
        <x:v>1.01</x:v>
      </x:c>
      <x:c r="K637" s="8" t="n">
        <x:v>13</x:v>
      </x:c>
      <x:c r="L637" s="8" t="n">
        <x:v>383</x:v>
      </x:c>
      <x:c r="M637" s="9" t="n">
        <x:v>0.2217070601</x:v>
      </x:c>
      <x:c r="N637" s="10" t="n">
        <x:v>127834.864229765</x:v>
      </x:c>
      <x:c r="O637" s="9" t="n">
        <x:v>-0.152098717</x:v>
      </x:c>
      <x:c r="P637" s="9" t="n">
        <x:v>0.8725314183</x:v>
      </x:c>
      <x:c r="Q637" s="9" t="n">
        <x:v>0.697486535</x:v>
      </x:c>
      <x:c r="R637" s="3" t="b">
        <x:v>0</x:v>
      </x:c>
      <x:c r="S637" s="3" t="b">
        <x:v>0</x:v>
      </x:c>
      <x:c r="T637" s="3" t="b">
        <x:v>0</x:v>
      </x:c>
      <x:c r="U637" s="2" t="str">
        <x:f>IF(T637=TRUE,"Priority review",IF(R637=TRUE,"High cost",IF(S637=TRUE,"Low quality","Benchmark")))</x:f>
        <x:v>Benchmark</x:v>
      </x:c>
    </x:row>
    <x:row r="638">
      <x:c r="A638" s="2" t="str">
        <x:v>390174</x:v>
      </x:c>
      <x:c r="B638" s="2" t="str">
        <x:v>THOMAS JEFFERSON UNIVERSITY HOSPITAL</x:v>
      </x:c>
      <x:c r="C638" s="2" t="str">
        <x:v>PHILADELPHIA</x:v>
      </x:c>
      <x:c r="D638" s="2" t="str">
        <x:v>PA</x:v>
      </x:c>
      <x:c r="E638" s="2" t="str">
        <x:v>Acute Care Hospitals</x:v>
      </x:c>
      <x:c r="F638" s="2" t="str">
        <x:v>Voluntary non-profit</x:v>
      </x:c>
      <x:c r="G638" s="2" t="str">
        <x:v>Large (300+ beds)</x:v>
      </x:c>
      <x:c r="H638" s="7" t="n">
        <x:v>3</x:v>
      </x:c>
      <x:c r="I638" s="7" t="n">
        <x:v>3</x:v>
      </x:c>
      <x:c r="J638" s="7" t="n">
        <x:v>1</x:v>
      </x:c>
      <x:c r="K638" s="8" t="n">
        <x:v>866</x:v>
      </x:c>
      <x:c r="L638" s="8" t="n">
        <x:v>38070</x:v>
      </x:c>
      <x:c r="M638" s="9" t="n">
        <x:v>0.746413996</x:v>
      </x:c>
      <x:c r="N638" s="10" t="n">
        <x:v>69825.5122406094</x:v>
      </x:c>
      <x:c r="O638" s="9" t="n">
        <x:v>-0.2140682289</x:v>
      </x:c>
      <x:c r="P638" s="9" t="n">
        <x:v>0.8722397476</x:v>
      </x:c>
      <x:c r="Q638" s="9" t="n">
        <x:v>0.2570977918</x:v>
      </x:c>
      <x:c r="R638" s="3" t="b">
        <x:v>0</x:v>
      </x:c>
      <x:c r="S638" s="3" t="b">
        <x:v>0</x:v>
      </x:c>
      <x:c r="T638" s="3" t="b">
        <x:v>0</x:v>
      </x:c>
      <x:c r="U638" s="2" t="str">
        <x:f>IF(T638=TRUE,"Priority review",IF(R638=TRUE,"High cost",IF(S638=TRUE,"Low quality","Benchmark")))</x:f>
        <x:v>Benchmark</x:v>
      </x:c>
    </x:row>
    <x:row r="639">
      <x:c r="A639" s="2" t="str">
        <x:v>351320</x:v>
      </x:c>
      <x:c r="B639" s="2" t="str">
        <x:v>UNITY MEDICAL CENTER</x:v>
      </x:c>
      <x:c r="C639" s="2" t="str">
        <x:v>GRAFTON</x:v>
      </x:c>
      <x:c r="D639" s="2" t="str">
        <x:v>ND</x:v>
      </x:c>
      <x:c r="E639" s="2" t="str">
        <x:v>Critical Access Hospitals</x:v>
      </x:c>
      <x:c r="F639" s="2" t="str">
        <x:v>Voluntary non-profit</x:v>
      </x:c>
      <x:c r="G639" s="2" t="str">
        <x:v>Small (&lt;100 beds)</x:v>
      </x:c>
      <x:c r="H639" s="7"/>
      <x:c r="I639" s="7"/>
      <x:c r="J639" s="7"/>
      <x:c r="K639" s="8" t="n">
        <x:v>14</x:v>
      </x:c>
      <x:c r="L639" s="8" t="n">
        <x:v>109</x:v>
      </x:c>
      <x:c r="M639" s="9" t="n">
        <x:v>0.4426614481</x:v>
      </x:c>
      <x:c r="N639" s="10" t="n">
        <x:v>300183.2844036697</x:v>
      </x:c>
      <x:c r="O639" s="9" t="n">
        <x:v>-0.0471137165</x:v>
      </x:c>
      <x:c r="P639" s="9" t="n">
        <x:v>0.8721189591</x:v>
      </x:c>
      <x:c r="Q639" s="9" t="n">
        <x:v>0.292936803</x:v>
      </x:c>
      <x:c r="R639" s="3" t="b">
        <x:v>0</x:v>
      </x:c>
      <x:c r="S639" s="3" t="b">
        <x:v>0</x:v>
      </x:c>
      <x:c r="T639" s="3" t="b">
        <x:v>0</x:v>
      </x:c>
      <x:c r="U639" s="2" t="str">
        <x:f>IF(T639=TRUE,"Priority review",IF(R639=TRUE,"High cost",IF(S639=TRUE,"Low quality","Benchmark")))</x:f>
        <x:v>Benchmark</x:v>
      </x:c>
    </x:row>
    <x:row r="640">
      <x:c r="A640" s="2" t="str">
        <x:v>520021</x:v>
      </x:c>
      <x:c r="B640" s="2" t="str">
        <x:v>FROEDTERT SOUTH INC.</x:v>
      </x:c>
      <x:c r="C640" s="2" t="str">
        <x:v>KENOSHA</x:v>
      </x:c>
      <x:c r="D640" s="2" t="str">
        <x:v>WI</x:v>
      </x:c>
      <x:c r="E640" s="2" t="str">
        <x:v>Acute Care Hospitals</x:v>
      </x:c>
      <x:c r="F640" s="2" t="str">
        <x:v>Government</x:v>
      </x:c>
      <x:c r="G640" s="2" t="str">
        <x:v>Medium (100-299 beds)</x:v>
      </x:c>
      <x:c r="H640" s="7" t="n">
        <x:v>2</x:v>
      </x:c>
      <x:c r="I640" s="7" t="n">
        <x:v>3</x:v>
      </x:c>
      <x:c r="J640" s="7" t="n">
        <x:v>0.98</x:v>
      </x:c>
      <x:c r="K640" s="8" t="n">
        <x:v>151</x:v>
      </x:c>
      <x:c r="L640" s="8" t="n">
        <x:v>7830</x:v>
      </x:c>
      <x:c r="M640" s="9" t="n">
        <x:v>0.6455048535</x:v>
      </x:c>
      <x:c r="N640" s="10" t="n">
        <x:v>57057.2610472541</x:v>
      </x:c>
      <x:c r="O640" s="9" t="n">
        <x:v>0.0103990156</x:v>
      </x:c>
      <x:c r="P640" s="9" t="n">
        <x:v>0.8720456398</x:v>
      </x:c>
      <x:c r="Q640" s="9" t="n">
        <x:v>0.0782396088</x:v>
      </x:c>
      <x:c r="R640" s="3" t="b">
        <x:v>0</x:v>
      </x:c>
      <x:c r="S640" s="3" t="b">
        <x:v>1</x:v>
      </x:c>
      <x:c r="T640" s="3" t="b">
        <x:v>0</x:v>
      </x:c>
      <x:c r="U640" s="2" t="str">
        <x:f>IF(T640=TRUE,"Priority review",IF(R640=TRUE,"High cost",IF(S640=TRUE,"Low quality","Benchmark")))</x:f>
        <x:v>Low quality</x:v>
      </x:c>
    </x:row>
    <x:row r="641">
      <x:c r="A641" s="2" t="str">
        <x:v>290058</x:v>
      </x:c>
      <x:c r="B641" s="2" t="str">
        <x:v>SAINT ROSE DOMINICAN HOSPITALS - NORTH LAS VEGAS</x:v>
      </x:c>
      <x:c r="C641" s="2" t="str">
        <x:v>NORTH LAS VEGAS</x:v>
      </x:c>
      <x:c r="D641" s="2" t="str">
        <x:v>NV</x:v>
      </x:c>
      <x:c r="E641" s="2" t="str">
        <x:v>Acute Care Hospitals</x:v>
      </x:c>
      <x:c r="F641" s="2" t="str">
        <x:v>Proprietary</x:v>
      </x:c>
      <x:c r="G641" s="2" t="str">
        <x:v>Small (&lt;100 beds)</x:v>
      </x:c>
      <x:c r="H641" s="7"/>
      <x:c r="I641" s="7"/>
      <x:c r="J641" s="7" t="n">
        <x:v>0.84</x:v>
      </x:c>
      <x:c r="K641" s="8" t="n">
        <x:v>32</x:v>
      </x:c>
      <x:c r="L641" s="8" t="n">
        <x:v>492</x:v>
      </x:c>
      <x:c r="M641" s="9" t="n">
        <x:v>0.1051912568</x:v>
      </x:c>
      <x:c r="N641" s="10" t="n">
        <x:v>127679.4491869919</x:v>
      </x:c>
      <x:c r="O641" s="9" t="n">
        <x:v>0.0031205778</x:v>
      </x:c>
      <x:c r="P641" s="9" t="n">
        <x:v>0.8716337522</x:v>
      </x:c>
      <x:c r="Q641" s="9" t="n">
        <x:v>0.697486535</x:v>
      </x:c>
      <x:c r="R641" s="3" t="b">
        <x:v>0</x:v>
      </x:c>
      <x:c r="S641" s="3" t="b">
        <x:v>0</x:v>
      </x:c>
      <x:c r="T641" s="3" t="b">
        <x:v>0</x:v>
      </x:c>
      <x:c r="U641" s="2" t="str">
        <x:f>IF(T641=TRUE,"Priority review",IF(R641=TRUE,"High cost",IF(S641=TRUE,"Low quality","Benchmark")))</x:f>
        <x:v>Benchmark</x:v>
      </x:c>
    </x:row>
    <x:row r="642">
      <x:c r="A642" s="2" t="str">
        <x:v>171322</x:v>
      </x:c>
      <x:c r="B642" s="2" t="str">
        <x:v>HAMILTON COUNTY HOSPITAL</x:v>
      </x:c>
      <x:c r="C642" s="2" t="str">
        <x:v>SYRACUSE</x:v>
      </x:c>
      <x:c r="D642" s="2" t="str">
        <x:v>KS</x:v>
      </x:c>
      <x:c r="E642" s="2" t="str">
        <x:v>Critical Access Hospitals</x:v>
      </x:c>
      <x:c r="F642" s="2" t="str">
        <x:v>Government</x:v>
      </x:c>
      <x:c r="G642" s="2" t="str">
        <x:v>Small (&lt;100 beds)</x:v>
      </x:c>
      <x:c r="H642" s="7"/>
      <x:c r="I642" s="7"/>
      <x:c r="J642" s="7"/>
      <x:c r="K642" s="8" t="n">
        <x:v>25</x:v>
      </x:c>
      <x:c r="L642" s="8" t="n">
        <x:v>56</x:v>
      </x:c>
      <x:c r="M642" s="9" t="n">
        <x:v>0.5724590164</x:v>
      </x:c>
      <x:c r="N642" s="10" t="n">
        <x:v>299031.4107142857</x:v>
      </x:c>
      <x:c r="O642" s="9" t="n">
        <x:v>-0.1198094304</x:v>
      </x:c>
      <x:c r="P642" s="9" t="n">
        <x:v>0.8713754647</x:v>
      </x:c>
      <x:c r="Q642" s="9" t="n">
        <x:v>0.292936803</x:v>
      </x:c>
      <x:c r="R642" s="3" t="b">
        <x:v>0</x:v>
      </x:c>
      <x:c r="S642" s="3" t="b">
        <x:v>0</x:v>
      </x:c>
      <x:c r="T642" s="3" t="b">
        <x:v>0</x:v>
      </x:c>
      <x:c r="U642" s="2" t="str">
        <x:f>IF(T642=TRUE,"Priority review",IF(R642=TRUE,"High cost",IF(S642=TRUE,"Low quality","Benchmark")))</x:f>
        <x:v>Benchmark</x:v>
      </x:c>
    </x:row>
    <x:row r="643">
      <x:c r="A643" s="2" t="str">
        <x:v>490122</x:v>
      </x:c>
      <x:c r="B643" s="2" t="str">
        <x:v>INOVA MOUNT VERNON HOSPITAL</x:v>
      </x:c>
      <x:c r="C643" s="2" t="str">
        <x:v>ALEXANDRIA</x:v>
      </x:c>
      <x:c r="D643" s="2" t="str">
        <x:v>VA</x:v>
      </x:c>
      <x:c r="E643" s="2" t="str">
        <x:v>Acute Care Hospitals</x:v>
      </x:c>
      <x:c r="F643" s="2" t="str">
        <x:v>Voluntary non-profit</x:v>
      </x:c>
      <x:c r="G643" s="2" t="str">
        <x:v>Medium (100-299 beds)</x:v>
      </x:c>
      <x:c r="H643" s="7" t="n">
        <x:v>4</x:v>
      </x:c>
      <x:c r="I643" s="7" t="n">
        <x:v>3</x:v>
      </x:c>
      <x:c r="J643" s="7" t="n">
        <x:v>0.97</x:v>
      </x:c>
      <x:c r="K643" s="8" t="n">
        <x:v>108</x:v>
      </x:c>
      <x:c r="L643" s="8" t="n">
        <x:v>4214</x:v>
      </x:c>
      <x:c r="M643" s="9" t="n">
        <x:v>0.5795638535</x:v>
      </x:c>
      <x:c r="N643" s="10" t="n">
        <x:v>57037.9257237779</x:v>
      </x:c>
      <x:c r="O643" s="9" t="n">
        <x:v>0.2500871248</x:v>
      </x:c>
      <x:c r="P643" s="9" t="n">
        <x:v>0.8712306438</x:v>
      </x:c>
      <x:c r="Q643" s="9" t="n">
        <x:v>0.6022819886</x:v>
      </x:c>
      <x:c r="R643" s="3" t="b">
        <x:v>0</x:v>
      </x:c>
      <x:c r="S643" s="3" t="b">
        <x:v>0</x:v>
      </x:c>
      <x:c r="T643" s="3" t="b">
        <x:v>0</x:v>
      </x:c>
      <x:c r="U643" s="2" t="str">
        <x:f>IF(T643=TRUE,"Priority review",IF(R643=TRUE,"High cost",IF(S643=TRUE,"Low quality","Benchmark")))</x:f>
        <x:v>Benchmark</x:v>
      </x:c>
    </x:row>
    <x:row r="644">
      <x:c r="A644" s="2" t="str">
        <x:v>030071</x:v>
      </x:c>
      <x:c r="B644" s="2" t="str">
        <x:v>FORT DEFIANCE INDIAN HOSPITAL</x:v>
      </x:c>
      <x:c r="C644" s="2" t="str">
        <x:v>FT. DEFIANCE</x:v>
      </x:c>
      <x:c r="D644" s="2" t="str">
        <x:v>AZ</x:v>
      </x:c>
      <x:c r="E644" s="2" t="str">
        <x:v>Acute Care Hospitals</x:v>
      </x:c>
      <x:c r="F644" s="2" t="str">
        <x:v>Other / unknown</x:v>
      </x:c>
      <x:c r="G644" s="2" t="str">
        <x:v>Small (&lt;100 beds)</x:v>
      </x:c>
      <x:c r="H644" s="7"/>
      <x:c r="I644" s="7" t="n">
        <x:v>3</x:v>
      </x:c>
      <x:c r="J644" s="7" t="n">
        <x:v>0.72</x:v>
      </x:c>
      <x:c r="K644" s="8" t="n">
        <x:v>56</x:v>
      </x:c>
      <x:c r="L644" s="8" t="n">
        <x:v>1772</x:v>
      </x:c>
      <x:c r="M644" s="9" t="n">
        <x:v>0.2985948478</x:v>
      </x:c>
      <x:c r="N644" s="10" t="n">
        <x:v>127194.3888261851</x:v>
      </x:c>
      <x:c r="O644" s="9"/>
      <x:c r="P644" s="9" t="n">
        <x:v>0.8707360862</x:v>
      </x:c>
      <x:c r="Q644" s="9" t="n">
        <x:v>0.697486535</x:v>
      </x:c>
      <x:c r="R644" s="3" t="b">
        <x:v>0</x:v>
      </x:c>
      <x:c r="S644" s="3" t="b">
        <x:v>0</x:v>
      </x:c>
      <x:c r="T644" s="3" t="b">
        <x:v>0</x:v>
      </x:c>
      <x:c r="U644" s="2" t="str">
        <x:f>IF(T644=TRUE,"Priority review",IF(R644=TRUE,"High cost",IF(S644=TRUE,"Low quality","Benchmark")))</x:f>
        <x:v>Benchmark</x:v>
      </x:c>
    </x:row>
    <x:row r="645">
      <x:c r="A645" s="2" t="str">
        <x:v>380007</x:v>
      </x:c>
      <x:c r="B645" s="2" t="str">
        <x:v>LEGACY EMANUEL MEDICAL CENTER</x:v>
      </x:c>
      <x:c r="C645" s="2" t="str">
        <x:v>PORTLAND</x:v>
      </x:c>
      <x:c r="D645" s="2" t="str">
        <x:v>OR</x:v>
      </x:c>
      <x:c r="E645" s="2" t="str">
        <x:v>Acute Care Hospitals</x:v>
      </x:c>
      <x:c r="F645" s="2" t="str">
        <x:v>Voluntary non-profit</x:v>
      </x:c>
      <x:c r="G645" s="2" t="str">
        <x:v>Large (300+ beds)</x:v>
      </x:c>
      <x:c r="H645" s="7" t="n">
        <x:v>3</x:v>
      </x:c>
      <x:c r="I645" s="7" t="n">
        <x:v>3</x:v>
      </x:c>
      <x:c r="J645" s="7" t="n">
        <x:v>0.97</x:v>
      </x:c>
      <x:c r="K645" s="8" t="n">
        <x:v>400</x:v>
      </x:c>
      <x:c r="L645" s="8" t="n">
        <x:v>19346</x:v>
      </x:c>
      <x:c r="M645" s="9" t="n">
        <x:v>0.7755684932</x:v>
      </x:c>
      <x:c r="N645" s="10" t="n">
        <x:v>68410.2381887729</x:v>
      </x:c>
      <x:c r="O645" s="9" t="n">
        <x:v>-0.2066113149</x:v>
      </x:c>
      <x:c r="P645" s="9" t="n">
        <x:v>0.8706624606</x:v>
      </x:c>
      <x:c r="Q645" s="9" t="n">
        <x:v>0.2570977918</x:v>
      </x:c>
      <x:c r="R645" s="3" t="b">
        <x:v>0</x:v>
      </x:c>
      <x:c r="S645" s="3" t="b">
        <x:v>0</x:v>
      </x:c>
      <x:c r="T645" s="3" t="b">
        <x:v>0</x:v>
      </x:c>
      <x:c r="U645" s="2" t="str">
        <x:f>IF(T645=TRUE,"Priority review",IF(R645=TRUE,"High cost",IF(S645=TRUE,"Low quality","Benchmark")))</x:f>
        <x:v>Benchmark</x:v>
      </x:c>
    </x:row>
    <x:row r="646">
      <x:c r="A646" s="2" t="str">
        <x:v>294002</x:v>
      </x:c>
      <x:c r="B646" s="2" t="str">
        <x:v>SOUTHERN NEVADA ADULT MENTAL HEALTH SERVICES</x:v>
      </x:c>
      <x:c r="C646" s="2" t="str">
        <x:v>LAS VEGAS</x:v>
      </x:c>
      <x:c r="D646" s="2" t="str">
        <x:v>NV</x:v>
      </x:c>
      <x:c r="E646" s="2" t="str">
        <x:v>Psychiatric</x:v>
      </x:c>
      <x:c r="F646" s="2" t="str">
        <x:v>Government</x:v>
      </x:c>
      <x:c r="G646" s="2" t="str">
        <x:v>Medium (100-299 beds)</x:v>
      </x:c>
      <x:c r="H646" s="7"/>
      <x:c r="I646" s="7"/>
      <x:c r="J646" s="7"/>
      <x:c r="K646" s="8" t="n">
        <x:v>289</x:v>
      </x:c>
      <x:c r="L646" s="8" t="n">
        <x:v>839</x:v>
      </x:c>
      <x:c r="M646" s="9" t="n">
        <x:v>0.6557520027</x:v>
      </x:c>
      <x:c r="N646" s="10" t="n">
        <x:v>184020.1215733016</x:v>
      </x:c>
      <x:c r="O646" s="9" t="n">
        <x:v>-10.8313508776</x:v>
      </x:c>
      <x:c r="P646" s="9" t="n">
        <x:v>0.8706467662</x:v>
      </x:c>
      <x:c r="Q646" s="9" t="n">
        <x:v>0</x:v>
      </x:c>
      <x:c r="R646" s="3" t="b">
        <x:v>0</x:v>
      </x:c>
      <x:c r="S646" s="3" t="b">
        <x:v>0</x:v>
      </x:c>
      <x:c r="T646" s="3" t="b">
        <x:v>0</x:v>
      </x:c>
      <x:c r="U646" s="2" t="str">
        <x:f>IF(T646=TRUE,"Priority review",IF(R646=TRUE,"High cost",IF(S646=TRUE,"Low quality","Benchmark")))</x:f>
        <x:v>Benchmark</x:v>
      </x:c>
    </x:row>
    <x:row r="647">
      <x:c r="A647" s="2" t="str">
        <x:v>271306</x:v>
      </x:c>
      <x:c r="B647" s="2" t="str">
        <x:v>MOUNTAINVIEW MEDICAL CENTER</x:v>
      </x:c>
      <x:c r="C647" s="2" t="str">
        <x:v>WHITE SULPHUR SPRING</x:v>
      </x:c>
      <x:c r="D647" s="2" t="str">
        <x:v>MT</x:v>
      </x:c>
      <x:c r="E647" s="2" t="str">
        <x:v>Critical Access Hospitals</x:v>
      </x:c>
      <x:c r="F647" s="2" t="str">
        <x:v>Voluntary non-profit</x:v>
      </x:c>
      <x:c r="G647" s="2" t="str">
        <x:v>Small (&lt;100 beds)</x:v>
      </x:c>
      <x:c r="H647" s="7"/>
      <x:c r="I647" s="7"/>
      <x:c r="J647" s="7"/>
      <x:c r="K647" s="8" t="n">
        <x:v>25</x:v>
      </x:c>
      <x:c r="L647" s="8" t="n">
        <x:v>29</x:v>
      </x:c>
      <x:c r="M647" s="9" t="n">
        <x:v>0.5298630137</x:v>
      </x:c>
      <x:c r="N647" s="10" t="n">
        <x:v>296269.7586206897</x:v>
      </x:c>
      <x:c r="O647" s="9" t="n">
        <x:v>-0.0335484318</x:v>
      </x:c>
      <x:c r="P647" s="9" t="n">
        <x:v>0.8706319703</x:v>
      </x:c>
      <x:c r="Q647" s="9" t="n">
        <x:v>0.292936803</x:v>
      </x:c>
      <x:c r="R647" s="3" t="b">
        <x:v>0</x:v>
      </x:c>
      <x:c r="S647" s="3" t="b">
        <x:v>0</x:v>
      </x:c>
      <x:c r="T647" s="3" t="b">
        <x:v>0</x:v>
      </x:c>
      <x:c r="U647" s="2" t="str">
        <x:f>IF(T647=TRUE,"Priority review",IF(R647=TRUE,"High cost",IF(S647=TRUE,"Low quality","Benchmark")))</x:f>
        <x:v>Benchmark</x:v>
      </x:c>
    </x:row>
    <x:row r="648">
      <x:c r="A648" s="2" t="str">
        <x:v>224028</x:v>
      </x:c>
      <x:c r="B648" s="2" t="str">
        <x:v>DR JOHN C CORRIGAN MENTAL HEALTH CENTER</x:v>
      </x:c>
      <x:c r="C648" s="2" t="str">
        <x:v>FALL RIVER</x:v>
      </x:c>
      <x:c r="D648" s="2" t="str">
        <x:v>MA</x:v>
      </x:c>
      <x:c r="E648" s="2" t="str">
        <x:v>Psychiatric</x:v>
      </x:c>
      <x:c r="F648" s="2" t="str">
        <x:v>Government</x:v>
      </x:c>
      <x:c r="G648" s="2" t="str">
        <x:v>Small (&lt;100 beds)</x:v>
      </x:c>
      <x:c r="H648" s="7"/>
      <x:c r="I648" s="7"/>
      <x:c r="J648" s="7"/>
      <x:c r="K648" s="8" t="n">
        <x:v>16</x:v>
      </x:c>
      <x:c r="L648" s="8" t="n">
        <x:v>131</x:v>
      </x:c>
      <x:c r="M648" s="9" t="n">
        <x:v>0.9186643836</x:v>
      </x:c>
      <x:c r="N648" s="10" t="n">
        <x:v>92972.3053435115</x:v>
      </x:c>
      <x:c r="O648" s="9"/>
      <x:c r="P648" s="9" t="n">
        <x:v>0.8705501618</x:v>
      </x:c>
      <x:c r="Q648" s="9" t="n">
        <x:v>0</x:v>
      </x:c>
      <x:c r="R648" s="3" t="b">
        <x:v>0</x:v>
      </x:c>
      <x:c r="S648" s="3" t="b">
        <x:v>0</x:v>
      </x:c>
      <x:c r="T648" s="3" t="b">
        <x:v>0</x:v>
      </x:c>
      <x:c r="U648" s="2" t="str">
        <x:f>IF(T648=TRUE,"Priority review",IF(R648=TRUE,"High cost",IF(S648=TRUE,"Low quality","Benchmark")))</x:f>
        <x:v>Benchmark</x:v>
      </x:c>
    </x:row>
    <x:row r="649">
      <x:c r="A649" s="2" t="str">
        <x:v>460041</x:v>
      </x:c>
      <x:c r="B649" s="2" t="str">
        <x:v>HOLY CROSS HOSPITAL-DAVIS</x:v>
      </x:c>
      <x:c r="C649" s="2" t="str">
        <x:v>LAYTON</x:v>
      </x:c>
      <x:c r="D649" s="2" t="str">
        <x:v>UT</x:v>
      </x:c>
      <x:c r="E649" s="2" t="str">
        <x:v>Acute Care Hospitals</x:v>
      </x:c>
      <x:c r="F649" s="2" t="str">
        <x:v>Voluntary non-profit</x:v>
      </x:c>
      <x:c r="G649" s="2" t="str">
        <x:v>Medium (100-299 beds)</x:v>
      </x:c>
      <x:c r="H649" s="7" t="n">
        <x:v>5</x:v>
      </x:c>
      <x:c r="I649" s="7" t="n">
        <x:v>2</x:v>
      </x:c>
      <x:c r="J649" s="7" t="n">
        <x:v>1</x:v>
      </x:c>
      <x:c r="K649" s="8" t="n">
        <x:v>110</x:v>
      </x:c>
      <x:c r="L649" s="8" t="n">
        <x:v>4088</x:v>
      </x:c>
      <x:c r="M649" s="9" t="n">
        <x:v>0.4101618929</x:v>
      </x:c>
      <x:c r="N649" s="10" t="n">
        <x:v>56959.5951565558</x:v>
      </x:c>
      <x:c r="O649" s="9" t="n">
        <x:v>-0.2440849872</x:v>
      </x:c>
      <x:c r="P649" s="9" t="n">
        <x:v>0.8704156479</x:v>
      </x:c>
      <x:c r="Q649" s="9" t="n">
        <x:v>0.8744906275</x:v>
      </x:c>
      <x:c r="R649" s="3" t="b">
        <x:v>0</x:v>
      </x:c>
      <x:c r="S649" s="3" t="b">
        <x:v>0</x:v>
      </x:c>
      <x:c r="T649" s="3" t="b">
        <x:v>0</x:v>
      </x:c>
      <x:c r="U649" s="2" t="str">
        <x:f>IF(T649=TRUE,"Priority review",IF(R649=TRUE,"High cost",IF(S649=TRUE,"Low quality","Benchmark")))</x:f>
        <x:v>Benchmark</x:v>
      </x:c>
    </x:row>
    <x:row r="650">
      <x:c r="A650" s="2" t="str">
        <x:v>451394</x:v>
      </x:c>
      <x:c r="B650" s="2" t="str">
        <x:v>KNOX COUNTY HOSPITAL</x:v>
      </x:c>
      <x:c r="C650" s="2" t="str">
        <x:v>KNOX CITY</x:v>
      </x:c>
      <x:c r="D650" s="2" t="str">
        <x:v>TX</x:v>
      </x:c>
      <x:c r="E650" s="2" t="str">
        <x:v>Critical Access Hospitals</x:v>
      </x:c>
      <x:c r="F650" s="2" t="str">
        <x:v>Government</x:v>
      </x:c>
      <x:c r="G650" s="2" t="str">
        <x:v>Small (&lt;100 beds)</x:v>
      </x:c>
      <x:c r="H650" s="7"/>
      <x:c r="I650" s="7"/>
      <x:c r="J650" s="7"/>
      <x:c r="K650" s="8" t="n">
        <x:v>25</x:v>
      </x:c>
      <x:c r="L650" s="8" t="n">
        <x:v>61</x:v>
      </x:c>
      <x:c r="M650" s="9" t="n">
        <x:v>0.0372677596</x:v>
      </x:c>
      <x:c r="N650" s="10" t="n">
        <x:v>295865.7540983607</x:v>
      </x:c>
      <x:c r="O650" s="9" t="n">
        <x:v>-0.3701981068</x:v>
      </x:c>
      <x:c r="P650" s="9" t="n">
        <x:v>0.8698884758</x:v>
      </x:c>
      <x:c r="Q650" s="9" t="n">
        <x:v>0.292936803</x:v>
      </x:c>
      <x:c r="R650" s="3" t="b">
        <x:v>0</x:v>
      </x:c>
      <x:c r="S650" s="3" t="b">
        <x:v>0</x:v>
      </x:c>
      <x:c r="T650" s="3" t="b">
        <x:v>0</x:v>
      </x:c>
      <x:c r="U650" s="2" t="str">
        <x:f>IF(T650=TRUE,"Priority review",IF(R650=TRUE,"High cost",IF(S650=TRUE,"Low quality","Benchmark")))</x:f>
        <x:v>Benchmark</x:v>
      </x:c>
    </x:row>
    <x:row r="651">
      <x:c r="A651" s="2" t="str">
        <x:v>060117</x:v>
      </x:c>
      <x:c r="B651" s="2" t="str">
        <x:v>ANIMAS SURGICAL HOSPITAL, LLC</x:v>
      </x:c>
      <x:c r="C651" s="2" t="str">
        <x:v>DURANGO</x:v>
      </x:c>
      <x:c r="D651" s="2" t="str">
        <x:v>CO</x:v>
      </x:c>
      <x:c r="E651" s="2" t="str">
        <x:v>Acute Care Hospitals</x:v>
      </x:c>
      <x:c r="F651" s="2" t="str">
        <x:v>Other / unknown</x:v>
      </x:c>
      <x:c r="G651" s="2" t="str">
        <x:v>Small (&lt;100 beds)</x:v>
      </x:c>
      <x:c r="H651" s="7"/>
      <x:c r="I651" s="7" t="n">
        <x:v>5</x:v>
      </x:c>
      <x:c r="J651" s="7" t="n">
        <x:v>0.76</x:v>
      </x:c>
      <x:c r="K651" s="8" t="n">
        <x:v>12</x:v>
      </x:c>
      <x:c r="L651" s="8" t="n">
        <x:v>349</x:v>
      </x:c>
      <x:c r="M651" s="9" t="n">
        <x:v>0.0931238616</x:v>
      </x:c>
      <x:c r="N651" s="10" t="n">
        <x:v>126404.2550143266</x:v>
      </x:c>
      <x:c r="O651" s="9" t="n">
        <x:v>0.089323045</x:v>
      </x:c>
      <x:c r="P651" s="9" t="n">
        <x:v>0.8698384201</x:v>
      </x:c>
      <x:c r="Q651" s="9" t="n">
        <x:v>0.697486535</x:v>
      </x:c>
      <x:c r="R651" s="3" t="b">
        <x:v>0</x:v>
      </x:c>
      <x:c r="S651" s="3" t="b">
        <x:v>0</x:v>
      </x:c>
      <x:c r="T651" s="3" t="b">
        <x:v>0</x:v>
      </x:c>
      <x:c r="U651" s="2" t="str">
        <x:f>IF(T651=TRUE,"Priority review",IF(R651=TRUE,"High cost",IF(S651=TRUE,"Low quality","Benchmark")))</x:f>
        <x:v>Benchmark</x:v>
      </x:c>
    </x:row>
    <x:row r="652">
      <x:c r="A652" s="2" t="str">
        <x:v>050674</x:v>
      </x:c>
      <x:c r="B652" s="2" t="str">
        <x:v>KAISER FOUNDATION HOSP SO SACRAMENTO</x:v>
      </x:c>
      <x:c r="C652" s="2" t="str">
        <x:v>SACRAMENTO</x:v>
      </x:c>
      <x:c r="D652" s="2" t="str">
        <x:v>CA</x:v>
      </x:c>
      <x:c r="E652" s="2" t="str">
        <x:v>Acute Care Hospitals</x:v>
      </x:c>
      <x:c r="F652" s="2" t="str">
        <x:v>Voluntary non-profit</x:v>
      </x:c>
      <x:c r="G652" s="2" t="str">
        <x:v>Medium (100-299 beds)</x:v>
      </x:c>
      <x:c r="H652" s="7" t="n">
        <x:v>2</x:v>
      </x:c>
      <x:c r="I652" s="7" t="n">
        <x:v>3</x:v>
      </x:c>
      <x:c r="J652" s="7" t="n">
        <x:v>0.97</x:v>
      </x:c>
      <x:c r="K652" s="8" t="n">
        <x:v>233</x:v>
      </x:c>
      <x:c r="L652" s="8" t="n">
        <x:v>15648</x:v>
      </x:c>
      <x:c r="M652" s="9" t="n">
        <x:v>0.8267783016</x:v>
      </x:c>
      <x:c r="N652" s="10" t="n">
        <x:v>56888.443890593</x:v>
      </x:c>
      <x:c r="O652" s="9" t="n">
        <x:v>0.0119177769</x:v>
      </x:c>
      <x:c r="P652" s="9" t="n">
        <x:v>0.869600652</x:v>
      </x:c>
      <x:c r="Q652" s="9" t="n">
        <x:v>0.0782396088</x:v>
      </x:c>
      <x:c r="R652" s="3" t="b">
        <x:v>0</x:v>
      </x:c>
      <x:c r="S652" s="3" t="b">
        <x:v>1</x:v>
      </x:c>
      <x:c r="T652" s="3" t="b">
        <x:v>0</x:v>
      </x:c>
      <x:c r="U652" s="2" t="str">
        <x:f>IF(T652=TRUE,"Priority review",IF(R652=TRUE,"High cost",IF(S652=TRUE,"Low quality","Benchmark")))</x:f>
        <x:v>Low quality</x:v>
      </x:c>
    </x:row>
    <x:row r="653">
      <x:c r="A653" s="2" t="str">
        <x:v>281324</x:v>
      </x:c>
      <x:c r="B653" s="2" t="str">
        <x:v>NEMAHA COUNTY HOSPITAL</x:v>
      </x:c>
      <x:c r="C653" s="2" t="str">
        <x:v>AUBURN</x:v>
      </x:c>
      <x:c r="D653" s="2" t="str">
        <x:v>NE</x:v>
      </x:c>
      <x:c r="E653" s="2" t="str">
        <x:v>Critical Access Hospitals</x:v>
      </x:c>
      <x:c r="F653" s="2" t="str">
        <x:v>Government</x:v>
      </x:c>
      <x:c r="G653" s="2" t="str">
        <x:v>Small (&lt;100 beds)</x:v>
      </x:c>
      <x:c r="H653" s="7"/>
      <x:c r="I653" s="7"/>
      <x:c r="J653" s="7"/>
      <x:c r="K653" s="8" t="n">
        <x:v>16</x:v>
      </x:c>
      <x:c r="L653" s="8" t="n">
        <x:v>66</x:v>
      </x:c>
      <x:c r="M653" s="9" t="n">
        <x:v>0.1010273973</x:v>
      </x:c>
      <x:c r="N653" s="10" t="n">
        <x:v>295440.6818181818</x:v>
      </x:c>
      <x:c r="O653" s="9" t="n">
        <x:v>0.0331682006</x:v>
      </x:c>
      <x:c r="P653" s="9" t="n">
        <x:v>0.8691449814</x:v>
      </x:c>
      <x:c r="Q653" s="9" t="n">
        <x:v>0.292936803</x:v>
      </x:c>
      <x:c r="R653" s="3" t="b">
        <x:v>0</x:v>
      </x:c>
      <x:c r="S653" s="3" t="b">
        <x:v>0</x:v>
      </x:c>
      <x:c r="T653" s="3" t="b">
        <x:v>0</x:v>
      </x:c>
      <x:c r="U653" s="2" t="str">
        <x:f>IF(T653=TRUE,"Priority review",IF(R653=TRUE,"High cost",IF(S653=TRUE,"Low quality","Benchmark")))</x:f>
        <x:v>Benchmark</x:v>
      </x:c>
    </x:row>
    <x:row r="654">
      <x:c r="A654" s="2" t="str">
        <x:v>060011</x:v>
      </x:c>
      <x:c r="B654" s="2" t="str">
        <x:v>DENVER HEALTH &amp; HOSPITAL AUTHORITY</x:v>
      </x:c>
      <x:c r="C654" s="2" t="str">
        <x:v>DENVER</x:v>
      </x:c>
      <x:c r="D654" s="2" t="str">
        <x:v>CO</x:v>
      </x:c>
      <x:c r="E654" s="2" t="str">
        <x:v>Acute Care Hospitals</x:v>
      </x:c>
      <x:c r="F654" s="2" t="str">
        <x:v>Government</x:v>
      </x:c>
      <x:c r="G654" s="2" t="str">
        <x:v>Large (300+ beds)</x:v>
      </x:c>
      <x:c r="H654" s="7" t="n">
        <x:v>3</x:v>
      </x:c>
      <x:c r="I654" s="7" t="n">
        <x:v>3</x:v>
      </x:c>
      <x:c r="J654" s="7" t="n">
        <x:v>0.89</x:v>
      </x:c>
      <x:c r="K654" s="8" t="n">
        <x:v>387</x:v>
      </x:c>
      <x:c r="L654" s="8" t="n">
        <x:v>20263</x:v>
      </x:c>
      <x:c r="M654" s="9" t="n">
        <x:v>0.7954032235</x:v>
      </x:c>
      <x:c r="N654" s="10" t="n">
        <x:v>68199.3254700686</x:v>
      </x:c>
      <x:c r="O654" s="9" t="n">
        <x:v>-0.0690802502</x:v>
      </x:c>
      <x:c r="P654" s="9" t="n">
        <x:v>0.8690851735</x:v>
      </x:c>
      <x:c r="Q654" s="9" t="n">
        <x:v>0.2570977918</x:v>
      </x:c>
      <x:c r="R654" s="3" t="b">
        <x:v>0</x:v>
      </x:c>
      <x:c r="S654" s="3" t="b">
        <x:v>0</x:v>
      </x:c>
      <x:c r="T654" s="3" t="b">
        <x:v>0</x:v>
      </x:c>
      <x:c r="U654" s="2" t="str">
        <x:f>IF(T654=TRUE,"Priority review",IF(R654=TRUE,"High cost",IF(S654=TRUE,"Low quality","Benchmark")))</x:f>
        <x:v>Benchmark</x:v>
      </x:c>
    </x:row>
    <x:row r="655">
      <x:c r="A655" s="2" t="str">
        <x:v>050782</x:v>
      </x:c>
      <x:c r="B655" s="2" t="str">
        <x:v>CASA COLINA HOSPITAL</x:v>
      </x:c>
      <x:c r="C655" s="2" t="str">
        <x:v>POMONA</x:v>
      </x:c>
      <x:c r="D655" s="2" t="str">
        <x:v>CA</x:v>
      </x:c>
      <x:c r="E655" s="2" t="str">
        <x:v>Acute Care Hospitals</x:v>
      </x:c>
      <x:c r="F655" s="2" t="str">
        <x:v>Voluntary non-profit</x:v>
      </x:c>
      <x:c r="G655" s="2" t="str">
        <x:v>Small (&lt;100 beds)</x:v>
      </x:c>
      <x:c r="H655" s="7"/>
      <x:c r="I655" s="7"/>
      <x:c r="J655" s="7" t="n">
        <x:v>1.11</x:v>
      </x:c>
      <x:c r="K655" s="8" t="n">
        <x:v>31</x:v>
      </x:c>
      <x:c r="L655" s="8" t="n">
        <x:v>863</x:v>
      </x:c>
      <x:c r="M655" s="9" t="n">
        <x:v>0.3032258065</x:v>
      </x:c>
      <x:c r="N655" s="10" t="n">
        <x:v>125851.2213209733</x:v>
      </x:c>
      <x:c r="O655" s="9" t="n">
        <x:v>-0.1048216736</x:v>
      </x:c>
      <x:c r="P655" s="9" t="n">
        <x:v>0.868940754</x:v>
      </x:c>
      <x:c r="Q655" s="9" t="n">
        <x:v>0.697486535</x:v>
      </x:c>
      <x:c r="R655" s="3" t="b">
        <x:v>0</x:v>
      </x:c>
      <x:c r="S655" s="3" t="b">
        <x:v>0</x:v>
      </x:c>
      <x:c r="T655" s="3" t="b">
        <x:v>0</x:v>
      </x:c>
      <x:c r="U655" s="2" t="str">
        <x:f>IF(T655=TRUE,"Priority review",IF(R655=TRUE,"High cost",IF(S655=TRUE,"Low quality","Benchmark")))</x:f>
        <x:v>Benchmark</x:v>
      </x:c>
    </x:row>
    <x:row r="656">
      <x:c r="A656" s="2" t="str">
        <x:v>510006</x:v>
      </x:c>
      <x:c r="B656" s="2" t="str">
        <x:v>UNITED HOSPITAL CENTER, INC</x:v>
      </x:c>
      <x:c r="C656" s="2" t="str">
        <x:v>BRIDGEPORT</x:v>
      </x:c>
      <x:c r="D656" s="2" t="str">
        <x:v>WV</x:v>
      </x:c>
      <x:c r="E656" s="2" t="str">
        <x:v>Acute Care Hospitals</x:v>
      </x:c>
      <x:c r="F656" s="2" t="str">
        <x:v>Voluntary non-profit</x:v>
      </x:c>
      <x:c r="G656" s="2" t="str">
        <x:v>Medium (100-299 beds)</x:v>
      </x:c>
      <x:c r="H656" s="7" t="n">
        <x:v>4</x:v>
      </x:c>
      <x:c r="I656" s="7" t="n">
        <x:v>4</x:v>
      </x:c>
      <x:c r="J656" s="7" t="n">
        <x:v>0.97</x:v>
      </x:c>
      <x:c r="K656" s="8" t="n">
        <x:v>214</x:v>
      </x:c>
      <x:c r="L656" s="8" t="n">
        <x:v>10800</x:v>
      </x:c>
      <x:c r="M656" s="9" t="n">
        <x:v>0.7432204688</x:v>
      </x:c>
      <x:c r="N656" s="10" t="n">
        <x:v>56869.0792592593</x:v>
      </x:c>
      <x:c r="O656" s="9" t="n">
        <x:v>0.0391516258</x:v>
      </x:c>
      <x:c r="P656" s="9" t="n">
        <x:v>0.8687856561</x:v>
      </x:c>
      <x:c r="Q656" s="9" t="n">
        <x:v>0.6022819886</x:v>
      </x:c>
      <x:c r="R656" s="3" t="b">
        <x:v>0</x:v>
      </x:c>
      <x:c r="S656" s="3" t="b">
        <x:v>0</x:v>
      </x:c>
      <x:c r="T656" s="3" t="b">
        <x:v>0</x:v>
      </x:c>
      <x:c r="U656" s="2" t="str">
        <x:f>IF(T656=TRUE,"Priority review",IF(R656=TRUE,"High cost",IF(S656=TRUE,"Low quality","Benchmark")))</x:f>
        <x:v>Benchmark</x:v>
      </x:c>
    </x:row>
    <x:row r="657">
      <x:c r="A657" s="2" t="str">
        <x:v>451349</x:v>
      </x:c>
      <x:c r="B657" s="2" t="str">
        <x:v>SWISHER MEMORIAL HOSPITAL</x:v>
      </x:c>
      <x:c r="C657" s="2" t="str">
        <x:v>TULIA</x:v>
      </x:c>
      <x:c r="D657" s="2" t="str">
        <x:v>TX</x:v>
      </x:c>
      <x:c r="E657" s="2" t="str">
        <x:v>Critical Access Hospitals</x:v>
      </x:c>
      <x:c r="F657" s="2" t="str">
        <x:v>Voluntary non-profit</x:v>
      </x:c>
      <x:c r="G657" s="2" t="str">
        <x:v>Small (&lt;100 beds)</x:v>
      </x:c>
      <x:c r="H657" s="7"/>
      <x:c r="I657" s="7"/>
      <x:c r="J657" s="7"/>
      <x:c r="K657" s="8" t="n">
        <x:v>20</x:v>
      </x:c>
      <x:c r="L657" s="8" t="n">
        <x:v>42</x:v>
      </x:c>
      <x:c r="M657" s="9" t="n">
        <x:v>0.1270491803</x:v>
      </x:c>
      <x:c r="N657" s="10" t="n">
        <x:v>295429.0952380953</x:v>
      </x:c>
      <x:c r="O657" s="9" t="n">
        <x:v>-0.4254126688</x:v>
      </x:c>
      <x:c r="P657" s="9" t="n">
        <x:v>0.868401487</x:v>
      </x:c>
      <x:c r="Q657" s="9" t="n">
        <x:v>0.292936803</x:v>
      </x:c>
      <x:c r="R657" s="3" t="b">
        <x:v>0</x:v>
      </x:c>
      <x:c r="S657" s="3" t="b">
        <x:v>0</x:v>
      </x:c>
      <x:c r="T657" s="3" t="b">
        <x:v>0</x:v>
      </x:c>
      <x:c r="U657" s="2" t="str">
        <x:f>IF(T657=TRUE,"Priority review",IF(R657=TRUE,"High cost",IF(S657=TRUE,"Low quality","Benchmark")))</x:f>
        <x:v>Benchmark</x:v>
      </x:c>
    </x:row>
    <x:row r="658">
      <x:c r="A658" s="2" t="str">
        <x:v>050352</x:v>
      </x:c>
      <x:c r="B658" s="2" t="str">
        <x:v>BARTON MEMORIAL HOSPITAL</x:v>
      </x:c>
      <x:c r="C658" s="2" t="str">
        <x:v>SOUTH LAKE TAHOE</x:v>
      </x:c>
      <x:c r="D658" s="2" t="str">
        <x:v>CA</x:v>
      </x:c>
      <x:c r="E658" s="2" t="str">
        <x:v>Acute Care Hospitals</x:v>
      </x:c>
      <x:c r="F658" s="2" t="str">
        <x:v>Voluntary non-profit</x:v>
      </x:c>
      <x:c r="G658" s="2" t="str">
        <x:v>Small (&lt;100 beds)</x:v>
      </x:c>
      <x:c r="H658" s="7" t="n">
        <x:v>3</x:v>
      </x:c>
      <x:c r="I658" s="7" t="n">
        <x:v>4</x:v>
      </x:c>
      <x:c r="J658" s="7" t="n">
        <x:v>0.87</x:v>
      </x:c>
      <x:c r="K658" s="8" t="n">
        <x:v>63</x:v>
      </x:c>
      <x:c r="L658" s="8" t="n">
        <x:v>1742</x:v>
      </x:c>
      <x:c r="M658" s="9" t="n">
        <x:v>0.2678463006</x:v>
      </x:c>
      <x:c r="N658" s="10" t="n">
        <x:v>124676.6584385764</x:v>
      </x:c>
      <x:c r="O658" s="9" t="n">
        <x:v>-0.10662329</x:v>
      </x:c>
      <x:c r="P658" s="9" t="n">
        <x:v>0.868043088</x:v>
      </x:c>
      <x:c r="Q658" s="9" t="n">
        <x:v>0.1687612208</x:v>
      </x:c>
      <x:c r="R658" s="3" t="b">
        <x:v>0</x:v>
      </x:c>
      <x:c r="S658" s="3" t="b">
        <x:v>0</x:v>
      </x:c>
      <x:c r="T658" s="3" t="b">
        <x:v>0</x:v>
      </x:c>
      <x:c r="U658" s="2" t="str">
        <x:f>IF(T658=TRUE,"Priority review",IF(R658=TRUE,"High cost",IF(S658=TRUE,"Low quality","Benchmark")))</x:f>
        <x:v>Benchmark</x:v>
      </x:c>
    </x:row>
    <x:row r="659">
      <x:c r="A659" s="2" t="str">
        <x:v>380021</x:v>
      </x:c>
      <x:c r="B659" s="2" t="str">
        <x:v>HILLSBORO MEDICAL CENTER</x:v>
      </x:c>
      <x:c r="C659" s="2" t="str">
        <x:v>HILLSBORO</x:v>
      </x:c>
      <x:c r="D659" s="2" t="str">
        <x:v>OR</x:v>
      </x:c>
      <x:c r="E659" s="2" t="str">
        <x:v>Acute Care Hospitals</x:v>
      </x:c>
      <x:c r="F659" s="2" t="str">
        <x:v>Voluntary non-profit</x:v>
      </x:c>
      <x:c r="G659" s="2" t="str">
        <x:v>Medium (100-299 beds)</x:v>
      </x:c>
      <x:c r="H659" s="7" t="n">
        <x:v>3</x:v>
      </x:c>
      <x:c r="I659" s="7" t="n">
        <x:v>3</x:v>
      </x:c>
      <x:c r="J659" s="7" t="n">
        <x:v>0.96</x:v>
      </x:c>
      <x:c r="K659" s="8" t="n">
        <x:v>113</x:v>
      </x:c>
      <x:c r="L659" s="8" t="n">
        <x:v>6165</x:v>
      </x:c>
      <x:c r="M659" s="9" t="n">
        <x:v>0.7237968239</x:v>
      </x:c>
      <x:c r="N659" s="10" t="n">
        <x:v>56692.0215733982</x:v>
      </x:c>
      <x:c r="O659" s="9" t="n">
        <x:v>-0.1061868266</x:v>
      </x:c>
      <x:c r="P659" s="9" t="n">
        <x:v>0.8679706601</x:v>
      </x:c>
      <x:c r="Q659" s="9" t="n">
        <x:v>0.3023634882</x:v>
      </x:c>
      <x:c r="R659" s="3" t="b">
        <x:v>0</x:v>
      </x:c>
      <x:c r="S659" s="3" t="b">
        <x:v>0</x:v>
      </x:c>
      <x:c r="T659" s="3" t="b">
        <x:v>0</x:v>
      </x:c>
      <x:c r="U659" s="2" t="str">
        <x:f>IF(T659=TRUE,"Priority review",IF(R659=TRUE,"High cost",IF(S659=TRUE,"Low quality","Benchmark")))</x:f>
        <x:v>Benchmark</x:v>
      </x:c>
    </x:row>
    <x:row r="660">
      <x:c r="A660" s="2" t="str">
        <x:v>431328</x:v>
      </x:c>
      <x:c r="B660" s="2" t="str">
        <x:v>PIONEER MEMORIAL HOSPITAL - CAH</x:v>
      </x:c>
      <x:c r="C660" s="2" t="str">
        <x:v>VIBORG</x:v>
      </x:c>
      <x:c r="D660" s="2" t="str">
        <x:v>SD</x:v>
      </x:c>
      <x:c r="E660" s="2" t="str">
        <x:v>Critical Access Hospitals</x:v>
      </x:c>
      <x:c r="F660" s="2" t="str">
        <x:v>Voluntary non-profit</x:v>
      </x:c>
      <x:c r="G660" s="2" t="str">
        <x:v>Small (&lt;100 beds)</x:v>
      </x:c>
      <x:c r="H660" s="7"/>
      <x:c r="I660" s="7"/>
      <x:c r="J660" s="7"/>
      <x:c r="K660" s="8" t="n">
        <x:v>12</x:v>
      </x:c>
      <x:c r="L660" s="8" t="n">
        <x:v>43</x:v>
      </x:c>
      <x:c r="M660" s="9" t="n">
        <x:v>0.1331967213</x:v>
      </x:c>
      <x:c r="N660" s="10" t="n">
        <x:v>295348.488372093</x:v>
      </x:c>
      <x:c r="O660" s="9" t="n">
        <x:v>0.0173831319</x:v>
      </x:c>
      <x:c r="P660" s="9" t="n">
        <x:v>0.8676579926</x:v>
      </x:c>
      <x:c r="Q660" s="9" t="n">
        <x:v>0.292936803</x:v>
      </x:c>
      <x:c r="R660" s="3" t="b">
        <x:v>0</x:v>
      </x:c>
      <x:c r="S660" s="3" t="b">
        <x:v>0</x:v>
      </x:c>
      <x:c r="T660" s="3" t="b">
        <x:v>0</x:v>
      </x:c>
      <x:c r="U660" s="2" t="str">
        <x:f>IF(T660=TRUE,"Priority review",IF(R660=TRUE,"High cost",IF(S660=TRUE,"Low quality","Benchmark")))</x:f>
        <x:v>Benchmark</x:v>
      </x:c>
    </x:row>
    <x:row r="661">
      <x:c r="A661" s="2" t="str">
        <x:v>450358</x:v>
      </x:c>
      <x:c r="B661" s="2" t="str">
        <x:v>HOUSTON METHODIST HOSPITAL</x:v>
      </x:c>
      <x:c r="C661" s="2" t="str">
        <x:v>HOUSTON</x:v>
      </x:c>
      <x:c r="D661" s="2" t="str">
        <x:v>TX</x:v>
      </x:c>
      <x:c r="E661" s="2" t="str">
        <x:v>Acute Care Hospitals</x:v>
      </x:c>
      <x:c r="F661" s="2" t="str">
        <x:v>Voluntary non-profit</x:v>
      </x:c>
      <x:c r="G661" s="2" t="str">
        <x:v>Large (300+ beds)</x:v>
      </x:c>
      <x:c r="H661" s="7" t="n">
        <x:v>5</x:v>
      </x:c>
      <x:c r="I661" s="7" t="n">
        <x:v>4</x:v>
      </x:c>
      <x:c r="J661" s="7" t="n">
        <x:v>0.98</x:v>
      </x:c>
      <x:c r="K661" s="8" t="n">
        <x:v>1000</x:v>
      </x:c>
      <x:c r="L661" s="8" t="n">
        <x:v>42609</x:v>
      </x:c>
      <x:c r="M661" s="9" t="n">
        <x:v>0.7889173196</x:v>
      </x:c>
      <x:c r="N661" s="10" t="n">
        <x:v>68069.4484967965</x:v>
      </x:c>
      <x:c r="O661" s="9" t="n">
        <x:v>0.0646197791</x:v>
      </x:c>
      <x:c r="P661" s="9" t="n">
        <x:v>0.8675078864</x:v>
      </x:c>
      <x:c r="Q661" s="9" t="n">
        <x:v>0.8722397476</x:v>
      </x:c>
      <x:c r="R661" s="3" t="b">
        <x:v>0</x:v>
      </x:c>
      <x:c r="S661" s="3" t="b">
        <x:v>0</x:v>
      </x:c>
      <x:c r="T661" s="3" t="b">
        <x:v>0</x:v>
      </x:c>
      <x:c r="U661" s="2" t="str">
        <x:f>IF(T661=TRUE,"Priority review",IF(R661=TRUE,"High cost",IF(S661=TRUE,"Low quality","Benchmark")))</x:f>
        <x:v>Benchmark</x:v>
      </x:c>
    </x:row>
    <x:row r="662">
      <x:c r="A662" s="2" t="str">
        <x:v>154052</x:v>
      </x:c>
      <x:c r="B662" s="2" t="str">
        <x:v>PORTER-STARKE SERVICES INC</x:v>
      </x:c>
      <x:c r="C662" s="2" t="str">
        <x:v>VALPARAISO</x:v>
      </x:c>
      <x:c r="D662" s="2" t="str">
        <x:v>IN</x:v>
      </x:c>
      <x:c r="E662" s="2" t="str">
        <x:v>Psychiatric</x:v>
      </x:c>
      <x:c r="F662" s="2" t="str">
        <x:v>Voluntary non-profit</x:v>
      </x:c>
      <x:c r="G662" s="2" t="str">
        <x:v>Small (&lt;100 beds)</x:v>
      </x:c>
      <x:c r="H662" s="7"/>
      <x:c r="I662" s="7"/>
      <x:c r="J662" s="7"/>
      <x:c r="K662" s="8" t="n">
        <x:v>16</x:v>
      </x:c>
      <x:c r="L662" s="8" t="n">
        <x:v>442</x:v>
      </x:c>
      <x:c r="M662" s="9" t="n">
        <x:v>0.3400684932</x:v>
      </x:c>
      <x:c r="N662" s="10" t="n">
        <x:v>91386.4140271493</x:v>
      </x:c>
      <x:c r="O662" s="9" t="n">
        <x:v>-0.8316189375</x:v>
      </x:c>
      <x:c r="P662" s="9" t="n">
        <x:v>0.8673139159</x:v>
      </x:c>
      <x:c r="Q662" s="9" t="n">
        <x:v>0</x:v>
      </x:c>
      <x:c r="R662" s="3" t="b">
        <x:v>0</x:v>
      </x:c>
      <x:c r="S662" s="3" t="b">
        <x:v>0</x:v>
      </x:c>
      <x:c r="T662" s="3" t="b">
        <x:v>0</x:v>
      </x:c>
      <x:c r="U662" s="2" t="str">
        <x:f>IF(T662=TRUE,"Priority review",IF(R662=TRUE,"High cost",IF(S662=TRUE,"Low quality","Benchmark")))</x:f>
        <x:v>Benchmark</x:v>
      </x:c>
    </x:row>
    <x:row r="663">
      <x:c r="A663" s="2" t="str">
        <x:v>050122</x:v>
      </x:c>
      <x:c r="B663" s="2" t="str">
        <x:v>DAMERON HOSPITAL</x:v>
      </x:c>
      <x:c r="C663" s="2" t="str">
        <x:v>STOCKTON</x:v>
      </x:c>
      <x:c r="D663" s="2" t="str">
        <x:v>CA</x:v>
      </x:c>
      <x:c r="E663" s="2" t="str">
        <x:v>Acute Care Hospitals</x:v>
      </x:c>
      <x:c r="F663" s="2" t="str">
        <x:v>Voluntary non-profit</x:v>
      </x:c>
      <x:c r="G663" s="2" t="str">
        <x:v>Medium (100-299 beds)</x:v>
      </x:c>
      <x:c r="H663" s="7" t="n">
        <x:v>2</x:v>
      </x:c>
      <x:c r="I663" s="7" t="n">
        <x:v>2</x:v>
      </x:c>
      <x:c r="J663" s="7" t="n">
        <x:v>1.05</x:v>
      </x:c>
      <x:c r="K663" s="8" t="n">
        <x:v>170</x:v>
      </x:c>
      <x:c r="L663" s="8" t="n">
        <x:v>2937</x:v>
      </x:c>
      <x:c r="M663" s="9" t="n">
        <x:v>0.1995660559</x:v>
      </x:c>
      <x:c r="N663" s="10" t="n">
        <x:v>56598.4834865509</x:v>
      </x:c>
      <x:c r="O663" s="9" t="n">
        <x:v>-0.3341021427</x:v>
      </x:c>
      <x:c r="P663" s="9" t="n">
        <x:v>0.8671556642</x:v>
      </x:c>
      <x:c r="Q663" s="9" t="n">
        <x:v>0.0782396088</x:v>
      </x:c>
      <x:c r="R663" s="3" t="b">
        <x:v>0</x:v>
      </x:c>
      <x:c r="S663" s="3" t="b">
        <x:v>1</x:v>
      </x:c>
      <x:c r="T663" s="3" t="b">
        <x:v>0</x:v>
      </x:c>
      <x:c r="U663" s="2" t="str">
        <x:f>IF(T663=TRUE,"Priority review",IF(R663=TRUE,"High cost",IF(S663=TRUE,"Low quality","Benchmark")))</x:f>
        <x:v>Low quality</x:v>
      </x:c>
    </x:row>
    <x:row r="664">
      <x:c r="A664" s="2" t="str">
        <x:v>320060</x:v>
      </x:c>
      <x:c r="B664" s="2" t="str">
        <x:v>ZUNI COMPREHENSIVE COMMUNITY HEALTH CENTER</x:v>
      </x:c>
      <x:c r="C664" s="2" t="str">
        <x:v>ZUNI</x:v>
      </x:c>
      <x:c r="D664" s="2" t="str">
        <x:v>NM</x:v>
      </x:c>
      <x:c r="E664" s="2" t="str">
        <x:v>Acute Care Hospitals</x:v>
      </x:c>
      <x:c r="F664" s="2" t="str">
        <x:v>Government</x:v>
      </x:c>
      <x:c r="G664" s="2" t="str">
        <x:v>Small (&lt;100 beds)</x:v>
      </x:c>
      <x:c r="H664" s="7"/>
      <x:c r="I664" s="7"/>
      <x:c r="J664" s="7" t="n">
        <x:v>0.69</x:v>
      </x:c>
      <x:c r="K664" s="8" t="n">
        <x:v>27</x:v>
      </x:c>
      <x:c r="L664" s="8" t="n">
        <x:v>518</x:v>
      </x:c>
      <x:c r="M664" s="9" t="n">
        <x:v>0.1617081562</x:v>
      </x:c>
      <x:c r="N664" s="10" t="n">
        <x:v>124608.1428571429</x:v>
      </x:c>
      <x:c r="O664" s="9"/>
      <x:c r="P664" s="9" t="n">
        <x:v>0.8671454219</x:v>
      </x:c>
      <x:c r="Q664" s="9" t="n">
        <x:v>0.697486535</x:v>
      </x:c>
      <x:c r="R664" s="3" t="b">
        <x:v>0</x:v>
      </x:c>
      <x:c r="S664" s="3" t="b">
        <x:v>0</x:v>
      </x:c>
      <x:c r="T664" s="3" t="b">
        <x:v>0</x:v>
      </x:c>
      <x:c r="U664" s="2" t="str">
        <x:f>IF(T664=TRUE,"Priority review",IF(R664=TRUE,"High cost",IF(S664=TRUE,"Low quality","Benchmark")))</x:f>
        <x:v>Benchmark</x:v>
      </x:c>
    </x:row>
    <x:row r="665">
      <x:c r="A665" s="2" t="str">
        <x:v>501325</x:v>
      </x:c>
      <x:c r="B665" s="2" t="str">
        <x:v>FORKS COMMUNITY HOSPITAL</x:v>
      </x:c>
      <x:c r="C665" s="2" t="str">
        <x:v>FORKS</x:v>
      </x:c>
      <x:c r="D665" s="2" t="str">
        <x:v>WA</x:v>
      </x:c>
      <x:c r="E665" s="2" t="str">
        <x:v>Critical Access Hospitals</x:v>
      </x:c>
      <x:c r="F665" s="2" t="str">
        <x:v>Government</x:v>
      </x:c>
      <x:c r="G665" s="2" t="str">
        <x:v>Small (&lt;100 beds)</x:v>
      </x:c>
      <x:c r="H665" s="7"/>
      <x:c r="I665" s="7"/>
      <x:c r="J665" s="7"/>
      <x:c r="K665" s="8" t="n">
        <x:v>25</x:v>
      </x:c>
      <x:c r="L665" s="8" t="n">
        <x:v>160</x:v>
      </x:c>
      <x:c r="M665" s="9" t="n">
        <x:v>0.5069945355</x:v>
      </x:c>
      <x:c r="N665" s="10" t="n">
        <x:v>292715.1875</x:v>
      </x:c>
      <x:c r="O665" s="9" t="n">
        <x:v>-0.3771573756</x:v>
      </x:c>
      <x:c r="P665" s="9" t="n">
        <x:v>0.8669144981</x:v>
      </x:c>
      <x:c r="Q665" s="9" t="n">
        <x:v>0.292936803</x:v>
      </x:c>
      <x:c r="R665" s="3" t="b">
        <x:v>0</x:v>
      </x:c>
      <x:c r="S665" s="3" t="b">
        <x:v>0</x:v>
      </x:c>
      <x:c r="T665" s="3" t="b">
        <x:v>0</x:v>
      </x:c>
      <x:c r="U665" s="2" t="str">
        <x:f>IF(T665=TRUE,"Priority review",IF(R665=TRUE,"High cost",IF(S665=TRUE,"Low quality","Benchmark")))</x:f>
        <x:v>Benchmark</x:v>
      </x:c>
    </x:row>
    <x:row r="666">
      <x:c r="A666" s="2" t="str">
        <x:v>050765</x:v>
      </x:c>
      <x:c r="B666" s="2" t="str">
        <x:v>KAISER FOUNDATION HOSPITAL-MORENO VALLEY</x:v>
      </x:c>
      <x:c r="C666" s="2" t="str">
        <x:v>MORENO VALLEY</x:v>
      </x:c>
      <x:c r="D666" s="2" t="str">
        <x:v>CA</x:v>
      </x:c>
      <x:c r="E666" s="2" t="str">
        <x:v>Acute Care Hospitals</x:v>
      </x:c>
      <x:c r="F666" s="2" t="str">
        <x:v>Voluntary non-profit</x:v>
      </x:c>
      <x:c r="G666" s="2" t="str">
        <x:v>Medium (100-299 beds)</x:v>
      </x:c>
      <x:c r="H666" s="7" t="n">
        <x:v>4</x:v>
      </x:c>
      <x:c r="I666" s="7" t="n">
        <x:v>3</x:v>
      </x:c>
      <x:c r="J666" s="7"/>
      <x:c r="K666" s="8" t="n">
        <x:v>100</x:v>
      </x:c>
      <x:c r="L666" s="8" t="n">
        <x:v>5066</x:v>
      </x:c>
      <x:c r="M666" s="9" t="n">
        <x:v>0.5212295082</x:v>
      </x:c>
      <x:c r="N666" s="10" t="n">
        <x:v>56575.2528622187</x:v>
      </x:c>
      <x:c r="O666" s="9" t="n">
        <x:v>0.0636670389</x:v>
      </x:c>
      <x:c r="P666" s="9" t="n">
        <x:v>0.8663406683</x:v>
      </x:c>
      <x:c r="Q666" s="9" t="n">
        <x:v>0.6022819886</x:v>
      </x:c>
      <x:c r="R666" s="3" t="b">
        <x:v>0</x:v>
      </x:c>
      <x:c r="S666" s="3" t="b">
        <x:v>0</x:v>
      </x:c>
      <x:c r="T666" s="3" t="b">
        <x:v>0</x:v>
      </x:c>
      <x:c r="U666" s="2" t="str">
        <x:f>IF(T666=TRUE,"Priority review",IF(R666=TRUE,"High cost",IF(S666=TRUE,"Low quality","Benchmark")))</x:f>
        <x:v>Benchmark</x:v>
      </x:c>
    </x:row>
    <x:row r="667">
      <x:c r="A667" s="2" t="str">
        <x:v>360351</x:v>
      </x:c>
      <x:c r="B667" s="2" t="str">
        <x:v>CRYSTAL CLINIC ORTHOPAEDIC CENTER</x:v>
      </x:c>
      <x:c r="C667" s="2" t="str">
        <x:v>AKRON</x:v>
      </x:c>
      <x:c r="D667" s="2" t="str">
        <x:v>OH</x:v>
      </x:c>
      <x:c r="E667" s="2" t="str">
        <x:v>Acute Care Hospitals</x:v>
      </x:c>
      <x:c r="F667" s="2" t="str">
        <x:v>Proprietary</x:v>
      </x:c>
      <x:c r="G667" s="2" t="str">
        <x:v>Small (&lt;100 beds)</x:v>
      </x:c>
      <x:c r="H667" s="7" t="n">
        <x:v>5</x:v>
      </x:c>
      <x:c r="I667" s="7" t="n">
        <x:v>5</x:v>
      </x:c>
      <x:c r="J667" s="7" t="n">
        <x:v>0.85</x:v>
      </x:c>
      <x:c r="K667" s="8" t="n">
        <x:v>59</x:v>
      </x:c>
      <x:c r="L667" s="8" t="n">
        <x:v>1665</x:v>
      </x:c>
      <x:c r="M667" s="9" t="n">
        <x:v>0.1994998611</x:v>
      </x:c>
      <x:c r="N667" s="10" t="n">
        <x:v>124500.9357357357</x:v>
      </x:c>
      <x:c r="O667" s="9" t="n">
        <x:v>-0.0128415821</x:v>
      </x:c>
      <x:c r="P667" s="9" t="n">
        <x:v>0.8662477558</x:v>
      </x:c>
      <x:c r="Q667" s="9" t="n">
        <x:v>0.6131059246</x:v>
      </x:c>
      <x:c r="R667" s="3" t="b">
        <x:v>0</x:v>
      </x:c>
      <x:c r="S667" s="3" t="b">
        <x:v>0</x:v>
      </x:c>
      <x:c r="T667" s="3" t="b">
        <x:v>0</x:v>
      </x:c>
      <x:c r="U667" s="2" t="str">
        <x:f>IF(T667=TRUE,"Priority review",IF(R667=TRUE,"High cost",IF(S667=TRUE,"Low quality","Benchmark")))</x:f>
        <x:v>Benchmark</x:v>
      </x:c>
    </x:row>
    <x:row r="668">
      <x:c r="A668" s="2" t="str">
        <x:v>141320</x:v>
      </x:c>
      <x:c r="B668" s="2" t="str">
        <x:v>PARIS COMMUNITY HOSPITAL</x:v>
      </x:c>
      <x:c r="C668" s="2" t="str">
        <x:v>PARIS</x:v>
      </x:c>
      <x:c r="D668" s="2" t="str">
        <x:v>IL</x:v>
      </x:c>
      <x:c r="E668" s="2" t="str">
        <x:v>Critical Access Hospitals</x:v>
      </x:c>
      <x:c r="F668" s="2" t="str">
        <x:v>Voluntary non-profit</x:v>
      </x:c>
      <x:c r="G668" s="2" t="str">
        <x:v>Small (&lt;100 beds)</x:v>
      </x:c>
      <x:c r="H668" s="7" t="n">
        <x:v>3</x:v>
      </x:c>
      <x:c r="I668" s="7"/>
      <x:c r="J668" s="7"/>
      <x:c r="K668" s="8" t="n">
        <x:v>25</x:v>
      </x:c>
      <x:c r="L668" s="8" t="n">
        <x:v>480</x:v>
      </x:c>
      <x:c r="M668" s="9" t="n">
        <x:v>0.3289617486</x:v>
      </x:c>
      <x:c r="N668" s="10" t="n">
        <x:v>292143.7895833334</x:v>
      </x:c>
      <x:c r="O668" s="9" t="n">
        <x:v>-0.0456110154</x:v>
      </x:c>
      <x:c r="P668" s="9" t="n">
        <x:v>0.8661710037</x:v>
      </x:c>
      <x:c r="Q668" s="9" t="n">
        <x:v>0.0765799257</x:v>
      </x:c>
      <x:c r="R668" s="3" t="b">
        <x:v>0</x:v>
      </x:c>
      <x:c r="S668" s="3" t="b">
        <x:v>1</x:v>
      </x:c>
      <x:c r="T668" s="3" t="b">
        <x:v>0</x:v>
      </x:c>
      <x:c r="U668" s="2" t="str">
        <x:f>IF(T668=TRUE,"Priority review",IF(R668=TRUE,"High cost",IF(S668=TRUE,"Low quality","Benchmark")))</x:f>
        <x:v>Low quality</x:v>
      </x:c>
    </x:row>
    <x:row r="669">
      <x:c r="A669" s="2" t="str">
        <x:v>180044</x:v>
      </x:c>
      <x:c r="B669" s="2" t="str">
        <x:v>PIKEVILLE MEDICAL CENTER</x:v>
      </x:c>
      <x:c r="C669" s="2" t="str">
        <x:v>PIKEVILLE</x:v>
      </x:c>
      <x:c r="D669" s="2" t="str">
        <x:v>KY</x:v>
      </x:c>
      <x:c r="E669" s="2" t="str">
        <x:v>Acute Care Hospitals</x:v>
      </x:c>
      <x:c r="F669" s="2" t="str">
        <x:v>Voluntary non-profit</x:v>
      </x:c>
      <x:c r="G669" s="2" t="str">
        <x:v>Large (300+ beds)</x:v>
      </x:c>
      <x:c r="H669" s="7" t="n">
        <x:v>1</x:v>
      </x:c>
      <x:c r="I669" s="7" t="n">
        <x:v>3</x:v>
      </x:c>
      <x:c r="J669" s="7" t="n">
        <x:v>0.95</x:v>
      </x:c>
      <x:c r="K669" s="8" t="n">
        <x:v>328</x:v>
      </x:c>
      <x:c r="L669" s="8" t="n">
        <x:v>10535</x:v>
      </x:c>
      <x:c r="M669" s="9" t="n">
        <x:v>0.543465947</x:v>
      </x:c>
      <x:c r="N669" s="10" t="n">
        <x:v>68011.6827717133</x:v>
      </x:c>
      <x:c r="O669" s="9" t="n">
        <x:v>-0.1281351088</x:v>
      </x:c>
      <x:c r="P669" s="9" t="n">
        <x:v>0.8659305994</x:v>
      </x:c>
      <x:c r="Q669" s="9" t="n">
        <x:v>0</x:v>
      </x:c>
      <x:c r="R669" s="3" t="b">
        <x:v>0</x:v>
      </x:c>
      <x:c r="S669" s="3" t="b">
        <x:v>1</x:v>
      </x:c>
      <x:c r="T669" s="3" t="b">
        <x:v>0</x:v>
      </x:c>
      <x:c r="U669" s="2" t="str">
        <x:f>IF(T669=TRUE,"Priority review",IF(R669=TRUE,"High cost",IF(S669=TRUE,"Low quality","Benchmark")))</x:f>
        <x:v>Low quality</x:v>
      </x:c>
    </x:row>
    <x:row r="670">
      <x:c r="A670" s="2" t="str">
        <x:v>114028</x:v>
      </x:c>
      <x:c r="B670" s="2" t="str">
        <x:v>GEORGIA REGIONAL HOSP SAVANNAH</x:v>
      </x:c>
      <x:c r="C670" s="2" t="str">
        <x:v>SAVANNAH</x:v>
      </x:c>
      <x:c r="D670" s="2" t="str">
        <x:v>GA</x:v>
      </x:c>
      <x:c r="E670" s="2" t="str">
        <x:v>Psychiatric</x:v>
      </x:c>
      <x:c r="F670" s="2" t="str">
        <x:v>Government</x:v>
      </x:c>
      <x:c r="G670" s="2" t="str">
        <x:v>Medium (100-299 beds)</x:v>
      </x:c>
      <x:c r="H670" s="7"/>
      <x:c r="I670" s="7"/>
      <x:c r="J670" s="7"/>
      <x:c r="K670" s="8" t="n">
        <x:v>112</x:v>
      </x:c>
      <x:c r="L670" s="8" t="n">
        <x:v>351</x:v>
      </x:c>
      <x:c r="M670" s="9" t="n">
        <x:v>0.9346868885</x:v>
      </x:c>
      <x:c r="N670" s="10" t="n">
        <x:v>173840.207977208</x:v>
      </x:c>
      <x:c r="O670" s="9"/>
      <x:c r="P670" s="9" t="n">
        <x:v>0.8656716418</x:v>
      </x:c>
      <x:c r="Q670" s="9" t="n">
        <x:v>0</x:v>
      </x:c>
      <x:c r="R670" s="3" t="b">
        <x:v>0</x:v>
      </x:c>
      <x:c r="S670" s="3" t="b">
        <x:v>0</x:v>
      </x:c>
      <x:c r="T670" s="3" t="b">
        <x:v>0</x:v>
      </x:c>
      <x:c r="U670" s="2" t="str">
        <x:f>IF(T670=TRUE,"Priority review",IF(R670=TRUE,"High cost",IF(S670=TRUE,"Low quality","Benchmark")))</x:f>
        <x:v>Benchmark</x:v>
      </x:c>
    </x:row>
    <x:row r="671">
      <x:c r="A671" s="2" t="str">
        <x:v>050291</x:v>
      </x:c>
      <x:c r="B671" s="2" t="str">
        <x:v>SUTTER SANTA ROSA REGIONAL HOSPITAL</x:v>
      </x:c>
      <x:c r="C671" s="2" t="str">
        <x:v>SANTA ROSA</x:v>
      </x:c>
      <x:c r="D671" s="2" t="str">
        <x:v>CA</x:v>
      </x:c>
      <x:c r="E671" s="2" t="str">
        <x:v>Acute Care Hospitals</x:v>
      </x:c>
      <x:c r="F671" s="2" t="str">
        <x:v>Voluntary non-profit</x:v>
      </x:c>
      <x:c r="G671" s="2" t="str">
        <x:v>Medium (100-299 beds)</x:v>
      </x:c>
      <x:c r="H671" s="7" t="n">
        <x:v>5</x:v>
      </x:c>
      <x:c r="I671" s="7" t="n">
        <x:v>3</x:v>
      </x:c>
      <x:c r="J671" s="7" t="n">
        <x:v>0.96</x:v>
      </x:c>
      <x:c r="K671" s="8" t="n">
        <x:v>124</x:v>
      </x:c>
      <x:c r="L671" s="8" t="n">
        <x:v>8877</x:v>
      </x:c>
      <x:c r="M671" s="9" t="n">
        <x:v>0.8320773841</x:v>
      </x:c>
      <x:c r="N671" s="10" t="n">
        <x:v>56512.1185085051</x:v>
      </x:c>
      <x:c r="O671" s="9" t="n">
        <x:v>-0.0168898107</x:v>
      </x:c>
      <x:c r="P671" s="9" t="n">
        <x:v>0.8655256724</x:v>
      </x:c>
      <x:c r="Q671" s="9" t="n">
        <x:v>0.8744906275</x:v>
      </x:c>
      <x:c r="R671" s="3" t="b">
        <x:v>0</x:v>
      </x:c>
      <x:c r="S671" s="3" t="b">
        <x:v>0</x:v>
      </x:c>
      <x:c r="T671" s="3" t="b">
        <x:v>0</x:v>
      </x:c>
      <x:c r="U671" s="2" t="str">
        <x:f>IF(T671=TRUE,"Priority review",IF(R671=TRUE,"High cost",IF(S671=TRUE,"Low quality","Benchmark")))</x:f>
        <x:v>Benchmark</x:v>
      </x:c>
    </x:row>
    <x:row r="672">
      <x:c r="A672" s="2" t="str">
        <x:v>271304</x:v>
      </x:c>
      <x:c r="B672" s="2" t="str">
        <x:v>MISSOURI RIVER MEDICAL CENTER</x:v>
      </x:c>
      <x:c r="C672" s="2" t="str">
        <x:v>FORT BENTON</x:v>
      </x:c>
      <x:c r="D672" s="2" t="str">
        <x:v>MT</x:v>
      </x:c>
      <x:c r="E672" s="2" t="str">
        <x:v>Critical Access Hospitals</x:v>
      </x:c>
      <x:c r="F672" s="2" t="str">
        <x:v>Government</x:v>
      </x:c>
      <x:c r="G672" s="2" t="str">
        <x:v>Small (&lt;100 beds)</x:v>
      </x:c>
      <x:c r="H672" s="7"/>
      <x:c r="I672" s="7"/>
      <x:c r="J672" s="7"/>
      <x:c r="K672" s="8" t="n">
        <x:v>25</x:v>
      </x:c>
      <x:c r="L672" s="8" t="n">
        <x:v>40</x:v>
      </x:c>
      <x:c r="M672" s="9" t="n">
        <x:v>0.8868852459</x:v>
      </x:c>
      <x:c r="N672" s="10" t="n">
        <x:v>291831.375</x:v>
      </x:c>
      <x:c r="O672" s="9" t="n">
        <x:v>-0.2954128096</x:v>
      </x:c>
      <x:c r="P672" s="9" t="n">
        <x:v>0.8654275093</x:v>
      </x:c>
      <x:c r="Q672" s="9" t="n">
        <x:v>0.292936803</x:v>
      </x:c>
      <x:c r="R672" s="3" t="b">
        <x:v>0</x:v>
      </x:c>
      <x:c r="S672" s="3" t="b">
        <x:v>0</x:v>
      </x:c>
      <x:c r="T672" s="3" t="b">
        <x:v>0</x:v>
      </x:c>
      <x:c r="U672" s="2" t="str">
        <x:f>IF(T672=TRUE,"Priority review",IF(R672=TRUE,"High cost",IF(S672=TRUE,"Low quality","Benchmark")))</x:f>
        <x:v>Benchmark</x:v>
      </x:c>
    </x:row>
    <x:row r="673">
      <x:c r="A673" s="2" t="str">
        <x:v>250061</x:v>
      </x:c>
      <x:c r="B673" s="2" t="str">
        <x:v>YALOBUSHA GENERAL HOSPITAL</x:v>
      </x:c>
      <x:c r="C673" s="2" t="str">
        <x:v>WATER VALLEY</x:v>
      </x:c>
      <x:c r="D673" s="2" t="str">
        <x:v>MS</x:v>
      </x:c>
      <x:c r="E673" s="2" t="str">
        <x:v>Acute Care Hospitals</x:v>
      </x:c>
      <x:c r="F673" s="2" t="str">
        <x:v>Government</x:v>
      </x:c>
      <x:c r="G673" s="2" t="str">
        <x:v>Small (&lt;100 beds)</x:v>
      </x:c>
      <x:c r="H673" s="7"/>
      <x:c r="I673" s="7"/>
      <x:c r="J673" s="7" t="n">
        <x:v>0.93</x:v>
      </x:c>
      <x:c r="K673" s="8" t="n">
        <x:v>26</x:v>
      </x:c>
      <x:c r="L673" s="8" t="n">
        <x:v>218</x:v>
      </x:c>
      <x:c r="M673" s="9" t="n">
        <x:v>0.5436107608</x:v>
      </x:c>
      <x:c r="N673" s="10" t="n">
        <x:v>124113.0963302752</x:v>
      </x:c>
      <x:c r="O673" s="9" t="n">
        <x:v>-0.0851291614</x:v>
      </x:c>
      <x:c r="P673" s="9" t="n">
        <x:v>0.8653500898</x:v>
      </x:c>
      <x:c r="Q673" s="9" t="n">
        <x:v>0.697486535</x:v>
      </x:c>
      <x:c r="R673" s="3" t="b">
        <x:v>0</x:v>
      </x:c>
      <x:c r="S673" s="3" t="b">
        <x:v>0</x:v>
      </x:c>
      <x:c r="T673" s="3" t="b">
        <x:v>0</x:v>
      </x:c>
      <x:c r="U673" s="2" t="str">
        <x:f>IF(T673=TRUE,"Priority review",IF(R673=TRUE,"High cost",IF(S673=TRUE,"Low quality","Benchmark")))</x:f>
        <x:v>Benchmark</x:v>
      </x:c>
    </x:row>
    <x:row r="674">
      <x:c r="A674" s="2" t="str">
        <x:v>140186</x:v>
      </x:c>
      <x:c r="B674" s="2" t="str">
        <x:v>RIVERSIDE MEDICAL CENTER</x:v>
      </x:c>
      <x:c r="C674" s="2" t="str">
        <x:v>KANKAKEE</x:v>
      </x:c>
      <x:c r="D674" s="2" t="str">
        <x:v>IL</x:v>
      </x:c>
      <x:c r="E674" s="2" t="str">
        <x:v>Acute Care Hospitals</x:v>
      </x:c>
      <x:c r="F674" s="2" t="str">
        <x:v>Voluntary non-profit</x:v>
      </x:c>
      <x:c r="G674" s="2" t="str">
        <x:v>Medium (100-299 beds)</x:v>
      </x:c>
      <x:c r="H674" s="7" t="n">
        <x:v>4</x:v>
      </x:c>
      <x:c r="I674" s="7" t="n">
        <x:v>3</x:v>
      </x:c>
      <x:c r="J674" s="7" t="n">
        <x:v>1.09</x:v>
      </x:c>
      <x:c r="K674" s="8" t="n">
        <x:v>256</x:v>
      </x:c>
      <x:c r="L674" s="8" t="n">
        <x:v>8247</x:v>
      </x:c>
      <x:c r="M674" s="9" t="n">
        <x:v>0.4223019126</x:v>
      </x:c>
      <x:c r="N674" s="10" t="n">
        <x:v>56484.9870255851</x:v>
      </x:c>
      <x:c r="O674" s="9" t="n">
        <x:v>-0.01335341</x:v>
      </x:c>
      <x:c r="P674" s="9" t="n">
        <x:v>0.8647106764</x:v>
      </x:c>
      <x:c r="Q674" s="9" t="n">
        <x:v>0.6022819886</x:v>
      </x:c>
      <x:c r="R674" s="3" t="b">
        <x:v>0</x:v>
      </x:c>
      <x:c r="S674" s="3" t="b">
        <x:v>0</x:v>
      </x:c>
      <x:c r="T674" s="3" t="b">
        <x:v>0</x:v>
      </x:c>
      <x:c r="U674" s="2" t="str">
        <x:f>IF(T674=TRUE,"Priority review",IF(R674=TRUE,"High cost",IF(S674=TRUE,"Low quality","Benchmark")))</x:f>
        <x:v>Benchmark</x:v>
      </x:c>
    </x:row>
    <x:row r="675">
      <x:c r="A675" s="2" t="str">
        <x:v>241379</x:v>
      </x:c>
      <x:c r="B675" s="2" t="str">
        <x:v>PRAIRIE RIDGE HOSPITAL AND HEALTH SERVICES</x:v>
      </x:c>
      <x:c r="C675" s="2" t="str">
        <x:v>ELBOW LAKE</x:v>
      </x:c>
      <x:c r="D675" s="2" t="str">
        <x:v>MN</x:v>
      </x:c>
      <x:c r="E675" s="2" t="str">
        <x:v>Critical Access Hospitals</x:v>
      </x:c>
      <x:c r="F675" s="2" t="str">
        <x:v>Voluntary non-profit</x:v>
      </x:c>
      <x:c r="G675" s="2" t="str">
        <x:v>Small (&lt;100 beds)</x:v>
      </x:c>
      <x:c r="H675" s="7"/>
      <x:c r="I675" s="7"/>
      <x:c r="J675" s="7"/>
      <x:c r="K675" s="8" t="n">
        <x:v>10</x:v>
      </x:c>
      <x:c r="L675" s="8" t="n">
        <x:v>67</x:v>
      </x:c>
      <x:c r="M675" s="9" t="n">
        <x:v>0.2043715847</x:v>
      </x:c>
      <x:c r="N675" s="10" t="n">
        <x:v>291693.7014925373</x:v>
      </x:c>
      <x:c r="O675" s="9" t="n">
        <x:v>-0.0120619002</x:v>
      </x:c>
      <x:c r="P675" s="9" t="n">
        <x:v>0.8646840149</x:v>
      </x:c>
      <x:c r="Q675" s="9" t="n">
        <x:v>0.292936803</x:v>
      </x:c>
      <x:c r="R675" s="3" t="b">
        <x:v>0</x:v>
      </x:c>
      <x:c r="S675" s="3" t="b">
        <x:v>0</x:v>
      </x:c>
      <x:c r="T675" s="3" t="b">
        <x:v>0</x:v>
      </x:c>
      <x:c r="U675" s="2" t="str">
        <x:f>IF(T675=TRUE,"Priority review",IF(R675=TRUE,"High cost",IF(S675=TRUE,"Low quality","Benchmark")))</x:f>
        <x:v>Benchmark</x:v>
      </x:c>
    </x:row>
    <x:row r="676">
      <x:c r="A676" s="2" t="str">
        <x:v>320061</x:v>
      </x:c>
      <x:c r="B676" s="2" t="str">
        <x:v>GALLUP INDIAN MEDICAL CENTER</x:v>
      </x:c>
      <x:c r="C676" s="2" t="str">
        <x:v>GALLUP</x:v>
      </x:c>
      <x:c r="D676" s="2" t="str">
        <x:v>NM</x:v>
      </x:c>
      <x:c r="E676" s="2" t="str">
        <x:v>Acute Care Hospitals</x:v>
      </x:c>
      <x:c r="F676" s="2" t="str">
        <x:v>Government</x:v>
      </x:c>
      <x:c r="G676" s="2" t="str">
        <x:v>Small (&lt;100 beds)</x:v>
      </x:c>
      <x:c r="H676" s="7" t="n">
        <x:v>2</x:v>
      </x:c>
      <x:c r="I676" s="7" t="n">
        <x:v>2</x:v>
      </x:c>
      <x:c r="J676" s="7" t="n">
        <x:v>0.8</x:v>
      </x:c>
      <x:c r="K676" s="8" t="n">
        <x:v>74</x:v>
      </x:c>
      <x:c r="L676" s="8" t="n">
        <x:v>2477</x:v>
      </x:c>
      <x:c r="M676" s="9" t="n">
        <x:v>0.4181066312</x:v>
      </x:c>
      <x:c r="N676" s="10" t="n">
        <x:v>124058.4045215987</x:v>
      </x:c>
      <x:c r="O676" s="9"/>
      <x:c r="P676" s="9" t="n">
        <x:v>0.8644524237</x:v>
      </x:c>
      <x:c r="Q676" s="9" t="n">
        <x:v>0.0350089767</x:v>
      </x:c>
      <x:c r="R676" s="3" t="b">
        <x:v>0</x:v>
      </x:c>
      <x:c r="S676" s="3" t="b">
        <x:v>1</x:v>
      </x:c>
      <x:c r="T676" s="3" t="b">
        <x:v>0</x:v>
      </x:c>
      <x:c r="U676" s="2" t="str">
        <x:f>IF(T676=TRUE,"Priority review",IF(R676=TRUE,"High cost",IF(S676=TRUE,"Low quality","Benchmark")))</x:f>
        <x:v>Low quality</x:v>
      </x:c>
    </x:row>
    <x:row r="677">
      <x:c r="A677" s="2" t="str">
        <x:v>410007</x:v>
      </x:c>
      <x:c r="B677" s="2" t="str">
        <x:v>RHODE ISLAND HOSPITAL</x:v>
      </x:c>
      <x:c r="C677" s="2" t="str">
        <x:v>PROVIDENCE</x:v>
      </x:c>
      <x:c r="D677" s="2" t="str">
        <x:v>RI</x:v>
      </x:c>
      <x:c r="E677" s="2" t="str">
        <x:v>Acute Care Hospitals</x:v>
      </x:c>
      <x:c r="F677" s="2" t="str">
        <x:v>Voluntary non-profit</x:v>
      </x:c>
      <x:c r="G677" s="2" t="str">
        <x:v>Large (300+ beds)</x:v>
      </x:c>
      <x:c r="H677" s="7" t="n">
        <x:v>4</x:v>
      </x:c>
      <x:c r="I677" s="7" t="n">
        <x:v>3</x:v>
      </x:c>
      <x:c r="J677" s="7" t="n">
        <x:v>1.02</x:v>
      </x:c>
      <x:c r="K677" s="8" t="n">
        <x:v>650</x:v>
      </x:c>
      <x:c r="L677" s="8" t="n">
        <x:v>30529</x:v>
      </x:c>
      <x:c r="M677" s="9" t="n">
        <x:v>0.8052122741</x:v>
      </x:c>
      <x:c r="N677" s="10" t="n">
        <x:v>67911.4701758983</x:v>
      </x:c>
      <x:c r="O677" s="9" t="n">
        <x:v>-0.2570617873</x:v>
      </x:c>
      <x:c r="P677" s="9" t="n">
        <x:v>0.8643533123</x:v>
      </x:c>
      <x:c r="Q677" s="9" t="n">
        <x:v>0.5899053628</x:v>
      </x:c>
      <x:c r="R677" s="3" t="b">
        <x:v>0</x:v>
      </x:c>
      <x:c r="S677" s="3" t="b">
        <x:v>0</x:v>
      </x:c>
      <x:c r="T677" s="3" t="b">
        <x:v>0</x:v>
      </x:c>
      <x:c r="U677" s="2" t="str">
        <x:f>IF(T677=TRUE,"Priority review",IF(R677=TRUE,"High cost",IF(S677=TRUE,"Low quality","Benchmark")))</x:f>
        <x:v>Benchmark</x:v>
      </x:c>
    </x:row>
    <x:row r="678">
      <x:c r="A678" s="2" t="str">
        <x:v>224040</x:v>
      </x:c>
      <x:c r="B678" s="2" t="str">
        <x:v>DR SOLOMON CARTER FULLER MENTAL HEALTH CENTER</x:v>
      </x:c>
      <x:c r="C678" s="2" t="str">
        <x:v>BOSTON</x:v>
      </x:c>
      <x:c r="D678" s="2" t="str">
        <x:v>MA</x:v>
      </x:c>
      <x:c r="E678" s="2" t="str">
        <x:v>Psychiatric</x:v>
      </x:c>
      <x:c r="F678" s="2" t="str">
        <x:v>Government</x:v>
      </x:c>
      <x:c r="G678" s="2" t="str">
        <x:v>Small (&lt;100 beds)</x:v>
      </x:c>
      <x:c r="H678" s="7"/>
      <x:c r="I678" s="7"/>
      <x:c r="J678" s="7"/>
      <x:c r="K678" s="8" t="n">
        <x:v>60</x:v>
      </x:c>
      <x:c r="L678" s="8" t="n">
        <x:v>310</x:v>
      </x:c>
      <x:c r="M678" s="9" t="n">
        <x:v>0.9728310502</x:v>
      </x:c>
      <x:c r="N678" s="10" t="n">
        <x:v>90642.1612903226</x:v>
      </x:c>
      <x:c r="O678" s="9"/>
      <x:c r="P678" s="9" t="n">
        <x:v>0.8640776699</x:v>
      </x:c>
      <x:c r="Q678" s="9" t="n">
        <x:v>0</x:v>
      </x:c>
      <x:c r="R678" s="3" t="b">
        <x:v>0</x:v>
      </x:c>
      <x:c r="S678" s="3" t="b">
        <x:v>0</x:v>
      </x:c>
      <x:c r="T678" s="3" t="b">
        <x:v>0</x:v>
      </x:c>
      <x:c r="U678" s="2" t="str">
        <x:f>IF(T678=TRUE,"Priority review",IF(R678=TRUE,"High cost",IF(S678=TRUE,"Low quality","Benchmark")))</x:f>
        <x:v>Benchmark</x:v>
      </x:c>
    </x:row>
    <x:row r="679">
      <x:c r="A679" s="2" t="str">
        <x:v>511306</x:v>
      </x:c>
      <x:c r="B679" s="2" t="str">
        <x:v>ROANE GENERAL HOSPITAL</x:v>
      </x:c>
      <x:c r="C679" s="2" t="str">
        <x:v>SPENCER</x:v>
      </x:c>
      <x:c r="D679" s="2" t="str">
        <x:v>WV</x:v>
      </x:c>
      <x:c r="E679" s="2" t="str">
        <x:v>Critical Access Hospitals</x:v>
      </x:c>
      <x:c r="F679" s="2" t="str">
        <x:v>Voluntary non-profit</x:v>
      </x:c>
      <x:c r="G679" s="2" t="str">
        <x:v>Small (&lt;100 beds)</x:v>
      </x:c>
      <x:c r="H679" s="7"/>
      <x:c r="I679" s="7"/>
      <x:c r="J679" s="7"/>
      <x:c r="K679" s="8" t="n">
        <x:v>25</x:v>
      </x:c>
      <x:c r="L679" s="8" t="n">
        <x:v>214</x:v>
      </x:c>
      <x:c r="M679" s="9" t="n">
        <x:v>0.2815300546</x:v>
      </x:c>
      <x:c r="N679" s="10" t="n">
        <x:v>291563.6074766355</x:v>
      </x:c>
      <x:c r="O679" s="9" t="n">
        <x:v>-0.0173842114</x:v>
      </x:c>
      <x:c r="P679" s="9" t="n">
        <x:v>0.8639405204</x:v>
      </x:c>
      <x:c r="Q679" s="9" t="n">
        <x:v>0.292936803</x:v>
      </x:c>
      <x:c r="R679" s="3" t="b">
        <x:v>0</x:v>
      </x:c>
      <x:c r="S679" s="3" t="b">
        <x:v>0</x:v>
      </x:c>
      <x:c r="T679" s="3" t="b">
        <x:v>0</x:v>
      </x:c>
      <x:c r="U679" s="2" t="str">
        <x:f>IF(T679=TRUE,"Priority review",IF(R679=TRUE,"High cost",IF(S679=TRUE,"Low quality","Benchmark")))</x:f>
        <x:v>Benchmark</x:v>
      </x:c>
    </x:row>
    <x:row r="680">
      <x:c r="A680" s="2" t="str">
        <x:v>150026</x:v>
      </x:c>
      <x:c r="B680" s="2" t="str">
        <x:v>GOSHEN HOSPITAL</x:v>
      </x:c>
      <x:c r="C680" s="2" t="str">
        <x:v>GOSHEN</x:v>
      </x:c>
      <x:c r="D680" s="2" t="str">
        <x:v>IN</x:v>
      </x:c>
      <x:c r="E680" s="2" t="str">
        <x:v>Acute Care Hospitals</x:v>
      </x:c>
      <x:c r="F680" s="2" t="str">
        <x:v>Voluntary non-profit</x:v>
      </x:c>
      <x:c r="G680" s="2" t="str">
        <x:v>Medium (100-299 beds)</x:v>
      </x:c>
      <x:c r="H680" s="7" t="n">
        <x:v>3</x:v>
      </x:c>
      <x:c r="I680" s="7" t="n">
        <x:v>4</x:v>
      </x:c>
      <x:c r="J680" s="7" t="n">
        <x:v>1</x:v>
      </x:c>
      <x:c r="K680" s="8" t="n">
        <x:v>105</x:v>
      </x:c>
      <x:c r="L680" s="8" t="n">
        <x:v>5319</x:v>
      </x:c>
      <x:c r="M680" s="9" t="n">
        <x:v>0.4638303409</x:v>
      </x:c>
      <x:c r="N680" s="10" t="n">
        <x:v>56383.7642413988</x:v>
      </x:c>
      <x:c r="O680" s="9" t="n">
        <x:v>-0.1396265153</x:v>
      </x:c>
      <x:c r="P680" s="9" t="n">
        <x:v>0.8638956805</x:v>
      </x:c>
      <x:c r="Q680" s="9" t="n">
        <x:v>0.3023634882</x:v>
      </x:c>
      <x:c r="R680" s="3" t="b">
        <x:v>0</x:v>
      </x:c>
      <x:c r="S680" s="3" t="b">
        <x:v>0</x:v>
      </x:c>
      <x:c r="T680" s="3" t="b">
        <x:v>0</x:v>
      </x:c>
      <x:c r="U680" s="2" t="str">
        <x:f>IF(T680=TRUE,"Priority review",IF(R680=TRUE,"High cost",IF(S680=TRUE,"Low quality","Benchmark")))</x:f>
        <x:v>Benchmark</x:v>
      </x:c>
    </x:row>
    <x:row r="681">
      <x:c r="A681" s="2" t="str">
        <x:v>150160</x:v>
      </x:c>
      <x:c r="B681" s="2" t="str">
        <x:v>ORTHOINDY HOSPITAL</x:v>
      </x:c>
      <x:c r="C681" s="2" t="str">
        <x:v>INDIANAPOLIS</x:v>
      </x:c>
      <x:c r="D681" s="2" t="str">
        <x:v>IN</x:v>
      </x:c>
      <x:c r="E681" s="2" t="str">
        <x:v>Acute Care Hospitals</x:v>
      </x:c>
      <x:c r="F681" s="2" t="str">
        <x:v>Other / unknown</x:v>
      </x:c>
      <x:c r="G681" s="2" t="str">
        <x:v>Small (&lt;100 beds)</x:v>
      </x:c>
      <x:c r="H681" s="7"/>
      <x:c r="I681" s="7" t="n">
        <x:v>4</x:v>
      </x:c>
      <x:c r="J681" s="7" t="n">
        <x:v>0.94</x:v>
      </x:c>
      <x:c r="K681" s="8" t="n">
        <x:v>38</x:v>
      </x:c>
      <x:c r="L681" s="8" t="n">
        <x:v>1320</x:v>
      </x:c>
      <x:c r="M681" s="9" t="n">
        <x:v>0.1769485188</x:v>
      </x:c>
      <x:c r="N681" s="10" t="n">
        <x:v>123735.8090909091</x:v>
      </x:c>
      <x:c r="O681" s="9" t="n">
        <x:v>0.2321740648</x:v>
      </x:c>
      <x:c r="P681" s="9" t="n">
        <x:v>0.8635547576</x:v>
      </x:c>
      <x:c r="Q681" s="9" t="n">
        <x:v>0.697486535</x:v>
      </x:c>
      <x:c r="R681" s="3" t="b">
        <x:v>0</x:v>
      </x:c>
      <x:c r="S681" s="3" t="b">
        <x:v>0</x:v>
      </x:c>
      <x:c r="T681" s="3" t="b">
        <x:v>0</x:v>
      </x:c>
      <x:c r="U681" s="2" t="str">
        <x:f>IF(T681=TRUE,"Priority review",IF(R681=TRUE,"High cost",IF(S681=TRUE,"Low quality","Benchmark")))</x:f>
        <x:v>Benchmark</x:v>
      </x:c>
    </x:row>
    <x:row r="682">
      <x:c r="A682" s="2" t="str">
        <x:v>461306</x:v>
      </x:c>
      <x:c r="B682" s="2" t="str">
        <x:v>GUNNISON VALLEY HOSPITAL</x:v>
      </x:c>
      <x:c r="C682" s="2" t="str">
        <x:v>GUNNISON</x:v>
      </x:c>
      <x:c r="D682" s="2" t="str">
        <x:v>UT</x:v>
      </x:c>
      <x:c r="E682" s="2" t="str">
        <x:v>Critical Access Hospitals</x:v>
      </x:c>
      <x:c r="F682" s="2" t="str">
        <x:v>Voluntary non-profit</x:v>
      </x:c>
      <x:c r="G682" s="2" t="str">
        <x:v>Small (&lt;100 beds)</x:v>
      </x:c>
      <x:c r="H682" s="7" t="n">
        <x:v>3</x:v>
      </x:c>
      <x:c r="I682" s="7"/>
      <x:c r="J682" s="7"/>
      <x:c r="K682" s="8" t="n">
        <x:v>25</x:v>
      </x:c>
      <x:c r="L682" s="8" t="n">
        <x:v>463</x:v>
      </x:c>
      <x:c r="M682" s="9" t="n">
        <x:v>0.3058630137</x:v>
      </x:c>
      <x:c r="N682" s="10" t="n">
        <x:v>291356.9827213823</x:v>
      </x:c>
      <x:c r="O682" s="9" t="n">
        <x:v>0.0408783627</x:v>
      </x:c>
      <x:c r="P682" s="9" t="n">
        <x:v>0.863197026</x:v>
      </x:c>
      <x:c r="Q682" s="9" t="n">
        <x:v>0.0765799257</x:v>
      </x:c>
      <x:c r="R682" s="3" t="b">
        <x:v>0</x:v>
      </x:c>
      <x:c r="S682" s="3" t="b">
        <x:v>1</x:v>
      </x:c>
      <x:c r="T682" s="3" t="b">
        <x:v>0</x:v>
      </x:c>
      <x:c r="U682" s="2" t="str">
        <x:f>IF(T682=TRUE,"Priority review",IF(R682=TRUE,"High cost",IF(S682=TRUE,"Low quality","Benchmark")))</x:f>
        <x:v>Low quality</x:v>
      </x:c>
    </x:row>
    <x:row r="683">
      <x:c r="A683" s="2" t="str">
        <x:v>230054</x:v>
      </x:c>
      <x:c r="B683" s="2" t="str">
        <x:v>UPHS MARQUETTE DLP HOSPITAL</x:v>
      </x:c>
      <x:c r="C683" s="2" t="str">
        <x:v>MARQUETTE</x:v>
      </x:c>
      <x:c r="D683" s="2" t="str">
        <x:v>MI</x:v>
      </x:c>
      <x:c r="E683" s="2" t="str">
        <x:v>Acute Care Hospitals</x:v>
      </x:c>
      <x:c r="F683" s="2" t="str">
        <x:v>Government</x:v>
      </x:c>
      <x:c r="G683" s="2" t="str">
        <x:v>Medium (100-299 beds)</x:v>
      </x:c>
      <x:c r="H683" s="7" t="n">
        <x:v>3</x:v>
      </x:c>
      <x:c r="I683" s="7" t="n">
        <x:v>4</x:v>
      </x:c>
      <x:c r="J683" s="7" t="n">
        <x:v>1.01</x:v>
      </x:c>
      <x:c r="K683" s="8" t="n">
        <x:v>163</x:v>
      </x:c>
      <x:c r="L683" s="8" t="n">
        <x:v>7507</x:v>
      </x:c>
      <x:c r="M683" s="9" t="n">
        <x:v>0.7296579544</x:v>
      </x:c>
      <x:c r="N683" s="10" t="n">
        <x:v>56341.7863327561</x:v>
      </x:c>
      <x:c r="O683" s="9" t="n">
        <x:v>-0.0575209809</x:v>
      </x:c>
      <x:c r="P683" s="9" t="n">
        <x:v>0.8630806846</x:v>
      </x:c>
      <x:c r="Q683" s="9" t="n">
        <x:v>0.3023634882</x:v>
      </x:c>
      <x:c r="R683" s="3" t="b">
        <x:v>0</x:v>
      </x:c>
      <x:c r="S683" s="3" t="b">
        <x:v>0</x:v>
      </x:c>
      <x:c r="T683" s="3" t="b">
        <x:v>0</x:v>
      </x:c>
      <x:c r="U683" s="2" t="str">
        <x:f>IF(T683=TRUE,"Priority review",IF(R683=TRUE,"High cost",IF(S683=TRUE,"Low quality","Benchmark")))</x:f>
        <x:v>Benchmark</x:v>
      </x:c>
    </x:row>
    <x:row r="684">
      <x:c r="A684" s="2" t="str">
        <x:v>430016</x:v>
      </x:c>
      <x:c r="B684" s="2" t="str">
        <x:v>AVERA MCKENNAN HOSPITAL &amp; UNIVERSITY HEALTH CENTER</x:v>
      </x:c>
      <x:c r="C684" s="2" t="str">
        <x:v>SIOUX FALLS</x:v>
      </x:c>
      <x:c r="D684" s="2" t="str">
        <x:v>SD</x:v>
      </x:c>
      <x:c r="E684" s="2" t="str">
        <x:v>Acute Care Hospitals</x:v>
      </x:c>
      <x:c r="F684" s="2" t="str">
        <x:v>Voluntary non-profit</x:v>
      </x:c>
      <x:c r="G684" s="2" t="str">
        <x:v>Large (300+ beds)</x:v>
      </x:c>
      <x:c r="H684" s="7" t="n">
        <x:v>4</x:v>
      </x:c>
      <x:c r="I684" s="7" t="n">
        <x:v>4</x:v>
      </x:c>
      <x:c r="J684" s="7" t="n">
        <x:v>1.02</x:v>
      </x:c>
      <x:c r="K684" s="8" t="n">
        <x:v>563</x:v>
      </x:c>
      <x:c r="L684" s="8" t="n">
        <x:v>27168</x:v>
      </x:c>
      <x:c r="M684" s="9" t="n">
        <x:v>0.7042436981</x:v>
      </x:c>
      <x:c r="N684" s="10" t="n">
        <x:v>67660.8797114252</x:v>
      </x:c>
      <x:c r="O684" s="9" t="n">
        <x:v>-0.076122772</x:v>
      </x:c>
      <x:c r="P684" s="9" t="n">
        <x:v>0.8627760252</x:v>
      </x:c>
      <x:c r="Q684" s="9" t="n">
        <x:v>0.5899053628</x:v>
      </x:c>
      <x:c r="R684" s="3" t="b">
        <x:v>0</x:v>
      </x:c>
      <x:c r="S684" s="3" t="b">
        <x:v>0</x:v>
      </x:c>
      <x:c r="T684" s="3" t="b">
        <x:v>0</x:v>
      </x:c>
      <x:c r="U684" s="2" t="str">
        <x:f>IF(T684=TRUE,"Priority review",IF(R684=TRUE,"High cost",IF(S684=TRUE,"Low quality","Benchmark")))</x:f>
        <x:v>Benchmark</x:v>
      </x:c>
    </x:row>
    <x:row r="685">
      <x:c r="A685" s="2" t="str">
        <x:v>380022</x:v>
      </x:c>
      <x:c r="B685" s="2" t="str">
        <x:v>SAMARITAN ALBANY GENERAL HOSPITAL</x:v>
      </x:c>
      <x:c r="C685" s="2" t="str">
        <x:v>ALBANY</x:v>
      </x:c>
      <x:c r="D685" s="2" t="str">
        <x:v>OR</x:v>
      </x:c>
      <x:c r="E685" s="2" t="str">
        <x:v>Acute Care Hospitals</x:v>
      </x:c>
      <x:c r="F685" s="2" t="str">
        <x:v>Voluntary non-profit</x:v>
      </x:c>
      <x:c r="G685" s="2" t="str">
        <x:v>Small (&lt;100 beds)</x:v>
      </x:c>
      <x:c r="H685" s="7" t="n">
        <x:v>4</x:v>
      </x:c>
      <x:c r="I685" s="7" t="n">
        <x:v>5</x:v>
      </x:c>
      <x:c r="J685" s="7" t="n">
        <x:v>0.9</x:v>
      </x:c>
      <x:c r="K685" s="8" t="n">
        <x:v>67</x:v>
      </x:c>
      <x:c r="L685" s="8" t="n">
        <x:v>2149</x:v>
      </x:c>
      <x:c r="M685" s="9" t="n">
        <x:v>0.3789250469</x:v>
      </x:c>
      <x:c r="N685" s="10" t="n">
        <x:v>123348.5653792462</x:v>
      </x:c>
      <x:c r="O685" s="9" t="n">
        <x:v>-0.138023239</x:v>
      </x:c>
      <x:c r="P685" s="9" t="n">
        <x:v>0.8626570916</x:v>
      </x:c>
      <x:c r="Q685" s="9" t="n">
        <x:v>0.3913824057</x:v>
      </x:c>
      <x:c r="R685" s="3" t="b">
        <x:v>0</x:v>
      </x:c>
      <x:c r="S685" s="3" t="b">
        <x:v>0</x:v>
      </x:c>
      <x:c r="T685" s="3" t="b">
        <x:v>0</x:v>
      </x:c>
      <x:c r="U685" s="2" t="str">
        <x:f>IF(T685=TRUE,"Priority review",IF(R685=TRUE,"High cost",IF(S685=TRUE,"Low quality","Benchmark")))</x:f>
        <x:v>Benchmark</x:v>
      </x:c>
    </x:row>
    <x:row r="686">
      <x:c r="A686" s="2" t="str">
        <x:v>271311</x:v>
      </x:c>
      <x:c r="B686" s="2" t="str">
        <x:v>BIG SANDY MEDICAL CENTER</x:v>
      </x:c>
      <x:c r="C686" s="2" t="str">
        <x:v>BIG SANDY</x:v>
      </x:c>
      <x:c r="D686" s="2" t="str">
        <x:v>MT</x:v>
      </x:c>
      <x:c r="E686" s="2" t="str">
        <x:v>Critical Access Hospitals</x:v>
      </x:c>
      <x:c r="F686" s="2" t="str">
        <x:v>Voluntary non-profit</x:v>
      </x:c>
      <x:c r="G686" s="2" t="str">
        <x:v>Small (&lt;100 beds)</x:v>
      </x:c>
      <x:c r="H686" s="7"/>
      <x:c r="I686" s="7"/>
      <x:c r="J686" s="7"/>
      <x:c r="K686" s="8" t="n">
        <x:v>8</x:v>
      </x:c>
      <x:c r="L686" s="8" t="n">
        <x:v>28</x:v>
      </x:c>
      <x:c r="M686" s="9" t="n">
        <x:v>2.4373287671</x:v>
      </x:c>
      <x:c r="N686" s="10" t="n">
        <x:v>291259.3214285714</x:v>
      </x:c>
      <x:c r="O686" s="9" t="n">
        <x:v>-0.4725565237</x:v>
      </x:c>
      <x:c r="P686" s="9" t="n">
        <x:v>0.8624535316</x:v>
      </x:c>
      <x:c r="Q686" s="9" t="n">
        <x:v>0.292936803</x:v>
      </x:c>
      <x:c r="R686" s="3" t="b">
        <x:v>0</x:v>
      </x:c>
      <x:c r="S686" s="3" t="b">
        <x:v>0</x:v>
      </x:c>
      <x:c r="T686" s="3" t="b">
        <x:v>0</x:v>
      </x:c>
      <x:c r="U686" s="2" t="str">
        <x:f>IF(T686=TRUE,"Priority review",IF(R686=TRUE,"High cost",IF(S686=TRUE,"Low quality","Benchmark")))</x:f>
        <x:v>Benchmark</x:v>
      </x:c>
    </x:row>
    <x:row r="687">
      <x:c r="A687" s="2" t="str">
        <x:v>390180</x:v>
      </x:c>
      <x:c r="B687" s="2" t="str">
        <x:v>CROZER CHESTER MEDICAL CENTER</x:v>
      </x:c>
      <x:c r="C687" s="2" t="str">
        <x:v>UPLAND</x:v>
      </x:c>
      <x:c r="D687" s="2" t="str">
        <x:v>PA</x:v>
      </x:c>
      <x:c r="E687" s="2" t="str">
        <x:v>Acute Care Hospitals</x:v>
      </x:c>
      <x:c r="F687" s="2" t="str">
        <x:v>Voluntary non-profit</x:v>
      </x:c>
      <x:c r="G687" s="2" t="str">
        <x:v>Medium (100-299 beds)</x:v>
      </x:c>
      <x:c r="H687" s="7" t="n">
        <x:v>1</x:v>
      </x:c>
      <x:c r="I687" s="7"/>
      <x:c r="J687" s="7" t="n">
        <x:v>1.09</x:v>
      </x:c>
      <x:c r="K687" s="8" t="n">
        <x:v>296</x:v>
      </x:c>
      <x:c r="L687" s="8" t="n">
        <x:v>9781</x:v>
      </x:c>
      <x:c r="M687" s="9" t="n">
        <x:v>0.5477034411</x:v>
      </x:c>
      <x:c r="N687" s="10" t="n">
        <x:v>56315.6909313976</x:v>
      </x:c>
      <x:c r="O687" s="9" t="n">
        <x:v>-0.4725507048</x:v>
      </x:c>
      <x:c r="P687" s="9" t="n">
        <x:v>0.8622656887</x:v>
      </x:c>
      <x:c r="Q687" s="9" t="n">
        <x:v>0</x:v>
      </x:c>
      <x:c r="R687" s="3" t="b">
        <x:v>0</x:v>
      </x:c>
      <x:c r="S687" s="3" t="b">
        <x:v>1</x:v>
      </x:c>
      <x:c r="T687" s="3" t="b">
        <x:v>0</x:v>
      </x:c>
      <x:c r="U687" s="2" t="str">
        <x:f>IF(T687=TRUE,"Priority review",IF(R687=TRUE,"High cost",IF(S687=TRUE,"Low quality","Benchmark")))</x:f>
        <x:v>Low quality</x:v>
      </x:c>
    </x:row>
    <x:row r="688">
      <x:c r="A688" s="2" t="str">
        <x:v>240018</x:v>
      </x:c>
      <x:c r="B688" s="2" t="str">
        <x:v>MAYO CLINIC HEALTH SYSTEM IN RED WING</x:v>
      </x:c>
      <x:c r="C688" s="2" t="str">
        <x:v>RED WING</x:v>
      </x:c>
      <x:c r="D688" s="2" t="str">
        <x:v>MN</x:v>
      </x:c>
      <x:c r="E688" s="2" t="str">
        <x:v>Acute Care Hospitals</x:v>
      </x:c>
      <x:c r="F688" s="2" t="str">
        <x:v>Voluntary non-profit</x:v>
      </x:c>
      <x:c r="G688" s="2" t="str">
        <x:v>Small (&lt;100 beds)</x:v>
      </x:c>
      <x:c r="H688" s="7" t="n">
        <x:v>4</x:v>
      </x:c>
      <x:c r="I688" s="7" t="n">
        <x:v>4</x:v>
      </x:c>
      <x:c r="J688" s="7" t="n">
        <x:v>0.83</x:v>
      </x:c>
      <x:c r="K688" s="8" t="n">
        <x:v>27</x:v>
      </x:c>
      <x:c r="L688" s="8" t="n">
        <x:v>1228</x:v>
      </x:c>
      <x:c r="M688" s="9" t="n">
        <x:v>0.4133778587</x:v>
      </x:c>
      <x:c r="N688" s="10" t="n">
        <x:v>121827.7304560261</x:v>
      </x:c>
      <x:c r="O688" s="9" t="n">
        <x:v>0.0166974849</x:v>
      </x:c>
      <x:c r="P688" s="9" t="n">
        <x:v>0.8617594255</x:v>
      </x:c>
      <x:c r="Q688" s="9" t="n">
        <x:v>0.3913824057</x:v>
      </x:c>
      <x:c r="R688" s="3" t="b">
        <x:v>0</x:v>
      </x:c>
      <x:c r="S688" s="3" t="b">
        <x:v>0</x:v>
      </x:c>
      <x:c r="T688" s="3" t="b">
        <x:v>0</x:v>
      </x:c>
      <x:c r="U688" s="2" t="str">
        <x:f>IF(T688=TRUE,"Priority review",IF(R688=TRUE,"High cost",IF(S688=TRUE,"Low quality","Benchmark")))</x:f>
        <x:v>Benchmark</x:v>
      </x:c>
    </x:row>
    <x:row r="689">
      <x:c r="A689" s="2" t="str">
        <x:v>171317</x:v>
      </x:c>
      <x:c r="B689" s="2" t="str">
        <x:v>EDWARDS COUNTY MEDICAL CENTER</x:v>
      </x:c>
      <x:c r="C689" s="2" t="str">
        <x:v>KINSLEY</x:v>
      </x:c>
      <x:c r="D689" s="2" t="str">
        <x:v>KS</x:v>
      </x:c>
      <x:c r="E689" s="2" t="str">
        <x:v>Critical Access Hospitals</x:v>
      </x:c>
      <x:c r="F689" s="2" t="str">
        <x:v>Government</x:v>
      </x:c>
      <x:c r="G689" s="2" t="str">
        <x:v>Small (&lt;100 beds)</x:v>
      </x:c>
      <x:c r="H689" s="7"/>
      <x:c r="I689" s="7"/>
      <x:c r="J689" s="7"/>
      <x:c r="K689" s="8" t="n">
        <x:v>12</x:v>
      </x:c>
      <x:c r="L689" s="8" t="n">
        <x:v>40</x:v>
      </x:c>
      <x:c r="M689" s="9" t="n">
        <x:v>0.3214936248</x:v>
      </x:c>
      <x:c r="N689" s="10" t="n">
        <x:v>291108.75</x:v>
      </x:c>
      <x:c r="O689" s="9" t="n">
        <x:v>-0.249019875</x:v>
      </x:c>
      <x:c r="P689" s="9" t="n">
        <x:v>0.8617100372</x:v>
      </x:c>
      <x:c r="Q689" s="9" t="n">
        <x:v>0.292936803</x:v>
      </x:c>
      <x:c r="R689" s="3" t="b">
        <x:v>0</x:v>
      </x:c>
      <x:c r="S689" s="3" t="b">
        <x:v>0</x:v>
      </x:c>
      <x:c r="T689" s="3" t="b">
        <x:v>0</x:v>
      </x:c>
      <x:c r="U689" s="2" t="str">
        <x:f>IF(T689=TRUE,"Priority review",IF(R689=TRUE,"High cost",IF(S689=TRUE,"Low quality","Benchmark")))</x:f>
        <x:v>Benchmark</x:v>
      </x:c>
    </x:row>
    <x:row r="690">
      <x:c r="A690" s="2" t="str">
        <x:v>140166</x:v>
      </x:c>
      <x:c r="B690" s="2" t="str">
        <x:v>ST MARYS HOSPITAL</x:v>
      </x:c>
      <x:c r="C690" s="2" t="str">
        <x:v>DECATUR</x:v>
      </x:c>
      <x:c r="D690" s="2" t="str">
        <x:v>IL</x:v>
      </x:c>
      <x:c r="E690" s="2" t="str">
        <x:v>Acute Care Hospitals</x:v>
      </x:c>
      <x:c r="F690" s="2" t="str">
        <x:v>Voluntary non-profit</x:v>
      </x:c>
      <x:c r="G690" s="2" t="str">
        <x:v>Medium (100-299 beds)</x:v>
      </x:c>
      <x:c r="H690" s="7" t="n">
        <x:v>1</x:v>
      </x:c>
      <x:c r="I690" s="7" t="n">
        <x:v>3</x:v>
      </x:c>
      <x:c r="J690" s="7" t="n">
        <x:v>1</x:v>
      </x:c>
      <x:c r="K690" s="8" t="n">
        <x:v>103</x:v>
      </x:c>
      <x:c r="L690" s="8" t="n">
        <x:v>2367</x:v>
      </x:c>
      <x:c r="M690" s="9" t="n">
        <x:v>0.2362282218</x:v>
      </x:c>
      <x:c r="N690" s="10" t="n">
        <x:v>56227.7574989438</x:v>
      </x:c>
      <x:c r="O690" s="9" t="n">
        <x:v>-0.1177269574</x:v>
      </x:c>
      <x:c r="P690" s="9" t="n">
        <x:v>0.8614506927</x:v>
      </x:c>
      <x:c r="Q690" s="9" t="n">
        <x:v>0</x:v>
      </x:c>
      <x:c r="R690" s="3" t="b">
        <x:v>0</x:v>
      </x:c>
      <x:c r="S690" s="3" t="b">
        <x:v>1</x:v>
      </x:c>
      <x:c r="T690" s="3" t="b">
        <x:v>0</x:v>
      </x:c>
      <x:c r="U690" s="2" t="str">
        <x:f>IF(T690=TRUE,"Priority review",IF(R690=TRUE,"High cost",IF(S690=TRUE,"Low quality","Benchmark")))</x:f>
        <x:v>Low quality</x:v>
      </x:c>
    </x:row>
    <x:row r="691">
      <x:c r="A691" s="2" t="str">
        <x:v>520177</x:v>
      </x:c>
      <x:c r="B691" s="2" t="str">
        <x:v>FROEDTERT MEMORIAL LUTHERAN HOSPITAL</x:v>
      </x:c>
      <x:c r="C691" s="2" t="str">
        <x:v>MILWAUKEE</x:v>
      </x:c>
      <x:c r="D691" s="2" t="str">
        <x:v>WI</x:v>
      </x:c>
      <x:c r="E691" s="2" t="str">
        <x:v>Acute Care Hospitals</x:v>
      </x:c>
      <x:c r="F691" s="2" t="str">
        <x:v>Voluntary non-profit</x:v>
      </x:c>
      <x:c r="G691" s="2" t="str">
        <x:v>Large (300+ beds)</x:v>
      </x:c>
      <x:c r="H691" s="7" t="n">
        <x:v>3</x:v>
      </x:c>
      <x:c r="I691" s="7" t="n">
        <x:v>4</x:v>
      </x:c>
      <x:c r="J691" s="7" t="n">
        <x:v>0.96</x:v>
      </x:c>
      <x:c r="K691" s="8" t="n">
        <x:v>731</x:v>
      </x:c>
      <x:c r="L691" s="8" t="n">
        <x:v>38917</x:v>
      </x:c>
      <x:c r="M691" s="9" t="n">
        <x:v>0.8669975521</x:v>
      </x:c>
      <x:c r="N691" s="10" t="n">
        <x:v>67648.4826682427</x:v>
      </x:c>
      <x:c r="O691" s="9" t="n">
        <x:v>-0.0651204627</x:v>
      </x:c>
      <x:c r="P691" s="9" t="n">
        <x:v>0.8611987382</x:v>
      </x:c>
      <x:c r="Q691" s="9" t="n">
        <x:v>0.2570977918</x:v>
      </x:c>
      <x:c r="R691" s="3" t="b">
        <x:v>0</x:v>
      </x:c>
      <x:c r="S691" s="3" t="b">
        <x:v>0</x:v>
      </x:c>
      <x:c r="T691" s="3" t="b">
        <x:v>0</x:v>
      </x:c>
      <x:c r="U691" s="2" t="str">
        <x:f>IF(T691=TRUE,"Priority review",IF(R691=TRUE,"High cost",IF(S691=TRUE,"Low quality","Benchmark")))</x:f>
        <x:v>Benchmark</x:v>
      </x:c>
    </x:row>
    <x:row r="692">
      <x:c r="A692" s="2" t="str">
        <x:v>171304</x:v>
      </x:c>
      <x:c r="B692" s="2" t="str">
        <x:v>ASHLAND HEALTH CENTER</x:v>
      </x:c>
      <x:c r="C692" s="2" t="str">
        <x:v>ASHLAND</x:v>
      </x:c>
      <x:c r="D692" s="2" t="str">
        <x:v>KS</x:v>
      </x:c>
      <x:c r="E692" s="2" t="str">
        <x:v>Critical Access Hospitals</x:v>
      </x:c>
      <x:c r="F692" s="2" t="str">
        <x:v>Voluntary non-profit</x:v>
      </x:c>
      <x:c r="G692" s="2" t="str">
        <x:v>Small (&lt;100 beds)</x:v>
      </x:c>
      <x:c r="H692" s="7"/>
      <x:c r="I692" s="7"/>
      <x:c r="J692" s="7"/>
      <x:c r="K692" s="8" t="n">
        <x:v>25</x:v>
      </x:c>
      <x:c r="L692" s="8" t="n">
        <x:v>45</x:v>
      </x:c>
      <x:c r="M692" s="9" t="n">
        <x:v>0.4974863388</x:v>
      </x:c>
      <x:c r="N692" s="10" t="n">
        <x:v>290391.1111111111</x:v>
      </x:c>
      <x:c r="O692" s="9" t="n">
        <x:v>-0.3126300817</x:v>
      </x:c>
      <x:c r="P692" s="9" t="n">
        <x:v>0.8609665428</x:v>
      </x:c>
      <x:c r="Q692" s="9" t="n">
        <x:v>0.292936803</x:v>
      </x:c>
      <x:c r="R692" s="3" t="b">
        <x:v>0</x:v>
      </x:c>
      <x:c r="S692" s="3" t="b">
        <x:v>0</x:v>
      </x:c>
      <x:c r="T692" s="3" t="b">
        <x:v>0</x:v>
      </x:c>
      <x:c r="U692" s="2" t="str">
        <x:f>IF(T692=TRUE,"Priority review",IF(R692=TRUE,"High cost",IF(S692=TRUE,"Low quality","Benchmark")))</x:f>
        <x:v>Benchmark</x:v>
      </x:c>
    </x:row>
    <x:row r="693">
      <x:c r="A693" s="2" t="str">
        <x:v>190025</x:v>
      </x:c>
      <x:c r="B693" s="2" t="str">
        <x:v>SAVOY MEDICAL CENTER</x:v>
      </x:c>
      <x:c r="C693" s="2" t="str">
        <x:v>MAMOU</x:v>
      </x:c>
      <x:c r="D693" s="2" t="str">
        <x:v>LA</x:v>
      </x:c>
      <x:c r="E693" s="2" t="str">
        <x:v>Acute Care Hospitals</x:v>
      </x:c>
      <x:c r="F693" s="2" t="str">
        <x:v>Voluntary non-profit</x:v>
      </x:c>
      <x:c r="G693" s="2" t="str">
        <x:v>Small (&lt;100 beds)</x:v>
      </x:c>
      <x:c r="H693" s="7" t="n">
        <x:v>4</x:v>
      </x:c>
      <x:c r="I693" s="7"/>
      <x:c r="J693" s="7" t="n">
        <x:v>1.25</x:v>
      </x:c>
      <x:c r="K693" s="8" t="n">
        <x:v>28</x:v>
      </x:c>
      <x:c r="L693" s="8" t="n">
        <x:v>343</x:v>
      </x:c>
      <x:c r="M693" s="9" t="n">
        <x:v>0.156323185</x:v>
      </x:c>
      <x:c r="N693" s="10" t="n">
        <x:v>121309.5102040816</x:v>
      </x:c>
      <x:c r="O693" s="9" t="n">
        <x:v>-0.0442471826</x:v>
      </x:c>
      <x:c r="P693" s="9" t="n">
        <x:v>0.8608617594</x:v>
      </x:c>
      <x:c r="Q693" s="9" t="n">
        <x:v>0.3913824057</x:v>
      </x:c>
      <x:c r="R693" s="3" t="b">
        <x:v>0</x:v>
      </x:c>
      <x:c r="S693" s="3" t="b">
        <x:v>0</x:v>
      </x:c>
      <x:c r="T693" s="3" t="b">
        <x:v>0</x:v>
      </x:c>
      <x:c r="U693" s="2" t="str">
        <x:f>IF(T693=TRUE,"Priority review",IF(R693=TRUE,"High cost",IF(S693=TRUE,"Low quality","Benchmark")))</x:f>
        <x:v>Benchmark</x:v>
      </x:c>
    </x:row>
    <x:row r="694">
      <x:c r="A694" s="2" t="str">
        <x:v>154009</x:v>
      </x:c>
      <x:c r="B694" s="2" t="str">
        <x:v>HAMILTON CENTER INC</x:v>
      </x:c>
      <x:c r="C694" s="2" t="str">
        <x:v>TERRE HAUTE</x:v>
      </x:c>
      <x:c r="D694" s="2" t="str">
        <x:v>IN</x:v>
      </x:c>
      <x:c r="E694" s="2" t="str">
        <x:v>Psychiatric</x:v>
      </x:c>
      <x:c r="F694" s="2" t="str">
        <x:v>Voluntary non-profit</x:v>
      </x:c>
      <x:c r="G694" s="2" t="str">
        <x:v>Small (&lt;100 beds)</x:v>
      </x:c>
      <x:c r="H694" s="7"/>
      <x:c r="I694" s="7"/>
      <x:c r="J694" s="7"/>
      <x:c r="K694" s="8" t="n">
        <x:v>16</x:v>
      </x:c>
      <x:c r="L694" s="8" t="n">
        <x:v>610</x:v>
      </x:c>
      <x:c r="M694" s="9" t="n">
        <x:v>0.8130136986</x:v>
      </x:c>
      <x:c r="N694" s="10" t="n">
        <x:v>90635.9049180328</x:v>
      </x:c>
      <x:c r="O694" s="9" t="n">
        <x:v>-0.5329380981</x:v>
      </x:c>
      <x:c r="P694" s="9" t="n">
        <x:v>0.8608414239</x:v>
      </x:c>
      <x:c r="Q694" s="9" t="n">
        <x:v>0</x:v>
      </x:c>
      <x:c r="R694" s="3" t="b">
        <x:v>0</x:v>
      </x:c>
      <x:c r="S694" s="3" t="b">
        <x:v>0</x:v>
      </x:c>
      <x:c r="T694" s="3" t="b">
        <x:v>0</x:v>
      </x:c>
      <x:c r="U694" s="2" t="str">
        <x:f>IF(T694=TRUE,"Priority review",IF(R694=TRUE,"High cost",IF(S694=TRUE,"Low quality","Benchmark")))</x:f>
        <x:v>Benchmark</x:v>
      </x:c>
    </x:row>
    <x:row r="695">
      <x:c r="A695" s="2" t="str">
        <x:v>514009</x:v>
      </x:c>
      <x:c r="B695" s="2" t="str">
        <x:v>MILDRED MITCHELL-BATEMAN HOSPITAL</x:v>
      </x:c>
      <x:c r="C695" s="2" t="str">
        <x:v>HUNTINGTON</x:v>
      </x:c>
      <x:c r="D695" s="2" t="str">
        <x:v>WV</x:v>
      </x:c>
      <x:c r="E695" s="2" t="str">
        <x:v>Psychiatric</x:v>
      </x:c>
      <x:c r="F695" s="2" t="str">
        <x:v>Government</x:v>
      </x:c>
      <x:c r="G695" s="2" t="str">
        <x:v>Medium (100-299 beds)</x:v>
      </x:c>
      <x:c r="H695" s="7"/>
      <x:c r="I695" s="7"/>
      <x:c r="J695" s="7"/>
      <x:c r="K695" s="8" t="n">
        <x:v>110</x:v>
      </x:c>
      <x:c r="L695" s="8" t="n">
        <x:v>395</x:v>
      </x:c>
      <x:c r="M695" s="9" t="n">
        <x:v>0.7672229141</x:v>
      </x:c>
      <x:c r="N695" s="10" t="n">
        <x:v>151643.6911392405</x:v>
      </x:c>
      <x:c r="O695" s="9" t="n">
        <x:v>-3.5070157573</x:v>
      </x:c>
      <x:c r="P695" s="9" t="n">
        <x:v>0.8606965174</x:v>
      </x:c>
      <x:c r="Q695" s="9" t="n">
        <x:v>0</x:v>
      </x:c>
      <x:c r="R695" s="3" t="b">
        <x:v>0</x:v>
      </x:c>
      <x:c r="S695" s="3" t="b">
        <x:v>0</x:v>
      </x:c>
      <x:c r="T695" s="3" t="b">
        <x:v>0</x:v>
      </x:c>
      <x:c r="U695" s="2" t="str">
        <x:f>IF(T695=TRUE,"Priority review",IF(R695=TRUE,"High cost",IF(S695=TRUE,"Low quality","Benchmark")))</x:f>
        <x:v>Benchmark</x:v>
      </x:c>
    </x:row>
    <x:row r="696">
      <x:c r="A696" s="2" t="str">
        <x:v>020012</x:v>
      </x:c>
      <x:c r="B696" s="2" t="str">
        <x:v>FAIRBANKS MEMORIAL HOSPITAL</x:v>
      </x:c>
      <x:c r="C696" s="2" t="str">
        <x:v>FAIRBANKS</x:v>
      </x:c>
      <x:c r="D696" s="2" t="str">
        <x:v>AK</x:v>
      </x:c>
      <x:c r="E696" s="2" t="str">
        <x:v>Acute Care Hospitals</x:v>
      </x:c>
      <x:c r="F696" s="2" t="str">
        <x:v>Voluntary non-profit</x:v>
      </x:c>
      <x:c r="G696" s="2" t="str">
        <x:v>Medium (100-299 beds)</x:v>
      </x:c>
      <x:c r="H696" s="7" t="n">
        <x:v>2</x:v>
      </x:c>
      <x:c r="I696" s="7" t="n">
        <x:v>3</x:v>
      </x:c>
      <x:c r="J696" s="7" t="n">
        <x:v>0.79</x:v>
      </x:c>
      <x:c r="K696" s="8" t="n">
        <x:v>122</x:v>
      </x:c>
      <x:c r="L696" s="8" t="n">
        <x:v>6266</x:v>
      </x:c>
      <x:c r="M696" s="9" t="n">
        <x:v>0.499081788</x:v>
      </x:c>
      <x:c r="N696" s="10" t="n">
        <x:v>56181.9982444941</x:v>
      </x:c>
      <x:c r="O696" s="9" t="n">
        <x:v>-0.2092239331</x:v>
      </x:c>
      <x:c r="P696" s="9" t="n">
        <x:v>0.8606356968</x:v>
      </x:c>
      <x:c r="Q696" s="9" t="n">
        <x:v>0.0782396088</x:v>
      </x:c>
      <x:c r="R696" s="3" t="b">
        <x:v>0</x:v>
      </x:c>
      <x:c r="S696" s="3" t="b">
        <x:v>1</x:v>
      </x:c>
      <x:c r="T696" s="3" t="b">
        <x:v>0</x:v>
      </x:c>
      <x:c r="U696" s="2" t="str">
        <x:f>IF(T696=TRUE,"Priority review",IF(R696=TRUE,"High cost",IF(S696=TRUE,"Low quality","Benchmark")))</x:f>
        <x:v>Low quality</x:v>
      </x:c>
    </x:row>
    <x:row r="697">
      <x:c r="A697" s="2" t="str">
        <x:v>531315</x:v>
      </x:c>
      <x:c r="B697" s="2" t="str">
        <x:v>SOUTH LINCOLN MEDICAL CENTER - CAH</x:v>
      </x:c>
      <x:c r="C697" s="2" t="str">
        <x:v>KEMMERER</x:v>
      </x:c>
      <x:c r="D697" s="2" t="str">
        <x:v>WY</x:v>
      </x:c>
      <x:c r="E697" s="2" t="str">
        <x:v>Critical Access Hospitals</x:v>
      </x:c>
      <x:c r="F697" s="2" t="str">
        <x:v>Government</x:v>
      </x:c>
      <x:c r="G697" s="2" t="str">
        <x:v>Small (&lt;100 beds)</x:v>
      </x:c>
      <x:c r="H697" s="7"/>
      <x:c r="I697" s="7"/>
      <x:c r="J697" s="7"/>
      <x:c r="K697" s="8" t="n">
        <x:v>14</x:v>
      </x:c>
      <x:c r="L697" s="8" t="n">
        <x:v>74</x:v>
      </x:c>
      <x:c r="M697" s="9" t="n">
        <x:v>0.1628180039</x:v>
      </x:c>
      <x:c r="N697" s="10" t="n">
        <x:v>289632.2702702703</x:v>
      </x:c>
      <x:c r="O697" s="9" t="n">
        <x:v>-0.2388071313</x:v>
      </x:c>
      <x:c r="P697" s="9" t="n">
        <x:v>0.8602230483</x:v>
      </x:c>
      <x:c r="Q697" s="9" t="n">
        <x:v>0.292936803</x:v>
      </x:c>
      <x:c r="R697" s="3" t="b">
        <x:v>0</x:v>
      </x:c>
      <x:c r="S697" s="3" t="b">
        <x:v>0</x:v>
      </x:c>
      <x:c r="T697" s="3" t="b">
        <x:v>0</x:v>
      </x:c>
      <x:c r="U697" s="2" t="str">
        <x:f>IF(T697=TRUE,"Priority review",IF(R697=TRUE,"High cost",IF(S697=TRUE,"Low quality","Benchmark")))</x:f>
        <x:v>Benchmark</x:v>
      </x:c>
    </x:row>
    <x:row r="698">
      <x:c r="A698" s="2" t="str">
        <x:v>530015</x:v>
      </x:c>
      <x:c r="B698" s="2" t="str">
        <x:v>ST JOHNS MEDICAL CENTER</x:v>
      </x:c>
      <x:c r="C698" s="2" t="str">
        <x:v>JACKSON</x:v>
      </x:c>
      <x:c r="D698" s="2" t="str">
        <x:v>WY</x:v>
      </x:c>
      <x:c r="E698" s="2" t="str">
        <x:v>Acute Care Hospitals</x:v>
      </x:c>
      <x:c r="F698" s="2" t="str">
        <x:v>Government</x:v>
      </x:c>
      <x:c r="G698" s="2" t="str">
        <x:v>Small (&lt;100 beds)</x:v>
      </x:c>
      <x:c r="H698" s="7" t="n">
        <x:v>5</x:v>
      </x:c>
      <x:c r="I698" s="7" t="n">
        <x:v>5</x:v>
      </x:c>
      <x:c r="J698" s="7" t="n">
        <x:v>0.81</x:v>
      </x:c>
      <x:c r="K698" s="8" t="n">
        <x:v>48</x:v>
      </x:c>
      <x:c r="L698" s="8" t="n">
        <x:v>1738</x:v>
      </x:c>
      <x:c r="M698" s="9" t="n">
        <x:v>0.3723173516</x:v>
      </x:c>
      <x:c r="N698" s="10" t="n">
        <x:v>121244.578826237</x:v>
      </x:c>
      <x:c r="O698" s="9" t="n">
        <x:v>-0.1353492813</x:v>
      </x:c>
      <x:c r="P698" s="9" t="n">
        <x:v>0.8599640934</x:v>
      </x:c>
      <x:c r="Q698" s="9" t="n">
        <x:v>0.6131059246</x:v>
      </x:c>
      <x:c r="R698" s="3" t="b">
        <x:v>0</x:v>
      </x:c>
      <x:c r="S698" s="3" t="b">
        <x:v>0</x:v>
      </x:c>
      <x:c r="T698" s="3" t="b">
        <x:v>0</x:v>
      </x:c>
      <x:c r="U698" s="2" t="str">
        <x:f>IF(T698=TRUE,"Priority review",IF(R698=TRUE,"High cost",IF(S698=TRUE,"Low quality","Benchmark")))</x:f>
        <x:v>Benchmark</x:v>
      </x:c>
    </x:row>
    <x:row r="699">
      <x:c r="A699" s="2" t="str">
        <x:v>050248</x:v>
      </x:c>
      <x:c r="B699" s="2" t="str">
        <x:v>NATIVIDAD MEDICAL CENTER</x:v>
      </x:c>
      <x:c r="C699" s="2" t="str">
        <x:v>SALINAS</x:v>
      </x:c>
      <x:c r="D699" s="2" t="str">
        <x:v>CA</x:v>
      </x:c>
      <x:c r="E699" s="2" t="str">
        <x:v>Acute Care Hospitals</x:v>
      </x:c>
      <x:c r="F699" s="2" t="str">
        <x:v>Government</x:v>
      </x:c>
      <x:c r="G699" s="2" t="str">
        <x:v>Medium (100-299 beds)</x:v>
      </x:c>
      <x:c r="H699" s="7" t="n">
        <x:v>3</x:v>
      </x:c>
      <x:c r="I699" s="7" t="n">
        <x:v>3</x:v>
      </x:c>
      <x:c r="J699" s="7" t="n">
        <x:v>1.04</x:v>
      </x:c>
      <x:c r="K699" s="8" t="n">
        <x:v>144</x:v>
      </x:c>
      <x:c r="L699" s="8" t="n">
        <x:v>7772</x:v>
      </x:c>
      <x:c r="M699" s="9" t="n">
        <x:v>0.7047374429</x:v>
      </x:c>
      <x:c r="N699" s="10" t="n">
        <x:v>56137.2961914565</x:v>
      </x:c>
      <x:c r="O699" s="9" t="n">
        <x:v>-0.3805017328</x:v>
      </x:c>
      <x:c r="P699" s="9" t="n">
        <x:v>0.8598207009</x:v>
      </x:c>
      <x:c r="Q699" s="9" t="n">
        <x:v>0.3023634882</x:v>
      </x:c>
      <x:c r="R699" s="3" t="b">
        <x:v>0</x:v>
      </x:c>
      <x:c r="S699" s="3" t="b">
        <x:v>0</x:v>
      </x:c>
      <x:c r="T699" s="3" t="b">
        <x:v>0</x:v>
      </x:c>
      <x:c r="U699" s="2" t="str">
        <x:f>IF(T699=TRUE,"Priority review",IF(R699=TRUE,"High cost",IF(S699=TRUE,"Low quality","Benchmark")))</x:f>
        <x:v>Benchmark</x:v>
      </x:c>
    </x:row>
    <x:row r="700">
      <x:c r="A700" s="2" t="str">
        <x:v>320001</x:v>
      </x:c>
      <x:c r="B700" s="2" t="str">
        <x:v>UNM HOSPITAL</x:v>
      </x:c>
      <x:c r="C700" s="2" t="str">
        <x:v>ALBUQUERQUE</x:v>
      </x:c>
      <x:c r="D700" s="2" t="str">
        <x:v>NM</x:v>
      </x:c>
      <x:c r="E700" s="2" t="str">
        <x:v>Acute Care Hospitals</x:v>
      </x:c>
      <x:c r="F700" s="2" t="str">
        <x:v>Government</x:v>
      </x:c>
      <x:c r="G700" s="2" t="str">
        <x:v>Large (300+ beds)</x:v>
      </x:c>
      <x:c r="H700" s="7" t="n">
        <x:v>2</x:v>
      </x:c>
      <x:c r="I700" s="7" t="n">
        <x:v>2</x:v>
      </x:c>
      <x:c r="J700" s="7" t="n">
        <x:v>1</x:v>
      </x:c>
      <x:c r="K700" s="8" t="n">
        <x:v>531</x:v>
      </x:c>
      <x:c r="L700" s="8" t="n">
        <x:v>27609</x:v>
      </x:c>
      <x:c r="M700" s="9" t="n">
        <x:v>0.9781192575</x:v>
      </x:c>
      <x:c r="N700" s="10" t="n">
        <x:v>67362.8818139013</x:v>
      </x:c>
      <x:c r="O700" s="9" t="n">
        <x:v>-0.1666536046</x:v>
      </x:c>
      <x:c r="P700" s="9" t="n">
        <x:v>0.8596214511</x:v>
      </x:c>
      <x:c r="Q700" s="9" t="n">
        <x:v>0.0536277603</x:v>
      </x:c>
      <x:c r="R700" s="3" t="b">
        <x:v>0</x:v>
      </x:c>
      <x:c r="S700" s="3" t="b">
        <x:v>1</x:v>
      </x:c>
      <x:c r="T700" s="3" t="b">
        <x:v>0</x:v>
      </x:c>
      <x:c r="U700" s="2" t="str">
        <x:f>IF(T700=TRUE,"Priority review",IF(R700=TRUE,"High cost",IF(S700=TRUE,"Low quality","Benchmark")))</x:f>
        <x:v>Low quality</x:v>
      </x:c>
    </x:row>
    <x:row r="701">
      <x:c r="A701" s="2" t="str">
        <x:v>181306</x:v>
      </x:c>
      <x:c r="B701" s="2" t="str">
        <x:v>METHODIST HOSPITAL UNION COUNTY</x:v>
      </x:c>
      <x:c r="C701" s="2" t="str">
        <x:v>MORGANFIELD</x:v>
      </x:c>
      <x:c r="D701" s="2" t="str">
        <x:v>KY</x:v>
      </x:c>
      <x:c r="E701" s="2" t="str">
        <x:v>Critical Access Hospitals</x:v>
      </x:c>
      <x:c r="F701" s="2" t="str">
        <x:v>Voluntary non-profit</x:v>
      </x:c>
      <x:c r="G701" s="2" t="str">
        <x:v>Small (&lt;100 beds)</x:v>
      </x:c>
      <x:c r="H701" s="7"/>
      <x:c r="I701" s="7" t="n">
        <x:v>4</x:v>
      </x:c>
      <x:c r="J701" s="7"/>
      <x:c r="K701" s="8" t="n">
        <x:v>25</x:v>
      </x:c>
      <x:c r="L701" s="8" t="n">
        <x:v>74</x:v>
      </x:c>
      <x:c r="M701" s="9" t="n">
        <x:v>0.2947540984</x:v>
      </x:c>
      <x:c r="N701" s="10" t="n">
        <x:v>289575.0135135135</x:v>
      </x:c>
      <x:c r="O701" s="9" t="n">
        <x:v>0.2832897865</x:v>
      </x:c>
      <x:c r="P701" s="9" t="n">
        <x:v>0.8594795539</x:v>
      </x:c>
      <x:c r="Q701" s="9" t="n">
        <x:v>0.292936803</x:v>
      </x:c>
      <x:c r="R701" s="3" t="b">
        <x:v>0</x:v>
      </x:c>
      <x:c r="S701" s="3" t="b">
        <x:v>0</x:v>
      </x:c>
      <x:c r="T701" s="3" t="b">
        <x:v>0</x:v>
      </x:c>
      <x:c r="U701" s="2" t="str">
        <x:f>IF(T701=TRUE,"Priority review",IF(R701=TRUE,"High cost",IF(S701=TRUE,"Low quality","Benchmark")))</x:f>
        <x:v>Benchmark</x:v>
      </x:c>
    </x:row>
    <x:row r="702">
      <x:c r="A702" s="2" t="str">
        <x:v>460003</x:v>
      </x:c>
      <x:c r="B702" s="2" t="str">
        <x:v>HOLY CROSS HOSPITAL - SALT LAKE</x:v>
      </x:c>
      <x:c r="C702" s="2" t="str">
        <x:v>SALT LAKE CITY</x:v>
      </x:c>
      <x:c r="D702" s="2" t="str">
        <x:v>UT</x:v>
      </x:c>
      <x:c r="E702" s="2" t="str">
        <x:v>Acute Care Hospitals</x:v>
      </x:c>
      <x:c r="F702" s="2" t="str">
        <x:v>Proprietary</x:v>
      </x:c>
      <x:c r="G702" s="2" t="str">
        <x:v>Small (&lt;100 beds)</x:v>
      </x:c>
      <x:c r="H702" s="7" t="n">
        <x:v>3</x:v>
      </x:c>
      <x:c r="I702" s="7"/>
      <x:c r="J702" s="7" t="n">
        <x:v>1.08</x:v>
      </x:c>
      <x:c r="K702" s="8" t="n">
        <x:v>85</x:v>
      </x:c>
      <x:c r="L702" s="8" t="n">
        <x:v>885</x:v>
      </x:c>
      <x:c r="M702" s="9" t="n">
        <x:v>0.0883158743</x:v>
      </x:c>
      <x:c r="N702" s="10" t="n">
        <x:v>120402.9118644068</x:v>
      </x:c>
      <x:c r="O702" s="9" t="n">
        <x:v>-1.3577867601</x:v>
      </x:c>
      <x:c r="P702" s="9" t="n">
        <x:v>0.8590664273</x:v>
      </x:c>
      <x:c r="Q702" s="9" t="n">
        <x:v>0.1687612208</x:v>
      </x:c>
      <x:c r="R702" s="3" t="b">
        <x:v>0</x:v>
      </x:c>
      <x:c r="S702" s="3" t="b">
        <x:v>0</x:v>
      </x:c>
      <x:c r="T702" s="3" t="b">
        <x:v>0</x:v>
      </x:c>
      <x:c r="U702" s="2" t="str">
        <x:f>IF(T702=TRUE,"Priority review",IF(R702=TRUE,"High cost",IF(S702=TRUE,"Low quality","Benchmark")))</x:f>
        <x:v>Benchmark</x:v>
      </x:c>
    </x:row>
    <x:row r="703">
      <x:c r="A703" s="2" t="str">
        <x:v>260102</x:v>
      </x:c>
      <x:c r="B703" s="2" t="str">
        <x:v>UNIVERSITY HEALTH LAKEWOOD MEDICAL CENTER</x:v>
      </x:c>
      <x:c r="C703" s="2" t="str">
        <x:v>KANSAS CITY</x:v>
      </x:c>
      <x:c r="D703" s="2" t="str">
        <x:v>MO</x:v>
      </x:c>
      <x:c r="E703" s="2" t="str">
        <x:v>Acute Care Hospitals</x:v>
      </x:c>
      <x:c r="F703" s="2" t="str">
        <x:v>Voluntary non-profit</x:v>
      </x:c>
      <x:c r="G703" s="2" t="str">
        <x:v>Medium (100-299 beds)</x:v>
      </x:c>
      <x:c r="H703" s="7" t="n">
        <x:v>4</x:v>
      </x:c>
      <x:c r="I703" s="7" t="n">
        <x:v>2</x:v>
      </x:c>
      <x:c r="J703" s="7" t="n">
        <x:v>0.88</x:v>
      </x:c>
      <x:c r="K703" s="8" t="n">
        <x:v>117</x:v>
      </x:c>
      <x:c r="L703" s="8" t="n">
        <x:v>4409</x:v>
      </x:c>
      <x:c r="M703" s="9" t="n">
        <x:v>0.507302021</x:v>
      </x:c>
      <x:c r="N703" s="10" t="n">
        <x:v>55888.1324563393</x:v>
      </x:c>
      <x:c r="O703" s="9" t="n">
        <x:v>-0.1911769342</x:v>
      </x:c>
      <x:c r="P703" s="9" t="n">
        <x:v>0.859005705</x:v>
      </x:c>
      <x:c r="Q703" s="9" t="n">
        <x:v>0.6022819886</x:v>
      </x:c>
      <x:c r="R703" s="3" t="b">
        <x:v>0</x:v>
      </x:c>
      <x:c r="S703" s="3" t="b">
        <x:v>0</x:v>
      </x:c>
      <x:c r="T703" s="3" t="b">
        <x:v>0</x:v>
      </x:c>
      <x:c r="U703" s="2" t="str">
        <x:f>IF(T703=TRUE,"Priority review",IF(R703=TRUE,"High cost",IF(S703=TRUE,"Low quality","Benchmark")))</x:f>
        <x:v>Benchmark</x:v>
      </x:c>
    </x:row>
    <x:row r="704">
      <x:c r="A704" s="2" t="str">
        <x:v>181304</x:v>
      </x:c>
      <x:c r="B704" s="2" t="str">
        <x:v>TRIGG COUNTY HOSPITAL</x:v>
      </x:c>
      <x:c r="C704" s="2" t="str">
        <x:v>CADIZ</x:v>
      </x:c>
      <x:c r="D704" s="2" t="str">
        <x:v>KY</x:v>
      </x:c>
      <x:c r="E704" s="2" t="str">
        <x:v>Critical Access Hospitals</x:v>
      </x:c>
      <x:c r="F704" s="2" t="str">
        <x:v>Voluntary non-profit</x:v>
      </x:c>
      <x:c r="G704" s="2" t="str">
        <x:v>Small (&lt;100 beds)</x:v>
      </x:c>
      <x:c r="H704" s="7"/>
      <x:c r="I704" s="7"/>
      <x:c r="J704" s="7"/>
      <x:c r="K704" s="8" t="n">
        <x:v>25</x:v>
      </x:c>
      <x:c r="L704" s="8" t="n">
        <x:v>94</x:v>
      </x:c>
      <x:c r="M704" s="9" t="n">
        <x:v>0.3669041096</x:v>
      </x:c>
      <x:c r="N704" s="10" t="n">
        <x:v>286733.8617021277</x:v>
      </x:c>
      <x:c r="O704" s="9" t="n">
        <x:v>0.0563976163</x:v>
      </x:c>
      <x:c r="P704" s="9" t="n">
        <x:v>0.8587360595</x:v>
      </x:c>
      <x:c r="Q704" s="9" t="n">
        <x:v>0.292936803</x:v>
      </x:c>
      <x:c r="R704" s="3" t="b">
        <x:v>0</x:v>
      </x:c>
      <x:c r="S704" s="3" t="b">
        <x:v>0</x:v>
      </x:c>
      <x:c r="T704" s="3" t="b">
        <x:v>0</x:v>
      </x:c>
      <x:c r="U704" s="2" t="str">
        <x:f>IF(T704=TRUE,"Priority review",IF(R704=TRUE,"High cost",IF(S704=TRUE,"Low quality","Benchmark")))</x:f>
        <x:v>Benchmark</x:v>
      </x:c>
    </x:row>
    <x:row r="705">
      <x:c r="A705" s="2" t="str">
        <x:v>030122</x:v>
      </x:c>
      <x:c r="B705" s="2" t="str">
        <x:v>BANNER GATEWAY MEDICAL CENTER</x:v>
      </x:c>
      <x:c r="C705" s="2" t="str">
        <x:v>GILBERT</x:v>
      </x:c>
      <x:c r="D705" s="2" t="str">
        <x:v>AZ</x:v>
      </x:c>
      <x:c r="E705" s="2" t="str">
        <x:v>Acute Care Hospitals</x:v>
      </x:c>
      <x:c r="F705" s="2" t="str">
        <x:v>Voluntary non-profit</x:v>
      </x:c>
      <x:c r="G705" s="2" t="str">
        <x:v>Medium (100-299 beds)</x:v>
      </x:c>
      <x:c r="H705" s="7" t="n">
        <x:v>3</x:v>
      </x:c>
      <x:c r="I705" s="7" t="n">
        <x:v>3</x:v>
      </x:c>
      <x:c r="J705" s="7" t="n">
        <x:v>0.99</x:v>
      </x:c>
      <x:c r="K705" s="8" t="n">
        <x:v>286</x:v>
      </x:c>
      <x:c r="L705" s="8" t="n">
        <x:v>13360</x:v>
      </x:c>
      <x:c r="M705" s="9" t="n">
        <x:v>0.5879666781</x:v>
      </x:c>
      <x:c r="N705" s="10" t="n">
        <x:v>55844.8826347305</x:v>
      </x:c>
      <x:c r="O705" s="9" t="n">
        <x:v>0.0272516937</x:v>
      </x:c>
      <x:c r="P705" s="9" t="n">
        <x:v>0.858190709</x:v>
      </x:c>
      <x:c r="Q705" s="9" t="n">
        <x:v>0.3023634882</x:v>
      </x:c>
      <x:c r="R705" s="3" t="b">
        <x:v>0</x:v>
      </x:c>
      <x:c r="S705" s="3" t="b">
        <x:v>0</x:v>
      </x:c>
      <x:c r="T705" s="3" t="b">
        <x:v>0</x:v>
      </x:c>
      <x:c r="U705" s="2" t="str">
        <x:f>IF(T705=TRUE,"Priority review",IF(R705=TRUE,"High cost",IF(S705=TRUE,"Low quality","Benchmark")))</x:f>
        <x:v>Benchmark</x:v>
      </x:c>
    </x:row>
    <x:row r="706">
      <x:c r="A706" s="2" t="str">
        <x:v>520095</x:v>
      </x:c>
      <x:c r="B706" s="2" t="str">
        <x:v>SAUK PRAIRIE HOSPITAL</x:v>
      </x:c>
      <x:c r="C706" s="2" t="str">
        <x:v>PRAIRIE DU SAC</x:v>
      </x:c>
      <x:c r="D706" s="2" t="str">
        <x:v>WI</x:v>
      </x:c>
      <x:c r="E706" s="2" t="str">
        <x:v>Acute Care Hospitals</x:v>
      </x:c>
      <x:c r="F706" s="2" t="str">
        <x:v>Voluntary non-profit</x:v>
      </x:c>
      <x:c r="G706" s="2" t="str">
        <x:v>Small (&lt;100 beds)</x:v>
      </x:c>
      <x:c r="H706" s="7" t="n">
        <x:v>5</x:v>
      </x:c>
      <x:c r="I706" s="7" t="n">
        <x:v>5</x:v>
      </x:c>
      <x:c r="J706" s="7" t="n">
        <x:v>0.86</x:v>
      </x:c>
      <x:c r="K706" s="8" t="n">
        <x:v>36</x:v>
      </x:c>
      <x:c r="L706" s="8" t="n">
        <x:v>1116</x:v>
      </x:c>
      <x:c r="M706" s="9" t="n">
        <x:v>0.2850637523</x:v>
      </x:c>
      <x:c r="N706" s="10" t="n">
        <x:v>119838.5394265233</x:v>
      </x:c>
      <x:c r="O706" s="9" t="n">
        <x:v>-0.0250401634</x:v>
      </x:c>
      <x:c r="P706" s="9" t="n">
        <x:v>0.8581687612</x:v>
      </x:c>
      <x:c r="Q706" s="9" t="n">
        <x:v>0.6131059246</x:v>
      </x:c>
      <x:c r="R706" s="3" t="b">
        <x:v>0</x:v>
      </x:c>
      <x:c r="S706" s="3" t="b">
        <x:v>0</x:v>
      </x:c>
      <x:c r="T706" s="3" t="b">
        <x:v>0</x:v>
      </x:c>
      <x:c r="U706" s="2" t="str">
        <x:f>IF(T706=TRUE,"Priority review",IF(R706=TRUE,"High cost",IF(S706=TRUE,"Low quality","Benchmark")))</x:f>
        <x:v>Benchmark</x:v>
      </x:c>
    </x:row>
    <x:row r="707">
      <x:c r="A707" s="2" t="str">
        <x:v>180067</x:v>
      </x:c>
      <x:c r="B707" s="2" t="str">
        <x:v>UNIVERSITY OF KENTUCKY HOSPITAL</x:v>
      </x:c>
      <x:c r="C707" s="2" t="str">
        <x:v>LEXINGTON</x:v>
      </x:c>
      <x:c r="D707" s="2" t="str">
        <x:v>KY</x:v>
      </x:c>
      <x:c r="E707" s="2" t="str">
        <x:v>Acute Care Hospitals</x:v>
      </x:c>
      <x:c r="F707" s="2" t="str">
        <x:v>Government</x:v>
      </x:c>
      <x:c r="G707" s="2" t="str">
        <x:v>Large (300+ beds)</x:v>
      </x:c>
      <x:c r="H707" s="7" t="n">
        <x:v>4</x:v>
      </x:c>
      <x:c r="I707" s="7" t="n">
        <x:v>3</x:v>
      </x:c>
      <x:c r="J707" s="7" t="n">
        <x:v>1.02</x:v>
      </x:c>
      <x:c r="K707" s="8" t="n">
        <x:v>1067</x:v>
      </x:c>
      <x:c r="L707" s="8" t="n">
        <x:v>46487</x:v>
      </x:c>
      <x:c r="M707" s="9" t="n">
        <x:v>0.8657380185</x:v>
      </x:c>
      <x:c r="N707" s="10" t="n">
        <x:v>67244.9807688171</x:v>
      </x:c>
      <x:c r="O707" s="9" t="n">
        <x:v>-0.2704340832</x:v>
      </x:c>
      <x:c r="P707" s="9" t="n">
        <x:v>0.858044164</x:v>
      </x:c>
      <x:c r="Q707" s="9" t="n">
        <x:v>0.5899053628</x:v>
      </x:c>
      <x:c r="R707" s="3" t="b">
        <x:v>0</x:v>
      </x:c>
      <x:c r="S707" s="3" t="b">
        <x:v>0</x:v>
      </x:c>
      <x:c r="T707" s="3" t="b">
        <x:v>0</x:v>
      </x:c>
      <x:c r="U707" s="2" t="str">
        <x:f>IF(T707=TRUE,"Priority review",IF(R707=TRUE,"High cost",IF(S707=TRUE,"Low quality","Benchmark")))</x:f>
        <x:v>Benchmark</x:v>
      </x:c>
    </x:row>
    <x:row r="708">
      <x:c r="A708" s="2" t="str">
        <x:v>111304</x:v>
      </x:c>
      <x:c r="B708" s="2" t="str">
        <x:v>MORGAN MEDICAL CENTER</x:v>
      </x:c>
      <x:c r="C708" s="2" t="str">
        <x:v>MADISON</x:v>
      </x:c>
      <x:c r="D708" s="2" t="str">
        <x:v>GA</x:v>
      </x:c>
      <x:c r="E708" s="2" t="str">
        <x:v>Critical Access Hospitals</x:v>
      </x:c>
      <x:c r="F708" s="2" t="str">
        <x:v>Government</x:v>
      </x:c>
      <x:c r="G708" s="2" t="str">
        <x:v>Small (&lt;100 beds)</x:v>
      </x:c>
      <x:c r="H708" s="7"/>
      <x:c r="I708" s="7" t="n">
        <x:v>4</x:v>
      </x:c>
      <x:c r="J708" s="7"/>
      <x:c r="K708" s="8" t="n">
        <x:v>25</x:v>
      </x:c>
      <x:c r="L708" s="8" t="n">
        <x:v>150</x:v>
      </x:c>
      <x:c r="M708" s="9" t="n">
        <x:v>0.6118356164</x:v>
      </x:c>
      <x:c r="N708" s="10" t="n">
        <x:v>286243.5</x:v>
      </x:c>
      <x:c r="O708" s="9" t="n">
        <x:v>-0.1264088005</x:v>
      </x:c>
      <x:c r="P708" s="9" t="n">
        <x:v>0.8579925651</x:v>
      </x:c>
      <x:c r="Q708" s="9" t="n">
        <x:v>0.292936803</x:v>
      </x:c>
      <x:c r="R708" s="3" t="b">
        <x:v>0</x:v>
      </x:c>
      <x:c r="S708" s="3" t="b">
        <x:v>0</x:v>
      </x:c>
      <x:c r="T708" s="3" t="b">
        <x:v>0</x:v>
      </x:c>
      <x:c r="U708" s="2" t="str">
        <x:f>IF(T708=TRUE,"Priority review",IF(R708=TRUE,"High cost",IF(S708=TRUE,"Low quality","Benchmark")))</x:f>
        <x:v>Benchmark</x:v>
      </x:c>
    </x:row>
    <x:row r="709">
      <x:c r="A709" s="2" t="str">
        <x:v>524017</x:v>
      </x:c>
      <x:c r="B709" s="2" t="str">
        <x:v>NORTH CENTRAL HEALTH CARE</x:v>
      </x:c>
      <x:c r="C709" s="2" t="str">
        <x:v>WAUSAU</x:v>
      </x:c>
      <x:c r="D709" s="2" t="str">
        <x:v>WI</x:v>
      </x:c>
      <x:c r="E709" s="2" t="str">
        <x:v>Psychiatric</x:v>
      </x:c>
      <x:c r="F709" s="2" t="str">
        <x:v>Voluntary non-profit</x:v>
      </x:c>
      <x:c r="G709" s="2" t="str">
        <x:v>Small (&lt;100 beds)</x:v>
      </x:c>
      <x:c r="H709" s="7"/>
      <x:c r="I709" s="7"/>
      <x:c r="J709" s="7"/>
      <x:c r="K709" s="8" t="n">
        <x:v>16</x:v>
      </x:c>
      <x:c r="L709" s="8" t="n">
        <x:v>1077</x:v>
      </x:c>
      <x:c r="M709" s="9" t="n">
        <x:v>0.8335040984</x:v>
      </x:c>
      <x:c r="N709" s="10" t="n">
        <x:v>87439.0947075209</x:v>
      </x:c>
      <x:c r="O709" s="9" t="n">
        <x:v>-0.3681484997</x:v>
      </x:c>
      <x:c r="P709" s="9" t="n">
        <x:v>0.857605178</x:v>
      </x:c>
      <x:c r="Q709" s="9" t="n">
        <x:v>0</x:v>
      </x:c>
      <x:c r="R709" s="3" t="b">
        <x:v>0</x:v>
      </x:c>
      <x:c r="S709" s="3" t="b">
        <x:v>0</x:v>
      </x:c>
      <x:c r="T709" s="3" t="b">
        <x:v>0</x:v>
      </x:c>
      <x:c r="U709" s="2" t="str">
        <x:f>IF(T709=TRUE,"Priority review",IF(R709=TRUE,"High cost",IF(S709=TRUE,"Low quality","Benchmark")))</x:f>
        <x:v>Benchmark</x:v>
      </x:c>
    </x:row>
    <x:row r="710">
      <x:c r="A710" s="2" t="str">
        <x:v>050541</x:v>
      </x:c>
      <x:c r="B710" s="2" t="str">
        <x:v>KAISER FOUNDATION HOSPITAL - REDWOOD CITY</x:v>
      </x:c>
      <x:c r="C710" s="2" t="str">
        <x:v>REDWOOD CITY</x:v>
      </x:c>
      <x:c r="D710" s="2" t="str">
        <x:v>CA</x:v>
      </x:c>
      <x:c r="E710" s="2" t="str">
        <x:v>Acute Care Hospitals</x:v>
      </x:c>
      <x:c r="F710" s="2" t="str">
        <x:v>Voluntary non-profit</x:v>
      </x:c>
      <x:c r="G710" s="2" t="str">
        <x:v>Medium (100-299 beds)</x:v>
      </x:c>
      <x:c r="H710" s="7" t="n">
        <x:v>4</x:v>
      </x:c>
      <x:c r="I710" s="7" t="n">
        <x:v>4</x:v>
      </x:c>
      <x:c r="J710" s="7" t="n">
        <x:v>0.91</x:v>
      </x:c>
      <x:c r="K710" s="8" t="n">
        <x:v>153</x:v>
      </x:c>
      <x:c r="L710" s="8" t="n">
        <x:v>7588</x:v>
      </x:c>
      <x:c r="M710" s="9" t="n">
        <x:v>0.4882852959</x:v>
      </x:c>
      <x:c r="N710" s="10" t="n">
        <x:v>55747.8786241434</x:v>
      </x:c>
      <x:c r="O710" s="9" t="n">
        <x:v>0.0522055854</x:v>
      </x:c>
      <x:c r="P710" s="9" t="n">
        <x:v>0.8573757131</x:v>
      </x:c>
      <x:c r="Q710" s="9" t="n">
        <x:v>0.6022819886</x:v>
      </x:c>
      <x:c r="R710" s="3" t="b">
        <x:v>0</x:v>
      </x:c>
      <x:c r="S710" s="3" t="b">
        <x:v>0</x:v>
      </x:c>
      <x:c r="T710" s="3" t="b">
        <x:v>0</x:v>
      </x:c>
      <x:c r="U710" s="2" t="str">
        <x:f>IF(T710=TRUE,"Priority review",IF(R710=TRUE,"High cost",IF(S710=TRUE,"Low quality","Benchmark")))</x:f>
        <x:v>Benchmark</x:v>
      </x:c>
    </x:row>
    <x:row r="711">
      <x:c r="A711" s="2" t="str">
        <x:v>170109</x:v>
      </x:c>
      <x:c r="B711" s="2" t="str">
        <x:v>MIAMI COUNTY MEDICAL CENTER</x:v>
      </x:c>
      <x:c r="C711" s="2" t="str">
        <x:v>PAOLA</x:v>
      </x:c>
      <x:c r="D711" s="2" t="str">
        <x:v>KS</x:v>
      </x:c>
      <x:c r="E711" s="2" t="str">
        <x:v>Acute Care Hospitals</x:v>
      </x:c>
      <x:c r="F711" s="2" t="str">
        <x:v>Voluntary non-profit</x:v>
      </x:c>
      <x:c r="G711" s="2" t="str">
        <x:v>Small (&lt;100 beds)</x:v>
      </x:c>
      <x:c r="H711" s="7"/>
      <x:c r="I711" s="7"/>
      <x:c r="J711" s="7" t="n">
        <x:v>0.86</x:v>
      </x:c>
      <x:c r="K711" s="8" t="n">
        <x:v>18</x:v>
      </x:c>
      <x:c r="L711" s="8" t="n">
        <x:v>294</x:v>
      </x:c>
      <x:c r="M711" s="9" t="n">
        <x:v>0.1175038052</x:v>
      </x:c>
      <x:c r="N711" s="10" t="n">
        <x:v>119184.8163265306</x:v>
      </x:c>
      <x:c r="O711" s="9" t="n">
        <x:v>-0.0215823231</x:v>
      </x:c>
      <x:c r="P711" s="9" t="n">
        <x:v>0.8572710952</x:v>
      </x:c>
      <x:c r="Q711" s="9" t="n">
        <x:v>0.697486535</x:v>
      </x:c>
      <x:c r="R711" s="3" t="b">
        <x:v>0</x:v>
      </x:c>
      <x:c r="S711" s="3" t="b">
        <x:v>0</x:v>
      </x:c>
      <x:c r="T711" s="3" t="b">
        <x:v>0</x:v>
      </x:c>
      <x:c r="U711" s="2" t="str">
        <x:f>IF(T711=TRUE,"Priority review",IF(R711=TRUE,"High cost",IF(S711=TRUE,"Low quality","Benchmark")))</x:f>
        <x:v>Benchmark</x:v>
      </x:c>
    </x:row>
    <x:row r="712">
      <x:c r="A712" s="2" t="str">
        <x:v>271337</x:v>
      </x:c>
      <x:c r="B712" s="2" t="str">
        <x:v>NORTHERN ROCKIES MEDICAL CENTER</x:v>
      </x:c>
      <x:c r="C712" s="2" t="str">
        <x:v>CUT BANK</x:v>
      </x:c>
      <x:c r="D712" s="2" t="str">
        <x:v>MT</x:v>
      </x:c>
      <x:c r="E712" s="2" t="str">
        <x:v>Critical Access Hospitals</x:v>
      </x:c>
      <x:c r="F712" s="2" t="str">
        <x:v>Voluntary non-profit</x:v>
      </x:c>
      <x:c r="G712" s="2" t="str">
        <x:v>Small (&lt;100 beds)</x:v>
      </x:c>
      <x:c r="H712" s="7"/>
      <x:c r="I712" s="7"/>
      <x:c r="J712" s="7"/>
      <x:c r="K712" s="8" t="n">
        <x:v>20</x:v>
      </x:c>
      <x:c r="L712" s="8" t="n">
        <x:v>44</x:v>
      </x:c>
      <x:c r="M712" s="9" t="n">
        <x:v>0.0512295082</x:v>
      </x:c>
      <x:c r="N712" s="10" t="n">
        <x:v>285161.6363636364</x:v>
      </x:c>
      <x:c r="O712" s="9" t="n">
        <x:v>0.0509478448</x:v>
      </x:c>
      <x:c r="P712" s="9" t="n">
        <x:v>0.8572490706</x:v>
      </x:c>
      <x:c r="Q712" s="9" t="n">
        <x:v>0.292936803</x:v>
      </x:c>
      <x:c r="R712" s="3" t="b">
        <x:v>0</x:v>
      </x:c>
      <x:c r="S712" s="3" t="b">
        <x:v>0</x:v>
      </x:c>
      <x:c r="T712" s="3" t="b">
        <x:v>0</x:v>
      </x:c>
      <x:c r="U712" s="2" t="str">
        <x:f>IF(T712=TRUE,"Priority review",IF(R712=TRUE,"High cost",IF(S712=TRUE,"Low quality","Benchmark")))</x:f>
        <x:v>Benchmark</x:v>
      </x:c>
    </x:row>
    <x:row r="713">
      <x:c r="A713" s="2" t="str">
        <x:v>143301</x:v>
      </x:c>
      <x:c r="B713" s="2" t="str">
        <x:v>LARABIDA CHILDRENS HOSPITAL I</x:v>
      </x:c>
      <x:c r="C713" s="2" t="str">
        <x:v>CHICAGO</x:v>
      </x:c>
      <x:c r="D713" s="2" t="str">
        <x:v>IL</x:v>
      </x:c>
      <x:c r="E713" s="2" t="str">
        <x:v>Childrens</x:v>
      </x:c>
      <x:c r="F713" s="2" t="str">
        <x:v>Voluntary non-profit</x:v>
      </x:c>
      <x:c r="G713" s="2" t="str">
        <x:v>Small (&lt;100 beds)</x:v>
      </x:c>
      <x:c r="H713" s="7"/>
      <x:c r="I713" s="7"/>
      <x:c r="J713" s="7"/>
      <x:c r="K713" s="8" t="n">
        <x:v>39</x:v>
      </x:c>
      <x:c r="L713" s="8" t="n">
        <x:v>189</x:v>
      </x:c>
      <x:c r="M713" s="9" t="n">
        <x:v>0.8259922726</x:v>
      </x:c>
      <x:c r="N713" s="10" t="n">
        <x:v>423115.1534391535</x:v>
      </x:c>
      <x:c r="O713" s="9" t="n">
        <x:v>-0.7878794965</x:v>
      </x:c>
      <x:c r="P713" s="9" t="n">
        <x:v>0.8571428571</x:v>
      </x:c>
      <x:c r="Q713" s="9" t="n">
        <x:v>0</x:v>
      </x:c>
      <x:c r="R713" s="3" t="b">
        <x:v>0</x:v>
      </x:c>
      <x:c r="S713" s="3" t="b">
        <x:v>0</x:v>
      </x:c>
      <x:c r="T713" s="3" t="b">
        <x:v>0</x:v>
      </x:c>
      <x:c r="U713" s="2" t="str">
        <x:f>IF(T713=TRUE,"Priority review",IF(R713=TRUE,"High cost",IF(S713=TRUE,"Low quality","Benchmark")))</x:f>
        <x:v>Benchmark</x:v>
      </x:c>
    </x:row>
    <x:row r="714">
      <x:c r="A714" s="2" t="str">
        <x:v>330162</x:v>
      </x:c>
      <x:c r="B714" s="2" t="str">
        <x:v>NORTHERN WESTCHESTER HOSPITAL</x:v>
      </x:c>
      <x:c r="C714" s="2" t="str">
        <x:v>MOUNT KISCO</x:v>
      </x:c>
      <x:c r="D714" s="2" t="str">
        <x:v>NY</x:v>
      </x:c>
      <x:c r="E714" s="2" t="str">
        <x:v>Acute Care Hospitals</x:v>
      </x:c>
      <x:c r="F714" s="2" t="str">
        <x:v>Voluntary non-profit</x:v>
      </x:c>
      <x:c r="G714" s="2" t="str">
        <x:v>Medium (100-299 beds)</x:v>
      </x:c>
      <x:c r="H714" s="7" t="n">
        <x:v>5</x:v>
      </x:c>
      <x:c r="I714" s="7" t="n">
        <x:v>4</x:v>
      </x:c>
      <x:c r="J714" s="7" t="n">
        <x:v>0.94</x:v>
      </x:c>
      <x:c r="K714" s="8" t="n">
        <x:v>162</x:v>
      </x:c>
      <x:c r="L714" s="8" t="n">
        <x:v>9195</x:v>
      </x:c>
      <x:c r="M714" s="9" t="n">
        <x:v>0.6083114079</x:v>
      </x:c>
      <x:c r="N714" s="10" t="n">
        <x:v>55732.1727025557</x:v>
      </x:c>
      <x:c r="O714" s="9" t="n">
        <x:v>-0.0472137919</x:v>
      </x:c>
      <x:c r="P714" s="9" t="n">
        <x:v>0.8565607172</x:v>
      </x:c>
      <x:c r="Q714" s="9" t="n">
        <x:v>0.8744906275</x:v>
      </x:c>
      <x:c r="R714" s="3" t="b">
        <x:v>0</x:v>
      </x:c>
      <x:c r="S714" s="3" t="b">
        <x:v>0</x:v>
      </x:c>
      <x:c r="T714" s="3" t="b">
        <x:v>0</x:v>
      </x:c>
      <x:c r="U714" s="2" t="str">
        <x:f>IF(T714=TRUE,"Priority review",IF(R714=TRUE,"High cost",IF(S714=TRUE,"Low quality","Benchmark")))</x:f>
        <x:v>Benchmark</x:v>
      </x:c>
    </x:row>
    <x:row r="715">
      <x:c r="A715" s="2" t="str">
        <x:v>061304</x:v>
      </x:c>
      <x:c r="B715" s="2" t="str">
        <x:v>HAXTUN HOSPITAL DISTRICT</x:v>
      </x:c>
      <x:c r="C715" s="2" t="str">
        <x:v>HAXTUN</x:v>
      </x:c>
      <x:c r="D715" s="2" t="str">
        <x:v>CO</x:v>
      </x:c>
      <x:c r="E715" s="2" t="str">
        <x:v>Critical Access Hospitals</x:v>
      </x:c>
      <x:c r="F715" s="2" t="str">
        <x:v>Government</x:v>
      </x:c>
      <x:c r="G715" s="2" t="str">
        <x:v>Small (&lt;100 beds)</x:v>
      </x:c>
      <x:c r="H715" s="7"/>
      <x:c r="I715" s="7"/>
      <x:c r="J715" s="7"/>
      <x:c r="K715" s="8" t="n">
        <x:v>25</x:v>
      </x:c>
      <x:c r="L715" s="8" t="n">
        <x:v>56</x:v>
      </x:c>
      <x:c r="M715" s="9" t="n">
        <x:v>0.7852459016</x:v>
      </x:c>
      <x:c r="N715" s="10" t="n">
        <x:v>284622.1071428572</x:v>
      </x:c>
      <x:c r="O715" s="9" t="n">
        <x:v>-0.0690617273</x:v>
      </x:c>
      <x:c r="P715" s="9" t="n">
        <x:v>0.8565055762</x:v>
      </x:c>
      <x:c r="Q715" s="9" t="n">
        <x:v>0.292936803</x:v>
      </x:c>
      <x:c r="R715" s="3" t="b">
        <x:v>0</x:v>
      </x:c>
      <x:c r="S715" s="3" t="b">
        <x:v>0</x:v>
      </x:c>
      <x:c r="T715" s="3" t="b">
        <x:v>0</x:v>
      </x:c>
      <x:c r="U715" s="2" t="str">
        <x:f>IF(T715=TRUE,"Priority review",IF(R715=TRUE,"High cost",IF(S715=TRUE,"Low quality","Benchmark")))</x:f>
        <x:v>Benchmark</x:v>
      </x:c>
    </x:row>
    <x:row r="716">
      <x:c r="A716" s="2" t="str">
        <x:v>510001</x:v>
      </x:c>
      <x:c r="B716" s="2" t="str">
        <x:v>WEST VIRGINIA UNIVERSITY HOSPITALS, INC</x:v>
      </x:c>
      <x:c r="C716" s="2" t="str">
        <x:v>MORGANTOWN</x:v>
      </x:c>
      <x:c r="D716" s="2" t="str">
        <x:v>WV</x:v>
      </x:c>
      <x:c r="E716" s="2" t="str">
        <x:v>Acute Care Hospitals</x:v>
      </x:c>
      <x:c r="F716" s="2" t="str">
        <x:v>Voluntary non-profit</x:v>
      </x:c>
      <x:c r="G716" s="2" t="str">
        <x:v>Large (300+ beds)</x:v>
      </x:c>
      <x:c r="H716" s="7" t="n">
        <x:v>3</x:v>
      </x:c>
      <x:c r="I716" s="7" t="n">
        <x:v>4</x:v>
      </x:c>
      <x:c r="J716" s="7" t="n">
        <x:v>1.03</x:v>
      </x:c>
      <x:c r="K716" s="8" t="n">
        <x:v>724</x:v>
      </x:c>
      <x:c r="L716" s="8" t="n">
        <x:v>34544</x:v>
      </x:c>
      <x:c r="M716" s="9" t="n">
        <x:v>0.7307020448</x:v>
      </x:c>
      <x:c r="N716" s="10" t="n">
        <x:v>67049.9711382585</x:v>
      </x:c>
      <x:c r="O716" s="9" t="n">
        <x:v>-0.2508147657</x:v>
      </x:c>
      <x:c r="P716" s="9" t="n">
        <x:v>0.856466877</x:v>
      </x:c>
      <x:c r="Q716" s="9" t="n">
        <x:v>0.2570977918</x:v>
      </x:c>
      <x:c r="R716" s="3" t="b">
        <x:v>0</x:v>
      </x:c>
      <x:c r="S716" s="3" t="b">
        <x:v>0</x:v>
      </x:c>
      <x:c r="T716" s="3" t="b">
        <x:v>0</x:v>
      </x:c>
      <x:c r="U716" s="2" t="str">
        <x:f>IF(T716=TRUE,"Priority review",IF(R716=TRUE,"High cost",IF(S716=TRUE,"Low quality","Benchmark")))</x:f>
        <x:v>Benchmark</x:v>
      </x:c>
    </x:row>
    <x:row r="717">
      <x:c r="A717" s="2" t="str">
        <x:v>520205</x:v>
      </x:c>
      <x:c r="B717" s="2" t="str">
        <x:v>MIDWEST ORTHOPEDIC SPECIALTY HOSPITAL</x:v>
      </x:c>
      <x:c r="C717" s="2" t="str">
        <x:v>FRANKLIN</x:v>
      </x:c>
      <x:c r="D717" s="2" t="str">
        <x:v>WI</x:v>
      </x:c>
      <x:c r="E717" s="2" t="str">
        <x:v>Acute Care Hospitals</x:v>
      </x:c>
      <x:c r="F717" s="2" t="str">
        <x:v>Other / unknown</x:v>
      </x:c>
      <x:c r="G717" s="2" t="str">
        <x:v>Small (&lt;100 beds)</x:v>
      </x:c>
      <x:c r="H717" s="7"/>
      <x:c r="I717" s="7" t="n">
        <x:v>5</x:v>
      </x:c>
      <x:c r="J717" s="7"/>
      <x:c r="K717" s="8" t="n">
        <x:v>16</x:v>
      </x:c>
      <x:c r="L717" s="8" t="n">
        <x:v>503</x:v>
      </x:c>
      <x:c r="M717" s="9" t="n">
        <x:v>0.1946721311</x:v>
      </x:c>
      <x:c r="N717" s="10" t="n">
        <x:v>118395.4155069582</x:v>
      </x:c>
      <x:c r="O717" s="9" t="n">
        <x:v>0.3373893666</x:v>
      </x:c>
      <x:c r="P717" s="9" t="n">
        <x:v>0.8563734291</x:v>
      </x:c>
      <x:c r="Q717" s="9" t="n">
        <x:v>0.697486535</x:v>
      </x:c>
      <x:c r="R717" s="3" t="b">
        <x:v>0</x:v>
      </x:c>
      <x:c r="S717" s="3" t="b">
        <x:v>0</x:v>
      </x:c>
      <x:c r="T717" s="3" t="b">
        <x:v>0</x:v>
      </x:c>
      <x:c r="U717" s="2" t="str">
        <x:f>IF(T717=TRUE,"Priority review",IF(R717=TRUE,"High cost",IF(S717=TRUE,"Low quality","Benchmark")))</x:f>
        <x:v>Benchmark</x:v>
      </x:c>
    </x:row>
    <x:row r="718">
      <x:c r="A718" s="2" t="str">
        <x:v>281318</x:v>
      </x:c>
      <x:c r="B718" s="2" t="str">
        <x:v>MORRILL COUNTY COMMUNITY HOSPITAL</x:v>
      </x:c>
      <x:c r="C718" s="2" t="str">
        <x:v>BRIDGEPORT</x:v>
      </x:c>
      <x:c r="D718" s="2" t="str">
        <x:v>NE</x:v>
      </x:c>
      <x:c r="E718" s="2" t="str">
        <x:v>Critical Access Hospitals</x:v>
      </x:c>
      <x:c r="F718" s="2" t="str">
        <x:v>Government</x:v>
      </x:c>
      <x:c r="G718" s="2" t="str">
        <x:v>Small (&lt;100 beds)</x:v>
      </x:c>
      <x:c r="H718" s="7"/>
      <x:c r="I718" s="7"/>
      <x:c r="J718" s="7"/>
      <x:c r="K718" s="8" t="n">
        <x:v>20</x:v>
      </x:c>
      <x:c r="L718" s="8" t="n">
        <x:v>113</x:v>
      </x:c>
      <x:c r="M718" s="9" t="n">
        <x:v>0.0861643836</x:v>
      </x:c>
      <x:c r="N718" s="10" t="n">
        <x:v>284083.1415929204</x:v>
      </x:c>
      <x:c r="O718" s="9" t="n">
        <x:v>-0.0202593406</x:v>
      </x:c>
      <x:c r="P718" s="9" t="n">
        <x:v>0.8557620818</x:v>
      </x:c>
      <x:c r="Q718" s="9" t="n">
        <x:v>0.292936803</x:v>
      </x:c>
      <x:c r="R718" s="3" t="b">
        <x:v>0</x:v>
      </x:c>
      <x:c r="S718" s="3" t="b">
        <x:v>0</x:v>
      </x:c>
      <x:c r="T718" s="3" t="b">
        <x:v>0</x:v>
      </x:c>
      <x:c r="U718" s="2" t="str">
        <x:f>IF(T718=TRUE,"Priority review",IF(R718=TRUE,"High cost",IF(S718=TRUE,"Low quality","Benchmark")))</x:f>
        <x:v>Benchmark</x:v>
      </x:c>
    </x:row>
    <x:row r="719">
      <x:c r="A719" s="2" t="str">
        <x:v>050710</x:v>
      </x:c>
      <x:c r="B719" s="2" t="str">
        <x:v>KAISER FOUNDATION HOSPITAL - FRESNO</x:v>
      </x:c>
      <x:c r="C719" s="2" t="str">
        <x:v>FRESNO</x:v>
      </x:c>
      <x:c r="D719" s="2" t="str">
        <x:v>CA</x:v>
      </x:c>
      <x:c r="E719" s="2" t="str">
        <x:v>Acute Care Hospitals</x:v>
      </x:c>
      <x:c r="F719" s="2" t="str">
        <x:v>Voluntary non-profit</x:v>
      </x:c>
      <x:c r="G719" s="2" t="str">
        <x:v>Medium (100-299 beds)</x:v>
      </x:c>
      <x:c r="H719" s="7" t="n">
        <x:v>4</x:v>
      </x:c>
      <x:c r="I719" s="7" t="n">
        <x:v>3</x:v>
      </x:c>
      <x:c r="J719" s="7" t="n">
        <x:v>0.84</x:v>
      </x:c>
      <x:c r="K719" s="8" t="n">
        <x:v>169</x:v>
      </x:c>
      <x:c r="L719" s="8" t="n">
        <x:v>7849</x:v>
      </x:c>
      <x:c r="M719" s="9" t="n">
        <x:v>0.4897985579</x:v>
      </x:c>
      <x:c r="N719" s="10" t="n">
        <x:v>55725.6321824436</x:v>
      </x:c>
      <x:c r="O719" s="9" t="n">
        <x:v>0.1271257291</x:v>
      </x:c>
      <x:c r="P719" s="9" t="n">
        <x:v>0.8557457213</x:v>
      </x:c>
      <x:c r="Q719" s="9" t="n">
        <x:v>0.6022819886</x:v>
      </x:c>
      <x:c r="R719" s="3" t="b">
        <x:v>0</x:v>
      </x:c>
      <x:c r="S719" s="3" t="b">
        <x:v>0</x:v>
      </x:c>
      <x:c r="T719" s="3" t="b">
        <x:v>0</x:v>
      </x:c>
      <x:c r="U719" s="2" t="str">
        <x:f>IF(T719=TRUE,"Priority review",IF(R719=TRUE,"High cost",IF(S719=TRUE,"Low quality","Benchmark")))</x:f>
        <x:v>Benchmark</x:v>
      </x:c>
    </x:row>
    <x:row r="720">
      <x:c r="A720" s="2" t="str">
        <x:v>364014</x:v>
      </x:c>
      <x:c r="B720" s="2" t="str">
        <x:v>NORTHWEST OHIO PSYCHIATRIC HOSPITAL</x:v>
      </x:c>
      <x:c r="C720" s="2" t="str">
        <x:v>TOLEDO</x:v>
      </x:c>
      <x:c r="D720" s="2" t="str">
        <x:v>OH</x:v>
      </x:c>
      <x:c r="E720" s="2" t="str">
        <x:v>Psychiatric</x:v>
      </x:c>
      <x:c r="F720" s="2" t="str">
        <x:v>Government</x:v>
      </x:c>
      <x:c r="G720" s="2" t="str">
        <x:v>Medium (100-299 beds)</x:v>
      </x:c>
      <x:c r="H720" s="7"/>
      <x:c r="I720" s="7"/>
      <x:c r="J720" s="7"/>
      <x:c r="K720" s="8" t="n">
        <x:v>112</x:v>
      </x:c>
      <x:c r="L720" s="8" t="n">
        <x:v>249</x:v>
      </x:c>
      <x:c r="M720" s="9" t="n">
        <x:v>0.9251956947</x:v>
      </x:c>
      <x:c r="N720" s="10" t="n">
        <x:v>136480.0682730924</x:v>
      </x:c>
      <x:c r="O720" s="9"/>
      <x:c r="P720" s="9" t="n">
        <x:v>0.855721393</x:v>
      </x:c>
      <x:c r="Q720" s="9" t="n">
        <x:v>0</x:v>
      </x:c>
      <x:c r="R720" s="3" t="b">
        <x:v>0</x:v>
      </x:c>
      <x:c r="S720" s="3" t="b">
        <x:v>0</x:v>
      </x:c>
      <x:c r="T720" s="3" t="b">
        <x:v>0</x:v>
      </x:c>
      <x:c r="U720" s="2" t="str">
        <x:f>IF(T720=TRUE,"Priority review",IF(R720=TRUE,"High cost",IF(S720=TRUE,"Low quality","Benchmark")))</x:f>
        <x:v>Benchmark</x:v>
      </x:c>
    </x:row>
    <x:row r="721">
      <x:c r="A721" s="2" t="str">
        <x:v>370220</x:v>
      </x:c>
      <x:c r="B721" s="2" t="str">
        <x:v>ONECORE HEALTH</x:v>
      </x:c>
      <x:c r="C721" s="2" t="str">
        <x:v>OKLAHOMA CITY</x:v>
      </x:c>
      <x:c r="D721" s="2" t="str">
        <x:v>OK</x:v>
      </x:c>
      <x:c r="E721" s="2" t="str">
        <x:v>Acute Care Hospitals</x:v>
      </x:c>
      <x:c r="F721" s="2" t="str">
        <x:v>Proprietary</x:v>
      </x:c>
      <x:c r="G721" s="2" t="str">
        <x:v>Small (&lt;100 beds)</x:v>
      </x:c>
      <x:c r="H721" s="7"/>
      <x:c r="I721" s="7"/>
      <x:c r="J721" s="7" t="n">
        <x:v>0.95</x:v>
      </x:c>
      <x:c r="K721" s="8" t="n">
        <x:v>7</x:v>
      </x:c>
      <x:c r="L721" s="8" t="n">
        <x:v>277</x:v>
      </x:c>
      <x:c r="M721" s="9" t="n">
        <x:v>0.3044496487</x:v>
      </x:c>
      <x:c r="N721" s="10" t="n">
        <x:v>117297.5090252708</x:v>
      </x:c>
      <x:c r="O721" s="9" t="n">
        <x:v>-0.0955314204</x:v>
      </x:c>
      <x:c r="P721" s="9" t="n">
        <x:v>0.855475763</x:v>
      </x:c>
      <x:c r="Q721" s="9" t="n">
        <x:v>0.697486535</x:v>
      </x:c>
      <x:c r="R721" s="3" t="b">
        <x:v>0</x:v>
      </x:c>
      <x:c r="S721" s="3" t="b">
        <x:v>0</x:v>
      </x:c>
      <x:c r="T721" s="3" t="b">
        <x:v>0</x:v>
      </x:c>
      <x:c r="U721" s="2" t="str">
        <x:f>IF(T721=TRUE,"Priority review",IF(R721=TRUE,"High cost",IF(S721=TRUE,"Low quality","Benchmark")))</x:f>
        <x:v>Benchmark</x:v>
      </x:c>
    </x:row>
    <x:row r="722">
      <x:c r="A722" s="2" t="str">
        <x:v>021307</x:v>
      </x:c>
      <x:c r="B722" s="2" t="str">
        <x:v>CORDOVA COMMUNITY MEDICAL CENTER</x:v>
      </x:c>
      <x:c r="C722" s="2" t="str">
        <x:v>CORDOVA</x:v>
      </x:c>
      <x:c r="D722" s="2" t="str">
        <x:v>AK</x:v>
      </x:c>
      <x:c r="E722" s="2" t="str">
        <x:v>Critical Access Hospitals</x:v>
      </x:c>
      <x:c r="F722" s="2" t="str">
        <x:v>Government</x:v>
      </x:c>
      <x:c r="G722" s="2" t="str">
        <x:v>Small (&lt;100 beds)</x:v>
      </x:c>
      <x:c r="H722" s="7"/>
      <x:c r="I722" s="7"/>
      <x:c r="J722" s="7"/>
      <x:c r="K722" s="8" t="n">
        <x:v>13</x:v>
      </x:c>
      <x:c r="L722" s="8" t="n">
        <x:v>61</x:v>
      </x:c>
      <x:c r="M722" s="9" t="n">
        <x:v>0.1155947877</x:v>
      </x:c>
      <x:c r="N722" s="10" t="n">
        <x:v>284063.7868852459</x:v>
      </x:c>
      <x:c r="O722" s="9" t="n">
        <x:v>-0.172320492</x:v>
      </x:c>
      <x:c r="P722" s="9" t="n">
        <x:v>0.8550185874</x:v>
      </x:c>
      <x:c r="Q722" s="9" t="n">
        <x:v>0.292936803</x:v>
      </x:c>
      <x:c r="R722" s="3" t="b">
        <x:v>0</x:v>
      </x:c>
      <x:c r="S722" s="3" t="b">
        <x:v>0</x:v>
      </x:c>
      <x:c r="T722" s="3" t="b">
        <x:v>0</x:v>
      </x:c>
      <x:c r="U722" s="2" t="str">
        <x:f>IF(T722=TRUE,"Priority review",IF(R722=TRUE,"High cost",IF(S722=TRUE,"Low quality","Benchmark")))</x:f>
        <x:v>Benchmark</x:v>
      </x:c>
    </x:row>
    <x:row r="723">
      <x:c r="A723" s="2" t="str">
        <x:v>260078</x:v>
      </x:c>
      <x:c r="B723" s="2" t="str">
        <x:v>OZARKS HEALTHCARE</x:v>
      </x:c>
      <x:c r="C723" s="2" t="str">
        <x:v>WEST PLAINS</x:v>
      </x:c>
      <x:c r="D723" s="2" t="str">
        <x:v>MO</x:v>
      </x:c>
      <x:c r="E723" s="2" t="str">
        <x:v>Acute Care Hospitals</x:v>
      </x:c>
      <x:c r="F723" s="2" t="str">
        <x:v>Voluntary non-profit</x:v>
      </x:c>
      <x:c r="G723" s="2" t="str">
        <x:v>Medium (100-299 beds)</x:v>
      </x:c>
      <x:c r="H723" s="7" t="n">
        <x:v>2</x:v>
      </x:c>
      <x:c r="I723" s="7" t="n">
        <x:v>4</x:v>
      </x:c>
      <x:c r="J723" s="7" t="n">
        <x:v>0.94</x:v>
      </x:c>
      <x:c r="K723" s="8" t="n">
        <x:v>111</x:v>
      </x:c>
      <x:c r="L723" s="8" t="n">
        <x:v>4496</x:v>
      </x:c>
      <x:c r="M723" s="9" t="n">
        <x:v>0.4663023679</x:v>
      </x:c>
      <x:c r="N723" s="10" t="n">
        <x:v>55707.3356316726</x:v>
      </x:c>
      <x:c r="O723" s="9" t="n">
        <x:v>-0.4538677126</x:v>
      </x:c>
      <x:c r="P723" s="9" t="n">
        <x:v>0.8549307253</x:v>
      </x:c>
      <x:c r="Q723" s="9" t="n">
        <x:v>0.0782396088</x:v>
      </x:c>
      <x:c r="R723" s="3" t="b">
        <x:v>0</x:v>
      </x:c>
      <x:c r="S723" s="3" t="b">
        <x:v>1</x:v>
      </x:c>
      <x:c r="T723" s="3" t="b">
        <x:v>0</x:v>
      </x:c>
      <x:c r="U723" s="2" t="str">
        <x:f>IF(T723=TRUE,"Priority review",IF(R723=TRUE,"High cost",IF(S723=TRUE,"Low quality","Benchmark")))</x:f>
        <x:v>Low quality</x:v>
      </x:c>
    </x:row>
    <x:row r="724">
      <x:c r="A724" s="2" t="str">
        <x:v>030013</x:v>
      </x:c>
      <x:c r="B724" s="2" t="str">
        <x:v>YUMA REGIONAL MEDICAL CENTER</x:v>
      </x:c>
      <x:c r="C724" s="2" t="str">
        <x:v>YUMA</x:v>
      </x:c>
      <x:c r="D724" s="2" t="str">
        <x:v>AZ</x:v>
      </x:c>
      <x:c r="E724" s="2" t="str">
        <x:v>Acute Care Hospitals</x:v>
      </x:c>
      <x:c r="F724" s="2" t="str">
        <x:v>Voluntary non-profit</x:v>
      </x:c>
      <x:c r="G724" s="2" t="str">
        <x:v>Large (300+ beds)</x:v>
      </x:c>
      <x:c r="H724" s="7" t="n">
        <x:v>2</x:v>
      </x:c>
      <x:c r="I724" s="7" t="n">
        <x:v>3</x:v>
      </x:c>
      <x:c r="J724" s="7" t="n">
        <x:v>1.04</x:v>
      </x:c>
      <x:c r="K724" s="8" t="n">
        <x:v>430</x:v>
      </x:c>
      <x:c r="L724" s="8" t="n">
        <x:v>12201</x:v>
      </x:c>
      <x:c r="M724" s="9" t="n">
        <x:v>0.3699644173</x:v>
      </x:c>
      <x:c r="N724" s="10" t="n">
        <x:v>66245.1143348906</x:v>
      </x:c>
      <x:c r="O724" s="9" t="n">
        <x:v>0.000468577</x:v>
      </x:c>
      <x:c r="P724" s="9" t="n">
        <x:v>0.8548895899</x:v>
      </x:c>
      <x:c r="Q724" s="9" t="n">
        <x:v>0.0536277603</x:v>
      </x:c>
      <x:c r="R724" s="3" t="b">
        <x:v>0</x:v>
      </x:c>
      <x:c r="S724" s="3" t="b">
        <x:v>1</x:v>
      </x:c>
      <x:c r="T724" s="3" t="b">
        <x:v>0</x:v>
      </x:c>
      <x:c r="U724" s="2" t="str">
        <x:f>IF(T724=TRUE,"Priority review",IF(R724=TRUE,"High cost",IF(S724=TRUE,"Low quality","Benchmark")))</x:f>
        <x:v>Low quality</x:v>
      </x:c>
    </x:row>
    <x:row r="725">
      <x:c r="A725" s="2" t="str">
        <x:v>370240</x:v>
      </x:c>
      <x:c r="B725" s="2" t="str">
        <x:v>INTEGRIS COMMUNITY HOSPITAL - COUNCIL CROSSING</x:v>
      </x:c>
      <x:c r="C725" s="2" t="str">
        <x:v>OKLAHOMA CITY</x:v>
      </x:c>
      <x:c r="D725" s="2" t="str">
        <x:v>OK</x:v>
      </x:c>
      <x:c r="E725" s="2" t="str">
        <x:v>Acute Care Hospitals</x:v>
      </x:c>
      <x:c r="F725" s="2" t="str">
        <x:v>Proprietary</x:v>
      </x:c>
      <x:c r="G725" s="2" t="str">
        <x:v>Small (&lt;100 beds)</x:v>
      </x:c>
      <x:c r="H725" s="7"/>
      <x:c r="I725" s="7"/>
      <x:c r="J725" s="7" t="n">
        <x:v>0.91</x:v>
      </x:c>
      <x:c r="K725" s="8" t="n">
        <x:v>32</x:v>
      </x:c>
      <x:c r="L725" s="8" t="n">
        <x:v>348</x:v>
      </x:c>
      <x:c r="M725" s="9" t="n">
        <x:v>0.0713797814</x:v>
      </x:c>
      <x:c r="N725" s="10" t="n">
        <x:v>117053.2298850575</x:v>
      </x:c>
      <x:c r="O725" s="9" t="n">
        <x:v>-0.3525440327</x:v>
      </x:c>
      <x:c r="P725" s="9" t="n">
        <x:v>0.8545780969</x:v>
      </x:c>
      <x:c r="Q725" s="9" t="n">
        <x:v>0.697486535</x:v>
      </x:c>
      <x:c r="R725" s="3" t="b">
        <x:v>0</x:v>
      </x:c>
      <x:c r="S725" s="3" t="b">
        <x:v>0</x:v>
      </x:c>
      <x:c r="T725" s="3" t="b">
        <x:v>0</x:v>
      </x:c>
      <x:c r="U725" s="2" t="str">
        <x:f>IF(T725=TRUE,"Priority review",IF(R725=TRUE,"High cost",IF(S725=TRUE,"Low quality","Benchmark")))</x:f>
        <x:v>Benchmark</x:v>
      </x:c>
    </x:row>
    <x:row r="726">
      <x:c r="A726" s="2" t="str">
        <x:v>244014</x:v>
      </x:c>
      <x:c r="B726" s="2" t="str">
        <x:v>COMMUNITY BEHAVIORAL HEALTH HOSPITAL - BEMIDJI</x:v>
      </x:c>
      <x:c r="C726" s="2" t="str">
        <x:v>BEMIDJI</x:v>
      </x:c>
      <x:c r="D726" s="2" t="str">
        <x:v>MN</x:v>
      </x:c>
      <x:c r="E726" s="2" t="str">
        <x:v>Psychiatric</x:v>
      </x:c>
      <x:c r="F726" s="2" t="str">
        <x:v>Government</x:v>
      </x:c>
      <x:c r="G726" s="2" t="str">
        <x:v>Small (&lt;100 beds)</x:v>
      </x:c>
      <x:c r="H726" s="7"/>
      <x:c r="I726" s="7"/>
      <x:c r="J726" s="7"/>
      <x:c r="K726" s="8" t="n">
        <x:v>16</x:v>
      </x:c>
      <x:c r="L726" s="8" t="n">
        <x:v>98</x:v>
      </x:c>
      <x:c r="M726" s="9" t="n">
        <x:v>0.9160958904</x:v>
      </x:c>
      <x:c r="N726" s="10" t="n">
        <x:v>86378.9693877551</x:v>
      </x:c>
      <x:c r="O726" s="9"/>
      <x:c r="P726" s="9" t="n">
        <x:v>0.854368932</x:v>
      </x:c>
      <x:c r="Q726" s="9" t="n">
        <x:v>0</x:v>
      </x:c>
      <x:c r="R726" s="3" t="b">
        <x:v>0</x:v>
      </x:c>
      <x:c r="S726" s="3" t="b">
        <x:v>0</x:v>
      </x:c>
      <x:c r="T726" s="3" t="b">
        <x:v>0</x:v>
      </x:c>
      <x:c r="U726" s="2" t="str">
        <x:f>IF(T726=TRUE,"Priority review",IF(R726=TRUE,"High cost",IF(S726=TRUE,"Low quality","Benchmark")))</x:f>
        <x:v>Benchmark</x:v>
      </x:c>
    </x:row>
    <x:row r="727">
      <x:c r="A727" s="2" t="str">
        <x:v>051302</x:v>
      </x:c>
      <x:c r="B727" s="2" t="str">
        <x:v>SOUTHERN INYO HOSPITAL</x:v>
      </x:c>
      <x:c r="C727" s="2" t="str">
        <x:v>LONE PINE</x:v>
      </x:c>
      <x:c r="D727" s="2" t="str">
        <x:v>CA</x:v>
      </x:c>
      <x:c r="E727" s="2" t="str">
        <x:v>Critical Access Hospitals</x:v>
      </x:c>
      <x:c r="F727" s="2" t="str">
        <x:v>Government</x:v>
      </x:c>
      <x:c r="G727" s="2" t="str">
        <x:v>Small (&lt;100 beds)</x:v>
      </x:c>
      <x:c r="H727" s="7"/>
      <x:c r="I727" s="7"/>
      <x:c r="J727" s="7"/>
      <x:c r="K727" s="8" t="n">
        <x:v>4</x:v>
      </x:c>
      <x:c r="L727" s="8" t="n">
        <x:v>69</x:v>
      </x:c>
      <x:c r="M727" s="9" t="n">
        <x:v>0.3993150685</x:v>
      </x:c>
      <x:c r="N727" s="10" t="n">
        <x:v>284000.8550724637</x:v>
      </x:c>
      <x:c r="O727" s="9" t="n">
        <x:v>-0.3958501009</x:v>
      </x:c>
      <x:c r="P727" s="9" t="n">
        <x:v>0.8542750929</x:v>
      </x:c>
      <x:c r="Q727" s="9" t="n">
        <x:v>0.292936803</x:v>
      </x:c>
      <x:c r="R727" s="3" t="b">
        <x:v>0</x:v>
      </x:c>
      <x:c r="S727" s="3" t="b">
        <x:v>0</x:v>
      </x:c>
      <x:c r="T727" s="3" t="b">
        <x:v>0</x:v>
      </x:c>
      <x:c r="U727" s="2" t="str">
        <x:f>IF(T727=TRUE,"Priority review",IF(R727=TRUE,"High cost",IF(S727=TRUE,"Low quality","Benchmark")))</x:f>
        <x:v>Benchmark</x:v>
      </x:c>
    </x:row>
    <x:row r="728">
      <x:c r="A728" s="2" t="str">
        <x:v>060027</x:v>
      </x:c>
      <x:c r="B728" s="2" t="str">
        <x:v>BOULDER COMMUNITY HEALTH</x:v>
      </x:c>
      <x:c r="C728" s="2" t="str">
        <x:v>BOULDER</x:v>
      </x:c>
      <x:c r="D728" s="2" t="str">
        <x:v>CO</x:v>
      </x:c>
      <x:c r="E728" s="2" t="str">
        <x:v>Acute Care Hospitals</x:v>
      </x:c>
      <x:c r="F728" s="2" t="str">
        <x:v>Voluntary non-profit</x:v>
      </x:c>
      <x:c r="G728" s="2" t="str">
        <x:v>Medium (100-299 beds)</x:v>
      </x:c>
      <x:c r="H728" s="7" t="n">
        <x:v>4</x:v>
      </x:c>
      <x:c r="I728" s="7" t="n">
        <x:v>4</x:v>
      </x:c>
      <x:c r="J728" s="7" t="n">
        <x:v>0.92</x:v>
      </x:c>
      <x:c r="K728" s="8" t="n">
        <x:v>139</x:v>
      </x:c>
      <x:c r="L728" s="8" t="n">
        <x:v>8504</x:v>
      </x:c>
      <x:c r="M728" s="9" t="n">
        <x:v>0.5731611432</x:v>
      </x:c>
      <x:c r="N728" s="10" t="n">
        <x:v>55566.3642991533</x:v>
      </x:c>
      <x:c r="O728" s="9" t="n">
        <x:v>0.0075072841</x:v>
      </x:c>
      <x:c r="P728" s="9" t="n">
        <x:v>0.8541157294</x:v>
      </x:c>
      <x:c r="Q728" s="9" t="n">
        <x:v>0.6022819886</x:v>
      </x:c>
      <x:c r="R728" s="3" t="b">
        <x:v>0</x:v>
      </x:c>
      <x:c r="S728" s="3" t="b">
        <x:v>0</x:v>
      </x:c>
      <x:c r="T728" s="3" t="b">
        <x:v>0</x:v>
      </x:c>
      <x:c r="U728" s="2" t="str">
        <x:f>IF(T728=TRUE,"Priority review",IF(R728=TRUE,"High cost",IF(S728=TRUE,"Low quality","Benchmark")))</x:f>
        <x:v>Benchmark</x:v>
      </x:c>
    </x:row>
    <x:row r="729">
      <x:c r="A729" s="2" t="str">
        <x:v>190183</x:v>
      </x:c>
      <x:c r="B729" s="2" t="str">
        <x:v>LEONARD J CHABERT MEDICAL CENTER</x:v>
      </x:c>
      <x:c r="C729" s="2" t="str">
        <x:v>HOUMA</x:v>
      </x:c>
      <x:c r="D729" s="2" t="str">
        <x:v>LA</x:v>
      </x:c>
      <x:c r="E729" s="2" t="str">
        <x:v>Acute Care Hospitals</x:v>
      </x:c>
      <x:c r="F729" s="2" t="str">
        <x:v>Voluntary non-profit</x:v>
      </x:c>
      <x:c r="G729" s="2" t="str">
        <x:v>Small (&lt;100 beds)</x:v>
      </x:c>
      <x:c r="H729" s="7" t="n">
        <x:v>3</x:v>
      </x:c>
      <x:c r="I729" s="7" t="n">
        <x:v>4</x:v>
      </x:c>
      <x:c r="J729" s="7" t="n">
        <x:v>0.91</x:v>
      </x:c>
      <x:c r="K729" s="8" t="n">
        <x:v>42</x:v>
      </x:c>
      <x:c r="L729" s="8" t="n">
        <x:v>1480</x:v>
      </x:c>
      <x:c r="M729" s="9" t="n">
        <x:v>0.3989562948</x:v>
      </x:c>
      <x:c r="N729" s="10" t="n">
        <x:v>116734.2081081081</x:v>
      </x:c>
      <x:c r="O729" s="9" t="n">
        <x:v>-0.9515920714</x:v>
      </x:c>
      <x:c r="P729" s="9" t="n">
        <x:v>0.8536804309</x:v>
      </x:c>
      <x:c r="Q729" s="9" t="n">
        <x:v>0.1687612208</x:v>
      </x:c>
      <x:c r="R729" s="3" t="b">
        <x:v>0</x:v>
      </x:c>
      <x:c r="S729" s="3" t="b">
        <x:v>0</x:v>
      </x:c>
      <x:c r="T729" s="3" t="b">
        <x:v>0</x:v>
      </x:c>
      <x:c r="U729" s="2" t="str">
        <x:f>IF(T729=TRUE,"Priority review",IF(R729=TRUE,"High cost",IF(S729=TRUE,"Low quality","Benchmark")))</x:f>
        <x:v>Benchmark</x:v>
      </x:c>
    </x:row>
    <x:row r="730">
      <x:c r="A730" s="2" t="str">
        <x:v>281309</x:v>
      </x:c>
      <x:c r="B730" s="2" t="str">
        <x:v>SYRACUSE AREA HEALTH</x:v>
      </x:c>
      <x:c r="C730" s="2" t="str">
        <x:v>SYRACUSE</x:v>
      </x:c>
      <x:c r="D730" s="2" t="str">
        <x:v>NE</x:v>
      </x:c>
      <x:c r="E730" s="2" t="str">
        <x:v>Critical Access Hospitals</x:v>
      </x:c>
      <x:c r="F730" s="2" t="str">
        <x:v>Government</x:v>
      </x:c>
      <x:c r="G730" s="2" t="str">
        <x:v>Small (&lt;100 beds)</x:v>
      </x:c>
      <x:c r="H730" s="7"/>
      <x:c r="I730" s="7"/>
      <x:c r="J730" s="7"/>
      <x:c r="K730" s="8" t="n">
        <x:v>10</x:v>
      </x:c>
      <x:c r="L730" s="8" t="n">
        <x:v>132</x:v>
      </x:c>
      <x:c r="M730" s="9" t="n">
        <x:v>0.1764383562</x:v>
      </x:c>
      <x:c r="N730" s="10" t="n">
        <x:v>283377</x:v>
      </x:c>
      <x:c r="O730" s="9" t="n">
        <x:v>-0.0834889933</x:v>
      </x:c>
      <x:c r="P730" s="9" t="n">
        <x:v>0.8535315985</x:v>
      </x:c>
      <x:c r="Q730" s="9" t="n">
        <x:v>0.292936803</x:v>
      </x:c>
      <x:c r="R730" s="3" t="b">
        <x:v>0</x:v>
      </x:c>
      <x:c r="S730" s="3" t="b">
        <x:v>0</x:v>
      </x:c>
      <x:c r="T730" s="3" t="b">
        <x:v>0</x:v>
      </x:c>
      <x:c r="U730" s="2" t="str">
        <x:f>IF(T730=TRUE,"Priority review",IF(R730=TRUE,"High cost",IF(S730=TRUE,"Low quality","Benchmark")))</x:f>
        <x:v>Benchmark</x:v>
      </x:c>
    </x:row>
    <x:row r="731">
      <x:c r="A731" s="2" t="str">
        <x:v>310001</x:v>
      </x:c>
      <x:c r="B731" s="2" t="str">
        <x:v>HACKENSACK UNIVERSITY MEDICAL CENTER</x:v>
      </x:c>
      <x:c r="C731" s="2" t="str">
        <x:v>HACKENSACK</x:v>
      </x:c>
      <x:c r="D731" s="2" t="str">
        <x:v>NJ</x:v>
      </x:c>
      <x:c r="E731" s="2" t="str">
        <x:v>Acute Care Hospitals</x:v>
      </x:c>
      <x:c r="F731" s="2" t="str">
        <x:v>Voluntary non-profit</x:v>
      </x:c>
      <x:c r="G731" s="2" t="str">
        <x:v>Large (300+ beds)</x:v>
      </x:c>
      <x:c r="H731" s="7" t="n">
        <x:v>5</x:v>
      </x:c>
      <x:c r="I731" s="7" t="n">
        <x:v>3</x:v>
      </x:c>
      <x:c r="J731" s="7" t="n">
        <x:v>1.09</x:v>
      </x:c>
      <x:c r="K731" s="8" t="n">
        <x:v>769</x:v>
      </x:c>
      <x:c r="L731" s="8" t="n">
        <x:v>42462</x:v>
      </x:c>
      <x:c r="M731" s="9" t="n">
        <x:v>0.8751021481</x:v>
      </x:c>
      <x:c r="N731" s="10" t="n">
        <x:v>65778.8086288917</x:v>
      </x:c>
      <x:c r="O731" s="9" t="n">
        <x:v>-0.0515967978</x:v>
      </x:c>
      <x:c r="P731" s="9" t="n">
        <x:v>0.8533123028</x:v>
      </x:c>
      <x:c r="Q731" s="9" t="n">
        <x:v>0.8722397476</x:v>
      </x:c>
      <x:c r="R731" s="3" t="b">
        <x:v>0</x:v>
      </x:c>
      <x:c r="S731" s="3" t="b">
        <x:v>0</x:v>
      </x:c>
      <x:c r="T731" s="3" t="b">
        <x:v>0</x:v>
      </x:c>
      <x:c r="U731" s="2" t="str">
        <x:f>IF(T731=TRUE,"Priority review",IF(R731=TRUE,"High cost",IF(S731=TRUE,"Low quality","Benchmark")))</x:f>
        <x:v>Benchmark</x:v>
      </x:c>
    </x:row>
    <x:row r="732">
      <x:c r="A732" s="2" t="str">
        <x:v>050017</x:v>
      </x:c>
      <x:c r="B732" s="2" t="str">
        <x:v>MERCY GENERAL HOSPITAL</x:v>
      </x:c>
      <x:c r="C732" s="2" t="str">
        <x:v>SACRAMENTO</x:v>
      </x:c>
      <x:c r="D732" s="2" t="str">
        <x:v>CA</x:v>
      </x:c>
      <x:c r="E732" s="2" t="str">
        <x:v>Acute Care Hospitals</x:v>
      </x:c>
      <x:c r="F732" s="2" t="str">
        <x:v>Voluntary non-profit</x:v>
      </x:c>
      <x:c r="G732" s="2" t="str">
        <x:v>Medium (100-299 beds)</x:v>
      </x:c>
      <x:c r="H732" s="7" t="n">
        <x:v>3</x:v>
      </x:c>
      <x:c r="I732" s="7" t="n">
        <x:v>4</x:v>
      </x:c>
      <x:c r="J732" s="7" t="n">
        <x:v>1</x:v>
      </x:c>
      <x:c r="K732" s="8" t="n">
        <x:v>283</x:v>
      </x:c>
      <x:c r="L732" s="8" t="n">
        <x:v>13719</x:v>
      </x:c>
      <x:c r="M732" s="9" t="n">
        <x:v>0.628965584</x:v>
      </x:c>
      <x:c r="N732" s="10" t="n">
        <x:v>55341.8791457103</x:v>
      </x:c>
      <x:c r="O732" s="9" t="n">
        <x:v>0.0404209924</x:v>
      </x:c>
      <x:c r="P732" s="9" t="n">
        <x:v>0.8533007335</x:v>
      </x:c>
      <x:c r="Q732" s="9" t="n">
        <x:v>0.3023634882</x:v>
      </x:c>
      <x:c r="R732" s="3" t="b">
        <x:v>0</x:v>
      </x:c>
      <x:c r="S732" s="3" t="b">
        <x:v>0</x:v>
      </x:c>
      <x:c r="T732" s="3" t="b">
        <x:v>0</x:v>
      </x:c>
      <x:c r="U732" s="2" t="str">
        <x:f>IF(T732=TRUE,"Priority review",IF(R732=TRUE,"High cost",IF(S732=TRUE,"Low quality","Benchmark")))</x:f>
        <x:v>Benchmark</x:v>
      </x:c>
    </x:row>
    <x:row r="733">
      <x:c r="A733" s="2" t="str">
        <x:v>451338</x:v>
      </x:c>
      <x:c r="B733" s="2" t="str">
        <x:v>CULBERSON HOSPITAL</x:v>
      </x:c>
      <x:c r="C733" s="2" t="str">
        <x:v>VAN HORN</x:v>
      </x:c>
      <x:c r="D733" s="2" t="str">
        <x:v>TX</x:v>
      </x:c>
      <x:c r="E733" s="2" t="str">
        <x:v>Critical Access Hospitals</x:v>
      </x:c>
      <x:c r="F733" s="2" t="str">
        <x:v>Voluntary non-profit</x:v>
      </x:c>
      <x:c r="G733" s="2" t="str">
        <x:v>Small (&lt;100 beds)</x:v>
      </x:c>
      <x:c r="H733" s="7"/>
      <x:c r="I733" s="7"/>
      <x:c r="J733" s="7"/>
      <x:c r="K733" s="8" t="n">
        <x:v>14</x:v>
      </x:c>
      <x:c r="L733" s="8" t="n">
        <x:v>38</x:v>
      </x:c>
      <x:c r="M733" s="9" t="n">
        <x:v>0.0596868885</x:v>
      </x:c>
      <x:c r="N733" s="10" t="n">
        <x:v>283326.2368421053</x:v>
      </x:c>
      <x:c r="O733" s="9" t="n">
        <x:v>-0.5674089092</x:v>
      </x:c>
      <x:c r="P733" s="9" t="n">
        <x:v>0.8527881041</x:v>
      </x:c>
      <x:c r="Q733" s="9" t="n">
        <x:v>0.292936803</x:v>
      </x:c>
      <x:c r="R733" s="3" t="b">
        <x:v>0</x:v>
      </x:c>
      <x:c r="S733" s="3" t="b">
        <x:v>0</x:v>
      </x:c>
      <x:c r="T733" s="3" t="b">
        <x:v>0</x:v>
      </x:c>
      <x:c r="U733" s="2" t="str">
        <x:f>IF(T733=TRUE,"Priority review",IF(R733=TRUE,"High cost",IF(S733=TRUE,"Low quality","Benchmark")))</x:f>
        <x:v>Benchmark</x:v>
      </x:c>
    </x:row>
    <x:row r="734">
      <x:c r="A734" s="2" t="str">
        <x:v>520076</x:v>
      </x:c>
      <x:c r="B734" s="2" t="str">
        <x:v>MARSHFIELD MEDICAL CENTER - BEAVER DAM (MMC-BD)</x:v>
      </x:c>
      <x:c r="C734" s="2" t="str">
        <x:v>BEAVER DAM</x:v>
      </x:c>
      <x:c r="D734" s="2" t="str">
        <x:v>WI</x:v>
      </x:c>
      <x:c r="E734" s="2" t="str">
        <x:v>Acute Care Hospitals</x:v>
      </x:c>
      <x:c r="F734" s="2" t="str">
        <x:v>Voluntary non-profit</x:v>
      </x:c>
      <x:c r="G734" s="2" t="str">
        <x:v>Small (&lt;100 beds)</x:v>
      </x:c>
      <x:c r="H734" s="7" t="n">
        <x:v>2</x:v>
      </x:c>
      <x:c r="I734" s="7" t="n">
        <x:v>3</x:v>
      </x:c>
      <x:c r="J734" s="7" t="n">
        <x:v>0.86</x:v>
      </x:c>
      <x:c r="K734" s="8" t="n">
        <x:v>43</x:v>
      </x:c>
      <x:c r="L734" s="8" t="n">
        <x:v>999</x:v>
      </x:c>
      <x:c r="M734" s="9" t="n">
        <x:v>0.1928453425</x:v>
      </x:c>
      <x:c r="N734" s="10" t="n">
        <x:v>116030.988988989</x:v>
      </x:c>
      <x:c r="O734" s="9" t="n">
        <x:v>-0.2094776378</x:v>
      </x:c>
      <x:c r="P734" s="9" t="n">
        <x:v>0.8527827648</x:v>
      </x:c>
      <x:c r="Q734" s="9" t="n">
        <x:v>0.0350089767</x:v>
      </x:c>
      <x:c r="R734" s="3" t="b">
        <x:v>0</x:v>
      </x:c>
      <x:c r="S734" s="3" t="b">
        <x:v>1</x:v>
      </x:c>
      <x:c r="T734" s="3" t="b">
        <x:v>0</x:v>
      </x:c>
      <x:c r="U734" s="2" t="str">
        <x:f>IF(T734=TRUE,"Priority review",IF(R734=TRUE,"High cost",IF(S734=TRUE,"Low quality","Benchmark")))</x:f>
        <x:v>Low quality</x:v>
      </x:c>
    </x:row>
    <x:row r="735">
      <x:c r="A735" s="2" t="str">
        <x:v>330222</x:v>
      </x:c>
      <x:c r="B735" s="2" t="str">
        <x:v>SARATOGA HOSPITAL</x:v>
      </x:c>
      <x:c r="C735" s="2" t="str">
        <x:v>SARATOGA SPRINGS</x:v>
      </x:c>
      <x:c r="D735" s="2" t="str">
        <x:v>NY</x:v>
      </x:c>
      <x:c r="E735" s="2" t="str">
        <x:v>Acute Care Hospitals</x:v>
      </x:c>
      <x:c r="F735" s="2" t="str">
        <x:v>Voluntary non-profit</x:v>
      </x:c>
      <x:c r="G735" s="2" t="str">
        <x:v>Medium (100-299 beds)</x:v>
      </x:c>
      <x:c r="H735" s="7" t="n">
        <x:v>3</x:v>
      </x:c>
      <x:c r="I735" s="7" t="n">
        <x:v>4</x:v>
      </x:c>
      <x:c r="J735" s="7" t="n">
        <x:v>0.89</x:v>
      </x:c>
      <x:c r="K735" s="8" t="n">
        <x:v>171</x:v>
      </x:c>
      <x:c r="L735" s="8" t="n">
        <x:v>9339</x:v>
      </x:c>
      <x:c r="M735" s="9" t="n">
        <x:v>0.7457578372</x:v>
      </x:c>
      <x:c r="N735" s="10" t="n">
        <x:v>55062.8331727166</x:v>
      </x:c>
      <x:c r="O735" s="9" t="n">
        <x:v>-0.1349601654</x:v>
      </x:c>
      <x:c r="P735" s="9" t="n">
        <x:v>0.8524857376</x:v>
      </x:c>
      <x:c r="Q735" s="9" t="n">
        <x:v>0.3023634882</x:v>
      </x:c>
      <x:c r="R735" s="3" t="b">
        <x:v>0</x:v>
      </x:c>
      <x:c r="S735" s="3" t="b">
        <x:v>0</x:v>
      </x:c>
      <x:c r="T735" s="3" t="b">
        <x:v>0</x:v>
      </x:c>
      <x:c r="U735" s="2" t="str">
        <x:f>IF(T735=TRUE,"Priority review",IF(R735=TRUE,"High cost",IF(S735=TRUE,"Low quality","Benchmark")))</x:f>
        <x:v>Benchmark</x:v>
      </x:c>
    </x:row>
    <x:row r="736">
      <x:c r="A736" s="2" t="str">
        <x:v>181322</x:v>
      </x:c>
      <x:c r="B736" s="2" t="str">
        <x:v>CALDWELL MEDICAL CENTER</x:v>
      </x:c>
      <x:c r="C736" s="2" t="str">
        <x:v>PRINCETON</x:v>
      </x:c>
      <x:c r="D736" s="2" t="str">
        <x:v>KY</x:v>
      </x:c>
      <x:c r="E736" s="2" t="str">
        <x:v>Critical Access Hospitals</x:v>
      </x:c>
      <x:c r="F736" s="2" t="str">
        <x:v>Voluntary non-profit</x:v>
      </x:c>
      <x:c r="G736" s="2" t="str">
        <x:v>Small (&lt;100 beds)</x:v>
      </x:c>
      <x:c r="H736" s="7"/>
      <x:c r="I736" s="7"/>
      <x:c r="J736" s="7"/>
      <x:c r="K736" s="8" t="n">
        <x:v>25</x:v>
      </x:c>
      <x:c r="L736" s="8" t="n">
        <x:v>109</x:v>
      </x:c>
      <x:c r="M736" s="9" t="n">
        <x:v>0.2037260274</x:v>
      </x:c>
      <x:c r="N736" s="10" t="n">
        <x:v>282412.3027522936</x:v>
      </x:c>
      <x:c r="O736" s="9" t="n">
        <x:v>-0.013796959</x:v>
      </x:c>
      <x:c r="P736" s="9" t="n">
        <x:v>0.8520446097</x:v>
      </x:c>
      <x:c r="Q736" s="9" t="n">
        <x:v>0.292936803</x:v>
      </x:c>
      <x:c r="R736" s="3" t="b">
        <x:v>0</x:v>
      </x:c>
      <x:c r="S736" s="3" t="b">
        <x:v>0</x:v>
      </x:c>
      <x:c r="T736" s="3" t="b">
        <x:v>0</x:v>
      </x:c>
      <x:c r="U736" s="2" t="str">
        <x:f>IF(T736=TRUE,"Priority review",IF(R736=TRUE,"High cost",IF(S736=TRUE,"Low quality","Benchmark")))</x:f>
        <x:v>Benchmark</x:v>
      </x:c>
    </x:row>
    <x:row r="737">
      <x:c r="A737" s="2" t="str">
        <x:v>050714</x:v>
      </x:c>
      <x:c r="B737" s="2" t="str">
        <x:v>SUTTER MATERNITY &amp; SURGERY CENTER OF SANTA CRUZ</x:v>
      </x:c>
      <x:c r="C737" s="2" t="str">
        <x:v>SANTA CRUZ</x:v>
      </x:c>
      <x:c r="D737" s="2" t="str">
        <x:v>CA</x:v>
      </x:c>
      <x:c r="E737" s="2" t="str">
        <x:v>Acute Care Hospitals</x:v>
      </x:c>
      <x:c r="F737" s="2" t="str">
        <x:v>Voluntary non-profit</x:v>
      </x:c>
      <x:c r="G737" s="2" t="str">
        <x:v>Small (&lt;100 beds)</x:v>
      </x:c>
      <x:c r="H737" s="7"/>
      <x:c r="I737" s="7" t="n">
        <x:v>4</x:v>
      </x:c>
      <x:c r="J737" s="7" t="n">
        <x:v>0.86</x:v>
      </x:c>
      <x:c r="K737" s="8" t="n">
        <x:v>28</x:v>
      </x:c>
      <x:c r="L737" s="8" t="n">
        <x:v>787</x:v>
      </x:c>
      <x:c r="M737" s="9" t="n">
        <x:v>0.2660031226</x:v>
      </x:c>
      <x:c r="N737" s="10" t="n">
        <x:v>115923.0254129606</x:v>
      </x:c>
      <x:c r="O737" s="9" t="n">
        <x:v>0.0202432021</x:v>
      </x:c>
      <x:c r="P737" s="9" t="n">
        <x:v>0.8518850987</x:v>
      </x:c>
      <x:c r="Q737" s="9" t="n">
        <x:v>0.697486535</x:v>
      </x:c>
      <x:c r="R737" s="3" t="b">
        <x:v>0</x:v>
      </x:c>
      <x:c r="S737" s="3" t="b">
        <x:v>0</x:v>
      </x:c>
      <x:c r="T737" s="3" t="b">
        <x:v>0</x:v>
      </x:c>
      <x:c r="U737" s="2" t="str">
        <x:f>IF(T737=TRUE,"Priority review",IF(R737=TRUE,"High cost",IF(S737=TRUE,"Low quality","Benchmark")))</x:f>
        <x:v>Benchmark</x:v>
      </x:c>
    </x:row>
    <x:row r="738">
      <x:c r="A738" s="2" t="str">
        <x:v>453300</x:v>
      </x:c>
      <x:c r="B738" s="2" t="str">
        <x:v>COOK CHILDRENS MEDICAL CENTER</x:v>
      </x:c>
      <x:c r="C738" s="2" t="str">
        <x:v>FORT WORTH</x:v>
      </x:c>
      <x:c r="D738" s="2" t="str">
        <x:v>TX</x:v>
      </x:c>
      <x:c r="E738" s="2" t="str">
        <x:v>Childrens</x:v>
      </x:c>
      <x:c r="F738" s="2" t="str">
        <x:v>Voluntary non-profit</x:v>
      </x:c>
      <x:c r="G738" s="2" t="str">
        <x:v>Large (300+ beds)</x:v>
      </x:c>
      <x:c r="H738" s="7"/>
      <x:c r="I738" s="7"/>
      <x:c r="J738" s="7"/>
      <x:c r="K738" s="8" t="n">
        <x:v>453</x:v>
      </x:c>
      <x:c r="L738" s="8" t="n">
        <x:v>10380</x:v>
      </x:c>
      <x:c r="M738" s="9" t="n">
        <x:v>0.5403269623</x:v>
      </x:c>
      <x:c r="N738" s="10" t="n">
        <x:v>158476.2636801541</x:v>
      </x:c>
      <x:c r="O738" s="9" t="n">
        <x:v>0.1195560204</x:v>
      </x:c>
      <x:c r="P738" s="9" t="n">
        <x:v>0.8518518519</x:v>
      </x:c>
      <x:c r="Q738" s="9" t="n">
        <x:v>0</x:v>
      </x:c>
      <x:c r="R738" s="3" t="b">
        <x:v>0</x:v>
      </x:c>
      <x:c r="S738" s="3" t="b">
        <x:v>0</x:v>
      </x:c>
      <x:c r="T738" s="3" t="b">
        <x:v>0</x:v>
      </x:c>
      <x:c r="U738" s="2" t="str">
        <x:f>IF(T738=TRUE,"Priority review",IF(R738=TRUE,"High cost",IF(S738=TRUE,"Low quality","Benchmark")))</x:f>
        <x:v>Benchmark</x:v>
      </x:c>
    </x:row>
    <x:row r="739">
      <x:c r="A739" s="2" t="str">
        <x:v>330393</x:v>
      </x:c>
      <x:c r="B739" s="2" t="str">
        <x:v>SUNY/STONY BROOK UNIVERSITY HOSPITAL</x:v>
      </x:c>
      <x:c r="C739" s="2" t="str">
        <x:v>STONY BROOK</x:v>
      </x:c>
      <x:c r="D739" s="2" t="str">
        <x:v>NY</x:v>
      </x:c>
      <x:c r="E739" s="2" t="str">
        <x:v>Acute Care Hospitals</x:v>
      </x:c>
      <x:c r="F739" s="2" t="str">
        <x:v>Government</x:v>
      </x:c>
      <x:c r="G739" s="2" t="str">
        <x:v>Large (300+ beds)</x:v>
      </x:c>
      <x:c r="H739" s="7" t="n">
        <x:v>5</x:v>
      </x:c>
      <x:c r="I739" s="7" t="n">
        <x:v>3</x:v>
      </x:c>
      <x:c r="J739" s="7" t="n">
        <x:v>1.03</x:v>
      </x:c>
      <x:c r="K739" s="8" t="n">
        <x:v>725</x:v>
      </x:c>
      <x:c r="L739" s="8" t="n">
        <x:v>37659</x:v>
      </x:c>
      <x:c r="M739" s="9" t="n">
        <x:v>0.858387036</x:v>
      </x:c>
      <x:c r="N739" s="10" t="n">
        <x:v>65655.639687724</x:v>
      </x:c>
      <x:c r="O739" s="9" t="n">
        <x:v>-0.1456641036</x:v>
      </x:c>
      <x:c r="P739" s="9" t="n">
        <x:v>0.8517350158</x:v>
      </x:c>
      <x:c r="Q739" s="9" t="n">
        <x:v>0.8722397476</x:v>
      </x:c>
      <x:c r="R739" s="3" t="b">
        <x:v>0</x:v>
      </x:c>
      <x:c r="S739" s="3" t="b">
        <x:v>0</x:v>
      </x:c>
      <x:c r="T739" s="3" t="b">
        <x:v>0</x:v>
      </x:c>
      <x:c r="U739" s="2" t="str">
        <x:f>IF(T739=TRUE,"Priority review",IF(R739=TRUE,"High cost",IF(S739=TRUE,"Low quality","Benchmark")))</x:f>
        <x:v>Benchmark</x:v>
      </x:c>
    </x:row>
    <x:row r="740">
      <x:c r="A740" s="2" t="str">
        <x:v>170020</x:v>
      </x:c>
      <x:c r="B740" s="2" t="str">
        <x:v>HUTCHINSON REGIONAL MEDICAL CENTER INC</x:v>
      </x:c>
      <x:c r="C740" s="2" t="str">
        <x:v>HUTCHINSON</x:v>
      </x:c>
      <x:c r="D740" s="2" t="str">
        <x:v>KS</x:v>
      </x:c>
      <x:c r="E740" s="2" t="str">
        <x:v>Acute Care Hospitals</x:v>
      </x:c>
      <x:c r="F740" s="2" t="str">
        <x:v>Voluntary non-profit</x:v>
      </x:c>
      <x:c r="G740" s="2" t="str">
        <x:v>Medium (100-299 beds)</x:v>
      </x:c>
      <x:c r="H740" s="7" t="n">
        <x:v>2</x:v>
      </x:c>
      <x:c r="I740" s="7" t="n">
        <x:v>3</x:v>
      </x:c>
      <x:c r="J740" s="7" t="n">
        <x:v>0.95</x:v>
      </x:c>
      <x:c r="K740" s="8" t="n">
        <x:v>142</x:v>
      </x:c>
      <x:c r="L740" s="8" t="n">
        <x:v>4466</x:v>
      </x:c>
      <x:c r="M740" s="9" t="n">
        <x:v>0.3696121937</x:v>
      </x:c>
      <x:c r="N740" s="10" t="n">
        <x:v>55013.9673085535</x:v>
      </x:c>
      <x:c r="O740" s="9" t="n">
        <x:v>-0.1848640129</x:v>
      </x:c>
      <x:c r="P740" s="9" t="n">
        <x:v>0.8516707416</x:v>
      </x:c>
      <x:c r="Q740" s="9" t="n">
        <x:v>0.0782396088</x:v>
      </x:c>
      <x:c r="R740" s="3" t="b">
        <x:v>0</x:v>
      </x:c>
      <x:c r="S740" s="3" t="b">
        <x:v>1</x:v>
      </x:c>
      <x:c r="T740" s="3" t="b">
        <x:v>0</x:v>
      </x:c>
      <x:c r="U740" s="2" t="str">
        <x:f>IF(T740=TRUE,"Priority review",IF(R740=TRUE,"High cost",IF(S740=TRUE,"Low quality","Benchmark")))</x:f>
        <x:v>Low quality</x:v>
      </x:c>
    </x:row>
    <x:row r="741">
      <x:c r="A741" s="2" t="str">
        <x:v>161380</x:v>
      </x:c>
      <x:c r="B741" s="2" t="str">
        <x:v>HANSEN FAMILY HOSPITAL</x:v>
      </x:c>
      <x:c r="C741" s="2" t="str">
        <x:v>IOWA FALLS</x:v>
      </x:c>
      <x:c r="D741" s="2" t="str">
        <x:v>IA</x:v>
      </x:c>
      <x:c r="E741" s="2" t="str">
        <x:v>Critical Access Hospitals</x:v>
      </x:c>
      <x:c r="F741" s="2" t="str">
        <x:v>Government</x:v>
      </x:c>
      <x:c r="G741" s="2" t="str">
        <x:v>Small (&lt;100 beds)</x:v>
      </x:c>
      <x:c r="H741" s="7"/>
      <x:c r="I741" s="7"/>
      <x:c r="J741" s="7"/>
      <x:c r="K741" s="8" t="n">
        <x:v>17</x:v>
      </x:c>
      <x:c r="L741" s="8" t="n">
        <x:v>129</x:v>
      </x:c>
      <x:c r="M741" s="9" t="n">
        <x:v>0.2340048348</x:v>
      </x:c>
      <x:c r="N741" s="10" t="n">
        <x:v>281335.6046511628</x:v>
      </x:c>
      <x:c r="O741" s="9" t="n">
        <x:v>0.0694858618</x:v>
      </x:c>
      <x:c r="P741" s="9" t="n">
        <x:v>0.8513011152</x:v>
      </x:c>
      <x:c r="Q741" s="9" t="n">
        <x:v>0.292936803</x:v>
      </x:c>
      <x:c r="R741" s="3" t="b">
        <x:v>0</x:v>
      </x:c>
      <x:c r="S741" s="3" t="b">
        <x:v>0</x:v>
      </x:c>
      <x:c r="T741" s="3" t="b">
        <x:v>0</x:v>
      </x:c>
      <x:c r="U741" s="2" t="str">
        <x:f>IF(T741=TRUE,"Priority review",IF(R741=TRUE,"High cost",IF(S741=TRUE,"Low quality","Benchmark")))</x:f>
        <x:v>Benchmark</x:v>
      </x:c>
    </x:row>
    <x:row r="742">
      <x:c r="A742" s="2" t="str">
        <x:v>494010</x:v>
      </x:c>
      <x:c r="B742" s="2" t="str">
        <x:v>NORTHERN VIRGINIA MENTAL HEALTH INSTI</x:v>
      </x:c>
      <x:c r="C742" s="2" t="str">
        <x:v>FALLS CHURCH</x:v>
      </x:c>
      <x:c r="D742" s="2" t="str">
        <x:v>VA</x:v>
      </x:c>
      <x:c r="E742" s="2" t="str">
        <x:v>Psychiatric</x:v>
      </x:c>
      <x:c r="F742" s="2" t="str">
        <x:v>Government</x:v>
      </x:c>
      <x:c r="G742" s="2" t="str">
        <x:v>Small (&lt;100 beds)</x:v>
      </x:c>
      <x:c r="H742" s="7"/>
      <x:c r="I742" s="7"/>
      <x:c r="J742" s="7"/>
      <x:c r="K742" s="8" t="n">
        <x:v>94</x:v>
      </x:c>
      <x:c r="L742" s="8" t="n">
        <x:v>711</x:v>
      </x:c>
      <x:c r="M742" s="9" t="n">
        <x:v>0.9713494608</x:v>
      </x:c>
      <x:c r="N742" s="10" t="n">
        <x:v>85986.8832630098</x:v>
      </x:c>
      <x:c r="O742" s="9" t="n">
        <x:v>-6.9969467634</x:v>
      </x:c>
      <x:c r="P742" s="9" t="n">
        <x:v>0.8511326861</x:v>
      </x:c>
      <x:c r="Q742" s="9" t="n">
        <x:v>0</x:v>
      </x:c>
      <x:c r="R742" s="3" t="b">
        <x:v>0</x:v>
      </x:c>
      <x:c r="S742" s="3" t="b">
        <x:v>0</x:v>
      </x:c>
      <x:c r="T742" s="3" t="b">
        <x:v>0</x:v>
      </x:c>
      <x:c r="U742" s="2" t="str">
        <x:f>IF(T742=TRUE,"Priority review",IF(R742=TRUE,"High cost",IF(S742=TRUE,"Low quality","Benchmark")))</x:f>
        <x:v>Benchmark</x:v>
      </x:c>
    </x:row>
    <x:row r="743">
      <x:c r="A743" s="2" t="str">
        <x:v>670049</x:v>
      </x:c>
      <x:c r="B743" s="2" t="str">
        <x:v>NORTH CENTRAL SURGICAL CENTER LLP</x:v>
      </x:c>
      <x:c r="C743" s="2" t="str">
        <x:v>DALLAS</x:v>
      </x:c>
      <x:c r="D743" s="2" t="str">
        <x:v>TX</x:v>
      </x:c>
      <x:c r="E743" s="2" t="str">
        <x:v>Acute Care Hospitals</x:v>
      </x:c>
      <x:c r="F743" s="2" t="str">
        <x:v>Voluntary non-profit</x:v>
      </x:c>
      <x:c r="G743" s="2" t="str">
        <x:v>Small (&lt;100 beds)</x:v>
      </x:c>
      <x:c r="H743" s="7"/>
      <x:c r="I743" s="7" t="n">
        <x:v>4</x:v>
      </x:c>
      <x:c r="J743" s="7" t="n">
        <x:v>0.88</x:v>
      </x:c>
      <x:c r="K743" s="8" t="n">
        <x:v>24</x:v>
      </x:c>
      <x:c r="L743" s="8" t="n">
        <x:v>935</x:v>
      </x:c>
      <x:c r="M743" s="9" t="n">
        <x:v>0.233151184</x:v>
      </x:c>
      <x:c r="N743" s="10" t="n">
        <x:v>113498.2406417112</x:v>
      </x:c>
      <x:c r="O743" s="9" t="n">
        <x:v>0.3285076569</x:v>
      </x:c>
      <x:c r="P743" s="9" t="n">
        <x:v>0.8509874327</x:v>
      </x:c>
      <x:c r="Q743" s="9" t="n">
        <x:v>0.697486535</x:v>
      </x:c>
      <x:c r="R743" s="3" t="b">
        <x:v>0</x:v>
      </x:c>
      <x:c r="S743" s="3" t="b">
        <x:v>0</x:v>
      </x:c>
      <x:c r="T743" s="3" t="b">
        <x:v>0</x:v>
      </x:c>
      <x:c r="U743" s="2" t="str">
        <x:f>IF(T743=TRUE,"Priority review",IF(R743=TRUE,"High cost",IF(S743=TRUE,"Low quality","Benchmark")))</x:f>
        <x:v>Benchmark</x:v>
      </x:c>
    </x:row>
    <x:row r="744">
      <x:c r="A744" s="2" t="str">
        <x:v>490077</x:v>
      </x:c>
      <x:c r="B744" s="2" t="str">
        <x:v>SENTARA MARTHA JEFFERSON HOSPITAL</x:v>
      </x:c>
      <x:c r="C744" s="2" t="str">
        <x:v>CHARLOTTESVILLE</x:v>
      </x:c>
      <x:c r="D744" s="2" t="str">
        <x:v>VA</x:v>
      </x:c>
      <x:c r="E744" s="2" t="str">
        <x:v>Acute Care Hospitals</x:v>
      </x:c>
      <x:c r="F744" s="2" t="str">
        <x:v>Voluntary non-profit</x:v>
      </x:c>
      <x:c r="G744" s="2" t="str">
        <x:v>Medium (100-299 beds)</x:v>
      </x:c>
      <x:c r="H744" s="7" t="n">
        <x:v>4</x:v>
      </x:c>
      <x:c r="I744" s="7" t="n">
        <x:v>4</x:v>
      </x:c>
      <x:c r="J744" s="7" t="n">
        <x:v>0.92</x:v>
      </x:c>
      <x:c r="K744" s="8" t="n">
        <x:v>153</x:v>
      </x:c>
      <x:c r="L744" s="8" t="n">
        <x:v>7815</x:v>
      </x:c>
      <x:c r="M744" s="9" t="n">
        <x:v>0.5816457731</x:v>
      </x:c>
      <x:c r="N744" s="10" t="n">
        <x:v>54888.4595009597</x:v>
      </x:c>
      <x:c r="O744" s="9" t="n">
        <x:v>-0.0786438043</x:v>
      </x:c>
      <x:c r="P744" s="9" t="n">
        <x:v>0.8508557457</x:v>
      </x:c>
      <x:c r="Q744" s="9" t="n">
        <x:v>0.6022819886</x:v>
      </x:c>
      <x:c r="R744" s="3" t="b">
        <x:v>0</x:v>
      </x:c>
      <x:c r="S744" s="3" t="b">
        <x:v>0</x:v>
      </x:c>
      <x:c r="T744" s="3" t="b">
        <x:v>0</x:v>
      </x:c>
      <x:c r="U744" s="2" t="str">
        <x:f>IF(T744=TRUE,"Priority review",IF(R744=TRUE,"High cost",IF(S744=TRUE,"Low quality","Benchmark")))</x:f>
        <x:v>Benchmark</x:v>
      </x:c>
    </x:row>
    <x:row r="745">
      <x:c r="A745" s="2" t="str">
        <x:v>154008</x:v>
      </x:c>
      <x:c r="B745" s="2" t="str">
        <x:v>NEURODIAGNOSTIC INSTITUTE</x:v>
      </x:c>
      <x:c r="C745" s="2" t="str">
        <x:v>INDIANAPOLIS</x:v>
      </x:c>
      <x:c r="D745" s="2" t="str">
        <x:v>IN</x:v>
      </x:c>
      <x:c r="E745" s="2" t="str">
        <x:v>Psychiatric</x:v>
      </x:c>
      <x:c r="F745" s="2" t="str">
        <x:v>Government</x:v>
      </x:c>
      <x:c r="G745" s="2" t="str">
        <x:v>Medium (100-299 beds)</x:v>
      </x:c>
      <x:c r="H745" s="7"/>
      <x:c r="I745" s="7"/>
      <x:c r="J745" s="7"/>
      <x:c r="K745" s="8" t="n">
        <x:v>159</x:v>
      </x:c>
      <x:c r="L745" s="8" t="n">
        <x:v>342</x:v>
      </x:c>
      <x:c r="M745" s="9" t="n">
        <x:v>0.6883432411</x:v>
      </x:c>
      <x:c r="N745" s="10" t="n">
        <x:v>129460.6198830409</x:v>
      </x:c>
      <x:c r="O745" s="9" t="n">
        <x:v>-0.9773660737</x:v>
      </x:c>
      <x:c r="P745" s="9" t="n">
        <x:v>0.8507462687</x:v>
      </x:c>
      <x:c r="Q745" s="9" t="n">
        <x:v>0</x:v>
      </x:c>
      <x:c r="R745" s="3" t="b">
        <x:v>0</x:v>
      </x:c>
      <x:c r="S745" s="3" t="b">
        <x:v>0</x:v>
      </x:c>
      <x:c r="T745" s="3" t="b">
        <x:v>0</x:v>
      </x:c>
      <x:c r="U745" s="2" t="str">
        <x:f>IF(T745=TRUE,"Priority review",IF(R745=TRUE,"High cost",IF(S745=TRUE,"Low quality","Benchmark")))</x:f>
        <x:v>Benchmark</x:v>
      </x:c>
    </x:row>
    <x:row r="746">
      <x:c r="A746" s="2" t="str">
        <x:v>191316</x:v>
      </x:c>
      <x:c r="B746" s="2" t="str">
        <x:v>POINTE COUPEE GENERAL HOSPITAL</x:v>
      </x:c>
      <x:c r="C746" s="2" t="str">
        <x:v>NEW ROADS</x:v>
      </x:c>
      <x:c r="D746" s="2" t="str">
        <x:v>LA</x:v>
      </x:c>
      <x:c r="E746" s="2" t="str">
        <x:v>Critical Access Hospitals</x:v>
      </x:c>
      <x:c r="F746" s="2" t="str">
        <x:v>Government</x:v>
      </x:c>
      <x:c r="G746" s="2" t="str">
        <x:v>Small (&lt;100 beds)</x:v>
      </x:c>
      <x:c r="H746" s="7"/>
      <x:c r="I746" s="7"/>
      <x:c r="J746" s="7"/>
      <x:c r="K746" s="8" t="n">
        <x:v>23</x:v>
      </x:c>
      <x:c r="L746" s="8" t="n">
        <x:v>81</x:v>
      </x:c>
      <x:c r="M746" s="9" t="n">
        <x:v>0.1379187455</x:v>
      </x:c>
      <x:c r="N746" s="10" t="n">
        <x:v>281263.1975308642</x:v>
      </x:c>
      <x:c r="O746" s="9" t="n">
        <x:v>-0.134289435</x:v>
      </x:c>
      <x:c r="P746" s="9" t="n">
        <x:v>0.8505576208</x:v>
      </x:c>
      <x:c r="Q746" s="9" t="n">
        <x:v>0.292936803</x:v>
      </x:c>
      <x:c r="R746" s="3" t="b">
        <x:v>0</x:v>
      </x:c>
      <x:c r="S746" s="3" t="b">
        <x:v>0</x:v>
      </x:c>
      <x:c r="T746" s="3" t="b">
        <x:v>0</x:v>
      </x:c>
      <x:c r="U746" s="2" t="str">
        <x:f>IF(T746=TRUE,"Priority review",IF(R746=TRUE,"High cost",IF(S746=TRUE,"Low quality","Benchmark")))</x:f>
        <x:v>Benchmark</x:v>
      </x:c>
    </x:row>
    <x:row r="747">
      <x:c r="A747" s="2" t="str">
        <x:v>330233</x:v>
      </x:c>
      <x:c r="B747" s="2" t="str">
        <x:v>BROOKDALE HOSPITAL MEDICAL CENTER</x:v>
      </x:c>
      <x:c r="C747" s="2" t="str">
        <x:v>BROOKLYN</x:v>
      </x:c>
      <x:c r="D747" s="2" t="str">
        <x:v>NY</x:v>
      </x:c>
      <x:c r="E747" s="2" t="str">
        <x:v>Acute Care Hospitals</x:v>
      </x:c>
      <x:c r="F747" s="2" t="str">
        <x:v>Voluntary non-profit</x:v>
      </x:c>
      <x:c r="G747" s="2" t="str">
        <x:v>Large (300+ beds)</x:v>
      </x:c>
      <x:c r="H747" s="7" t="n">
        <x:v>1</x:v>
      </x:c>
      <x:c r="I747" s="7" t="n">
        <x:v>1</x:v>
      </x:c>
      <x:c r="J747" s="7" t="n">
        <x:v>1.05</x:v>
      </x:c>
      <x:c r="K747" s="8" t="n">
        <x:v>450</x:v>
      </x:c>
      <x:c r="L747" s="8" t="n">
        <x:v>18673</x:v>
      </x:c>
      <x:c r="M747" s="9" t="n">
        <x:v>0.7345051609</x:v>
      </x:c>
      <x:c r="N747" s="10" t="n">
        <x:v>65591.8685803031</x:v>
      </x:c>
      <x:c r="O747" s="9" t="n">
        <x:v>-0.6522441595</x:v>
      </x:c>
      <x:c r="P747" s="9" t="n">
        <x:v>0.8501577287</x:v>
      </x:c>
      <x:c r="Q747" s="9" t="n">
        <x:v>0</x:v>
      </x:c>
      <x:c r="R747" s="3" t="b">
        <x:v>0</x:v>
      </x:c>
      <x:c r="S747" s="3" t="b">
        <x:v>1</x:v>
      </x:c>
      <x:c r="T747" s="3" t="b">
        <x:v>0</x:v>
      </x:c>
      <x:c r="U747" s="2" t="str">
        <x:f>IF(T747=TRUE,"Priority review",IF(R747=TRUE,"High cost",IF(S747=TRUE,"Low quality","Benchmark")))</x:f>
        <x:v>Low quality</x:v>
      </x:c>
    </x:row>
    <x:row r="748">
      <x:c r="A748" s="2" t="str">
        <x:v>390266</x:v>
      </x:c>
      <x:c r="B748" s="2" t="str">
        <x:v>GROVE CITY MEDICAL CENTER</x:v>
      </x:c>
      <x:c r="C748" s="2" t="str">
        <x:v>GROVE CITY</x:v>
      </x:c>
      <x:c r="D748" s="2" t="str">
        <x:v>PA</x:v>
      </x:c>
      <x:c r="E748" s="2" t="str">
        <x:v>Acute Care Hospitals</x:v>
      </x:c>
      <x:c r="F748" s="2" t="str">
        <x:v>Voluntary non-profit</x:v>
      </x:c>
      <x:c r="G748" s="2" t="str">
        <x:v>Small (&lt;100 beds)</x:v>
      </x:c>
      <x:c r="H748" s="7" t="n">
        <x:v>4</x:v>
      </x:c>
      <x:c r="I748" s="7" t="n">
        <x:v>4</x:v>
      </x:c>
      <x:c r="J748" s="7" t="n">
        <x:v>0.81</x:v>
      </x:c>
      <x:c r="K748" s="8" t="n">
        <x:v>67</x:v>
      </x:c>
      <x:c r="L748" s="8" t="n">
        <x:v>878</x:v>
      </x:c>
      <x:c r="M748" s="9" t="n">
        <x:v>0.1009200572</x:v>
      </x:c>
      <x:c r="N748" s="10" t="n">
        <x:v>113053.7232346242</x:v>
      </x:c>
      <x:c r="O748" s="9" t="n">
        <x:v>-0.1523072429</x:v>
      </x:c>
      <x:c r="P748" s="9" t="n">
        <x:v>0.8500897666</x:v>
      </x:c>
      <x:c r="Q748" s="9" t="n">
        <x:v>0.3913824057</x:v>
      </x:c>
      <x:c r="R748" s="3" t="b">
        <x:v>0</x:v>
      </x:c>
      <x:c r="S748" s="3" t="b">
        <x:v>0</x:v>
      </x:c>
      <x:c r="T748" s="3" t="b">
        <x:v>0</x:v>
      </x:c>
      <x:c r="U748" s="2" t="str">
        <x:f>IF(T748=TRUE,"Priority review",IF(R748=TRUE,"High cost",IF(S748=TRUE,"Low quality","Benchmark")))</x:f>
        <x:v>Benchmark</x:v>
      </x:c>
    </x:row>
    <x:row r="749">
      <x:c r="A749" s="2" t="str">
        <x:v>050424</x:v>
      </x:c>
      <x:c r="B749" s="2" t="str">
        <x:v>SCRIPPS GREEN HOSPITAL</x:v>
      </x:c>
      <x:c r="C749" s="2" t="str">
        <x:v>LA JOLLA</x:v>
      </x:c>
      <x:c r="D749" s="2" t="str">
        <x:v>CA</x:v>
      </x:c>
      <x:c r="E749" s="2" t="str">
        <x:v>Acute Care Hospitals</x:v>
      </x:c>
      <x:c r="F749" s="2" t="str">
        <x:v>Voluntary non-profit</x:v>
      </x:c>
      <x:c r="G749" s="2" t="str">
        <x:v>Medium (100-299 beds)</x:v>
      </x:c>
      <x:c r="H749" s="7" t="n">
        <x:v>5</x:v>
      </x:c>
      <x:c r="I749" s="7" t="n">
        <x:v>5</x:v>
      </x:c>
      <x:c r="J749" s="7" t="n">
        <x:v>0.92</x:v>
      </x:c>
      <x:c r="K749" s="8" t="n">
        <x:v>150</x:v>
      </x:c>
      <x:c r="L749" s="8" t="n">
        <x:v>7097</x:v>
      </x:c>
      <x:c r="M749" s="9" t="n">
        <x:v>0.5852641166</x:v>
      </x:c>
      <x:c r="N749" s="10" t="n">
        <x:v>54867.6878962942</x:v>
      </x:c>
      <x:c r="O749" s="9" t="n">
        <x:v>0.1709017382</x:v>
      </x:c>
      <x:c r="P749" s="9" t="n">
        <x:v>0.8500407498</x:v>
      </x:c>
      <x:c r="Q749" s="9" t="n">
        <x:v>0.8744906275</x:v>
      </x:c>
      <x:c r="R749" s="3" t="b">
        <x:v>0</x:v>
      </x:c>
      <x:c r="S749" s="3" t="b">
        <x:v>0</x:v>
      </x:c>
      <x:c r="T749" s="3" t="b">
        <x:v>0</x:v>
      </x:c>
      <x:c r="U749" s="2" t="str">
        <x:f>IF(T749=TRUE,"Priority review",IF(R749=TRUE,"High cost",IF(S749=TRUE,"Low quality","Benchmark")))</x:f>
        <x:v>Benchmark</x:v>
      </x:c>
    </x:row>
    <x:row r="750">
      <x:c r="A750" s="2" t="str">
        <x:v>151314</x:v>
      </x:c>
      <x:c r="B750" s="2" t="str">
        <x:v>ASCENSION ST VINCENT SALEM</x:v>
      </x:c>
      <x:c r="C750" s="2" t="str">
        <x:v>SALEM</x:v>
      </x:c>
      <x:c r="D750" s="2" t="str">
        <x:v>IN</x:v>
      </x:c>
      <x:c r="E750" s="2" t="str">
        <x:v>Critical Access Hospitals</x:v>
      </x:c>
      <x:c r="F750" s="2" t="str">
        <x:v>Voluntary non-profit</x:v>
      </x:c>
      <x:c r="G750" s="2" t="str">
        <x:v>Small (&lt;100 beds)</x:v>
      </x:c>
      <x:c r="H750" s="7"/>
      <x:c r="I750" s="7"/>
      <x:c r="J750" s="7"/>
      <x:c r="K750" s="8" t="n">
        <x:v>25</x:v>
      </x:c>
      <x:c r="L750" s="8" t="n">
        <x:v>73</x:v>
      </x:c>
      <x:c r="M750" s="9" t="n">
        <x:v>0.053369863</x:v>
      </x:c>
      <x:c r="N750" s="10" t="n">
        <x:v>281026.7123287671</x:v>
      </x:c>
      <x:c r="O750" s="9" t="n">
        <x:v>-0.0161674795</x:v>
      </x:c>
      <x:c r="P750" s="9" t="n">
        <x:v>0.8498141264</x:v>
      </x:c>
      <x:c r="Q750" s="9" t="n">
        <x:v>0.292936803</x:v>
      </x:c>
      <x:c r="R750" s="3" t="b">
        <x:v>0</x:v>
      </x:c>
      <x:c r="S750" s="3" t="b">
        <x:v>0</x:v>
      </x:c>
      <x:c r="T750" s="3" t="b">
        <x:v>0</x:v>
      </x:c>
      <x:c r="U750" s="2" t="str">
        <x:f>IF(T750=TRUE,"Priority review",IF(R750=TRUE,"High cost",IF(S750=TRUE,"Low quality","Benchmark")))</x:f>
        <x:v>Benchmark</x:v>
      </x:c>
    </x:row>
    <x:row r="751">
      <x:c r="A751" s="2" t="str">
        <x:v>310118</x:v>
      </x:c>
      <x:c r="B751" s="2" t="str">
        <x:v>HUDSON REGIONAL HOSPITAL</x:v>
      </x:c>
      <x:c r="C751" s="2" t="str">
        <x:v>SECAUCUS</x:v>
      </x:c>
      <x:c r="D751" s="2" t="str">
        <x:v>NJ</x:v>
      </x:c>
      <x:c r="E751" s="2" t="str">
        <x:v>Acute Care Hospitals</x:v>
      </x:c>
      <x:c r="F751" s="2" t="str">
        <x:v>Proprietary</x:v>
      </x:c>
      <x:c r="G751" s="2" t="str">
        <x:v>Medium (100-299 beds)</x:v>
      </x:c>
      <x:c r="H751" s="7" t="n">
        <x:v>2</x:v>
      </x:c>
      <x:c r="I751" s="7" t="n">
        <x:v>2</x:v>
      </x:c>
      <x:c r="J751" s="7" t="n">
        <x:v>1.11</x:v>
      </x:c>
      <x:c r="K751" s="8" t="n">
        <x:v>102</x:v>
      </x:c>
      <x:c r="L751" s="8" t="n">
        <x:v>3440</x:v>
      </x:c>
      <x:c r="M751" s="9" t="n">
        <x:v>0.3416666667</x:v>
      </x:c>
      <x:c r="N751" s="10" t="n">
        <x:v>54739.536627907</x:v>
      </x:c>
      <x:c r="O751" s="9" t="n">
        <x:v>0.1521212049</x:v>
      </x:c>
      <x:c r="P751" s="9" t="n">
        <x:v>0.8492257539</x:v>
      </x:c>
      <x:c r="Q751" s="9" t="n">
        <x:v>0.0782396088</x:v>
      </x:c>
      <x:c r="R751" s="3" t="b">
        <x:v>0</x:v>
      </x:c>
      <x:c r="S751" s="3" t="b">
        <x:v>1</x:v>
      </x:c>
      <x:c r="T751" s="3" t="b">
        <x:v>0</x:v>
      </x:c>
      <x:c r="U751" s="2" t="str">
        <x:f>IF(T751=TRUE,"Priority review",IF(R751=TRUE,"High cost",IF(S751=TRUE,"Low quality","Benchmark")))</x:f>
        <x:v>Low quality</x:v>
      </x:c>
    </x:row>
    <x:row r="752">
      <x:c r="A752" s="2" t="str">
        <x:v>430098</x:v>
      </x:c>
      <x:c r="B752" s="2" t="str">
        <x:v>PINE RIDGE IHS HOSPITAL</x:v>
      </x:c>
      <x:c r="C752" s="2" t="str">
        <x:v>PINE RIDGE</x:v>
      </x:c>
      <x:c r="D752" s="2" t="str">
        <x:v>SD</x:v>
      </x:c>
      <x:c r="E752" s="2" t="str">
        <x:v>Acute Care Hospitals</x:v>
      </x:c>
      <x:c r="F752" s="2" t="str">
        <x:v>Government</x:v>
      </x:c>
      <x:c r="G752" s="2" t="str">
        <x:v>Small (&lt;100 beds)</x:v>
      </x:c>
      <x:c r="H752" s="7"/>
      <x:c r="I752" s="7"/>
      <x:c r="J752" s="7" t="n">
        <x:v>0.73</x:v>
      </x:c>
      <x:c r="K752" s="8" t="n">
        <x:v>45</x:v>
      </x:c>
      <x:c r="L752" s="8" t="n">
        <x:v>1065</x:v>
      </x:c>
      <x:c r="M752" s="9" t="n">
        <x:v>0.1608986035</x:v>
      </x:c>
      <x:c r="N752" s="10" t="n">
        <x:v>112772.0028169014</x:v>
      </x:c>
      <x:c r="O752" s="9"/>
      <x:c r="P752" s="9" t="n">
        <x:v>0.8491921005</x:v>
      </x:c>
      <x:c r="Q752" s="9" t="n">
        <x:v>0.697486535</x:v>
      </x:c>
      <x:c r="R752" s="3" t="b">
        <x:v>0</x:v>
      </x:c>
      <x:c r="S752" s="3" t="b">
        <x:v>0</x:v>
      </x:c>
      <x:c r="T752" s="3" t="b">
        <x:v>0</x:v>
      </x:c>
      <x:c r="U752" s="2" t="str">
        <x:f>IF(T752=TRUE,"Priority review",IF(R752=TRUE,"High cost",IF(S752=TRUE,"Low quality","Benchmark")))</x:f>
        <x:v>Benchmark</x:v>
      </x:c>
    </x:row>
    <x:row r="753">
      <x:c r="A753" s="2" t="str">
        <x:v>031301</x:v>
      </x:c>
      <x:c r="B753" s="2" t="str">
        <x:v>BENSON HOSPITAL</x:v>
      </x:c>
      <x:c r="C753" s="2" t="str">
        <x:v>BENSON</x:v>
      </x:c>
      <x:c r="D753" s="2" t="str">
        <x:v>AZ</x:v>
      </x:c>
      <x:c r="E753" s="2" t="str">
        <x:v>Critical Access Hospitals</x:v>
      </x:c>
      <x:c r="F753" s="2" t="str">
        <x:v>Voluntary non-profit</x:v>
      </x:c>
      <x:c r="G753" s="2" t="str">
        <x:v>Small (&lt;100 beds)</x:v>
      </x:c>
      <x:c r="H753" s="7"/>
      <x:c r="I753" s="7"/>
      <x:c r="J753" s="7"/>
      <x:c r="K753" s="8" t="n">
        <x:v>22</x:v>
      </x:c>
      <x:c r="L753" s="8" t="n">
        <x:v>95</x:v>
      </x:c>
      <x:c r="M753" s="9" t="n">
        <x:v>0.1500248385</x:v>
      </x:c>
      <x:c r="N753" s="10" t="n">
        <x:v>280889.0105263158</x:v>
      </x:c>
      <x:c r="O753" s="9" t="n">
        <x:v>-0.1245386758</x:v>
      </x:c>
      <x:c r="P753" s="9" t="n">
        <x:v>0.849070632</x:v>
      </x:c>
      <x:c r="Q753" s="9" t="n">
        <x:v>0.292936803</x:v>
      </x:c>
      <x:c r="R753" s="3" t="b">
        <x:v>0</x:v>
      </x:c>
      <x:c r="S753" s="3" t="b">
        <x:v>0</x:v>
      </x:c>
      <x:c r="T753" s="3" t="b">
        <x:v>0</x:v>
      </x:c>
      <x:c r="U753" s="2" t="str">
        <x:f>IF(T753=TRUE,"Priority review",IF(R753=TRUE,"High cost",IF(S753=TRUE,"Low quality","Benchmark")))</x:f>
        <x:v>Benchmark</x:v>
      </x:c>
    </x:row>
    <x:row r="754">
      <x:c r="A754" s="2" t="str">
        <x:v>330194</x:v>
      </x:c>
      <x:c r="B754" s="2" t="str">
        <x:v>MAIMONIDES MEDICAL CENTER</x:v>
      </x:c>
      <x:c r="C754" s="2" t="str">
        <x:v>BROOKLYN</x:v>
      </x:c>
      <x:c r="D754" s="2" t="str">
        <x:v>NY</x:v>
      </x:c>
      <x:c r="E754" s="2" t="str">
        <x:v>Acute Care Hospitals</x:v>
      </x:c>
      <x:c r="F754" s="2" t="str">
        <x:v>Voluntary non-profit</x:v>
      </x:c>
      <x:c r="G754" s="2" t="str">
        <x:v>Large (300+ beds)</x:v>
      </x:c>
      <x:c r="H754" s="7" t="n">
        <x:v>2</x:v>
      </x:c>
      <x:c r="I754" s="7" t="n">
        <x:v>2</x:v>
      </x:c>
      <x:c r="J754" s="7" t="n">
        <x:v>1.07</x:v>
      </x:c>
      <x:c r="K754" s="8" t="n">
        <x:v>641</x:v>
      </x:c>
      <x:c r="L754" s="8" t="n">
        <x:v>28282</x:v>
      </x:c>
      <x:c r="M754" s="9" t="n">
        <x:v>0.8890760221</x:v>
      </x:c>
      <x:c r="N754" s="10" t="n">
        <x:v>65026.9474931052</x:v>
      </x:c>
      <x:c r="O754" s="9" t="n">
        <x:v>-0.4002412267</x:v>
      </x:c>
      <x:c r="P754" s="9" t="n">
        <x:v>0.8485804416</x:v>
      </x:c>
      <x:c r="Q754" s="9" t="n">
        <x:v>0.0536277603</x:v>
      </x:c>
      <x:c r="R754" s="3" t="b">
        <x:v>0</x:v>
      </x:c>
      <x:c r="S754" s="3" t="b">
        <x:v>1</x:v>
      </x:c>
      <x:c r="T754" s="3" t="b">
        <x:v>0</x:v>
      </x:c>
      <x:c r="U754" s="2" t="str">
        <x:f>IF(T754=TRUE,"Priority review",IF(R754=TRUE,"High cost",IF(S754=TRUE,"Low quality","Benchmark")))</x:f>
        <x:v>Low quality</x:v>
      </x:c>
    </x:row>
    <x:row r="755">
      <x:c r="A755" s="2" t="str">
        <x:v>040017</x:v>
      </x:c>
      <x:c r="B755" s="2" t="str">
        <x:v>NORTH ARKANSAS REGIONAL MEDICAL CENTER</x:v>
      </x:c>
      <x:c r="C755" s="2" t="str">
        <x:v>HARRISON</x:v>
      </x:c>
      <x:c r="D755" s="2" t="str">
        <x:v>AR</x:v>
      </x:c>
      <x:c r="E755" s="2" t="str">
        <x:v>Acute Care Hospitals</x:v>
      </x:c>
      <x:c r="F755" s="2" t="str">
        <x:v>Voluntary non-profit</x:v>
      </x:c>
      <x:c r="G755" s="2" t="str">
        <x:v>Medium (100-299 beds)</x:v>
      </x:c>
      <x:c r="H755" s="7" t="n">
        <x:v>2</x:v>
      </x:c>
      <x:c r="I755" s="7" t="n">
        <x:v>3</x:v>
      </x:c>
      <x:c r="J755" s="7" t="n">
        <x:v>1.03</x:v>
      </x:c>
      <x:c r="K755" s="8" t="n">
        <x:v>120</x:v>
      </x:c>
      <x:c r="L755" s="8" t="n">
        <x:v>2028</x:v>
      </x:c>
      <x:c r="M755" s="9" t="n">
        <x:v>0.1625342466</x:v>
      </x:c>
      <x:c r="N755" s="10" t="n">
        <x:v>54394.4585798817</x:v>
      </x:c>
      <x:c r="O755" s="9" t="n">
        <x:v>-0.1344347264</x:v>
      </x:c>
      <x:c r="P755" s="9" t="n">
        <x:v>0.8484107579</x:v>
      </x:c>
      <x:c r="Q755" s="9" t="n">
        <x:v>0.0782396088</x:v>
      </x:c>
      <x:c r="R755" s="3" t="b">
        <x:v>0</x:v>
      </x:c>
      <x:c r="S755" s="3" t="b">
        <x:v>1</x:v>
      </x:c>
      <x:c r="T755" s="3" t="b">
        <x:v>0</x:v>
      </x:c>
      <x:c r="U755" s="2" t="str">
        <x:f>IF(T755=TRUE,"Priority review",IF(R755=TRUE,"High cost",IF(S755=TRUE,"Low quality","Benchmark")))</x:f>
        <x:v>Low quality</x:v>
      </x:c>
    </x:row>
    <x:row r="756">
      <x:c r="A756" s="2" t="str">
        <x:v>351313</x:v>
      </x:c>
      <x:c r="B756" s="2" t="str">
        <x:v>SOUTHWEST HEALTHCARE SERVICES</x:v>
      </x:c>
      <x:c r="C756" s="2" t="str">
        <x:v>BOWMAN</x:v>
      </x:c>
      <x:c r="D756" s="2" t="str">
        <x:v>ND</x:v>
      </x:c>
      <x:c r="E756" s="2" t="str">
        <x:v>Critical Access Hospitals</x:v>
      </x:c>
      <x:c r="F756" s="2" t="str">
        <x:v>Voluntary non-profit</x:v>
      </x:c>
      <x:c r="G756" s="2" t="str">
        <x:v>Small (&lt;100 beds)</x:v>
      </x:c>
      <x:c r="H756" s="7"/>
      <x:c r="I756" s="7"/>
      <x:c r="J756" s="7"/>
      <x:c r="K756" s="8" t="n">
        <x:v>35</x:v>
      </x:c>
      <x:c r="L756" s="8" t="n">
        <x:v>66</x:v>
      </x:c>
      <x:c r="M756" s="9" t="n">
        <x:v>0.7586260734</x:v>
      </x:c>
      <x:c r="N756" s="10" t="n">
        <x:v>280088.3939393939</x:v>
      </x:c>
      <x:c r="O756" s="9" t="n">
        <x:v>-0.2612345445</x:v>
      </x:c>
      <x:c r="P756" s="9" t="n">
        <x:v>0.8483271375</x:v>
      </x:c>
      <x:c r="Q756" s="9" t="n">
        <x:v>0.292936803</x:v>
      </x:c>
      <x:c r="R756" s="3" t="b">
        <x:v>0</x:v>
      </x:c>
      <x:c r="S756" s="3" t="b">
        <x:v>0</x:v>
      </x:c>
      <x:c r="T756" s="3" t="b">
        <x:v>0</x:v>
      </x:c>
      <x:c r="U756" s="2" t="str">
        <x:f>IF(T756=TRUE,"Priority review",IF(R756=TRUE,"High cost",IF(S756=TRUE,"Low quality","Benchmark")))</x:f>
        <x:v>Benchmark</x:v>
      </x:c>
    </x:row>
    <x:row r="757">
      <x:c r="A757" s="2" t="str">
        <x:v>450055</x:v>
      </x:c>
      <x:c r="B757" s="2" t="str">
        <x:v>ROLLING PLAINS MEMORIAL HOSPITAL</x:v>
      </x:c>
      <x:c r="C757" s="2" t="str">
        <x:v>SWEETWATER</x:v>
      </x:c>
      <x:c r="D757" s="2" t="str">
        <x:v>TX</x:v>
      </x:c>
      <x:c r="E757" s="2" t="str">
        <x:v>Acute Care Hospitals</x:v>
      </x:c>
      <x:c r="F757" s="2" t="str">
        <x:v>Government</x:v>
      </x:c>
      <x:c r="G757" s="2" t="str">
        <x:v>Small (&lt;100 beds)</x:v>
      </x:c>
      <x:c r="H757" s="7"/>
      <x:c r="I757" s="7" t="n">
        <x:v>4</x:v>
      </x:c>
      <x:c r="J757" s="7" t="n">
        <x:v>1.08</x:v>
      </x:c>
      <x:c r="K757" s="8" t="n">
        <x:v>40</x:v>
      </x:c>
      <x:c r="L757" s="8" t="n">
        <x:v>462</x:v>
      </x:c>
      <x:c r="M757" s="9" t="n">
        <x:v>0.2131506849</x:v>
      </x:c>
      <x:c r="N757" s="10" t="n">
        <x:v>112098.3571428571</x:v>
      </x:c>
      <x:c r="O757" s="9" t="n">
        <x:v>-0.7114679438</x:v>
      </x:c>
      <x:c r="P757" s="9" t="n">
        <x:v>0.8482944345</x:v>
      </x:c>
      <x:c r="Q757" s="9" t="n">
        <x:v>0.697486535</x:v>
      </x:c>
      <x:c r="R757" s="3" t="b">
        <x:v>0</x:v>
      </x:c>
      <x:c r="S757" s="3" t="b">
        <x:v>0</x:v>
      </x:c>
      <x:c r="T757" s="3" t="b">
        <x:v>0</x:v>
      </x:c>
      <x:c r="U757" s="2" t="str">
        <x:f>IF(T757=TRUE,"Priority review",IF(R757=TRUE,"High cost",IF(S757=TRUE,"Low quality","Benchmark")))</x:f>
        <x:v>Benchmark</x:v>
      </x:c>
    </x:row>
    <x:row r="758">
      <x:c r="A758" s="2" t="str">
        <x:v>314023</x:v>
      </x:c>
      <x:c r="B758" s="2" t="str">
        <x:v>ASPEN HILLS HEALTHCARE CENTER</x:v>
      </x:c>
      <x:c r="C758" s="2" t="str">
        <x:v>PEMBERTON</x:v>
      </x:c>
      <x:c r="D758" s="2" t="str">
        <x:v>NJ</x:v>
      </x:c>
      <x:c r="E758" s="2" t="str">
        <x:v>Psychiatric</x:v>
      </x:c>
      <x:c r="F758" s="2" t="str">
        <x:v>Proprietary</x:v>
      </x:c>
      <x:c r="G758" s="2" t="str">
        <x:v>Small (&lt;100 beds)</x:v>
      </x:c>
      <x:c r="H758" s="7"/>
      <x:c r="I758" s="7"/>
      <x:c r="J758" s="7"/>
      <x:c r="K758" s="8" t="n">
        <x:v>30</x:v>
      </x:c>
      <x:c r="L758" s="8" t="n">
        <x:v>381</x:v>
      </x:c>
      <x:c r="M758" s="9" t="n">
        <x:v>0.8774134791</x:v>
      </x:c>
      <x:c r="N758" s="10" t="n">
        <x:v>85865.4881889764</x:v>
      </x:c>
      <x:c r="O758" s="9" t="n">
        <x:v>0.0257790388</x:v>
      </x:c>
      <x:c r="P758" s="9" t="n">
        <x:v>0.8478964401</x:v>
      </x:c>
      <x:c r="Q758" s="9" t="n">
        <x:v>0</x:v>
      </x:c>
      <x:c r="R758" s="3" t="b">
        <x:v>0</x:v>
      </x:c>
      <x:c r="S758" s="3" t="b">
        <x:v>0</x:v>
      </x:c>
      <x:c r="T758" s="3" t="b">
        <x:v>0</x:v>
      </x:c>
      <x:c r="U758" s="2" t="str">
        <x:f>IF(T758=TRUE,"Priority review",IF(R758=TRUE,"High cost",IF(S758=TRUE,"Low quality","Benchmark")))</x:f>
        <x:v>Benchmark</x:v>
      </x:c>
    </x:row>
    <x:row r="759">
      <x:c r="A759" s="2" t="str">
        <x:v>670088</x:v>
      </x:c>
      <x:c r="B759" s="2" t="str">
        <x:v>BAYLOR SCOTT &amp; WHITE MEDICAL CENTER- COLLEGE STATI</x:v>
      </x:c>
      <x:c r="C759" s="2" t="str">
        <x:v>COLLEGE STATION</x:v>
      </x:c>
      <x:c r="D759" s="2" t="str">
        <x:v>TX</x:v>
      </x:c>
      <x:c r="E759" s="2" t="str">
        <x:v>Acute Care Hospitals</x:v>
      </x:c>
      <x:c r="F759" s="2" t="str">
        <x:v>Voluntary non-profit</x:v>
      </x:c>
      <x:c r="G759" s="2" t="str">
        <x:v>Medium (100-299 beds)</x:v>
      </x:c>
      <x:c r="H759" s="7" t="n">
        <x:v>4</x:v>
      </x:c>
      <x:c r="I759" s="7" t="n">
        <x:v>4</x:v>
      </x:c>
      <x:c r="J759" s="7" t="n">
        <x:v>0.99</x:v>
      </x:c>
      <x:c r="K759" s="8" t="n">
        <x:v>142</x:v>
      </x:c>
      <x:c r="L759" s="8" t="n">
        <x:v>8832</x:v>
      </x:c>
      <x:c r="M759" s="9" t="n">
        <x:v>0.7727185028</x:v>
      </x:c>
      <x:c r="N759" s="10" t="n">
        <x:v>54334.1667798913</x:v>
      </x:c>
      <x:c r="O759" s="9" t="n">
        <x:v>0.0161372829</x:v>
      </x:c>
      <x:c r="P759" s="9" t="n">
        <x:v>0.847595762</x:v>
      </x:c>
      <x:c r="Q759" s="9" t="n">
        <x:v>0.6022819886</x:v>
      </x:c>
      <x:c r="R759" s="3" t="b">
        <x:v>0</x:v>
      </x:c>
      <x:c r="S759" s="3" t="b">
        <x:v>0</x:v>
      </x:c>
      <x:c r="T759" s="3" t="b">
        <x:v>0</x:v>
      </x:c>
      <x:c r="U759" s="2" t="str">
        <x:f>IF(T759=TRUE,"Priority review",IF(R759=TRUE,"High cost",IF(S759=TRUE,"Low quality","Benchmark")))</x:f>
        <x:v>Benchmark</x:v>
      </x:c>
    </x:row>
    <x:row r="760">
      <x:c r="A760" s="2" t="str">
        <x:v>161336</x:v>
      </x:c>
      <x:c r="B760" s="2" t="str">
        <x:v>HEGG MEMORIAL HEALTH CENTER</x:v>
      </x:c>
      <x:c r="C760" s="2" t="str">
        <x:v>ROCK VALLEY</x:v>
      </x:c>
      <x:c r="D760" s="2" t="str">
        <x:v>IA</x:v>
      </x:c>
      <x:c r="E760" s="2" t="str">
        <x:v>Critical Access Hospitals</x:v>
      </x:c>
      <x:c r="F760" s="2" t="str">
        <x:v>Voluntary non-profit</x:v>
      </x:c>
      <x:c r="G760" s="2" t="str">
        <x:v>Small (&lt;100 beds)</x:v>
      </x:c>
      <x:c r="H760" s="7"/>
      <x:c r="I760" s="7"/>
      <x:c r="J760" s="7"/>
      <x:c r="K760" s="8" t="n">
        <x:v>25</x:v>
      </x:c>
      <x:c r="L760" s="8" t="n">
        <x:v>108</x:v>
      </x:c>
      <x:c r="M760" s="9" t="n">
        <x:v>0.0903013699</x:v>
      </x:c>
      <x:c r="N760" s="10" t="n">
        <x:v>279602.1111111111</x:v>
      </x:c>
      <x:c r="O760" s="9" t="n">
        <x:v>-0.1637684759</x:v>
      </x:c>
      <x:c r="P760" s="9" t="n">
        <x:v>0.8475836431</x:v>
      </x:c>
      <x:c r="Q760" s="9" t="n">
        <x:v>0.292936803</x:v>
      </x:c>
      <x:c r="R760" s="3" t="b">
        <x:v>0</x:v>
      </x:c>
      <x:c r="S760" s="3" t="b">
        <x:v>0</x:v>
      </x:c>
      <x:c r="T760" s="3" t="b">
        <x:v>0</x:v>
      </x:c>
      <x:c r="U760" s="2" t="str">
        <x:f>IF(T760=TRUE,"Priority review",IF(R760=TRUE,"High cost",IF(S760=TRUE,"Low quality","Benchmark")))</x:f>
        <x:v>Benchmark</x:v>
      </x:c>
    </x:row>
    <x:row r="761">
      <x:c r="A761" s="2" t="str">
        <x:v>450774</x:v>
      </x:c>
      <x:c r="B761" s="2" t="str">
        <x:v>TOPS SURGICAL SPECIALTY HOSPITAL</x:v>
      </x:c>
      <x:c r="C761" s="2" t="str">
        <x:v>HOUSTON</x:v>
      </x:c>
      <x:c r="D761" s="2" t="str">
        <x:v>TX</x:v>
      </x:c>
      <x:c r="E761" s="2" t="str">
        <x:v>Acute Care Hospitals</x:v>
      </x:c>
      <x:c r="F761" s="2" t="str">
        <x:v>Other / unknown</x:v>
      </x:c>
      <x:c r="G761" s="2" t="str">
        <x:v>Small (&lt;100 beds)</x:v>
      </x:c>
      <x:c r="H761" s="7"/>
      <x:c r="I761" s="7" t="n">
        <x:v>4</x:v>
      </x:c>
      <x:c r="J761" s="7" t="n">
        <x:v>0.98</x:v>
      </x:c>
      <x:c r="K761" s="8" t="n">
        <x:v>15</x:v>
      </x:c>
      <x:c r="L761" s="8" t="n">
        <x:v>450</x:v>
      </x:c>
      <x:c r="M761" s="9" t="n">
        <x:v>0.1890710383</x:v>
      </x:c>
      <x:c r="N761" s="10" t="n">
        <x:v>112002.9155555556</x:v>
      </x:c>
      <x:c r="O761" s="9" t="n">
        <x:v>0.3195023812</x:v>
      </x:c>
      <x:c r="P761" s="9" t="n">
        <x:v>0.8473967684</x:v>
      </x:c>
      <x:c r="Q761" s="9" t="n">
        <x:v>0.697486535</x:v>
      </x:c>
      <x:c r="R761" s="3" t="b">
        <x:v>0</x:v>
      </x:c>
      <x:c r="S761" s="3" t="b">
        <x:v>0</x:v>
      </x:c>
      <x:c r="T761" s="3" t="b">
        <x:v>0</x:v>
      </x:c>
      <x:c r="U761" s="2" t="str">
        <x:f>IF(T761=TRUE,"Priority review",IF(R761=TRUE,"High cost",IF(S761=TRUE,"Low quality","Benchmark")))</x:f>
        <x:v>Benchmark</x:v>
      </x:c>
    </x:row>
    <x:row r="762">
      <x:c r="A762" s="2" t="str">
        <x:v>010033</x:v>
      </x:c>
      <x:c r="B762" s="2" t="str">
        <x:v>UNIVERSITY OF ALABAMA HOSPITAL</x:v>
      </x:c>
      <x:c r="C762" s="2" t="str">
        <x:v>BIRMINGHAM</x:v>
      </x:c>
      <x:c r="D762" s="2" t="str">
        <x:v>AL</x:v>
      </x:c>
      <x:c r="E762" s="2" t="str">
        <x:v>Acute Care Hospitals</x:v>
      </x:c>
      <x:c r="F762" s="2" t="str">
        <x:v>Government</x:v>
      </x:c>
      <x:c r="G762" s="2" t="str">
        <x:v>Large (300+ beds)</x:v>
      </x:c>
      <x:c r="H762" s="7" t="n">
        <x:v>2</x:v>
      </x:c>
      <x:c r="I762" s="7" t="n">
        <x:v>3</x:v>
      </x:c>
      <x:c r="J762" s="7" t="n">
        <x:v>0.97</x:v>
      </x:c>
      <x:c r="K762" s="8" t="n">
        <x:v>1166</x:v>
      </x:c>
      <x:c r="L762" s="8" t="n">
        <x:v>48779</x:v>
      </x:c>
      <x:c r="M762" s="9" t="n">
        <x:v>0.9174741352</x:v>
      </x:c>
      <x:c r="N762" s="10" t="n">
        <x:v>64658.7013058898</x:v>
      </x:c>
      <x:c r="O762" s="9" t="n">
        <x:v>-0.0772484509</x:v>
      </x:c>
      <x:c r="P762" s="9" t="n">
        <x:v>0.8470031546</x:v>
      </x:c>
      <x:c r="Q762" s="9" t="n">
        <x:v>0.0536277603</x:v>
      </x:c>
      <x:c r="R762" s="3" t="b">
        <x:v>0</x:v>
      </x:c>
      <x:c r="S762" s="3" t="b">
        <x:v>1</x:v>
      </x:c>
      <x:c r="T762" s="3" t="b">
        <x:v>0</x:v>
      </x:c>
      <x:c r="U762" s="2" t="str">
        <x:f>IF(T762=TRUE,"Priority review",IF(R762=TRUE,"High cost",IF(S762=TRUE,"Low quality","Benchmark")))</x:f>
        <x:v>Low quality</x:v>
      </x:c>
    </x:row>
    <x:row r="763">
      <x:c r="A763" s="2" t="str">
        <x:v>281308</x:v>
      </x:c>
      <x:c r="B763" s="2" t="str">
        <x:v>HENDERSON COMMUNITY HOSPITAL</x:v>
      </x:c>
      <x:c r="C763" s="2" t="str">
        <x:v>HENDERSON</x:v>
      </x:c>
      <x:c r="D763" s="2" t="str">
        <x:v>NE</x:v>
      </x:c>
      <x:c r="E763" s="2" t="str">
        <x:v>Critical Access Hospitals</x:v>
      </x:c>
      <x:c r="F763" s="2" t="str">
        <x:v>Voluntary non-profit</x:v>
      </x:c>
      <x:c r="G763" s="2" t="str">
        <x:v>Small (&lt;100 beds)</x:v>
      </x:c>
      <x:c r="H763" s="7"/>
      <x:c r="I763" s="7"/>
      <x:c r="J763" s="7"/>
      <x:c r="K763" s="8" t="n">
        <x:v>10</x:v>
      </x:c>
      <x:c r="L763" s="8" t="n">
        <x:v>80</x:v>
      </x:c>
      <x:c r="M763" s="9" t="n">
        <x:v>0.1575342466</x:v>
      </x:c>
      <x:c r="N763" s="10" t="n">
        <x:v>279076.2125</x:v>
      </x:c>
      <x:c r="O763" s="9" t="n">
        <x:v>-0.1393358986</x:v>
      </x:c>
      <x:c r="P763" s="9" t="n">
        <x:v>0.8468401487</x:v>
      </x:c>
      <x:c r="Q763" s="9" t="n">
        <x:v>0.292936803</x:v>
      </x:c>
      <x:c r="R763" s="3" t="b">
        <x:v>0</x:v>
      </x:c>
      <x:c r="S763" s="3" t="b">
        <x:v>0</x:v>
      </x:c>
      <x:c r="T763" s="3" t="b">
        <x:v>0</x:v>
      </x:c>
      <x:c r="U763" s="2" t="str">
        <x:f>IF(T763=TRUE,"Priority review",IF(R763=TRUE,"High cost",IF(S763=TRUE,"Low quality","Benchmark")))</x:f>
        <x:v>Benchmark</x:v>
      </x:c>
    </x:row>
    <x:row r="764">
      <x:c r="A764" s="2" t="str">
        <x:v>520193</x:v>
      </x:c>
      <x:c r="B764" s="2" t="str">
        <x:v>AURORA BAYCARE MEDICAL CTR</x:v>
      </x:c>
      <x:c r="C764" s="2" t="str">
        <x:v>GREEN BAY</x:v>
      </x:c>
      <x:c r="D764" s="2" t="str">
        <x:v>WI</x:v>
      </x:c>
      <x:c r="E764" s="2" t="str">
        <x:v>Acute Care Hospitals</x:v>
      </x:c>
      <x:c r="F764" s="2" t="str">
        <x:v>Proprietary</x:v>
      </x:c>
      <x:c r="G764" s="2" t="str">
        <x:v>Medium (100-299 beds)</x:v>
      </x:c>
      <x:c r="H764" s="7" t="n">
        <x:v>4</x:v>
      </x:c>
      <x:c r="I764" s="7" t="n">
        <x:v>4</x:v>
      </x:c>
      <x:c r="J764" s="7" t="n">
        <x:v>0.92</x:v>
      </x:c>
      <x:c r="K764" s="8" t="n">
        <x:v>167</x:v>
      </x:c>
      <x:c r="L764" s="8" t="n">
        <x:v>9499</x:v>
      </x:c>
      <x:c r="M764" s="9" t="n">
        <x:v>0.7723579899</x:v>
      </x:c>
      <x:c r="N764" s="10" t="n">
        <x:v>54299.7993472997</x:v>
      </x:c>
      <x:c r="O764" s="9" t="n">
        <x:v>0.1837210787</x:v>
      </x:c>
      <x:c r="P764" s="9" t="n">
        <x:v>0.8467807661</x:v>
      </x:c>
      <x:c r="Q764" s="9" t="n">
        <x:v>0.6022819886</x:v>
      </x:c>
      <x:c r="R764" s="3" t="b">
        <x:v>0</x:v>
      </x:c>
      <x:c r="S764" s="3" t="b">
        <x:v>0</x:v>
      </x:c>
      <x:c r="T764" s="3" t="b">
        <x:v>0</x:v>
      </x:c>
      <x:c r="U764" s="2" t="str">
        <x:f>IF(T764=TRUE,"Priority review",IF(R764=TRUE,"High cost",IF(S764=TRUE,"Low quality","Benchmark")))</x:f>
        <x:v>Benchmark</x:v>
      </x:c>
    </x:row>
    <x:row r="765">
      <x:c r="A765" s="2" t="str">
        <x:v>340049</x:v>
      </x:c>
      <x:c r="B765" s="2" t="str">
        <x:v>NORTH CAROLINA SPECIALTY HOSPITAL</x:v>
      </x:c>
      <x:c r="C765" s="2" t="str">
        <x:v>DURHAM</x:v>
      </x:c>
      <x:c r="D765" s="2" t="str">
        <x:v>NC</x:v>
      </x:c>
      <x:c r="E765" s="2" t="str">
        <x:v>Acute Care Hospitals</x:v>
      </x:c>
      <x:c r="F765" s="2" t="str">
        <x:v>Proprietary</x:v>
      </x:c>
      <x:c r="G765" s="2" t="str">
        <x:v>Small (&lt;100 beds)</x:v>
      </x:c>
      <x:c r="H765" s="7"/>
      <x:c r="I765" s="7" t="n">
        <x:v>4</x:v>
      </x:c>
      <x:c r="J765" s="7" t="n">
        <x:v>0.91</x:v>
      </x:c>
      <x:c r="K765" s="8" t="n">
        <x:v>18</x:v>
      </x:c>
      <x:c r="L765" s="8" t="n">
        <x:v>626</x:v>
      </x:c>
      <x:c r="M765" s="9" t="n">
        <x:v>0.2709471767</x:v>
      </x:c>
      <x:c r="N765" s="10" t="n">
        <x:v>111172.0734824281</x:v>
      </x:c>
      <x:c r="O765" s="9" t="n">
        <x:v>0.0477734283</x:v>
      </x:c>
      <x:c r="P765" s="9" t="n">
        <x:v>0.8464991023</x:v>
      </x:c>
      <x:c r="Q765" s="9" t="n">
        <x:v>0.697486535</x:v>
      </x:c>
      <x:c r="R765" s="3" t="b">
        <x:v>0</x:v>
      </x:c>
      <x:c r="S765" s="3" t="b">
        <x:v>0</x:v>
      </x:c>
      <x:c r="T765" s="3" t="b">
        <x:v>0</x:v>
      </x:c>
      <x:c r="U765" s="2" t="str">
        <x:f>IF(T765=TRUE,"Priority review",IF(R765=TRUE,"High cost",IF(S765=TRUE,"Low quality","Benchmark")))</x:f>
        <x:v>Benchmark</x:v>
      </x:c>
    </x:row>
    <x:row r="766">
      <x:c r="A766" s="2" t="str">
        <x:v>181318</x:v>
      </x:c>
      <x:c r="B766" s="2" t="str">
        <x:v>THE MEDICAL CENTER AT FRANKLIN</x:v>
      </x:c>
      <x:c r="C766" s="2" t="str">
        <x:v>FRANKLIN</x:v>
      </x:c>
      <x:c r="D766" s="2" t="str">
        <x:v>KY</x:v>
      </x:c>
      <x:c r="E766" s="2" t="str">
        <x:v>Critical Access Hospitals</x:v>
      </x:c>
      <x:c r="F766" s="2" t="str">
        <x:v>Voluntary non-profit</x:v>
      </x:c>
      <x:c r="G766" s="2" t="str">
        <x:v>Small (&lt;100 beds)</x:v>
      </x:c>
      <x:c r="H766" s="7"/>
      <x:c r="I766" s="7"/>
      <x:c r="J766" s="7"/>
      <x:c r="K766" s="8" t="n">
        <x:v>25</x:v>
      </x:c>
      <x:c r="L766" s="8" t="n">
        <x:v>112</x:v>
      </x:c>
      <x:c r="M766" s="9" t="n">
        <x:v>0.6936986301</x:v>
      </x:c>
      <x:c r="N766" s="10" t="n">
        <x:v>278831.9910714286</x:v>
      </x:c>
      <x:c r="O766" s="9" t="n">
        <x:v>0.2272580652</x:v>
      </x:c>
      <x:c r="P766" s="9" t="n">
        <x:v>0.8460966543</x:v>
      </x:c>
      <x:c r="Q766" s="9" t="n">
        <x:v>0.292936803</x:v>
      </x:c>
      <x:c r="R766" s="3" t="b">
        <x:v>0</x:v>
      </x:c>
      <x:c r="S766" s="3" t="b">
        <x:v>0</x:v>
      </x:c>
      <x:c r="T766" s="3" t="b">
        <x:v>0</x:v>
      </x:c>
      <x:c r="U766" s="2" t="str">
        <x:f>IF(T766=TRUE,"Priority review",IF(R766=TRUE,"High cost",IF(S766=TRUE,"Low quality","Benchmark")))</x:f>
        <x:v>Benchmark</x:v>
      </x:c>
    </x:row>
    <x:row r="767">
      <x:c r="A767" s="2" t="str">
        <x:v>310025</x:v>
      </x:c>
      <x:c r="B767" s="2" t="str">
        <x:v>CAREPOINT HEALTH - BAYONNE MEDICAL CENTER</x:v>
      </x:c>
      <x:c r="C767" s="2" t="str">
        <x:v>BAYONNE</x:v>
      </x:c>
      <x:c r="D767" s="2" t="str">
        <x:v>NJ</x:v>
      </x:c>
      <x:c r="E767" s="2" t="str">
        <x:v>Acute Care Hospitals</x:v>
      </x:c>
      <x:c r="F767" s="2" t="str">
        <x:v>Voluntary non-profit</x:v>
      </x:c>
      <x:c r="G767" s="2" t="str">
        <x:v>Medium (100-299 beds)</x:v>
      </x:c>
      <x:c r="H767" s="7" t="n">
        <x:v>1</x:v>
      </x:c>
      <x:c r="I767" s="7" t="n">
        <x:v>2</x:v>
      </x:c>
      <x:c r="J767" s="7" t="n">
        <x:v>1.18</x:v>
      </x:c>
      <x:c r="K767" s="8" t="n">
        <x:v>131</x:v>
      </x:c>
      <x:c r="L767" s="8" t="n">
        <x:v>2890</x:v>
      </x:c>
      <x:c r="M767" s="9" t="n">
        <x:v>0.4233233571</x:v>
      </x:c>
      <x:c r="N767" s="10" t="n">
        <x:v>54281.7266435986</x:v>
      </x:c>
      <x:c r="O767" s="9" t="n">
        <x:v>-0.7878215531</x:v>
      </x:c>
      <x:c r="P767" s="9" t="n">
        <x:v>0.8459657702</x:v>
      </x:c>
      <x:c r="Q767" s="9" t="n">
        <x:v>0</x:v>
      </x:c>
      <x:c r="R767" s="3" t="b">
        <x:v>0</x:v>
      </x:c>
      <x:c r="S767" s="3" t="b">
        <x:v>1</x:v>
      </x:c>
      <x:c r="T767" s="3" t="b">
        <x:v>0</x:v>
      </x:c>
      <x:c r="U767" s="2" t="str">
        <x:f>IF(T767=TRUE,"Priority review",IF(R767=TRUE,"High cost",IF(S767=TRUE,"Low quality","Benchmark")))</x:f>
        <x:v>Low quality</x:v>
      </x:c>
    </x:row>
    <x:row r="768">
      <x:c r="A768" s="2" t="str">
        <x:v>494021</x:v>
      </x:c>
      <x:c r="B768" s="2" t="str">
        <x:v>WESTERN STATE HOSPITAL</x:v>
      </x:c>
      <x:c r="C768" s="2" t="str">
        <x:v>STAUNTON</x:v>
      </x:c>
      <x:c r="D768" s="2" t="str">
        <x:v>VA</x:v>
      </x:c>
      <x:c r="E768" s="2" t="str">
        <x:v>Psychiatric</x:v>
      </x:c>
      <x:c r="F768" s="2" t="str">
        <x:v>Government</x:v>
      </x:c>
      <x:c r="G768" s="2" t="str">
        <x:v>Medium (100-299 beds)</x:v>
      </x:c>
      <x:c r="H768" s="7"/>
      <x:c r="I768" s="7"/>
      <x:c r="J768" s="7"/>
      <x:c r="K768" s="8" t="n">
        <x:v>112</x:v>
      </x:c>
      <x:c r="L768" s="8" t="n">
        <x:v>886</x:v>
      </x:c>
      <x:c r="M768" s="9" t="n">
        <x:v>0.9143590998</x:v>
      </x:c>
      <x:c r="N768" s="10" t="n">
        <x:v>124714.388261851</x:v>
      </x:c>
      <x:c r="O768" s="9" t="n">
        <x:v>-13.8128347307</x:v>
      </x:c>
      <x:c r="P768" s="9" t="n">
        <x:v>0.8457711443</x:v>
      </x:c>
      <x:c r="Q768" s="9" t="n">
        <x:v>0</x:v>
      </x:c>
      <x:c r="R768" s="3" t="b">
        <x:v>0</x:v>
      </x:c>
      <x:c r="S768" s="3" t="b">
        <x:v>0</x:v>
      </x:c>
      <x:c r="T768" s="3" t="b">
        <x:v>0</x:v>
      </x:c>
      <x:c r="U768" s="2" t="str">
        <x:f>IF(T768=TRUE,"Priority review",IF(R768=TRUE,"High cost",IF(S768=TRUE,"Low quality","Benchmark")))</x:f>
        <x:v>Benchmark</x:v>
      </x:c>
    </x:row>
    <x:row r="769">
      <x:c r="A769" s="2" t="str">
        <x:v>070008</x:v>
      </x:c>
      <x:c r="B769" s="2" t="str">
        <x:v>JOHNSON MEMORIAL HOSPITAL</x:v>
      </x:c>
      <x:c r="C769" s="2" t="str">
        <x:v>STAFFORD SPRINGS</x:v>
      </x:c>
      <x:c r="D769" s="2" t="str">
        <x:v>CT</x:v>
      </x:c>
      <x:c r="E769" s="2" t="str">
        <x:v>Acute Care Hospitals</x:v>
      </x:c>
      <x:c r="F769" s="2" t="str">
        <x:v>Voluntary non-profit</x:v>
      </x:c>
      <x:c r="G769" s="2" t="str">
        <x:v>Small (&lt;100 beds)</x:v>
      </x:c>
      <x:c r="H769" s="7" t="n">
        <x:v>3</x:v>
      </x:c>
      <x:c r="I769" s="7" t="n">
        <x:v>3</x:v>
      </x:c>
      <x:c r="J769" s="7" t="n">
        <x:v>0.98</x:v>
      </x:c>
      <x:c r="K769" s="8" t="n">
        <x:v>44</x:v>
      </x:c>
      <x:c r="L769" s="8" t="n">
        <x:v>690</x:v>
      </x:c>
      <x:c r="M769" s="9" t="n">
        <x:v>0.2064704421</x:v>
      </x:c>
      <x:c r="N769" s="10" t="n">
        <x:v>111170.7623188406</x:v>
      </x:c>
      <x:c r="O769" s="9" t="n">
        <x:v>-0.0758535108</x:v>
      </x:c>
      <x:c r="P769" s="9" t="n">
        <x:v>0.8456014363</x:v>
      </x:c>
      <x:c r="Q769" s="9" t="n">
        <x:v>0.1687612208</x:v>
      </x:c>
      <x:c r="R769" s="3" t="b">
        <x:v>0</x:v>
      </x:c>
      <x:c r="S769" s="3" t="b">
        <x:v>0</x:v>
      </x:c>
      <x:c r="T769" s="3" t="b">
        <x:v>0</x:v>
      </x:c>
      <x:c r="U769" s="2" t="str">
        <x:f>IF(T769=TRUE,"Priority review",IF(R769=TRUE,"High cost",IF(S769=TRUE,"Low quality","Benchmark")))</x:f>
        <x:v>Benchmark</x:v>
      </x:c>
    </x:row>
    <x:row r="770">
      <x:c r="A770" s="2" t="str">
        <x:v>490032</x:v>
      </x:c>
      <x:c r="B770" s="2" t="str">
        <x:v>MEDICAL COLLEGE OF VIRGINIA HOSPITALS</x:v>
      </x:c>
      <x:c r="C770" s="2" t="str">
        <x:v>RICHMOND</x:v>
      </x:c>
      <x:c r="D770" s="2" t="str">
        <x:v>VA</x:v>
      </x:c>
      <x:c r="E770" s="2" t="str">
        <x:v>Acute Care Hospitals</x:v>
      </x:c>
      <x:c r="F770" s="2" t="str">
        <x:v>Government</x:v>
      </x:c>
      <x:c r="G770" s="2" t="str">
        <x:v>Large (300+ beds)</x:v>
      </x:c>
      <x:c r="H770" s="7" t="n">
        <x:v>4</x:v>
      </x:c>
      <x:c r="I770" s="7" t="n">
        <x:v>4</x:v>
      </x:c>
      <x:c r="J770" s="7" t="n">
        <x:v>1.02</x:v>
      </x:c>
      <x:c r="K770" s="8" t="n">
        <x:v>865</x:v>
      </x:c>
      <x:c r="L770" s="8" t="n">
        <x:v>41852</x:v>
      </x:c>
      <x:c r="M770" s="9" t="n">
        <x:v>0.7829851928</x:v>
      </x:c>
      <x:c r="N770" s="10" t="n">
        <x:v>64394.9214374462</x:v>
      </x:c>
      <x:c r="O770" s="9" t="n">
        <x:v>0.0272821434</x:v>
      </x:c>
      <x:c r="P770" s="9" t="n">
        <x:v>0.8454258675</x:v>
      </x:c>
      <x:c r="Q770" s="9" t="n">
        <x:v>0.5899053628</x:v>
      </x:c>
      <x:c r="R770" s="3" t="b">
        <x:v>0</x:v>
      </x:c>
      <x:c r="S770" s="3" t="b">
        <x:v>0</x:v>
      </x:c>
      <x:c r="T770" s="3" t="b">
        <x:v>0</x:v>
      </x:c>
      <x:c r="U770" s="2" t="str">
        <x:f>IF(T770=TRUE,"Priority review",IF(R770=TRUE,"High cost",IF(S770=TRUE,"Low quality","Benchmark")))</x:f>
        <x:v>Benchmark</x:v>
      </x:c>
    </x:row>
    <x:row r="771">
      <x:c r="A771" s="2" t="str">
        <x:v>181324</x:v>
      </x:c>
      <x:c r="B771" s="2" t="str">
        <x:v>THE MEDICAL CENTER AT SCOTTSVILLE</x:v>
      </x:c>
      <x:c r="C771" s="2" t="str">
        <x:v>SCOTTSVILLE</x:v>
      </x:c>
      <x:c r="D771" s="2" t="str">
        <x:v>KY</x:v>
      </x:c>
      <x:c r="E771" s="2" t="str">
        <x:v>Critical Access Hospitals</x:v>
      </x:c>
      <x:c r="F771" s="2" t="str">
        <x:v>Voluntary non-profit</x:v>
      </x:c>
      <x:c r="G771" s="2" t="str">
        <x:v>Small (&lt;100 beds)</x:v>
      </x:c>
      <x:c r="H771" s="7"/>
      <x:c r="I771" s="7"/>
      <x:c r="J771" s="7"/>
      <x:c r="K771" s="8" t="n">
        <x:v>25</x:v>
      </x:c>
      <x:c r="L771" s="8" t="n">
        <x:v>137</x:v>
      </x:c>
      <x:c r="M771" s="9" t="n">
        <x:v>0.6973150685</x:v>
      </x:c>
      <x:c r="N771" s="10" t="n">
        <x:v>278754.1459854015</x:v>
      </x:c>
      <x:c r="O771" s="9" t="n">
        <x:v>0.1821221779</x:v>
      </x:c>
      <x:c r="P771" s="9" t="n">
        <x:v>0.8453531599</x:v>
      </x:c>
      <x:c r="Q771" s="9" t="n">
        <x:v>0.292936803</x:v>
      </x:c>
      <x:c r="R771" s="3" t="b">
        <x:v>0</x:v>
      </x:c>
      <x:c r="S771" s="3" t="b">
        <x:v>0</x:v>
      </x:c>
      <x:c r="T771" s="3" t="b">
        <x:v>0</x:v>
      </x:c>
      <x:c r="U771" s="2" t="str">
        <x:f>IF(T771=TRUE,"Priority review",IF(R771=TRUE,"High cost",IF(S771=TRUE,"Low quality","Benchmark")))</x:f>
        <x:v>Benchmark</x:v>
      </x:c>
    </x:row>
    <x:row r="772">
      <x:c r="A772" s="2" t="str">
        <x:v>340017</x:v>
      </x:c>
      <x:c r="B772" s="2" t="str">
        <x:v>PARDEE HOSPITAL HENDERSON COUNTY</x:v>
      </x:c>
      <x:c r="C772" s="2" t="str">
        <x:v>HENDERSONVILLE</x:v>
      </x:c>
      <x:c r="D772" s="2" t="str">
        <x:v>NC</x:v>
      </x:c>
      <x:c r="E772" s="2" t="str">
        <x:v>Acute Care Hospitals</x:v>
      </x:c>
      <x:c r="F772" s="2" t="str">
        <x:v>Government</x:v>
      </x:c>
      <x:c r="G772" s="2" t="str">
        <x:v>Medium (100-299 beds)</x:v>
      </x:c>
      <x:c r="H772" s="7" t="n">
        <x:v>5</x:v>
      </x:c>
      <x:c r="I772" s="7" t="n">
        <x:v>4</x:v>
      </x:c>
      <x:c r="J772" s="7" t="n">
        <x:v>0.99</x:v>
      </x:c>
      <x:c r="K772" s="8" t="n">
        <x:v>160</x:v>
      </x:c>
      <x:c r="L772" s="8" t="n">
        <x:v>8251</x:v>
      </x:c>
      <x:c r="M772" s="9" t="n">
        <x:v>0.5703424658</x:v>
      </x:c>
      <x:c r="N772" s="10" t="n">
        <x:v>54257.6860986547</x:v>
      </x:c>
      <x:c r="O772" s="9" t="n">
        <x:v>0.0072587194</x:v>
      </x:c>
      <x:c r="P772" s="9" t="n">
        <x:v>0.8451507742</x:v>
      </x:c>
      <x:c r="Q772" s="9" t="n">
        <x:v>0.8744906275</x:v>
      </x:c>
      <x:c r="R772" s="3" t="b">
        <x:v>0</x:v>
      </x:c>
      <x:c r="S772" s="3" t="b">
        <x:v>0</x:v>
      </x:c>
      <x:c r="T772" s="3" t="b">
        <x:v>0</x:v>
      </x:c>
      <x:c r="U772" s="2" t="str">
        <x:f>IF(T772=TRUE,"Priority review",IF(R772=TRUE,"High cost",IF(S772=TRUE,"Low quality","Benchmark")))</x:f>
        <x:v>Benchmark</x:v>
      </x:c>
    </x:row>
    <x:row r="773">
      <x:c r="A773" s="2" t="str">
        <x:v>470003</x:v>
      </x:c>
      <x:c r="B773" s="2" t="str">
        <x:v>UNIV. OF VERMONT - FLETCHER ALLEN HEALTH CARE</x:v>
      </x:c>
      <x:c r="C773" s="2" t="str">
        <x:v>BURLINGTON</x:v>
      </x:c>
      <x:c r="D773" s="2" t="str">
        <x:v>VT</x:v>
      </x:c>
      <x:c r="E773" s="2" t="str">
        <x:v>Acute Care Hospitals</x:v>
      </x:c>
      <x:c r="F773" s="2" t="str">
        <x:v>Voluntary non-profit</x:v>
      </x:c>
      <x:c r="G773" s="2" t="str">
        <x:v>Small (&lt;100 beds)</x:v>
      </x:c>
      <x:c r="H773" s="7" t="n">
        <x:v>4</x:v>
      </x:c>
      <x:c r="I773" s="7" t="n">
        <x:v>4</x:v>
      </x:c>
      <x:c r="J773" s="7" t="n">
        <x:v>0.97</x:v>
      </x:c>
      <x:c r="K773" s="8" t="n">
        <x:v>65</x:v>
      </x:c>
      <x:c r="L773" s="8" t="n">
        <x:v>21056</x:v>
      </x:c>
      <x:c r="M773" s="9" t="n">
        <x:v>0.8231805544</x:v>
      </x:c>
      <x:c r="N773" s="10" t="n">
        <x:v>110971.8252754559</x:v>
      </x:c>
      <x:c r="O773" s="9" t="n">
        <x:v>-0.2930466557</x:v>
      </x:c>
      <x:c r="P773" s="9" t="n">
        <x:v>0.8447037702</x:v>
      </x:c>
      <x:c r="Q773" s="9" t="n">
        <x:v>0.3913824057</x:v>
      </x:c>
      <x:c r="R773" s="3" t="b">
        <x:v>0</x:v>
      </x:c>
      <x:c r="S773" s="3" t="b">
        <x:v>0</x:v>
      </x:c>
      <x:c r="T773" s="3" t="b">
        <x:v>0</x:v>
      </x:c>
      <x:c r="U773" s="2" t="str">
        <x:f>IF(T773=TRUE,"Priority review",IF(R773=TRUE,"High cost",IF(S773=TRUE,"Low quality","Benchmark")))</x:f>
        <x:v>Benchmark</x:v>
      </x:c>
    </x:row>
    <x:row r="774">
      <x:c r="A774" s="2" t="str">
        <x:v>144028</x:v>
      </x:c>
      <x:c r="B774" s="2" t="str">
        <x:v>MADDEN MENTAL HEALTH CENTER</x:v>
      </x:c>
      <x:c r="C774" s="2" t="str">
        <x:v>HINES</x:v>
      </x:c>
      <x:c r="D774" s="2" t="str">
        <x:v>IL</x:v>
      </x:c>
      <x:c r="E774" s="2" t="str">
        <x:v>Psychiatric</x:v>
      </x:c>
      <x:c r="F774" s="2" t="str">
        <x:v>Government</x:v>
      </x:c>
      <x:c r="G774" s="2" t="str">
        <x:v>Small (&lt;100 beds)</x:v>
      </x:c>
      <x:c r="H774" s="7"/>
      <x:c r="I774" s="7"/>
      <x:c r="J774" s="7"/>
      <x:c r="K774" s="8" t="n">
        <x:v>28</x:v>
      </x:c>
      <x:c r="L774" s="8" t="n">
        <x:v>361</x:v>
      </x:c>
      <x:c r="M774" s="9" t="n">
        <x:v>0.8208414873</x:v>
      </x:c>
      <x:c r="N774" s="10" t="n">
        <x:v>84238.9916897507</x:v>
      </x:c>
      <x:c r="O774" s="9"/>
      <x:c r="P774" s="9" t="n">
        <x:v>0.8446601942</x:v>
      </x:c>
      <x:c r="Q774" s="9" t="n">
        <x:v>0</x:v>
      </x:c>
      <x:c r="R774" s="3" t="b">
        <x:v>0</x:v>
      </x:c>
      <x:c r="S774" s="3" t="b">
        <x:v>0</x:v>
      </x:c>
      <x:c r="T774" s="3" t="b">
        <x:v>0</x:v>
      </x:c>
      <x:c r="U774" s="2" t="str">
        <x:f>IF(T774=TRUE,"Priority review",IF(R774=TRUE,"High cost",IF(S774=TRUE,"Low quality","Benchmark")))</x:f>
        <x:v>Benchmark</x:v>
      </x:c>
    </x:row>
    <x:row r="775">
      <x:c r="A775" s="2" t="str">
        <x:v>291314</x:v>
      </x:c>
      <x:c r="B775" s="2" t="str">
        <x:v>SOUTH LYON MEDICAL CENTER</x:v>
      </x:c>
      <x:c r="C775" s="2" t="str">
        <x:v>YERINGTON</x:v>
      </x:c>
      <x:c r="D775" s="2" t="str">
        <x:v>NV</x:v>
      </x:c>
      <x:c r="E775" s="2" t="str">
        <x:v>Critical Access Hospitals</x:v>
      </x:c>
      <x:c r="F775" s="2" t="str">
        <x:v>Voluntary non-profit</x:v>
      </x:c>
      <x:c r="G775" s="2" t="str">
        <x:v>Small (&lt;100 beds)</x:v>
      </x:c>
      <x:c r="H775" s="7"/>
      <x:c r="I775" s="7"/>
      <x:c r="J775" s="7"/>
      <x:c r="K775" s="8" t="n">
        <x:v>14</x:v>
      </x:c>
      <x:c r="L775" s="8" t="n">
        <x:v>67</x:v>
      </x:c>
      <x:c r="M775" s="9" t="n">
        <x:v>0.0733855186</x:v>
      </x:c>
      <x:c r="N775" s="10" t="n">
        <x:v>277833.6268656717</x:v>
      </x:c>
      <x:c r="O775" s="9" t="n">
        <x:v>-0.3042764771</x:v>
      </x:c>
      <x:c r="P775" s="9" t="n">
        <x:v>0.8446096654</x:v>
      </x:c>
      <x:c r="Q775" s="9" t="n">
        <x:v>0.292936803</x:v>
      </x:c>
      <x:c r="R775" s="3" t="b">
        <x:v>0</x:v>
      </x:c>
      <x:c r="S775" s="3" t="b">
        <x:v>0</x:v>
      </x:c>
      <x:c r="T775" s="3" t="b">
        <x:v>0</x:v>
      </x:c>
      <x:c r="U775" s="2" t="str">
        <x:f>IF(T775=TRUE,"Priority review",IF(R775=TRUE,"High cost",IF(S775=TRUE,"Low quality","Benchmark")))</x:f>
        <x:v>Benchmark</x:v>
      </x:c>
    </x:row>
    <x:row r="776">
      <x:c r="A776" s="2" t="str">
        <x:v>150015</x:v>
      </x:c>
      <x:c r="B776" s="2" t="str">
        <x:v>FRANCISCAN HEALTH MICHIGAN CITY</x:v>
      </x:c>
      <x:c r="C776" s="2" t="str">
        <x:v>MICHIGAN CITY</x:v>
      </x:c>
      <x:c r="D776" s="2" t="str">
        <x:v>IN</x:v>
      </x:c>
      <x:c r="E776" s="2" t="str">
        <x:v>Acute Care Hospitals</x:v>
      </x:c>
      <x:c r="F776" s="2" t="str">
        <x:v>Voluntary non-profit</x:v>
      </x:c>
      <x:c r="G776" s="2" t="str">
        <x:v>Medium (100-299 beds)</x:v>
      </x:c>
      <x:c r="H776" s="7" t="n">
        <x:v>3</x:v>
      </x:c>
      <x:c r="I776" s="7" t="n">
        <x:v>4</x:v>
      </x:c>
      <x:c r="J776" s="7" t="n">
        <x:v>0.99</x:v>
      </x:c>
      <x:c r="K776" s="8" t="n">
        <x:v>141</x:v>
      </x:c>
      <x:c r="L776" s="8" t="n">
        <x:v>6559</x:v>
      </x:c>
      <x:c r="M776" s="9" t="n">
        <x:v>0.6464225639</x:v>
      </x:c>
      <x:c r="N776" s="10" t="n">
        <x:v>54253.1408751334</x:v>
      </x:c>
      <x:c r="O776" s="9" t="n">
        <x:v>0.0982486458</x:v>
      </x:c>
      <x:c r="P776" s="9" t="n">
        <x:v>0.8443357783</x:v>
      </x:c>
      <x:c r="Q776" s="9" t="n">
        <x:v>0.3023634882</x:v>
      </x:c>
      <x:c r="R776" s="3" t="b">
        <x:v>0</x:v>
      </x:c>
      <x:c r="S776" s="3" t="b">
        <x:v>0</x:v>
      </x:c>
      <x:c r="T776" s="3" t="b">
        <x:v>0</x:v>
      </x:c>
      <x:c r="U776" s="2" t="str">
        <x:f>IF(T776=TRUE,"Priority review",IF(R776=TRUE,"High cost",IF(S776=TRUE,"Low quality","Benchmark")))</x:f>
        <x:v>Benchmark</x:v>
      </x:c>
    </x:row>
    <x:row r="777">
      <x:c r="A777" s="2" t="str">
        <x:v>281350</x:v>
      </x:c>
      <x:c r="B777" s="2" t="str">
        <x:v>JOHNSON COUNTY HOSPITAL</x:v>
      </x:c>
      <x:c r="C777" s="2" t="str">
        <x:v>TECUMSEH</x:v>
      </x:c>
      <x:c r="D777" s="2" t="str">
        <x:v>NE</x:v>
      </x:c>
      <x:c r="E777" s="2" t="str">
        <x:v>Critical Access Hospitals</x:v>
      </x:c>
      <x:c r="F777" s="2" t="str">
        <x:v>Government</x:v>
      </x:c>
      <x:c r="G777" s="2" t="str">
        <x:v>Small (&lt;100 beds)</x:v>
      </x:c>
      <x:c r="H777" s="7"/>
      <x:c r="I777" s="7"/>
      <x:c r="J777" s="7"/>
      <x:c r="K777" s="8" t="n">
        <x:v>18</x:v>
      </x:c>
      <x:c r="L777" s="8" t="n">
        <x:v>90</x:v>
      </x:c>
      <x:c r="M777" s="9" t="n">
        <x:v>0.1319634703</x:v>
      </x:c>
      <x:c r="N777" s="10" t="n">
        <x:v>277753.6222222222</x:v>
      </x:c>
      <x:c r="O777" s="9" t="n">
        <x:v>-0.1046531596</x:v>
      </x:c>
      <x:c r="P777" s="9" t="n">
        <x:v>0.843866171</x:v>
      </x:c>
      <x:c r="Q777" s="9" t="n">
        <x:v>0.292936803</x:v>
      </x:c>
      <x:c r="R777" s="3" t="b">
        <x:v>0</x:v>
      </x:c>
      <x:c r="S777" s="3" t="b">
        <x:v>0</x:v>
      </x:c>
      <x:c r="T777" s="3" t="b">
        <x:v>0</x:v>
      </x:c>
      <x:c r="U777" s="2" t="str">
        <x:f>IF(T777=TRUE,"Priority review",IF(R777=TRUE,"High cost",IF(S777=TRUE,"Low quality","Benchmark")))</x:f>
        <x:v>Benchmark</x:v>
      </x:c>
    </x:row>
    <x:row r="778">
      <x:c r="A778" s="2" t="str">
        <x:v>110078</x:v>
      </x:c>
      <x:c r="B778" s="2" t="str">
        <x:v>EMORY UNIVERSITY HOSPITAL MIDTOWN</x:v>
      </x:c>
      <x:c r="C778" s="2" t="str">
        <x:v>ATLANTA</x:v>
      </x:c>
      <x:c r="D778" s="2" t="str">
        <x:v>GA</x:v>
      </x:c>
      <x:c r="E778" s="2" t="str">
        <x:v>Acute Care Hospitals</x:v>
      </x:c>
      <x:c r="F778" s="2" t="str">
        <x:v>Voluntary non-profit</x:v>
      </x:c>
      <x:c r="G778" s="2" t="str">
        <x:v>Large (300+ beds)</x:v>
      </x:c>
      <x:c r="H778" s="7" t="n">
        <x:v>2</x:v>
      </x:c>
      <x:c r="I778" s="7" t="n">
        <x:v>2</x:v>
      </x:c>
      <x:c r="J778" s="7" t="n">
        <x:v>0.95</x:v>
      </x:c>
      <x:c r="K778" s="8" t="n">
        <x:v>548</x:v>
      </x:c>
      <x:c r="L778" s="8" t="n">
        <x:v>31432</x:v>
      </x:c>
      <x:c r="M778" s="9" t="n">
        <x:v>0.9106239376</x:v>
      </x:c>
      <x:c r="N778" s="10" t="n">
        <x:v>64129.711122423</x:v>
      </x:c>
      <x:c r="O778" s="9" t="n">
        <x:v>-0.0081754731</x:v>
      </x:c>
      <x:c r="P778" s="9" t="n">
        <x:v>0.8438485804</x:v>
      </x:c>
      <x:c r="Q778" s="9" t="n">
        <x:v>0.0536277603</x:v>
      </x:c>
      <x:c r="R778" s="3" t="b">
        <x:v>0</x:v>
      </x:c>
      <x:c r="S778" s="3" t="b">
        <x:v>1</x:v>
      </x:c>
      <x:c r="T778" s="3" t="b">
        <x:v>0</x:v>
      </x:c>
      <x:c r="U778" s="2" t="str">
        <x:f>IF(T778=TRUE,"Priority review",IF(R778=TRUE,"High cost",IF(S778=TRUE,"Low quality","Benchmark")))</x:f>
        <x:v>Low quality</x:v>
      </x:c>
    </x:row>
    <x:row r="779">
      <x:c r="A779" s="2" t="str">
        <x:v>200020</x:v>
      </x:c>
      <x:c r="B779" s="2" t="str">
        <x:v>YORK HOSPITAL</x:v>
      </x:c>
      <x:c r="C779" s="2" t="str">
        <x:v>YORK</x:v>
      </x:c>
      <x:c r="D779" s="2" t="str">
        <x:v>ME</x:v>
      </x:c>
      <x:c r="E779" s="2" t="str">
        <x:v>Acute Care Hospitals</x:v>
      </x:c>
      <x:c r="F779" s="2" t="str">
        <x:v>Voluntary non-profit</x:v>
      </x:c>
      <x:c r="G779" s="2" t="str">
        <x:v>Small (&lt;100 beds)</x:v>
      </x:c>
      <x:c r="H779" s="7" t="n">
        <x:v>4</x:v>
      </x:c>
      <x:c r="I779" s="7" t="n">
        <x:v>5</x:v>
      </x:c>
      <x:c r="J779" s="7" t="n">
        <x:v>0.95</x:v>
      </x:c>
      <x:c r="K779" s="8" t="n">
        <x:v>54</x:v>
      </x:c>
      <x:c r="L779" s="8" t="n">
        <x:v>1899</x:v>
      </x:c>
      <x:c r="M779" s="9" t="n">
        <x:v>0.3910645618</x:v>
      </x:c>
      <x:c r="N779" s="10" t="n">
        <x:v>110893.7546076883</x:v>
      </x:c>
      <x:c r="O779" s="9" t="n">
        <x:v>-0.0995812044</x:v>
      </x:c>
      <x:c r="P779" s="9" t="n">
        <x:v>0.8438061041</x:v>
      </x:c>
      <x:c r="Q779" s="9" t="n">
        <x:v>0.3913824057</x:v>
      </x:c>
      <x:c r="R779" s="3" t="b">
        <x:v>0</x:v>
      </x:c>
      <x:c r="S779" s="3" t="b">
        <x:v>0</x:v>
      </x:c>
      <x:c r="T779" s="3" t="b">
        <x:v>0</x:v>
      </x:c>
      <x:c r="U779" s="2" t="str">
        <x:f>IF(T779=TRUE,"Priority review",IF(R779=TRUE,"High cost",IF(S779=TRUE,"Low quality","Benchmark")))</x:f>
        <x:v>Benchmark</x:v>
      </x:c>
    </x:row>
    <x:row r="780">
      <x:c r="A780" s="2" t="str">
        <x:v>050748</x:v>
      </x:c>
      <x:c r="B780" s="2" t="str">
        <x:v>KAISER FOUNDATION HOSPITAL MANTECA</x:v>
      </x:c>
      <x:c r="C780" s="2" t="str">
        <x:v>MANTECA</x:v>
      </x:c>
      <x:c r="D780" s="2" t="str">
        <x:v>CA</x:v>
      </x:c>
      <x:c r="E780" s="2" t="str">
        <x:v>Acute Care Hospitals</x:v>
      </x:c>
      <x:c r="F780" s="2" t="str">
        <x:v>Voluntary non-profit</x:v>
      </x:c>
      <x:c r="G780" s="2" t="str">
        <x:v>Medium (100-299 beds)</x:v>
      </x:c>
      <x:c r="H780" s="7" t="n">
        <x:v>4</x:v>
      </x:c>
      <x:c r="I780" s="7" t="n">
        <x:v>3</x:v>
      </x:c>
      <x:c r="J780" s="7" t="n">
        <x:v>1.04</x:v>
      </x:c>
      <x:c r="K780" s="8" t="n">
        <x:v>237</x:v>
      </x:c>
      <x:c r="L780" s="8" t="n">
        <x:v>14460</x:v>
      </x:c>
      <x:c r="M780" s="9" t="n">
        <x:v>0.6931705518</x:v>
      </x:c>
      <x:c r="N780" s="10" t="n">
        <x:v>54238.9324343015</x:v>
      </x:c>
      <x:c r="O780" s="9" t="n">
        <x:v>0.1698695924</x:v>
      </x:c>
      <x:c r="P780" s="9" t="n">
        <x:v>0.8435207824</x:v>
      </x:c>
      <x:c r="Q780" s="9" t="n">
        <x:v>0.6022819886</x:v>
      </x:c>
      <x:c r="R780" s="3" t="b">
        <x:v>0</x:v>
      </x:c>
      <x:c r="S780" s="3" t="b">
        <x:v>0</x:v>
      </x:c>
      <x:c r="T780" s="3" t="b">
        <x:v>0</x:v>
      </x:c>
      <x:c r="U780" s="2" t="str">
        <x:f>IF(T780=TRUE,"Priority review",IF(R780=TRUE,"High cost",IF(S780=TRUE,"Low quality","Benchmark")))</x:f>
        <x:v>Benchmark</x:v>
      </x:c>
    </x:row>
    <x:row r="781">
      <x:c r="A781" s="2" t="str">
        <x:v>181314</x:v>
      </x:c>
      <x:c r="B781" s="2" t="str">
        <x:v>CAVERNA MEMORIAL HOSPITAL</x:v>
      </x:c>
      <x:c r="C781" s="2" t="str">
        <x:v>HORSE CAVE</x:v>
      </x:c>
      <x:c r="D781" s="2" t="str">
        <x:v>KY</x:v>
      </x:c>
      <x:c r="E781" s="2" t="str">
        <x:v>Critical Access Hospitals</x:v>
      </x:c>
      <x:c r="F781" s="2" t="str">
        <x:v>Voluntary non-profit</x:v>
      </x:c>
      <x:c r="G781" s="2" t="str">
        <x:v>Small (&lt;100 beds)</x:v>
      </x:c>
      <x:c r="H781" s="7"/>
      <x:c r="I781" s="7"/>
      <x:c r="J781" s="7"/>
      <x:c r="K781" s="8" t="n">
        <x:v>25</x:v>
      </x:c>
      <x:c r="L781" s="8" t="n">
        <x:v>78</x:v>
      </x:c>
      <x:c r="M781" s="9" t="n">
        <x:v>0.3341369863</x:v>
      </x:c>
      <x:c r="N781" s="10" t="n">
        <x:v>276373.6282051282</x:v>
      </x:c>
      <x:c r="O781" s="9" t="n">
        <x:v>0.1545016497</x:v>
      </x:c>
      <x:c r="P781" s="9" t="n">
        <x:v>0.8431226766</x:v>
      </x:c>
      <x:c r="Q781" s="9" t="n">
        <x:v>0.292936803</x:v>
      </x:c>
      <x:c r="R781" s="3" t="b">
        <x:v>0</x:v>
      </x:c>
      <x:c r="S781" s="3" t="b">
        <x:v>0</x:v>
      </x:c>
      <x:c r="T781" s="3" t="b">
        <x:v>0</x:v>
      </x:c>
      <x:c r="U781" s="2" t="str">
        <x:f>IF(T781=TRUE,"Priority review",IF(R781=TRUE,"High cost",IF(S781=TRUE,"Low quality","Benchmark")))</x:f>
        <x:v>Benchmark</x:v>
      </x:c>
    </x:row>
    <x:row r="782">
      <x:c r="A782" s="2" t="str">
        <x:v>510086</x:v>
      </x:c>
      <x:c r="B782" s="2" t="str">
        <x:v>WELCH COMMUNITY HOSPITAL</x:v>
      </x:c>
      <x:c r="C782" s="2" t="str">
        <x:v>WELCH</x:v>
      </x:c>
      <x:c r="D782" s="2" t="str">
        <x:v>WV</x:v>
      </x:c>
      <x:c r="E782" s="2" t="str">
        <x:v>Acute Care Hospitals</x:v>
      </x:c>
      <x:c r="F782" s="2" t="str">
        <x:v>Government</x:v>
      </x:c>
      <x:c r="G782" s="2" t="str">
        <x:v>Small (&lt;100 beds)</x:v>
      </x:c>
      <x:c r="H782" s="7"/>
      <x:c r="I782" s="7" t="n">
        <x:v>4</x:v>
      </x:c>
      <x:c r="J782" s="7" t="n">
        <x:v>0.94</x:v>
      </x:c>
      <x:c r="K782" s="8" t="n">
        <x:v>49</x:v>
      </x:c>
      <x:c r="L782" s="8" t="n">
        <x:v>336</x:v>
      </x:c>
      <x:c r="M782" s="9" t="n">
        <x:v>0.0793402292</x:v>
      </x:c>
      <x:c r="N782" s="10" t="n">
        <x:v>110803.9107142857</x:v>
      </x:c>
      <x:c r="O782" s="9" t="n">
        <x:v>-1.8024038123</x:v>
      </x:c>
      <x:c r="P782" s="9" t="n">
        <x:v>0.8429084381</x:v>
      </x:c>
      <x:c r="Q782" s="9" t="n">
        <x:v>0.697486535</x:v>
      </x:c>
      <x:c r="R782" s="3" t="b">
        <x:v>0</x:v>
      </x:c>
      <x:c r="S782" s="3" t="b">
        <x:v>0</x:v>
      </x:c>
      <x:c r="T782" s="3" t="b">
        <x:v>0</x:v>
      </x:c>
      <x:c r="U782" s="2" t="str">
        <x:f>IF(T782=TRUE,"Priority review",IF(R782=TRUE,"High cost",IF(S782=TRUE,"Low quality","Benchmark")))</x:f>
        <x:v>Benchmark</x:v>
      </x:c>
    </x:row>
    <x:row r="783">
      <x:c r="A783" s="2" t="str">
        <x:v>490004</x:v>
      </x:c>
      <x:c r="B783" s="2" t="str">
        <x:v>SENTARA RMH MEDICAL CENTER</x:v>
      </x:c>
      <x:c r="C783" s="2" t="str">
        <x:v>HARRISONBURG</x:v>
      </x:c>
      <x:c r="D783" s="2" t="str">
        <x:v>VA</x:v>
      </x:c>
      <x:c r="E783" s="2" t="str">
        <x:v>Acute Care Hospitals</x:v>
      </x:c>
      <x:c r="F783" s="2" t="str">
        <x:v>Voluntary non-profit</x:v>
      </x:c>
      <x:c r="G783" s="2" t="str">
        <x:v>Medium (100-299 beds)</x:v>
      </x:c>
      <x:c r="H783" s="7" t="n">
        <x:v>5</x:v>
      </x:c>
      <x:c r="I783" s="7" t="n">
        <x:v>3</x:v>
      </x:c>
      <x:c r="J783" s="7" t="n">
        <x:v>0.94</x:v>
      </x:c>
      <x:c r="K783" s="8" t="n">
        <x:v>238</x:v>
      </x:c>
      <x:c r="L783" s="8" t="n">
        <x:v>10538</x:v>
      </x:c>
      <x:c r="M783" s="9" t="n">
        <x:v>0.5116866419</x:v>
      </x:c>
      <x:c r="N783" s="10" t="n">
        <x:v>54138.0254317707</x:v>
      </x:c>
      <x:c r="O783" s="9" t="n">
        <x:v>-0.0193617742</x:v>
      </x:c>
      <x:c r="P783" s="9" t="n">
        <x:v>0.8427057865</x:v>
      </x:c>
      <x:c r="Q783" s="9" t="n">
        <x:v>0.8744906275</x:v>
      </x:c>
      <x:c r="R783" s="3" t="b">
        <x:v>0</x:v>
      </x:c>
      <x:c r="S783" s="3" t="b">
        <x:v>0</x:v>
      </x:c>
      <x:c r="T783" s="3" t="b">
        <x:v>0</x:v>
      </x:c>
      <x:c r="U783" s="2" t="str">
        <x:f>IF(T783=TRUE,"Priority review",IF(R783=TRUE,"High cost",IF(S783=TRUE,"Low quality","Benchmark")))</x:f>
        <x:v>Benchmark</x:v>
      </x:c>
    </x:row>
    <x:row r="784">
      <x:c r="A784" s="2" t="str">
        <x:v>061315</x:v>
      </x:c>
      <x:c r="B784" s="2" t="str">
        <x:v>YUMA DISTRICT HOSPITAL</x:v>
      </x:c>
      <x:c r="C784" s="2" t="str">
        <x:v>YUMA</x:v>
      </x:c>
      <x:c r="D784" s="2" t="str">
        <x:v>CO</x:v>
      </x:c>
      <x:c r="E784" s="2" t="str">
        <x:v>Critical Access Hospitals</x:v>
      </x:c>
      <x:c r="F784" s="2" t="str">
        <x:v>Government</x:v>
      </x:c>
      <x:c r="G784" s="2" t="str">
        <x:v>Small (&lt;100 beds)</x:v>
      </x:c>
      <x:c r="H784" s="7"/>
      <x:c r="I784" s="7"/>
      <x:c r="J784" s="7"/>
      <x:c r="K784" s="8" t="n">
        <x:v>15</x:v>
      </x:c>
      <x:c r="L784" s="8" t="n">
        <x:v>99</x:v>
      </x:c>
      <x:c r="M784" s="9" t="n">
        <x:v>0.1149362477</x:v>
      </x:c>
      <x:c r="N784" s="10" t="n">
        <x:v>275092.2626262626</x:v>
      </x:c>
      <x:c r="O784" s="9" t="n">
        <x:v>-0.1151905411</x:v>
      </x:c>
      <x:c r="P784" s="9" t="n">
        <x:v>0.8423791822</x:v>
      </x:c>
      <x:c r="Q784" s="9" t="n">
        <x:v>0.292936803</x:v>
      </x:c>
      <x:c r="R784" s="3" t="b">
        <x:v>0</x:v>
      </x:c>
      <x:c r="S784" s="3" t="b">
        <x:v>0</x:v>
      </x:c>
      <x:c r="T784" s="3" t="b">
        <x:v>0</x:v>
      </x:c>
      <x:c r="U784" s="2" t="str">
        <x:f>IF(T784=TRUE,"Priority review",IF(R784=TRUE,"High cost",IF(S784=TRUE,"Low quality","Benchmark")))</x:f>
        <x:v>Benchmark</x:v>
      </x:c>
    </x:row>
    <x:row r="785">
      <x:c r="A785" s="2" t="str">
        <x:v>360003</x:v>
      </x:c>
      <x:c r="B785" s="2" t="str">
        <x:v>UNIVERSITY OF CINCINNATI MEDICAL CENTER, LLC</x:v>
      </x:c>
      <x:c r="C785" s="2" t="str">
        <x:v>CINCINNATI</x:v>
      </x:c>
      <x:c r="D785" s="2" t="str">
        <x:v>OH</x:v>
      </x:c>
      <x:c r="E785" s="2" t="str">
        <x:v>Acute Care Hospitals</x:v>
      </x:c>
      <x:c r="F785" s="2" t="str">
        <x:v>Voluntary non-profit</x:v>
      </x:c>
      <x:c r="G785" s="2" t="str">
        <x:v>Large (300+ beds)</x:v>
      </x:c>
      <x:c r="H785" s="7" t="n">
        <x:v>3</x:v>
      </x:c>
      <x:c r="I785" s="7" t="n">
        <x:v>3</x:v>
      </x:c>
      <x:c r="J785" s="7" t="n">
        <x:v>1.07</x:v>
      </x:c>
      <x:c r="K785" s="8" t="n">
        <x:v>596</x:v>
      </x:c>
      <x:c r="L785" s="8" t="n">
        <x:v>28548</x:v>
      </x:c>
      <x:c r="M785" s="9" t="n">
        <x:v>0.8340581043</x:v>
      </x:c>
      <x:c r="N785" s="10" t="n">
        <x:v>63916.1879991593</x:v>
      </x:c>
      <x:c r="O785" s="9" t="n">
        <x:v>0.0743279877</x:v>
      </x:c>
      <x:c r="P785" s="9" t="n">
        <x:v>0.8422712934</x:v>
      </x:c>
      <x:c r="Q785" s="9" t="n">
        <x:v>0.2570977918</x:v>
      </x:c>
      <x:c r="R785" s="3" t="b">
        <x:v>0</x:v>
      </x:c>
      <x:c r="S785" s="3" t="b">
        <x:v>0</x:v>
      </x:c>
      <x:c r="T785" s="3" t="b">
        <x:v>0</x:v>
      </x:c>
      <x:c r="U785" s="2" t="str">
        <x:f>IF(T785=TRUE,"Priority review",IF(R785=TRUE,"High cost",IF(S785=TRUE,"Low quality","Benchmark")))</x:f>
        <x:v>Benchmark</x:v>
      </x:c>
    </x:row>
    <x:row r="786">
      <x:c r="A786" s="2" t="str">
        <x:v>260195</x:v>
      </x:c>
      <x:c r="B786" s="2" t="str">
        <x:v>CITIZENS MEMORIAL HOSPITAL</x:v>
      </x:c>
      <x:c r="C786" s="2" t="str">
        <x:v>BOLIVAR</x:v>
      </x:c>
      <x:c r="D786" s="2" t="str">
        <x:v>MO</x:v>
      </x:c>
      <x:c r="E786" s="2" t="str">
        <x:v>Acute Care Hospitals</x:v>
      </x:c>
      <x:c r="F786" s="2" t="str">
        <x:v>Government</x:v>
      </x:c>
      <x:c r="G786" s="2" t="str">
        <x:v>Small (&lt;100 beds)</x:v>
      </x:c>
      <x:c r="H786" s="7" t="n">
        <x:v>3</x:v>
      </x:c>
      <x:c r="I786" s="7" t="n">
        <x:v>4</x:v>
      </x:c>
      <x:c r="J786" s="7" t="n">
        <x:v>0.91</x:v>
      </x:c>
      <x:c r="K786" s="8" t="n">
        <x:v>52</x:v>
      </x:c>
      <x:c r="L786" s="8" t="n">
        <x:v>2514</x:v>
      </x:c>
      <x:c r="M786" s="9" t="n">
        <x:v>0.4693361433</x:v>
      </x:c>
      <x:c r="N786" s="10" t="n">
        <x:v>110553.8194112967</x:v>
      </x:c>
      <x:c r="O786" s="9" t="n">
        <x:v>-0.270134128</x:v>
      </x:c>
      <x:c r="P786" s="9" t="n">
        <x:v>0.842010772</x:v>
      </x:c>
      <x:c r="Q786" s="9" t="n">
        <x:v>0.1687612208</x:v>
      </x:c>
      <x:c r="R786" s="3" t="b">
        <x:v>0</x:v>
      </x:c>
      <x:c r="S786" s="3" t="b">
        <x:v>0</x:v>
      </x:c>
      <x:c r="T786" s="3" t="b">
        <x:v>0</x:v>
      </x:c>
      <x:c r="U786" s="2" t="str">
        <x:f>IF(T786=TRUE,"Priority review",IF(R786=TRUE,"High cost",IF(S786=TRUE,"Low quality","Benchmark")))</x:f>
        <x:v>Benchmark</x:v>
      </x:c>
    </x:row>
    <x:row r="787">
      <x:c r="A787" s="2" t="str">
        <x:v>050723</x:v>
      </x:c>
      <x:c r="B787" s="2" t="str">
        <x:v>KAISER FOUNDATION HOSPITAL - BALDWIN PARK</x:v>
      </x:c>
      <x:c r="C787" s="2" t="str">
        <x:v>BALDWIN PARK</x:v>
      </x:c>
      <x:c r="D787" s="2" t="str">
        <x:v>CA</x:v>
      </x:c>
      <x:c r="E787" s="2" t="str">
        <x:v>Acute Care Hospitals</x:v>
      </x:c>
      <x:c r="F787" s="2" t="str">
        <x:v>Voluntary non-profit</x:v>
      </x:c>
      <x:c r="G787" s="2" t="str">
        <x:v>Medium (100-299 beds)</x:v>
      </x:c>
      <x:c r="H787" s="7" t="n">
        <x:v>3</x:v>
      </x:c>
      <x:c r="I787" s="7" t="n">
        <x:v>3</x:v>
      </x:c>
      <x:c r="J787" s="7" t="n">
        <x:v>1</x:v>
      </x:c>
      <x:c r="K787" s="8" t="n">
        <x:v>271</x:v>
      </x:c>
      <x:c r="L787" s="8" t="n">
        <x:v>11421</x:v>
      </x:c>
      <x:c r="M787" s="9" t="n">
        <x:v>0.485481822</x:v>
      </x:c>
      <x:c r="N787" s="10" t="n">
        <x:v>54136.793012871</x:v>
      </x:c>
      <x:c r="O787" s="9" t="n">
        <x:v>0.1050800113</x:v>
      </x:c>
      <x:c r="P787" s="9" t="n">
        <x:v>0.8418907905</x:v>
      </x:c>
      <x:c r="Q787" s="9" t="n">
        <x:v>0.3023634882</x:v>
      </x:c>
      <x:c r="R787" s="3" t="b">
        <x:v>0</x:v>
      </x:c>
      <x:c r="S787" s="3" t="b">
        <x:v>0</x:v>
      </x:c>
      <x:c r="T787" s="3" t="b">
        <x:v>0</x:v>
      </x:c>
      <x:c r="U787" s="2" t="str">
        <x:f>IF(T787=TRUE,"Priority review",IF(R787=TRUE,"High cost",IF(S787=TRUE,"Low quality","Benchmark")))</x:f>
        <x:v>Benchmark</x:v>
      </x:c>
    </x:row>
    <x:row r="788">
      <x:c r="A788" s="2" t="str">
        <x:v>361302</x:v>
      </x:c>
      <x:c r="B788" s="2" t="str">
        <x:v>TWIN CITY MEDICAL CENTER</x:v>
      </x:c>
      <x:c r="C788" s="2" t="str">
        <x:v>DENNISON</x:v>
      </x:c>
      <x:c r="D788" s="2" t="str">
        <x:v>OH</x:v>
      </x:c>
      <x:c r="E788" s="2" t="str">
        <x:v>Critical Access Hospitals</x:v>
      </x:c>
      <x:c r="F788" s="2" t="str">
        <x:v>Voluntary non-profit</x:v>
      </x:c>
      <x:c r="G788" s="2" t="str">
        <x:v>Small (&lt;100 beds)</x:v>
      </x:c>
      <x:c r="H788" s="7"/>
      <x:c r="I788" s="7"/>
      <x:c r="J788" s="7"/>
      <x:c r="K788" s="8" t="n">
        <x:v>25</x:v>
      </x:c>
      <x:c r="L788" s="8" t="n">
        <x:v>98</x:v>
      </x:c>
      <x:c r="M788" s="9" t="n">
        <x:v>0.0458082192</x:v>
      </x:c>
      <x:c r="N788" s="10" t="n">
        <x:v>273068.3367346939</x:v>
      </x:c>
      <x:c r="O788" s="9" t="n">
        <x:v>-0.2621221172</x:v>
      </x:c>
      <x:c r="P788" s="9" t="n">
        <x:v>0.8416356877</x:v>
      </x:c>
      <x:c r="Q788" s="9" t="n">
        <x:v>0.292936803</x:v>
      </x:c>
      <x:c r="R788" s="3" t="b">
        <x:v>0</x:v>
      </x:c>
      <x:c r="S788" s="3" t="b">
        <x:v>0</x:v>
      </x:c>
      <x:c r="T788" s="3" t="b">
        <x:v>0</x:v>
      </x:c>
      <x:c r="U788" s="2" t="str">
        <x:f>IF(T788=TRUE,"Priority review",IF(R788=TRUE,"High cost",IF(S788=TRUE,"Low quality","Benchmark")))</x:f>
        <x:v>Benchmark</x:v>
      </x:c>
    </x:row>
    <x:row r="789">
      <x:c r="A789" s="2" t="str">
        <x:v>204005</x:v>
      </x:c>
      <x:c r="B789" s="2" t="str">
        <x:v>MAINEHEALTH BEHAVIORAL HEALTH AT SPRING HARBOR</x:v>
      </x:c>
      <x:c r="C789" s="2" t="str">
        <x:v>WESTBROOK</x:v>
      </x:c>
      <x:c r="D789" s="2" t="str">
        <x:v>ME</x:v>
      </x:c>
      <x:c r="E789" s="2" t="str">
        <x:v>Psychiatric</x:v>
      </x:c>
      <x:c r="F789" s="2" t="str">
        <x:v>Government</x:v>
      </x:c>
      <x:c r="G789" s="2" t="str">
        <x:v>Small (&lt;100 beds)</x:v>
      </x:c>
      <x:c r="H789" s="7"/>
      <x:c r="I789" s="7"/>
      <x:c r="J789" s="7"/>
      <x:c r="K789" s="8" t="n">
        <x:v>95</x:v>
      </x:c>
      <x:c r="L789" s="8" t="n">
        <x:v>1462</x:v>
      </x:c>
      <x:c r="M789" s="9" t="n">
        <x:v>0.7049755536</x:v>
      </x:c>
      <x:c r="N789" s="10" t="n">
        <x:v>84197.2106703146</x:v>
      </x:c>
      <x:c r="O789" s="9" t="n">
        <x:v>-0.2619878407</x:v>
      </x:c>
      <x:c r="P789" s="9" t="n">
        <x:v>0.8414239482</x:v>
      </x:c>
      <x:c r="Q789" s="9" t="n">
        <x:v>0</x:v>
      </x:c>
      <x:c r="R789" s="3" t="b">
        <x:v>0</x:v>
      </x:c>
      <x:c r="S789" s="3" t="b">
        <x:v>0</x:v>
      </x:c>
      <x:c r="T789" s="3" t="b">
        <x:v>0</x:v>
      </x:c>
      <x:c r="U789" s="2" t="str">
        <x:f>IF(T789=TRUE,"Priority review",IF(R789=TRUE,"High cost",IF(S789=TRUE,"Low quality","Benchmark")))</x:f>
        <x:v>Benchmark</x:v>
      </x:c>
    </x:row>
    <x:row r="790">
      <x:c r="A790" s="2" t="str">
        <x:v>160040</x:v>
      </x:c>
      <x:c r="B790" s="2" t="str">
        <x:v>SARTORI MEMORIAL HOSPITAL, INC</x:v>
      </x:c>
      <x:c r="C790" s="2" t="str">
        <x:v>CEDAR FALLS</x:v>
      </x:c>
      <x:c r="D790" s="2" t="str">
        <x:v>IA</x:v>
      </x:c>
      <x:c r="E790" s="2" t="str">
        <x:v>Acute Care Hospitals</x:v>
      </x:c>
      <x:c r="F790" s="2" t="str">
        <x:v>Voluntary non-profit</x:v>
      </x:c>
      <x:c r="G790" s="2" t="str">
        <x:v>Small (&lt;100 beds)</x:v>
      </x:c>
      <x:c r="H790" s="7"/>
      <x:c r="I790" s="7"/>
      <x:c r="J790" s="7" t="n">
        <x:v>0.92</x:v>
      </x:c>
      <x:c r="K790" s="8" t="n">
        <x:v>35</x:v>
      </x:c>
      <x:c r="L790" s="8" t="n">
        <x:v>348</x:v>
      </x:c>
      <x:c r="M790" s="9" t="n">
        <x:v>0.1014481409</x:v>
      </x:c>
      <x:c r="N790" s="10" t="n">
        <x:v>109985.5143678161</x:v>
      </x:c>
      <x:c r="O790" s="9" t="n">
        <x:v>0.1148400673</x:v>
      </x:c>
      <x:c r="P790" s="9" t="n">
        <x:v>0.8411131059</x:v>
      </x:c>
      <x:c r="Q790" s="9" t="n">
        <x:v>0.697486535</x:v>
      </x:c>
      <x:c r="R790" s="3" t="b">
        <x:v>0</x:v>
      </x:c>
      <x:c r="S790" s="3" t="b">
        <x:v>0</x:v>
      </x:c>
      <x:c r="T790" s="3" t="b">
        <x:v>0</x:v>
      </x:c>
      <x:c r="U790" s="2" t="str">
        <x:f>IF(T790=TRUE,"Priority review",IF(R790=TRUE,"High cost",IF(S790=TRUE,"Low quality","Benchmark")))</x:f>
        <x:v>Benchmark</x:v>
      </x:c>
    </x:row>
    <x:row r="791">
      <x:c r="A791" s="2" t="str">
        <x:v>220036</x:v>
      </x:c>
      <x:c r="B791" s="2" t="str">
        <x:v>BOSTON MEDICAL CENTER-BRIGHTON</x:v>
      </x:c>
      <x:c r="C791" s="2" t="str">
        <x:v>BRIGHTON</x:v>
      </x:c>
      <x:c r="D791" s="2" t="str">
        <x:v>MA</x:v>
      </x:c>
      <x:c r="E791" s="2" t="str">
        <x:v>Acute Care Hospitals</x:v>
      </x:c>
      <x:c r="F791" s="2" t="str">
        <x:v>Proprietary</x:v>
      </x:c>
      <x:c r="G791" s="2" t="str">
        <x:v>Medium (100-299 beds)</x:v>
      </x:c>
      <x:c r="H791" s="7" t="n">
        <x:v>3</x:v>
      </x:c>
      <x:c r="I791" s="7" t="n">
        <x:v>3</x:v>
      </x:c>
      <x:c r="J791" s="7" t="n">
        <x:v>1.06</x:v>
      </x:c>
      <x:c r="K791" s="8" t="n">
        <x:v>244</x:v>
      </x:c>
      <x:c r="L791" s="8" t="n">
        <x:v>6099</x:v>
      </x:c>
      <x:c r="M791" s="9" t="n">
        <x:v>0.507613378</x:v>
      </x:c>
      <x:c r="N791" s="10" t="n">
        <x:v>54125.463190687</x:v>
      </x:c>
      <x:c r="O791" s="9" t="n">
        <x:v>-0.3957104571</x:v>
      </x:c>
      <x:c r="P791" s="9" t="n">
        <x:v>0.8410757946</x:v>
      </x:c>
      <x:c r="Q791" s="9" t="n">
        <x:v>0.3023634882</x:v>
      </x:c>
      <x:c r="R791" s="3" t="b">
        <x:v>0</x:v>
      </x:c>
      <x:c r="S791" s="3" t="b">
        <x:v>0</x:v>
      </x:c>
      <x:c r="T791" s="3" t="b">
        <x:v>0</x:v>
      </x:c>
      <x:c r="U791" s="2" t="str">
        <x:f>IF(T791=TRUE,"Priority review",IF(R791=TRUE,"High cost",IF(S791=TRUE,"Low quality","Benchmark")))</x:f>
        <x:v>Benchmark</x:v>
      </x:c>
    </x:row>
    <x:row r="792">
      <x:c r="A792" s="2" t="str">
        <x:v>371326</x:v>
      </x:c>
      <x:c r="B792" s="2" t="str">
        <x:v>ALLIANCEHEALTH MADILL</x:v>
      </x:c>
      <x:c r="C792" s="2" t="str">
        <x:v>MADILL</x:v>
      </x:c>
      <x:c r="D792" s="2" t="str">
        <x:v>OK</x:v>
      </x:c>
      <x:c r="E792" s="2" t="str">
        <x:v>Critical Access Hospitals</x:v>
      </x:c>
      <x:c r="F792" s="2" t="str">
        <x:v>Voluntary non-profit</x:v>
      </x:c>
      <x:c r="G792" s="2" t="str">
        <x:v>Small (&lt;100 beds)</x:v>
      </x:c>
      <x:c r="H792" s="7"/>
      <x:c r="I792" s="7"/>
      <x:c r="J792" s="7"/>
      <x:c r="K792" s="8" t="n">
        <x:v>25</x:v>
      </x:c>
      <x:c r="L792" s="8" t="n">
        <x:v>78</x:v>
      </x:c>
      <x:c r="M792" s="9" t="n">
        <x:v>0.2842739726</x:v>
      </x:c>
      <x:c r="N792" s="10" t="n">
        <x:v>272936.7948717949</x:v>
      </x:c>
      <x:c r="O792" s="9" t="n">
        <x:v>0.1596053391</x:v>
      </x:c>
      <x:c r="P792" s="9" t="n">
        <x:v>0.8408921933</x:v>
      </x:c>
      <x:c r="Q792" s="9" t="n">
        <x:v>0.292936803</x:v>
      </x:c>
      <x:c r="R792" s="3" t="b">
        <x:v>0</x:v>
      </x:c>
      <x:c r="S792" s="3" t="b">
        <x:v>0</x:v>
      </x:c>
      <x:c r="T792" s="3" t="b">
        <x:v>0</x:v>
      </x:c>
      <x:c r="U792" s="2" t="str">
        <x:f>IF(T792=TRUE,"Priority review",IF(R792=TRUE,"High cost",IF(S792=TRUE,"Low quality","Benchmark")))</x:f>
        <x:v>Benchmark</x:v>
      </x:c>
    </x:row>
    <x:row r="793">
      <x:c r="A793" s="2" t="str">
        <x:v>304000</x:v>
      </x:c>
      <x:c r="B793" s="2" t="str">
        <x:v>NEW HAMPSHIRE HOSPITAL</x:v>
      </x:c>
      <x:c r="C793" s="2" t="str">
        <x:v>CONCORD</x:v>
      </x:c>
      <x:c r="D793" s="2" t="str">
        <x:v>NH</x:v>
      </x:c>
      <x:c r="E793" s="2" t="str">
        <x:v>Psychiatric</x:v>
      </x:c>
      <x:c r="F793" s="2" t="str">
        <x:v>Government</x:v>
      </x:c>
      <x:c r="G793" s="2" t="str">
        <x:v>Medium (100-299 beds)</x:v>
      </x:c>
      <x:c r="H793" s="7"/>
      <x:c r="I793" s="7"/>
      <x:c r="J793" s="7"/>
      <x:c r="K793" s="8" t="n">
        <x:v>179</x:v>
      </x:c>
      <x:c r="L793" s="8" t="n">
        <x:v>908</x:v>
      </x:c>
      <x:c r="M793" s="9" t="n">
        <x:v>0.9882451978</x:v>
      </x:c>
      <x:c r="N793" s="10" t="n">
        <x:v>116315.0594713656</x:v>
      </x:c>
      <x:c r="O793" s="9"/>
      <x:c r="P793" s="9" t="n">
        <x:v>0.8407960199</x:v>
      </x:c>
      <x:c r="Q793" s="9" t="n">
        <x:v>0</x:v>
      </x:c>
      <x:c r="R793" s="3" t="b">
        <x:v>0</x:v>
      </x:c>
      <x:c r="S793" s="3" t="b">
        <x:v>0</x:v>
      </x:c>
      <x:c r="T793" s="3" t="b">
        <x:v>0</x:v>
      </x:c>
      <x:c r="U793" s="2" t="str">
        <x:f>IF(T793=TRUE,"Priority review",IF(R793=TRUE,"High cost",IF(S793=TRUE,"Low quality","Benchmark")))</x:f>
        <x:v>Benchmark</x:v>
      </x:c>
    </x:row>
    <x:row r="794">
      <x:c r="A794" s="2" t="str">
        <x:v>190005</x:v>
      </x:c>
      <x:c r="B794" s="2" t="str">
        <x:v>UNIVERSITY MEDICAL CENTER NEW ORLEANS</x:v>
      </x:c>
      <x:c r="C794" s="2" t="str">
        <x:v>NEW ORLEANS</x:v>
      </x:c>
      <x:c r="D794" s="2" t="str">
        <x:v>LA</x:v>
      </x:c>
      <x:c r="E794" s="2" t="str">
        <x:v>Acute Care Hospitals</x:v>
      </x:c>
      <x:c r="F794" s="2" t="str">
        <x:v>Voluntary non-profit</x:v>
      </x:c>
      <x:c r="G794" s="2" t="str">
        <x:v>Large (300+ beds)</x:v>
      </x:c>
      <x:c r="H794" s="7" t="n">
        <x:v>2</x:v>
      </x:c>
      <x:c r="I794" s="7" t="n">
        <x:v>3</x:v>
      </x:c>
      <x:c r="J794" s="7" t="n">
        <x:v>1.02</x:v>
      </x:c>
      <x:c r="K794" s="8" t="n">
        <x:v>326</x:v>
      </x:c>
      <x:c r="L794" s="8" t="n">
        <x:v>13540</x:v>
      </x:c>
      <x:c r="M794" s="9" t="n">
        <x:v>0.8239301999</x:v>
      </x:c>
      <x:c r="N794" s="10" t="n">
        <x:v>63804.9194977843</x:v>
      </x:c>
      <x:c r="O794" s="9" t="n">
        <x:v>-0.1699169394</x:v>
      </x:c>
      <x:c r="P794" s="9" t="n">
        <x:v>0.8406940063</x:v>
      </x:c>
      <x:c r="Q794" s="9" t="n">
        <x:v>0.0536277603</x:v>
      </x:c>
      <x:c r="R794" s="3" t="b">
        <x:v>0</x:v>
      </x:c>
      <x:c r="S794" s="3" t="b">
        <x:v>1</x:v>
      </x:c>
      <x:c r="T794" s="3" t="b">
        <x:v>0</x:v>
      </x:c>
      <x:c r="U794" s="2" t="str">
        <x:f>IF(T794=TRUE,"Priority review",IF(R794=TRUE,"High cost",IF(S794=TRUE,"Low quality","Benchmark")))</x:f>
        <x:v>Low quality</x:v>
      </x:c>
    </x:row>
    <x:row r="795">
      <x:c r="A795" s="2" t="str">
        <x:v>360048</x:v>
      </x:c>
      <x:c r="B795" s="2" t="str">
        <x:v>UNIVERSITY OF TOLEDO MEDICAL CENTER</x:v>
      </x:c>
      <x:c r="C795" s="2" t="str">
        <x:v>TOLEDO</x:v>
      </x:c>
      <x:c r="D795" s="2" t="str">
        <x:v>OH</x:v>
      </x:c>
      <x:c r="E795" s="2" t="str">
        <x:v>Acute Care Hospitals</x:v>
      </x:c>
      <x:c r="F795" s="2" t="str">
        <x:v>Government</x:v>
      </x:c>
      <x:c r="G795" s="2" t="str">
        <x:v>Medium (100-299 beds)</x:v>
      </x:c>
      <x:c r="H795" s="7" t="n">
        <x:v>3</x:v>
      </x:c>
      <x:c r="I795" s="7" t="n">
        <x:v>3</x:v>
      </x:c>
      <x:c r="J795" s="7" t="n">
        <x:v>1.02</x:v>
      </x:c>
      <x:c r="K795" s="8" t="n">
        <x:v>212</x:v>
      </x:c>
      <x:c r="L795" s="8" t="n">
        <x:v>9369</x:v>
      </x:c>
      <x:c r="M795" s="9" t="n">
        <x:v>0.6047815973</x:v>
      </x:c>
      <x:c r="N795" s="10" t="n">
        <x:v>54104.0118475824</x:v>
      </x:c>
      <x:c r="O795" s="9" t="n">
        <x:v>-0.4337697203</x:v>
      </x:c>
      <x:c r="P795" s="9" t="n">
        <x:v>0.8402607987</x:v>
      </x:c>
      <x:c r="Q795" s="9" t="n">
        <x:v>0.3023634882</x:v>
      </x:c>
      <x:c r="R795" s="3" t="b">
        <x:v>0</x:v>
      </x:c>
      <x:c r="S795" s="3" t="b">
        <x:v>0</x:v>
      </x:c>
      <x:c r="T795" s="3" t="b">
        <x:v>0</x:v>
      </x:c>
      <x:c r="U795" s="2" t="str">
        <x:f>IF(T795=TRUE,"Priority review",IF(R795=TRUE,"High cost",IF(S795=TRUE,"Low quality","Benchmark")))</x:f>
        <x:v>Benchmark</x:v>
      </x:c>
    </x:row>
    <x:row r="796">
      <x:c r="A796" s="2" t="str">
        <x:v>140300</x:v>
      </x:c>
      <x:c r="B796" s="2" t="str">
        <x:v>PROVIDENT HOSPITAL OF CHICAGO</x:v>
      </x:c>
      <x:c r="C796" s="2" t="str">
        <x:v>CHICAGO</x:v>
      </x:c>
      <x:c r="D796" s="2" t="str">
        <x:v>IL</x:v>
      </x:c>
      <x:c r="E796" s="2" t="str">
        <x:v>Acute Care Hospitals</x:v>
      </x:c>
      <x:c r="F796" s="2" t="str">
        <x:v>Government</x:v>
      </x:c>
      <x:c r="G796" s="2" t="str">
        <x:v>Small (&lt;100 beds)</x:v>
      </x:c>
      <x:c r="H796" s="7"/>
      <x:c r="I796" s="7"/>
      <x:c r="J796" s="7" t="n">
        <x:v>0.75</x:v>
      </x:c>
      <x:c r="K796" s="8" t="n">
        <x:v>34</x:v>
      </x:c>
      <x:c r="L796" s="8" t="n">
        <x:v>910</x:v>
      </x:c>
      <x:c r="M796" s="9" t="n">
        <x:v>0.2583212735</x:v>
      </x:c>
      <x:c r="N796" s="10" t="n">
        <x:v>109809.5879120879</x:v>
      </x:c>
      <x:c r="O796" s="9" t="n">
        <x:v>-1.2373652785</x:v>
      </x:c>
      <x:c r="P796" s="9" t="n">
        <x:v>0.8402154399</x:v>
      </x:c>
      <x:c r="Q796" s="9" t="n">
        <x:v>0.697486535</x:v>
      </x:c>
      <x:c r="R796" s="3" t="b">
        <x:v>0</x:v>
      </x:c>
      <x:c r="S796" s="3" t="b">
        <x:v>0</x:v>
      </x:c>
      <x:c r="T796" s="3" t="b">
        <x:v>0</x:v>
      </x:c>
      <x:c r="U796" s="2" t="str">
        <x:f>IF(T796=TRUE,"Priority review",IF(R796=TRUE,"High cost",IF(S796=TRUE,"Low quality","Benchmark")))</x:f>
        <x:v>Benchmark</x:v>
      </x:c>
    </x:row>
    <x:row r="797">
      <x:c r="A797" s="2" t="str">
        <x:v>351314</x:v>
      </x:c>
      <x:c r="B797" s="2" t="str">
        <x:v>JACOBSON MEMORIAL HOSPITAL CARE CENTER</x:v>
      </x:c>
      <x:c r="C797" s="2" t="str">
        <x:v>ELGIN</x:v>
      </x:c>
      <x:c r="D797" s="2" t="str">
        <x:v>ND</x:v>
      </x:c>
      <x:c r="E797" s="2" t="str">
        <x:v>Critical Access Hospitals</x:v>
      </x:c>
      <x:c r="F797" s="2" t="str">
        <x:v>Voluntary non-profit</x:v>
      </x:c>
      <x:c r="G797" s="2" t="str">
        <x:v>Small (&lt;100 beds)</x:v>
      </x:c>
      <x:c r="H797" s="7"/>
      <x:c r="I797" s="7"/>
      <x:c r="J797" s="7"/>
      <x:c r="K797" s="8" t="n">
        <x:v>25</x:v>
      </x:c>
      <x:c r="L797" s="8" t="n">
        <x:v>53</x:v>
      </x:c>
      <x:c r="M797" s="9" t="n">
        <x:v>0.7852054795</x:v>
      </x:c>
      <x:c r="N797" s="10" t="n">
        <x:v>272811.2264150943</x:v>
      </x:c>
      <x:c r="O797" s="9" t="n">
        <x:v>-0.1264134901</x:v>
      </x:c>
      <x:c r="P797" s="9" t="n">
        <x:v>0.8401486989</x:v>
      </x:c>
      <x:c r="Q797" s="9" t="n">
        <x:v>0.292936803</x:v>
      </x:c>
      <x:c r="R797" s="3" t="b">
        <x:v>0</x:v>
      </x:c>
      <x:c r="S797" s="3" t="b">
        <x:v>0</x:v>
      </x:c>
      <x:c r="T797" s="3" t="b">
        <x:v>0</x:v>
      </x:c>
      <x:c r="U797" s="2" t="str">
        <x:f>IF(T797=TRUE,"Priority review",IF(R797=TRUE,"High cost",IF(S797=TRUE,"Low quality","Benchmark")))</x:f>
        <x:v>Benchmark</x:v>
      </x:c>
    </x:row>
    <x:row r="798">
      <x:c r="A798" s="2" t="str">
        <x:v>344025</x:v>
      </x:c>
      <x:c r="B798" s="2" t="str">
        <x:v>BROUGHTON HOSPITAL</x:v>
      </x:c>
      <x:c r="C798" s="2" t="str">
        <x:v>MORGANTON</x:v>
      </x:c>
      <x:c r="D798" s="2" t="str">
        <x:v>NC</x:v>
      </x:c>
      <x:c r="E798" s="2" t="str">
        <x:v>Psychiatric</x:v>
      </x:c>
      <x:c r="F798" s="2" t="str">
        <x:v>Government</x:v>
      </x:c>
      <x:c r="G798" s="2" t="str">
        <x:v>Large (300+ beds)</x:v>
      </x:c>
      <x:c r="H798" s="7"/>
      <x:c r="I798" s="7"/>
      <x:c r="J798" s="7"/>
      <x:c r="K798" s="8" t="n">
        <x:v>382</x:v>
      </x:c>
      <x:c r="L798" s="8" t="n">
        <x:v>199</x:v>
      </x:c>
      <x:c r="M798" s="9" t="n">
        <x:v>0.4135910493</x:v>
      </x:c>
      <x:c r="N798" s="10" t="n">
        <x:v>934665.7336683417</x:v>
      </x:c>
      <x:c r="O798" s="9" t="n">
        <x:v>-1.1023354617</x:v>
      </x:c>
      <x:c r="P798" s="9" t="n">
        <x:v>0.84</x:v>
      </x:c>
      <x:c r="Q798" s="9" t="n">
        <x:v>0</x:v>
      </x:c>
      <x:c r="R798" s="3" t="b">
        <x:v>0</x:v>
      </x:c>
      <x:c r="S798" s="3" t="b">
        <x:v>0</x:v>
      </x:c>
      <x:c r="T798" s="3" t="b">
        <x:v>0</x:v>
      </x:c>
      <x:c r="U798" s="2" t="str">
        <x:f>IF(T798=TRUE,"Priority review",IF(R798=TRUE,"High cost",IF(S798=TRUE,"Low quality","Benchmark")))</x:f>
        <x:v>Benchmark</x:v>
      </x:c>
    </x:row>
    <x:row r="799">
      <x:c r="A799" s="2" t="str">
        <x:v>330094</x:v>
      </x:c>
      <x:c r="B799" s="2" t="str">
        <x:v>COLUMBIA MEMORIAL HOSPITAL</x:v>
      </x:c>
      <x:c r="C799" s="2" t="str">
        <x:v>HUDSON</x:v>
      </x:c>
      <x:c r="D799" s="2" t="str">
        <x:v>NY</x:v>
      </x:c>
      <x:c r="E799" s="2" t="str">
        <x:v>Acute Care Hospitals</x:v>
      </x:c>
      <x:c r="F799" s="2" t="str">
        <x:v>Voluntary non-profit</x:v>
      </x:c>
      <x:c r="G799" s="2" t="str">
        <x:v>Medium (100-299 beds)</x:v>
      </x:c>
      <x:c r="H799" s="7" t="n">
        <x:v>1</x:v>
      </x:c>
      <x:c r="I799" s="7" t="n">
        <x:v>2</x:v>
      </x:c>
      <x:c r="J799" s="7" t="n">
        <x:v>0.98</x:v>
      </x:c>
      <x:c r="K799" s="8" t="n">
        <x:v>192</x:v>
      </x:c>
      <x:c r="L799" s="8" t="n">
        <x:v>3340</x:v>
      </x:c>
      <x:c r="M799" s="9" t="n">
        <x:v>0.3636014344</x:v>
      </x:c>
      <x:c r="N799" s="10" t="n">
        <x:v>54031.5733532934</x:v>
      </x:c>
      <x:c r="O799" s="9" t="n">
        <x:v>-0.1521116471</x:v>
      </x:c>
      <x:c r="P799" s="9" t="n">
        <x:v>0.8394458028</x:v>
      </x:c>
      <x:c r="Q799" s="9" t="n">
        <x:v>0</x:v>
      </x:c>
      <x:c r="R799" s="3" t="b">
        <x:v>0</x:v>
      </x:c>
      <x:c r="S799" s="3" t="b">
        <x:v>1</x:v>
      </x:c>
      <x:c r="T799" s="3" t="b">
        <x:v>0</x:v>
      </x:c>
      <x:c r="U799" s="2" t="str">
        <x:f>IF(T799=TRUE,"Priority review",IF(R799=TRUE,"High cost",IF(S799=TRUE,"Low quality","Benchmark")))</x:f>
        <x:v>Low quality</x:v>
      </x:c>
    </x:row>
    <x:row r="800">
      <x:c r="A800" s="2" t="str">
        <x:v>271326</x:v>
      </x:c>
      <x:c r="B800" s="2" t="str">
        <x:v>BEARTOOTH BILLINGS CLINIC</x:v>
      </x:c>
      <x:c r="C800" s="2" t="str">
        <x:v>RED LODGE</x:v>
      </x:c>
      <x:c r="D800" s="2" t="str">
        <x:v>MT</x:v>
      </x:c>
      <x:c r="E800" s="2" t="str">
        <x:v>Critical Access Hospitals</x:v>
      </x:c>
      <x:c r="F800" s="2" t="str">
        <x:v>Voluntary non-profit</x:v>
      </x:c>
      <x:c r="G800" s="2" t="str">
        <x:v>Small (&lt;100 beds)</x:v>
      </x:c>
      <x:c r="H800" s="7"/>
      <x:c r="I800" s="7"/>
      <x:c r="J800" s="7"/>
      <x:c r="K800" s="8" t="n">
        <x:v>10</x:v>
      </x:c>
      <x:c r="L800" s="8" t="n">
        <x:v>81</x:v>
      </x:c>
      <x:c r="M800" s="9" t="n">
        <x:v>0.3035616438</x:v>
      </x:c>
      <x:c r="N800" s="10" t="n">
        <x:v>272468.0493827161</x:v>
      </x:c>
      <x:c r="O800" s="9" t="n">
        <x:v>-0.0390265483</x:v>
      </x:c>
      <x:c r="P800" s="9" t="n">
        <x:v>0.8394052045</x:v>
      </x:c>
      <x:c r="Q800" s="9" t="n">
        <x:v>0.292936803</x:v>
      </x:c>
      <x:c r="R800" s="3" t="b">
        <x:v>0</x:v>
      </x:c>
      <x:c r="S800" s="3" t="b">
        <x:v>0</x:v>
      </x:c>
      <x:c r="T800" s="3" t="b">
        <x:v>0</x:v>
      </x:c>
      <x:c r="U800" s="2" t="str">
        <x:f>IF(T800=TRUE,"Priority review",IF(R800=TRUE,"High cost",IF(S800=TRUE,"Low quality","Benchmark")))</x:f>
        <x:v>Benchmark</x:v>
      </x:c>
    </x:row>
    <x:row r="801">
      <x:c r="A801" s="2" t="str">
        <x:v>370057</x:v>
      </x:c>
      <x:c r="B801" s="2" t="str">
        <x:v>MUSCOGEE (CREEK) NATION MEDICAL CENTER</x:v>
      </x:c>
      <x:c r="C801" s="2" t="str">
        <x:v>OKMULGEE</x:v>
      </x:c>
      <x:c r="D801" s="2" t="str">
        <x:v>OK</x:v>
      </x:c>
      <x:c r="E801" s="2" t="str">
        <x:v>Acute Care Hospitals</x:v>
      </x:c>
      <x:c r="F801" s="2" t="str">
        <x:v>Other / unknown</x:v>
      </x:c>
      <x:c r="G801" s="2" t="str">
        <x:v>Small (&lt;100 beds)</x:v>
      </x:c>
      <x:c r="H801" s="7"/>
      <x:c r="I801" s="7"/>
      <x:c r="J801" s="7" t="n">
        <x:v>0.98</x:v>
      </x:c>
      <x:c r="K801" s="8" t="n">
        <x:v>50</x:v>
      </x:c>
      <x:c r="L801" s="8" t="n">
        <x:v>307</x:v>
      </x:c>
      <x:c r="M801" s="9" t="n">
        <x:v>0.0648087432</x:v>
      </x:c>
      <x:c r="N801" s="10" t="n">
        <x:v>109744.8273615635</x:v>
      </x:c>
      <x:c r="O801" s="9" t="n">
        <x:v>-0.1930953465</x:v>
      </x:c>
      <x:c r="P801" s="9" t="n">
        <x:v>0.8393177738</x:v>
      </x:c>
      <x:c r="Q801" s="9" t="n">
        <x:v>0.697486535</x:v>
      </x:c>
      <x:c r="R801" s="3" t="b">
        <x:v>0</x:v>
      </x:c>
      <x:c r="S801" s="3" t="b">
        <x:v>0</x:v>
      </x:c>
      <x:c r="T801" s="3" t="b">
        <x:v>0</x:v>
      </x:c>
      <x:c r="U801" s="2" t="str">
        <x:f>IF(T801=TRUE,"Priority review",IF(R801=TRUE,"High cost",IF(S801=TRUE,"Low quality","Benchmark")))</x:f>
        <x:v>Benchmark</x:v>
      </x:c>
    </x:row>
    <x:row r="802">
      <x:c r="A802" s="2" t="str">
        <x:v>330125</x:v>
      </x:c>
      <x:c r="B802" s="2" t="str">
        <x:v>ROCHESTER GENERAL HOSPITAL</x:v>
      </x:c>
      <x:c r="C802" s="2" t="str">
        <x:v>ROCHESTER</x:v>
      </x:c>
      <x:c r="D802" s="2" t="str">
        <x:v>NY</x:v>
      </x:c>
      <x:c r="E802" s="2" t="str">
        <x:v>Acute Care Hospitals</x:v>
      </x:c>
      <x:c r="F802" s="2" t="str">
        <x:v>Voluntary non-profit</x:v>
      </x:c>
      <x:c r="G802" s="2" t="str">
        <x:v>Large (300+ beds)</x:v>
      </x:c>
      <x:c r="H802" s="7" t="n">
        <x:v>2</x:v>
      </x:c>
      <x:c r="I802" s="7" t="n">
        <x:v>2</x:v>
      </x:c>
      <x:c r="J802" s="7" t="n">
        <x:v>0.92</x:v>
      </x:c>
      <x:c r="K802" s="8" t="n">
        <x:v>470</x:v>
      </x:c>
      <x:c r="L802" s="8" t="n">
        <x:v>26150</x:v>
      </x:c>
      <x:c r="M802" s="9" t="n">
        <x:v>1.0126903848</x:v>
      </x:c>
      <x:c r="N802" s="10" t="n">
        <x:v>63785.9489101338</x:v>
      </x:c>
      <x:c r="O802" s="9" t="n">
        <x:v>-0.2580910329</x:v>
      </x:c>
      <x:c r="P802" s="9" t="n">
        <x:v>0.8391167192</x:v>
      </x:c>
      <x:c r="Q802" s="9" t="n">
        <x:v>0.0536277603</x:v>
      </x:c>
      <x:c r="R802" s="3" t="b">
        <x:v>0</x:v>
      </x:c>
      <x:c r="S802" s="3" t="b">
        <x:v>1</x:v>
      </x:c>
      <x:c r="T802" s="3" t="b">
        <x:v>0</x:v>
      </x:c>
      <x:c r="U802" s="2" t="str">
        <x:f>IF(T802=TRUE,"Priority review",IF(R802=TRUE,"High cost",IF(S802=TRUE,"Low quality","Benchmark")))</x:f>
        <x:v>Low quality</x:v>
      </x:c>
    </x:row>
    <x:row r="803">
      <x:c r="A803" s="2" t="str">
        <x:v>241335</x:v>
      </x:c>
      <x:c r="B803" s="2" t="str">
        <x:v>ST ELIZABETH MEDICAL CENTER</x:v>
      </x:c>
      <x:c r="C803" s="2" t="str">
        <x:v>WABASHA</x:v>
      </x:c>
      <x:c r="D803" s="2" t="str">
        <x:v>MN</x:v>
      </x:c>
      <x:c r="E803" s="2" t="str">
        <x:v>Critical Access Hospitals</x:v>
      </x:c>
      <x:c r="F803" s="2" t="str">
        <x:v>Proprietary</x:v>
      </x:c>
      <x:c r="G803" s="2" t="str">
        <x:v>Small (&lt;100 beds)</x:v>
      </x:c>
      <x:c r="H803" s="7"/>
      <x:c r="I803" s="7"/>
      <x:c r="J803" s="7"/>
      <x:c r="K803" s="8" t="n">
        <x:v>14</x:v>
      </x:c>
      <x:c r="L803" s="8" t="n">
        <x:v>168</x:v>
      </x:c>
      <x:c r="M803" s="9" t="n">
        <x:v>0.6120218579</x:v>
      </x:c>
      <x:c r="N803" s="10" t="n">
        <x:v>272226.3214285714</x:v>
      </x:c>
      <x:c r="O803" s="9" t="n">
        <x:v>0.0017973706</x:v>
      </x:c>
      <x:c r="P803" s="9" t="n">
        <x:v>0.83866171</x:v>
      </x:c>
      <x:c r="Q803" s="9" t="n">
        <x:v>0.292936803</x:v>
      </x:c>
      <x:c r="R803" s="3" t="b">
        <x:v>0</x:v>
      </x:c>
      <x:c r="S803" s="3" t="b">
        <x:v>0</x:v>
      </x:c>
      <x:c r="T803" s="3" t="b">
        <x:v>0</x:v>
      </x:c>
      <x:c r="U803" s="2" t="str">
        <x:f>IF(T803=TRUE,"Priority review",IF(R803=TRUE,"High cost",IF(S803=TRUE,"Low quality","Benchmark")))</x:f>
        <x:v>Benchmark</x:v>
      </x:c>
    </x:row>
    <x:row r="804">
      <x:c r="A804" s="2" t="str">
        <x:v>060103</x:v>
      </x:c>
      <x:c r="B804" s="2" t="str">
        <x:v>ADVENTHEALTH AVISTA</x:v>
      </x:c>
      <x:c r="C804" s="2" t="str">
        <x:v>LOUISVILLE</x:v>
      </x:c>
      <x:c r="D804" s="2" t="str">
        <x:v>CO</x:v>
      </x:c>
      <x:c r="E804" s="2" t="str">
        <x:v>Acute Care Hospitals</x:v>
      </x:c>
      <x:c r="F804" s="2" t="str">
        <x:v>Voluntary non-profit</x:v>
      </x:c>
      <x:c r="G804" s="2" t="str">
        <x:v>Medium (100-299 beds)</x:v>
      </x:c>
      <x:c r="H804" s="7" t="n">
        <x:v>4</x:v>
      </x:c>
      <x:c r="I804" s="7" t="n">
        <x:v>4</x:v>
      </x:c>
      <x:c r="J804" s="7" t="n">
        <x:v>0.96</x:v>
      </x:c>
      <x:c r="K804" s="8" t="n">
        <x:v>108</x:v>
      </x:c>
      <x:c r="L804" s="8" t="n">
        <x:v>4037</x:v>
      </x:c>
      <x:c r="M804" s="9" t="n">
        <x:v>0.4010827768</x:v>
      </x:c>
      <x:c r="N804" s="10" t="n">
        <x:v>54022.7565023532</x:v>
      </x:c>
      <x:c r="O804" s="9" t="n">
        <x:v>0.02297698</x:v>
      </x:c>
      <x:c r="P804" s="9" t="n">
        <x:v>0.8386308068</x:v>
      </x:c>
      <x:c r="Q804" s="9" t="n">
        <x:v>0.6022819886</x:v>
      </x:c>
      <x:c r="R804" s="3" t="b">
        <x:v>0</x:v>
      </x:c>
      <x:c r="S804" s="3" t="b">
        <x:v>0</x:v>
      </x:c>
      <x:c r="T804" s="3" t="b">
        <x:v>0</x:v>
      </x:c>
      <x:c r="U804" s="2" t="str">
        <x:f>IF(T804=TRUE,"Priority review",IF(R804=TRUE,"High cost",IF(S804=TRUE,"Low quality","Benchmark")))</x:f>
        <x:v>Benchmark</x:v>
      </x:c>
    </x:row>
    <x:row r="805">
      <x:c r="A805" s="2" t="str">
        <x:v>030113</x:v>
      </x:c>
      <x:c r="B805" s="2" t="str">
        <x:v>WHITERIVER PHS INDIAN HOSPITAL</x:v>
      </x:c>
      <x:c r="C805" s="2" t="str">
        <x:v>WHITERIVER</x:v>
      </x:c>
      <x:c r="D805" s="2" t="str">
        <x:v>AZ</x:v>
      </x:c>
      <x:c r="E805" s="2" t="str">
        <x:v>Acute Care Hospitals</x:v>
      </x:c>
      <x:c r="F805" s="2" t="str">
        <x:v>Government</x:v>
      </x:c>
      <x:c r="G805" s="2" t="str">
        <x:v>Small (&lt;100 beds)</x:v>
      </x:c>
      <x:c r="H805" s="7"/>
      <x:c r="I805" s="7" t="n">
        <x:v>3</x:v>
      </x:c>
      <x:c r="J805" s="7" t="n">
        <x:v>0.71</x:v>
      </x:c>
      <x:c r="K805" s="8" t="n">
        <x:v>40</x:v>
      </x:c>
      <x:c r="L805" s="8" t="n">
        <x:v>1275</x:v>
      </x:c>
      <x:c r="M805" s="9" t="n">
        <x:v>0.2218579235</x:v>
      </x:c>
      <x:c r="N805" s="10" t="n">
        <x:v>109502.5615686275</x:v>
      </x:c>
      <x:c r="O805" s="9"/>
      <x:c r="P805" s="9" t="n">
        <x:v>0.8384201077</x:v>
      </x:c>
      <x:c r="Q805" s="9" t="n">
        <x:v>0.697486535</x:v>
      </x:c>
      <x:c r="R805" s="3" t="b">
        <x:v>0</x:v>
      </x:c>
      <x:c r="S805" s="3" t="b">
        <x:v>0</x:v>
      </x:c>
      <x:c r="T805" s="3" t="b">
        <x:v>0</x:v>
      </x:c>
      <x:c r="U805" s="2" t="str">
        <x:f>IF(T805=TRUE,"Priority review",IF(R805=TRUE,"High cost",IF(S805=TRUE,"Low quality","Benchmark")))</x:f>
        <x:v>Benchmark</x:v>
      </x:c>
    </x:row>
    <x:row r="806">
      <x:c r="A806" s="2" t="str">
        <x:v>024001</x:v>
      </x:c>
      <x:c r="B806" s="2" t="str">
        <x:v>NORTH STAR HOSPITAL</x:v>
      </x:c>
      <x:c r="C806" s="2" t="str">
        <x:v>ANCHORAGE</x:v>
      </x:c>
      <x:c r="D806" s="2" t="str">
        <x:v>AK</x:v>
      </x:c>
      <x:c r="E806" s="2" t="str">
        <x:v>Psychiatric</x:v>
      </x:c>
      <x:c r="F806" s="2" t="str">
        <x:v>Proprietary</x:v>
      </x:c>
      <x:c r="G806" s="2" t="str">
        <x:v>Small (&lt;100 beds)</x:v>
      </x:c>
      <x:c r="H806" s="7"/>
      <x:c r="I806" s="7"/>
      <x:c r="J806" s="7"/>
      <x:c r="K806" s="8" t="n">
        <x:v>74</x:v>
      </x:c>
      <x:c r="L806" s="8" t="n">
        <x:v>415</x:v>
      </x:c>
      <x:c r="M806" s="9" t="n">
        <x:v>0.5312730764</x:v>
      </x:c>
      <x:c r="N806" s="10" t="n">
        <x:v>76193.6240963855</x:v>
      </x:c>
      <x:c r="O806" s="9" t="n">
        <x:v>0.073129444</x:v>
      </x:c>
      <x:c r="P806" s="9" t="n">
        <x:v>0.8381877023</x:v>
      </x:c>
      <x:c r="Q806" s="9" t="n">
        <x:v>0</x:v>
      </x:c>
      <x:c r="R806" s="3" t="b">
        <x:v>0</x:v>
      </x:c>
      <x:c r="S806" s="3" t="b">
        <x:v>0</x:v>
      </x:c>
      <x:c r="T806" s="3" t="b">
        <x:v>0</x:v>
      </x:c>
      <x:c r="U806" s="2" t="str">
        <x:f>IF(T806=TRUE,"Priority review",IF(R806=TRUE,"High cost",IF(S806=TRUE,"Low quality","Benchmark")))</x:f>
        <x:v>Benchmark</x:v>
      </x:c>
    </x:row>
    <x:row r="807">
      <x:c r="A807" s="2" t="str">
        <x:v>241372</x:v>
      </x:c>
      <x:c r="B807" s="2" t="str">
        <x:v>MADISON HOSPITAL</x:v>
      </x:c>
      <x:c r="C807" s="2" t="str">
        <x:v>MADISON</x:v>
      </x:c>
      <x:c r="D807" s="2" t="str">
        <x:v>MN</x:v>
      </x:c>
      <x:c r="E807" s="2" t="str">
        <x:v>Critical Access Hospitals</x:v>
      </x:c>
      <x:c r="F807" s="2" t="str">
        <x:v>Voluntary non-profit</x:v>
      </x:c>
      <x:c r="G807" s="2" t="str">
        <x:v>Small (&lt;100 beds)</x:v>
      </x:c>
      <x:c r="H807" s="7"/>
      <x:c r="I807" s="7"/>
      <x:c r="J807" s="7"/>
      <x:c r="K807" s="8" t="n">
        <x:v>12</x:v>
      </x:c>
      <x:c r="L807" s="8" t="n">
        <x:v>83</x:v>
      </x:c>
      <x:c r="M807" s="9" t="n">
        <x:v>0.1598173516</x:v>
      </x:c>
      <x:c r="N807" s="10" t="n">
        <x:v>271969.9156626506</x:v>
      </x:c>
      <x:c r="O807" s="9" t="n">
        <x:v>-0.1262568513</x:v>
      </x:c>
      <x:c r="P807" s="9" t="n">
        <x:v>0.8379182156</x:v>
      </x:c>
      <x:c r="Q807" s="9" t="n">
        <x:v>0.292936803</x:v>
      </x:c>
      <x:c r="R807" s="3" t="b">
        <x:v>0</x:v>
      </x:c>
      <x:c r="S807" s="3" t="b">
        <x:v>0</x:v>
      </x:c>
      <x:c r="T807" s="3" t="b">
        <x:v>0</x:v>
      </x:c>
      <x:c r="U807" s="2" t="str">
        <x:f>IF(T807=TRUE,"Priority review",IF(R807=TRUE,"High cost",IF(S807=TRUE,"Low quality","Benchmark")))</x:f>
        <x:v>Benchmark</x:v>
      </x:c>
    </x:row>
    <x:row r="808">
      <x:c r="A808" s="2" t="str">
        <x:v>330218</x:v>
      </x:c>
      <x:c r="B808" s="2" t="str">
        <x:v>OSWEGO HOSPITAL</x:v>
      </x:c>
      <x:c r="C808" s="2" t="str">
        <x:v>OSWEGO</x:v>
      </x:c>
      <x:c r="D808" s="2" t="str">
        <x:v>NY</x:v>
      </x:c>
      <x:c r="E808" s="2" t="str">
        <x:v>Acute Care Hospitals</x:v>
      </x:c>
      <x:c r="F808" s="2" t="str">
        <x:v>Voluntary non-profit</x:v>
      </x:c>
      <x:c r="G808" s="2" t="str">
        <x:v>Medium (100-299 beds)</x:v>
      </x:c>
      <x:c r="H808" s="7" t="n">
        <x:v>3</x:v>
      </x:c>
      <x:c r="I808" s="7" t="n">
        <x:v>4</x:v>
      </x:c>
      <x:c r="J808" s="7" t="n">
        <x:v>1</x:v>
      </x:c>
      <x:c r="K808" s="8" t="n">
        <x:v>132</x:v>
      </x:c>
      <x:c r="L808" s="8" t="n">
        <x:v>3360</x:v>
      </x:c>
      <x:c r="M808" s="9" t="n">
        <x:v>0.2821245239</x:v>
      </x:c>
      <x:c r="N808" s="10" t="n">
        <x:v>54002.1660714286</x:v>
      </x:c>
      <x:c r="O808" s="9" t="n">
        <x:v>-0.2765579429</x:v>
      </x:c>
      <x:c r="P808" s="9" t="n">
        <x:v>0.8378158109</x:v>
      </x:c>
      <x:c r="Q808" s="9" t="n">
        <x:v>0.3023634882</x:v>
      </x:c>
      <x:c r="R808" s="3" t="b">
        <x:v>0</x:v>
      </x:c>
      <x:c r="S808" s="3" t="b">
        <x:v>0</x:v>
      </x:c>
      <x:c r="T808" s="3" t="b">
        <x:v>0</x:v>
      </x:c>
      <x:c r="U808" s="2" t="str">
        <x:f>IF(T808=TRUE,"Priority review",IF(R808=TRUE,"High cost",IF(S808=TRUE,"Low quality","Benchmark")))</x:f>
        <x:v>Benchmark</x:v>
      </x:c>
    </x:row>
    <x:row r="809">
      <x:c r="A809" s="2" t="str">
        <x:v>390100</x:v>
      </x:c>
      <x:c r="B809" s="2" t="str">
        <x:v>LANCASTER GENERAL HOSPITAL</x:v>
      </x:c>
      <x:c r="C809" s="2" t="str">
        <x:v>LANCASTER</x:v>
      </x:c>
      <x:c r="D809" s="2" t="str">
        <x:v>PA</x:v>
      </x:c>
      <x:c r="E809" s="2" t="str">
        <x:v>Acute Care Hospitals</x:v>
      </x:c>
      <x:c r="F809" s="2" t="str">
        <x:v>Voluntary non-profit</x:v>
      </x:c>
      <x:c r="G809" s="2" t="str">
        <x:v>Large (300+ beds)</x:v>
      </x:c>
      <x:c r="H809" s="7" t="n">
        <x:v>5</x:v>
      </x:c>
      <x:c r="I809" s="7" t="n">
        <x:v>3</x:v>
      </x:c>
      <x:c r="J809" s="7" t="n">
        <x:v>0.97</x:v>
      </x:c>
      <x:c r="K809" s="8" t="n">
        <x:v>620</x:v>
      </x:c>
      <x:c r="L809" s="8" t="n">
        <x:v>28374</x:v>
      </x:c>
      <x:c r="M809" s="9" t="n">
        <x:v>0.6985373398</x:v>
      </x:c>
      <x:c r="N809" s="10" t="n">
        <x:v>63618.6355113837</x:v>
      </x:c>
      <x:c r="O809" s="9" t="n">
        <x:v>-0.1563491215</x:v>
      </x:c>
      <x:c r="P809" s="9" t="n">
        <x:v>0.8375394322</x:v>
      </x:c>
      <x:c r="Q809" s="9" t="n">
        <x:v>0.8722397476</x:v>
      </x:c>
      <x:c r="R809" s="3" t="b">
        <x:v>0</x:v>
      </x:c>
      <x:c r="S809" s="3" t="b">
        <x:v>0</x:v>
      </x:c>
      <x:c r="T809" s="3" t="b">
        <x:v>0</x:v>
      </x:c>
      <x:c r="U809" s="2" t="str">
        <x:f>IF(T809=TRUE,"Priority review",IF(R809=TRUE,"High cost",IF(S809=TRUE,"Low quality","Benchmark")))</x:f>
        <x:v>Benchmark</x:v>
      </x:c>
    </x:row>
    <x:row r="810">
      <x:c r="A810" s="2" t="str">
        <x:v>520212</x:v>
      </x:c>
      <x:c r="B810" s="2" t="str">
        <x:v>MARSHFIELD MEDICAL CENTER - MINOCQUA</x:v>
      </x:c>
      <x:c r="C810" s="2" t="str">
        <x:v>MINOCQUA</x:v>
      </x:c>
      <x:c r="D810" s="2" t="str">
        <x:v>WI</x:v>
      </x:c>
      <x:c r="E810" s="2" t="str">
        <x:v>Acute Care Hospitals</x:v>
      </x:c>
      <x:c r="F810" s="2" t="str">
        <x:v>Voluntary non-profit</x:v>
      </x:c>
      <x:c r="G810" s="2" t="str">
        <x:v>Small (&lt;100 beds)</x:v>
      </x:c>
      <x:c r="H810" s="7" t="n">
        <x:v>5</x:v>
      </x:c>
      <x:c r="I810" s="7" t="n">
        <x:v>5</x:v>
      </x:c>
      <x:c r="J810" s="7" t="n">
        <x:v>0.92</x:v>
      </x:c>
      <x:c r="K810" s="8" t="n">
        <x:v>31</x:v>
      </x:c>
      <x:c r="L810" s="8" t="n">
        <x:v>1239</x:v>
      </x:c>
      <x:c r="M810" s="9" t="n">
        <x:v>0.3582760444</x:v>
      </x:c>
      <x:c r="N810" s="10" t="n">
        <x:v>109325.4802259887</x:v>
      </x:c>
      <x:c r="O810" s="9" t="n">
        <x:v>-0.2214756662</x:v>
      </x:c>
      <x:c r="P810" s="9" t="n">
        <x:v>0.8375224417</x:v>
      </x:c>
      <x:c r="Q810" s="9" t="n">
        <x:v>0.6131059246</x:v>
      </x:c>
      <x:c r="R810" s="3" t="b">
        <x:v>0</x:v>
      </x:c>
      <x:c r="S810" s="3" t="b">
        <x:v>0</x:v>
      </x:c>
      <x:c r="T810" s="3" t="b">
        <x:v>0</x:v>
      </x:c>
      <x:c r="U810" s="2" t="str">
        <x:f>IF(T810=TRUE,"Priority review",IF(R810=TRUE,"High cost",IF(S810=TRUE,"Low quality","Benchmark")))</x:f>
        <x:v>Benchmark</x:v>
      </x:c>
    </x:row>
    <x:row r="811">
      <x:c r="A811" s="2" t="str">
        <x:v>031312</x:v>
      </x:c>
      <x:c r="B811" s="2" t="str">
        <x:v>COPPER QUEEN COMMUNITY HOSPITAL</x:v>
      </x:c>
      <x:c r="C811" s="2" t="str">
        <x:v>BISBEE</x:v>
      </x:c>
      <x:c r="D811" s="2" t="str">
        <x:v>AZ</x:v>
      </x:c>
      <x:c r="E811" s="2" t="str">
        <x:v>Critical Access Hospitals</x:v>
      </x:c>
      <x:c r="F811" s="2" t="str">
        <x:v>Voluntary non-profit</x:v>
      </x:c>
      <x:c r="G811" s="2" t="str">
        <x:v>Small (&lt;100 beds)</x:v>
      </x:c>
      <x:c r="H811" s="7"/>
      <x:c r="I811" s="7"/>
      <x:c r="J811" s="7"/>
      <x:c r="K811" s="8" t="n">
        <x:v>14</x:v>
      </x:c>
      <x:c r="L811" s="8" t="n">
        <x:v>286</x:v>
      </x:c>
      <x:c r="M811" s="9" t="n">
        <x:v>0.2639921722</x:v>
      </x:c>
      <x:c r="N811" s="10" t="n">
        <x:v>270977.4090909091</x:v>
      </x:c>
      <x:c r="O811" s="9" t="n">
        <x:v>0.0925269903</x:v>
      </x:c>
      <x:c r="P811" s="9" t="n">
        <x:v>0.8371747212</x:v>
      </x:c>
      <x:c r="Q811" s="9" t="n">
        <x:v>0.292936803</x:v>
      </x:c>
      <x:c r="R811" s="3" t="b">
        <x:v>0</x:v>
      </x:c>
      <x:c r="S811" s="3" t="b">
        <x:v>0</x:v>
      </x:c>
      <x:c r="T811" s="3" t="b">
        <x:v>0</x:v>
      </x:c>
      <x:c r="U811" s="2" t="str">
        <x:f>IF(T811=TRUE,"Priority review",IF(R811=TRUE,"High cost",IF(S811=TRUE,"Low quality","Benchmark")))</x:f>
        <x:v>Benchmark</x:v>
      </x:c>
    </x:row>
    <x:row r="812">
      <x:c r="A812" s="2" t="str">
        <x:v>060003</x:v>
      </x:c>
      <x:c r="B812" s="2" t="str">
        <x:v>LONGMONT UNITED HOSPITAL</x:v>
      </x:c>
      <x:c r="C812" s="2" t="str">
        <x:v>LONGMONT</x:v>
      </x:c>
      <x:c r="D812" s="2" t="str">
        <x:v>CO</x:v>
      </x:c>
      <x:c r="E812" s="2" t="str">
        <x:v>Acute Care Hospitals</x:v>
      </x:c>
      <x:c r="F812" s="2" t="str">
        <x:v>Voluntary non-profit</x:v>
      </x:c>
      <x:c r="G812" s="2" t="str">
        <x:v>Medium (100-299 beds)</x:v>
      </x:c>
      <x:c r="H812" s="7" t="n">
        <x:v>3</x:v>
      </x:c>
      <x:c r="I812" s="7" t="n">
        <x:v>3</x:v>
      </x:c>
      <x:c r="J812" s="7" t="n">
        <x:v>1</x:v>
      </x:c>
      <x:c r="K812" s="8" t="n">
        <x:v>127</x:v>
      </x:c>
      <x:c r="L812" s="8" t="n">
        <x:v>2333</x:v>
      </x:c>
      <x:c r="M812" s="9" t="n">
        <x:v>0.1719590379</x:v>
      </x:c>
      <x:c r="N812" s="10" t="n">
        <x:v>53992.7441063009</x:v>
      </x:c>
      <x:c r="O812" s="9" t="n">
        <x:v>-0.3463539054</x:v>
      </x:c>
      <x:c r="P812" s="9" t="n">
        <x:v>0.837000815</x:v>
      </x:c>
      <x:c r="Q812" s="9" t="n">
        <x:v>0.3023634882</x:v>
      </x:c>
      <x:c r="R812" s="3" t="b">
        <x:v>0</x:v>
      </x:c>
      <x:c r="S812" s="3" t="b">
        <x:v>0</x:v>
      </x:c>
      <x:c r="T812" s="3" t="b">
        <x:v>0</x:v>
      </x:c>
      <x:c r="U812" s="2" t="str">
        <x:f>IF(T812=TRUE,"Priority review",IF(R812=TRUE,"High cost",IF(S812=TRUE,"Low quality","Benchmark")))</x:f>
        <x:v>Benchmark</x:v>
      </x:c>
    </x:row>
    <x:row r="813">
      <x:c r="A813" s="2" t="str">
        <x:v>030153</x:v>
      </x:c>
      <x:c r="B813" s="2" t="str">
        <x:v>EAST VALLEY ER &amp; HOSPITAL</x:v>
      </x:c>
      <x:c r="C813" s="2" t="str">
        <x:v>GILBERT</x:v>
      </x:c>
      <x:c r="D813" s="2" t="str">
        <x:v>AZ</x:v>
      </x:c>
      <x:c r="E813" s="2" t="str">
        <x:v>Acute Care Hospitals</x:v>
      </x:c>
      <x:c r="F813" s="2" t="str">
        <x:v>Proprietary</x:v>
      </x:c>
      <x:c r="G813" s="2" t="str">
        <x:v>Small (&lt;100 beds)</x:v>
      </x:c>
      <x:c r="H813" s="7"/>
      <x:c r="I813" s="7"/>
      <x:c r="J813" s="7"/>
      <x:c r="K813" s="8" t="n">
        <x:v>14</x:v>
      </x:c>
      <x:c r="L813" s="8" t="n">
        <x:v>161</x:v>
      </x:c>
      <x:c r="M813" s="9" t="n">
        <x:v>0.0638173302</x:v>
      </x:c>
      <x:c r="N813" s="10" t="n">
        <x:v>108792.9627329193</x:v>
      </x:c>
      <x:c r="O813" s="9" t="n">
        <x:v>0.0690974442</x:v>
      </x:c>
      <x:c r="P813" s="9" t="n">
        <x:v>0.8366247756</x:v>
      </x:c>
      <x:c r="Q813" s="9" t="n">
        <x:v>0.697486535</x:v>
      </x:c>
      <x:c r="R813" s="3" t="b">
        <x:v>0</x:v>
      </x:c>
      <x:c r="S813" s="3" t="b">
        <x:v>0</x:v>
      </x:c>
      <x:c r="T813" s="3" t="b">
        <x:v>0</x:v>
      </x:c>
      <x:c r="U813" s="2" t="str">
        <x:f>IF(T813=TRUE,"Priority review",IF(R813=TRUE,"High cost",IF(S813=TRUE,"Low quality","Benchmark")))</x:f>
        <x:v>Benchmark</x:v>
      </x:c>
    </x:row>
    <x:row r="814">
      <x:c r="A814" s="2" t="str">
        <x:v>061325</x:v>
      </x:c>
      <x:c r="B814" s="2" t="str">
        <x:v>EASTERN RIO BLANCO COUNTY HEALTH SERVICE DISTRICT</x:v>
      </x:c>
      <x:c r="C814" s="2" t="str">
        <x:v>MEEKER</x:v>
      </x:c>
      <x:c r="D814" s="2" t="str">
        <x:v>CO</x:v>
      </x:c>
      <x:c r="E814" s="2" t="str">
        <x:v>Critical Access Hospitals</x:v>
      </x:c>
      <x:c r="F814" s="2" t="str">
        <x:v>Government</x:v>
      </x:c>
      <x:c r="G814" s="2" t="str">
        <x:v>Small (&lt;100 beds)</x:v>
      </x:c>
      <x:c r="H814" s="7"/>
      <x:c r="I814" s="7"/>
      <x:c r="J814" s="7"/>
      <x:c r="K814" s="8" t="n">
        <x:v>16</x:v>
      </x:c>
      <x:c r="L814" s="8" t="n">
        <x:v>244</x:v>
      </x:c>
      <x:c r="M814" s="9" t="n">
        <x:v>0.1996243169</x:v>
      </x:c>
      <x:c r="N814" s="10" t="n">
        <x:v>268220.7786885246</x:v>
      </x:c>
      <x:c r="O814" s="9" t="n">
        <x:v>-0.1492637285</x:v>
      </x:c>
      <x:c r="P814" s="9" t="n">
        <x:v>0.8364312268</x:v>
      </x:c>
      <x:c r="Q814" s="9" t="n">
        <x:v>0.292936803</x:v>
      </x:c>
      <x:c r="R814" s="3" t="b">
        <x:v>0</x:v>
      </x:c>
      <x:c r="S814" s="3" t="b">
        <x:v>0</x:v>
      </x:c>
      <x:c r="T814" s="3" t="b">
        <x:v>0</x:v>
      </x:c>
      <x:c r="U814" s="2" t="str">
        <x:f>IF(T814=TRUE,"Priority review",IF(R814=TRUE,"High cost",IF(S814=TRUE,"Low quality","Benchmark")))</x:f>
        <x:v>Benchmark</x:v>
      </x:c>
    </x:row>
    <x:row r="815">
      <x:c r="A815" s="2" t="str">
        <x:v>050315</x:v>
      </x:c>
      <x:c r="B815" s="2" t="str">
        <x:v>KERN MEDICAL CENTER</x:v>
      </x:c>
      <x:c r="C815" s="2" t="str">
        <x:v>BAKERSFIELD</x:v>
      </x:c>
      <x:c r="D815" s="2" t="str">
        <x:v>CA</x:v>
      </x:c>
      <x:c r="E815" s="2" t="str">
        <x:v>Acute Care Hospitals</x:v>
      </x:c>
      <x:c r="F815" s="2" t="str">
        <x:v>Government</x:v>
      </x:c>
      <x:c r="G815" s="2" t="str">
        <x:v>Medium (100-299 beds)</x:v>
      </x:c>
      <x:c r="H815" s="7" t="n">
        <x:v>1</x:v>
      </x:c>
      <x:c r="I815" s="7" t="n">
        <x:v>2</x:v>
      </x:c>
      <x:c r="J815" s="7" t="n">
        <x:v>0.98</x:v>
      </x:c>
      <x:c r="K815" s="8" t="n">
        <x:v>222</x:v>
      </x:c>
      <x:c r="L815" s="8" t="n">
        <x:v>11004</x:v>
      </x:c>
      <x:c r="M815" s="9" t="n">
        <x:v>0.7887449093</x:v>
      </x:c>
      <x:c r="N815" s="10" t="n">
        <x:v>53990.2976190476</x:v>
      </x:c>
      <x:c r="O815" s="9" t="n">
        <x:v>-0.9338224004</x:v>
      </x:c>
      <x:c r="P815" s="9" t="n">
        <x:v>0.8361858191</x:v>
      </x:c>
      <x:c r="Q815" s="9" t="n">
        <x:v>0</x:v>
      </x:c>
      <x:c r="R815" s="3" t="b">
        <x:v>0</x:v>
      </x:c>
      <x:c r="S815" s="3" t="b">
        <x:v>1</x:v>
      </x:c>
      <x:c r="T815" s="3" t="b">
        <x:v>0</x:v>
      </x:c>
      <x:c r="U815" s="2" t="str">
        <x:f>IF(T815=TRUE,"Priority review",IF(R815=TRUE,"High cost",IF(S815=TRUE,"Low quality","Benchmark")))</x:f>
        <x:v>Low quality</x:v>
      </x:c>
    </x:row>
    <x:row r="816">
      <x:c r="A816" s="2" t="str">
        <x:v>330234</x:v>
      </x:c>
      <x:c r="B816" s="2" t="str">
        <x:v>WESTCHESTER MEDICAL CENTER</x:v>
      </x:c>
      <x:c r="C816" s="2" t="str">
        <x:v>VALHALLA</x:v>
      </x:c>
      <x:c r="D816" s="2" t="str">
        <x:v>NY</x:v>
      </x:c>
      <x:c r="E816" s="2" t="str">
        <x:v>Acute Care Hospitals</x:v>
      </x:c>
      <x:c r="F816" s="2" t="str">
        <x:v>Voluntary non-profit</x:v>
      </x:c>
      <x:c r="G816" s="2" t="str">
        <x:v>Large (300+ beds)</x:v>
      </x:c>
      <x:c r="H816" s="7" t="n">
        <x:v>2</x:v>
      </x:c>
      <x:c r="I816" s="7" t="n">
        <x:v>2</x:v>
      </x:c>
      <x:c r="J816" s="7" t="n">
        <x:v>1.1</x:v>
      </x:c>
      <x:c r="K816" s="8" t="n">
        <x:v>696</x:v>
      </x:c>
      <x:c r="L816" s="8" t="n">
        <x:v>29585</x:v>
      </x:c>
      <x:c r="M816" s="9" t="n">
        <x:v>0.8690291125</x:v>
      </x:c>
      <x:c r="N816" s="10" t="n">
        <x:v>63192.839851276</x:v>
      </x:c>
      <x:c r="O816" s="9" t="n">
        <x:v>0.0143777582</x:v>
      </x:c>
      <x:c r="P816" s="9" t="n">
        <x:v>0.8359621451</x:v>
      </x:c>
      <x:c r="Q816" s="9" t="n">
        <x:v>0.0536277603</x:v>
      </x:c>
      <x:c r="R816" s="3" t="b">
        <x:v>0</x:v>
      </x:c>
      <x:c r="S816" s="3" t="b">
        <x:v>1</x:v>
      </x:c>
      <x:c r="T816" s="3" t="b">
        <x:v>0</x:v>
      </x:c>
      <x:c r="U816" s="2" t="str">
        <x:f>IF(T816=TRUE,"Priority review",IF(R816=TRUE,"High cost",IF(S816=TRUE,"Low quality","Benchmark")))</x:f>
        <x:v>Low quality</x:v>
      </x:c>
    </x:row>
    <x:row r="817">
      <x:c r="A817" s="2" t="str">
        <x:v>444008</x:v>
      </x:c>
      <x:c r="B817" s="2" t="str">
        <x:v>WESTERN MENTAL HEALTH INSTITUTE</x:v>
      </x:c>
      <x:c r="C817" s="2" t="str">
        <x:v>BOLIVAR</x:v>
      </x:c>
      <x:c r="D817" s="2" t="str">
        <x:v>TN</x:v>
      </x:c>
      <x:c r="E817" s="2" t="str">
        <x:v>Psychiatric</x:v>
      </x:c>
      <x:c r="F817" s="2" t="str">
        <x:v>Government</x:v>
      </x:c>
      <x:c r="G817" s="2" t="str">
        <x:v>Medium (100-299 beds)</x:v>
      </x:c>
      <x:c r="H817" s="7"/>
      <x:c r="I817" s="7"/>
      <x:c r="J817" s="7"/>
      <x:c r="K817" s="8" t="n">
        <x:v>150</x:v>
      </x:c>
      <x:c r="L817" s="8" t="n">
        <x:v>504</x:v>
      </x:c>
      <x:c r="M817" s="9" t="n">
        <x:v>0.8683652968</x:v>
      </x:c>
      <x:c r="N817" s="10" t="n">
        <x:v>103942.8015873016</x:v>
      </x:c>
      <x:c r="O817" s="9"/>
      <x:c r="P817" s="9" t="n">
        <x:v>0.8358208955</x:v>
      </x:c>
      <x:c r="Q817" s="9" t="n">
        <x:v>0</x:v>
      </x:c>
      <x:c r="R817" s="3" t="b">
        <x:v>0</x:v>
      </x:c>
      <x:c r="S817" s="3" t="b">
        <x:v>0</x:v>
      </x:c>
      <x:c r="T817" s="3" t="b">
        <x:v>0</x:v>
      </x:c>
      <x:c r="U817" s="2" t="str">
        <x:f>IF(T817=TRUE,"Priority review",IF(R817=TRUE,"High cost",IF(S817=TRUE,"Low quality","Benchmark")))</x:f>
        <x:v>Benchmark</x:v>
      </x:c>
    </x:row>
    <x:row r="818">
      <x:c r="A818" s="2" t="str">
        <x:v>180115</x:v>
      </x:c>
      <x:c r="B818" s="2" t="str">
        <x:v>ROCKCASTLE COUNTY HOSPITAL, INC.</x:v>
      </x:c>
      <x:c r="C818" s="2" t="str">
        <x:v>MOUNT VERNON</x:v>
      </x:c>
      <x:c r="D818" s="2" t="str">
        <x:v>KY</x:v>
      </x:c>
      <x:c r="E818" s="2" t="str">
        <x:v>Acute Care Hospitals</x:v>
      </x:c>
      <x:c r="F818" s="2" t="str">
        <x:v>Voluntary non-profit</x:v>
      </x:c>
      <x:c r="G818" s="2" t="str">
        <x:v>Small (&lt;100 beds)</x:v>
      </x:c>
      <x:c r="H818" s="7" t="n">
        <x:v>2</x:v>
      </x:c>
      <x:c r="I818" s="7"/>
      <x:c r="J818" s="7" t="n">
        <x:v>1</x:v>
      </x:c>
      <x:c r="K818" s="8" t="n">
        <x:v>30</x:v>
      </x:c>
      <x:c r="L818" s="8" t="n">
        <x:v>820</x:v>
      </x:c>
      <x:c r="M818" s="9" t="n">
        <x:v>0.3309653916</x:v>
      </x:c>
      <x:c r="N818" s="10" t="n">
        <x:v>108382.893902439</x:v>
      </x:c>
      <x:c r="O818" s="9" t="n">
        <x:v>-0.032224607</x:v>
      </x:c>
      <x:c r="P818" s="9" t="n">
        <x:v>0.8357271095</x:v>
      </x:c>
      <x:c r="Q818" s="9" t="n">
        <x:v>0.0350089767</x:v>
      </x:c>
      <x:c r="R818" s="3" t="b">
        <x:v>0</x:v>
      </x:c>
      <x:c r="S818" s="3" t="b">
        <x:v>1</x:v>
      </x:c>
      <x:c r="T818" s="3" t="b">
        <x:v>0</x:v>
      </x:c>
      <x:c r="U818" s="2" t="str">
        <x:f>IF(T818=TRUE,"Priority review",IF(R818=TRUE,"High cost",IF(S818=TRUE,"Low quality","Benchmark")))</x:f>
        <x:v>Low quality</x:v>
      </x:c>
    </x:row>
    <x:row r="819">
      <x:c r="A819" s="2" t="str">
        <x:v>271308</x:v>
      </x:c>
      <x:c r="B819" s="2" t="str">
        <x:v>ROOSEVELT MEDICAL CENTER</x:v>
      </x:c>
      <x:c r="C819" s="2" t="str">
        <x:v>CULBERTSON</x:v>
      </x:c>
      <x:c r="D819" s="2" t="str">
        <x:v>MT</x:v>
      </x:c>
      <x:c r="E819" s="2" t="str">
        <x:v>Critical Access Hospitals</x:v>
      </x:c>
      <x:c r="F819" s="2" t="str">
        <x:v>Voluntary non-profit</x:v>
      </x:c>
      <x:c r="G819" s="2" t="str">
        <x:v>Small (&lt;100 beds)</x:v>
      </x:c>
      <x:c r="H819" s="7"/>
      <x:c r="I819" s="7"/>
      <x:c r="J819" s="7"/>
      <x:c r="K819" s="8" t="n">
        <x:v>29</x:v>
      </x:c>
      <x:c r="L819" s="8" t="n">
        <x:v>37</x:v>
      </x:c>
      <x:c r="M819" s="9" t="n">
        <x:v>0.7530467643</x:v>
      </x:c>
      <x:c r="N819" s="10" t="n">
        <x:v>268154.8918918919</x:v>
      </x:c>
      <x:c r="O819" s="9" t="n">
        <x:v>-0.0861128465</x:v>
      </x:c>
      <x:c r="P819" s="9" t="n">
        <x:v>0.8356877323</x:v>
      </x:c>
      <x:c r="Q819" s="9" t="n">
        <x:v>0.292936803</x:v>
      </x:c>
      <x:c r="R819" s="3" t="b">
        <x:v>0</x:v>
      </x:c>
      <x:c r="S819" s="3" t="b">
        <x:v>0</x:v>
      </x:c>
      <x:c r="T819" s="3" t="b">
        <x:v>0</x:v>
      </x:c>
      <x:c r="U819" s="2" t="str">
        <x:f>IF(T819=TRUE,"Priority review",IF(R819=TRUE,"High cost",IF(S819=TRUE,"Low quality","Benchmark")))</x:f>
        <x:v>Benchmark</x:v>
      </x:c>
    </x:row>
    <x:row r="820">
      <x:c r="A820" s="2" t="str">
        <x:v>300001</x:v>
      </x:c>
      <x:c r="B820" s="2" t="str">
        <x:v>CONCORD HOSPITAL</x:v>
      </x:c>
      <x:c r="C820" s="2" t="str">
        <x:v>CONCORD</x:v>
      </x:c>
      <x:c r="D820" s="2" t="str">
        <x:v>NH</x:v>
      </x:c>
      <x:c r="E820" s="2" t="str">
        <x:v>Acute Care Hospitals</x:v>
      </x:c>
      <x:c r="F820" s="2" t="str">
        <x:v>Voluntary non-profit</x:v>
      </x:c>
      <x:c r="G820" s="2" t="str">
        <x:v>Medium (100-299 beds)</x:v>
      </x:c>
      <x:c r="H820" s="7" t="n">
        <x:v>3</x:v>
      </x:c>
      <x:c r="I820" s="7" t="n">
        <x:v>3</x:v>
      </x:c>
      <x:c r="J820" s="7" t="n">
        <x:v>1</x:v>
      </x:c>
      <x:c r="K820" s="8" t="n">
        <x:v>206</x:v>
      </x:c>
      <x:c r="L820" s="8" t="n">
        <x:v>11774</x:v>
      </x:c>
      <x:c r="M820" s="9" t="n">
        <x:v>0.8553504165</x:v>
      </x:c>
      <x:c r="N820" s="10" t="n">
        <x:v>53972.6516052319</x:v>
      </x:c>
      <x:c r="O820" s="9" t="n">
        <x:v>-0.041221269</x:v>
      </x:c>
      <x:c r="P820" s="9" t="n">
        <x:v>0.8353708231</x:v>
      </x:c>
      <x:c r="Q820" s="9" t="n">
        <x:v>0.3023634882</x:v>
      </x:c>
      <x:c r="R820" s="3" t="b">
        <x:v>0</x:v>
      </x:c>
      <x:c r="S820" s="3" t="b">
        <x:v>0</x:v>
      </x:c>
      <x:c r="T820" s="3" t="b">
        <x:v>0</x:v>
      </x:c>
      <x:c r="U820" s="2" t="str">
        <x:f>IF(T820=TRUE,"Priority review",IF(R820=TRUE,"High cost",IF(S820=TRUE,"Low quality","Benchmark")))</x:f>
        <x:v>Benchmark</x:v>
      </x:c>
    </x:row>
    <x:row r="821">
      <x:c r="A821" s="2" t="str">
        <x:v>154011</x:v>
      </x:c>
      <x:c r="B821" s="2" t="str">
        <x:v>INCOMPASS HEALTHCARE</x:v>
      </x:c>
      <x:c r="C821" s="2" t="str">
        <x:v>LAWRENCEBURG</x:v>
      </x:c>
      <x:c r="D821" s="2" t="str">
        <x:v>IN</x:v>
      </x:c>
      <x:c r="E821" s="2" t="str">
        <x:v>Psychiatric</x:v>
      </x:c>
      <x:c r="F821" s="2" t="str">
        <x:v>Voluntary non-profit</x:v>
      </x:c>
      <x:c r="G821" s="2" t="str">
        <x:v>Small (&lt;100 beds)</x:v>
      </x:c>
      <x:c r="H821" s="7"/>
      <x:c r="I821" s="7"/>
      <x:c r="J821" s="7"/>
      <x:c r="K821" s="8" t="n">
        <x:v>16</x:v>
      </x:c>
      <x:c r="L821" s="8" t="n">
        <x:v>398</x:v>
      </x:c>
      <x:c r="M821" s="9" t="n">
        <x:v>0.4571917808</x:v>
      </x:c>
      <x:c r="N821" s="10" t="n">
        <x:v>74657.0703517588</x:v>
      </x:c>
      <x:c r="O821" s="9" t="n">
        <x:v>-0.4825559575</x:v>
      </x:c>
      <x:c r="P821" s="9" t="n">
        <x:v>0.8349514563</x:v>
      </x:c>
      <x:c r="Q821" s="9" t="n">
        <x:v>0</x:v>
      </x:c>
      <x:c r="R821" s="3" t="b">
        <x:v>0</x:v>
      </x:c>
      <x:c r="S821" s="3" t="b">
        <x:v>0</x:v>
      </x:c>
      <x:c r="T821" s="3" t="b">
        <x:v>0</x:v>
      </x:c>
      <x:c r="U821" s="2" t="str">
        <x:f>IF(T821=TRUE,"Priority review",IF(R821=TRUE,"High cost",IF(S821=TRUE,"Low quality","Benchmark")))</x:f>
        <x:v>Benchmark</x:v>
      </x:c>
    </x:row>
    <x:row r="822">
      <x:c r="A822" s="2" t="str">
        <x:v>511301</x:v>
      </x:c>
      <x:c r="B822" s="2" t="str">
        <x:v>WEBSTER MEMORIAL HOSPITAL</x:v>
      </x:c>
      <x:c r="C822" s="2" t="str">
        <x:v>WEBSTER SPRINGS</x:v>
      </x:c>
      <x:c r="D822" s="2" t="str">
        <x:v>WV</x:v>
      </x:c>
      <x:c r="E822" s="2" t="str">
        <x:v>Critical Access Hospitals</x:v>
      </x:c>
      <x:c r="F822" s="2" t="str">
        <x:v>Voluntary non-profit</x:v>
      </x:c>
      <x:c r="G822" s="2" t="str">
        <x:v>Small (&lt;100 beds)</x:v>
      </x:c>
      <x:c r="H822" s="7"/>
      <x:c r="I822" s="7"/>
      <x:c r="J822" s="7"/>
      <x:c r="K822" s="8" t="n">
        <x:v>25</x:v>
      </x:c>
      <x:c r="L822" s="8" t="n">
        <x:v>78</x:v>
      </x:c>
      <x:c r="M822" s="9" t="n">
        <x:v>0.0834972678</x:v>
      </x:c>
      <x:c r="N822" s="10" t="n">
        <x:v>266778.358974359</x:v>
      </x:c>
      <x:c r="O822" s="9" t="n">
        <x:v>-0.2383110867</x:v>
      </x:c>
      <x:c r="P822" s="9" t="n">
        <x:v>0.8349442379</x:v>
      </x:c>
      <x:c r="Q822" s="9" t="n">
        <x:v>0.292936803</x:v>
      </x:c>
      <x:c r="R822" s="3" t="b">
        <x:v>0</x:v>
      </x:c>
      <x:c r="S822" s="3" t="b">
        <x:v>0</x:v>
      </x:c>
      <x:c r="T822" s="3" t="b">
        <x:v>0</x:v>
      </x:c>
      <x:c r="U822" s="2" t="str">
        <x:f>IF(T822=TRUE,"Priority review",IF(R822=TRUE,"High cost",IF(S822=TRUE,"Low quality","Benchmark")))</x:f>
        <x:v>Benchmark</x:v>
      </x:c>
    </x:row>
    <x:row r="823">
      <x:c r="A823" s="2" t="str">
        <x:v>340085</x:v>
      </x:c>
      <x:c r="B823" s="2" t="str">
        <x:v>NOVANT HEALTH THOMASVILLE MEDICAL CENTER</x:v>
      </x:c>
      <x:c r="C823" s="2" t="str">
        <x:v>THOMASVILLE</x:v>
      </x:c>
      <x:c r="D823" s="2" t="str">
        <x:v>NC</x:v>
      </x:c>
      <x:c r="E823" s="2" t="str">
        <x:v>Acute Care Hospitals</x:v>
      </x:c>
      <x:c r="F823" s="2" t="str">
        <x:v>Voluntary non-profit</x:v>
      </x:c>
      <x:c r="G823" s="2" t="str">
        <x:v>Small (&lt;100 beds)</x:v>
      </x:c>
      <x:c r="H823" s="7" t="n">
        <x:v>3</x:v>
      </x:c>
      <x:c r="I823" s="7" t="n">
        <x:v>3</x:v>
      </x:c>
      <x:c r="J823" s="7" t="n">
        <x:v>0.94</x:v>
      </x:c>
      <x:c r="K823" s="8" t="n">
        <x:v>73</x:v>
      </x:c>
      <x:c r="L823" s="8" t="n">
        <x:v>3863</x:v>
      </x:c>
      <x:c r="M823" s="9" t="n">
        <x:v>0.5279586795</x:v>
      </x:c>
      <x:c r="N823" s="10" t="n">
        <x:v>108105.2599016309</x:v>
      </x:c>
      <x:c r="O823" s="9" t="n">
        <x:v>-0.1175330015</x:v>
      </x:c>
      <x:c r="P823" s="9" t="n">
        <x:v>0.8348294434</x:v>
      </x:c>
      <x:c r="Q823" s="9" t="n">
        <x:v>0.1687612208</x:v>
      </x:c>
      <x:c r="R823" s="3" t="b">
        <x:v>0</x:v>
      </x:c>
      <x:c r="S823" s="3" t="b">
        <x:v>0</x:v>
      </x:c>
      <x:c r="T823" s="3" t="b">
        <x:v>0</x:v>
      </x:c>
      <x:c r="U823" s="2" t="str">
        <x:f>IF(T823=TRUE,"Priority review",IF(R823=TRUE,"High cost",IF(S823=TRUE,"Low quality","Benchmark")))</x:f>
        <x:v>Benchmark</x:v>
      </x:c>
    </x:row>
    <x:row r="824">
      <x:c r="A824" s="2" t="str">
        <x:v>410010</x:v>
      </x:c>
      <x:c r="B824" s="2" t="str">
        <x:v>WOMEN &amp; INFANTS HOSPITAL OF RHODE ISLAND</x:v>
      </x:c>
      <x:c r="C824" s="2" t="str">
        <x:v>PROVIDENCE</x:v>
      </x:c>
      <x:c r="D824" s="2" t="str">
        <x:v>RI</x:v>
      </x:c>
      <x:c r="E824" s="2" t="str">
        <x:v>Acute Care Hospitals</x:v>
      </x:c>
      <x:c r="F824" s="2" t="str">
        <x:v>Voluntary non-profit</x:v>
      </x:c>
      <x:c r="G824" s="2" t="str">
        <x:v>Medium (100-299 beds)</x:v>
      </x:c>
      <x:c r="H824" s="7" t="n">
        <x:v>4</x:v>
      </x:c>
      <x:c r="I824" s="7" t="n">
        <x:v>3</x:v>
      </x:c>
      <x:c r="J824" s="7" t="n">
        <x:v>1.04</x:v>
      </x:c>
      <x:c r="K824" s="8" t="n">
        <x:v>247</x:v>
      </x:c>
      <x:c r="L824" s="8" t="n">
        <x:v>10388</x:v>
      </x:c>
      <x:c r="M824" s="9" t="n">
        <x:v>0.7470520564</x:v>
      </x:c>
      <x:c r="N824" s="10" t="n">
        <x:v>53891.9835386985</x:v>
      </x:c>
      <x:c r="O824" s="9" t="n">
        <x:v>-0.0072088188</x:v>
      </x:c>
      <x:c r="P824" s="9" t="n">
        <x:v>0.8345558272</x:v>
      </x:c>
      <x:c r="Q824" s="9" t="n">
        <x:v>0.6022819886</x:v>
      </x:c>
      <x:c r="R824" s="3" t="b">
        <x:v>0</x:v>
      </x:c>
      <x:c r="S824" s="3" t="b">
        <x:v>0</x:v>
      </x:c>
      <x:c r="T824" s="3" t="b">
        <x:v>0</x:v>
      </x:c>
      <x:c r="U824" s="2" t="str">
        <x:f>IF(T824=TRUE,"Priority review",IF(R824=TRUE,"High cost",IF(S824=TRUE,"Low quality","Benchmark")))</x:f>
        <x:v>Benchmark</x:v>
      </x:c>
    </x:row>
    <x:row r="825">
      <x:c r="A825" s="2" t="str">
        <x:v>330128</x:v>
      </x:c>
      <x:c r="B825" s="2" t="str">
        <x:v>ELMHURST HOSPITAL CENTER</x:v>
      </x:c>
      <x:c r="C825" s="2" t="str">
        <x:v>ELMHURST</x:v>
      </x:c>
      <x:c r="D825" s="2" t="str">
        <x:v>NY</x:v>
      </x:c>
      <x:c r="E825" s="2" t="str">
        <x:v>Acute Care Hospitals</x:v>
      </x:c>
      <x:c r="F825" s="2" t="str">
        <x:v>Government</x:v>
      </x:c>
      <x:c r="G825" s="2" t="str">
        <x:v>Large (300+ beds)</x:v>
      </x:c>
      <x:c r="H825" s="7" t="n">
        <x:v>2</x:v>
      </x:c>
      <x:c r="I825" s="7" t="n">
        <x:v>2</x:v>
      </x:c>
      <x:c r="J825" s="7" t="n">
        <x:v>1.07</x:v>
      </x:c>
      <x:c r="K825" s="8" t="n">
        <x:v>358</x:v>
      </x:c>
      <x:c r="L825" s="8" t="n">
        <x:v>17742</x:v>
      </x:c>
      <x:c r="M825" s="9" t="n">
        <x:v>0.9023647356</x:v>
      </x:c>
      <x:c r="N825" s="10" t="n">
        <x:v>63126.9860782324</x:v>
      </x:c>
      <x:c r="O825" s="9" t="n">
        <x:v>-0.030990474</x:v>
      </x:c>
      <x:c r="P825" s="9" t="n">
        <x:v>0.834384858</x:v>
      </x:c>
      <x:c r="Q825" s="9" t="n">
        <x:v>0.0536277603</x:v>
      </x:c>
      <x:c r="R825" s="3" t="b">
        <x:v>0</x:v>
      </x:c>
      <x:c r="S825" s="3" t="b">
        <x:v>1</x:v>
      </x:c>
      <x:c r="T825" s="3" t="b">
        <x:v>0</x:v>
      </x:c>
      <x:c r="U825" s="2" t="str">
        <x:f>IF(T825=TRUE,"Priority review",IF(R825=TRUE,"High cost",IF(S825=TRUE,"Low quality","Benchmark")))</x:f>
        <x:v>Low quality</x:v>
      </x:c>
    </x:row>
    <x:row r="826">
      <x:c r="A826" s="2" t="str">
        <x:v>261336</x:v>
      </x:c>
      <x:c r="B826" s="2" t="str">
        <x:v>IRON COUNTY MEDICAL CENTER</x:v>
      </x:c>
      <x:c r="C826" s="2" t="str">
        <x:v>PILOT KNOB</x:v>
      </x:c>
      <x:c r="D826" s="2" t="str">
        <x:v>MO</x:v>
      </x:c>
      <x:c r="E826" s="2" t="str">
        <x:v>Critical Access Hospitals</x:v>
      </x:c>
      <x:c r="F826" s="2" t="str">
        <x:v>Government</x:v>
      </x:c>
      <x:c r="G826" s="2" t="str">
        <x:v>Small (&lt;100 beds)</x:v>
      </x:c>
      <x:c r="H826" s="7"/>
      <x:c r="I826" s="7"/>
      <x:c r="J826" s="7"/>
      <x:c r="K826" s="8" t="n">
        <x:v>15</x:v>
      </x:c>
      <x:c r="L826" s="8" t="n">
        <x:v>93</x:v>
      </x:c>
      <x:c r="M826" s="9" t="n">
        <x:v>0.4940639269</x:v>
      </x:c>
      <x:c r="N826" s="10" t="n">
        <x:v>266755.4516129032</x:v>
      </x:c>
      <x:c r="O826" s="9" t="n">
        <x:v>-0.0320363083</x:v>
      </x:c>
      <x:c r="P826" s="9" t="n">
        <x:v>0.8342007435</x:v>
      </x:c>
      <x:c r="Q826" s="9" t="n">
        <x:v>0.292936803</x:v>
      </x:c>
      <x:c r="R826" s="3" t="b">
        <x:v>0</x:v>
      </x:c>
      <x:c r="S826" s="3" t="b">
        <x:v>0</x:v>
      </x:c>
      <x:c r="T826" s="3" t="b">
        <x:v>0</x:v>
      </x:c>
      <x:c r="U826" s="2" t="str">
        <x:f>IF(T826=TRUE,"Priority review",IF(R826=TRUE,"High cost",IF(S826=TRUE,"Low quality","Benchmark")))</x:f>
        <x:v>Benchmark</x:v>
      </x:c>
    </x:row>
    <x:row r="827">
      <x:c r="A827" s="2" t="str">
        <x:v>020008</x:v>
      </x:c>
      <x:c r="B827" s="2" t="str">
        <x:v>BARTLETT REGIONAL HOSPITAL</x:v>
      </x:c>
      <x:c r="C827" s="2" t="str">
        <x:v>JUNEAU</x:v>
      </x:c>
      <x:c r="D827" s="2" t="str">
        <x:v>AK</x:v>
      </x:c>
      <x:c r="E827" s="2" t="str">
        <x:v>Acute Care Hospitals</x:v>
      </x:c>
      <x:c r="F827" s="2" t="str">
        <x:v>Government</x:v>
      </x:c>
      <x:c r="G827" s="2" t="str">
        <x:v>Small (&lt;100 beds)</x:v>
      </x:c>
      <x:c r="H827" s="7" t="n">
        <x:v>4</x:v>
      </x:c>
      <x:c r="I827" s="7" t="n">
        <x:v>5</x:v>
      </x:c>
      <x:c r="J827" s="7" t="n">
        <x:v>0.81</x:v>
      </x:c>
      <x:c r="K827" s="8" t="n">
        <x:v>45</x:v>
      </x:c>
      <x:c r="L827" s="8" t="n">
        <x:v>1431</x:v>
      </x:c>
      <x:c r="M827" s="9" t="n">
        <x:v>0.4328767123</x:v>
      </x:c>
      <x:c r="N827" s="10" t="n">
        <x:v>108017.7735849057</x:v>
      </x:c>
      <x:c r="O827" s="9" t="n">
        <x:v>-0.006879583</x:v>
      </x:c>
      <x:c r="P827" s="9" t="n">
        <x:v>0.8339317774</x:v>
      </x:c>
      <x:c r="Q827" s="9" t="n">
        <x:v>0.3913824057</x:v>
      </x:c>
      <x:c r="R827" s="3" t="b">
        <x:v>0</x:v>
      </x:c>
      <x:c r="S827" s="3" t="b">
        <x:v>0</x:v>
      </x:c>
      <x:c r="T827" s="3" t="b">
        <x:v>0</x:v>
      </x:c>
      <x:c r="U827" s="2" t="str">
        <x:f>IF(T827=TRUE,"Priority review",IF(R827=TRUE,"High cost",IF(S827=TRUE,"Low quality","Benchmark")))</x:f>
        <x:v>Benchmark</x:v>
      </x:c>
    </x:row>
    <x:row r="828">
      <x:c r="A828" s="2" t="str">
        <x:v>190013</x:v>
      </x:c>
      <x:c r="B828" s="2" t="str">
        <x:v>WEST CALCASIEU CAMERON HOSPITAL</x:v>
      </x:c>
      <x:c r="C828" s="2" t="str">
        <x:v>SULPHUR</x:v>
      </x:c>
      <x:c r="D828" s="2" t="str">
        <x:v>LA</x:v>
      </x:c>
      <x:c r="E828" s="2" t="str">
        <x:v>Acute Care Hospitals</x:v>
      </x:c>
      <x:c r="F828" s="2" t="str">
        <x:v>Government</x:v>
      </x:c>
      <x:c r="G828" s="2" t="str">
        <x:v>Medium (100-299 beds)</x:v>
      </x:c>
      <x:c r="H828" s="7" t="n">
        <x:v>4</x:v>
      </x:c>
      <x:c r="I828" s="7" t="n">
        <x:v>4</x:v>
      </x:c>
      <x:c r="J828" s="7" t="n">
        <x:v>1.03</x:v>
      </x:c>
      <x:c r="K828" s="8" t="n">
        <x:v>107</x:v>
      </x:c>
      <x:c r="L828" s="8" t="n">
        <x:v>1774</x:v>
      </x:c>
      <x:c r="M828" s="9" t="n">
        <x:v>0.1666411317</x:v>
      </x:c>
      <x:c r="N828" s="10" t="n">
        <x:v>53836.9024802706</x:v>
      </x:c>
      <x:c r="O828" s="9" t="n">
        <x:v>-0.54249182</x:v>
      </x:c>
      <x:c r="P828" s="9" t="n">
        <x:v>0.8337408313</x:v>
      </x:c>
      <x:c r="Q828" s="9" t="n">
        <x:v>0.6022819886</x:v>
      </x:c>
      <x:c r="R828" s="3" t="b">
        <x:v>0</x:v>
      </x:c>
      <x:c r="S828" s="3" t="b">
        <x:v>0</x:v>
      </x:c>
      <x:c r="T828" s="3" t="b">
        <x:v>0</x:v>
      </x:c>
      <x:c r="U828" s="2" t="str">
        <x:f>IF(T828=TRUE,"Priority review",IF(R828=TRUE,"High cost",IF(S828=TRUE,"Low quality","Benchmark")))</x:f>
        <x:v>Benchmark</x:v>
      </x:c>
    </x:row>
    <x:row r="829">
      <x:c r="A829" s="2" t="str">
        <x:v>321302</x:v>
      </x:c>
      <x:c r="B829" s="2" t="str">
        <x:v>DR DAN C TRIGG MEMORIAL HOSPITAL</x:v>
      </x:c>
      <x:c r="C829" s="2" t="str">
        <x:v>TUCUMCARI</x:v>
      </x:c>
      <x:c r="D829" s="2" t="str">
        <x:v>NM</x:v>
      </x:c>
      <x:c r="E829" s="2" t="str">
        <x:v>Critical Access Hospitals</x:v>
      </x:c>
      <x:c r="F829" s="2" t="str">
        <x:v>Voluntary non-profit</x:v>
      </x:c>
      <x:c r="G829" s="2" t="str">
        <x:v>Small (&lt;100 beds)</x:v>
      </x:c>
      <x:c r="H829" s="7"/>
      <x:c r="I829" s="7"/>
      <x:c r="J829" s="7"/>
      <x:c r="K829" s="8" t="n">
        <x:v>25</x:v>
      </x:c>
      <x:c r="L829" s="8" t="n">
        <x:v>67</x:v>
      </x:c>
      <x:c r="M829" s="9" t="n">
        <x:v>0.0500546448</x:v>
      </x:c>
      <x:c r="N829" s="10" t="n">
        <x:v>265705.6119402985</x:v>
      </x:c>
      <x:c r="O829" s="9" t="n">
        <x:v>0.1464321349</x:v>
      </x:c>
      <x:c r="P829" s="9" t="n">
        <x:v>0.8334572491</x:v>
      </x:c>
      <x:c r="Q829" s="9" t="n">
        <x:v>0.292936803</x:v>
      </x:c>
      <x:c r="R829" s="3" t="b">
        <x:v>0</x:v>
      </x:c>
      <x:c r="S829" s="3" t="b">
        <x:v>0</x:v>
      </x:c>
      <x:c r="T829" s="3" t="b">
        <x:v>0</x:v>
      </x:c>
      <x:c r="U829" s="2" t="str">
        <x:f>IF(T829=TRUE,"Priority review",IF(R829=TRUE,"High cost",IF(S829=TRUE,"Low quality","Benchmark")))</x:f>
        <x:v>Benchmark</x:v>
      </x:c>
    </x:row>
    <x:row r="830">
      <x:c r="A830" s="2" t="str">
        <x:v>283301</x:v>
      </x:c>
      <x:c r="B830" s="2" t="str">
        <x:v>CHILDREN'S NEBRASKA</x:v>
      </x:c>
      <x:c r="C830" s="2" t="str">
        <x:v>OMAHA</x:v>
      </x:c>
      <x:c r="D830" s="2" t="str">
        <x:v>NE</x:v>
      </x:c>
      <x:c r="E830" s="2" t="str">
        <x:v>Childrens</x:v>
      </x:c>
      <x:c r="F830" s="2" t="str">
        <x:v>Voluntary non-profit</x:v>
      </x:c>
      <x:c r="G830" s="2" t="str">
        <x:v>Medium (100-299 beds)</x:v>
      </x:c>
      <x:c r="H830" s="7"/>
      <x:c r="I830" s="7"/>
      <x:c r="J830" s="7"/>
      <x:c r="K830" s="8" t="n">
        <x:v>219</x:v>
      </x:c>
      <x:c r="L830" s="8" t="n">
        <x:v>4959</x:v>
      </x:c>
      <x:c r="M830" s="9" t="n">
        <x:v>0.5527484592</x:v>
      </x:c>
      <x:c r="N830" s="10" t="n">
        <x:v>134755.6579955636</x:v>
      </x:c>
      <x:c r="O830" s="9" t="n">
        <x:v>0.06100807</x:v>
      </x:c>
      <x:c r="P830" s="9" t="n">
        <x:v>0.8333333333</x:v>
      </x:c>
      <x:c r="Q830" s="9" t="n">
        <x:v>0</x:v>
      </x:c>
      <x:c r="R830" s="3" t="b">
        <x:v>0</x:v>
      </x:c>
      <x:c r="S830" s="3" t="b">
        <x:v>0</x:v>
      </x:c>
      <x:c r="T830" s="3" t="b">
        <x:v>0</x:v>
      </x:c>
      <x:c r="U830" s="2" t="str">
        <x:f>IF(T830=TRUE,"Priority review",IF(R830=TRUE,"High cost",IF(S830=TRUE,"Low quality","Benchmark")))</x:f>
        <x:v>Benchmark</x:v>
      </x:c>
    </x:row>
    <x:row r="831">
      <x:c r="A831" s="2" t="str">
        <x:v>520011</x:v>
      </x:c>
      <x:c r="B831" s="2" t="str">
        <x:v>MARSHFIELD MEDICAL CENTER - RICE LAKE</x:v>
      </x:c>
      <x:c r="C831" s="2" t="str">
        <x:v>RICE LAKE</x:v>
      </x:c>
      <x:c r="D831" s="2" t="str">
        <x:v>WI</x:v>
      </x:c>
      <x:c r="E831" s="2" t="str">
        <x:v>Acute Care Hospitals</x:v>
      </x:c>
      <x:c r="F831" s="2" t="str">
        <x:v>Voluntary non-profit</x:v>
      </x:c>
      <x:c r="G831" s="2" t="str">
        <x:v>Small (&lt;100 beds)</x:v>
      </x:c>
      <x:c r="H831" s="7" t="n">
        <x:v>2</x:v>
      </x:c>
      <x:c r="I831" s="7" t="n">
        <x:v>4</x:v>
      </x:c>
      <x:c r="J831" s="7" t="n">
        <x:v>0.86</x:v>
      </x:c>
      <x:c r="K831" s="8" t="n">
        <x:v>40</x:v>
      </x:c>
      <x:c r="L831" s="8" t="n">
        <x:v>1404</x:v>
      </x:c>
      <x:c r="M831" s="9" t="n">
        <x:v>0.3585382514</x:v>
      </x:c>
      <x:c r="N831" s="10" t="n">
        <x:v>106602.9188034188</x:v>
      </x:c>
      <x:c r="O831" s="9" t="n">
        <x:v>-0.0138477994</x:v>
      </x:c>
      <x:c r="P831" s="9" t="n">
        <x:v>0.8330341113</x:v>
      </x:c>
      <x:c r="Q831" s="9" t="n">
        <x:v>0.0350089767</x:v>
      </x:c>
      <x:c r="R831" s="3" t="b">
        <x:v>0</x:v>
      </x:c>
      <x:c r="S831" s="3" t="b">
        <x:v>1</x:v>
      </x:c>
      <x:c r="T831" s="3" t="b">
        <x:v>0</x:v>
      </x:c>
      <x:c r="U831" s="2" t="str">
        <x:f>IF(T831=TRUE,"Priority review",IF(R831=TRUE,"High cost",IF(S831=TRUE,"Low quality","Benchmark")))</x:f>
        <x:v>Low quality</x:v>
      </x:c>
    </x:row>
    <x:row r="832">
      <x:c r="A832" s="2" t="str">
        <x:v>500041</x:v>
      </x:c>
      <x:c r="B832" s="2" t="str">
        <x:v>PEACEHEALTH ST JOHN MEDICAL CENTER</x:v>
      </x:c>
      <x:c r="C832" s="2" t="str">
        <x:v>LONGVIEW</x:v>
      </x:c>
      <x:c r="D832" s="2" t="str">
        <x:v>WA</x:v>
      </x:c>
      <x:c r="E832" s="2" t="str">
        <x:v>Acute Care Hospitals</x:v>
      </x:c>
      <x:c r="F832" s="2" t="str">
        <x:v>Voluntary non-profit</x:v>
      </x:c>
      <x:c r="G832" s="2" t="str">
        <x:v>Medium (100-299 beds)</x:v>
      </x:c>
      <x:c r="H832" s="7" t="n">
        <x:v>4</x:v>
      </x:c>
      <x:c r="I832" s="7" t="n">
        <x:v>3</x:v>
      </x:c>
      <x:c r="J832" s="7" t="n">
        <x:v>0.87</x:v>
      </x:c>
      <x:c r="K832" s="8" t="n">
        <x:v>142</x:v>
      </x:c>
      <x:c r="L832" s="8" t="n">
        <x:v>7302</x:v>
      </x:c>
      <x:c r="M832" s="9" t="n">
        <x:v>0.5935944434</x:v>
      </x:c>
      <x:c r="N832" s="10" t="n">
        <x:v>53828.0093125171</x:v>
      </x:c>
      <x:c r="O832" s="9" t="n">
        <x:v>0.0153499586</x:v>
      </x:c>
      <x:c r="P832" s="9" t="n">
        <x:v>0.8329258354</x:v>
      </x:c>
      <x:c r="Q832" s="9" t="n">
        <x:v>0.6022819886</x:v>
      </x:c>
      <x:c r="R832" s="3" t="b">
        <x:v>0</x:v>
      </x:c>
      <x:c r="S832" s="3" t="b">
        <x:v>0</x:v>
      </x:c>
      <x:c r="T832" s="3" t="b">
        <x:v>0</x:v>
      </x:c>
      <x:c r="U832" s="2" t="str">
        <x:f>IF(T832=TRUE,"Priority review",IF(R832=TRUE,"High cost",IF(S832=TRUE,"Low quality","Benchmark")))</x:f>
        <x:v>Benchmark</x:v>
      </x:c>
    </x:row>
    <x:row r="833">
      <x:c r="A833" s="2" t="str">
        <x:v>110079</x:v>
      </x:c>
      <x:c r="B833" s="2" t="str">
        <x:v>GRADY MEMORIAL HOSPITAL</x:v>
      </x:c>
      <x:c r="C833" s="2" t="str">
        <x:v>ATLANTA</x:v>
      </x:c>
      <x:c r="D833" s="2" t="str">
        <x:v>GA</x:v>
      </x:c>
      <x:c r="E833" s="2" t="str">
        <x:v>Acute Care Hospitals</x:v>
      </x:c>
      <x:c r="F833" s="2" t="str">
        <x:v>Voluntary non-profit</x:v>
      </x:c>
      <x:c r="G833" s="2" t="str">
        <x:v>Large (300+ beds)</x:v>
      </x:c>
      <x:c r="H833" s="7" t="n">
        <x:v>2</x:v>
      </x:c>
      <x:c r="I833" s="7" t="n">
        <x:v>2</x:v>
      </x:c>
      <x:c r="J833" s="7" t="n">
        <x:v>0.98</x:v>
      </x:c>
      <x:c r="K833" s="8" t="n">
        <x:v>786</x:v>
      </x:c>
      <x:c r="L833" s="8" t="n">
        <x:v>33928</x:v>
      </x:c>
      <x:c r="M833" s="9" t="n">
        <x:v>0.9467943103</x:v>
      </x:c>
      <x:c r="N833" s="10" t="n">
        <x:v>62752.9974946946</x:v>
      </x:c>
      <x:c r="O833" s="9" t="n">
        <x:v>-0.2827978869</x:v>
      </x:c>
      <x:c r="P833" s="9" t="n">
        <x:v>0.832807571</x:v>
      </x:c>
      <x:c r="Q833" s="9" t="n">
        <x:v>0.0536277603</x:v>
      </x:c>
      <x:c r="R833" s="3" t="b">
        <x:v>0</x:v>
      </x:c>
      <x:c r="S833" s="3" t="b">
        <x:v>1</x:v>
      </x:c>
      <x:c r="T833" s="3" t="b">
        <x:v>0</x:v>
      </x:c>
      <x:c r="U833" s="2" t="str">
        <x:f>IF(T833=TRUE,"Priority review",IF(R833=TRUE,"High cost",IF(S833=TRUE,"Low quality","Benchmark")))</x:f>
        <x:v>Low quality</x:v>
      </x:c>
    </x:row>
    <x:row r="834">
      <x:c r="A834" s="2" t="str">
        <x:v>021310</x:v>
      </x:c>
      <x:c r="B834" s="2" t="str">
        <x:v>MANIILAQ HEALTH CENTER</x:v>
      </x:c>
      <x:c r="C834" s="2" t="str">
        <x:v>KOTZEBUE</x:v>
      </x:c>
      <x:c r="D834" s="2" t="str">
        <x:v>AK</x:v>
      </x:c>
      <x:c r="E834" s="2" t="str">
        <x:v>Critical Access Hospitals</x:v>
      </x:c>
      <x:c r="F834" s="2" t="str">
        <x:v>Other / unknown</x:v>
      </x:c>
      <x:c r="G834" s="2" t="str">
        <x:v>Small (&lt;100 beds)</x:v>
      </x:c>
      <x:c r="H834" s="7"/>
      <x:c r="I834" s="7"/>
      <x:c r="J834" s="7"/>
      <x:c r="K834" s="8" t="n">
        <x:v>17</x:v>
      </x:c>
      <x:c r="L834" s="8" t="n">
        <x:v>333</x:v>
      </x:c>
      <x:c r="M834" s="9" t="n">
        <x:v>0.2142397943</x:v>
      </x:c>
      <x:c r="N834" s="10" t="n">
        <x:v>265426.1351351351</x:v>
      </x:c>
      <x:c r="O834" s="9"/>
      <x:c r="P834" s="9" t="n">
        <x:v>0.8327137546</x:v>
      </x:c>
      <x:c r="Q834" s="9" t="n">
        <x:v>0.292936803</x:v>
      </x:c>
      <x:c r="R834" s="3" t="b">
        <x:v>0</x:v>
      </x:c>
      <x:c r="S834" s="3" t="b">
        <x:v>0</x:v>
      </x:c>
      <x:c r="T834" s="3" t="b">
        <x:v>0</x:v>
      </x:c>
      <x:c r="U834" s="2" t="str">
        <x:f>IF(T834=TRUE,"Priority review",IF(R834=TRUE,"High cost",IF(S834=TRUE,"Low quality","Benchmark")))</x:f>
        <x:v>Benchmark</x:v>
      </x:c>
    </x:row>
    <x:row r="835">
      <x:c r="A835" s="2" t="str">
        <x:v>280131</x:v>
      </x:c>
      <x:c r="B835" s="2" t="str">
        <x:v>MIDWEST SURGICAL HOSPITAL LLC</x:v>
      </x:c>
      <x:c r="C835" s="2" t="str">
        <x:v>OMAHA</x:v>
      </x:c>
      <x:c r="D835" s="2" t="str">
        <x:v>NE</x:v>
      </x:c>
      <x:c r="E835" s="2" t="str">
        <x:v>Acute Care Hospitals</x:v>
      </x:c>
      <x:c r="F835" s="2" t="str">
        <x:v>Other / unknown</x:v>
      </x:c>
      <x:c r="G835" s="2" t="str">
        <x:v>Small (&lt;100 beds)</x:v>
      </x:c>
      <x:c r="H835" s="7"/>
      <x:c r="I835" s="7" t="n">
        <x:v>5</x:v>
      </x:c>
      <x:c r="J835" s="7" t="n">
        <x:v>0.86</x:v>
      </x:c>
      <x:c r="K835" s="8" t="n">
        <x:v>19</x:v>
      </x:c>
      <x:c r="L835" s="8" t="n">
        <x:v>451</x:v>
      </x:c>
      <x:c r="M835" s="9" t="n">
        <x:v>0.1422203049</x:v>
      </x:c>
      <x:c r="N835" s="10" t="n">
        <x:v>106127.8647450111</x:v>
      </x:c>
      <x:c r="O835" s="9" t="n">
        <x:v>0.3485842094</x:v>
      </x:c>
      <x:c r="P835" s="9" t="n">
        <x:v>0.8321364452</x:v>
      </x:c>
      <x:c r="Q835" s="9" t="n">
        <x:v>0.697486535</x:v>
      </x:c>
      <x:c r="R835" s="3" t="b">
        <x:v>0</x:v>
      </x:c>
      <x:c r="S835" s="3" t="b">
        <x:v>0</x:v>
      </x:c>
      <x:c r="T835" s="3" t="b">
        <x:v>0</x:v>
      </x:c>
      <x:c r="U835" s="2" t="str">
        <x:f>IF(T835=TRUE,"Priority review",IF(R835=TRUE,"High cost",IF(S835=TRUE,"Low quality","Benchmark")))</x:f>
        <x:v>Benchmark</x:v>
      </x:c>
    </x:row>
    <x:row r="836">
      <x:c r="A836" s="2" t="str">
        <x:v>310092</x:v>
      </x:c>
      <x:c r="B836" s="2" t="str">
        <x:v>CAPITAL HEALTH REGIONAL MEDICAL CENTER</x:v>
      </x:c>
      <x:c r="C836" s="2" t="str">
        <x:v>TRENTON</x:v>
      </x:c>
      <x:c r="D836" s="2" t="str">
        <x:v>NJ</x:v>
      </x:c>
      <x:c r="E836" s="2" t="str">
        <x:v>Acute Care Hospitals</x:v>
      </x:c>
      <x:c r="F836" s="2" t="str">
        <x:v>Voluntary non-profit</x:v>
      </x:c>
      <x:c r="G836" s="2" t="str">
        <x:v>Medium (100-299 beds)</x:v>
      </x:c>
      <x:c r="H836" s="7" t="n">
        <x:v>2</x:v>
      </x:c>
      <x:c r="I836" s="7" t="n">
        <x:v>2</x:v>
      </x:c>
      <x:c r="J836" s="7" t="n">
        <x:v>1.2</x:v>
      </x:c>
      <x:c r="K836" s="8" t="n">
        <x:v>179</x:v>
      </x:c>
      <x:c r="L836" s="8" t="n">
        <x:v>8333</x:v>
      </x:c>
      <x:c r="M836" s="9" t="n">
        <x:v>0.8265256281</x:v>
      </x:c>
      <x:c r="N836" s="10" t="n">
        <x:v>53613.861274451</x:v>
      </x:c>
      <x:c r="O836" s="9" t="n">
        <x:v>-0.0716547835</x:v>
      </x:c>
      <x:c r="P836" s="9" t="n">
        <x:v>0.8321108394</x:v>
      </x:c>
      <x:c r="Q836" s="9" t="n">
        <x:v>0.0782396088</x:v>
      </x:c>
      <x:c r="R836" s="3" t="b">
        <x:v>0</x:v>
      </x:c>
      <x:c r="S836" s="3" t="b">
        <x:v>1</x:v>
      </x:c>
      <x:c r="T836" s="3" t="b">
        <x:v>0</x:v>
      </x:c>
      <x:c r="U836" s="2" t="str">
        <x:f>IF(T836=TRUE,"Priority review",IF(R836=TRUE,"High cost",IF(S836=TRUE,"Low quality","Benchmark")))</x:f>
        <x:v>Low quality</x:v>
      </x:c>
    </x:row>
    <x:row r="837">
      <x:c r="A837" s="2" t="str">
        <x:v>161327</x:v>
      </x:c>
      <x:c r="B837" s="2" t="str">
        <x:v>DAVIS COUNTY HOSPITAL</x:v>
      </x:c>
      <x:c r="C837" s="2" t="str">
        <x:v>BLOOMFIELD</x:v>
      </x:c>
      <x:c r="D837" s="2" t="str">
        <x:v>IA</x:v>
      </x:c>
      <x:c r="E837" s="2" t="str">
        <x:v>Critical Access Hospitals</x:v>
      </x:c>
      <x:c r="F837" s="2" t="str">
        <x:v>Government</x:v>
      </x:c>
      <x:c r="G837" s="2" t="str">
        <x:v>Small (&lt;100 beds)</x:v>
      </x:c>
      <x:c r="H837" s="7"/>
      <x:c r="I837" s="7"/>
      <x:c r="J837" s="7"/>
      <x:c r="K837" s="8" t="n">
        <x:v>25</x:v>
      </x:c>
      <x:c r="L837" s="8" t="n">
        <x:v>130</x:v>
      </x:c>
      <x:c r="M837" s="9" t="n">
        <x:v>0.0923835616</x:v>
      </x:c>
      <x:c r="N837" s="10" t="n">
        <x:v>265178.0769230769</x:v>
      </x:c>
      <x:c r="O837" s="9" t="n">
        <x:v>-0.0005587466</x:v>
      </x:c>
      <x:c r="P837" s="9" t="n">
        <x:v>0.8319702602</x:v>
      </x:c>
      <x:c r="Q837" s="9" t="n">
        <x:v>0.292936803</x:v>
      </x:c>
      <x:c r="R837" s="3" t="b">
        <x:v>0</x:v>
      </x:c>
      <x:c r="S837" s="3" t="b">
        <x:v>0</x:v>
      </x:c>
      <x:c r="T837" s="3" t="b">
        <x:v>0</x:v>
      </x:c>
      <x:c r="U837" s="2" t="str">
        <x:f>IF(T837=TRUE,"Priority review",IF(R837=TRUE,"High cost",IF(S837=TRUE,"Low quality","Benchmark")))</x:f>
        <x:v>Benchmark</x:v>
      </x:c>
    </x:row>
    <x:row r="838">
      <x:c r="A838" s="2" t="str">
        <x:v>224038</x:v>
      </x:c>
      <x:c r="B838" s="2" t="str">
        <x:v>WALDEN BEHAVIORAL CARE, LLC</x:v>
      </x:c>
      <x:c r="C838" s="2" t="str">
        <x:v>DEDHAM</x:v>
      </x:c>
      <x:c r="D838" s="2" t="str">
        <x:v>MA</x:v>
      </x:c>
      <x:c r="E838" s="2" t="str">
        <x:v>Psychiatric</x:v>
      </x:c>
      <x:c r="F838" s="2" t="str">
        <x:v>Government</x:v>
      </x:c>
      <x:c r="G838" s="2" t="str">
        <x:v>Small (&lt;100 beds)</x:v>
      </x:c>
      <x:c r="H838" s="7"/>
      <x:c r="I838" s="7"/>
      <x:c r="J838" s="7"/>
      <x:c r="K838" s="8" t="n">
        <x:v>51</x:v>
      </x:c>
      <x:c r="L838" s="8" t="n">
        <x:v>548</x:v>
      </x:c>
      <x:c r="M838" s="9" t="n">
        <x:v>0.9753562627</x:v>
      </x:c>
      <x:c r="N838" s="10" t="n">
        <x:v>74610.7372262774</x:v>
      </x:c>
      <x:c r="O838" s="9" t="n">
        <x:v>0.0915501132</x:v>
      </x:c>
      <x:c r="P838" s="9" t="n">
        <x:v>0.8317152104</x:v>
      </x:c>
      <x:c r="Q838" s="9" t="n">
        <x:v>0</x:v>
      </x:c>
      <x:c r="R838" s="3" t="b">
        <x:v>0</x:v>
      </x:c>
      <x:c r="S838" s="3" t="b">
        <x:v>0</x:v>
      </x:c>
      <x:c r="T838" s="3" t="b">
        <x:v>0</x:v>
      </x:c>
      <x:c r="U838" s="2" t="str">
        <x:f>IF(T838=TRUE,"Priority review",IF(R838=TRUE,"High cost",IF(S838=TRUE,"Low quality","Benchmark")))</x:f>
        <x:v>Benchmark</x:v>
      </x:c>
    </x:row>
    <x:row r="839">
      <x:c r="A839" s="2" t="str">
        <x:v>190046</x:v>
      </x:c>
      <x:c r="B839" s="2" t="str">
        <x:v>TOURO INFIRMARY</x:v>
      </x:c>
      <x:c r="C839" s="2" t="str">
        <x:v>NEW ORLEANS</x:v>
      </x:c>
      <x:c r="D839" s="2" t="str">
        <x:v>LA</x:v>
      </x:c>
      <x:c r="E839" s="2" t="str">
        <x:v>Acute Care Hospitals</x:v>
      </x:c>
      <x:c r="F839" s="2" t="str">
        <x:v>Voluntary non-profit</x:v>
      </x:c>
      <x:c r="G839" s="2" t="str">
        <x:v>Medium (100-299 beds)</x:v>
      </x:c>
      <x:c r="H839" s="7" t="n">
        <x:v>3</x:v>
      </x:c>
      <x:c r="I839" s="7" t="n">
        <x:v>4</x:v>
      </x:c>
      <x:c r="J839" s="7" t="n">
        <x:v>0.96</x:v>
      </x:c>
      <x:c r="K839" s="8" t="n">
        <x:v>254</x:v>
      </x:c>
      <x:c r="L839" s="8" t="n">
        <x:v>8177</x:v>
      </x:c>
      <x:c r="M839" s="9" t="n">
        <x:v>0.484221957</x:v>
      </x:c>
      <x:c r="N839" s="10" t="n">
        <x:v>53547.1175247646</x:v>
      </x:c>
      <x:c r="O839" s="9" t="n">
        <x:v>-0.1376473373</x:v>
      </x:c>
      <x:c r="P839" s="9" t="n">
        <x:v>0.8312958435</x:v>
      </x:c>
      <x:c r="Q839" s="9" t="n">
        <x:v>0.3023634882</x:v>
      </x:c>
      <x:c r="R839" s="3" t="b">
        <x:v>0</x:v>
      </x:c>
      <x:c r="S839" s="3" t="b">
        <x:v>0</x:v>
      </x:c>
      <x:c r="T839" s="3" t="b">
        <x:v>0</x:v>
      </x:c>
      <x:c r="U839" s="2" t="str">
        <x:f>IF(T839=TRUE,"Priority review",IF(R839=TRUE,"High cost",IF(S839=TRUE,"Low quality","Benchmark")))</x:f>
        <x:v>Benchmark</x:v>
      </x:c>
    </x:row>
    <x:row r="840">
      <x:c r="A840" s="2" t="str">
        <x:v>050708</x:v>
      </x:c>
      <x:c r="B840" s="2" t="str">
        <x:v>FRESNO SURGICAL HOSPITAL</x:v>
      </x:c>
      <x:c r="C840" s="2" t="str">
        <x:v>FRESNO</x:v>
      </x:c>
      <x:c r="D840" s="2" t="str">
        <x:v>CA</x:v>
      </x:c>
      <x:c r="E840" s="2" t="str">
        <x:v>Acute Care Hospitals</x:v>
      </x:c>
      <x:c r="F840" s="2" t="str">
        <x:v>Proprietary</x:v>
      </x:c>
      <x:c r="G840" s="2" t="str">
        <x:v>Small (&lt;100 beds)</x:v>
      </x:c>
      <x:c r="H840" s="7"/>
      <x:c r="I840" s="7" t="n">
        <x:v>4</x:v>
      </x:c>
      <x:c r="J840" s="7" t="n">
        <x:v>0.98</x:v>
      </x:c>
      <x:c r="K840" s="8" t="n">
        <x:v>27</x:v>
      </x:c>
      <x:c r="L840" s="8" t="n">
        <x:v>938</x:v>
      </x:c>
      <x:c r="M840" s="9" t="n">
        <x:v>0.1856911556</x:v>
      </x:c>
      <x:c r="N840" s="10" t="n">
        <x:v>105996.9893390192</x:v>
      </x:c>
      <x:c r="O840" s="9" t="n">
        <x:v>0.1461240757</x:v>
      </x:c>
      <x:c r="P840" s="9" t="n">
        <x:v>0.8312387792</x:v>
      </x:c>
      <x:c r="Q840" s="9" t="n">
        <x:v>0.697486535</x:v>
      </x:c>
      <x:c r="R840" s="3" t="b">
        <x:v>0</x:v>
      </x:c>
      <x:c r="S840" s="3" t="b">
        <x:v>0</x:v>
      </x:c>
      <x:c r="T840" s="3" t="b">
        <x:v>0</x:v>
      </x:c>
      <x:c r="U840" s="2" t="str">
        <x:f>IF(T840=TRUE,"Priority review",IF(R840=TRUE,"High cost",IF(S840=TRUE,"Low quality","Benchmark")))</x:f>
        <x:v>Benchmark</x:v>
      </x:c>
    </x:row>
    <x:row r="841">
      <x:c r="A841" s="2" t="str">
        <x:v>330195</x:v>
      </x:c>
      <x:c r="B841" s="2" t="str">
        <x:v>LONG ISLAND JEWISH MEDICAL CENTER</x:v>
      </x:c>
      <x:c r="C841" s="2" t="str">
        <x:v>NEW HYDE PARK</x:v>
      </x:c>
      <x:c r="D841" s="2" t="str">
        <x:v>NY</x:v>
      </x:c>
      <x:c r="E841" s="2" t="str">
        <x:v>Acute Care Hospitals</x:v>
      </x:c>
      <x:c r="F841" s="2" t="str">
        <x:v>Voluntary non-profit</x:v>
      </x:c>
      <x:c r="G841" s="2" t="str">
        <x:v>Large (300+ beds)</x:v>
      </x:c>
      <x:c r="H841" s="7" t="n">
        <x:v>4</x:v>
      </x:c>
      <x:c r="I841" s="7" t="n">
        <x:v>3</x:v>
      </x:c>
      <x:c r="J841" s="7" t="n">
        <x:v>1.06</x:v>
      </x:c>
      <x:c r="K841" s="8" t="n">
        <x:v>1153</x:v>
      </x:c>
      <x:c r="L841" s="8" t="n">
        <x:v>75340</x:v>
      </x:c>
      <x:c r="M841" s="9" t="n">
        <x:v>0.9139948531</x:v>
      </x:c>
      <x:c r="N841" s="10" t="n">
        <x:v>62398.32216618</x:v>
      </x:c>
      <x:c r="O841" s="9" t="n">
        <x:v>-0.3639916178</x:v>
      </x:c>
      <x:c r="P841" s="9" t="n">
        <x:v>0.8312302839</x:v>
      </x:c>
      <x:c r="Q841" s="9" t="n">
        <x:v>0.5899053628</x:v>
      </x:c>
      <x:c r="R841" s="3" t="b">
        <x:v>0</x:v>
      </x:c>
      <x:c r="S841" s="3" t="b">
        <x:v>0</x:v>
      </x:c>
      <x:c r="T841" s="3" t="b">
        <x:v>0</x:v>
      </x:c>
      <x:c r="U841" s="2" t="str">
        <x:f>IF(T841=TRUE,"Priority review",IF(R841=TRUE,"High cost",IF(S841=TRUE,"Low quality","Benchmark")))</x:f>
        <x:v>Benchmark</x:v>
      </x:c>
    </x:row>
    <x:row r="842">
      <x:c r="A842" s="2" t="str">
        <x:v>131318</x:v>
      </x:c>
      <x:c r="B842" s="2" t="str">
        <x:v>VALOR HEALTH</x:v>
      </x:c>
      <x:c r="C842" s="2" t="str">
        <x:v>EMMETT</x:v>
      </x:c>
      <x:c r="D842" s="2" t="str">
        <x:v>ID</x:v>
      </x:c>
      <x:c r="E842" s="2" t="str">
        <x:v>Critical Access Hospitals</x:v>
      </x:c>
      <x:c r="F842" s="2" t="str">
        <x:v>Government</x:v>
      </x:c>
      <x:c r="G842" s="2" t="str">
        <x:v>Small (&lt;100 beds)</x:v>
      </x:c>
      <x:c r="H842" s="7"/>
      <x:c r="I842" s="7"/>
      <x:c r="J842" s="7"/>
      <x:c r="K842" s="8" t="n">
        <x:v>13</x:v>
      </x:c>
      <x:c r="L842" s="8" t="n">
        <x:v>91</x:v>
      </x:c>
      <x:c r="M842" s="9" t="n">
        <x:v>0.0895334174</x:v>
      </x:c>
      <x:c r="N842" s="10" t="n">
        <x:v>265162.9230769231</x:v>
      </x:c>
      <x:c r="O842" s="9" t="n">
        <x:v>0.0019244425</x:v>
      </x:c>
      <x:c r="P842" s="9" t="n">
        <x:v>0.8312267658</x:v>
      </x:c>
      <x:c r="Q842" s="9" t="n">
        <x:v>0.292936803</x:v>
      </x:c>
      <x:c r="R842" s="3" t="b">
        <x:v>0</x:v>
      </x:c>
      <x:c r="S842" s="3" t="b">
        <x:v>0</x:v>
      </x:c>
      <x:c r="T842" s="3" t="b">
        <x:v>0</x:v>
      </x:c>
      <x:c r="U842" s="2" t="str">
        <x:f>IF(T842=TRUE,"Priority review",IF(R842=TRUE,"High cost",IF(S842=TRUE,"Low quality","Benchmark")))</x:f>
        <x:v>Benchmark</x:v>
      </x:c>
    </x:row>
    <x:row r="843">
      <x:c r="A843" s="2" t="str">
        <x:v>364007</x:v>
      </x:c>
      <x:c r="B843" s="2" t="str">
        <x:v>TWIN VALLEY BEHAVIORAL HEALTHCARE</x:v>
      </x:c>
      <x:c r="C843" s="2" t="str">
        <x:v>COLUMBUS</x:v>
      </x:c>
      <x:c r="D843" s="2" t="str">
        <x:v>OH</x:v>
      </x:c>
      <x:c r="E843" s="2" t="str">
        <x:v>Psychiatric</x:v>
      </x:c>
      <x:c r="F843" s="2" t="str">
        <x:v>Government</x:v>
      </x:c>
      <x:c r="G843" s="2" t="str">
        <x:v>Medium (100-299 beds)</x:v>
      </x:c>
      <x:c r="H843" s="7"/>
      <x:c r="I843" s="7"/>
      <x:c r="J843" s="7"/>
      <x:c r="K843" s="8" t="n">
        <x:v>260</x:v>
      </x:c>
      <x:c r="L843" s="8" t="n">
        <x:v>792</x:v>
      </x:c>
      <x:c r="M843" s="9" t="n">
        <x:v>0.8782507903</x:v>
      </x:c>
      <x:c r="N843" s="10" t="n">
        <x:v>98871.3257575758</x:v>
      </x:c>
      <x:c r="O843" s="9"/>
      <x:c r="P843" s="9" t="n">
        <x:v>0.8308457711</x:v>
      </x:c>
      <x:c r="Q843" s="9" t="n">
        <x:v>0</x:v>
      </x:c>
      <x:c r="R843" s="3" t="b">
        <x:v>0</x:v>
      </x:c>
      <x:c r="S843" s="3" t="b">
        <x:v>0</x:v>
      </x:c>
      <x:c r="T843" s="3" t="b">
        <x:v>0</x:v>
      </x:c>
      <x:c r="U843" s="2" t="str">
        <x:f>IF(T843=TRUE,"Priority review",IF(R843=TRUE,"High cost",IF(S843=TRUE,"Low quality","Benchmark")))</x:f>
        <x:v>Benchmark</x:v>
      </x:c>
    </x:row>
    <x:row r="844">
      <x:c r="A844" s="2" t="str">
        <x:v>271319</x:v>
      </x:c>
      <x:c r="B844" s="2" t="str">
        <x:v>RUBY VALLEY MEDICAL CENTER</x:v>
      </x:c>
      <x:c r="C844" s="2" t="str">
        <x:v>SHERIDAN</x:v>
      </x:c>
      <x:c r="D844" s="2" t="str">
        <x:v>MT</x:v>
      </x:c>
      <x:c r="E844" s="2" t="str">
        <x:v>Critical Access Hospitals</x:v>
      </x:c>
      <x:c r="F844" s="2" t="str">
        <x:v>Government</x:v>
      </x:c>
      <x:c r="G844" s="2" t="str">
        <x:v>Small (&lt;100 beds)</x:v>
      </x:c>
      <x:c r="H844" s="7"/>
      <x:c r="I844" s="7"/>
      <x:c r="J844" s="7"/>
      <x:c r="K844" s="8" t="n">
        <x:v>7</x:v>
      </x:c>
      <x:c r="L844" s="8" t="n">
        <x:v>59</x:v>
      </x:c>
      <x:c r="M844" s="9" t="n">
        <x:v>0.4945355191</x:v>
      </x:c>
      <x:c r="N844" s="10" t="n">
        <x:v>265041.9491525424</x:v>
      </x:c>
      <x:c r="O844" s="9" t="n">
        <x:v>-0.1796065151</x:v>
      </x:c>
      <x:c r="P844" s="9" t="n">
        <x:v>0.8304832714</x:v>
      </x:c>
      <x:c r="Q844" s="9" t="n">
        <x:v>0.292936803</x:v>
      </x:c>
      <x:c r="R844" s="3" t="b">
        <x:v>0</x:v>
      </x:c>
      <x:c r="S844" s="3" t="b">
        <x:v>0</x:v>
      </x:c>
      <x:c r="T844" s="3" t="b">
        <x:v>0</x:v>
      </x:c>
      <x:c r="U844" s="2" t="str">
        <x:f>IF(T844=TRUE,"Priority review",IF(R844=TRUE,"High cost",IF(S844=TRUE,"Low quality","Benchmark")))</x:f>
        <x:v>Benchmark</x:v>
      </x:c>
    </x:row>
    <x:row r="845">
      <x:c r="A845" s="2" t="str">
        <x:v>210008</x:v>
      </x:c>
      <x:c r="B845" s="2" t="str">
        <x:v>MERCY MEDICAL CENTER INC</x:v>
      </x:c>
      <x:c r="C845" s="2" t="str">
        <x:v>BALTIMORE</x:v>
      </x:c>
      <x:c r="D845" s="2" t="str">
        <x:v>MD</x:v>
      </x:c>
      <x:c r="E845" s="2" t="str">
        <x:v>Acute Care Hospitals</x:v>
      </x:c>
      <x:c r="F845" s="2" t="str">
        <x:v>Voluntary non-profit</x:v>
      </x:c>
      <x:c r="G845" s="2" t="str">
        <x:v>Medium (100-299 beds)</x:v>
      </x:c>
      <x:c r="H845" s="7" t="n">
        <x:v>3</x:v>
      </x:c>
      <x:c r="I845" s="7" t="n">
        <x:v>3</x:v>
      </x:c>
      <x:c r="J845" s="7"/>
      <x:c r="K845" s="8" t="n">
        <x:v>171</x:v>
      </x:c>
      <x:c r="L845" s="8" t="n">
        <x:v>12075</x:v>
      </x:c>
      <x:c r="M845" s="9" t="n">
        <x:v>0.8417848274</x:v>
      </x:c>
      <x:c r="N845" s="10" t="n">
        <x:v>53378.9802898551</x:v>
      </x:c>
      <x:c r="O845" s="9" t="n">
        <x:v>-0.0628053311</x:v>
      </x:c>
      <x:c r="P845" s="9" t="n">
        <x:v>0.8304808476</x:v>
      </x:c>
      <x:c r="Q845" s="9" t="n">
        <x:v>0.3023634882</x:v>
      </x:c>
      <x:c r="R845" s="3" t="b">
        <x:v>0</x:v>
      </x:c>
      <x:c r="S845" s="3" t="b">
        <x:v>0</x:v>
      </x:c>
      <x:c r="T845" s="3" t="b">
        <x:v>0</x:v>
      </x:c>
      <x:c r="U845" s="2" t="str">
        <x:f>IF(T845=TRUE,"Priority review",IF(R845=TRUE,"High cost",IF(S845=TRUE,"Low quality","Benchmark")))</x:f>
        <x:v>Benchmark</x:v>
      </x:c>
    </x:row>
    <x:row r="846">
      <x:c r="A846" s="2" t="str">
        <x:v>450875</x:v>
      </x:c>
      <x:c r="B846" s="2" t="str">
        <x:v>QUAIL CREEK SURGICAL HOSPITAL</x:v>
      </x:c>
      <x:c r="C846" s="2" t="str">
        <x:v>AMARILLO</x:v>
      </x:c>
      <x:c r="D846" s="2" t="str">
        <x:v>TX</x:v>
      </x:c>
      <x:c r="E846" s="2" t="str">
        <x:v>Acute Care Hospitals</x:v>
      </x:c>
      <x:c r="F846" s="2" t="str">
        <x:v>Proprietary</x:v>
      </x:c>
      <x:c r="G846" s="2" t="str">
        <x:v>Small (&lt;100 beds)</x:v>
      </x:c>
      <x:c r="H846" s="7"/>
      <x:c r="I846" s="7" t="n">
        <x:v>5</x:v>
      </x:c>
      <x:c r="J846" s="7" t="n">
        <x:v>1.07</x:v>
      </x:c>
      <x:c r="K846" s="8" t="n">
        <x:v>40</x:v>
      </x:c>
      <x:c r="L846" s="8" t="n">
        <x:v>702</x:v>
      </x:c>
      <x:c r="M846" s="9" t="n">
        <x:v>0.0979508197</x:v>
      </x:c>
      <x:c r="N846" s="10" t="n">
        <x:v>105318.0213675214</x:v>
      </x:c>
      <x:c r="O846" s="9" t="n">
        <x:v>0.370489816</x:v>
      </x:c>
      <x:c r="P846" s="9" t="n">
        <x:v>0.8303411131</x:v>
      </x:c>
      <x:c r="Q846" s="9" t="n">
        <x:v>0.697486535</x:v>
      </x:c>
      <x:c r="R846" s="3" t="b">
        <x:v>0</x:v>
      </x:c>
      <x:c r="S846" s="3" t="b">
        <x:v>0</x:v>
      </x:c>
      <x:c r="T846" s="3" t="b">
        <x:v>0</x:v>
      </x:c>
      <x:c r="U846" s="2" t="str">
        <x:f>IF(T846=TRUE,"Priority review",IF(R846=TRUE,"High cost",IF(S846=TRUE,"Low quality","Benchmark")))</x:f>
        <x:v>Benchmark</x:v>
      </x:c>
    </x:row>
    <x:row r="847">
      <x:c r="A847" s="2" t="str">
        <x:v>181311</x:v>
      </x:c>
      <x:c r="B847" s="2" t="str">
        <x:v>ST ELIZABETH GRANT</x:v>
      </x:c>
      <x:c r="C847" s="2" t="str">
        <x:v>WILLIAMSTOWN</x:v>
      </x:c>
      <x:c r="D847" s="2" t="str">
        <x:v>KY</x:v>
      </x:c>
      <x:c r="E847" s="2" t="str">
        <x:v>Critical Access Hospitals</x:v>
      </x:c>
      <x:c r="F847" s="2" t="str">
        <x:v>Voluntary non-profit</x:v>
      </x:c>
      <x:c r="G847" s="2" t="str">
        <x:v>Small (&lt;100 beds)</x:v>
      </x:c>
      <x:c r="H847" s="7"/>
      <x:c r="I847" s="7"/>
      <x:c r="J847" s="7"/>
      <x:c r="K847" s="8" t="n">
        <x:v>9</x:v>
      </x:c>
      <x:c r="L847" s="8" t="n">
        <x:v>128</x:v>
      </x:c>
      <x:c r="M847" s="9" t="n">
        <x:v>0.2097753491</x:v>
      </x:c>
      <x:c r="N847" s="10" t="n">
        <x:v>264912.1171875</x:v>
      </x:c>
      <x:c r="O847" s="9" t="n">
        <x:v>0.3435250357</x:v>
      </x:c>
      <x:c r="P847" s="9" t="n">
        <x:v>0.829739777</x:v>
      </x:c>
      <x:c r="Q847" s="9" t="n">
        <x:v>0.292936803</x:v>
      </x:c>
      <x:c r="R847" s="3" t="b">
        <x:v>0</x:v>
      </x:c>
      <x:c r="S847" s="3" t="b">
        <x:v>0</x:v>
      </x:c>
      <x:c r="T847" s="3" t="b">
        <x:v>0</x:v>
      </x:c>
      <x:c r="U847" s="2" t="str">
        <x:f>IF(T847=TRUE,"Priority review",IF(R847=TRUE,"High cost",IF(S847=TRUE,"Low quality","Benchmark")))</x:f>
        <x:v>Benchmark</x:v>
      </x:c>
    </x:row>
    <x:row r="848">
      <x:c r="A848" s="2" t="str">
        <x:v>330395</x:v>
      </x:c>
      <x:c r="B848" s="2" t="str">
        <x:v>ST JOHN'S EPISCOPAL HOSPITAL AT SOUTH SHORE</x:v>
      </x:c>
      <x:c r="C848" s="2" t="str">
        <x:v>FAR ROCKAWAY</x:v>
      </x:c>
      <x:c r="D848" s="2" t="str">
        <x:v>NY</x:v>
      </x:c>
      <x:c r="E848" s="2" t="str">
        <x:v>Acute Care Hospitals</x:v>
      </x:c>
      <x:c r="F848" s="2" t="str">
        <x:v>Voluntary non-profit</x:v>
      </x:c>
      <x:c r="G848" s="2" t="str">
        <x:v>Medium (100-299 beds)</x:v>
      </x:c>
      <x:c r="H848" s="7" t="n">
        <x:v>1</x:v>
      </x:c>
      <x:c r="I848" s="7" t="n">
        <x:v>2</x:v>
      </x:c>
      <x:c r="J848" s="7" t="n">
        <x:v>1.16</x:v>
      </x:c>
      <x:c r="K848" s="8" t="n">
        <x:v>147</x:v>
      </x:c>
      <x:c r="L848" s="8" t="n">
        <x:v>8289</x:v>
      </x:c>
      <x:c r="M848" s="9" t="n">
        <x:v>0.9827143972</x:v>
      </x:c>
      <x:c r="N848" s="10" t="n">
        <x:v>53325.1433224756</x:v>
      </x:c>
      <x:c r="O848" s="9" t="n">
        <x:v>-0.7116059654</x:v>
      </x:c>
      <x:c r="P848" s="9" t="n">
        <x:v>0.8296658517</x:v>
      </x:c>
      <x:c r="Q848" s="9" t="n">
        <x:v>0</x:v>
      </x:c>
      <x:c r="R848" s="3" t="b">
        <x:v>0</x:v>
      </x:c>
      <x:c r="S848" s="3" t="b">
        <x:v>1</x:v>
      </x:c>
      <x:c r="T848" s="3" t="b">
        <x:v>0</x:v>
      </x:c>
      <x:c r="U848" s="2" t="str">
        <x:f>IF(T848=TRUE,"Priority review",IF(R848=TRUE,"High cost",IF(S848=TRUE,"Low quality","Benchmark")))</x:f>
        <x:v>Low quality</x:v>
      </x:c>
    </x:row>
    <x:row r="849">
      <x:c r="A849" s="2" t="str">
        <x:v>050360</x:v>
      </x:c>
      <x:c r="B849" s="2" t="str">
        <x:v>MARINHEALTH MEDICAL CENTER</x:v>
      </x:c>
      <x:c r="C849" s="2" t="str">
        <x:v>GREENBRAE</x:v>
      </x:c>
      <x:c r="D849" s="2" t="str">
        <x:v>CA</x:v>
      </x:c>
      <x:c r="E849" s="2" t="str">
        <x:v>Acute Care Hospitals</x:v>
      </x:c>
      <x:c r="F849" s="2" t="str">
        <x:v>Government</x:v>
      </x:c>
      <x:c r="G849" s="2" t="str">
        <x:v>Large (300+ beds)</x:v>
      </x:c>
      <x:c r="H849" s="7" t="n">
        <x:v>5</x:v>
      </x:c>
      <x:c r="I849" s="7" t="n">
        <x:v>3</x:v>
      </x:c>
      <x:c r="J849" s="7" t="n">
        <x:v>0.98</x:v>
      </x:c>
      <x:c r="K849" s="8" t="n">
        <x:v>310</x:v>
      </x:c>
      <x:c r="L849" s="8" t="n">
        <x:v>9783</x:v>
      </x:c>
      <x:c r="M849" s="9" t="n">
        <x:v>0.4143662965</x:v>
      </x:c>
      <x:c r="N849" s="10" t="n">
        <x:v>62193.8304201165</x:v>
      </x:c>
      <x:c r="O849" s="9" t="n">
        <x:v>-0.0510788619</x:v>
      </x:c>
      <x:c r="P849" s="9" t="n">
        <x:v>0.8296529968</x:v>
      </x:c>
      <x:c r="Q849" s="9" t="n">
        <x:v>0.8722397476</x:v>
      </x:c>
      <x:c r="R849" s="3" t="b">
        <x:v>0</x:v>
      </x:c>
      <x:c r="S849" s="3" t="b">
        <x:v>0</x:v>
      </x:c>
      <x:c r="T849" s="3" t="b">
        <x:v>0</x:v>
      </x:c>
      <x:c r="U849" s="2" t="str">
        <x:f>IF(T849=TRUE,"Priority review",IF(R849=TRUE,"High cost",IF(S849=TRUE,"Low quality","Benchmark")))</x:f>
        <x:v>Benchmark</x:v>
      </x:c>
    </x:row>
    <x:row r="850">
      <x:c r="A850" s="2" t="str">
        <x:v>320033</x:v>
      </x:c>
      <x:c r="B850" s="2" t="str">
        <x:v>LOS ALAMOS MEDICAL CENTER</x:v>
      </x:c>
      <x:c r="C850" s="2" t="str">
        <x:v>LOS ALAMOS</x:v>
      </x:c>
      <x:c r="D850" s="2" t="str">
        <x:v>NM</x:v>
      </x:c>
      <x:c r="E850" s="2" t="str">
        <x:v>Acute Care Hospitals</x:v>
      </x:c>
      <x:c r="F850" s="2" t="str">
        <x:v>Proprietary</x:v>
      </x:c>
      <x:c r="G850" s="2" t="str">
        <x:v>Small (&lt;100 beds)</x:v>
      </x:c>
      <x:c r="H850" s="7"/>
      <x:c r="I850" s="7" t="n">
        <x:v>3</x:v>
      </x:c>
      <x:c r="J850" s="7" t="n">
        <x:v>0.83</x:v>
      </x:c>
      <x:c r="K850" s="8" t="n">
        <x:v>47</x:v>
      </x:c>
      <x:c r="L850" s="8" t="n">
        <x:v>579</x:v>
      </x:c>
      <x:c r="M850" s="9" t="n">
        <x:v>0.1120799907</x:v>
      </x:c>
      <x:c r="N850" s="10" t="n">
        <x:v>105282.2469775475</x:v>
      </x:c>
      <x:c r="O850" s="9" t="n">
        <x:v>0.0057456213</x:v>
      </x:c>
      <x:c r="P850" s="9" t="n">
        <x:v>0.829443447</x:v>
      </x:c>
      <x:c r="Q850" s="9" t="n">
        <x:v>0.697486535</x:v>
      </x:c>
      <x:c r="R850" s="3" t="b">
        <x:v>0</x:v>
      </x:c>
      <x:c r="S850" s="3" t="b">
        <x:v>0</x:v>
      </x:c>
      <x:c r="T850" s="3" t="b">
        <x:v>0</x:v>
      </x:c>
      <x:c r="U850" s="2" t="str">
        <x:f>IF(T850=TRUE,"Priority review",IF(R850=TRUE,"High cost",IF(S850=TRUE,"Low quality","Benchmark")))</x:f>
        <x:v>Benchmark</x:v>
      </x:c>
    </x:row>
    <x:row r="851">
      <x:c r="A851" s="2" t="str">
        <x:v>241314</x:v>
      </x:c>
      <x:c r="B851" s="2" t="str">
        <x:v>JOHNSON MEMORIAL HOSPITAL</x:v>
      </x:c>
      <x:c r="C851" s="2" t="str">
        <x:v>DAWSON</x:v>
      </x:c>
      <x:c r="D851" s="2" t="str">
        <x:v>MN</x:v>
      </x:c>
      <x:c r="E851" s="2" t="str">
        <x:v>Critical Access Hospitals</x:v>
      </x:c>
      <x:c r="F851" s="2" t="str">
        <x:v>Government</x:v>
      </x:c>
      <x:c r="G851" s="2" t="str">
        <x:v>Small (&lt;100 beds)</x:v>
      </x:c>
      <x:c r="H851" s="7"/>
      <x:c r="I851" s="7"/>
      <x:c r="J851" s="7"/>
      <x:c r="K851" s="8" t="n">
        <x:v>17</x:v>
      </x:c>
      <x:c r="L851" s="8" t="n">
        <x:v>108</x:v>
      </x:c>
      <x:c r="M851" s="9" t="n">
        <x:v>0.0988428158</x:v>
      </x:c>
      <x:c r="N851" s="10" t="n">
        <x:v>263340.25</x:v>
      </x:c>
      <x:c r="O851" s="9" t="n">
        <x:v>-0.1375747304</x:v>
      </x:c>
      <x:c r="P851" s="9" t="n">
        <x:v>0.8289962825</x:v>
      </x:c>
      <x:c r="Q851" s="9" t="n">
        <x:v>0.292936803</x:v>
      </x:c>
      <x:c r="R851" s="3" t="b">
        <x:v>0</x:v>
      </x:c>
      <x:c r="S851" s="3" t="b">
        <x:v>0</x:v>
      </x:c>
      <x:c r="T851" s="3" t="b">
        <x:v>0</x:v>
      </x:c>
      <x:c r="U851" s="2" t="str">
        <x:f>IF(T851=TRUE,"Priority review",IF(R851=TRUE,"High cost",IF(S851=TRUE,"Low quality","Benchmark")))</x:f>
        <x:v>Benchmark</x:v>
      </x:c>
    </x:row>
    <x:row r="852">
      <x:c r="A852" s="2" t="str">
        <x:v>140018</x:v>
      </x:c>
      <x:c r="B852" s="2" t="str">
        <x:v>MT SINAI HOSPITAL MEDICAL CENTER</x:v>
      </x:c>
      <x:c r="C852" s="2" t="str">
        <x:v>CHICAGO</x:v>
      </x:c>
      <x:c r="D852" s="2" t="str">
        <x:v>IL</x:v>
      </x:c>
      <x:c r="E852" s="2" t="str">
        <x:v>Acute Care Hospitals</x:v>
      </x:c>
      <x:c r="F852" s="2" t="str">
        <x:v>Voluntary non-profit</x:v>
      </x:c>
      <x:c r="G852" s="2" t="str">
        <x:v>Medium (100-299 beds)</x:v>
      </x:c>
      <x:c r="H852" s="7" t="n">
        <x:v>1</x:v>
      </x:c>
      <x:c r="I852" s="7" t="n">
        <x:v>2</x:v>
      </x:c>
      <x:c r="J852" s="7" t="n">
        <x:v>0.99</x:v>
      </x:c>
      <x:c r="K852" s="8" t="n">
        <x:v>236</x:v>
      </x:c>
      <x:c r="L852" s="8" t="n">
        <x:v>9070</x:v>
      </x:c>
      <x:c r="M852" s="9" t="n">
        <x:v>0.622224808</x:v>
      </x:c>
      <x:c r="N852" s="10" t="n">
        <x:v>53220.3641675854</x:v>
      </x:c>
      <x:c r="O852" s="9" t="n">
        <x:v>-0.9025598953</x:v>
      </x:c>
      <x:c r="P852" s="9" t="n">
        <x:v>0.8288508557</x:v>
      </x:c>
      <x:c r="Q852" s="9" t="n">
        <x:v>0</x:v>
      </x:c>
      <x:c r="R852" s="3" t="b">
        <x:v>0</x:v>
      </x:c>
      <x:c r="S852" s="3" t="b">
        <x:v>1</x:v>
      </x:c>
      <x:c r="T852" s="3" t="b">
        <x:v>0</x:v>
      </x:c>
      <x:c r="U852" s="2" t="str">
        <x:f>IF(T852=TRUE,"Priority review",IF(R852=TRUE,"High cost",IF(S852=TRUE,"Low quality","Benchmark")))</x:f>
        <x:v>Low quality</x:v>
      </x:c>
    </x:row>
    <x:row r="853">
      <x:c r="A853" s="2" t="str">
        <x:v>060075</x:v>
      </x:c>
      <x:c r="B853" s="2" t="str">
        <x:v>VALLEY VIEW HOSPITAL ASSOCIATION</x:v>
      </x:c>
      <x:c r="C853" s="2" t="str">
        <x:v>GLENWOOD SPRINGS</x:v>
      </x:c>
      <x:c r="D853" s="2" t="str">
        <x:v>CO</x:v>
      </x:c>
      <x:c r="E853" s="2" t="str">
        <x:v>Acute Care Hospitals</x:v>
      </x:c>
      <x:c r="F853" s="2" t="str">
        <x:v>Voluntary non-profit</x:v>
      </x:c>
      <x:c r="G853" s="2" t="str">
        <x:v>Small (&lt;100 beds)</x:v>
      </x:c>
      <x:c r="H853" s="7" t="n">
        <x:v>4</x:v>
      </x:c>
      <x:c r="I853" s="7" t="n">
        <x:v>4</x:v>
      </x:c>
      <x:c r="J853" s="7" t="n">
        <x:v>1</x:v>
      </x:c>
      <x:c r="K853" s="8" t="n">
        <x:v>37</x:v>
      </x:c>
      <x:c r="L853" s="8" t="n">
        <x:v>3250</x:v>
      </x:c>
      <x:c r="M853" s="9" t="n">
        <x:v>0.9128394492</x:v>
      </x:c>
      <x:c r="N853" s="10" t="n">
        <x:v>104951.2738461538</x:v>
      </x:c>
      <x:c r="O853" s="9" t="n">
        <x:v>-0.006376592</x:v>
      </x:c>
      <x:c r="P853" s="9" t="n">
        <x:v>0.828545781</x:v>
      </x:c>
      <x:c r="Q853" s="9" t="n">
        <x:v>0.3913824057</x:v>
      </x:c>
      <x:c r="R853" s="3" t="b">
        <x:v>0</x:v>
      </x:c>
      <x:c r="S853" s="3" t="b">
        <x:v>0</x:v>
      </x:c>
      <x:c r="T853" s="3" t="b">
        <x:v>0</x:v>
      </x:c>
      <x:c r="U853" s="2" t="str">
        <x:f>IF(T853=TRUE,"Priority review",IF(R853=TRUE,"High cost",IF(S853=TRUE,"Low quality","Benchmark")))</x:f>
        <x:v>Benchmark</x:v>
      </x:c>
    </x:row>
    <x:row r="854">
      <x:c r="A854" s="2" t="str">
        <x:v>274004</x:v>
      </x:c>
      <x:c r="B854" s="2" t="str">
        <x:v>SHODAIR CHILDREN'S HOSPITAL</x:v>
      </x:c>
      <x:c r="C854" s="2" t="str">
        <x:v>HELENA</x:v>
      </x:c>
      <x:c r="D854" s="2" t="str">
        <x:v>MT</x:v>
      </x:c>
      <x:c r="E854" s="2" t="str">
        <x:v>Psychiatric</x:v>
      </x:c>
      <x:c r="F854" s="2" t="str">
        <x:v>Voluntary non-profit</x:v>
      </x:c>
      <x:c r="G854" s="2" t="str">
        <x:v>Small (&lt;100 beds)</x:v>
      </x:c>
      <x:c r="H854" s="7"/>
      <x:c r="I854" s="7"/>
      <x:c r="J854" s="7"/>
      <x:c r="K854" s="8" t="n">
        <x:v>30</x:v>
      </x:c>
      <x:c r="L854" s="8" t="n">
        <x:v>752</x:v>
      </x:c>
      <x:c r="M854" s="9" t="n">
        <x:v>0.8216438356</x:v>
      </x:c>
      <x:c r="N854" s="10" t="n">
        <x:v>70500.7792553192</x:v>
      </x:c>
      <x:c r="O854" s="9" t="n">
        <x:v>-1.0474760799</x:v>
      </x:c>
      <x:c r="P854" s="9" t="n">
        <x:v>0.8284789644</x:v>
      </x:c>
      <x:c r="Q854" s="9" t="n">
        <x:v>0</x:v>
      </x:c>
      <x:c r="R854" s="3" t="b">
        <x:v>0</x:v>
      </x:c>
      <x:c r="S854" s="3" t="b">
        <x:v>0</x:v>
      </x:c>
      <x:c r="T854" s="3" t="b">
        <x:v>0</x:v>
      </x:c>
      <x:c r="U854" s="2" t="str">
        <x:f>IF(T854=TRUE,"Priority review",IF(R854=TRUE,"High cost",IF(S854=TRUE,"Low quality","Benchmark")))</x:f>
        <x:v>Benchmark</x:v>
      </x:c>
    </x:row>
    <x:row r="855">
      <x:c r="A855" s="2" t="str">
        <x:v>061311</x:v>
      </x:c>
      <x:c r="B855" s="2" t="str">
        <x:v>SOUTHEAST COLORADO HOSPITAL DISTRICT</x:v>
      </x:c>
      <x:c r="C855" s="2" t="str">
        <x:v>SPRINGFIELD</x:v>
      </x:c>
      <x:c r="D855" s="2" t="str">
        <x:v>CO</x:v>
      </x:c>
      <x:c r="E855" s="2" t="str">
        <x:v>Critical Access Hospitals</x:v>
      </x:c>
      <x:c r="F855" s="2" t="str">
        <x:v>Government</x:v>
      </x:c>
      <x:c r="G855" s="2" t="str">
        <x:v>Small (&lt;100 beds)</x:v>
      </x:c>
      <x:c r="H855" s="7"/>
      <x:c r="I855" s="7"/>
      <x:c r="J855" s="7"/>
      <x:c r="K855" s="8" t="n">
        <x:v>15</x:v>
      </x:c>
      <x:c r="L855" s="8" t="n">
        <x:v>90</x:v>
      </x:c>
      <x:c r="M855" s="9" t="n">
        <x:v>0.1409836066</x:v>
      </x:c>
      <x:c r="N855" s="10" t="n">
        <x:v>263084.0111111111</x:v>
      </x:c>
      <x:c r="O855" s="9" t="n">
        <x:v>-0.4567811627</x:v>
      </x:c>
      <x:c r="P855" s="9" t="n">
        <x:v>0.8282527881</x:v>
      </x:c>
      <x:c r="Q855" s="9" t="n">
        <x:v>0.292936803</x:v>
      </x:c>
      <x:c r="R855" s="3" t="b">
        <x:v>0</x:v>
      </x:c>
      <x:c r="S855" s="3" t="b">
        <x:v>0</x:v>
      </x:c>
      <x:c r="T855" s="3" t="b">
        <x:v>0</x:v>
      </x:c>
      <x:c r="U855" s="2" t="str">
        <x:f>IF(T855=TRUE,"Priority review",IF(R855=TRUE,"High cost",IF(S855=TRUE,"Low quality","Benchmark")))</x:f>
        <x:v>Benchmark</x:v>
      </x:c>
    </x:row>
    <x:row r="856">
      <x:c r="A856" s="2" t="str">
        <x:v>330127</x:v>
      </x:c>
      <x:c r="B856" s="2" t="str">
        <x:v>JACOBI MEDICAL CENTER</x:v>
      </x:c>
      <x:c r="C856" s="2" t="str">
        <x:v>BRONX</x:v>
      </x:c>
      <x:c r="D856" s="2" t="str">
        <x:v>NY</x:v>
      </x:c>
      <x:c r="E856" s="2" t="str">
        <x:v>Acute Care Hospitals</x:v>
      </x:c>
      <x:c r="F856" s="2" t="str">
        <x:v>Government</x:v>
      </x:c>
      <x:c r="G856" s="2" t="str">
        <x:v>Large (300+ beds)</x:v>
      </x:c>
      <x:c r="H856" s="7" t="n">
        <x:v>2</x:v>
      </x:c>
      <x:c r="I856" s="7" t="n">
        <x:v>2</x:v>
      </x:c>
      <x:c r="J856" s="7" t="n">
        <x:v>1.04</x:v>
      </x:c>
      <x:c r="K856" s="8" t="n">
        <x:v>440</x:v>
      </x:c>
      <x:c r="L856" s="8" t="n">
        <x:v>23940</x:v>
      </x:c>
      <x:c r="M856" s="9" t="n">
        <x:v>0.8177085928</x:v>
      </x:c>
      <x:c r="N856" s="10" t="n">
        <x:v>62180.7838763576</x:v>
      </x:c>
      <x:c r="O856" s="9" t="n">
        <x:v>-0.5627925746</x:v>
      </x:c>
      <x:c r="P856" s="9" t="n">
        <x:v>0.8280757098</x:v>
      </x:c>
      <x:c r="Q856" s="9" t="n">
        <x:v>0.0536277603</x:v>
      </x:c>
      <x:c r="R856" s="3" t="b">
        <x:v>0</x:v>
      </x:c>
      <x:c r="S856" s="3" t="b">
        <x:v>1</x:v>
      </x:c>
      <x:c r="T856" s="3" t="b">
        <x:v>0</x:v>
      </x:c>
      <x:c r="U856" s="2" t="str">
        <x:f>IF(T856=TRUE,"Priority review",IF(R856=TRUE,"High cost",IF(S856=TRUE,"Low quality","Benchmark")))</x:f>
        <x:v>Low quality</x:v>
      </x:c>
    </x:row>
    <x:row r="857">
      <x:c r="A857" s="2" t="str">
        <x:v>140239</x:v>
      </x:c>
      <x:c r="B857" s="2" t="str">
        <x:v>JAVON BEA HOSPITAL</x:v>
      </x:c>
      <x:c r="C857" s="2" t="str">
        <x:v>ROCKFORD</x:v>
      </x:c>
      <x:c r="D857" s="2" t="str">
        <x:v>IL</x:v>
      </x:c>
      <x:c r="E857" s="2" t="str">
        <x:v>Acute Care Hospitals</x:v>
      </x:c>
      <x:c r="F857" s="2" t="str">
        <x:v>Voluntary non-profit</x:v>
      </x:c>
      <x:c r="G857" s="2" t="str">
        <x:v>Medium (100-299 beds)</x:v>
      </x:c>
      <x:c r="H857" s="7" t="n">
        <x:v>3</x:v>
      </x:c>
      <x:c r="I857" s="7" t="n">
        <x:v>3</x:v>
      </x:c>
      <x:c r="J857" s="7" t="n">
        <x:v>1.02</x:v>
      </x:c>
      <x:c r="K857" s="8" t="n">
        <x:v>186</x:v>
      </x:c>
      <x:c r="L857" s="8" t="n">
        <x:v>7570</x:v>
      </x:c>
      <x:c r="M857" s="9" t="n">
        <x:v>0.6850788039</x:v>
      </x:c>
      <x:c r="N857" s="10" t="n">
        <x:v>53192.828665786</x:v>
      </x:c>
      <x:c r="O857" s="9" t="n">
        <x:v>-0.0231310513</x:v>
      </x:c>
      <x:c r="P857" s="9" t="n">
        <x:v>0.8280358598</x:v>
      </x:c>
      <x:c r="Q857" s="9" t="n">
        <x:v>0.3023634882</x:v>
      </x:c>
      <x:c r="R857" s="3" t="b">
        <x:v>0</x:v>
      </x:c>
      <x:c r="S857" s="3" t="b">
        <x:v>0</x:v>
      </x:c>
      <x:c r="T857" s="3" t="b">
        <x:v>0</x:v>
      </x:c>
      <x:c r="U857" s="2" t="str">
        <x:f>IF(T857=TRUE,"Priority review",IF(R857=TRUE,"High cost",IF(S857=TRUE,"Low quality","Benchmark")))</x:f>
        <x:v>Benchmark</x:v>
      </x:c>
    </x:row>
    <x:row r="858">
      <x:c r="A858" s="2" t="str">
        <x:v>440131</x:v>
      </x:c>
      <x:c r="B858" s="2" t="str">
        <x:v>BAPTIST MEMORIAL HOSPITAL TIPTON</x:v>
      </x:c>
      <x:c r="C858" s="2" t="str">
        <x:v>COVINGTON</x:v>
      </x:c>
      <x:c r="D858" s="2" t="str">
        <x:v>TN</x:v>
      </x:c>
      <x:c r="E858" s="2" t="str">
        <x:v>Acute Care Hospitals</x:v>
      </x:c>
      <x:c r="F858" s="2" t="str">
        <x:v>Voluntary non-profit</x:v>
      </x:c>
      <x:c r="G858" s="2" t="str">
        <x:v>Small (&lt;100 beds)</x:v>
      </x:c>
      <x:c r="H858" s="7" t="n">
        <x:v>3</x:v>
      </x:c>
      <x:c r="I858" s="7" t="n">
        <x:v>4</x:v>
      </x:c>
      <x:c r="J858" s="7" t="n">
        <x:v>0.95</x:v>
      </x:c>
      <x:c r="K858" s="8" t="n">
        <x:v>48</x:v>
      </x:c>
      <x:c r="L858" s="8" t="n">
        <x:v>2960</x:v>
      </x:c>
      <x:c r="M858" s="9" t="n">
        <x:v>0.2092149381</x:v>
      </x:c>
      <x:c r="N858" s="10" t="n">
        <x:v>104667.0780405405</x:v>
      </x:c>
      <x:c r="O858" s="9" t="n">
        <x:v>0.1361865984</x:v>
      </x:c>
      <x:c r="P858" s="9" t="n">
        <x:v>0.8276481149</x:v>
      </x:c>
      <x:c r="Q858" s="9" t="n">
        <x:v>0.1687612208</x:v>
      </x:c>
      <x:c r="R858" s="3" t="b">
        <x:v>0</x:v>
      </x:c>
      <x:c r="S858" s="3" t="b">
        <x:v>0</x:v>
      </x:c>
      <x:c r="T858" s="3" t="b">
        <x:v>0</x:v>
      </x:c>
      <x:c r="U858" s="2" t="str">
        <x:f>IF(T858=TRUE,"Priority review",IF(R858=TRUE,"High cost",IF(S858=TRUE,"Low quality","Benchmark")))</x:f>
        <x:v>Benchmark</x:v>
      </x:c>
    </x:row>
    <x:row r="859">
      <x:c r="A859" s="2" t="str">
        <x:v>351332</x:v>
      </x:c>
      <x:c r="B859" s="2" t="str">
        <x:v>HEART OF AMERICA MEDICAL CENTER</x:v>
      </x:c>
      <x:c r="C859" s="2" t="str">
        <x:v>RUGBY</x:v>
      </x:c>
      <x:c r="D859" s="2" t="str">
        <x:v>ND</x:v>
      </x:c>
      <x:c r="E859" s="2" t="str">
        <x:v>Critical Access Hospitals</x:v>
      </x:c>
      <x:c r="F859" s="2" t="str">
        <x:v>Voluntary non-profit</x:v>
      </x:c>
      <x:c r="G859" s="2" t="str">
        <x:v>Small (&lt;100 beds)</x:v>
      </x:c>
      <x:c r="H859" s="7" t="n">
        <x:v>2</x:v>
      </x:c>
      <x:c r="I859" s="7"/>
      <x:c r="J859" s="7"/>
      <x:c r="K859" s="8" t="n">
        <x:v>25</x:v>
      </x:c>
      <x:c r="L859" s="8" t="n">
        <x:v>135</x:v>
      </x:c>
      <x:c r="M859" s="9" t="n">
        <x:v>0.4856986301</x:v>
      </x:c>
      <x:c r="N859" s="10" t="n">
        <x:v>261677.3185185185</x:v>
      </x:c>
      <x:c r="O859" s="9" t="n">
        <x:v>-0.2161436716</x:v>
      </x:c>
      <x:c r="P859" s="9" t="n">
        <x:v>0.8275092937</x:v>
      </x:c>
      <x:c r="Q859" s="9" t="n">
        <x:v>0.0171003717</x:v>
      </x:c>
      <x:c r="R859" s="3" t="b">
        <x:v>0</x:v>
      </x:c>
      <x:c r="S859" s="3" t="b">
        <x:v>1</x:v>
      </x:c>
      <x:c r="T859" s="3" t="b">
        <x:v>0</x:v>
      </x:c>
      <x:c r="U859" s="2" t="str">
        <x:f>IF(T859=TRUE,"Priority review",IF(R859=TRUE,"High cost",IF(S859=TRUE,"Low quality","Benchmark")))</x:f>
        <x:v>Low quality</x:v>
      </x:c>
    </x:row>
    <x:row r="860">
      <x:c r="A860" s="2" t="str">
        <x:v>380090</x:v>
      </x:c>
      <x:c r="B860" s="2" t="str">
        <x:v>BAY AREA HOSPITAL</x:v>
      </x:c>
      <x:c r="C860" s="2" t="str">
        <x:v>COOS BAY</x:v>
      </x:c>
      <x:c r="D860" s="2" t="str">
        <x:v>OR</x:v>
      </x:c>
      <x:c r="E860" s="2" t="str">
        <x:v>Acute Care Hospitals</x:v>
      </x:c>
      <x:c r="F860" s="2" t="str">
        <x:v>Government</x:v>
      </x:c>
      <x:c r="G860" s="2" t="str">
        <x:v>Medium (100-299 beds)</x:v>
      </x:c>
      <x:c r="H860" s="7" t="n">
        <x:v>2</x:v>
      </x:c>
      <x:c r="I860" s="7" t="n">
        <x:v>3</x:v>
      </x:c>
      <x:c r="J860" s="7" t="n">
        <x:v>0.87</x:v>
      </x:c>
      <x:c r="K860" s="8" t="n">
        <x:v>144</x:v>
      </x:c>
      <x:c r="L860" s="8" t="n">
        <x:v>4997</x:v>
      </x:c>
      <x:c r="M860" s="9" t="n">
        <x:v>0.537043379</x:v>
      </x:c>
      <x:c r="N860" s="10" t="n">
        <x:v>53151.9671803082</x:v>
      </x:c>
      <x:c r="O860" s="9" t="n">
        <x:v>-0.3279690992</x:v>
      </x:c>
      <x:c r="P860" s="9" t="n">
        <x:v>0.8272208639</x:v>
      </x:c>
      <x:c r="Q860" s="9" t="n">
        <x:v>0.0782396088</x:v>
      </x:c>
      <x:c r="R860" s="3" t="b">
        <x:v>0</x:v>
      </x:c>
      <x:c r="S860" s="3" t="b">
        <x:v>1</x:v>
      </x:c>
      <x:c r="T860" s="3" t="b">
        <x:v>0</x:v>
      </x:c>
      <x:c r="U860" s="2" t="str">
        <x:f>IF(T860=TRUE,"Priority review",IF(R860=TRUE,"High cost",IF(S860=TRUE,"Low quality","Benchmark")))</x:f>
        <x:v>Low quality</x:v>
      </x:c>
    </x:row>
    <x:row r="861">
      <x:c r="A861" s="2" t="str">
        <x:v>441304</x:v>
      </x:c>
      <x:c r="B861" s="2" t="str">
        <x:v>JOHNSON COUNTY COMMUNITY HOSPITAL</x:v>
      </x:c>
      <x:c r="C861" s="2" t="str">
        <x:v>MOUNTAIN CITY</x:v>
      </x:c>
      <x:c r="D861" s="2" t="str">
        <x:v>TN</x:v>
      </x:c>
      <x:c r="E861" s="2" t="str">
        <x:v>Critical Access Hospitals</x:v>
      </x:c>
      <x:c r="F861" s="2" t="str">
        <x:v>Voluntary non-profit</x:v>
      </x:c>
      <x:c r="G861" s="2" t="str">
        <x:v>Small (&lt;100 beds)</x:v>
      </x:c>
      <x:c r="H861" s="7"/>
      <x:c r="I861" s="7"/>
      <x:c r="J861" s="7"/>
      <x:c r="K861" s="8" t="n">
        <x:v>2</x:v>
      </x:c>
      <x:c r="L861" s="8" t="n">
        <x:v>47</x:v>
      </x:c>
      <x:c r="M861" s="9" t="n">
        <x:v>0.1424657534</x:v>
      </x:c>
      <x:c r="N861" s="10" t="n">
        <x:v>261275.0425531915</x:v>
      </x:c>
      <x:c r="O861" s="9" t="n">
        <x:v>0.2338649311</x:v>
      </x:c>
      <x:c r="P861" s="9" t="n">
        <x:v>0.8267657993</x:v>
      </x:c>
      <x:c r="Q861" s="9" t="n">
        <x:v>0.292936803</x:v>
      </x:c>
      <x:c r="R861" s="3" t="b">
        <x:v>0</x:v>
      </x:c>
      <x:c r="S861" s="3" t="b">
        <x:v>0</x:v>
      </x:c>
      <x:c r="T861" s="3" t="b">
        <x:v>0</x:v>
      </x:c>
      <x:c r="U861" s="2" t="str">
        <x:f>IF(T861=TRUE,"Priority review",IF(R861=TRUE,"High cost",IF(S861=TRUE,"Low quality","Benchmark")))</x:f>
        <x:v>Benchmark</x:v>
      </x:c>
    </x:row>
    <x:row r="862">
      <x:c r="A862" s="2" t="str">
        <x:v>520071</x:v>
      </x:c>
      <x:c r="B862" s="2" t="str">
        <x:v>FORT MEMORIAL HOSPITAL</x:v>
      </x:c>
      <x:c r="C862" s="2" t="str">
        <x:v>FORT ATKINSON</x:v>
      </x:c>
      <x:c r="D862" s="2" t="str">
        <x:v>WI</x:v>
      </x:c>
      <x:c r="E862" s="2" t="str">
        <x:v>Acute Care Hospitals</x:v>
      </x:c>
      <x:c r="F862" s="2" t="str">
        <x:v>Voluntary non-profit</x:v>
      </x:c>
      <x:c r="G862" s="2" t="str">
        <x:v>Small (&lt;100 beds)</x:v>
      </x:c>
      <x:c r="H862" s="7" t="n">
        <x:v>4</x:v>
      </x:c>
      <x:c r="I862" s="7" t="n">
        <x:v>3</x:v>
      </x:c>
      <x:c r="J862" s="7" t="n">
        <x:v>0.92</x:v>
      </x:c>
      <x:c r="K862" s="8" t="n">
        <x:v>49</x:v>
      </x:c>
      <x:c r="L862" s="8" t="n">
        <x:v>1449</x:v>
      </x:c>
      <x:c r="M862" s="9" t="n">
        <x:v>0.2853239657</x:v>
      </x:c>
      <x:c r="N862" s="10" t="n">
        <x:v>104302.9813664596</x:v>
      </x:c>
      <x:c r="O862" s="9" t="n">
        <x:v>-0.0824419742</x:v>
      </x:c>
      <x:c r="P862" s="9" t="n">
        <x:v>0.8267504488</x:v>
      </x:c>
      <x:c r="Q862" s="9" t="n">
        <x:v>0.3913824057</x:v>
      </x:c>
      <x:c r="R862" s="3" t="b">
        <x:v>0</x:v>
      </x:c>
      <x:c r="S862" s="3" t="b">
        <x:v>0</x:v>
      </x:c>
      <x:c r="T862" s="3" t="b">
        <x:v>0</x:v>
      </x:c>
      <x:c r="U862" s="2" t="str">
        <x:f>IF(T862=TRUE,"Priority review",IF(R862=TRUE,"High cost",IF(S862=TRUE,"Low quality","Benchmark")))</x:f>
        <x:v>Benchmark</x:v>
      </x:c>
    </x:row>
    <x:row r="863">
      <x:c r="A863" s="2" t="str">
        <x:v>050075</x:v>
      </x:c>
      <x:c r="B863" s="2" t="str">
        <x:v>KAISER FOUNDATION HOSPITAL - OAKLAND/RICHMOND</x:v>
      </x:c>
      <x:c r="C863" s="2" t="str">
        <x:v>OAKLAND</x:v>
      </x:c>
      <x:c r="D863" s="2" t="str">
        <x:v>CA</x:v>
      </x:c>
      <x:c r="E863" s="2" t="str">
        <x:v>Acute Care Hospitals</x:v>
      </x:c>
      <x:c r="F863" s="2" t="str">
        <x:v>Voluntary non-profit</x:v>
      </x:c>
      <x:c r="G863" s="2" t="str">
        <x:v>Large (300+ beds)</x:v>
      </x:c>
      <x:c r="H863" s="7" t="n">
        <x:v>2</x:v>
      </x:c>
      <x:c r="I863" s="7" t="n">
        <x:v>3</x:v>
      </x:c>
      <x:c r="J863" s="7" t="n">
        <x:v>0.94</x:v>
      </x:c>
      <x:c r="K863" s="8" t="n">
        <x:v>365</x:v>
      </x:c>
      <x:c r="L863" s="8" t="n">
        <x:v>21372</x:v>
      </x:c>
      <x:c r="M863" s="9" t="n">
        <x:v>0.7521970207</x:v>
      </x:c>
      <x:c r="N863" s="10" t="n">
        <x:v>61971.3967340445</x:v>
      </x:c>
      <x:c r="O863" s="9" t="n">
        <x:v>0.015032378</x:v>
      </x:c>
      <x:c r="P863" s="9" t="n">
        <x:v>0.8264984227</x:v>
      </x:c>
      <x:c r="Q863" s="9" t="n">
        <x:v>0.0536277603</x:v>
      </x:c>
      <x:c r="R863" s="3" t="b">
        <x:v>0</x:v>
      </x:c>
      <x:c r="S863" s="3" t="b">
        <x:v>1</x:v>
      </x:c>
      <x:c r="T863" s="3" t="b">
        <x:v>0</x:v>
      </x:c>
      <x:c r="U863" s="2" t="str">
        <x:f>IF(T863=TRUE,"Priority review",IF(R863=TRUE,"High cost",IF(S863=TRUE,"Low quality","Benchmark")))</x:f>
        <x:v>Low quality</x:v>
      </x:c>
    </x:row>
    <x:row r="864">
      <x:c r="A864" s="2" t="str">
        <x:v>390086</x:v>
      </x:c>
      <x:c r="B864" s="2" t="str">
        <x:v>PENN HIGHLANDS DUBOIS</x:v>
      </x:c>
      <x:c r="C864" s="2" t="str">
        <x:v>DUBOIS</x:v>
      </x:c>
      <x:c r="D864" s="2" t="str">
        <x:v>PA</x:v>
      </x:c>
      <x:c r="E864" s="2" t="str">
        <x:v>Acute Care Hospitals</x:v>
      </x:c>
      <x:c r="F864" s="2" t="str">
        <x:v>Voluntary non-profit</x:v>
      </x:c>
      <x:c r="G864" s="2" t="str">
        <x:v>Medium (100-299 beds)</x:v>
      </x:c>
      <x:c r="H864" s="7" t="n">
        <x:v>2</x:v>
      </x:c>
      <x:c r="I864" s="7" t="n">
        <x:v>2</x:v>
      </x:c>
      <x:c r="J864" s="7" t="n">
        <x:v>0.99</x:v>
      </x:c>
      <x:c r="K864" s="8" t="n">
        <x:v>273</x:v>
      </x:c>
      <x:c r="L864" s="8" t="n">
        <x:v>10550</x:v>
      </x:c>
      <x:c r="M864" s="9" t="n">
        <x:v>0.5112813496</x:v>
      </x:c>
      <x:c r="N864" s="10" t="n">
        <x:v>53126.725971564</x:v>
      </x:c>
      <x:c r="O864" s="9" t="n">
        <x:v>-0.1105841765</x:v>
      </x:c>
      <x:c r="P864" s="9" t="n">
        <x:v>0.826405868</x:v>
      </x:c>
      <x:c r="Q864" s="9" t="n">
        <x:v>0.0782396088</x:v>
      </x:c>
      <x:c r="R864" s="3" t="b">
        <x:v>0</x:v>
      </x:c>
      <x:c r="S864" s="3" t="b">
        <x:v>1</x:v>
      </x:c>
      <x:c r="T864" s="3" t="b">
        <x:v>0</x:v>
      </x:c>
      <x:c r="U864" s="2" t="str">
        <x:f>IF(T864=TRUE,"Priority review",IF(R864=TRUE,"High cost",IF(S864=TRUE,"Low quality","Benchmark")))</x:f>
        <x:v>Low quality</x:v>
      </x:c>
    </x:row>
    <x:row r="865">
      <x:c r="A865" s="2" t="str">
        <x:v>131313</x:v>
      </x:c>
      <x:c r="B865" s="2" t="str">
        <x:v>TETON VALLEY HOSPITAL</x:v>
      </x:c>
      <x:c r="C865" s="2" t="str">
        <x:v>DRIGGS</x:v>
      </x:c>
      <x:c r="D865" s="2" t="str">
        <x:v>ID</x:v>
      </x:c>
      <x:c r="E865" s="2" t="str">
        <x:v>Critical Access Hospitals</x:v>
      </x:c>
      <x:c r="F865" s="2" t="str">
        <x:v>Voluntary non-profit</x:v>
      </x:c>
      <x:c r="G865" s="2" t="str">
        <x:v>Small (&lt;100 beds)</x:v>
      </x:c>
      <x:c r="H865" s="7"/>
      <x:c r="I865" s="7"/>
      <x:c r="J865" s="7"/>
      <x:c r="K865" s="8" t="n">
        <x:v>13</x:v>
      </x:c>
      <x:c r="L865" s="8" t="n">
        <x:v>129</x:v>
      </x:c>
      <x:c r="M865" s="9" t="n">
        <x:v>0.2292980244</x:v>
      </x:c>
      <x:c r="N865" s="10" t="n">
        <x:v>260753.3953488372</x:v>
      </x:c>
      <x:c r="O865" s="9" t="n">
        <x:v>-0.0458910628</x:v>
      </x:c>
      <x:c r="P865" s="9" t="n">
        <x:v>0.8260223048</x:v>
      </x:c>
      <x:c r="Q865" s="9" t="n">
        <x:v>0.292936803</x:v>
      </x:c>
      <x:c r="R865" s="3" t="b">
        <x:v>0</x:v>
      </x:c>
      <x:c r="S865" s="3" t="b">
        <x:v>0</x:v>
      </x:c>
      <x:c r="T865" s="3" t="b">
        <x:v>0</x:v>
      </x:c>
      <x:c r="U865" s="2" t="str">
        <x:f>IF(T865=TRUE,"Priority review",IF(R865=TRUE,"High cost",IF(S865=TRUE,"Low quality","Benchmark")))</x:f>
        <x:v>Benchmark</x:v>
      </x:c>
    </x:row>
    <x:row r="866">
      <x:c r="A866" s="2" t="str">
        <x:v>364031</x:v>
      </x:c>
      <x:c r="B866" s="2" t="str">
        <x:v>HEARTLAND BEHAVIORAL HEALTHCARE</x:v>
      </x:c>
      <x:c r="C866" s="2" t="str">
        <x:v>MASSILLON</x:v>
      </x:c>
      <x:c r="D866" s="2" t="str">
        <x:v>OH</x:v>
      </x:c>
      <x:c r="E866" s="2" t="str">
        <x:v>Psychiatric</x:v>
      </x:c>
      <x:c r="F866" s="2" t="str">
        <x:v>Government</x:v>
      </x:c>
      <x:c r="G866" s="2" t="str">
        <x:v>Medium (100-299 beds)</x:v>
      </x:c>
      <x:c r="H866" s="7"/>
      <x:c r="I866" s="7"/>
      <x:c r="J866" s="7"/>
      <x:c r="K866" s="8" t="n">
        <x:v>152</x:v>
      </x:c>
      <x:c r="L866" s="8" t="n">
        <x:v>433</x:v>
      </x:c>
      <x:c r="M866" s="9" t="n">
        <x:v>0.9075342466</x:v>
      </x:c>
      <x:c r="N866" s="10" t="n">
        <x:v>94204.1547344111</x:v>
      </x:c>
      <x:c r="O866" s="9"/>
      <x:c r="P866" s="9" t="n">
        <x:v>0.8258706468</x:v>
      </x:c>
      <x:c r="Q866" s="9" t="n">
        <x:v>0</x:v>
      </x:c>
      <x:c r="R866" s="3" t="b">
        <x:v>0</x:v>
      </x:c>
      <x:c r="S866" s="3" t="b">
        <x:v>0</x:v>
      </x:c>
      <x:c r="T866" s="3" t="b">
        <x:v>0</x:v>
      </x:c>
      <x:c r="U866" s="2" t="str">
        <x:f>IF(T866=TRUE,"Priority review",IF(R866=TRUE,"High cost",IF(S866=TRUE,"Low quality","Benchmark")))</x:f>
        <x:v>Benchmark</x:v>
      </x:c>
    </x:row>
    <x:row r="867">
      <x:c r="A867" s="2" t="str">
        <x:v>250099</x:v>
      </x:c>
      <x:c r="B867" s="2" t="str">
        <x:v>GREENWOOD LEFLORE HOSPITAL</x:v>
      </x:c>
      <x:c r="C867" s="2" t="str">
        <x:v>GREENWOOD</x:v>
      </x:c>
      <x:c r="D867" s="2" t="str">
        <x:v>MS</x:v>
      </x:c>
      <x:c r="E867" s="2" t="str">
        <x:v>Acute Care Hospitals</x:v>
      </x:c>
      <x:c r="F867" s="2" t="str">
        <x:v>Government</x:v>
      </x:c>
      <x:c r="G867" s="2" t="str">
        <x:v>Small (&lt;100 beds)</x:v>
      </x:c>
      <x:c r="H867" s="7" t="n">
        <x:v>1</x:v>
      </x:c>
      <x:c r="I867" s="7"/>
      <x:c r="J867" s="7" t="n">
        <x:v>1.01</x:v>
      </x:c>
      <x:c r="K867" s="8" t="n">
        <x:v>25</x:v>
      </x:c>
      <x:c r="L867" s="8" t="n">
        <x:v>717</x:v>
      </x:c>
      <x:c r="M867" s="9" t="n">
        <x:v>0.2763934426</x:v>
      </x:c>
      <x:c r="N867" s="10" t="n">
        <x:v>104152.1534170153</x:v>
      </x:c>
      <x:c r="O867" s="9" t="n">
        <x:v>-0.0547659373</x:v>
      </x:c>
      <x:c r="P867" s="9" t="n">
        <x:v>0.8258527828</x:v>
      </x:c>
      <x:c r="Q867" s="9" t="n">
        <x:v>0</x:v>
      </x:c>
      <x:c r="R867" s="3" t="b">
        <x:v>0</x:v>
      </x:c>
      <x:c r="S867" s="3" t="b">
        <x:v>1</x:v>
      </x:c>
      <x:c r="T867" s="3" t="b">
        <x:v>0</x:v>
      </x:c>
      <x:c r="U867" s="2" t="str">
        <x:f>IF(T867=TRUE,"Priority review",IF(R867=TRUE,"High cost",IF(S867=TRUE,"Low quality","Benchmark")))</x:f>
        <x:v>Low quality</x:v>
      </x:c>
    </x:row>
    <x:row r="868">
      <x:c r="A868" s="2" t="str">
        <x:v>070035</x:v>
      </x:c>
      <x:c r="B868" s="2" t="str">
        <x:v>THE HOSPITAL OF CENTRAL CONNECTICUT</x:v>
      </x:c>
      <x:c r="C868" s="2" t="str">
        <x:v>NEW BRITAIN</x:v>
      </x:c>
      <x:c r="D868" s="2" t="str">
        <x:v>CT</x:v>
      </x:c>
      <x:c r="E868" s="2" t="str">
        <x:v>Acute Care Hospitals</x:v>
      </x:c>
      <x:c r="F868" s="2" t="str">
        <x:v>Voluntary non-profit</x:v>
      </x:c>
      <x:c r="G868" s="2" t="str">
        <x:v>Medium (100-299 beds)</x:v>
      </x:c>
      <x:c r="H868" s="7" t="n">
        <x:v>2</x:v>
      </x:c>
      <x:c r="I868" s="7" t="n">
        <x:v>3</x:v>
      </x:c>
      <x:c r="J868" s="7" t="n">
        <x:v>1.03</x:v>
      </x:c>
      <x:c r="K868" s="8" t="n">
        <x:v>248</x:v>
      </x:c>
      <x:c r="L868" s="8" t="n">
        <x:v>12935</x:v>
      </x:c>
      <x:c r="M868" s="9" t="n">
        <x:v>0.7802158831</x:v>
      </x:c>
      <x:c r="N868" s="10" t="n">
        <x:v>53091.0255894859</x:v>
      </x:c>
      <x:c r="O868" s="9" t="n">
        <x:v>-0.032455841</x:v>
      </x:c>
      <x:c r="P868" s="9" t="n">
        <x:v>0.825590872</x:v>
      </x:c>
      <x:c r="Q868" s="9" t="n">
        <x:v>0.0782396088</x:v>
      </x:c>
      <x:c r="R868" s="3" t="b">
        <x:v>0</x:v>
      </x:c>
      <x:c r="S868" s="3" t="b">
        <x:v>1</x:v>
      </x:c>
      <x:c r="T868" s="3" t="b">
        <x:v>0</x:v>
      </x:c>
      <x:c r="U868" s="2" t="str">
        <x:f>IF(T868=TRUE,"Priority review",IF(R868=TRUE,"High cost",IF(S868=TRUE,"Low quality","Benchmark")))</x:f>
        <x:v>Low quality</x:v>
      </x:c>
    </x:row>
    <x:row r="869">
      <x:c r="A869" s="2" t="str">
        <x:v>501320</x:v>
      </x:c>
      <x:c r="B869" s="2" t="str">
        <x:v>QUINCY VALLEY MEDICAL CENTER</x:v>
      </x:c>
      <x:c r="C869" s="2" t="str">
        <x:v>QUINCY</x:v>
      </x:c>
      <x:c r="D869" s="2" t="str">
        <x:v>WA</x:v>
      </x:c>
      <x:c r="E869" s="2" t="str">
        <x:v>Critical Access Hospitals</x:v>
      </x:c>
      <x:c r="F869" s="2" t="str">
        <x:v>Government</x:v>
      </x:c>
      <x:c r="G869" s="2" t="str">
        <x:v>Small (&lt;100 beds)</x:v>
      </x:c>
      <x:c r="H869" s="7"/>
      <x:c r="I869" s="7"/>
      <x:c r="J869" s="7"/>
      <x:c r="K869" s="8" t="n">
        <x:v>10</x:v>
      </x:c>
      <x:c r="L869" s="8" t="n">
        <x:v>67</x:v>
      </x:c>
      <x:c r="M869" s="9" t="n">
        <x:v>0.0540983607</x:v>
      </x:c>
      <x:c r="N869" s="10" t="n">
        <x:v>260177.8507462687</x:v>
      </x:c>
      <x:c r="O869" s="9" t="n">
        <x:v>-0.2571267937</x:v>
      </x:c>
      <x:c r="P869" s="9" t="n">
        <x:v>0.8252788104</x:v>
      </x:c>
      <x:c r="Q869" s="9" t="n">
        <x:v>0.292936803</x:v>
      </x:c>
      <x:c r="R869" s="3" t="b">
        <x:v>0</x:v>
      </x:c>
      <x:c r="S869" s="3" t="b">
        <x:v>0</x:v>
      </x:c>
      <x:c r="T869" s="3" t="b">
        <x:v>0</x:v>
      </x:c>
      <x:c r="U869" s="2" t="str">
        <x:f>IF(T869=TRUE,"Priority review",IF(R869=TRUE,"High cost",IF(S869=TRUE,"Low quality","Benchmark")))</x:f>
        <x:v>Benchmark</x:v>
      </x:c>
    </x:row>
    <x:row r="870">
      <x:c r="A870" s="2" t="str">
        <x:v>074014</x:v>
      </x:c>
      <x:c r="B870" s="2" t="str">
        <x:v>SILVER HILL HOSPITAL INC</x:v>
      </x:c>
      <x:c r="C870" s="2" t="str">
        <x:v>NEW CANAAN</x:v>
      </x:c>
      <x:c r="D870" s="2" t="str">
        <x:v>CT</x:v>
      </x:c>
      <x:c r="E870" s="2" t="str">
        <x:v>Psychiatric</x:v>
      </x:c>
      <x:c r="F870" s="2" t="str">
        <x:v>Government</x:v>
      </x:c>
      <x:c r="G870" s="2" t="str">
        <x:v>Small (&lt;100 beds)</x:v>
      </x:c>
      <x:c r="H870" s="7"/>
      <x:c r="I870" s="7"/>
      <x:c r="J870" s="7"/>
      <x:c r="K870" s="8" t="n">
        <x:v>35</x:v>
      </x:c>
      <x:c r="L870" s="8" t="n">
        <x:v>961</x:v>
      </x:c>
      <x:c r="M870" s="9" t="n">
        <x:v>0.8695550351</x:v>
      </x:c>
      <x:c r="N870" s="10" t="n">
        <x:v>65659.2892819979</x:v>
      </x:c>
      <x:c r="O870" s="9" t="n">
        <x:v>-0.0985394336</x:v>
      </x:c>
      <x:c r="P870" s="9" t="n">
        <x:v>0.8252427184</x:v>
      </x:c>
      <x:c r="Q870" s="9" t="n">
        <x:v>0</x:v>
      </x:c>
      <x:c r="R870" s="3" t="b">
        <x:v>0</x:v>
      </x:c>
      <x:c r="S870" s="3" t="b">
        <x:v>0</x:v>
      </x:c>
      <x:c r="T870" s="3" t="b">
        <x:v>0</x:v>
      </x:c>
      <x:c r="U870" s="2" t="str">
        <x:f>IF(T870=TRUE,"Priority review",IF(R870=TRUE,"High cost",IF(S870=TRUE,"Low quality","Benchmark")))</x:f>
        <x:v>Benchmark</x:v>
      </x:c>
    </x:row>
    <x:row r="871">
      <x:c r="A871" s="2" t="str">
        <x:v>140294</x:v>
      </x:c>
      <x:c r="B871" s="2" t="str">
        <x:v>DEACONESS ILLINOIS CROSSROADS</x:v>
      </x:c>
      <x:c r="C871" s="2" t="str">
        <x:v>MOUNT VERNON</x:v>
      </x:c>
      <x:c r="D871" s="2" t="str">
        <x:v>IL</x:v>
      </x:c>
      <x:c r="E871" s="2" t="str">
        <x:v>Acute Care Hospitals</x:v>
      </x:c>
      <x:c r="F871" s="2" t="str">
        <x:v>Proprietary</x:v>
      </x:c>
      <x:c r="G871" s="2" t="str">
        <x:v>Small (&lt;100 beds)</x:v>
      </x:c>
      <x:c r="H871" s="7"/>
      <x:c r="I871" s="7" t="n">
        <x:v>4</x:v>
      </x:c>
      <x:c r="J871" s="7" t="n">
        <x:v>1.11</x:v>
      </x:c>
      <x:c r="K871" s="8" t="n">
        <x:v>47</x:v>
      </x:c>
      <x:c r="L871" s="8" t="n">
        <x:v>599</x:v>
      </x:c>
      <x:c r="M871" s="9" t="n">
        <x:v>0.0973142658</x:v>
      </x:c>
      <x:c r="N871" s="10" t="n">
        <x:v>103858.4808013356</x:v>
      </x:c>
      <x:c r="O871" s="9" t="n">
        <x:v>-0.0993244863</x:v>
      </x:c>
      <x:c r="P871" s="9" t="n">
        <x:v>0.8249551167</x:v>
      </x:c>
      <x:c r="Q871" s="9" t="n">
        <x:v>0.697486535</x:v>
      </x:c>
      <x:c r="R871" s="3" t="b">
        <x:v>0</x:v>
      </x:c>
      <x:c r="S871" s="3" t="b">
        <x:v>0</x:v>
      </x:c>
      <x:c r="T871" s="3" t="b">
        <x:v>0</x:v>
      </x:c>
      <x:c r="U871" s="2" t="str">
        <x:f>IF(T871=TRUE,"Priority review",IF(R871=TRUE,"High cost",IF(S871=TRUE,"Low quality","Benchmark")))</x:f>
        <x:v>Benchmark</x:v>
      </x:c>
    </x:row>
    <x:row r="872">
      <x:c r="A872" s="2" t="str">
        <x:v>340047</x:v>
      </x:c>
      <x:c r="B872" s="2" t="str">
        <x:v>NORTH CAROLINA BAPTIST HOSPITAL</x:v>
      </x:c>
      <x:c r="C872" s="2" t="str">
        <x:v>WINSTON-SALEM</x:v>
      </x:c>
      <x:c r="D872" s="2" t="str">
        <x:v>NC</x:v>
      </x:c>
      <x:c r="E872" s="2" t="str">
        <x:v>Acute Care Hospitals</x:v>
      </x:c>
      <x:c r="F872" s="2" t="str">
        <x:v>Voluntary non-profit</x:v>
      </x:c>
      <x:c r="G872" s="2" t="str">
        <x:v>Large (300+ beds)</x:v>
      </x:c>
      <x:c r="H872" s="7" t="n">
        <x:v>4</x:v>
      </x:c>
      <x:c r="I872" s="7" t="n">
        <x:v>3</x:v>
      </x:c>
      <x:c r="J872" s="7" t="n">
        <x:v>0.96</x:v>
      </x:c>
      <x:c r="K872" s="8" t="n">
        <x:v>831</x:v>
      </x:c>
      <x:c r="L872" s="8" t="n">
        <x:v>48687</x:v>
      </x:c>
      <x:c r="M872" s="9" t="n">
        <x:v>0.87063121</x:v>
      </x:c>
      <x:c r="N872" s="10" t="n">
        <x:v>61962.5000513484</x:v>
      </x:c>
      <x:c r="O872" s="9" t="n">
        <x:v>-0.2574009598</x:v>
      </x:c>
      <x:c r="P872" s="9" t="n">
        <x:v>0.8249211356</x:v>
      </x:c>
      <x:c r="Q872" s="9" t="n">
        <x:v>0.5899053628</x:v>
      </x:c>
      <x:c r="R872" s="3" t="b">
        <x:v>0</x:v>
      </x:c>
      <x:c r="S872" s="3" t="b">
        <x:v>0</x:v>
      </x:c>
      <x:c r="T872" s="3" t="b">
        <x:v>0</x:v>
      </x:c>
      <x:c r="U872" s="2" t="str">
        <x:f>IF(T872=TRUE,"Priority review",IF(R872=TRUE,"High cost",IF(S872=TRUE,"Low quality","Benchmark")))</x:f>
        <x:v>Benchmark</x:v>
      </x:c>
    </x:row>
    <x:row r="873">
      <x:c r="A873" s="2" t="str">
        <x:v>090005</x:v>
      </x:c>
      <x:c r="B873" s="2" t="str">
        <x:v>SIBLEY MEMORIAL HOSPITAL</x:v>
      </x:c>
      <x:c r="C873" s="2" t="str">
        <x:v>WASHINGTON</x:v>
      </x:c>
      <x:c r="D873" s="2" t="str">
        <x:v>DC</x:v>
      </x:c>
      <x:c r="E873" s="2" t="str">
        <x:v>Acute Care Hospitals</x:v>
      </x:c>
      <x:c r="F873" s="2" t="str">
        <x:v>Voluntary non-profit</x:v>
      </x:c>
      <x:c r="G873" s="2" t="str">
        <x:v>Medium (100-299 beds)</x:v>
      </x:c>
      <x:c r="H873" s="7" t="n">
        <x:v>5</x:v>
      </x:c>
      <x:c r="I873" s="7" t="n">
        <x:v>3</x:v>
      </x:c>
      <x:c r="J873" s="7" t="n">
        <x:v>0.96</x:v>
      </x:c>
      <x:c r="K873" s="8" t="n">
        <x:v>219</x:v>
      </x:c>
      <x:c r="L873" s="8" t="n">
        <x:v>11722</x:v>
      </x:c>
      <x:c r="M873" s="9" t="n">
        <x:v>0.7337836993</x:v>
      </x:c>
      <x:c r="N873" s="10" t="n">
        <x:v>52900.7921856339</x:v>
      </x:c>
      <x:c r="O873" s="9" t="n">
        <x:v>-0.0081938257</x:v>
      </x:c>
      <x:c r="P873" s="9" t="n">
        <x:v>0.8247758761</x:v>
      </x:c>
      <x:c r="Q873" s="9" t="n">
        <x:v>0.8744906275</x:v>
      </x:c>
      <x:c r="R873" s="3" t="b">
        <x:v>0</x:v>
      </x:c>
      <x:c r="S873" s="3" t="b">
        <x:v>0</x:v>
      </x:c>
      <x:c r="T873" s="3" t="b">
        <x:v>0</x:v>
      </x:c>
      <x:c r="U873" s="2" t="str">
        <x:f>IF(T873=TRUE,"Priority review",IF(R873=TRUE,"High cost",IF(S873=TRUE,"Low quality","Benchmark")))</x:f>
        <x:v>Benchmark</x:v>
      </x:c>
    </x:row>
    <x:row r="874">
      <x:c r="A874" s="2" t="str">
        <x:v>041309</x:v>
      </x:c>
      <x:c r="B874" s="2" t="str">
        <x:v>LAWRENCE MEMORIAL HOSPITAL</x:v>
      </x:c>
      <x:c r="C874" s="2" t="str">
        <x:v>WALNUT RIDGE</x:v>
      </x:c>
      <x:c r="D874" s="2" t="str">
        <x:v>AR</x:v>
      </x:c>
      <x:c r="E874" s="2" t="str">
        <x:v>Critical Access Hospitals</x:v>
      </x:c>
      <x:c r="F874" s="2" t="str">
        <x:v>Voluntary non-profit</x:v>
      </x:c>
      <x:c r="G874" s="2" t="str">
        <x:v>Small (&lt;100 beds)</x:v>
      </x:c>
      <x:c r="H874" s="7"/>
      <x:c r="I874" s="7"/>
      <x:c r="J874" s="7"/>
      <x:c r="K874" s="8" t="n">
        <x:v>25</x:v>
      </x:c>
      <x:c r="L874" s="8" t="n">
        <x:v>81</x:v>
      </x:c>
      <x:c r="M874" s="9" t="n">
        <x:v>0.186739726</x:v>
      </x:c>
      <x:c r="N874" s="10" t="n">
        <x:v>256698.3827160494</x:v>
      </x:c>
      <x:c r="O874" s="9" t="n">
        <x:v>-0.7033670562</x:v>
      </x:c>
      <x:c r="P874" s="9" t="n">
        <x:v>0.824535316</x:v>
      </x:c>
      <x:c r="Q874" s="9" t="n">
        <x:v>0.292936803</x:v>
      </x:c>
      <x:c r="R874" s="3" t="b">
        <x:v>0</x:v>
      </x:c>
      <x:c r="S874" s="3" t="b">
        <x:v>0</x:v>
      </x:c>
      <x:c r="T874" s="3" t="b">
        <x:v>0</x:v>
      </x:c>
      <x:c r="U874" s="2" t="str">
        <x:f>IF(T874=TRUE,"Priority review",IF(R874=TRUE,"High cost",IF(S874=TRUE,"Low quality","Benchmark")))</x:f>
        <x:v>Benchmark</x:v>
      </x:c>
    </x:row>
    <x:row r="875">
      <x:c r="A875" s="2" t="str">
        <x:v>050726</x:v>
      </x:c>
      <x:c r="B875" s="2" t="str">
        <x:v>STANISLAUS SURGICAL HOSPITAL</x:v>
      </x:c>
      <x:c r="C875" s="2" t="str">
        <x:v>MODESTO</x:v>
      </x:c>
      <x:c r="D875" s="2" t="str">
        <x:v>CA</x:v>
      </x:c>
      <x:c r="E875" s="2" t="str">
        <x:v>Acute Care Hospitals</x:v>
      </x:c>
      <x:c r="F875" s="2" t="str">
        <x:v>Voluntary non-profit</x:v>
      </x:c>
      <x:c r="G875" s="2" t="str">
        <x:v>Small (&lt;100 beds)</x:v>
      </x:c>
      <x:c r="H875" s="7"/>
      <x:c r="I875" s="7"/>
      <x:c r="J875" s="7"/>
      <x:c r="K875" s="8" t="n">
        <x:v>23</x:v>
      </x:c>
      <x:c r="L875" s="8" t="n">
        <x:v>218</x:v>
      </x:c>
      <x:c r="M875" s="9" t="n">
        <x:v>0.056763285</x:v>
      </x:c>
      <x:c r="N875" s="10" t="n">
        <x:v>103070.0642201835</x:v>
      </x:c>
      <x:c r="O875" s="9" t="n">
        <x:v>-0.5545700786</x:v>
      </x:c>
      <x:c r="P875" s="9" t="n">
        <x:v>0.8240574506</x:v>
      </x:c>
      <x:c r="Q875" s="9" t="n">
        <x:v>0.697486535</x:v>
      </x:c>
      <x:c r="R875" s="3" t="b">
        <x:v>0</x:v>
      </x:c>
      <x:c r="S875" s="3" t="b">
        <x:v>0</x:v>
      </x:c>
      <x:c r="T875" s="3" t="b">
        <x:v>0</x:v>
      </x:c>
      <x:c r="U875" s="2" t="str">
        <x:f>IF(T875=TRUE,"Priority review",IF(R875=TRUE,"High cost",IF(S875=TRUE,"Low quality","Benchmark")))</x:f>
        <x:v>Benchmark</x:v>
      </x:c>
    </x:row>
    <x:row r="876">
      <x:c r="A876" s="2" t="str">
        <x:v>220084</x:v>
      </x:c>
      <x:c r="B876" s="2" t="str">
        <x:v>EMERSON HOSPITAL -</x:v>
      </x:c>
      <x:c r="C876" s="2" t="str">
        <x:v>W CONCORD</x:v>
      </x:c>
      <x:c r="D876" s="2" t="str">
        <x:v>MA</x:v>
      </x:c>
      <x:c r="E876" s="2" t="str">
        <x:v>Acute Care Hospitals</x:v>
      </x:c>
      <x:c r="F876" s="2" t="str">
        <x:v>Voluntary non-profit</x:v>
      </x:c>
      <x:c r="G876" s="2" t="str">
        <x:v>Medium (100-299 beds)</x:v>
      </x:c>
      <x:c r="H876" s="7" t="n">
        <x:v>5</x:v>
      </x:c>
      <x:c r="I876" s="7" t="n">
        <x:v>3</x:v>
      </x:c>
      <x:c r="J876" s="7" t="n">
        <x:v>1.01</x:v>
      </x:c>
      <x:c r="K876" s="8" t="n">
        <x:v>111</x:v>
      </x:c>
      <x:c r="L876" s="8" t="n">
        <x:v>6980</x:v>
      </x:c>
      <x:c r="M876" s="9" t="n">
        <x:v>0.7646088712</x:v>
      </x:c>
      <x:c r="N876" s="10" t="n">
        <x:v>52586.1747851003</x:v>
      </x:c>
      <x:c r="O876" s="9" t="n">
        <x:v>-0.0566389012</x:v>
      </x:c>
      <x:c r="P876" s="9" t="n">
        <x:v>0.8239608802</x:v>
      </x:c>
      <x:c r="Q876" s="9" t="n">
        <x:v>0.8744906275</x:v>
      </x:c>
      <x:c r="R876" s="3" t="b">
        <x:v>0</x:v>
      </x:c>
      <x:c r="S876" s="3" t="b">
        <x:v>0</x:v>
      </x:c>
      <x:c r="T876" s="3" t="b">
        <x:v>0</x:v>
      </x:c>
      <x:c r="U876" s="2" t="str">
        <x:f>IF(T876=TRUE,"Priority review",IF(R876=TRUE,"High cost",IF(S876=TRUE,"Low quality","Benchmark")))</x:f>
        <x:v>Benchmark</x:v>
      </x:c>
    </x:row>
    <x:row r="877">
      <x:c r="A877" s="2" t="str">
        <x:v>431307</x:v>
      </x:c>
      <x:c r="B877" s="2" t="str">
        <x:v>SANFORD CLEAR LAKE MEDICAL CENTER</x:v>
      </x:c>
      <x:c r="C877" s="2" t="str">
        <x:v>CLEAR LAKE</x:v>
      </x:c>
      <x:c r="D877" s="2" t="str">
        <x:v>SD</x:v>
      </x:c>
      <x:c r="E877" s="2" t="str">
        <x:v>Critical Access Hospitals</x:v>
      </x:c>
      <x:c r="F877" s="2" t="str">
        <x:v>Voluntary non-profit</x:v>
      </x:c>
      <x:c r="G877" s="2" t="str">
        <x:v>Small (&lt;100 beds)</x:v>
      </x:c>
      <x:c r="H877" s="7"/>
      <x:c r="I877" s="7"/>
      <x:c r="J877" s="7"/>
      <x:c r="K877" s="8" t="n">
        <x:v>10</x:v>
      </x:c>
      <x:c r="L877" s="8" t="n">
        <x:v>29</x:v>
      </x:c>
      <x:c r="M877" s="9" t="n">
        <x:v>0.2584699454</x:v>
      </x:c>
      <x:c r="N877" s="10" t="n">
        <x:v>255875.6896551724</x:v>
      </x:c>
      <x:c r="O877" s="9" t="n">
        <x:v>0.0721577748</x:v>
      </x:c>
      <x:c r="P877" s="9" t="n">
        <x:v>0.8237918216</x:v>
      </x:c>
      <x:c r="Q877" s="9" t="n">
        <x:v>0.292936803</x:v>
      </x:c>
      <x:c r="R877" s="3" t="b">
        <x:v>0</x:v>
      </x:c>
      <x:c r="S877" s="3" t="b">
        <x:v>0</x:v>
      </x:c>
      <x:c r="T877" s="3" t="b">
        <x:v>0</x:v>
      </x:c>
      <x:c r="U877" s="2" t="str">
        <x:f>IF(T877=TRUE,"Priority review",IF(R877=TRUE,"High cost",IF(S877=TRUE,"Low quality","Benchmark")))</x:f>
        <x:v>Benchmark</x:v>
      </x:c>
    </x:row>
    <x:row r="878">
      <x:c r="A878" s="2" t="str">
        <x:v>050573</x:v>
      </x:c>
      <x:c r="B878" s="2" t="str">
        <x:v>EISENHOWER MEDICAL CENTER</x:v>
      </x:c>
      <x:c r="C878" s="2" t="str">
        <x:v>RANCHO MIRAGE</x:v>
      </x:c>
      <x:c r="D878" s="2" t="str">
        <x:v>CA</x:v>
      </x:c>
      <x:c r="E878" s="2" t="str">
        <x:v>Acute Care Hospitals</x:v>
      </x:c>
      <x:c r="F878" s="2" t="str">
        <x:v>Proprietary</x:v>
      </x:c>
      <x:c r="G878" s="2" t="str">
        <x:v>Large (300+ beds)</x:v>
      </x:c>
      <x:c r="H878" s="7" t="n">
        <x:v>4</x:v>
      </x:c>
      <x:c r="I878" s="7" t="n">
        <x:v>3</x:v>
      </x:c>
      <x:c r="J878" s="7" t="n">
        <x:v>1</x:v>
      </x:c>
      <x:c r="K878" s="8" t="n">
        <x:v>376</x:v>
      </x:c>
      <x:c r="L878" s="8" t="n">
        <x:v>21834</x:v>
      </x:c>
      <x:c r="M878" s="9" t="n">
        <x:v>0.557663901</x:v>
      </x:c>
      <x:c r="N878" s="10" t="n">
        <x:v>61821.487130164</x:v>
      </x:c>
      <x:c r="O878" s="9" t="n">
        <x:v>-0.0719751431</x:v>
      </x:c>
      <x:c r="P878" s="9" t="n">
        <x:v>0.8233438486</x:v>
      </x:c>
      <x:c r="Q878" s="9" t="n">
        <x:v>0.5899053628</x:v>
      </x:c>
      <x:c r="R878" s="3" t="b">
        <x:v>0</x:v>
      </x:c>
      <x:c r="S878" s="3" t="b">
        <x:v>0</x:v>
      </x:c>
      <x:c r="T878" s="3" t="b">
        <x:v>0</x:v>
      </x:c>
      <x:c r="U878" s="2" t="str">
        <x:f>IF(T878=TRUE,"Priority review",IF(R878=TRUE,"High cost",IF(S878=TRUE,"Low quality","Benchmark")))</x:f>
        <x:v>Benchmark</x:v>
      </x:c>
    </x:row>
    <x:row r="879">
      <x:c r="A879" s="2" t="str">
        <x:v>450241</x:v>
      </x:c>
      <x:c r="B879" s="2" t="str">
        <x:v>FAITH COMMUNITY HOSPITAL</x:v>
      </x:c>
      <x:c r="C879" s="2" t="str">
        <x:v>JACKSBORO</x:v>
      </x:c>
      <x:c r="D879" s="2" t="str">
        <x:v>TX</x:v>
      </x:c>
      <x:c r="E879" s="2" t="str">
        <x:v>Acute Care Hospitals</x:v>
      </x:c>
      <x:c r="F879" s="2" t="str">
        <x:v>Government</x:v>
      </x:c>
      <x:c r="G879" s="2" t="str">
        <x:v>Small (&lt;100 beds)</x:v>
      </x:c>
      <x:c r="H879" s="7"/>
      <x:c r="I879" s="7"/>
      <x:c r="J879" s="7" t="n">
        <x:v>1.24</x:v>
      </x:c>
      <x:c r="K879" s="8" t="n">
        <x:v>13</x:v>
      </x:c>
      <x:c r="L879" s="8" t="n">
        <x:v>383</x:v>
      </x:c>
      <x:c r="M879" s="9" t="n">
        <x:v>0.2634351949</x:v>
      </x:c>
      <x:c r="N879" s="10" t="n">
        <x:v>103066.1436031332</x:v>
      </x:c>
      <x:c r="O879" s="9" t="n">
        <x:v>-0.4637681503</x:v>
      </x:c>
      <x:c r="P879" s="9" t="n">
        <x:v>0.8231597846</x:v>
      </x:c>
      <x:c r="Q879" s="9" t="n">
        <x:v>0.697486535</x:v>
      </x:c>
      <x:c r="R879" s="3" t="b">
        <x:v>0</x:v>
      </x:c>
      <x:c r="S879" s="3" t="b">
        <x:v>0</x:v>
      </x:c>
      <x:c r="T879" s="3" t="b">
        <x:v>0</x:v>
      </x:c>
      <x:c r="U879" s="2" t="str">
        <x:f>IF(T879=TRUE,"Priority review",IF(R879=TRUE,"High cost",IF(S879=TRUE,"Low quality","Benchmark")))</x:f>
        <x:v>Benchmark</x:v>
      </x:c>
    </x:row>
    <x:row r="880">
      <x:c r="A880" s="2" t="str">
        <x:v>120007</x:v>
      </x:c>
      <x:c r="B880" s="2" t="str">
        <x:v>KUAKINI MEDICAL CENTER</x:v>
      </x:c>
      <x:c r="C880" s="2" t="str">
        <x:v>HONOLULU</x:v>
      </x:c>
      <x:c r="D880" s="2" t="str">
        <x:v>HI</x:v>
      </x:c>
      <x:c r="E880" s="2" t="str">
        <x:v>Acute Care Hospitals</x:v>
      </x:c>
      <x:c r="F880" s="2" t="str">
        <x:v>Voluntary non-profit</x:v>
      </x:c>
      <x:c r="G880" s="2" t="str">
        <x:v>Medium (100-299 beds)</x:v>
      </x:c>
      <x:c r="H880" s="7" t="n">
        <x:v>4</x:v>
      </x:c>
      <x:c r="I880" s="7" t="n">
        <x:v>2</x:v>
      </x:c>
      <x:c r="J880" s="7" t="n">
        <x:v>0.94</x:v>
      </x:c>
      <x:c r="K880" s="8" t="n">
        <x:v>170</x:v>
      </x:c>
      <x:c r="L880" s="8" t="n">
        <x:v>3639</x:v>
      </x:c>
      <x:c r="M880" s="9" t="n">
        <x:v>0.4446253022</x:v>
      </x:c>
      <x:c r="N880" s="10" t="n">
        <x:v>52571.1662544655</x:v>
      </x:c>
      <x:c r="O880" s="9" t="n">
        <x:v>-0.2537189991</x:v>
      </x:c>
      <x:c r="P880" s="9" t="n">
        <x:v>0.8231458843</x:v>
      </x:c>
      <x:c r="Q880" s="9" t="n">
        <x:v>0.6022819886</x:v>
      </x:c>
      <x:c r="R880" s="3" t="b">
        <x:v>0</x:v>
      </x:c>
      <x:c r="S880" s="3" t="b">
        <x:v>0</x:v>
      </x:c>
      <x:c r="T880" s="3" t="b">
        <x:v>0</x:v>
      </x:c>
      <x:c r="U880" s="2" t="str">
        <x:f>IF(T880=TRUE,"Priority review",IF(R880=TRUE,"High cost",IF(S880=TRUE,"Low quality","Benchmark")))</x:f>
        <x:v>Benchmark</x:v>
      </x:c>
    </x:row>
    <x:row r="881">
      <x:c r="A881" s="2" t="str">
        <x:v>231314</x:v>
      </x:c>
      <x:c r="B881" s="2" t="str">
        <x:v>MCKENZIE HEALTH SYSTEM</x:v>
      </x:c>
      <x:c r="C881" s="2" t="str">
        <x:v>SANDUSKY</x:v>
      </x:c>
      <x:c r="D881" s="2" t="str">
        <x:v>MI</x:v>
      </x:c>
      <x:c r="E881" s="2" t="str">
        <x:v>Critical Access Hospitals</x:v>
      </x:c>
      <x:c r="F881" s="2" t="str">
        <x:v>Voluntary non-profit</x:v>
      </x:c>
      <x:c r="G881" s="2" t="str">
        <x:v>Small (&lt;100 beds)</x:v>
      </x:c>
      <x:c r="H881" s="7"/>
      <x:c r="I881" s="7"/>
      <x:c r="J881" s="7"/>
      <x:c r="K881" s="8" t="n">
        <x:v>25</x:v>
      </x:c>
      <x:c r="L881" s="8" t="n">
        <x:v>122</x:v>
      </x:c>
      <x:c r="M881" s="9" t="n">
        <x:v>0.1424043716</x:v>
      </x:c>
      <x:c r="N881" s="10" t="n">
        <x:v>255836.7704918033</x:v>
      </x:c>
      <x:c r="O881" s="9" t="n">
        <x:v>-0.0424193574</x:v>
      </x:c>
      <x:c r="P881" s="9" t="n">
        <x:v>0.8230483271</x:v>
      </x:c>
      <x:c r="Q881" s="9" t="n">
        <x:v>0.292936803</x:v>
      </x:c>
      <x:c r="R881" s="3" t="b">
        <x:v>0</x:v>
      </x:c>
      <x:c r="S881" s="3" t="b">
        <x:v>0</x:v>
      </x:c>
      <x:c r="T881" s="3" t="b">
        <x:v>0</x:v>
      </x:c>
      <x:c r="U881" s="2" t="str">
        <x:f>IF(T881=TRUE,"Priority review",IF(R881=TRUE,"High cost",IF(S881=TRUE,"Low quality","Benchmark")))</x:f>
        <x:v>Benchmark</x:v>
      </x:c>
    </x:row>
    <x:row r="882">
      <x:c r="A882" s="2" t="str">
        <x:v>050121</x:v>
      </x:c>
      <x:c r="B882" s="2" t="str">
        <x:v>ADVENTIST HEALTH HANFORD</x:v>
      </x:c>
      <x:c r="C882" s="2" t="str">
        <x:v>HANFORD</x:v>
      </x:c>
      <x:c r="D882" s="2" t="str">
        <x:v>CA</x:v>
      </x:c>
      <x:c r="E882" s="2" t="str">
        <x:v>Acute Care Hospitals</x:v>
      </x:c>
      <x:c r="F882" s="2" t="str">
        <x:v>Voluntary non-profit</x:v>
      </x:c>
      <x:c r="G882" s="2" t="str">
        <x:v>Medium (100-299 beds)</x:v>
      </x:c>
      <x:c r="H882" s="7" t="n">
        <x:v>3</x:v>
      </x:c>
      <x:c r="I882" s="7" t="n">
        <x:v>3</x:v>
      </x:c>
      <x:c r="J882" s="7" t="n">
        <x:v>0.99</x:v>
      </x:c>
      <x:c r="K882" s="8" t="n">
        <x:v>235</x:v>
      </x:c>
      <x:c r="L882" s="8" t="n">
        <x:v>8163</x:v>
      </x:c>
      <x:c r="M882" s="9" t="n">
        <x:v>0.491559121</x:v>
      </x:c>
      <x:c r="N882" s="10" t="n">
        <x:v>52456.0639470783</x:v>
      </x:c>
      <x:c r="O882" s="9" t="n">
        <x:v>-0.0487485216</x:v>
      </x:c>
      <x:c r="P882" s="9" t="n">
        <x:v>0.8223308883</x:v>
      </x:c>
      <x:c r="Q882" s="9" t="n">
        <x:v>0.3023634882</x:v>
      </x:c>
      <x:c r="R882" s="3" t="b">
        <x:v>0</x:v>
      </x:c>
      <x:c r="S882" s="3" t="b">
        <x:v>0</x:v>
      </x:c>
      <x:c r="T882" s="3" t="b">
        <x:v>0</x:v>
      </x:c>
      <x:c r="U882" s="2" t="str">
        <x:f>IF(T882=TRUE,"Priority review",IF(R882=TRUE,"High cost",IF(S882=TRUE,"Low quality","Benchmark")))</x:f>
        <x:v>Benchmark</x:v>
      </x:c>
    </x:row>
    <x:row r="883">
      <x:c r="A883" s="2" t="str">
        <x:v>451304</x:v>
      </x:c>
      <x:c r="B883" s="2" t="str">
        <x:v>SCHLEICHER COUNTY MEDICAL CENTER</x:v>
      </x:c>
      <x:c r="C883" s="2" t="str">
        <x:v>ELDORADO</x:v>
      </x:c>
      <x:c r="D883" s="2" t="str">
        <x:v>TX</x:v>
      </x:c>
      <x:c r="E883" s="2" t="str">
        <x:v>Critical Access Hospitals</x:v>
      </x:c>
      <x:c r="F883" s="2" t="str">
        <x:v>Proprietary</x:v>
      </x:c>
      <x:c r="G883" s="2" t="str">
        <x:v>Small (&lt;100 beds)</x:v>
      </x:c>
      <x:c r="H883" s="7"/>
      <x:c r="I883" s="7"/>
      <x:c r="J883" s="7"/>
      <x:c r="K883" s="8" t="n">
        <x:v>14</x:v>
      </x:c>
      <x:c r="L883" s="8" t="n">
        <x:v>28</x:v>
      </x:c>
      <x:c r="M883" s="9" t="n">
        <x:v>0.118852459</x:v>
      </x:c>
      <x:c r="N883" s="10" t="n">
        <x:v>255737.2142857143</x:v>
      </x:c>
      <x:c r="O883" s="9" t="n">
        <x:v>-0.5469164036</x:v>
      </x:c>
      <x:c r="P883" s="9" t="n">
        <x:v>0.8223048327</x:v>
      </x:c>
      <x:c r="Q883" s="9" t="n">
        <x:v>0.292936803</x:v>
      </x:c>
      <x:c r="R883" s="3" t="b">
        <x:v>0</x:v>
      </x:c>
      <x:c r="S883" s="3" t="b">
        <x:v>0</x:v>
      </x:c>
      <x:c r="T883" s="3" t="b">
        <x:v>0</x:v>
      </x:c>
      <x:c r="U883" s="2" t="str">
        <x:f>IF(T883=TRUE,"Priority review",IF(R883=TRUE,"High cost",IF(S883=TRUE,"Low quality","Benchmark")))</x:f>
        <x:v>Benchmark</x:v>
      </x:c>
    </x:row>
    <x:row r="884">
      <x:c r="A884" s="2" t="str">
        <x:v>240044</x:v>
      </x:c>
      <x:c r="B884" s="2" t="str">
        <x:v>WINONA HEALTH SERVICES</x:v>
      </x:c>
      <x:c r="C884" s="2" t="str">
        <x:v>WINONA</x:v>
      </x:c>
      <x:c r="D884" s="2" t="str">
        <x:v>MN</x:v>
      </x:c>
      <x:c r="E884" s="2" t="str">
        <x:v>Acute Care Hospitals</x:v>
      </x:c>
      <x:c r="F884" s="2" t="str">
        <x:v>Voluntary non-profit</x:v>
      </x:c>
      <x:c r="G884" s="2" t="str">
        <x:v>Small (&lt;100 beds)</x:v>
      </x:c>
      <x:c r="H884" s="7" t="n">
        <x:v>2</x:v>
      </x:c>
      <x:c r="I884" s="7" t="n">
        <x:v>4</x:v>
      </x:c>
      <x:c r="J884" s="7" t="n">
        <x:v>0.86</x:v>
      </x:c>
      <x:c r="K884" s="8" t="n">
        <x:v>49</x:v>
      </x:c>
      <x:c r="L884" s="8" t="n">
        <x:v>1293</x:v>
      </x:c>
      <x:c r="M884" s="9" t="n">
        <x:v>0.256273001</x:v>
      </x:c>
      <x:c r="N884" s="10" t="n">
        <x:v>103000.4021655066</x:v>
      </x:c>
      <x:c r="O884" s="9" t="n">
        <x:v>-0.3011642834</x:v>
      </x:c>
      <x:c r="P884" s="9" t="n">
        <x:v>0.8222621185</x:v>
      </x:c>
      <x:c r="Q884" s="9" t="n">
        <x:v>0.0350089767</x:v>
      </x:c>
      <x:c r="R884" s="3" t="b">
        <x:v>0</x:v>
      </x:c>
      <x:c r="S884" s="3" t="b">
        <x:v>1</x:v>
      </x:c>
      <x:c r="T884" s="3" t="b">
        <x:v>0</x:v>
      </x:c>
      <x:c r="U884" s="2" t="str">
        <x:f>IF(T884=TRUE,"Priority review",IF(R884=TRUE,"High cost",IF(S884=TRUE,"Low quality","Benchmark")))</x:f>
        <x:v>Low quality</x:v>
      </x:c>
    </x:row>
    <x:row r="885">
      <x:c r="A885" s="2" t="str">
        <x:v>504008</x:v>
      </x:c>
      <x:c r="B885" s="2" t="str">
        <x:v>LOURDES COUNSELING CENTER</x:v>
      </x:c>
      <x:c r="C885" s="2" t="str">
        <x:v>RICHLAND</x:v>
      </x:c>
      <x:c r="D885" s="2" t="str">
        <x:v>WA</x:v>
      </x:c>
      <x:c r="E885" s="2" t="str">
        <x:v>Psychiatric</x:v>
      </x:c>
      <x:c r="F885" s="2" t="str">
        <x:v>Voluntary non-profit</x:v>
      </x:c>
      <x:c r="G885" s="2" t="str">
        <x:v>Small (&lt;100 beds)</x:v>
      </x:c>
      <x:c r="H885" s="7"/>
      <x:c r="I885" s="7"/>
      <x:c r="J885" s="7"/>
      <x:c r="K885" s="8" t="n">
        <x:v>22</x:v>
      </x:c>
      <x:c r="L885" s="8" t="n">
        <x:v>320</x:v>
      </x:c>
      <x:c r="M885" s="9" t="n">
        <x:v>0.5296388543</x:v>
      </x:c>
      <x:c r="N885" s="10" t="n">
        <x:v>63716.5875</x:v>
      </x:c>
      <x:c r="O885" s="9" t="n">
        <x:v>-0.0474914528</x:v>
      </x:c>
      <x:c r="P885" s="9" t="n">
        <x:v>0.8220064725</x:v>
      </x:c>
      <x:c r="Q885" s="9" t="n">
        <x:v>0</x:v>
      </x:c>
      <x:c r="R885" s="3" t="b">
        <x:v>0</x:v>
      </x:c>
      <x:c r="S885" s="3" t="b">
        <x:v>0</x:v>
      </x:c>
      <x:c r="T885" s="3" t="b">
        <x:v>0</x:v>
      </x:c>
      <x:c r="U885" s="2" t="str">
        <x:f>IF(T885=TRUE,"Priority review",IF(R885=TRUE,"High cost",IF(S885=TRUE,"Low quality","Benchmark")))</x:f>
        <x:v>Benchmark</x:v>
      </x:c>
    </x:row>
    <x:row r="886">
      <x:c r="A886" s="2" t="str">
        <x:v>090011</x:v>
      </x:c>
      <x:c r="B886" s="2" t="str">
        <x:v>MEDSTAR WASHINGTON HOSPITAL CENTER</x:v>
      </x:c>
      <x:c r="C886" s="2" t="str">
        <x:v>WASHINGTON</x:v>
      </x:c>
      <x:c r="D886" s="2" t="str">
        <x:v>DC</x:v>
      </x:c>
      <x:c r="E886" s="2" t="str">
        <x:v>Acute Care Hospitals</x:v>
      </x:c>
      <x:c r="F886" s="2" t="str">
        <x:v>Voluntary non-profit</x:v>
      </x:c>
      <x:c r="G886" s="2" t="str">
        <x:v>Large (300+ beds)</x:v>
      </x:c>
      <x:c r="H886" s="7" t="n">
        <x:v>3</x:v>
      </x:c>
      <x:c r="I886" s="7" t="n">
        <x:v>2</x:v>
      </x:c>
      <x:c r="J886" s="7" t="n">
        <x:v>1.02</x:v>
      </x:c>
      <x:c r="K886" s="8" t="n">
        <x:v>737</x:v>
      </x:c>
      <x:c r="L886" s="8" t="n">
        <x:v>28324</x:v>
      </x:c>
      <x:c r="M886" s="9" t="n">
        <x:v>0.8641958328</x:v>
      </x:c>
      <x:c r="N886" s="10" t="n">
        <x:v>61431.9446405875</x:v>
      </x:c>
      <x:c r="O886" s="9" t="n">
        <x:v>0.0293595147</x:v>
      </x:c>
      <x:c r="P886" s="9" t="n">
        <x:v>0.8217665615</x:v>
      </x:c>
      <x:c r="Q886" s="9" t="n">
        <x:v>0.2570977918</x:v>
      </x:c>
      <x:c r="R886" s="3" t="b">
        <x:v>0</x:v>
      </x:c>
      <x:c r="S886" s="3" t="b">
        <x:v>0</x:v>
      </x:c>
      <x:c r="T886" s="3" t="b">
        <x:v>0</x:v>
      </x:c>
      <x:c r="U886" s="2" t="str">
        <x:f>IF(T886=TRUE,"Priority review",IF(R886=TRUE,"High cost",IF(S886=TRUE,"Low quality","Benchmark")))</x:f>
        <x:v>Benchmark</x:v>
      </x:c>
    </x:row>
    <x:row r="887">
      <x:c r="A887" s="2" t="str">
        <x:v>451320</x:v>
      </x:c>
      <x:c r="B887" s="2" t="str">
        <x:v>BAYSIDE COMMUNITY HOSPITAL</x:v>
      </x:c>
      <x:c r="C887" s="2" t="str">
        <x:v>ANAHUAC</x:v>
      </x:c>
      <x:c r="D887" s="2" t="str">
        <x:v>TX</x:v>
      </x:c>
      <x:c r="E887" s="2" t="str">
        <x:v>Critical Access Hospitals</x:v>
      </x:c>
      <x:c r="F887" s="2" t="str">
        <x:v>Voluntary non-profit</x:v>
      </x:c>
      <x:c r="G887" s="2" t="str">
        <x:v>Small (&lt;100 beds)</x:v>
      </x:c>
      <x:c r="H887" s="7"/>
      <x:c r="I887" s="7"/>
      <x:c r="J887" s="7"/>
      <x:c r="K887" s="8" t="n">
        <x:v>14</x:v>
      </x:c>
      <x:c r="L887" s="8" t="n">
        <x:v>64</x:v>
      </x:c>
      <x:c r="M887" s="9" t="n">
        <x:v>0.0774785324</x:v>
      </x:c>
      <x:c r="N887" s="10" t="n">
        <x:v>255123.453125</x:v>
      </x:c>
      <x:c r="O887" s="9" t="n">
        <x:v>-0.7749713392</x:v>
      </x:c>
      <x:c r="P887" s="9" t="n">
        <x:v>0.8215613383</x:v>
      </x:c>
      <x:c r="Q887" s="9" t="n">
        <x:v>0.292936803</x:v>
      </x:c>
      <x:c r="R887" s="3" t="b">
        <x:v>0</x:v>
      </x:c>
      <x:c r="S887" s="3" t="b">
        <x:v>0</x:v>
      </x:c>
      <x:c r="T887" s="3" t="b">
        <x:v>0</x:v>
      </x:c>
      <x:c r="U887" s="2" t="str">
        <x:f>IF(T887=TRUE,"Priority review",IF(R887=TRUE,"High cost",IF(S887=TRUE,"Low quality","Benchmark")))</x:f>
        <x:v>Benchmark</x:v>
      </x:c>
    </x:row>
    <x:row r="888">
      <x:c r="A888" s="2" t="str">
        <x:v>180017</x:v>
      </x:c>
      <x:c r="B888" s="2" t="str">
        <x:v>T J SAMSON COMMUNITY HOSPITAL</x:v>
      </x:c>
      <x:c r="C888" s="2" t="str">
        <x:v>GLASGOW</x:v>
      </x:c>
      <x:c r="D888" s="2" t="str">
        <x:v>KY</x:v>
      </x:c>
      <x:c r="E888" s="2" t="str">
        <x:v>Acute Care Hospitals</x:v>
      </x:c>
      <x:c r="F888" s="2" t="str">
        <x:v>Voluntary non-profit</x:v>
      </x:c>
      <x:c r="G888" s="2" t="str">
        <x:v>Medium (100-299 beds)</x:v>
      </x:c>
      <x:c r="H888" s="7" t="n">
        <x:v>3</x:v>
      </x:c>
      <x:c r="I888" s="7" t="n">
        <x:v>3</x:v>
      </x:c>
      <x:c r="J888" s="7" t="n">
        <x:v>1.06</x:v>
      </x:c>
      <x:c r="K888" s="8" t="n">
        <x:v>112</x:v>
      </x:c>
      <x:c r="L888" s="8" t="n">
        <x:v>4751</x:v>
      </x:c>
      <x:c r="M888" s="9" t="n">
        <x:v>0.4394759953</x:v>
      </x:c>
      <x:c r="N888" s="10" t="n">
        <x:v>52374.8133024626</x:v>
      </x:c>
      <x:c r="O888" s="9" t="n">
        <x:v>-0.0015802962</x:v>
      </x:c>
      <x:c r="P888" s="9" t="n">
        <x:v>0.8215158924</x:v>
      </x:c>
      <x:c r="Q888" s="9" t="n">
        <x:v>0.3023634882</x:v>
      </x:c>
      <x:c r="R888" s="3" t="b">
        <x:v>0</x:v>
      </x:c>
      <x:c r="S888" s="3" t="b">
        <x:v>0</x:v>
      </x:c>
      <x:c r="T888" s="3" t="b">
        <x:v>0</x:v>
      </x:c>
      <x:c r="U888" s="2" t="str">
        <x:f>IF(T888=TRUE,"Priority review",IF(R888=TRUE,"High cost",IF(S888=TRUE,"Low quality","Benchmark")))</x:f>
        <x:v>Benchmark</x:v>
      </x:c>
    </x:row>
    <x:row r="889">
      <x:c r="A889" s="2" t="str">
        <x:v>230208</x:v>
      </x:c>
      <x:c r="B889" s="2" t="str">
        <x:v>UNIVERSITY OF MICHIGAN HEALTH-SPARROW CARSON</x:v>
      </x:c>
      <x:c r="C889" s="2" t="str">
        <x:v>CARSON CITY</x:v>
      </x:c>
      <x:c r="D889" s="2" t="str">
        <x:v>MI</x:v>
      </x:c>
      <x:c r="E889" s="2" t="str">
        <x:v>Acute Care Hospitals</x:v>
      </x:c>
      <x:c r="F889" s="2" t="str">
        <x:v>Voluntary non-profit</x:v>
      </x:c>
      <x:c r="G889" s="2" t="str">
        <x:v>Small (&lt;100 beds)</x:v>
      </x:c>
      <x:c r="H889" s="7" t="n">
        <x:v>4</x:v>
      </x:c>
      <x:c r="I889" s="7" t="n">
        <x:v>5</x:v>
      </x:c>
      <x:c r="J889" s="7" t="n">
        <x:v>0.93</x:v>
      </x:c>
      <x:c r="K889" s="8" t="n">
        <x:v>48</x:v>
      </x:c>
      <x:c r="L889" s="8" t="n">
        <x:v>543</x:v>
      </x:c>
      <x:c r="M889" s="9" t="n">
        <x:v>0.0924657534</x:v>
      </x:c>
      <x:c r="N889" s="10" t="n">
        <x:v>102236.4972375691</x:v>
      </x:c>
      <x:c r="O889" s="9" t="n">
        <x:v>0.0054691262</x:v>
      </x:c>
      <x:c r="P889" s="9" t="n">
        <x:v>0.8213644524</x:v>
      </x:c>
      <x:c r="Q889" s="9" t="n">
        <x:v>0.3913824057</x:v>
      </x:c>
      <x:c r="R889" s="3" t="b">
        <x:v>0</x:v>
      </x:c>
      <x:c r="S889" s="3" t="b">
        <x:v>0</x:v>
      </x:c>
      <x:c r="T889" s="3" t="b">
        <x:v>0</x:v>
      </x:c>
      <x:c r="U889" s="2" t="str">
        <x:f>IF(T889=TRUE,"Priority review",IF(R889=TRUE,"High cost",IF(S889=TRUE,"Low quality","Benchmark")))</x:f>
        <x:v>Benchmark</x:v>
      </x:c>
    </x:row>
    <x:row r="890">
      <x:c r="A890" s="2" t="str">
        <x:v>494029</x:v>
      </x:c>
      <x:c r="B890" s="2" t="str">
        <x:v>SOUTHWESTERN VIRGINIA MENTAL HEALTH INSTITUTE</x:v>
      </x:c>
      <x:c r="C890" s="2" t="str">
        <x:v>MARION</x:v>
      </x:c>
      <x:c r="D890" s="2" t="str">
        <x:v>VA</x:v>
      </x:c>
      <x:c r="E890" s="2" t="str">
        <x:v>Psychiatric</x:v>
      </x:c>
      <x:c r="F890" s="2" t="str">
        <x:v>Government</x:v>
      </x:c>
      <x:c r="G890" s="2" t="str">
        <x:v>Medium (100-299 beds)</x:v>
      </x:c>
      <x:c r="H890" s="7"/>
      <x:c r="I890" s="7"/>
      <x:c r="J890" s="7"/>
      <x:c r="K890" s="8" t="n">
        <x:v>109</x:v>
      </x:c>
      <x:c r="L890" s="8" t="n">
        <x:v>873</x:v>
      </x:c>
      <x:c r="M890" s="9" t="n">
        <x:v>0.7245192912</x:v>
      </x:c>
      <x:c r="N890" s="10" t="n">
        <x:v>82790.3906071019</x:v>
      </x:c>
      <x:c r="O890" s="9" t="n">
        <x:v>-3.9859416693</x:v>
      </x:c>
      <x:c r="P890" s="9" t="n">
        <x:v>0.8208955224</x:v>
      </x:c>
      <x:c r="Q890" s="9" t="n">
        <x:v>0</x:v>
      </x:c>
      <x:c r="R890" s="3" t="b">
        <x:v>0</x:v>
      </x:c>
      <x:c r="S890" s="3" t="b">
        <x:v>0</x:v>
      </x:c>
      <x:c r="T890" s="3" t="b">
        <x:v>0</x:v>
      </x:c>
      <x:c r="U890" s="2" t="str">
        <x:f>IF(T890=TRUE,"Priority review",IF(R890=TRUE,"High cost",IF(S890=TRUE,"Low quality","Benchmark")))</x:f>
        <x:v>Benchmark</x:v>
      </x:c>
    </x:row>
    <x:row r="891">
      <x:c r="A891" s="2" t="str">
        <x:v>351331</x:v>
      </x:c>
      <x:c r="B891" s="2" t="str">
        <x:v>TOWNER COUNTY MEDICAL CENTER</x:v>
      </x:c>
      <x:c r="C891" s="2" t="str">
        <x:v>CANDO</x:v>
      </x:c>
      <x:c r="D891" s="2" t="str">
        <x:v>ND</x:v>
      </x:c>
      <x:c r="E891" s="2" t="str">
        <x:v>Critical Access Hospitals</x:v>
      </x:c>
      <x:c r="F891" s="2" t="str">
        <x:v>Voluntary non-profit</x:v>
      </x:c>
      <x:c r="G891" s="2" t="str">
        <x:v>Small (&lt;100 beds)</x:v>
      </x:c>
      <x:c r="H891" s="7"/>
      <x:c r="I891" s="7"/>
      <x:c r="J891" s="7"/>
      <x:c r="K891" s="8" t="n">
        <x:v>8</x:v>
      </x:c>
      <x:c r="L891" s="8" t="n">
        <x:v>68</x:v>
      </x:c>
      <x:c r="M891" s="9" t="n">
        <x:v>0.2037974684</x:v>
      </x:c>
      <x:c r="N891" s="10" t="n">
        <x:v>254861.1911764706</x:v>
      </x:c>
      <x:c r="O891" s="9" t="n">
        <x:v>-0.1199769239</x:v>
      </x:c>
      <x:c r="P891" s="9" t="n">
        <x:v>0.8208178439</x:v>
      </x:c>
      <x:c r="Q891" s="9" t="n">
        <x:v>0.292936803</x:v>
      </x:c>
      <x:c r="R891" s="3" t="b">
        <x:v>0</x:v>
      </x:c>
      <x:c r="S891" s="3" t="b">
        <x:v>0</x:v>
      </x:c>
      <x:c r="T891" s="3" t="b">
        <x:v>0</x:v>
      </x:c>
      <x:c r="U891" s="2" t="str">
        <x:f>IF(T891=TRUE,"Priority review",IF(R891=TRUE,"High cost",IF(S891=TRUE,"Low quality","Benchmark")))</x:f>
        <x:v>Benchmark</x:v>
      </x:c>
    </x:row>
    <x:row r="892">
      <x:c r="A892" s="2" t="str">
        <x:v>050045</x:v>
      </x:c>
      <x:c r="B892" s="2" t="str">
        <x:v>EL CENTRO REGIONAL MEDICAL CENTER</x:v>
      </x:c>
      <x:c r="C892" s="2" t="str">
        <x:v>EL CENTRO</x:v>
      </x:c>
      <x:c r="D892" s="2" t="str">
        <x:v>CA</x:v>
      </x:c>
      <x:c r="E892" s="2" t="str">
        <x:v>Acute Care Hospitals</x:v>
      </x:c>
      <x:c r="F892" s="2" t="str">
        <x:v>Government</x:v>
      </x:c>
      <x:c r="G892" s="2" t="str">
        <x:v>Medium (100-299 beds)</x:v>
      </x:c>
      <x:c r="H892" s="7" t="n">
        <x:v>1</x:v>
      </x:c>
      <x:c r="I892" s="7" t="n">
        <x:v>2</x:v>
      </x:c>
      <x:c r="J892" s="7" t="n">
        <x:v>0.97</x:v>
      </x:c>
      <x:c r="K892" s="8" t="n">
        <x:v>161</x:v>
      </x:c>
      <x:c r="L892" s="8" t="n">
        <x:v>3194</x:v>
      </x:c>
      <x:c r="M892" s="9" t="n">
        <x:v>0.2575342466</x:v>
      </x:c>
      <x:c r="N892" s="10" t="n">
        <x:v>52196.6361928616</x:v>
      </x:c>
      <x:c r="O892" s="9" t="n">
        <x:v>-0.1085156951</x:v>
      </x:c>
      <x:c r="P892" s="9" t="n">
        <x:v>0.8207008965</x:v>
      </x:c>
      <x:c r="Q892" s="9" t="n">
        <x:v>0</x:v>
      </x:c>
      <x:c r="R892" s="3" t="b">
        <x:v>0</x:v>
      </x:c>
      <x:c r="S892" s="3" t="b">
        <x:v>1</x:v>
      </x:c>
      <x:c r="T892" s="3" t="b">
        <x:v>0</x:v>
      </x:c>
      <x:c r="U892" s="2" t="str">
        <x:f>IF(T892=TRUE,"Priority review",IF(R892=TRUE,"High cost",IF(S892=TRUE,"Low quality","Benchmark")))</x:f>
        <x:v>Low quality</x:v>
      </x:c>
    </x:row>
    <x:row r="893">
      <x:c r="A893" s="2" t="str">
        <x:v>190313</x:v>
      </x:c>
      <x:c r="B893" s="2" t="str">
        <x:v>NEW ORLEANS EAST HOSPITAL</x:v>
      </x:c>
      <x:c r="C893" s="2" t="str">
        <x:v>NEW ORLEANS</x:v>
      </x:c>
      <x:c r="D893" s="2" t="str">
        <x:v>LA</x:v>
      </x:c>
      <x:c r="E893" s="2" t="str">
        <x:v>Acute Care Hospitals</x:v>
      </x:c>
      <x:c r="F893" s="2" t="str">
        <x:v>Government</x:v>
      </x:c>
      <x:c r="G893" s="2" t="str">
        <x:v>Small (&lt;100 beds)</x:v>
      </x:c>
      <x:c r="H893" s="7"/>
      <x:c r="I893" s="7"/>
      <x:c r="J893" s="7" t="n">
        <x:v>1.05</x:v>
      </x:c>
      <x:c r="K893" s="8" t="n">
        <x:v>40</x:v>
      </x:c>
      <x:c r="L893" s="8" t="n">
        <x:v>866</x:v>
      </x:c>
      <x:c r="M893" s="9" t="n">
        <x:v>0.1800546448</x:v>
      </x:c>
      <x:c r="N893" s="10" t="n">
        <x:v>101784.8337182448</x:v>
      </x:c>
      <x:c r="O893" s="9" t="n">
        <x:v>-0.0160781085</x:v>
      </x:c>
      <x:c r="P893" s="9" t="n">
        <x:v>0.8204667864</x:v>
      </x:c>
      <x:c r="Q893" s="9" t="n">
        <x:v>0.697486535</x:v>
      </x:c>
      <x:c r="R893" s="3" t="b">
        <x:v>0</x:v>
      </x:c>
      <x:c r="S893" s="3" t="b">
        <x:v>0</x:v>
      </x:c>
      <x:c r="T893" s="3" t="b">
        <x:v>0</x:v>
      </x:c>
      <x:c r="U893" s="2" t="str">
        <x:f>IF(T893=TRUE,"Priority review",IF(R893=TRUE,"High cost",IF(S893=TRUE,"Low quality","Benchmark")))</x:f>
        <x:v>Benchmark</x:v>
      </x:c>
    </x:row>
    <x:row r="894">
      <x:c r="A894" s="2" t="str">
        <x:v>390006</x:v>
      </x:c>
      <x:c r="B894" s="2" t="str">
        <x:v>GEISINGER MEDICAL CENTER</x:v>
      </x:c>
      <x:c r="C894" s="2" t="str">
        <x:v>DANVILLE</x:v>
      </x:c>
      <x:c r="D894" s="2" t="str">
        <x:v>PA</x:v>
      </x:c>
      <x:c r="E894" s="2" t="str">
        <x:v>Acute Care Hospitals</x:v>
      </x:c>
      <x:c r="F894" s="2" t="str">
        <x:v>Voluntary non-profit</x:v>
      </x:c>
      <x:c r="G894" s="2" t="str">
        <x:v>Large (300+ beds)</x:v>
      </x:c>
      <x:c r="H894" s="7" t="n">
        <x:v>4</x:v>
      </x:c>
      <x:c r="I894" s="7" t="n">
        <x:v>4</x:v>
      </x:c>
      <x:c r="J894" s="7" t="n">
        <x:v>0.99</x:v>
      </x:c>
      <x:c r="K894" s="8" t="n">
        <x:v>562</x:v>
      </x:c>
      <x:c r="L894" s="8" t="n">
        <x:v>29820</x:v>
      </x:c>
      <x:c r="M894" s="9" t="n">
        <x:v>0.7872688056</x:v>
      </x:c>
      <x:c r="N894" s="10" t="n">
        <x:v>61303.3267605634</x:v>
      </x:c>
      <x:c r="O894" s="9" t="n">
        <x:v>0.1293599646</x:v>
      </x:c>
      <x:c r="P894" s="9" t="n">
        <x:v>0.8201892744</x:v>
      </x:c>
      <x:c r="Q894" s="9" t="n">
        <x:v>0.5899053628</x:v>
      </x:c>
      <x:c r="R894" s="3" t="b">
        <x:v>0</x:v>
      </x:c>
      <x:c r="S894" s="3" t="b">
        <x:v>0</x:v>
      </x:c>
      <x:c r="T894" s="3" t="b">
        <x:v>0</x:v>
      </x:c>
      <x:c r="U894" s="2" t="str">
        <x:f>IF(T894=TRUE,"Priority review",IF(R894=TRUE,"High cost",IF(S894=TRUE,"Low quality","Benchmark")))</x:f>
        <x:v>Benchmark</x:v>
      </x:c>
    </x:row>
    <x:row r="895">
      <x:c r="A895" s="2" t="str">
        <x:v>451353</x:v>
      </x:c>
      <x:c r="B895" s="2" t="str">
        <x:v>CRANE COUNTY HOSPITAL DISTRICT</x:v>
      </x:c>
      <x:c r="C895" s="2" t="str">
        <x:v>CRANE</x:v>
      </x:c>
      <x:c r="D895" s="2" t="str">
        <x:v>TX</x:v>
      </x:c>
      <x:c r="E895" s="2" t="str">
        <x:v>Critical Access Hospitals</x:v>
      </x:c>
      <x:c r="F895" s="2" t="str">
        <x:v>Government</x:v>
      </x:c>
      <x:c r="G895" s="2" t="str">
        <x:v>Small (&lt;100 beds)</x:v>
      </x:c>
      <x:c r="H895" s="7"/>
      <x:c r="I895" s="7"/>
      <x:c r="J895" s="7"/>
      <x:c r="K895" s="8" t="n">
        <x:v>15</x:v>
      </x:c>
      <x:c r="L895" s="8" t="n">
        <x:v>41</x:v>
      </x:c>
      <x:c r="M895" s="9" t="n">
        <x:v>0.1025500911</x:v>
      </x:c>
      <x:c r="N895" s="10" t="n">
        <x:v>253828.3414634146</x:v>
      </x:c>
      <x:c r="O895" s="9" t="n">
        <x:v>-0.3567357083</x:v>
      </x:c>
      <x:c r="P895" s="9" t="n">
        <x:v>0.8200743494</x:v>
      </x:c>
      <x:c r="Q895" s="9" t="n">
        <x:v>0.292936803</x:v>
      </x:c>
      <x:c r="R895" s="3" t="b">
        <x:v>0</x:v>
      </x:c>
      <x:c r="S895" s="3" t="b">
        <x:v>0</x:v>
      </x:c>
      <x:c r="T895" s="3" t="b">
        <x:v>0</x:v>
      </x:c>
      <x:c r="U895" s="2" t="str">
        <x:f>IF(T895=TRUE,"Priority review",IF(R895=TRUE,"High cost",IF(S895=TRUE,"Low quality","Benchmark")))</x:f>
        <x:v>Benchmark</x:v>
      </x:c>
    </x:row>
    <x:row r="896">
      <x:c r="A896" s="2" t="str">
        <x:v>110038</x:v>
      </x:c>
      <x:c r="B896" s="2" t="str">
        <x:v>ARCHBOLD MEMORIAL HOSPITAL</x:v>
      </x:c>
      <x:c r="C896" s="2" t="str">
        <x:v>THOMASVILLE</x:v>
      </x:c>
      <x:c r="D896" s="2" t="str">
        <x:v>GA</x:v>
      </x:c>
      <x:c r="E896" s="2" t="str">
        <x:v>Acute Care Hospitals</x:v>
      </x:c>
      <x:c r="F896" s="2" t="str">
        <x:v>Voluntary non-profit</x:v>
      </x:c>
      <x:c r="G896" s="2" t="str">
        <x:v>Medium (100-299 beds)</x:v>
      </x:c>
      <x:c r="H896" s="7" t="n">
        <x:v>2</x:v>
      </x:c>
      <x:c r="I896" s="7" t="n">
        <x:v>3</x:v>
      </x:c>
      <x:c r="J896" s="7" t="n">
        <x:v>1</x:v>
      </x:c>
      <x:c r="K896" s="8" t="n">
        <x:v>199</x:v>
      </x:c>
      <x:c r="L896" s="8" t="n">
        <x:v>7026</x:v>
      </x:c>
      <x:c r="M896" s="9" t="n">
        <x:v>0.6198204135</x:v>
      </x:c>
      <x:c r="N896" s="10" t="n">
        <x:v>52074.657557643</x:v>
      </x:c>
      <x:c r="O896" s="9" t="n">
        <x:v>0.0629624736</x:v>
      </x:c>
      <x:c r="P896" s="9" t="n">
        <x:v>0.8198859006</x:v>
      </x:c>
      <x:c r="Q896" s="9" t="n">
        <x:v>0.0782396088</x:v>
      </x:c>
      <x:c r="R896" s="3" t="b">
        <x:v>0</x:v>
      </x:c>
      <x:c r="S896" s="3" t="b">
        <x:v>1</x:v>
      </x:c>
      <x:c r="T896" s="3" t="b">
        <x:v>0</x:v>
      </x:c>
      <x:c r="U896" s="2" t="str">
        <x:f>IF(T896=TRUE,"Priority review",IF(R896=TRUE,"High cost",IF(S896=TRUE,"Low quality","Benchmark")))</x:f>
        <x:v>Low quality</x:v>
      </x:c>
    </x:row>
    <x:row r="897">
      <x:c r="A897" s="2" t="str">
        <x:v>010058</x:v>
      </x:c>
      <x:c r="B897" s="2" t="str">
        <x:v>BIBB MEDICAL CENTER</x:v>
      </x:c>
      <x:c r="C897" s="2" t="str">
        <x:v>CENTREVILLE</x:v>
      </x:c>
      <x:c r="D897" s="2" t="str">
        <x:v>AL</x:v>
      </x:c>
      <x:c r="E897" s="2" t="str">
        <x:v>Acute Care Hospitals</x:v>
      </x:c>
      <x:c r="F897" s="2" t="str">
        <x:v>Government</x:v>
      </x:c>
      <x:c r="G897" s="2" t="str">
        <x:v>Small (&lt;100 beds)</x:v>
      </x:c>
      <x:c r="H897" s="7"/>
      <x:c r="I897" s="7"/>
      <x:c r="J897" s="7" t="n">
        <x:v>1.06</x:v>
      </x:c>
      <x:c r="K897" s="8" t="n">
        <x:v>25</x:v>
      </x:c>
      <x:c r="L897" s="8" t="n">
        <x:v>263</x:v>
      </x:c>
      <x:c r="M897" s="9" t="n">
        <x:v>0.3633879781</x:v>
      </x:c>
      <x:c r="N897" s="10" t="n">
        <x:v>101309.8897338403</x:v>
      </x:c>
      <x:c r="O897" s="9" t="n">
        <x:v>-0.1573793972</x:v>
      </x:c>
      <x:c r="P897" s="9" t="n">
        <x:v>0.8195691203</x:v>
      </x:c>
      <x:c r="Q897" s="9" t="n">
        <x:v>0.697486535</x:v>
      </x:c>
      <x:c r="R897" s="3" t="b">
        <x:v>0</x:v>
      </x:c>
      <x:c r="S897" s="3" t="b">
        <x:v>0</x:v>
      </x:c>
      <x:c r="T897" s="3" t="b">
        <x:v>0</x:v>
      </x:c>
      <x:c r="U897" s="2" t="str">
        <x:f>IF(T897=TRUE,"Priority review",IF(R897=TRUE,"High cost",IF(S897=TRUE,"Low quality","Benchmark")))</x:f>
        <x:v>Benchmark</x:v>
      </x:c>
    </x:row>
    <x:row r="898">
      <x:c r="A898" s="2" t="str">
        <x:v>271302</x:v>
      </x:c>
      <x:c r="B898" s="2" t="str">
        <x:v>DAHL MEMORIAL HEALTHCARE ASSOCIATION INC</x:v>
      </x:c>
      <x:c r="C898" s="2" t="str">
        <x:v>EKALAKA</x:v>
      </x:c>
      <x:c r="D898" s="2" t="str">
        <x:v>MT</x:v>
      </x:c>
      <x:c r="E898" s="2" t="str">
        <x:v>Critical Access Hospitals</x:v>
      </x:c>
      <x:c r="F898" s="2" t="str">
        <x:v>Voluntary non-profit</x:v>
      </x:c>
      <x:c r="G898" s="2" t="str">
        <x:v>Small (&lt;100 beds)</x:v>
      </x:c>
      <x:c r="H898" s="7"/>
      <x:c r="I898" s="7"/>
      <x:c r="J898" s="7"/>
      <x:c r="K898" s="8" t="n">
        <x:v>25</x:v>
      </x:c>
      <x:c r="L898" s="8" t="n">
        <x:v>41</x:v>
      </x:c>
      <x:c r="M898" s="9" t="n">
        <x:v>0.7718356164</x:v>
      </x:c>
      <x:c r="N898" s="10" t="n">
        <x:v>253266.1951219512</x:v>
      </x:c>
      <x:c r="O898" s="9" t="n">
        <x:v>-0.1344074169</x:v>
      </x:c>
      <x:c r="P898" s="9" t="n">
        <x:v>0.819330855</x:v>
      </x:c>
      <x:c r="Q898" s="9" t="n">
        <x:v>0.292936803</x:v>
      </x:c>
      <x:c r="R898" s="3" t="b">
        <x:v>0</x:v>
      </x:c>
      <x:c r="S898" s="3" t="b">
        <x:v>0</x:v>
      </x:c>
      <x:c r="T898" s="3" t="b">
        <x:v>0</x:v>
      </x:c>
      <x:c r="U898" s="2" t="str">
        <x:f>IF(T898=TRUE,"Priority review",IF(R898=TRUE,"High cost",IF(S898=TRUE,"Low quality","Benchmark")))</x:f>
        <x:v>Benchmark</x:v>
      </x:c>
    </x:row>
    <x:row r="899">
      <x:c r="A899" s="2" t="str">
        <x:v>390173</x:v>
      </x:c>
      <x:c r="B899" s="2" t="str">
        <x:v>INDIANA REGIONAL MEDICAL CENTER</x:v>
      </x:c>
      <x:c r="C899" s="2" t="str">
        <x:v>INDIANA</x:v>
      </x:c>
      <x:c r="D899" s="2" t="str">
        <x:v>PA</x:v>
      </x:c>
      <x:c r="E899" s="2" t="str">
        <x:v>Acute Care Hospitals</x:v>
      </x:c>
      <x:c r="F899" s="2" t="str">
        <x:v>Voluntary non-profit</x:v>
      </x:c>
      <x:c r="G899" s="2" t="str">
        <x:v>Medium (100-299 beds)</x:v>
      </x:c>
      <x:c r="H899" s="7" t="n">
        <x:v>2</x:v>
      </x:c>
      <x:c r="I899" s="7" t="n">
        <x:v>3</x:v>
      </x:c>
      <x:c r="J899" s="7" t="n">
        <x:v>0.98</x:v>
      </x:c>
      <x:c r="K899" s="8" t="n">
        <x:v>166</x:v>
      </x:c>
      <x:c r="L899" s="8" t="n">
        <x:v>4561</x:v>
      </x:c>
      <x:c r="M899" s="9" t="n">
        <x:v>0.4436737957</x:v>
      </x:c>
      <x:c r="N899" s="10" t="n">
        <x:v>52064.0269677702</x:v>
      </x:c>
      <x:c r="O899" s="9" t="n">
        <x:v>-0.0177191081</x:v>
      </x:c>
      <x:c r="P899" s="9" t="n">
        <x:v>0.8190709046</x:v>
      </x:c>
      <x:c r="Q899" s="9" t="n">
        <x:v>0.0782396088</x:v>
      </x:c>
      <x:c r="R899" s="3" t="b">
        <x:v>0</x:v>
      </x:c>
      <x:c r="S899" s="3" t="b">
        <x:v>1</x:v>
      </x:c>
      <x:c r="T899" s="3" t="b">
        <x:v>0</x:v>
      </x:c>
      <x:c r="U899" s="2" t="str">
        <x:f>IF(T899=TRUE,"Priority review",IF(R899=TRUE,"High cost",IF(S899=TRUE,"Low quality","Benchmark")))</x:f>
        <x:v>Low quality</x:v>
      </x:c>
    </x:row>
    <x:row r="900">
      <x:c r="A900" s="2" t="str">
        <x:v>374006</x:v>
      </x:c>
      <x:c r="B900" s="2" t="str">
        <x:v>CARL ALBERT COMMUNITY MENTAL HEALTH CENTER</x:v>
      </x:c>
      <x:c r="C900" s="2" t="str">
        <x:v>MCALESTER</x:v>
      </x:c>
      <x:c r="D900" s="2" t="str">
        <x:v>OK</x:v>
      </x:c>
      <x:c r="E900" s="2" t="str">
        <x:v>Psychiatric</x:v>
      </x:c>
      <x:c r="F900" s="2" t="str">
        <x:v>Government</x:v>
      </x:c>
      <x:c r="G900" s="2" t="str">
        <x:v>Small (&lt;100 beds)</x:v>
      </x:c>
      <x:c r="H900" s="7"/>
      <x:c r="I900" s="7"/>
      <x:c r="J900" s="7"/>
      <x:c r="K900" s="8" t="n">
        <x:v>16</x:v>
      </x:c>
      <x:c r="L900" s="8" t="n">
        <x:v>375</x:v>
      </x:c>
      <x:c r="M900" s="9" t="n">
        <x:v>0.8700342466</x:v>
      </x:c>
      <x:c r="N900" s="10" t="n">
        <x:v>59377.24</x:v>
      </x:c>
      <x:c r="O900" s="9" t="n">
        <x:v>-1.6064247391</x:v>
      </x:c>
      <x:c r="P900" s="9" t="n">
        <x:v>0.8187702265</x:v>
      </x:c>
      <x:c r="Q900" s="9" t="n">
        <x:v>0</x:v>
      </x:c>
      <x:c r="R900" s="3" t="b">
        <x:v>0</x:v>
      </x:c>
      <x:c r="S900" s="3" t="b">
        <x:v>0</x:v>
      </x:c>
      <x:c r="T900" s="3" t="b">
        <x:v>0</x:v>
      </x:c>
      <x:c r="U900" s="2" t="str">
        <x:f>IF(T900=TRUE,"Priority review",IF(R900=TRUE,"High cost",IF(S900=TRUE,"Low quality","Benchmark")))</x:f>
        <x:v>Benchmark</x:v>
      </x:c>
    </x:row>
    <x:row r="901">
      <x:c r="A901" s="2" t="str">
        <x:v>260070</x:v>
      </x:c>
      <x:c r="B901" s="2" t="str">
        <x:v>PEMISCOT COUNTY MEMORIAL HOSPITAL</x:v>
      </x:c>
      <x:c r="C901" s="2" t="str">
        <x:v>HAYTI</x:v>
      </x:c>
      <x:c r="D901" s="2" t="str">
        <x:v>MO</x:v>
      </x:c>
      <x:c r="E901" s="2" t="str">
        <x:v>Acute Care Hospitals</x:v>
      </x:c>
      <x:c r="F901" s="2" t="str">
        <x:v>Voluntary non-profit</x:v>
      </x:c>
      <x:c r="G901" s="2" t="str">
        <x:v>Small (&lt;100 beds)</x:v>
      </x:c>
      <x:c r="H901" s="7"/>
      <x:c r="I901" s="7"/>
      <x:c r="J901" s="7" t="n">
        <x:v>0.99</x:v>
      </x:c>
      <x:c r="K901" s="8" t="n">
        <x:v>42</x:v>
      </x:c>
      <x:c r="L901" s="8" t="n">
        <x:v>266</x:v>
      </x:c>
      <x:c r="M901" s="9" t="n">
        <x:v>0.0621259433</x:v>
      </x:c>
      <x:c r="N901" s="10" t="n">
        <x:v>101264.7593984962</x:v>
      </x:c>
      <x:c r="O901" s="9" t="n">
        <x:v>-0.2437706137</x:v>
      </x:c>
      <x:c r="P901" s="9" t="n">
        <x:v>0.8186714542</x:v>
      </x:c>
      <x:c r="Q901" s="9" t="n">
        <x:v>0.697486535</x:v>
      </x:c>
      <x:c r="R901" s="3" t="b">
        <x:v>0</x:v>
      </x:c>
      <x:c r="S901" s="3" t="b">
        <x:v>0</x:v>
      </x:c>
      <x:c r="T901" s="3" t="b">
        <x:v>0</x:v>
      </x:c>
      <x:c r="U901" s="2" t="str">
        <x:f>IF(T901=TRUE,"Priority review",IF(R901=TRUE,"High cost",IF(S901=TRUE,"Low quality","Benchmark")))</x:f>
        <x:v>Benchmark</x:v>
      </x:c>
    </x:row>
    <x:row r="902">
      <x:c r="A902" s="2" t="str">
        <x:v>310119</x:v>
      </x:c>
      <x:c r="B902" s="2" t="str">
        <x:v>THE UNIVERSITY HOSPITAL</x:v>
      </x:c>
      <x:c r="C902" s="2" t="str">
        <x:v>NEWARK</x:v>
      </x:c>
      <x:c r="D902" s="2" t="str">
        <x:v>NJ</x:v>
      </x:c>
      <x:c r="E902" s="2" t="str">
        <x:v>Acute Care Hospitals</x:v>
      </x:c>
      <x:c r="F902" s="2" t="str">
        <x:v>Government</x:v>
      </x:c>
      <x:c r="G902" s="2" t="str">
        <x:v>Large (300+ beds)</x:v>
      </x:c>
      <x:c r="H902" s="7" t="n">
        <x:v>1</x:v>
      </x:c>
      <x:c r="I902" s="7" t="n">
        <x:v>2</x:v>
      </x:c>
      <x:c r="J902" s="7" t="n">
        <x:v>1.11</x:v>
      </x:c>
      <x:c r="K902" s="8" t="n">
        <x:v>358</x:v>
      </x:c>
      <x:c r="L902" s="8" t="n">
        <x:v>17525</x:v>
      </x:c>
      <x:c r="M902" s="9" t="n">
        <x:v>0.9346292186</x:v>
      </x:c>
      <x:c r="N902" s="10" t="n">
        <x:v>61255.5875035663</x:v>
      </x:c>
      <x:c r="O902" s="9" t="n">
        <x:v>-0.2500153119</x:v>
      </x:c>
      <x:c r="P902" s="9" t="n">
        <x:v>0.8186119874</x:v>
      </x:c>
      <x:c r="Q902" s="9" t="n">
        <x:v>0</x:v>
      </x:c>
      <x:c r="R902" s="3" t="b">
        <x:v>0</x:v>
      </x:c>
      <x:c r="S902" s="3" t="b">
        <x:v>1</x:v>
      </x:c>
      <x:c r="T902" s="3" t="b">
        <x:v>0</x:v>
      </x:c>
      <x:c r="U902" s="2" t="str">
        <x:f>IF(T902=TRUE,"Priority review",IF(R902=TRUE,"High cost",IF(S902=TRUE,"Low quality","Benchmark")))</x:f>
        <x:v>Low quality</x:v>
      </x:c>
    </x:row>
    <x:row r="903">
      <x:c r="A903" s="2" t="str">
        <x:v>431383</x:v>
      </x:c>
      <x:c r="B903" s="2" t="str">
        <x:v>EAGLE BUTTE INDIAN HEALTH SERVICE HOSPITAL</x:v>
      </x:c>
      <x:c r="C903" s="2" t="str">
        <x:v>EAGLE BUTTE</x:v>
      </x:c>
      <x:c r="D903" s="2" t="str">
        <x:v>SD</x:v>
      </x:c>
      <x:c r="E903" s="2" t="str">
        <x:v>Critical Access Hospitals</x:v>
      </x:c>
      <x:c r="F903" s="2" t="str">
        <x:v>Government</x:v>
      </x:c>
      <x:c r="G903" s="2" t="str">
        <x:v>Small (&lt;100 beds)</x:v>
      </x:c>
      <x:c r="H903" s="7"/>
      <x:c r="I903" s="7"/>
      <x:c r="J903" s="7"/>
      <x:c r="K903" s="8" t="n">
        <x:v>8</x:v>
      </x:c>
      <x:c r="L903" s="8" t="n">
        <x:v>259</x:v>
      </x:c>
      <x:c r="M903" s="9" t="n">
        <x:v>0.3825136612</x:v>
      </x:c>
      <x:c r="N903" s="10" t="n">
        <x:v>252146.4942084942</x:v>
      </x:c>
      <x:c r="O903" s="9"/>
      <x:c r="P903" s="9" t="n">
        <x:v>0.8185873606</x:v>
      </x:c>
      <x:c r="Q903" s="9" t="n">
        <x:v>0.292936803</x:v>
      </x:c>
      <x:c r="R903" s="3" t="b">
        <x:v>0</x:v>
      </x:c>
      <x:c r="S903" s="3" t="b">
        <x:v>0</x:v>
      </x:c>
      <x:c r="T903" s="3" t="b">
        <x:v>0</x:v>
      </x:c>
      <x:c r="U903" s="2" t="str">
        <x:f>IF(T903=TRUE,"Priority review",IF(R903=TRUE,"High cost",IF(S903=TRUE,"Low quality","Benchmark")))</x:f>
        <x:v>Benchmark</x:v>
      </x:c>
    </x:row>
    <x:row r="904">
      <x:c r="A904" s="2" t="str">
        <x:v>050855</x:v>
      </x:c>
      <x:c r="B904" s="2" t="str">
        <x:v>KAISER FOUNDATION HOSPITAL - SAN MARCOS</x:v>
      </x:c>
      <x:c r="C904" s="2" t="str">
        <x:v>SAN MARCOS</x:v>
      </x:c>
      <x:c r="D904" s="2" t="str">
        <x:v>CA</x:v>
      </x:c>
      <x:c r="E904" s="2" t="str">
        <x:v>Acute Care Hospitals</x:v>
      </x:c>
      <x:c r="F904" s="2" t="str">
        <x:v>Voluntary non-profit</x:v>
      </x:c>
      <x:c r="G904" s="2" t="str">
        <x:v>Medium (100-299 beds)</x:v>
      </x:c>
      <x:c r="H904" s="7" t="n">
        <x:v>4</x:v>
      </x:c>
      <x:c r="I904" s="7" t="n">
        <x:v>4</x:v>
      </x:c>
      <x:c r="J904" s="7" t="n">
        <x:v>0.89</x:v>
      </x:c>
      <x:c r="K904" s="8" t="n">
        <x:v>168</x:v>
      </x:c>
      <x:c r="L904" s="8" t="n">
        <x:v>7284</x:v>
      </x:c>
      <x:c r="M904" s="9" t="n">
        <x:v>0.4226515743</x:v>
      </x:c>
      <x:c r="N904" s="10" t="n">
        <x:v>52045.4688358045</x:v>
      </x:c>
      <x:c r="O904" s="9" t="n">
        <x:v>-0.1843570692</x:v>
      </x:c>
      <x:c r="P904" s="9" t="n">
        <x:v>0.8182559087</x:v>
      </x:c>
      <x:c r="Q904" s="9" t="n">
        <x:v>0.6022819886</x:v>
      </x:c>
      <x:c r="R904" s="3" t="b">
        <x:v>0</x:v>
      </x:c>
      <x:c r="S904" s="3" t="b">
        <x:v>0</x:v>
      </x:c>
      <x:c r="T904" s="3" t="b">
        <x:v>0</x:v>
      </x:c>
      <x:c r="U904" s="2" t="str">
        <x:f>IF(T904=TRUE,"Priority review",IF(R904=TRUE,"High cost",IF(S904=TRUE,"Low quality","Benchmark")))</x:f>
        <x:v>Benchmark</x:v>
      </x:c>
    </x:row>
    <x:row r="905">
      <x:c r="A905" s="2" t="str">
        <x:v>061317</x:v>
      </x:c>
      <x:c r="B905" s="2" t="str">
        <x:v>GRAND RIVER HOSPITAL DISTRICT</x:v>
      </x:c>
      <x:c r="C905" s="2" t="str">
        <x:v>RIFLE</x:v>
      </x:c>
      <x:c r="D905" s="2" t="str">
        <x:v>CO</x:v>
      </x:c>
      <x:c r="E905" s="2" t="str">
        <x:v>Critical Access Hospitals</x:v>
      </x:c>
      <x:c r="F905" s="2" t="str">
        <x:v>Government</x:v>
      </x:c>
      <x:c r="G905" s="2" t="str">
        <x:v>Small (&lt;100 beds)</x:v>
      </x:c>
      <x:c r="H905" s="7"/>
      <x:c r="I905" s="7"/>
      <x:c r="J905" s="7"/>
      <x:c r="K905" s="8" t="n">
        <x:v>25</x:v>
      </x:c>
      <x:c r="L905" s="8" t="n">
        <x:v>500</x:v>
      </x:c>
      <x:c r="M905" s="9" t="n">
        <x:v>0.301420765</x:v>
      </x:c>
      <x:c r="N905" s="10" t="n">
        <x:v>250559.3</x:v>
      </x:c>
      <x:c r="O905" s="9" t="n">
        <x:v>-0.2007606717</x:v>
      </x:c>
      <x:c r="P905" s="9" t="n">
        <x:v>0.8178438662</x:v>
      </x:c>
      <x:c r="Q905" s="9" t="n">
        <x:v>0.292936803</x:v>
      </x:c>
      <x:c r="R905" s="3" t="b">
        <x:v>0</x:v>
      </x:c>
      <x:c r="S905" s="3" t="b">
        <x:v>0</x:v>
      </x:c>
      <x:c r="T905" s="3" t="b">
        <x:v>0</x:v>
      </x:c>
      <x:c r="U905" s="2" t="str">
        <x:f>IF(T905=TRUE,"Priority review",IF(R905=TRUE,"High cost",IF(S905=TRUE,"Low quality","Benchmark")))</x:f>
        <x:v>Benchmark</x:v>
      </x:c>
    </x:row>
    <x:row r="906">
      <x:c r="A906" s="2" t="str">
        <x:v>060124</x:v>
      </x:c>
      <x:c r="B906" s="2" t="str">
        <x:v>ORTHOCOLORADO HOSP AT ST ANTHONY MED CAMPUS</x:v>
      </x:c>
      <x:c r="C906" s="2" t="str">
        <x:v>LAKEWOOD</x:v>
      </x:c>
      <x:c r="D906" s="2" t="str">
        <x:v>CO</x:v>
      </x:c>
      <x:c r="E906" s="2" t="str">
        <x:v>Acute Care Hospitals</x:v>
      </x:c>
      <x:c r="F906" s="2" t="str">
        <x:v>Proprietary</x:v>
      </x:c>
      <x:c r="G906" s="2" t="str">
        <x:v>Small (&lt;100 beds)</x:v>
      </x:c>
      <x:c r="H906" s="7"/>
      <x:c r="I906" s="7" t="n">
        <x:v>4</x:v>
      </x:c>
      <x:c r="J906" s="7" t="n">
        <x:v>0.92</x:v>
      </x:c>
      <x:c r="K906" s="8" t="n">
        <x:v>48</x:v>
      </x:c>
      <x:c r="L906" s="8" t="n">
        <x:v>814</x:v>
      </x:c>
      <x:c r="M906" s="9" t="n">
        <x:v>0.1201484018</x:v>
      </x:c>
      <x:c r="N906" s="10" t="n">
        <x:v>100777.7727272727</x:v>
      </x:c>
      <x:c r="O906" s="9" t="n">
        <x:v>0.3615958286</x:v>
      </x:c>
      <x:c r="P906" s="9" t="n">
        <x:v>0.8177737882</x:v>
      </x:c>
      <x:c r="Q906" s="9" t="n">
        <x:v>0.697486535</x:v>
      </x:c>
      <x:c r="R906" s="3" t="b">
        <x:v>0</x:v>
      </x:c>
      <x:c r="S906" s="3" t="b">
        <x:v>0</x:v>
      </x:c>
      <x:c r="T906" s="3" t="b">
        <x:v>0</x:v>
      </x:c>
      <x:c r="U906" s="2" t="str">
        <x:f>IF(T906=TRUE,"Priority review",IF(R906=TRUE,"High cost",IF(S906=TRUE,"Low quality","Benchmark")))</x:f>
        <x:v>Benchmark</x:v>
      </x:c>
    </x:row>
    <x:row r="907">
      <x:c r="A907" s="2" t="str">
        <x:v>270023</x:v>
      </x:c>
      <x:c r="B907" s="2" t="str">
        <x:v>COMMUNITY MEDICAL CENTER</x:v>
      </x:c>
      <x:c r="C907" s="2" t="str">
        <x:v>MISSOULA</x:v>
      </x:c>
      <x:c r="D907" s="2" t="str">
        <x:v>MT</x:v>
      </x:c>
      <x:c r="E907" s="2" t="str">
        <x:v>Acute Care Hospitals</x:v>
      </x:c>
      <x:c r="F907" s="2" t="str">
        <x:v>Voluntary non-profit</x:v>
      </x:c>
      <x:c r="G907" s="2" t="str">
        <x:v>Medium (100-299 beds)</x:v>
      </x:c>
      <x:c r="H907" s="7" t="n">
        <x:v>3</x:v>
      </x:c>
      <x:c r="I907" s="7" t="n">
        <x:v>3</x:v>
      </x:c>
      <x:c r="J907" s="7" t="n">
        <x:v>0.97</x:v>
      </x:c>
      <x:c r="K907" s="8" t="n">
        <x:v>141</x:v>
      </x:c>
      <x:c r="L907" s="8" t="n">
        <x:v>4607</x:v>
      </x:c>
      <x:c r="M907" s="9" t="n">
        <x:v>0.4201449444</x:v>
      </x:c>
      <x:c r="N907" s="10" t="n">
        <x:v>51886.8026915563</x:v>
      </x:c>
      <x:c r="O907" s="9" t="n">
        <x:v>0.1403026908</x:v>
      </x:c>
      <x:c r="P907" s="9" t="n">
        <x:v>0.8174409128</x:v>
      </x:c>
      <x:c r="Q907" s="9" t="n">
        <x:v>0.3023634882</x:v>
      </x:c>
      <x:c r="R907" s="3" t="b">
        <x:v>0</x:v>
      </x:c>
      <x:c r="S907" s="3" t="b">
        <x:v>0</x:v>
      </x:c>
      <x:c r="T907" s="3" t="b">
        <x:v>0</x:v>
      </x:c>
      <x:c r="U907" s="2" t="str">
        <x:f>IF(T907=TRUE,"Priority review",IF(R907=TRUE,"High cost",IF(S907=TRUE,"Low quality","Benchmark")))</x:f>
        <x:v>Benchmark</x:v>
      </x:c>
    </x:row>
    <x:row r="908">
      <x:c r="A908" s="2" t="str">
        <x:v>451341</x:v>
      </x:c>
      <x:c r="B908" s="2" t="str">
        <x:v>HASKELL MEMORIAL HOSPITAL</x:v>
      </x:c>
      <x:c r="C908" s="2" t="str">
        <x:v>HASKELL</x:v>
      </x:c>
      <x:c r="D908" s="2" t="str">
        <x:v>TX</x:v>
      </x:c>
      <x:c r="E908" s="2" t="str">
        <x:v>Critical Access Hospitals</x:v>
      </x:c>
      <x:c r="F908" s="2" t="str">
        <x:v>Government</x:v>
      </x:c>
      <x:c r="G908" s="2" t="str">
        <x:v>Small (&lt;100 beds)</x:v>
      </x:c>
      <x:c r="H908" s="7"/>
      <x:c r="I908" s="7"/>
      <x:c r="J908" s="7"/>
      <x:c r="K908" s="8" t="n">
        <x:v>25</x:v>
      </x:c>
      <x:c r="L908" s="8" t="n">
        <x:v>52</x:v>
      </x:c>
      <x:c r="M908" s="9" t="n">
        <x:v>0.0879781421</x:v>
      </x:c>
      <x:c r="N908" s="10" t="n">
        <x:v>250549.6730769231</x:v>
      </x:c>
      <x:c r="O908" s="9" t="n">
        <x:v>-0.4812122523</x:v>
      </x:c>
      <x:c r="P908" s="9" t="n">
        <x:v>0.8171003717</x:v>
      </x:c>
      <x:c r="Q908" s="9" t="n">
        <x:v>0.292936803</x:v>
      </x:c>
      <x:c r="R908" s="3" t="b">
        <x:v>0</x:v>
      </x:c>
      <x:c r="S908" s="3" t="b">
        <x:v>0</x:v>
      </x:c>
      <x:c r="T908" s="3" t="b">
        <x:v>0</x:v>
      </x:c>
      <x:c r="U908" s="2" t="str">
        <x:f>IF(T908=TRUE,"Priority review",IF(R908=TRUE,"High cost",IF(S908=TRUE,"Low quality","Benchmark")))</x:f>
        <x:v>Benchmark</x:v>
      </x:c>
    </x:row>
    <x:row r="909">
      <x:c r="A909" s="2" t="str">
        <x:v>500124</x:v>
      </x:c>
      <x:c r="B909" s="2" t="str">
        <x:v>EVERGREENHEALTH MEDICAL CENTER</x:v>
      </x:c>
      <x:c r="C909" s="2" t="str">
        <x:v>KIRKLAND</x:v>
      </x:c>
      <x:c r="D909" s="2" t="str">
        <x:v>WA</x:v>
      </x:c>
      <x:c r="E909" s="2" t="str">
        <x:v>Acute Care Hospitals</x:v>
      </x:c>
      <x:c r="F909" s="2" t="str">
        <x:v>Government</x:v>
      </x:c>
      <x:c r="G909" s="2" t="str">
        <x:v>Large (300+ beds)</x:v>
      </x:c>
      <x:c r="H909" s="7" t="n">
        <x:v>5</x:v>
      </x:c>
      <x:c r="I909" s="7" t="n">
        <x:v>4</x:v>
      </x:c>
      <x:c r="J909" s="7" t="n">
        <x:v>0.96</x:v>
      </x:c>
      <x:c r="K909" s="8" t="n">
        <x:v>340</x:v>
      </x:c>
      <x:c r="L909" s="8" t="n">
        <x:v>17450</x:v>
      </x:c>
      <x:c r="M909" s="9" t="n">
        <x:v>0.6842494375</x:v>
      </x:c>
      <x:c r="N909" s="10" t="n">
        <x:v>61234.7414899713</x:v>
      </x:c>
      <x:c r="O909" s="9" t="n">
        <x:v>-0.1145292273</x:v>
      </x:c>
      <x:c r="P909" s="9" t="n">
        <x:v>0.8170347003</x:v>
      </x:c>
      <x:c r="Q909" s="9" t="n">
        <x:v>0.8722397476</x:v>
      </x:c>
      <x:c r="R909" s="3" t="b">
        <x:v>0</x:v>
      </x:c>
      <x:c r="S909" s="3" t="b">
        <x:v>0</x:v>
      </x:c>
      <x:c r="T909" s="3" t="b">
        <x:v>0</x:v>
      </x:c>
      <x:c r="U909" s="2" t="str">
        <x:f>IF(T909=TRUE,"Priority review",IF(R909=TRUE,"High cost",IF(S909=TRUE,"Low quality","Benchmark")))</x:f>
        <x:v>Benchmark</x:v>
      </x:c>
    </x:row>
    <x:row r="910">
      <x:c r="A910" s="2" t="str">
        <x:v>450883</x:v>
      </x:c>
      <x:c r="B910" s="2" t="str">
        <x:v>BAYLOR MEDICAL CENTER AT TROPHY CLUB</x:v>
      </x:c>
      <x:c r="C910" s="2" t="str">
        <x:v>TROPHY CLUB</x:v>
      </x:c>
      <x:c r="D910" s="2" t="str">
        <x:v>TX</x:v>
      </x:c>
      <x:c r="E910" s="2" t="str">
        <x:v>Acute Care Hospitals</x:v>
      </x:c>
      <x:c r="F910" s="2" t="str">
        <x:v>Proprietary</x:v>
      </x:c>
      <x:c r="G910" s="2" t="str">
        <x:v>Small (&lt;100 beds)</x:v>
      </x:c>
      <x:c r="H910" s="7"/>
      <x:c r="I910" s="7" t="n">
        <x:v>3</x:v>
      </x:c>
      <x:c r="J910" s="7" t="n">
        <x:v>1.03</x:v>
      </x:c>
      <x:c r="K910" s="8" t="n">
        <x:v>21</x:v>
      </x:c>
      <x:c r="L910" s="8" t="n">
        <x:v>581</x:v>
      </x:c>
      <x:c r="M910" s="9" t="n">
        <x:v>0.1920374707</x:v>
      </x:c>
      <x:c r="N910" s="10" t="n">
        <x:v>100725.182444062</x:v>
      </x:c>
      <x:c r="O910" s="9" t="n">
        <x:v>0.2608458303</x:v>
      </x:c>
      <x:c r="P910" s="9" t="n">
        <x:v>0.8168761221</x:v>
      </x:c>
      <x:c r="Q910" s="9" t="n">
        <x:v>0.697486535</x:v>
      </x:c>
      <x:c r="R910" s="3" t="b">
        <x:v>0</x:v>
      </x:c>
      <x:c r="S910" s="3" t="b">
        <x:v>0</x:v>
      </x:c>
      <x:c r="T910" s="3" t="b">
        <x:v>0</x:v>
      </x:c>
      <x:c r="U910" s="2" t="str">
        <x:f>IF(T910=TRUE,"Priority review",IF(R910=TRUE,"High cost",IF(S910=TRUE,"Low quality","Benchmark")))</x:f>
        <x:v>Benchmark</x:v>
      </x:c>
    </x:row>
    <x:row r="911">
      <x:c r="A911" s="2" t="str">
        <x:v>050070</x:v>
      </x:c>
      <x:c r="B911" s="2" t="str">
        <x:v>KAISER FOUNDATION HOSPITAL - SOUTH SAN FRANCISCO</x:v>
      </x:c>
      <x:c r="C911" s="2" t="str">
        <x:v>SOUTH SAN FRANCISCO</x:v>
      </x:c>
      <x:c r="D911" s="2" t="str">
        <x:v>CA</x:v>
      </x:c>
      <x:c r="E911" s="2" t="str">
        <x:v>Acute Care Hospitals</x:v>
      </x:c>
      <x:c r="F911" s="2" t="str">
        <x:v>Voluntary non-profit</x:v>
      </x:c>
      <x:c r="G911" s="2" t="str">
        <x:v>Medium (100-299 beds)</x:v>
      </x:c>
      <x:c r="H911" s="7" t="n">
        <x:v>4</x:v>
      </x:c>
      <x:c r="I911" s="7" t="n">
        <x:v>4</x:v>
      </x:c>
      <x:c r="J911" s="7" t="n">
        <x:v>0.85</x:v>
      </x:c>
      <x:c r="K911" s="8" t="n">
        <x:v>120</x:v>
      </x:c>
      <x:c r="L911" s="8" t="n">
        <x:v>6161</x:v>
      </x:c>
      <x:c r="M911" s="9" t="n">
        <x:v>0.5993852459</x:v>
      </x:c>
      <x:c r="N911" s="10" t="n">
        <x:v>51869.8891413732</x:v>
      </x:c>
      <x:c r="O911" s="9" t="n">
        <x:v>0.0963208744</x:v>
      </x:c>
      <x:c r="P911" s="9" t="n">
        <x:v>0.8166259169</x:v>
      </x:c>
      <x:c r="Q911" s="9" t="n">
        <x:v>0.6022819886</x:v>
      </x:c>
      <x:c r="R911" s="3" t="b">
        <x:v>0</x:v>
      </x:c>
      <x:c r="S911" s="3" t="b">
        <x:v>0</x:v>
      </x:c>
      <x:c r="T911" s="3" t="b">
        <x:v>0</x:v>
      </x:c>
      <x:c r="U911" s="2" t="str">
        <x:f>IF(T911=TRUE,"Priority review",IF(R911=TRUE,"High cost",IF(S911=TRUE,"Low quality","Benchmark")))</x:f>
        <x:v>Benchmark</x:v>
      </x:c>
    </x:row>
    <x:row r="912">
      <x:c r="A912" s="2" t="str">
        <x:v>161356</x:v>
      </x:c>
      <x:c r="B912" s="2" t="str">
        <x:v>HENRY COUNTY HEALTH CENTER</x:v>
      </x:c>
      <x:c r="C912" s="2" t="str">
        <x:v>MOUNT PLEASANT</x:v>
      </x:c>
      <x:c r="D912" s="2" t="str">
        <x:v>IA</x:v>
      </x:c>
      <x:c r="E912" s="2" t="str">
        <x:v>Critical Access Hospitals</x:v>
      </x:c>
      <x:c r="F912" s="2" t="str">
        <x:v>Other / unknown</x:v>
      </x:c>
      <x:c r="G912" s="2" t="str">
        <x:v>Small (&lt;100 beds)</x:v>
      </x:c>
      <x:c r="H912" s="7"/>
      <x:c r="I912" s="7"/>
      <x:c r="J912" s="7"/>
      <x:c r="K912" s="8" t="n">
        <x:v>25</x:v>
      </x:c>
      <x:c r="L912" s="8" t="n">
        <x:v>242</x:v>
      </x:c>
      <x:c r="M912" s="9" t="n">
        <x:v>0.1993424658</x:v>
      </x:c>
      <x:c r="N912" s="10" t="n">
        <x:v>249361.1074380165</x:v>
      </x:c>
      <x:c r="O912" s="9" t="n">
        <x:v>0.0982197842</x:v>
      </x:c>
      <x:c r="P912" s="9" t="n">
        <x:v>0.8163568773</x:v>
      </x:c>
      <x:c r="Q912" s="9" t="n">
        <x:v>0.292936803</x:v>
      </x:c>
      <x:c r="R912" s="3" t="b">
        <x:v>0</x:v>
      </x:c>
      <x:c r="S912" s="3" t="b">
        <x:v>0</x:v>
      </x:c>
      <x:c r="T912" s="3" t="b">
        <x:v>0</x:v>
      </x:c>
      <x:c r="U912" s="2" t="str">
        <x:f>IF(T912=TRUE,"Priority review",IF(R912=TRUE,"High cost",IF(S912=TRUE,"Low quality","Benchmark")))</x:f>
        <x:v>Benchmark</x:v>
      </x:c>
    </x:row>
    <x:row r="913">
      <x:c r="A913" s="2" t="str">
        <x:v>270086</x:v>
      </x:c>
      <x:c r="B913" s="2" t="str">
        <x:v>GREAT FALLS CLINIC HOSPITAL</x:v>
      </x:c>
      <x:c r="C913" s="2" t="str">
        <x:v>GREAT FALLS</x:v>
      </x:c>
      <x:c r="D913" s="2" t="str">
        <x:v>MT</x:v>
      </x:c>
      <x:c r="E913" s="2" t="str">
        <x:v>Acute Care Hospitals</x:v>
      </x:c>
      <x:c r="F913" s="2" t="str">
        <x:v>Proprietary</x:v>
      </x:c>
      <x:c r="G913" s="2" t="str">
        <x:v>Small (&lt;100 beds)</x:v>
      </x:c>
      <x:c r="H913" s="7" t="n">
        <x:v>2</x:v>
      </x:c>
      <x:c r="I913" s="7" t="n">
        <x:v>4</x:v>
      </x:c>
      <x:c r="J913" s="7" t="n">
        <x:v>0.88</x:v>
      </x:c>
      <x:c r="K913" s="8" t="n">
        <x:v>20</x:v>
      </x:c>
      <x:c r="L913" s="8" t="n">
        <x:v>1463</x:v>
      </x:c>
      <x:c r="M913" s="9" t="n">
        <x:v>0.824863388</x:v>
      </x:c>
      <x:c r="N913" s="10" t="n">
        <x:v>100335.4005468216</x:v>
      </x:c>
      <x:c r="O913" s="9" t="n">
        <x:v>0.0660538467</x:v>
      </x:c>
      <x:c r="P913" s="9" t="n">
        <x:v>0.815978456</x:v>
      </x:c>
      <x:c r="Q913" s="9" t="n">
        <x:v>0.0350089767</x:v>
      </x:c>
      <x:c r="R913" s="3" t="b">
        <x:v>0</x:v>
      </x:c>
      <x:c r="S913" s="3" t="b">
        <x:v>1</x:v>
      </x:c>
      <x:c r="T913" s="3" t="b">
        <x:v>0</x:v>
      </x:c>
      <x:c r="U913" s="2" t="str">
        <x:f>IF(T913=TRUE,"Priority review",IF(R913=TRUE,"High cost",IF(S913=TRUE,"Low quality","Benchmark")))</x:f>
        <x:v>Low quality</x:v>
      </x:c>
    </x:row>
    <x:row r="914">
      <x:c r="A914" s="2" t="str">
        <x:v>494033</x:v>
      </x:c>
      <x:c r="B914" s="2" t="str">
        <x:v>CATAWBA HOSPITAL</x:v>
      </x:c>
      <x:c r="C914" s="2" t="str">
        <x:v>CATAWBA</x:v>
      </x:c>
      <x:c r="D914" s="2" t="str">
        <x:v>VA</x:v>
      </x:c>
      <x:c r="E914" s="2" t="str">
        <x:v>Psychiatric</x:v>
      </x:c>
      <x:c r="F914" s="2" t="str">
        <x:v>Government</x:v>
      </x:c>
      <x:c r="G914" s="2" t="str">
        <x:v>Medium (100-299 beds)</x:v>
      </x:c>
      <x:c r="H914" s="7"/>
      <x:c r="I914" s="7"/>
      <x:c r="J914" s="7"/>
      <x:c r="K914" s="8" t="n">
        <x:v>132</x:v>
      </x:c>
      <x:c r="L914" s="8" t="n">
        <x:v>577</x:v>
      </x:c>
      <x:c r="M914" s="9" t="n">
        <x:v>0.7583022001</x:v>
      </x:c>
      <x:c r="N914" s="10" t="n">
        <x:v>76241.4090121317</x:v>
      </x:c>
      <x:c r="O914" s="9" t="n">
        <x:v>-4.1849352768</x:v>
      </x:c>
      <x:c r="P914" s="9" t="n">
        <x:v>0.815920398</x:v>
      </x:c>
      <x:c r="Q914" s="9" t="n">
        <x:v>0</x:v>
      </x:c>
      <x:c r="R914" s="3" t="b">
        <x:v>0</x:v>
      </x:c>
      <x:c r="S914" s="3" t="b">
        <x:v>0</x:v>
      </x:c>
      <x:c r="T914" s="3" t="b">
        <x:v>0</x:v>
      </x:c>
      <x:c r="U914" s="2" t="str">
        <x:f>IF(T914=TRUE,"Priority review",IF(R914=TRUE,"High cost",IF(S914=TRUE,"Low quality","Benchmark")))</x:f>
        <x:v>Benchmark</x:v>
      </x:c>
    </x:row>
    <x:row r="915">
      <x:c r="A915" s="2" t="str">
        <x:v>160079</x:v>
      </x:c>
      <x:c r="B915" s="2" t="str">
        <x:v>MERCY MEDICAL CENTER - CEDAR RAPIDS</x:v>
      </x:c>
      <x:c r="C915" s="2" t="str">
        <x:v>CEDAR RAPIDS</x:v>
      </x:c>
      <x:c r="D915" s="2" t="str">
        <x:v>IA</x:v>
      </x:c>
      <x:c r="E915" s="2" t="str">
        <x:v>Acute Care Hospitals</x:v>
      </x:c>
      <x:c r="F915" s="2" t="str">
        <x:v>Voluntary non-profit</x:v>
      </x:c>
      <x:c r="G915" s="2" t="str">
        <x:v>Medium (100-299 beds)</x:v>
      </x:c>
      <x:c r="H915" s="7" t="n">
        <x:v>4</x:v>
      </x:c>
      <x:c r="I915" s="7" t="n">
        <x:v>4</x:v>
      </x:c>
      <x:c r="J915" s="7" t="n">
        <x:v>0.95</x:v>
      </x:c>
      <x:c r="K915" s="8" t="n">
        <x:v>216</x:v>
      </x:c>
      <x:c r="L915" s="8" t="n">
        <x:v>9998</x:v>
      </x:c>
      <x:c r="M915" s="9" t="n">
        <x:v>0.5301369863</x:v>
      </x:c>
      <x:c r="N915" s="10" t="n">
        <x:v>51864.1723344669</x:v>
      </x:c>
      <x:c r="O915" s="9" t="n">
        <x:v>-0.0214012578</x:v>
      </x:c>
      <x:c r="P915" s="9" t="n">
        <x:v>0.8158109209</x:v>
      </x:c>
      <x:c r="Q915" s="9" t="n">
        <x:v>0.6022819886</x:v>
      </x:c>
      <x:c r="R915" s="3" t="b">
        <x:v>0</x:v>
      </x:c>
      <x:c r="S915" s="3" t="b">
        <x:v>0</x:v>
      </x:c>
      <x:c r="T915" s="3" t="b">
        <x:v>0</x:v>
      </x:c>
      <x:c r="U915" s="2" t="str">
        <x:f>IF(T915=TRUE,"Priority review",IF(R915=TRUE,"High cost",IF(S915=TRUE,"Low quality","Benchmark")))</x:f>
        <x:v>Benchmark</x:v>
      </x:c>
    </x:row>
    <x:row r="916">
      <x:c r="A916" s="2" t="str">
        <x:v>021313</x:v>
      </x:c>
      <x:c r="B916" s="2" t="str">
        <x:v>SOUTH PENINSULA HOSPITAL</x:v>
      </x:c>
      <x:c r="C916" s="2" t="str">
        <x:v>HOMER</x:v>
      </x:c>
      <x:c r="D916" s="2" t="str">
        <x:v>AK</x:v>
      </x:c>
      <x:c r="E916" s="2" t="str">
        <x:v>Critical Access Hospitals</x:v>
      </x:c>
      <x:c r="F916" s="2" t="str">
        <x:v>Voluntary non-profit</x:v>
      </x:c>
      <x:c r="G916" s="2" t="str">
        <x:v>Small (&lt;100 beds)</x:v>
      </x:c>
      <x:c r="H916" s="7"/>
      <x:c r="I916" s="7" t="n">
        <x:v>4</x:v>
      </x:c>
      <x:c r="J916" s="7"/>
      <x:c r="K916" s="8" t="n">
        <x:v>22</x:v>
      </x:c>
      <x:c r="L916" s="8" t="n">
        <x:v>612</x:v>
      </x:c>
      <x:c r="M916" s="9" t="n">
        <x:v>0.4307596513</x:v>
      </x:c>
      <x:c r="N916" s="10" t="n">
        <x:v>249103.7075163399</x:v>
      </x:c>
      <x:c r="O916" s="9" t="n">
        <x:v>0.0038089743</x:v>
      </x:c>
      <x:c r="P916" s="9" t="n">
        <x:v>0.8156133829</x:v>
      </x:c>
      <x:c r="Q916" s="9" t="n">
        <x:v>0.292936803</x:v>
      </x:c>
      <x:c r="R916" s="3" t="b">
        <x:v>0</x:v>
      </x:c>
      <x:c r="S916" s="3" t="b">
        <x:v>0</x:v>
      </x:c>
      <x:c r="T916" s="3" t="b">
        <x:v>0</x:v>
      </x:c>
      <x:c r="U916" s="2" t="str">
        <x:f>IF(T916=TRUE,"Priority review",IF(R916=TRUE,"High cost",IF(S916=TRUE,"Low quality","Benchmark")))</x:f>
        <x:v>Benchmark</x:v>
      </x:c>
    </x:row>
    <x:row r="917">
      <x:c r="A917" s="2" t="str">
        <x:v>224031</x:v>
      </x:c>
      <x:c r="B917" s="2" t="str">
        <x:v>CAPE COD &amp; ISLANDS COMMUNITY MENTAL HEALTH CENTER</x:v>
      </x:c>
      <x:c r="C917" s="2" t="str">
        <x:v>POCASSET</x:v>
      </x:c>
      <x:c r="D917" s="2" t="str">
        <x:v>MA</x:v>
      </x:c>
      <x:c r="E917" s="2" t="str">
        <x:v>Psychiatric</x:v>
      </x:c>
      <x:c r="F917" s="2" t="str">
        <x:v>Government</x:v>
      </x:c>
      <x:c r="G917" s="2" t="str">
        <x:v>Small (&lt;100 beds)</x:v>
      </x:c>
      <x:c r="H917" s="7"/>
      <x:c r="I917" s="7"/>
      <x:c r="J917" s="7"/>
      <x:c r="K917" s="8" t="n">
        <x:v>16</x:v>
      </x:c>
      <x:c r="L917" s="8" t="n">
        <x:v>159</x:v>
      </x:c>
      <x:c r="M917" s="9" t="n">
        <x:v>0.9712328767</x:v>
      </x:c>
      <x:c r="N917" s="10" t="n">
        <x:v>58003.7547169811</x:v>
      </x:c>
      <x:c r="O917" s="9"/>
      <x:c r="P917" s="9" t="n">
        <x:v>0.8155339806</x:v>
      </x:c>
      <x:c r="Q917" s="9" t="n">
        <x:v>0</x:v>
      </x:c>
      <x:c r="R917" s="3" t="b">
        <x:v>0</x:v>
      </x:c>
      <x:c r="S917" s="3" t="b">
        <x:v>0</x:v>
      </x:c>
      <x:c r="T917" s="3" t="b">
        <x:v>0</x:v>
      </x:c>
      <x:c r="U917" s="2" t="str">
        <x:f>IF(T917=TRUE,"Priority review",IF(R917=TRUE,"High cost",IF(S917=TRUE,"Low quality","Benchmark")))</x:f>
        <x:v>Benchmark</x:v>
      </x:c>
    </x:row>
    <x:row r="918">
      <x:c r="A918" s="2" t="str">
        <x:v>050376</x:v>
      </x:c>
      <x:c r="B918" s="2" t="str">
        <x:v>LAC/HARBOR-UCLA MED CENTER</x:v>
      </x:c>
      <x:c r="C918" s="2" t="str">
        <x:v>TORRANCE</x:v>
      </x:c>
      <x:c r="D918" s="2" t="str">
        <x:v>CA</x:v>
      </x:c>
      <x:c r="E918" s="2" t="str">
        <x:v>Acute Care Hospitals</x:v>
      </x:c>
      <x:c r="F918" s="2" t="str">
        <x:v>Government</x:v>
      </x:c>
      <x:c r="G918" s="2" t="str">
        <x:v>Large (300+ beds)</x:v>
      </x:c>
      <x:c r="H918" s="7" t="n">
        <x:v>1</x:v>
      </x:c>
      <x:c r="I918" s="7" t="n">
        <x:v>2</x:v>
      </x:c>
      <x:c r="J918" s="7" t="n">
        <x:v>0.89</x:v>
      </x:c>
      <x:c r="K918" s="8" t="n">
        <x:v>381</x:v>
      </x:c>
      <x:c r="L918" s="8" t="n">
        <x:v>20177</x:v>
      </x:c>
      <x:c r="M918" s="9" t="n">
        <x:v>0.731039442</x:v>
      </x:c>
      <x:c r="N918" s="10" t="n">
        <x:v>61068.4489269961</x:v>
      </x:c>
      <x:c r="O918" s="9" t="n">
        <x:v>0.3165646894</x:v>
      </x:c>
      <x:c r="P918" s="9" t="n">
        <x:v>0.8154574132</x:v>
      </x:c>
      <x:c r="Q918" s="9" t="n">
        <x:v>0</x:v>
      </x:c>
      <x:c r="R918" s="3" t="b">
        <x:v>0</x:v>
      </x:c>
      <x:c r="S918" s="3" t="b">
        <x:v>1</x:v>
      </x:c>
      <x:c r="T918" s="3" t="b">
        <x:v>0</x:v>
      </x:c>
      <x:c r="U918" s="2" t="str">
        <x:f>IF(T918=TRUE,"Priority review",IF(R918=TRUE,"High cost",IF(S918=TRUE,"Low quality","Benchmark")))</x:f>
        <x:v>Low quality</x:v>
      </x:c>
    </x:row>
    <x:row r="919">
      <x:c r="A919" s="2" t="str">
        <x:v>020024</x:v>
      </x:c>
      <x:c r="B919" s="2" t="str">
        <x:v>CENTRAL PENINSULA GENERAL HOSPITAL</x:v>
      </x:c>
      <x:c r="C919" s="2" t="str">
        <x:v>SOLDOTNA</x:v>
      </x:c>
      <x:c r="D919" s="2" t="str">
        <x:v>AK</x:v>
      </x:c>
      <x:c r="E919" s="2" t="str">
        <x:v>Acute Care Hospitals</x:v>
      </x:c>
      <x:c r="F919" s="2" t="str">
        <x:v>Voluntary non-profit</x:v>
      </x:c>
      <x:c r="G919" s="2" t="str">
        <x:v>Small (&lt;100 beds)</x:v>
      </x:c>
      <x:c r="H919" s="7" t="n">
        <x:v>2</x:v>
      </x:c>
      <x:c r="I919" s="7" t="n">
        <x:v>4</x:v>
      </x:c>
      <x:c r="J919" s="7" t="n">
        <x:v>0.83</x:v>
      </x:c>
      <x:c r="K919" s="8" t="n">
        <x:v>49</x:v>
      </x:c>
      <x:c r="L919" s="8" t="n">
        <x:v>2753</x:v>
      </x:c>
      <x:c r="M919" s="9" t="n">
        <x:v>1.0151523623</x:v>
      </x:c>
      <x:c r="N919" s="10" t="n">
        <x:v>100311.1514711224</x:v>
      </x:c>
      <x:c r="O919" s="9" t="n">
        <x:v>-0.0311095318</x:v>
      </x:c>
      <x:c r="P919" s="9" t="n">
        <x:v>0.8150807899</x:v>
      </x:c>
      <x:c r="Q919" s="9" t="n">
        <x:v>0.0350089767</x:v>
      </x:c>
      <x:c r="R919" s="3" t="b">
        <x:v>0</x:v>
      </x:c>
      <x:c r="S919" s="3" t="b">
        <x:v>1</x:v>
      </x:c>
      <x:c r="T919" s="3" t="b">
        <x:v>0</x:v>
      </x:c>
      <x:c r="U919" s="2" t="str">
        <x:f>IF(T919=TRUE,"Priority review",IF(R919=TRUE,"High cost",IF(S919=TRUE,"Low quality","Benchmark")))</x:f>
        <x:v>Low quality</x:v>
      </x:c>
    </x:row>
    <x:row r="920">
      <x:c r="A920" s="2" t="str">
        <x:v>190202</x:v>
      </x:c>
      <x:c r="B920" s="2" t="str">
        <x:v>OCHSNER MEDICAL CENTER - BATON ROUGE</x:v>
      </x:c>
      <x:c r="C920" s="2" t="str">
        <x:v>BATON ROUGE</x:v>
      </x:c>
      <x:c r="D920" s="2" t="str">
        <x:v>LA</x:v>
      </x:c>
      <x:c r="E920" s="2" t="str">
        <x:v>Acute Care Hospitals</x:v>
      </x:c>
      <x:c r="F920" s="2" t="str">
        <x:v>Voluntary non-profit</x:v>
      </x:c>
      <x:c r="G920" s="2" t="str">
        <x:v>Medium (100-299 beds)</x:v>
      </x:c>
      <x:c r="H920" s="7" t="n">
        <x:v>4</x:v>
      </x:c>
      <x:c r="I920" s="7" t="n">
        <x:v>3</x:v>
      </x:c>
      <x:c r="J920" s="7" t="n">
        <x:v>0.99</x:v>
      </x:c>
      <x:c r="K920" s="8" t="n">
        <x:v>169</x:v>
      </x:c>
      <x:c r="L920" s="8" t="n">
        <x:v>8915</x:v>
      </x:c>
      <x:c r="M920" s="9" t="n">
        <x:v>0.5916985766</x:v>
      </x:c>
      <x:c r="N920" s="10" t="n">
        <x:v>51831.1655636568</x:v>
      </x:c>
      <x:c r="O920" s="9" t="n">
        <x:v>-0.0497534389</x:v>
      </x:c>
      <x:c r="P920" s="9" t="n">
        <x:v>0.814995925</x:v>
      </x:c>
      <x:c r="Q920" s="9" t="n">
        <x:v>0.6022819886</x:v>
      </x:c>
      <x:c r="R920" s="3" t="b">
        <x:v>0</x:v>
      </x:c>
      <x:c r="S920" s="3" t="b">
        <x:v>0</x:v>
      </x:c>
      <x:c r="T920" s="3" t="b">
        <x:v>0</x:v>
      </x:c>
      <x:c r="U920" s="2" t="str">
        <x:f>IF(T920=TRUE,"Priority review",IF(R920=TRUE,"High cost",IF(S920=TRUE,"Low quality","Benchmark")))</x:f>
        <x:v>Benchmark</x:v>
      </x:c>
    </x:row>
    <x:row r="921">
      <x:c r="A921" s="2" t="str">
        <x:v>271327</x:v>
      </x:c>
      <x:c r="B921" s="2" t="str">
        <x:v>ROSEBUD HEALTH CARE CENTER</x:v>
      </x:c>
      <x:c r="C921" s="2" t="str">
        <x:v>FORSYTH</x:v>
      </x:c>
      <x:c r="D921" s="2" t="str">
        <x:v>MT</x:v>
      </x:c>
      <x:c r="E921" s="2" t="str">
        <x:v>Critical Access Hospitals</x:v>
      </x:c>
      <x:c r="F921" s="2" t="str">
        <x:v>Voluntary non-profit</x:v>
      </x:c>
      <x:c r="G921" s="2" t="str">
        <x:v>Small (&lt;100 beds)</x:v>
      </x:c>
      <x:c r="H921" s="7"/>
      <x:c r="I921" s="7"/>
      <x:c r="J921" s="7"/>
      <x:c r="K921" s="8" t="n">
        <x:v>25</x:v>
      </x:c>
      <x:c r="L921" s="8" t="n">
        <x:v>48</x:v>
      </x:c>
      <x:c r="M921" s="9" t="n">
        <x:v>0.712</x:v>
      </x:c>
      <x:c r="N921" s="10" t="n">
        <x:v>248324.375</x:v>
      </x:c>
      <x:c r="O921" s="9" t="n">
        <x:v>-0.1550827169</x:v>
      </x:c>
      <x:c r="P921" s="9" t="n">
        <x:v>0.8148698885</x:v>
      </x:c>
      <x:c r="Q921" s="9" t="n">
        <x:v>0.292936803</x:v>
      </x:c>
      <x:c r="R921" s="3" t="b">
        <x:v>0</x:v>
      </x:c>
      <x:c r="S921" s="3" t="b">
        <x:v>0</x:v>
      </x:c>
      <x:c r="T921" s="3" t="b">
        <x:v>0</x:v>
      </x:c>
      <x:c r="U921" s="2" t="str">
        <x:f>IF(T921=TRUE,"Priority review",IF(R921=TRUE,"High cost",IF(S921=TRUE,"Low quality","Benchmark")))</x:f>
        <x:v>Benchmark</x:v>
      </x:c>
    </x:row>
    <x:row r="922">
      <x:c r="A922" s="2" t="str">
        <x:v>093300</x:v>
      </x:c>
      <x:c r="B922" s="2" t="str">
        <x:v>CHILDREN'S NATIONAL HOSPITAL</x:v>
      </x:c>
      <x:c r="C922" s="2" t="str">
        <x:v>WASHINGTON</x:v>
      </x:c>
      <x:c r="D922" s="2" t="str">
        <x:v>DC</x:v>
      </x:c>
      <x:c r="E922" s="2" t="str">
        <x:v>Childrens</x:v>
      </x:c>
      <x:c r="F922" s="2" t="str">
        <x:v>Voluntary non-profit</x:v>
      </x:c>
      <x:c r="G922" s="2" t="str">
        <x:v>Large (300+ beds)</x:v>
      </x:c>
      <x:c r="H922" s="7"/>
      <x:c r="I922" s="7"/>
      <x:c r="J922" s="7"/>
      <x:c r="K922" s="8" t="n">
        <x:v>323</x:v>
      </x:c>
      <x:c r="L922" s="8" t="n">
        <x:v>13243</x:v>
      </x:c>
      <x:c r="M922" s="9" t="n">
        <x:v>0.8831163323</x:v>
      </x:c>
      <x:c r="N922" s="10" t="n">
        <x:v>131066.9958468625</x:v>
      </x:c>
      <x:c r="O922" s="9" t="n">
        <x:v>-0.0777317199</x:v>
      </x:c>
      <x:c r="P922" s="9" t="n">
        <x:v>0.8148148148</x:v>
      </x:c>
      <x:c r="Q922" s="9" t="n">
        <x:v>0</x:v>
      </x:c>
      <x:c r="R922" s="3" t="b">
        <x:v>0</x:v>
      </x:c>
      <x:c r="S922" s="3" t="b">
        <x:v>0</x:v>
      </x:c>
      <x:c r="T922" s="3" t="b">
        <x:v>0</x:v>
      </x:c>
      <x:c r="U922" s="2" t="str">
        <x:f>IF(T922=TRUE,"Priority review",IF(R922=TRUE,"High cost",IF(S922=TRUE,"Low quality","Benchmark")))</x:f>
        <x:v>Benchmark</x:v>
      </x:c>
    </x:row>
    <x:row r="923">
      <x:c r="A923" s="2" t="str">
        <x:v>150168</x:v>
      </x:c>
      <x:c r="B923" s="2" t="str">
        <x:v>THE ORTHOPAEDIC HOSPITAL OF LUTHERAN HEALTH NETWOR</x:v>
      </x:c>
      <x:c r="C923" s="2" t="str">
        <x:v>FT WAYNE</x:v>
      </x:c>
      <x:c r="D923" s="2" t="str">
        <x:v>IN</x:v>
      </x:c>
      <x:c r="E923" s="2" t="str">
        <x:v>Acute Care Hospitals</x:v>
      </x:c>
      <x:c r="F923" s="2" t="str">
        <x:v>Proprietary</x:v>
      </x:c>
      <x:c r="G923" s="2" t="str">
        <x:v>Small (&lt;100 beds)</x:v>
      </x:c>
      <x:c r="H923" s="7"/>
      <x:c r="I923" s="7" t="n">
        <x:v>4</x:v>
      </x:c>
      <x:c r="J923" s="7" t="n">
        <x:v>0.98</x:v>
      </x:c>
      <x:c r="K923" s="8" t="n">
        <x:v>37</x:v>
      </x:c>
      <x:c r="L923" s="8" t="n">
        <x:v>1582</x:v>
      </x:c>
      <x:c r="M923" s="9" t="n">
        <x:v>0.2836360951</x:v>
      </x:c>
      <x:c r="N923" s="10" t="n">
        <x:v>99440.2389380531</x:v>
      </x:c>
      <x:c r="O923" s="9" t="n">
        <x:v>0.2464415178</x:v>
      </x:c>
      <x:c r="P923" s="9" t="n">
        <x:v>0.8141831239</x:v>
      </x:c>
      <x:c r="Q923" s="9" t="n">
        <x:v>0.697486535</x:v>
      </x:c>
      <x:c r="R923" s="3" t="b">
        <x:v>0</x:v>
      </x:c>
      <x:c r="S923" s="3" t="b">
        <x:v>0</x:v>
      </x:c>
      <x:c r="T923" s="3" t="b">
        <x:v>0</x:v>
      </x:c>
      <x:c r="U923" s="2" t="str">
        <x:f>IF(T923=TRUE,"Priority review",IF(R923=TRUE,"High cost",IF(S923=TRUE,"Low quality","Benchmark")))</x:f>
        <x:v>Benchmark</x:v>
      </x:c>
    </x:row>
    <x:row r="924">
      <x:c r="A924" s="2" t="str">
        <x:v>070028</x:v>
      </x:c>
      <x:c r="B924" s="2" t="str">
        <x:v>ST VINCENT'S MEDICAL CENTER</x:v>
      </x:c>
      <x:c r="C924" s="2" t="str">
        <x:v>BRIDGEPORT</x:v>
      </x:c>
      <x:c r="D924" s="2" t="str">
        <x:v>CT</x:v>
      </x:c>
      <x:c r="E924" s="2" t="str">
        <x:v>Acute Care Hospitals</x:v>
      </x:c>
      <x:c r="F924" s="2" t="str">
        <x:v>Voluntary non-profit</x:v>
      </x:c>
      <x:c r="G924" s="2" t="str">
        <x:v>Medium (100-299 beds)</x:v>
      </x:c>
      <x:c r="H924" s="7" t="n">
        <x:v>4</x:v>
      </x:c>
      <x:c r="I924" s="7" t="n">
        <x:v>3</x:v>
      </x:c>
      <x:c r="J924" s="7" t="n">
        <x:v>1.03</x:v>
      </x:c>
      <x:c r="K924" s="8" t="n">
        <x:v>222</x:v>
      </x:c>
      <x:c r="L924" s="8" t="n">
        <x:v>12670</x:v>
      </x:c>
      <x:c r="M924" s="9" t="n">
        <x:v>0.796368959</x:v>
      </x:c>
      <x:c r="N924" s="10" t="n">
        <x:v>51730.871507498</x:v>
      </x:c>
      <x:c r="O924" s="9" t="n">
        <x:v>-0.1421733944</x:v>
      </x:c>
      <x:c r="P924" s="9" t="n">
        <x:v>0.8141809291</x:v>
      </x:c>
      <x:c r="Q924" s="9" t="n">
        <x:v>0.6022819886</x:v>
      </x:c>
      <x:c r="R924" s="3" t="b">
        <x:v>0</x:v>
      </x:c>
      <x:c r="S924" s="3" t="b">
        <x:v>0</x:v>
      </x:c>
      <x:c r="T924" s="3" t="b">
        <x:v>0</x:v>
      </x:c>
      <x:c r="U924" s="2" t="str">
        <x:f>IF(T924=TRUE,"Priority review",IF(R924=TRUE,"High cost",IF(S924=TRUE,"Low quality","Benchmark")))</x:f>
        <x:v>Benchmark</x:v>
      </x:c>
    </x:row>
    <x:row r="925">
      <x:c r="A925" s="2" t="str">
        <x:v>161320</x:v>
      </x:c>
      <x:c r="B925" s="2" t="str">
        <x:v>COMMUNITY MEMORIAL HOSPITAL MEDICAL CENTER</x:v>
      </x:c>
      <x:c r="C925" s="2" t="str">
        <x:v>SUMNER</x:v>
      </x:c>
      <x:c r="D925" s="2" t="str">
        <x:v>IA</x:v>
      </x:c>
      <x:c r="E925" s="2" t="str">
        <x:v>Critical Access Hospitals</x:v>
      </x:c>
      <x:c r="F925" s="2" t="str">
        <x:v>Voluntary non-profit</x:v>
      </x:c>
      <x:c r="G925" s="2" t="str">
        <x:v>Small (&lt;100 beds)</x:v>
      </x:c>
      <x:c r="H925" s="7"/>
      <x:c r="I925" s="7"/>
      <x:c r="J925" s="7"/>
      <x:c r="K925" s="8" t="n">
        <x:v>16</x:v>
      </x:c>
      <x:c r="L925" s="8" t="n">
        <x:v>77</x:v>
      </x:c>
      <x:c r="M925" s="9" t="n">
        <x:v>0.1183401639</x:v>
      </x:c>
      <x:c r="N925" s="10" t="n">
        <x:v>247279.5974025974</x:v>
      </x:c>
      <x:c r="O925" s="9" t="n">
        <x:v>-0.0613872258</x:v>
      </x:c>
      <x:c r="P925" s="9" t="n">
        <x:v>0.8141263941</x:v>
      </x:c>
      <x:c r="Q925" s="9" t="n">
        <x:v>0.292936803</x:v>
      </x:c>
      <x:c r="R925" s="3" t="b">
        <x:v>0</x:v>
      </x:c>
      <x:c r="S925" s="3" t="b">
        <x:v>0</x:v>
      </x:c>
      <x:c r="T925" s="3" t="b">
        <x:v>0</x:v>
      </x:c>
      <x:c r="U925" s="2" t="str">
        <x:f>IF(T925=TRUE,"Priority review",IF(R925=TRUE,"High cost",IF(S925=TRUE,"Low quality","Benchmark")))</x:f>
        <x:v>Benchmark</x:v>
      </x:c>
    </x:row>
    <x:row r="926">
      <x:c r="A926" s="2" t="str">
        <x:v>340113</x:v>
      </x:c>
      <x:c r="B926" s="2" t="str">
        <x:v>CAROLINAS MEDICAL CENTER/BEHAV HEALTH</x:v>
      </x:c>
      <x:c r="C926" s="2" t="str">
        <x:v>CHARLOTTE</x:v>
      </x:c>
      <x:c r="D926" s="2" t="str">
        <x:v>NC</x:v>
      </x:c>
      <x:c r="E926" s="2" t="str">
        <x:v>Acute Care Hospitals</x:v>
      </x:c>
      <x:c r="F926" s="2" t="str">
        <x:v>Government</x:v>
      </x:c>
      <x:c r="G926" s="2" t="str">
        <x:v>Large (300+ beds)</x:v>
      </x:c>
      <x:c r="H926" s="7" t="n">
        <x:v>4</x:v>
      </x:c>
      <x:c r="I926" s="7" t="n">
        <x:v>3</x:v>
      </x:c>
      <x:c r="J926" s="7" t="n">
        <x:v>0.98</x:v>
      </x:c>
      <x:c r="K926" s="8" t="n">
        <x:v>1243</x:v>
      </x:c>
      <x:c r="L926" s="8" t="n">
        <x:v>65439</x:v>
      </x:c>
      <x:c r="M926" s="9" t="n">
        <x:v>0.9086666755</x:v>
      </x:c>
      <x:c r="N926" s="10" t="n">
        <x:v>60868.5692629777</x:v>
      </x:c>
      <x:c r="O926" s="9" t="n">
        <x:v>0.0225648233</x:v>
      </x:c>
      <x:c r="P926" s="9" t="n">
        <x:v>0.8138801262</x:v>
      </x:c>
      <x:c r="Q926" s="9" t="n">
        <x:v>0.5899053628</x:v>
      </x:c>
      <x:c r="R926" s="3" t="b">
        <x:v>0</x:v>
      </x:c>
      <x:c r="S926" s="3" t="b">
        <x:v>0</x:v>
      </x:c>
      <x:c r="T926" s="3" t="b">
        <x:v>0</x:v>
      </x:c>
      <x:c r="U926" s="2" t="str">
        <x:f>IF(T926=TRUE,"Priority review",IF(R926=TRUE,"High cost",IF(S926=TRUE,"Low quality","Benchmark")))</x:f>
        <x:v>Benchmark</x:v>
      </x:c>
    </x:row>
    <x:row r="927">
      <x:c r="A927" s="2" t="str">
        <x:v>521329</x:v>
      </x:c>
      <x:c r="B927" s="2" t="str">
        <x:v>ST MARYS HOSPITAL SUPERIOR</x:v>
      </x:c>
      <x:c r="C927" s="2" t="str">
        <x:v>SUPERIOR</x:v>
      </x:c>
      <x:c r="D927" s="2" t="str">
        <x:v>WI</x:v>
      </x:c>
      <x:c r="E927" s="2" t="str">
        <x:v>Critical Access Hospitals</x:v>
      </x:c>
      <x:c r="F927" s="2" t="str">
        <x:v>Voluntary non-profit</x:v>
      </x:c>
      <x:c r="G927" s="2" t="str">
        <x:v>Small (&lt;100 beds)</x:v>
      </x:c>
      <x:c r="H927" s="7"/>
      <x:c r="I927" s="7" t="n">
        <x:v>3</x:v>
      </x:c>
      <x:c r="J927" s="7"/>
      <x:c r="K927" s="8" t="n">
        <x:v>16</x:v>
      </x:c>
      <x:c r="L927" s="8" t="n">
        <x:v>386</x:v>
      </x:c>
      <x:c r="M927" s="9" t="n">
        <x:v>0.6948630137</x:v>
      </x:c>
      <x:c r="N927" s="10" t="n">
        <x:v>246432.0647668394</x:v>
      </x:c>
      <x:c r="O927" s="9" t="n">
        <x:v>0.2218918795</x:v>
      </x:c>
      <x:c r="P927" s="9" t="n">
        <x:v>0.8133828996</x:v>
      </x:c>
      <x:c r="Q927" s="9" t="n">
        <x:v>0.292936803</x:v>
      </x:c>
      <x:c r="R927" s="3" t="b">
        <x:v>0</x:v>
      </x:c>
      <x:c r="S927" s="3" t="b">
        <x:v>0</x:v>
      </x:c>
      <x:c r="T927" s="3" t="b">
        <x:v>0</x:v>
      </x:c>
      <x:c r="U927" s="2" t="str">
        <x:f>IF(T927=TRUE,"Priority review",IF(R927=TRUE,"High cost",IF(S927=TRUE,"Low quality","Benchmark")))</x:f>
        <x:v>Benchmark</x:v>
      </x:c>
    </x:row>
    <x:row r="928">
      <x:c r="A928" s="2" t="str">
        <x:v>160080</x:v>
      </x:c>
      <x:c r="B928" s="2" t="str">
        <x:v>MERCYONE CLINTON MEDICAL CENTER</x:v>
      </x:c>
      <x:c r="C928" s="2" t="str">
        <x:v>CLINTON</x:v>
      </x:c>
      <x:c r="D928" s="2" t="str">
        <x:v>IA</x:v>
      </x:c>
      <x:c r="E928" s="2" t="str">
        <x:v>Acute Care Hospitals</x:v>
      </x:c>
      <x:c r="F928" s="2" t="str">
        <x:v>Voluntary non-profit</x:v>
      </x:c>
      <x:c r="G928" s="2" t="str">
        <x:v>Medium (100-299 beds)</x:v>
      </x:c>
      <x:c r="H928" s="7" t="n">
        <x:v>4</x:v>
      </x:c>
      <x:c r="I928" s="7" t="n">
        <x:v>4</x:v>
      </x:c>
      <x:c r="J928" s="7" t="n">
        <x:v>0.86</x:v>
      </x:c>
      <x:c r="K928" s="8" t="n">
        <x:v>107</x:v>
      </x:c>
      <x:c r="L928" s="8" t="n">
        <x:v>2469</x:v>
      </x:c>
      <x:c r="M928" s="9" t="n">
        <x:v>0.2130841121</x:v>
      </x:c>
      <x:c r="N928" s="10" t="n">
        <x:v>51569.1336573512</x:v>
      </x:c>
      <x:c r="O928" s="9" t="n">
        <x:v>-0.1503095064</x:v>
      </x:c>
      <x:c r="P928" s="9" t="n">
        <x:v>0.8133659332</x:v>
      </x:c>
      <x:c r="Q928" s="9" t="n">
        <x:v>0.6022819886</x:v>
      </x:c>
      <x:c r="R928" s="3" t="b">
        <x:v>0</x:v>
      </x:c>
      <x:c r="S928" s="3" t="b">
        <x:v>0</x:v>
      </x:c>
      <x:c r="T928" s="3" t="b">
        <x:v>0</x:v>
      </x:c>
      <x:c r="U928" s="2" t="str">
        <x:f>IF(T928=TRUE,"Priority review",IF(R928=TRUE,"High cost",IF(S928=TRUE,"Low quality","Benchmark")))</x:f>
        <x:v>Benchmark</x:v>
      </x:c>
    </x:row>
    <x:row r="929">
      <x:c r="A929" s="2" t="str">
        <x:v>370192</x:v>
      </x:c>
      <x:c r="B929" s="2" t="str">
        <x:v>NORTHWEST SURGICAL HOSPITAL</x:v>
      </x:c>
      <x:c r="C929" s="2" t="str">
        <x:v>OKLAHOMA CITY</x:v>
      </x:c>
      <x:c r="D929" s="2" t="str">
        <x:v>OK</x:v>
      </x:c>
      <x:c r="E929" s="2" t="str">
        <x:v>Acute Care Hospitals</x:v>
      </x:c>
      <x:c r="F929" s="2" t="str">
        <x:v>Other / unknown</x:v>
      </x:c>
      <x:c r="G929" s="2" t="str">
        <x:v>Small (&lt;100 beds)</x:v>
      </x:c>
      <x:c r="H929" s="7"/>
      <x:c r="I929" s="7"/>
      <x:c r="J929" s="7" t="n">
        <x:v>0.98</x:v>
      </x:c>
      <x:c r="K929" s="8" t="n">
        <x:v>9</x:v>
      </x:c>
      <x:c r="L929" s="8" t="n">
        <x:v>143</x:v>
      </x:c>
      <x:c r="M929" s="9" t="n">
        <x:v>0.0658773528</x:v>
      </x:c>
      <x:c r="N929" s="10" t="n">
        <x:v>98932.4125874126</x:v>
      </x:c>
      <x:c r="O929" s="9" t="n">
        <x:v>0.059487487</x:v>
      </x:c>
      <x:c r="P929" s="9" t="n">
        <x:v>0.8132854578</x:v>
      </x:c>
      <x:c r="Q929" s="9" t="n">
        <x:v>0.697486535</x:v>
      </x:c>
      <x:c r="R929" s="3" t="b">
        <x:v>0</x:v>
      </x:c>
      <x:c r="S929" s="3" t="b">
        <x:v>0</x:v>
      </x:c>
      <x:c r="T929" s="3" t="b">
        <x:v>0</x:v>
      </x:c>
      <x:c r="U929" s="2" t="str">
        <x:f>IF(T929=TRUE,"Priority review",IF(R929=TRUE,"High cost",IF(S929=TRUE,"Low quality","Benchmark")))</x:f>
        <x:v>Benchmark</x:v>
      </x:c>
    </x:row>
    <x:row r="930">
      <x:c r="A930" s="2" t="str">
        <x:v>501316</x:v>
      </x:c>
      <x:c r="B930" s="2" t="str">
        <x:v>KLICKITAT VALLEY HOSPITAL</x:v>
      </x:c>
      <x:c r="C930" s="2" t="str">
        <x:v>GOLDENDALE</x:v>
      </x:c>
      <x:c r="D930" s="2" t="str">
        <x:v>WA</x:v>
      </x:c>
      <x:c r="E930" s="2" t="str">
        <x:v>Critical Access Hospitals</x:v>
      </x:c>
      <x:c r="F930" s="2" t="str">
        <x:v>Government</x:v>
      </x:c>
      <x:c r="G930" s="2" t="str">
        <x:v>Small (&lt;100 beds)</x:v>
      </x:c>
      <x:c r="H930" s="7"/>
      <x:c r="I930" s="7"/>
      <x:c r="J930" s="7"/>
      <x:c r="K930" s="8" t="n">
        <x:v>16</x:v>
      </x:c>
      <x:c r="L930" s="8" t="n">
        <x:v>172</x:v>
      </x:c>
      <x:c r="M930" s="9" t="n">
        <x:v>0.2156762295</x:v>
      </x:c>
      <x:c r="N930" s="10" t="n">
        <x:v>246268.511627907</x:v>
      </x:c>
      <x:c r="O930" s="9" t="n">
        <x:v>-0.054770615</x:v>
      </x:c>
      <x:c r="P930" s="9" t="n">
        <x:v>0.8126394052</x:v>
      </x:c>
      <x:c r="Q930" s="9" t="n">
        <x:v>0.292936803</x:v>
      </x:c>
      <x:c r="R930" s="3" t="b">
        <x:v>0</x:v>
      </x:c>
      <x:c r="S930" s="3" t="b">
        <x:v>0</x:v>
      </x:c>
      <x:c r="T930" s="3" t="b">
        <x:v>0</x:v>
      </x:c>
      <x:c r="U930" s="2" t="str">
        <x:f>IF(T930=TRUE,"Priority review",IF(R930=TRUE,"High cost",IF(S930=TRUE,"Low quality","Benchmark")))</x:f>
        <x:v>Benchmark</x:v>
      </x:c>
    </x:row>
    <x:row r="931">
      <x:c r="A931" s="2" t="str">
        <x:v>300020</x:v>
      </x:c>
      <x:c r="B931" s="2" t="str">
        <x:v>SOUTHERN NH MEDICAL CENTER</x:v>
      </x:c>
      <x:c r="C931" s="2" t="str">
        <x:v>NASHUA</x:v>
      </x:c>
      <x:c r="D931" s="2" t="str">
        <x:v>NH</x:v>
      </x:c>
      <x:c r="E931" s="2" t="str">
        <x:v>Acute Care Hospitals</x:v>
      </x:c>
      <x:c r="F931" s="2" t="str">
        <x:v>Voluntary non-profit</x:v>
      </x:c>
      <x:c r="G931" s="2" t="str">
        <x:v>Medium (100-299 beds)</x:v>
      </x:c>
      <x:c r="H931" s="7" t="n">
        <x:v>2</x:v>
      </x:c>
      <x:c r="I931" s="7" t="n">
        <x:v>3</x:v>
      </x:c>
      <x:c r="J931" s="7" t="n">
        <x:v>0.98</x:v>
      </x:c>
      <x:c r="K931" s="8" t="n">
        <x:v>140</x:v>
      </x:c>
      <x:c r="L931" s="8" t="n">
        <x:v>7015</x:v>
      </x:c>
      <x:c r="M931" s="9" t="n">
        <x:v>0.6571037182</x:v>
      </x:c>
      <x:c r="N931" s="10" t="n">
        <x:v>51416.9392729865</x:v>
      </x:c>
      <x:c r="O931" s="9" t="n">
        <x:v>0.098171724</x:v>
      </x:c>
      <x:c r="P931" s="9" t="n">
        <x:v>0.8125509372</x:v>
      </x:c>
      <x:c r="Q931" s="9" t="n">
        <x:v>0.0782396088</x:v>
      </x:c>
      <x:c r="R931" s="3" t="b">
        <x:v>0</x:v>
      </x:c>
      <x:c r="S931" s="3" t="b">
        <x:v>1</x:v>
      </x:c>
      <x:c r="T931" s="3" t="b">
        <x:v>0</x:v>
      </x:c>
      <x:c r="U931" s="2" t="str">
        <x:f>IF(T931=TRUE,"Priority review",IF(R931=TRUE,"High cost",IF(S931=TRUE,"Low quality","Benchmark")))</x:f>
        <x:v>Low quality</x:v>
      </x:c>
    </x:row>
    <x:row r="932">
      <x:c r="A932" s="2" t="str">
        <x:v>360197</x:v>
      </x:c>
      <x:c r="B932" s="2" t="str">
        <x:v>MARY RUTAN HOSPITAL</x:v>
      </x:c>
      <x:c r="C932" s="2" t="str">
        <x:v>BELLEFONTAINE</x:v>
      </x:c>
      <x:c r="D932" s="2" t="str">
        <x:v>OH</x:v>
      </x:c>
      <x:c r="E932" s="2" t="str">
        <x:v>Acute Care Hospitals</x:v>
      </x:c>
      <x:c r="F932" s="2" t="str">
        <x:v>Voluntary non-profit</x:v>
      </x:c>
      <x:c r="G932" s="2" t="str">
        <x:v>Small (&lt;100 beds)</x:v>
      </x:c>
      <x:c r="H932" s="7" t="n">
        <x:v>4</x:v>
      </x:c>
      <x:c r="I932" s="7" t="n">
        <x:v>4</x:v>
      </x:c>
      <x:c r="J932" s="7" t="n">
        <x:v>0.98</x:v>
      </x:c>
      <x:c r="K932" s="8" t="n">
        <x:v>39</x:v>
      </x:c>
      <x:c r="L932" s="8" t="n">
        <x:v>1360</x:v>
      </x:c>
      <x:c r="M932" s="9" t="n">
        <x:v>0.2607538181</x:v>
      </x:c>
      <x:c r="N932" s="10" t="n">
        <x:v>98370.9705882353</x:v>
      </x:c>
      <x:c r="O932" s="9" t="n">
        <x:v>-0.0566936731</x:v>
      </x:c>
      <x:c r="P932" s="9" t="n">
        <x:v>0.8123877917</x:v>
      </x:c>
      <x:c r="Q932" s="9" t="n">
        <x:v>0.3913824057</x:v>
      </x:c>
      <x:c r="R932" s="3" t="b">
        <x:v>0</x:v>
      </x:c>
      <x:c r="S932" s="3" t="b">
        <x:v>0</x:v>
      </x:c>
      <x:c r="T932" s="3" t="b">
        <x:v>0</x:v>
      </x:c>
      <x:c r="U932" s="2" t="str">
        <x:f>IF(T932=TRUE,"Priority review",IF(R932=TRUE,"High cost",IF(S932=TRUE,"Low quality","Benchmark")))</x:f>
        <x:v>Benchmark</x:v>
      </x:c>
    </x:row>
    <x:row r="933">
      <x:c r="A933" s="2" t="str">
        <x:v>190036</x:v>
      </x:c>
      <x:c r="B933" s="2" t="str">
        <x:v>OCHSNER MEDICAL CENTER ACUTE</x:v>
      </x:c>
      <x:c r="C933" s="2" t="str">
        <x:v>NEW ORLEANS</x:v>
      </x:c>
      <x:c r="D933" s="2" t="str">
        <x:v>LA</x:v>
      </x:c>
      <x:c r="E933" s="2" t="str">
        <x:v>Acute Care Hospitals</x:v>
      </x:c>
      <x:c r="F933" s="2" t="str">
        <x:v>Voluntary non-profit</x:v>
      </x:c>
      <x:c r="G933" s="2" t="str">
        <x:v>Large (300+ beds)</x:v>
      </x:c>
      <x:c r="H933" s="7" t="n">
        <x:v>4</x:v>
      </x:c>
      <x:c r="I933" s="7" t="n">
        <x:v>3</x:v>
      </x:c>
      <x:c r="J933" s="7" t="n">
        <x:v>0.99</x:v>
      </x:c>
      <x:c r="K933" s="8" t="n">
        <x:v>895</x:v>
      </x:c>
      <x:c r="L933" s="8" t="n">
        <x:v>43349</x:v>
      </x:c>
      <x:c r="M933" s="9" t="n">
        <x:v>0.7488719968</x:v>
      </x:c>
      <x:c r="N933" s="10" t="n">
        <x:v>60827.7387252301</x:v>
      </x:c>
      <x:c r="O933" s="9" t="n">
        <x:v>-0.0479385898</x:v>
      </x:c>
      <x:c r="P933" s="9" t="n">
        <x:v>0.8123028391</x:v>
      </x:c>
      <x:c r="Q933" s="9" t="n">
        <x:v>0.5899053628</x:v>
      </x:c>
      <x:c r="R933" s="3" t="b">
        <x:v>0</x:v>
      </x:c>
      <x:c r="S933" s="3" t="b">
        <x:v>0</x:v>
      </x:c>
      <x:c r="T933" s="3" t="b">
        <x:v>0</x:v>
      </x:c>
      <x:c r="U933" s="2" t="str">
        <x:f>IF(T933=TRUE,"Priority review",IF(R933=TRUE,"High cost",IF(S933=TRUE,"Low quality","Benchmark")))</x:f>
        <x:v>Benchmark</x:v>
      </x:c>
    </x:row>
    <x:row r="934">
      <x:c r="A934" s="2" t="str">
        <x:v>054009</x:v>
      </x:c>
      <x:c r="B934" s="2" t="str">
        <x:v>RESNICK NEUROPSYCHIATRIC HOSPITAL AT UCLA</x:v>
      </x:c>
      <x:c r="C934" s="2" t="str">
        <x:v>LOS ANGELES</x:v>
      </x:c>
      <x:c r="D934" s="2" t="str">
        <x:v>CA</x:v>
      </x:c>
      <x:c r="E934" s="2" t="str">
        <x:v>Psychiatric</x:v>
      </x:c>
      <x:c r="F934" s="2" t="str">
        <x:v>Government</x:v>
      </x:c>
      <x:c r="G934" s="2" t="str">
        <x:v>Small (&lt;100 beds)</x:v>
      </x:c>
      <x:c r="H934" s="7"/>
      <x:c r="I934" s="7"/>
      <x:c r="J934" s="7"/>
      <x:c r="K934" s="8" t="n">
        <x:v>74</x:v>
      </x:c>
      <x:c r="L934" s="8" t="n">
        <x:v>1699</x:v>
      </x:c>
      <x:c r="M934" s="9" t="n">
        <x:v>0.8949278045</x:v>
      </x:c>
      <x:c r="N934" s="10" t="n">
        <x:v>55467.9340788699</x:v>
      </x:c>
      <x:c r="O934" s="9" t="n">
        <x:v>-0.3306785098</x:v>
      </x:c>
      <x:c r="P934" s="9" t="n">
        <x:v>0.8122977346</x:v>
      </x:c>
      <x:c r="Q934" s="9" t="n">
        <x:v>0</x:v>
      </x:c>
      <x:c r="R934" s="3" t="b">
        <x:v>0</x:v>
      </x:c>
      <x:c r="S934" s="3" t="b">
        <x:v>0</x:v>
      </x:c>
      <x:c r="T934" s="3" t="b">
        <x:v>0</x:v>
      </x:c>
      <x:c r="U934" s="2" t="str">
        <x:f>IF(T934=TRUE,"Priority review",IF(R934=TRUE,"High cost",IF(S934=TRUE,"Low quality","Benchmark")))</x:f>
        <x:v>Benchmark</x:v>
      </x:c>
    </x:row>
    <x:row r="935">
      <x:c r="A935" s="2" t="str">
        <x:v>451393</x:v>
      </x:c>
      <x:c r="B935" s="2" t="str">
        <x:v>CROCKETT MEDICAL CENTER</x:v>
      </x:c>
      <x:c r="C935" s="2" t="str">
        <x:v>CROCKETT</x:v>
      </x:c>
      <x:c r="D935" s="2" t="str">
        <x:v>TX</x:v>
      </x:c>
      <x:c r="E935" s="2" t="str">
        <x:v>Critical Access Hospitals</x:v>
      </x:c>
      <x:c r="F935" s="2" t="str">
        <x:v>Other / unknown</x:v>
      </x:c>
      <x:c r="G935" s="2" t="str">
        <x:v>Small (&lt;100 beds)</x:v>
      </x:c>
      <x:c r="H935" s="7"/>
      <x:c r="I935" s="7"/>
      <x:c r="J935" s="7"/>
      <x:c r="K935" s="8" t="n">
        <x:v>25</x:v>
      </x:c>
      <x:c r="L935" s="8" t="n">
        <x:v>57</x:v>
      </x:c>
      <x:c r="M935" s="9" t="n">
        <x:v>0.1479781421</x:v>
      </x:c>
      <x:c r="N935" s="10" t="n">
        <x:v>246019.947368421</x:v>
      </x:c>
      <x:c r="O935" s="9" t="n">
        <x:v>-0.0454238682</x:v>
      </x:c>
      <x:c r="P935" s="9" t="n">
        <x:v>0.8118959108</x:v>
      </x:c>
      <x:c r="Q935" s="9" t="n">
        <x:v>0.292936803</x:v>
      </x:c>
      <x:c r="R935" s="3" t="b">
        <x:v>0</x:v>
      </x:c>
      <x:c r="S935" s="3" t="b">
        <x:v>0</x:v>
      </x:c>
      <x:c r="T935" s="3" t="b">
        <x:v>0</x:v>
      </x:c>
      <x:c r="U935" s="2" t="str">
        <x:f>IF(T935=TRUE,"Priority review",IF(R935=TRUE,"High cost",IF(S935=TRUE,"Low quality","Benchmark")))</x:f>
        <x:v>Benchmark</x:v>
      </x:c>
    </x:row>
    <x:row r="936">
      <x:c r="A936" s="2" t="str">
        <x:v>050089</x:v>
      </x:c>
      <x:c r="B936" s="2" t="str">
        <x:v>COMMUNITY HOSPITAL OF SAN BERNARDINO</x:v>
      </x:c>
      <x:c r="C936" s="2" t="str">
        <x:v>SAN BERNARDINO</x:v>
      </x:c>
      <x:c r="D936" s="2" t="str">
        <x:v>CA</x:v>
      </x:c>
      <x:c r="E936" s="2" t="str">
        <x:v>Acute Care Hospitals</x:v>
      </x:c>
      <x:c r="F936" s="2" t="str">
        <x:v>Voluntary non-profit</x:v>
      </x:c>
      <x:c r="G936" s="2" t="str">
        <x:v>Medium (100-299 beds)</x:v>
      </x:c>
      <x:c r="H936" s="7" t="n">
        <x:v>3</x:v>
      </x:c>
      <x:c r="I936" s="7" t="n">
        <x:v>2</x:v>
      </x:c>
      <x:c r="J936" s="7" t="n">
        <x:v>1.16</x:v>
      </x:c>
      <x:c r="K936" s="8" t="n">
        <x:v>185</x:v>
      </x:c>
      <x:c r="L936" s="8" t="n">
        <x:v>6420</x:v>
      </x:c>
      <x:c r="M936" s="9" t="n">
        <x:v>0.3958942549</x:v>
      </x:c>
      <x:c r="N936" s="10" t="n">
        <x:v>51403.1995327103</x:v>
      </x:c>
      <x:c r="O936" s="9" t="n">
        <x:v>0.0203745568</x:v>
      </x:c>
      <x:c r="P936" s="9" t="n">
        <x:v>0.8117359413</x:v>
      </x:c>
      <x:c r="Q936" s="9" t="n">
        <x:v>0.3023634882</x:v>
      </x:c>
      <x:c r="R936" s="3" t="b">
        <x:v>0</x:v>
      </x:c>
      <x:c r="S936" s="3" t="b">
        <x:v>0</x:v>
      </x:c>
      <x:c r="T936" s="3" t="b">
        <x:v>0</x:v>
      </x:c>
      <x:c r="U936" s="2" t="str">
        <x:f>IF(T936=TRUE,"Priority review",IF(R936=TRUE,"High cost",IF(S936=TRUE,"Low quality","Benchmark")))</x:f>
        <x:v>Benchmark</x:v>
      </x:c>
    </x:row>
    <x:row r="937">
      <x:c r="A937" s="2" t="str">
        <x:v>520004</x:v>
      </x:c>
      <x:c r="B937" s="2" t="str">
        <x:v>MAYO CLINIC HEALTH SYSTEM-FRANCISCAN MEDICAL CENTER INC</x:v>
      </x:c>
      <x:c r="C937" s="2" t="str">
        <x:v>LA CROSSE</x:v>
      </x:c>
      <x:c r="D937" s="2" t="str">
        <x:v>WI</x:v>
      </x:c>
      <x:c r="E937" s="2" t="str">
        <x:v>Acute Care Hospitals</x:v>
      </x:c>
      <x:c r="F937" s="2" t="str">
        <x:v>Voluntary non-profit</x:v>
      </x:c>
      <x:c r="G937" s="2" t="str">
        <x:v>Small (&lt;100 beds)</x:v>
      </x:c>
      <x:c r="H937" s="7" t="n">
        <x:v>5</x:v>
      </x:c>
      <x:c r="I937" s="7" t="n">
        <x:v>5</x:v>
      </x:c>
      <x:c r="J937" s="7" t="n">
        <x:v>0.9</x:v>
      </x:c>
      <x:c r="K937" s="8" t="n">
        <x:v>88</x:v>
      </x:c>
      <x:c r="L937" s="8" t="n">
        <x:v>5188</x:v>
      </x:c>
      <x:c r="M937" s="9" t="n">
        <x:v>0.5541925201</x:v>
      </x:c>
      <x:c r="N937" s="10" t="n">
        <x:v>97980.7446029298</x:v>
      </x:c>
      <x:c r="O937" s="9" t="n">
        <x:v>-0.0998414709</x:v>
      </x:c>
      <x:c r="P937" s="9" t="n">
        <x:v>0.8114901257</x:v>
      </x:c>
      <x:c r="Q937" s="9" t="n">
        <x:v>0.6131059246</x:v>
      </x:c>
      <x:c r="R937" s="3" t="b">
        <x:v>0</x:v>
      </x:c>
      <x:c r="S937" s="3" t="b">
        <x:v>0</x:v>
      </x:c>
      <x:c r="T937" s="3" t="b">
        <x:v>0</x:v>
      </x:c>
      <x:c r="U937" s="2" t="str">
        <x:f>IF(T937=TRUE,"Priority review",IF(R937=TRUE,"High cost",IF(S937=TRUE,"Low quality","Benchmark")))</x:f>
        <x:v>Benchmark</x:v>
      </x:c>
    </x:row>
    <x:row r="938">
      <x:c r="A938" s="2" t="str">
        <x:v>171303</x:v>
      </x:c>
      <x:c r="B938" s="2" t="str">
        <x:v>LANE COUNTY HOSPITAL</x:v>
      </x:c>
      <x:c r="C938" s="2" t="str">
        <x:v>DIGHTON</x:v>
      </x:c>
      <x:c r="D938" s="2" t="str">
        <x:v>KS</x:v>
      </x:c>
      <x:c r="E938" s="2" t="str">
        <x:v>Critical Access Hospitals</x:v>
      </x:c>
      <x:c r="F938" s="2" t="str">
        <x:v>Government</x:v>
      </x:c>
      <x:c r="G938" s="2" t="str">
        <x:v>Small (&lt;100 beds)</x:v>
      </x:c>
      <x:c r="H938" s="7"/>
      <x:c r="I938" s="7"/>
      <x:c r="J938" s="7"/>
      <x:c r="K938" s="8" t="n">
        <x:v>25</x:v>
      </x:c>
      <x:c r="L938" s="8" t="n">
        <x:v>33</x:v>
      </x:c>
      <x:c r="M938" s="9" t="n">
        <x:v>0.7054644809</x:v>
      </x:c>
      <x:c r="N938" s="10" t="n">
        <x:v>245668.3333333333</x:v>
      </x:c>
      <x:c r="O938" s="9" t="n">
        <x:v>-0.2450473728</x:v>
      </x:c>
      <x:c r="P938" s="9" t="n">
        <x:v>0.8111524164</x:v>
      </x:c>
      <x:c r="Q938" s="9" t="n">
        <x:v>0.292936803</x:v>
      </x:c>
      <x:c r="R938" s="3" t="b">
        <x:v>0</x:v>
      </x:c>
      <x:c r="S938" s="3" t="b">
        <x:v>0</x:v>
      </x:c>
      <x:c r="T938" s="3" t="b">
        <x:v>0</x:v>
      </x:c>
      <x:c r="U938" s="2" t="str">
        <x:f>IF(T938=TRUE,"Priority review",IF(R938=TRUE,"High cost",IF(S938=TRUE,"Low quality","Benchmark")))</x:f>
        <x:v>Benchmark</x:v>
      </x:c>
    </x:row>
    <x:row r="939">
      <x:c r="A939" s="2" t="str">
        <x:v>134010</x:v>
      </x:c>
      <x:c r="B939" s="2" t="str">
        <x:v>STATE HOSPITAL SOUTH</x:v>
      </x:c>
      <x:c r="C939" s="2" t="str">
        <x:v>BLACKFOOT</x:v>
      </x:c>
      <x:c r="D939" s="2" t="str">
        <x:v>ID</x:v>
      </x:c>
      <x:c r="E939" s="2" t="str">
        <x:v>Psychiatric</x:v>
      </x:c>
      <x:c r="F939" s="2" t="str">
        <x:v>Government</x:v>
      </x:c>
      <x:c r="G939" s="2" t="str">
        <x:v>Medium (100-299 beds)</x:v>
      </x:c>
      <x:c r="H939" s="7"/>
      <x:c r="I939" s="7"/>
      <x:c r="J939" s="7"/>
      <x:c r="K939" s="8" t="n">
        <x:v>110</x:v>
      </x:c>
      <x:c r="L939" s="8" t="n">
        <x:v>619</x:v>
      </x:c>
      <x:c r="M939" s="9" t="n">
        <x:v>0.8806724782</x:v>
      </x:c>
      <x:c r="N939" s="10" t="n">
        <x:v>61347.1760904685</x:v>
      </x:c>
      <x:c r="O939" s="9" t="n">
        <x:v>-0.2729137212</x:v>
      </x:c>
      <x:c r="P939" s="9" t="n">
        <x:v>0.8109452736</x:v>
      </x:c>
      <x:c r="Q939" s="9" t="n">
        <x:v>0</x:v>
      </x:c>
      <x:c r="R939" s="3" t="b">
        <x:v>0</x:v>
      </x:c>
      <x:c r="S939" s="3" t="b">
        <x:v>0</x:v>
      </x:c>
      <x:c r="T939" s="3" t="b">
        <x:v>0</x:v>
      </x:c>
      <x:c r="U939" s="2" t="str">
        <x:f>IF(T939=TRUE,"Priority review",IF(R939=TRUE,"High cost",IF(S939=TRUE,"Low quality","Benchmark")))</x:f>
        <x:v>Benchmark</x:v>
      </x:c>
    </x:row>
    <x:row r="940">
      <x:c r="A940" s="2" t="str">
        <x:v>050334</x:v>
      </x:c>
      <x:c r="B940" s="2" t="str">
        <x:v>SALINAS VALLEY HEALTH MEDICAL CENTER</x:v>
      </x:c>
      <x:c r="C940" s="2" t="str">
        <x:v>SALINAS</x:v>
      </x:c>
      <x:c r="D940" s="2" t="str">
        <x:v>CA</x:v>
      </x:c>
      <x:c r="E940" s="2" t="str">
        <x:v>Acute Care Hospitals</x:v>
      </x:c>
      <x:c r="F940" s="2" t="str">
        <x:v>Voluntary non-profit</x:v>
      </x:c>
      <x:c r="G940" s="2" t="str">
        <x:v>Medium (100-299 beds)</x:v>
      </x:c>
      <x:c r="H940" s="7" t="n">
        <x:v>4</x:v>
      </x:c>
      <x:c r="I940" s="7" t="n">
        <x:v>4</x:v>
      </x:c>
      <x:c r="J940" s="7" t="n">
        <x:v>0.98</x:v>
      </x:c>
      <x:c r="K940" s="8" t="n">
        <x:v>192</x:v>
      </x:c>
      <x:c r="L940" s="8" t="n">
        <x:v>11970</x:v>
      </x:c>
      <x:c r="M940" s="9" t="n">
        <x:v>0.6202054795</x:v>
      </x:c>
      <x:c r="N940" s="10" t="n">
        <x:v>51318.92213868</x:v>
      </x:c>
      <x:c r="O940" s="9" t="n">
        <x:v>0.1219861967</x:v>
      </x:c>
      <x:c r="P940" s="9" t="n">
        <x:v>0.8109209454</x:v>
      </x:c>
      <x:c r="Q940" s="9" t="n">
        <x:v>0.6022819886</x:v>
      </x:c>
      <x:c r="R940" s="3" t="b">
        <x:v>0</x:v>
      </x:c>
      <x:c r="S940" s="3" t="b">
        <x:v>0</x:v>
      </x:c>
      <x:c r="T940" s="3" t="b">
        <x:v>0</x:v>
      </x:c>
      <x:c r="U940" s="2" t="str">
        <x:f>IF(T940=TRUE,"Priority review",IF(R940=TRUE,"High cost",IF(S940=TRUE,"Low quality","Benchmark")))</x:f>
        <x:v>Benchmark</x:v>
      </x:c>
    </x:row>
    <x:row r="941">
      <x:c r="A941" s="2" t="str">
        <x:v>330219</x:v>
      </x:c>
      <x:c r="B941" s="2" t="str">
        <x:v>ERIE COUNTY MEDICAL CENTER</x:v>
      </x:c>
      <x:c r="C941" s="2" t="str">
        <x:v>BUFFALO</x:v>
      </x:c>
      <x:c r="D941" s="2" t="str">
        <x:v>NY</x:v>
      </x:c>
      <x:c r="E941" s="2" t="str">
        <x:v>Acute Care Hospitals</x:v>
      </x:c>
      <x:c r="F941" s="2" t="str">
        <x:v>Voluntary non-profit</x:v>
      </x:c>
      <x:c r="G941" s="2" t="str">
        <x:v>Large (300+ beds)</x:v>
      </x:c>
      <x:c r="H941" s="7" t="n">
        <x:v>2</x:v>
      </x:c>
      <x:c r="I941" s="7" t="n">
        <x:v>3</x:v>
      </x:c>
      <x:c r="J941" s="7" t="n">
        <x:v>0.98</x:v>
      </x:c>
      <x:c r="K941" s="8" t="n">
        <x:v>410</x:v>
      </x:c>
      <x:c r="L941" s="8" t="n">
        <x:v>15096</x:v>
      </x:c>
      <x:c r="M941" s="9" t="n">
        <x:v>0.7500841808</x:v>
      </x:c>
      <x:c r="N941" s="10" t="n">
        <x:v>60804.0590885003</x:v>
      </x:c>
      <x:c r="O941" s="9" t="n">
        <x:v>-0.1557282458</x:v>
      </x:c>
      <x:c r="P941" s="9" t="n">
        <x:v>0.8107255521</x:v>
      </x:c>
      <x:c r="Q941" s="9" t="n">
        <x:v>0.0536277603</x:v>
      </x:c>
      <x:c r="R941" s="3" t="b">
        <x:v>0</x:v>
      </x:c>
      <x:c r="S941" s="3" t="b">
        <x:v>1</x:v>
      </x:c>
      <x:c r="T941" s="3" t="b">
        <x:v>0</x:v>
      </x:c>
      <x:c r="U941" s="2" t="str">
        <x:f>IF(T941=TRUE,"Priority review",IF(R941=TRUE,"High cost",IF(S941=TRUE,"Low quality","Benchmark")))</x:f>
        <x:v>Low quality</x:v>
      </x:c>
    </x:row>
    <x:row r="942">
      <x:c r="A942" s="2" t="str">
        <x:v>190208</x:v>
      </x:c>
      <x:c r="B942" s="2" t="str">
        <x:v>EAST CARROLL PARISH HOSPITAL</x:v>
      </x:c>
      <x:c r="C942" s="2" t="str">
        <x:v>LAKE PROVIDENCE</x:v>
      </x:c>
      <x:c r="D942" s="2" t="str">
        <x:v>LA</x:v>
      </x:c>
      <x:c r="E942" s="2" t="str">
        <x:v>Acute Care Hospitals</x:v>
      </x:c>
      <x:c r="F942" s="2" t="str">
        <x:v>Government</x:v>
      </x:c>
      <x:c r="G942" s="2" t="str">
        <x:v>Small (&lt;100 beds)</x:v>
      </x:c>
      <x:c r="H942" s="7"/>
      <x:c r="I942" s="7"/>
      <x:c r="J942" s="7" t="n">
        <x:v>0.93</x:v>
      </x:c>
      <x:c r="K942" s="8" t="n">
        <x:v>23</x:v>
      </x:c>
      <x:c r="L942" s="8" t="n">
        <x:v>179</x:v>
      </x:c>
      <x:c r="M942" s="9" t="n">
        <x:v>0.0799285289</x:v>
      </x:c>
      <x:c r="N942" s="10" t="n">
        <x:v>97957.9553072626</x:v>
      </x:c>
      <x:c r="O942" s="9" t="n">
        <x:v>-0.0670105787</x:v>
      </x:c>
      <x:c r="P942" s="9" t="n">
        <x:v>0.8105924596</x:v>
      </x:c>
      <x:c r="Q942" s="9" t="n">
        <x:v>0.697486535</x:v>
      </x:c>
      <x:c r="R942" s="3" t="b">
        <x:v>0</x:v>
      </x:c>
      <x:c r="S942" s="3" t="b">
        <x:v>0</x:v>
      </x:c>
      <x:c r="T942" s="3" t="b">
        <x:v>0</x:v>
      </x:c>
      <x:c r="U942" s="2" t="str">
        <x:f>IF(T942=TRUE,"Priority review",IF(R942=TRUE,"High cost",IF(S942=TRUE,"Low quality","Benchmark")))</x:f>
        <x:v>Benchmark</x:v>
      </x:c>
    </x:row>
    <x:row r="943">
      <x:c r="A943" s="2" t="str">
        <x:v>051338</x:v>
      </x:c>
      <x:c r="B943" s="2" t="str">
        <x:v>COALINGA REGIONAL MEDICAL CENTER</x:v>
      </x:c>
      <x:c r="C943" s="2" t="str">
        <x:v>COALINGA</x:v>
      </x:c>
      <x:c r="D943" s="2" t="str">
        <x:v>CA</x:v>
      </x:c>
      <x:c r="E943" s="2" t="str">
        <x:v>Critical Access Hospitals</x:v>
      </x:c>
      <x:c r="F943" s="2" t="str">
        <x:v>Government</x:v>
      </x:c>
      <x:c r="G943" s="2" t="str">
        <x:v>Small (&lt;100 beds)</x:v>
      </x:c>
      <x:c r="H943" s="7"/>
      <x:c r="I943" s="7"/>
      <x:c r="J943" s="7"/>
      <x:c r="K943" s="8" t="n">
        <x:v>24</x:v>
      </x:c>
      <x:c r="L943" s="8" t="n">
        <x:v>233</x:v>
      </x:c>
      <x:c r="M943" s="9" t="n">
        <x:v>0.5972222222</x:v>
      </x:c>
      <x:c r="N943" s="10" t="n">
        <x:v>245506.1673819743</x:v>
      </x:c>
      <x:c r="O943" s="9" t="n">
        <x:v>-0.444856401</x:v>
      </x:c>
      <x:c r="P943" s="9" t="n">
        <x:v>0.8104089219</x:v>
      </x:c>
      <x:c r="Q943" s="9" t="n">
        <x:v>0.292936803</x:v>
      </x:c>
      <x:c r="R943" s="3" t="b">
        <x:v>0</x:v>
      </x:c>
      <x:c r="S943" s="3" t="b">
        <x:v>0</x:v>
      </x:c>
      <x:c r="T943" s="3" t="b">
        <x:v>0</x:v>
      </x:c>
      <x:c r="U943" s="2" t="str">
        <x:f>IF(T943=TRUE,"Priority review",IF(R943=TRUE,"High cost",IF(S943=TRUE,"Low quality","Benchmark")))</x:f>
        <x:v>Benchmark</x:v>
      </x:c>
    </x:row>
    <x:row r="944">
      <x:c r="A944" s="2" t="str">
        <x:v>050760</x:v>
      </x:c>
      <x:c r="B944" s="2" t="str">
        <x:v>KAISER FOUNDATION HOSPITAL - ANTIOCH</x:v>
      </x:c>
      <x:c r="C944" s="2" t="str">
        <x:v>ANTIOCH</x:v>
      </x:c>
      <x:c r="D944" s="2" t="str">
        <x:v>CA</x:v>
      </x:c>
      <x:c r="E944" s="2" t="str">
        <x:v>Acute Care Hospitals</x:v>
      </x:c>
      <x:c r="F944" s="2" t="str">
        <x:v>Voluntary non-profit</x:v>
      </x:c>
      <x:c r="G944" s="2" t="str">
        <x:v>Medium (100-299 beds)</x:v>
      </x:c>
      <x:c r="H944" s="7" t="n">
        <x:v>1</x:v>
      </x:c>
      <x:c r="I944" s="7" t="n">
        <x:v>3</x:v>
      </x:c>
      <x:c r="J944" s="7" t="n">
        <x:v>0.97</x:v>
      </x:c>
      <x:c r="K944" s="8" t="n">
        <x:v>144</x:v>
      </x:c>
      <x:c r="L944" s="8" t="n">
        <x:v>9306</x:v>
      </x:c>
      <x:c r="M944" s="9" t="n">
        <x:v>0.6852990285</x:v>
      </x:c>
      <x:c r="N944" s="10" t="n">
        <x:v>51220.0412637008</x:v>
      </x:c>
      <x:c r="O944" s="9" t="n">
        <x:v>0.1221907678</x:v>
      </x:c>
      <x:c r="P944" s="9" t="n">
        <x:v>0.8101059495</x:v>
      </x:c>
      <x:c r="Q944" s="9" t="n">
        <x:v>0</x:v>
      </x:c>
      <x:c r="R944" s="3" t="b">
        <x:v>0</x:v>
      </x:c>
      <x:c r="S944" s="3" t="b">
        <x:v>1</x:v>
      </x:c>
      <x:c r="T944" s="3" t="b">
        <x:v>0</x:v>
      </x:c>
      <x:c r="U944" s="2" t="str">
        <x:f>IF(T944=TRUE,"Priority review",IF(R944=TRUE,"High cost",IF(S944=TRUE,"Low quality","Benchmark")))</x:f>
        <x:v>Low quality</x:v>
      </x:c>
    </x:row>
    <x:row r="945">
      <x:c r="A945" s="2" t="str">
        <x:v>110100</x:v>
      </x:c>
      <x:c r="B945" s="2" t="str">
        <x:v>JEFFERSON HOSPITAL</x:v>
      </x:c>
      <x:c r="C945" s="2" t="str">
        <x:v>LOUISVILLE</x:v>
      </x:c>
      <x:c r="D945" s="2" t="str">
        <x:v>GA</x:v>
      </x:c>
      <x:c r="E945" s="2" t="str">
        <x:v>Acute Care Hospitals</x:v>
      </x:c>
      <x:c r="F945" s="2" t="str">
        <x:v>Government</x:v>
      </x:c>
      <x:c r="G945" s="2" t="str">
        <x:v>Small (&lt;100 beds)</x:v>
      </x:c>
      <x:c r="H945" s="7"/>
      <x:c r="I945" s="7" t="n">
        <x:v>4</x:v>
      </x:c>
      <x:c r="J945" s="7"/>
      <x:c r="K945" s="8" t="n">
        <x:v>37</x:v>
      </x:c>
      <x:c r="L945" s="8" t="n">
        <x:v>210</x:v>
      </x:c>
      <x:c r="M945" s="9" t="n">
        <x:v>0.0530940777</x:v>
      </x:c>
      <x:c r="N945" s="10" t="n">
        <x:v>97904.919047619</x:v>
      </x:c>
      <x:c r="O945" s="9" t="n">
        <x:v>-0.4032270074</x:v>
      </x:c>
      <x:c r="P945" s="9" t="n">
        <x:v>0.8096947935</x:v>
      </x:c>
      <x:c r="Q945" s="9" t="n">
        <x:v>0.697486535</x:v>
      </x:c>
      <x:c r="R945" s="3" t="b">
        <x:v>0</x:v>
      </x:c>
      <x:c r="S945" s="3" t="b">
        <x:v>0</x:v>
      </x:c>
      <x:c r="T945" s="3" t="b">
        <x:v>0</x:v>
      </x:c>
      <x:c r="U945" s="2" t="str">
        <x:f>IF(T945=TRUE,"Priority review",IF(R945=TRUE,"High cost",IF(S945=TRUE,"Low quality","Benchmark")))</x:f>
        <x:v>Benchmark</x:v>
      </x:c>
    </x:row>
    <x:row r="946">
      <x:c r="A946" s="2" t="str">
        <x:v>451317</x:v>
      </x:c>
      <x:c r="B946" s="2" t="str">
        <x:v>REFUGIO COUNTY MEMORIAL HOSPITAL</x:v>
      </x:c>
      <x:c r="C946" s="2" t="str">
        <x:v>REFUGIO</x:v>
      </x:c>
      <x:c r="D946" s="2" t="str">
        <x:v>TX</x:v>
      </x:c>
      <x:c r="E946" s="2" t="str">
        <x:v>Critical Access Hospitals</x:v>
      </x:c>
      <x:c r="F946" s="2" t="str">
        <x:v>Government</x:v>
      </x:c>
      <x:c r="G946" s="2" t="str">
        <x:v>Small (&lt;100 beds)</x:v>
      </x:c>
      <x:c r="H946" s="7"/>
      <x:c r="I946" s="7"/>
      <x:c r="J946" s="7"/>
      <x:c r="K946" s="8" t="n">
        <x:v>20</x:v>
      </x:c>
      <x:c r="L946" s="8" t="n">
        <x:v>85</x:v>
      </x:c>
      <x:c r="M946" s="9" t="n">
        <x:v>0.1415300546</x:v>
      </x:c>
      <x:c r="N946" s="10" t="n">
        <x:v>245129.5411764706</x:v>
      </x:c>
      <x:c r="O946" s="9" t="n">
        <x:v>-0.6158265771</x:v>
      </x:c>
      <x:c r="P946" s="9" t="n">
        <x:v>0.8096654275</x:v>
      </x:c>
      <x:c r="Q946" s="9" t="n">
        <x:v>0.292936803</x:v>
      </x:c>
      <x:c r="R946" s="3" t="b">
        <x:v>0</x:v>
      </x:c>
      <x:c r="S946" s="3" t="b">
        <x:v>0</x:v>
      </x:c>
      <x:c r="T946" s="3" t="b">
        <x:v>0</x:v>
      </x:c>
      <x:c r="U946" s="2" t="str">
        <x:f>IF(T946=TRUE,"Priority review",IF(R946=TRUE,"High cost",IF(S946=TRUE,"Low quality","Benchmark")))</x:f>
        <x:v>Benchmark</x:v>
      </x:c>
    </x:row>
    <x:row r="947">
      <x:c r="A947" s="2" t="str">
        <x:v>050101</x:v>
      </x:c>
      <x:c r="B947" s="2" t="str">
        <x:v>SUTTER SOLANO MEDICAL CENTER</x:v>
      </x:c>
      <x:c r="C947" s="2" t="str">
        <x:v>VALLEJO</x:v>
      </x:c>
      <x:c r="D947" s="2" t="str">
        <x:v>CA</x:v>
      </x:c>
      <x:c r="E947" s="2" t="str">
        <x:v>Acute Care Hospitals</x:v>
      </x:c>
      <x:c r="F947" s="2" t="str">
        <x:v>Voluntary non-profit</x:v>
      </x:c>
      <x:c r="G947" s="2" t="str">
        <x:v>Medium (100-299 beds)</x:v>
      </x:c>
      <x:c r="H947" s="7" t="n">
        <x:v>3</x:v>
      </x:c>
      <x:c r="I947" s="7" t="n">
        <x:v>3</x:v>
      </x:c>
      <x:c r="J947" s="7" t="n">
        <x:v>1.03</x:v>
      </x:c>
      <x:c r="K947" s="8" t="n">
        <x:v>106</x:v>
      </x:c>
      <x:c r="L947" s="8" t="n">
        <x:v>3694</x:v>
      </x:c>
      <x:c r="M947" s="9" t="n">
        <x:v>0.4871120734</x:v>
      </x:c>
      <x:c r="N947" s="10" t="n">
        <x:v>51201.9899837574</x:v>
      </x:c>
      <x:c r="O947" s="9" t="n">
        <x:v>-0.0364877936</x:v>
      </x:c>
      <x:c r="P947" s="9" t="n">
        <x:v>0.8092909535</x:v>
      </x:c>
      <x:c r="Q947" s="9" t="n">
        <x:v>0.3023634882</x:v>
      </x:c>
      <x:c r="R947" s="3" t="b">
        <x:v>0</x:v>
      </x:c>
      <x:c r="S947" s="3" t="b">
        <x:v>0</x:v>
      </x:c>
      <x:c r="T947" s="3" t="b">
        <x:v>0</x:v>
      </x:c>
      <x:c r="U947" s="2" t="str">
        <x:f>IF(T947=TRUE,"Priority review",IF(R947=TRUE,"High cost",IF(S947=TRUE,"Low quality","Benchmark")))</x:f>
        <x:v>Benchmark</x:v>
      </x:c>
    </x:row>
    <x:row r="948">
      <x:c r="A948" s="2" t="str">
        <x:v>500129</x:v>
      </x:c>
      <x:c r="B948" s="2" t="str">
        <x:v>TACOMA GENERAL ALLENMORE HOSPITAL</x:v>
      </x:c>
      <x:c r="C948" s="2" t="str">
        <x:v>TACOMA</x:v>
      </x:c>
      <x:c r="D948" s="2" t="str">
        <x:v>WA</x:v>
      </x:c>
      <x:c r="E948" s="2" t="str">
        <x:v>Acute Care Hospitals</x:v>
      </x:c>
      <x:c r="F948" s="2" t="str">
        <x:v>Voluntary non-profit</x:v>
      </x:c>
      <x:c r="G948" s="2" t="str">
        <x:v>Large (300+ beds)</x:v>
      </x:c>
      <x:c r="H948" s="7" t="n">
        <x:v>2</x:v>
      </x:c>
      <x:c r="I948" s="7" t="n">
        <x:v>2</x:v>
      </x:c>
      <x:c r="J948" s="7" t="n">
        <x:v>0.92</x:v>
      </x:c>
      <x:c r="K948" s="8" t="n">
        <x:v>366</x:v>
      </x:c>
      <x:c r="L948" s="8" t="n">
        <x:v>24872</x:v>
      </x:c>
      <x:c r="M948" s="9" t="n">
        <x:v>0.8757950372</x:v>
      </x:c>
      <x:c r="N948" s="10" t="n">
        <x:v>60562.6980942425</x:v>
      </x:c>
      <x:c r="O948" s="9" t="n">
        <x:v>-0.0352427482</x:v>
      </x:c>
      <x:c r="P948" s="9" t="n">
        <x:v>0.809148265</x:v>
      </x:c>
      <x:c r="Q948" s="9" t="n">
        <x:v>0.0536277603</x:v>
      </x:c>
      <x:c r="R948" s="3" t="b">
        <x:v>0</x:v>
      </x:c>
      <x:c r="S948" s="3" t="b">
        <x:v>1</x:v>
      </x:c>
      <x:c r="T948" s="3" t="b">
        <x:v>0</x:v>
      </x:c>
      <x:c r="U948" s="2" t="str">
        <x:f>IF(T948=TRUE,"Priority review",IF(R948=TRUE,"High cost",IF(S948=TRUE,"Low quality","Benchmark")))</x:f>
        <x:v>Low quality</x:v>
      </x:c>
    </x:row>
    <x:row r="949">
      <x:c r="A949" s="2" t="str">
        <x:v>504009</x:v>
      </x:c>
      <x:c r="B949" s="2" t="str">
        <x:v>NAVOS - INPATIENT SERVICES</x:v>
      </x:c>
      <x:c r="C949" s="2" t="str">
        <x:v>SEATTLE</x:v>
      </x:c>
      <x:c r="D949" s="2" t="str">
        <x:v>WA</x:v>
      </x:c>
      <x:c r="E949" s="2" t="str">
        <x:v>Psychiatric</x:v>
      </x:c>
      <x:c r="F949" s="2" t="str">
        <x:v>Voluntary non-profit</x:v>
      </x:c>
      <x:c r="G949" s="2" t="str">
        <x:v>Small (&lt;100 beds)</x:v>
      </x:c>
      <x:c r="H949" s="7"/>
      <x:c r="I949" s="7"/>
      <x:c r="J949" s="7"/>
      <x:c r="K949" s="8" t="n">
        <x:v>70</x:v>
      </x:c>
      <x:c r="L949" s="8" t="n">
        <x:v>581</x:v>
      </x:c>
      <x:c r="M949" s="9" t="n">
        <x:v>0.8646370023</x:v>
      </x:c>
      <x:c r="N949" s="10" t="n">
        <x:v>51765.7056798623</x:v>
      </x:c>
      <x:c r="O949" s="9" t="n">
        <x:v>0.0432505301</x:v>
      </x:c>
      <x:c r="P949" s="9" t="n">
        <x:v>0.8090614887</x:v>
      </x:c>
      <x:c r="Q949" s="9" t="n">
        <x:v>0</x:v>
      </x:c>
      <x:c r="R949" s="3" t="b">
        <x:v>0</x:v>
      </x:c>
      <x:c r="S949" s="3" t="b">
        <x:v>0</x:v>
      </x:c>
      <x:c r="T949" s="3" t="b">
        <x:v>0</x:v>
      </x:c>
      <x:c r="U949" s="2" t="str">
        <x:f>IF(T949=TRUE,"Priority review",IF(R949=TRUE,"High cost",IF(S949=TRUE,"Low quality","Benchmark")))</x:f>
        <x:v>Benchmark</x:v>
      </x:c>
    </x:row>
    <x:row r="950">
      <x:c r="A950" s="2" t="str">
        <x:v>051303</x:v>
      </x:c>
      <x:c r="B950" s="2" t="str">
        <x:v>MAMMOTH HOSPITAL</x:v>
      </x:c>
      <x:c r="C950" s="2" t="str">
        <x:v>MAMMOTH LAKES</x:v>
      </x:c>
      <x:c r="D950" s="2" t="str">
        <x:v>CA</x:v>
      </x:c>
      <x:c r="E950" s="2" t="str">
        <x:v>Critical Access Hospitals</x:v>
      </x:c>
      <x:c r="F950" s="2" t="str">
        <x:v>Government</x:v>
      </x:c>
      <x:c r="G950" s="2" t="str">
        <x:v>Small (&lt;100 beds)</x:v>
      </x:c>
      <x:c r="H950" s="7"/>
      <x:c r="I950" s="7"/>
      <x:c r="J950" s="7"/>
      <x:c r="K950" s="8" t="n">
        <x:v>15</x:v>
      </x:c>
      <x:c r="L950" s="8" t="n">
        <x:v>439</x:v>
      </x:c>
      <x:c r="M950" s="9" t="n">
        <x:v>0.2173515982</x:v>
      </x:c>
      <x:c r="N950" s="10" t="n">
        <x:v>244572.4965831435</x:v>
      </x:c>
      <x:c r="O950" s="9" t="n">
        <x:v>0.0417933442</x:v>
      </x:c>
      <x:c r="P950" s="9" t="n">
        <x:v>0.8089219331</x:v>
      </x:c>
      <x:c r="Q950" s="9" t="n">
        <x:v>0.292936803</x:v>
      </x:c>
      <x:c r="R950" s="3" t="b">
        <x:v>0</x:v>
      </x:c>
      <x:c r="S950" s="3" t="b">
        <x:v>0</x:v>
      </x:c>
      <x:c r="T950" s="3" t="b">
        <x:v>0</x:v>
      </x:c>
      <x:c r="U950" s="2" t="str">
        <x:f>IF(T950=TRUE,"Priority review",IF(R950=TRUE,"High cost",IF(S950=TRUE,"Low quality","Benchmark")))</x:f>
        <x:v>Benchmark</x:v>
      </x:c>
    </x:row>
    <x:row r="951">
      <x:c r="A951" s="2" t="str">
        <x:v>170188</x:v>
      </x:c>
      <x:c r="B951" s="2" t="str">
        <x:v>KANSAS CITY ORTHOPAEDIC INSTITUTE</x:v>
      </x:c>
      <x:c r="C951" s="2" t="str">
        <x:v>LEAWOOD</x:v>
      </x:c>
      <x:c r="D951" s="2" t="str">
        <x:v>KS</x:v>
      </x:c>
      <x:c r="E951" s="2" t="str">
        <x:v>Acute Care Hospitals</x:v>
      </x:c>
      <x:c r="F951" s="2" t="str">
        <x:v>Other / unknown</x:v>
      </x:c>
      <x:c r="G951" s="2" t="str">
        <x:v>Small (&lt;100 beds)</x:v>
      </x:c>
      <x:c r="H951" s="7"/>
      <x:c r="I951" s="7" t="n">
        <x:v>5</x:v>
      </x:c>
      <x:c r="J951" s="7" t="n">
        <x:v>0.8</x:v>
      </x:c>
      <x:c r="K951" s="8" t="n">
        <x:v>17</x:v>
      </x:c>
      <x:c r="L951" s="8" t="n">
        <x:v>860</x:v>
      </x:c>
      <x:c r="M951" s="9" t="n">
        <x:v>0.2581163613</x:v>
      </x:c>
      <x:c r="N951" s="10" t="n">
        <x:v>97689.8546511628</x:v>
      </x:c>
      <x:c r="O951" s="9" t="n">
        <x:v>0.2122623736</x:v>
      </x:c>
      <x:c r="P951" s="9" t="n">
        <x:v>0.8087971275</x:v>
      </x:c>
      <x:c r="Q951" s="9" t="n">
        <x:v>0.697486535</x:v>
      </x:c>
      <x:c r="R951" s="3" t="b">
        <x:v>0</x:v>
      </x:c>
      <x:c r="S951" s="3" t="b">
        <x:v>0</x:v>
      </x:c>
      <x:c r="T951" s="3" t="b">
        <x:v>0</x:v>
      </x:c>
      <x:c r="U951" s="2" t="str">
        <x:f>IF(T951=TRUE,"Priority review",IF(R951=TRUE,"High cost",IF(S951=TRUE,"Low quality","Benchmark")))</x:f>
        <x:v>Benchmark</x:v>
      </x:c>
    </x:row>
    <x:row r="952">
      <x:c r="A952" s="2" t="str">
        <x:v>050689</x:v>
      </x:c>
      <x:c r="B952" s="2" t="str">
        <x:v>SAN RAMON REGIONAL MEDICAL CENTER</x:v>
      </x:c>
      <x:c r="C952" s="2" t="str">
        <x:v>SAN RAMON</x:v>
      </x:c>
      <x:c r="D952" s="2" t="str">
        <x:v>CA</x:v>
      </x:c>
      <x:c r="E952" s="2" t="str">
        <x:v>Acute Care Hospitals</x:v>
      </x:c>
      <x:c r="F952" s="2" t="str">
        <x:v>Proprietary</x:v>
      </x:c>
      <x:c r="G952" s="2" t="str">
        <x:v>Medium (100-299 beds)</x:v>
      </x:c>
      <x:c r="H952" s="7" t="n">
        <x:v>4</x:v>
      </x:c>
      <x:c r="I952" s="7" t="n">
        <x:v>3</x:v>
      </x:c>
      <x:c r="J952" s="7" t="n">
        <x:v>0.97</x:v>
      </x:c>
      <x:c r="K952" s="8" t="n">
        <x:v>123</x:v>
      </x:c>
      <x:c r="L952" s="8" t="n">
        <x:v>3511</x:v>
      </x:c>
      <x:c r="M952" s="9" t="n">
        <x:v>0.3423098341</x:v>
      </x:c>
      <x:c r="N952" s="10" t="n">
        <x:v>51197.6775847337</x:v>
      </x:c>
      <x:c r="O952" s="9" t="n">
        <x:v>-0.0171264691</x:v>
      </x:c>
      <x:c r="P952" s="9" t="n">
        <x:v>0.8084759576</x:v>
      </x:c>
      <x:c r="Q952" s="9" t="n">
        <x:v>0.6022819886</x:v>
      </x:c>
      <x:c r="R952" s="3" t="b">
        <x:v>0</x:v>
      </x:c>
      <x:c r="S952" s="3" t="b">
        <x:v>0</x:v>
      </x:c>
      <x:c r="T952" s="3" t="b">
        <x:v>0</x:v>
      </x:c>
      <x:c r="U952" s="2" t="str">
        <x:f>IF(T952=TRUE,"Priority review",IF(R952=TRUE,"High cost",IF(S952=TRUE,"Low quality","Benchmark")))</x:f>
        <x:v>Benchmark</x:v>
      </x:c>
    </x:row>
    <x:row r="953">
      <x:c r="A953" s="2" t="str">
        <x:v>111312</x:v>
      </x:c>
      <x:c r="B953" s="2" t="str">
        <x:v>OPTIM MEDICAL CENTER - SCREVEN</x:v>
      </x:c>
      <x:c r="C953" s="2" t="str">
        <x:v>SYLVANIA</x:v>
      </x:c>
      <x:c r="D953" s="2" t="str">
        <x:v>GA</x:v>
      </x:c>
      <x:c r="E953" s="2" t="str">
        <x:v>Critical Access Hospitals</x:v>
      </x:c>
      <x:c r="F953" s="2" t="str">
        <x:v>Proprietary</x:v>
      </x:c>
      <x:c r="G953" s="2" t="str">
        <x:v>Small (&lt;100 beds)</x:v>
      </x:c>
      <x:c r="H953" s="7"/>
      <x:c r="I953" s="7"/>
      <x:c r="J953" s="7"/>
      <x:c r="K953" s="8" t="n">
        <x:v>25</x:v>
      </x:c>
      <x:c r="L953" s="8" t="n">
        <x:v>61</x:v>
      </x:c>
      <x:c r="M953" s="9" t="n">
        <x:v>0.2196721311</x:v>
      </x:c>
      <x:c r="N953" s="10" t="n">
        <x:v>244285.4098360656</x:v>
      </x:c>
      <x:c r="O953" s="9" t="n">
        <x:v>0.1308535919</x:v>
      </x:c>
      <x:c r="P953" s="9" t="n">
        <x:v>0.8081784387</x:v>
      </x:c>
      <x:c r="Q953" s="9" t="n">
        <x:v>0.292936803</x:v>
      </x:c>
      <x:c r="R953" s="3" t="b">
        <x:v>0</x:v>
      </x:c>
      <x:c r="S953" s="3" t="b">
        <x:v>0</x:v>
      </x:c>
      <x:c r="T953" s="3" t="b">
        <x:v>0</x:v>
      </x:c>
      <x:c r="U953" s="2" t="str">
        <x:f>IF(T953=TRUE,"Priority review",IF(R953=TRUE,"High cost",IF(S953=TRUE,"Low quality","Benchmark")))</x:f>
        <x:v>Benchmark</x:v>
      </x:c>
    </x:row>
    <x:row r="954">
      <x:c r="A954" s="2" t="str">
        <x:v>420019</x:v>
      </x:c>
      <x:c r="B954" s="2" t="str">
        <x:v>MUSC HEALTH CHESTER MEDICAL CENTER</x:v>
      </x:c>
      <x:c r="C954" s="2" t="str">
        <x:v>CHESTER</x:v>
      </x:c>
      <x:c r="D954" s="2" t="str">
        <x:v>SC</x:v>
      </x:c>
      <x:c r="E954" s="2" t="str">
        <x:v>Acute Care Hospitals</x:v>
      </x:c>
      <x:c r="F954" s="2" t="str">
        <x:v>Proprietary</x:v>
      </x:c>
      <x:c r="G954" s="2" t="str">
        <x:v>Small (&lt;100 beds)</x:v>
      </x:c>
      <x:c r="H954" s="7"/>
      <x:c r="I954" s="7" t="n">
        <x:v>3</x:v>
      </x:c>
      <x:c r="J954" s="7" t="n">
        <x:v>1.03</x:v>
      </x:c>
      <x:c r="K954" s="8" t="n">
        <x:v>33</x:v>
      </x:c>
      <x:c r="L954" s="8" t="n">
        <x:v>821</x:v>
      </x:c>
      <x:c r="M954" s="9" t="n">
        <x:v>0.2353673724</x:v>
      </x:c>
      <x:c r="N954" s="10" t="n">
        <x:v>97366.4019488429</x:v>
      </x:c>
      <x:c r="O954" s="9" t="n">
        <x:v>-0.1575936518</x:v>
      </x:c>
      <x:c r="P954" s="9" t="n">
        <x:v>0.8078994614</x:v>
      </x:c>
      <x:c r="Q954" s="9" t="n">
        <x:v>0.697486535</x:v>
      </x:c>
      <x:c r="R954" s="3" t="b">
        <x:v>0</x:v>
      </x:c>
      <x:c r="S954" s="3" t="b">
        <x:v>0</x:v>
      </x:c>
      <x:c r="T954" s="3" t="b">
        <x:v>0</x:v>
      </x:c>
      <x:c r="U954" s="2" t="str">
        <x:f>IF(T954=TRUE,"Priority review",IF(R954=TRUE,"High cost",IF(S954=TRUE,"Low quality","Benchmark")))</x:f>
        <x:v>Benchmark</x:v>
      </x:c>
    </x:row>
    <x:row r="955">
      <x:c r="A955" s="2" t="str">
        <x:v>420065</x:v>
      </x:c>
      <x:c r="B955" s="2" t="str">
        <x:v>BON SECOURS-ST FRANCIS XAVIER HOSPITAL</x:v>
      </x:c>
      <x:c r="C955" s="2" t="str">
        <x:v>CHARLESTON</x:v>
      </x:c>
      <x:c r="D955" s="2" t="str">
        <x:v>SC</x:v>
      </x:c>
      <x:c r="E955" s="2" t="str">
        <x:v>Acute Care Hospitals</x:v>
      </x:c>
      <x:c r="F955" s="2" t="str">
        <x:v>Voluntary non-profit</x:v>
      </x:c>
      <x:c r="G955" s="2" t="str">
        <x:v>Medium (100-299 beds)</x:v>
      </x:c>
      <x:c r="H955" s="7" t="n">
        <x:v>3</x:v>
      </x:c>
      <x:c r="I955" s="7" t="n">
        <x:v>4</x:v>
      </x:c>
      <x:c r="J955" s="7" t="n">
        <x:v>1.01</x:v>
      </x:c>
      <x:c r="K955" s="8" t="n">
        <x:v>139</x:v>
      </x:c>
      <x:c r="L955" s="8" t="n">
        <x:v>9733</x:v>
      </x:c>
      <x:c r="M955" s="9" t="n">
        <x:v>0.8163305421</x:v>
      </x:c>
      <x:c r="N955" s="10" t="n">
        <x:v>51018.2407274222</x:v>
      </x:c>
      <x:c r="O955" s="9" t="n">
        <x:v>0.0758034975</x:v>
      </x:c>
      <x:c r="P955" s="9" t="n">
        <x:v>0.8076609617</x:v>
      </x:c>
      <x:c r="Q955" s="9" t="n">
        <x:v>0.3023634882</x:v>
      </x:c>
      <x:c r="R955" s="3" t="b">
        <x:v>0</x:v>
      </x:c>
      <x:c r="S955" s="3" t="b">
        <x:v>0</x:v>
      </x:c>
      <x:c r="T955" s="3" t="b">
        <x:v>0</x:v>
      </x:c>
      <x:c r="U955" s="2" t="str">
        <x:f>IF(T955=TRUE,"Priority review",IF(R955=TRUE,"High cost",IF(S955=TRUE,"Low quality","Benchmark")))</x:f>
        <x:v>Benchmark</x:v>
      </x:c>
    </x:row>
    <x:row r="956">
      <x:c r="A956" s="2" t="str">
        <x:v>490007</x:v>
      </x:c>
      <x:c r="B956" s="2" t="str">
        <x:v>SENTARA NORFOLK GENERAL HOSPITAL</x:v>
      </x:c>
      <x:c r="C956" s="2" t="str">
        <x:v>NORFOLK</x:v>
      </x:c>
      <x:c r="D956" s="2" t="str">
        <x:v>VA</x:v>
      </x:c>
      <x:c r="E956" s="2" t="str">
        <x:v>Acute Care Hospitals</x:v>
      </x:c>
      <x:c r="F956" s="2" t="str">
        <x:v>Voluntary non-profit</x:v>
      </x:c>
      <x:c r="G956" s="2" t="str">
        <x:v>Large (300+ beds)</x:v>
      </x:c>
      <x:c r="H956" s="7" t="n">
        <x:v>4</x:v>
      </x:c>
      <x:c r="I956" s="7" t="n">
        <x:v>3</x:v>
      </x:c>
      <x:c r="J956" s="7" t="n">
        <x:v>0.97</x:v>
      </x:c>
      <x:c r="K956" s="8" t="n">
        <x:v>481</x:v>
      </x:c>
      <x:c r="L956" s="8" t="n">
        <x:v>26766</x:v>
      </x:c>
      <x:c r="M956" s="9" t="n">
        <x:v>1.0017154607</x:v>
      </x:c>
      <x:c r="N956" s="10" t="n">
        <x:v>60317.5849585295</x:v>
      </x:c>
      <x:c r="O956" s="9" t="n">
        <x:v>0.1176383929</x:v>
      </x:c>
      <x:c r="P956" s="9" t="n">
        <x:v>0.8075709779</x:v>
      </x:c>
      <x:c r="Q956" s="9" t="n">
        <x:v>0.5899053628</x:v>
      </x:c>
      <x:c r="R956" s="3" t="b">
        <x:v>0</x:v>
      </x:c>
      <x:c r="S956" s="3" t="b">
        <x:v>0</x:v>
      </x:c>
      <x:c r="T956" s="3" t="b">
        <x:v>0</x:v>
      </x:c>
      <x:c r="U956" s="2" t="str">
        <x:f>IF(T956=TRUE,"Priority review",IF(R956=TRUE,"High cost",IF(S956=TRUE,"Low quality","Benchmark")))</x:f>
        <x:v>Benchmark</x:v>
      </x:c>
    </x:row>
    <x:row r="957">
      <x:c r="A957" s="2" t="str">
        <x:v>011304</x:v>
      </x:c>
      <x:c r="B957" s="2" t="str">
        <x:v>OCHSNER CHOCTAW GENERAL</x:v>
      </x:c>
      <x:c r="C957" s="2" t="str">
        <x:v>BUTLER</x:v>
      </x:c>
      <x:c r="D957" s="2" t="str">
        <x:v>AL</x:v>
      </x:c>
      <x:c r="E957" s="2" t="str">
        <x:v>Critical Access Hospitals</x:v>
      </x:c>
      <x:c r="F957" s="2" t="str">
        <x:v>Voluntary non-profit</x:v>
      </x:c>
      <x:c r="G957" s="2" t="str">
        <x:v>Small (&lt;100 beds)</x:v>
      </x:c>
      <x:c r="H957" s="7"/>
      <x:c r="I957" s="7"/>
      <x:c r="J957" s="7"/>
      <x:c r="K957" s="8" t="n">
        <x:v>25</x:v>
      </x:c>
      <x:c r="L957" s="8" t="n">
        <x:v>80</x:v>
      </x:c>
      <x:c r="M957" s="9" t="n">
        <x:v>0.2442622951</x:v>
      </x:c>
      <x:c r="N957" s="10" t="n">
        <x:v>242826.95</x:v>
      </x:c>
      <x:c r="O957" s="9" t="n">
        <x:v>0.0612696629</x:v>
      </x:c>
      <x:c r="P957" s="9" t="n">
        <x:v>0.8074349442</x:v>
      </x:c>
      <x:c r="Q957" s="9" t="n">
        <x:v>0.292936803</x:v>
      </x:c>
      <x:c r="R957" s="3" t="b">
        <x:v>0</x:v>
      </x:c>
      <x:c r="S957" s="3" t="b">
        <x:v>0</x:v>
      </x:c>
      <x:c r="T957" s="3" t="b">
        <x:v>0</x:v>
      </x:c>
      <x:c r="U957" s="2" t="str">
        <x:f>IF(T957=TRUE,"Priority review",IF(R957=TRUE,"High cost",IF(S957=TRUE,"Low quality","Benchmark")))</x:f>
        <x:v>Benchmark</x:v>
      </x:c>
    </x:row>
    <x:row r="958">
      <x:c r="A958" s="2" t="str">
        <x:v>390333</x:v>
      </x:c>
      <x:c r="B958" s="2" t="str">
        <x:v>AHN EMERUS WESTMORELAND, LLC</x:v>
      </x:c>
      <x:c r="C958" s="2" t="str">
        <x:v>GREENSBURG</x:v>
      </x:c>
      <x:c r="D958" s="2" t="str">
        <x:v>PA</x:v>
      </x:c>
      <x:c r="E958" s="2" t="str">
        <x:v>Acute Care Hospitals</x:v>
      </x:c>
      <x:c r="F958" s="2" t="str">
        <x:v>Proprietary</x:v>
      </x:c>
      <x:c r="G958" s="2" t="str">
        <x:v>Small (&lt;100 beds)</x:v>
      </x:c>
      <x:c r="H958" s="7"/>
      <x:c r="I958" s="7" t="n">
        <x:v>4</x:v>
      </x:c>
      <x:c r="J958" s="7" t="n">
        <x:v>0.62</x:v>
      </x:c>
      <x:c r="K958" s="8" t="n">
        <x:v>40</x:v>
      </x:c>
      <x:c r="L958" s="8" t="n">
        <x:v>530</x:v>
      </x:c>
      <x:c r="M958" s="9" t="n">
        <x:v>0.097260274</x:v>
      </x:c>
      <x:c r="N958" s="10" t="n">
        <x:v>96876.879245283</x:v>
      </x:c>
      <x:c r="O958" s="9" t="n">
        <x:v>0.0788221079</x:v>
      </x:c>
      <x:c r="P958" s="9" t="n">
        <x:v>0.8070017953</x:v>
      </x:c>
      <x:c r="Q958" s="9" t="n">
        <x:v>0.697486535</x:v>
      </x:c>
      <x:c r="R958" s="3" t="b">
        <x:v>0</x:v>
      </x:c>
      <x:c r="S958" s="3" t="b">
        <x:v>0</x:v>
      </x:c>
      <x:c r="T958" s="3" t="b">
        <x:v>0</x:v>
      </x:c>
      <x:c r="U958" s="2" t="str">
        <x:f>IF(T958=TRUE,"Priority review",IF(R958=TRUE,"High cost",IF(S958=TRUE,"Low quality","Benchmark")))</x:f>
        <x:v>Benchmark</x:v>
      </x:c>
    </x:row>
    <x:row r="959">
      <x:c r="A959" s="2" t="str">
        <x:v>030055</x:v>
      </x:c>
      <x:c r="B959" s="2" t="str">
        <x:v>KINGMAN REGIONAL MEDICAL CENTER</x:v>
      </x:c>
      <x:c r="C959" s="2" t="str">
        <x:v>KINGMAN</x:v>
      </x:c>
      <x:c r="D959" s="2" t="str">
        <x:v>AZ</x:v>
      </x:c>
      <x:c r="E959" s="2" t="str">
        <x:v>Acute Care Hospitals</x:v>
      </x:c>
      <x:c r="F959" s="2" t="str">
        <x:v>Government</x:v>
      </x:c>
      <x:c r="G959" s="2" t="str">
        <x:v>Medium (100-299 beds)</x:v>
      </x:c>
      <x:c r="H959" s="7" t="n">
        <x:v>3</x:v>
      </x:c>
      <x:c r="I959" s="7" t="n">
        <x:v>3</x:v>
      </x:c>
      <x:c r="J959" s="7" t="n">
        <x:v>0.88</x:v>
      </x:c>
      <x:c r="K959" s="8" t="n">
        <x:v>196</x:v>
      </x:c>
      <x:c r="L959" s="8" t="n">
        <x:v>8022</x:v>
      </x:c>
      <x:c r="M959" s="9" t="n">
        <x:v>0.4990774392</x:v>
      </x:c>
      <x:c r="N959" s="10" t="n">
        <x:v>50929.1128147594</x:v>
      </x:c>
      <x:c r="O959" s="9" t="n">
        <x:v>-0.042570057</x:v>
      </x:c>
      <x:c r="P959" s="9" t="n">
        <x:v>0.8068459658</x:v>
      </x:c>
      <x:c r="Q959" s="9" t="n">
        <x:v>0.3023634882</x:v>
      </x:c>
      <x:c r="R959" s="3" t="b">
        <x:v>0</x:v>
      </x:c>
      <x:c r="S959" s="3" t="b">
        <x:v>0</x:v>
      </x:c>
      <x:c r="T959" s="3" t="b">
        <x:v>0</x:v>
      </x:c>
      <x:c r="U959" s="2" t="str">
        <x:f>IF(T959=TRUE,"Priority review",IF(R959=TRUE,"High cost",IF(S959=TRUE,"Low quality","Benchmark")))</x:f>
        <x:v>Benchmark</x:v>
      </x:c>
    </x:row>
    <x:row r="960">
      <x:c r="A960" s="2" t="str">
        <x:v>061314</x:v>
      </x:c>
      <x:c r="B960" s="2" t="str">
        <x:v>MEMORIAL HOSPITAL, THE</x:v>
      </x:c>
      <x:c r="C960" s="2" t="str">
        <x:v>CRAIG</x:v>
      </x:c>
      <x:c r="D960" s="2" t="str">
        <x:v>CO</x:v>
      </x:c>
      <x:c r="E960" s="2" t="str">
        <x:v>Critical Access Hospitals</x:v>
      </x:c>
      <x:c r="F960" s="2" t="str">
        <x:v>Government</x:v>
      </x:c>
      <x:c r="G960" s="2" t="str">
        <x:v>Small (&lt;100 beds)</x:v>
      </x:c>
      <x:c r="H960" s="7"/>
      <x:c r="I960" s="7"/>
      <x:c r="J960" s="7"/>
      <x:c r="K960" s="8" t="n">
        <x:v>25</x:v>
      </x:c>
      <x:c r="L960" s="8" t="n">
        <x:v>317</x:v>
      </x:c>
      <x:c r="M960" s="9" t="n">
        <x:v>0.1556284153</x:v>
      </x:c>
      <x:c r="N960" s="10" t="n">
        <x:v>242465.5425867508</x:v>
      </x:c>
      <x:c r="O960" s="9" t="n">
        <x:v>0.0385349319</x:v>
      </x:c>
      <x:c r="P960" s="9" t="n">
        <x:v>0.8066914498</x:v>
      </x:c>
      <x:c r="Q960" s="9" t="n">
        <x:v>0.292936803</x:v>
      </x:c>
      <x:c r="R960" s="3" t="b">
        <x:v>0</x:v>
      </x:c>
      <x:c r="S960" s="3" t="b">
        <x:v>0</x:v>
      </x:c>
      <x:c r="T960" s="3" t="b">
        <x:v>0</x:v>
      </x:c>
      <x:c r="U960" s="2" t="str">
        <x:f>IF(T960=TRUE,"Priority review",IF(R960=TRUE,"High cost",IF(S960=TRUE,"Low quality","Benchmark")))</x:f>
        <x:v>Benchmark</x:v>
      </x:c>
    </x:row>
    <x:row r="961">
      <x:c r="A961" s="2" t="str">
        <x:v>370203</x:v>
      </x:c>
      <x:c r="B961" s="2" t="str">
        <x:v>COMMUNITY HOSPITAL, LLC</x:v>
      </x:c>
      <x:c r="C961" s="2" t="str">
        <x:v>OKLAHOMA CITY</x:v>
      </x:c>
      <x:c r="D961" s="2" t="str">
        <x:v>OK</x:v>
      </x:c>
      <x:c r="E961" s="2" t="str">
        <x:v>Acute Care Hospitals</x:v>
      </x:c>
      <x:c r="F961" s="2" t="str">
        <x:v>Other / unknown</x:v>
      </x:c>
      <x:c r="G961" s="2" t="str">
        <x:v>Small (&lt;100 beds)</x:v>
      </x:c>
      <x:c r="H961" s="7" t="n">
        <x:v>4</x:v>
      </x:c>
      <x:c r="I961" s="7" t="n">
        <x:v>4</x:v>
      </x:c>
      <x:c r="J961" s="7" t="n">
        <x:v>1.04</x:v>
      </x:c>
      <x:c r="K961" s="8" t="n">
        <x:v>45</x:v>
      </x:c>
      <x:c r="L961" s="8" t="n">
        <x:v>1261</x:v>
      </x:c>
      <x:c r="M961" s="9" t="n">
        <x:v>0.189435337</x:v>
      </x:c>
      <x:c r="N961" s="10" t="n">
        <x:v>96538.030927835</x:v>
      </x:c>
      <x:c r="O961" s="9" t="n">
        <x:v>0.2306364468</x:v>
      </x:c>
      <x:c r="P961" s="9" t="n">
        <x:v>0.8061041293</x:v>
      </x:c>
      <x:c r="Q961" s="9" t="n">
        <x:v>0.3913824057</x:v>
      </x:c>
      <x:c r="R961" s="3" t="b">
        <x:v>0</x:v>
      </x:c>
      <x:c r="S961" s="3" t="b">
        <x:v>0</x:v>
      </x:c>
      <x:c r="T961" s="3" t="b">
        <x:v>0</x:v>
      </x:c>
      <x:c r="U961" s="2" t="str">
        <x:f>IF(T961=TRUE,"Priority review",IF(R961=TRUE,"High cost",IF(S961=TRUE,"Low quality","Benchmark")))</x:f>
        <x:v>Benchmark</x:v>
      </x:c>
    </x:row>
    <x:row r="962">
      <x:c r="A962" s="2" t="str">
        <x:v>050690</x:v>
      </x:c>
      <x:c r="B962" s="2" t="str">
        <x:v>KAISER FOUNDATION HOSPITAL-SANTA ROSA</x:v>
      </x:c>
      <x:c r="C962" s="2" t="str">
        <x:v>SANTA ROSA</x:v>
      </x:c>
      <x:c r="D962" s="2" t="str">
        <x:v>CA</x:v>
      </x:c>
      <x:c r="E962" s="2" t="str">
        <x:v>Acute Care Hospitals</x:v>
      </x:c>
      <x:c r="F962" s="2" t="str">
        <x:v>Voluntary non-profit</x:v>
      </x:c>
      <x:c r="G962" s="2" t="str">
        <x:v>Medium (100-299 beds)</x:v>
      </x:c>
      <x:c r="H962" s="7" t="n">
        <x:v>3</x:v>
      </x:c>
      <x:c r="I962" s="7" t="n">
        <x:v>3</x:v>
      </x:c>
      <x:c r="J962" s="7" t="n">
        <x:v>0.88</x:v>
      </x:c>
      <x:c r="K962" s="8" t="n">
        <x:v>172</x:v>
      </x:c>
      <x:c r="L962" s="8" t="n">
        <x:v>10046</x:v>
      </x:c>
      <x:c r="M962" s="9" t="n">
        <x:v>0.6382481891</x:v>
      </x:c>
      <x:c r="N962" s="10" t="n">
        <x:v>50853.1390603225</x:v>
      </x:c>
      <x:c r="O962" s="9" t="n">
        <x:v>0.0278506448</x:v>
      </x:c>
      <x:c r="P962" s="9" t="n">
        <x:v>0.8060309698</x:v>
      </x:c>
      <x:c r="Q962" s="9" t="n">
        <x:v>0.3023634882</x:v>
      </x:c>
      <x:c r="R962" s="3" t="b">
        <x:v>0</x:v>
      </x:c>
      <x:c r="S962" s="3" t="b">
        <x:v>0</x:v>
      </x:c>
      <x:c r="T962" s="3" t="b">
        <x:v>0</x:v>
      </x:c>
      <x:c r="U962" s="2" t="str">
        <x:f>IF(T962=TRUE,"Priority review",IF(R962=TRUE,"High cost",IF(S962=TRUE,"Low quality","Benchmark")))</x:f>
        <x:v>Benchmark</x:v>
      </x:c>
    </x:row>
    <x:row r="963">
      <x:c r="A963" s="2" t="str">
        <x:v>100008</x:v>
      </x:c>
      <x:c r="B963" s="2" t="str">
        <x:v>BAPTIST HOSPITAL OF MIAMI</x:v>
      </x:c>
      <x:c r="C963" s="2" t="str">
        <x:v>MIAMI</x:v>
      </x:c>
      <x:c r="D963" s="2" t="str">
        <x:v>FL</x:v>
      </x:c>
      <x:c r="E963" s="2" t="str">
        <x:v>Acute Care Hospitals</x:v>
      </x:c>
      <x:c r="F963" s="2" t="str">
        <x:v>Voluntary non-profit</x:v>
      </x:c>
      <x:c r="G963" s="2" t="str">
        <x:v>Large (300+ beds)</x:v>
      </x:c>
      <x:c r="H963" s="7" t="n">
        <x:v>5</x:v>
      </x:c>
      <x:c r="I963" s="7" t="n">
        <x:v>3</x:v>
      </x:c>
      <x:c r="J963" s="7" t="n">
        <x:v>1.02</x:v>
      </x:c>
      <x:c r="K963" s="8" t="n">
        <x:v>690</x:v>
      </x:c>
      <x:c r="L963" s="8" t="n">
        <x:v>29721</x:v>
      </x:c>
      <x:c r="M963" s="9" t="n">
        <x:v>0.8209986537</x:v>
      </x:c>
      <x:c r="N963" s="10" t="n">
        <x:v>59684.5192624743</x:v>
      </x:c>
      <x:c r="O963" s="9" t="n">
        <x:v>0.1992260501</x:v>
      </x:c>
      <x:c r="P963" s="9" t="n">
        <x:v>0.8059936909</x:v>
      </x:c>
      <x:c r="Q963" s="9" t="n">
        <x:v>0.8722397476</x:v>
      </x:c>
      <x:c r="R963" s="3" t="b">
        <x:v>0</x:v>
      </x:c>
      <x:c r="S963" s="3" t="b">
        <x:v>0</x:v>
      </x:c>
      <x:c r="T963" s="3" t="b">
        <x:v>0</x:v>
      </x:c>
      <x:c r="U963" s="2" t="str">
        <x:f>IF(T963=TRUE,"Priority review",IF(R963=TRUE,"High cost",IF(S963=TRUE,"Low quality","Benchmark")))</x:f>
        <x:v>Benchmark</x:v>
      </x:c>
    </x:row>
    <x:row r="964">
      <x:c r="A964" s="2" t="str">
        <x:v>184002</x:v>
      </x:c>
      <x:c r="B964" s="2" t="str">
        <x:v>WESTERN STATE HOSPITAL</x:v>
      </x:c>
      <x:c r="C964" s="2" t="str">
        <x:v>HOPKINSVILLE</x:v>
      </x:c>
      <x:c r="D964" s="2" t="str">
        <x:v>KY</x:v>
      </x:c>
      <x:c r="E964" s="2" t="str">
        <x:v>Psychiatric</x:v>
      </x:c>
      <x:c r="F964" s="2" t="str">
        <x:v>Government</x:v>
      </x:c>
      <x:c r="G964" s="2" t="str">
        <x:v>Medium (100-299 beds)</x:v>
      </x:c>
      <x:c r="H964" s="7"/>
      <x:c r="I964" s="7"/>
      <x:c r="J964" s="7"/>
      <x:c r="K964" s="8" t="n">
        <x:v>163</x:v>
      </x:c>
      <x:c r="L964" s="8" t="n">
        <x:v>1299</x:v>
      </x:c>
      <x:c r="M964" s="9" t="n">
        <x:v>0.8816371124</x:v>
      </x:c>
      <x:c r="N964" s="10" t="n">
        <x:v>59052.2117013087</x:v>
      </x:c>
      <x:c r="O964" s="9" t="n">
        <x:v>-5.6643026896</x:v>
      </x:c>
      <x:c r="P964" s="9" t="n">
        <x:v>0.8059701493</x:v>
      </x:c>
      <x:c r="Q964" s="9" t="n">
        <x:v>0</x:v>
      </x:c>
      <x:c r="R964" s="3" t="b">
        <x:v>0</x:v>
      </x:c>
      <x:c r="S964" s="3" t="b">
        <x:v>0</x:v>
      </x:c>
      <x:c r="T964" s="3" t="b">
        <x:v>0</x:v>
      </x:c>
      <x:c r="U964" s="2" t="str">
        <x:f>IF(T964=TRUE,"Priority review",IF(R964=TRUE,"High cost",IF(S964=TRUE,"Low quality","Benchmark")))</x:f>
        <x:v>Benchmark</x:v>
      </x:c>
    </x:row>
    <x:row r="965">
      <x:c r="A965" s="2" t="str">
        <x:v>191321</x:v>
      </x:c>
      <x:c r="B965" s="2" t="str">
        <x:v>LALLIE KEMP MEDICAL CENTER</x:v>
      </x:c>
      <x:c r="C965" s="2" t="str">
        <x:v>INDEPENDENCE</x:v>
      </x:c>
      <x:c r="D965" s="2" t="str">
        <x:v>LA</x:v>
      </x:c>
      <x:c r="E965" s="2" t="str">
        <x:v>Critical Access Hospitals</x:v>
      </x:c>
      <x:c r="F965" s="2" t="str">
        <x:v>Government</x:v>
      </x:c>
      <x:c r="G965" s="2" t="str">
        <x:v>Small (&lt;100 beds)</x:v>
      </x:c>
      <x:c r="H965" s="7"/>
      <x:c r="I965" s="7"/>
      <x:c r="J965" s="7"/>
      <x:c r="K965" s="8" t="n">
        <x:v>24</x:v>
      </x:c>
      <x:c r="L965" s="8" t="n">
        <x:v>218</x:v>
      </x:c>
      <x:c r="M965" s="9" t="n">
        <x:v>0.0964611872</x:v>
      </x:c>
      <x:c r="N965" s="10" t="n">
        <x:v>242219.3944954129</x:v>
      </x:c>
      <x:c r="O965" s="9"/>
      <x:c r="P965" s="9" t="n">
        <x:v>0.8059479554</x:v>
      </x:c>
      <x:c r="Q965" s="9" t="n">
        <x:v>0.292936803</x:v>
      </x:c>
      <x:c r="R965" s="3" t="b">
        <x:v>0</x:v>
      </x:c>
      <x:c r="S965" s="3" t="b">
        <x:v>0</x:v>
      </x:c>
      <x:c r="T965" s="3" t="b">
        <x:v>0</x:v>
      </x:c>
      <x:c r="U965" s="2" t="str">
        <x:f>IF(T965=TRUE,"Priority review",IF(R965=TRUE,"High cost",IF(S965=TRUE,"Low quality","Benchmark")))</x:f>
        <x:v>Benchmark</x:v>
      </x:c>
    </x:row>
    <x:row r="966">
      <x:c r="A966" s="2" t="str">
        <x:v>444003</x:v>
      </x:c>
      <x:c r="B966" s="2" t="str">
        <x:v>RIDGEVIEW PSYCHIATRIC HOSPITAL AND CENTER</x:v>
      </x:c>
      <x:c r="C966" s="2" t="str">
        <x:v>OAK RIDGE</x:v>
      </x:c>
      <x:c r="D966" s="2" t="str">
        <x:v>TN</x:v>
      </x:c>
      <x:c r="E966" s="2" t="str">
        <x:v>Psychiatric</x:v>
      </x:c>
      <x:c r="F966" s="2" t="str">
        <x:v>Voluntary non-profit</x:v>
      </x:c>
      <x:c r="G966" s="2" t="str">
        <x:v>Small (&lt;100 beds)</x:v>
      </x:c>
      <x:c r="H966" s="7"/>
      <x:c r="I966" s="7"/>
      <x:c r="J966" s="7"/>
      <x:c r="K966" s="8" t="n">
        <x:v>16</x:v>
      </x:c>
      <x:c r="L966" s="8" t="n">
        <x:v>448</x:v>
      </x:c>
      <x:c r="M966" s="9" t="n">
        <x:v>0.3628424658</x:v>
      </x:c>
      <x:c r="N966" s="10" t="n">
        <x:v>46862.2767857143</x:v>
      </x:c>
      <x:c r="O966" s="9" t="n">
        <x:v>-0.9023492781</x:v>
      </x:c>
      <x:c r="P966" s="9" t="n">
        <x:v>0.8058252427</x:v>
      </x:c>
      <x:c r="Q966" s="9" t="n">
        <x:v>0</x:v>
      </x:c>
      <x:c r="R966" s="3" t="b">
        <x:v>0</x:v>
      </x:c>
      <x:c r="S966" s="3" t="b">
        <x:v>0</x:v>
      </x:c>
      <x:c r="T966" s="3" t="b">
        <x:v>0</x:v>
      </x:c>
      <x:c r="U966" s="2" t="str">
        <x:f>IF(T966=TRUE,"Priority review",IF(R966=TRUE,"High cost",IF(S966=TRUE,"Low quality","Benchmark")))</x:f>
        <x:v>Benchmark</x:v>
      </x:c>
    </x:row>
    <x:row r="967">
      <x:c r="A967" s="2" t="str">
        <x:v>330056</x:v>
      </x:c>
      <x:c r="B967" s="2" t="str">
        <x:v>BROOKLYN HOSPITAL CENTER - DOWNTOWN CAMPUS</x:v>
      </x:c>
      <x:c r="C967" s="2" t="str">
        <x:v>BROOKLYN</x:v>
      </x:c>
      <x:c r="D967" s="2" t="str">
        <x:v>NY</x:v>
      </x:c>
      <x:c r="E967" s="2" t="str">
        <x:v>Acute Care Hospitals</x:v>
      </x:c>
      <x:c r="F967" s="2" t="str">
        <x:v>Voluntary non-profit</x:v>
      </x:c>
      <x:c r="G967" s="2" t="str">
        <x:v>Medium (100-299 beds)</x:v>
      </x:c>
      <x:c r="H967" s="7" t="n">
        <x:v>2</x:v>
      </x:c>
      <x:c r="I967" s="7" t="n">
        <x:v>2</x:v>
      </x:c>
      <x:c r="J967" s="7" t="n">
        <x:v>1.11</x:v>
      </x:c>
      <x:c r="K967" s="8" t="n">
        <x:v>236</x:v>
      </x:c>
      <x:c r="L967" s="8" t="n">
        <x:v>10643</x:v>
      </x:c>
      <x:c r="M967" s="9" t="n">
        <x:v>0.7432620172</x:v>
      </x:c>
      <x:c r="N967" s="10" t="n">
        <x:v>50729.7685802875</x:v>
      </x:c>
      <x:c r="O967" s="9" t="n">
        <x:v>-0.2556558108</x:v>
      </x:c>
      <x:c r="P967" s="9" t="n">
        <x:v>0.8052159739</x:v>
      </x:c>
      <x:c r="Q967" s="9" t="n">
        <x:v>0.0782396088</x:v>
      </x:c>
      <x:c r="R967" s="3" t="b">
        <x:v>0</x:v>
      </x:c>
      <x:c r="S967" s="3" t="b">
        <x:v>1</x:v>
      </x:c>
      <x:c r="T967" s="3" t="b">
        <x:v>0</x:v>
      </x:c>
      <x:c r="U967" s="2" t="str">
        <x:f>IF(T967=TRUE,"Priority review",IF(R967=TRUE,"High cost",IF(S967=TRUE,"Low quality","Benchmark")))</x:f>
        <x:v>Low quality</x:v>
      </x:c>
    </x:row>
    <x:row r="968">
      <x:c r="A968" s="2" t="str">
        <x:v>010158</x:v>
      </x:c>
      <x:c r="B968" s="2" t="str">
        <x:v>RUSSELLVILLE HOSPITAL</x:v>
      </x:c>
      <x:c r="C968" s="2" t="str">
        <x:v>RUSSELLVILLE</x:v>
      </x:c>
      <x:c r="D968" s="2" t="str">
        <x:v>AL</x:v>
      </x:c>
      <x:c r="E968" s="2" t="str">
        <x:v>Acute Care Hospitals</x:v>
      </x:c>
      <x:c r="F968" s="2" t="str">
        <x:v>Proprietary</x:v>
      </x:c>
      <x:c r="G968" s="2" t="str">
        <x:v>Small (&lt;100 beds)</x:v>
      </x:c>
      <x:c r="H968" s="7" t="n">
        <x:v>4</x:v>
      </x:c>
      <x:c r="I968" s="7" t="n">
        <x:v>3</x:v>
      </x:c>
      <x:c r="J968" s="7" t="n">
        <x:v>1.31</x:v>
      </x:c>
      <x:c r="K968" s="8" t="n">
        <x:v>49</x:v>
      </x:c>
      <x:c r="L968" s="8" t="n">
        <x:v>743</x:v>
      </x:c>
      <x:c r="M968" s="9" t="n">
        <x:v>0.2353927873</x:v>
      </x:c>
      <x:c r="N968" s="10" t="n">
        <x:v>96275.3176312248</x:v>
      </x:c>
      <x:c r="O968" s="9" t="n">
        <x:v>-0.2001998807</x:v>
      </x:c>
      <x:c r="P968" s="9" t="n">
        <x:v>0.8052064632</x:v>
      </x:c>
      <x:c r="Q968" s="9" t="n">
        <x:v>0.3913824057</x:v>
      </x:c>
      <x:c r="R968" s="3" t="b">
        <x:v>0</x:v>
      </x:c>
      <x:c r="S968" s="3" t="b">
        <x:v>0</x:v>
      </x:c>
      <x:c r="T968" s="3" t="b">
        <x:v>0</x:v>
      </x:c>
      <x:c r="U968" s="2" t="str">
        <x:f>IF(T968=TRUE,"Priority review",IF(R968=TRUE,"High cost",IF(S968=TRUE,"Low quality","Benchmark")))</x:f>
        <x:v>Benchmark</x:v>
      </x:c>
    </x:row>
    <x:row r="969">
      <x:c r="A969" s="2" t="str">
        <x:v>031300</x:v>
      </x:c>
      <x:c r="B969" s="2" t="str">
        <x:v>WICKENBURG COMMUNITY HOSPITAL</x:v>
      </x:c>
      <x:c r="C969" s="2" t="str">
        <x:v>WICKENBURG</x:v>
      </x:c>
      <x:c r="D969" s="2" t="str">
        <x:v>AZ</x:v>
      </x:c>
      <x:c r="E969" s="2" t="str">
        <x:v>Critical Access Hospitals</x:v>
      </x:c>
      <x:c r="F969" s="2" t="str">
        <x:v>Voluntary non-profit</x:v>
      </x:c>
      <x:c r="G969" s="2" t="str">
        <x:v>Small (&lt;100 beds)</x:v>
      </x:c>
      <x:c r="H969" s="7"/>
      <x:c r="I969" s="7"/>
      <x:c r="J969" s="7"/>
      <x:c r="K969" s="8" t="n">
        <x:v>19</x:v>
      </x:c>
      <x:c r="L969" s="8" t="n">
        <x:v>213</x:v>
      </x:c>
      <x:c r="M969" s="9" t="n">
        <x:v>0.163646822</x:v>
      </x:c>
      <x:c r="N969" s="10" t="n">
        <x:v>241815.0469483568</x:v>
      </x:c>
      <x:c r="O969" s="9" t="n">
        <x:v>-0.1546651626</x:v>
      </x:c>
      <x:c r="P969" s="9" t="n">
        <x:v>0.805204461</x:v>
      </x:c>
      <x:c r="Q969" s="9" t="n">
        <x:v>0.292936803</x:v>
      </x:c>
      <x:c r="R969" s="3" t="b">
        <x:v>0</x:v>
      </x:c>
      <x:c r="S969" s="3" t="b">
        <x:v>0</x:v>
      </x:c>
      <x:c r="T969" s="3" t="b">
        <x:v>0</x:v>
      </x:c>
      <x:c r="U969" s="2" t="str">
        <x:f>IF(T969=TRUE,"Priority review",IF(R969=TRUE,"High cost",IF(S969=TRUE,"Low quality","Benchmark")))</x:f>
        <x:v>Benchmark</x:v>
      </x:c>
    </x:row>
    <x:row r="970">
      <x:c r="A970" s="2" t="str">
        <x:v>241341</x:v>
      </x:c>
      <x:c r="B970" s="2" t="str">
        <x:v>APPLETON AREA HEALTH</x:v>
      </x:c>
      <x:c r="C970" s="2" t="str">
        <x:v>APPLETON</x:v>
      </x:c>
      <x:c r="D970" s="2" t="str">
        <x:v>MN</x:v>
      </x:c>
      <x:c r="E970" s="2" t="str">
        <x:v>Critical Access Hospitals</x:v>
      </x:c>
      <x:c r="F970" s="2" t="str">
        <x:v>Government</x:v>
      </x:c>
      <x:c r="G970" s="2" t="str">
        <x:v>Small (&lt;100 beds)</x:v>
      </x:c>
      <x:c r="H970" s="7"/>
      <x:c r="I970" s="7"/>
      <x:c r="J970" s="7"/>
      <x:c r="K970" s="8" t="n">
        <x:v>15</x:v>
      </x:c>
      <x:c r="L970" s="8" t="n">
        <x:v>94</x:v>
      </x:c>
      <x:c r="M970" s="9" t="n">
        <x:v>0.1420765027</x:v>
      </x:c>
      <x:c r="N970" s="10" t="n">
        <x:v>241771.1170212766</x:v>
      </x:c>
      <x:c r="O970" s="9" t="n">
        <x:v>-0.1698843118</x:v>
      </x:c>
      <x:c r="P970" s="9" t="n">
        <x:v>0.8044609665</x:v>
      </x:c>
      <x:c r="Q970" s="9" t="n">
        <x:v>0.292936803</x:v>
      </x:c>
      <x:c r="R970" s="3" t="b">
        <x:v>0</x:v>
      </x:c>
      <x:c r="S970" s="3" t="b">
        <x:v>0</x:v>
      </x:c>
      <x:c r="T970" s="3" t="b">
        <x:v>0</x:v>
      </x:c>
      <x:c r="U970" s="2" t="str">
        <x:f>IF(T970=TRUE,"Priority review",IF(R970=TRUE,"High cost",IF(S970=TRUE,"Low quality","Benchmark")))</x:f>
        <x:v>Benchmark</x:v>
      </x:c>
    </x:row>
    <x:row r="971">
      <x:c r="A971" s="2" t="str">
        <x:v>340053</x:v>
      </x:c>
      <x:c r="B971" s="2" t="str">
        <x:v>NOVANT HEALTH PRESBYTERIAN MEDICAL CENTER</x:v>
      </x:c>
      <x:c r="C971" s="2" t="str">
        <x:v>CHARLOTTE</x:v>
      </x:c>
      <x:c r="D971" s="2" t="str">
        <x:v>NC</x:v>
      </x:c>
      <x:c r="E971" s="2" t="str">
        <x:v>Acute Care Hospitals</x:v>
      </x:c>
      <x:c r="F971" s="2" t="str">
        <x:v>Voluntary non-profit</x:v>
      </x:c>
      <x:c r="G971" s="2" t="str">
        <x:v>Large (300+ beds)</x:v>
      </x:c>
      <x:c r="H971" s="7" t="n">
        <x:v>5</x:v>
      </x:c>
      <x:c r="I971" s="7" t="n">
        <x:v>2</x:v>
      </x:c>
      <x:c r="J971" s="7" t="n">
        <x:v>0.96</x:v>
      </x:c>
      <x:c r="K971" s="8" t="n">
        <x:v>536</x:v>
      </x:c>
      <x:c r="L971" s="8" t="n">
        <x:v>28923</x:v>
      </x:c>
      <x:c r="M971" s="9" t="n">
        <x:v>0.8901241742</x:v>
      </x:c>
      <x:c r="N971" s="10" t="n">
        <x:v>59652.5583445701</x:v>
      </x:c>
      <x:c r="O971" s="9" t="n">
        <x:v>0.1496925277</x:v>
      </x:c>
      <x:c r="P971" s="9" t="n">
        <x:v>0.8044164038</x:v>
      </x:c>
      <x:c r="Q971" s="9" t="n">
        <x:v>0.8722397476</x:v>
      </x:c>
      <x:c r="R971" s="3" t="b">
        <x:v>0</x:v>
      </x:c>
      <x:c r="S971" s="3" t="b">
        <x:v>0</x:v>
      </x:c>
      <x:c r="T971" s="3" t="b">
        <x:v>0</x:v>
      </x:c>
      <x:c r="U971" s="2" t="str">
        <x:f>IF(T971=TRUE,"Priority review",IF(R971=TRUE,"High cost",IF(S971=TRUE,"Low quality","Benchmark")))</x:f>
        <x:v>Benchmark</x:v>
      </x:c>
    </x:row>
    <x:row r="972">
      <x:c r="A972" s="2" t="str">
        <x:v>050159</x:v>
      </x:c>
      <x:c r="B972" s="2" t="str">
        <x:v>VENTURA COUNTY MEDICAL CENTER</x:v>
      </x:c>
      <x:c r="C972" s="2" t="str">
        <x:v>VENTURA</x:v>
      </x:c>
      <x:c r="D972" s="2" t="str">
        <x:v>CA</x:v>
      </x:c>
      <x:c r="E972" s="2" t="str">
        <x:v>Acute Care Hospitals</x:v>
      </x:c>
      <x:c r="F972" s="2" t="str">
        <x:v>Government</x:v>
      </x:c>
      <x:c r="G972" s="2" t="str">
        <x:v>Medium (100-299 beds)</x:v>
      </x:c>
      <x:c r="H972" s="7" t="n">
        <x:v>2</x:v>
      </x:c>
      <x:c r="I972" s="7" t="n">
        <x:v>3</x:v>
      </x:c>
      <x:c r="J972" s="7" t="n">
        <x:v>1</x:v>
      </x:c>
      <x:c r="K972" s="8" t="n">
        <x:v>272</x:v>
      </x:c>
      <x:c r="L972" s="8" t="n">
        <x:v>14257</x:v>
      </x:c>
      <x:c r="M972" s="9" t="n">
        <x:v>0.6526591459</x:v>
      </x:c>
      <x:c r="N972" s="10" t="n">
        <x:v>50675.4542330083</x:v>
      </x:c>
      <x:c r="O972" s="9" t="n">
        <x:v>-0.1405272286</x:v>
      </x:c>
      <x:c r="P972" s="9" t="n">
        <x:v>0.804400978</x:v>
      </x:c>
      <x:c r="Q972" s="9" t="n">
        <x:v>0.0782396088</x:v>
      </x:c>
      <x:c r="R972" s="3" t="b">
        <x:v>0</x:v>
      </x:c>
      <x:c r="S972" s="3" t="b">
        <x:v>1</x:v>
      </x:c>
      <x:c r="T972" s="3" t="b">
        <x:v>0</x:v>
      </x:c>
      <x:c r="U972" s="2" t="str">
        <x:f>IF(T972=TRUE,"Priority review",IF(R972=TRUE,"High cost",IF(S972=TRUE,"Low quality","Benchmark")))</x:f>
        <x:v>Low quality</x:v>
      </x:c>
    </x:row>
    <x:row r="973">
      <x:c r="A973" s="2" t="str">
        <x:v>520214</x:v>
      </x:c>
      <x:c r="B973" s="2" t="str">
        <x:v>ASCENSION WISCONSIN HOSP MENOMONEE FALLS CAMPUS</x:v>
      </x:c>
      <x:c r="C973" s="2" t="str">
        <x:v>MENOMONEE FALLS</x:v>
      </x:c>
      <x:c r="D973" s="2" t="str">
        <x:v>WI</x:v>
      </x:c>
      <x:c r="E973" s="2" t="str">
        <x:v>Acute Care Hospitals</x:v>
      </x:c>
      <x:c r="F973" s="2" t="str">
        <x:v>Proprietary</x:v>
      </x:c>
      <x:c r="G973" s="2" t="str">
        <x:v>Small (&lt;100 beds)</x:v>
      </x:c>
      <x:c r="H973" s="7"/>
      <x:c r="I973" s="7"/>
      <x:c r="J973" s="7"/>
      <x:c r="K973" s="8" t="n">
        <x:v>24</x:v>
      </x:c>
      <x:c r="L973" s="8" t="n">
        <x:v>270</x:v>
      </x:c>
      <x:c r="M973" s="9" t="n">
        <x:v>0.0783242259</x:v>
      </x:c>
      <x:c r="N973" s="10" t="n">
        <x:v>96023.0851851852</x:v>
      </x:c>
      <x:c r="O973" s="9" t="n">
        <x:v>-0.4487671564</x:v>
      </x:c>
      <x:c r="P973" s="9" t="n">
        <x:v>0.8043087971</x:v>
      </x:c>
      <x:c r="Q973" s="9" t="n">
        <x:v>0.697486535</x:v>
      </x:c>
      <x:c r="R973" s="3" t="b">
        <x:v>0</x:v>
      </x:c>
      <x:c r="S973" s="3" t="b">
        <x:v>0</x:v>
      </x:c>
      <x:c r="T973" s="3" t="b">
        <x:v>0</x:v>
      </x:c>
      <x:c r="U973" s="2" t="str">
        <x:f>IF(T973=TRUE,"Priority review",IF(R973=TRUE,"High cost",IF(S973=TRUE,"Low quality","Benchmark")))</x:f>
        <x:v>Benchmark</x:v>
      </x:c>
    </x:row>
    <x:row r="974">
      <x:c r="A974" s="2" t="str">
        <x:v>261332</x:v>
      </x:c>
      <x:c r="B974" s="2" t="str">
        <x:v>CARROLL COUNTY MEMORIAL HOSPITAL</x:v>
      </x:c>
      <x:c r="C974" s="2" t="str">
        <x:v>CARROLLTON</x:v>
      </x:c>
      <x:c r="D974" s="2" t="str">
        <x:v>MO</x:v>
      </x:c>
      <x:c r="E974" s="2" t="str">
        <x:v>Critical Access Hospitals</x:v>
      </x:c>
      <x:c r="F974" s="2" t="str">
        <x:v>Voluntary non-profit</x:v>
      </x:c>
      <x:c r="G974" s="2" t="str">
        <x:v>Small (&lt;100 beds)</x:v>
      </x:c>
      <x:c r="H974" s="7"/>
      <x:c r="I974" s="7"/>
      <x:c r="J974" s="7"/>
      <x:c r="K974" s="8" t="n">
        <x:v>21</x:v>
      </x:c>
      <x:c r="L974" s="8" t="n">
        <x:v>200</x:v>
      </x:c>
      <x:c r="M974" s="9" t="n">
        <x:v>0.1655577299</x:v>
      </x:c>
      <x:c r="N974" s="10" t="n">
        <x:v>240860.925</x:v>
      </x:c>
      <x:c r="O974" s="9" t="n">
        <x:v>-0.069990675</x:v>
      </x:c>
      <x:c r="P974" s="9" t="n">
        <x:v>0.8037174721</x:v>
      </x:c>
      <x:c r="Q974" s="9" t="n">
        <x:v>0.292936803</x:v>
      </x:c>
      <x:c r="R974" s="3" t="b">
        <x:v>0</x:v>
      </x:c>
      <x:c r="S974" s="3" t="b">
        <x:v>0</x:v>
      </x:c>
      <x:c r="T974" s="3" t="b">
        <x:v>0</x:v>
      </x:c>
      <x:c r="U974" s="2" t="str">
        <x:f>IF(T974=TRUE,"Priority review",IF(R974=TRUE,"High cost",IF(S974=TRUE,"Low quality","Benchmark")))</x:f>
        <x:v>Benchmark</x:v>
      </x:c>
    </x:row>
    <x:row r="975">
      <x:c r="A975" s="2" t="str">
        <x:v>360175</x:v>
      </x:c>
      <x:c r="B975" s="2" t="str">
        <x:v>TRIHEALTH CLINTON REGIONAL HOSPITAL</x:v>
      </x:c>
      <x:c r="C975" s="2" t="str">
        <x:v>WILMINGTON</x:v>
      </x:c>
      <x:c r="D975" s="2" t="str">
        <x:v>OH</x:v>
      </x:c>
      <x:c r="E975" s="2" t="str">
        <x:v>Acute Care Hospitals</x:v>
      </x:c>
      <x:c r="F975" s="2" t="str">
        <x:v>Government</x:v>
      </x:c>
      <x:c r="G975" s="2" t="str">
        <x:v>Medium (100-299 beds)</x:v>
      </x:c>
      <x:c r="H975" s="7" t="n">
        <x:v>2</x:v>
      </x:c>
      <x:c r="I975" s="7" t="n">
        <x:v>3</x:v>
      </x:c>
      <x:c r="J975" s="7" t="n">
        <x:v>1.06</x:v>
      </x:c>
      <x:c r="K975" s="8" t="n">
        <x:v>118</x:v>
      </x:c>
      <x:c r="L975" s="8" t="n">
        <x:v>1959</x:v>
      </x:c>
      <x:c r="M975" s="9" t="n">
        <x:v>0.1247568769</x:v>
      </x:c>
      <x:c r="N975" s="10" t="n">
        <x:v>50652.1980602348</x:v>
      </x:c>
      <x:c r="O975" s="9" t="n">
        <x:v>-0.0465277639</x:v>
      </x:c>
      <x:c r="P975" s="9" t="n">
        <x:v>0.8035859821</x:v>
      </x:c>
      <x:c r="Q975" s="9" t="n">
        <x:v>0.0782396088</x:v>
      </x:c>
      <x:c r="R975" s="3" t="b">
        <x:v>0</x:v>
      </x:c>
      <x:c r="S975" s="3" t="b">
        <x:v>1</x:v>
      </x:c>
      <x:c r="T975" s="3" t="b">
        <x:v>0</x:v>
      </x:c>
      <x:c r="U975" s="2" t="str">
        <x:f>IF(T975=TRUE,"Priority review",IF(R975=TRUE,"High cost",IF(S975=TRUE,"Low quality","Benchmark")))</x:f>
        <x:v>Low quality</x:v>
      </x:c>
    </x:row>
    <x:row r="976">
      <x:c r="A976" s="2" t="str">
        <x:v>150065</x:v>
      </x:c>
      <x:c r="B976" s="2" t="str">
        <x:v>SCHNECK MEDICAL CENTER</x:v>
      </x:c>
      <x:c r="C976" s="2" t="str">
        <x:v>SEYMOUR</x:v>
      </x:c>
      <x:c r="D976" s="2" t="str">
        <x:v>IN</x:v>
      </x:c>
      <x:c r="E976" s="2" t="str">
        <x:v>Acute Care Hospitals</x:v>
      </x:c>
      <x:c r="F976" s="2" t="str">
        <x:v>Government</x:v>
      </x:c>
      <x:c r="G976" s="2" t="str">
        <x:v>Small (&lt;100 beds)</x:v>
      </x:c>
      <x:c r="H976" s="7" t="n">
        <x:v>4</x:v>
      </x:c>
      <x:c r="I976" s="7" t="n">
        <x:v>4</x:v>
      </x:c>
      <x:c r="J976" s="7" t="n">
        <x:v>1.02</x:v>
      </x:c>
      <x:c r="K976" s="8" t="n">
        <x:v>58</x:v>
      </x:c>
      <x:c r="L976" s="8" t="n">
        <x:v>2238</x:v>
      </x:c>
      <x:c r="M976" s="9" t="n">
        <x:v>0.4628321085</x:v>
      </x:c>
      <x:c r="N976" s="10" t="n">
        <x:v>96017.9142091153</x:v>
      </x:c>
      <x:c r="O976" s="9" t="n">
        <x:v>0.0202345453</x:v>
      </x:c>
      <x:c r="P976" s="9" t="n">
        <x:v>0.8034111311</x:v>
      </x:c>
      <x:c r="Q976" s="9" t="n">
        <x:v>0.3913824057</x:v>
      </x:c>
      <x:c r="R976" s="3" t="b">
        <x:v>0</x:v>
      </x:c>
      <x:c r="S976" s="3" t="b">
        <x:v>0</x:v>
      </x:c>
      <x:c r="T976" s="3" t="b">
        <x:v>0</x:v>
      </x:c>
      <x:c r="U976" s="2" t="str">
        <x:f>IF(T976=TRUE,"Priority review",IF(R976=TRUE,"High cost",IF(S976=TRUE,"Low quality","Benchmark")))</x:f>
        <x:v>Benchmark</x:v>
      </x:c>
    </x:row>
    <x:row r="977">
      <x:c r="A977" s="2" t="str">
        <x:v>141338</x:v>
      </x:c>
      <x:c r="B977" s="2" t="str">
        <x:v>MEMORIAL HOSPITAL</x:v>
      </x:c>
      <x:c r="C977" s="2" t="str">
        <x:v>CHESTER</x:v>
      </x:c>
      <x:c r="D977" s="2" t="str">
        <x:v>IL</x:v>
      </x:c>
      <x:c r="E977" s="2" t="str">
        <x:v>Critical Access Hospitals</x:v>
      </x:c>
      <x:c r="F977" s="2" t="str">
        <x:v>Government</x:v>
      </x:c>
      <x:c r="G977" s="2" t="str">
        <x:v>Small (&lt;100 beds)</x:v>
      </x:c>
      <x:c r="H977" s="7"/>
      <x:c r="I977" s="7"/>
      <x:c r="J977" s="7"/>
      <x:c r="K977" s="8" t="n">
        <x:v>25</x:v>
      </x:c>
      <x:c r="L977" s="8" t="n">
        <x:v>169</x:v>
      </x:c>
      <x:c r="M977" s="9" t="n">
        <x:v>0.1687671233</x:v>
      </x:c>
      <x:c r="N977" s="10" t="n">
        <x:v>239703.7573964497</x:v>
      </x:c>
      <x:c r="O977" s="9" t="n">
        <x:v>0.0106572243</x:v>
      </x:c>
      <x:c r="P977" s="9" t="n">
        <x:v>0.8029739777</x:v>
      </x:c>
      <x:c r="Q977" s="9" t="n">
        <x:v>0.292936803</x:v>
      </x:c>
      <x:c r="R977" s="3" t="b">
        <x:v>0</x:v>
      </x:c>
      <x:c r="S977" s="3" t="b">
        <x:v>0</x:v>
      </x:c>
      <x:c r="T977" s="3" t="b">
        <x:v>0</x:v>
      </x:c>
      <x:c r="U977" s="2" t="str">
        <x:f>IF(T977=TRUE,"Priority review",IF(R977=TRUE,"High cost",IF(S977=TRUE,"Low quality","Benchmark")))</x:f>
        <x:v>Benchmark</x:v>
      </x:c>
    </x:row>
    <x:row r="978">
      <x:c r="A978" s="2" t="str">
        <x:v>260032</x:v>
      </x:c>
      <x:c r="B978" s="2" t="str">
        <x:v>BARNES JEWISH HOSPITAL</x:v>
      </x:c>
      <x:c r="C978" s="2" t="str">
        <x:v>SAINT LOUIS</x:v>
      </x:c>
      <x:c r="D978" s="2" t="str">
        <x:v>MO</x:v>
      </x:c>
      <x:c r="E978" s="2" t="str">
        <x:v>Acute Care Hospitals</x:v>
      </x:c>
      <x:c r="F978" s="2" t="str">
        <x:v>Voluntary non-profit</x:v>
      </x:c>
      <x:c r="G978" s="2" t="str">
        <x:v>Large (300+ beds)</x:v>
      </x:c>
      <x:c r="H978" s="7" t="n">
        <x:v>4</x:v>
      </x:c>
      <x:c r="I978" s="7" t="n">
        <x:v>4</x:v>
      </x:c>
      <x:c r="J978" s="7" t="n">
        <x:v>1.02</x:v>
      </x:c>
      <x:c r="K978" s="8" t="n">
        <x:v>1279</x:v>
      </x:c>
      <x:c r="L978" s="8" t="n">
        <x:v>55477</x:v>
      </x:c>
      <x:c r="M978" s="9" t="n">
        <x:v>0.8258840665</x:v>
      </x:c>
      <x:c r="N978" s="10" t="n">
        <x:v>59348.9641473043</x:v>
      </x:c>
      <x:c r="O978" s="9" t="n">
        <x:v>-0.0155365241</x:v>
      </x:c>
      <x:c r="P978" s="9" t="n">
        <x:v>0.8028391167</x:v>
      </x:c>
      <x:c r="Q978" s="9" t="n">
        <x:v>0.5899053628</x:v>
      </x:c>
      <x:c r="R978" s="3" t="b">
        <x:v>0</x:v>
      </x:c>
      <x:c r="S978" s="3" t="b">
        <x:v>0</x:v>
      </x:c>
      <x:c r="T978" s="3" t="b">
        <x:v>0</x:v>
      </x:c>
      <x:c r="U978" s="2" t="str">
        <x:f>IF(T978=TRUE,"Priority review",IF(R978=TRUE,"High cost",IF(S978=TRUE,"Low quality","Benchmark")))</x:f>
        <x:v>Benchmark</x:v>
      </x:c>
    </x:row>
    <x:row r="979">
      <x:c r="A979" s="2" t="str">
        <x:v>230021</x:v>
      </x:c>
      <x:c r="B979" s="2" t="str">
        <x:v>LAKELAND HOSPITAL, ST JOSEPH</x:v>
      </x:c>
      <x:c r="C979" s="2" t="str">
        <x:v>ST JOSEPH</x:v>
      </x:c>
      <x:c r="D979" s="2" t="str">
        <x:v>MI</x:v>
      </x:c>
      <x:c r="E979" s="2" t="str">
        <x:v>Acute Care Hospitals</x:v>
      </x:c>
      <x:c r="F979" s="2" t="str">
        <x:v>Voluntary non-profit</x:v>
      </x:c>
      <x:c r="G979" s="2" t="str">
        <x:v>Medium (100-299 beds)</x:v>
      </x:c>
      <x:c r="H979" s="7" t="n">
        <x:v>4</x:v>
      </x:c>
      <x:c r="I979" s="7" t="n">
        <x:v>3</x:v>
      </x:c>
      <x:c r="J979" s="7" t="n">
        <x:v>0.93</x:v>
      </x:c>
      <x:c r="K979" s="8" t="n">
        <x:v>224</x:v>
      </x:c>
      <x:c r="L979" s="8" t="n">
        <x:v>11216</x:v>
      </x:c>
      <x:c r="M979" s="9" t="n">
        <x:v>0.5968051118</x:v>
      </x:c>
      <x:c r="N979" s="10" t="n">
        <x:v>50638.0519793153</x:v>
      </x:c>
      <x:c r="O979" s="9" t="n">
        <x:v>-0.0137259737</x:v>
      </x:c>
      <x:c r="P979" s="9" t="n">
        <x:v>0.8027709861</x:v>
      </x:c>
      <x:c r="Q979" s="9" t="n">
        <x:v>0.6022819886</x:v>
      </x:c>
      <x:c r="R979" s="3" t="b">
        <x:v>0</x:v>
      </x:c>
      <x:c r="S979" s="3" t="b">
        <x:v>0</x:v>
      </x:c>
      <x:c r="T979" s="3" t="b">
        <x:v>0</x:v>
      </x:c>
      <x:c r="U979" s="2" t="str">
        <x:f>IF(T979=TRUE,"Priority review",IF(R979=TRUE,"High cost",IF(S979=TRUE,"Low quality","Benchmark")))</x:f>
        <x:v>Benchmark</x:v>
      </x:c>
    </x:row>
    <x:row r="980">
      <x:c r="A980" s="2" t="str">
        <x:v>154050</x:v>
      </x:c>
      <x:c r="B980" s="2" t="str">
        <x:v>NORTHEASTERN CENTER</x:v>
      </x:c>
      <x:c r="C980" s="2" t="str">
        <x:v>AUBURN</x:v>
      </x:c>
      <x:c r="D980" s="2" t="str">
        <x:v>IN</x:v>
      </x:c>
      <x:c r="E980" s="2" t="str">
        <x:v>Psychiatric</x:v>
      </x:c>
      <x:c r="F980" s="2" t="str">
        <x:v>Voluntary non-profit</x:v>
      </x:c>
      <x:c r="G980" s="2" t="str">
        <x:v>Small (&lt;100 beds)</x:v>
      </x:c>
      <x:c r="H980" s="7"/>
      <x:c r="I980" s="7"/>
      <x:c r="J980" s="7"/>
      <x:c r="K980" s="8" t="n">
        <x:v>16</x:v>
      </x:c>
      <x:c r="L980" s="8" t="n">
        <x:v>469</x:v>
      </x:c>
      <x:c r="M980" s="9" t="n">
        <x:v>0.5270547945</x:v>
      </x:c>
      <x:c r="N980" s="10" t="n">
        <x:v>46499.6567164179</x:v>
      </x:c>
      <x:c r="O980" s="9" t="n">
        <x:v>-0.7914843385</x:v>
      </x:c>
      <x:c r="P980" s="9" t="n">
        <x:v>0.8025889968</x:v>
      </x:c>
      <x:c r="Q980" s="9" t="n">
        <x:v>0</x:v>
      </x:c>
      <x:c r="R980" s="3" t="b">
        <x:v>0</x:v>
      </x:c>
      <x:c r="S980" s="3" t="b">
        <x:v>0</x:v>
      </x:c>
      <x:c r="T980" s="3" t="b">
        <x:v>0</x:v>
      </x:c>
      <x:c r="U980" s="2" t="str">
        <x:f>IF(T980=TRUE,"Priority review",IF(R980=TRUE,"High cost",IF(S980=TRUE,"Low quality","Benchmark")))</x:f>
        <x:v>Benchmark</x:v>
      </x:c>
    </x:row>
    <x:row r="981">
      <x:c r="A981" s="2" t="str">
        <x:v>380001</x:v>
      </x:c>
      <x:c r="B981" s="2" t="str">
        <x:v>MID-COLUMBIA MEDICAL CENTER</x:v>
      </x:c>
      <x:c r="C981" s="2" t="str">
        <x:v>THE DALLES</x:v>
      </x:c>
      <x:c r="D981" s="2" t="str">
        <x:v>OR</x:v>
      </x:c>
      <x:c r="E981" s="2" t="str">
        <x:v>Acute Care Hospitals</x:v>
      </x:c>
      <x:c r="F981" s="2" t="str">
        <x:v>Voluntary non-profit</x:v>
      </x:c>
      <x:c r="G981" s="2" t="str">
        <x:v>Small (&lt;100 beds)</x:v>
      </x:c>
      <x:c r="H981" s="7" t="n">
        <x:v>4</x:v>
      </x:c>
      <x:c r="I981" s="7" t="n">
        <x:v>4</x:v>
      </x:c>
      <x:c r="J981" s="7" t="n">
        <x:v>0.81</x:v>
      </x:c>
      <x:c r="K981" s="8" t="n">
        <x:v>49</x:v>
      </x:c>
      <x:c r="L981" s="8" t="n">
        <x:v>1628</x:v>
      </x:c>
      <x:c r="M981" s="9" t="n">
        <x:v>0.337459574</x:v>
      </x:c>
      <x:c r="N981" s="10" t="n">
        <x:v>95638.3409090909</x:v>
      </x:c>
      <x:c r="O981" s="9" t="n">
        <x:v>-0.2460021815</x:v>
      </x:c>
      <x:c r="P981" s="9" t="n">
        <x:v>0.802513465</x:v>
      </x:c>
      <x:c r="Q981" s="9" t="n">
        <x:v>0.3913824057</x:v>
      </x:c>
      <x:c r="R981" s="3" t="b">
        <x:v>0</x:v>
      </x:c>
      <x:c r="S981" s="3" t="b">
        <x:v>0</x:v>
      </x:c>
      <x:c r="T981" s="3" t="b">
        <x:v>0</x:v>
      </x:c>
      <x:c r="U981" s="2" t="str">
        <x:f>IF(T981=TRUE,"Priority review",IF(R981=TRUE,"High cost",IF(S981=TRUE,"Low quality","Benchmark")))</x:f>
        <x:v>Benchmark</x:v>
      </x:c>
    </x:row>
    <x:row r="982">
      <x:c r="A982" s="2" t="str">
        <x:v>281312</x:v>
      </x:c>
      <x:c r="B982" s="2" t="str">
        <x:v>GENOA COMMUNITY HOSPITAL</x:v>
      </x:c>
      <x:c r="C982" s="2" t="str">
        <x:v>GENOA</x:v>
      </x:c>
      <x:c r="D982" s="2" t="str">
        <x:v>NE</x:v>
      </x:c>
      <x:c r="E982" s="2" t="str">
        <x:v>Critical Access Hospitals</x:v>
      </x:c>
      <x:c r="F982" s="2" t="str">
        <x:v>Government</x:v>
      </x:c>
      <x:c r="G982" s="2" t="str">
        <x:v>Small (&lt;100 beds)</x:v>
      </x:c>
      <x:c r="H982" s="7"/>
      <x:c r="I982" s="7"/>
      <x:c r="J982" s="7"/>
      <x:c r="K982" s="8" t="n">
        <x:v>19</x:v>
      </x:c>
      <x:c r="L982" s="8" t="n">
        <x:v>45</x:v>
      </x:c>
      <x:c r="M982" s="9" t="n">
        <x:v>0.0938716655</x:v>
      </x:c>
      <x:c r="N982" s="10" t="n">
        <x:v>239483.7333333333</x:v>
      </x:c>
      <x:c r="O982" s="9" t="n">
        <x:v>-0.1320589893</x:v>
      </x:c>
      <x:c r="P982" s="9" t="n">
        <x:v>0.8022304833</x:v>
      </x:c>
      <x:c r="Q982" s="9" t="n">
        <x:v>0.292936803</x:v>
      </x:c>
      <x:c r="R982" s="3" t="b">
        <x:v>0</x:v>
      </x:c>
      <x:c r="S982" s="3" t="b">
        <x:v>0</x:v>
      </x:c>
      <x:c r="T982" s="3" t="b">
        <x:v>0</x:v>
      </x:c>
      <x:c r="U982" s="2" t="str">
        <x:f>IF(T982=TRUE,"Priority review",IF(R982=TRUE,"High cost",IF(S982=TRUE,"Low quality","Benchmark")))</x:f>
        <x:v>Benchmark</x:v>
      </x:c>
    </x:row>
    <x:row r="983">
      <x:c r="A983" s="2" t="str">
        <x:v>100073</x:v>
      </x:c>
      <x:c r="B983" s="2" t="str">
        <x:v>HOLY CROSS HOSPITAL</x:v>
      </x:c>
      <x:c r="C983" s="2" t="str">
        <x:v>FT LAUDERDALE</x:v>
      </x:c>
      <x:c r="D983" s="2" t="str">
        <x:v>FL</x:v>
      </x:c>
      <x:c r="E983" s="2" t="str">
        <x:v>Acute Care Hospitals</x:v>
      </x:c>
      <x:c r="F983" s="2" t="str">
        <x:v>Voluntary non-profit</x:v>
      </x:c>
      <x:c r="G983" s="2" t="str">
        <x:v>Medium (100-299 beds)</x:v>
      </x:c>
      <x:c r="H983" s="7" t="n">
        <x:v>4</x:v>
      </x:c>
      <x:c r="I983" s="7" t="n">
        <x:v>2</x:v>
      </x:c>
      <x:c r="J983" s="7" t="n">
        <x:v>1.06</x:v>
      </x:c>
      <x:c r="K983" s="8" t="n">
        <x:v>286</x:v>
      </x:c>
      <x:c r="L983" s="8" t="n">
        <x:v>13814</x:v>
      </x:c>
      <x:c r="M983" s="9" t="n">
        <x:v>0.6399260074</x:v>
      </x:c>
      <x:c r="N983" s="10" t="n">
        <x:v>50627.7559722021</x:v>
      </x:c>
      <x:c r="O983" s="9" t="n">
        <x:v>-0.0192862872</x:v>
      </x:c>
      <x:c r="P983" s="9" t="n">
        <x:v>0.8019559902</x:v>
      </x:c>
      <x:c r="Q983" s="9" t="n">
        <x:v>0.6022819886</x:v>
      </x:c>
      <x:c r="R983" s="3" t="b">
        <x:v>0</x:v>
      </x:c>
      <x:c r="S983" s="3" t="b">
        <x:v>0</x:v>
      </x:c>
      <x:c r="T983" s="3" t="b">
        <x:v>0</x:v>
      </x:c>
      <x:c r="U983" s="2" t="str">
        <x:f>IF(T983=TRUE,"Priority review",IF(R983=TRUE,"High cost",IF(S983=TRUE,"Low quality","Benchmark")))</x:f>
        <x:v>Benchmark</x:v>
      </x:c>
    </x:row>
    <x:row r="984">
      <x:c r="A984" s="2" t="str">
        <x:v>230085</x:v>
      </x:c>
      <x:c r="B984" s="2" t="str">
        <x:v>BRONSON SOUTH HAVEN HOSPITAL</x:v>
      </x:c>
      <x:c r="C984" s="2" t="str">
        <x:v>SOUTH HAVEN</x:v>
      </x:c>
      <x:c r="D984" s="2" t="str">
        <x:v>MI</x:v>
      </x:c>
      <x:c r="E984" s="2" t="str">
        <x:v>Acute Care Hospitals</x:v>
      </x:c>
      <x:c r="F984" s="2" t="str">
        <x:v>Government</x:v>
      </x:c>
      <x:c r="G984" s="2" t="str">
        <x:v>Small (&lt;100 beds)</x:v>
      </x:c>
      <x:c r="H984" s="7"/>
      <x:c r="I984" s="7"/>
      <x:c r="J984" s="7" t="n">
        <x:v>0.84</x:v>
      </x:c>
      <x:c r="K984" s="8" t="n">
        <x:v>8</x:v>
      </x:c>
      <x:c r="L984" s="8" t="n">
        <x:v>444</x:v>
      </x:c>
      <x:c r="M984" s="9" t="n">
        <x:v>0.6140710383</x:v>
      </x:c>
      <x:c r="N984" s="10" t="n">
        <x:v>95519.0653153153</x:v>
      </x:c>
      <x:c r="O984" s="9" t="n">
        <x:v>-0.043355638</x:v>
      </x:c>
      <x:c r="P984" s="9" t="n">
        <x:v>0.8016157989</x:v>
      </x:c>
      <x:c r="Q984" s="9" t="n">
        <x:v>0.697486535</x:v>
      </x:c>
      <x:c r="R984" s="3" t="b">
        <x:v>0</x:v>
      </x:c>
      <x:c r="S984" s="3" t="b">
        <x:v>0</x:v>
      </x:c>
      <x:c r="T984" s="3" t="b">
        <x:v>0</x:v>
      </x:c>
      <x:c r="U984" s="2" t="str">
        <x:f>IF(T984=TRUE,"Priority review",IF(R984=TRUE,"High cost",IF(S984=TRUE,"Low quality","Benchmark")))</x:f>
        <x:v>Benchmark</x:v>
      </x:c>
    </x:row>
    <x:row r="985">
      <x:c r="A985" s="2" t="str">
        <x:v>281325</x:v>
      </x:c>
      <x:c r="B985" s="2" t="str">
        <x:v>BROWN COUNTY HOSPITAL</x:v>
      </x:c>
      <x:c r="C985" s="2" t="str">
        <x:v>AINSWORTH</x:v>
      </x:c>
      <x:c r="D985" s="2" t="str">
        <x:v>NE</x:v>
      </x:c>
      <x:c r="E985" s="2" t="str">
        <x:v>Critical Access Hospitals</x:v>
      </x:c>
      <x:c r="F985" s="2" t="str">
        <x:v>Government</x:v>
      </x:c>
      <x:c r="G985" s="2" t="str">
        <x:v>Small (&lt;100 beds)</x:v>
      </x:c>
      <x:c r="H985" s="7"/>
      <x:c r="I985" s="7"/>
      <x:c r="J985" s="7"/>
      <x:c r="K985" s="8" t="n">
        <x:v>19</x:v>
      </x:c>
      <x:c r="L985" s="8" t="n">
        <x:v>61</x:v>
      </x:c>
      <x:c r="M985" s="9" t="n">
        <x:v>0.0586878154</x:v>
      </x:c>
      <x:c r="N985" s="10" t="n">
        <x:v>239402</x:v>
      </x:c>
      <x:c r="O985" s="9" t="n">
        <x:v>-0.0734433019</x:v>
      </x:c>
      <x:c r="P985" s="9" t="n">
        <x:v>0.8014869888</x:v>
      </x:c>
      <x:c r="Q985" s="9" t="n">
        <x:v>0.292936803</x:v>
      </x:c>
      <x:c r="R985" s="3" t="b">
        <x:v>0</x:v>
      </x:c>
      <x:c r="S985" s="3" t="b">
        <x:v>0</x:v>
      </x:c>
      <x:c r="T985" s="3" t="b">
        <x:v>0</x:v>
      </x:c>
      <x:c r="U985" s="2" t="str">
        <x:f>IF(T985=TRUE,"Priority review",IF(R985=TRUE,"High cost",IF(S985=TRUE,"Low quality","Benchmark")))</x:f>
        <x:v>Benchmark</x:v>
      </x:c>
    </x:row>
    <x:row r="986">
      <x:c r="A986" s="2" t="str">
        <x:v>380061</x:v>
      </x:c>
      <x:c r="B986" s="2" t="str">
        <x:v>PROVIDENCE PORTLAND MEDICAL CENTER</x:v>
      </x:c>
      <x:c r="C986" s="2" t="str">
        <x:v>PORTLAND</x:v>
      </x:c>
      <x:c r="D986" s="2" t="str">
        <x:v>OR</x:v>
      </x:c>
      <x:c r="E986" s="2" t="str">
        <x:v>Acute Care Hospitals</x:v>
      </x:c>
      <x:c r="F986" s="2" t="str">
        <x:v>Voluntary non-profit</x:v>
      </x:c>
      <x:c r="G986" s="2" t="str">
        <x:v>Large (300+ beds)</x:v>
      </x:c>
      <x:c r="H986" s="7" t="n">
        <x:v>4</x:v>
      </x:c>
      <x:c r="I986" s="7" t="n">
        <x:v>4</x:v>
      </x:c>
      <x:c r="J986" s="7" t="n">
        <x:v>0.94</x:v>
      </x:c>
      <x:c r="K986" s="8" t="n">
        <x:v>390</x:v>
      </x:c>
      <x:c r="L986" s="8" t="n">
        <x:v>20829</x:v>
      </x:c>
      <x:c r="M986" s="9" t="n">
        <x:v>0.8115174443</x:v>
      </x:c>
      <x:c r="N986" s="10" t="n">
        <x:v>59093.3732776418</x:v>
      </x:c>
      <x:c r="O986" s="9" t="n">
        <x:v>-0.2286225532</x:v>
      </x:c>
      <x:c r="P986" s="9" t="n">
        <x:v>0.8012618297</x:v>
      </x:c>
      <x:c r="Q986" s="9" t="n">
        <x:v>0.5899053628</x:v>
      </x:c>
      <x:c r="R986" s="3" t="b">
        <x:v>0</x:v>
      </x:c>
      <x:c r="S986" s="3" t="b">
        <x:v>0</x:v>
      </x:c>
      <x:c r="T986" s="3" t="b">
        <x:v>0</x:v>
      </x:c>
      <x:c r="U986" s="2" t="str">
        <x:f>IF(T986=TRUE,"Priority review",IF(R986=TRUE,"High cost",IF(S986=TRUE,"Low quality","Benchmark")))</x:f>
        <x:v>Benchmark</x:v>
      </x:c>
    </x:row>
    <x:row r="987">
      <x:c r="A987" s="2" t="str">
        <x:v>440068</x:v>
      </x:c>
      <x:c r="B987" s="2" t="str">
        <x:v>STARR REGIONAL MEDICAL CENTER ATHENS</x:v>
      </x:c>
      <x:c r="C987" s="2" t="str">
        <x:v>ATHENS</x:v>
      </x:c>
      <x:c r="D987" s="2" t="str">
        <x:v>TN</x:v>
      </x:c>
      <x:c r="E987" s="2" t="str">
        <x:v>Acute Care Hospitals</x:v>
      </x:c>
      <x:c r="F987" s="2" t="str">
        <x:v>Proprietary</x:v>
      </x:c>
      <x:c r="G987" s="2" t="str">
        <x:v>Medium (100-299 beds)</x:v>
      </x:c>
      <x:c r="H987" s="7" t="n">
        <x:v>3</x:v>
      </x:c>
      <x:c r="I987" s="7" t="n">
        <x:v>3</x:v>
      </x:c>
      <x:c r="J987" s="7" t="n">
        <x:v>0.94</x:v>
      </x:c>
      <x:c r="K987" s="8" t="n">
        <x:v>172</x:v>
      </x:c>
      <x:c r="L987" s="8" t="n">
        <x:v>2065</x:v>
      </x:c>
      <x:c r="M987" s="9" t="n">
        <x:v>0.1369773796</x:v>
      </x:c>
      <x:c r="N987" s="10" t="n">
        <x:v>50626.2745762712</x:v>
      </x:c>
      <x:c r="O987" s="9" t="n">
        <x:v>0.1595029915</x:v>
      </x:c>
      <x:c r="P987" s="9" t="n">
        <x:v>0.8011409943</x:v>
      </x:c>
      <x:c r="Q987" s="9" t="n">
        <x:v>0.3023634882</x:v>
      </x:c>
      <x:c r="R987" s="3" t="b">
        <x:v>0</x:v>
      </x:c>
      <x:c r="S987" s="3" t="b">
        <x:v>0</x:v>
      </x:c>
      <x:c r="T987" s="3" t="b">
        <x:v>0</x:v>
      </x:c>
      <x:c r="U987" s="2" t="str">
        <x:f>IF(T987=TRUE,"Priority review",IF(R987=TRUE,"High cost",IF(S987=TRUE,"Low quality","Benchmark")))</x:f>
        <x:v>Benchmark</x:v>
      </x:c>
    </x:row>
    <x:row r="988">
      <x:c r="A988" s="2" t="str">
        <x:v>094001</x:v>
      </x:c>
      <x:c r="B988" s="2" t="str">
        <x:v>ST ELIZABETHS HOSPITAL</x:v>
      </x:c>
      <x:c r="C988" s="2" t="str">
        <x:v>WASHINGTON</x:v>
      </x:c>
      <x:c r="D988" s="2" t="str">
        <x:v>DC</x:v>
      </x:c>
      <x:c r="E988" s="2" t="str">
        <x:v>Psychiatric</x:v>
      </x:c>
      <x:c r="F988" s="2" t="str">
        <x:v>Government</x:v>
      </x:c>
      <x:c r="G988" s="2" t="str">
        <x:v>Medium (100-299 beds)</x:v>
      </x:c>
      <x:c r="H988" s="7"/>
      <x:c r="I988" s="7"/>
      <x:c r="J988" s="7"/>
      <x:c r="K988" s="8" t="n">
        <x:v>292</x:v>
      </x:c>
      <x:c r="L988" s="8" t="n">
        <x:v>2358</x:v>
      </x:c>
      <x:c r="M988" s="9" t="n">
        <x:v>0.8831592934</x:v>
      </x:c>
      <x:c r="N988" s="10" t="n">
        <x:v>53668.2340966921</x:v>
      </x:c>
      <x:c r="O988" s="9"/>
      <x:c r="P988" s="9" t="n">
        <x:v>0.8009950249</x:v>
      </x:c>
      <x:c r="Q988" s="9" t="n">
        <x:v>0</x:v>
      </x:c>
      <x:c r="R988" s="3" t="b">
        <x:v>0</x:v>
      </x:c>
      <x:c r="S988" s="3" t="b">
        <x:v>0</x:v>
      </x:c>
      <x:c r="T988" s="3" t="b">
        <x:v>0</x:v>
      </x:c>
      <x:c r="U988" s="2" t="str">
        <x:f>IF(T988=TRUE,"Priority review",IF(R988=TRUE,"High cost",IF(S988=TRUE,"Low quality","Benchmark")))</x:f>
        <x:v>Benchmark</x:v>
      </x:c>
    </x:row>
    <x:row r="989">
      <x:c r="A989" s="2" t="str">
        <x:v>181302</x:v>
      </x:c>
      <x:c r="B989" s="2" t="str">
        <x:v>THE JAMES B. HAGGIN MEMORIAL HOSPITAL</x:v>
      </x:c>
      <x:c r="C989" s="2" t="str">
        <x:v>HARRODSBURG</x:v>
      </x:c>
      <x:c r="D989" s="2" t="str">
        <x:v>KY</x:v>
      </x:c>
      <x:c r="E989" s="2" t="str">
        <x:v>Critical Access Hospitals</x:v>
      </x:c>
      <x:c r="F989" s="2" t="str">
        <x:v>Voluntary non-profit</x:v>
      </x:c>
      <x:c r="G989" s="2" t="str">
        <x:v>Small (&lt;100 beds)</x:v>
      </x:c>
      <x:c r="H989" s="7"/>
      <x:c r="I989" s="7"/>
      <x:c r="J989" s="7"/>
      <x:c r="K989" s="8" t="n">
        <x:v>25</x:v>
      </x:c>
      <x:c r="L989" s="8" t="n">
        <x:v>138</x:v>
      </x:c>
      <x:c r="M989" s="9" t="n">
        <x:v>0.4196721311</x:v>
      </x:c>
      <x:c r="N989" s="10" t="n">
        <x:v>239298.3695652174</x:v>
      </x:c>
      <x:c r="O989" s="9" t="n">
        <x:v>0.2430978397</x:v>
      </x:c>
      <x:c r="P989" s="9" t="n">
        <x:v>0.8007434944</x:v>
      </x:c>
      <x:c r="Q989" s="9" t="n">
        <x:v>0.292936803</x:v>
      </x:c>
      <x:c r="R989" s="3" t="b">
        <x:v>0</x:v>
      </x:c>
      <x:c r="S989" s="3" t="b">
        <x:v>0</x:v>
      </x:c>
      <x:c r="T989" s="3" t="b">
        <x:v>0</x:v>
      </x:c>
      <x:c r="U989" s="2" t="str">
        <x:f>IF(T989=TRUE,"Priority review",IF(R989=TRUE,"High cost",IF(S989=TRUE,"Low quality","Benchmark")))</x:f>
        <x:v>Benchmark</x:v>
      </x:c>
    </x:row>
    <x:row r="990">
      <x:c r="A990" s="2" t="str">
        <x:v>460019</x:v>
      </x:c>
      <x:c r="B990" s="2" t="str">
        <x:v>UINTAH BASIN MEDICAL CENTER</x:v>
      </x:c>
      <x:c r="C990" s="2" t="str">
        <x:v>ROOSEVELT</x:v>
      </x:c>
      <x:c r="D990" s="2" t="str">
        <x:v>UT</x:v>
      </x:c>
      <x:c r="E990" s="2" t="str">
        <x:v>Acute Care Hospitals</x:v>
      </x:c>
      <x:c r="F990" s="2" t="str">
        <x:v>Voluntary non-profit</x:v>
      </x:c>
      <x:c r="G990" s="2" t="str">
        <x:v>Small (&lt;100 beds)</x:v>
      </x:c>
      <x:c r="H990" s="7" t="n">
        <x:v>2</x:v>
      </x:c>
      <x:c r="I990" s="7" t="n">
        <x:v>3</x:v>
      </x:c>
      <x:c r="J990" s="7" t="n">
        <x:v>0.86</x:v>
      </x:c>
      <x:c r="K990" s="8" t="n">
        <x:v>33</x:v>
      </x:c>
      <x:c r="L990" s="8" t="n">
        <x:v>1542</x:v>
      </x:c>
      <x:c r="M990" s="9" t="n">
        <x:v>0.346429166</x:v>
      </x:c>
      <x:c r="N990" s="10" t="n">
        <x:v>95354.406614786</x:v>
      </x:c>
      <x:c r="O990" s="9" t="n">
        <x:v>0.0272665395</x:v>
      </x:c>
      <x:c r="P990" s="9" t="n">
        <x:v>0.8007181329</x:v>
      </x:c>
      <x:c r="Q990" s="9" t="n">
        <x:v>0.0350089767</x:v>
      </x:c>
      <x:c r="R990" s="3" t="b">
        <x:v>0</x:v>
      </x:c>
      <x:c r="S990" s="3" t="b">
        <x:v>1</x:v>
      </x:c>
      <x:c r="T990" s="3" t="b">
        <x:v>0</x:v>
      </x:c>
      <x:c r="U990" s="2" t="str">
        <x:f>IF(T990=TRUE,"Priority review",IF(R990=TRUE,"High cost",IF(S990=TRUE,"Low quality","Benchmark")))</x:f>
        <x:v>Low quality</x:v>
      </x:c>
    </x:row>
    <x:row r="991">
      <x:c r="A991" s="2" t="str">
        <x:v>050488</x:v>
      </x:c>
      <x:c r="B991" s="2" t="str">
        <x:v>EDEN MEDICAL CENTER</x:v>
      </x:c>
      <x:c r="C991" s="2" t="str">
        <x:v>CASTRO VALLEY</x:v>
      </x:c>
      <x:c r="D991" s="2" t="str">
        <x:v>CA</x:v>
      </x:c>
      <x:c r="E991" s="2" t="str">
        <x:v>Acute Care Hospitals</x:v>
      </x:c>
      <x:c r="F991" s="2" t="str">
        <x:v>Voluntary non-profit</x:v>
      </x:c>
      <x:c r="G991" s="2" t="str">
        <x:v>Medium (100-299 beds)</x:v>
      </x:c>
      <x:c r="H991" s="7" t="n">
        <x:v>4</x:v>
      </x:c>
      <x:c r="I991" s="7" t="n">
        <x:v>3</x:v>
      </x:c>
      <x:c r="J991" s="7" t="n">
        <x:v>1.07</x:v>
      </x:c>
      <x:c r="K991" s="8" t="n">
        <x:v>126</x:v>
      </x:c>
      <x:c r="L991" s="8" t="n">
        <x:v>8752</x:v>
      </x:c>
      <x:c r="M991" s="9" t="n">
        <x:v>0.938177639</x:v>
      </x:c>
      <x:c r="N991" s="10" t="n">
        <x:v>50611.9769195612</x:v>
      </x:c>
      <x:c r="O991" s="9" t="n">
        <x:v>0.0513633717</x:v>
      </x:c>
      <x:c r="P991" s="9" t="n">
        <x:v>0.8003259984</x:v>
      </x:c>
      <x:c r="Q991" s="9" t="n">
        <x:v>0.6022819886</x:v>
      </x:c>
      <x:c r="R991" s="3" t="b">
        <x:v>0</x:v>
      </x:c>
      <x:c r="S991" s="3" t="b">
        <x:v>0</x:v>
      </x:c>
      <x:c r="T991" s="3" t="b">
        <x:v>0</x:v>
      </x:c>
      <x:c r="U991" s="2" t="str">
        <x:f>IF(T991=TRUE,"Priority review",IF(R991=TRUE,"High cost",IF(S991=TRUE,"Low quality","Benchmark")))</x:f>
        <x:v>Benchmark</x:v>
      </x:c>
    </x:row>
    <x:row r="992">
      <x:c r="A992" s="2" t="str">
        <x:v>064001</x:v>
      </x:c>
      <x:c r="B992" s="2" t="str">
        <x:v>COLORADO MENTAL HEALTH HOSPITAL IN PUEBLO</x:v>
      </x:c>
      <x:c r="C992" s="2" t="str">
        <x:v>PUEBLO</x:v>
      </x:c>
      <x:c r="D992" s="2" t="str">
        <x:v>CO</x:v>
      </x:c>
      <x:c r="E992" s="2" t="str">
        <x:v>Psychiatric</x:v>
      </x:c>
      <x:c r="F992" s="2" t="str">
        <x:v>Government</x:v>
      </x:c>
      <x:c r="G992" s="2" t="str">
        <x:v>Large (300+ beds)</x:v>
      </x:c>
      <x:c r="H992" s="7"/>
      <x:c r="I992" s="7"/>
      <x:c r="J992" s="7"/>
      <x:c r="K992" s="8" t="n">
        <x:v>516</x:v>
      </x:c>
      <x:c r="L992" s="8" t="n">
        <x:v>325</x:v>
      </x:c>
      <x:c r="M992" s="9" t="n">
        <x:v>0.7640118934</x:v>
      </x:c>
      <x:c r="N992" s="10" t="n">
        <x:v>680398.796923077</x:v>
      </x:c>
      <x:c r="O992" s="9" t="n">
        <x:v>0.5217471688</x:v>
      </x:c>
      <x:c r="P992" s="9" t="n">
        <x:v>0.8</x:v>
      </x:c>
      <x:c r="Q992" s="9" t="n">
        <x:v>0</x:v>
      </x:c>
      <x:c r="R992" s="3" t="b">
        <x:v>0</x:v>
      </x:c>
      <x:c r="S992" s="3" t="b">
        <x:v>0</x:v>
      </x:c>
      <x:c r="T992" s="3" t="b">
        <x:v>0</x:v>
      </x:c>
      <x:c r="U992" s="2" t="str">
        <x:f>IF(T992=TRUE,"Priority review",IF(R992=TRUE,"High cost",IF(S992=TRUE,"Low quality","Benchmark")))</x:f>
        <x:v>Benchmark</x:v>
      </x:c>
    </x:row>
    <x:row r="993">
      <x:c r="A993" s="2" t="str">
        <x:v>251300</x:v>
      </x:c>
      <x:c r="B993" s="2" t="str">
        <x:v>S E LACKEY MEMORIAL HOSPITAL</x:v>
      </x:c>
      <x:c r="C993" s="2" t="str">
        <x:v>FOREST</x:v>
      </x:c>
      <x:c r="D993" s="2" t="str">
        <x:v>MS</x:v>
      </x:c>
      <x:c r="E993" s="2" t="str">
        <x:v>Critical Access Hospitals</x:v>
      </x:c>
      <x:c r="F993" s="2" t="str">
        <x:v>Voluntary non-profit</x:v>
      </x:c>
      <x:c r="G993" s="2" t="str">
        <x:v>Small (&lt;100 beds)</x:v>
      </x:c>
      <x:c r="H993" s="7"/>
      <x:c r="I993" s="7"/>
      <x:c r="J993" s="7"/>
      <x:c r="K993" s="8" t="n">
        <x:v>25</x:v>
      </x:c>
      <x:c r="L993" s="8" t="n">
        <x:v>169</x:v>
      </x:c>
      <x:c r="M993" s="9" t="n">
        <x:v>0.3967213115</x:v>
      </x:c>
      <x:c r="N993" s="10" t="n">
        <x:v>238726.0414201183</x:v>
      </x:c>
      <x:c r="O993" s="9" t="n">
        <x:v>0.1242468212</x:v>
      </x:c>
      <x:c r="P993" s="9" t="n">
        <x:v>0.8</x:v>
      </x:c>
      <x:c r="Q993" s="9" t="n">
        <x:v>0.292936803</x:v>
      </x:c>
      <x:c r="R993" s="3" t="b">
        <x:v>0</x:v>
      </x:c>
      <x:c r="S993" s="3" t="b">
        <x:v>0</x:v>
      </x:c>
      <x:c r="T993" s="3" t="b">
        <x:v>0</x:v>
      </x:c>
      <x:c r="U993" s="2" t="str">
        <x:f>IF(T993=TRUE,"Priority review",IF(R993=TRUE,"High cost",IF(S993=TRUE,"Low quality","Benchmark")))</x:f>
        <x:v>Benchmark</x:v>
      </x:c>
    </x:row>
    <x:row r="994">
      <x:c r="A994" s="2" t="str">
        <x:v>240043</x:v>
      </x:c>
      <x:c r="B994" s="2" t="str">
        <x:v>MAYO CLINIC HEALTH SYSTEM - ALBERT LEA AND AUSTIN</x:v>
      </x:c>
      <x:c r="C994" s="2" t="str">
        <x:v>ALBERT LEA</x:v>
      </x:c>
      <x:c r="D994" s="2" t="str">
        <x:v>MN</x:v>
      </x:c>
      <x:c r="E994" s="2" t="str">
        <x:v>Acute Care Hospitals</x:v>
      </x:c>
      <x:c r="F994" s="2" t="str">
        <x:v>Voluntary non-profit</x:v>
      </x:c>
      <x:c r="G994" s="2" t="str">
        <x:v>Small (&lt;100 beds)</x:v>
      </x:c>
      <x:c r="H994" s="7" t="n">
        <x:v>5</x:v>
      </x:c>
      <x:c r="I994" s="7" t="n">
        <x:v>4</x:v>
      </x:c>
      <x:c r="J994" s="7" t="n">
        <x:v>0.9</x:v>
      </x:c>
      <x:c r="K994" s="8" t="n">
        <x:v>79</x:v>
      </x:c>
      <x:c r="L994" s="8" t="n">
        <x:v>3431</x:v>
      </x:c>
      <x:c r="M994" s="9" t="n">
        <x:v>0.5126236425</x:v>
      </x:c>
      <x:c r="N994" s="10" t="n">
        <x:v>94336.7161177499</x:v>
      </x:c>
      <x:c r="O994" s="9" t="n">
        <x:v>-0.0835377367</x:v>
      </x:c>
      <x:c r="P994" s="9" t="n">
        <x:v>0.7998204668</x:v>
      </x:c>
      <x:c r="Q994" s="9" t="n">
        <x:v>0.6131059246</x:v>
      </x:c>
      <x:c r="R994" s="3" t="b">
        <x:v>0</x:v>
      </x:c>
      <x:c r="S994" s="3" t="b">
        <x:v>0</x:v>
      </x:c>
      <x:c r="T994" s="3" t="b">
        <x:v>0</x:v>
      </x:c>
      <x:c r="U994" s="2" t="str">
        <x:f>IF(T994=TRUE,"Priority review",IF(R994=TRUE,"High cost",IF(S994=TRUE,"Low quality","Benchmark")))</x:f>
        <x:v>Benchmark</x:v>
      </x:c>
    </x:row>
    <x:row r="995">
      <x:c r="A995" s="2" t="str">
        <x:v>270012</x:v>
      </x:c>
      <x:c r="B995" s="2" t="str">
        <x:v>BENEFIS HOSPITALS INC</x:v>
      </x:c>
      <x:c r="C995" s="2" t="str">
        <x:v>GREAT FALLS</x:v>
      </x:c>
      <x:c r="D995" s="2" t="str">
        <x:v>MT</x:v>
      </x:c>
      <x:c r="E995" s="2" t="str">
        <x:v>Acute Care Hospitals</x:v>
      </x:c>
      <x:c r="F995" s="2" t="str">
        <x:v>Voluntary non-profit</x:v>
      </x:c>
      <x:c r="G995" s="2" t="str">
        <x:v>Large (300+ beds)</x:v>
      </x:c>
      <x:c r="H995" s="7" t="n">
        <x:v>2</x:v>
      </x:c>
      <x:c r="I995" s="7" t="n">
        <x:v>3</x:v>
      </x:c>
      <x:c r="J995" s="7" t="n">
        <x:v>0.94</x:v>
      </x:c>
      <x:c r="K995" s="8" t="n">
        <x:v>312</x:v>
      </x:c>
      <x:c r="L995" s="8" t="n">
        <x:v>11637</x:v>
      </x:c>
      <x:c r="M995" s="9" t="n">
        <x:v>0.4615910046</x:v>
      </x:c>
      <x:c r="N995" s="10" t="n">
        <x:v>59047.1622411274</x:v>
      </x:c>
      <x:c r="O995" s="9" t="n">
        <x:v>-0.1035239087</x:v>
      </x:c>
      <x:c r="P995" s="9" t="n">
        <x:v>0.7996845426</x:v>
      </x:c>
      <x:c r="Q995" s="9" t="n">
        <x:v>0.0536277603</x:v>
      </x:c>
      <x:c r="R995" s="3" t="b">
        <x:v>0</x:v>
      </x:c>
      <x:c r="S995" s="3" t="b">
        <x:v>1</x:v>
      </x:c>
      <x:c r="T995" s="3" t="b">
        <x:v>0</x:v>
      </x:c>
      <x:c r="U995" s="2" t="str">
        <x:f>IF(T995=TRUE,"Priority review",IF(R995=TRUE,"High cost",IF(S995=TRUE,"Low quality","Benchmark")))</x:f>
        <x:v>Low quality</x:v>
      </x:c>
    </x:row>
    <x:row r="996">
      <x:c r="A996" s="2" t="str">
        <x:v>250082</x:v>
      </x:c>
      <x:c r="B996" s="2" t="str">
        <x:v>DELTA HEALTH SYSTEM - THE MEDICAL CENTER</x:v>
      </x:c>
      <x:c r="C996" s="2" t="str">
        <x:v>GREENVILLE</x:v>
      </x:c>
      <x:c r="D996" s="2" t="str">
        <x:v>MS</x:v>
      </x:c>
      <x:c r="E996" s="2" t="str">
        <x:v>Acute Care Hospitals</x:v>
      </x:c>
      <x:c r="F996" s="2" t="str">
        <x:v>Government</x:v>
      </x:c>
      <x:c r="G996" s="2" t="str">
        <x:v>Medium (100-299 beds)</x:v>
      </x:c>
      <x:c r="H996" s="7" t="n">
        <x:v>1</x:v>
      </x:c>
      <x:c r="I996" s="7" t="n">
        <x:v>3</x:v>
      </x:c>
      <x:c r="J996" s="7" t="n">
        <x:v>1.14</x:v>
      </x:c>
      <x:c r="K996" s="8" t="n">
        <x:v>101</x:v>
      </x:c>
      <x:c r="L996" s="8" t="n">
        <x:v>2735</x:v>
      </x:c>
      <x:c r="M996" s="9" t="n">
        <x:v>0.4450305686</x:v>
      </x:c>
      <x:c r="N996" s="10" t="n">
        <x:v>50608.0029250457</x:v>
      </x:c>
      <x:c r="O996" s="9" t="n">
        <x:v>-0.0502823509</x:v>
      </x:c>
      <x:c r="P996" s="9" t="n">
        <x:v>0.7995110024</x:v>
      </x:c>
      <x:c r="Q996" s="9" t="n">
        <x:v>0</x:v>
      </x:c>
      <x:c r="R996" s="3" t="b">
        <x:v>0</x:v>
      </x:c>
      <x:c r="S996" s="3" t="b">
        <x:v>1</x:v>
      </x:c>
      <x:c r="T996" s="3" t="b">
        <x:v>0</x:v>
      </x:c>
      <x:c r="U996" s="2" t="str">
        <x:f>IF(T996=TRUE,"Priority review",IF(R996=TRUE,"High cost",IF(S996=TRUE,"Low quality","Benchmark")))</x:f>
        <x:v>Low quality</x:v>
      </x:c>
    </x:row>
    <x:row r="997">
      <x:c r="A997" s="2" t="str">
        <x:v>134009</x:v>
      </x:c>
      <x:c r="B997" s="2" t="str">
        <x:v>LIFEWAYS HOSPITAL</x:v>
      </x:c>
      <x:c r="C997" s="2" t="str">
        <x:v>BOISE</x:v>
      </x:c>
      <x:c r="D997" s="2" t="str">
        <x:v>ID</x:v>
      </x:c>
      <x:c r="E997" s="2" t="str">
        <x:v>Psychiatric</x:v>
      </x:c>
      <x:c r="F997" s="2" t="str">
        <x:v>Voluntary non-profit</x:v>
      </x:c>
      <x:c r="G997" s="2" t="str">
        <x:v>Small (&lt;100 beds)</x:v>
      </x:c>
      <x:c r="H997" s="7"/>
      <x:c r="I997" s="7"/>
      <x:c r="J997" s="7"/>
      <x:c r="K997" s="8" t="n">
        <x:v>16</x:v>
      </x:c>
      <x:c r="L997" s="8" t="n">
        <x:v>710</x:v>
      </x:c>
      <x:c r="M997" s="9" t="n">
        <x:v>0.7859589041</x:v>
      </x:c>
      <x:c r="N997" s="10" t="n">
        <x:v>45378.7521126761</x:v>
      </x:c>
      <x:c r="O997" s="9" t="n">
        <x:v>-0.0989367718</x:v>
      </x:c>
      <x:c r="P997" s="9" t="n">
        <x:v>0.7993527508</x:v>
      </x:c>
      <x:c r="Q997" s="9" t="n">
        <x:v>0</x:v>
      </x:c>
      <x:c r="R997" s="3" t="b">
        <x:v>0</x:v>
      </x:c>
      <x:c r="S997" s="3" t="b">
        <x:v>0</x:v>
      </x:c>
      <x:c r="T997" s="3" t="b">
        <x:v>0</x:v>
      </x:c>
      <x:c r="U997" s="2" t="str">
        <x:f>IF(T997=TRUE,"Priority review",IF(R997=TRUE,"High cost",IF(S997=TRUE,"Low quality","Benchmark")))</x:f>
        <x:v>Benchmark</x:v>
      </x:c>
    </x:row>
    <x:row r="998">
      <x:c r="A998" s="2" t="str">
        <x:v>351329</x:v>
      </x:c>
      <x:c r="B998" s="2" t="str">
        <x:v>SANFORD HILLSBORO</x:v>
      </x:c>
      <x:c r="C998" s="2" t="str">
        <x:v>HILLSBORO</x:v>
      </x:c>
      <x:c r="D998" s="2" t="str">
        <x:v>ND</x:v>
      </x:c>
      <x:c r="E998" s="2" t="str">
        <x:v>Critical Access Hospitals</x:v>
      </x:c>
      <x:c r="F998" s="2" t="str">
        <x:v>Voluntary non-profit</x:v>
      </x:c>
      <x:c r="G998" s="2" t="str">
        <x:v>Small (&lt;100 beds)</x:v>
      </x:c>
      <x:c r="H998" s="7"/>
      <x:c r="I998" s="7"/>
      <x:c r="J998" s="7"/>
      <x:c r="K998" s="8" t="n">
        <x:v>16</x:v>
      </x:c>
      <x:c r="L998" s="8" t="n">
        <x:v>69</x:v>
      </x:c>
      <x:c r="M998" s="9" t="n">
        <x:v>0.3990778689</x:v>
      </x:c>
      <x:c r="N998" s="10" t="n">
        <x:v>238441.7391304348</x:v>
      </x:c>
      <x:c r="O998" s="9" t="n">
        <x:v>-0.0940512863</x:v>
      </x:c>
      <x:c r="P998" s="9" t="n">
        <x:v>0.7992565056</x:v>
      </x:c>
      <x:c r="Q998" s="9" t="n">
        <x:v>0.292936803</x:v>
      </x:c>
      <x:c r="R998" s="3" t="b">
        <x:v>0</x:v>
      </x:c>
      <x:c r="S998" s="3" t="b">
        <x:v>0</x:v>
      </x:c>
      <x:c r="T998" s="3" t="b">
        <x:v>0</x:v>
      </x:c>
      <x:c r="U998" s="2" t="str">
        <x:f>IF(T998=TRUE,"Priority review",IF(R998=TRUE,"High cost",IF(S998=TRUE,"Low quality","Benchmark")))</x:f>
        <x:v>Benchmark</x:v>
      </x:c>
    </x:row>
    <x:row r="999">
      <x:c r="A999" s="2" t="str">
        <x:v>190241</x:v>
      </x:c>
      <x:c r="B999" s="2" t="str">
        <x:v>PHYSICIANS MEDICAL CENTER</x:v>
      </x:c>
      <x:c r="C999" s="2" t="str">
        <x:v>HOUMA</x:v>
      </x:c>
      <x:c r="D999" s="2" t="str">
        <x:v>LA</x:v>
      </x:c>
      <x:c r="E999" s="2" t="str">
        <x:v>Acute Care Hospitals</x:v>
      </x:c>
      <x:c r="F999" s="2" t="str">
        <x:v>Other / unknown</x:v>
      </x:c>
      <x:c r="G999" s="2" t="str">
        <x:v>Small (&lt;100 beds)</x:v>
      </x:c>
      <x:c r="H999" s="7"/>
      <x:c r="I999" s="7"/>
      <x:c r="J999" s="7"/>
      <x:c r="K999" s="8" t="n">
        <x:v>30</x:v>
      </x:c>
      <x:c r="L999" s="8" t="n">
        <x:v>157</x:v>
      </x:c>
      <x:c r="M999" s="9" t="n">
        <x:v>0.0307832423</x:v>
      </x:c>
      <x:c r="N999" s="10" t="n">
        <x:v>94196.3885350318</x:v>
      </x:c>
      <x:c r="O999" s="9" t="n">
        <x:v>0.072244309</x:v>
      </x:c>
      <x:c r="P999" s="9" t="n">
        <x:v>0.7989228007</x:v>
      </x:c>
      <x:c r="Q999" s="9" t="n">
        <x:v>0.697486535</x:v>
      </x:c>
      <x:c r="R999" s="3" t="b">
        <x:v>0</x:v>
      </x:c>
      <x:c r="S999" s="3" t="b">
        <x:v>0</x:v>
      </x:c>
      <x:c r="T999" s="3" t="b">
        <x:v>0</x:v>
      </x:c>
      <x:c r="U999" s="2" t="str">
        <x:f>IF(T999=TRUE,"Priority review",IF(R999=TRUE,"High cost",IF(S999=TRUE,"Low quality","Benchmark")))</x:f>
        <x:v>Benchmark</x:v>
      </x:c>
    </x:row>
    <x:row r="1000">
      <x:c r="A1000" s="2" t="str">
        <x:v>050677</x:v>
      </x:c>
      <x:c r="B1000" s="2" t="str">
        <x:v>KAISER FOUNDATION HOSPITAL - WOODLAND HILLS</x:v>
      </x:c>
      <x:c r="C1000" s="2" t="str">
        <x:v>WOODLAND HILLS</x:v>
      </x:c>
      <x:c r="D1000" s="2" t="str">
        <x:v>CA</x:v>
      </x:c>
      <x:c r="E1000" s="2" t="str">
        <x:v>Acute Care Hospitals</x:v>
      </x:c>
      <x:c r="F1000" s="2" t="str">
        <x:v>Voluntary non-profit</x:v>
      </x:c>
      <x:c r="G1000" s="2" t="str">
        <x:v>Medium (100-299 beds)</x:v>
      </x:c>
      <x:c r="H1000" s="7" t="n">
        <x:v>4</x:v>
      </x:c>
      <x:c r="I1000" s="7" t="n">
        <x:v>3</x:v>
      </x:c>
      <x:c r="J1000" s="7" t="n">
        <x:v>0.99</x:v>
      </x:c>
      <x:c r="K1000" s="8" t="n">
        <x:v>274</x:v>
      </x:c>
      <x:c r="L1000" s="8" t="n">
        <x:v>10142</x:v>
      </x:c>
      <x:c r="M1000" s="9" t="n">
        <x:v>0.4346356348</x:v>
      </x:c>
      <x:c r="N1000" s="10" t="n">
        <x:v>50574.2013409584</x:v>
      </x:c>
      <x:c r="O1000" s="9" t="n">
        <x:v>0.0227320047</x:v>
      </x:c>
      <x:c r="P1000" s="9" t="n">
        <x:v>0.7986960065</x:v>
      </x:c>
      <x:c r="Q1000" s="9" t="n">
        <x:v>0.6022819886</x:v>
      </x:c>
      <x:c r="R1000" s="3" t="b">
        <x:v>0</x:v>
      </x:c>
      <x:c r="S1000" s="3" t="b">
        <x:v>0</x:v>
      </x:c>
      <x:c r="T1000" s="3" t="b">
        <x:v>0</x:v>
      </x:c>
      <x:c r="U1000" s="2" t="str">
        <x:f>IF(T1000=TRUE,"Priority review",IF(R1000=TRUE,"High cost",IF(S1000=TRUE,"Low quality","Benchmark")))</x:f>
        <x:v>Benchmark</x:v>
      </x:c>
    </x:row>
    <x:row r="1001">
      <x:c r="A1001" s="2" t="str">
        <x:v>241316</x:v>
      </x:c>
      <x:c r="B1001" s="2" t="str">
        <x:v>BIGFORK VALLEY HOSPITAL</x:v>
      </x:c>
      <x:c r="C1001" s="2" t="str">
        <x:v>BIGFORK</x:v>
      </x:c>
      <x:c r="D1001" s="2" t="str">
        <x:v>MN</x:v>
      </x:c>
      <x:c r="E1001" s="2" t="str">
        <x:v>Critical Access Hospitals</x:v>
      </x:c>
      <x:c r="F1001" s="2" t="str">
        <x:v>Government</x:v>
      </x:c>
      <x:c r="G1001" s="2" t="str">
        <x:v>Small (&lt;100 beds)</x:v>
      </x:c>
      <x:c r="H1001" s="7"/>
      <x:c r="I1001" s="7"/>
      <x:c r="J1001" s="7"/>
      <x:c r="K1001" s="8" t="n">
        <x:v>20</x:v>
      </x:c>
      <x:c r="L1001" s="8" t="n">
        <x:v>122</x:v>
      </x:c>
      <x:c r="M1001" s="9" t="n">
        <x:v>0.0893442623</x:v>
      </x:c>
      <x:c r="N1001" s="10" t="n">
        <x:v>238389.7049180328</x:v>
      </x:c>
      <x:c r="O1001" s="9" t="n">
        <x:v>-0.3415004829</x:v>
      </x:c>
      <x:c r="P1001" s="9" t="n">
        <x:v>0.7985130112</x:v>
      </x:c>
      <x:c r="Q1001" s="9" t="n">
        <x:v>0.292936803</x:v>
      </x:c>
      <x:c r="R1001" s="3" t="b">
        <x:v>0</x:v>
      </x:c>
      <x:c r="S1001" s="3" t="b">
        <x:v>0</x:v>
      </x:c>
      <x:c r="T1001" s="3" t="b">
        <x:v>0</x:v>
      </x:c>
      <x:c r="U1001" s="2" t="str">
        <x:f>IF(T1001=TRUE,"Priority review",IF(R1001=TRUE,"High cost",IF(S1001=TRUE,"Low quality","Benchmark")))</x:f>
        <x:v>Benchmark</x:v>
      </x:c>
    </x:row>
    <x:row r="1002">
      <x:c r="A1002" s="2" t="str">
        <x:v>490052</x:v>
      </x:c>
      <x:c r="B1002" s="2" t="str">
        <x:v>RIVERSIDE REGIONAL MEDICAL CENTER</x:v>
      </x:c>
      <x:c r="C1002" s="2" t="str">
        <x:v>NEWPORT NEWS</x:v>
      </x:c>
      <x:c r="D1002" s="2" t="str">
        <x:v>VA</x:v>
      </x:c>
      <x:c r="E1002" s="2" t="str">
        <x:v>Acute Care Hospitals</x:v>
      </x:c>
      <x:c r="F1002" s="2" t="str">
        <x:v>Voluntary non-profit</x:v>
      </x:c>
      <x:c r="G1002" s="2" t="str">
        <x:v>Large (300+ beds)</x:v>
      </x:c>
      <x:c r="H1002" s="7" t="n">
        <x:v>3</x:v>
      </x:c>
      <x:c r="I1002" s="7" t="n">
        <x:v>4</x:v>
      </x:c>
      <x:c r="J1002" s="7" t="n">
        <x:v>1.02</x:v>
      </x:c>
      <x:c r="K1002" s="8" t="n">
        <x:v>433</x:v>
      </x:c>
      <x:c r="L1002" s="8" t="n">
        <x:v>24560</x:v>
      </x:c>
      <x:c r="M1002" s="9" t="n">
        <x:v>0.8053105163</x:v>
      </x:c>
      <x:c r="N1002" s="10" t="n">
        <x:v>58740.6686074919</x:v>
      </x:c>
      <x:c r="O1002" s="9" t="n">
        <x:v>-0.209510037</x:v>
      </x:c>
      <x:c r="P1002" s="9" t="n">
        <x:v>0.7981072555</x:v>
      </x:c>
      <x:c r="Q1002" s="9" t="n">
        <x:v>0.2570977918</x:v>
      </x:c>
      <x:c r="R1002" s="3" t="b">
        <x:v>0</x:v>
      </x:c>
      <x:c r="S1002" s="3" t="b">
        <x:v>0</x:v>
      </x:c>
      <x:c r="T1002" s="3" t="b">
        <x:v>0</x:v>
      </x:c>
      <x:c r="U1002" s="2" t="str">
        <x:f>IF(T1002=TRUE,"Priority review",IF(R1002=TRUE,"High cost",IF(S1002=TRUE,"Low quality","Benchmark")))</x:f>
        <x:v>Benchmark</x:v>
      </x:c>
    </x:row>
    <x:row r="1003">
      <x:c r="A1003" s="2" t="str">
        <x:v>250043</x:v>
      </x:c>
      <x:c r="B1003" s="2" t="str">
        <x:v>NESHOBA COUNTY GENERAL HOSPITAL</x:v>
      </x:c>
      <x:c r="C1003" s="2" t="str">
        <x:v>PHILADELPHIA</x:v>
      </x:c>
      <x:c r="D1003" s="2" t="str">
        <x:v>MS</x:v>
      </x:c>
      <x:c r="E1003" s="2" t="str">
        <x:v>Acute Care Hospitals</x:v>
      </x:c>
      <x:c r="F1003" s="2" t="str">
        <x:v>Government</x:v>
      </x:c>
      <x:c r="G1003" s="2" t="str">
        <x:v>Small (&lt;100 beds)</x:v>
      </x:c>
      <x:c r="H1003" s="7" t="n">
        <x:v>3</x:v>
      </x:c>
      <x:c r="I1003" s="7"/>
      <x:c r="J1003" s="7" t="n">
        <x:v>1.02</x:v>
      </x:c>
      <x:c r="K1003" s="8" t="n">
        <x:v>38</x:v>
      </x:c>
      <x:c r="L1003" s="8" t="n">
        <x:v>584</x:v>
      </x:c>
      <x:c r="M1003" s="9" t="n">
        <x:v>0.1409979868</x:v>
      </x:c>
      <x:c r="N1003" s="10" t="n">
        <x:v>93947.6780821918</x:v>
      </x:c>
      <x:c r="O1003" s="9" t="n">
        <x:v>-0.0071742942</x:v>
      </x:c>
      <x:c r="P1003" s="9" t="n">
        <x:v>0.7980251346</x:v>
      </x:c>
      <x:c r="Q1003" s="9" t="n">
        <x:v>0.1687612208</x:v>
      </x:c>
      <x:c r="R1003" s="3" t="b">
        <x:v>0</x:v>
      </x:c>
      <x:c r="S1003" s="3" t="b">
        <x:v>0</x:v>
      </x:c>
      <x:c r="T1003" s="3" t="b">
        <x:v>0</x:v>
      </x:c>
      <x:c r="U1003" s="2" t="str">
        <x:f>IF(T1003=TRUE,"Priority review",IF(R1003=TRUE,"High cost",IF(S1003=TRUE,"Low quality","Benchmark")))</x:f>
        <x:v>Benchmark</x:v>
      </x:c>
    </x:row>
    <x:row r="1004">
      <x:c r="A1004" s="2" t="str">
        <x:v>500030</x:v>
      </x:c>
      <x:c r="B1004" s="2" t="str">
        <x:v>PEACEHEALTH ST JOSEPH MEDICAL CENTER</x:v>
      </x:c>
      <x:c r="C1004" s="2" t="str">
        <x:v>BELLINGHAM</x:v>
      </x:c>
      <x:c r="D1004" s="2" t="str">
        <x:v>WA</x:v>
      </x:c>
      <x:c r="E1004" s="2" t="str">
        <x:v>Acute Care Hospitals</x:v>
      </x:c>
      <x:c r="F1004" s="2" t="str">
        <x:v>Voluntary non-profit</x:v>
      </x:c>
      <x:c r="G1004" s="2" t="str">
        <x:v>Medium (100-299 beds)</x:v>
      </x:c>
      <x:c r="H1004" s="7" t="n">
        <x:v>4</x:v>
      </x:c>
      <x:c r="I1004" s="7" t="n">
        <x:v>3</x:v>
      </x:c>
      <x:c r="J1004" s="7" t="n">
        <x:v>0.96</x:v>
      </x:c>
      <x:c r="K1004" s="8" t="n">
        <x:v>208</x:v>
      </x:c>
      <x:c r="L1004" s="8" t="n">
        <x:v>17068</x:v>
      </x:c>
      <x:c r="M1004" s="9" t="n">
        <x:v>0.9768177028</x:v>
      </x:c>
      <x:c r="N1004" s="10" t="n">
        <x:v>50511.9813686431</x:v>
      </x:c>
      <x:c r="O1004" s="9" t="n">
        <x:v>0.0785691449</x:v>
      </x:c>
      <x:c r="P1004" s="9" t="n">
        <x:v>0.7978810106</x:v>
      </x:c>
      <x:c r="Q1004" s="9" t="n">
        <x:v>0.6022819886</x:v>
      </x:c>
      <x:c r="R1004" s="3" t="b">
        <x:v>0</x:v>
      </x:c>
      <x:c r="S1004" s="3" t="b">
        <x:v>0</x:v>
      </x:c>
      <x:c r="T1004" s="3" t="b">
        <x:v>0</x:v>
      </x:c>
      <x:c r="U1004" s="2" t="str">
        <x:f>IF(T1004=TRUE,"Priority review",IF(R1004=TRUE,"High cost",IF(S1004=TRUE,"Low quality","Benchmark")))</x:f>
        <x:v>Benchmark</x:v>
      </x:c>
    </x:row>
    <x:row r="1005">
      <x:c r="A1005" s="2" t="str">
        <x:v>241338</x:v>
      </x:c>
      <x:c r="B1005" s="2" t="str">
        <x:v>MAYO CLINIC HEALTH SYSTEM - LAKE CITY</x:v>
      </x:c>
      <x:c r="C1005" s="2" t="str">
        <x:v>LAKE CITY</x:v>
      </x:c>
      <x:c r="D1005" s="2" t="str">
        <x:v>MN</x:v>
      </x:c>
      <x:c r="E1005" s="2" t="str">
        <x:v>Critical Access Hospitals</x:v>
      </x:c>
      <x:c r="F1005" s="2" t="str">
        <x:v>Voluntary non-profit</x:v>
      </x:c>
      <x:c r="G1005" s="2" t="str">
        <x:v>Small (&lt;100 beds)</x:v>
      </x:c>
      <x:c r="H1005" s="7"/>
      <x:c r="I1005" s="7" t="n">
        <x:v>4</x:v>
      </x:c>
      <x:c r="J1005" s="7"/>
      <x:c r="K1005" s="8" t="n">
        <x:v>18</x:v>
      </x:c>
      <x:c r="L1005" s="8" t="n">
        <x:v>170</x:v>
      </x:c>
      <x:c r="M1005" s="9" t="n">
        <x:v>0.4725258045</x:v>
      </x:c>
      <x:c r="N1005" s="10" t="n">
        <x:v>238063.4294117647</x:v>
      </x:c>
      <x:c r="O1005" s="9" t="n">
        <x:v>-0.0341587236</x:v>
      </x:c>
      <x:c r="P1005" s="9" t="n">
        <x:v>0.7977695167</x:v>
      </x:c>
      <x:c r="Q1005" s="9" t="n">
        <x:v>0.292936803</x:v>
      </x:c>
      <x:c r="R1005" s="3" t="b">
        <x:v>0</x:v>
      </x:c>
      <x:c r="S1005" s="3" t="b">
        <x:v>0</x:v>
      </x:c>
      <x:c r="T1005" s="3" t="b">
        <x:v>0</x:v>
      </x:c>
      <x:c r="U1005" s="2" t="str">
        <x:f>IF(T1005=TRUE,"Priority review",IF(R1005=TRUE,"High cost",IF(S1005=TRUE,"Low quality","Benchmark")))</x:f>
        <x:v>Benchmark</x:v>
      </x:c>
    </x:row>
    <x:row r="1006">
      <x:c r="A1006" s="2" t="str">
        <x:v>190140</x:v>
      </x:c>
      <x:c r="B1006" s="2" t="str">
        <x:v>FRANKLIN MEDICAL CENTER</x:v>
      </x:c>
      <x:c r="C1006" s="2" t="str">
        <x:v>WINNSBORO</x:v>
      </x:c>
      <x:c r="D1006" s="2" t="str">
        <x:v>LA</x:v>
      </x:c>
      <x:c r="E1006" s="2" t="str">
        <x:v>Acute Care Hospitals</x:v>
      </x:c>
      <x:c r="F1006" s="2" t="str">
        <x:v>Government</x:v>
      </x:c>
      <x:c r="G1006" s="2" t="str">
        <x:v>Small (&lt;100 beds)</x:v>
      </x:c>
      <x:c r="H1006" s="7"/>
      <x:c r="I1006" s="7"/>
      <x:c r="J1006" s="7" t="n">
        <x:v>1.18</x:v>
      </x:c>
      <x:c r="K1006" s="8" t="n">
        <x:v>31</x:v>
      </x:c>
      <x:c r="L1006" s="8" t="n">
        <x:v>591</x:v>
      </x:c>
      <x:c r="M1006" s="9" t="n">
        <x:v>0.2200618648</x:v>
      </x:c>
      <x:c r="N1006" s="10" t="n">
        <x:v>93945.2487309645</x:v>
      </x:c>
      <x:c r="O1006" s="9" t="n">
        <x:v>-0.2401952642</x:v>
      </x:c>
      <x:c r="P1006" s="9" t="n">
        <x:v>0.7971274686</x:v>
      </x:c>
      <x:c r="Q1006" s="9" t="n">
        <x:v>0.697486535</x:v>
      </x:c>
      <x:c r="R1006" s="3" t="b">
        <x:v>0</x:v>
      </x:c>
      <x:c r="S1006" s="3" t="b">
        <x:v>0</x:v>
      </x:c>
      <x:c r="T1006" s="3" t="b">
        <x:v>0</x:v>
      </x:c>
      <x:c r="U1006" s="2" t="str">
        <x:f>IF(T1006=TRUE,"Priority review",IF(R1006=TRUE,"High cost",IF(S1006=TRUE,"Low quality","Benchmark")))</x:f>
        <x:v>Benchmark</x:v>
      </x:c>
    </x:row>
    <x:row r="1007">
      <x:c r="A1007" s="2" t="str">
        <x:v>070020</x:v>
      </x:c>
      <x:c r="B1007" s="2" t="str">
        <x:v>MIDDLESEX HOSPITAL</x:v>
      </x:c>
      <x:c r="C1007" s="2" t="str">
        <x:v>MIDDLETOWN</x:v>
      </x:c>
      <x:c r="D1007" s="2" t="str">
        <x:v>CT</x:v>
      </x:c>
      <x:c r="E1007" s="2" t="str">
        <x:v>Acute Care Hospitals</x:v>
      </x:c>
      <x:c r="F1007" s="2" t="str">
        <x:v>Voluntary non-profit</x:v>
      </x:c>
      <x:c r="G1007" s="2" t="str">
        <x:v>Medium (100-299 beds)</x:v>
      </x:c>
      <x:c r="H1007" s="7" t="n">
        <x:v>3</x:v>
      </x:c>
      <x:c r="I1007" s="7" t="n">
        <x:v>4</x:v>
      </x:c>
      <x:c r="J1007" s="7" t="n">
        <x:v>0.95</x:v>
      </x:c>
      <x:c r="K1007" s="8" t="n">
        <x:v>187</x:v>
      </x:c>
      <x:c r="L1007" s="8" t="n">
        <x:v>9783</x:v>
      </x:c>
      <x:c r="M1007" s="9" t="n">
        <x:v>0.6773034102</x:v>
      </x:c>
      <x:c r="N1007" s="10" t="n">
        <x:v>50510.7840130839</x:v>
      </x:c>
      <x:c r="O1007" s="9" t="n">
        <x:v>0.0143731064</x:v>
      </x:c>
      <x:c r="P1007" s="9" t="n">
        <x:v>0.7970660147</x:v>
      </x:c>
      <x:c r="Q1007" s="9" t="n">
        <x:v>0.3023634882</x:v>
      </x:c>
      <x:c r="R1007" s="3" t="b">
        <x:v>0</x:v>
      </x:c>
      <x:c r="S1007" s="3" t="b">
        <x:v>0</x:v>
      </x:c>
      <x:c r="T1007" s="3" t="b">
        <x:v>0</x:v>
      </x:c>
      <x:c r="U1007" s="2" t="str">
        <x:f>IF(T1007=TRUE,"Priority review",IF(R1007=TRUE,"High cost",IF(S1007=TRUE,"Low quality","Benchmark")))</x:f>
        <x:v>Benchmark</x:v>
      </x:c>
    </x:row>
    <x:row r="1008">
      <x:c r="A1008" s="2" t="str">
        <x:v>531303</x:v>
      </x:c>
      <x:c r="B1008" s="2" t="str">
        <x:v>WESTON COUNTY HEALTH SERVICES</x:v>
      </x:c>
      <x:c r="C1008" s="2" t="str">
        <x:v>NEWCASTLE</x:v>
      </x:c>
      <x:c r="D1008" s="2" t="str">
        <x:v>WY</x:v>
      </x:c>
      <x:c r="E1008" s="2" t="str">
        <x:v>Critical Access Hospitals</x:v>
      </x:c>
      <x:c r="F1008" s="2" t="str">
        <x:v>Government</x:v>
      </x:c>
      <x:c r="G1008" s="2" t="str">
        <x:v>Small (&lt;100 beds)</x:v>
      </x:c>
      <x:c r="H1008" s="7"/>
      <x:c r="I1008" s="7"/>
      <x:c r="J1008" s="7"/>
      <x:c r="K1008" s="8" t="n">
        <x:v>12</x:v>
      </x:c>
      <x:c r="L1008" s="8" t="n">
        <x:v>135</x:v>
      </x:c>
      <x:c r="M1008" s="9" t="n">
        <x:v>0.399543379</x:v>
      </x:c>
      <x:c r="N1008" s="10" t="n">
        <x:v>237752.2</x:v>
      </x:c>
      <x:c r="O1008" s="9" t="n">
        <x:v>-0.1769176774</x:v>
      </x:c>
      <x:c r="P1008" s="9" t="n">
        <x:v>0.7970260223</x:v>
      </x:c>
      <x:c r="Q1008" s="9" t="n">
        <x:v>0.292936803</x:v>
      </x:c>
      <x:c r="R1008" s="3" t="b">
        <x:v>0</x:v>
      </x:c>
      <x:c r="S1008" s="3" t="b">
        <x:v>0</x:v>
      </x:c>
      <x:c r="T1008" s="3" t="b">
        <x:v>0</x:v>
      </x:c>
      <x:c r="U1008" s="2" t="str">
        <x:f>IF(T1008=TRUE,"Priority review",IF(R1008=TRUE,"High cost",IF(S1008=TRUE,"Low quality","Benchmark")))</x:f>
        <x:v>Benchmark</x:v>
      </x:c>
    </x:row>
    <x:row r="1009">
      <x:c r="A1009" s="2" t="str">
        <x:v>510022</x:v>
      </x:c>
      <x:c r="B1009" s="2" t="str">
        <x:v>CHARLESTON AREA MEDICAL CENTER</x:v>
      </x:c>
      <x:c r="C1009" s="2" t="str">
        <x:v>CHARLESTON</x:v>
      </x:c>
      <x:c r="D1009" s="2" t="str">
        <x:v>WV</x:v>
      </x:c>
      <x:c r="E1009" s="2" t="str">
        <x:v>Acute Care Hospitals</x:v>
      </x:c>
      <x:c r="F1009" s="2" t="str">
        <x:v>Voluntary non-profit</x:v>
      </x:c>
      <x:c r="G1009" s="2" t="str">
        <x:v>Large (300+ beds)</x:v>
      </x:c>
      <x:c r="H1009" s="7" t="n">
        <x:v>2</x:v>
      </x:c>
      <x:c r="I1009" s="7" t="n">
        <x:v>3</x:v>
      </x:c>
      <x:c r="J1009" s="7" t="n">
        <x:v>1.01</x:v>
      </x:c>
      <x:c r="K1009" s="8" t="n">
        <x:v>803</x:v>
      </x:c>
      <x:c r="L1009" s="8" t="n">
        <x:v>32813</x:v>
      </x:c>
      <x:c r="M1009" s="9" t="n">
        <x:v>0.7484775182</x:v>
      </x:c>
      <x:c r="N1009" s="10" t="n">
        <x:v>58619.4674366867</x:v>
      </x:c>
      <x:c r="O1009" s="9" t="n">
        <x:v>-0.0663502354</x:v>
      </x:c>
      <x:c r="P1009" s="9" t="n">
        <x:v>0.7965299685</x:v>
      </x:c>
      <x:c r="Q1009" s="9" t="n">
        <x:v>0.0536277603</x:v>
      </x:c>
      <x:c r="R1009" s="3" t="b">
        <x:v>0</x:v>
      </x:c>
      <x:c r="S1009" s="3" t="b">
        <x:v>1</x:v>
      </x:c>
      <x:c r="T1009" s="3" t="b">
        <x:v>0</x:v>
      </x:c>
      <x:c r="U1009" s="2" t="str">
        <x:f>IF(T1009=TRUE,"Priority review",IF(R1009=TRUE,"High cost",IF(S1009=TRUE,"Low quality","Benchmark")))</x:f>
        <x:v>Low quality</x:v>
      </x:c>
    </x:row>
    <x:row r="1010">
      <x:c r="A1010" s="2" t="str">
        <x:v>151304</x:v>
      </x:c>
      <x:c r="B1010" s="2" t="str">
        <x:v>RUSH MEMORIAL HOSPITAL</x:v>
      </x:c>
      <x:c r="C1010" s="2" t="str">
        <x:v>RUSHVILLE</x:v>
      </x:c>
      <x:c r="D1010" s="2" t="str">
        <x:v>IN</x:v>
      </x:c>
      <x:c r="E1010" s="2" t="str">
        <x:v>Critical Access Hospitals</x:v>
      </x:c>
      <x:c r="F1010" s="2" t="str">
        <x:v>Government</x:v>
      </x:c>
      <x:c r="G1010" s="2" t="str">
        <x:v>Small (&lt;100 beds)</x:v>
      </x:c>
      <x:c r="H1010" s="7"/>
      <x:c r="I1010" s="7"/>
      <x:c r="J1010" s="7"/>
      <x:c r="K1010" s="8" t="n">
        <x:v>25</x:v>
      </x:c>
      <x:c r="L1010" s="8" t="n">
        <x:v>236</x:v>
      </x:c>
      <x:c r="M1010" s="9" t="n">
        <x:v>0.0878688525</x:v>
      </x:c>
      <x:c r="N1010" s="10" t="n">
        <x:v>236491.7881355932</x:v>
      </x:c>
      <x:c r="O1010" s="9" t="n">
        <x:v>-0.0064649958</x:v>
      </x:c>
      <x:c r="P1010" s="9" t="n">
        <x:v>0.7962825279</x:v>
      </x:c>
      <x:c r="Q1010" s="9" t="n">
        <x:v>0.292936803</x:v>
      </x:c>
      <x:c r="R1010" s="3" t="b">
        <x:v>0</x:v>
      </x:c>
      <x:c r="S1010" s="3" t="b">
        <x:v>0</x:v>
      </x:c>
      <x:c r="T1010" s="3" t="b">
        <x:v>0</x:v>
      </x:c>
      <x:c r="U1010" s="2" t="str">
        <x:f>IF(T1010=TRUE,"Priority review",IF(R1010=TRUE,"High cost",IF(S1010=TRUE,"Low quality","Benchmark")))</x:f>
        <x:v>Benchmark</x:v>
      </x:c>
    </x:row>
    <x:row r="1011">
      <x:c r="A1011" s="2" t="str">
        <x:v>090003</x:v>
      </x:c>
      <x:c r="B1011" s="2" t="str">
        <x:v>HOWARD UNIVERSITY HOSPITAL CORP</x:v>
      </x:c>
      <x:c r="C1011" s="2" t="str">
        <x:v>WASHINGTON</x:v>
      </x:c>
      <x:c r="D1011" s="2" t="str">
        <x:v>DC</x:v>
      </x:c>
      <x:c r="E1011" s="2" t="str">
        <x:v>Acute Care Hospitals</x:v>
      </x:c>
      <x:c r="F1011" s="2" t="str">
        <x:v>Voluntary non-profit</x:v>
      </x:c>
      <x:c r="G1011" s="2" t="str">
        <x:v>Medium (100-299 beds)</x:v>
      </x:c>
      <x:c r="H1011" s="7" t="n">
        <x:v>1</x:v>
      </x:c>
      <x:c r="I1011" s="7" t="n">
        <x:v>2</x:v>
      </x:c>
      <x:c r="J1011" s="7" t="n">
        <x:v>0.98</x:v>
      </x:c>
      <x:c r="K1011" s="8" t="n">
        <x:v>192</x:v>
      </x:c>
      <x:c r="L1011" s="8" t="n">
        <x:v>6337</x:v>
      </x:c>
      <x:c r="M1011" s="9" t="n">
        <x:v>0.5879280822</x:v>
      </x:c>
      <x:c r="N1011" s="10" t="n">
        <x:v>50378.4284361685</x:v>
      </x:c>
      <x:c r="O1011" s="9" t="n">
        <x:v>-0.1659776778</x:v>
      </x:c>
      <x:c r="P1011" s="9" t="n">
        <x:v>0.7962510187</x:v>
      </x:c>
      <x:c r="Q1011" s="9" t="n">
        <x:v>0</x:v>
      </x:c>
      <x:c r="R1011" s="3" t="b">
        <x:v>0</x:v>
      </x:c>
      <x:c r="S1011" s="3" t="b">
        <x:v>1</x:v>
      </x:c>
      <x:c r="T1011" s="3" t="b">
        <x:v>0</x:v>
      </x:c>
      <x:c r="U1011" s="2" t="str">
        <x:f>IF(T1011=TRUE,"Priority review",IF(R1011=TRUE,"High cost",IF(S1011=TRUE,"Low quality","Benchmark")))</x:f>
        <x:v>Low quality</x:v>
      </x:c>
    </x:row>
    <x:row r="1012">
      <x:c r="A1012" s="2" t="str">
        <x:v>530002</x:v>
      </x:c>
      <x:c r="B1012" s="2" t="str">
        <x:v>CAMPBELL COUNTY HEALTH</x:v>
      </x:c>
      <x:c r="C1012" s="2" t="str">
        <x:v>GILLETTE</x:v>
      </x:c>
      <x:c r="D1012" s="2" t="str">
        <x:v>WY</x:v>
      </x:c>
      <x:c r="E1012" s="2" t="str">
        <x:v>Acute Care Hospitals</x:v>
      </x:c>
      <x:c r="F1012" s="2" t="str">
        <x:v>Government</x:v>
      </x:c>
      <x:c r="G1012" s="2" t="str">
        <x:v>Small (&lt;100 beds)</x:v>
      </x:c>
      <x:c r="H1012" s="7" t="n">
        <x:v>3</x:v>
      </x:c>
      <x:c r="I1012" s="7" t="n">
        <x:v>4</x:v>
      </x:c>
      <x:c r="J1012" s="7" t="n">
        <x:v>0.93</x:v>
      </x:c>
      <x:c r="K1012" s="8" t="n">
        <x:v>66</x:v>
      </x:c>
      <x:c r="L1012" s="8" t="n">
        <x:v>2357</x:v>
      </x:c>
      <x:c r="M1012" s="9" t="n">
        <x:v>0.3753009548</x:v>
      </x:c>
      <x:c r="N1012" s="10" t="n">
        <x:v>93529.481544336</x:v>
      </x:c>
      <x:c r="O1012" s="9" t="n">
        <x:v>-0.1826678499</x:v>
      </x:c>
      <x:c r="P1012" s="9" t="n">
        <x:v>0.7962298025</x:v>
      </x:c>
      <x:c r="Q1012" s="9" t="n">
        <x:v>0.1687612208</x:v>
      </x:c>
      <x:c r="R1012" s="3" t="b">
        <x:v>0</x:v>
      </x:c>
      <x:c r="S1012" s="3" t="b">
        <x:v>0</x:v>
      </x:c>
      <x:c r="T1012" s="3" t="b">
        <x:v>0</x:v>
      </x:c>
      <x:c r="U1012" s="2" t="str">
        <x:f>IF(T1012=TRUE,"Priority review",IF(R1012=TRUE,"High cost",IF(S1012=TRUE,"Low quality","Benchmark")))</x:f>
        <x:v>Benchmark</x:v>
      </x:c>
    </x:row>
    <x:row r="1013">
      <x:c r="A1013" s="2" t="str">
        <x:v>204006</x:v>
      </x:c>
      <x:c r="B1013" s="2" t="str">
        <x:v>NORTHERN LIGHT ACADIA HOSPITAL</x:v>
      </x:c>
      <x:c r="C1013" s="2" t="str">
        <x:v>BANGOR</x:v>
      </x:c>
      <x:c r="D1013" s="2" t="str">
        <x:v>ME</x:v>
      </x:c>
      <x:c r="E1013" s="2" t="str">
        <x:v>Psychiatric</x:v>
      </x:c>
      <x:c r="F1013" s="2" t="str">
        <x:v>Voluntary non-profit</x:v>
      </x:c>
      <x:c r="G1013" s="2" t="str">
        <x:v>Small (&lt;100 beds)</x:v>
      </x:c>
      <x:c r="H1013" s="7"/>
      <x:c r="I1013" s="7"/>
      <x:c r="J1013" s="7"/>
      <x:c r="K1013" s="8" t="n">
        <x:v>89</x:v>
      </x:c>
      <x:c r="L1013" s="8" t="n">
        <x:v>1742</x:v>
      </x:c>
      <x:c r="M1013" s="9" t="n">
        <x:v>0.8595351701</x:v>
      </x:c>
      <x:c r="N1013" s="10" t="n">
        <x:v>43653.1727898967</x:v>
      </x:c>
      <x:c r="O1013" s="9" t="n">
        <x:v>0.0866591787</x:v>
      </x:c>
      <x:c r="P1013" s="9" t="n">
        <x:v>0.7961165049</x:v>
      </x:c>
      <x:c r="Q1013" s="9" t="n">
        <x:v>0</x:v>
      </x:c>
      <x:c r="R1013" s="3" t="b">
        <x:v>0</x:v>
      </x:c>
      <x:c r="S1013" s="3" t="b">
        <x:v>0</x:v>
      </x:c>
      <x:c r="T1013" s="3" t="b">
        <x:v>0</x:v>
      </x:c>
      <x:c r="U1013" s="2" t="str">
        <x:f>IF(T1013=TRUE,"Priority review",IF(R1013=TRUE,"High cost",IF(S1013=TRUE,"Low quality","Benchmark")))</x:f>
        <x:v>Benchmark</x:v>
      </x:c>
    </x:row>
    <x:row r="1014">
      <x:c r="A1014" s="2" t="str">
        <x:v>474001</x:v>
      </x:c>
      <x:c r="B1014" s="2" t="str">
        <x:v>BRATTLEBORO RETREAT</x:v>
      </x:c>
      <x:c r="C1014" s="2" t="str">
        <x:v>BRATTLEBORO</x:v>
      </x:c>
      <x:c r="D1014" s="2" t="str">
        <x:v>VT</x:v>
      </x:c>
      <x:c r="E1014" s="2" t="str">
        <x:v>Psychiatric</x:v>
      </x:c>
      <x:c r="F1014" s="2" t="str">
        <x:v>Voluntary non-profit</x:v>
      </x:c>
      <x:c r="G1014" s="2" t="str">
        <x:v>Medium (100-299 beds)</x:v>
      </x:c>
      <x:c r="H1014" s="7"/>
      <x:c r="I1014" s="7"/>
      <x:c r="J1014" s="7"/>
      <x:c r="K1014" s="8" t="n">
        <x:v>113</x:v>
      </x:c>
      <x:c r="L1014" s="8" t="n">
        <x:v>1797</x:v>
      </x:c>
      <x:c r="M1014" s="9" t="n">
        <x:v>0.8649933048</x:v>
      </x:c>
      <x:c r="N1014" s="10" t="n">
        <x:v>52899.8074568726</x:v>
      </x:c>
      <x:c r="O1014" s="9" t="n">
        <x:v>-0.0166318923</x:v>
      </x:c>
      <x:c r="P1014" s="9" t="n">
        <x:v>0.7960199005</x:v>
      </x:c>
      <x:c r="Q1014" s="9" t="n">
        <x:v>0</x:v>
      </x:c>
      <x:c r="R1014" s="3" t="b">
        <x:v>0</x:v>
      </x:c>
      <x:c r="S1014" s="3" t="b">
        <x:v>0</x:v>
      </x:c>
      <x:c r="T1014" s="3" t="b">
        <x:v>0</x:v>
      </x:c>
      <x:c r="U1014" s="2" t="str">
        <x:f>IF(T1014=TRUE,"Priority review",IF(R1014=TRUE,"High cost",IF(S1014=TRUE,"Low quality","Benchmark")))</x:f>
        <x:v>Benchmark</x:v>
      </x:c>
    </x:row>
    <x:row r="1015">
      <x:c r="A1015" s="2" t="str">
        <x:v>241356</x:v>
      </x:c>
      <x:c r="B1015" s="2" t="str">
        <x:v>MILLE LACS HEALTH SYSTEM</x:v>
      </x:c>
      <x:c r="C1015" s="2" t="str">
        <x:v>ONAMIA</x:v>
      </x:c>
      <x:c r="D1015" s="2" t="str">
        <x:v>MN</x:v>
      </x:c>
      <x:c r="E1015" s="2" t="str">
        <x:v>Critical Access Hospitals</x:v>
      </x:c>
      <x:c r="F1015" s="2" t="str">
        <x:v>Voluntary non-profit</x:v>
      </x:c>
      <x:c r="G1015" s="2" t="str">
        <x:v>Small (&lt;100 beds)</x:v>
      </x:c>
      <x:c r="H1015" s="7"/>
      <x:c r="I1015" s="7"/>
      <x:c r="J1015" s="7"/>
      <x:c r="K1015" s="8" t="n">
        <x:v>18</x:v>
      </x:c>
      <x:c r="L1015" s="8" t="n">
        <x:v>274</x:v>
      </x:c>
      <x:c r="M1015" s="9" t="n">
        <x:v>0.257893139</x:v>
      </x:c>
      <x:c r="N1015" s="10" t="n">
        <x:v>236340.8905109489</x:v>
      </x:c>
      <x:c r="O1015" s="9" t="n">
        <x:v>-0.0585240304</x:v>
      </x:c>
      <x:c r="P1015" s="9" t="n">
        <x:v>0.7955390335</x:v>
      </x:c>
      <x:c r="Q1015" s="9" t="n">
        <x:v>0.292936803</x:v>
      </x:c>
      <x:c r="R1015" s="3" t="b">
        <x:v>0</x:v>
      </x:c>
      <x:c r="S1015" s="3" t="b">
        <x:v>0</x:v>
      </x:c>
      <x:c r="T1015" s="3" t="b">
        <x:v>0</x:v>
      </x:c>
      <x:c r="U1015" s="2" t="str">
        <x:f>IF(T1015=TRUE,"Priority review",IF(R1015=TRUE,"High cost",IF(S1015=TRUE,"Low quality","Benchmark")))</x:f>
        <x:v>Benchmark</x:v>
      </x:c>
    </x:row>
    <x:row r="1016">
      <x:c r="A1016" s="2" t="str">
        <x:v>130028</x:v>
      </x:c>
      <x:c r="B1016" s="2" t="str">
        <x:v>PORTNEUF MEDICAL CENTER</x:v>
      </x:c>
      <x:c r="C1016" s="2" t="str">
        <x:v>POCATELLO</x:v>
      </x:c>
      <x:c r="D1016" s="2" t="str">
        <x:v>ID</x:v>
      </x:c>
      <x:c r="E1016" s="2" t="str">
        <x:v>Acute Care Hospitals</x:v>
      </x:c>
      <x:c r="F1016" s="2" t="str">
        <x:v>Proprietary</x:v>
      </x:c>
      <x:c r="G1016" s="2" t="str">
        <x:v>Medium (100-299 beds)</x:v>
      </x:c>
      <x:c r="H1016" s="7" t="n">
        <x:v>4</x:v>
      </x:c>
      <x:c r="I1016" s="7" t="n">
        <x:v>3</x:v>
      </x:c>
      <x:c r="J1016" s="7" t="n">
        <x:v>1</x:v>
      </x:c>
      <x:c r="K1016" s="8" t="n">
        <x:v>142</x:v>
      </x:c>
      <x:c r="L1016" s="8" t="n">
        <x:v>8410</x:v>
      </x:c>
      <x:c r="M1016" s="9" t="n">
        <x:v>0.7603324867</x:v>
      </x:c>
      <x:c r="N1016" s="10" t="n">
        <x:v>50350.7556480381</x:v>
      </x:c>
      <x:c r="O1016" s="9" t="n">
        <x:v>0.1721241566</x:v>
      </x:c>
      <x:c r="P1016" s="9" t="n">
        <x:v>0.7954360228</x:v>
      </x:c>
      <x:c r="Q1016" s="9" t="n">
        <x:v>0.6022819886</x:v>
      </x:c>
      <x:c r="R1016" s="3" t="b">
        <x:v>0</x:v>
      </x:c>
      <x:c r="S1016" s="3" t="b">
        <x:v>0</x:v>
      </x:c>
      <x:c r="T1016" s="3" t="b">
        <x:v>0</x:v>
      </x:c>
      <x:c r="U1016" s="2" t="str">
        <x:f>IF(T1016=TRUE,"Priority review",IF(R1016=TRUE,"High cost",IF(S1016=TRUE,"Low quality","Benchmark")))</x:f>
        <x:v>Benchmark</x:v>
      </x:c>
    </x:row>
    <x:row r="1017">
      <x:c r="A1017" s="2" t="str">
        <x:v>230080</x:v>
      </x:c>
      <x:c r="B1017" s="2" t="str">
        <x:v>MCLAREN CENTRAL MICHIGAN</x:v>
      </x:c>
      <x:c r="C1017" s="2" t="str">
        <x:v>MOUNT PLEASANT</x:v>
      </x:c>
      <x:c r="D1017" s="2" t="str">
        <x:v>MI</x:v>
      </x:c>
      <x:c r="E1017" s="2" t="str">
        <x:v>Acute Care Hospitals</x:v>
      </x:c>
      <x:c r="F1017" s="2" t="str">
        <x:v>Voluntary non-profit</x:v>
      </x:c>
      <x:c r="G1017" s="2" t="str">
        <x:v>Small (&lt;100 beds)</x:v>
      </x:c>
      <x:c r="H1017" s="7" t="n">
        <x:v>3</x:v>
      </x:c>
      <x:c r="I1017" s="7" t="n">
        <x:v>3</x:v>
      </x:c>
      <x:c r="J1017" s="7" t="n">
        <x:v>0.85</x:v>
      </x:c>
      <x:c r="K1017" s="8" t="n">
        <x:v>49</x:v>
      </x:c>
      <x:c r="L1017" s="8" t="n">
        <x:v>1790</x:v>
      </x:c>
      <x:c r="M1017" s="9" t="n">
        <x:v>0.3366789339</x:v>
      </x:c>
      <x:c r="N1017" s="10" t="n">
        <x:v>93405.4530726257</x:v>
      </x:c>
      <x:c r="O1017" s="9" t="n">
        <x:v>-0.3915635172</x:v>
      </x:c>
      <x:c r="P1017" s="9" t="n">
        <x:v>0.7953321364</x:v>
      </x:c>
      <x:c r="Q1017" s="9" t="n">
        <x:v>0.1687612208</x:v>
      </x:c>
      <x:c r="R1017" s="3" t="b">
        <x:v>0</x:v>
      </x:c>
      <x:c r="S1017" s="3" t="b">
        <x:v>0</x:v>
      </x:c>
      <x:c r="T1017" s="3" t="b">
        <x:v>0</x:v>
      </x:c>
      <x:c r="U1017" s="2" t="str">
        <x:f>IF(T1017=TRUE,"Priority review",IF(R1017=TRUE,"High cost",IF(S1017=TRUE,"Low quality","Benchmark")))</x:f>
        <x:v>Benchmark</x:v>
      </x:c>
    </x:row>
    <x:row r="1018">
      <x:c r="A1018" s="2" t="str">
        <x:v>330027</x:v>
      </x:c>
      <x:c r="B1018" s="2" t="str">
        <x:v>NASSAU UNIVERSITY MEDICAL CENTER</x:v>
      </x:c>
      <x:c r="C1018" s="2" t="str">
        <x:v>EAST MEADOW</x:v>
      </x:c>
      <x:c r="D1018" s="2" t="str">
        <x:v>NY</x:v>
      </x:c>
      <x:c r="E1018" s="2" t="str">
        <x:v>Acute Care Hospitals</x:v>
      </x:c>
      <x:c r="F1018" s="2" t="str">
        <x:v>Government</x:v>
      </x:c>
      <x:c r="G1018" s="2" t="str">
        <x:v>Large (300+ beds)</x:v>
      </x:c>
      <x:c r="H1018" s="7" t="n">
        <x:v>1</x:v>
      </x:c>
      <x:c r="I1018" s="7" t="n">
        <x:v>1</x:v>
      </x:c>
      <x:c r="J1018" s="7" t="n">
        <x:v>1.09</x:v>
      </x:c>
      <x:c r="K1018" s="8" t="n">
        <x:v>372</x:v>
      </x:c>
      <x:c r="L1018" s="8" t="n">
        <x:v>11649</x:v>
      </x:c>
      <x:c r="M1018" s="9" t="n">
        <x:v>0.5318687937</x:v>
      </x:c>
      <x:c r="N1018" s="10" t="n">
        <x:v>58476.7155120611</x:v>
      </x:c>
      <x:c r="O1018" s="9" t="n">
        <x:v>-0.4046996472</x:v>
      </x:c>
      <x:c r="P1018" s="9" t="n">
        <x:v>0.7949526814</x:v>
      </x:c>
      <x:c r="Q1018" s="9" t="n">
        <x:v>0</x:v>
      </x:c>
      <x:c r="R1018" s="3" t="b">
        <x:v>0</x:v>
      </x:c>
      <x:c r="S1018" s="3" t="b">
        <x:v>1</x:v>
      </x:c>
      <x:c r="T1018" s="3" t="b">
        <x:v>0</x:v>
      </x:c>
      <x:c r="U1018" s="2" t="str">
        <x:f>IF(T1018=TRUE,"Priority review",IF(R1018=TRUE,"High cost",IF(S1018=TRUE,"Low quality","Benchmark")))</x:f>
        <x:v>Low quality</x:v>
      </x:c>
    </x:row>
    <x:row r="1019">
      <x:c r="A1019" s="2" t="str">
        <x:v>271310</x:v>
      </x:c>
      <x:c r="B1019" s="2" t="str">
        <x:v>GARFIELD COUNTY HEALTH CENTER</x:v>
      </x:c>
      <x:c r="C1019" s="2" t="str">
        <x:v>JORDAN</x:v>
      </x:c>
      <x:c r="D1019" s="2" t="str">
        <x:v>MT</x:v>
      </x:c>
      <x:c r="E1019" s="2" t="str">
        <x:v>Critical Access Hospitals</x:v>
      </x:c>
      <x:c r="F1019" s="2" t="str">
        <x:v>Government</x:v>
      </x:c>
      <x:c r="G1019" s="2" t="str">
        <x:v>Small (&lt;100 beds)</x:v>
      </x:c>
      <x:c r="H1019" s="7"/>
      <x:c r="I1019" s="7"/>
      <x:c r="J1019" s="7"/>
      <x:c r="K1019" s="8" t="n">
        <x:v>25</x:v>
      </x:c>
      <x:c r="L1019" s="8" t="n">
        <x:v>16</x:v>
      </x:c>
      <x:c r="M1019" s="9" t="n">
        <x:v>0.4327671233</x:v>
      </x:c>
      <x:c r="N1019" s="10" t="n">
        <x:v>235747.625</x:v>
      </x:c>
      <x:c r="O1019" s="9" t="n">
        <x:v>-0.4273455986</x:v>
      </x:c>
      <x:c r="P1019" s="9" t="n">
        <x:v>0.794795539</x:v>
      </x:c>
      <x:c r="Q1019" s="9" t="n">
        <x:v>0.292936803</x:v>
      </x:c>
      <x:c r="R1019" s="3" t="b">
        <x:v>0</x:v>
      </x:c>
      <x:c r="S1019" s="3" t="b">
        <x:v>0</x:v>
      </x:c>
      <x:c r="T1019" s="3" t="b">
        <x:v>0</x:v>
      </x:c>
      <x:c r="U1019" s="2" t="str">
        <x:f>IF(T1019=TRUE,"Priority review",IF(R1019=TRUE,"High cost",IF(S1019=TRUE,"Low quality","Benchmark")))</x:f>
        <x:v>Benchmark</x:v>
      </x:c>
    </x:row>
    <x:row r="1020">
      <x:c r="A1020" s="2" t="str">
        <x:v>050561</x:v>
      </x:c>
      <x:c r="B1020" s="2" t="str">
        <x:v>KAISER FOUNDATION HOSPITAL - WEST LA</x:v>
      </x:c>
      <x:c r="C1020" s="2" t="str">
        <x:v>LOS ANGELES</x:v>
      </x:c>
      <x:c r="D1020" s="2" t="str">
        <x:v>CA</x:v>
      </x:c>
      <x:c r="E1020" s="2" t="str">
        <x:v>Acute Care Hospitals</x:v>
      </x:c>
      <x:c r="F1020" s="2" t="str">
        <x:v>Voluntary non-profit</x:v>
      </x:c>
      <x:c r="G1020" s="2" t="str">
        <x:v>Medium (100-299 beds)</x:v>
      </x:c>
      <x:c r="H1020" s="7" t="n">
        <x:v>3</x:v>
      </x:c>
      <x:c r="I1020" s="7" t="n">
        <x:v>3</x:v>
      </x:c>
      <x:c r="J1020" s="7" t="n">
        <x:v>1.02</x:v>
      </x:c>
      <x:c r="K1020" s="8" t="n">
        <x:v>265</x:v>
      </x:c>
      <x:c r="L1020" s="8" t="n">
        <x:v>10429</x:v>
      </x:c>
      <x:c r="M1020" s="9" t="n">
        <x:v>0.4530157748</x:v>
      </x:c>
      <x:c r="N1020" s="10" t="n">
        <x:v>50333.9556045642</x:v>
      </x:c>
      <x:c r="O1020" s="9" t="n">
        <x:v>0.0685043566</x:v>
      </x:c>
      <x:c r="P1020" s="9" t="n">
        <x:v>0.7946210269</x:v>
      </x:c>
      <x:c r="Q1020" s="9" t="n">
        <x:v>0.3023634882</x:v>
      </x:c>
      <x:c r="R1020" s="3" t="b">
        <x:v>0</x:v>
      </x:c>
      <x:c r="S1020" s="3" t="b">
        <x:v>0</x:v>
      </x:c>
      <x:c r="T1020" s="3" t="b">
        <x:v>0</x:v>
      </x:c>
      <x:c r="U1020" s="2" t="str">
        <x:f>IF(T1020=TRUE,"Priority review",IF(R1020=TRUE,"High cost",IF(S1020=TRUE,"Low quality","Benchmark")))</x:f>
        <x:v>Benchmark</x:v>
      </x:c>
    </x:row>
    <x:row r="1021">
      <x:c r="A1021" s="2" t="str">
        <x:v>160112</x:v>
      </x:c>
      <x:c r="B1021" s="2" t="str">
        <x:v>SPENCER MUNICIPAL HOSPITAL</x:v>
      </x:c>
      <x:c r="C1021" s="2" t="str">
        <x:v>SPENCER</x:v>
      </x:c>
      <x:c r="D1021" s="2" t="str">
        <x:v>IA</x:v>
      </x:c>
      <x:c r="E1021" s="2" t="str">
        <x:v>Acute Care Hospitals</x:v>
      </x:c>
      <x:c r="F1021" s="2" t="str">
        <x:v>Government</x:v>
      </x:c>
      <x:c r="G1021" s="2" t="str">
        <x:v>Small (&lt;100 beds)</x:v>
      </x:c>
      <x:c r="H1021" s="7" t="n">
        <x:v>4</x:v>
      </x:c>
      <x:c r="I1021" s="7" t="n">
        <x:v>4</x:v>
      </x:c>
      <x:c r="J1021" s="7" t="n">
        <x:v>0.9</x:v>
      </x:c>
      <x:c r="K1021" s="8" t="n">
        <x:v>49</x:v>
      </x:c>
      <x:c r="L1021" s="8" t="n">
        <x:v>1362</x:v>
      </x:c>
      <x:c r="M1021" s="9" t="n">
        <x:v>0.2967850154</x:v>
      </x:c>
      <x:c r="N1021" s="10" t="n">
        <x:v>93213.6328928047</x:v>
      </x:c>
      <x:c r="O1021" s="9" t="n">
        <x:v>0.0119242023</x:v>
      </x:c>
      <x:c r="P1021" s="9" t="n">
        <x:v>0.7944344704</x:v>
      </x:c>
      <x:c r="Q1021" s="9" t="n">
        <x:v>0.3913824057</x:v>
      </x:c>
      <x:c r="R1021" s="3" t="b">
        <x:v>0</x:v>
      </x:c>
      <x:c r="S1021" s="3" t="b">
        <x:v>0</x:v>
      </x:c>
      <x:c r="T1021" s="3" t="b">
        <x:v>0</x:v>
      </x:c>
      <x:c r="U1021" s="2" t="str">
        <x:f>IF(T1021=TRUE,"Priority review",IF(R1021=TRUE,"High cost",IF(S1021=TRUE,"Low quality","Benchmark")))</x:f>
        <x:v>Benchmark</x:v>
      </x:c>
    </x:row>
    <x:row r="1022">
      <x:c r="A1022" s="2" t="str">
        <x:v>451375</x:v>
      </x:c>
      <x:c r="B1022" s="2" t="str">
        <x:v>LIBERTY DAYTON REGIONAL MEDICAL CENTER</x:v>
      </x:c>
      <x:c r="C1022" s="2" t="str">
        <x:v>LIBERTY</x:v>
      </x:c>
      <x:c r="D1022" s="2" t="str">
        <x:v>TX</x:v>
      </x:c>
      <x:c r="E1022" s="2" t="str">
        <x:v>Critical Access Hospitals</x:v>
      </x:c>
      <x:c r="F1022" s="2" t="str">
        <x:v>Government</x:v>
      </x:c>
      <x:c r="G1022" s="2" t="str">
        <x:v>Small (&lt;100 beds)</x:v>
      </x:c>
      <x:c r="H1022" s="7"/>
      <x:c r="I1022" s="7"/>
      <x:c r="J1022" s="7"/>
      <x:c r="K1022" s="8" t="n">
        <x:v>15</x:v>
      </x:c>
      <x:c r="L1022" s="8" t="n">
        <x:v>82</x:v>
      </x:c>
      <x:c r="M1022" s="9" t="n">
        <x:v>0.1863387978</x:v>
      </x:c>
      <x:c r="N1022" s="10" t="n">
        <x:v>234873.3536585366</x:v>
      </x:c>
      <x:c r="O1022" s="9" t="n">
        <x:v>-0.3543686364</x:v>
      </x:c>
      <x:c r="P1022" s="9" t="n">
        <x:v>0.7940520446</x:v>
      </x:c>
      <x:c r="Q1022" s="9" t="n">
        <x:v>0.292936803</x:v>
      </x:c>
      <x:c r="R1022" s="3" t="b">
        <x:v>0</x:v>
      </x:c>
      <x:c r="S1022" s="3" t="b">
        <x:v>0</x:v>
      </x:c>
      <x:c r="T1022" s="3" t="b">
        <x:v>0</x:v>
      </x:c>
      <x:c r="U1022" s="2" t="str">
        <x:f>IF(T1022=TRUE,"Priority review",IF(R1022=TRUE,"High cost",IF(S1022=TRUE,"Low quality","Benchmark")))</x:f>
        <x:v>Benchmark</x:v>
      </x:c>
    </x:row>
    <x:row r="1023">
      <x:c r="A1023" s="2" t="str">
        <x:v>500036</x:v>
      </x:c>
      <x:c r="B1023" s="2" t="str">
        <x:v>YAKIMA VALLEY MEMORIAL</x:v>
      </x:c>
      <x:c r="C1023" s="2" t="str">
        <x:v>YAKIMA</x:v>
      </x:c>
      <x:c r="D1023" s="2" t="str">
        <x:v>WA</x:v>
      </x:c>
      <x:c r="E1023" s="2" t="str">
        <x:v>Acute Care Hospitals</x:v>
      </x:c>
      <x:c r="F1023" s="2" t="str">
        <x:v>Voluntary non-profit</x:v>
      </x:c>
      <x:c r="G1023" s="2" t="str">
        <x:v>Medium (100-299 beds)</x:v>
      </x:c>
      <x:c r="H1023" s="7" t="n">
        <x:v>1</x:v>
      </x:c>
      <x:c r="I1023" s="7" t="n">
        <x:v>2</x:v>
      </x:c>
      <x:c r="J1023" s="7" t="n">
        <x:v>0.94</x:v>
      </x:c>
      <x:c r="K1023" s="8" t="n">
        <x:v>208</x:v>
      </x:c>
      <x:c r="L1023" s="8" t="n">
        <x:v>12775</x:v>
      </x:c>
      <x:c r="M1023" s="9" t="n">
        <x:v>0.7462563052</x:v>
      </x:c>
      <x:c r="N1023" s="10" t="n">
        <x:v>50322.0045401174</x:v>
      </x:c>
      <x:c r="O1023" s="9" t="n">
        <x:v>-0.0240584623</x:v>
      </x:c>
      <x:c r="P1023" s="9" t="n">
        <x:v>0.793806031</x:v>
      </x:c>
      <x:c r="Q1023" s="9" t="n">
        <x:v>0</x:v>
      </x:c>
      <x:c r="R1023" s="3" t="b">
        <x:v>0</x:v>
      </x:c>
      <x:c r="S1023" s="3" t="b">
        <x:v>1</x:v>
      </x:c>
      <x:c r="T1023" s="3" t="b">
        <x:v>0</x:v>
      </x:c>
      <x:c r="U1023" s="2" t="str">
        <x:f>IF(T1023=TRUE,"Priority review",IF(R1023=TRUE,"High cost",IF(S1023=TRUE,"Low quality","Benchmark")))</x:f>
        <x:v>Low quality</x:v>
      </x:c>
    </x:row>
    <x:row r="1024">
      <x:c r="A1024" s="2" t="str">
        <x:v>450865</x:v>
      </x:c>
      <x:c r="B1024" s="2" t="str">
        <x:v>ASCENSION SETON  SOUTHWEST</x:v>
      </x:c>
      <x:c r="C1024" s="2" t="str">
        <x:v>AUSTIN</x:v>
      </x:c>
      <x:c r="D1024" s="2" t="str">
        <x:v>TX</x:v>
      </x:c>
      <x:c r="E1024" s="2" t="str">
        <x:v>Acute Care Hospitals</x:v>
      </x:c>
      <x:c r="F1024" s="2" t="str">
        <x:v>Voluntary non-profit</x:v>
      </x:c>
      <x:c r="G1024" s="2" t="str">
        <x:v>Small (&lt;100 beds)</x:v>
      </x:c>
      <x:c r="H1024" s="7"/>
      <x:c r="I1024" s="7"/>
      <x:c r="J1024" s="7"/>
      <x:c r="K1024" s="8" t="n">
        <x:v>28</x:v>
      </x:c>
      <x:c r="L1024" s="8" t="n">
        <x:v>339</x:v>
      </x:c>
      <x:c r="M1024" s="9" t="n">
        <x:v>0.0860078278</x:v>
      </x:c>
      <x:c r="N1024" s="10" t="n">
        <x:v>93124.4749262537</x:v>
      </x:c>
      <x:c r="O1024" s="9" t="n">
        <x:v>0.1384594001</x:v>
      </x:c>
      <x:c r="P1024" s="9" t="n">
        <x:v>0.7935368043</x:v>
      </x:c>
      <x:c r="Q1024" s="9" t="n">
        <x:v>0.697486535</x:v>
      </x:c>
      <x:c r="R1024" s="3" t="b">
        <x:v>0</x:v>
      </x:c>
      <x:c r="S1024" s="3" t="b">
        <x:v>0</x:v>
      </x:c>
      <x:c r="T1024" s="3" t="b">
        <x:v>0</x:v>
      </x:c>
      <x:c r="U1024" s="2" t="str">
        <x:f>IF(T1024=TRUE,"Priority review",IF(R1024=TRUE,"High cost",IF(S1024=TRUE,"Low quality","Benchmark")))</x:f>
        <x:v>Benchmark</x:v>
      </x:c>
    </x:row>
    <x:row r="1025">
      <x:c r="A1025" s="2" t="str">
        <x:v>520138</x:v>
      </x:c>
      <x:c r="B1025" s="2" t="str">
        <x:v>AURORA ST LUKES MEDICAL CENTER</x:v>
      </x:c>
      <x:c r="C1025" s="2" t="str">
        <x:v>MILWAUKEE</x:v>
      </x:c>
      <x:c r="D1025" s="2" t="str">
        <x:v>WI</x:v>
      </x:c>
      <x:c r="E1025" s="2" t="str">
        <x:v>Acute Care Hospitals</x:v>
      </x:c>
      <x:c r="F1025" s="2" t="str">
        <x:v>Voluntary non-profit</x:v>
      </x:c>
      <x:c r="G1025" s="2" t="str">
        <x:v>Large (300+ beds)</x:v>
      </x:c>
      <x:c r="H1025" s="7" t="n">
        <x:v>4</x:v>
      </x:c>
      <x:c r="I1025" s="7" t="n">
        <x:v>3</x:v>
      </x:c>
      <x:c r="J1025" s="7" t="n">
        <x:v>0.96</x:v>
      </x:c>
      <x:c r="K1025" s="8" t="n">
        <x:v>896</x:v>
      </x:c>
      <x:c r="L1025" s="8" t="n">
        <x:v>33616</x:v>
      </x:c>
      <x:c r="M1025" s="9" t="n">
        <x:v>0.7102268048</x:v>
      </x:c>
      <x:c r="N1025" s="10" t="n">
        <x:v>58466.418342456</x:v>
      </x:c>
      <x:c r="O1025" s="9" t="n">
        <x:v>0.0255777169</x:v>
      </x:c>
      <x:c r="P1025" s="9" t="n">
        <x:v>0.7933753943</x:v>
      </x:c>
      <x:c r="Q1025" s="9" t="n">
        <x:v>0.5899053628</x:v>
      </x:c>
      <x:c r="R1025" s="3" t="b">
        <x:v>0</x:v>
      </x:c>
      <x:c r="S1025" s="3" t="b">
        <x:v>0</x:v>
      </x:c>
      <x:c r="T1025" s="3" t="b">
        <x:v>0</x:v>
      </x:c>
      <x:c r="U1025" s="2" t="str">
        <x:f>IF(T1025=TRUE,"Priority review",IF(R1025=TRUE,"High cost",IF(S1025=TRUE,"Low quality","Benchmark")))</x:f>
        <x:v>Benchmark</x:v>
      </x:c>
    </x:row>
    <x:row r="1026">
      <x:c r="A1026" s="2" t="str">
        <x:v>111316</x:v>
      </x:c>
      <x:c r="B1026" s="2" t="str">
        <x:v>WARM SPRINGS MEDICAL CENTER</x:v>
      </x:c>
      <x:c r="C1026" s="2" t="str">
        <x:v>WARM SPRINGS</x:v>
      </x:c>
      <x:c r="D1026" s="2" t="str">
        <x:v>GA</x:v>
      </x:c>
      <x:c r="E1026" s="2" t="str">
        <x:v>Critical Access Hospitals</x:v>
      </x:c>
      <x:c r="F1026" s="2" t="str">
        <x:v>Voluntary non-profit</x:v>
      </x:c>
      <x:c r="G1026" s="2" t="str">
        <x:v>Small (&lt;100 beds)</x:v>
      </x:c>
      <x:c r="H1026" s="7"/>
      <x:c r="I1026" s="7"/>
      <x:c r="J1026" s="7"/>
      <x:c r="K1026" s="8" t="n">
        <x:v>25</x:v>
      </x:c>
      <x:c r="L1026" s="8" t="n">
        <x:v>79</x:v>
      </x:c>
      <x:c r="M1026" s="9" t="n">
        <x:v>0.5921311475</x:v>
      </x:c>
      <x:c r="N1026" s="10" t="n">
        <x:v>234453.4683544304</x:v>
      </x:c>
      <x:c r="O1026" s="9" t="n">
        <x:v>-0.080712271</x:v>
      </x:c>
      <x:c r="P1026" s="9" t="n">
        <x:v>0.7933085502</x:v>
      </x:c>
      <x:c r="Q1026" s="9" t="n">
        <x:v>0.292936803</x:v>
      </x:c>
      <x:c r="R1026" s="3" t="b">
        <x:v>0</x:v>
      </x:c>
      <x:c r="S1026" s="3" t="b">
        <x:v>0</x:v>
      </x:c>
      <x:c r="T1026" s="3" t="b">
        <x:v>0</x:v>
      </x:c>
      <x:c r="U1026" s="2" t="str">
        <x:f>IF(T1026=TRUE,"Priority review",IF(R1026=TRUE,"High cost",IF(S1026=TRUE,"Low quality","Benchmark")))</x:f>
        <x:v>Benchmark</x:v>
      </x:c>
    </x:row>
    <x:row r="1027">
      <x:c r="A1027" s="2" t="str">
        <x:v>050107</x:v>
      </x:c>
      <x:c r="B1027" s="2" t="str">
        <x:v>MARIAN REGIONAL MEDICAL CENTER</x:v>
      </x:c>
      <x:c r="C1027" s="2" t="str">
        <x:v>SANTA MARIA</x:v>
      </x:c>
      <x:c r="D1027" s="2" t="str">
        <x:v>CA</x:v>
      </x:c>
      <x:c r="E1027" s="2" t="str">
        <x:v>Acute Care Hospitals</x:v>
      </x:c>
      <x:c r="F1027" s="2" t="str">
        <x:v>Voluntary non-profit</x:v>
      </x:c>
      <x:c r="G1027" s="2" t="str">
        <x:v>Medium (100-299 beds)</x:v>
      </x:c>
      <x:c r="H1027" s="7" t="n">
        <x:v>3</x:v>
      </x:c>
      <x:c r="I1027" s="7" t="n">
        <x:v>3</x:v>
      </x:c>
      <x:c r="J1027" s="7" t="n">
        <x:v>0.94</x:v>
      </x:c>
      <x:c r="K1027" s="8" t="n">
        <x:v>238</x:v>
      </x:c>
      <x:c r="L1027" s="8" t="n">
        <x:v>14915</x:v>
      </x:c>
      <x:c r="M1027" s="9" t="n">
        <x:v>0.7296765281</x:v>
      </x:c>
      <x:c r="N1027" s="10" t="n">
        <x:v>50283.4146161582</x:v>
      </x:c>
      <x:c r="O1027" s="9" t="n">
        <x:v>0.0681634394</x:v>
      </x:c>
      <x:c r="P1027" s="9" t="n">
        <x:v>0.792991035</x:v>
      </x:c>
      <x:c r="Q1027" s="9" t="n">
        <x:v>0.3023634882</x:v>
      </x:c>
      <x:c r="R1027" s="3" t="b">
        <x:v>0</x:v>
      </x:c>
      <x:c r="S1027" s="3" t="b">
        <x:v>0</x:v>
      </x:c>
      <x:c r="T1027" s="3" t="b">
        <x:v>0</x:v>
      </x:c>
      <x:c r="U1027" s="2" t="str">
        <x:f>IF(T1027=TRUE,"Priority review",IF(R1027=TRUE,"High cost",IF(S1027=TRUE,"Low quality","Benchmark")))</x:f>
        <x:v>Benchmark</x:v>
      </x:c>
    </x:row>
    <x:row r="1028">
      <x:c r="A1028" s="2" t="str">
        <x:v>054144</x:v>
      </x:c>
      <x:c r="B1028" s="2" t="str">
        <x:v>UCSF LANGLEY PORTER PSYCHIATRIC HOSPITAL AND CLINICS</x:v>
      </x:c>
      <x:c r="C1028" s="2" t="str">
        <x:v>SAN FRANCISCO</x:v>
      </x:c>
      <x:c r="D1028" s="2" t="str">
        <x:v>CA</x:v>
      </x:c>
      <x:c r="E1028" s="2" t="str">
        <x:v>Psychiatric</x:v>
      </x:c>
      <x:c r="F1028" s="2" t="str">
        <x:v>Government</x:v>
      </x:c>
      <x:c r="G1028" s="2" t="str">
        <x:v>Small (&lt;100 beds)</x:v>
      </x:c>
      <x:c r="H1028" s="7"/>
      <x:c r="I1028" s="7"/>
      <x:c r="J1028" s="7"/>
      <x:c r="K1028" s="8" t="n">
        <x:v>30</x:v>
      </x:c>
      <x:c r="L1028" s="8" t="n">
        <x:v>767</x:v>
      </x:c>
      <x:c r="M1028" s="9" t="n">
        <x:v>0.8150684932</x:v>
      </x:c>
      <x:c r="N1028" s="10" t="n">
        <x:v>42890.2294654498</x:v>
      </x:c>
      <x:c r="O1028" s="9" t="n">
        <x:v>-0.3718059256</x:v>
      </x:c>
      <x:c r="P1028" s="9" t="n">
        <x:v>0.7928802589</x:v>
      </x:c>
      <x:c r="Q1028" s="9" t="n">
        <x:v>0</x:v>
      </x:c>
      <x:c r="R1028" s="3" t="b">
        <x:v>0</x:v>
      </x:c>
      <x:c r="S1028" s="3" t="b">
        <x:v>0</x:v>
      </x:c>
      <x:c r="T1028" s="3" t="b">
        <x:v>0</x:v>
      </x:c>
      <x:c r="U1028" s="2" t="str">
        <x:f>IF(T1028=TRUE,"Priority review",IF(R1028=TRUE,"High cost",IF(S1028=TRUE,"Low quality","Benchmark")))</x:f>
        <x:v>Benchmark</x:v>
      </x:c>
    </x:row>
    <x:row r="1029">
      <x:c r="A1029" s="2" t="str">
        <x:v>460039</x:v>
      </x:c>
      <x:c r="B1029" s="2" t="str">
        <x:v>BEAR RIVER VALLEY HOSPITAL</x:v>
      </x:c>
      <x:c r="C1029" s="2" t="str">
        <x:v>TREMONTON</x:v>
      </x:c>
      <x:c r="D1029" s="2" t="str">
        <x:v>UT</x:v>
      </x:c>
      <x:c r="E1029" s="2" t="str">
        <x:v>Acute Care Hospitals</x:v>
      </x:c>
      <x:c r="F1029" s="2" t="str">
        <x:v>Voluntary non-profit</x:v>
      </x:c>
      <x:c r="G1029" s="2" t="str">
        <x:v>Small (&lt;100 beds)</x:v>
      </x:c>
      <x:c r="H1029" s="7"/>
      <x:c r="I1029" s="7"/>
      <x:c r="J1029" s="7" t="n">
        <x:v>0.89</x:v>
      </x:c>
      <x:c r="K1029" s="8" t="n">
        <x:v>16</x:v>
      </x:c>
      <x:c r="L1029" s="8" t="n">
        <x:v>359</x:v>
      </x:c>
      <x:c r="M1029" s="9" t="n">
        <x:v>0.1458333333</x:v>
      </x:c>
      <x:c r="N1029" s="10" t="n">
        <x:v>93074.7465181059</x:v>
      </x:c>
      <x:c r="O1029" s="9" t="n">
        <x:v>0.1612181851</x:v>
      </x:c>
      <x:c r="P1029" s="9" t="n">
        <x:v>0.7926391382</x:v>
      </x:c>
      <x:c r="Q1029" s="9" t="n">
        <x:v>0.697486535</x:v>
      </x:c>
      <x:c r="R1029" s="3" t="b">
        <x:v>0</x:v>
      </x:c>
      <x:c r="S1029" s="3" t="b">
        <x:v>0</x:v>
      </x:c>
      <x:c r="T1029" s="3" t="b">
        <x:v>0</x:v>
      </x:c>
      <x:c r="U1029" s="2" t="str">
        <x:f>IF(T1029=TRUE,"Priority review",IF(R1029=TRUE,"High cost",IF(S1029=TRUE,"Low quality","Benchmark")))</x:f>
        <x:v>Benchmark</x:v>
      </x:c>
    </x:row>
    <x:row r="1030">
      <x:c r="A1030" s="2" t="str">
        <x:v>061324</x:v>
      </x:c>
      <x:c r="B1030" s="2" t="str">
        <x:v>ASPEN VALLEY HOSPITAL DISTRICT</x:v>
      </x:c>
      <x:c r="C1030" s="2" t="str">
        <x:v>ASPEN</x:v>
      </x:c>
      <x:c r="D1030" s="2" t="str">
        <x:v>CO</x:v>
      </x:c>
      <x:c r="E1030" s="2" t="str">
        <x:v>Critical Access Hospitals</x:v>
      </x:c>
      <x:c r="F1030" s="2" t="str">
        <x:v>Government</x:v>
      </x:c>
      <x:c r="G1030" s="2" t="str">
        <x:v>Small (&lt;100 beds)</x:v>
      </x:c>
      <x:c r="H1030" s="7"/>
      <x:c r="I1030" s="7" t="n">
        <x:v>4</x:v>
      </x:c>
      <x:c r="J1030" s="7"/>
      <x:c r="K1030" s="8" t="n">
        <x:v>25</x:v>
      </x:c>
      <x:c r="L1030" s="8" t="n">
        <x:v>702</x:v>
      </x:c>
      <x:c r="M1030" s="9" t="n">
        <x:v>0.3076502732</x:v>
      </x:c>
      <x:c r="N1030" s="10" t="n">
        <x:v>234092.0185185185</x:v>
      </x:c>
      <x:c r="O1030" s="9" t="n">
        <x:v>-0.0890123616</x:v>
      </x:c>
      <x:c r="P1030" s="9" t="n">
        <x:v>0.7925650558</x:v>
      </x:c>
      <x:c r="Q1030" s="9" t="n">
        <x:v>0.292936803</x:v>
      </x:c>
      <x:c r="R1030" s="3" t="b">
        <x:v>0</x:v>
      </x:c>
      <x:c r="S1030" s="3" t="b">
        <x:v>0</x:v>
      </x:c>
      <x:c r="T1030" s="3" t="b">
        <x:v>0</x:v>
      </x:c>
      <x:c r="U1030" s="2" t="str">
        <x:f>IF(T1030=TRUE,"Priority review",IF(R1030=TRUE,"High cost",IF(S1030=TRUE,"Low quality","Benchmark")))</x:f>
        <x:v>Benchmark</x:v>
      </x:c>
    </x:row>
    <x:row r="1031">
      <x:c r="A1031" s="2" t="str">
        <x:v>030121</x:v>
      </x:c>
      <x:c r="B1031" s="2" t="str">
        <x:v>HONORHEALTH FOUR PEAKS MEDICAL CENTER</x:v>
      </x:c>
      <x:c r="C1031" s="2" t="str">
        <x:v>MESA</x:v>
      </x:c>
      <x:c r="D1031" s="2" t="str">
        <x:v>AZ</x:v>
      </x:c>
      <x:c r="E1031" s="2" t="str">
        <x:v>Acute Care Hospitals</x:v>
      </x:c>
      <x:c r="F1031" s="2" t="str">
        <x:v>Proprietary</x:v>
      </x:c>
      <x:c r="G1031" s="2" t="str">
        <x:v>Medium (100-299 beds)</x:v>
      </x:c>
      <x:c r="H1031" s="7" t="n">
        <x:v>2</x:v>
      </x:c>
      <x:c r="I1031" s="7" t="n">
        <x:v>2</x:v>
      </x:c>
      <x:c r="J1031" s="7" t="n">
        <x:v>0.96</x:v>
      </x:c>
      <x:c r="K1031" s="8" t="n">
        <x:v>139</x:v>
      </x:c>
      <x:c r="L1031" s="8" t="n">
        <x:v>1180</x:v>
      </x:c>
      <x:c r="M1031" s="9" t="n">
        <x:v>0.4416041635</x:v>
      </x:c>
      <x:c r="N1031" s="10" t="n">
        <x:v>50258.1686440678</x:v>
      </x:c>
      <x:c r="O1031" s="9" t="n">
        <x:v>-1.6129399673</x:v>
      </x:c>
      <x:c r="P1031" s="9" t="n">
        <x:v>0.7921760391</x:v>
      </x:c>
      <x:c r="Q1031" s="9" t="n">
        <x:v>0.0782396088</x:v>
      </x:c>
      <x:c r="R1031" s="3" t="b">
        <x:v>0</x:v>
      </x:c>
      <x:c r="S1031" s="3" t="b">
        <x:v>1</x:v>
      </x:c>
      <x:c r="T1031" s="3" t="b">
        <x:v>0</x:v>
      </x:c>
      <x:c r="U1031" s="2" t="str">
        <x:f>IF(T1031=TRUE,"Priority review",IF(R1031=TRUE,"High cost",IF(S1031=TRUE,"Low quality","Benchmark")))</x:f>
        <x:v>Low quality</x:v>
      </x:c>
    </x:row>
    <x:row r="1032">
      <x:c r="A1032" s="2" t="str">
        <x:v>281304</x:v>
      </x:c>
      <x:c r="B1032" s="2" t="str">
        <x:v>THAYER COUNTY HEALTH SERVICES</x:v>
      </x:c>
      <x:c r="C1032" s="2" t="str">
        <x:v>HEBRON</x:v>
      </x:c>
      <x:c r="D1032" s="2" t="str">
        <x:v>NE</x:v>
      </x:c>
      <x:c r="E1032" s="2" t="str">
        <x:v>Critical Access Hospitals</x:v>
      </x:c>
      <x:c r="F1032" s="2" t="str">
        <x:v>Government</x:v>
      </x:c>
      <x:c r="G1032" s="2" t="str">
        <x:v>Small (&lt;100 beds)</x:v>
      </x:c>
      <x:c r="H1032" s="7"/>
      <x:c r="I1032" s="7" t="n">
        <x:v>5</x:v>
      </x:c>
      <x:c r="J1032" s="7"/>
      <x:c r="K1032" s="8" t="n">
        <x:v>19</x:v>
      </x:c>
      <x:c r="L1032" s="8" t="n">
        <x:v>149</x:v>
      </x:c>
      <x:c r="M1032" s="9" t="n">
        <x:v>0.1312184571</x:v>
      </x:c>
      <x:c r="N1032" s="10" t="n">
        <x:v>233887.9463087248</x:v>
      </x:c>
      <x:c r="O1032" s="9" t="n">
        <x:v>-0.2075228548</x:v>
      </x:c>
      <x:c r="P1032" s="9" t="n">
        <x:v>0.7918215613</x:v>
      </x:c>
      <x:c r="Q1032" s="9" t="n">
        <x:v>0.292936803</x:v>
      </x:c>
      <x:c r="R1032" s="3" t="b">
        <x:v>0</x:v>
      </x:c>
      <x:c r="S1032" s="3" t="b">
        <x:v>0</x:v>
      </x:c>
      <x:c r="T1032" s="3" t="b">
        <x:v>0</x:v>
      </x:c>
      <x:c r="U1032" s="2" t="str">
        <x:f>IF(T1032=TRUE,"Priority review",IF(R1032=TRUE,"High cost",IF(S1032=TRUE,"Low quality","Benchmark")))</x:f>
        <x:v>Benchmark</x:v>
      </x:c>
    </x:row>
    <x:row r="1033">
      <x:c r="A1033" s="2" t="str">
        <x:v>150074</x:v>
      </x:c>
      <x:c r="B1033" s="2" t="str">
        <x:v>COMMUNITY HOSPITAL EAST</x:v>
      </x:c>
      <x:c r="C1033" s="2" t="str">
        <x:v>INDIANAPOLIS</x:v>
      </x:c>
      <x:c r="D1033" s="2" t="str">
        <x:v>IN</x:v>
      </x:c>
      <x:c r="E1033" s="2" t="str">
        <x:v>Acute Care Hospitals</x:v>
      </x:c>
      <x:c r="F1033" s="2" t="str">
        <x:v>Voluntary non-profit</x:v>
      </x:c>
      <x:c r="G1033" s="2" t="str">
        <x:v>Large (300+ beds)</x:v>
      </x:c>
      <x:c r="H1033" s="7" t="n">
        <x:v>3</x:v>
      </x:c>
      <x:c r="I1033" s="7" t="n">
        <x:v>4</x:v>
      </x:c>
      <x:c r="J1033" s="7" t="n">
        <x:v>1.04</x:v>
      </x:c>
      <x:c r="K1033" s="8" t="n">
        <x:v>396</x:v>
      </x:c>
      <x:c r="L1033" s="8" t="n">
        <x:v>21682</x:v>
      </x:c>
      <x:c r="M1033" s="9" t="n">
        <x:v>0.7483233979</x:v>
      </x:c>
      <x:c r="N1033" s="10" t="n">
        <x:v>57877.6682962826</x:v>
      </x:c>
      <x:c r="O1033" s="9" t="n">
        <x:v>0.1956123577</x:v>
      </x:c>
      <x:c r="P1033" s="9" t="n">
        <x:v>0.7917981073</x:v>
      </x:c>
      <x:c r="Q1033" s="9" t="n">
        <x:v>0.2570977918</x:v>
      </x:c>
      <x:c r="R1033" s="3" t="b">
        <x:v>0</x:v>
      </x:c>
      <x:c r="S1033" s="3" t="b">
        <x:v>0</x:v>
      </x:c>
      <x:c r="T1033" s="3" t="b">
        <x:v>0</x:v>
      </x:c>
      <x:c r="U1033" s="2" t="str">
        <x:f>IF(T1033=TRUE,"Priority review",IF(R1033=TRUE,"High cost",IF(S1033=TRUE,"Low quality","Benchmark")))</x:f>
        <x:v>Benchmark</x:v>
      </x:c>
    </x:row>
    <x:row r="1034">
      <x:c r="A1034" s="2" t="str">
        <x:v>670073</x:v>
      </x:c>
      <x:c r="B1034" s="2" t="str">
        <x:v>METHODIST HOSPITAL FOR SURGERY</x:v>
      </x:c>
      <x:c r="C1034" s="2" t="str">
        <x:v>ADDISON</x:v>
      </x:c>
      <x:c r="D1034" s="2" t="str">
        <x:v>TX</x:v>
      </x:c>
      <x:c r="E1034" s="2" t="str">
        <x:v>Acute Care Hospitals</x:v>
      </x:c>
      <x:c r="F1034" s="2" t="str">
        <x:v>Proprietary</x:v>
      </x:c>
      <x:c r="G1034" s="2" t="str">
        <x:v>Small (&lt;100 beds)</x:v>
      </x:c>
      <x:c r="H1034" s="7" t="n">
        <x:v>4</x:v>
      </x:c>
      <x:c r="I1034" s="7" t="n">
        <x:v>4</x:v>
      </x:c>
      <x:c r="J1034" s="7" t="n">
        <x:v>1.03</x:v>
      </x:c>
      <x:c r="K1034" s="8" t="n">
        <x:v>32</x:v>
      </x:c>
      <x:c r="L1034" s="8" t="n">
        <x:v>1490</x:v>
      </x:c>
      <x:c r="M1034" s="9" t="n">
        <x:v>0.3710724044</x:v>
      </x:c>
      <x:c r="N1034" s="10" t="n">
        <x:v>92995.655704698</x:v>
      </x:c>
      <x:c r="O1034" s="9" t="n">
        <x:v>0.1662430626</x:v>
      </x:c>
      <x:c r="P1034" s="9" t="n">
        <x:v>0.7917414722</x:v>
      </x:c>
      <x:c r="Q1034" s="9" t="n">
        <x:v>0.3913824057</x:v>
      </x:c>
      <x:c r="R1034" s="3" t="b">
        <x:v>0</x:v>
      </x:c>
      <x:c r="S1034" s="3" t="b">
        <x:v>0</x:v>
      </x:c>
      <x:c r="T1034" s="3" t="b">
        <x:v>0</x:v>
      </x:c>
      <x:c r="U1034" s="2" t="str">
        <x:f>IF(T1034=TRUE,"Priority review",IF(R1034=TRUE,"High cost",IF(S1034=TRUE,"Low quality","Benchmark")))</x:f>
        <x:v>Benchmark</x:v>
      </x:c>
    </x:row>
    <x:row r="1035">
      <x:c r="A1035" s="2" t="str">
        <x:v>103300</x:v>
      </x:c>
      <x:c r="B1035" s="2" t="str">
        <x:v>JOHNS HOPKINS ALL CHILDREN'S HOSPITAL</x:v>
      </x:c>
      <x:c r="C1035" s="2" t="str">
        <x:v>SAINT PETERSBURG</x:v>
      </x:c>
      <x:c r="D1035" s="2" t="str">
        <x:v>FL</x:v>
      </x:c>
      <x:c r="E1035" s="2" t="str">
        <x:v>Childrens</x:v>
      </x:c>
      <x:c r="F1035" s="2" t="str">
        <x:v>Voluntary non-profit</x:v>
      </x:c>
      <x:c r="G1035" s="2" t="str">
        <x:v>Medium (100-299 beds)</x:v>
      </x:c>
      <x:c r="H1035" s="7"/>
      <x:c r="I1035" s="7"/>
      <x:c r="J1035" s="7"/>
      <x:c r="K1035" s="8" t="n">
        <x:v>259</x:v>
      </x:c>
      <x:c r="L1035" s="8" t="n">
        <x:v>6831</x:v>
      </x:c>
      <x:c r="M1035" s="9" t="n">
        <x:v>0.6931929973</x:v>
      </x:c>
      <x:c r="N1035" s="10" t="n">
        <x:v>121970.6826233348</x:v>
      </x:c>
      <x:c r="O1035" s="9" t="n">
        <x:v>-0.0139588589</x:v>
      </x:c>
      <x:c r="P1035" s="9" t="n">
        <x:v>0.7916666667</x:v>
      </x:c>
      <x:c r="Q1035" s="9" t="n">
        <x:v>0</x:v>
      </x:c>
      <x:c r="R1035" s="3" t="b">
        <x:v>0</x:v>
      </x:c>
      <x:c r="S1035" s="3" t="b">
        <x:v>0</x:v>
      </x:c>
      <x:c r="T1035" s="3" t="b">
        <x:v>0</x:v>
      </x:c>
      <x:c r="U1035" s="2" t="str">
        <x:f>IF(T1035=TRUE,"Priority review",IF(R1035=TRUE,"High cost",IF(S1035=TRUE,"Low quality","Benchmark")))</x:f>
        <x:v>Benchmark</x:v>
      </x:c>
    </x:row>
    <x:row r="1036">
      <x:c r="A1036" s="2" t="str">
        <x:v>310040</x:v>
      </x:c>
      <x:c r="B1036" s="2" t="str">
        <x:v>CAREPOINT HEALTH-HOBOKEN UNIVERSITY MEDICAL CENTER</x:v>
      </x:c>
      <x:c r="C1036" s="2" t="str">
        <x:v>HOBOKEN</x:v>
      </x:c>
      <x:c r="D1036" s="2" t="str">
        <x:v>NJ</x:v>
      </x:c>
      <x:c r="E1036" s="2" t="str">
        <x:v>Acute Care Hospitals</x:v>
      </x:c>
      <x:c r="F1036" s="2" t="str">
        <x:v>Voluntary non-profit</x:v>
      </x:c>
      <x:c r="G1036" s="2" t="str">
        <x:v>Medium (100-299 beds)</x:v>
      </x:c>
      <x:c r="H1036" s="7" t="n">
        <x:v>1</x:v>
      </x:c>
      <x:c r="I1036" s="7" t="n">
        <x:v>2</x:v>
      </x:c>
      <x:c r="J1036" s="7" t="n">
        <x:v>1.17</x:v>
      </x:c>
      <x:c r="K1036" s="8" t="n">
        <x:v>114</x:v>
      </x:c>
      <x:c r="L1036" s="8" t="n">
        <x:v>3355</x:v>
      </x:c>
      <x:c r="M1036" s="9" t="n">
        <x:v>0.378894641</x:v>
      </x:c>
      <x:c r="N1036" s="10" t="n">
        <x:v>49830.7967213115</x:v>
      </x:c>
      <x:c r="O1036" s="9" t="n">
        <x:v>-0.3238331845</x:v>
      </x:c>
      <x:c r="P1036" s="9" t="n">
        <x:v>0.7913610432</x:v>
      </x:c>
      <x:c r="Q1036" s="9" t="n">
        <x:v>0</x:v>
      </x:c>
      <x:c r="R1036" s="3" t="b">
        <x:v>0</x:v>
      </x:c>
      <x:c r="S1036" s="3" t="b">
        <x:v>1</x:v>
      </x:c>
      <x:c r="T1036" s="3" t="b">
        <x:v>0</x:v>
      </x:c>
      <x:c r="U1036" s="2" t="str">
        <x:f>IF(T1036=TRUE,"Priority review",IF(R1036=TRUE,"High cost",IF(S1036=TRUE,"Low quality","Benchmark")))</x:f>
        <x:v>Low quality</x:v>
      </x:c>
    </x:row>
    <x:row r="1037">
      <x:c r="A1037" s="2" t="str">
        <x:v>521323</x:v>
      </x:c>
      <x:c r="B1037" s="2" t="str">
        <x:v>MARSHFIELD MEDICAL CENTER - NEILLSVILLE</x:v>
      </x:c>
      <x:c r="C1037" s="2" t="str">
        <x:v>NEILLSVILLE</x:v>
      </x:c>
      <x:c r="D1037" s="2" t="str">
        <x:v>WI</x:v>
      </x:c>
      <x:c r="E1037" s="2" t="str">
        <x:v>Critical Access Hospitals</x:v>
      </x:c>
      <x:c r="F1037" s="2" t="str">
        <x:v>Voluntary non-profit</x:v>
      </x:c>
      <x:c r="G1037" s="2" t="str">
        <x:v>Small (&lt;100 beds)</x:v>
      </x:c>
      <x:c r="H1037" s="7"/>
      <x:c r="I1037" s="7"/>
      <x:c r="J1037" s="7"/>
      <x:c r="K1037" s="8" t="n">
        <x:v>16</x:v>
      </x:c>
      <x:c r="L1037" s="8" t="n">
        <x:v>152</x:v>
      </x:c>
      <x:c r="M1037" s="9" t="n">
        <x:v>0.2609289617</x:v>
      </x:c>
      <x:c r="N1037" s="10" t="n">
        <x:v>233874.4144736842</x:v>
      </x:c>
      <x:c r="O1037" s="9" t="n">
        <x:v>0.0323298036</x:v>
      </x:c>
      <x:c r="P1037" s="9" t="n">
        <x:v>0.7910780669</x:v>
      </x:c>
      <x:c r="Q1037" s="9" t="n">
        <x:v>0.292936803</x:v>
      </x:c>
      <x:c r="R1037" s="3" t="b">
        <x:v>0</x:v>
      </x:c>
      <x:c r="S1037" s="3" t="b">
        <x:v>0</x:v>
      </x:c>
      <x:c r="T1037" s="3" t="b">
        <x:v>0</x:v>
      </x:c>
      <x:c r="U1037" s="2" t="str">
        <x:f>IF(T1037=TRUE,"Priority review",IF(R1037=TRUE,"High cost",IF(S1037=TRUE,"Low quality","Benchmark")))</x:f>
        <x:v>Benchmark</x:v>
      </x:c>
    </x:row>
    <x:row r="1038">
      <x:c r="A1038" s="2" t="str">
        <x:v>514008</x:v>
      </x:c>
      <x:c r="B1038" s="2" t="str">
        <x:v>RIVER PARK HOSPITAL</x:v>
      </x:c>
      <x:c r="C1038" s="2" t="str">
        <x:v>HUNTINGTON</x:v>
      </x:c>
      <x:c r="D1038" s="2" t="str">
        <x:v>WV</x:v>
      </x:c>
      <x:c r="E1038" s="2" t="str">
        <x:v>Psychiatric</x:v>
      </x:c>
      <x:c r="F1038" s="2" t="str">
        <x:v>Proprietary</x:v>
      </x:c>
      <x:c r="G1038" s="2" t="str">
        <x:v>Medium (100-299 beds)</x:v>
      </x:c>
      <x:c r="H1038" s="7"/>
      <x:c r="I1038" s="7"/>
      <x:c r="J1038" s="7"/>
      <x:c r="K1038" s="8" t="n">
        <x:v>116</x:v>
      </x:c>
      <x:c r="L1038" s="8" t="n">
        <x:v>639</x:v>
      </x:c>
      <x:c r="M1038" s="9" t="n">
        <x:v>0.9165960053</x:v>
      </x:c>
      <x:c r="N1038" s="10" t="n">
        <x:v>49014.3615023474</x:v>
      </x:c>
      <x:c r="O1038" s="9" t="n">
        <x:v>0.2762003255</x:v>
      </x:c>
      <x:c r="P1038" s="9" t="n">
        <x:v>0.7910447761</x:v>
      </x:c>
      <x:c r="Q1038" s="9" t="n">
        <x:v>0</x:v>
      </x:c>
      <x:c r="R1038" s="3" t="b">
        <x:v>0</x:v>
      </x:c>
      <x:c r="S1038" s="3" t="b">
        <x:v>0</x:v>
      </x:c>
      <x:c r="T1038" s="3" t="b">
        <x:v>0</x:v>
      </x:c>
      <x:c r="U1038" s="2" t="str">
        <x:f>IF(T1038=TRUE,"Priority review",IF(R1038=TRUE,"High cost",IF(S1038=TRUE,"Low quality","Benchmark")))</x:f>
        <x:v>Benchmark</x:v>
      </x:c>
    </x:row>
    <x:row r="1039">
      <x:c r="A1039" s="2" t="str">
        <x:v>670136</x:v>
      </x:c>
      <x:c r="B1039" s="2" t="str">
        <x:v>BAYLOR SCOTT &amp; WHITE MEDICAL CENTER- AUSTIN</x:v>
      </x:c>
      <x:c r="C1039" s="2" t="str">
        <x:v>AUSTIN</x:v>
      </x:c>
      <x:c r="D1039" s="2" t="str">
        <x:v>TX</x:v>
      </x:c>
      <x:c r="E1039" s="2" t="str">
        <x:v>Acute Care Hospitals</x:v>
      </x:c>
      <x:c r="F1039" s="2" t="str">
        <x:v>Voluntary non-profit</x:v>
      </x:c>
      <x:c r="G1039" s="2" t="str">
        <x:v>Small (&lt;100 beds)</x:v>
      </x:c>
      <x:c r="H1039" s="7"/>
      <x:c r="I1039" s="7"/>
      <x:c r="J1039" s="7" t="n">
        <x:v>0.93</x:v>
      </x:c>
      <x:c r="K1039" s="8" t="n">
        <x:v>25</x:v>
      </x:c>
      <x:c r="L1039" s="8" t="n">
        <x:v>523</x:v>
      </x:c>
      <x:c r="M1039" s="9" t="n">
        <x:v>0.1815300546</x:v>
      </x:c>
      <x:c r="N1039" s="10" t="n">
        <x:v>92768.5755258126</x:v>
      </x:c>
      <x:c r="O1039" s="9" t="n">
        <x:v>-0.0924073536</x:v>
      </x:c>
      <x:c r="P1039" s="9" t="n">
        <x:v>0.7908438061</x:v>
      </x:c>
      <x:c r="Q1039" s="9" t="n">
        <x:v>0.697486535</x:v>
      </x:c>
      <x:c r="R1039" s="3" t="b">
        <x:v>0</x:v>
      </x:c>
      <x:c r="S1039" s="3" t="b">
        <x:v>0</x:v>
      </x:c>
      <x:c r="T1039" s="3" t="b">
        <x:v>0</x:v>
      </x:c>
      <x:c r="U1039" s="2" t="str">
        <x:f>IF(T1039=TRUE,"Priority review",IF(R1039=TRUE,"High cost",IF(S1039=TRUE,"Low quality","Benchmark")))</x:f>
        <x:v>Benchmark</x:v>
      </x:c>
    </x:row>
    <x:row r="1040">
      <x:c r="A1040" s="2" t="str">
        <x:v>050133</x:v>
      </x:c>
      <x:c r="B1040" s="2" t="str">
        <x:v>ADVENTIST HEALTH AND RIDEOUT</x:v>
      </x:c>
      <x:c r="C1040" s="2" t="str">
        <x:v>MARYSVILLE</x:v>
      </x:c>
      <x:c r="D1040" s="2" t="str">
        <x:v>CA</x:v>
      </x:c>
      <x:c r="E1040" s="2" t="str">
        <x:v>Acute Care Hospitals</x:v>
      </x:c>
      <x:c r="F1040" s="2" t="str">
        <x:v>Government</x:v>
      </x:c>
      <x:c r="G1040" s="2" t="str">
        <x:v>Medium (100-299 beds)</x:v>
      </x:c>
      <x:c r="H1040" s="7" t="n">
        <x:v>2</x:v>
      </x:c>
      <x:c r="I1040" s="7" t="n">
        <x:v>2</x:v>
      </x:c>
      <x:c r="J1040" s="7" t="n">
        <x:v>0.98</x:v>
      </x:c>
      <x:c r="K1040" s="8" t="n">
        <x:v>209</x:v>
      </x:c>
      <x:c r="L1040" s="8" t="n">
        <x:v>11053</x:v>
      </x:c>
      <x:c r="M1040" s="9" t="n">
        <x:v>0.7356001778</x:v>
      </x:c>
      <x:c r="N1040" s="10" t="n">
        <x:v>49713.6484212431</x:v>
      </x:c>
      <x:c r="O1040" s="9" t="n">
        <x:v>-0.1444201294</x:v>
      </x:c>
      <x:c r="P1040" s="9" t="n">
        <x:v>0.7905460473</x:v>
      </x:c>
      <x:c r="Q1040" s="9" t="n">
        <x:v>0.0782396088</x:v>
      </x:c>
      <x:c r="R1040" s="3" t="b">
        <x:v>0</x:v>
      </x:c>
      <x:c r="S1040" s="3" t="b">
        <x:v>1</x:v>
      </x:c>
      <x:c r="T1040" s="3" t="b">
        <x:v>0</x:v>
      </x:c>
      <x:c r="U1040" s="2" t="str">
        <x:f>IF(T1040=TRUE,"Priority review",IF(R1040=TRUE,"High cost",IF(S1040=TRUE,"Low quality","Benchmark")))</x:f>
        <x:v>Low quality</x:v>
      </x:c>
    </x:row>
    <x:row r="1041">
      <x:c r="A1041" s="2" t="str">
        <x:v>291309</x:v>
      </x:c>
      <x:c r="B1041" s="2" t="str">
        <x:v>BOULDER CITY HOSPITAL</x:v>
      </x:c>
      <x:c r="C1041" s="2" t="str">
        <x:v>BOULDER CITY</x:v>
      </x:c>
      <x:c r="D1041" s="2" t="str">
        <x:v>NV</x:v>
      </x:c>
      <x:c r="E1041" s="2" t="str">
        <x:v>Critical Access Hospitals</x:v>
      </x:c>
      <x:c r="F1041" s="2" t="str">
        <x:v>Voluntary non-profit</x:v>
      </x:c>
      <x:c r="G1041" s="2" t="str">
        <x:v>Small (&lt;100 beds)</x:v>
      </x:c>
      <x:c r="H1041" s="7"/>
      <x:c r="I1041" s="7"/>
      <x:c r="J1041" s="7"/>
      <x:c r="K1041" s="8" t="n">
        <x:v>25</x:v>
      </x:c>
      <x:c r="L1041" s="8" t="n">
        <x:v>162</x:v>
      </x:c>
      <x:c r="M1041" s="9" t="n">
        <x:v>0.2589071038</x:v>
      </x:c>
      <x:c r="N1041" s="10" t="n">
        <x:v>233496.0864197531</x:v>
      </x:c>
      <x:c r="O1041" s="9" t="n">
        <x:v>-0.0247781459</x:v>
      </x:c>
      <x:c r="P1041" s="9" t="n">
        <x:v>0.7903345725</x:v>
      </x:c>
      <x:c r="Q1041" s="9" t="n">
        <x:v>0.292936803</x:v>
      </x:c>
      <x:c r="R1041" s="3" t="b">
        <x:v>0</x:v>
      </x:c>
      <x:c r="S1041" s="3" t="b">
        <x:v>0</x:v>
      </x:c>
      <x:c r="T1041" s="3" t="b">
        <x:v>0</x:v>
      </x:c>
      <x:c r="U1041" s="2" t="str">
        <x:f>IF(T1041=TRUE,"Priority review",IF(R1041=TRUE,"High cost",IF(S1041=TRUE,"Low quality","Benchmark")))</x:f>
        <x:v>Benchmark</x:v>
      </x:c>
    </x:row>
    <x:row r="1042">
      <x:c r="A1042" s="2" t="str">
        <x:v>260138</x:v>
      </x:c>
      <x:c r="B1042" s="2" t="str">
        <x:v>ST LUKES HOSPITAL OF KANSAS CITY</x:v>
      </x:c>
      <x:c r="C1042" s="2" t="str">
        <x:v>KANSAS CITY</x:v>
      </x:c>
      <x:c r="D1042" s="2" t="str">
        <x:v>MO</x:v>
      </x:c>
      <x:c r="E1042" s="2" t="str">
        <x:v>Acute Care Hospitals</x:v>
      </x:c>
      <x:c r="F1042" s="2" t="str">
        <x:v>Voluntary non-profit</x:v>
      </x:c>
      <x:c r="G1042" s="2" t="str">
        <x:v>Large (300+ beds)</x:v>
      </x:c>
      <x:c r="H1042" s="7" t="n">
        <x:v>5</x:v>
      </x:c>
      <x:c r="I1042" s="7" t="n">
        <x:v>4</x:v>
      </x:c>
      <x:c r="J1042" s="7" t="n">
        <x:v>1.05</x:v>
      </x:c>
      <x:c r="K1042" s="8" t="n">
        <x:v>456</x:v>
      </x:c>
      <x:c r="L1042" s="8" t="n">
        <x:v>19536</x:v>
      </x:c>
      <x:c r="M1042" s="9" t="n">
        <x:v>0.7887778472</x:v>
      </x:c>
      <x:c r="N1042" s="10" t="n">
        <x:v>57295.2342342342</x:v>
      </x:c>
      <x:c r="O1042" s="9" t="n">
        <x:v>-0.1248899485</x:v>
      </x:c>
      <x:c r="P1042" s="9" t="n">
        <x:v>0.7902208202</x:v>
      </x:c>
      <x:c r="Q1042" s="9" t="n">
        <x:v>0.8722397476</x:v>
      </x:c>
      <x:c r="R1042" s="3" t="b">
        <x:v>0</x:v>
      </x:c>
      <x:c r="S1042" s="3" t="b">
        <x:v>0</x:v>
      </x:c>
      <x:c r="T1042" s="3" t="b">
        <x:v>0</x:v>
      </x:c>
      <x:c r="U1042" s="2" t="str">
        <x:f>IF(T1042=TRUE,"Priority review",IF(R1042=TRUE,"High cost",IF(S1042=TRUE,"Low quality","Benchmark")))</x:f>
        <x:v>Benchmark</x:v>
      </x:c>
    </x:row>
    <x:row r="1043">
      <x:c r="A1043" s="2" t="str">
        <x:v>140059</x:v>
      </x:c>
      <x:c r="B1043" s="2" t="str">
        <x:v>JERSEY COMMUNITY HOSPITAL</x:v>
      </x:c>
      <x:c r="C1043" s="2" t="str">
        <x:v>JERSEYVILLE</x:v>
      </x:c>
      <x:c r="D1043" s="2" t="str">
        <x:v>IL</x:v>
      </x:c>
      <x:c r="E1043" s="2" t="str">
        <x:v>Acute Care Hospitals</x:v>
      </x:c>
      <x:c r="F1043" s="2" t="str">
        <x:v>Government</x:v>
      </x:c>
      <x:c r="G1043" s="2" t="str">
        <x:v>Small (&lt;100 beds)</x:v>
      </x:c>
      <x:c r="H1043" s="7" t="n">
        <x:v>3</x:v>
      </x:c>
      <x:c r="I1043" s="7"/>
      <x:c r="J1043" s="7" t="n">
        <x:v>1</x:v>
      </x:c>
      <x:c r="K1043" s="8" t="n">
        <x:v>46</x:v>
      </x:c>
      <x:c r="L1043" s="8" t="n">
        <x:v>642</x:v>
      </x:c>
      <x:c r="M1043" s="9" t="n">
        <x:v>0.1225729601</x:v>
      </x:c>
      <x:c r="N1043" s="10" t="n">
        <x:v>92362.4517133956</x:v>
      </x:c>
      <x:c r="O1043" s="9"/>
      <x:c r="P1043" s="9" t="n">
        <x:v>0.78994614</x:v>
      </x:c>
      <x:c r="Q1043" s="9" t="n">
        <x:v>0.1687612208</x:v>
      </x:c>
      <x:c r="R1043" s="3" t="b">
        <x:v>0</x:v>
      </x:c>
      <x:c r="S1043" s="3" t="b">
        <x:v>0</x:v>
      </x:c>
      <x:c r="T1043" s="3" t="b">
        <x:v>0</x:v>
      </x:c>
      <x:c r="U1043" s="2" t="str">
        <x:f>IF(T1043=TRUE,"Priority review",IF(R1043=TRUE,"High cost",IF(S1043=TRUE,"Low quality","Benchmark")))</x:f>
        <x:v>Benchmark</x:v>
      </x:c>
    </x:row>
    <x:row r="1044">
      <x:c r="A1044" s="2" t="str">
        <x:v>170185</x:v>
      </x:c>
      <x:c r="B1044" s="2" t="str">
        <x:v>SAINT LUKE'S SOUTH HOSPITAL</x:v>
      </x:c>
      <x:c r="C1044" s="2" t="str">
        <x:v>OVERLAND PARK</x:v>
      </x:c>
      <x:c r="D1044" s="2" t="str">
        <x:v>KS</x:v>
      </x:c>
      <x:c r="E1044" s="2" t="str">
        <x:v>Acute Care Hospitals</x:v>
      </x:c>
      <x:c r="F1044" s="2" t="str">
        <x:v>Voluntary non-profit</x:v>
      </x:c>
      <x:c r="G1044" s="2" t="str">
        <x:v>Medium (100-299 beds)</x:v>
      </x:c>
      <x:c r="H1044" s="7" t="n">
        <x:v>4</x:v>
      </x:c>
      <x:c r="I1044" s="7" t="n">
        <x:v>4</x:v>
      </x:c>
      <x:c r="J1044" s="7" t="n">
        <x:v>1.06</x:v>
      </x:c>
      <x:c r="K1044" s="8" t="n">
        <x:v>137</x:v>
      </x:c>
      <x:c r="L1044" s="8" t="n">
        <x:v>4963</x:v>
      </x:c>
      <x:c r="M1044" s="9" t="n">
        <x:v>0.4853362404</x:v>
      </x:c>
      <x:c r="N1044" s="10" t="n">
        <x:v>49617.5142051179</x:v>
      </x:c>
      <x:c r="O1044" s="9" t="n">
        <x:v>-0.0675869504</x:v>
      </x:c>
      <x:c r="P1044" s="9" t="n">
        <x:v>0.7897310513</x:v>
      </x:c>
      <x:c r="Q1044" s="9" t="n">
        <x:v>0.6022819886</x:v>
      </x:c>
      <x:c r="R1044" s="3" t="b">
        <x:v>0</x:v>
      </x:c>
      <x:c r="S1044" s="3" t="b">
        <x:v>0</x:v>
      </x:c>
      <x:c r="T1044" s="3" t="b">
        <x:v>0</x:v>
      </x:c>
      <x:c r="U1044" s="2" t="str">
        <x:f>IF(T1044=TRUE,"Priority review",IF(R1044=TRUE,"High cost",IF(S1044=TRUE,"Low quality","Benchmark")))</x:f>
        <x:v>Benchmark</x:v>
      </x:c>
    </x:row>
    <x:row r="1045">
      <x:c r="A1045" s="2" t="str">
        <x:v>224047</x:v>
      </x:c>
      <x:c r="B1045" s="2" t="str">
        <x:v>VALLEY SPRINGS BEHAVIORAL HEALTH HOSPITAL</x:v>
      </x:c>
      <x:c r="C1045" s="2" t="str">
        <x:v>HOLYOKE</x:v>
      </x:c>
      <x:c r="D1045" s="2" t="str">
        <x:v>MA</x:v>
      </x:c>
      <x:c r="E1045" s="2" t="str">
        <x:v>Psychiatric</x:v>
      </x:c>
      <x:c r="F1045" s="2" t="str">
        <x:v>Proprietary</x:v>
      </x:c>
      <x:c r="G1045" s="2" t="str">
        <x:v>Small (&lt;100 beds)</x:v>
      </x:c>
      <x:c r="H1045" s="7"/>
      <x:c r="I1045" s="7"/>
      <x:c r="J1045" s="7"/>
      <x:c r="K1045" s="8" t="n">
        <x:v>90</x:v>
      </x:c>
      <x:c r="L1045" s="8" t="n">
        <x:v>964</x:v>
      </x:c>
      <x:c r="M1045" s="9" t="n">
        <x:v>0.8257688158</x:v>
      </x:c>
      <x:c r="N1045" s="10" t="n">
        <x:v>40318.6348547718</x:v>
      </x:c>
      <x:c r="O1045" s="9" t="n">
        <x:v>-0.5954429151</x:v>
      </x:c>
      <x:c r="P1045" s="9" t="n">
        <x:v>0.7896440129</x:v>
      </x:c>
      <x:c r="Q1045" s="9" t="n">
        <x:v>0</x:v>
      </x:c>
      <x:c r="R1045" s="3" t="b">
        <x:v>0</x:v>
      </x:c>
      <x:c r="S1045" s="3" t="b">
        <x:v>0</x:v>
      </x:c>
      <x:c r="T1045" s="3" t="b">
        <x:v>0</x:v>
      </x:c>
      <x:c r="U1045" s="2" t="str">
        <x:f>IF(T1045=TRUE,"Priority review",IF(R1045=TRUE,"High cost",IF(S1045=TRUE,"Low quality","Benchmark")))</x:f>
        <x:v>Benchmark</x:v>
      </x:c>
    </x:row>
    <x:row r="1046">
      <x:c r="A1046" s="2" t="str">
        <x:v>181321</x:v>
      </x:c>
      <x:c r="B1046" s="2" t="str">
        <x:v>WAYNE COUNTY HOSPITAL</x:v>
      </x:c>
      <x:c r="C1046" s="2" t="str">
        <x:v>MONTICELLO</x:v>
      </x:c>
      <x:c r="D1046" s="2" t="str">
        <x:v>KY</x:v>
      </x:c>
      <x:c r="E1046" s="2" t="str">
        <x:v>Critical Access Hospitals</x:v>
      </x:c>
      <x:c r="F1046" s="2" t="str">
        <x:v>Voluntary non-profit</x:v>
      </x:c>
      <x:c r="G1046" s="2" t="str">
        <x:v>Small (&lt;100 beds)</x:v>
      </x:c>
      <x:c r="H1046" s="7"/>
      <x:c r="I1046" s="7"/>
      <x:c r="J1046" s="7"/>
      <x:c r="K1046" s="8" t="n">
        <x:v>25</x:v>
      </x:c>
      <x:c r="L1046" s="8" t="n">
        <x:v>98</x:v>
      </x:c>
      <x:c r="M1046" s="9" t="n">
        <x:v>0.222295082</x:v>
      </x:c>
      <x:c r="N1046" s="10" t="n">
        <x:v>233188.693877551</x:v>
      </x:c>
      <x:c r="O1046" s="9" t="n">
        <x:v>-0.2249589938</x:v>
      </x:c>
      <x:c r="P1046" s="9" t="n">
        <x:v>0.7895910781</x:v>
      </x:c>
      <x:c r="Q1046" s="9" t="n">
        <x:v>0.292936803</x:v>
      </x:c>
      <x:c r="R1046" s="3" t="b">
        <x:v>0</x:v>
      </x:c>
      <x:c r="S1046" s="3" t="b">
        <x:v>0</x:v>
      </x:c>
      <x:c r="T1046" s="3" t="b">
        <x:v>0</x:v>
      </x:c>
      <x:c r="U1046" s="2" t="str">
        <x:f>IF(T1046=TRUE,"Priority review",IF(R1046=TRUE,"High cost",IF(S1046=TRUE,"Low quality","Benchmark")))</x:f>
        <x:v>Benchmark</x:v>
      </x:c>
    </x:row>
    <x:row r="1047">
      <x:c r="A1047" s="2" t="str">
        <x:v>360263</x:v>
      </x:c>
      <x:c r="B1047" s="2" t="str">
        <x:v>INSTITUTE FOR ORTHOPAEDIC SURGERY</x:v>
      </x:c>
      <x:c r="C1047" s="2" t="str">
        <x:v>LIMA</x:v>
      </x:c>
      <x:c r="D1047" s="2" t="str">
        <x:v>OH</x:v>
      </x:c>
      <x:c r="E1047" s="2" t="str">
        <x:v>Acute Care Hospitals</x:v>
      </x:c>
      <x:c r="F1047" s="2" t="str">
        <x:v>Proprietary</x:v>
      </x:c>
      <x:c r="G1047" s="2" t="str">
        <x:v>Small (&lt;100 beds)</x:v>
      </x:c>
      <x:c r="H1047" s="7"/>
      <x:c r="I1047" s="7" t="n">
        <x:v>4</x:v>
      </x:c>
      <x:c r="J1047" s="7" t="n">
        <x:v>0.91</x:v>
      </x:c>
      <x:c r="K1047" s="8" t="n">
        <x:v>9</x:v>
      </x:c>
      <x:c r="L1047" s="8" t="n">
        <x:v>552</x:v>
      </x:c>
      <x:c r="M1047" s="9" t="n">
        <x:v>0.3709775349</x:v>
      </x:c>
      <x:c r="N1047" s="10" t="n">
        <x:v>91999.8152173913</x:v>
      </x:c>
      <x:c r="O1047" s="9" t="n">
        <x:v>0.3653926964</x:v>
      </x:c>
      <x:c r="P1047" s="9" t="n">
        <x:v>0.789048474</x:v>
      </x:c>
      <x:c r="Q1047" s="9" t="n">
        <x:v>0.697486535</x:v>
      </x:c>
      <x:c r="R1047" s="3" t="b">
        <x:v>0</x:v>
      </x:c>
      <x:c r="S1047" s="3" t="b">
        <x:v>0</x:v>
      </x:c>
      <x:c r="T1047" s="3" t="b">
        <x:v>0</x:v>
      </x:c>
      <x:c r="U1047" s="2" t="str">
        <x:f>IF(T1047=TRUE,"Priority review",IF(R1047=TRUE,"High cost",IF(S1047=TRUE,"Low quality","Benchmark")))</x:f>
        <x:v>Benchmark</x:v>
      </x:c>
    </x:row>
    <x:row r="1048">
      <x:c r="A1048" s="2" t="str">
        <x:v>220015</x:v>
      </x:c>
      <x:c r="B1048" s="2" t="str">
        <x:v>COOLEY DICKINSON HOSPITAL INC,THE</x:v>
      </x:c>
      <x:c r="C1048" s="2" t="str">
        <x:v>NORTHAMPTON</x:v>
      </x:c>
      <x:c r="D1048" s="2" t="str">
        <x:v>MA</x:v>
      </x:c>
      <x:c r="E1048" s="2" t="str">
        <x:v>Acute Care Hospitals</x:v>
      </x:c>
      <x:c r="F1048" s="2" t="str">
        <x:v>Voluntary non-profit</x:v>
      </x:c>
      <x:c r="G1048" s="2" t="str">
        <x:v>Medium (100-299 beds)</x:v>
      </x:c>
      <x:c r="H1048" s="7" t="n">
        <x:v>2</x:v>
      </x:c>
      <x:c r="I1048" s="7" t="n">
        <x:v>3</x:v>
      </x:c>
      <x:c r="J1048" s="7" t="n">
        <x:v>0.92</x:v>
      </x:c>
      <x:c r="K1048" s="8" t="n">
        <x:v>118</x:v>
      </x:c>
      <x:c r="L1048" s="8" t="n">
        <x:v>5278</x:v>
      </x:c>
      <x:c r="M1048" s="9" t="n">
        <x:v>0.5865286654</x:v>
      </x:c>
      <x:c r="N1048" s="10" t="n">
        <x:v>49516.8573323228</x:v>
      </x:c>
      <x:c r="O1048" s="9" t="n">
        <x:v>0.0394440304</x:v>
      </x:c>
      <x:c r="P1048" s="9" t="n">
        <x:v>0.7889160554</x:v>
      </x:c>
      <x:c r="Q1048" s="9" t="n">
        <x:v>0.0782396088</x:v>
      </x:c>
      <x:c r="R1048" s="3" t="b">
        <x:v>0</x:v>
      </x:c>
      <x:c r="S1048" s="3" t="b">
        <x:v>1</x:v>
      </x:c>
      <x:c r="T1048" s="3" t="b">
        <x:v>0</x:v>
      </x:c>
      <x:c r="U1048" s="2" t="str">
        <x:f>IF(T1048=TRUE,"Priority review",IF(R1048=TRUE,"High cost",IF(S1048=TRUE,"Low quality","Benchmark")))</x:f>
        <x:v>Low quality</x:v>
      </x:c>
    </x:row>
    <x:row r="1049">
      <x:c r="A1049" s="2" t="str">
        <x:v>281338</x:v>
      </x:c>
      <x:c r="B1049" s="2" t="str">
        <x:v>HOWARD COUNTY MEDICAL CENTER</x:v>
      </x:c>
      <x:c r="C1049" s="2" t="str">
        <x:v>ST PAUL</x:v>
      </x:c>
      <x:c r="D1049" s="2" t="str">
        <x:v>NE</x:v>
      </x:c>
      <x:c r="E1049" s="2" t="str">
        <x:v>Critical Access Hospitals</x:v>
      </x:c>
      <x:c r="F1049" s="2" t="str">
        <x:v>Voluntary non-profit</x:v>
      </x:c>
      <x:c r="G1049" s="2" t="str">
        <x:v>Small (&lt;100 beds)</x:v>
      </x:c>
      <x:c r="H1049" s="7"/>
      <x:c r="I1049" s="7"/>
      <x:c r="J1049" s="7"/>
      <x:c r="K1049" s="8" t="n">
        <x:v>10</x:v>
      </x:c>
      <x:c r="L1049" s="8" t="n">
        <x:v>123</x:v>
      </x:c>
      <x:c r="M1049" s="9" t="n">
        <x:v>0.2164383562</x:v>
      </x:c>
      <x:c r="N1049" s="10" t="n">
        <x:v>232517.9105691057</x:v>
      </x:c>
      <x:c r="O1049" s="9" t="n">
        <x:v>-0.0843823135</x:v>
      </x:c>
      <x:c r="P1049" s="9" t="n">
        <x:v>0.7888475836</x:v>
      </x:c>
      <x:c r="Q1049" s="9" t="n">
        <x:v>0.292936803</x:v>
      </x:c>
      <x:c r="R1049" s="3" t="b">
        <x:v>0</x:v>
      </x:c>
      <x:c r="S1049" s="3" t="b">
        <x:v>0</x:v>
      </x:c>
      <x:c r="T1049" s="3" t="b">
        <x:v>0</x:v>
      </x:c>
      <x:c r="U1049" s="2" t="str">
        <x:f>IF(T1049=TRUE,"Priority review",IF(R1049=TRUE,"High cost",IF(S1049=TRUE,"Low quality","Benchmark")))</x:f>
        <x:v>Benchmark</x:v>
      </x:c>
    </x:row>
    <x:row r="1050">
      <x:c r="A1050" s="2" t="str">
        <x:v>450068</x:v>
      </x:c>
      <x:c r="B1050" s="2" t="str">
        <x:v>MEMORIAL HERMANN - TEXAS MEDICAL CENTER</x:v>
      </x:c>
      <x:c r="C1050" s="2" t="str">
        <x:v>HOUSTON</x:v>
      </x:c>
      <x:c r="D1050" s="2" t="str">
        <x:v>TX</x:v>
      </x:c>
      <x:c r="E1050" s="2" t="str">
        <x:v>Acute Care Hospitals</x:v>
      </x:c>
      <x:c r="F1050" s="2" t="str">
        <x:v>Voluntary non-profit</x:v>
      </x:c>
      <x:c r="G1050" s="2" t="str">
        <x:v>Large (300+ beds)</x:v>
      </x:c>
      <x:c r="H1050" s="7" t="n">
        <x:v>4</x:v>
      </x:c>
      <x:c r="I1050" s="7" t="n">
        <x:v>3</x:v>
      </x:c>
      <x:c r="J1050" s="7" t="n">
        <x:v>1.03</x:v>
      </x:c>
      <x:c r="K1050" s="8" t="n">
        <x:v>1136</x:v>
      </x:c>
      <x:c r="L1050" s="8" t="n">
        <x:v>53763</x:v>
      </x:c>
      <x:c r="M1050" s="9" t="n">
        <x:v>0.8435920547</x:v>
      </x:c>
      <x:c r="N1050" s="10" t="n">
        <x:v>57233.7984487473</x:v>
      </x:c>
      <x:c r="O1050" s="9" t="n">
        <x:v>-0.0454457408</x:v>
      </x:c>
      <x:c r="P1050" s="9" t="n">
        <x:v>0.7886435331</x:v>
      </x:c>
      <x:c r="Q1050" s="9" t="n">
        <x:v>0.5899053628</x:v>
      </x:c>
      <x:c r="R1050" s="3" t="b">
        <x:v>0</x:v>
      </x:c>
      <x:c r="S1050" s="3" t="b">
        <x:v>0</x:v>
      </x:c>
      <x:c r="T1050" s="3" t="b">
        <x:v>0</x:v>
      </x:c>
      <x:c r="U1050" s="2" t="str">
        <x:f>IF(T1050=TRUE,"Priority review",IF(R1050=TRUE,"High cost",IF(S1050=TRUE,"Low quality","Benchmark")))</x:f>
        <x:v>Benchmark</x:v>
      </x:c>
    </x:row>
    <x:row r="1051">
      <x:c r="A1051" s="2" t="str">
        <x:v>050357</x:v>
      </x:c>
      <x:c r="B1051" s="2" t="str">
        <x:v>GOLETA VALLEY COTTAGE HOSPITAL</x:v>
      </x:c>
      <x:c r="C1051" s="2" t="str">
        <x:v>SANTA BARBARA</x:v>
      </x:c>
      <x:c r="D1051" s="2" t="str">
        <x:v>CA</x:v>
      </x:c>
      <x:c r="E1051" s="2" t="str">
        <x:v>Acute Care Hospitals</x:v>
      </x:c>
      <x:c r="F1051" s="2" t="str">
        <x:v>Voluntary non-profit</x:v>
      </x:c>
      <x:c r="G1051" s="2" t="str">
        <x:v>Small (&lt;100 beds)</x:v>
      </x:c>
      <x:c r="H1051" s="7" t="n">
        <x:v>5</x:v>
      </x:c>
      <x:c r="I1051" s="7" t="n">
        <x:v>4</x:v>
      </x:c>
      <x:c r="J1051" s="7" t="n">
        <x:v>1.01</x:v>
      </x:c>
      <x:c r="K1051" s="8" t="n">
        <x:v>24</x:v>
      </x:c>
      <x:c r="L1051" s="8" t="n">
        <x:v>1151</x:v>
      </x:c>
      <x:c r="M1051" s="9" t="n">
        <x:v>0.3640710383</x:v>
      </x:c>
      <x:c r="N1051" s="10" t="n">
        <x:v>91987.54821894</x:v>
      </x:c>
      <x:c r="O1051" s="9" t="n">
        <x:v>0.1842324658</x:v>
      </x:c>
      <x:c r="P1051" s="9" t="n">
        <x:v>0.7881508079</x:v>
      </x:c>
      <x:c r="Q1051" s="9" t="n">
        <x:v>0.6131059246</x:v>
      </x:c>
      <x:c r="R1051" s="3" t="b">
        <x:v>0</x:v>
      </x:c>
      <x:c r="S1051" s="3" t="b">
        <x:v>0</x:v>
      </x:c>
      <x:c r="T1051" s="3" t="b">
        <x:v>0</x:v>
      </x:c>
      <x:c r="U1051" s="2" t="str">
        <x:f>IF(T1051=TRUE,"Priority review",IF(R1051=TRUE,"High cost",IF(S1051=TRUE,"Low quality","Benchmark")))</x:f>
        <x:v>Benchmark</x:v>
      </x:c>
    </x:row>
    <x:row r="1052">
      <x:c r="A1052" s="2" t="str">
        <x:v>521310</x:v>
      </x:c>
      <x:c r="B1052" s="2" t="str">
        <x:v>HSHS ST CLARE MEMORIAL HOSPITAL</x:v>
      </x:c>
      <x:c r="C1052" s="2" t="str">
        <x:v>OCONTO FALLS</x:v>
      </x:c>
      <x:c r="D1052" s="2" t="str">
        <x:v>WI</x:v>
      </x:c>
      <x:c r="E1052" s="2" t="str">
        <x:v>Critical Access Hospitals</x:v>
      </x:c>
      <x:c r="F1052" s="2" t="str">
        <x:v>Voluntary non-profit</x:v>
      </x:c>
      <x:c r="G1052" s="2" t="str">
        <x:v>Small (&lt;100 beds)</x:v>
      </x:c>
      <x:c r="H1052" s="7"/>
      <x:c r="I1052" s="7"/>
      <x:c r="J1052" s="7"/>
      <x:c r="K1052" s="8" t="n">
        <x:v>23</x:v>
      </x:c>
      <x:c r="L1052" s="8" t="n">
        <x:v>178</x:v>
      </x:c>
      <x:c r="M1052" s="9" t="n">
        <x:v>0.4357355569</x:v>
      </x:c>
      <x:c r="N1052" s="10" t="n">
        <x:v>232509.6292134832</x:v>
      </x:c>
      <x:c r="O1052" s="9" t="n">
        <x:v>-0.3423245842</x:v>
      </x:c>
      <x:c r="P1052" s="9" t="n">
        <x:v>0.7881040892</x:v>
      </x:c>
      <x:c r="Q1052" s="9" t="n">
        <x:v>0.292936803</x:v>
      </x:c>
      <x:c r="R1052" s="3" t="b">
        <x:v>0</x:v>
      </x:c>
      <x:c r="S1052" s="3" t="b">
        <x:v>0</x:v>
      </x:c>
      <x:c r="T1052" s="3" t="b">
        <x:v>0</x:v>
      </x:c>
      <x:c r="U1052" s="2" t="str">
        <x:f>IF(T1052=TRUE,"Priority review",IF(R1052=TRUE,"High cost",IF(S1052=TRUE,"Low quality","Benchmark")))</x:f>
        <x:v>Benchmark</x:v>
      </x:c>
    </x:row>
    <x:row r="1053">
      <x:c r="A1053" s="2" t="str">
        <x:v>070034</x:v>
      </x:c>
      <x:c r="B1053" s="2" t="str">
        <x:v>NORWALK HOSPITAL</x:v>
      </x:c>
      <x:c r="C1053" s="2" t="str">
        <x:v>NORWALK</x:v>
      </x:c>
      <x:c r="D1053" s="2" t="str">
        <x:v>CT</x:v>
      </x:c>
      <x:c r="E1053" s="2" t="str">
        <x:v>Acute Care Hospitals</x:v>
      </x:c>
      <x:c r="F1053" s="2" t="str">
        <x:v>Voluntary non-profit</x:v>
      </x:c>
      <x:c r="G1053" s="2" t="str">
        <x:v>Medium (100-299 beds)</x:v>
      </x:c>
      <x:c r="H1053" s="7" t="n">
        <x:v>3</x:v>
      </x:c>
      <x:c r="I1053" s="7" t="n">
        <x:v>3</x:v>
      </x:c>
      <x:c r="J1053" s="7" t="n">
        <x:v>1</x:v>
      </x:c>
      <x:c r="K1053" s="8" t="n">
        <x:v>186</x:v>
      </x:c>
      <x:c r="L1053" s="8" t="n">
        <x:v>8788</x:v>
      </x:c>
      <x:c r="M1053" s="9" t="n">
        <x:v>0.6095246489</x:v>
      </x:c>
      <x:c r="N1053" s="10" t="n">
        <x:v>49509.0344788348</x:v>
      </x:c>
      <x:c r="O1053" s="9" t="n">
        <x:v>-0.162908699</x:v>
      </x:c>
      <x:c r="P1053" s="9" t="n">
        <x:v>0.7881010595</x:v>
      </x:c>
      <x:c r="Q1053" s="9" t="n">
        <x:v>0.3023634882</x:v>
      </x:c>
      <x:c r="R1053" s="3" t="b">
        <x:v>0</x:v>
      </x:c>
      <x:c r="S1053" s="3" t="b">
        <x:v>0</x:v>
      </x:c>
      <x:c r="T1053" s="3" t="b">
        <x:v>0</x:v>
      </x:c>
      <x:c r="U1053" s="2" t="str">
        <x:f>IF(T1053=TRUE,"Priority review",IF(R1053=TRUE,"High cost",IF(S1053=TRUE,"Low quality","Benchmark")))</x:f>
        <x:v>Benchmark</x:v>
      </x:c>
    </x:row>
    <x:row r="1054">
      <x:c r="A1054" s="2" t="str">
        <x:v>141330</x:v>
      </x:c>
      <x:c r="B1054" s="2" t="str">
        <x:v>HOPEDALE HOSPITAL</x:v>
      </x:c>
      <x:c r="C1054" s="2" t="str">
        <x:v>HOPEDALE</x:v>
      </x:c>
      <x:c r="D1054" s="2" t="str">
        <x:v>IL</x:v>
      </x:c>
      <x:c r="E1054" s="2" t="str">
        <x:v>Critical Access Hospitals</x:v>
      </x:c>
      <x:c r="F1054" s="2" t="str">
        <x:v>Voluntary non-profit</x:v>
      </x:c>
      <x:c r="G1054" s="2" t="str">
        <x:v>Small (&lt;100 beds)</x:v>
      </x:c>
      <x:c r="H1054" s="7"/>
      <x:c r="I1054" s="7"/>
      <x:c r="J1054" s="7"/>
      <x:c r="K1054" s="8" t="n">
        <x:v>25</x:v>
      </x:c>
      <x:c r="L1054" s="8" t="n">
        <x:v>173</x:v>
      </x:c>
      <x:c r="M1054" s="9" t="n">
        <x:v>0.1803835616</x:v>
      </x:c>
      <x:c r="N1054" s="10" t="n">
        <x:v>232348.7514450867</x:v>
      </x:c>
      <x:c r="O1054" s="9" t="n">
        <x:v>0.1067239553</x:v>
      </x:c>
      <x:c r="P1054" s="9" t="n">
        <x:v>0.7873605948</x:v>
      </x:c>
      <x:c r="Q1054" s="9" t="n">
        <x:v>0.292936803</x:v>
      </x:c>
      <x:c r="R1054" s="3" t="b">
        <x:v>0</x:v>
      </x:c>
      <x:c r="S1054" s="3" t="b">
        <x:v>0</x:v>
      </x:c>
      <x:c r="T1054" s="3" t="b">
        <x:v>0</x:v>
      </x:c>
      <x:c r="U1054" s="2" t="str">
        <x:f>IF(T1054=TRUE,"Priority review",IF(R1054=TRUE,"High cost",IF(S1054=TRUE,"Low quality","Benchmark")))</x:f>
        <x:v>Benchmark</x:v>
      </x:c>
    </x:row>
    <x:row r="1055">
      <x:c r="A1055" s="2" t="str">
        <x:v>050043</x:v>
      </x:c>
      <x:c r="B1055" s="2" t="str">
        <x:v>ALTA BATES SUMMIT MEDICAL CENTER</x:v>
      </x:c>
      <x:c r="C1055" s="2" t="str">
        <x:v>OAKLAND</x:v>
      </x:c>
      <x:c r="D1055" s="2" t="str">
        <x:v>CA</x:v>
      </x:c>
      <x:c r="E1055" s="2" t="str">
        <x:v>Acute Care Hospitals</x:v>
      </x:c>
      <x:c r="F1055" s="2" t="str">
        <x:v>Voluntary non-profit</x:v>
      </x:c>
      <x:c r="G1055" s="2" t="str">
        <x:v>Medium (100-299 beds)</x:v>
      </x:c>
      <x:c r="H1055" s="7" t="n">
        <x:v>5</x:v>
      </x:c>
      <x:c r="I1055" s="7" t="n">
        <x:v>3</x:v>
      </x:c>
      <x:c r="J1055" s="7" t="n">
        <x:v>1.01</x:v>
      </x:c>
      <x:c r="K1055" s="8" t="n">
        <x:v>251</x:v>
      </x:c>
      <x:c r="L1055" s="8" t="n">
        <x:v>11763</x:v>
      </x:c>
      <x:c r="M1055" s="9" t="n">
        <x:v>0.6185204537</x:v>
      </x:c>
      <x:c r="N1055" s="10" t="n">
        <x:v>49299.3280625691</x:v>
      </x:c>
      <x:c r="O1055" s="9" t="n">
        <x:v>0.0316928036</x:v>
      </x:c>
      <x:c r="P1055" s="9" t="n">
        <x:v>0.7872860636</x:v>
      </x:c>
      <x:c r="Q1055" s="9" t="n">
        <x:v>0.8744906275</x:v>
      </x:c>
      <x:c r="R1055" s="3" t="b">
        <x:v>0</x:v>
      </x:c>
      <x:c r="S1055" s="3" t="b">
        <x:v>0</x:v>
      </x:c>
      <x:c r="T1055" s="3" t="b">
        <x:v>0</x:v>
      </x:c>
      <x:c r="U1055" s="2" t="str">
        <x:f>IF(T1055=TRUE,"Priority review",IF(R1055=TRUE,"High cost",IF(S1055=TRUE,"Low quality","Benchmark")))</x:f>
        <x:v>Benchmark</x:v>
      </x:c>
    </x:row>
    <x:row r="1056">
      <x:c r="A1056" s="2" t="str">
        <x:v>230303</x:v>
      </x:c>
      <x:c r="B1056" s="2" t="str">
        <x:v>MUNSON HEALTHCARE MANISTEE HOSPITAL</x:v>
      </x:c>
      <x:c r="C1056" s="2" t="str">
        <x:v>MANISTEE</x:v>
      </x:c>
      <x:c r="D1056" s="2" t="str">
        <x:v>MI</x:v>
      </x:c>
      <x:c r="E1056" s="2" t="str">
        <x:v>Acute Care Hospitals</x:v>
      </x:c>
      <x:c r="F1056" s="2" t="str">
        <x:v>Voluntary non-profit</x:v>
      </x:c>
      <x:c r="G1056" s="2" t="str">
        <x:v>Small (&lt;100 beds)</x:v>
      </x:c>
      <x:c r="H1056" s="7" t="n">
        <x:v>4</x:v>
      </x:c>
      <x:c r="I1056" s="7" t="n">
        <x:v>4</x:v>
      </x:c>
      <x:c r="J1056" s="7" t="n">
        <x:v>0.77</x:v>
      </x:c>
      <x:c r="K1056" s="8" t="n">
        <x:v>45</x:v>
      </x:c>
      <x:c r="L1056" s="8" t="n">
        <x:v>528</x:v>
      </x:c>
      <x:c r="M1056" s="9" t="n">
        <x:v>0.0940030441</x:v>
      </x:c>
      <x:c r="N1056" s="10" t="n">
        <x:v>91676.4791666667</x:v>
      </x:c>
      <x:c r="O1056" s="9" t="n">
        <x:v>0.0103158824</x:v>
      </x:c>
      <x:c r="P1056" s="9" t="n">
        <x:v>0.7872531418</x:v>
      </x:c>
      <x:c r="Q1056" s="9" t="n">
        <x:v>0.3913824057</x:v>
      </x:c>
      <x:c r="R1056" s="3" t="b">
        <x:v>0</x:v>
      </x:c>
      <x:c r="S1056" s="3" t="b">
        <x:v>0</x:v>
      </x:c>
      <x:c r="T1056" s="3" t="b">
        <x:v>0</x:v>
      </x:c>
      <x:c r="U1056" s="2" t="str">
        <x:f>IF(T1056=TRUE,"Priority review",IF(R1056=TRUE,"High cost",IF(S1056=TRUE,"Low quality","Benchmark")))</x:f>
        <x:v>Benchmark</x:v>
      </x:c>
    </x:row>
    <x:row r="1057">
      <x:c r="A1057" s="2" t="str">
        <x:v>140281</x:v>
      </x:c>
      <x:c r="B1057" s="2" t="str">
        <x:v>NORTHWESTERN MEMORIAL HOSPITAL</x:v>
      </x:c>
      <x:c r="C1057" s="2" t="str">
        <x:v>CHICAGO</x:v>
      </x:c>
      <x:c r="D1057" s="2" t="str">
        <x:v>IL</x:v>
      </x:c>
      <x:c r="E1057" s="2" t="str">
        <x:v>Acute Care Hospitals</x:v>
      </x:c>
      <x:c r="F1057" s="2" t="str">
        <x:v>Voluntary non-profit</x:v>
      </x:c>
      <x:c r="G1057" s="2" t="str">
        <x:v>Large (300+ beds)</x:v>
      </x:c>
      <x:c r="H1057" s="7" t="n">
        <x:v>5</x:v>
      </x:c>
      <x:c r="I1057" s="7" t="n">
        <x:v>4</x:v>
      </x:c>
      <x:c r="J1057" s="7" t="n">
        <x:v>0.94</x:v>
      </x:c>
      <x:c r="K1057" s="8" t="n">
        <x:v>930</x:v>
      </x:c>
      <x:c r="L1057" s="8" t="n">
        <x:v>59224</x:v>
      </x:c>
      <x:c r="M1057" s="9" t="n">
        <x:v>0.9213865603</x:v>
      </x:c>
      <x:c r="N1057" s="10" t="n">
        <x:v>56967.5556193435</x:v>
      </x:c>
      <x:c r="O1057" s="9" t="n">
        <x:v>-0.1983682893</x:v>
      </x:c>
      <x:c r="P1057" s="9" t="n">
        <x:v>0.7870662461</x:v>
      </x:c>
      <x:c r="Q1057" s="9" t="n">
        <x:v>0.8722397476</x:v>
      </x:c>
      <x:c r="R1057" s="3" t="b">
        <x:v>0</x:v>
      </x:c>
      <x:c r="S1057" s="3" t="b">
        <x:v>0</x:v>
      </x:c>
      <x:c r="T1057" s="3" t="b">
        <x:v>0</x:v>
      </x:c>
      <x:c r="U1057" s="2" t="str">
        <x:f>IF(T1057=TRUE,"Priority review",IF(R1057=TRUE,"High cost",IF(S1057=TRUE,"Low quality","Benchmark")))</x:f>
        <x:v>Benchmark</x:v>
      </x:c>
    </x:row>
    <x:row r="1058">
      <x:c r="A1058" s="2" t="str">
        <x:v>351308</x:v>
      </x:c>
      <x:c r="B1058" s="2" t="str">
        <x:v>NELSON COUNTY HEALTH SYSTEM</x:v>
      </x:c>
      <x:c r="C1058" s="2" t="str">
        <x:v>MCVILLE</x:v>
      </x:c>
      <x:c r="D1058" s="2" t="str">
        <x:v>ND</x:v>
      </x:c>
      <x:c r="E1058" s="2" t="str">
        <x:v>Critical Access Hospitals</x:v>
      </x:c>
      <x:c r="F1058" s="2" t="str">
        <x:v>Voluntary non-profit</x:v>
      </x:c>
      <x:c r="G1058" s="2" t="str">
        <x:v>Small (&lt;100 beds)</x:v>
      </x:c>
      <x:c r="H1058" s="7"/>
      <x:c r="I1058" s="7"/>
      <x:c r="J1058" s="7"/>
      <x:c r="K1058" s="8" t="n">
        <x:v>19</x:v>
      </x:c>
      <x:c r="L1058" s="8" t="n">
        <x:v>41</x:v>
      </x:c>
      <x:c r="M1058" s="9" t="n">
        <x:v>0.0863734679</x:v>
      </x:c>
      <x:c r="N1058" s="10" t="n">
        <x:v>232303.6585365854</x:v>
      </x:c>
      <x:c r="O1058" s="9" t="n">
        <x:v>-0.2049880911</x:v>
      </x:c>
      <x:c r="P1058" s="9" t="n">
        <x:v>0.7866171004</x:v>
      </x:c>
      <x:c r="Q1058" s="9" t="n">
        <x:v>0.292936803</x:v>
      </x:c>
      <x:c r="R1058" s="3" t="b">
        <x:v>0</x:v>
      </x:c>
      <x:c r="S1058" s="3" t="b">
        <x:v>0</x:v>
      </x:c>
      <x:c r="T1058" s="3" t="b">
        <x:v>0</x:v>
      </x:c>
      <x:c r="U1058" s="2" t="str">
        <x:f>IF(T1058=TRUE,"Priority review",IF(R1058=TRUE,"High cost",IF(S1058=TRUE,"Low quality","Benchmark")))</x:f>
        <x:v>Benchmark</x:v>
      </x:c>
    </x:row>
    <x:row r="1059">
      <x:c r="A1059" s="2" t="str">
        <x:v>050604</x:v>
      </x:c>
      <x:c r="B1059" s="2" t="str">
        <x:v>KAISER FOUNDATION HOSPITAL-SAN JOSE</x:v>
      </x:c>
      <x:c r="C1059" s="2" t="str">
        <x:v>SAN JOSE</x:v>
      </x:c>
      <x:c r="D1059" s="2" t="str">
        <x:v>CA</x:v>
      </x:c>
      <x:c r="E1059" s="2" t="str">
        <x:v>Acute Care Hospitals</x:v>
      </x:c>
      <x:c r="F1059" s="2" t="str">
        <x:v>Voluntary non-profit</x:v>
      </x:c>
      <x:c r="G1059" s="2" t="str">
        <x:v>Medium (100-299 beds)</x:v>
      </x:c>
      <x:c r="H1059" s="7" t="n">
        <x:v>3</x:v>
      </x:c>
      <x:c r="I1059" s="7" t="n">
        <x:v>3</x:v>
      </x:c>
      <x:c r="J1059" s="7" t="n">
        <x:v>0.91</x:v>
      </x:c>
      <x:c r="K1059" s="8" t="n">
        <x:v>235</x:v>
      </x:c>
      <x:c r="L1059" s="8" t="n">
        <x:v>12445</x:v>
      </x:c>
      <x:c r="M1059" s="9" t="n">
        <x:v>0.5977328218</x:v>
      </x:c>
      <x:c r="N1059" s="10" t="n">
        <x:v>49296.1668139815</x:v>
      </x:c>
      <x:c r="O1059" s="9" t="n">
        <x:v>0.1594311716</x:v>
      </x:c>
      <x:c r="P1059" s="9" t="n">
        <x:v>0.7864710676</x:v>
      </x:c>
      <x:c r="Q1059" s="9" t="n">
        <x:v>0.3023634882</x:v>
      </x:c>
      <x:c r="R1059" s="3" t="b">
        <x:v>0</x:v>
      </x:c>
      <x:c r="S1059" s="3" t="b">
        <x:v>0</x:v>
      </x:c>
      <x:c r="T1059" s="3" t="b">
        <x:v>0</x:v>
      </x:c>
      <x:c r="U1059" s="2" t="str">
        <x:f>IF(T1059=TRUE,"Priority review",IF(R1059=TRUE,"High cost",IF(S1059=TRUE,"Low quality","Benchmark")))</x:f>
        <x:v>Benchmark</x:v>
      </x:c>
    </x:row>
    <x:row r="1060">
      <x:c r="A1060" s="2" t="str">
        <x:v>524025</x:v>
      </x:c>
      <x:c r="B1060" s="2" t="str">
        <x:v>FOND DU LAC COUNTY ACUTE PSYCH UNIT</x:v>
      </x:c>
      <x:c r="C1060" s="2" t="str">
        <x:v>FOND DU LAC</x:v>
      </x:c>
      <x:c r="D1060" s="2" t="str">
        <x:v>WI</x:v>
      </x:c>
      <x:c r="E1060" s="2" t="str">
        <x:v>Psychiatric</x:v>
      </x:c>
      <x:c r="F1060" s="2" t="str">
        <x:v>Government</x:v>
      </x:c>
      <x:c r="G1060" s="2" t="str">
        <x:v>Small (&lt;100 beds)</x:v>
      </x:c>
      <x:c r="H1060" s="7"/>
      <x:c r="I1060" s="7"/>
      <x:c r="J1060" s="7"/>
      <x:c r="K1060" s="8" t="n">
        <x:v>16</x:v>
      </x:c>
      <x:c r="L1060" s="8" t="n">
        <x:v>489</x:v>
      </x:c>
      <x:c r="M1060" s="9" t="n">
        <x:v>0.5776980874</x:v>
      </x:c>
      <x:c r="N1060" s="10" t="n">
        <x:v>39485.1676891616</x:v>
      </x:c>
      <x:c r="O1060" s="9" t="n">
        <x:v>0.0813898715</x:v>
      </x:c>
      <x:c r="P1060" s="9" t="n">
        <x:v>0.786407767</x:v>
      </x:c>
      <x:c r="Q1060" s="9" t="n">
        <x:v>0</x:v>
      </x:c>
      <x:c r="R1060" s="3" t="b">
        <x:v>0</x:v>
      </x:c>
      <x:c r="S1060" s="3" t="b">
        <x:v>0</x:v>
      </x:c>
      <x:c r="T1060" s="3" t="b">
        <x:v>0</x:v>
      </x:c>
      <x:c r="U1060" s="2" t="str">
        <x:f>IF(T1060=TRUE,"Priority review",IF(R1060=TRUE,"High cost",IF(S1060=TRUE,"Low quality","Benchmark")))</x:f>
        <x:v>Benchmark</x:v>
      </x:c>
    </x:row>
    <x:row r="1061">
      <x:c r="A1061" s="2" t="str">
        <x:v>430048</x:v>
      </x:c>
      <x:c r="B1061" s="2" t="str">
        <x:v>MONUMENT HEALTH SPEARFISH HOSPITAL</x:v>
      </x:c>
      <x:c r="C1061" s="2" t="str">
        <x:v>SPEARFISH</x:v>
      </x:c>
      <x:c r="D1061" s="2" t="str">
        <x:v>SD</x:v>
      </x:c>
      <x:c r="E1061" s="2" t="str">
        <x:v>Acute Care Hospitals</x:v>
      </x:c>
      <x:c r="F1061" s="2" t="str">
        <x:v>Voluntary non-profit</x:v>
      </x:c>
      <x:c r="G1061" s="2" t="str">
        <x:v>Small (&lt;100 beds)</x:v>
      </x:c>
      <x:c r="H1061" s="7" t="n">
        <x:v>4</x:v>
      </x:c>
      <x:c r="I1061" s="7" t="n">
        <x:v>3</x:v>
      </x:c>
      <x:c r="J1061" s="7" t="n">
        <x:v>0.92</x:v>
      </x:c>
      <x:c r="K1061" s="8" t="n">
        <x:v>20</x:v>
      </x:c>
      <x:c r="L1061" s="8" t="n">
        <x:v>1330</x:v>
      </x:c>
      <x:c r="M1061" s="9" t="n">
        <x:v>0.5012328767</x:v>
      </x:c>
      <x:c r="N1061" s="10" t="n">
        <x:v>90765.7218045113</x:v>
      </x:c>
      <x:c r="O1061" s="9" t="n">
        <x:v>-0.0001665226</x:v>
      </x:c>
      <x:c r="P1061" s="9" t="n">
        <x:v>0.7863554758</x:v>
      </x:c>
      <x:c r="Q1061" s="9" t="n">
        <x:v>0.3913824057</x:v>
      </x:c>
      <x:c r="R1061" s="3" t="b">
        <x:v>0</x:v>
      </x:c>
      <x:c r="S1061" s="3" t="b">
        <x:v>0</x:v>
      </x:c>
      <x:c r="T1061" s="3" t="b">
        <x:v>0</x:v>
      </x:c>
      <x:c r="U1061" s="2" t="str">
        <x:f>IF(T1061=TRUE,"Priority review",IF(R1061=TRUE,"High cost",IF(S1061=TRUE,"Low quality","Benchmark")))</x:f>
        <x:v>Benchmark</x:v>
      </x:c>
    </x:row>
    <x:row r="1062">
      <x:c r="A1062" s="2" t="str">
        <x:v>314018</x:v>
      </x:c>
      <x:c r="B1062" s="2" t="str">
        <x:v>NORTHBROOK BEHAVIORAL HEALTH HOSPITAL</x:v>
      </x:c>
      <x:c r="C1062" s="2" t="str">
        <x:v>BLACKWOOD</x:v>
      </x:c>
      <x:c r="D1062" s="2" t="str">
        <x:v>NJ</x:v>
      </x:c>
      <x:c r="E1062" s="2" t="str">
        <x:v>Psychiatric</x:v>
      </x:c>
      <x:c r="F1062" s="2" t="str">
        <x:v>Proprietary</x:v>
      </x:c>
      <x:c r="G1062" s="2" t="str">
        <x:v>Medium (100-299 beds)</x:v>
      </x:c>
      <x:c r="H1062" s="7"/>
      <x:c r="I1062" s="7"/>
      <x:c r="J1062" s="7"/>
      <x:c r="K1062" s="8" t="n">
        <x:v>158</x:v>
      </x:c>
      <x:c r="L1062" s="8" t="n">
        <x:v>1944</x:v>
      </x:c>
      <x:c r="M1062" s="9" t="n">
        <x:v>0.9382824929</x:v>
      </x:c>
      <x:c r="N1062" s="10" t="n">
        <x:v>44697.6774691358</x:v>
      </x:c>
      <x:c r="O1062" s="9" t="n">
        <x:v>-0.809394741</x:v>
      </x:c>
      <x:c r="P1062" s="9" t="n">
        <x:v>0.7860696517</x:v>
      </x:c>
      <x:c r="Q1062" s="9" t="n">
        <x:v>0</x:v>
      </x:c>
      <x:c r="R1062" s="3" t="b">
        <x:v>0</x:v>
      </x:c>
      <x:c r="S1062" s="3" t="b">
        <x:v>0</x:v>
      </x:c>
      <x:c r="T1062" s="3" t="b">
        <x:v>0</x:v>
      </x:c>
      <x:c r="U1062" s="2" t="str">
        <x:f>IF(T1062=TRUE,"Priority review",IF(R1062=TRUE,"High cost",IF(S1062=TRUE,"Low quality","Benchmark")))</x:f>
        <x:v>Benchmark</x:v>
      </x:c>
    </x:row>
    <x:row r="1063">
      <x:c r="A1063" s="2" t="str">
        <x:v>251309</x:v>
      </x:c>
      <x:c r="B1063" s="2" t="str">
        <x:v>FIELD HEALTH SYSTEM</x:v>
      </x:c>
      <x:c r="C1063" s="2" t="str">
        <x:v>CENTREVILLE</x:v>
      </x:c>
      <x:c r="D1063" s="2" t="str">
        <x:v>MS</x:v>
      </x:c>
      <x:c r="E1063" s="2" t="str">
        <x:v>Critical Access Hospitals</x:v>
      </x:c>
      <x:c r="F1063" s="2" t="str">
        <x:v>Government</x:v>
      </x:c>
      <x:c r="G1063" s="2" t="str">
        <x:v>Small (&lt;100 beds)</x:v>
      </x:c>
      <x:c r="H1063" s="7"/>
      <x:c r="I1063" s="7"/>
      <x:c r="J1063" s="7"/>
      <x:c r="K1063" s="8" t="n">
        <x:v>16</x:v>
      </x:c>
      <x:c r="L1063" s="8" t="n">
        <x:v>126</x:v>
      </x:c>
      <x:c r="M1063" s="9" t="n">
        <x:v>0.6542008197</x:v>
      </x:c>
      <x:c r="N1063" s="10" t="n">
        <x:v>231984.2619047619</x:v>
      </x:c>
      <x:c r="O1063" s="9" t="n">
        <x:v>-0.3252949834</x:v>
      </x:c>
      <x:c r="P1063" s="9" t="n">
        <x:v>0.7858736059</x:v>
      </x:c>
      <x:c r="Q1063" s="9" t="n">
        <x:v>0.292936803</x:v>
      </x:c>
      <x:c r="R1063" s="3" t="b">
        <x:v>0</x:v>
      </x:c>
      <x:c r="S1063" s="3" t="b">
        <x:v>0</x:v>
      </x:c>
      <x:c r="T1063" s="3" t="b">
        <x:v>0</x:v>
      </x:c>
      <x:c r="U1063" s="2" t="str">
        <x:f>IF(T1063=TRUE,"Priority review",IF(R1063=TRUE,"High cost",IF(S1063=TRUE,"Low quality","Benchmark")))</x:f>
        <x:v>Benchmark</x:v>
      </x:c>
    </x:row>
    <x:row r="1064">
      <x:c r="A1064" s="2" t="str">
        <x:v>313300</x:v>
      </x:c>
      <x:c r="B1064" s="2" t="str">
        <x:v>CHILDREN'S SPECIALIZED HOSPITAL</x:v>
      </x:c>
      <x:c r="C1064" s="2" t="str">
        <x:v>NEW BRUNSWICK</x:v>
      </x:c>
      <x:c r="D1064" s="2" t="str">
        <x:v>NJ</x:v>
      </x:c>
      <x:c r="E1064" s="2" t="str">
        <x:v>Childrens</x:v>
      </x:c>
      <x:c r="F1064" s="2" t="str">
        <x:v>Voluntary non-profit</x:v>
      </x:c>
      <x:c r="G1064" s="2" t="str">
        <x:v>Small (&lt;100 beds)</x:v>
      </x:c>
      <x:c r="H1064" s="7"/>
      <x:c r="I1064" s="7"/>
      <x:c r="J1064" s="7"/>
      <x:c r="K1064" s="8" t="n">
        <x:v>68</x:v>
      </x:c>
      <x:c r="L1064" s="8" t="n">
        <x:v>545</x:v>
      </x:c>
      <x:c r="M1064" s="9" t="n">
        <x:v>0.7603948429</x:v>
      </x:c>
      <x:c r="N1064" s="10" t="n">
        <x:v>394109.8642201835</x:v>
      </x:c>
      <x:c r="O1064" s="9" t="n">
        <x:v>-0.1780352306</x:v>
      </x:c>
      <x:c r="P1064" s="9" t="n">
        <x:v>0.7857142857</x:v>
      </x:c>
      <x:c r="Q1064" s="9" t="n">
        <x:v>0</x:v>
      </x:c>
      <x:c r="R1064" s="3" t="b">
        <x:v>0</x:v>
      </x:c>
      <x:c r="S1064" s="3" t="b">
        <x:v>0</x:v>
      </x:c>
      <x:c r="T1064" s="3" t="b">
        <x:v>0</x:v>
      </x:c>
      <x:c r="U1064" s="2" t="str">
        <x:f>IF(T1064=TRUE,"Priority review",IF(R1064=TRUE,"High cost",IF(S1064=TRUE,"Low quality","Benchmark")))</x:f>
        <x:v>Benchmark</x:v>
      </x:c>
    </x:row>
    <x:row r="1065">
      <x:c r="A1065" s="2" t="str">
        <x:v>280061</x:v>
      </x:c>
      <x:c r="B1065" s="2" t="str">
        <x:v>REGIONAL WEST MEDICAL CENTER</x:v>
      </x:c>
      <x:c r="C1065" s="2" t="str">
        <x:v>SCOTTSBLUFF</x:v>
      </x:c>
      <x:c r="D1065" s="2" t="str">
        <x:v>NE</x:v>
      </x:c>
      <x:c r="E1065" s="2" t="str">
        <x:v>Acute Care Hospitals</x:v>
      </x:c>
      <x:c r="F1065" s="2" t="str">
        <x:v>Voluntary non-profit</x:v>
      </x:c>
      <x:c r="G1065" s="2" t="str">
        <x:v>Medium (100-299 beds)</x:v>
      </x:c>
      <x:c r="H1065" s="7" t="n">
        <x:v>2</x:v>
      </x:c>
      <x:c r="I1065" s="7" t="n">
        <x:v>2</x:v>
      </x:c>
      <x:c r="J1065" s="7" t="n">
        <x:v>1.03</x:v>
      </x:c>
      <x:c r="K1065" s="8" t="n">
        <x:v>121</x:v>
      </x:c>
      <x:c r="L1065" s="8" t="n">
        <x:v>4804</x:v>
      </x:c>
      <x:c r="M1065" s="9" t="n">
        <x:v>0.4396197444</x:v>
      </x:c>
      <x:c r="N1065" s="10" t="n">
        <x:v>49236.3261865112</x:v>
      </x:c>
      <x:c r="O1065" s="9" t="n">
        <x:v>0.014919524</x:v>
      </x:c>
      <x:c r="P1065" s="9" t="n">
        <x:v>0.7856560717</x:v>
      </x:c>
      <x:c r="Q1065" s="9" t="n">
        <x:v>0.0782396088</x:v>
      </x:c>
      <x:c r="R1065" s="3" t="b">
        <x:v>0</x:v>
      </x:c>
      <x:c r="S1065" s="3" t="b">
        <x:v>1</x:v>
      </x:c>
      <x:c r="T1065" s="3" t="b">
        <x:v>0</x:v>
      </x:c>
      <x:c r="U1065" s="2" t="str">
        <x:f>IF(T1065=TRUE,"Priority review",IF(R1065=TRUE,"High cost",IF(S1065=TRUE,"Low quality","Benchmark")))</x:f>
        <x:v>Low quality</x:v>
      </x:c>
    </x:row>
    <x:row r="1066">
      <x:c r="A1066" s="2" t="str">
        <x:v>050567</x:v>
      </x:c>
      <x:c r="B1066" s="2" t="str">
        <x:v>PROVIDENCE MISSION HOSPITAL</x:v>
      </x:c>
      <x:c r="C1066" s="2" t="str">
        <x:v>MISSION VIEJO</x:v>
      </x:c>
      <x:c r="D1066" s="2" t="str">
        <x:v>CA</x:v>
      </x:c>
      <x:c r="E1066" s="2" t="str">
        <x:v>Acute Care Hospitals</x:v>
      </x:c>
      <x:c r="F1066" s="2" t="str">
        <x:v>Voluntary non-profit</x:v>
      </x:c>
      <x:c r="G1066" s="2" t="str">
        <x:v>Large (300+ beds)</x:v>
      </x:c>
      <x:c r="H1066" s="7" t="n">
        <x:v>5</x:v>
      </x:c>
      <x:c r="I1066" s="7" t="n">
        <x:v>3</x:v>
      </x:c>
      <x:c r="J1066" s="7" t="n">
        <x:v>1</x:v>
      </x:c>
      <x:c r="K1066" s="8" t="n">
        <x:v>311</x:v>
      </x:c>
      <x:c r="L1066" s="8" t="n">
        <x:v>17019</x:v>
      </x:c>
      <x:c r="M1066" s="9" t="n">
        <x:v>0.6910980928</x:v>
      </x:c>
      <x:c r="N1066" s="10" t="n">
        <x:v>56832.814736471</x:v>
      </x:c>
      <x:c r="O1066" s="9" t="n">
        <x:v>-0.1882921778</x:v>
      </x:c>
      <x:c r="P1066" s="9" t="n">
        <x:v>0.785488959</x:v>
      </x:c>
      <x:c r="Q1066" s="9" t="n">
        <x:v>0.8722397476</x:v>
      </x:c>
      <x:c r="R1066" s="3" t="b">
        <x:v>0</x:v>
      </x:c>
      <x:c r="S1066" s="3" t="b">
        <x:v>0</x:v>
      </x:c>
      <x:c r="T1066" s="3" t="b">
        <x:v>0</x:v>
      </x:c>
      <x:c r="U1066" s="2" t="str">
        <x:f>IF(T1066=TRUE,"Priority review",IF(R1066=TRUE,"High cost",IF(S1066=TRUE,"Low quality","Benchmark")))</x:f>
        <x:v>Benchmark</x:v>
      </x:c>
    </x:row>
    <x:row r="1067">
      <x:c r="A1067" s="2" t="str">
        <x:v>180079</x:v>
      </x:c>
      <x:c r="B1067" s="2" t="str">
        <x:v>HARRISON MEMORIAL HOSPITAL</x:v>
      </x:c>
      <x:c r="C1067" s="2" t="str">
        <x:v>CYNTHIANA</x:v>
      </x:c>
      <x:c r="D1067" s="2" t="str">
        <x:v>KY</x:v>
      </x:c>
      <x:c r="E1067" s="2" t="str">
        <x:v>Acute Care Hospitals</x:v>
      </x:c>
      <x:c r="F1067" s="2" t="str">
        <x:v>Voluntary non-profit</x:v>
      </x:c>
      <x:c r="G1067" s="2" t="str">
        <x:v>Small (&lt;100 beds)</x:v>
      </x:c>
      <x:c r="H1067" s="7" t="n">
        <x:v>3</x:v>
      </x:c>
      <x:c r="I1067" s="7" t="n">
        <x:v>5</x:v>
      </x:c>
      <x:c r="J1067" s="7" t="n">
        <x:v>0.95</x:v>
      </x:c>
      <x:c r="K1067" s="8" t="n">
        <x:v>26</x:v>
      </x:c>
      <x:c r="L1067" s="8" t="n">
        <x:v>1146</x:v>
      </x:c>
      <x:c r="M1067" s="9" t="n">
        <x:v>0.4163514082</x:v>
      </x:c>
      <x:c r="N1067" s="10" t="n">
        <x:v>90762.5488656196</x:v>
      </x:c>
      <x:c r="O1067" s="9" t="n">
        <x:v>-0.0353752658</x:v>
      </x:c>
      <x:c r="P1067" s="9" t="n">
        <x:v>0.7854578097</x:v>
      </x:c>
      <x:c r="Q1067" s="9" t="n">
        <x:v>0.1687612208</x:v>
      </x:c>
      <x:c r="R1067" s="3" t="b">
        <x:v>0</x:v>
      </x:c>
      <x:c r="S1067" s="3" t="b">
        <x:v>0</x:v>
      </x:c>
      <x:c r="T1067" s="3" t="b">
        <x:v>0</x:v>
      </x:c>
      <x:c r="U1067" s="2" t="str">
        <x:f>IF(T1067=TRUE,"Priority review",IF(R1067=TRUE,"High cost",IF(S1067=TRUE,"Low quality","Benchmark")))</x:f>
        <x:v>Benchmark</x:v>
      </x:c>
    </x:row>
    <x:row r="1068">
      <x:c r="A1068" s="2" t="str">
        <x:v>171319</x:v>
      </x:c>
      <x:c r="B1068" s="2" t="str">
        <x:v>HOLTON COMMUNITY HOSPITAL</x:v>
      </x:c>
      <x:c r="C1068" s="2" t="str">
        <x:v>HOLTON</x:v>
      </x:c>
      <x:c r="D1068" s="2" t="str">
        <x:v>KS</x:v>
      </x:c>
      <x:c r="E1068" s="2" t="str">
        <x:v>Critical Access Hospitals</x:v>
      </x:c>
      <x:c r="F1068" s="2" t="str">
        <x:v>Voluntary non-profit</x:v>
      </x:c>
      <x:c r="G1068" s="2" t="str">
        <x:v>Small (&lt;100 beds)</x:v>
      </x:c>
      <x:c r="H1068" s="7"/>
      <x:c r="I1068" s="7"/>
      <x:c r="J1068" s="7"/>
      <x:c r="K1068" s="8" t="n">
        <x:v>14</x:v>
      </x:c>
      <x:c r="L1068" s="8" t="n">
        <x:v>97</x:v>
      </x:c>
      <x:c r="M1068" s="9" t="n">
        <x:v>0.218961039</x:v>
      </x:c>
      <x:c r="N1068" s="10" t="n">
        <x:v>231639.0927835052</x:v>
      </x:c>
      <x:c r="O1068" s="9" t="n">
        <x:v>-0.14062108</x:v>
      </x:c>
      <x:c r="P1068" s="9" t="n">
        <x:v>0.7851301115</x:v>
      </x:c>
      <x:c r="Q1068" s="9" t="n">
        <x:v>0.292936803</x:v>
      </x:c>
      <x:c r="R1068" s="3" t="b">
        <x:v>0</x:v>
      </x:c>
      <x:c r="S1068" s="3" t="b">
        <x:v>0</x:v>
      </x:c>
      <x:c r="T1068" s="3" t="b">
        <x:v>0</x:v>
      </x:c>
      <x:c r="U1068" s="2" t="str">
        <x:f>IF(T1068=TRUE,"Priority review",IF(R1068=TRUE,"High cost",IF(S1068=TRUE,"Low quality","Benchmark")))</x:f>
        <x:v>Benchmark</x:v>
      </x:c>
    </x:row>
    <x:row r="1069">
      <x:c r="A1069" s="2" t="str">
        <x:v>520088</x:v>
      </x:c>
      <x:c r="B1069" s="2" t="str">
        <x:v>SSM HEALTH ST AGNES HOSPITAL-FOND DU LAC</x:v>
      </x:c>
      <x:c r="C1069" s="2" t="str">
        <x:v>FOND DU LAC</x:v>
      </x:c>
      <x:c r="D1069" s="2" t="str">
        <x:v>WI</x:v>
      </x:c>
      <x:c r="E1069" s="2" t="str">
        <x:v>Acute Care Hospitals</x:v>
      </x:c>
      <x:c r="F1069" s="2" t="str">
        <x:v>Voluntary non-profit</x:v>
      </x:c>
      <x:c r="G1069" s="2" t="str">
        <x:v>Medium (100-299 beds)</x:v>
      </x:c>
      <x:c r="H1069" s="7" t="n">
        <x:v>4</x:v>
      </x:c>
      <x:c r="I1069" s="7" t="n">
        <x:v>4</x:v>
      </x:c>
      <x:c r="J1069" s="7" t="n">
        <x:v>0.88</x:v>
      </x:c>
      <x:c r="K1069" s="8" t="n">
        <x:v>105</x:v>
      </x:c>
      <x:c r="L1069" s="8" t="n">
        <x:v>7132</x:v>
      </x:c>
      <x:c r="M1069" s="9" t="n">
        <x:v>0.7742388759</x:v>
      </x:c>
      <x:c r="N1069" s="10" t="n">
        <x:v>49014.5150028043</x:v>
      </x:c>
      <x:c r="O1069" s="9" t="n">
        <x:v>0.1222746293</x:v>
      </x:c>
      <x:c r="P1069" s="9" t="n">
        <x:v>0.7848410758</x:v>
      </x:c>
      <x:c r="Q1069" s="9" t="n">
        <x:v>0.6022819886</x:v>
      </x:c>
      <x:c r="R1069" s="3" t="b">
        <x:v>0</x:v>
      </x:c>
      <x:c r="S1069" s="3" t="b">
        <x:v>0</x:v>
      </x:c>
      <x:c r="T1069" s="3" t="b">
        <x:v>0</x:v>
      </x:c>
      <x:c r="U1069" s="2" t="str">
        <x:f>IF(T1069=TRUE,"Priority review",IF(R1069=TRUE,"High cost",IF(S1069=TRUE,"Low quality","Benchmark")))</x:f>
        <x:v>Benchmark</x:v>
      </x:c>
    </x:row>
    <x:row r="1070">
      <x:c r="A1070" s="2" t="str">
        <x:v>450108</x:v>
      </x:c>
      <x:c r="B1070" s="2" t="str">
        <x:v>CONNALLY MEMORIAL MEDICAL CENTER</x:v>
      </x:c>
      <x:c r="C1070" s="2" t="str">
        <x:v>FLORESVILLE</x:v>
      </x:c>
      <x:c r="D1070" s="2" t="str">
        <x:v>TX</x:v>
      </x:c>
      <x:c r="E1070" s="2" t="str">
        <x:v>Acute Care Hospitals</x:v>
      </x:c>
      <x:c r="F1070" s="2" t="str">
        <x:v>Government</x:v>
      </x:c>
      <x:c r="G1070" s="2" t="str">
        <x:v>Small (&lt;100 beds)</x:v>
      </x:c>
      <x:c r="H1070" s="7" t="n">
        <x:v>3</x:v>
      </x:c>
      <x:c r="I1070" s="7"/>
      <x:c r="J1070" s="7" t="n">
        <x:v>1.11</x:v>
      </x:c>
      <x:c r="K1070" s="8" t="n">
        <x:v>44</x:v>
      </x:c>
      <x:c r="L1070" s="8" t="n">
        <x:v>474</x:v>
      </x:c>
      <x:c r="M1070" s="9" t="n">
        <x:v>0.0844956413</x:v>
      </x:c>
      <x:c r="N1070" s="10" t="n">
        <x:v>90657.5569620253</x:v>
      </x:c>
      <x:c r="O1070" s="9" t="n">
        <x:v>-0.035323708</x:v>
      </x:c>
      <x:c r="P1070" s="9" t="n">
        <x:v>0.7845601436</x:v>
      </x:c>
      <x:c r="Q1070" s="9" t="n">
        <x:v>0.1687612208</x:v>
      </x:c>
      <x:c r="R1070" s="3" t="b">
        <x:v>0</x:v>
      </x:c>
      <x:c r="S1070" s="3" t="b">
        <x:v>0</x:v>
      </x:c>
      <x:c r="T1070" s="3" t="b">
        <x:v>0</x:v>
      </x:c>
      <x:c r="U1070" s="2" t="str">
        <x:f>IF(T1070=TRUE,"Priority review",IF(R1070=TRUE,"High cost",IF(S1070=TRUE,"Low quality","Benchmark")))</x:f>
        <x:v>Benchmark</x:v>
      </x:c>
    </x:row>
    <x:row r="1071">
      <x:c r="A1071" s="2" t="str">
        <x:v>141313</x:v>
      </x:c>
      <x:c r="B1071" s="2" t="str">
        <x:v>MASON DISTRICT HOSPITAL</x:v>
      </x:c>
      <x:c r="C1071" s="2" t="str">
        <x:v>HAVANA</x:v>
      </x:c>
      <x:c r="D1071" s="2" t="str">
        <x:v>IL</x:v>
      </x:c>
      <x:c r="E1071" s="2" t="str">
        <x:v>Critical Access Hospitals</x:v>
      </x:c>
      <x:c r="F1071" s="2" t="str">
        <x:v>Government</x:v>
      </x:c>
      <x:c r="G1071" s="2" t="str">
        <x:v>Small (&lt;100 beds)</x:v>
      </x:c>
      <x:c r="H1071" s="7"/>
      <x:c r="I1071" s="7"/>
      <x:c r="J1071" s="7"/>
      <x:c r="K1071" s="8" t="n">
        <x:v>25</x:v>
      </x:c>
      <x:c r="L1071" s="8" t="n">
        <x:v>140</x:v>
      </x:c>
      <x:c r="M1071" s="9" t="n">
        <x:v>0.1025136612</x:v>
      </x:c>
      <x:c r="N1071" s="10" t="n">
        <x:v>231565.5571428571</x:v>
      </x:c>
      <x:c r="O1071" s="9" t="n">
        <x:v>0.0799044359</x:v>
      </x:c>
      <x:c r="P1071" s="9" t="n">
        <x:v>0.7843866171</x:v>
      </x:c>
      <x:c r="Q1071" s="9" t="n">
        <x:v>0.292936803</x:v>
      </x:c>
      <x:c r="R1071" s="3" t="b">
        <x:v>0</x:v>
      </x:c>
      <x:c r="S1071" s="3" t="b">
        <x:v>0</x:v>
      </x:c>
      <x:c r="T1071" s="3" t="b">
        <x:v>0</x:v>
      </x:c>
      <x:c r="U1071" s="2" t="str">
        <x:f>IF(T1071=TRUE,"Priority review",IF(R1071=TRUE,"High cost",IF(S1071=TRUE,"Low quality","Benchmark")))</x:f>
        <x:v>Benchmark</x:v>
      </x:c>
    </x:row>
    <x:row r="1072">
      <x:c r="A1072" s="2" t="str">
        <x:v>230222</x:v>
      </x:c>
      <x:c r="B1072" s="2" t="str">
        <x:v>MYMICHIGAN MEDICAL CENTER MIDLAND</x:v>
      </x:c>
      <x:c r="C1072" s="2" t="str">
        <x:v>MIDLAND</x:v>
      </x:c>
      <x:c r="D1072" s="2" t="str">
        <x:v>MI</x:v>
      </x:c>
      <x:c r="E1072" s="2" t="str">
        <x:v>Acute Care Hospitals</x:v>
      </x:c>
      <x:c r="F1072" s="2" t="str">
        <x:v>Voluntary non-profit</x:v>
      </x:c>
      <x:c r="G1072" s="2" t="str">
        <x:v>Medium (100-299 beds)</x:v>
      </x:c>
      <x:c r="H1072" s="7" t="n">
        <x:v>4</x:v>
      </x:c>
      <x:c r="I1072" s="7" t="n">
        <x:v>4</x:v>
      </x:c>
      <x:c r="J1072" s="7" t="n">
        <x:v>0.96</x:v>
      </x:c>
      <x:c r="K1072" s="8" t="n">
        <x:v>216</x:v>
      </x:c>
      <x:c r="L1072" s="8" t="n">
        <x:v>15074</x:v>
      </x:c>
      <x:c r="M1072" s="9" t="n">
        <x:v>0.9160832065</x:v>
      </x:c>
      <x:c r="N1072" s="10" t="n">
        <x:v>49008.2830038477</x:v>
      </x:c>
      <x:c r="O1072" s="9" t="n">
        <x:v>-0.0798141996</x:v>
      </x:c>
      <x:c r="P1072" s="9" t="n">
        <x:v>0.7840260799</x:v>
      </x:c>
      <x:c r="Q1072" s="9" t="n">
        <x:v>0.6022819886</x:v>
      </x:c>
      <x:c r="R1072" s="3" t="b">
        <x:v>0</x:v>
      </x:c>
      <x:c r="S1072" s="3" t="b">
        <x:v>0</x:v>
      </x:c>
      <x:c r="T1072" s="3" t="b">
        <x:v>0</x:v>
      </x:c>
      <x:c r="U1072" s="2" t="str">
        <x:f>IF(T1072=TRUE,"Priority review",IF(R1072=TRUE,"High cost",IF(S1072=TRUE,"Low quality","Benchmark")))</x:f>
        <x:v>Benchmark</x:v>
      </x:c>
    </x:row>
    <x:row r="1073">
      <x:c r="A1073" s="2" t="str">
        <x:v>430027</x:v>
      </x:c>
      <x:c r="B1073" s="2" t="str">
        <x:v>SANFORD USD MEDICAL CENTER</x:v>
      </x:c>
      <x:c r="C1073" s="2" t="str">
        <x:v>SIOUX FALLS</x:v>
      </x:c>
      <x:c r="D1073" s="2" t="str">
        <x:v>SD</x:v>
      </x:c>
      <x:c r="E1073" s="2" t="str">
        <x:v>Acute Care Hospitals</x:v>
      </x:c>
      <x:c r="F1073" s="2" t="str">
        <x:v>Voluntary non-profit</x:v>
      </x:c>
      <x:c r="G1073" s="2" t="str">
        <x:v>Large (300+ beds)</x:v>
      </x:c>
      <x:c r="H1073" s="7" t="n">
        <x:v>5</x:v>
      </x:c>
      <x:c r="I1073" s="7" t="n">
        <x:v>3</x:v>
      </x:c>
      <x:c r="J1073" s="7" t="n">
        <x:v>1.07</x:v>
      </x:c>
      <x:c r="K1073" s="8" t="n">
        <x:v>452</x:v>
      </x:c>
      <x:c r="L1073" s="8" t="n">
        <x:v>25930</x:v>
      </x:c>
      <x:c r="M1073" s="9" t="n">
        <x:v>0.7146682625</x:v>
      </x:c>
      <x:c r="N1073" s="10" t="n">
        <x:v>56705.2041650598</x:v>
      </x:c>
      <x:c r="O1073" s="9" t="n">
        <x:v>-0.0045141743</x:v>
      </x:c>
      <x:c r="P1073" s="9" t="n">
        <x:v>0.7839116719</x:v>
      </x:c>
      <x:c r="Q1073" s="9" t="n">
        <x:v>0.8722397476</x:v>
      </x:c>
      <x:c r="R1073" s="3" t="b">
        <x:v>0</x:v>
      </x:c>
      <x:c r="S1073" s="3" t="b">
        <x:v>0</x:v>
      </x:c>
      <x:c r="T1073" s="3" t="b">
        <x:v>0</x:v>
      </x:c>
      <x:c r="U1073" s="2" t="str">
        <x:f>IF(T1073=TRUE,"Priority review",IF(R1073=TRUE,"High cost",IF(S1073=TRUE,"Low quality","Benchmark")))</x:f>
        <x:v>Benchmark</x:v>
      </x:c>
    </x:row>
    <x:row r="1074">
      <x:c r="A1074" s="2" t="str">
        <x:v>450489</x:v>
      </x:c>
      <x:c r="B1074" s="2" t="str">
        <x:v>MEDICAL ARTS HOSPITAL</x:v>
      </x:c>
      <x:c r="C1074" s="2" t="str">
        <x:v>LAMESA</x:v>
      </x:c>
      <x:c r="D1074" s="2" t="str">
        <x:v>TX</x:v>
      </x:c>
      <x:c r="E1074" s="2" t="str">
        <x:v>Acute Care Hospitals</x:v>
      </x:c>
      <x:c r="F1074" s="2" t="str">
        <x:v>Government</x:v>
      </x:c>
      <x:c r="G1074" s="2" t="str">
        <x:v>Small (&lt;100 beds)</x:v>
      </x:c>
      <x:c r="H1074" s="7"/>
      <x:c r="I1074" s="7"/>
      <x:c r="J1074" s="7" t="n">
        <x:v>0.91</x:v>
      </x:c>
      <x:c r="K1074" s="8" t="n">
        <x:v>21</x:v>
      </x:c>
      <x:c r="L1074" s="8" t="n">
        <x:v>238</x:v>
      </x:c>
      <x:c r="M1074" s="9" t="n">
        <x:v>0.1318982387</x:v>
      </x:c>
      <x:c r="N1074" s="10" t="n">
        <x:v>90388.1008403361</x:v>
      </x:c>
      <x:c r="O1074" s="9" t="n">
        <x:v>-0.2793867042</x:v>
      </x:c>
      <x:c r="P1074" s="9" t="n">
        <x:v>0.7836624776</x:v>
      </x:c>
      <x:c r="Q1074" s="9" t="n">
        <x:v>0.697486535</x:v>
      </x:c>
      <x:c r="R1074" s="3" t="b">
        <x:v>0</x:v>
      </x:c>
      <x:c r="S1074" s="3" t="b">
        <x:v>0</x:v>
      </x:c>
      <x:c r="T1074" s="3" t="b">
        <x:v>0</x:v>
      </x:c>
      <x:c r="U1074" s="2" t="str">
        <x:f>IF(T1074=TRUE,"Priority review",IF(R1074=TRUE,"High cost",IF(S1074=TRUE,"Low quality","Benchmark")))</x:f>
        <x:v>Benchmark</x:v>
      </x:c>
    </x:row>
    <x:row r="1075">
      <x:c r="A1075" s="2" t="str">
        <x:v>451300</x:v>
      </x:c>
      <x:c r="B1075" s="2" t="str">
        <x:v>PARMER COUNTY COMMUNITY HOSPITAL</x:v>
      </x:c>
      <x:c r="C1075" s="2" t="str">
        <x:v>FRIONA</x:v>
      </x:c>
      <x:c r="D1075" s="2" t="str">
        <x:v>TX</x:v>
      </x:c>
      <x:c r="E1075" s="2" t="str">
        <x:v>Critical Access Hospitals</x:v>
      </x:c>
      <x:c r="F1075" s="2" t="str">
        <x:v>Voluntary non-profit</x:v>
      </x:c>
      <x:c r="G1075" s="2" t="str">
        <x:v>Small (&lt;100 beds)</x:v>
      </x:c>
      <x:c r="H1075" s="7"/>
      <x:c r="I1075" s="7"/>
      <x:c r="J1075" s="7"/>
      <x:c r="K1075" s="8" t="n">
        <x:v>25</x:v>
      </x:c>
      <x:c r="L1075" s="8" t="n">
        <x:v>55</x:v>
      </x:c>
      <x:c r="M1075" s="9" t="n">
        <x:v>0.1135519126</x:v>
      </x:c>
      <x:c r="N1075" s="10" t="n">
        <x:v>231116.5272727273</x:v>
      </x:c>
      <x:c r="O1075" s="9" t="n">
        <x:v>-0.1682435287</x:v>
      </x:c>
      <x:c r="P1075" s="9" t="n">
        <x:v>0.7836431227</x:v>
      </x:c>
      <x:c r="Q1075" s="9" t="n">
        <x:v>0.292936803</x:v>
      </x:c>
      <x:c r="R1075" s="3" t="b">
        <x:v>0</x:v>
      </x:c>
      <x:c r="S1075" s="3" t="b">
        <x:v>0</x:v>
      </x:c>
      <x:c r="T1075" s="3" t="b">
        <x:v>0</x:v>
      </x:c>
      <x:c r="U1075" s="2" t="str">
        <x:f>IF(T1075=TRUE,"Priority review",IF(R1075=TRUE,"High cost",IF(S1075=TRUE,"Low quality","Benchmark")))</x:f>
        <x:v>Benchmark</x:v>
      </x:c>
    </x:row>
    <x:row r="1076">
      <x:c r="A1076" s="2" t="str">
        <x:v>390225</x:v>
      </x:c>
      <x:c r="B1076" s="2" t="str">
        <x:v>WELLSPAN EPHRATA COMMUNITY HOSPITAL</x:v>
      </x:c>
      <x:c r="C1076" s="2" t="str">
        <x:v>EPHRATA</x:v>
      </x:c>
      <x:c r="D1076" s="2" t="str">
        <x:v>PA</x:v>
      </x:c>
      <x:c r="E1076" s="2" t="str">
        <x:v>Acute Care Hospitals</x:v>
      </x:c>
      <x:c r="F1076" s="2" t="str">
        <x:v>Voluntary non-profit</x:v>
      </x:c>
      <x:c r="G1076" s="2" t="str">
        <x:v>Medium (100-299 beds)</x:v>
      </x:c>
      <x:c r="H1076" s="7" t="n">
        <x:v>5</x:v>
      </x:c>
      <x:c r="I1076" s="7" t="n">
        <x:v>3</x:v>
      </x:c>
      <x:c r="J1076" s="7" t="n">
        <x:v>0.93</x:v>
      </x:c>
      <x:c r="K1076" s="8" t="n">
        <x:v>115</x:v>
      </x:c>
      <x:c r="L1076" s="8" t="n">
        <x:v>5719</x:v>
      </x:c>
      <x:c r="M1076" s="9" t="n">
        <x:v>0.5636212031</x:v>
      </x:c>
      <x:c r="N1076" s="10" t="n">
        <x:v>48961.0017485574</x:v>
      </x:c>
      <x:c r="O1076" s="9" t="n">
        <x:v>0.0633013252</x:v>
      </x:c>
      <x:c r="P1076" s="9" t="n">
        <x:v>0.7832110839</x:v>
      </x:c>
      <x:c r="Q1076" s="9" t="n">
        <x:v>0.8744906275</x:v>
      </x:c>
      <x:c r="R1076" s="3" t="b">
        <x:v>0</x:v>
      </x:c>
      <x:c r="S1076" s="3" t="b">
        <x:v>0</x:v>
      </x:c>
      <x:c r="T1076" s="3" t="b">
        <x:v>0</x:v>
      </x:c>
      <x:c r="U1076" s="2" t="str">
        <x:f>IF(T1076=TRUE,"Priority review",IF(R1076=TRUE,"High cost",IF(S1076=TRUE,"Low quality","Benchmark")))</x:f>
        <x:v>Benchmark</x:v>
      </x:c>
    </x:row>
    <x:row r="1077">
      <x:c r="A1077" s="2" t="str">
        <x:v>054125</x:v>
      </x:c>
      <x:c r="B1077" s="2" t="str">
        <x:v>SANTA BARBARA COUNTY PSYCHIATRIC HEALTH FACILITY</x:v>
      </x:c>
      <x:c r="C1077" s="2" t="str">
        <x:v>SANTA BARBARA</x:v>
      </x:c>
      <x:c r="D1077" s="2" t="str">
        <x:v>CA</x:v>
      </x:c>
      <x:c r="E1077" s="2" t="str">
        <x:v>Psychiatric</x:v>
      </x:c>
      <x:c r="F1077" s="2" t="str">
        <x:v>Government</x:v>
      </x:c>
      <x:c r="G1077" s="2" t="str">
        <x:v>Small (&lt;100 beds)</x:v>
      </x:c>
      <x:c r="H1077" s="7"/>
      <x:c r="I1077" s="7"/>
      <x:c r="J1077" s="7"/>
      <x:c r="K1077" s="8" t="n">
        <x:v>16</x:v>
      </x:c>
      <x:c r="L1077" s="8" t="n">
        <x:v>332</x:v>
      </x:c>
      <x:c r="M1077" s="9" t="n">
        <x:v>0.8662671233</x:v>
      </x:c>
      <x:c r="N1077" s="10" t="n">
        <x:v>39287.0361445783</x:v>
      </x:c>
      <x:c r="O1077" s="9" t="n">
        <x:v>-1.6107086063</x:v>
      </x:c>
      <x:c r="P1077" s="9" t="n">
        <x:v>0.783171521</x:v>
      </x:c>
      <x:c r="Q1077" s="9" t="n">
        <x:v>0</x:v>
      </x:c>
      <x:c r="R1077" s="3" t="b">
        <x:v>0</x:v>
      </x:c>
      <x:c r="S1077" s="3" t="b">
        <x:v>0</x:v>
      </x:c>
      <x:c r="T1077" s="3" t="b">
        <x:v>0</x:v>
      </x:c>
      <x:c r="U1077" s="2" t="str">
        <x:f>IF(T1077=TRUE,"Priority review",IF(R1077=TRUE,"High cost",IF(S1077=TRUE,"Low quality","Benchmark")))</x:f>
        <x:v>Benchmark</x:v>
      </x:c>
    </x:row>
    <x:row r="1078">
      <x:c r="A1078" s="2" t="str">
        <x:v>061316</x:v>
      </x:c>
      <x:c r="B1078" s="2" t="str">
        <x:v>SPANISH PEAKS REGIONAL HEALTH CENTER</x:v>
      </x:c>
      <x:c r="C1078" s="2" t="str">
        <x:v>WALSENBURG</x:v>
      </x:c>
      <x:c r="D1078" s="2" t="str">
        <x:v>CO</x:v>
      </x:c>
      <x:c r="E1078" s="2" t="str">
        <x:v>Critical Access Hospitals</x:v>
      </x:c>
      <x:c r="F1078" s="2" t="str">
        <x:v>Government</x:v>
      </x:c>
      <x:c r="G1078" s="2" t="str">
        <x:v>Small (&lt;100 beds)</x:v>
      </x:c>
      <x:c r="H1078" s="7"/>
      <x:c r="I1078" s="7"/>
      <x:c r="J1078" s="7"/>
      <x:c r="K1078" s="8" t="n">
        <x:v>20</x:v>
      </x:c>
      <x:c r="L1078" s="8" t="n">
        <x:v>182</x:v>
      </x:c>
      <x:c r="M1078" s="9" t="n">
        <x:v>0.6263661202</x:v>
      </x:c>
      <x:c r="N1078" s="10" t="n">
        <x:v>230740.9230769231</x:v>
      </x:c>
      <x:c r="O1078" s="9" t="n">
        <x:v>-0.2029154571</x:v>
      </x:c>
      <x:c r="P1078" s="9" t="n">
        <x:v>0.7828996283</x:v>
      </x:c>
      <x:c r="Q1078" s="9" t="n">
        <x:v>0.292936803</x:v>
      </x:c>
      <x:c r="R1078" s="3" t="b">
        <x:v>0</x:v>
      </x:c>
      <x:c r="S1078" s="3" t="b">
        <x:v>0</x:v>
      </x:c>
      <x:c r="T1078" s="3" t="b">
        <x:v>0</x:v>
      </x:c>
      <x:c r="U1078" s="2" t="str">
        <x:f>IF(T1078=TRUE,"Priority review",IF(R1078=TRUE,"High cost",IF(S1078=TRUE,"Low quality","Benchmark")))</x:f>
        <x:v>Benchmark</x:v>
      </x:c>
    </x:row>
    <x:row r="1079">
      <x:c r="A1079" s="2" t="str">
        <x:v>050090</x:v>
      </x:c>
      <x:c r="B1079" s="2" t="str">
        <x:v>SONOMA VALLEY HOSPITAL</x:v>
      </x:c>
      <x:c r="C1079" s="2" t="str">
        <x:v>SONOMA</x:v>
      </x:c>
      <x:c r="D1079" s="2" t="str">
        <x:v>CA</x:v>
      </x:c>
      <x:c r="E1079" s="2" t="str">
        <x:v>Acute Care Hospitals</x:v>
      </x:c>
      <x:c r="F1079" s="2" t="str">
        <x:v>Government</x:v>
      </x:c>
      <x:c r="G1079" s="2" t="str">
        <x:v>Small (&lt;100 beds)</x:v>
      </x:c>
      <x:c r="H1079" s="7" t="n">
        <x:v>2</x:v>
      </x:c>
      <x:c r="I1079" s="7" t="n">
        <x:v>4</x:v>
      </x:c>
      <x:c r="J1079" s="7" t="n">
        <x:v>1.01</x:v>
      </x:c>
      <x:c r="K1079" s="8" t="n">
        <x:v>24</x:v>
      </x:c>
      <x:c r="L1079" s="8" t="n">
        <x:v>822</x:v>
      </x:c>
      <x:c r="M1079" s="9" t="n">
        <x:v>0.3656392694</x:v>
      </x:c>
      <x:c r="N1079" s="10" t="n">
        <x:v>90313.2092457421</x:v>
      </x:c>
      <x:c r="O1079" s="9" t="n">
        <x:v>-0.1550938708</x:v>
      </x:c>
      <x:c r="P1079" s="9" t="n">
        <x:v>0.7827648115</x:v>
      </x:c>
      <x:c r="Q1079" s="9" t="n">
        <x:v>0.0350089767</x:v>
      </x:c>
      <x:c r="R1079" s="3" t="b">
        <x:v>0</x:v>
      </x:c>
      <x:c r="S1079" s="3" t="b">
        <x:v>1</x:v>
      </x:c>
      <x:c r="T1079" s="3" t="b">
        <x:v>0</x:v>
      </x:c>
      <x:c r="U1079" s="2" t="str">
        <x:f>IF(T1079=TRUE,"Priority review",IF(R1079=TRUE,"High cost",IF(S1079=TRUE,"Low quality","Benchmark")))</x:f>
        <x:v>Low quality</x:v>
      </x:c>
    </x:row>
    <x:row r="1080">
      <x:c r="A1080" s="2" t="str">
        <x:v>510024</x:v>
      </x:c>
      <x:c r="B1080" s="2" t="str">
        <x:v>MON HEALTH MEDICAL CENTER</x:v>
      </x:c>
      <x:c r="C1080" s="2" t="str">
        <x:v>MORGANTOWN</x:v>
      </x:c>
      <x:c r="D1080" s="2" t="str">
        <x:v>WV</x:v>
      </x:c>
      <x:c r="E1080" s="2" t="str">
        <x:v>Acute Care Hospitals</x:v>
      </x:c>
      <x:c r="F1080" s="2" t="str">
        <x:v>Voluntary non-profit</x:v>
      </x:c>
      <x:c r="G1080" s="2" t="str">
        <x:v>Medium (100-299 beds)</x:v>
      </x:c>
      <x:c r="H1080" s="7" t="n">
        <x:v>4</x:v>
      </x:c>
      <x:c r="I1080" s="7" t="n">
        <x:v>3</x:v>
      </x:c>
      <x:c r="J1080" s="7" t="n">
        <x:v>1.08</x:v>
      </x:c>
      <x:c r="K1080" s="8" t="n">
        <x:v>160</x:v>
      </x:c>
      <x:c r="L1080" s="8" t="n">
        <x:v>7835</x:v>
      </x:c>
      <x:c r="M1080" s="9" t="n">
        <x:v>0.5824112022</x:v>
      </x:c>
      <x:c r="N1080" s="10" t="n">
        <x:v>48836.7589023612</x:v>
      </x:c>
      <x:c r="O1080" s="9" t="n">
        <x:v>0.0486733188</x:v>
      </x:c>
      <x:c r="P1080" s="9" t="n">
        <x:v>0.782396088</x:v>
      </x:c>
      <x:c r="Q1080" s="9" t="n">
        <x:v>0.6022819886</x:v>
      </x:c>
      <x:c r="R1080" s="3" t="b">
        <x:v>0</x:v>
      </x:c>
      <x:c r="S1080" s="3" t="b">
        <x:v>0</x:v>
      </x:c>
      <x:c r="T1080" s="3" t="b">
        <x:v>0</x:v>
      </x:c>
      <x:c r="U1080" s="2" t="str">
        <x:f>IF(T1080=TRUE,"Priority review",IF(R1080=TRUE,"High cost",IF(S1080=TRUE,"Low quality","Benchmark")))</x:f>
        <x:v>Benchmark</x:v>
      </x:c>
    </x:row>
    <x:row r="1081">
      <x:c r="A1081" s="2" t="str">
        <x:v>140228</x:v>
      </x:c>
      <x:c r="B1081" s="2" t="str">
        <x:v>UW HEALTH</x:v>
      </x:c>
      <x:c r="C1081" s="2" t="str">
        <x:v>ROCKFORD</x:v>
      </x:c>
      <x:c r="D1081" s="2" t="str">
        <x:v>IL</x:v>
      </x:c>
      <x:c r="E1081" s="2" t="str">
        <x:v>Acute Care Hospitals</x:v>
      </x:c>
      <x:c r="F1081" s="2" t="str">
        <x:v>Voluntary non-profit</x:v>
      </x:c>
      <x:c r="G1081" s="2" t="str">
        <x:v>Large (300+ beds)</x:v>
      </x:c>
      <x:c r="H1081" s="7" t="n">
        <x:v>3</x:v>
      </x:c>
      <x:c r="I1081" s="7" t="n">
        <x:v>3</x:v>
      </x:c>
      <x:c r="J1081" s="7" t="n">
        <x:v>0.99</x:v>
      </x:c>
      <x:c r="K1081" s="8" t="n">
        <x:v>338</x:v>
      </x:c>
      <x:c r="L1081" s="8" t="n">
        <x:v>15451</x:v>
      </x:c>
      <x:c r="M1081" s="9" t="n">
        <x:v>0.6382275775</x:v>
      </x:c>
      <x:c r="N1081" s="10" t="n">
        <x:v>56678.6319979289</x:v>
      </x:c>
      <x:c r="O1081" s="9" t="n">
        <x:v>-0.0999725762</x:v>
      </x:c>
      <x:c r="P1081" s="9" t="n">
        <x:v>0.7823343849</x:v>
      </x:c>
      <x:c r="Q1081" s="9" t="n">
        <x:v>0.2570977918</x:v>
      </x:c>
      <x:c r="R1081" s="3" t="b">
        <x:v>0</x:v>
      </x:c>
      <x:c r="S1081" s="3" t="b">
        <x:v>0</x:v>
      </x:c>
      <x:c r="T1081" s="3" t="b">
        <x:v>0</x:v>
      </x:c>
      <x:c r="U1081" s="2" t="str">
        <x:f>IF(T1081=TRUE,"Priority review",IF(R1081=TRUE,"High cost",IF(S1081=TRUE,"Low quality","Benchmark")))</x:f>
        <x:v>Benchmark</x:v>
      </x:c>
    </x:row>
    <x:row r="1082">
      <x:c r="A1082" s="2" t="str">
        <x:v>161305</x:v>
      </x:c>
      <x:c r="B1082" s="2" t="str">
        <x:v>POCAHONTAS COMMUNITY HOSPITAL</x:v>
      </x:c>
      <x:c r="C1082" s="2" t="str">
        <x:v>POCAHONTAS</x:v>
      </x:c>
      <x:c r="D1082" s="2" t="str">
        <x:v>IA</x:v>
      </x:c>
      <x:c r="E1082" s="2" t="str">
        <x:v>Critical Access Hospitals</x:v>
      </x:c>
      <x:c r="F1082" s="2" t="str">
        <x:v>Government</x:v>
      </x:c>
      <x:c r="G1082" s="2" t="str">
        <x:v>Small (&lt;100 beds)</x:v>
      </x:c>
      <x:c r="H1082" s="7"/>
      <x:c r="I1082" s="7"/>
      <x:c r="J1082" s="7"/>
      <x:c r="K1082" s="8" t="n">
        <x:v>25</x:v>
      </x:c>
      <x:c r="L1082" s="8" t="n">
        <x:v>77</x:v>
      </x:c>
      <x:c r="M1082" s="9" t="n">
        <x:v>0.0585205479</x:v>
      </x:c>
      <x:c r="N1082" s="10" t="n">
        <x:v>230305</x:v>
      </x:c>
      <x:c r="O1082" s="9" t="n">
        <x:v>0.049967717</x:v>
      </x:c>
      <x:c r="P1082" s="9" t="n">
        <x:v>0.7821561338</x:v>
      </x:c>
      <x:c r="Q1082" s="9" t="n">
        <x:v>0.292936803</x:v>
      </x:c>
      <x:c r="R1082" s="3" t="b">
        <x:v>0</x:v>
      </x:c>
      <x:c r="S1082" s="3" t="b">
        <x:v>0</x:v>
      </x:c>
      <x:c r="T1082" s="3" t="b">
        <x:v>0</x:v>
      </x:c>
      <x:c r="U1082" s="2" t="str">
        <x:f>IF(T1082=TRUE,"Priority review",IF(R1082=TRUE,"High cost",IF(S1082=TRUE,"Low quality","Benchmark")))</x:f>
        <x:v>Benchmark</x:v>
      </x:c>
    </x:row>
    <x:row r="1083">
      <x:c r="A1083" s="2" t="str">
        <x:v>240101</x:v>
      </x:c>
      <x:c r="B1083" s="2" t="str">
        <x:v>ESSENTIA HEALTH ST MARYS - DETROIT LAKES</x:v>
      </x:c>
      <x:c r="C1083" s="2" t="str">
        <x:v>DETROIT LAKES</x:v>
      </x:c>
      <x:c r="D1083" s="2" t="str">
        <x:v>MN</x:v>
      </x:c>
      <x:c r="E1083" s="2" t="str">
        <x:v>Acute Care Hospitals</x:v>
      </x:c>
      <x:c r="F1083" s="2" t="str">
        <x:v>Voluntary non-profit</x:v>
      </x:c>
      <x:c r="G1083" s="2" t="str">
        <x:v>Small (&lt;100 beds)</x:v>
      </x:c>
      <x:c r="H1083" s="7" t="n">
        <x:v>4</x:v>
      </x:c>
      <x:c r="I1083" s="7" t="n">
        <x:v>4</x:v>
      </x:c>
      <x:c r="J1083" s="7" t="n">
        <x:v>0.86</x:v>
      </x:c>
      <x:c r="K1083" s="8" t="n">
        <x:v>36</x:v>
      </x:c>
      <x:c r="L1083" s="8" t="n">
        <x:v>1999</x:v>
      </x:c>
      <x:c r="M1083" s="9" t="n">
        <x:v>0.4858447489</x:v>
      </x:c>
      <x:c r="N1083" s="10" t="n">
        <x:v>89847.6148074037</x:v>
      </x:c>
      <x:c r="O1083" s="9" t="n">
        <x:v>0.0463655241</x:v>
      </x:c>
      <x:c r="P1083" s="9" t="n">
        <x:v>0.7818671454</x:v>
      </x:c>
      <x:c r="Q1083" s="9" t="n">
        <x:v>0.3913824057</x:v>
      </x:c>
      <x:c r="R1083" s="3" t="b">
        <x:v>0</x:v>
      </x:c>
      <x:c r="S1083" s="3" t="b">
        <x:v>0</x:v>
      </x:c>
      <x:c r="T1083" s="3" t="b">
        <x:v>0</x:v>
      </x:c>
      <x:c r="U1083" s="2" t="str">
        <x:f>IF(T1083=TRUE,"Priority review",IF(R1083=TRUE,"High cost",IF(S1083=TRUE,"Low quality","Benchmark")))</x:f>
        <x:v>Benchmark</x:v>
      </x:c>
    </x:row>
    <x:row r="1084">
      <x:c r="A1084" s="2" t="str">
        <x:v>490060</x:v>
      </x:c>
      <x:c r="B1084" s="2" t="str">
        <x:v>CLINCH VALLEY MEDICAL CENTER</x:v>
      </x:c>
      <x:c r="C1084" s="2" t="str">
        <x:v>RICHLANDS</x:v>
      </x:c>
      <x:c r="D1084" s="2" t="str">
        <x:v>VA</x:v>
      </x:c>
      <x:c r="E1084" s="2" t="str">
        <x:v>Acute Care Hospitals</x:v>
      </x:c>
      <x:c r="F1084" s="2" t="str">
        <x:v>Proprietary</x:v>
      </x:c>
      <x:c r="G1084" s="2" t="str">
        <x:v>Medium (100-299 beds)</x:v>
      </x:c>
      <x:c r="H1084" s="7" t="n">
        <x:v>3</x:v>
      </x:c>
      <x:c r="I1084" s="7" t="n">
        <x:v>4</x:v>
      </x:c>
      <x:c r="J1084" s="7" t="n">
        <x:v>0.94</x:v>
      </x:c>
      <x:c r="K1084" s="8" t="n">
        <x:v>151</x:v>
      </x:c>
      <x:c r="L1084" s="8" t="n">
        <x:v>2746</x:v>
      </x:c>
      <x:c r="M1084" s="9" t="n">
        <x:v>0.1817573191</x:v>
      </x:c>
      <x:c r="N1084" s="10" t="n">
        <x:v>48751.9337217771</x:v>
      </x:c>
      <x:c r="O1084" s="9" t="n">
        <x:v>0.0003349969</x:v>
      </x:c>
      <x:c r="P1084" s="9" t="n">
        <x:v>0.7815810921</x:v>
      </x:c>
      <x:c r="Q1084" s="9" t="n">
        <x:v>0.3023634882</x:v>
      </x:c>
      <x:c r="R1084" s="3" t="b">
        <x:v>0</x:v>
      </x:c>
      <x:c r="S1084" s="3" t="b">
        <x:v>0</x:v>
      </x:c>
      <x:c r="T1084" s="3" t="b">
        <x:v>0</x:v>
      </x:c>
      <x:c r="U1084" s="2" t="str">
        <x:f>IF(T1084=TRUE,"Priority review",IF(R1084=TRUE,"High cost",IF(S1084=TRUE,"Low quality","Benchmark")))</x:f>
        <x:v>Benchmark</x:v>
      </x:c>
    </x:row>
    <x:row r="1085">
      <x:c r="A1085" s="2" t="str">
        <x:v>471302</x:v>
      </x:c>
      <x:c r="B1085" s="2" t="str">
        <x:v>MT ASCUTNEY HOSPITAL</x:v>
      </x:c>
      <x:c r="C1085" s="2" t="str">
        <x:v>WINDSOR</x:v>
      </x:c>
      <x:c r="D1085" s="2" t="str">
        <x:v>VT</x:v>
      </x:c>
      <x:c r="E1085" s="2" t="str">
        <x:v>Critical Access Hospitals</x:v>
      </x:c>
      <x:c r="F1085" s="2" t="str">
        <x:v>Voluntary non-profit</x:v>
      </x:c>
      <x:c r="G1085" s="2" t="str">
        <x:v>Small (&lt;100 beds)</x:v>
      </x:c>
      <x:c r="H1085" s="7"/>
      <x:c r="I1085" s="7" t="n">
        <x:v>5</x:v>
      </x:c>
      <x:c r="J1085" s="7"/>
      <x:c r="K1085" s="8" t="n">
        <x:v>25</x:v>
      </x:c>
      <x:c r="L1085" s="8" t="n">
        <x:v>323</x:v>
      </x:c>
      <x:c r="M1085" s="9" t="n">
        <x:v>0.7830601093</x:v>
      </x:c>
      <x:c r="N1085" s="10" t="n">
        <x:v>229990.560371517</x:v>
      </x:c>
      <x:c r="O1085" s="9" t="n">
        <x:v>-0.1022201025</x:v>
      </x:c>
      <x:c r="P1085" s="9" t="n">
        <x:v>0.7814126394</x:v>
      </x:c>
      <x:c r="Q1085" s="9" t="n">
        <x:v>0.292936803</x:v>
      </x:c>
      <x:c r="R1085" s="3" t="b">
        <x:v>0</x:v>
      </x:c>
      <x:c r="S1085" s="3" t="b">
        <x:v>0</x:v>
      </x:c>
      <x:c r="T1085" s="3" t="b">
        <x:v>0</x:v>
      </x:c>
      <x:c r="U1085" s="2" t="str">
        <x:f>IF(T1085=TRUE,"Priority review",IF(R1085=TRUE,"High cost",IF(S1085=TRUE,"Low quality","Benchmark")))</x:f>
        <x:v>Benchmark</x:v>
      </x:c>
    </x:row>
    <x:row r="1086">
      <x:c r="A1086" s="2" t="str">
        <x:v>444014</x:v>
      </x:c>
      <x:c r="B1086" s="2" t="str">
        <x:v>MIDDLE TN MENTAL HEALTH INSTITUTE</x:v>
      </x:c>
      <x:c r="C1086" s="2" t="str">
        <x:v>NASHVILLE</x:v>
      </x:c>
      <x:c r="D1086" s="2" t="str">
        <x:v>TN</x:v>
      </x:c>
      <x:c r="E1086" s="2" t="str">
        <x:v>Psychiatric</x:v>
      </x:c>
      <x:c r="F1086" s="2" t="str">
        <x:v>Government</x:v>
      </x:c>
      <x:c r="G1086" s="2" t="str">
        <x:v>Medium (100-299 beds)</x:v>
      </x:c>
      <x:c r="H1086" s="7"/>
      <x:c r="I1086" s="7"/>
      <x:c r="J1086" s="7"/>
      <x:c r="K1086" s="8" t="n">
        <x:v>225</x:v>
      </x:c>
      <x:c r="L1086" s="8" t="n">
        <x:v>1858</x:v>
      </x:c>
      <x:c r="M1086" s="9" t="n">
        <x:v>0.8725357686</x:v>
      </x:c>
      <x:c r="N1086" s="10" t="n">
        <x:v>38204.7906350915</x:v>
      </x:c>
      <x:c r="O1086" s="9"/>
      <x:c r="P1086" s="9" t="n">
        <x:v>0.7810945274</x:v>
      </x:c>
      <x:c r="Q1086" s="9" t="n">
        <x:v>0</x:v>
      </x:c>
      <x:c r="R1086" s="3" t="b">
        <x:v>0</x:v>
      </x:c>
      <x:c r="S1086" s="3" t="b">
        <x:v>0</x:v>
      </x:c>
      <x:c r="T1086" s="3" t="b">
        <x:v>0</x:v>
      </x:c>
      <x:c r="U1086" s="2" t="str">
        <x:f>IF(T1086=TRUE,"Priority review",IF(R1086=TRUE,"High cost",IF(S1086=TRUE,"Low quality","Benchmark")))</x:f>
        <x:v>Benchmark</x:v>
      </x:c>
    </x:row>
    <x:row r="1087">
      <x:c r="A1087" s="2" t="str">
        <x:v>150104</x:v>
      </x:c>
      <x:c r="B1087" s="2" t="str">
        <x:v>WITHAM HEALTH SERVICES</x:v>
      </x:c>
      <x:c r="C1087" s="2" t="str">
        <x:v>LEBANON</x:v>
      </x:c>
      <x:c r="D1087" s="2" t="str">
        <x:v>IN</x:v>
      </x:c>
      <x:c r="E1087" s="2" t="str">
        <x:v>Acute Care Hospitals</x:v>
      </x:c>
      <x:c r="F1087" s="2" t="str">
        <x:v>Government</x:v>
      </x:c>
      <x:c r="G1087" s="2" t="str">
        <x:v>Small (&lt;100 beds)</x:v>
      </x:c>
      <x:c r="H1087" s="7" t="n">
        <x:v>4</x:v>
      </x:c>
      <x:c r="I1087" s="7" t="n">
        <x:v>3</x:v>
      </x:c>
      <x:c r="J1087" s="7" t="n">
        <x:v>0.96</x:v>
      </x:c>
      <x:c r="K1087" s="8" t="n">
        <x:v>50</x:v>
      </x:c>
      <x:c r="L1087" s="8" t="n">
        <x:v>2118</x:v>
      </x:c>
      <x:c r="M1087" s="9" t="n">
        <x:v>0.4530054645</x:v>
      </x:c>
      <x:c r="N1087" s="10" t="n">
        <x:v>89679.3050047214</x:v>
      </x:c>
      <x:c r="O1087" s="9" t="n">
        <x:v>-0.1188040256</x:v>
      </x:c>
      <x:c r="P1087" s="9" t="n">
        <x:v>0.7809694794</x:v>
      </x:c>
      <x:c r="Q1087" s="9" t="n">
        <x:v>0.3913824057</x:v>
      </x:c>
      <x:c r="R1087" s="3" t="b">
        <x:v>0</x:v>
      </x:c>
      <x:c r="S1087" s="3" t="b">
        <x:v>0</x:v>
      </x:c>
      <x:c r="T1087" s="3" t="b">
        <x:v>0</x:v>
      </x:c>
      <x:c r="U1087" s="2" t="str">
        <x:f>IF(T1087=TRUE,"Priority review",IF(R1087=TRUE,"High cost",IF(S1087=TRUE,"Low quality","Benchmark")))</x:f>
        <x:v>Benchmark</x:v>
      </x:c>
    </x:row>
    <x:row r="1088">
      <x:c r="A1088" s="2" t="str">
        <x:v>050506</x:v>
      </x:c>
      <x:c r="B1088" s="2" t="str">
        <x:v>ADVENTIST HEALTH SIERRA VISTA</x:v>
      </x:c>
      <x:c r="C1088" s="2" t="str">
        <x:v>SAN LUIS OBISPO</x:v>
      </x:c>
      <x:c r="D1088" s="2" t="str">
        <x:v>CA</x:v>
      </x:c>
      <x:c r="E1088" s="2" t="str">
        <x:v>Acute Care Hospitals</x:v>
      </x:c>
      <x:c r="F1088" s="2" t="str">
        <x:v>Proprietary</x:v>
      </x:c>
      <x:c r="G1088" s="2" t="str">
        <x:v>Medium (100-299 beds)</x:v>
      </x:c>
      <x:c r="H1088" s="7" t="n">
        <x:v>3</x:v>
      </x:c>
      <x:c r="I1088" s="7" t="n">
        <x:v>2</x:v>
      </x:c>
      <x:c r="J1088" s="7" t="n">
        <x:v>0.98</x:v>
      </x:c>
      <x:c r="K1088" s="8" t="n">
        <x:v>162</x:v>
      </x:c>
      <x:c r="L1088" s="8" t="n">
        <x:v>4621</x:v>
      </x:c>
      <x:c r="M1088" s="9" t="n">
        <x:v>0.4214273634</x:v>
      </x:c>
      <x:c r="N1088" s="10" t="n">
        <x:v>48514.2508115127</x:v>
      </x:c>
      <x:c r="O1088" s="9" t="n">
        <x:v>-0.1042738756</x:v>
      </x:c>
      <x:c r="P1088" s="9" t="n">
        <x:v>0.7807660962</x:v>
      </x:c>
      <x:c r="Q1088" s="9" t="n">
        <x:v>0.3023634882</x:v>
      </x:c>
      <x:c r="R1088" s="3" t="b">
        <x:v>0</x:v>
      </x:c>
      <x:c r="S1088" s="3" t="b">
        <x:v>0</x:v>
      </x:c>
      <x:c r="T1088" s="3" t="b">
        <x:v>0</x:v>
      </x:c>
      <x:c r="U1088" s="2" t="str">
        <x:f>IF(T1088=TRUE,"Priority review",IF(R1088=TRUE,"High cost",IF(S1088=TRUE,"Low quality","Benchmark")))</x:f>
        <x:v>Benchmark</x:v>
      </x:c>
    </x:row>
    <x:row r="1089">
      <x:c r="A1089" s="2" t="str">
        <x:v>450015</x:v>
      </x:c>
      <x:c r="B1089" s="2" t="str">
        <x:v>PARKLAND HEALTH &amp; HOSPITAL SYSTEM</x:v>
      </x:c>
      <x:c r="C1089" s="2" t="str">
        <x:v>DALLAS</x:v>
      </x:c>
      <x:c r="D1089" s="2" t="str">
        <x:v>TX</x:v>
      </x:c>
      <x:c r="E1089" s="2" t="str">
        <x:v>Acute Care Hospitals</x:v>
      </x:c>
      <x:c r="F1089" s="2" t="str">
        <x:v>Government</x:v>
      </x:c>
      <x:c r="G1089" s="2" t="str">
        <x:v>Large (300+ beds)</x:v>
      </x:c>
      <x:c r="H1089" s="7" t="n">
        <x:v>3</x:v>
      </x:c>
      <x:c r="I1089" s="7" t="n">
        <x:v>3</x:v>
      </x:c>
      <x:c r="J1089" s="7" t="n">
        <x:v>0.86</x:v>
      </x:c>
      <x:c r="K1089" s="8" t="n">
        <x:v>790</x:v>
      </x:c>
      <x:c r="L1089" s="8" t="n">
        <x:v>49672</x:v>
      </x:c>
      <x:c r="M1089" s="9" t="n">
        <x:v>0.8580454549</x:v>
      </x:c>
      <x:c r="N1089" s="10" t="n">
        <x:v>56676.299746336</x:v>
      </x:c>
      <x:c r="O1089" s="9" t="n">
        <x:v>-1.4010035691</x:v>
      </x:c>
      <x:c r="P1089" s="9" t="n">
        <x:v>0.7807570978</x:v>
      </x:c>
      <x:c r="Q1089" s="9" t="n">
        <x:v>0.2570977918</x:v>
      </x:c>
      <x:c r="R1089" s="3" t="b">
        <x:v>0</x:v>
      </x:c>
      <x:c r="S1089" s="3" t="b">
        <x:v>0</x:v>
      </x:c>
      <x:c r="T1089" s="3" t="b">
        <x:v>0</x:v>
      </x:c>
      <x:c r="U1089" s="2" t="str">
        <x:f>IF(T1089=TRUE,"Priority review",IF(R1089=TRUE,"High cost",IF(S1089=TRUE,"Low quality","Benchmark")))</x:f>
        <x:v>Benchmark</x:v>
      </x:c>
    </x:row>
    <x:row r="1090">
      <x:c r="A1090" s="2" t="str">
        <x:v>171356</x:v>
      </x:c>
      <x:c r="B1090" s="2" t="str">
        <x:v>ST LUKE HOSPITAL &amp; LIVING CENTER</x:v>
      </x:c>
      <x:c r="C1090" s="2" t="str">
        <x:v>MARION</x:v>
      </x:c>
      <x:c r="D1090" s="2" t="str">
        <x:v>KS</x:v>
      </x:c>
      <x:c r="E1090" s="2" t="str">
        <x:v>Critical Access Hospitals</x:v>
      </x:c>
      <x:c r="F1090" s="2" t="str">
        <x:v>Government</x:v>
      </x:c>
      <x:c r="G1090" s="2" t="str">
        <x:v>Small (&lt;100 beds)</x:v>
      </x:c>
      <x:c r="H1090" s="7"/>
      <x:c r="I1090" s="7"/>
      <x:c r="J1090" s="7"/>
      <x:c r="K1090" s="8" t="n">
        <x:v>10</x:v>
      </x:c>
      <x:c r="L1090" s="8" t="n">
        <x:v>78</x:v>
      </x:c>
      <x:c r="M1090" s="9" t="n">
        <x:v>0.1822404372</x:v>
      </x:c>
      <x:c r="N1090" s="10" t="n">
        <x:v>229788.5</x:v>
      </x:c>
      <x:c r="O1090" s="9" t="n">
        <x:v>-0.1082951365</x:v>
      </x:c>
      <x:c r="P1090" s="9" t="n">
        <x:v>0.780669145</x:v>
      </x:c>
      <x:c r="Q1090" s="9" t="n">
        <x:v>0.292936803</x:v>
      </x:c>
      <x:c r="R1090" s="3" t="b">
        <x:v>0</x:v>
      </x:c>
      <x:c r="S1090" s="3" t="b">
        <x:v>0</x:v>
      </x:c>
      <x:c r="T1090" s="3" t="b">
        <x:v>0</x:v>
      </x:c>
      <x:c r="U1090" s="2" t="str">
        <x:f>IF(T1090=TRUE,"Priority review",IF(R1090=TRUE,"High cost",IF(S1090=TRUE,"Low quality","Benchmark")))</x:f>
        <x:v>Benchmark</x:v>
      </x:c>
    </x:row>
    <x:row r="1091">
      <x:c r="A1091" s="2" t="str">
        <x:v>140089</x:v>
      </x:c>
      <x:c r="B1091" s="2" t="str">
        <x:v>MC DONOUGH DISTRICT HOSPITAL</x:v>
      </x:c>
      <x:c r="C1091" s="2" t="str">
        <x:v>MACOMB</x:v>
      </x:c>
      <x:c r="D1091" s="2" t="str">
        <x:v>IL</x:v>
      </x:c>
      <x:c r="E1091" s="2" t="str">
        <x:v>Acute Care Hospitals</x:v>
      </x:c>
      <x:c r="F1091" s="2" t="str">
        <x:v>Government</x:v>
      </x:c>
      <x:c r="G1091" s="2" t="str">
        <x:v>Small (&lt;100 beds)</x:v>
      </x:c>
      <x:c r="H1091" s="7" t="n">
        <x:v>3</x:v>
      </x:c>
      <x:c r="I1091" s="7" t="n">
        <x:v>4</x:v>
      </x:c>
      <x:c r="J1091" s="7" t="n">
        <x:v>0.93</x:v>
      </x:c>
      <x:c r="K1091" s="8" t="n">
        <x:v>45</x:v>
      </x:c>
      <x:c r="L1091" s="8" t="n">
        <x:v>1047</x:v>
      </x:c>
      <x:c r="M1091" s="9" t="n">
        <x:v>0.2063318113</x:v>
      </x:c>
      <x:c r="N1091" s="10" t="n">
        <x:v>89364.2846227316</x:v>
      </x:c>
      <x:c r="O1091" s="9" t="n">
        <x:v>-0.115164156</x:v>
      </x:c>
      <x:c r="P1091" s="9" t="n">
        <x:v>0.7800718133</x:v>
      </x:c>
      <x:c r="Q1091" s="9" t="n">
        <x:v>0.1687612208</x:v>
      </x:c>
      <x:c r="R1091" s="3" t="b">
        <x:v>0</x:v>
      </x:c>
      <x:c r="S1091" s="3" t="b">
        <x:v>0</x:v>
      </x:c>
      <x:c r="T1091" s="3" t="b">
        <x:v>0</x:v>
      </x:c>
      <x:c r="U1091" s="2" t="str">
        <x:f>IF(T1091=TRUE,"Priority review",IF(R1091=TRUE,"High cost",IF(S1091=TRUE,"Low quality","Benchmark")))</x:f>
        <x:v>Benchmark</x:v>
      </x:c>
    </x:row>
    <x:row r="1092">
      <x:c r="A1092" s="2" t="str">
        <x:v>330157</x:v>
      </x:c>
      <x:c r="B1092" s="2" t="str">
        <x:v>SAMARITAN MEDICAL CENTER</x:v>
      </x:c>
      <x:c r="C1092" s="2" t="str">
        <x:v>WATERTOWN</x:v>
      </x:c>
      <x:c r="D1092" s="2" t="str">
        <x:v>NY</x:v>
      </x:c>
      <x:c r="E1092" s="2" t="str">
        <x:v>Acute Care Hospitals</x:v>
      </x:c>
      <x:c r="F1092" s="2" t="str">
        <x:v>Voluntary non-profit</x:v>
      </x:c>
      <x:c r="G1092" s="2" t="str">
        <x:v>Medium (100-299 beds)</x:v>
      </x:c>
      <x:c r="H1092" s="7" t="n">
        <x:v>2</x:v>
      </x:c>
      <x:c r="I1092" s="7" t="n">
        <x:v>3</x:v>
      </x:c>
      <x:c r="J1092" s="7" t="n">
        <x:v>0.89</x:v>
      </x:c>
      <x:c r="K1092" s="8" t="n">
        <x:v>165</x:v>
      </x:c>
      <x:c r="L1092" s="8" t="n">
        <x:v>7148</x:v>
      </x:c>
      <x:c r="M1092" s="9" t="n">
        <x:v>0.6428547773</x:v>
      </x:c>
      <x:c r="N1092" s="10" t="n">
        <x:v>48510.655008394</x:v>
      </x:c>
      <x:c r="O1092" s="9" t="n">
        <x:v>-0.007938378</x:v>
      </x:c>
      <x:c r="P1092" s="9" t="n">
        <x:v>0.7799511002</x:v>
      </x:c>
      <x:c r="Q1092" s="9" t="n">
        <x:v>0.0782396088</x:v>
      </x:c>
      <x:c r="R1092" s="3" t="b">
        <x:v>0</x:v>
      </x:c>
      <x:c r="S1092" s="3" t="b">
        <x:v>1</x:v>
      </x:c>
      <x:c r="T1092" s="3" t="b">
        <x:v>0</x:v>
      </x:c>
      <x:c r="U1092" s="2" t="str">
        <x:f>IF(T1092=TRUE,"Priority review",IF(R1092=TRUE,"High cost",IF(S1092=TRUE,"Low quality","Benchmark")))</x:f>
        <x:v>Low quality</x:v>
      </x:c>
    </x:row>
    <x:row r="1093">
      <x:c r="A1093" s="2" t="str">
        <x:v>154005</x:v>
      </x:c>
      <x:c r="B1093" s="2" t="str">
        <x:v>WABASH VALLEY ALLIANCE, INC. / RIVER BEND HOSPITAL</x:v>
      </x:c>
      <x:c r="C1093" s="2" t="str">
        <x:v>WEST LAFAYETTE</x:v>
      </x:c>
      <x:c r="D1093" s="2" t="str">
        <x:v>IN</x:v>
      </x:c>
      <x:c r="E1093" s="2" t="str">
        <x:v>Psychiatric</x:v>
      </x:c>
      <x:c r="F1093" s="2" t="str">
        <x:v>Voluntary non-profit</x:v>
      </x:c>
      <x:c r="G1093" s="2" t="str">
        <x:v>Small (&lt;100 beds)</x:v>
      </x:c>
      <x:c r="H1093" s="7"/>
      <x:c r="I1093" s="7"/>
      <x:c r="J1093" s="7"/>
      <x:c r="K1093" s="8" t="n">
        <x:v>16</x:v>
      </x:c>
      <x:c r="L1093" s="8" t="n">
        <x:v>659</x:v>
      </x:c>
      <x:c r="M1093" s="9" t="n">
        <x:v>0.5959699454</x:v>
      </x:c>
      <x:c r="N1093" s="10" t="n">
        <x:v>39071.3702579666</x:v>
      </x:c>
      <x:c r="O1093" s="9" t="n">
        <x:v>-7.734157064</x:v>
      </x:c>
      <x:c r="P1093" s="9" t="n">
        <x:v>0.7799352751</x:v>
      </x:c>
      <x:c r="Q1093" s="9" t="n">
        <x:v>0</x:v>
      </x:c>
      <x:c r="R1093" s="3" t="b">
        <x:v>0</x:v>
      </x:c>
      <x:c r="S1093" s="3" t="b">
        <x:v>0</x:v>
      </x:c>
      <x:c r="T1093" s="3" t="b">
        <x:v>0</x:v>
      </x:c>
      <x:c r="U1093" s="2" t="str">
        <x:f>IF(T1093=TRUE,"Priority review",IF(R1093=TRUE,"High cost",IF(S1093=TRUE,"Low quality","Benchmark")))</x:f>
        <x:v>Benchmark</x:v>
      </x:c>
    </x:row>
    <x:row r="1094">
      <x:c r="A1094" s="2" t="str">
        <x:v>451333</x:v>
      </x:c>
      <x:c r="B1094" s="2" t="str">
        <x:v>MARTIN COUNTY HOSPITAL DISTRICT</x:v>
      </x:c>
      <x:c r="C1094" s="2" t="str">
        <x:v>STANTON</x:v>
      </x:c>
      <x:c r="D1094" s="2" t="str">
        <x:v>TX</x:v>
      </x:c>
      <x:c r="E1094" s="2" t="str">
        <x:v>Critical Access Hospitals</x:v>
      </x:c>
      <x:c r="F1094" s="2" t="str">
        <x:v>Government</x:v>
      </x:c>
      <x:c r="G1094" s="2" t="str">
        <x:v>Small (&lt;100 beds)</x:v>
      </x:c>
      <x:c r="H1094" s="7"/>
      <x:c r="I1094" s="7"/>
      <x:c r="J1094" s="7"/>
      <x:c r="K1094" s="8" t="n">
        <x:v>18</x:v>
      </x:c>
      <x:c r="L1094" s="8" t="n">
        <x:v>186</x:v>
      </x:c>
      <x:c r="M1094" s="9" t="n">
        <x:v>0.2382039574</x:v>
      </x:c>
      <x:c r="N1094" s="10" t="n">
        <x:v>229525.0430107527</x:v>
      </x:c>
      <x:c r="O1094" s="9" t="n">
        <x:v>-0.5031557828</x:v>
      </x:c>
      <x:c r="P1094" s="9" t="n">
        <x:v>0.7799256506</x:v>
      </x:c>
      <x:c r="Q1094" s="9" t="n">
        <x:v>0.292936803</x:v>
      </x:c>
      <x:c r="R1094" s="3" t="b">
        <x:v>0</x:v>
      </x:c>
      <x:c r="S1094" s="3" t="b">
        <x:v>0</x:v>
      </x:c>
      <x:c r="T1094" s="3" t="b">
        <x:v>0</x:v>
      </x:c>
      <x:c r="U1094" s="2" t="str">
        <x:f>IF(T1094=TRUE,"Priority review",IF(R1094=TRUE,"High cost",IF(S1094=TRUE,"Low quality","Benchmark")))</x:f>
        <x:v>Benchmark</x:v>
      </x:c>
    </x:row>
    <x:row r="1095">
      <x:c r="A1095" s="2" t="str">
        <x:v>161332</x:v>
      </x:c>
      <x:c r="B1095" s="2" t="str">
        <x:v>MANNING REGIONAL HEALTHCARE CENTER</x:v>
      </x:c>
      <x:c r="C1095" s="2" t="str">
        <x:v>MANNING</x:v>
      </x:c>
      <x:c r="D1095" s="2" t="str">
        <x:v>IA</x:v>
      </x:c>
      <x:c r="E1095" s="2" t="str">
        <x:v>Critical Access Hospitals</x:v>
      </x:c>
      <x:c r="F1095" s="2" t="str">
        <x:v>Voluntary non-profit</x:v>
      </x:c>
      <x:c r="G1095" s="2" t="str">
        <x:v>Small (&lt;100 beds)</x:v>
      </x:c>
      <x:c r="H1095" s="7"/>
      <x:c r="I1095" s="7"/>
      <x:c r="J1095" s="7"/>
      <x:c r="K1095" s="8" t="n">
        <x:v>17</x:v>
      </x:c>
      <x:c r="L1095" s="8" t="n">
        <x:v>89</x:v>
      </x:c>
      <x:c r="M1095" s="9" t="n">
        <x:v>0.1308622079</x:v>
      </x:c>
      <x:c r="N1095" s="10" t="n">
        <x:v>229348.0674157303</x:v>
      </x:c>
      <x:c r="O1095" s="9" t="n">
        <x:v>0.1099856129</x:v>
      </x:c>
      <x:c r="P1095" s="9" t="n">
        <x:v>0.7791821561</x:v>
      </x:c>
      <x:c r="Q1095" s="9" t="n">
        <x:v>0.292936803</x:v>
      </x:c>
      <x:c r="R1095" s="3" t="b">
        <x:v>0</x:v>
      </x:c>
      <x:c r="S1095" s="3" t="b">
        <x:v>0</x:v>
      </x:c>
      <x:c r="T1095" s="3" t="b">
        <x:v>0</x:v>
      </x:c>
      <x:c r="U1095" s="2" t="str">
        <x:f>IF(T1095=TRUE,"Priority review",IF(R1095=TRUE,"High cost",IF(S1095=TRUE,"Low quality","Benchmark")))</x:f>
        <x:v>Benchmark</x:v>
      </x:c>
    </x:row>
    <x:row r="1096">
      <x:c r="A1096" s="2" t="str">
        <x:v>100151</x:v>
      </x:c>
      <x:c r="B1096" s="2" t="str">
        <x:v>MAYO CLINIC</x:v>
      </x:c>
      <x:c r="C1096" s="2" t="str">
        <x:v>JACKSONVILLE</x:v>
      </x:c>
      <x:c r="D1096" s="2" t="str">
        <x:v>FL</x:v>
      </x:c>
      <x:c r="E1096" s="2" t="str">
        <x:v>Acute Care Hospitals</x:v>
      </x:c>
      <x:c r="F1096" s="2" t="str">
        <x:v>Voluntary non-profit</x:v>
      </x:c>
      <x:c r="G1096" s="2" t="str">
        <x:v>Large (300+ beds)</x:v>
      </x:c>
      <x:c r="H1096" s="7" t="n">
        <x:v>5</x:v>
      </x:c>
      <x:c r="I1096" s="7" t="n">
        <x:v>4</x:v>
      </x:c>
      <x:c r="J1096" s="7" t="n">
        <x:v>1.02</x:v>
      </x:c>
      <x:c r="K1096" s="8" t="n">
        <x:v>307</x:v>
      </x:c>
      <x:c r="L1096" s="8" t="n">
        <x:v>19055</x:v>
      </x:c>
      <x:c r="M1096" s="9" t="n">
        <x:v>0.9669995194</x:v>
      </x:c>
      <x:c r="N1096" s="10" t="n">
        <x:v>56119.3748622409</x:v>
      </x:c>
      <x:c r="O1096" s="9" t="n">
        <x:v>0.2397572743</x:v>
      </x:c>
      <x:c r="P1096" s="9" t="n">
        <x:v>0.7791798107</x:v>
      </x:c>
      <x:c r="Q1096" s="9" t="n">
        <x:v>0.8722397476</x:v>
      </x:c>
      <x:c r="R1096" s="3" t="b">
        <x:v>0</x:v>
      </x:c>
      <x:c r="S1096" s="3" t="b">
        <x:v>0</x:v>
      </x:c>
      <x:c r="T1096" s="3" t="b">
        <x:v>0</x:v>
      </x:c>
      <x:c r="U1096" s="2" t="str">
        <x:f>IF(T1096=TRUE,"Priority review",IF(R1096=TRUE,"High cost",IF(S1096=TRUE,"Low quality","Benchmark")))</x:f>
        <x:v>Benchmark</x:v>
      </x:c>
    </x:row>
    <x:row r="1097">
      <x:c r="A1097" s="2" t="str">
        <x:v>060071</x:v>
      </x:c>
      <x:c r="B1097" s="2" t="str">
        <x:v>DELTA COUNTY MEMORIAL HOSPITAL</x:v>
      </x:c>
      <x:c r="C1097" s="2" t="str">
        <x:v>DELTA</x:v>
      </x:c>
      <x:c r="D1097" s="2" t="str">
        <x:v>CO</x:v>
      </x:c>
      <x:c r="E1097" s="2" t="str">
        <x:v>Acute Care Hospitals</x:v>
      </x:c>
      <x:c r="F1097" s="2" t="str">
        <x:v>Government</x:v>
      </x:c>
      <x:c r="G1097" s="2" t="str">
        <x:v>Small (&lt;100 beds)</x:v>
      </x:c>
      <x:c r="H1097" s="7" t="n">
        <x:v>3</x:v>
      </x:c>
      <x:c r="I1097" s="7" t="n">
        <x:v>3</x:v>
      </x:c>
      <x:c r="J1097" s="7" t="n">
        <x:v>0.96</x:v>
      </x:c>
      <x:c r="K1097" s="8" t="n">
        <x:v>49</x:v>
      </x:c>
      <x:c r="L1097" s="8" t="n">
        <x:v>1258</x:v>
      </x:c>
      <x:c r="M1097" s="9" t="n">
        <x:v>0.2704360433</x:v>
      </x:c>
      <x:c r="N1097" s="10" t="n">
        <x:v>89347.5246422894</x:v>
      </x:c>
      <x:c r="O1097" s="9" t="n">
        <x:v>-0.0818284612</x:v>
      </x:c>
      <x:c r="P1097" s="9" t="n">
        <x:v>0.7791741472</x:v>
      </x:c>
      <x:c r="Q1097" s="9" t="n">
        <x:v>0.1687612208</x:v>
      </x:c>
      <x:c r="R1097" s="3" t="b">
        <x:v>0</x:v>
      </x:c>
      <x:c r="S1097" s="3" t="b">
        <x:v>0</x:v>
      </x:c>
      <x:c r="T1097" s="3" t="b">
        <x:v>0</x:v>
      </x:c>
      <x:c r="U1097" s="2" t="str">
        <x:f>IF(T1097=TRUE,"Priority review",IF(R1097=TRUE,"High cost",IF(S1097=TRUE,"Low quality","Benchmark")))</x:f>
        <x:v>Benchmark</x:v>
      </x:c>
    </x:row>
    <x:row r="1098">
      <x:c r="A1098" s="2" t="str">
        <x:v>390113</x:v>
      </x:c>
      <x:c r="B1098" s="2" t="str">
        <x:v>MEADVILLE MEDICAL CENTER</x:v>
      </x:c>
      <x:c r="C1098" s="2" t="str">
        <x:v>MEADVILLE</x:v>
      </x:c>
      <x:c r="D1098" s="2" t="str">
        <x:v>PA</x:v>
      </x:c>
      <x:c r="E1098" s="2" t="str">
        <x:v>Acute Care Hospitals</x:v>
      </x:c>
      <x:c r="F1098" s="2" t="str">
        <x:v>Voluntary non-profit</x:v>
      </x:c>
      <x:c r="G1098" s="2" t="str">
        <x:v>Medium (100-299 beds)</x:v>
      </x:c>
      <x:c r="H1098" s="7" t="n">
        <x:v>4</x:v>
      </x:c>
      <x:c r="I1098" s="7" t="n">
        <x:v>3</x:v>
      </x:c>
      <x:c r="J1098" s="7" t="n">
        <x:v>0.94</x:v>
      </x:c>
      <x:c r="K1098" s="8" t="n">
        <x:v>200</x:v>
      </x:c>
      <x:c r="L1098" s="8" t="n">
        <x:v>5745</x:v>
      </x:c>
      <x:c r="M1098" s="9" t="n">
        <x:v>0.3270273973</x:v>
      </x:c>
      <x:c r="N1098" s="10" t="n">
        <x:v>48466.7994778068</x:v>
      </x:c>
      <x:c r="O1098" s="9" t="n">
        <x:v>-0.0838299646</x:v>
      </x:c>
      <x:c r="P1098" s="9" t="n">
        <x:v>0.7791361043</x:v>
      </x:c>
      <x:c r="Q1098" s="9" t="n">
        <x:v>0.6022819886</x:v>
      </x:c>
      <x:c r="R1098" s="3" t="b">
        <x:v>0</x:v>
      </x:c>
      <x:c r="S1098" s="3" t="b">
        <x:v>0</x:v>
      </x:c>
      <x:c r="T1098" s="3" t="b">
        <x:v>0</x:v>
      </x:c>
      <x:c r="U1098" s="2" t="str">
        <x:f>IF(T1098=TRUE,"Priority review",IF(R1098=TRUE,"High cost",IF(S1098=TRUE,"Low quality","Benchmark")))</x:f>
        <x:v>Benchmark</x:v>
      </x:c>
    </x:row>
    <x:row r="1099">
      <x:c r="A1099" s="2" t="str">
        <x:v>231303</x:v>
      </x:c>
      <x:c r="B1099" s="2" t="str">
        <x:v>SCHOOLCRAFT MEMORIAL HOSPITAL</x:v>
      </x:c>
      <x:c r="C1099" s="2" t="str">
        <x:v>MANISTIQUE</x:v>
      </x:c>
      <x:c r="D1099" s="2" t="str">
        <x:v>MI</x:v>
      </x:c>
      <x:c r="E1099" s="2" t="str">
        <x:v>Critical Access Hospitals</x:v>
      </x:c>
      <x:c r="F1099" s="2" t="str">
        <x:v>Government</x:v>
      </x:c>
      <x:c r="G1099" s="2" t="str">
        <x:v>Small (&lt;100 beds)</x:v>
      </x:c>
      <x:c r="H1099" s="7"/>
      <x:c r="I1099" s="7"/>
      <x:c r="J1099" s="7"/>
      <x:c r="K1099" s="8" t="n">
        <x:v>12</x:v>
      </x:c>
      <x:c r="L1099" s="8" t="n">
        <x:v>290</x:v>
      </x:c>
      <x:c r="M1099" s="9" t="n">
        <x:v>0.2638888889</x:v>
      </x:c>
      <x:c r="N1099" s="10" t="n">
        <x:v>227732.3379310345</x:v>
      </x:c>
      <x:c r="O1099" s="9" t="n">
        <x:v>-0.084280641</x:v>
      </x:c>
      <x:c r="P1099" s="9" t="n">
        <x:v>0.7784386617</x:v>
      </x:c>
      <x:c r="Q1099" s="9" t="n">
        <x:v>0.292936803</x:v>
      </x:c>
      <x:c r="R1099" s="3" t="b">
        <x:v>0</x:v>
      </x:c>
      <x:c r="S1099" s="3" t="b">
        <x:v>0</x:v>
      </x:c>
      <x:c r="T1099" s="3" t="b">
        <x:v>0</x:v>
      </x:c>
      <x:c r="U1099" s="2" t="str">
        <x:f>IF(T1099=TRUE,"Priority review",IF(R1099=TRUE,"High cost",IF(S1099=TRUE,"Low quality","Benchmark")))</x:f>
        <x:v>Benchmark</x:v>
      </x:c>
    </x:row>
    <x:row r="1100">
      <x:c r="A1100" s="2" t="str">
        <x:v>050194</x:v>
      </x:c>
      <x:c r="B1100" s="2" t="str">
        <x:v>WATSONVILLE COMMUNITY HOSPITAL</x:v>
      </x:c>
      <x:c r="C1100" s="2" t="str">
        <x:v>WATSONVILLE</x:v>
      </x:c>
      <x:c r="D1100" s="2" t="str">
        <x:v>CA</x:v>
      </x:c>
      <x:c r="E1100" s="2" t="str">
        <x:v>Acute Care Hospitals</x:v>
      </x:c>
      <x:c r="F1100" s="2" t="str">
        <x:v>Proprietary</x:v>
      </x:c>
      <x:c r="G1100" s="2" t="str">
        <x:v>Medium (100-299 beds)</x:v>
      </x:c>
      <x:c r="H1100" s="7" t="n">
        <x:v>2</x:v>
      </x:c>
      <x:c r="I1100" s="7" t="n">
        <x:v>3</x:v>
      </x:c>
      <x:c r="J1100" s="7" t="n">
        <x:v>0.96</x:v>
      </x:c>
      <x:c r="K1100" s="8" t="n">
        <x:v>106</x:v>
      </x:c>
      <x:c r="L1100" s="8" t="n">
        <x:v>3242</x:v>
      </x:c>
      <x:c r="M1100" s="9" t="n">
        <x:v>0.3357304877</x:v>
      </x:c>
      <x:c r="N1100" s="10" t="n">
        <x:v>48426.9157927205</x:v>
      </x:c>
      <x:c r="O1100" s="9" t="n">
        <x:v>-0.0396332819</x:v>
      </x:c>
      <x:c r="P1100" s="9" t="n">
        <x:v>0.7783211084</x:v>
      </x:c>
      <x:c r="Q1100" s="9" t="n">
        <x:v>0.0782396088</x:v>
      </x:c>
      <x:c r="R1100" s="3" t="b">
        <x:v>0</x:v>
      </x:c>
      <x:c r="S1100" s="3" t="b">
        <x:v>1</x:v>
      </x:c>
      <x:c r="T1100" s="3" t="b">
        <x:v>0</x:v>
      </x:c>
      <x:c r="U1100" s="2" t="str">
        <x:f>IF(T1100=TRUE,"Priority review",IF(R1100=TRUE,"High cost",IF(S1100=TRUE,"Low quality","Benchmark")))</x:f>
        <x:v>Low quality</x:v>
      </x:c>
    </x:row>
    <x:row r="1101">
      <x:c r="A1101" s="2" t="str">
        <x:v>190303</x:v>
      </x:c>
      <x:c r="B1101" s="2" t="str">
        <x:v>CYPRESS POINTE SURGICAL HOSPITAL</x:v>
      </x:c>
      <x:c r="C1101" s="2" t="str">
        <x:v>HAMMOND</x:v>
      </x:c>
      <x:c r="D1101" s="2" t="str">
        <x:v>LA</x:v>
      </x:c>
      <x:c r="E1101" s="2" t="str">
        <x:v>Acute Care Hospitals</x:v>
      </x:c>
      <x:c r="F1101" s="2" t="str">
        <x:v>Proprietary</x:v>
      </x:c>
      <x:c r="G1101" s="2" t="str">
        <x:v>Small (&lt;100 beds)</x:v>
      </x:c>
      <x:c r="H1101" s="7"/>
      <x:c r="I1101" s="7" t="n">
        <x:v>4</x:v>
      </x:c>
      <x:c r="J1101" s="7" t="n">
        <x:v>0.96</x:v>
      </x:c>
      <x:c r="K1101" s="8" t="n">
        <x:v>30</x:v>
      </x:c>
      <x:c r="L1101" s="8" t="n">
        <x:v>343</x:v>
      </x:c>
      <x:c r="M1101" s="9" t="n">
        <x:v>0.0561020036</x:v>
      </x:c>
      <x:c r="N1101" s="10" t="n">
        <x:v>88827.5043731778</x:v>
      </x:c>
      <x:c r="O1101" s="9" t="n">
        <x:v>-0.0437269078</x:v>
      </x:c>
      <x:c r="P1101" s="9" t="n">
        <x:v>0.7782764811</x:v>
      </x:c>
      <x:c r="Q1101" s="9" t="n">
        <x:v>0.697486535</x:v>
      </x:c>
      <x:c r="R1101" s="3" t="b">
        <x:v>0</x:v>
      </x:c>
      <x:c r="S1101" s="3" t="b">
        <x:v>0</x:v>
      </x:c>
      <x:c r="T1101" s="3" t="b">
        <x:v>0</x:v>
      </x:c>
      <x:c r="U1101" s="2" t="str">
        <x:f>IF(T1101=TRUE,"Priority review",IF(R1101=TRUE,"High cost",IF(S1101=TRUE,"Low quality","Benchmark")))</x:f>
        <x:v>Benchmark</x:v>
      </x:c>
    </x:row>
    <x:row r="1102">
      <x:c r="A1102" s="2" t="str">
        <x:v>363303</x:v>
      </x:c>
      <x:c r="B1102" s="2" t="str">
        <x:v>AKRON CHILDREN'S HOSPITAL</x:v>
      </x:c>
      <x:c r="C1102" s="2" t="str">
        <x:v>AKRON</x:v>
      </x:c>
      <x:c r="D1102" s="2" t="str">
        <x:v>OH</x:v>
      </x:c>
      <x:c r="E1102" s="2" t="str">
        <x:v>Childrens</x:v>
      </x:c>
      <x:c r="F1102" s="2" t="str">
        <x:v>Voluntary non-profit</x:v>
      </x:c>
      <x:c r="G1102" s="2" t="str">
        <x:v>Large (300+ beds)</x:v>
      </x:c>
      <x:c r="H1102" s="7"/>
      <x:c r="I1102" s="7"/>
      <x:c r="J1102" s="7"/>
      <x:c r="K1102" s="8" t="n">
        <x:v>385</x:v>
      </x:c>
      <x:c r="L1102" s="8" t="n">
        <x:v>10104</x:v>
      </x:c>
      <x:c r="M1102" s="9" t="n">
        <x:v>0.5426683268</x:v>
      </x:c>
      <x:c r="N1102" s="10" t="n">
        <x:v>129071.1340063341</x:v>
      </x:c>
      <x:c r="O1102" s="9" t="n">
        <x:v>-0.040597114</x:v>
      </x:c>
      <x:c r="P1102" s="9" t="n">
        <x:v>0.7777777778</x:v>
      </x:c>
      <x:c r="Q1102" s="9" t="n">
        <x:v>0</x:v>
      </x:c>
      <x:c r="R1102" s="3" t="b">
        <x:v>0</x:v>
      </x:c>
      <x:c r="S1102" s="3" t="b">
        <x:v>0</x:v>
      </x:c>
      <x:c r="T1102" s="3" t="b">
        <x:v>0</x:v>
      </x:c>
      <x:c r="U1102" s="2" t="str">
        <x:f>IF(T1102=TRUE,"Priority review",IF(R1102=TRUE,"High cost",IF(S1102=TRUE,"Low quality","Benchmark")))</x:f>
        <x:v>Benchmark</x:v>
      </x:c>
    </x:row>
    <x:row r="1103">
      <x:c r="A1103" s="2" t="str">
        <x:v>251334</x:v>
      </x:c>
      <x:c r="B1103" s="2" t="str">
        <x:v>CHOCTAW REGIONAL MEDICAL CENTER</x:v>
      </x:c>
      <x:c r="C1103" s="2" t="str">
        <x:v>ACKERMAN</x:v>
      </x:c>
      <x:c r="D1103" s="2" t="str">
        <x:v>MS</x:v>
      </x:c>
      <x:c r="E1103" s="2" t="str">
        <x:v>Critical Access Hospitals</x:v>
      </x:c>
      <x:c r="F1103" s="2" t="str">
        <x:v>Government</x:v>
      </x:c>
      <x:c r="G1103" s="2" t="str">
        <x:v>Small (&lt;100 beds)</x:v>
      </x:c>
      <x:c r="H1103" s="7"/>
      <x:c r="I1103" s="7"/>
      <x:c r="J1103" s="7"/>
      <x:c r="K1103" s="8" t="n">
        <x:v>15</x:v>
      </x:c>
      <x:c r="L1103" s="8" t="n">
        <x:v>100</x:v>
      </x:c>
      <x:c r="M1103" s="9" t="n">
        <x:v>0.3063752277</x:v>
      </x:c>
      <x:c r="N1103" s="10" t="n">
        <x:v>227394.52</x:v>
      </x:c>
      <x:c r="O1103" s="9" t="n">
        <x:v>-0.0494653943</x:v>
      </x:c>
      <x:c r="P1103" s="9" t="n">
        <x:v>0.7776951673</x:v>
      </x:c>
      <x:c r="Q1103" s="9" t="n">
        <x:v>0.292936803</x:v>
      </x:c>
      <x:c r="R1103" s="3" t="b">
        <x:v>0</x:v>
      </x:c>
      <x:c r="S1103" s="3" t="b">
        <x:v>0</x:v>
      </x:c>
      <x:c r="T1103" s="3" t="b">
        <x:v>0</x:v>
      </x:c>
      <x:c r="U1103" s="2" t="str">
        <x:f>IF(T1103=TRUE,"Priority review",IF(R1103=TRUE,"High cost",IF(S1103=TRUE,"Low quality","Benchmark")))</x:f>
        <x:v>Benchmark</x:v>
      </x:c>
    </x:row>
    <x:row r="1104">
      <x:c r="A1104" s="2" t="str">
        <x:v>390133</x:v>
      </x:c>
      <x:c r="B1104" s="2" t="str">
        <x:v>LEHIGH VALLEY HOSPITAL</x:v>
      </x:c>
      <x:c r="C1104" s="2" t="str">
        <x:v>ALLENTOWN</x:v>
      </x:c>
      <x:c r="D1104" s="2" t="str">
        <x:v>PA</x:v>
      </x:c>
      <x:c r="E1104" s="2" t="str">
        <x:v>Acute Care Hospitals</x:v>
      </x:c>
      <x:c r="F1104" s="2" t="str">
        <x:v>Voluntary non-profit</x:v>
      </x:c>
      <x:c r="G1104" s="2" t="str">
        <x:v>Large (300+ beds)</x:v>
      </x:c>
      <x:c r="H1104" s="7" t="n">
        <x:v>4</x:v>
      </x:c>
      <x:c r="I1104" s="7" t="n">
        <x:v>3</x:v>
      </x:c>
      <x:c r="J1104" s="7" t="n">
        <x:v>0.96</x:v>
      </x:c>
      <x:c r="K1104" s="8" t="n">
        <x:v>1236</x:v>
      </x:c>
      <x:c r="L1104" s="8" t="n">
        <x:v>60263</x:v>
      </x:c>
      <x:c r="M1104" s="9" t="n">
        <x:v>0.7266701129</x:v>
      </x:c>
      <x:c r="N1104" s="10" t="n">
        <x:v>56083.2377578282</x:v>
      </x:c>
      <x:c r="O1104" s="9" t="n">
        <x:v>0.0522442174</x:v>
      </x:c>
      <x:c r="P1104" s="9" t="n">
        <x:v>0.7776025237</x:v>
      </x:c>
      <x:c r="Q1104" s="9" t="n">
        <x:v>0.5899053628</x:v>
      </x:c>
      <x:c r="R1104" s="3" t="b">
        <x:v>0</x:v>
      </x:c>
      <x:c r="S1104" s="3" t="b">
        <x:v>0</x:v>
      </x:c>
      <x:c r="T1104" s="3" t="b">
        <x:v>0</x:v>
      </x:c>
      <x:c r="U1104" s="2" t="str">
        <x:f>IF(T1104=TRUE,"Priority review",IF(R1104=TRUE,"High cost",IF(S1104=TRUE,"Low quality","Benchmark")))</x:f>
        <x:v>Benchmark</x:v>
      </x:c>
    </x:row>
    <x:row r="1105">
      <x:c r="A1105" s="2" t="str">
        <x:v>250123</x:v>
      </x:c>
      <x:c r="B1105" s="2" t="str">
        <x:v>SINGING RIVER GULFPORT</x:v>
      </x:c>
      <x:c r="C1105" s="2" t="str">
        <x:v>GULFPORT</x:v>
      </x:c>
      <x:c r="D1105" s="2" t="str">
        <x:v>MS</x:v>
      </x:c>
      <x:c r="E1105" s="2" t="str">
        <x:v>Acute Care Hospitals</x:v>
      </x:c>
      <x:c r="F1105" s="2" t="str">
        <x:v>Proprietary</x:v>
      </x:c>
      <x:c r="G1105" s="2" t="str">
        <x:v>Medium (100-299 beds)</x:v>
      </x:c>
      <x:c r="H1105" s="7" t="n">
        <x:v>2</x:v>
      </x:c>
      <x:c r="I1105" s="7" t="n">
        <x:v>3</x:v>
      </x:c>
      <x:c r="J1105" s="7" t="n">
        <x:v>1.01</x:v>
      </x:c>
      <x:c r="K1105" s="8" t="n">
        <x:v>277</x:v>
      </x:c>
      <x:c r="L1105" s="8" t="n">
        <x:v>3878</x:v>
      </x:c>
      <x:c r="M1105" s="9" t="n">
        <x:v>0.3778431647</x:v>
      </x:c>
      <x:c r="N1105" s="10" t="n">
        <x:v>48391.9473955647</x:v>
      </x:c>
      <x:c r="O1105" s="9" t="n">
        <x:v>-0.5318801878</x:v>
      </x:c>
      <x:c r="P1105" s="9" t="n">
        <x:v>0.7775061125</x:v>
      </x:c>
      <x:c r="Q1105" s="9" t="n">
        <x:v>0.0782396088</x:v>
      </x:c>
      <x:c r="R1105" s="3" t="b">
        <x:v>0</x:v>
      </x:c>
      <x:c r="S1105" s="3" t="b">
        <x:v>1</x:v>
      </x:c>
      <x:c r="T1105" s="3" t="b">
        <x:v>0</x:v>
      </x:c>
      <x:c r="U1105" s="2" t="str">
        <x:f>IF(T1105=TRUE,"Priority review",IF(R1105=TRUE,"High cost",IF(S1105=TRUE,"Low quality","Benchmark")))</x:f>
        <x:v>Low quality</x:v>
      </x:c>
    </x:row>
    <x:row r="1106">
      <x:c r="A1106" s="2" t="str">
        <x:v>150030</x:v>
      </x:c>
      <x:c r="B1106" s="2" t="str">
        <x:v>HENRY COUNTY MEMORIAL HOSPITAL</x:v>
      </x:c>
      <x:c r="C1106" s="2" t="str">
        <x:v>NEW CASTLE</x:v>
      </x:c>
      <x:c r="D1106" s="2" t="str">
        <x:v>IN</x:v>
      </x:c>
      <x:c r="E1106" s="2" t="str">
        <x:v>Acute Care Hospitals</x:v>
      </x:c>
      <x:c r="F1106" s="2" t="str">
        <x:v>Government</x:v>
      </x:c>
      <x:c r="G1106" s="2" t="str">
        <x:v>Small (&lt;100 beds)</x:v>
      </x:c>
      <x:c r="H1106" s="7" t="n">
        <x:v>4</x:v>
      </x:c>
      <x:c r="I1106" s="7" t="n">
        <x:v>4</x:v>
      </x:c>
      <x:c r="J1106" s="7" t="n">
        <x:v>1.06</x:v>
      </x:c>
      <x:c r="K1106" s="8" t="n">
        <x:v>48</x:v>
      </x:c>
      <x:c r="L1106" s="8" t="n">
        <x:v>1703</x:v>
      </x:c>
      <x:c r="M1106" s="9" t="n">
        <x:v>0.4047700364</x:v>
      </x:c>
      <x:c r="N1106" s="10" t="n">
        <x:v>88796.7105108632</x:v>
      </x:c>
      <x:c r="O1106" s="9" t="n">
        <x:v>0.0186649818</x:v>
      </x:c>
      <x:c r="P1106" s="9" t="n">
        <x:v>0.7773788151</x:v>
      </x:c>
      <x:c r="Q1106" s="9" t="n">
        <x:v>0.3913824057</x:v>
      </x:c>
      <x:c r="R1106" s="3" t="b">
        <x:v>0</x:v>
      </x:c>
      <x:c r="S1106" s="3" t="b">
        <x:v>0</x:v>
      </x:c>
      <x:c r="T1106" s="3" t="b">
        <x:v>0</x:v>
      </x:c>
      <x:c r="U1106" s="2" t="str">
        <x:f>IF(T1106=TRUE,"Priority review",IF(R1106=TRUE,"High cost",IF(S1106=TRUE,"Low quality","Benchmark")))</x:f>
        <x:v>Benchmark</x:v>
      </x:c>
    </x:row>
    <x:row r="1107">
      <x:c r="A1107" s="2" t="str">
        <x:v>161363</x:v>
      </x:c>
      <x:c r="B1107" s="2" t="str">
        <x:v>MONTGOMERY COUNTY MEMORIAL HOSPITAL</x:v>
      </x:c>
      <x:c r="C1107" s="2" t="str">
        <x:v>RED OAK</x:v>
      </x:c>
      <x:c r="D1107" s="2" t="str">
        <x:v>IA</x:v>
      </x:c>
      <x:c r="E1107" s="2" t="str">
        <x:v>Critical Access Hospitals</x:v>
      </x:c>
      <x:c r="F1107" s="2" t="str">
        <x:v>Government</x:v>
      </x:c>
      <x:c r="G1107" s="2" t="str">
        <x:v>Small (&lt;100 beds)</x:v>
      </x:c>
      <x:c r="H1107" s="7"/>
      <x:c r="I1107" s="7"/>
      <x:c r="J1107" s="7"/>
      <x:c r="K1107" s="8" t="n">
        <x:v>25</x:v>
      </x:c>
      <x:c r="L1107" s="8" t="n">
        <x:v>290</x:v>
      </x:c>
      <x:c r="M1107" s="9" t="n">
        <x:v>0.1264657534</x:v>
      </x:c>
      <x:c r="N1107" s="10" t="n">
        <x:v>226529.7310344828</x:v>
      </x:c>
      <x:c r="O1107" s="9" t="n">
        <x:v>-0.1627109888</x:v>
      </x:c>
      <x:c r="P1107" s="9" t="n">
        <x:v>0.7769516729</x:v>
      </x:c>
      <x:c r="Q1107" s="9" t="n">
        <x:v>0.292936803</x:v>
      </x:c>
      <x:c r="R1107" s="3" t="b">
        <x:v>0</x:v>
      </x:c>
      <x:c r="S1107" s="3" t="b">
        <x:v>0</x:v>
      </x:c>
      <x:c r="T1107" s="3" t="b">
        <x:v>0</x:v>
      </x:c>
      <x:c r="U1107" s="2" t="str">
        <x:f>IF(T1107=TRUE,"Priority review",IF(R1107=TRUE,"High cost",IF(S1107=TRUE,"Low quality","Benchmark")))</x:f>
        <x:v>Benchmark</x:v>
      </x:c>
    </x:row>
    <x:row r="1108">
      <x:c r="A1108" s="2" t="str">
        <x:v>184015</x:v>
      </x:c>
      <x:c r="B1108" s="2" t="str">
        <x:v>CENTRAL STATE HOSPITAL</x:v>
      </x:c>
      <x:c r="C1108" s="2" t="str">
        <x:v>LOUISVILLE</x:v>
      </x:c>
      <x:c r="D1108" s="2" t="str">
        <x:v>KY</x:v>
      </x:c>
      <x:c r="E1108" s="2" t="str">
        <x:v>Psychiatric</x:v>
      </x:c>
      <x:c r="F1108" s="2" t="str">
        <x:v>Government</x:v>
      </x:c>
      <x:c r="G1108" s="2" t="str">
        <x:v>Small (&lt;100 beds)</x:v>
      </x:c>
      <x:c r="H1108" s="7"/>
      <x:c r="I1108" s="7"/>
      <x:c r="J1108" s="7"/>
      <x:c r="K1108" s="8" t="n">
        <x:v>70</x:v>
      </x:c>
      <x:c r="L1108" s="8" t="n">
        <x:v>698</x:v>
      </x:c>
      <x:c r="M1108" s="9" t="n">
        <x:v>0.7287671233</x:v>
      </x:c>
      <x:c r="N1108" s="10" t="n">
        <x:v>39006.8481375358</x:v>
      </x:c>
      <x:c r="O1108" s="9" t="n">
        <x:v>-4.2127126351</x:v>
      </x:c>
      <x:c r="P1108" s="9" t="n">
        <x:v>0.7766990291</x:v>
      </x:c>
      <x:c r="Q1108" s="9" t="n">
        <x:v>0</x:v>
      </x:c>
      <x:c r="R1108" s="3" t="b">
        <x:v>0</x:v>
      </x:c>
      <x:c r="S1108" s="3" t="b">
        <x:v>0</x:v>
      </x:c>
      <x:c r="T1108" s="3" t="b">
        <x:v>0</x:v>
      </x:c>
      <x:c r="U1108" s="2" t="str">
        <x:f>IF(T1108=TRUE,"Priority review",IF(R1108=TRUE,"High cost",IF(S1108=TRUE,"Low quality","Benchmark")))</x:f>
        <x:v>Benchmark</x:v>
      </x:c>
    </x:row>
    <x:row r="1109">
      <x:c r="A1109" s="2" t="str">
        <x:v>140095</x:v>
      </x:c>
      <x:c r="B1109" s="2" t="str">
        <x:v>SAINT ANTHONY HOSPITAL</x:v>
      </x:c>
      <x:c r="C1109" s="2" t="str">
        <x:v>CHICAGO</x:v>
      </x:c>
      <x:c r="D1109" s="2" t="str">
        <x:v>IL</x:v>
      </x:c>
      <x:c r="E1109" s="2" t="str">
        <x:v>Acute Care Hospitals</x:v>
      </x:c>
      <x:c r="F1109" s="2" t="str">
        <x:v>Voluntary non-profit</x:v>
      </x:c>
      <x:c r="G1109" s="2" t="str">
        <x:v>Medium (100-299 beds)</x:v>
      </x:c>
      <x:c r="H1109" s="7" t="n">
        <x:v>2</x:v>
      </x:c>
      <x:c r="I1109" s="7" t="n">
        <x:v>3</x:v>
      </x:c>
      <x:c r="J1109" s="7" t="n">
        <x:v>1.02</x:v>
      </x:c>
      <x:c r="K1109" s="8" t="n">
        <x:v>109</x:v>
      </x:c>
      <x:c r="L1109" s="8" t="n">
        <x:v>3131</x:v>
      </x:c>
      <x:c r="M1109" s="9" t="n">
        <x:v>0.3193917306</x:v>
      </x:c>
      <x:c r="N1109" s="10" t="n">
        <x:v>48370.9083359949</x:v>
      </x:c>
      <x:c r="O1109" s="9" t="n">
        <x:v>-0.0380389574</x:v>
      </x:c>
      <x:c r="P1109" s="9" t="n">
        <x:v>0.7766911165</x:v>
      </x:c>
      <x:c r="Q1109" s="9" t="n">
        <x:v>0.0782396088</x:v>
      </x:c>
      <x:c r="R1109" s="3" t="b">
        <x:v>0</x:v>
      </x:c>
      <x:c r="S1109" s="3" t="b">
        <x:v>1</x:v>
      </x:c>
      <x:c r="T1109" s="3" t="b">
        <x:v>0</x:v>
      </x:c>
      <x:c r="U1109" s="2" t="str">
        <x:f>IF(T1109=TRUE,"Priority review",IF(R1109=TRUE,"High cost",IF(S1109=TRUE,"Low quality","Benchmark")))</x:f>
        <x:v>Low quality</x:v>
      </x:c>
    </x:row>
    <x:row r="1110">
      <x:c r="A1110" s="2" t="str">
        <x:v>190118</x:v>
      </x:c>
      <x:c r="B1110" s="2" t="str">
        <x:v>DESOTO REGIONAL HEALTH SYSTEM</x:v>
      </x:c>
      <x:c r="C1110" s="2" t="str">
        <x:v>MANSFIELD</x:v>
      </x:c>
      <x:c r="D1110" s="2" t="str">
        <x:v>LA</x:v>
      </x:c>
      <x:c r="E1110" s="2" t="str">
        <x:v>Acute Care Hospitals</x:v>
      </x:c>
      <x:c r="F1110" s="2" t="str">
        <x:v>Voluntary non-profit</x:v>
      </x:c>
      <x:c r="G1110" s="2" t="str">
        <x:v>Small (&lt;100 beds)</x:v>
      </x:c>
      <x:c r="H1110" s="7" t="n">
        <x:v>2</x:v>
      </x:c>
      <x:c r="I1110" s="7"/>
      <x:c r="J1110" s="7" t="n">
        <x:v>1.02</x:v>
      </x:c>
      <x:c r="K1110" s="8" t="n">
        <x:v>34</x:v>
      </x:c>
      <x:c r="L1110" s="8" t="n">
        <x:v>372</x:v>
      </x:c>
      <x:c r="M1110" s="9" t="n">
        <x:v>0.1432015429</x:v>
      </x:c>
      <x:c r="N1110" s="10" t="n">
        <x:v>88765.9516129032</x:v>
      </x:c>
      <x:c r="O1110" s="9" t="n">
        <x:v>-0.0446486728</x:v>
      </x:c>
      <x:c r="P1110" s="9" t="n">
        <x:v>0.776481149</x:v>
      </x:c>
      <x:c r="Q1110" s="9" t="n">
        <x:v>0.0350089767</x:v>
      </x:c>
      <x:c r="R1110" s="3" t="b">
        <x:v>0</x:v>
      </x:c>
      <x:c r="S1110" s="3" t="b">
        <x:v>1</x:v>
      </x:c>
      <x:c r="T1110" s="3" t="b">
        <x:v>0</x:v>
      </x:c>
      <x:c r="U1110" s="2" t="str">
        <x:f>IF(T1110=TRUE,"Priority review",IF(R1110=TRUE,"High cost",IF(S1110=TRUE,"Low quality","Benchmark")))</x:f>
        <x:v>Low quality</x:v>
      </x:c>
    </x:row>
    <x:row r="1111">
      <x:c r="A1111" s="2" t="str">
        <x:v>191305</x:v>
      </x:c>
      <x:c r="B1111" s="2" t="str">
        <x:v>ST JAMES PARISH HOSPITAL</x:v>
      </x:c>
      <x:c r="C1111" s="2" t="str">
        <x:v>LUTCHER</x:v>
      </x:c>
      <x:c r="D1111" s="2" t="str">
        <x:v>LA</x:v>
      </x:c>
      <x:c r="E1111" s="2" t="str">
        <x:v>Critical Access Hospitals</x:v>
      </x:c>
      <x:c r="F1111" s="2" t="str">
        <x:v>Government</x:v>
      </x:c>
      <x:c r="G1111" s="2" t="str">
        <x:v>Small (&lt;100 beds)</x:v>
      </x:c>
      <x:c r="H1111" s="7"/>
      <x:c r="I1111" s="7"/>
      <x:c r="J1111" s="7"/>
      <x:c r="K1111" s="8" t="n">
        <x:v>25</x:v>
      </x:c>
      <x:c r="L1111" s="8" t="n">
        <x:v>158</x:v>
      </x:c>
      <x:c r="M1111" s="9" t="n">
        <x:v>0.2105205479</x:v>
      </x:c>
      <x:c r="N1111" s="10" t="n">
        <x:v>226200.0632911392</x:v>
      </x:c>
      <x:c r="O1111" s="9" t="n">
        <x:v>-0.1512871621</x:v>
      </x:c>
      <x:c r="P1111" s="9" t="n">
        <x:v>0.7762081784</x:v>
      </x:c>
      <x:c r="Q1111" s="9" t="n">
        <x:v>0.292936803</x:v>
      </x:c>
      <x:c r="R1111" s="3" t="b">
        <x:v>0</x:v>
      </x:c>
      <x:c r="S1111" s="3" t="b">
        <x:v>0</x:v>
      </x:c>
      <x:c r="T1111" s="3" t="b">
        <x:v>0</x:v>
      </x:c>
      <x:c r="U1111" s="2" t="str">
        <x:f>IF(T1111=TRUE,"Priority review",IF(R1111=TRUE,"High cost",IF(S1111=TRUE,"Low quality","Benchmark")))</x:f>
        <x:v>Benchmark</x:v>
      </x:c>
    </x:row>
    <x:row r="1112">
      <x:c r="A1112" s="2" t="str">
        <x:v>394020</x:v>
      </x:c>
      <x:c r="B1112" s="2" t="str">
        <x:v>PHILHAVEN HOSPITAL</x:v>
      </x:c>
      <x:c r="C1112" s="2" t="str">
        <x:v>MT GRETNA</x:v>
      </x:c>
      <x:c r="D1112" s="2" t="str">
        <x:v>PA</x:v>
      </x:c>
      <x:c r="E1112" s="2" t="str">
        <x:v>Psychiatric</x:v>
      </x:c>
      <x:c r="F1112" s="2" t="str">
        <x:v>Voluntary non-profit</x:v>
      </x:c>
      <x:c r="G1112" s="2" t="str">
        <x:v>Medium (100-299 beds)</x:v>
      </x:c>
      <x:c r="H1112" s="7"/>
      <x:c r="I1112" s="7"/>
      <x:c r="J1112" s="7"/>
      <x:c r="K1112" s="8" t="n">
        <x:v>140</x:v>
      </x:c>
      <x:c r="L1112" s="8" t="n">
        <x:v>2433</x:v>
      </x:c>
      <x:c r="M1112" s="9" t="n">
        <x:v>0.9897651663</x:v>
      </x:c>
      <x:c r="N1112" s="10" t="n">
        <x:v>38067.8462803124</x:v>
      </x:c>
      <x:c r="O1112" s="9" t="n">
        <x:v>-0.1969899033</x:v>
      </x:c>
      <x:c r="P1112" s="9" t="n">
        <x:v>0.776119403</x:v>
      </x:c>
      <x:c r="Q1112" s="9" t="n">
        <x:v>0</x:v>
      </x:c>
      <x:c r="R1112" s="3" t="b">
        <x:v>0</x:v>
      </x:c>
      <x:c r="S1112" s="3" t="b">
        <x:v>0</x:v>
      </x:c>
      <x:c r="T1112" s="3" t="b">
        <x:v>0</x:v>
      </x:c>
      <x:c r="U1112" s="2" t="str">
        <x:f>IF(T1112=TRUE,"Priority review",IF(R1112=TRUE,"High cost",IF(S1112=TRUE,"Low quality","Benchmark")))</x:f>
        <x:v>Benchmark</x:v>
      </x:c>
    </x:row>
    <x:row r="1113">
      <x:c r="A1113" s="2" t="str">
        <x:v>390046</x:v>
      </x:c>
      <x:c r="B1113" s="2" t="str">
        <x:v>WELLSPAN YORK HOSPITAL</x:v>
      </x:c>
      <x:c r="C1113" s="2" t="str">
        <x:v>YORK</x:v>
      </x:c>
      <x:c r="D1113" s="2" t="str">
        <x:v>PA</x:v>
      </x:c>
      <x:c r="E1113" s="2" t="str">
        <x:v>Acute Care Hospitals</x:v>
      </x:c>
      <x:c r="F1113" s="2" t="str">
        <x:v>Voluntary non-profit</x:v>
      </x:c>
      <x:c r="G1113" s="2" t="str">
        <x:v>Large (300+ beds)</x:v>
      </x:c>
      <x:c r="H1113" s="7" t="n">
        <x:v>4</x:v>
      </x:c>
      <x:c r="I1113" s="7" t="n">
        <x:v>3</x:v>
      </x:c>
      <x:c r="J1113" s="7" t="n">
        <x:v>1.01</x:v>
      </x:c>
      <x:c r="K1113" s="8" t="n">
        <x:v>534</x:v>
      </x:c>
      <x:c r="L1113" s="8" t="n">
        <x:v>28113</x:v>
      </x:c>
      <x:c r="M1113" s="9" t="n">
        <x:v>0.8310091837</x:v>
      </x:c>
      <x:c r="N1113" s="10" t="n">
        <x:v>55985.1031906947</x:v>
      </x:c>
      <x:c r="O1113" s="9" t="n">
        <x:v>0.0988318741</x:v>
      </x:c>
      <x:c r="P1113" s="9" t="n">
        <x:v>0.7760252366</x:v>
      </x:c>
      <x:c r="Q1113" s="9" t="n">
        <x:v>0.5899053628</x:v>
      </x:c>
      <x:c r="R1113" s="3" t="b">
        <x:v>0</x:v>
      </x:c>
      <x:c r="S1113" s="3" t="b">
        <x:v>0</x:v>
      </x:c>
      <x:c r="T1113" s="3" t="b">
        <x:v>0</x:v>
      </x:c>
      <x:c r="U1113" s="2" t="str">
        <x:f>IF(T1113=TRUE,"Priority review",IF(R1113=TRUE,"High cost",IF(S1113=TRUE,"Low quality","Benchmark")))</x:f>
        <x:v>Benchmark</x:v>
      </x:c>
    </x:row>
    <x:row r="1114">
      <x:c r="A1114" s="2" t="str">
        <x:v>450124</x:v>
      </x:c>
      <x:c r="B1114" s="2" t="str">
        <x:v>DELL SETON  MED CENTER AT THE UNIVERSITY OF TX</x:v>
      </x:c>
      <x:c r="C1114" s="2" t="str">
        <x:v>AUSTIN</x:v>
      </x:c>
      <x:c r="D1114" s="2" t="str">
        <x:v>TX</x:v>
      </x:c>
      <x:c r="E1114" s="2" t="str">
        <x:v>Acute Care Hospitals</x:v>
      </x:c>
      <x:c r="F1114" s="2" t="str">
        <x:v>Voluntary non-profit</x:v>
      </x:c>
      <x:c r="G1114" s="2" t="str">
        <x:v>Medium (100-299 beds)</x:v>
      </x:c>
      <x:c r="H1114" s="7" t="n">
        <x:v>4</x:v>
      </x:c>
      <x:c r="I1114" s="7" t="n">
        <x:v>4</x:v>
      </x:c>
      <x:c r="J1114" s="7" t="n">
        <x:v>1.09</x:v>
      </x:c>
      <x:c r="K1114" s="8" t="n">
        <x:v>240</x:v>
      </x:c>
      <x:c r="L1114" s="8" t="n">
        <x:v>11109</x:v>
      </x:c>
      <x:c r="M1114" s="9" t="n">
        <x:v>0.9196249009</x:v>
      </x:c>
      <x:c r="N1114" s="10" t="n">
        <x:v>48337.049689441</x:v>
      </x:c>
      <x:c r="O1114" s="9" t="n">
        <x:v>0.0125330065</x:v>
      </x:c>
      <x:c r="P1114" s="9" t="n">
        <x:v>0.7758761206</x:v>
      </x:c>
      <x:c r="Q1114" s="9" t="n">
        <x:v>0.6022819886</x:v>
      </x:c>
      <x:c r="R1114" s="3" t="b">
        <x:v>0</x:v>
      </x:c>
      <x:c r="S1114" s="3" t="b">
        <x:v>0</x:v>
      </x:c>
      <x:c r="T1114" s="3" t="b">
        <x:v>0</x:v>
      </x:c>
      <x:c r="U1114" s="2" t="str">
        <x:f>IF(T1114=TRUE,"Priority review",IF(R1114=TRUE,"High cost",IF(S1114=TRUE,"Low quality","Benchmark")))</x:f>
        <x:v>Benchmark</x:v>
      </x:c>
    </x:row>
    <x:row r="1115">
      <x:c r="A1115" s="2" t="str">
        <x:v>450808</x:v>
      </x:c>
      <x:c r="B1115" s="2" t="str">
        <x:v>NORTHWEST HILLS SURGICAL HOSPITAL</x:v>
      </x:c>
      <x:c r="C1115" s="2" t="str">
        <x:v>AUSTIN</x:v>
      </x:c>
      <x:c r="D1115" s="2" t="str">
        <x:v>TX</x:v>
      </x:c>
      <x:c r="E1115" s="2" t="str">
        <x:v>Acute Care Hospitals</x:v>
      </x:c>
      <x:c r="F1115" s="2" t="str">
        <x:v>Voluntary non-profit</x:v>
      </x:c>
      <x:c r="G1115" s="2" t="str">
        <x:v>Small (&lt;100 beds)</x:v>
      </x:c>
      <x:c r="H1115" s="7"/>
      <x:c r="I1115" s="7"/>
      <x:c r="J1115" s="7" t="n">
        <x:v>1.04</x:v>
      </x:c>
      <x:c r="K1115" s="8" t="n">
        <x:v>8</x:v>
      </x:c>
      <x:c r="L1115" s="8" t="n">
        <x:v>404</x:v>
      </x:c>
      <x:c r="M1115" s="9" t="n">
        <x:v>0.237363388</x:v>
      </x:c>
      <x:c r="N1115" s="10" t="n">
        <x:v>88673.6658415842</x:v>
      </x:c>
      <x:c r="O1115" s="9" t="n">
        <x:v>0.0193025489</x:v>
      </x:c>
      <x:c r="P1115" s="9" t="n">
        <x:v>0.7755834829</x:v>
      </x:c>
      <x:c r="Q1115" s="9" t="n">
        <x:v>0.697486535</x:v>
      </x:c>
      <x:c r="R1115" s="3" t="b">
        <x:v>0</x:v>
      </x:c>
      <x:c r="S1115" s="3" t="b">
        <x:v>0</x:v>
      </x:c>
      <x:c r="T1115" s="3" t="b">
        <x:v>0</x:v>
      </x:c>
      <x:c r="U1115" s="2" t="str">
        <x:f>IF(T1115=TRUE,"Priority review",IF(R1115=TRUE,"High cost",IF(S1115=TRUE,"Low quality","Benchmark")))</x:f>
        <x:v>Benchmark</x:v>
      </x:c>
    </x:row>
    <x:row r="1116">
      <x:c r="A1116" s="2" t="str">
        <x:v>161354</x:v>
      </x:c>
      <x:c r="B1116" s="2" t="str">
        <x:v>HORN MEMORIAL HOSPITAL</x:v>
      </x:c>
      <x:c r="C1116" s="2" t="str">
        <x:v>IDA GROVE</x:v>
      </x:c>
      <x:c r="D1116" s="2" t="str">
        <x:v>IA</x:v>
      </x:c>
      <x:c r="E1116" s="2" t="str">
        <x:v>Critical Access Hospitals</x:v>
      </x:c>
      <x:c r="F1116" s="2" t="str">
        <x:v>Voluntary non-profit</x:v>
      </x:c>
      <x:c r="G1116" s="2" t="str">
        <x:v>Small (&lt;100 beds)</x:v>
      </x:c>
      <x:c r="H1116" s="7"/>
      <x:c r="I1116" s="7"/>
      <x:c r="J1116" s="7"/>
      <x:c r="K1116" s="8" t="n">
        <x:v>25</x:v>
      </x:c>
      <x:c r="L1116" s="8" t="n">
        <x:v>131</x:v>
      </x:c>
      <x:c r="M1116" s="9" t="n">
        <x:v>0.1591256831</x:v>
      </x:c>
      <x:c r="N1116" s="10" t="n">
        <x:v>226080.2671755725</x:v>
      </x:c>
      <x:c r="O1116" s="9" t="n">
        <x:v>-0.1557759559</x:v>
      </x:c>
      <x:c r="P1116" s="9" t="n">
        <x:v>0.775464684</x:v>
      </x:c>
      <x:c r="Q1116" s="9" t="n">
        <x:v>0.292936803</x:v>
      </x:c>
      <x:c r="R1116" s="3" t="b">
        <x:v>0</x:v>
      </x:c>
      <x:c r="S1116" s="3" t="b">
        <x:v>0</x:v>
      </x:c>
      <x:c r="T1116" s="3" t="b">
        <x:v>0</x:v>
      </x:c>
      <x:c r="U1116" s="2" t="str">
        <x:f>IF(T1116=TRUE,"Priority review",IF(R1116=TRUE,"High cost",IF(S1116=TRUE,"Low quality","Benchmark")))</x:f>
        <x:v>Benchmark</x:v>
      </x:c>
    </x:row>
    <x:row r="1117">
      <x:c r="A1117" s="2" t="str">
        <x:v>510008</x:v>
      </x:c>
      <x:c r="B1117" s="2" t="str">
        <x:v>BERKELEY MEDICAL CENTER</x:v>
      </x:c>
      <x:c r="C1117" s="2" t="str">
        <x:v>MARTINSBURG</x:v>
      </x:c>
      <x:c r="D1117" s="2" t="str">
        <x:v>WV</x:v>
      </x:c>
      <x:c r="E1117" s="2" t="str">
        <x:v>Acute Care Hospitals</x:v>
      </x:c>
      <x:c r="F1117" s="2" t="str">
        <x:v>Voluntary non-profit</x:v>
      </x:c>
      <x:c r="G1117" s="2" t="str">
        <x:v>Medium (100-299 beds)</x:v>
      </x:c>
      <x:c r="H1117" s="7" t="n">
        <x:v>3</x:v>
      </x:c>
      <x:c r="I1117" s="7" t="n">
        <x:v>2</x:v>
      </x:c>
      <x:c r="J1117" s="7" t="n">
        <x:v>0.92</x:v>
      </x:c>
      <x:c r="K1117" s="8" t="n">
        <x:v>161</x:v>
      </x:c>
      <x:c r="L1117" s="8" t="n">
        <x:v>7913</x:v>
      </x:c>
      <x:c r="M1117" s="9" t="n">
        <x:v>0.7055629094</x:v>
      </x:c>
      <x:c r="N1117" s="10" t="n">
        <x:v>48078.056362947</x:v>
      </x:c>
      <x:c r="O1117" s="9" t="n">
        <x:v>-0.0040631734</x:v>
      </x:c>
      <x:c r="P1117" s="9" t="n">
        <x:v>0.7750611247</x:v>
      </x:c>
      <x:c r="Q1117" s="9" t="n">
        <x:v>0.3023634882</x:v>
      </x:c>
      <x:c r="R1117" s="3" t="b">
        <x:v>0</x:v>
      </x:c>
      <x:c r="S1117" s="3" t="b">
        <x:v>0</x:v>
      </x:c>
      <x:c r="T1117" s="3" t="b">
        <x:v>0</x:v>
      </x:c>
      <x:c r="U1117" s="2" t="str">
        <x:f>IF(T1117=TRUE,"Priority review",IF(R1117=TRUE,"High cost",IF(S1117=TRUE,"Low quality","Benchmark")))</x:f>
        <x:v>Benchmark</x:v>
      </x:c>
    </x:row>
    <x:row r="1118">
      <x:c r="A1118" s="2" t="str">
        <x:v>161378</x:v>
      </x:c>
      <x:c r="B1118" s="2" t="str">
        <x:v>MERCYONE DYERSVILLE MEDICAL CENTER</x:v>
      </x:c>
      <x:c r="C1118" s="2" t="str">
        <x:v>DYERSVILLE</x:v>
      </x:c>
      <x:c r="D1118" s="2" t="str">
        <x:v>IA</x:v>
      </x:c>
      <x:c r="E1118" s="2" t="str">
        <x:v>Critical Access Hospitals</x:v>
      </x:c>
      <x:c r="F1118" s="2" t="str">
        <x:v>Voluntary non-profit</x:v>
      </x:c>
      <x:c r="G1118" s="2" t="str">
        <x:v>Small (&lt;100 beds)</x:v>
      </x:c>
      <x:c r="H1118" s="7"/>
      <x:c r="I1118" s="7"/>
      <x:c r="J1118" s="7"/>
      <x:c r="K1118" s="8" t="n">
        <x:v>13</x:v>
      </x:c>
      <x:c r="L1118" s="8" t="n">
        <x:v>35</x:v>
      </x:c>
      <x:c r="M1118" s="9" t="n">
        <x:v>0.1483516484</x:v>
      </x:c>
      <x:c r="N1118" s="10" t="n">
        <x:v>225804.0571428571</x:v>
      </x:c>
      <x:c r="O1118" s="9" t="n">
        <x:v>0.0794604801</x:v>
      </x:c>
      <x:c r="P1118" s="9" t="n">
        <x:v>0.7747211896</x:v>
      </x:c>
      <x:c r="Q1118" s="9" t="n">
        <x:v>0.292936803</x:v>
      </x:c>
      <x:c r="R1118" s="3" t="b">
        <x:v>0</x:v>
      </x:c>
      <x:c r="S1118" s="3" t="b">
        <x:v>0</x:v>
      </x:c>
      <x:c r="T1118" s="3" t="b">
        <x:v>0</x:v>
      </x:c>
      <x:c r="U1118" s="2" t="str">
        <x:f>IF(T1118=TRUE,"Priority review",IF(R1118=TRUE,"High cost",IF(S1118=TRUE,"Low quality","Benchmark")))</x:f>
        <x:v>Benchmark</x:v>
      </x:c>
    </x:row>
    <x:row r="1119">
      <x:c r="A1119" s="2" t="str">
        <x:v>500037</x:v>
      </x:c>
      <x:c r="B1119" s="2" t="str">
        <x:v>ASTRIA TOPPENISH HOSPITAL</x:v>
      </x:c>
      <x:c r="C1119" s="2" t="str">
        <x:v>TOPPENISH</x:v>
      </x:c>
      <x:c r="D1119" s="2" t="str">
        <x:v>WA</x:v>
      </x:c>
      <x:c r="E1119" s="2" t="str">
        <x:v>Acute Care Hospitals</x:v>
      </x:c>
      <x:c r="F1119" s="2" t="str">
        <x:v>Voluntary non-profit</x:v>
      </x:c>
      <x:c r="G1119" s="2" t="str">
        <x:v>Small (&lt;100 beds)</x:v>
      </x:c>
      <x:c r="H1119" s="7"/>
      <x:c r="I1119" s="7"/>
      <x:c r="J1119" s="7" t="n">
        <x:v>0.99</x:v>
      </x:c>
      <x:c r="K1119" s="8" t="n">
        <x:v>45</x:v>
      </x:c>
      <x:c r="L1119" s="8" t="n">
        <x:v>707</x:v>
      </x:c>
      <x:c r="M1119" s="9" t="n">
        <x:v>0.4294474803</x:v>
      </x:c>
      <x:c r="N1119" s="10" t="n">
        <x:v>88583.1810466761</x:v>
      </x:c>
      <x:c r="O1119" s="9" t="n">
        <x:v>-0.1741920102</x:v>
      </x:c>
      <x:c r="P1119" s="9" t="n">
        <x:v>0.7746858169</x:v>
      </x:c>
      <x:c r="Q1119" s="9" t="n">
        <x:v>0.697486535</x:v>
      </x:c>
      <x:c r="R1119" s="3" t="b">
        <x:v>0</x:v>
      </x:c>
      <x:c r="S1119" s="3" t="b">
        <x:v>0</x:v>
      </x:c>
      <x:c r="T1119" s="3" t="b">
        <x:v>0</x:v>
      </x:c>
      <x:c r="U1119" s="2" t="str">
        <x:f>IF(T1119=TRUE,"Priority review",IF(R1119=TRUE,"High cost",IF(S1119=TRUE,"Low quality","Benchmark")))</x:f>
        <x:v>Benchmark</x:v>
      </x:c>
    </x:row>
    <x:row r="1120">
      <x:c r="A1120" s="2" t="str">
        <x:v>450039</x:v>
      </x:c>
      <x:c r="B1120" s="2" t="str">
        <x:v>JPS HEALTH NETWORK</x:v>
      </x:c>
      <x:c r="C1120" s="2" t="str">
        <x:v>FORT WORTH</x:v>
      </x:c>
      <x:c r="D1120" s="2" t="str">
        <x:v>TX</x:v>
      </x:c>
      <x:c r="E1120" s="2" t="str">
        <x:v>Acute Care Hospitals</x:v>
      </x:c>
      <x:c r="F1120" s="2" t="str">
        <x:v>Government</x:v>
      </x:c>
      <x:c r="G1120" s="2" t="str">
        <x:v>Large (300+ beds)</x:v>
      </x:c>
      <x:c r="H1120" s="7" t="n">
        <x:v>4</x:v>
      </x:c>
      <x:c r="I1120" s="7" t="n">
        <x:v>3</x:v>
      </x:c>
      <x:c r="J1120" s="7" t="n">
        <x:v>1.03</x:v>
      </x:c>
      <x:c r="K1120" s="8" t="n">
        <x:v>446</x:v>
      </x:c>
      <x:c r="L1120" s="8" t="n">
        <x:v>26452</x:v>
      </x:c>
      <x:c r="M1120" s="9" t="n">
        <x:v>0.8854603151</x:v>
      </x:c>
      <x:c r="N1120" s="10" t="n">
        <x:v>55634.0816951459</x:v>
      </x:c>
      <x:c r="O1120" s="9" t="n">
        <x:v>-0.8512090472</x:v>
      </x:c>
      <x:c r="P1120" s="9" t="n">
        <x:v>0.7744479495</x:v>
      </x:c>
      <x:c r="Q1120" s="9" t="n">
        <x:v>0.5899053628</x:v>
      </x:c>
      <x:c r="R1120" s="3" t="b">
        <x:v>0</x:v>
      </x:c>
      <x:c r="S1120" s="3" t="b">
        <x:v>0</x:v>
      </x:c>
      <x:c r="T1120" s="3" t="b">
        <x:v>0</x:v>
      </x:c>
      <x:c r="U1120" s="2" t="str">
        <x:f>IF(T1120=TRUE,"Priority review",IF(R1120=TRUE,"High cost",IF(S1120=TRUE,"Low quality","Benchmark")))</x:f>
        <x:v>Benchmark</x:v>
      </x:c>
    </x:row>
    <x:row r="1121">
      <x:c r="A1121" s="2" t="str">
        <x:v>330028</x:v>
      </x:c>
      <x:c r="B1121" s="2" t="str">
        <x:v>RICHMOND UNIVERSITY MEDICAL CENTER</x:v>
      </x:c>
      <x:c r="C1121" s="2" t="str">
        <x:v>STATEN ISLAND</x:v>
      </x:c>
      <x:c r="D1121" s="2" t="str">
        <x:v>NY</x:v>
      </x:c>
      <x:c r="E1121" s="2" t="str">
        <x:v>Acute Care Hospitals</x:v>
      </x:c>
      <x:c r="F1121" s="2" t="str">
        <x:v>Voluntary non-profit</x:v>
      </x:c>
      <x:c r="G1121" s="2" t="str">
        <x:v>Medium (100-299 beds)</x:v>
      </x:c>
      <x:c r="H1121" s="7" t="n">
        <x:v>1</x:v>
      </x:c>
      <x:c r="I1121" s="7" t="n">
        <x:v>2</x:v>
      </x:c>
      <x:c r="J1121" s="7" t="n">
        <x:v>1.01</x:v>
      </x:c>
      <x:c r="K1121" s="8" t="n">
        <x:v>209</x:v>
      </x:c>
      <x:c r="L1121" s="8" t="n">
        <x:v>11744</x:v>
      </x:c>
      <x:c r="M1121" s="9" t="n">
        <x:v>0.8395568159</x:v>
      </x:c>
      <x:c r="N1121" s="10" t="n">
        <x:v>48062.869976158</x:v>
      </x:c>
      <x:c r="O1121" s="9" t="n">
        <x:v>-0.3669165353</x:v>
      </x:c>
      <x:c r="P1121" s="9" t="n">
        <x:v>0.7742461288</x:v>
      </x:c>
      <x:c r="Q1121" s="9" t="n">
        <x:v>0</x:v>
      </x:c>
      <x:c r="R1121" s="3" t="b">
        <x:v>0</x:v>
      </x:c>
      <x:c r="S1121" s="3" t="b">
        <x:v>1</x:v>
      </x:c>
      <x:c r="T1121" s="3" t="b">
        <x:v>0</x:v>
      </x:c>
      <x:c r="U1121" s="2" t="str">
        <x:f>IF(T1121=TRUE,"Priority review",IF(R1121=TRUE,"High cost",IF(S1121=TRUE,"Low quality","Benchmark")))</x:f>
        <x:v>Low quality</x:v>
      </x:c>
    </x:row>
    <x:row r="1122">
      <x:c r="A1122" s="2" t="str">
        <x:v>281358</x:v>
      </x:c>
      <x:c r="B1122" s="2" t="str">
        <x:v>GORDON MEMORIAL HOSPITAL DISTRICT</x:v>
      </x:c>
      <x:c r="C1122" s="2" t="str">
        <x:v>GORDON</x:v>
      </x:c>
      <x:c r="D1122" s="2" t="str">
        <x:v>NE</x:v>
      </x:c>
      <x:c r="E1122" s="2" t="str">
        <x:v>Critical Access Hospitals</x:v>
      </x:c>
      <x:c r="F1122" s="2" t="str">
        <x:v>Government</x:v>
      </x:c>
      <x:c r="G1122" s="2" t="str">
        <x:v>Small (&lt;100 beds)</x:v>
      </x:c>
      <x:c r="H1122" s="7"/>
      <x:c r="I1122" s="7"/>
      <x:c r="J1122" s="7"/>
      <x:c r="K1122" s="8" t="n">
        <x:v>25</x:v>
      </x:c>
      <x:c r="L1122" s="8" t="n">
        <x:v>86</x:v>
      </x:c>
      <x:c r="M1122" s="9" t="n">
        <x:v>0.0728767123</x:v>
      </x:c>
      <x:c r="N1122" s="10" t="n">
        <x:v>225618.2209302326</x:v>
      </x:c>
      <x:c r="O1122" s="9" t="n">
        <x:v>-0.0310418891</x:v>
      </x:c>
      <x:c r="P1122" s="9" t="n">
        <x:v>0.7739776952</x:v>
      </x:c>
      <x:c r="Q1122" s="9" t="n">
        <x:v>0.292936803</x:v>
      </x:c>
      <x:c r="R1122" s="3" t="b">
        <x:v>0</x:v>
      </x:c>
      <x:c r="S1122" s="3" t="b">
        <x:v>0</x:v>
      </x:c>
      <x:c r="T1122" s="3" t="b">
        <x:v>0</x:v>
      </x:c>
      <x:c r="U1122" s="2" t="str">
        <x:f>IF(T1122=TRUE,"Priority review",IF(R1122=TRUE,"High cost",IF(S1122=TRUE,"Low quality","Benchmark")))</x:f>
        <x:v>Benchmark</x:v>
      </x:c>
    </x:row>
    <x:row r="1123">
      <x:c r="A1123" s="2" t="str">
        <x:v>370225</x:v>
      </x:c>
      <x:c r="B1123" s="2" t="str">
        <x:v>SUMMIT MEDICAL CENTER, LLC</x:v>
      </x:c>
      <x:c r="C1123" s="2" t="str">
        <x:v>EDMOND</x:v>
      </x:c>
      <x:c r="D1123" s="2" t="str">
        <x:v>OK</x:v>
      </x:c>
      <x:c r="E1123" s="2" t="str">
        <x:v>Acute Care Hospitals</x:v>
      </x:c>
      <x:c r="F1123" s="2" t="str">
        <x:v>Other / unknown</x:v>
      </x:c>
      <x:c r="G1123" s="2" t="str">
        <x:v>Small (&lt;100 beds)</x:v>
      </x:c>
      <x:c r="H1123" s="7"/>
      <x:c r="I1123" s="7" t="n">
        <x:v>5</x:v>
      </x:c>
      <x:c r="J1123" s="7" t="n">
        <x:v>1.1</x:v>
      </x:c>
      <x:c r="K1123" s="8" t="n">
        <x:v>9</x:v>
      </x:c>
      <x:c r="L1123" s="8" t="n">
        <x:v>453</x:v>
      </x:c>
      <x:c r="M1123" s="9" t="n">
        <x:v>0.3384942319</x:v>
      </x:c>
      <x:c r="N1123" s="10" t="n">
        <x:v>88540.8543046358</x:v>
      </x:c>
      <x:c r="O1123" s="9" t="n">
        <x:v>-0.0025499042</x:v>
      </x:c>
      <x:c r="P1123" s="9" t="n">
        <x:v>0.7737881508</x:v>
      </x:c>
      <x:c r="Q1123" s="9" t="n">
        <x:v>0.697486535</x:v>
      </x:c>
      <x:c r="R1123" s="3" t="b">
        <x:v>0</x:v>
      </x:c>
      <x:c r="S1123" s="3" t="b">
        <x:v>0</x:v>
      </x:c>
      <x:c r="T1123" s="3" t="b">
        <x:v>0</x:v>
      </x:c>
      <x:c r="U1123" s="2" t="str">
        <x:f>IF(T1123=TRUE,"Priority review",IF(R1123=TRUE,"High cost",IF(S1123=TRUE,"Low quality","Benchmark")))</x:f>
        <x:v>Benchmark</x:v>
      </x:c>
    </x:row>
    <x:row r="1124">
      <x:c r="A1124" s="2" t="str">
        <x:v>374001</x:v>
      </x:c>
      <x:c r="B1124" s="2" t="str">
        <x:v>NORTHWEST CENTER FOR BEHAVIORAL HEALTH (NCBH)</x:v>
      </x:c>
      <x:c r="C1124" s="2" t="str">
        <x:v>FORT SUPPLY</x:v>
      </x:c>
      <x:c r="D1124" s="2" t="str">
        <x:v>OK</x:v>
      </x:c>
      <x:c r="E1124" s="2" t="str">
        <x:v>Psychiatric</x:v>
      </x:c>
      <x:c r="F1124" s="2" t="str">
        <x:v>Government</x:v>
      </x:c>
      <x:c r="G1124" s="2" t="str">
        <x:v>Small (&lt;100 beds)</x:v>
      </x:c>
      <x:c r="H1124" s="7"/>
      <x:c r="I1124" s="7"/>
      <x:c r="J1124" s="7"/>
      <x:c r="K1124" s="8" t="n">
        <x:v>24</x:v>
      </x:c>
      <x:c r="L1124" s="8" t="n">
        <x:v>415</x:v>
      </x:c>
      <x:c r="M1124" s="9" t="n">
        <x:v>0.528196347</x:v>
      </x:c>
      <x:c r="N1124" s="10" t="n">
        <x:v>38973.2963855422</x:v>
      </x:c>
      <x:c r="O1124" s="9" t="n">
        <x:v>-4.0401047789</x:v>
      </x:c>
      <x:c r="P1124" s="9" t="n">
        <x:v>0.7734627832</x:v>
      </x:c>
      <x:c r="Q1124" s="9" t="n">
        <x:v>0</x:v>
      </x:c>
      <x:c r="R1124" s="3" t="b">
        <x:v>0</x:v>
      </x:c>
      <x:c r="S1124" s="3" t="b">
        <x:v>0</x:v>
      </x:c>
      <x:c r="T1124" s="3" t="b">
        <x:v>0</x:v>
      </x:c>
      <x:c r="U1124" s="2" t="str">
        <x:f>IF(T1124=TRUE,"Priority review",IF(R1124=TRUE,"High cost",IF(S1124=TRUE,"Low quality","Benchmark")))</x:f>
        <x:v>Benchmark</x:v>
      </x:c>
    </x:row>
    <x:row r="1125">
      <x:c r="A1125" s="2" t="str">
        <x:v>080007</x:v>
      </x:c>
      <x:c r="B1125" s="2" t="str">
        <x:v>BEEBE MEDICAL CENTER</x:v>
      </x:c>
      <x:c r="C1125" s="2" t="str">
        <x:v>LEWES</x:v>
      </x:c>
      <x:c r="D1125" s="2" t="str">
        <x:v>DE</x:v>
      </x:c>
      <x:c r="E1125" s="2" t="str">
        <x:v>Acute Care Hospitals</x:v>
      </x:c>
      <x:c r="F1125" s="2" t="str">
        <x:v>Voluntary non-profit</x:v>
      </x:c>
      <x:c r="G1125" s="2" t="str">
        <x:v>Medium (100-299 beds)</x:v>
      </x:c>
      <x:c r="H1125" s="7" t="n">
        <x:v>3</x:v>
      </x:c>
      <x:c r="I1125" s="7" t="n">
        <x:v>2</x:v>
      </x:c>
      <x:c r="J1125" s="7" t="n">
        <x:v>1</x:v>
      </x:c>
      <x:c r="K1125" s="8" t="n">
        <x:v>201</x:v>
      </x:c>
      <x:c r="L1125" s="8" t="n">
        <x:v>12469</x:v>
      </x:c>
      <x:c r="M1125" s="9" t="n">
        <x:v>0.668588564</x:v>
      </x:c>
      <x:c r="N1125" s="10" t="n">
        <x:v>47963.3552008982</x:v>
      </x:c>
      <x:c r="O1125" s="9" t="n">
        <x:v>0.0119323459</x:v>
      </x:c>
      <x:c r="P1125" s="9" t="n">
        <x:v>0.7734311328</x:v>
      </x:c>
      <x:c r="Q1125" s="9" t="n">
        <x:v>0.3023634882</x:v>
      </x:c>
      <x:c r="R1125" s="3" t="b">
        <x:v>0</x:v>
      </x:c>
      <x:c r="S1125" s="3" t="b">
        <x:v>0</x:v>
      </x:c>
      <x:c r="T1125" s="3" t="b">
        <x:v>0</x:v>
      </x:c>
      <x:c r="U1125" s="2" t="str">
        <x:f>IF(T1125=TRUE,"Priority review",IF(R1125=TRUE,"High cost",IF(S1125=TRUE,"Low quality","Benchmark")))</x:f>
        <x:v>Benchmark</x:v>
      </x:c>
    </x:row>
    <x:row r="1126">
      <x:c r="A1126" s="2" t="str">
        <x:v>281351</x:v>
      </x:c>
      <x:c r="B1126" s="2" t="str">
        <x:v>CHASE COUNTY COMMUNITY HOSPITAL</x:v>
      </x:c>
      <x:c r="C1126" s="2" t="str">
        <x:v>IMPERIAL</x:v>
      </x:c>
      <x:c r="D1126" s="2" t="str">
        <x:v>NE</x:v>
      </x:c>
      <x:c r="E1126" s="2" t="str">
        <x:v>Critical Access Hospitals</x:v>
      </x:c>
      <x:c r="F1126" s="2" t="str">
        <x:v>Government</x:v>
      </x:c>
      <x:c r="G1126" s="2" t="str">
        <x:v>Small (&lt;100 beds)</x:v>
      </x:c>
      <x:c r="H1126" s="7"/>
      <x:c r="I1126" s="7"/>
      <x:c r="J1126" s="7"/>
      <x:c r="K1126" s="8" t="n">
        <x:v>15</x:v>
      </x:c>
      <x:c r="L1126" s="8" t="n">
        <x:v>76</x:v>
      </x:c>
      <x:c r="M1126" s="9" t="n">
        <x:v>0.1130593607</x:v>
      </x:c>
      <x:c r="N1126" s="10" t="n">
        <x:v>225398.9342105263</x:v>
      </x:c>
      <x:c r="O1126" s="9" t="n">
        <x:v>-0.048303301</x:v>
      </x:c>
      <x:c r="P1126" s="9" t="n">
        <x:v>0.7732342007</x:v>
      </x:c>
      <x:c r="Q1126" s="9" t="n">
        <x:v>0.292936803</x:v>
      </x:c>
      <x:c r="R1126" s="3" t="b">
        <x:v>0</x:v>
      </x:c>
      <x:c r="S1126" s="3" t="b">
        <x:v>0</x:v>
      </x:c>
      <x:c r="T1126" s="3" t="b">
        <x:v>0</x:v>
      </x:c>
      <x:c r="U1126" s="2" t="str">
        <x:f>IF(T1126=TRUE,"Priority review",IF(R1126=TRUE,"High cost",IF(S1126=TRUE,"Low quality","Benchmark")))</x:f>
        <x:v>Benchmark</x:v>
      </x:c>
    </x:row>
    <x:row r="1127">
      <x:c r="A1127" s="2" t="str">
        <x:v>150072</x:v>
      </x:c>
      <x:c r="B1127" s="2" t="str">
        <x:v>MEMORIAL HOSPITAL</x:v>
      </x:c>
      <x:c r="C1127" s="2" t="str">
        <x:v>LOGANSPORT</x:v>
      </x:c>
      <x:c r="D1127" s="2" t="str">
        <x:v>IN</x:v>
      </x:c>
      <x:c r="E1127" s="2" t="str">
        <x:v>Acute Care Hospitals</x:v>
      </x:c>
      <x:c r="F1127" s="2" t="str">
        <x:v>Government</x:v>
      </x:c>
      <x:c r="G1127" s="2" t="str">
        <x:v>Small (&lt;100 beds)</x:v>
      </x:c>
      <x:c r="H1127" s="7" t="n">
        <x:v>4</x:v>
      </x:c>
      <x:c r="I1127" s="7" t="n">
        <x:v>4</x:v>
      </x:c>
      <x:c r="J1127" s="7" t="n">
        <x:v>1.15</x:v>
      </x:c>
      <x:c r="K1127" s="8" t="n">
        <x:v>37</x:v>
      </x:c>
      <x:c r="L1127" s="8" t="n">
        <x:v>1289</x:v>
      </x:c>
      <x:c r="M1127" s="9" t="n">
        <x:v>0.3492098656</x:v>
      </x:c>
      <x:c r="N1127" s="10" t="n">
        <x:v>88361.5624515128</x:v>
      </x:c>
      <x:c r="O1127" s="9" t="n">
        <x:v>-0.1005517279</x:v>
      </x:c>
      <x:c r="P1127" s="9" t="n">
        <x:v>0.7728904847</x:v>
      </x:c>
      <x:c r="Q1127" s="9" t="n">
        <x:v>0.3913824057</x:v>
      </x:c>
      <x:c r="R1127" s="3" t="b">
        <x:v>0</x:v>
      </x:c>
      <x:c r="S1127" s="3" t="b">
        <x:v>0</x:v>
      </x:c>
      <x:c r="T1127" s="3" t="b">
        <x:v>0</x:v>
      </x:c>
      <x:c r="U1127" s="2" t="str">
        <x:f>IF(T1127=TRUE,"Priority review",IF(R1127=TRUE,"High cost",IF(S1127=TRUE,"Low quality","Benchmark")))</x:f>
        <x:v>Benchmark</x:v>
      </x:c>
    </x:row>
    <x:row r="1128">
      <x:c r="A1128" s="2" t="str">
        <x:v>260141</x:v>
      </x:c>
      <x:c r="B1128" s="2" t="str">
        <x:v>UNIVERSITY OF MISSOURI HEALTH CARE</x:v>
      </x:c>
      <x:c r="C1128" s="2" t="str">
        <x:v>COLUMBIA</x:v>
      </x:c>
      <x:c r="D1128" s="2" t="str">
        <x:v>MO</x:v>
      </x:c>
      <x:c r="E1128" s="2" t="str">
        <x:v>Acute Care Hospitals</x:v>
      </x:c>
      <x:c r="F1128" s="2" t="str">
        <x:v>Government</x:v>
      </x:c>
      <x:c r="G1128" s="2" t="str">
        <x:v>Large (300+ beds)</x:v>
      </x:c>
      <x:c r="H1128" s="7" t="n">
        <x:v>3</x:v>
      </x:c>
      <x:c r="I1128" s="7" t="n">
        <x:v>3</x:v>
      </x:c>
      <x:c r="J1128" s="7" t="n">
        <x:v>1.01</x:v>
      </x:c>
      <x:c r="K1128" s="8" t="n">
        <x:v>657</x:v>
      </x:c>
      <x:c r="L1128" s="8" t="n">
        <x:v>33165</x:v>
      </x:c>
      <x:c r="M1128" s="9" t="n">
        <x:v>0.7868346291</x:v>
      </x:c>
      <x:c r="N1128" s="10" t="n">
        <x:v>55554.8258103422</x:v>
      </x:c>
      <x:c r="O1128" s="9" t="n">
        <x:v>0.0103541275</x:v>
      </x:c>
      <x:c r="P1128" s="9" t="n">
        <x:v>0.7728706625</x:v>
      </x:c>
      <x:c r="Q1128" s="9" t="n">
        <x:v>0.2570977918</x:v>
      </x:c>
      <x:c r="R1128" s="3" t="b">
        <x:v>0</x:v>
      </x:c>
      <x:c r="S1128" s="3" t="b">
        <x:v>0</x:v>
      </x:c>
      <x:c r="T1128" s="3" t="b">
        <x:v>0</x:v>
      </x:c>
      <x:c r="U1128" s="2" t="str">
        <x:f>IF(T1128=TRUE,"Priority review",IF(R1128=TRUE,"High cost",IF(S1128=TRUE,"Low quality","Benchmark")))</x:f>
        <x:v>Benchmark</x:v>
      </x:c>
    </x:row>
    <x:row r="1129">
      <x:c r="A1129" s="2" t="str">
        <x:v>110011</x:v>
      </x:c>
      <x:c r="B1129" s="2" t="str">
        <x:v>TANNER MEDICAL CENTER - CARROLLTON</x:v>
      </x:c>
      <x:c r="C1129" s="2" t="str">
        <x:v>CARROLLTON</x:v>
      </x:c>
      <x:c r="D1129" s="2" t="str">
        <x:v>GA</x:v>
      </x:c>
      <x:c r="E1129" s="2" t="str">
        <x:v>Acute Care Hospitals</x:v>
      </x:c>
      <x:c r="F1129" s="2" t="str">
        <x:v>Government</x:v>
      </x:c>
      <x:c r="G1129" s="2" t="str">
        <x:v>Medium (100-299 beds)</x:v>
      </x:c>
      <x:c r="H1129" s="7" t="n">
        <x:v>2</x:v>
      </x:c>
      <x:c r="I1129" s="7" t="n">
        <x:v>3</x:v>
      </x:c>
      <x:c r="J1129" s="7" t="n">
        <x:v>1.05</x:v>
      </x:c>
      <x:c r="K1129" s="8" t="n">
        <x:v>209</x:v>
      </x:c>
      <x:c r="L1129" s="8" t="n">
        <x:v>11125</x:v>
      </x:c>
      <x:c r="M1129" s="9" t="n">
        <x:v>0.7872320902</x:v>
      </x:c>
      <x:c r="N1129" s="10" t="n">
        <x:v>47837.4793707865</x:v>
      </x:c>
      <x:c r="O1129" s="9" t="n">
        <x:v>-0.3578684132</x:v>
      </x:c>
      <x:c r="P1129" s="9" t="n">
        <x:v>0.7726161369</x:v>
      </x:c>
      <x:c r="Q1129" s="9" t="n">
        <x:v>0.0782396088</x:v>
      </x:c>
      <x:c r="R1129" s="3" t="b">
        <x:v>0</x:v>
      </x:c>
      <x:c r="S1129" s="3" t="b">
        <x:v>1</x:v>
      </x:c>
      <x:c r="T1129" s="3" t="b">
        <x:v>0</x:v>
      </x:c>
      <x:c r="U1129" s="2" t="str">
        <x:f>IF(T1129=TRUE,"Priority review",IF(R1129=TRUE,"High cost",IF(S1129=TRUE,"Low quality","Benchmark")))</x:f>
        <x:v>Low quality</x:v>
      </x:c>
    </x:row>
    <x:row r="1130">
      <x:c r="A1130" s="2" t="str">
        <x:v>451372</x:v>
      </x:c>
      <x:c r="B1130" s="2" t="str">
        <x:v>MULESHOE AREA MEDICAL CENTER</x:v>
      </x:c>
      <x:c r="C1130" s="2" t="str">
        <x:v>MULESHOE</x:v>
      </x:c>
      <x:c r="D1130" s="2" t="str">
        <x:v>TX</x:v>
      </x:c>
      <x:c r="E1130" s="2" t="str">
        <x:v>Critical Access Hospitals</x:v>
      </x:c>
      <x:c r="F1130" s="2" t="str">
        <x:v>Proprietary</x:v>
      </x:c>
      <x:c r="G1130" s="2" t="str">
        <x:v>Small (&lt;100 beds)</x:v>
      </x:c>
      <x:c r="H1130" s="7"/>
      <x:c r="I1130" s="7"/>
      <x:c r="J1130" s="7"/>
      <x:c r="K1130" s="8" t="n">
        <x:v>25</x:v>
      </x:c>
      <x:c r="L1130" s="8" t="n">
        <x:v>23</x:v>
      </x:c>
      <x:c r="M1130" s="9" t="n">
        <x:v>0.0286027397</x:v>
      </x:c>
      <x:c r="N1130" s="10" t="n">
        <x:v>225249.8695652174</x:v>
      </x:c>
      <x:c r="O1130" s="9" t="n">
        <x:v>-0.4517711576</x:v>
      </x:c>
      <x:c r="P1130" s="9" t="n">
        <x:v>0.7724907063</x:v>
      </x:c>
      <x:c r="Q1130" s="9" t="n">
        <x:v>0.292936803</x:v>
      </x:c>
      <x:c r="R1130" s="3" t="b">
        <x:v>0</x:v>
      </x:c>
      <x:c r="S1130" s="3" t="b">
        <x:v>0</x:v>
      </x:c>
      <x:c r="T1130" s="3" t="b">
        <x:v>0</x:v>
      </x:c>
      <x:c r="U1130" s="2" t="str">
        <x:f>IF(T1130=TRUE,"Priority review",IF(R1130=TRUE,"High cost",IF(S1130=TRUE,"Low quality","Benchmark")))</x:f>
        <x:v>Benchmark</x:v>
      </x:c>
    </x:row>
    <x:row r="1131">
      <x:c r="A1131" s="2" t="str">
        <x:v>320004</x:v>
      </x:c>
      <x:c r="B1131" s="2" t="str">
        <x:v>CHRISTUS SOUTHERN NEW MEXICO</x:v>
      </x:c>
      <x:c r="C1131" s="2" t="str">
        <x:v>ALAMOGORDO</x:v>
      </x:c>
      <x:c r="D1131" s="2" t="str">
        <x:v>NM</x:v>
      </x:c>
      <x:c r="E1131" s="2" t="str">
        <x:v>Acute Care Hospitals</x:v>
      </x:c>
      <x:c r="F1131" s="2" t="str">
        <x:v>Voluntary non-profit</x:v>
      </x:c>
      <x:c r="G1131" s="2" t="str">
        <x:v>Small (&lt;100 beds)</x:v>
      </x:c>
      <x:c r="H1131" s="7" t="n">
        <x:v>3</x:v>
      </x:c>
      <x:c r="I1131" s="7" t="n">
        <x:v>3</x:v>
      </x:c>
      <x:c r="J1131" s="7" t="n">
        <x:v>0.95</x:v>
      </x:c>
      <x:c r="K1131" s="8" t="n">
        <x:v>76</x:v>
      </x:c>
      <x:c r="L1131" s="8" t="n">
        <x:v>3121</x:v>
      </x:c>
      <x:c r="M1131" s="9" t="n">
        <x:v>0.443222783</x:v>
      </x:c>
      <x:c r="N1131" s="10" t="n">
        <x:v>88061.6446651714</x:v>
      </x:c>
      <x:c r="O1131" s="9" t="n">
        <x:v>0.1499645943</x:v>
      </x:c>
      <x:c r="P1131" s="9" t="n">
        <x:v>0.7719928187</x:v>
      </x:c>
      <x:c r="Q1131" s="9" t="n">
        <x:v>0.1687612208</x:v>
      </x:c>
      <x:c r="R1131" s="3" t="b">
        <x:v>0</x:v>
      </x:c>
      <x:c r="S1131" s="3" t="b">
        <x:v>0</x:v>
      </x:c>
      <x:c r="T1131" s="3" t="b">
        <x:v>0</x:v>
      </x:c>
      <x:c r="U1131" s="2" t="str">
        <x:f>IF(T1131=TRUE,"Priority review",IF(R1131=TRUE,"High cost",IF(S1131=TRUE,"Low quality","Benchmark")))</x:f>
        <x:v>Benchmark</x:v>
      </x:c>
    </x:row>
    <x:row r="1132">
      <x:c r="A1132" s="2" t="str">
        <x:v>060119</x:v>
      </x:c>
      <x:c r="B1132" s="2" t="str">
        <x:v>MEDICAL CENTER OF THE ROCKIES</x:v>
      </x:c>
      <x:c r="C1132" s="2" t="str">
        <x:v>LOVELAND</x:v>
      </x:c>
      <x:c r="D1132" s="2" t="str">
        <x:v>CO</x:v>
      </x:c>
      <x:c r="E1132" s="2" t="str">
        <x:v>Acute Care Hospitals</x:v>
      </x:c>
      <x:c r="F1132" s="2" t="str">
        <x:v>Voluntary non-profit</x:v>
      </x:c>
      <x:c r="G1132" s="2" t="str">
        <x:v>Medium (100-299 beds)</x:v>
      </x:c>
      <x:c r="H1132" s="7" t="n">
        <x:v>5</x:v>
      </x:c>
      <x:c r="I1132" s="7" t="n">
        <x:v>4</x:v>
      </x:c>
      <x:c r="J1132" s="7" t="n">
        <x:v>1.01</x:v>
      </x:c>
      <x:c r="K1132" s="8" t="n">
        <x:v>180</x:v>
      </x:c>
      <x:c r="L1132" s="8" t="n">
        <x:v>11409</x:v>
      </x:c>
      <x:c r="M1132" s="9" t="n">
        <x:v>0.8449771689</x:v>
      </x:c>
      <x:c r="N1132" s="10" t="n">
        <x:v>47731.5098606363</x:v>
      </x:c>
      <x:c r="O1132" s="9" t="n">
        <x:v>0.1298524463</x:v>
      </x:c>
      <x:c r="P1132" s="9" t="n">
        <x:v>0.771801141</x:v>
      </x:c>
      <x:c r="Q1132" s="9" t="n">
        <x:v>0.8744906275</x:v>
      </x:c>
      <x:c r="R1132" s="3" t="b">
        <x:v>0</x:v>
      </x:c>
      <x:c r="S1132" s="3" t="b">
        <x:v>0</x:v>
      </x:c>
      <x:c r="T1132" s="3" t="b">
        <x:v>0</x:v>
      </x:c>
      <x:c r="U1132" s="2" t="str">
        <x:f>IF(T1132=TRUE,"Priority review",IF(R1132=TRUE,"High cost",IF(S1132=TRUE,"Low quality","Benchmark")))</x:f>
        <x:v>Benchmark</x:v>
      </x:c>
    </x:row>
    <x:row r="1133">
      <x:c r="A1133" s="2" t="str">
        <x:v>131319</x:v>
      </x:c>
      <x:c r="B1133" s="2" t="str">
        <x:v>MINIDOKA MEMORIAL HOSPITAL</x:v>
      </x:c>
      <x:c r="C1133" s="2" t="str">
        <x:v>RUPERT</x:v>
      </x:c>
      <x:c r="D1133" s="2" t="str">
        <x:v>ID</x:v>
      </x:c>
      <x:c r="E1133" s="2" t="str">
        <x:v>Critical Access Hospitals</x:v>
      </x:c>
      <x:c r="F1133" s="2" t="str">
        <x:v>Government</x:v>
      </x:c>
      <x:c r="G1133" s="2" t="str">
        <x:v>Small (&lt;100 beds)</x:v>
      </x:c>
      <x:c r="H1133" s="7"/>
      <x:c r="I1133" s="7"/>
      <x:c r="J1133" s="7"/>
      <x:c r="K1133" s="8" t="n">
        <x:v>22</x:v>
      </x:c>
      <x:c r="L1133" s="8" t="n">
        <x:v>266</x:v>
      </x:c>
      <x:c r="M1133" s="9" t="n">
        <x:v>0.2018132141</x:v>
      </x:c>
      <x:c r="N1133" s="10" t="n">
        <x:v>224801.530075188</x:v>
      </x:c>
      <x:c r="O1133" s="9" t="n">
        <x:v>-0.0615402941</x:v>
      </x:c>
      <x:c r="P1133" s="9" t="n">
        <x:v>0.7717472119</x:v>
      </x:c>
      <x:c r="Q1133" s="9" t="n">
        <x:v>0.292936803</x:v>
      </x:c>
      <x:c r="R1133" s="3" t="b">
        <x:v>0</x:v>
      </x:c>
      <x:c r="S1133" s="3" t="b">
        <x:v>0</x:v>
      </x:c>
      <x:c r="T1133" s="3" t="b">
        <x:v>0</x:v>
      </x:c>
      <x:c r="U1133" s="2" t="str">
        <x:f>IF(T1133=TRUE,"Priority review",IF(R1133=TRUE,"High cost",IF(S1133=TRUE,"Low quality","Benchmark")))</x:f>
        <x:v>Benchmark</x:v>
      </x:c>
    </x:row>
    <x:row r="1134">
      <x:c r="A1134" s="2" t="str">
        <x:v>050308</x:v>
      </x:c>
      <x:c r="B1134" s="2" t="str">
        <x:v>EL CAMINO HEALTH</x:v>
      </x:c>
      <x:c r="C1134" s="2" t="str">
        <x:v>MOUNTAIN VIEW</x:v>
      </x:c>
      <x:c r="D1134" s="2" t="str">
        <x:v>CA</x:v>
      </x:c>
      <x:c r="E1134" s="2" t="str">
        <x:v>Acute Care Hospitals</x:v>
      </x:c>
      <x:c r="F1134" s="2" t="str">
        <x:v>Government</x:v>
      </x:c>
      <x:c r="G1134" s="2" t="str">
        <x:v>Large (300+ beds)</x:v>
      </x:c>
      <x:c r="H1134" s="7" t="n">
        <x:v>4</x:v>
      </x:c>
      <x:c r="I1134" s="7" t="n">
        <x:v>4</x:v>
      </x:c>
      <x:c r="J1134" s="7" t="n">
        <x:v>1.01</x:v>
      </x:c>
      <x:c r="K1134" s="8" t="n">
        <x:v>405</x:v>
      </x:c>
      <x:c r="L1134" s="8" t="n">
        <x:v>25120</x:v>
      </x:c>
      <x:c r="M1134" s="9" t="n">
        <x:v>0.6866971081</x:v>
      </x:c>
      <x:c r="N1134" s="10" t="n">
        <x:v>55340.5980095541</x:v>
      </x:c>
      <x:c r="O1134" s="9" t="n">
        <x:v>0.1018088309</x:v>
      </x:c>
      <x:c r="P1134" s="9" t="n">
        <x:v>0.7712933754</x:v>
      </x:c>
      <x:c r="Q1134" s="9" t="n">
        <x:v>0.5899053628</x:v>
      </x:c>
      <x:c r="R1134" s="3" t="b">
        <x:v>0</x:v>
      </x:c>
      <x:c r="S1134" s="3" t="b">
        <x:v>0</x:v>
      </x:c>
      <x:c r="T1134" s="3" t="b">
        <x:v>0</x:v>
      </x:c>
      <x:c r="U1134" s="2" t="str">
        <x:f>IF(T1134=TRUE,"Priority review",IF(R1134=TRUE,"High cost",IF(S1134=TRUE,"Low quality","Benchmark")))</x:f>
        <x:v>Benchmark</x:v>
      </x:c>
    </x:row>
    <x:row r="1135">
      <x:c r="A1135" s="2" t="str">
        <x:v>334027</x:v>
      </x:c>
      <x:c r="B1135" s="2" t="str">
        <x:v>SOUTH OAKS HOSP</x:v>
      </x:c>
      <x:c r="C1135" s="2" t="str">
        <x:v>AMITYVILLE</x:v>
      </x:c>
      <x:c r="D1135" s="2" t="str">
        <x:v>NY</x:v>
      </x:c>
      <x:c r="E1135" s="2" t="str">
        <x:v>Psychiatric</x:v>
      </x:c>
      <x:c r="F1135" s="2" t="str">
        <x:v>Voluntary non-profit</x:v>
      </x:c>
      <x:c r="G1135" s="2" t="str">
        <x:v>Medium (100-299 beds)</x:v>
      </x:c>
      <x:c r="H1135" s="7"/>
      <x:c r="I1135" s="7"/>
      <x:c r="J1135" s="7"/>
      <x:c r="K1135" s="8" t="n">
        <x:v>202</x:v>
      </x:c>
      <x:c r="L1135" s="8" t="n">
        <x:v>3266</x:v>
      </x:c>
      <x:c r="M1135" s="9" t="n">
        <x:v>0.7801628524</x:v>
      </x:c>
      <x:c r="N1135" s="10" t="n">
        <x:v>36655.7749540723</x:v>
      </x:c>
      <x:c r="O1135" s="9" t="n">
        <x:v>-0.0226670638</x:v>
      </x:c>
      <x:c r="P1135" s="9" t="n">
        <x:v>0.7711442786</x:v>
      </x:c>
      <x:c r="Q1135" s="9" t="n">
        <x:v>0</x:v>
      </x:c>
      <x:c r="R1135" s="3" t="b">
        <x:v>0</x:v>
      </x:c>
      <x:c r="S1135" s="3" t="b">
        <x:v>0</x:v>
      </x:c>
      <x:c r="T1135" s="3" t="b">
        <x:v>0</x:v>
      </x:c>
      <x:c r="U1135" s="2" t="str">
        <x:f>IF(T1135=TRUE,"Priority review",IF(R1135=TRUE,"High cost",IF(S1135=TRUE,"Low quality","Benchmark")))</x:f>
        <x:v>Benchmark</x:v>
      </x:c>
    </x:row>
    <x:row r="1136">
      <x:c r="A1136" s="2" t="str">
        <x:v>240014</x:v>
      </x:c>
      <x:c r="B1136" s="2" t="str">
        <x:v>NORTHFIELD HOSPITAL</x:v>
      </x:c>
      <x:c r="C1136" s="2" t="str">
        <x:v>NORTHFIELD</x:v>
      </x:c>
      <x:c r="D1136" s="2" t="str">
        <x:v>MN</x:v>
      </x:c>
      <x:c r="E1136" s="2" t="str">
        <x:v>Acute Care Hospitals</x:v>
      </x:c>
      <x:c r="F1136" s="2" t="str">
        <x:v>Government</x:v>
      </x:c>
      <x:c r="G1136" s="2" t="str">
        <x:v>Small (&lt;100 beds)</x:v>
      </x:c>
      <x:c r="H1136" s="7" t="n">
        <x:v>4</x:v>
      </x:c>
      <x:c r="I1136" s="7" t="n">
        <x:v>4</x:v>
      </x:c>
      <x:c r="J1136" s="7" t="n">
        <x:v>0.84</x:v>
      </x:c>
      <x:c r="K1136" s="8" t="n">
        <x:v>37</x:v>
      </x:c>
      <x:c r="L1136" s="8" t="n">
        <x:v>1597</x:v>
      </x:c>
      <x:c r="M1136" s="9" t="n">
        <x:v>0.3667109733</x:v>
      </x:c>
      <x:c r="N1136" s="10" t="n">
        <x:v>88023.7983719474</x:v>
      </x:c>
      <x:c r="O1136" s="9" t="n">
        <x:v>-0.0542014091</x:v>
      </x:c>
      <x:c r="P1136" s="9" t="n">
        <x:v>0.7710951526</x:v>
      </x:c>
      <x:c r="Q1136" s="9" t="n">
        <x:v>0.3913824057</x:v>
      </x:c>
      <x:c r="R1136" s="3" t="b">
        <x:v>0</x:v>
      </x:c>
      <x:c r="S1136" s="3" t="b">
        <x:v>0</x:v>
      </x:c>
      <x:c r="T1136" s="3" t="b">
        <x:v>0</x:v>
      </x:c>
      <x:c r="U1136" s="2" t="str">
        <x:f>IF(T1136=TRUE,"Priority review",IF(R1136=TRUE,"High cost",IF(S1136=TRUE,"Low quality","Benchmark")))</x:f>
        <x:v>Benchmark</x:v>
      </x:c>
    </x:row>
    <x:row r="1137">
      <x:c r="A1137" s="2" t="str">
        <x:v>131302</x:v>
      </x:c>
      <x:c r="B1137" s="2" t="str">
        <x:v>NORTH CANYON MEDICAL CENTER</x:v>
      </x:c>
      <x:c r="C1137" s="2" t="str">
        <x:v>GOODING</x:v>
      </x:c>
      <x:c r="D1137" s="2" t="str">
        <x:v>ID</x:v>
      </x:c>
      <x:c r="E1137" s="2" t="str">
        <x:v>Critical Access Hospitals</x:v>
      </x:c>
      <x:c r="F1137" s="2" t="str">
        <x:v>Voluntary non-profit</x:v>
      </x:c>
      <x:c r="G1137" s="2" t="str">
        <x:v>Small (&lt;100 beds)</x:v>
      </x:c>
      <x:c r="H1137" s="7"/>
      <x:c r="I1137" s="7"/>
      <x:c r="J1137" s="7"/>
      <x:c r="K1137" s="8" t="n">
        <x:v>16</x:v>
      </x:c>
      <x:c r="L1137" s="8" t="n">
        <x:v>298</x:v>
      </x:c>
      <x:c r="M1137" s="9" t="n">
        <x:v>0.1832308743</x:v>
      </x:c>
      <x:c r="N1137" s="10" t="n">
        <x:v>224090.8758389262</x:v>
      </x:c>
      <x:c r="O1137" s="9" t="n">
        <x:v>0.0844406457</x:v>
      </x:c>
      <x:c r="P1137" s="9" t="n">
        <x:v>0.7710037175</x:v>
      </x:c>
      <x:c r="Q1137" s="9" t="n">
        <x:v>0.292936803</x:v>
      </x:c>
      <x:c r="R1137" s="3" t="b">
        <x:v>0</x:v>
      </x:c>
      <x:c r="S1137" s="3" t="b">
        <x:v>0</x:v>
      </x:c>
      <x:c r="T1137" s="3" t="b">
        <x:v>0</x:v>
      </x:c>
      <x:c r="U1137" s="2" t="str">
        <x:f>IF(T1137=TRUE,"Priority review",IF(R1137=TRUE,"High cost",IF(S1137=TRUE,"Low quality","Benchmark")))</x:f>
        <x:v>Benchmark</x:v>
      </x:c>
    </x:row>
    <x:row r="1138">
      <x:c r="A1138" s="2" t="str">
        <x:v>140292</x:v>
      </x:c>
      <x:c r="B1138" s="2" t="str">
        <x:v>UCHICAGO MEDICINE ADVENTHEALTH GLENOAKS</x:v>
      </x:c>
      <x:c r="C1138" s="2" t="str">
        <x:v>GLENDALE HEIGHTS</x:v>
      </x:c>
      <x:c r="D1138" s="2" t="str">
        <x:v>IL</x:v>
      </x:c>
      <x:c r="E1138" s="2" t="str">
        <x:v>Acute Care Hospitals</x:v>
      </x:c>
      <x:c r="F1138" s="2" t="str">
        <x:v>Voluntary non-profit</x:v>
      </x:c>
      <x:c r="G1138" s="2" t="str">
        <x:v>Medium (100-299 beds)</x:v>
      </x:c>
      <x:c r="H1138" s="7" t="n">
        <x:v>3</x:v>
      </x:c>
      <x:c r="I1138" s="7" t="n">
        <x:v>3</x:v>
      </x:c>
      <x:c r="J1138" s="7" t="n">
        <x:v>1.08</x:v>
      </x:c>
      <x:c r="K1138" s="8" t="n">
        <x:v>134</x:v>
      </x:c>
      <x:c r="L1138" s="8" t="n">
        <x:v>2848</x:v>
      </x:c>
      <x:c r="M1138" s="9" t="n">
        <x:v>0.4556520675</x:v>
      </x:c>
      <x:c r="N1138" s="10" t="n">
        <x:v>47663.9782303371</x:v>
      </x:c>
      <x:c r="O1138" s="9" t="n">
        <x:v>-0.2463011698</x:v>
      </x:c>
      <x:c r="P1138" s="9" t="n">
        <x:v>0.7709861451</x:v>
      </x:c>
      <x:c r="Q1138" s="9" t="n">
        <x:v>0.3023634882</x:v>
      </x:c>
      <x:c r="R1138" s="3" t="b">
        <x:v>0</x:v>
      </x:c>
      <x:c r="S1138" s="3" t="b">
        <x:v>0</x:v>
      </x:c>
      <x:c r="T1138" s="3" t="b">
        <x:v>0</x:v>
      </x:c>
      <x:c r="U1138" s="2" t="str">
        <x:f>IF(T1138=TRUE,"Priority review",IF(R1138=TRUE,"High cost",IF(S1138=TRUE,"Low quality","Benchmark")))</x:f>
        <x:v>Benchmark</x:v>
      </x:c>
    </x:row>
    <x:row r="1139">
      <x:c r="A1139" s="2" t="str">
        <x:v>281331</x:v>
      </x:c>
      <x:c r="B1139" s="2" t="str">
        <x:v>AVERA CREIGHTON HOSPITAL</x:v>
      </x:c>
      <x:c r="C1139" s="2" t="str">
        <x:v>CREIGHTON</x:v>
      </x:c>
      <x:c r="D1139" s="2" t="str">
        <x:v>NE</x:v>
      </x:c>
      <x:c r="E1139" s="2" t="str">
        <x:v>Critical Access Hospitals</x:v>
      </x:c>
      <x:c r="F1139" s="2" t="str">
        <x:v>Voluntary non-profit</x:v>
      </x:c>
      <x:c r="G1139" s="2" t="str">
        <x:v>Small (&lt;100 beds)</x:v>
      </x:c>
      <x:c r="H1139" s="7"/>
      <x:c r="I1139" s="7"/>
      <x:c r="J1139" s="7"/>
      <x:c r="K1139" s="8" t="n">
        <x:v>17</x:v>
      </x:c>
      <x:c r="L1139" s="8" t="n">
        <x:v>97</x:v>
      </x:c>
      <x:c r="M1139" s="9" t="n">
        <x:v>0.1505237712</x:v>
      </x:c>
      <x:c r="N1139" s="10" t="n">
        <x:v>223210.1546391752</x:v>
      </x:c>
      <x:c r="O1139" s="9" t="n">
        <x:v>-0.0659199009</x:v>
      </x:c>
      <x:c r="P1139" s="9" t="n">
        <x:v>0.770260223</x:v>
      </x:c>
      <x:c r="Q1139" s="9" t="n">
        <x:v>0.292936803</x:v>
      </x:c>
      <x:c r="R1139" s="3" t="b">
        <x:v>0</x:v>
      </x:c>
      <x:c r="S1139" s="3" t="b">
        <x:v>0</x:v>
      </x:c>
      <x:c r="T1139" s="3" t="b">
        <x:v>0</x:v>
      </x:c>
      <x:c r="U1139" s="2" t="str">
        <x:f>IF(T1139=TRUE,"Priority review",IF(R1139=TRUE,"High cost",IF(S1139=TRUE,"Low quality","Benchmark")))</x:f>
        <x:v>Benchmark</x:v>
      </x:c>
    </x:row>
    <x:row r="1140">
      <x:c r="A1140" s="2" t="str">
        <x:v>074008</x:v>
      </x:c>
      <x:c r="B1140" s="2" t="str">
        <x:v>NATCHAUG HOSPITAL</x:v>
      </x:c>
      <x:c r="C1140" s="2" t="str">
        <x:v>MANSFIELD CENTER</x:v>
      </x:c>
      <x:c r="D1140" s="2" t="str">
        <x:v>CT</x:v>
      </x:c>
      <x:c r="E1140" s="2" t="str">
        <x:v>Psychiatric</x:v>
      </x:c>
      <x:c r="F1140" s="2" t="str">
        <x:v>Voluntary non-profit</x:v>
      </x:c>
      <x:c r="G1140" s="2" t="str">
        <x:v>Small (&lt;100 beds)</x:v>
      </x:c>
      <x:c r="H1140" s="7"/>
      <x:c r="I1140" s="7"/>
      <x:c r="J1140" s="7"/>
      <x:c r="K1140" s="8" t="n">
        <x:v>59</x:v>
      </x:c>
      <x:c r="L1140" s="8" t="n">
        <x:v>1443</x:v>
      </x:c>
      <x:c r="M1140" s="9" t="n">
        <x:v>0.8466240622</x:v>
      </x:c>
      <x:c r="N1140" s="10" t="n">
        <x:v>38691.7144837145</x:v>
      </x:c>
      <x:c r="O1140" s="9" t="n">
        <x:v>-0.3103398602</x:v>
      </x:c>
      <x:c r="P1140" s="9" t="n">
        <x:v>0.7702265372</x:v>
      </x:c>
      <x:c r="Q1140" s="9" t="n">
        <x:v>0</x:v>
      </x:c>
      <x:c r="R1140" s="3" t="b">
        <x:v>0</x:v>
      </x:c>
      <x:c r="S1140" s="3" t="b">
        <x:v>0</x:v>
      </x:c>
      <x:c r="T1140" s="3" t="b">
        <x:v>0</x:v>
      </x:c>
      <x:c r="U1140" s="2" t="str">
        <x:f>IF(T1140=TRUE,"Priority review",IF(R1140=TRUE,"High cost",IF(S1140=TRUE,"Low quality","Benchmark")))</x:f>
        <x:v>Benchmark</x:v>
      </x:c>
    </x:row>
    <x:row r="1141">
      <x:c r="A1141" s="2" t="str">
        <x:v>150097</x:v>
      </x:c>
      <x:c r="B1141" s="2" t="str">
        <x:v>MAJOR HOSPITAL</x:v>
      </x:c>
      <x:c r="C1141" s="2" t="str">
        <x:v>SHELBYVILLE</x:v>
      </x:c>
      <x:c r="D1141" s="2" t="str">
        <x:v>IN</x:v>
      </x:c>
      <x:c r="E1141" s="2" t="str">
        <x:v>Acute Care Hospitals</x:v>
      </x:c>
      <x:c r="F1141" s="2" t="str">
        <x:v>Government</x:v>
      </x:c>
      <x:c r="G1141" s="2" t="str">
        <x:v>Small (&lt;100 beds)</x:v>
      </x:c>
      <x:c r="H1141" s="7" t="n">
        <x:v>4</x:v>
      </x:c>
      <x:c r="I1141" s="7" t="n">
        <x:v>4</x:v>
      </x:c>
      <x:c r="J1141" s="7" t="n">
        <x:v>1.01</x:v>
      </x:c>
      <x:c r="K1141" s="8" t="n">
        <x:v>46</x:v>
      </x:c>
      <x:c r="L1141" s="8" t="n">
        <x:v>2390</x:v>
      </x:c>
      <x:c r="M1141" s="9" t="n">
        <x:v>0.5498930862</x:v>
      </x:c>
      <x:c r="N1141" s="10" t="n">
        <x:v>87938.310460251</x:v>
      </x:c>
      <x:c r="O1141" s="9" t="n">
        <x:v>0.0430247931</x:v>
      </x:c>
      <x:c r="P1141" s="9" t="n">
        <x:v>0.7701974865</x:v>
      </x:c>
      <x:c r="Q1141" s="9" t="n">
        <x:v>0.3913824057</x:v>
      </x:c>
      <x:c r="R1141" s="3" t="b">
        <x:v>0</x:v>
      </x:c>
      <x:c r="S1141" s="3" t="b">
        <x:v>0</x:v>
      </x:c>
      <x:c r="T1141" s="3" t="b">
        <x:v>0</x:v>
      </x:c>
      <x:c r="U1141" s="2" t="str">
        <x:f>IF(T1141=TRUE,"Priority review",IF(R1141=TRUE,"High cost",IF(S1141=TRUE,"Low quality","Benchmark")))</x:f>
        <x:v>Benchmark</x:v>
      </x:c>
    </x:row>
    <x:row r="1142">
      <x:c r="A1142" s="2" t="str">
        <x:v>500026</x:v>
      </x:c>
      <x:c r="B1142" s="2" t="str">
        <x:v>SWEDISH EDMONDS HOSPITAL</x:v>
      </x:c>
      <x:c r="C1142" s="2" t="str">
        <x:v>EDMONDS</x:v>
      </x:c>
      <x:c r="D1142" s="2" t="str">
        <x:v>WA</x:v>
      </x:c>
      <x:c r="E1142" s="2" t="str">
        <x:v>Acute Care Hospitals</x:v>
      </x:c>
      <x:c r="F1142" s="2" t="str">
        <x:v>Voluntary non-profit</x:v>
      </x:c>
      <x:c r="G1142" s="2" t="str">
        <x:v>Medium (100-299 beds)</x:v>
      </x:c>
      <x:c r="H1142" s="7" t="n">
        <x:v>3</x:v>
      </x:c>
      <x:c r="I1142" s="7" t="n">
        <x:v>3</x:v>
      </x:c>
      <x:c r="J1142" s="7" t="n">
        <x:v>0.94</x:v>
      </x:c>
      <x:c r="K1142" s="8" t="n">
        <x:v>157</x:v>
      </x:c>
      <x:c r="L1142" s="8" t="n">
        <x:v>8229</x:v>
      </x:c>
      <x:c r="M1142" s="9" t="n">
        <x:v>0.8254846681</x:v>
      </x:c>
      <x:c r="N1142" s="10" t="n">
        <x:v>47630.4559484749</x:v>
      </x:c>
      <x:c r="O1142" s="9" t="n">
        <x:v>-0.2420176121</x:v>
      </x:c>
      <x:c r="P1142" s="9" t="n">
        <x:v>0.7701711491</x:v>
      </x:c>
      <x:c r="Q1142" s="9" t="n">
        <x:v>0.3023634882</x:v>
      </x:c>
      <x:c r="R1142" s="3" t="b">
        <x:v>0</x:v>
      </x:c>
      <x:c r="S1142" s="3" t="b">
        <x:v>0</x:v>
      </x:c>
      <x:c r="T1142" s="3" t="b">
        <x:v>0</x:v>
      </x:c>
      <x:c r="U1142" s="2" t="str">
        <x:f>IF(T1142=TRUE,"Priority review",IF(R1142=TRUE,"High cost",IF(S1142=TRUE,"Low quality","Benchmark")))</x:f>
        <x:v>Benchmark</x:v>
      </x:c>
    </x:row>
    <x:row r="1143">
      <x:c r="A1143" s="2" t="str">
        <x:v>490024</x:v>
      </x:c>
      <x:c r="B1143" s="2" t="str">
        <x:v>CARILION MEDICAL CENTER</x:v>
      </x:c>
      <x:c r="C1143" s="2" t="str">
        <x:v>ROANOKE</x:v>
      </x:c>
      <x:c r="D1143" s="2" t="str">
        <x:v>VA</x:v>
      </x:c>
      <x:c r="E1143" s="2" t="str">
        <x:v>Acute Care Hospitals</x:v>
      </x:c>
      <x:c r="F1143" s="2" t="str">
        <x:v>Voluntary non-profit</x:v>
      </x:c>
      <x:c r="G1143" s="2" t="str">
        <x:v>Large (300+ beds)</x:v>
      </x:c>
      <x:c r="H1143" s="7" t="n">
        <x:v>3</x:v>
      </x:c>
      <x:c r="I1143" s="7" t="n">
        <x:v>3</x:v>
      </x:c>
      <x:c r="J1143" s="7" t="n">
        <x:v>1.01</x:v>
      </x:c>
      <x:c r="K1143" s="8" t="n">
        <x:v>635</x:v>
      </x:c>
      <x:c r="L1143" s="8" t="n">
        <x:v>32915</x:v>
      </x:c>
      <x:c r="M1143" s="9" t="n">
        <x:v>0.7796179166</x:v>
      </x:c>
      <x:c r="N1143" s="10" t="n">
        <x:v>55259.6561749962</x:v>
      </x:c>
      <x:c r="O1143" s="9" t="n">
        <x:v>-0.0594345776</x:v>
      </x:c>
      <x:c r="P1143" s="9" t="n">
        <x:v>0.7697160883</x:v>
      </x:c>
      <x:c r="Q1143" s="9" t="n">
        <x:v>0.2570977918</x:v>
      </x:c>
      <x:c r="R1143" s="3" t="b">
        <x:v>0</x:v>
      </x:c>
      <x:c r="S1143" s="3" t="b">
        <x:v>0</x:v>
      </x:c>
      <x:c r="T1143" s="3" t="b">
        <x:v>0</x:v>
      </x:c>
      <x:c r="U1143" s="2" t="str">
        <x:f>IF(T1143=TRUE,"Priority review",IF(R1143=TRUE,"High cost",IF(S1143=TRUE,"Low quality","Benchmark")))</x:f>
        <x:v>Benchmark</x:v>
      </x:c>
    </x:row>
    <x:row r="1144">
      <x:c r="A1144" s="2" t="str">
        <x:v>021304</x:v>
      </x:c>
      <x:c r="B1144" s="2" t="str">
        <x:v>PETERSBURG MEDICAL CENTER</x:v>
      </x:c>
      <x:c r="C1144" s="2" t="str">
        <x:v>PETERSBURG</x:v>
      </x:c>
      <x:c r="D1144" s="2" t="str">
        <x:v>AK</x:v>
      </x:c>
      <x:c r="E1144" s="2" t="str">
        <x:v>Critical Access Hospitals</x:v>
      </x:c>
      <x:c r="F1144" s="2" t="str">
        <x:v>Government</x:v>
      </x:c>
      <x:c r="G1144" s="2" t="str">
        <x:v>Small (&lt;100 beds)</x:v>
      </x:c>
      <x:c r="H1144" s="7"/>
      <x:c r="I1144" s="7"/>
      <x:c r="J1144" s="7"/>
      <x:c r="K1144" s="8" t="n">
        <x:v>12</x:v>
      </x:c>
      <x:c r="L1144" s="8" t="n">
        <x:v>133</x:v>
      </x:c>
      <x:c r="M1144" s="9" t="n">
        <x:v>0.3901826484</x:v>
      </x:c>
      <x:c r="N1144" s="10" t="n">
        <x:v>222904.037593985</x:v>
      </x:c>
      <x:c r="O1144" s="9" t="n">
        <x:v>-0.1035680221</x:v>
      </x:c>
      <x:c r="P1144" s="9" t="n">
        <x:v>0.7695167286</x:v>
      </x:c>
      <x:c r="Q1144" s="9" t="n">
        <x:v>0.292936803</x:v>
      </x:c>
      <x:c r="R1144" s="3" t="b">
        <x:v>0</x:v>
      </x:c>
      <x:c r="S1144" s="3" t="b">
        <x:v>0</x:v>
      </x:c>
      <x:c r="T1144" s="3" t="b">
        <x:v>0</x:v>
      </x:c>
      <x:c r="U1144" s="2" t="str">
        <x:f>IF(T1144=TRUE,"Priority review",IF(R1144=TRUE,"High cost",IF(S1144=TRUE,"Low quality","Benchmark")))</x:f>
        <x:v>Benchmark</x:v>
      </x:c>
    </x:row>
    <x:row r="1145">
      <x:c r="A1145" s="2" t="str">
        <x:v>390045</x:v>
      </x:c>
      <x:c r="B1145" s="2" t="str">
        <x:v>UPMC WILLIAMSPORT</x:v>
      </x:c>
      <x:c r="C1145" s="2" t="str">
        <x:v>WILLIAMSPORT</x:v>
      </x:c>
      <x:c r="D1145" s="2" t="str">
        <x:v>PA</x:v>
      </x:c>
      <x:c r="E1145" s="2" t="str">
        <x:v>Acute Care Hospitals</x:v>
      </x:c>
      <x:c r="F1145" s="2" t="str">
        <x:v>Voluntary non-profit</x:v>
      </x:c>
      <x:c r="G1145" s="2" t="str">
        <x:v>Medium (100-299 beds)</x:v>
      </x:c>
      <x:c r="H1145" s="7" t="n">
        <x:v>3</x:v>
      </x:c>
      <x:c r="I1145" s="7" t="n">
        <x:v>4</x:v>
      </x:c>
      <x:c r="J1145" s="7" t="n">
        <x:v>1.02</x:v>
      </x:c>
      <x:c r="K1145" s="8" t="n">
        <x:v>213</x:v>
      </x:c>
      <x:c r="L1145" s="8" t="n">
        <x:v>11568</x:v>
      </x:c>
      <x:c r="M1145" s="9" t="n">
        <x:v>0.7681829897</x:v>
      </x:c>
      <x:c r="N1145" s="10" t="n">
        <x:v>47527.896697787</x:v>
      </x:c>
      <x:c r="O1145" s="9" t="n">
        <x:v>-0.0338525003</x:v>
      </x:c>
      <x:c r="P1145" s="9" t="n">
        <x:v>0.7693561532</x:v>
      </x:c>
      <x:c r="Q1145" s="9" t="n">
        <x:v>0.3023634882</x:v>
      </x:c>
      <x:c r="R1145" s="3" t="b">
        <x:v>0</x:v>
      </x:c>
      <x:c r="S1145" s="3" t="b">
        <x:v>0</x:v>
      </x:c>
      <x:c r="T1145" s="3" t="b">
        <x:v>0</x:v>
      </x:c>
      <x:c r="U1145" s="2" t="str">
        <x:f>IF(T1145=TRUE,"Priority review",IF(R1145=TRUE,"High cost",IF(S1145=TRUE,"Low quality","Benchmark")))</x:f>
        <x:v>Benchmark</x:v>
      </x:c>
    </x:row>
    <x:row r="1146">
      <x:c r="A1146" s="2" t="str">
        <x:v>240084</x:v>
      </x:c>
      <x:c r="B1146" s="2" t="str">
        <x:v>ESSENTIA HEALTH VIRGINIA</x:v>
      </x:c>
      <x:c r="C1146" s="2" t="str">
        <x:v>VIRGINIA</x:v>
      </x:c>
      <x:c r="D1146" s="2" t="str">
        <x:v>MN</x:v>
      </x:c>
      <x:c r="E1146" s="2" t="str">
        <x:v>Acute Care Hospitals</x:v>
      </x:c>
      <x:c r="F1146" s="2" t="str">
        <x:v>Government</x:v>
      </x:c>
      <x:c r="G1146" s="2" t="str">
        <x:v>Small (&lt;100 beds)</x:v>
      </x:c>
      <x:c r="H1146" s="7" t="n">
        <x:v>4</x:v>
      </x:c>
      <x:c r="I1146" s="7" t="n">
        <x:v>3</x:v>
      </x:c>
      <x:c r="J1146" s="7" t="n">
        <x:v>0.93</x:v>
      </x:c>
      <x:c r="K1146" s="8" t="n">
        <x:v>49</x:v>
      </x:c>
      <x:c r="L1146" s="8" t="n">
        <x:v>1711</x:v>
      </x:c>
      <x:c r="M1146" s="9" t="n">
        <x:v>0.3986021806</x:v>
      </x:c>
      <x:c r="N1146" s="10" t="n">
        <x:v>87577.5850379895</x:v>
      </x:c>
      <x:c r="O1146" s="9" t="n">
        <x:v>0.0190835508</x:v>
      </x:c>
      <x:c r="P1146" s="9" t="n">
        <x:v>0.7692998205</x:v>
      </x:c>
      <x:c r="Q1146" s="9" t="n">
        <x:v>0.3913824057</x:v>
      </x:c>
      <x:c r="R1146" s="3" t="b">
        <x:v>0</x:v>
      </x:c>
      <x:c r="S1146" s="3" t="b">
        <x:v>0</x:v>
      </x:c>
      <x:c r="T1146" s="3" t="b">
        <x:v>0</x:v>
      </x:c>
      <x:c r="U1146" s="2" t="str">
        <x:f>IF(T1146=TRUE,"Priority review",IF(R1146=TRUE,"High cost",IF(S1146=TRUE,"Low quality","Benchmark")))</x:f>
        <x:v>Benchmark</x:v>
      </x:c>
    </x:row>
    <x:row r="1147">
      <x:c r="A1147" s="2" t="str">
        <x:v>351316</x:v>
      </x:c>
      <x:c r="B1147" s="2" t="str">
        <x:v>PRESENTATION MEDICAL CENTER</x:v>
      </x:c>
      <x:c r="C1147" s="2" t="str">
        <x:v>ROLLA</x:v>
      </x:c>
      <x:c r="D1147" s="2" t="str">
        <x:v>ND</x:v>
      </x:c>
      <x:c r="E1147" s="2" t="str">
        <x:v>Critical Access Hospitals</x:v>
      </x:c>
      <x:c r="F1147" s="2" t="str">
        <x:v>Voluntary non-profit</x:v>
      </x:c>
      <x:c r="G1147" s="2" t="str">
        <x:v>Small (&lt;100 beds)</x:v>
      </x:c>
      <x:c r="H1147" s="7"/>
      <x:c r="I1147" s="7"/>
      <x:c r="J1147" s="7"/>
      <x:c r="K1147" s="8" t="n">
        <x:v>25</x:v>
      </x:c>
      <x:c r="L1147" s="8" t="n">
        <x:v>67</x:v>
      </x:c>
      <x:c r="M1147" s="9" t="n">
        <x:v>0.2878688525</x:v>
      </x:c>
      <x:c r="N1147" s="10" t="n">
        <x:v>220042.6268656716</x:v>
      </x:c>
      <x:c r="O1147" s="9" t="n">
        <x:v>-0.0470575393</x:v>
      </x:c>
      <x:c r="P1147" s="9" t="n">
        <x:v>0.7687732342</x:v>
      </x:c>
      <x:c r="Q1147" s="9" t="n">
        <x:v>0.292936803</x:v>
      </x:c>
      <x:c r="R1147" s="3" t="b">
        <x:v>0</x:v>
      </x:c>
      <x:c r="S1147" s="3" t="b">
        <x:v>0</x:v>
      </x:c>
      <x:c r="T1147" s="3" t="b">
        <x:v>0</x:v>
      </x:c>
      <x:c r="U1147" s="2" t="str">
        <x:f>IF(T1147=TRUE,"Priority review",IF(R1147=TRUE,"High cost",IF(S1147=TRUE,"Low quality","Benchmark")))</x:f>
        <x:v>Benchmark</x:v>
      </x:c>
    </x:row>
    <x:row r="1148">
      <x:c r="A1148" s="2" t="str">
        <x:v>330184</x:v>
      </x:c>
      <x:c r="B1148" s="2" t="str">
        <x:v>MONTEFIORE NEW ROCHELLE HOSPITAL</x:v>
      </x:c>
      <x:c r="C1148" s="2" t="str">
        <x:v>NEW ROCHELLE</x:v>
      </x:c>
      <x:c r="D1148" s="2" t="str">
        <x:v>NY</x:v>
      </x:c>
      <x:c r="E1148" s="2" t="str">
        <x:v>Acute Care Hospitals</x:v>
      </x:c>
      <x:c r="F1148" s="2" t="str">
        <x:v>Voluntary non-profit</x:v>
      </x:c>
      <x:c r="G1148" s="2" t="str">
        <x:v>Medium (100-299 beds)</x:v>
      </x:c>
      <x:c r="H1148" s="7" t="n">
        <x:v>1</x:v>
      </x:c>
      <x:c r="I1148" s="7" t="n">
        <x:v>2</x:v>
      </x:c>
      <x:c r="J1148" s="7" t="n">
        <x:v>1.11</x:v>
      </x:c>
      <x:c r="K1148" s="8" t="n">
        <x:v>141</x:v>
      </x:c>
      <x:c r="L1148" s="8" t="n">
        <x:v>5268</x:v>
      </x:c>
      <x:c r="M1148" s="9" t="n">
        <x:v>0.5636360113</x:v>
      </x:c>
      <x:c r="N1148" s="10" t="n">
        <x:v>47491.9451404708</x:v>
      </x:c>
      <x:c r="O1148" s="9" t="n">
        <x:v>0.5921874187</x:v>
      </x:c>
      <x:c r="P1148" s="9" t="n">
        <x:v>0.7685411573</x:v>
      </x:c>
      <x:c r="Q1148" s="9" t="n">
        <x:v>0</x:v>
      </x:c>
      <x:c r="R1148" s="3" t="b">
        <x:v>0</x:v>
      </x:c>
      <x:c r="S1148" s="3" t="b">
        <x:v>1</x:v>
      </x:c>
      <x:c r="T1148" s="3" t="b">
        <x:v>0</x:v>
      </x:c>
      <x:c r="U1148" s="2" t="str">
        <x:f>IF(T1148=TRUE,"Priority review",IF(R1148=TRUE,"High cost",IF(S1148=TRUE,"Low quality","Benchmark")))</x:f>
        <x:v>Low quality</x:v>
      </x:c>
    </x:row>
    <x:row r="1149">
      <x:c r="A1149" s="2" t="str">
        <x:v>390430</x:v>
      </x:c>
      <x:c r="B1149" s="2" t="str">
        <x:v>LEHIGH VALLEY HOSPITAL - MACUNGIE</x:v>
      </x:c>
      <x:c r="C1149" s="2" t="str">
        <x:v>MACUNGIE</x:v>
      </x:c>
      <x:c r="D1149" s="2" t="str">
        <x:v>PA</x:v>
      </x:c>
      <x:c r="E1149" s="2" t="str">
        <x:v>Acute Care Hospitals</x:v>
      </x:c>
      <x:c r="F1149" s="2" t="str">
        <x:v>Proprietary</x:v>
      </x:c>
      <x:c r="G1149" s="2" t="str">
        <x:v>Small (&lt;100 beds)</x:v>
      </x:c>
      <x:c r="H1149" s="7"/>
      <x:c r="I1149" s="7" t="n">
        <x:v>5</x:v>
      </x:c>
      <x:c r="J1149" s="7"/>
      <x:c r="K1149" s="8" t="n">
        <x:v>19</x:v>
      </x:c>
      <x:c r="L1149" s="8" t="n">
        <x:v>207</x:v>
      </x:c>
      <x:c r="M1149" s="9" t="n">
        <x:v>0.1360603423</x:v>
      </x:c>
      <x:c r="N1149" s="10" t="n">
        <x:v>87576.9033816425</x:v>
      </x:c>
      <x:c r="O1149" s="9" t="n">
        <x:v>-0.0676463918</x:v>
      </x:c>
      <x:c r="P1149" s="9" t="n">
        <x:v>0.7684021544</x:v>
      </x:c>
      <x:c r="Q1149" s="9" t="n">
        <x:v>0.697486535</x:v>
      </x:c>
      <x:c r="R1149" s="3" t="b">
        <x:v>0</x:v>
      </x:c>
      <x:c r="S1149" s="3" t="b">
        <x:v>0</x:v>
      </x:c>
      <x:c r="T1149" s="3" t="b">
        <x:v>0</x:v>
      </x:c>
      <x:c r="U1149" s="2" t="str">
        <x:f>IF(T1149=TRUE,"Priority review",IF(R1149=TRUE,"High cost",IF(S1149=TRUE,"Low quality","Benchmark")))</x:f>
        <x:v>Benchmark</x:v>
      </x:c>
    </x:row>
    <x:row r="1150">
      <x:c r="A1150" s="2" t="str">
        <x:v>150024</x:v>
      </x:c>
      <x:c r="B1150" s="2" t="str">
        <x:v>ESKENAZI HEALTH</x:v>
      </x:c>
      <x:c r="C1150" s="2" t="str">
        <x:v>INDIANAPOLIS</x:v>
      </x:c>
      <x:c r="D1150" s="2" t="str">
        <x:v>IN</x:v>
      </x:c>
      <x:c r="E1150" s="2" t="str">
        <x:v>Acute Care Hospitals</x:v>
      </x:c>
      <x:c r="F1150" s="2" t="str">
        <x:v>Government</x:v>
      </x:c>
      <x:c r="G1150" s="2" t="str">
        <x:v>Large (300+ beds)</x:v>
      </x:c>
      <x:c r="H1150" s="7" t="n">
        <x:v>3</x:v>
      </x:c>
      <x:c r="I1150" s="7" t="n">
        <x:v>3</x:v>
      </x:c>
      <x:c r="J1150" s="7" t="n">
        <x:v>0.98</x:v>
      </x:c>
      <x:c r="K1150" s="8" t="n">
        <x:v>314</x:v>
      </x:c>
      <x:c r="L1150" s="8" t="n">
        <x:v>18673</x:v>
      </x:c>
      <x:c r="M1150" s="9" t="n">
        <x:v>0.7538373186</x:v>
      </x:c>
      <x:c r="N1150" s="10" t="n">
        <x:v>55188.1054999197</x:v>
      </x:c>
      <x:c r="O1150" s="9" t="n">
        <x:v>-0.5659737876</x:v>
      </x:c>
      <x:c r="P1150" s="9" t="n">
        <x:v>0.7681388013</x:v>
      </x:c>
      <x:c r="Q1150" s="9" t="n">
        <x:v>0.2570977918</x:v>
      </x:c>
      <x:c r="R1150" s="3" t="b">
        <x:v>0</x:v>
      </x:c>
      <x:c r="S1150" s="3" t="b">
        <x:v>0</x:v>
      </x:c>
      <x:c r="T1150" s="3" t="b">
        <x:v>0</x:v>
      </x:c>
      <x:c r="U1150" s="2" t="str">
        <x:f>IF(T1150=TRUE,"Priority review",IF(R1150=TRUE,"High cost",IF(S1150=TRUE,"Low quality","Benchmark")))</x:f>
        <x:v>Benchmark</x:v>
      </x:c>
    </x:row>
    <x:row r="1151">
      <x:c r="A1151" s="2" t="str">
        <x:v>291300</x:v>
      </x:c>
      <x:c r="B1151" s="2" t="str">
        <x:v>MOUNT GRANT GENERAL HOSPITAL</x:v>
      </x:c>
      <x:c r="C1151" s="2" t="str">
        <x:v>HAWTHORNE</x:v>
      </x:c>
      <x:c r="D1151" s="2" t="str">
        <x:v>NV</x:v>
      </x:c>
      <x:c r="E1151" s="2" t="str">
        <x:v>Critical Access Hospitals</x:v>
      </x:c>
      <x:c r="F1151" s="2" t="str">
        <x:v>Government</x:v>
      </x:c>
      <x:c r="G1151" s="2" t="str">
        <x:v>Small (&lt;100 beds)</x:v>
      </x:c>
      <x:c r="H1151" s="7"/>
      <x:c r="I1151" s="7"/>
      <x:c r="J1151" s="7"/>
      <x:c r="K1151" s="8" t="n">
        <x:v>11</x:v>
      </x:c>
      <x:c r="L1151" s="8" t="n">
        <x:v>86</x:v>
      </x:c>
      <x:c r="M1151" s="9" t="n">
        <x:v>0.1815691158</x:v>
      </x:c>
      <x:c r="N1151" s="10" t="n">
        <x:v>218408.6279069767</x:v>
      </x:c>
      <x:c r="O1151" s="9" t="n">
        <x:v>-0.0487705027</x:v>
      </x:c>
      <x:c r="P1151" s="9" t="n">
        <x:v>0.7680297398</x:v>
      </x:c>
      <x:c r="Q1151" s="9" t="n">
        <x:v>0.292936803</x:v>
      </x:c>
      <x:c r="R1151" s="3" t="b">
        <x:v>0</x:v>
      </x:c>
      <x:c r="S1151" s="3" t="b">
        <x:v>0</x:v>
      </x:c>
      <x:c r="T1151" s="3" t="b">
        <x:v>0</x:v>
      </x:c>
      <x:c r="U1151" s="2" t="str">
        <x:f>IF(T1151=TRUE,"Priority review",IF(R1151=TRUE,"High cost",IF(S1151=TRUE,"Low quality","Benchmark")))</x:f>
        <x:v>Benchmark</x:v>
      </x:c>
    </x:row>
    <x:row r="1152">
      <x:c r="A1152" s="2" t="str">
        <x:v>250019</x:v>
      </x:c>
      <x:c r="B1152" s="2" t="str">
        <x:v>MEMORIAL HOSPITAL AT GULFPORT</x:v>
      </x:c>
      <x:c r="C1152" s="2" t="str">
        <x:v>GULFPORT</x:v>
      </x:c>
      <x:c r="D1152" s="2" t="str">
        <x:v>MS</x:v>
      </x:c>
      <x:c r="E1152" s="2" t="str">
        <x:v>Acute Care Hospitals</x:v>
      </x:c>
      <x:c r="F1152" s="2" t="str">
        <x:v>Government</x:v>
      </x:c>
      <x:c r="G1152" s="2" t="str">
        <x:v>Medium (100-299 beds)</x:v>
      </x:c>
      <x:c r="H1152" s="7" t="n">
        <x:v>3</x:v>
      </x:c>
      <x:c r="I1152" s="7" t="n">
        <x:v>3</x:v>
      </x:c>
      <x:c r="J1152" s="7" t="n">
        <x:v>1.16</x:v>
      </x:c>
      <x:c r="K1152" s="8" t="n">
        <x:v>295</x:v>
      </x:c>
      <x:c r="L1152" s="8" t="n">
        <x:v>16651</x:v>
      </x:c>
      <x:c r="M1152" s="9" t="n">
        <x:v>0.7250213817</x:v>
      </x:c>
      <x:c r="N1152" s="10" t="n">
        <x:v>47464.1401717615</x:v>
      </x:c>
      <x:c r="O1152" s="9" t="n">
        <x:v>-0.1448418617</x:v>
      </x:c>
      <x:c r="P1152" s="9" t="n">
        <x:v>0.7677261614</x:v>
      </x:c>
      <x:c r="Q1152" s="9" t="n">
        <x:v>0.3023634882</x:v>
      </x:c>
      <x:c r="R1152" s="3" t="b">
        <x:v>0</x:v>
      </x:c>
      <x:c r="S1152" s="3" t="b">
        <x:v>0</x:v>
      </x:c>
      <x:c r="T1152" s="3" t="b">
        <x:v>0</x:v>
      </x:c>
      <x:c r="U1152" s="2" t="str">
        <x:f>IF(T1152=TRUE,"Priority review",IF(R1152=TRUE,"High cost",IF(S1152=TRUE,"Low quality","Benchmark")))</x:f>
        <x:v>Benchmark</x:v>
      </x:c>
    </x:row>
    <x:row r="1153">
      <x:c r="A1153" s="2" t="str">
        <x:v>190006</x:v>
      </x:c>
      <x:c r="B1153" s="2" t="str">
        <x:v>OCHSNER UNIVERSITY HOSPITAL AND CLINICS</x:v>
      </x:c>
      <x:c r="C1153" s="2" t="str">
        <x:v>LAFAYETTE</x:v>
      </x:c>
      <x:c r="D1153" s="2" t="str">
        <x:v>LA</x:v>
      </x:c>
      <x:c r="E1153" s="2" t="str">
        <x:v>Acute Care Hospitals</x:v>
      </x:c>
      <x:c r="F1153" s="2" t="str">
        <x:v>Voluntary non-profit</x:v>
      </x:c>
      <x:c r="G1153" s="2" t="str">
        <x:v>Small (&lt;100 beds)</x:v>
      </x:c>
      <x:c r="H1153" s="7" t="n">
        <x:v>3</x:v>
      </x:c>
      <x:c r="I1153" s="7" t="n">
        <x:v>4</x:v>
      </x:c>
      <x:c r="J1153" s="7" t="n">
        <x:v>1.03</x:v>
      </x:c>
      <x:c r="K1153" s="8" t="n">
        <x:v>52</x:v>
      </x:c>
      <x:c r="L1153" s="8" t="n">
        <x:v>2570</x:v>
      </x:c>
      <x:c r="M1153" s="9" t="n">
        <x:v>0.643366842</x:v>
      </x:c>
      <x:c r="N1153" s="10" t="n">
        <x:v>86963.0782101167</x:v>
      </x:c>
      <x:c r="O1153" s="9" t="n">
        <x:v>-0.423878304</x:v>
      </x:c>
      <x:c r="P1153" s="9" t="n">
        <x:v>0.7675044883</x:v>
      </x:c>
      <x:c r="Q1153" s="9" t="n">
        <x:v>0.1687612208</x:v>
      </x:c>
      <x:c r="R1153" s="3" t="b">
        <x:v>0</x:v>
      </x:c>
      <x:c r="S1153" s="3" t="b">
        <x:v>0</x:v>
      </x:c>
      <x:c r="T1153" s="3" t="b">
        <x:v>0</x:v>
      </x:c>
      <x:c r="U1153" s="2" t="str">
        <x:f>IF(T1153=TRUE,"Priority review",IF(R1153=TRUE,"High cost",IF(S1153=TRUE,"Low quality","Benchmark")))</x:f>
        <x:v>Benchmark</x:v>
      </x:c>
    </x:row>
    <x:row r="1154">
      <x:c r="A1154" s="2" t="str">
        <x:v>141353</x:v>
      </x:c>
      <x:c r="B1154" s="2" t="str">
        <x:v>IROQUOIS MEMORIAL HOSPITAL</x:v>
      </x:c>
      <x:c r="C1154" s="2" t="str">
        <x:v>WATSEKA</x:v>
      </x:c>
      <x:c r="D1154" s="2" t="str">
        <x:v>IL</x:v>
      </x:c>
      <x:c r="E1154" s="2" t="str">
        <x:v>Critical Access Hospitals</x:v>
      </x:c>
      <x:c r="F1154" s="2" t="str">
        <x:v>Voluntary non-profit</x:v>
      </x:c>
      <x:c r="G1154" s="2" t="str">
        <x:v>Small (&lt;100 beds)</x:v>
      </x:c>
      <x:c r="H1154" s="7"/>
      <x:c r="I1154" s="7"/>
      <x:c r="J1154" s="7"/>
      <x:c r="K1154" s="8" t="n">
        <x:v>25</x:v>
      </x:c>
      <x:c r="L1154" s="8" t="n">
        <x:v>200</x:v>
      </x:c>
      <x:c r="M1154" s="9" t="n">
        <x:v>0.096284153</x:v>
      </x:c>
      <x:c r="N1154" s="10" t="n">
        <x:v>217677.505</x:v>
      </x:c>
      <x:c r="O1154" s="9" t="n">
        <x:v>-0.4029542425</x:v>
      </x:c>
      <x:c r="P1154" s="9" t="n">
        <x:v>0.7672862454</x:v>
      </x:c>
      <x:c r="Q1154" s="9" t="n">
        <x:v>0.292936803</x:v>
      </x:c>
      <x:c r="R1154" s="3" t="b">
        <x:v>0</x:v>
      </x:c>
      <x:c r="S1154" s="3" t="b">
        <x:v>0</x:v>
      </x:c>
      <x:c r="T1154" s="3" t="b">
        <x:v>0</x:v>
      </x:c>
      <x:c r="U1154" s="2" t="str">
        <x:f>IF(T1154=TRUE,"Priority review",IF(R1154=TRUE,"High cost",IF(S1154=TRUE,"Low quality","Benchmark")))</x:f>
        <x:v>Benchmark</x:v>
      </x:c>
    </x:row>
    <x:row r="1155">
      <x:c r="A1155" s="2" t="str">
        <x:v>154060</x:v>
      </x:c>
      <x:c r="B1155" s="2" t="str">
        <x:v>PARK CENTER, INC</x:v>
      </x:c>
      <x:c r="C1155" s="2" t="str">
        <x:v>FORT WAYNE</x:v>
      </x:c>
      <x:c r="D1155" s="2" t="str">
        <x:v>IN</x:v>
      </x:c>
      <x:c r="E1155" s="2" t="str">
        <x:v>Psychiatric</x:v>
      </x:c>
      <x:c r="F1155" s="2" t="str">
        <x:v>Voluntary non-profit</x:v>
      </x:c>
      <x:c r="G1155" s="2" t="str">
        <x:v>Small (&lt;100 beds)</x:v>
      </x:c>
      <x:c r="H1155" s="7"/>
      <x:c r="I1155" s="7"/>
      <x:c r="J1155" s="7"/>
      <x:c r="K1155" s="8" t="n">
        <x:v>16</x:v>
      </x:c>
      <x:c r="L1155" s="8" t="n">
        <x:v>1082</x:v>
      </x:c>
      <x:c r="M1155" s="9" t="n">
        <x:v>0.7262636612</x:v>
      </x:c>
      <x:c r="N1155" s="10" t="n">
        <x:v>38563.6118299445</x:v>
      </x:c>
      <x:c r="O1155" s="9" t="n">
        <x:v>-0.3730567807</x:v>
      </x:c>
      <x:c r="P1155" s="9" t="n">
        <x:v>0.7669902913</x:v>
      </x:c>
      <x:c r="Q1155" s="9" t="n">
        <x:v>0</x:v>
      </x:c>
      <x:c r="R1155" s="3" t="b">
        <x:v>0</x:v>
      </x:c>
      <x:c r="S1155" s="3" t="b">
        <x:v>0</x:v>
      </x:c>
      <x:c r="T1155" s="3" t="b">
        <x:v>0</x:v>
      </x:c>
      <x:c r="U1155" s="2" t="str">
        <x:f>IF(T1155=TRUE,"Priority review",IF(R1155=TRUE,"High cost",IF(S1155=TRUE,"Low quality","Benchmark")))</x:f>
        <x:v>Benchmark</x:v>
      </x:c>
    </x:row>
    <x:row r="1156">
      <x:c r="A1156" s="2" t="str">
        <x:v>230167</x:v>
      </x:c>
      <x:c r="B1156" s="2" t="str">
        <x:v>MCLAREN GREATER LANSING</x:v>
      </x:c>
      <x:c r="C1156" s="2" t="str">
        <x:v>LANSING</x:v>
      </x:c>
      <x:c r="D1156" s="2" t="str">
        <x:v>MI</x:v>
      </x:c>
      <x:c r="E1156" s="2" t="str">
        <x:v>Acute Care Hospitals</x:v>
      </x:c>
      <x:c r="F1156" s="2" t="str">
        <x:v>Voluntary non-profit</x:v>
      </x:c>
      <x:c r="G1156" s="2" t="str">
        <x:v>Medium (100-299 beds)</x:v>
      </x:c>
      <x:c r="H1156" s="7" t="n">
        <x:v>3</x:v>
      </x:c>
      <x:c r="I1156" s="7" t="n">
        <x:v>3</x:v>
      </x:c>
      <x:c r="J1156" s="7" t="n">
        <x:v>0.92</x:v>
      </x:c>
      <x:c r="K1156" s="8" t="n">
        <x:v>192</x:v>
      </x:c>
      <x:c r="L1156" s="8" t="n">
        <x:v>10073</x:v>
      </x:c>
      <x:c r="M1156" s="9" t="n">
        <x:v>0.6965315368</x:v>
      </x:c>
      <x:c r="N1156" s="10" t="n">
        <x:v>47431.9522485853</x:v>
      </x:c>
      <x:c r="O1156" s="9" t="n">
        <x:v>-0.0407794535</x:v>
      </x:c>
      <x:c r="P1156" s="9" t="n">
        <x:v>0.7669111654</x:v>
      </x:c>
      <x:c r="Q1156" s="9" t="n">
        <x:v>0.3023634882</x:v>
      </x:c>
      <x:c r="R1156" s="3" t="b">
        <x:v>0</x:v>
      </x:c>
      <x:c r="S1156" s="3" t="b">
        <x:v>0</x:v>
      </x:c>
      <x:c r="T1156" s="3" t="b">
        <x:v>0</x:v>
      </x:c>
      <x:c r="U1156" s="2" t="str">
        <x:f>IF(T1156=TRUE,"Priority review",IF(R1156=TRUE,"High cost",IF(S1156=TRUE,"Low quality","Benchmark")))</x:f>
        <x:v>Benchmark</x:v>
      </x:c>
    </x:row>
    <x:row r="1157">
      <x:c r="A1157" s="2" t="str">
        <x:v>050301</x:v>
      </x:c>
      <x:c r="B1157" s="2" t="str">
        <x:v>ADVENTIST HEALTH UKIAH VALLEY</x:v>
      </x:c>
      <x:c r="C1157" s="2" t="str">
        <x:v>UKIAH</x:v>
      </x:c>
      <x:c r="D1157" s="2" t="str">
        <x:v>CA</x:v>
      </x:c>
      <x:c r="E1157" s="2" t="str">
        <x:v>Acute Care Hospitals</x:v>
      </x:c>
      <x:c r="F1157" s="2" t="str">
        <x:v>Voluntary non-profit</x:v>
      </x:c>
      <x:c r="G1157" s="2" t="str">
        <x:v>Small (&lt;100 beds)</x:v>
      </x:c>
      <x:c r="H1157" s="7" t="n">
        <x:v>4</x:v>
      </x:c>
      <x:c r="I1157" s="7" t="n">
        <x:v>3</x:v>
      </x:c>
      <x:c r="J1157" s="7" t="n">
        <x:v>0.95</x:v>
      </x:c>
      <x:c r="K1157" s="8" t="n">
        <x:v>50</x:v>
      </x:c>
      <x:c r="L1157" s="8" t="n">
        <x:v>3181</x:v>
      </x:c>
      <x:c r="M1157" s="9" t="n">
        <x:v>0.6734972678</x:v>
      </x:c>
      <x:c r="N1157" s="10" t="n">
        <x:v>86853.5051870481</x:v>
      </x:c>
      <x:c r="O1157" s="9" t="n">
        <x:v>-0.3063184306</x:v>
      </x:c>
      <x:c r="P1157" s="9" t="n">
        <x:v>0.7666068223</x:v>
      </x:c>
      <x:c r="Q1157" s="9" t="n">
        <x:v>0.3913824057</x:v>
      </x:c>
      <x:c r="R1157" s="3" t="b">
        <x:v>0</x:v>
      </x:c>
      <x:c r="S1157" s="3" t="b">
        <x:v>0</x:v>
      </x:c>
      <x:c r="T1157" s="3" t="b">
        <x:v>0</x:v>
      </x:c>
      <x:c r="U1157" s="2" t="str">
        <x:f>IF(T1157=TRUE,"Priority review",IF(R1157=TRUE,"High cost",IF(S1157=TRUE,"Low quality","Benchmark")))</x:f>
        <x:v>Benchmark</x:v>
      </x:c>
    </x:row>
    <x:row r="1158">
      <x:c r="A1158" s="2" t="str">
        <x:v>050195</x:v>
      </x:c>
      <x:c r="B1158" s="2" t="str">
        <x:v>WASHINGTON HOSPITAL</x:v>
      </x:c>
      <x:c r="C1158" s="2" t="str">
        <x:v>FREMONT</x:v>
      </x:c>
      <x:c r="D1158" s="2" t="str">
        <x:v>CA</x:v>
      </x:c>
      <x:c r="E1158" s="2" t="str">
        <x:v>Acute Care Hospitals</x:v>
      </x:c>
      <x:c r="F1158" s="2" t="str">
        <x:v>Government</x:v>
      </x:c>
      <x:c r="G1158" s="2" t="str">
        <x:v>Large (300+ beds)</x:v>
      </x:c>
      <x:c r="H1158" s="7" t="n">
        <x:v>2</x:v>
      </x:c>
      <x:c r="I1158" s="7" t="n">
        <x:v>3</x:v>
      </x:c>
      <x:c r="J1158" s="7" t="n">
        <x:v>0.99</x:v>
      </x:c>
      <x:c r="K1158" s="8" t="n">
        <x:v>415</x:v>
      </x:c>
      <x:c r="L1158" s="8" t="n">
        <x:v>12114</x:v>
      </x:c>
      <x:c r="M1158" s="9" t="n">
        <x:v>0.4289061697</x:v>
      </x:c>
      <x:c r="N1158" s="10" t="n">
        <x:v>54862.4593032855</x:v>
      </x:c>
      <x:c r="O1158" s="9" t="n">
        <x:v>-0.0532649245</x:v>
      </x:c>
      <x:c r="P1158" s="9" t="n">
        <x:v>0.7665615142</x:v>
      </x:c>
      <x:c r="Q1158" s="9" t="n">
        <x:v>0.0536277603</x:v>
      </x:c>
      <x:c r="R1158" s="3" t="b">
        <x:v>0</x:v>
      </x:c>
      <x:c r="S1158" s="3" t="b">
        <x:v>1</x:v>
      </x:c>
      <x:c r="T1158" s="3" t="b">
        <x:v>0</x:v>
      </x:c>
      <x:c r="U1158" s="2" t="str">
        <x:f>IF(T1158=TRUE,"Priority review",IF(R1158=TRUE,"High cost",IF(S1158=TRUE,"Low quality","Benchmark")))</x:f>
        <x:v>Low quality</x:v>
      </x:c>
    </x:row>
    <x:row r="1159">
      <x:c r="A1159" s="2" t="str">
        <x:v>161328</x:v>
      </x:c>
      <x:c r="B1159" s="2" t="str">
        <x:v>REGIONAL HEALTH SERVICES OF HOWARD COUNTY</x:v>
      </x:c>
      <x:c r="C1159" s="2" t="str">
        <x:v>CRESCO</x:v>
      </x:c>
      <x:c r="D1159" s="2" t="str">
        <x:v>IA</x:v>
      </x:c>
      <x:c r="E1159" s="2" t="str">
        <x:v>Critical Access Hospitals</x:v>
      </x:c>
      <x:c r="F1159" s="2" t="str">
        <x:v>Government</x:v>
      </x:c>
      <x:c r="G1159" s="2" t="str">
        <x:v>Small (&lt;100 beds)</x:v>
      </x:c>
      <x:c r="H1159" s="7" t="n">
        <x:v>4</x:v>
      </x:c>
      <x:c r="I1159" s="7"/>
      <x:c r="J1159" s="7"/>
      <x:c r="K1159" s="8" t="n">
        <x:v>18</x:v>
      </x:c>
      <x:c r="L1159" s="8" t="n">
        <x:v>240</x:v>
      </x:c>
      <x:c r="M1159" s="9" t="n">
        <x:v>0.2232876712</x:v>
      </x:c>
      <x:c r="N1159" s="10" t="n">
        <x:v>217224.85</x:v>
      </x:c>
      <x:c r="O1159" s="9" t="n">
        <x:v>-0.1710689829</x:v>
      </x:c>
      <x:c r="P1159" s="9" t="n">
        <x:v>0.7665427509</x:v>
      </x:c>
      <x:c r="Q1159" s="9" t="n">
        <x:v>0.1657992565</x:v>
      </x:c>
      <x:c r="R1159" s="3" t="b">
        <x:v>0</x:v>
      </x:c>
      <x:c r="S1159" s="3" t="b">
        <x:v>0</x:v>
      </x:c>
      <x:c r="T1159" s="3" t="b">
        <x:v>0</x:v>
      </x:c>
      <x:c r="U1159" s="2" t="str">
        <x:f>IF(T1159=TRUE,"Priority review",IF(R1159=TRUE,"High cost",IF(S1159=TRUE,"Low quality","Benchmark")))</x:f>
        <x:v>Benchmark</x:v>
      </x:c>
    </x:row>
    <x:row r="1160">
      <x:c r="A1160" s="2" t="str">
        <x:v>234006</x:v>
      </x:c>
      <x:c r="B1160" s="2" t="str">
        <x:v>PINE REST CHRISTIAN MENTAL HEALTH SERVICES</x:v>
      </x:c>
      <x:c r="C1160" s="2" t="str">
        <x:v>GRAND RAPIDS</x:v>
      </x:c>
      <x:c r="D1160" s="2" t="str">
        <x:v>MI</x:v>
      </x:c>
      <x:c r="E1160" s="2" t="str">
        <x:v>Psychiatric</x:v>
      </x:c>
      <x:c r="F1160" s="2" t="str">
        <x:v>Government</x:v>
      </x:c>
      <x:c r="G1160" s="2" t="str">
        <x:v>Medium (100-299 beds)</x:v>
      </x:c>
      <x:c r="H1160" s="7"/>
      <x:c r="I1160" s="7"/>
      <x:c r="J1160" s="7"/>
      <x:c r="K1160" s="8" t="n">
        <x:v>198</x:v>
      </x:c>
      <x:c r="L1160" s="8" t="n">
        <x:v>6828</x:v>
      </x:c>
      <x:c r="M1160" s="9" t="n">
        <x:v>0.7789124118</x:v>
      </x:c>
      <x:c r="N1160" s="10" t="n">
        <x:v>35567.9964850615</x:v>
      </x:c>
      <x:c r="O1160" s="9" t="n">
        <x:v>-0.1333756122</x:v>
      </x:c>
      <x:c r="P1160" s="9" t="n">
        <x:v>0.7661691542</x:v>
      </x:c>
      <x:c r="Q1160" s="9" t="n">
        <x:v>0</x:v>
      </x:c>
      <x:c r="R1160" s="3" t="b">
        <x:v>0</x:v>
      </x:c>
      <x:c r="S1160" s="3" t="b">
        <x:v>0</x:v>
      </x:c>
      <x:c r="T1160" s="3" t="b">
        <x:v>0</x:v>
      </x:c>
      <x:c r="U1160" s="2" t="str">
        <x:f>IF(T1160=TRUE,"Priority review",IF(R1160=TRUE,"High cost",IF(S1160=TRUE,"Low quality","Benchmark")))</x:f>
        <x:v>Benchmark</x:v>
      </x:c>
    </x:row>
    <x:row r="1161">
      <x:c r="A1161" s="2" t="str">
        <x:v>530014</x:v>
      </x:c>
      <x:c r="B1161" s="2" t="str">
        <x:v>CHEYENNE REGIONAL MEDICAL CENTER</x:v>
      </x:c>
      <x:c r="C1161" s="2" t="str">
        <x:v>CHEYENNE</x:v>
      </x:c>
      <x:c r="D1161" s="2" t="str">
        <x:v>WY</x:v>
      </x:c>
      <x:c r="E1161" s="2" t="str">
        <x:v>Acute Care Hospitals</x:v>
      </x:c>
      <x:c r="F1161" s="2" t="str">
        <x:v>Voluntary non-profit</x:v>
      </x:c>
      <x:c r="G1161" s="2" t="str">
        <x:v>Medium (100-299 beds)</x:v>
      </x:c>
      <x:c r="H1161" s="7" t="n">
        <x:v>3</x:v>
      </x:c>
      <x:c r="I1161" s="7" t="n">
        <x:v>3</x:v>
      </x:c>
      <x:c r="J1161" s="7" t="n">
        <x:v>0.99</x:v>
      </x:c>
      <x:c r="K1161" s="8" t="n">
        <x:v>166</x:v>
      </x:c>
      <x:c r="L1161" s="8" t="n">
        <x:v>8178</x:v>
      </x:c>
      <x:c r="M1161" s="9" t="n">
        <x:v>0.5274632778</x:v>
      </x:c>
      <x:c r="N1161" s="10" t="n">
        <x:v>47412.9074345806</x:v>
      </x:c>
      <x:c r="O1161" s="9" t="n">
        <x:v>0.092515235</x:v>
      </x:c>
      <x:c r="P1161" s="9" t="n">
        <x:v>0.7660961695</x:v>
      </x:c>
      <x:c r="Q1161" s="9" t="n">
        <x:v>0.3023634882</x:v>
      </x:c>
      <x:c r="R1161" s="3" t="b">
        <x:v>0</x:v>
      </x:c>
      <x:c r="S1161" s="3" t="b">
        <x:v>0</x:v>
      </x:c>
      <x:c r="T1161" s="3" t="b">
        <x:v>0</x:v>
      </x:c>
      <x:c r="U1161" s="2" t="str">
        <x:f>IF(T1161=TRUE,"Priority review",IF(R1161=TRUE,"High cost",IF(S1161=TRUE,"Low quality","Benchmark")))</x:f>
        <x:v>Benchmark</x:v>
      </x:c>
    </x:row>
    <x:row r="1162">
      <x:c r="A1162" s="2" t="str">
        <x:v>441300</x:v>
      </x:c>
      <x:c r="B1162" s="2" t="str">
        <x:v>SAINT THOMAS HICKMAN HOSPITAL</x:v>
      </x:c>
      <x:c r="C1162" s="2" t="str">
        <x:v>CENTERVILLE</x:v>
      </x:c>
      <x:c r="D1162" s="2" t="str">
        <x:v>TN</x:v>
      </x:c>
      <x:c r="E1162" s="2" t="str">
        <x:v>Critical Access Hospitals</x:v>
      </x:c>
      <x:c r="F1162" s="2" t="str">
        <x:v>Voluntary non-profit</x:v>
      </x:c>
      <x:c r="G1162" s="2" t="str">
        <x:v>Small (&lt;100 beds)</x:v>
      </x:c>
      <x:c r="H1162" s="7"/>
      <x:c r="I1162" s="7"/>
      <x:c r="J1162" s="7"/>
      <x:c r="K1162" s="8" t="n">
        <x:v>25</x:v>
      </x:c>
      <x:c r="L1162" s="8" t="n">
        <x:v>91</x:v>
      </x:c>
      <x:c r="M1162" s="9" t="n">
        <x:v>0.3030136986</x:v>
      </x:c>
      <x:c r="N1162" s="10" t="n">
        <x:v>217035.3516483516</x:v>
      </x:c>
      <x:c r="O1162" s="9" t="n">
        <x:v>-0.2862273848</x:v>
      </x:c>
      <x:c r="P1162" s="9" t="n">
        <x:v>0.7657992565</x:v>
      </x:c>
      <x:c r="Q1162" s="9" t="n">
        <x:v>0.292936803</x:v>
      </x:c>
      <x:c r="R1162" s="3" t="b">
        <x:v>0</x:v>
      </x:c>
      <x:c r="S1162" s="3" t="b">
        <x:v>0</x:v>
      </x:c>
      <x:c r="T1162" s="3" t="b">
        <x:v>0</x:v>
      </x:c>
      <x:c r="U1162" s="2" t="str">
        <x:f>IF(T1162=TRUE,"Priority review",IF(R1162=TRUE,"High cost",IF(S1162=TRUE,"Low quality","Benchmark")))</x:f>
        <x:v>Benchmark</x:v>
      </x:c>
    </x:row>
    <x:row r="1163">
      <x:c r="A1163" s="2" t="str">
        <x:v>370015</x:v>
      </x:c>
      <x:c r="B1163" s="2" t="str">
        <x:v>HILLCREST HOSPITAL PRYOR</x:v>
      </x:c>
      <x:c r="C1163" s="2" t="str">
        <x:v>PRYOR</x:v>
      </x:c>
      <x:c r="D1163" s="2" t="str">
        <x:v>OK</x:v>
      </x:c>
      <x:c r="E1163" s="2" t="str">
        <x:v>Acute Care Hospitals</x:v>
      </x:c>
      <x:c r="F1163" s="2" t="str">
        <x:v>Proprietary</x:v>
      </x:c>
      <x:c r="G1163" s="2" t="str">
        <x:v>Small (&lt;100 beds)</x:v>
      </x:c>
      <x:c r="H1163" s="7" t="n">
        <x:v>4</x:v>
      </x:c>
      <x:c r="I1163" s="7"/>
      <x:c r="J1163" s="7" t="n">
        <x:v>0.9</x:v>
      </x:c>
      <x:c r="K1163" s="8" t="n">
        <x:v>21</x:v>
      </x:c>
      <x:c r="L1163" s="8" t="n">
        <x:v>391</x:v>
      </x:c>
      <x:c r="M1163" s="9" t="n">
        <x:v>0.1290280496</x:v>
      </x:c>
      <x:c r="N1163" s="10" t="n">
        <x:v>86727.0255754476</x:v>
      </x:c>
      <x:c r="O1163" s="9" t="n">
        <x:v>-0.1630410949</x:v>
      </x:c>
      <x:c r="P1163" s="9" t="n">
        <x:v>0.7657091562</x:v>
      </x:c>
      <x:c r="Q1163" s="9" t="n">
        <x:v>0.3913824057</x:v>
      </x:c>
      <x:c r="R1163" s="3" t="b">
        <x:v>0</x:v>
      </x:c>
      <x:c r="S1163" s="3" t="b">
        <x:v>0</x:v>
      </x:c>
      <x:c r="T1163" s="3" t="b">
        <x:v>0</x:v>
      </x:c>
      <x:c r="U1163" s="2" t="str">
        <x:f>IF(T1163=TRUE,"Priority review",IF(R1163=TRUE,"High cost",IF(S1163=TRUE,"Low quality","Benchmark")))</x:f>
        <x:v>Benchmark</x:v>
      </x:c>
    </x:row>
    <x:row r="1164">
      <x:c r="A1164" s="2" t="str">
        <x:v>050290</x:v>
      </x:c>
      <x:c r="B1164" s="2" t="str">
        <x:v>SAINT JOHN'S HEALTH CENTER</x:v>
      </x:c>
      <x:c r="C1164" s="2" t="str">
        <x:v>SANTA MONICA</x:v>
      </x:c>
      <x:c r="D1164" s="2" t="str">
        <x:v>CA</x:v>
      </x:c>
      <x:c r="E1164" s="2" t="str">
        <x:v>Acute Care Hospitals</x:v>
      </x:c>
      <x:c r="F1164" s="2" t="str">
        <x:v>Voluntary non-profit</x:v>
      </x:c>
      <x:c r="G1164" s="2" t="str">
        <x:v>Medium (100-299 beds)</x:v>
      </x:c>
      <x:c r="H1164" s="7" t="n">
        <x:v>4</x:v>
      </x:c>
      <x:c r="I1164" s="7" t="n">
        <x:v>3</x:v>
      </x:c>
      <x:c r="J1164" s="7" t="n">
        <x:v>1.02</x:v>
      </x:c>
      <x:c r="K1164" s="8" t="n">
        <x:v>228</x:v>
      </x:c>
      <x:c r="L1164" s="8" t="n">
        <x:v>11719</x:v>
      </x:c>
      <x:c r="M1164" s="9" t="n">
        <x:v>0.638445499</x:v>
      </x:c>
      <x:c r="N1164" s="10" t="n">
        <x:v>47357.6695110504</x:v>
      </x:c>
      <x:c r="O1164" s="9" t="n">
        <x:v>-0.1958718967</x:v>
      </x:c>
      <x:c r="P1164" s="9" t="n">
        <x:v>0.7652811736</x:v>
      </x:c>
      <x:c r="Q1164" s="9" t="n">
        <x:v>0.6022819886</x:v>
      </x:c>
      <x:c r="R1164" s="3" t="b">
        <x:v>0</x:v>
      </x:c>
      <x:c r="S1164" s="3" t="b">
        <x:v>0</x:v>
      </x:c>
      <x:c r="T1164" s="3" t="b">
        <x:v>0</x:v>
      </x:c>
      <x:c r="U1164" s="2" t="str">
        <x:f>IF(T1164=TRUE,"Priority review",IF(R1164=TRUE,"High cost",IF(S1164=TRUE,"Low quality","Benchmark")))</x:f>
        <x:v>Benchmark</x:v>
      </x:c>
    </x:row>
    <x:row r="1165">
      <x:c r="A1165" s="2" t="str">
        <x:v>501327</x:v>
      </x:c>
      <x:c r="B1165" s="2" t="str">
        <x:v>WHITMAN HOSPITAL AND MEDICAL CENTER</x:v>
      </x:c>
      <x:c r="C1165" s="2" t="str">
        <x:v>COLFAX</x:v>
      </x:c>
      <x:c r="D1165" s="2" t="str">
        <x:v>WA</x:v>
      </x:c>
      <x:c r="E1165" s="2" t="str">
        <x:v>Critical Access Hospitals</x:v>
      </x:c>
      <x:c r="F1165" s="2" t="str">
        <x:v>Government</x:v>
      </x:c>
      <x:c r="G1165" s="2" t="str">
        <x:v>Small (&lt;100 beds)</x:v>
      </x:c>
      <x:c r="H1165" s="7" t="n">
        <x:v>5</x:v>
      </x:c>
      <x:c r="I1165" s="7"/>
      <x:c r="J1165" s="7"/>
      <x:c r="K1165" s="8" t="n">
        <x:v>25</x:v>
      </x:c>
      <x:c r="L1165" s="8" t="n">
        <x:v>297</x:v>
      </x:c>
      <x:c r="M1165" s="9" t="n">
        <x:v>0.1808743169</x:v>
      </x:c>
      <x:c r="N1165" s="10" t="n">
        <x:v>216584.9528619529</x:v>
      </x:c>
      <x:c r="O1165" s="9" t="n">
        <x:v>-0.2473178801</x:v>
      </x:c>
      <x:c r="P1165" s="9" t="n">
        <x:v>0.7650557621</x:v>
      </x:c>
      <x:c r="Q1165" s="9" t="n">
        <x:v>0.2602230483</x:v>
      </x:c>
      <x:c r="R1165" s="3" t="b">
        <x:v>0</x:v>
      </x:c>
      <x:c r="S1165" s="3" t="b">
        <x:v>0</x:v>
      </x:c>
      <x:c r="T1165" s="3" t="b">
        <x:v>0</x:v>
      </x:c>
      <x:c r="U1165" s="2" t="str">
        <x:f>IF(T1165=TRUE,"Priority review",IF(R1165=TRUE,"High cost",IF(S1165=TRUE,"Low quality","Benchmark")))</x:f>
        <x:v>Benchmark</x:v>
      </x:c>
    </x:row>
    <x:row r="1166">
      <x:c r="A1166" s="2" t="str">
        <x:v>050108</x:v>
      </x:c>
      <x:c r="B1166" s="2" t="str">
        <x:v>SUTTER MEDICAL CENTER, SACRAMENTO</x:v>
      </x:c>
      <x:c r="C1166" s="2" t="str">
        <x:v>SACRAMENTO</x:v>
      </x:c>
      <x:c r="D1166" s="2" t="str">
        <x:v>CA</x:v>
      </x:c>
      <x:c r="E1166" s="2" t="str">
        <x:v>Acute Care Hospitals</x:v>
      </x:c>
      <x:c r="F1166" s="2" t="str">
        <x:v>Voluntary non-profit</x:v>
      </x:c>
      <x:c r="G1166" s="2" t="str">
        <x:v>Large (300+ beds)</x:v>
      </x:c>
      <x:c r="H1166" s="7" t="n">
        <x:v>4</x:v>
      </x:c>
      <x:c r="I1166" s="7" t="n">
        <x:v>3</x:v>
      </x:c>
      <x:c r="J1166" s="7" t="n">
        <x:v>1</x:v>
      </x:c>
      <x:c r="K1166" s="8" t="n">
        <x:v>523</x:v>
      </x:c>
      <x:c r="L1166" s="8" t="n">
        <x:v>32299</x:v>
      </x:c>
      <x:c r="M1166" s="9" t="n">
        <x:v>0.8398844414</x:v>
      </x:c>
      <x:c r="N1166" s="10" t="n">
        <x:v>54687.9834360197</x:v>
      </x:c>
      <x:c r="O1166" s="9" t="n">
        <x:v>0.0330334444</x:v>
      </x:c>
      <x:c r="P1166" s="9" t="n">
        <x:v>0.7649842271</x:v>
      </x:c>
      <x:c r="Q1166" s="9" t="n">
        <x:v>0.5899053628</x:v>
      </x:c>
      <x:c r="R1166" s="3" t="b">
        <x:v>0</x:v>
      </x:c>
      <x:c r="S1166" s="3" t="b">
        <x:v>0</x:v>
      </x:c>
      <x:c r="T1166" s="3" t="b">
        <x:v>0</x:v>
      </x:c>
      <x:c r="U1166" s="2" t="str">
        <x:f>IF(T1166=TRUE,"Priority review",IF(R1166=TRUE,"High cost",IF(S1166=TRUE,"Low quality","Benchmark")))</x:f>
        <x:v>Benchmark</x:v>
      </x:c>
    </x:row>
    <x:row r="1167">
      <x:c r="A1167" s="2" t="str">
        <x:v>430015</x:v>
      </x:c>
      <x:c r="B1167" s="2" t="str">
        <x:v>AVERA ST MARY'S HOSPITAL</x:v>
      </x:c>
      <x:c r="C1167" s="2" t="str">
        <x:v>PIERRE</x:v>
      </x:c>
      <x:c r="D1167" s="2" t="str">
        <x:v>SD</x:v>
      </x:c>
      <x:c r="E1167" s="2" t="str">
        <x:v>Acute Care Hospitals</x:v>
      </x:c>
      <x:c r="F1167" s="2" t="str">
        <x:v>Voluntary non-profit</x:v>
      </x:c>
      <x:c r="G1167" s="2" t="str">
        <x:v>Small (&lt;100 beds)</x:v>
      </x:c>
      <x:c r="H1167" s="7" t="n">
        <x:v>2</x:v>
      </x:c>
      <x:c r="I1167" s="7" t="n">
        <x:v>4</x:v>
      </x:c>
      <x:c r="J1167" s="7" t="n">
        <x:v>0.93</x:v>
      </x:c>
      <x:c r="K1167" s="8" t="n">
        <x:v>36</x:v>
      </x:c>
      <x:c r="L1167" s="8" t="n">
        <x:v>1550</x:v>
      </x:c>
      <x:c r="M1167" s="9" t="n">
        <x:v>0.4579147641</x:v>
      </x:c>
      <x:c r="N1167" s="10" t="n">
        <x:v>86318.08</x:v>
      </x:c>
      <x:c r="O1167" s="9" t="n">
        <x:v>-0.0741216372</x:v>
      </x:c>
      <x:c r="P1167" s="9" t="n">
        <x:v>0.7648114901</x:v>
      </x:c>
      <x:c r="Q1167" s="9" t="n">
        <x:v>0.0350089767</x:v>
      </x:c>
      <x:c r="R1167" s="3" t="b">
        <x:v>0</x:v>
      </x:c>
      <x:c r="S1167" s="3" t="b">
        <x:v>1</x:v>
      </x:c>
      <x:c r="T1167" s="3" t="b">
        <x:v>0</x:v>
      </x:c>
      <x:c r="U1167" s="2" t="str">
        <x:f>IF(T1167=TRUE,"Priority review",IF(R1167=TRUE,"High cost",IF(S1167=TRUE,"Low quality","Benchmark")))</x:f>
        <x:v>Low quality</x:v>
      </x:c>
    </x:row>
    <x:row r="1168">
      <x:c r="A1168" s="2" t="str">
        <x:v>340116</x:v>
      </x:c>
      <x:c r="B1168" s="2" t="str">
        <x:v>FRYE REGIONAL MEDICAL CENTER</x:v>
      </x:c>
      <x:c r="C1168" s="2" t="str">
        <x:v>HICKORY</x:v>
      </x:c>
      <x:c r="D1168" s="2" t="str">
        <x:v>NC</x:v>
      </x:c>
      <x:c r="E1168" s="2" t="str">
        <x:v>Acute Care Hospitals</x:v>
      </x:c>
      <x:c r="F1168" s="2" t="str">
        <x:v>Proprietary</x:v>
      </x:c>
      <x:c r="G1168" s="2" t="str">
        <x:v>Medium (100-299 beds)</x:v>
      </x:c>
      <x:c r="H1168" s="7" t="n">
        <x:v>2</x:v>
      </x:c>
      <x:c r="I1168" s="7" t="n">
        <x:v>3</x:v>
      </x:c>
      <x:c r="J1168" s="7" t="n">
        <x:v>1.04</x:v>
      </x:c>
      <x:c r="K1168" s="8" t="n">
        <x:v>226</x:v>
      </x:c>
      <x:c r="L1168" s="8" t="n">
        <x:v>7398</x:v>
      </x:c>
      <x:c r="M1168" s="9" t="n">
        <x:v>0.4939189516</x:v>
      </x:c>
      <x:c r="N1168" s="10" t="n">
        <x:v>47294.2795350095</x:v>
      </x:c>
      <x:c r="O1168" s="9" t="n">
        <x:v>0.0426154784</x:v>
      </x:c>
      <x:c r="P1168" s="9" t="n">
        <x:v>0.7644661777</x:v>
      </x:c>
      <x:c r="Q1168" s="9" t="n">
        <x:v>0.0782396088</x:v>
      </x:c>
      <x:c r="R1168" s="3" t="b">
        <x:v>0</x:v>
      </x:c>
      <x:c r="S1168" s="3" t="b">
        <x:v>1</x:v>
      </x:c>
      <x:c r="T1168" s="3" t="b">
        <x:v>0</x:v>
      </x:c>
      <x:c r="U1168" s="2" t="str">
        <x:f>IF(T1168=TRUE,"Priority review",IF(R1168=TRUE,"High cost",IF(S1168=TRUE,"Low quality","Benchmark")))</x:f>
        <x:v>Low quality</x:v>
      </x:c>
    </x:row>
    <x:row r="1169">
      <x:c r="A1169" s="2" t="str">
        <x:v>451350</x:v>
      </x:c>
      <x:c r="B1169" s="2" t="str">
        <x:v>PLAINS MEMORIAL HOSPITAL</x:v>
      </x:c>
      <x:c r="C1169" s="2" t="str">
        <x:v>DIMMITT</x:v>
      </x:c>
      <x:c r="D1169" s="2" t="str">
        <x:v>TX</x:v>
      </x:c>
      <x:c r="E1169" s="2" t="str">
        <x:v>Critical Access Hospitals</x:v>
      </x:c>
      <x:c r="F1169" s="2" t="str">
        <x:v>Government</x:v>
      </x:c>
      <x:c r="G1169" s="2" t="str">
        <x:v>Small (&lt;100 beds)</x:v>
      </x:c>
      <x:c r="H1169" s="7"/>
      <x:c r="I1169" s="7"/>
      <x:c r="J1169" s="7"/>
      <x:c r="K1169" s="8" t="n">
        <x:v>17</x:v>
      </x:c>
      <x:c r="L1169" s="8" t="n">
        <x:v>80</x:v>
      </x:c>
      <x:c r="M1169" s="9" t="n">
        <x:v>0.1345226615</x:v>
      </x:c>
      <x:c r="N1169" s="10" t="n">
        <x:v>215762.0875</x:v>
      </x:c>
      <x:c r="O1169" s="9" t="n">
        <x:v>-0.7222868293</x:v>
      </x:c>
      <x:c r="P1169" s="9" t="n">
        <x:v>0.7643122677</x:v>
      </x:c>
      <x:c r="Q1169" s="9" t="n">
        <x:v>0.292936803</x:v>
      </x:c>
      <x:c r="R1169" s="3" t="b">
        <x:v>0</x:v>
      </x:c>
      <x:c r="S1169" s="3" t="b">
        <x:v>0</x:v>
      </x:c>
      <x:c r="T1169" s="3" t="b">
        <x:v>0</x:v>
      </x:c>
      <x:c r="U1169" s="2" t="str">
        <x:f>IF(T1169=TRUE,"Priority review",IF(R1169=TRUE,"High cost",IF(S1169=TRUE,"Low quality","Benchmark")))</x:f>
        <x:v>Benchmark</x:v>
      </x:c>
    </x:row>
    <x:row r="1170">
      <x:c r="A1170" s="2" t="str">
        <x:v>520194</x:v>
      </x:c>
      <x:c r="B1170" s="2" t="str">
        <x:v>ORTHOPAEDIC HOSPITAL OF WISCONSIN</x:v>
      </x:c>
      <x:c r="C1170" s="2" t="str">
        <x:v>GLENDALE</x:v>
      </x:c>
      <x:c r="D1170" s="2" t="str">
        <x:v>WI</x:v>
      </x:c>
      <x:c r="E1170" s="2" t="str">
        <x:v>Acute Care Hospitals</x:v>
      </x:c>
      <x:c r="F1170" s="2" t="str">
        <x:v>Other / unknown</x:v>
      </x:c>
      <x:c r="G1170" s="2" t="str">
        <x:v>Small (&lt;100 beds)</x:v>
      </x:c>
      <x:c r="H1170" s="7"/>
      <x:c r="I1170" s="7" t="n">
        <x:v>5</x:v>
      </x:c>
      <x:c r="J1170" s="7" t="n">
        <x:v>0.73</x:v>
      </x:c>
      <x:c r="K1170" s="8" t="n">
        <x:v>30</x:v>
      </x:c>
      <x:c r="L1170" s="8" t="n">
        <x:v>702</x:v>
      </x:c>
      <x:c r="M1170" s="9" t="n">
        <x:v>0.1021857923</x:v>
      </x:c>
      <x:c r="N1170" s="10" t="n">
        <x:v>86016.8347578348</x:v>
      </x:c>
      <x:c r="O1170" s="9" t="n">
        <x:v>0.3192110157</x:v>
      </x:c>
      <x:c r="P1170" s="9" t="n">
        <x:v>0.7639138241</x:v>
      </x:c>
      <x:c r="Q1170" s="9" t="n">
        <x:v>0.697486535</x:v>
      </x:c>
      <x:c r="R1170" s="3" t="b">
        <x:v>0</x:v>
      </x:c>
      <x:c r="S1170" s="3" t="b">
        <x:v>0</x:v>
      </x:c>
      <x:c r="T1170" s="3" t="b">
        <x:v>0</x:v>
      </x:c>
      <x:c r="U1170" s="2" t="str">
        <x:f>IF(T1170=TRUE,"Priority review",IF(R1170=TRUE,"High cost",IF(S1170=TRUE,"Low quality","Benchmark")))</x:f>
        <x:v>Benchmark</x:v>
      </x:c>
    </x:row>
    <x:row r="1171">
      <x:c r="A1171" s="2" t="str">
        <x:v>244018</x:v>
      </x:c>
      <x:c r="B1171" s="2" t="str">
        <x:v>SANFORD BEHAVIORAL HEALTH CENTER</x:v>
      </x:c>
      <x:c r="C1171" s="2" t="str">
        <x:v>THIEF RIVER FALLS</x:v>
      </x:c>
      <x:c r="D1171" s="2" t="str">
        <x:v>MN</x:v>
      </x:c>
      <x:c r="E1171" s="2" t="str">
        <x:v>Psychiatric</x:v>
      </x:c>
      <x:c r="F1171" s="2" t="str">
        <x:v>Voluntary non-profit</x:v>
      </x:c>
      <x:c r="G1171" s="2" t="str">
        <x:v>Small (&lt;100 beds)</x:v>
      </x:c>
      <x:c r="H1171" s="7"/>
      <x:c r="I1171" s="7"/>
      <x:c r="J1171" s="7"/>
      <x:c r="K1171" s="8" t="n">
        <x:v>16</x:v>
      </x:c>
      <x:c r="L1171" s="8" t="n">
        <x:v>464</x:v>
      </x:c>
      <x:c r="M1171" s="9" t="n">
        <x:v>0.5867486339</x:v>
      </x:c>
      <x:c r="N1171" s="10" t="n">
        <x:v>35685.5517241379</x:v>
      </x:c>
      <x:c r="O1171" s="9" t="n">
        <x:v>-0.2630040879</x:v>
      </x:c>
      <x:c r="P1171" s="9" t="n">
        <x:v>0.7637540453</x:v>
      </x:c>
      <x:c r="Q1171" s="9" t="n">
        <x:v>0</x:v>
      </x:c>
      <x:c r="R1171" s="3" t="b">
        <x:v>0</x:v>
      </x:c>
      <x:c r="S1171" s="3" t="b">
        <x:v>0</x:v>
      </x:c>
      <x:c r="T1171" s="3" t="b">
        <x:v>0</x:v>
      </x:c>
      <x:c r="U1171" s="2" t="str">
        <x:f>IF(T1171=TRUE,"Priority review",IF(R1171=TRUE,"High cost",IF(S1171=TRUE,"Low quality","Benchmark")))</x:f>
        <x:v>Benchmark</x:v>
      </x:c>
    </x:row>
    <x:row r="1172">
      <x:c r="A1172" s="2" t="str">
        <x:v>380060</x:v>
      </x:c>
      <x:c r="B1172" s="2" t="str">
        <x:v>ADVENTIST HEALTH PORTLAND</x:v>
      </x:c>
      <x:c r="C1172" s="2" t="str">
        <x:v>PORTLAND</x:v>
      </x:c>
      <x:c r="D1172" s="2" t="str">
        <x:v>OR</x:v>
      </x:c>
      <x:c r="E1172" s="2" t="str">
        <x:v>Acute Care Hospitals</x:v>
      </x:c>
      <x:c r="F1172" s="2" t="str">
        <x:v>Voluntary non-profit</x:v>
      </x:c>
      <x:c r="G1172" s="2" t="str">
        <x:v>Medium (100-299 beds)</x:v>
      </x:c>
      <x:c r="H1172" s="7" t="n">
        <x:v>4</x:v>
      </x:c>
      <x:c r="I1172" s="7" t="n">
        <x:v>3</x:v>
      </x:c>
      <x:c r="J1172" s="7" t="n">
        <x:v>0.94</x:v>
      </x:c>
      <x:c r="K1172" s="8" t="n">
        <x:v>168</x:v>
      </x:c>
      <x:c r="L1172" s="8" t="n">
        <x:v>9624</x:v>
      </x:c>
      <x:c r="M1172" s="9" t="n">
        <x:v>0.5838714938</x:v>
      </x:c>
      <x:c r="N1172" s="10" t="n">
        <x:v>47251.7567539485</x:v>
      </x:c>
      <x:c r="O1172" s="9" t="n">
        <x:v>-0.1615313423</x:v>
      </x:c>
      <x:c r="P1172" s="9" t="n">
        <x:v>0.7636511817</x:v>
      </x:c>
      <x:c r="Q1172" s="9" t="n">
        <x:v>0.6022819886</x:v>
      </x:c>
      <x:c r="R1172" s="3" t="b">
        <x:v>0</x:v>
      </x:c>
      <x:c r="S1172" s="3" t="b">
        <x:v>0</x:v>
      </x:c>
      <x:c r="T1172" s="3" t="b">
        <x:v>0</x:v>
      </x:c>
      <x:c r="U1172" s="2" t="str">
        <x:f>IF(T1172=TRUE,"Priority review",IF(R1172=TRUE,"High cost",IF(S1172=TRUE,"Low quality","Benchmark")))</x:f>
        <x:v>Benchmark</x:v>
      </x:c>
    </x:row>
    <x:row r="1173">
      <x:c r="A1173" s="2" t="str">
        <x:v>351312</x:v>
      </x:c>
      <x:c r="B1173" s="2" t="str">
        <x:v>NORTHWOOD DEACONESS HEALTH CENTER</x:v>
      </x:c>
      <x:c r="C1173" s="2" t="str">
        <x:v>NORTHWOOD</x:v>
      </x:c>
      <x:c r="D1173" s="2" t="str">
        <x:v>ND</x:v>
      </x:c>
      <x:c r="E1173" s="2" t="str">
        <x:v>Critical Access Hospitals</x:v>
      </x:c>
      <x:c r="F1173" s="2" t="str">
        <x:v>Voluntary non-profit</x:v>
      </x:c>
      <x:c r="G1173" s="2" t="str">
        <x:v>Small (&lt;100 beds)</x:v>
      </x:c>
      <x:c r="H1173" s="7"/>
      <x:c r="I1173" s="7"/>
      <x:c r="J1173" s="7"/>
      <x:c r="K1173" s="8" t="n">
        <x:v>12</x:v>
      </x:c>
      <x:c r="L1173" s="8" t="n">
        <x:v>80</x:v>
      </x:c>
      <x:c r="M1173" s="9" t="n">
        <x:v>0.378870674</x:v>
      </x:c>
      <x:c r="N1173" s="10" t="n">
        <x:v>214679.525</x:v>
      </x:c>
      <x:c r="O1173" s="9" t="n">
        <x:v>-0.2489580358</x:v>
      </x:c>
      <x:c r="P1173" s="9" t="n">
        <x:v>0.7635687732</x:v>
      </x:c>
      <x:c r="Q1173" s="9" t="n">
        <x:v>0.292936803</x:v>
      </x:c>
      <x:c r="R1173" s="3" t="b">
        <x:v>0</x:v>
      </x:c>
      <x:c r="S1173" s="3" t="b">
        <x:v>0</x:v>
      </x:c>
      <x:c r="T1173" s="3" t="b">
        <x:v>0</x:v>
      </x:c>
      <x:c r="U1173" s="2" t="str">
        <x:f>IF(T1173=TRUE,"Priority review",IF(R1173=TRUE,"High cost",IF(S1173=TRUE,"Low quality","Benchmark")))</x:f>
        <x:v>Benchmark</x:v>
      </x:c>
    </x:row>
    <x:row r="1174">
      <x:c r="A1174" s="2" t="str">
        <x:v>110034</x:v>
      </x:c>
      <x:c r="B1174" s="2" t="str">
        <x:v>WELLSTAR MCG HEALTH, AFFILIATED WITH MED COL</x:v>
      </x:c>
      <x:c r="C1174" s="2" t="str">
        <x:v>AUGUSTA</x:v>
      </x:c>
      <x:c r="D1174" s="2" t="str">
        <x:v>GA</x:v>
      </x:c>
      <x:c r="E1174" s="2" t="str">
        <x:v>Acute Care Hospitals</x:v>
      </x:c>
      <x:c r="F1174" s="2" t="str">
        <x:v>Voluntary non-profit</x:v>
      </x:c>
      <x:c r="G1174" s="2" t="str">
        <x:v>Large (300+ beds)</x:v>
      </x:c>
      <x:c r="H1174" s="7" t="n">
        <x:v>1</x:v>
      </x:c>
      <x:c r="I1174" s="7" t="n">
        <x:v>3</x:v>
      </x:c>
      <x:c r="J1174" s="7" t="n">
        <x:v>1.04</x:v>
      </x:c>
      <x:c r="K1174" s="8" t="n">
        <x:v>484</x:v>
      </x:c>
      <x:c r="L1174" s="8" t="n">
        <x:v>22579</x:v>
      </x:c>
      <x:c r="M1174" s="9" t="n">
        <x:v>0.8229480358</x:v>
      </x:c>
      <x:c r="N1174" s="10" t="n">
        <x:v>54602.4196377165</x:v>
      </x:c>
      <x:c r="O1174" s="9" t="n">
        <x:v>-0.0836460483</x:v>
      </x:c>
      <x:c r="P1174" s="9" t="n">
        <x:v>0.7634069401</x:v>
      </x:c>
      <x:c r="Q1174" s="9" t="n">
        <x:v>0</x:v>
      </x:c>
      <x:c r="R1174" s="3" t="b">
        <x:v>0</x:v>
      </x:c>
      <x:c r="S1174" s="3" t="b">
        <x:v>1</x:v>
      </x:c>
      <x:c r="T1174" s="3" t="b">
        <x:v>0</x:v>
      </x:c>
      <x:c r="U1174" s="2" t="str">
        <x:f>IF(T1174=TRUE,"Priority review",IF(R1174=TRUE,"High cost",IF(S1174=TRUE,"Low quality","Benchmark")))</x:f>
        <x:v>Low quality</x:v>
      </x:c>
    </x:row>
    <x:row r="1175">
      <x:c r="A1175" s="2" t="str">
        <x:v>260061</x:v>
      </x:c>
      <x:c r="B1175" s="2" t="str">
        <x:v>NEVADA REGIONAL MEDICAL CENTER</x:v>
      </x:c>
      <x:c r="C1175" s="2" t="str">
        <x:v>NEVADA</x:v>
      </x:c>
      <x:c r="D1175" s="2" t="str">
        <x:v>MO</x:v>
      </x:c>
      <x:c r="E1175" s="2" t="str">
        <x:v>Acute Care Hospitals</x:v>
      </x:c>
      <x:c r="F1175" s="2" t="str">
        <x:v>Government</x:v>
      </x:c>
      <x:c r="G1175" s="2" t="str">
        <x:v>Small (&lt;100 beds)</x:v>
      </x:c>
      <x:c r="H1175" s="7"/>
      <x:c r="I1175" s="7" t="n">
        <x:v>4</x:v>
      </x:c>
      <x:c r="J1175" s="7" t="n">
        <x:v>0.97</x:v>
      </x:c>
      <x:c r="K1175" s="8" t="n">
        <x:v>41</x:v>
      </x:c>
      <x:c r="L1175" s="8" t="n">
        <x:v>679</x:v>
      </x:c>
      <x:c r="M1175" s="9" t="n">
        <x:v>0.2388907451</x:v>
      </x:c>
      <x:c r="N1175" s="10" t="n">
        <x:v>85940.941089838</x:v>
      </x:c>
      <x:c r="O1175" s="9" t="n">
        <x:v>-0.5114551841</x:v>
      </x:c>
      <x:c r="P1175" s="9" t="n">
        <x:v>0.763016158</x:v>
      </x:c>
      <x:c r="Q1175" s="9" t="n">
        <x:v>0.697486535</x:v>
      </x:c>
      <x:c r="R1175" s="3" t="b">
        <x:v>0</x:v>
      </x:c>
      <x:c r="S1175" s="3" t="b">
        <x:v>0</x:v>
      </x:c>
      <x:c r="T1175" s="3" t="b">
        <x:v>0</x:v>
      </x:c>
      <x:c r="U1175" s="2" t="str">
        <x:f>IF(T1175=TRUE,"Priority review",IF(R1175=TRUE,"High cost",IF(S1175=TRUE,"Low quality","Benchmark")))</x:f>
        <x:v>Benchmark</x:v>
      </x:c>
    </x:row>
    <x:row r="1176">
      <x:c r="A1176" s="2" t="str">
        <x:v>050779</x:v>
      </x:c>
      <x:c r="B1176" s="2" t="str">
        <x:v>MARTIN LUTHER KING, JR. COMMUNITY HOSPITAL</x:v>
      </x:c>
      <x:c r="C1176" s="2" t="str">
        <x:v>LOS ANGELES</x:v>
      </x:c>
      <x:c r="D1176" s="2" t="str">
        <x:v>CA</x:v>
      </x:c>
      <x:c r="E1176" s="2" t="str">
        <x:v>Acute Care Hospitals</x:v>
      </x:c>
      <x:c r="F1176" s="2" t="str">
        <x:v>Voluntary non-profit</x:v>
      </x:c>
      <x:c r="G1176" s="2" t="str">
        <x:v>Medium (100-299 beds)</x:v>
      </x:c>
      <x:c r="H1176" s="7" t="n">
        <x:v>4</x:v>
      </x:c>
      <x:c r="I1176" s="7" t="n">
        <x:v>3</x:v>
      </x:c>
      <x:c r="J1176" s="7" t="n">
        <x:v>0.95</x:v>
      </x:c>
      <x:c r="K1176" s="8" t="n">
        <x:v>152</x:v>
      </x:c>
      <x:c r="L1176" s="8" t="n">
        <x:v>9468</x:v>
      </x:c>
      <x:c r="M1176" s="9" t="n">
        <x:v>0.9410778659</x:v>
      </x:c>
      <x:c r="N1176" s="10" t="n">
        <x:v>47220.7642585551</x:v>
      </x:c>
      <x:c r="O1176" s="9" t="n">
        <x:v>-1.5518426668</x:v>
      </x:c>
      <x:c r="P1176" s="9" t="n">
        <x:v>0.7628361858</x:v>
      </x:c>
      <x:c r="Q1176" s="9" t="n">
        <x:v>0.6022819886</x:v>
      </x:c>
      <x:c r="R1176" s="3" t="b">
        <x:v>0</x:v>
      </x:c>
      <x:c r="S1176" s="3" t="b">
        <x:v>0</x:v>
      </x:c>
      <x:c r="T1176" s="3" t="b">
        <x:v>0</x:v>
      </x:c>
      <x:c r="U1176" s="2" t="str">
        <x:f>IF(T1176=TRUE,"Priority review",IF(R1176=TRUE,"High cost",IF(S1176=TRUE,"Low quality","Benchmark")))</x:f>
        <x:v>Benchmark</x:v>
      </x:c>
    </x:row>
    <x:row r="1177">
      <x:c r="A1177" s="2" t="str">
        <x:v>271329</x:v>
      </x:c>
      <x:c r="B1177" s="2" t="str">
        <x:v>MADISON VALLEY MEDICAL CENTER</x:v>
      </x:c>
      <x:c r="C1177" s="2" t="str">
        <x:v>ENNIS</x:v>
      </x:c>
      <x:c r="D1177" s="2" t="str">
        <x:v>MT</x:v>
      </x:c>
      <x:c r="E1177" s="2" t="str">
        <x:v>Critical Access Hospitals</x:v>
      </x:c>
      <x:c r="F1177" s="2" t="str">
        <x:v>Voluntary non-profit</x:v>
      </x:c>
      <x:c r="G1177" s="2" t="str">
        <x:v>Small (&lt;100 beds)</x:v>
      </x:c>
      <x:c r="H1177" s="7"/>
      <x:c r="I1177" s="7"/>
      <x:c r="J1177" s="7"/>
      <x:c r="K1177" s="8" t="n">
        <x:v>10</x:v>
      </x:c>
      <x:c r="L1177" s="8" t="n">
        <x:v>83</x:v>
      </x:c>
      <x:c r="M1177" s="9" t="n">
        <x:v>0.2333333333</x:v>
      </x:c>
      <x:c r="N1177" s="10" t="n">
        <x:v>214419.1927710843</x:v>
      </x:c>
      <x:c r="O1177" s="9" t="n">
        <x:v>-0.2242958514</x:v>
      </x:c>
      <x:c r="P1177" s="9" t="n">
        <x:v>0.7628252788</x:v>
      </x:c>
      <x:c r="Q1177" s="9" t="n">
        <x:v>0.292936803</x:v>
      </x:c>
      <x:c r="R1177" s="3" t="b">
        <x:v>0</x:v>
      </x:c>
      <x:c r="S1177" s="3" t="b">
        <x:v>0</x:v>
      </x:c>
      <x:c r="T1177" s="3" t="b">
        <x:v>0</x:v>
      </x:c>
      <x:c r="U1177" s="2" t="str">
        <x:f>IF(T1177=TRUE,"Priority review",IF(R1177=TRUE,"High cost",IF(S1177=TRUE,"Low quality","Benchmark")))</x:f>
        <x:v>Benchmark</x:v>
      </x:c>
    </x:row>
    <x:row r="1178">
      <x:c r="A1178" s="2" t="str">
        <x:v>060118</x:v>
      </x:c>
      <x:c r="B1178" s="2" t="str">
        <x:v>ST ANTHONY SUMMIT MEDICAL CENTER</x:v>
      </x:c>
      <x:c r="C1178" s="2" t="str">
        <x:v>FRISCO</x:v>
      </x:c>
      <x:c r="D1178" s="2" t="str">
        <x:v>CO</x:v>
      </x:c>
      <x:c r="E1178" s="2" t="str">
        <x:v>Acute Care Hospitals</x:v>
      </x:c>
      <x:c r="F1178" s="2" t="str">
        <x:v>Voluntary non-profit</x:v>
      </x:c>
      <x:c r="G1178" s="2" t="str">
        <x:v>Small (&lt;100 beds)</x:v>
      </x:c>
      <x:c r="H1178" s="7"/>
      <x:c r="I1178" s="7" t="n">
        <x:v>4</x:v>
      </x:c>
      <x:c r="J1178" s="7" t="n">
        <x:v>0.85</x:v>
      </x:c>
      <x:c r="K1178" s="8" t="n">
        <x:v>34</x:v>
      </x:c>
      <x:c r="L1178" s="8" t="n">
        <x:v>1282</x:v>
      </x:c>
      <x:c r="M1178" s="9" t="n">
        <x:v>0.3222401289</x:v>
      </x:c>
      <x:c r="N1178" s="10" t="n">
        <x:v>85919.9719188767</x:v>
      </x:c>
      <x:c r="O1178" s="9" t="n">
        <x:v>0.263131095</x:v>
      </x:c>
      <x:c r="P1178" s="9" t="n">
        <x:v>0.7621184919</x:v>
      </x:c>
      <x:c r="Q1178" s="9" t="n">
        <x:v>0.697486535</x:v>
      </x:c>
      <x:c r="R1178" s="3" t="b">
        <x:v>0</x:v>
      </x:c>
      <x:c r="S1178" s="3" t="b">
        <x:v>0</x:v>
      </x:c>
      <x:c r="T1178" s="3" t="b">
        <x:v>0</x:v>
      </x:c>
      <x:c r="U1178" s="2" t="str">
        <x:f>IF(T1178=TRUE,"Priority review",IF(R1178=TRUE,"High cost",IF(S1178=TRUE,"Low quality","Benchmark")))</x:f>
        <x:v>Benchmark</x:v>
      </x:c>
    </x:row>
    <x:row r="1179">
      <x:c r="A1179" s="2" t="str">
        <x:v>141317</x:v>
      </x:c>
      <x:c r="B1179" s="2" t="str">
        <x:v>GIBSON COMMUNITY HOSPITAL</x:v>
      </x:c>
      <x:c r="C1179" s="2" t="str">
        <x:v>GIBSON CITY</x:v>
      </x:c>
      <x:c r="D1179" s="2" t="str">
        <x:v>IL</x:v>
      </x:c>
      <x:c r="E1179" s="2" t="str">
        <x:v>Critical Access Hospitals</x:v>
      </x:c>
      <x:c r="F1179" s="2" t="str">
        <x:v>Voluntary non-profit</x:v>
      </x:c>
      <x:c r="G1179" s="2" t="str">
        <x:v>Small (&lt;100 beds)</x:v>
      </x:c>
      <x:c r="H1179" s="7" t="n">
        <x:v>4</x:v>
      </x:c>
      <x:c r="I1179" s="7"/>
      <x:c r="J1179" s="7"/>
      <x:c r="K1179" s="8" t="n">
        <x:v>25</x:v>
      </x:c>
      <x:c r="L1179" s="8" t="n">
        <x:v>775</x:v>
      </x:c>
      <x:c r="M1179" s="9" t="n">
        <x:v>0.3127868852</x:v>
      </x:c>
      <x:c r="N1179" s="10" t="n">
        <x:v>214355.5406451613</x:v>
      </x:c>
      <x:c r="O1179" s="9" t="n">
        <x:v>-0.0116444785</x:v>
      </x:c>
      <x:c r="P1179" s="9" t="n">
        <x:v>0.7620817844</x:v>
      </x:c>
      <x:c r="Q1179" s="9" t="n">
        <x:v>0.1657992565</x:v>
      </x:c>
      <x:c r="R1179" s="3" t="b">
        <x:v>0</x:v>
      </x:c>
      <x:c r="S1179" s="3" t="b">
        <x:v>0</x:v>
      </x:c>
      <x:c r="T1179" s="3" t="b">
        <x:v>0</x:v>
      </x:c>
      <x:c r="U1179" s="2" t="str">
        <x:f>IF(T1179=TRUE,"Priority review",IF(R1179=TRUE,"High cost",IF(S1179=TRUE,"Low quality","Benchmark")))</x:f>
        <x:v>Benchmark</x:v>
      </x:c>
    </x:row>
    <x:row r="1180">
      <x:c r="A1180" s="2" t="str">
        <x:v>050055</x:v>
      </x:c>
      <x:c r="B1180" s="2" t="str">
        <x:v>CALIFORNIA PACIFIC MEDICAL CENTER - MISSION BERNAL</x:v>
      </x:c>
      <x:c r="C1180" s="2" t="str">
        <x:v>SAN FRANCISCO</x:v>
      </x:c>
      <x:c r="D1180" s="2" t="str">
        <x:v>CA</x:v>
      </x:c>
      <x:c r="E1180" s="2" t="str">
        <x:v>Acute Care Hospitals</x:v>
      </x:c>
      <x:c r="F1180" s="2" t="str">
        <x:v>Voluntary non-profit</x:v>
      </x:c>
      <x:c r="G1180" s="2" t="str">
        <x:v>Medium (100-299 beds)</x:v>
      </x:c>
      <x:c r="H1180" s="7" t="n">
        <x:v>4</x:v>
      </x:c>
      <x:c r="I1180" s="7" t="n">
        <x:v>3</x:v>
      </x:c>
      <x:c r="J1180" s="7" t="n">
        <x:v>0.93</x:v>
      </x:c>
      <x:c r="K1180" s="8" t="n">
        <x:v>120</x:v>
      </x:c>
      <x:c r="L1180" s="8" t="n">
        <x:v>5309</x:v>
      </x:c>
      <x:c r="M1180" s="9" t="n">
        <x:v>0.5348360656</x:v>
      </x:c>
      <x:c r="N1180" s="10" t="n">
        <x:v>47137.7592766999</x:v>
      </x:c>
      <x:c r="O1180" s="9" t="n">
        <x:v>-0.3012689884</x:v>
      </x:c>
      <x:c r="P1180" s="9" t="n">
        <x:v>0.7620211899</x:v>
      </x:c>
      <x:c r="Q1180" s="9" t="n">
        <x:v>0.6022819886</x:v>
      </x:c>
      <x:c r="R1180" s="3" t="b">
        <x:v>0</x:v>
      </x:c>
      <x:c r="S1180" s="3" t="b">
        <x:v>0</x:v>
      </x:c>
      <x:c r="T1180" s="3" t="b">
        <x:v>0</x:v>
      </x:c>
      <x:c r="U1180" s="2" t="str">
        <x:f>IF(T1180=TRUE,"Priority review",IF(R1180=TRUE,"High cost",IF(S1180=TRUE,"Low quality","Benchmark")))</x:f>
        <x:v>Benchmark</x:v>
      </x:c>
    </x:row>
    <x:row r="1181">
      <x:c r="A1181" s="2" t="str">
        <x:v>150021</x:v>
      </x:c>
      <x:c r="B1181" s="2" t="str">
        <x:v>PARKVIEW REGIONAL MEDICAL CENTER</x:v>
      </x:c>
      <x:c r="C1181" s="2" t="str">
        <x:v>FORT WAYNE</x:v>
      </x:c>
      <x:c r="D1181" s="2" t="str">
        <x:v>IN</x:v>
      </x:c>
      <x:c r="E1181" s="2" t="str">
        <x:v>Acute Care Hospitals</x:v>
      </x:c>
      <x:c r="F1181" s="2" t="str">
        <x:v>Voluntary non-profit</x:v>
      </x:c>
      <x:c r="G1181" s="2" t="str">
        <x:v>Large (300+ beds)</x:v>
      </x:c>
      <x:c r="H1181" s="7" t="n">
        <x:v>3</x:v>
      </x:c>
      <x:c r="I1181" s="7" t="n">
        <x:v>4</x:v>
      </x:c>
      <x:c r="J1181" s="7" t="n">
        <x:v>1</x:v>
      </x:c>
      <x:c r="K1181" s="8" t="n">
        <x:v>779</x:v>
      </x:c>
      <x:c r="L1181" s="8" t="n">
        <x:v>36575</x:v>
      </x:c>
      <x:c r="M1181" s="9" t="n">
        <x:v>0.6676241784</x:v>
      </x:c>
      <x:c r="N1181" s="10" t="n">
        <x:v>54550.3835406699</x:v>
      </x:c>
      <x:c r="O1181" s="9" t="n">
        <x:v>-0.1147544278</x:v>
      </x:c>
      <x:c r="P1181" s="9" t="n">
        <x:v>0.761829653</x:v>
      </x:c>
      <x:c r="Q1181" s="9" t="n">
        <x:v>0.2570977918</x:v>
      </x:c>
      <x:c r="R1181" s="3" t="b">
        <x:v>0</x:v>
      </x:c>
      <x:c r="S1181" s="3" t="b">
        <x:v>0</x:v>
      </x:c>
      <x:c r="T1181" s="3" t="b">
        <x:v>0</x:v>
      </x:c>
      <x:c r="U1181" s="2" t="str">
        <x:f>IF(T1181=TRUE,"Priority review",IF(R1181=TRUE,"High cost",IF(S1181=TRUE,"Low quality","Benchmark")))</x:f>
        <x:v>Benchmark</x:v>
      </x:c>
    </x:row>
    <x:row r="1182">
      <x:c r="A1182" s="2" t="str">
        <x:v>241323</x:v>
      </x:c>
      <x:c r="B1182" s="2" t="str">
        <x:v>MADELIA HEALTH</x:v>
      </x:c>
      <x:c r="C1182" s="2" t="str">
        <x:v>MADELIA</x:v>
      </x:c>
      <x:c r="D1182" s="2" t="str">
        <x:v>MN</x:v>
      </x:c>
      <x:c r="E1182" s="2" t="str">
        <x:v>Critical Access Hospitals</x:v>
      </x:c>
      <x:c r="F1182" s="2" t="str">
        <x:v>Voluntary non-profit</x:v>
      </x:c>
      <x:c r="G1182" s="2" t="str">
        <x:v>Small (&lt;100 beds)</x:v>
      </x:c>
      <x:c r="H1182" s="7"/>
      <x:c r="I1182" s="7"/>
      <x:c r="J1182" s="7"/>
      <x:c r="K1182" s="8" t="n">
        <x:v>25</x:v>
      </x:c>
      <x:c r="L1182" s="8" t="n">
        <x:v>116</x:v>
      </x:c>
      <x:c r="M1182" s="9" t="n">
        <x:v>0.0872328767</x:v>
      </x:c>
      <x:c r="N1182" s="10" t="n">
        <x:v>214100.0431034483</x:v>
      </x:c>
      <x:c r="O1182" s="9" t="n">
        <x:v>-0.0780190733</x:v>
      </x:c>
      <x:c r="P1182" s="9" t="n">
        <x:v>0.76133829</x:v>
      </x:c>
      <x:c r="Q1182" s="9" t="n">
        <x:v>0.292936803</x:v>
      </x:c>
      <x:c r="R1182" s="3" t="b">
        <x:v>0</x:v>
      </x:c>
      <x:c r="S1182" s="3" t="b">
        <x:v>0</x:v>
      </x:c>
      <x:c r="T1182" s="3" t="b">
        <x:v>0</x:v>
      </x:c>
      <x:c r="U1182" s="2" t="str">
        <x:f>IF(T1182=TRUE,"Priority review",IF(R1182=TRUE,"High cost",IF(S1182=TRUE,"Low quality","Benchmark")))</x:f>
        <x:v>Benchmark</x:v>
      </x:c>
    </x:row>
    <x:row r="1183">
      <x:c r="A1183" s="2" t="str">
        <x:v>450658</x:v>
      </x:c>
      <x:c r="B1183" s="2" t="str">
        <x:v>FREESTONE MEDICAL CENTER</x:v>
      </x:c>
      <x:c r="C1183" s="2" t="str">
        <x:v>FAIRFIELD</x:v>
      </x:c>
      <x:c r="D1183" s="2" t="str">
        <x:v>TX</x:v>
      </x:c>
      <x:c r="E1183" s="2" t="str">
        <x:v>Acute Care Hospitals</x:v>
      </x:c>
      <x:c r="F1183" s="2" t="str">
        <x:v>Government</x:v>
      </x:c>
      <x:c r="G1183" s="2" t="str">
        <x:v>Small (&lt;100 beds)</x:v>
      </x:c>
      <x:c r="H1183" s="7"/>
      <x:c r="I1183" s="7"/>
      <x:c r="J1183" s="7" t="n">
        <x:v>0.87</x:v>
      </x:c>
      <x:c r="K1183" s="8" t="n">
        <x:v>37</x:v>
      </x:c>
      <x:c r="L1183" s="8" t="n">
        <x:v>236</x:v>
      </x:c>
      <x:c r="M1183" s="9" t="n">
        <x:v>0.0541278984</x:v>
      </x:c>
      <x:c r="N1183" s="10" t="n">
        <x:v>85439.6822033898</x:v>
      </x:c>
      <x:c r="O1183" s="9" t="n">
        <x:v>-0.2882754325</x:v>
      </x:c>
      <x:c r="P1183" s="9" t="n">
        <x:v>0.7612208259</x:v>
      </x:c>
      <x:c r="Q1183" s="9" t="n">
        <x:v>0.697486535</x:v>
      </x:c>
      <x:c r="R1183" s="3" t="b">
        <x:v>0</x:v>
      </x:c>
      <x:c r="S1183" s="3" t="b">
        <x:v>0</x:v>
      </x:c>
      <x:c r="T1183" s="3" t="b">
        <x:v>0</x:v>
      </x:c>
      <x:c r="U1183" s="2" t="str">
        <x:f>IF(T1183=TRUE,"Priority review",IF(R1183=TRUE,"High cost",IF(S1183=TRUE,"Low quality","Benchmark")))</x:f>
        <x:v>Benchmark</x:v>
      </x:c>
    </x:row>
    <x:row r="1184">
      <x:c r="A1184" s="2" t="str">
        <x:v>270014</x:v>
      </x:c>
      <x:c r="B1184" s="2" t="str">
        <x:v>ST. PATRICK HOSPITAL</x:v>
      </x:c>
      <x:c r="C1184" s="2" t="str">
        <x:v>MISSOULA</x:v>
      </x:c>
      <x:c r="D1184" s="2" t="str">
        <x:v>MT</x:v>
      </x:c>
      <x:c r="E1184" s="2" t="str">
        <x:v>Acute Care Hospitals</x:v>
      </x:c>
      <x:c r="F1184" s="2" t="str">
        <x:v>Voluntary non-profit</x:v>
      </x:c>
      <x:c r="G1184" s="2" t="str">
        <x:v>Medium (100-299 beds)</x:v>
      </x:c>
      <x:c r="H1184" s="7" t="n">
        <x:v>5</x:v>
      </x:c>
      <x:c r="I1184" s="7" t="n">
        <x:v>4</x:v>
      </x:c>
      <x:c r="J1184" s="7" t="n">
        <x:v>0.92</x:v>
      </x:c>
      <x:c r="K1184" s="8" t="n">
        <x:v>206</x:v>
      </x:c>
      <x:c r="L1184" s="8" t="n">
        <x:v>10425</x:v>
      </x:c>
      <x:c r="M1184" s="9" t="n">
        <x:v>0.7046129768</x:v>
      </x:c>
      <x:c r="N1184" s="10" t="n">
        <x:v>47073.1985611511</x:v>
      </x:c>
      <x:c r="O1184" s="9" t="n">
        <x:v>-0.0528180602</x:v>
      </x:c>
      <x:c r="P1184" s="9" t="n">
        <x:v>0.761206194</x:v>
      </x:c>
      <x:c r="Q1184" s="9" t="n">
        <x:v>0.8744906275</x:v>
      </x:c>
      <x:c r="R1184" s="3" t="b">
        <x:v>0</x:v>
      </x:c>
      <x:c r="S1184" s="3" t="b">
        <x:v>0</x:v>
      </x:c>
      <x:c r="T1184" s="3" t="b">
        <x:v>0</x:v>
      </x:c>
      <x:c r="U1184" s="2" t="str">
        <x:f>IF(T1184=TRUE,"Priority review",IF(R1184=TRUE,"High cost",IF(S1184=TRUE,"Low quality","Benchmark")))</x:f>
        <x:v>Benchmark</x:v>
      </x:c>
    </x:row>
    <x:row r="1185">
      <x:c r="A1185" s="2" t="str">
        <x:v>424007</x:v>
      </x:c>
      <x:c r="B1185" s="2" t="str">
        <x:v>SPRINGBROOK BEHAVIORAL HEALTH SYSTEM</x:v>
      </x:c>
      <x:c r="C1185" s="2" t="str">
        <x:v>TRAVELERS REST</x:v>
      </x:c>
      <x:c r="D1185" s="2" t="str">
        <x:v>SC</x:v>
      </x:c>
      <x:c r="E1185" s="2" t="str">
        <x:v>Psychiatric</x:v>
      </x:c>
      <x:c r="F1185" s="2" t="str">
        <x:v>Proprietary</x:v>
      </x:c>
      <x:c r="G1185" s="2" t="str">
        <x:v>Medium (100-299 beds)</x:v>
      </x:c>
      <x:c r="H1185" s="7"/>
      <x:c r="I1185" s="7"/>
      <x:c r="J1185" s="7"/>
      <x:c r="K1185" s="8" t="n">
        <x:v>135</x:v>
      </x:c>
      <x:c r="L1185" s="8" t="n">
        <x:v>885</x:v>
      </x:c>
      <x:c r="M1185" s="9" t="n">
        <x:v>0.7659785469</x:v>
      </x:c>
      <x:c r="N1185" s="10" t="n">
        <x:v>35464.393220339</x:v>
      </x:c>
      <x:c r="O1185" s="9" t="n">
        <x:v>-0.005222573</x:v>
      </x:c>
      <x:c r="P1185" s="9" t="n">
        <x:v>0.7611940299</x:v>
      </x:c>
      <x:c r="Q1185" s="9" t="n">
        <x:v>0</x:v>
      </x:c>
      <x:c r="R1185" s="3" t="b">
        <x:v>0</x:v>
      </x:c>
      <x:c r="S1185" s="3" t="b">
        <x:v>0</x:v>
      </x:c>
      <x:c r="T1185" s="3" t="b">
        <x:v>0</x:v>
      </x:c>
      <x:c r="U1185" s="2" t="str">
        <x:f>IF(T1185=TRUE,"Priority review",IF(R1185=TRUE,"High cost",IF(S1185=TRUE,"Low quality","Benchmark")))</x:f>
        <x:v>Benchmark</x:v>
      </x:c>
    </x:row>
    <x:row r="1186">
      <x:c r="A1186" s="2" t="str">
        <x:v>331319</x:v>
      </x:c>
      <x:c r="B1186" s="2" t="str">
        <x:v>MEDINA MEMORIAL HOSPITAL</x:v>
      </x:c>
      <x:c r="C1186" s="2" t="str">
        <x:v>MEDINA</x:v>
      </x:c>
      <x:c r="D1186" s="2" t="str">
        <x:v>NY</x:v>
      </x:c>
      <x:c r="E1186" s="2" t="str">
        <x:v>Critical Access Hospitals</x:v>
      </x:c>
      <x:c r="F1186" s="2" t="str">
        <x:v>Voluntary non-profit</x:v>
      </x:c>
      <x:c r="G1186" s="2" t="str">
        <x:v>Small (&lt;100 beds)</x:v>
      </x:c>
      <x:c r="H1186" s="7"/>
      <x:c r="I1186" s="7"/>
      <x:c r="J1186" s="7"/>
      <x:c r="K1186" s="8" t="n">
        <x:v>25</x:v>
      </x:c>
      <x:c r="L1186" s="8" t="n">
        <x:v>157</x:v>
      </x:c>
      <x:c r="M1186" s="9" t="n">
        <x:v>0.5048087432</x:v>
      </x:c>
      <x:c r="N1186" s="10" t="n">
        <x:v>213743.8089171975</x:v>
      </x:c>
      <x:c r="O1186" s="9" t="n">
        <x:v>-0.0818479935</x:v>
      </x:c>
      <x:c r="P1186" s="9" t="n">
        <x:v>0.7605947955</x:v>
      </x:c>
      <x:c r="Q1186" s="9" t="n">
        <x:v>0.292936803</x:v>
      </x:c>
      <x:c r="R1186" s="3" t="b">
        <x:v>0</x:v>
      </x:c>
      <x:c r="S1186" s="3" t="b">
        <x:v>0</x:v>
      </x:c>
      <x:c r="T1186" s="3" t="b">
        <x:v>0</x:v>
      </x:c>
      <x:c r="U1186" s="2" t="str">
        <x:f>IF(T1186=TRUE,"Priority review",IF(R1186=TRUE,"High cost",IF(S1186=TRUE,"Low quality","Benchmark")))</x:f>
        <x:v>Benchmark</x:v>
      </x:c>
    </x:row>
    <x:row r="1187">
      <x:c r="A1187" s="2" t="str">
        <x:v>444001</x:v>
      </x:c>
      <x:c r="B1187" s="2" t="str">
        <x:v>MEMPHIS MENTAL HEALTH INSTITUTE</x:v>
      </x:c>
      <x:c r="C1187" s="2" t="str">
        <x:v>MEMPHIS</x:v>
      </x:c>
      <x:c r="D1187" s="2" t="str">
        <x:v>TN</x:v>
      </x:c>
      <x:c r="E1187" s="2" t="str">
        <x:v>Psychiatric</x:v>
      </x:c>
      <x:c r="F1187" s="2" t="str">
        <x:v>Government</x:v>
      </x:c>
      <x:c r="G1187" s="2" t="str">
        <x:v>Small (&lt;100 beds)</x:v>
      </x:c>
      <x:c r="H1187" s="7"/>
      <x:c r="I1187" s="7"/>
      <x:c r="J1187" s="7"/>
      <x:c r="K1187" s="8" t="n">
        <x:v>55</x:v>
      </x:c>
      <x:c r="L1187" s="8" t="n">
        <x:v>765</x:v>
      </x:c>
      <x:c r="M1187" s="9" t="n">
        <x:v>0.7056537983</x:v>
      </x:c>
      <x:c r="N1187" s="10" t="n">
        <x:v>34691.0326797386</x:v>
      </x:c>
      <x:c r="O1187" s="9"/>
      <x:c r="P1187" s="9" t="n">
        <x:v>0.7605177994</x:v>
      </x:c>
      <x:c r="Q1187" s="9" t="n">
        <x:v>0</x:v>
      </x:c>
      <x:c r="R1187" s="3" t="b">
        <x:v>0</x:v>
      </x:c>
      <x:c r="S1187" s="3" t="b">
        <x:v>0</x:v>
      </x:c>
      <x:c r="T1187" s="3" t="b">
        <x:v>0</x:v>
      </x:c>
      <x:c r="U1187" s="2" t="str">
        <x:f>IF(T1187=TRUE,"Priority review",IF(R1187=TRUE,"High cost",IF(S1187=TRUE,"Low quality","Benchmark")))</x:f>
        <x:v>Benchmark</x:v>
      </x:c>
    </x:row>
    <x:row r="1188">
      <x:c r="A1188" s="2" t="str">
        <x:v>220066</x:v>
      </x:c>
      <x:c r="B1188" s="2" t="str">
        <x:v>MERCY MEDICAL CTR</x:v>
      </x:c>
      <x:c r="C1188" s="2" t="str">
        <x:v>SPRINGFIELD</x:v>
      </x:c>
      <x:c r="D1188" s="2" t="str">
        <x:v>MA</x:v>
      </x:c>
      <x:c r="E1188" s="2" t="str">
        <x:v>Acute Care Hospitals</x:v>
      </x:c>
      <x:c r="F1188" s="2" t="str">
        <x:v>Voluntary non-profit</x:v>
      </x:c>
      <x:c r="G1188" s="2" t="str">
        <x:v>Medium (100-299 beds)</x:v>
      </x:c>
      <x:c r="H1188" s="7" t="n">
        <x:v>2</x:v>
      </x:c>
      <x:c r="I1188" s="7" t="n">
        <x:v>3</x:v>
      </x:c>
      <x:c r="J1188" s="7" t="n">
        <x:v>1.01</x:v>
      </x:c>
      <x:c r="K1188" s="8" t="n">
        <x:v>150</x:v>
      </x:c>
      <x:c r="L1188" s="8" t="n">
        <x:v>7802</x:v>
      </x:c>
      <x:c r="M1188" s="9" t="n">
        <x:v>0.5983196347</x:v>
      </x:c>
      <x:c r="N1188" s="10" t="n">
        <x:v>47066.1791848244</x:v>
      </x:c>
      <x:c r="O1188" s="9" t="n">
        <x:v>-0.2545264129</x:v>
      </x:c>
      <x:c r="P1188" s="9" t="n">
        <x:v>0.760391198</x:v>
      </x:c>
      <x:c r="Q1188" s="9" t="n">
        <x:v>0.0782396088</x:v>
      </x:c>
      <x:c r="R1188" s="3" t="b">
        <x:v>0</x:v>
      </x:c>
      <x:c r="S1188" s="3" t="b">
        <x:v>1</x:v>
      </x:c>
      <x:c r="T1188" s="3" t="b">
        <x:v>0</x:v>
      </x:c>
      <x:c r="U1188" s="2" t="str">
        <x:f>IF(T1188=TRUE,"Priority review",IF(R1188=TRUE,"High cost",IF(S1188=TRUE,"Low quality","Benchmark")))</x:f>
        <x:v>Low quality</x:v>
      </x:c>
    </x:row>
    <x:row r="1189">
      <x:c r="A1189" s="2" t="str">
        <x:v>030107</x:v>
      </x:c>
      <x:c r="B1189" s="2" t="str">
        <x:v>ARIZONA SPINE AND JOINT HOSPITAL</x:v>
      </x:c>
      <x:c r="C1189" s="2" t="str">
        <x:v>MESA</x:v>
      </x:c>
      <x:c r="D1189" s="2" t="str">
        <x:v>AZ</x:v>
      </x:c>
      <x:c r="E1189" s="2" t="str">
        <x:v>Acute Care Hospitals</x:v>
      </x:c>
      <x:c r="F1189" s="2" t="str">
        <x:v>Other / unknown</x:v>
      </x:c>
      <x:c r="G1189" s="2" t="str">
        <x:v>Small (&lt;100 beds)</x:v>
      </x:c>
      <x:c r="H1189" s="7"/>
      <x:c r="I1189" s="7" t="n">
        <x:v>4</x:v>
      </x:c>
      <x:c r="J1189" s="7" t="n">
        <x:v>0.85</x:v>
      </x:c>
      <x:c r="K1189" s="8" t="n">
        <x:v>23</x:v>
      </x:c>
      <x:c r="L1189" s="8" t="n">
        <x:v>482</x:v>
      </x:c>
      <x:c r="M1189" s="9" t="n">
        <x:v>0.0962223806</x:v>
      </x:c>
      <x:c r="N1189" s="10" t="n">
        <x:v>84306.0746887967</x:v>
      </x:c>
      <x:c r="O1189" s="9" t="n">
        <x:v>0.2305575438</x:v>
      </x:c>
      <x:c r="P1189" s="9" t="n">
        <x:v>0.7603231598</x:v>
      </x:c>
      <x:c r="Q1189" s="9" t="n">
        <x:v>0.697486535</x:v>
      </x:c>
      <x:c r="R1189" s="3" t="b">
        <x:v>0</x:v>
      </x:c>
      <x:c r="S1189" s="3" t="b">
        <x:v>0</x:v>
      </x:c>
      <x:c r="T1189" s="3" t="b">
        <x:v>0</x:v>
      </x:c>
      <x:c r="U1189" s="2" t="str">
        <x:f>IF(T1189=TRUE,"Priority review",IF(R1189=TRUE,"High cost",IF(S1189=TRUE,"Low quality","Benchmark")))</x:f>
        <x:v>Benchmark</x:v>
      </x:c>
    </x:row>
    <x:row r="1190">
      <x:c r="A1190" s="2" t="str">
        <x:v>450193</x:v>
      </x:c>
      <x:c r="B1190" s="2" t="str">
        <x:v>Baylor St Lukes Medical Center</x:v>
      </x:c>
      <x:c r="C1190" s="2" t="str">
        <x:v>HOUSTON</x:v>
      </x:c>
      <x:c r="D1190" s="2" t="str">
        <x:v>TX</x:v>
      </x:c>
      <x:c r="E1190" s="2" t="str">
        <x:v>Acute Care Hospitals</x:v>
      </x:c>
      <x:c r="F1190" s="2" t="str">
        <x:v>Voluntary non-profit</x:v>
      </x:c>
      <x:c r="G1190" s="2" t="str">
        <x:v>Large (300+ beds)</x:v>
      </x:c>
      <x:c r="H1190" s="7" t="n">
        <x:v>4</x:v>
      </x:c>
      <x:c r="I1190" s="7" t="n">
        <x:v>2</x:v>
      </x:c>
      <x:c r="J1190" s="7" t="n">
        <x:v>1.04</x:v>
      </x:c>
      <x:c r="K1190" s="8" t="n">
        <x:v>643</x:v>
      </x:c>
      <x:c r="L1190" s="8" t="n">
        <x:v>27165</x:v>
      </x:c>
      <x:c r="M1190" s="9" t="n">
        <x:v>0.7725516095</x:v>
      </x:c>
      <x:c r="N1190" s="10" t="n">
        <x:v>54471.6874286766</x:v>
      </x:c>
      <x:c r="O1190" s="9" t="n">
        <x:v>-0.0221998055</x:v>
      </x:c>
      <x:c r="P1190" s="9" t="n">
        <x:v>0.7602523659</x:v>
      </x:c>
      <x:c r="Q1190" s="9" t="n">
        <x:v>0.5899053628</x:v>
      </x:c>
      <x:c r="R1190" s="3" t="b">
        <x:v>0</x:v>
      </x:c>
      <x:c r="S1190" s="3" t="b">
        <x:v>0</x:v>
      </x:c>
      <x:c r="T1190" s="3" t="b">
        <x:v>0</x:v>
      </x:c>
      <x:c r="U1190" s="2" t="str">
        <x:f>IF(T1190=TRUE,"Priority review",IF(R1190=TRUE,"High cost",IF(S1190=TRUE,"Low quality","Benchmark")))</x:f>
        <x:v>Benchmark</x:v>
      </x:c>
    </x:row>
    <x:row r="1191">
      <x:c r="A1191" s="2" t="str">
        <x:v>314013</x:v>
      </x:c>
      <x:c r="B1191" s="2" t="str">
        <x:v>TRENTON PSYCHIATRIC HOSP</x:v>
      </x:c>
      <x:c r="C1191" s="2" t="str">
        <x:v>TRENTON</x:v>
      </x:c>
      <x:c r="D1191" s="2" t="str">
        <x:v>NJ</x:v>
      </x:c>
      <x:c r="E1191" s="2" t="str">
        <x:v>Psychiatric</x:v>
      </x:c>
      <x:c r="F1191" s="2" t="str">
        <x:v>Government</x:v>
      </x:c>
      <x:c r="G1191" s="2" t="str">
        <x:v>Large (300+ beds)</x:v>
      </x:c>
      <x:c r="H1191" s="7"/>
      <x:c r="I1191" s="7"/>
      <x:c r="J1191" s="7"/>
      <x:c r="K1191" s="8" t="n">
        <x:v>400</x:v>
      </x:c>
      <x:c r="L1191" s="8" t="n">
        <x:v>188</x:v>
      </x:c>
      <x:c r="M1191" s="9" t="n">
        <x:v>0.7990684932</x:v>
      </x:c>
      <x:c r="N1191" s="10" t="n">
        <x:v>624251.414893617</x:v>
      </x:c>
      <x:c r="O1191" s="9" t="n">
        <x:v>-43.2639325144</x:v>
      </x:c>
      <x:c r="P1191" s="9" t="n">
        <x:v>0.76</x:v>
      </x:c>
      <x:c r="Q1191" s="9" t="n">
        <x:v>0</x:v>
      </x:c>
      <x:c r="R1191" s="3" t="b">
        <x:v>0</x:v>
      </x:c>
      <x:c r="S1191" s="3" t="b">
        <x:v>0</x:v>
      </x:c>
      <x:c r="T1191" s="3" t="b">
        <x:v>0</x:v>
      </x:c>
      <x:c r="U1191" s="2" t="str">
        <x:f>IF(T1191=TRUE,"Priority review",IF(R1191=TRUE,"High cost",IF(S1191=TRUE,"Low quality","Benchmark")))</x:f>
        <x:v>Benchmark</x:v>
      </x:c>
    </x:row>
    <x:row r="1192">
      <x:c r="A1192" s="2" t="str">
        <x:v>161344</x:v>
      </x:c>
      <x:c r="B1192" s="2" t="str">
        <x:v>WASHINGTON COUNTY HOSPITAL AND CLINICS</x:v>
      </x:c>
      <x:c r="C1192" s="2" t="str">
        <x:v>WASHINGTON</x:v>
      </x:c>
      <x:c r="D1192" s="2" t="str">
        <x:v>IA</x:v>
      </x:c>
      <x:c r="E1192" s="2" t="str">
        <x:v>Critical Access Hospitals</x:v>
      </x:c>
      <x:c r="F1192" s="2" t="str">
        <x:v>Voluntary non-profit</x:v>
      </x:c>
      <x:c r="G1192" s="2" t="str">
        <x:v>Small (&lt;100 beds)</x:v>
      </x:c>
      <x:c r="H1192" s="7"/>
      <x:c r="I1192" s="7"/>
      <x:c r="J1192" s="7"/>
      <x:c r="K1192" s="8" t="n">
        <x:v>22</x:v>
      </x:c>
      <x:c r="L1192" s="8" t="n">
        <x:v>288</x:v>
      </x:c>
      <x:c r="M1192" s="9" t="n">
        <x:v>0.1153175592</x:v>
      </x:c>
      <x:c r="N1192" s="10" t="n">
        <x:v>213576.6076388889</x:v>
      </x:c>
      <x:c r="O1192" s="9" t="n">
        <x:v>-0.2129644051</x:v>
      </x:c>
      <x:c r="P1192" s="9" t="n">
        <x:v>0.7598513011</x:v>
      </x:c>
      <x:c r="Q1192" s="9" t="n">
        <x:v>0.292936803</x:v>
      </x:c>
      <x:c r="R1192" s="3" t="b">
        <x:v>0</x:v>
      </x:c>
      <x:c r="S1192" s="3" t="b">
        <x:v>0</x:v>
      </x:c>
      <x:c r="T1192" s="3" t="b">
        <x:v>0</x:v>
      </x:c>
      <x:c r="U1192" s="2" t="str">
        <x:f>IF(T1192=TRUE,"Priority review",IF(R1192=TRUE,"High cost",IF(S1192=TRUE,"Low quality","Benchmark")))</x:f>
        <x:v>Benchmark</x:v>
      </x:c>
    </x:row>
    <x:row r="1193">
      <x:c r="A1193" s="2" t="str">
        <x:v>360054</x:v>
      </x:c>
      <x:c r="B1193" s="2" t="str">
        <x:v>HOLZER MEDICAL CENTER</x:v>
      </x:c>
      <x:c r="C1193" s="2" t="str">
        <x:v>GALLIPOLIS</x:v>
      </x:c>
      <x:c r="D1193" s="2" t="str">
        <x:v>OH</x:v>
      </x:c>
      <x:c r="E1193" s="2" t="str">
        <x:v>Acute Care Hospitals</x:v>
      </x:c>
      <x:c r="F1193" s="2" t="str">
        <x:v>Voluntary non-profit</x:v>
      </x:c>
      <x:c r="G1193" s="2" t="str">
        <x:v>Medium (100-299 beds)</x:v>
      </x:c>
      <x:c r="H1193" s="7" t="n">
        <x:v>4</x:v>
      </x:c>
      <x:c r="I1193" s="7" t="n">
        <x:v>4</x:v>
      </x:c>
      <x:c r="J1193" s="7" t="n">
        <x:v>1.15</x:v>
      </x:c>
      <x:c r="K1193" s="8" t="n">
        <x:v>148</x:v>
      </x:c>
      <x:c r="L1193" s="8" t="n">
        <x:v>4197</x:v>
      </x:c>
      <x:c r="M1193" s="9" t="n">
        <x:v>0.2809329878</x:v>
      </x:c>
      <x:c r="N1193" s="10" t="n">
        <x:v>47042.3893257088</x:v>
      </x:c>
      <x:c r="O1193" s="9" t="n">
        <x:v>0.1160233375</x:v>
      </x:c>
      <x:c r="P1193" s="9" t="n">
        <x:v>0.7595762021</x:v>
      </x:c>
      <x:c r="Q1193" s="9" t="n">
        <x:v>0.6022819886</x:v>
      </x:c>
      <x:c r="R1193" s="3" t="b">
        <x:v>0</x:v>
      </x:c>
      <x:c r="S1193" s="3" t="b">
        <x:v>0</x:v>
      </x:c>
      <x:c r="T1193" s="3" t="b">
        <x:v>0</x:v>
      </x:c>
      <x:c r="U1193" s="2" t="str">
        <x:f>IF(T1193=TRUE,"Priority review",IF(R1193=TRUE,"High cost",IF(S1193=TRUE,"Low quality","Benchmark")))</x:f>
        <x:v>Benchmark</x:v>
      </x:c>
    </x:row>
    <x:row r="1194">
      <x:c r="A1194" s="2" t="str">
        <x:v>100134</x:v>
      </x:c>
      <x:c r="B1194" s="2" t="str">
        <x:v>ED FRASER MEMORIAL HOSPITAL</x:v>
      </x:c>
      <x:c r="C1194" s="2" t="str">
        <x:v>MACCLENNY</x:v>
      </x:c>
      <x:c r="D1194" s="2" t="str">
        <x:v>FL</x:v>
      </x:c>
      <x:c r="E1194" s="2" t="str">
        <x:v>Acute Care Hospitals</x:v>
      </x:c>
      <x:c r="F1194" s="2" t="str">
        <x:v>Voluntary non-profit</x:v>
      </x:c>
      <x:c r="G1194" s="2" t="str">
        <x:v>Small (&lt;100 beds)</x:v>
      </x:c>
      <x:c r="H1194" s="7" t="n">
        <x:v>1</x:v>
      </x:c>
      <x:c r="I1194" s="7"/>
      <x:c r="J1194" s="7" t="n">
        <x:v>0.9</x:v>
      </x:c>
      <x:c r="K1194" s="8" t="n">
        <x:v>21</x:v>
      </x:c>
      <x:c r="L1194" s="8" t="n">
        <x:v>488</x:v>
      </x:c>
      <x:c r="M1194" s="9" t="n">
        <x:v>0.1779859485</x:v>
      </x:c>
      <x:c r="N1194" s="10" t="n">
        <x:v>84260.5307377049</x:v>
      </x:c>
      <x:c r="O1194" s="9" t="n">
        <x:v>-0.0655931403</x:v>
      </x:c>
      <x:c r="P1194" s="9" t="n">
        <x:v>0.7594254937</x:v>
      </x:c>
      <x:c r="Q1194" s="9" t="n">
        <x:v>0</x:v>
      </x:c>
      <x:c r="R1194" s="3" t="b">
        <x:v>0</x:v>
      </x:c>
      <x:c r="S1194" s="3" t="b">
        <x:v>1</x:v>
      </x:c>
      <x:c r="T1194" s="3" t="b">
        <x:v>0</x:v>
      </x:c>
      <x:c r="U1194" s="2" t="str">
        <x:f>IF(T1194=TRUE,"Priority review",IF(R1194=TRUE,"High cost",IF(S1194=TRUE,"Low quality","Benchmark")))</x:f>
        <x:v>Low quality</x:v>
      </x:c>
    </x:row>
    <x:row r="1195">
      <x:c r="A1195" s="2" t="str">
        <x:v>161307</x:v>
      </x:c>
      <x:c r="B1195" s="2" t="str">
        <x:v>HANCOCK COUNTY HEALTH SYSTEM</x:v>
      </x:c>
      <x:c r="C1195" s="2" t="str">
        <x:v>BRITT</x:v>
      </x:c>
      <x:c r="D1195" s="2" t="str">
        <x:v>IA</x:v>
      </x:c>
      <x:c r="E1195" s="2" t="str">
        <x:v>Critical Access Hospitals</x:v>
      </x:c>
      <x:c r="F1195" s="2" t="str">
        <x:v>Government</x:v>
      </x:c>
      <x:c r="G1195" s="2" t="str">
        <x:v>Small (&lt;100 beds)</x:v>
      </x:c>
      <x:c r="H1195" s="7"/>
      <x:c r="I1195" s="7"/>
      <x:c r="J1195" s="7"/>
      <x:c r="K1195" s="8" t="n">
        <x:v>25</x:v>
      </x:c>
      <x:c r="L1195" s="8" t="n">
        <x:v>161</x:v>
      </x:c>
      <x:c r="M1195" s="9" t="n">
        <x:v>0.2371506849</x:v>
      </x:c>
      <x:c r="N1195" s="10" t="n">
        <x:v>212654.6335403727</x:v>
      </x:c>
      <x:c r="O1195" s="9" t="n">
        <x:v>-0.0768167129</x:v>
      </x:c>
      <x:c r="P1195" s="9" t="n">
        <x:v>0.7591078067</x:v>
      </x:c>
      <x:c r="Q1195" s="9" t="n">
        <x:v>0.292936803</x:v>
      </x:c>
      <x:c r="R1195" s="3" t="b">
        <x:v>0</x:v>
      </x:c>
      <x:c r="S1195" s="3" t="b">
        <x:v>0</x:v>
      </x:c>
      <x:c r="T1195" s="3" t="b">
        <x:v>0</x:v>
      </x:c>
      <x:c r="U1195" s="2" t="str">
        <x:f>IF(T1195=TRUE,"Priority review",IF(R1195=TRUE,"High cost",IF(S1195=TRUE,"Low quality","Benchmark")))</x:f>
        <x:v>Benchmark</x:v>
      </x:c>
    </x:row>
    <x:row r="1196">
      <x:c r="A1196" s="2" t="str">
        <x:v>050411</x:v>
      </x:c>
      <x:c r="B1196" s="2" t="str">
        <x:v>KAISER FOUNDATION HOSPITAL - SOUTH BAY</x:v>
      </x:c>
      <x:c r="C1196" s="2" t="str">
        <x:v>HARBOR CITY</x:v>
      </x:c>
      <x:c r="D1196" s="2" t="str">
        <x:v>CA</x:v>
      </x:c>
      <x:c r="E1196" s="2" t="str">
        <x:v>Acute Care Hospitals</x:v>
      </x:c>
      <x:c r="F1196" s="2" t="str">
        <x:v>Voluntary non-profit</x:v>
      </x:c>
      <x:c r="G1196" s="2" t="str">
        <x:v>Medium (100-299 beds)</x:v>
      </x:c>
      <x:c r="H1196" s="7" t="n">
        <x:v>3</x:v>
      </x:c>
      <x:c r="I1196" s="7" t="n">
        <x:v>3</x:v>
      </x:c>
      <x:c r="J1196" s="7" t="n">
        <x:v>0.99</x:v>
      </x:c>
      <x:c r="K1196" s="8" t="n">
        <x:v>257</x:v>
      </x:c>
      <x:c r="L1196" s="8" t="n">
        <x:v>12463</x:v>
      </x:c>
      <x:c r="M1196" s="9" t="n">
        <x:v>0.5832961238</x:v>
      </x:c>
      <x:c r="N1196" s="10" t="n">
        <x:v>47041.772526679</x:v>
      </x:c>
      <x:c r="O1196" s="9" t="n">
        <x:v>0.112668523</x:v>
      </x:c>
      <x:c r="P1196" s="9" t="n">
        <x:v>0.7587612062</x:v>
      </x:c>
      <x:c r="Q1196" s="9" t="n">
        <x:v>0.3023634882</x:v>
      </x:c>
      <x:c r="R1196" s="3" t="b">
        <x:v>0</x:v>
      </x:c>
      <x:c r="S1196" s="3" t="b">
        <x:v>0</x:v>
      </x:c>
      <x:c r="T1196" s="3" t="b">
        <x:v>0</x:v>
      </x:c>
      <x:c r="U1196" s="2" t="str">
        <x:f>IF(T1196=TRUE,"Priority review",IF(R1196=TRUE,"High cost",IF(S1196=TRUE,"Low quality","Benchmark")))</x:f>
        <x:v>Benchmark</x:v>
      </x:c>
    </x:row>
    <x:row r="1197">
      <x:c r="A1197" s="2" t="str">
        <x:v>310014</x:v>
      </x:c>
      <x:c r="B1197" s="2" t="str">
        <x:v>COOPER UNIVERSITY HOSPITAL</x:v>
      </x:c>
      <x:c r="C1197" s="2" t="str">
        <x:v>CAMDEN</x:v>
      </x:c>
      <x:c r="D1197" s="2" t="str">
        <x:v>NJ</x:v>
      </x:c>
      <x:c r="E1197" s="2" t="str">
        <x:v>Acute Care Hospitals</x:v>
      </x:c>
      <x:c r="F1197" s="2" t="str">
        <x:v>Voluntary non-profit</x:v>
      </x:c>
      <x:c r="G1197" s="2" t="str">
        <x:v>Large (300+ beds)</x:v>
      </x:c>
      <x:c r="H1197" s="7" t="n">
        <x:v>2</x:v>
      </x:c>
      <x:c r="I1197" s="7" t="n">
        <x:v>3</x:v>
      </x:c>
      <x:c r="J1197" s="7" t="n">
        <x:v>1.03</x:v>
      </x:c>
      <x:c r="K1197" s="8" t="n">
        <x:v>567</x:v>
      </x:c>
      <x:c r="L1197" s="8" t="n">
        <x:v>32194</x:v>
      </x:c>
      <x:c r="M1197" s="9" t="n">
        <x:v>0.9411733495</x:v>
      </x:c>
      <x:c r="N1197" s="10" t="n">
        <x:v>54471.1747530596</x:v>
      </x:c>
      <x:c r="O1197" s="9" t="n">
        <x:v>0.0058617278</x:v>
      </x:c>
      <x:c r="P1197" s="9" t="n">
        <x:v>0.7586750789</x:v>
      </x:c>
      <x:c r="Q1197" s="9" t="n">
        <x:v>0.0536277603</x:v>
      </x:c>
      <x:c r="R1197" s="3" t="b">
        <x:v>0</x:v>
      </x:c>
      <x:c r="S1197" s="3" t="b">
        <x:v>1</x:v>
      </x:c>
      <x:c r="T1197" s="3" t="b">
        <x:v>0</x:v>
      </x:c>
      <x:c r="U1197" s="2" t="str">
        <x:f>IF(T1197=TRUE,"Priority review",IF(R1197=TRUE,"High cost",IF(S1197=TRUE,"Low quality","Benchmark")))</x:f>
        <x:v>Low quality</x:v>
      </x:c>
    </x:row>
    <x:row r="1198">
      <x:c r="A1198" s="2" t="str">
        <x:v>260097</x:v>
      </x:c>
      <x:c r="B1198" s="2" t="str">
        <x:v>WESTERN MISSOURI MEDICAL CENTER</x:v>
      </x:c>
      <x:c r="C1198" s="2" t="str">
        <x:v>WARRENSBURG</x:v>
      </x:c>
      <x:c r="D1198" s="2" t="str">
        <x:v>MO</x:v>
      </x:c>
      <x:c r="E1198" s="2" t="str">
        <x:v>Acute Care Hospitals</x:v>
      </x:c>
      <x:c r="F1198" s="2" t="str">
        <x:v>Government</x:v>
      </x:c>
      <x:c r="G1198" s="2" t="str">
        <x:v>Small (&lt;100 beds)</x:v>
      </x:c>
      <x:c r="H1198" s="7" t="n">
        <x:v>4</x:v>
      </x:c>
      <x:c r="I1198" s="7" t="n">
        <x:v>4</x:v>
      </x:c>
      <x:c r="J1198" s="7" t="n">
        <x:v>0.97</x:v>
      </x:c>
      <x:c r="K1198" s="8" t="n">
        <x:v>45</x:v>
      </x:c>
      <x:c r="L1198" s="8" t="n">
        <x:v>1594</x:v>
      </x:c>
      <x:c r="M1198" s="9" t="n">
        <x:v>0.3717061324</x:v>
      </x:c>
      <x:c r="N1198" s="10" t="n">
        <x:v>84215.8845671267</x:v>
      </x:c>
      <x:c r="O1198" s="9" t="n">
        <x:v>-0.1489210559</x:v>
      </x:c>
      <x:c r="P1198" s="9" t="n">
        <x:v>0.7585278276</x:v>
      </x:c>
      <x:c r="Q1198" s="9" t="n">
        <x:v>0.3913824057</x:v>
      </x:c>
      <x:c r="R1198" s="3" t="b">
        <x:v>0</x:v>
      </x:c>
      <x:c r="S1198" s="3" t="b">
        <x:v>0</x:v>
      </x:c>
      <x:c r="T1198" s="3" t="b">
        <x:v>0</x:v>
      </x:c>
      <x:c r="U1198" s="2" t="str">
        <x:f>IF(T1198=TRUE,"Priority review",IF(R1198=TRUE,"High cost",IF(S1198=TRUE,"Low quality","Benchmark")))</x:f>
        <x:v>Benchmark</x:v>
      </x:c>
    </x:row>
    <x:row r="1199">
      <x:c r="A1199" s="2" t="str">
        <x:v>521330</x:v>
      </x:c>
      <x:c r="B1199" s="2" t="str">
        <x:v>CROSSING RIVERS HEALTH MEDICAL CENTER</x:v>
      </x:c>
      <x:c r="C1199" s="2" t="str">
        <x:v>PRAIRIE DU CHIEN</x:v>
      </x:c>
      <x:c r="D1199" s="2" t="str">
        <x:v>WI</x:v>
      </x:c>
      <x:c r="E1199" s="2" t="str">
        <x:v>Critical Access Hospitals</x:v>
      </x:c>
      <x:c r="F1199" s="2" t="str">
        <x:v>Voluntary non-profit</x:v>
      </x:c>
      <x:c r="G1199" s="2" t="str">
        <x:v>Small (&lt;100 beds)</x:v>
      </x:c>
      <x:c r="H1199" s="7" t="n">
        <x:v>3</x:v>
      </x:c>
      <x:c r="I1199" s="7" t="n">
        <x:v>5</x:v>
      </x:c>
      <x:c r="J1199" s="7"/>
      <x:c r="K1199" s="8" t="n">
        <x:v>24</x:v>
      </x:c>
      <x:c r="L1199" s="8" t="n">
        <x:v>331</x:v>
      </x:c>
      <x:c r="M1199" s="9" t="n">
        <x:v>0.258424408</x:v>
      </x:c>
      <x:c r="N1199" s="10" t="n">
        <x:v>212624.4350453172</x:v>
      </x:c>
      <x:c r="O1199" s="9" t="n">
        <x:v>0.0282117004</x:v>
      </x:c>
      <x:c r="P1199" s="9" t="n">
        <x:v>0.7583643123</x:v>
      </x:c>
      <x:c r="Q1199" s="9" t="n">
        <x:v>0.0765799257</x:v>
      </x:c>
      <x:c r="R1199" s="3" t="b">
        <x:v>0</x:v>
      </x:c>
      <x:c r="S1199" s="3" t="b">
        <x:v>1</x:v>
      </x:c>
      <x:c r="T1199" s="3" t="b">
        <x:v>0</x:v>
      </x:c>
      <x:c r="U1199" s="2" t="str">
        <x:f>IF(T1199=TRUE,"Priority review",IF(R1199=TRUE,"High cost",IF(S1199=TRUE,"Low quality","Benchmark")))</x:f>
        <x:v>Low quality</x:v>
      </x:c>
    </x:row>
    <x:row r="1200">
      <x:c r="A1200" s="2" t="str">
        <x:v>100307</x:v>
      </x:c>
      <x:c r="B1200" s="2" t="str">
        <x:v>ASCENSION ST VINCENT'S SOUTHSIDE</x:v>
      </x:c>
      <x:c r="C1200" s="2" t="str">
        <x:v>JACKSONVILLE</x:v>
      </x:c>
      <x:c r="D1200" s="2" t="str">
        <x:v>FL</x:v>
      </x:c>
      <x:c r="E1200" s="2" t="str">
        <x:v>Acute Care Hospitals</x:v>
      </x:c>
      <x:c r="F1200" s="2" t="str">
        <x:v>Voluntary non-profit</x:v>
      </x:c>
      <x:c r="G1200" s="2" t="str">
        <x:v>Medium (100-299 beds)</x:v>
      </x:c>
      <x:c r="H1200" s="7" t="n">
        <x:v>4</x:v>
      </x:c>
      <x:c r="I1200" s="7" t="n">
        <x:v>2</x:v>
      </x:c>
      <x:c r="J1200" s="7" t="n">
        <x:v>1.11</x:v>
      </x:c>
      <x:c r="K1200" s="8" t="n">
        <x:v>227</x:v>
      </x:c>
      <x:c r="L1200" s="8" t="n">
        <x:v>10029</x:v>
      </x:c>
      <x:c r="M1200" s="9" t="n">
        <x:v>0.5057630801</x:v>
      </x:c>
      <x:c r="N1200" s="10" t="n">
        <x:v>47036.2295343504</x:v>
      </x:c>
      <x:c r="O1200" s="9" t="n">
        <x:v>-0.2447138495</x:v>
      </x:c>
      <x:c r="P1200" s="9" t="n">
        <x:v>0.7579462103</x:v>
      </x:c>
      <x:c r="Q1200" s="9" t="n">
        <x:v>0.6022819886</x:v>
      </x:c>
      <x:c r="R1200" s="3" t="b">
        <x:v>0</x:v>
      </x:c>
      <x:c r="S1200" s="3" t="b">
        <x:v>0</x:v>
      </x:c>
      <x:c r="T1200" s="3" t="b">
        <x:v>0</x:v>
      </x:c>
      <x:c r="U1200" s="2" t="str">
        <x:f>IF(T1200=TRUE,"Priority review",IF(R1200=TRUE,"High cost",IF(S1200=TRUE,"Low quality","Benchmark")))</x:f>
        <x:v>Benchmark</x:v>
      </x:c>
    </x:row>
    <x:row r="1201">
      <x:c r="A1201" s="2" t="str">
        <x:v>330033</x:v>
      </x:c>
      <x:c r="B1201" s="2" t="str">
        <x:v>CHENANGO MEMORIAL HOSPITAL</x:v>
      </x:c>
      <x:c r="C1201" s="2" t="str">
        <x:v>NORWICH</x:v>
      </x:c>
      <x:c r="D1201" s="2" t="str">
        <x:v>NY</x:v>
      </x:c>
      <x:c r="E1201" s="2" t="str">
        <x:v>Acute Care Hospitals</x:v>
      </x:c>
      <x:c r="F1201" s="2" t="str">
        <x:v>Voluntary non-profit</x:v>
      </x:c>
      <x:c r="G1201" s="2" t="str">
        <x:v>Small (&lt;100 beds)</x:v>
      </x:c>
      <x:c r="H1201" s="7" t="n">
        <x:v>2</x:v>
      </x:c>
      <x:c r="I1201" s="7" t="n">
        <x:v>4</x:v>
      </x:c>
      <x:c r="J1201" s="7" t="n">
        <x:v>0.93</x:v>
      </x:c>
      <x:c r="K1201" s="8" t="n">
        <x:v>58</x:v>
      </x:c>
      <x:c r="L1201" s="8" t="n">
        <x:v>1147</x:v>
      </x:c>
      <x:c r="M1201" s="9" t="n">
        <x:v>0.2178726211</x:v>
      </x:c>
      <x:c r="N1201" s="10" t="n">
        <x:v>84052.9058413252</x:v>
      </x:c>
      <x:c r="O1201" s="9" t="n">
        <x:v>0.0725689725</x:v>
      </x:c>
      <x:c r="P1201" s="9" t="n">
        <x:v>0.7576301616</x:v>
      </x:c>
      <x:c r="Q1201" s="9" t="n">
        <x:v>0.0350089767</x:v>
      </x:c>
      <x:c r="R1201" s="3" t="b">
        <x:v>0</x:v>
      </x:c>
      <x:c r="S1201" s="3" t="b">
        <x:v>1</x:v>
      </x:c>
      <x:c r="T1201" s="3" t="b">
        <x:v>0</x:v>
      </x:c>
      <x:c r="U1201" s="2" t="str">
        <x:f>IF(T1201=TRUE,"Priority review",IF(R1201=TRUE,"High cost",IF(S1201=TRUE,"Low quality","Benchmark")))</x:f>
        <x:v>Low quality</x:v>
      </x:c>
    </x:row>
    <x:row r="1202">
      <x:c r="A1202" s="2" t="str">
        <x:v>241313</x:v>
      </x:c>
      <x:c r="B1202" s="2" t="str">
        <x:v>ESSENTIA HEALTH ADA</x:v>
      </x:c>
      <x:c r="C1202" s="2" t="str">
        <x:v>ADA</x:v>
      </x:c>
      <x:c r="D1202" s="2" t="str">
        <x:v>MN</x:v>
      </x:c>
      <x:c r="E1202" s="2" t="str">
        <x:v>Critical Access Hospitals</x:v>
      </x:c>
      <x:c r="F1202" s="2" t="str">
        <x:v>Voluntary non-profit</x:v>
      </x:c>
      <x:c r="G1202" s="2" t="str">
        <x:v>Small (&lt;100 beds)</x:v>
      </x:c>
      <x:c r="H1202" s="7"/>
      <x:c r="I1202" s="7"/>
      <x:c r="J1202" s="7"/>
      <x:c r="K1202" s="8" t="n">
        <x:v>14</x:v>
      </x:c>
      <x:c r="L1202" s="8" t="n">
        <x:v>49</x:v>
      </x:c>
      <x:c r="M1202" s="9" t="n">
        <x:v>0.0534246575</x:v>
      </x:c>
      <x:c r="N1202" s="10" t="n">
        <x:v>211639.8979591837</x:v>
      </x:c>
      <x:c r="O1202" s="9" t="n">
        <x:v>0.0524934467</x:v>
      </x:c>
      <x:c r="P1202" s="9" t="n">
        <x:v>0.7576208178</x:v>
      </x:c>
      <x:c r="Q1202" s="9" t="n">
        <x:v>0.292936803</x:v>
      </x:c>
      <x:c r="R1202" s="3" t="b">
        <x:v>0</x:v>
      </x:c>
      <x:c r="S1202" s="3" t="b">
        <x:v>0</x:v>
      </x:c>
      <x:c r="T1202" s="3" t="b">
        <x:v>0</x:v>
      </x:c>
      <x:c r="U1202" s="2" t="str">
        <x:f>IF(T1202=TRUE,"Priority review",IF(R1202=TRUE,"High cost",IF(S1202=TRUE,"Low quality","Benchmark")))</x:f>
        <x:v>Benchmark</x:v>
      </x:c>
    </x:row>
    <x:row r="1203">
      <x:c r="A1203" s="2" t="str">
        <x:v>104067</x:v>
      </x:c>
      <x:c r="B1203" s="2" t="str">
        <x:v>ASPIRE HEALTH PARTNERS</x:v>
      </x:c>
      <x:c r="C1203" s="2" t="str">
        <x:v>ORLANDO</x:v>
      </x:c>
      <x:c r="D1203" s="2" t="str">
        <x:v>FL</x:v>
      </x:c>
      <x:c r="E1203" s="2" t="str">
        <x:v>Psychiatric</x:v>
      </x:c>
      <x:c r="F1203" s="2" t="str">
        <x:v>Voluntary non-profit</x:v>
      </x:c>
      <x:c r="G1203" s="2" t="str">
        <x:v>Small (&lt;100 beds)</x:v>
      </x:c>
      <x:c r="H1203" s="7"/>
      <x:c r="I1203" s="7"/>
      <x:c r="J1203" s="7"/>
      <x:c r="K1203" s="8" t="n">
        <x:v>90</x:v>
      </x:c>
      <x:c r="L1203" s="8" t="n">
        <x:v>3140</x:v>
      </x:c>
      <x:c r="M1203" s="9" t="n">
        <x:v>0.4661491629</x:v>
      </x:c>
      <x:c r="N1203" s="10" t="n">
        <x:v>34685.3296178344</x:v>
      </x:c>
      <x:c r="O1203" s="9" t="n">
        <x:v>-0.0014721222</x:v>
      </x:c>
      <x:c r="P1203" s="9" t="n">
        <x:v>0.7572815534</x:v>
      </x:c>
      <x:c r="Q1203" s="9" t="n">
        <x:v>0</x:v>
      </x:c>
      <x:c r="R1203" s="3" t="b">
        <x:v>0</x:v>
      </x:c>
      <x:c r="S1203" s="3" t="b">
        <x:v>0</x:v>
      </x:c>
      <x:c r="T1203" s="3" t="b">
        <x:v>0</x:v>
      </x:c>
      <x:c r="U1203" s="2" t="str">
        <x:f>IF(T1203=TRUE,"Priority review",IF(R1203=TRUE,"High cost",IF(S1203=TRUE,"Low quality","Benchmark")))</x:f>
        <x:v>Benchmark</x:v>
      </x:c>
    </x:row>
    <x:row r="1204">
      <x:c r="A1204" s="2" t="str">
        <x:v>230066</x:v>
      </x:c>
      <x:c r="B1204" s="2" t="str">
        <x:v>TRINITY HEALTH MUSKEGON HOSPITAL</x:v>
      </x:c>
      <x:c r="C1204" s="2" t="str">
        <x:v>MUSKEGON</x:v>
      </x:c>
      <x:c r="D1204" s="2" t="str">
        <x:v>MI</x:v>
      </x:c>
      <x:c r="E1204" s="2" t="str">
        <x:v>Acute Care Hospitals</x:v>
      </x:c>
      <x:c r="F1204" s="2" t="str">
        <x:v>Voluntary non-profit</x:v>
      </x:c>
      <x:c r="G1204" s="2" t="str">
        <x:v>Medium (100-299 beds)</x:v>
      </x:c>
      <x:c r="H1204" s="7" t="n">
        <x:v>3</x:v>
      </x:c>
      <x:c r="I1204" s="7" t="n">
        <x:v>3</x:v>
      </x:c>
      <x:c r="J1204" s="7" t="n">
        <x:v>0.92</x:v>
      </x:c>
      <x:c r="K1204" s="8" t="n">
        <x:v>261</x:v>
      </x:c>
      <x:c r="L1204" s="8" t="n">
        <x:v>16584</x:v>
      </x:c>
      <x:c r="M1204" s="9" t="n">
        <x:v>0.8066013517</x:v>
      </x:c>
      <x:c r="N1204" s="10" t="n">
        <x:v>46978.6218041486</x:v>
      </x:c>
      <x:c r="O1204" s="9" t="n">
        <x:v>-0.0745002481</x:v>
      </x:c>
      <x:c r="P1204" s="9" t="n">
        <x:v>0.7571312143</x:v>
      </x:c>
      <x:c r="Q1204" s="9" t="n">
        <x:v>0.3023634882</x:v>
      </x:c>
      <x:c r="R1204" s="3" t="b">
        <x:v>0</x:v>
      </x:c>
      <x:c r="S1204" s="3" t="b">
        <x:v>0</x:v>
      </x:c>
      <x:c r="T1204" s="3" t="b">
        <x:v>0</x:v>
      </x:c>
      <x:c r="U1204" s="2" t="str">
        <x:f>IF(T1204=TRUE,"Priority review",IF(R1204=TRUE,"High cost",IF(S1204=TRUE,"Low quality","Benchmark")))</x:f>
        <x:v>Benchmark</x:v>
      </x:c>
    </x:row>
    <x:row r="1205">
      <x:c r="A1205" s="2" t="str">
        <x:v>260105</x:v>
      </x:c>
      <x:c r="B1205" s="2" t="str">
        <x:v>SSM HEALTH SAINT LOUIS UNIVERSITY HOSPITAL</x:v>
      </x:c>
      <x:c r="C1205" s="2" t="str">
        <x:v>SAINT LOUIS</x:v>
      </x:c>
      <x:c r="D1205" s="2" t="str">
        <x:v>MO</x:v>
      </x:c>
      <x:c r="E1205" s="2" t="str">
        <x:v>Acute Care Hospitals</x:v>
      </x:c>
      <x:c r="F1205" s="2" t="str">
        <x:v>Voluntary non-profit</x:v>
      </x:c>
      <x:c r="G1205" s="2" t="str">
        <x:v>Large (300+ beds)</x:v>
      </x:c>
      <x:c r="H1205" s="7" t="n">
        <x:v>1</x:v>
      </x:c>
      <x:c r="I1205" s="7" t="n">
        <x:v>2</x:v>
      </x:c>
      <x:c r="J1205" s="7" t="n">
        <x:v>1.06</x:v>
      </x:c>
      <x:c r="K1205" s="8" t="n">
        <x:v>382</x:v>
      </x:c>
      <x:c r="L1205" s="8" t="n">
        <x:v>16904</x:v>
      </x:c>
      <x:c r="M1205" s="9" t="n">
        <x:v>0.8694890281</x:v>
      </x:c>
      <x:c r="N1205" s="10" t="n">
        <x:v>54465.7059867487</x:v>
      </x:c>
      <x:c r="O1205" s="9" t="n">
        <x:v>-0.0683361525</x:v>
      </x:c>
      <x:c r="P1205" s="9" t="n">
        <x:v>0.7570977918</x:v>
      </x:c>
      <x:c r="Q1205" s="9" t="n">
        <x:v>0</x:v>
      </x:c>
      <x:c r="R1205" s="3" t="b">
        <x:v>0</x:v>
      </x:c>
      <x:c r="S1205" s="3" t="b">
        <x:v>1</x:v>
      </x:c>
      <x:c r="T1205" s="3" t="b">
        <x:v>0</x:v>
      </x:c>
      <x:c r="U1205" s="2" t="str">
        <x:f>IF(T1205=TRUE,"Priority review",IF(R1205=TRUE,"High cost",IF(S1205=TRUE,"Low quality","Benchmark")))</x:f>
        <x:v>Low quality</x:v>
      </x:c>
    </x:row>
    <x:row r="1206">
      <x:c r="A1206" s="2" t="str">
        <x:v>161319</x:v>
      </x:c>
      <x:c r="B1206" s="2" t="str">
        <x:v>MERCYONE ELKADER MEDICAL CENTER</x:v>
      </x:c>
      <x:c r="C1206" s="2" t="str">
        <x:v>ELKADER</x:v>
      </x:c>
      <x:c r="D1206" s="2" t="str">
        <x:v>IA</x:v>
      </x:c>
      <x:c r="E1206" s="2" t="str">
        <x:v>Critical Access Hospitals</x:v>
      </x:c>
      <x:c r="F1206" s="2" t="str">
        <x:v>Voluntary non-profit</x:v>
      </x:c>
      <x:c r="G1206" s="2" t="str">
        <x:v>Small (&lt;100 beds)</x:v>
      </x:c>
      <x:c r="H1206" s="7"/>
      <x:c r="I1206" s="7"/>
      <x:c r="J1206" s="7"/>
      <x:c r="K1206" s="8" t="n">
        <x:v>15</x:v>
      </x:c>
      <x:c r="L1206" s="8" t="n">
        <x:v>66</x:v>
      </x:c>
      <x:c r="M1206" s="9" t="n">
        <x:v>0.0879120879</x:v>
      </x:c>
      <x:c r="N1206" s="10" t="n">
        <x:v>211046.1515151515</x:v>
      </x:c>
      <x:c r="O1206" s="9"/>
      <x:c r="P1206" s="9" t="n">
        <x:v>0.7568773234</x:v>
      </x:c>
      <x:c r="Q1206" s="9" t="n">
        <x:v>0.292936803</x:v>
      </x:c>
      <x:c r="R1206" s="3" t="b">
        <x:v>0</x:v>
      </x:c>
      <x:c r="S1206" s="3" t="b">
        <x:v>0</x:v>
      </x:c>
      <x:c r="T1206" s="3" t="b">
        <x:v>0</x:v>
      </x:c>
      <x:c r="U1206" s="2" t="str">
        <x:f>IF(T1206=TRUE,"Priority review",IF(R1206=TRUE,"High cost",IF(S1206=TRUE,"Low quality","Benchmark")))</x:f>
        <x:v>Benchmark</x:v>
      </x:c>
    </x:row>
    <x:row r="1207">
      <x:c r="A1207" s="2" t="str">
        <x:v>330307</x:v>
      </x:c>
      <x:c r="B1207" s="2" t="str">
        <x:v>CAYUGA MEDICAL CENTER AT ITHACA</x:v>
      </x:c>
      <x:c r="C1207" s="2" t="str">
        <x:v>ITHACA</x:v>
      </x:c>
      <x:c r="D1207" s="2" t="str">
        <x:v>NY</x:v>
      </x:c>
      <x:c r="E1207" s="2" t="str">
        <x:v>Acute Care Hospitals</x:v>
      </x:c>
      <x:c r="F1207" s="2" t="str">
        <x:v>Voluntary non-profit</x:v>
      </x:c>
      <x:c r="G1207" s="2" t="str">
        <x:v>Small (&lt;100 beds)</x:v>
      </x:c>
      <x:c r="H1207" s="7" t="n">
        <x:v>3</x:v>
      </x:c>
      <x:c r="I1207" s="7" t="n">
        <x:v>3</x:v>
      </x:c>
      <x:c r="J1207" s="7" t="n">
        <x:v>1.04</x:v>
      </x:c>
      <x:c r="K1207" s="8" t="n">
        <x:v>87</x:v>
      </x:c>
      <x:c r="L1207" s="8" t="n">
        <x:v>4869</x:v>
      </x:c>
      <x:c r="M1207" s="9" t="n">
        <x:v>0.7600653225</x:v>
      </x:c>
      <x:c r="N1207" s="10" t="n">
        <x:v>84043.6989114808</x:v>
      </x:c>
      <x:c r="O1207" s="9" t="n">
        <x:v>-0.1490322179</x:v>
      </x:c>
      <x:c r="P1207" s="9" t="n">
        <x:v>0.7567324955</x:v>
      </x:c>
      <x:c r="Q1207" s="9" t="n">
        <x:v>0.1687612208</x:v>
      </x:c>
      <x:c r="R1207" s="3" t="b">
        <x:v>0</x:v>
      </x:c>
      <x:c r="S1207" s="3" t="b">
        <x:v>0</x:v>
      </x:c>
      <x:c r="T1207" s="3" t="b">
        <x:v>0</x:v>
      </x:c>
      <x:c r="U1207" s="2" t="str">
        <x:f>IF(T1207=TRUE,"Priority review",IF(R1207=TRUE,"High cost",IF(S1207=TRUE,"Low quality","Benchmark")))</x:f>
        <x:v>Benchmark</x:v>
      </x:c>
    </x:row>
    <x:row r="1208">
      <x:c r="A1208" s="2" t="str">
        <x:v>190008</x:v>
      </x:c>
      <x:c r="B1208" s="2" t="str">
        <x:v>TERREBONNE GENERAL MEDICAL CENTER - PARISH</x:v>
      </x:c>
      <x:c r="C1208" s="2" t="str">
        <x:v>HOUMA</x:v>
      </x:c>
      <x:c r="D1208" s="2" t="str">
        <x:v>LA</x:v>
      </x:c>
      <x:c r="E1208" s="2" t="str">
        <x:v>Acute Care Hospitals</x:v>
      </x:c>
      <x:c r="F1208" s="2" t="str">
        <x:v>Government</x:v>
      </x:c>
      <x:c r="G1208" s="2" t="str">
        <x:v>Medium (100-299 beds)</x:v>
      </x:c>
      <x:c r="H1208" s="7" t="n">
        <x:v>4</x:v>
      </x:c>
      <x:c r="I1208" s="7" t="n">
        <x:v>4</x:v>
      </x:c>
      <x:c r="J1208" s="7" t="n">
        <x:v>1.04</x:v>
      </x:c>
      <x:c r="K1208" s="8" t="n">
        <x:v>151</x:v>
      </x:c>
      <x:c r="L1208" s="8" t="n">
        <x:v>5687</x:v>
      </x:c>
      <x:c r="M1208" s="9" t="n">
        <x:v>0.4826816656</x:v>
      </x:c>
      <x:c r="N1208" s="10" t="n">
        <x:v>46902.3877263935</x:v>
      </x:c>
      <x:c r="O1208" s="9" t="n">
        <x:v>-0.0705968588</x:v>
      </x:c>
      <x:c r="P1208" s="9" t="n">
        <x:v>0.7563162184</x:v>
      </x:c>
      <x:c r="Q1208" s="9" t="n">
        <x:v>0.6022819886</x:v>
      </x:c>
      <x:c r="R1208" s="3" t="b">
        <x:v>0</x:v>
      </x:c>
      <x:c r="S1208" s="3" t="b">
        <x:v>0</x:v>
      </x:c>
      <x:c r="T1208" s="3" t="b">
        <x:v>0</x:v>
      </x:c>
      <x:c r="U1208" s="2" t="str">
        <x:f>IF(T1208=TRUE,"Priority review",IF(R1208=TRUE,"High cost",IF(S1208=TRUE,"Low quality","Benchmark")))</x:f>
        <x:v>Benchmark</x:v>
      </x:c>
    </x:row>
    <x:row r="1209">
      <x:c r="A1209" s="2" t="str">
        <x:v>104024</x:v>
      </x:c>
      <x:c r="B1209" s="2" t="str">
        <x:v>CIRCLES OF CARE, INC</x:v>
      </x:c>
      <x:c r="C1209" s="2" t="str">
        <x:v>MELBOURNE</x:v>
      </x:c>
      <x:c r="D1209" s="2" t="str">
        <x:v>FL</x:v>
      </x:c>
      <x:c r="E1209" s="2" t="str">
        <x:v>Psychiatric</x:v>
      </x:c>
      <x:c r="F1209" s="2" t="str">
        <x:v>Voluntary non-profit</x:v>
      </x:c>
      <x:c r="G1209" s="2" t="str">
        <x:v>Medium (100-299 beds)</x:v>
      </x:c>
      <x:c r="H1209" s="7"/>
      <x:c r="I1209" s="7"/>
      <x:c r="J1209" s="7"/>
      <x:c r="K1209" s="8" t="n">
        <x:v>148</x:v>
      </x:c>
      <x:c r="L1209" s="8" t="n">
        <x:v>1416</x:v>
      </x:c>
      <x:c r="M1209" s="9" t="n">
        <x:v>0.5228248797</x:v>
      </x:c>
      <x:c r="N1209" s="10" t="n">
        <x:v>34591.3255649718</x:v>
      </x:c>
      <x:c r="O1209" s="9" t="n">
        <x:v>-1.1242005948</x:v>
      </x:c>
      <x:c r="P1209" s="9" t="n">
        <x:v>0.7562189055</x:v>
      </x:c>
      <x:c r="Q1209" s="9" t="n">
        <x:v>0</x:v>
      </x:c>
      <x:c r="R1209" s="3" t="b">
        <x:v>0</x:v>
      </x:c>
      <x:c r="S1209" s="3" t="b">
        <x:v>0</x:v>
      </x:c>
      <x:c r="T1209" s="3" t="b">
        <x:v>0</x:v>
      </x:c>
      <x:c r="U1209" s="2" t="str">
        <x:f>IF(T1209=TRUE,"Priority review",IF(R1209=TRUE,"High cost",IF(S1209=TRUE,"Low quality","Benchmark")))</x:f>
        <x:v>Benchmark</x:v>
      </x:c>
    </x:row>
    <x:row r="1210">
      <x:c r="A1210" s="2" t="str">
        <x:v>161314</x:v>
      </x:c>
      <x:c r="B1210" s="2" t="str">
        <x:v>GUTHRIE COUNTY HOSPITAL</x:v>
      </x:c>
      <x:c r="C1210" s="2" t="str">
        <x:v>GUTHRIE CENTER</x:v>
      </x:c>
      <x:c r="D1210" s="2" t="str">
        <x:v>IA</x:v>
      </x:c>
      <x:c r="E1210" s="2" t="str">
        <x:v>Critical Access Hospitals</x:v>
      </x:c>
      <x:c r="F1210" s="2" t="str">
        <x:v>Voluntary non-profit</x:v>
      </x:c>
      <x:c r="G1210" s="2" t="str">
        <x:v>Small (&lt;100 beds)</x:v>
      </x:c>
      <x:c r="H1210" s="7"/>
      <x:c r="I1210" s="7"/>
      <x:c r="J1210" s="7"/>
      <x:c r="K1210" s="8" t="n">
        <x:v>25</x:v>
      </x:c>
      <x:c r="L1210" s="8" t="n">
        <x:v>124</x:v>
      </x:c>
      <x:c r="M1210" s="9" t="n">
        <x:v>0.0743013699</x:v>
      </x:c>
      <x:c r="N1210" s="10" t="n">
        <x:v>210687.3870967742</x:v>
      </x:c>
      <x:c r="O1210" s="9" t="n">
        <x:v>0.0153099544</x:v>
      </x:c>
      <x:c r="P1210" s="9" t="n">
        <x:v>0.756133829</x:v>
      </x:c>
      <x:c r="Q1210" s="9" t="n">
        <x:v>0.292936803</x:v>
      </x:c>
      <x:c r="R1210" s="3" t="b">
        <x:v>0</x:v>
      </x:c>
      <x:c r="S1210" s="3" t="b">
        <x:v>0</x:v>
      </x:c>
      <x:c r="T1210" s="3" t="b">
        <x:v>0</x:v>
      </x:c>
      <x:c r="U1210" s="2" t="str">
        <x:f>IF(T1210=TRUE,"Priority review",IF(R1210=TRUE,"High cost",IF(S1210=TRUE,"Low quality","Benchmark")))</x:f>
        <x:v>Benchmark</x:v>
      </x:c>
    </x:row>
    <x:row r="1211">
      <x:c r="A1211" s="2" t="str">
        <x:v>390322</x:v>
      </x:c>
      <x:c r="B1211" s="2" t="str">
        <x:v>ROTHMAN ORTHOPAEDIC SPECIALTY HOSPITAL</x:v>
      </x:c>
      <x:c r="C1211" s="2" t="str">
        <x:v>BENSALEM</x:v>
      </x:c>
      <x:c r="D1211" s="2" t="str">
        <x:v>PA</x:v>
      </x:c>
      <x:c r="E1211" s="2" t="str">
        <x:v>Acute Care Hospitals</x:v>
      </x:c>
      <x:c r="F1211" s="2" t="str">
        <x:v>Proprietary</x:v>
      </x:c>
      <x:c r="G1211" s="2" t="str">
        <x:v>Small (&lt;100 beds)</x:v>
      </x:c>
      <x:c r="H1211" s="7"/>
      <x:c r="I1211" s="7" t="n">
        <x:v>5</x:v>
      </x:c>
      <x:c r="J1211" s="7" t="n">
        <x:v>0.77</x:v>
      </x:c>
      <x:c r="K1211" s="8" t="n">
        <x:v>24</x:v>
      </x:c>
      <x:c r="L1211" s="8" t="n">
        <x:v>705</x:v>
      </x:c>
      <x:c r="M1211" s="9" t="n">
        <x:v>0.1007513661</x:v>
      </x:c>
      <x:c r="N1211" s="10" t="n">
        <x:v>84014.3134751773</x:v>
      </x:c>
      <x:c r="O1211" s="9" t="n">
        <x:v>0.147497514</x:v>
      </x:c>
      <x:c r="P1211" s="9" t="n">
        <x:v>0.7558348294</x:v>
      </x:c>
      <x:c r="Q1211" s="9" t="n">
        <x:v>0.697486535</x:v>
      </x:c>
      <x:c r="R1211" s="3" t="b">
        <x:v>0</x:v>
      </x:c>
      <x:c r="S1211" s="3" t="b">
        <x:v>0</x:v>
      </x:c>
      <x:c r="T1211" s="3" t="b">
        <x:v>0</x:v>
      </x:c>
      <x:c r="U1211" s="2" t="str">
        <x:f>IF(T1211=TRUE,"Priority review",IF(R1211=TRUE,"High cost",IF(S1211=TRUE,"Low quality","Benchmark")))</x:f>
        <x:v>Benchmark</x:v>
      </x:c>
    </x:row>
    <x:row r="1212">
      <x:c r="A1212" s="2" t="str">
        <x:v>070025</x:v>
      </x:c>
      <x:c r="B1212" s="2" t="str">
        <x:v>HARTFORD HOSPITAL</x:v>
      </x:c>
      <x:c r="C1212" s="2" t="str">
        <x:v>HARTFORD</x:v>
      </x:c>
      <x:c r="D1212" s="2" t="str">
        <x:v>CT</x:v>
      </x:c>
      <x:c r="E1212" s="2" t="str">
        <x:v>Acute Care Hospitals</x:v>
      </x:c>
      <x:c r="F1212" s="2" t="str">
        <x:v>Voluntary non-profit</x:v>
      </x:c>
      <x:c r="G1212" s="2" t="str">
        <x:v>Large (300+ beds)</x:v>
      </x:c>
      <x:c r="H1212" s="7" t="n">
        <x:v>4</x:v>
      </x:c>
      <x:c r="I1212" s="7" t="n">
        <x:v>2</x:v>
      </x:c>
      <x:c r="J1212" s="7" t="n">
        <x:v>1.02</x:v>
      </x:c>
      <x:c r="K1212" s="8" t="n">
        <x:v>723</x:v>
      </x:c>
      <x:c r="L1212" s="8" t="n">
        <x:v>44761</x:v>
      </x:c>
      <x:c r="M1212" s="9" t="n">
        <x:v>0.9090235736</x:v>
      </x:c>
      <x:c r="N1212" s="10" t="n">
        <x:v>54285.0022564286</x:v>
      </x:c>
      <x:c r="O1212" s="9" t="n">
        <x:v>-0.2046504714</x:v>
      </x:c>
      <x:c r="P1212" s="9" t="n">
        <x:v>0.7555205047</x:v>
      </x:c>
      <x:c r="Q1212" s="9" t="n">
        <x:v>0.5899053628</x:v>
      </x:c>
      <x:c r="R1212" s="3" t="b">
        <x:v>0</x:v>
      </x:c>
      <x:c r="S1212" s="3" t="b">
        <x:v>0</x:v>
      </x:c>
      <x:c r="T1212" s="3" t="b">
        <x:v>0</x:v>
      </x:c>
      <x:c r="U1212" s="2" t="str">
        <x:f>IF(T1212=TRUE,"Priority review",IF(R1212=TRUE,"High cost",IF(S1212=TRUE,"Low quality","Benchmark")))</x:f>
        <x:v>Benchmark</x:v>
      </x:c>
    </x:row>
    <x:row r="1213">
      <x:c r="A1213" s="2" t="str">
        <x:v>300034</x:v>
      </x:c>
      <x:c r="B1213" s="2" t="str">
        <x:v>CATHOLIC MEDICAL CENTER</x:v>
      </x:c>
      <x:c r="C1213" s="2" t="str">
        <x:v>MANCHESTER</x:v>
      </x:c>
      <x:c r="D1213" s="2" t="str">
        <x:v>NH</x:v>
      </x:c>
      <x:c r="E1213" s="2" t="str">
        <x:v>Acute Care Hospitals</x:v>
      </x:c>
      <x:c r="F1213" s="2" t="str">
        <x:v>Voluntary non-profit</x:v>
      </x:c>
      <x:c r="G1213" s="2" t="str">
        <x:v>Medium (100-299 beds)</x:v>
      </x:c>
      <x:c r="H1213" s="7" t="n">
        <x:v>4</x:v>
      </x:c>
      <x:c r="I1213" s="7" t="n">
        <x:v>3</x:v>
      </x:c>
      <x:c r="J1213" s="7" t="n">
        <x:v>0.97</x:v>
      </x:c>
      <x:c r="K1213" s="8" t="n">
        <x:v>262</x:v>
      </x:c>
      <x:c r="L1213" s="8" t="n">
        <x:v>10668</x:v>
      </x:c>
      <x:c r="M1213" s="9" t="n">
        <x:v>0.5962019772</x:v>
      </x:c>
      <x:c r="N1213" s="10" t="n">
        <x:v>46817.562992126</x:v>
      </x:c>
      <x:c r="O1213" s="9" t="n">
        <x:v>-0.0747826414</x:v>
      </x:c>
      <x:c r="P1213" s="9" t="n">
        <x:v>0.7555012225</x:v>
      </x:c>
      <x:c r="Q1213" s="9" t="n">
        <x:v>0.6022819886</x:v>
      </x:c>
      <x:c r="R1213" s="3" t="b">
        <x:v>0</x:v>
      </x:c>
      <x:c r="S1213" s="3" t="b">
        <x:v>0</x:v>
      </x:c>
      <x:c r="T1213" s="3" t="b">
        <x:v>0</x:v>
      </x:c>
      <x:c r="U1213" s="2" t="str">
        <x:f>IF(T1213=TRUE,"Priority review",IF(R1213=TRUE,"High cost",IF(S1213=TRUE,"Low quality","Benchmark")))</x:f>
        <x:v>Benchmark</x:v>
      </x:c>
    </x:row>
    <x:row r="1214">
      <x:c r="A1214" s="2" t="str">
        <x:v>451339</x:v>
      </x:c>
      <x:c r="B1214" s="2" t="str">
        <x:v>THROCKMORTON COUNTY MEMORIAL HOSPITAL</x:v>
      </x:c>
      <x:c r="C1214" s="2" t="str">
        <x:v>THROCKMORTON</x:v>
      </x:c>
      <x:c r="D1214" s="2" t="str">
        <x:v>TX</x:v>
      </x:c>
      <x:c r="E1214" s="2" t="str">
        <x:v>Critical Access Hospitals</x:v>
      </x:c>
      <x:c r="F1214" s="2" t="str">
        <x:v>Government</x:v>
      </x:c>
      <x:c r="G1214" s="2" t="str">
        <x:v>Small (&lt;100 beds)</x:v>
      </x:c>
      <x:c r="H1214" s="7"/>
      <x:c r="I1214" s="7"/>
      <x:c r="J1214" s="7"/>
      <x:c r="K1214" s="8" t="n">
        <x:v>14</x:v>
      </x:c>
      <x:c r="L1214" s="8" t="n">
        <x:v>28</x:v>
      </x:c>
      <x:c r="M1214" s="9" t="n">
        <x:v>0.0677103718</x:v>
      </x:c>
      <x:c r="N1214" s="10" t="n">
        <x:v>210191.6071428571</x:v>
      </x:c>
      <x:c r="O1214" s="9" t="n">
        <x:v>-0.6277730928</x:v>
      </x:c>
      <x:c r="P1214" s="9" t="n">
        <x:v>0.7553903346</x:v>
      </x:c>
      <x:c r="Q1214" s="9" t="n">
        <x:v>0.292936803</x:v>
      </x:c>
      <x:c r="R1214" s="3" t="b">
        <x:v>0</x:v>
      </x:c>
      <x:c r="S1214" s="3" t="b">
        <x:v>0</x:v>
      </x:c>
      <x:c r="T1214" s="3" t="b">
        <x:v>0</x:v>
      </x:c>
      <x:c r="U1214" s="2" t="str">
        <x:f>IF(T1214=TRUE,"Priority review",IF(R1214=TRUE,"High cost",IF(S1214=TRUE,"Low quality","Benchmark")))</x:f>
        <x:v>Benchmark</x:v>
      </x:c>
    </x:row>
    <x:row r="1215">
      <x:c r="A1215" s="2" t="str">
        <x:v>370201</x:v>
      </x:c>
      <x:c r="B1215" s="2" t="str">
        <x:v>SURGICAL HOSPITAL OF OKLAHOMA</x:v>
      </x:c>
      <x:c r="C1215" s="2" t="str">
        <x:v>OKLAHOMA CITY</x:v>
      </x:c>
      <x:c r="D1215" s="2" t="str">
        <x:v>OK</x:v>
      </x:c>
      <x:c r="E1215" s="2" t="str">
        <x:v>Acute Care Hospitals</x:v>
      </x:c>
      <x:c r="F1215" s="2" t="str">
        <x:v>Other / unknown</x:v>
      </x:c>
      <x:c r="G1215" s="2" t="str">
        <x:v>Small (&lt;100 beds)</x:v>
      </x:c>
      <x:c r="H1215" s="7"/>
      <x:c r="I1215" s="7"/>
      <x:c r="J1215" s="7" t="n">
        <x:v>0.89</x:v>
      </x:c>
      <x:c r="K1215" s="8" t="n">
        <x:v>12</x:v>
      </x:c>
      <x:c r="L1215" s="8" t="n">
        <x:v>333</x:v>
      </x:c>
      <x:c r="M1215" s="9" t="n">
        <x:v>0.1302367942</x:v>
      </x:c>
      <x:c r="N1215" s="10" t="n">
        <x:v>83914.7567567568</x:v>
      </x:c>
      <x:c r="O1215" s="9" t="n">
        <x:v>-0.1478760303</x:v>
      </x:c>
      <x:c r="P1215" s="9" t="n">
        <x:v>0.7549371634</x:v>
      </x:c>
      <x:c r="Q1215" s="9" t="n">
        <x:v>0.697486535</x:v>
      </x:c>
      <x:c r="R1215" s="3" t="b">
        <x:v>0</x:v>
      </x:c>
      <x:c r="S1215" s="3" t="b">
        <x:v>0</x:v>
      </x:c>
      <x:c r="T1215" s="3" t="b">
        <x:v>0</x:v>
      </x:c>
      <x:c r="U1215" s="2" t="str">
        <x:f>IF(T1215=TRUE,"Priority review",IF(R1215=TRUE,"High cost",IF(S1215=TRUE,"Low quality","Benchmark")))</x:f>
        <x:v>Benchmark</x:v>
      </x:c>
    </x:row>
    <x:row r="1216">
      <x:c r="A1216" s="2" t="str">
        <x:v>330185</x:v>
      </x:c>
      <x:c r="B1216" s="2" t="str">
        <x:v>JOHN T MATHER MEMORIAL HOSPITAL  OF PORT JEFFERSON</x:v>
      </x:c>
      <x:c r="C1216" s="2" t="str">
        <x:v>PORT JEFFERSON</x:v>
      </x:c>
      <x:c r="D1216" s="2" t="str">
        <x:v>NY</x:v>
      </x:c>
      <x:c r="E1216" s="2" t="str">
        <x:v>Acute Care Hospitals</x:v>
      </x:c>
      <x:c r="F1216" s="2" t="str">
        <x:v>Voluntary non-profit</x:v>
      </x:c>
      <x:c r="G1216" s="2" t="str">
        <x:v>Medium (100-299 beds)</x:v>
      </x:c>
      <x:c r="H1216" s="7" t="n">
        <x:v>5</x:v>
      </x:c>
      <x:c r="I1216" s="7" t="n">
        <x:v>4</x:v>
      </x:c>
      <x:c r="J1216" s="7" t="n">
        <x:v>1.02</x:v>
      </x:c>
      <x:c r="K1216" s="8" t="n">
        <x:v>195</x:v>
      </x:c>
      <x:c r="L1216" s="8" t="n">
        <x:v>9805</x:v>
      </x:c>
      <x:c r="M1216" s="9" t="n">
        <x:v>0.7016597995</x:v>
      </x:c>
      <x:c r="N1216" s="10" t="n">
        <x:v>46784.1483936767</x:v>
      </x:c>
      <x:c r="O1216" s="9" t="n">
        <x:v>-0.0422490455</x:v>
      </x:c>
      <x:c r="P1216" s="9" t="n">
        <x:v>0.7546862266</x:v>
      </x:c>
      <x:c r="Q1216" s="9" t="n">
        <x:v>0.8744906275</x:v>
      </x:c>
      <x:c r="R1216" s="3" t="b">
        <x:v>0</x:v>
      </x:c>
      <x:c r="S1216" s="3" t="b">
        <x:v>0</x:v>
      </x:c>
      <x:c r="T1216" s="3" t="b">
        <x:v>0</x:v>
      </x:c>
      <x:c r="U1216" s="2" t="str">
        <x:f>IF(T1216=TRUE,"Priority review",IF(R1216=TRUE,"High cost",IF(S1216=TRUE,"Low quality","Benchmark")))</x:f>
        <x:v>Benchmark</x:v>
      </x:c>
    </x:row>
    <x:row r="1217">
      <x:c r="A1217" s="2" t="str">
        <x:v>041331</x:v>
      </x:c>
      <x:c r="B1217" s="2" t="str">
        <x:v>OZARKS COMMUNITY HOSPITAL OF GRAVETTE</x:v>
      </x:c>
      <x:c r="C1217" s="2" t="str">
        <x:v>GRAVETTE</x:v>
      </x:c>
      <x:c r="D1217" s="2" t="str">
        <x:v>AR</x:v>
      </x:c>
      <x:c r="E1217" s="2" t="str">
        <x:v>Critical Access Hospitals</x:v>
      </x:c>
      <x:c r="F1217" s="2" t="str">
        <x:v>Voluntary non-profit</x:v>
      </x:c>
      <x:c r="G1217" s="2" t="str">
        <x:v>Small (&lt;100 beds)</x:v>
      </x:c>
      <x:c r="H1217" s="7"/>
      <x:c r="I1217" s="7"/>
      <x:c r="J1217" s="7"/>
      <x:c r="K1217" s="8" t="n">
        <x:v>25</x:v>
      </x:c>
      <x:c r="L1217" s="8" t="n">
        <x:v>353</x:v>
      </x:c>
      <x:c r="M1217" s="9" t="n">
        <x:v>0.5602185792</x:v>
      </x:c>
      <x:c r="N1217" s="10" t="n">
        <x:v>210073.6203966006</x:v>
      </x:c>
      <x:c r="O1217" s="9" t="n">
        <x:v>-0.2180866214</x:v>
      </x:c>
      <x:c r="P1217" s="9" t="n">
        <x:v>0.7546468401</x:v>
      </x:c>
      <x:c r="Q1217" s="9" t="n">
        <x:v>0.292936803</x:v>
      </x:c>
      <x:c r="R1217" s="3" t="b">
        <x:v>0</x:v>
      </x:c>
      <x:c r="S1217" s="3" t="b">
        <x:v>0</x:v>
      </x:c>
      <x:c r="T1217" s="3" t="b">
        <x:v>0</x:v>
      </x:c>
      <x:c r="U1217" s="2" t="str">
        <x:f>IF(T1217=TRUE,"Priority review",IF(R1217=TRUE,"High cost",IF(S1217=TRUE,"Low quality","Benchmark")))</x:f>
        <x:v>Benchmark</x:v>
      </x:c>
    </x:row>
    <x:row r="1218">
      <x:c r="A1218" s="2" t="str">
        <x:v>364044</x:v>
      </x:c>
      <x:c r="B1218" s="2" t="str">
        <x:v>LINDNER CENTER OF HOPE</x:v>
      </x:c>
      <x:c r="C1218" s="2" t="str">
        <x:v>MASON</x:v>
      </x:c>
      <x:c r="D1218" s="2" t="str">
        <x:v>OH</x:v>
      </x:c>
      <x:c r="E1218" s="2" t="str">
        <x:v>Psychiatric</x:v>
      </x:c>
      <x:c r="F1218" s="2" t="str">
        <x:v>Voluntary non-profit</x:v>
      </x:c>
      <x:c r="G1218" s="2" t="str">
        <x:v>Small (&lt;100 beds)</x:v>
      </x:c>
      <x:c r="H1218" s="7"/>
      <x:c r="I1218" s="7"/>
      <x:c r="J1218" s="7"/>
      <x:c r="K1218" s="8" t="n">
        <x:v>32</x:v>
      </x:c>
      <x:c r="L1218" s="8" t="n">
        <x:v>1406</x:v>
      </x:c>
      <x:c r="M1218" s="9" t="n">
        <x:v>0.7955479452</x:v>
      </x:c>
      <x:c r="N1218" s="10" t="n">
        <x:v>34239.1899004267</x:v>
      </x:c>
      <x:c r="O1218" s="9" t="n">
        <x:v>-0.1476135521</x:v>
      </x:c>
      <x:c r="P1218" s="9" t="n">
        <x:v>0.7540453074</x:v>
      </x:c>
      <x:c r="Q1218" s="9" t="n">
        <x:v>0</x:v>
      </x:c>
      <x:c r="R1218" s="3" t="b">
        <x:v>0</x:v>
      </x:c>
      <x:c r="S1218" s="3" t="b">
        <x:v>0</x:v>
      </x:c>
      <x:c r="T1218" s="3" t="b">
        <x:v>0</x:v>
      </x:c>
      <x:c r="U1218" s="2" t="str">
        <x:f>IF(T1218=TRUE,"Priority review",IF(R1218=TRUE,"High cost",IF(S1218=TRUE,"Low quality","Benchmark")))</x:f>
        <x:v>Benchmark</x:v>
      </x:c>
    </x:row>
    <x:row r="1219">
      <x:c r="A1219" s="2" t="str">
        <x:v>230055</x:v>
      </x:c>
      <x:c r="B1219" s="2" t="str">
        <x:v>DICKINSON COUNTY MEMORIAL HOSPITAL</x:v>
      </x:c>
      <x:c r="C1219" s="2" t="str">
        <x:v>IRON MOUNTAIN</x:v>
      </x:c>
      <x:c r="D1219" s="2" t="str">
        <x:v>MI</x:v>
      </x:c>
      <x:c r="E1219" s="2" t="str">
        <x:v>Acute Care Hospitals</x:v>
      </x:c>
      <x:c r="F1219" s="2" t="str">
        <x:v>Government</x:v>
      </x:c>
      <x:c r="G1219" s="2" t="str">
        <x:v>Small (&lt;100 beds)</x:v>
      </x:c>
      <x:c r="H1219" s="7" t="n">
        <x:v>2</x:v>
      </x:c>
      <x:c r="I1219" s="7" t="n">
        <x:v>3</x:v>
      </x:c>
      <x:c r="J1219" s="7" t="n">
        <x:v>0.96</x:v>
      </x:c>
      <x:c r="K1219" s="8" t="n">
        <x:v>49</x:v>
      </x:c>
      <x:c r="L1219" s="8" t="n">
        <x:v>1907</x:v>
      </x:c>
      <x:c r="M1219" s="9" t="n">
        <x:v>0.4761347162</x:v>
      </x:c>
      <x:c r="N1219" s="10" t="n">
        <x:v>83899.1295228107</x:v>
      </x:c>
      <x:c r="O1219" s="9" t="n">
        <x:v>-0.1757297286</x:v>
      </x:c>
      <x:c r="P1219" s="9" t="n">
        <x:v>0.7540394973</x:v>
      </x:c>
      <x:c r="Q1219" s="9" t="n">
        <x:v>0.0350089767</x:v>
      </x:c>
      <x:c r="R1219" s="3" t="b">
        <x:v>0</x:v>
      </x:c>
      <x:c r="S1219" s="3" t="b">
        <x:v>1</x:v>
      </x:c>
      <x:c r="T1219" s="3" t="b">
        <x:v>0</x:v>
      </x:c>
      <x:c r="U1219" s="2" t="str">
        <x:f>IF(T1219=TRUE,"Priority review",IF(R1219=TRUE,"High cost",IF(S1219=TRUE,"Low quality","Benchmark")))</x:f>
        <x:v>Low quality</x:v>
      </x:c>
    </x:row>
    <x:row r="1220">
      <x:c r="A1220" s="2" t="str">
        <x:v>050778</x:v>
      </x:c>
      <x:c r="B1220" s="2" t="str">
        <x:v>LOMA LINDA UNIVERSITY CHILDREN'S HOSPITAL</x:v>
      </x:c>
      <x:c r="C1220" s="2" t="str">
        <x:v>LOMA LINDA</x:v>
      </x:c>
      <x:c r="D1220" s="2" t="str">
        <x:v>CA</x:v>
      </x:c>
      <x:c r="E1220" s="2" t="str">
        <x:v>Acute Care Hospitals</x:v>
      </x:c>
      <x:c r="F1220" s="2" t="str">
        <x:v>Voluntary non-profit</x:v>
      </x:c>
      <x:c r="G1220" s="2" t="str">
        <x:v>Large (300+ beds)</x:v>
      </x:c>
      <x:c r="H1220" s="7" t="n">
        <x:v>3</x:v>
      </x:c>
      <x:c r="I1220" s="7" t="n">
        <x:v>3</x:v>
      </x:c>
      <x:c r="J1220" s="7"/>
      <x:c r="K1220" s="8" t="n">
        <x:v>364</x:v>
      </x:c>
      <x:c r="L1220" s="8" t="n">
        <x:v>12753</x:v>
      </x:c>
      <x:c r="M1220" s="9" t="n">
        <x:v>0.712170706</x:v>
      </x:c>
      <x:c r="N1220" s="10" t="n">
        <x:v>54239.5471653729</x:v>
      </x:c>
      <x:c r="O1220" s="9" t="n">
        <x:v>-0.2810640087</x:v>
      </x:c>
      <x:c r="P1220" s="9" t="n">
        <x:v>0.7539432177</x:v>
      </x:c>
      <x:c r="Q1220" s="9" t="n">
        <x:v>0.2570977918</x:v>
      </x:c>
      <x:c r="R1220" s="3" t="b">
        <x:v>0</x:v>
      </x:c>
      <x:c r="S1220" s="3" t="b">
        <x:v>0</x:v>
      </x:c>
      <x:c r="T1220" s="3" t="b">
        <x:v>0</x:v>
      </x:c>
      <x:c r="U1220" s="2" t="str">
        <x:f>IF(T1220=TRUE,"Priority review",IF(R1220=TRUE,"High cost",IF(S1220=TRUE,"Low quality","Benchmark")))</x:f>
        <x:v>Benchmark</x:v>
      </x:c>
    </x:row>
    <x:row r="1221">
      <x:c r="A1221" s="2" t="str">
        <x:v>161316</x:v>
      </x:c>
      <x:c r="B1221" s="2" t="str">
        <x:v>GUNDERSEN PALMER LUTHERAN HOSPITAL AND CLINICS</x:v>
      </x:c>
      <x:c r="C1221" s="2" t="str">
        <x:v>WEST UNION</x:v>
      </x:c>
      <x:c r="D1221" s="2" t="str">
        <x:v>IA</x:v>
      </x:c>
      <x:c r="E1221" s="2" t="str">
        <x:v>Critical Access Hospitals</x:v>
      </x:c>
      <x:c r="F1221" s="2" t="str">
        <x:v>Voluntary non-profit</x:v>
      </x:c>
      <x:c r="G1221" s="2" t="str">
        <x:v>Small (&lt;100 beds)</x:v>
      </x:c>
      <x:c r="H1221" s="7" t="n">
        <x:v>5</x:v>
      </x:c>
      <x:c r="I1221" s="7"/>
      <x:c r="J1221" s="7"/>
      <x:c r="K1221" s="8" t="n">
        <x:v>25</x:v>
      </x:c>
      <x:c r="L1221" s="8" t="n">
        <x:v>208</x:v>
      </x:c>
      <x:c r="M1221" s="9" t="n">
        <x:v>0.3080874317</x:v>
      </x:c>
      <x:c r="N1221" s="10" t="n">
        <x:v>209953.5528846154</x:v>
      </x:c>
      <x:c r="O1221" s="9" t="n">
        <x:v>0.063323133</x:v>
      </x:c>
      <x:c r="P1221" s="9" t="n">
        <x:v>0.7539033457</x:v>
      </x:c>
      <x:c r="Q1221" s="9" t="n">
        <x:v>0.2602230483</x:v>
      </x:c>
      <x:c r="R1221" s="3" t="b">
        <x:v>0</x:v>
      </x:c>
      <x:c r="S1221" s="3" t="b">
        <x:v>0</x:v>
      </x:c>
      <x:c r="T1221" s="3" t="b">
        <x:v>0</x:v>
      </x:c>
      <x:c r="U1221" s="2" t="str">
        <x:f>IF(T1221=TRUE,"Priority review",IF(R1221=TRUE,"High cost",IF(S1221=TRUE,"Low quality","Benchmark")))</x:f>
        <x:v>Benchmark</x:v>
      </x:c>
    </x:row>
    <x:row r="1222">
      <x:c r="A1222" s="2" t="str">
        <x:v>050082</x:v>
      </x:c>
      <x:c r="B1222" s="2" t="str">
        <x:v>ST JOHNS REGIONAL MEDICAL CENTER</x:v>
      </x:c>
      <x:c r="C1222" s="2" t="str">
        <x:v>OXNARD</x:v>
      </x:c>
      <x:c r="D1222" s="2" t="str">
        <x:v>CA</x:v>
      </x:c>
      <x:c r="E1222" s="2" t="str">
        <x:v>Acute Care Hospitals</x:v>
      </x:c>
      <x:c r="F1222" s="2" t="str">
        <x:v>Voluntary non-profit</x:v>
      </x:c>
      <x:c r="G1222" s="2" t="str">
        <x:v>Medium (100-299 beds)</x:v>
      </x:c>
      <x:c r="H1222" s="7" t="n">
        <x:v>4</x:v>
      </x:c>
      <x:c r="I1222" s="7" t="n">
        <x:v>3</x:v>
      </x:c>
      <x:c r="J1222" s="7" t="n">
        <x:v>1.02</x:v>
      </x:c>
      <x:c r="K1222" s="8" t="n">
        <x:v>276</x:v>
      </x:c>
      <x:c r="L1222" s="8" t="n">
        <x:v>14065</x:v>
      </x:c>
      <x:c r="M1222" s="9" t="n">
        <x:v>0.7118026603</x:v>
      </x:c>
      <x:c r="N1222" s="10" t="n">
        <x:v>46714.1370778528</x:v>
      </x:c>
      <x:c r="O1222" s="9" t="n">
        <x:v>-0.0458715621</x:v>
      </x:c>
      <x:c r="P1222" s="9" t="n">
        <x:v>0.7538712306</x:v>
      </x:c>
      <x:c r="Q1222" s="9" t="n">
        <x:v>0.6022819886</x:v>
      </x:c>
      <x:c r="R1222" s="3" t="b">
        <x:v>0</x:v>
      </x:c>
      <x:c r="S1222" s="3" t="b">
        <x:v>0</x:v>
      </x:c>
      <x:c r="T1222" s="3" t="b">
        <x:v>0</x:v>
      </x:c>
      <x:c r="U1222" s="2" t="str">
        <x:f>IF(T1222=TRUE,"Priority review",IF(R1222=TRUE,"High cost",IF(S1222=TRUE,"Low quality","Benchmark")))</x:f>
        <x:v>Benchmark</x:v>
      </x:c>
    </x:row>
    <x:row r="1223">
      <x:c r="A1223" s="2" t="str">
        <x:v>161315</x:v>
      </x:c>
      <x:c r="B1223" s="2" t="str">
        <x:v>KEOKUK COUNTY HEALTH CENTER</x:v>
      </x:c>
      <x:c r="C1223" s="2" t="str">
        <x:v>SIGOURNEY</x:v>
      </x:c>
      <x:c r="D1223" s="2" t="str">
        <x:v>IA</x:v>
      </x:c>
      <x:c r="E1223" s="2" t="str">
        <x:v>Critical Access Hospitals</x:v>
      </x:c>
      <x:c r="F1223" s="2" t="str">
        <x:v>Government</x:v>
      </x:c>
      <x:c r="G1223" s="2" t="str">
        <x:v>Small (&lt;100 beds)</x:v>
      </x:c>
      <x:c r="H1223" s="7"/>
      <x:c r="I1223" s="7"/>
      <x:c r="J1223" s="7"/>
      <x:c r="K1223" s="8" t="n">
        <x:v>25</x:v>
      </x:c>
      <x:c r="L1223" s="8" t="n">
        <x:v>83</x:v>
      </x:c>
      <x:c r="M1223" s="9" t="n">
        <x:v>0.0841643836</x:v>
      </x:c>
      <x:c r="N1223" s="10" t="n">
        <x:v>209829.5662650602</x:v>
      </x:c>
      <x:c r="O1223" s="9" t="n">
        <x:v>-0.1528422407</x:v>
      </x:c>
      <x:c r="P1223" s="9" t="n">
        <x:v>0.7531598513</x:v>
      </x:c>
      <x:c r="Q1223" s="9" t="n">
        <x:v>0.292936803</x:v>
      </x:c>
      <x:c r="R1223" s="3" t="b">
        <x:v>0</x:v>
      </x:c>
      <x:c r="S1223" s="3" t="b">
        <x:v>0</x:v>
      </x:c>
      <x:c r="T1223" s="3" t="b">
        <x:v>0</x:v>
      </x:c>
      <x:c r="U1223" s="2" t="str">
        <x:f>IF(T1223=TRUE,"Priority review",IF(R1223=TRUE,"High cost",IF(S1223=TRUE,"Low quality","Benchmark")))</x:f>
        <x:v>Benchmark</x:v>
      </x:c>
    </x:row>
    <x:row r="1224">
      <x:c r="A1224" s="2" t="str">
        <x:v>240166</x:v>
      </x:c>
      <x:c r="B1224" s="2" t="str">
        <x:v>MAYO CLINIC HEALTH SYSTEM - FAIRMONT</x:v>
      </x:c>
      <x:c r="C1224" s="2" t="str">
        <x:v>FAIRMONT</x:v>
      </x:c>
      <x:c r="D1224" s="2" t="str">
        <x:v>MN</x:v>
      </x:c>
      <x:c r="E1224" s="2" t="str">
        <x:v>Acute Care Hospitals</x:v>
      </x:c>
      <x:c r="F1224" s="2" t="str">
        <x:v>Voluntary non-profit</x:v>
      </x:c>
      <x:c r="G1224" s="2" t="str">
        <x:v>Small (&lt;100 beds)</x:v>
      </x:c>
      <x:c r="H1224" s="7" t="n">
        <x:v>5</x:v>
      </x:c>
      <x:c r="I1224" s="7" t="n">
        <x:v>4</x:v>
      </x:c>
      <x:c r="J1224" s="7" t="n">
        <x:v>0.81</x:v>
      </x:c>
      <x:c r="K1224" s="8" t="n">
        <x:v>37</x:v>
      </x:c>
      <x:c r="L1224" s="8" t="n">
        <x:v>1001</x:v>
      </x:c>
      <x:c r="M1224" s="9" t="n">
        <x:v>0.2667995865</x:v>
      </x:c>
      <x:c r="N1224" s="10" t="n">
        <x:v>83749.5054945055</x:v>
      </x:c>
      <x:c r="O1224" s="9" t="n">
        <x:v>-0.0953933774</x:v>
      </x:c>
      <x:c r="P1224" s="9" t="n">
        <x:v>0.7531418312</x:v>
      </x:c>
      <x:c r="Q1224" s="9" t="n">
        <x:v>0.6131059246</x:v>
      </x:c>
      <x:c r="R1224" s="3" t="b">
        <x:v>0</x:v>
      </x:c>
      <x:c r="S1224" s="3" t="b">
        <x:v>0</x:v>
      </x:c>
      <x:c r="T1224" s="3" t="b">
        <x:v>0</x:v>
      </x:c>
      <x:c r="U1224" s="2" t="str">
        <x:f>IF(T1224=TRUE,"Priority review",IF(R1224=TRUE,"High cost",IF(S1224=TRUE,"Low quality","Benchmark")))</x:f>
        <x:v>Benchmark</x:v>
      </x:c>
    </x:row>
    <x:row r="1225">
      <x:c r="A1225" s="2" t="str">
        <x:v>220119</x:v>
      </x:c>
      <x:c r="B1225" s="2" t="str">
        <x:v>BRIGHAM AND WOMEN FAULKNER HOSPITAL</x:v>
      </x:c>
      <x:c r="C1225" s="2" t="str">
        <x:v>JAMAICA PLAIN</x:v>
      </x:c>
      <x:c r="D1225" s="2" t="str">
        <x:v>MA</x:v>
      </x:c>
      <x:c r="E1225" s="2" t="str">
        <x:v>Acute Care Hospitals</x:v>
      </x:c>
      <x:c r="F1225" s="2" t="str">
        <x:v>Voluntary non-profit</x:v>
      </x:c>
      <x:c r="G1225" s="2" t="str">
        <x:v>Medium (100-299 beds)</x:v>
      </x:c>
      <x:c r="H1225" s="7" t="n">
        <x:v>5</x:v>
      </x:c>
      <x:c r="I1225" s="7" t="n">
        <x:v>3</x:v>
      </x:c>
      <x:c r="J1225" s="7" t="n">
        <x:v>0.9</x:v>
      </x:c>
      <x:c r="K1225" s="8" t="n">
        <x:v>147</x:v>
      </x:c>
      <x:c r="L1225" s="8" t="n">
        <x:v>8327</x:v>
      </x:c>
      <x:c r="M1225" s="9" t="n">
        <x:v>0.8720679529</x:v>
      </x:c>
      <x:c r="N1225" s="10" t="n">
        <x:v>46605.8035306833</x:v>
      </x:c>
      <x:c r="O1225" s="9" t="n">
        <x:v>-0.006184957</x:v>
      </x:c>
      <x:c r="P1225" s="9" t="n">
        <x:v>0.7530562347</x:v>
      </x:c>
      <x:c r="Q1225" s="9" t="n">
        <x:v>0.8744906275</x:v>
      </x:c>
      <x:c r="R1225" s="3" t="b">
        <x:v>0</x:v>
      </x:c>
      <x:c r="S1225" s="3" t="b">
        <x:v>0</x:v>
      </x:c>
      <x:c r="T1225" s="3" t="b">
        <x:v>0</x:v>
      </x:c>
      <x:c r="U1225" s="2" t="str">
        <x:f>IF(T1225=TRUE,"Priority review",IF(R1225=TRUE,"High cost",IF(S1225=TRUE,"Low quality","Benchmark")))</x:f>
        <x:v>Benchmark</x:v>
      </x:c>
    </x:row>
    <x:row r="1226">
      <x:c r="A1226" s="2" t="str">
        <x:v>241347</x:v>
      </x:c>
      <x:c r="B1226" s="2" t="str">
        <x:v>SANFORD CANBY MEDICAL CENTER</x:v>
      </x:c>
      <x:c r="C1226" s="2" t="str">
        <x:v>CANBY</x:v>
      </x:c>
      <x:c r="D1226" s="2" t="str">
        <x:v>MN</x:v>
      </x:c>
      <x:c r="E1226" s="2" t="str">
        <x:v>Critical Access Hospitals</x:v>
      </x:c>
      <x:c r="F1226" s="2" t="str">
        <x:v>Government</x:v>
      </x:c>
      <x:c r="G1226" s="2" t="str">
        <x:v>Small (&lt;100 beds)</x:v>
      </x:c>
      <x:c r="H1226" s="7"/>
      <x:c r="I1226" s="7"/>
      <x:c r="J1226" s="7"/>
      <x:c r="K1226" s="8" t="n">
        <x:v>25</x:v>
      </x:c>
      <x:c r="L1226" s="8" t="n">
        <x:v>128</x:v>
      </x:c>
      <x:c r="M1226" s="9" t="n">
        <x:v>0.1867759563</x:v>
      </x:c>
      <x:c r="N1226" s="10" t="n">
        <x:v>209818.7421875</x:v>
      </x:c>
      <x:c r="O1226" s="9" t="n">
        <x:v>0.0593285902</x:v>
      </x:c>
      <x:c r="P1226" s="9" t="n">
        <x:v>0.7524163569</x:v>
      </x:c>
      <x:c r="Q1226" s="9" t="n">
        <x:v>0.292936803</x:v>
      </x:c>
      <x:c r="R1226" s="3" t="b">
        <x:v>0</x:v>
      </x:c>
      <x:c r="S1226" s="3" t="b">
        <x:v>0</x:v>
      </x:c>
      <x:c r="T1226" s="3" t="b">
        <x:v>0</x:v>
      </x:c>
      <x:c r="U1226" s="2" t="str">
        <x:f>IF(T1226=TRUE,"Priority review",IF(R1226=TRUE,"High cost",IF(S1226=TRUE,"Low quality","Benchmark")))</x:f>
        <x:v>Benchmark</x:v>
      </x:c>
    </x:row>
    <x:row r="1227">
      <x:c r="A1227" s="2" t="str">
        <x:v>340114</x:v>
      </x:c>
      <x:c r="B1227" s="2" t="str">
        <x:v>REX HOSPITAL</x:v>
      </x:c>
      <x:c r="C1227" s="2" t="str">
        <x:v>RALEIGH</x:v>
      </x:c>
      <x:c r="D1227" s="2" t="str">
        <x:v>NC</x:v>
      </x:c>
      <x:c r="E1227" s="2" t="str">
        <x:v>Acute Care Hospitals</x:v>
      </x:c>
      <x:c r="F1227" s="2" t="str">
        <x:v>Government</x:v>
      </x:c>
      <x:c r="G1227" s="2" t="str">
        <x:v>Large (300+ beds)</x:v>
      </x:c>
      <x:c r="H1227" s="7" t="n">
        <x:v>5</x:v>
      </x:c>
      <x:c r="I1227" s="7" t="n">
        <x:v>4</x:v>
      </x:c>
      <x:c r="J1227" s="7" t="n">
        <x:v>0.93</x:v>
      </x:c>
      <x:c r="K1227" s="8" t="n">
        <x:v>485</x:v>
      </x:c>
      <x:c r="L1227" s="8" t="n">
        <x:v>32037</x:v>
      </x:c>
      <x:c r="M1227" s="9" t="n">
        <x:v>0.9379748623</x:v>
      </x:c>
      <x:c r="N1227" s="10" t="n">
        <x:v>53557.5116271811</x:v>
      </x:c>
      <x:c r="O1227" s="9" t="n">
        <x:v>0.0536231077</x:v>
      </x:c>
      <x:c r="P1227" s="9" t="n">
        <x:v>0.7523659306</x:v>
      </x:c>
      <x:c r="Q1227" s="9" t="n">
        <x:v>0.8722397476</x:v>
      </x:c>
      <x:c r="R1227" s="3" t="b">
        <x:v>0</x:v>
      </x:c>
      <x:c r="S1227" s="3" t="b">
        <x:v>0</x:v>
      </x:c>
      <x:c r="T1227" s="3" t="b">
        <x:v>0</x:v>
      </x:c>
      <x:c r="U1227" s="2" t="str">
        <x:f>IF(T1227=TRUE,"Priority review",IF(R1227=TRUE,"High cost",IF(S1227=TRUE,"Low quality","Benchmark")))</x:f>
        <x:v>Benchmark</x:v>
      </x:c>
    </x:row>
    <x:row r="1228">
      <x:c r="A1228" s="2" t="str">
        <x:v>190145</x:v>
      </x:c>
      <x:c r="B1228" s="2" t="str">
        <x:v>LASALLE GENERAL HOSPITAL</x:v>
      </x:c>
      <x:c r="C1228" s="2" t="str">
        <x:v>JENA</x:v>
      </x:c>
      <x:c r="D1228" s="2" t="str">
        <x:v>LA</x:v>
      </x:c>
      <x:c r="E1228" s="2" t="str">
        <x:v>Acute Care Hospitals</x:v>
      </x:c>
      <x:c r="F1228" s="2" t="str">
        <x:v>Government</x:v>
      </x:c>
      <x:c r="G1228" s="2" t="str">
        <x:v>Small (&lt;100 beds)</x:v>
      </x:c>
      <x:c r="H1228" s="7" t="n">
        <x:v>1</x:v>
      </x:c>
      <x:c r="I1228" s="7"/>
      <x:c r="J1228" s="7" t="n">
        <x:v>1.1</x:v>
      </x:c>
      <x:c r="K1228" s="8" t="n">
        <x:v>30</x:v>
      </x:c>
      <x:c r="L1228" s="8" t="n">
        <x:v>355</x:v>
      </x:c>
      <x:c r="M1228" s="9" t="n">
        <x:v>0.2615664845</x:v>
      </x:c>
      <x:c r="N1228" s="10" t="n">
        <x:v>83673.923943662</x:v>
      </x:c>
      <x:c r="O1228" s="9" t="n">
        <x:v>-0.5661619723</x:v>
      </x:c>
      <x:c r="P1228" s="9" t="n">
        <x:v>0.7522441652</x:v>
      </x:c>
      <x:c r="Q1228" s="9" t="n">
        <x:v>0</x:v>
      </x:c>
      <x:c r="R1228" s="3" t="b">
        <x:v>0</x:v>
      </x:c>
      <x:c r="S1228" s="3" t="b">
        <x:v>1</x:v>
      </x:c>
      <x:c r="T1228" s="3" t="b">
        <x:v>0</x:v>
      </x:c>
      <x:c r="U1228" s="2" t="str">
        <x:f>IF(T1228=TRUE,"Priority review",IF(R1228=TRUE,"High cost",IF(S1228=TRUE,"Low quality","Benchmark")))</x:f>
        <x:v>Low quality</x:v>
      </x:c>
    </x:row>
    <x:row r="1229">
      <x:c r="A1229" s="2" t="str">
        <x:v>390032</x:v>
      </x:c>
      <x:c r="B1229" s="2" t="str">
        <x:v>ALLEGHENY VALLEY HOSPITAL</x:v>
      </x:c>
      <x:c r="C1229" s="2" t="str">
        <x:v>NATRONA</x:v>
      </x:c>
      <x:c r="D1229" s="2" t="str">
        <x:v>PA</x:v>
      </x:c>
      <x:c r="E1229" s="2" t="str">
        <x:v>Acute Care Hospitals</x:v>
      </x:c>
      <x:c r="F1229" s="2" t="str">
        <x:v>Voluntary non-profit</x:v>
      </x:c>
      <x:c r="G1229" s="2" t="str">
        <x:v>Medium (100-299 beds)</x:v>
      </x:c>
      <x:c r="H1229" s="7" t="n">
        <x:v>4</x:v>
      </x:c>
      <x:c r="I1229" s="7" t="n">
        <x:v>3</x:v>
      </x:c>
      <x:c r="J1229" s="7" t="n">
        <x:v>1</x:v>
      </x:c>
      <x:c r="K1229" s="8" t="n">
        <x:v>133</x:v>
      </x:c>
      <x:c r="L1229" s="8" t="n">
        <x:v>2733</x:v>
      </x:c>
      <x:c r="M1229" s="9" t="n">
        <x:v>0.1987345413</x:v>
      </x:c>
      <x:c r="N1229" s="10" t="n">
        <x:v>46563.1759970728</x:v>
      </x:c>
      <x:c r="O1229" s="9" t="n">
        <x:v>7.7283169648</x:v>
      </x:c>
      <x:c r="P1229" s="9" t="n">
        <x:v>0.7522412388</x:v>
      </x:c>
      <x:c r="Q1229" s="9" t="n">
        <x:v>0.6022819886</x:v>
      </x:c>
      <x:c r="R1229" s="3" t="b">
        <x:v>0</x:v>
      </x:c>
      <x:c r="S1229" s="3" t="b">
        <x:v>0</x:v>
      </x:c>
      <x:c r="T1229" s="3" t="b">
        <x:v>0</x:v>
      </x:c>
      <x:c r="U1229" s="2" t="str">
        <x:f>IF(T1229=TRUE,"Priority review",IF(R1229=TRUE,"High cost",IF(S1229=TRUE,"Low quality","Benchmark")))</x:f>
        <x:v>Benchmark</x:v>
      </x:c>
    </x:row>
    <x:row r="1230">
      <x:c r="A1230" s="2" t="str">
        <x:v>331314</x:v>
      </x:c>
      <x:c r="B1230" s="2" t="str">
        <x:v>SOLDIERS AND SAILORS MEMORIAL HOSPITAL OF YATES</x:v>
      </x:c>
      <x:c r="C1230" s="2" t="str">
        <x:v>PENN YAN</x:v>
      </x:c>
      <x:c r="D1230" s="2" t="str">
        <x:v>NY</x:v>
      </x:c>
      <x:c r="E1230" s="2" t="str">
        <x:v>Critical Access Hospitals</x:v>
      </x:c>
      <x:c r="F1230" s="2" t="str">
        <x:v>Voluntary non-profit</x:v>
      </x:c>
      <x:c r="G1230" s="2" t="str">
        <x:v>Small (&lt;100 beds)</x:v>
      </x:c>
      <x:c r="H1230" s="7"/>
      <x:c r="I1230" s="7"/>
      <x:c r="J1230" s="7"/>
      <x:c r="K1230" s="8" t="n">
        <x:v>25</x:v>
      </x:c>
      <x:c r="L1230" s="8" t="n">
        <x:v>240</x:v>
      </x:c>
      <x:c r="M1230" s="9" t="n">
        <x:v>0.2867759563</x:v>
      </x:c>
      <x:c r="N1230" s="10" t="n">
        <x:v>209591.6666666667</x:v>
      </x:c>
      <x:c r="O1230" s="9" t="n">
        <x:v>-0.0834877009</x:v>
      </x:c>
      <x:c r="P1230" s="9" t="n">
        <x:v>0.7516728625</x:v>
      </x:c>
      <x:c r="Q1230" s="9" t="n">
        <x:v>0.292936803</x:v>
      </x:c>
      <x:c r="R1230" s="3" t="b">
        <x:v>0</x:v>
      </x:c>
      <x:c r="S1230" s="3" t="b">
        <x:v>0</x:v>
      </x:c>
      <x:c r="T1230" s="3" t="b">
        <x:v>0</x:v>
      </x:c>
      <x:c r="U1230" s="2" t="str">
        <x:f>IF(T1230=TRUE,"Priority review",IF(R1230=TRUE,"High cost",IF(S1230=TRUE,"Low quality","Benchmark")))</x:f>
        <x:v>Benchmark</x:v>
      </x:c>
    </x:row>
    <x:row r="1231">
      <x:c r="A1231" s="2" t="str">
        <x:v>440058</x:v>
      </x:c>
      <x:c r="B1231" s="2" t="str">
        <x:v>SOUTHERN TENNESSEE REGIONAL HEALTH SYSTEM WINCHEST</x:v>
      </x:c>
      <x:c r="C1231" s="2" t="str">
        <x:v>WINCHESTER</x:v>
      </x:c>
      <x:c r="D1231" s="2" t="str">
        <x:v>TN</x:v>
      </x:c>
      <x:c r="E1231" s="2" t="str">
        <x:v>Acute Care Hospitals</x:v>
      </x:c>
      <x:c r="F1231" s="2" t="str">
        <x:v>Proprietary</x:v>
      </x:c>
      <x:c r="G1231" s="2" t="str">
        <x:v>Medium (100-299 beds)</x:v>
      </x:c>
      <x:c r="H1231" s="7" t="n">
        <x:v>3</x:v>
      </x:c>
      <x:c r="I1231" s="7" t="n">
        <x:v>3</x:v>
      </x:c>
      <x:c r="J1231" s="7" t="n">
        <x:v>1.01</x:v>
      </x:c>
      <x:c r="K1231" s="8" t="n">
        <x:v>128</x:v>
      </x:c>
      <x:c r="L1231" s="8" t="n">
        <x:v>2764</x:v>
      </x:c>
      <x:c r="M1231" s="9" t="n">
        <x:v>0.2564250342</x:v>
      </x:c>
      <x:c r="N1231" s="10" t="n">
        <x:v>46422.3411722142</x:v>
      </x:c>
      <x:c r="O1231" s="9" t="n">
        <x:v>0.0421633736</x:v>
      </x:c>
      <x:c r="P1231" s="9" t="n">
        <x:v>0.7514262429</x:v>
      </x:c>
      <x:c r="Q1231" s="9" t="n">
        <x:v>0.3023634882</x:v>
      </x:c>
      <x:c r="R1231" s="3" t="b">
        <x:v>0</x:v>
      </x:c>
      <x:c r="S1231" s="3" t="b">
        <x:v>0</x:v>
      </x:c>
      <x:c r="T1231" s="3" t="b">
        <x:v>0</x:v>
      </x:c>
      <x:c r="U1231" s="2" t="str">
        <x:f>IF(T1231=TRUE,"Priority review",IF(R1231=TRUE,"High cost",IF(S1231=TRUE,"Low quality","Benchmark")))</x:f>
        <x:v>Benchmark</x:v>
      </x:c>
    </x:row>
    <x:row r="1232">
      <x:c r="A1232" s="2" t="str">
        <x:v>360026</x:v>
      </x:c>
      <x:c r="B1232" s="2" t="str">
        <x:v>KETTERING HEALTH GREENE MEMORIAL</x:v>
      </x:c>
      <x:c r="C1232" s="2" t="str">
        <x:v>XENIA</x:v>
      </x:c>
      <x:c r="D1232" s="2" t="str">
        <x:v>OH</x:v>
      </x:c>
      <x:c r="E1232" s="2" t="str">
        <x:v>Acute Care Hospitals</x:v>
      </x:c>
      <x:c r="F1232" s="2" t="str">
        <x:v>Voluntary non-profit</x:v>
      </x:c>
      <x:c r="G1232" s="2" t="str">
        <x:v>Small (&lt;100 beds)</x:v>
      </x:c>
      <x:c r="H1232" s="7" t="n">
        <x:v>5</x:v>
      </x:c>
      <x:c r="I1232" s="7"/>
      <x:c r="J1232" s="7" t="n">
        <x:v>0.97</x:v>
      </x:c>
      <x:c r="K1232" s="8" t="n">
        <x:v>13</x:v>
      </x:c>
      <x:c r="L1232" s="8" t="n">
        <x:v>632</x:v>
      </x:c>
      <x:c r="M1232" s="9" t="n">
        <x:v>0.2616645649</x:v>
      </x:c>
      <x:c r="N1232" s="10" t="n">
        <x:v>83623.6265822785</x:v>
      </x:c>
      <x:c r="O1232" s="9" t="n">
        <x:v>-0.4701159962</x:v>
      </x:c>
      <x:c r="P1232" s="9" t="n">
        <x:v>0.7513464991</x:v>
      </x:c>
      <x:c r="Q1232" s="9" t="n">
        <x:v>0.6131059246</x:v>
      </x:c>
      <x:c r="R1232" s="3" t="b">
        <x:v>0</x:v>
      </x:c>
      <x:c r="S1232" s="3" t="b">
        <x:v>0</x:v>
      </x:c>
      <x:c r="T1232" s="3" t="b">
        <x:v>0</x:v>
      </x:c>
      <x:c r="U1232" s="2" t="str">
        <x:f>IF(T1232=TRUE,"Priority review",IF(R1232=TRUE,"High cost",IF(S1232=TRUE,"Low quality","Benchmark")))</x:f>
        <x:v>Benchmark</x:v>
      </x:c>
    </x:row>
    <x:row r="1233">
      <x:c r="A1233" s="2" t="str">
        <x:v>054159</x:v>
      </x:c>
      <x:c r="B1233" s="2" t="str">
        <x:v>SACRAMENTO BEHAVIORAL HEALTHCARE HOSPITAL, LLC</x:v>
      </x:c>
      <x:c r="C1233" s="2" t="str">
        <x:v>NORTH SACRAMENTO</x:v>
      </x:c>
      <x:c r="D1233" s="2" t="str">
        <x:v>CA</x:v>
      </x:c>
      <x:c r="E1233" s="2" t="str">
        <x:v>Psychiatric</x:v>
      </x:c>
      <x:c r="F1233" s="2" t="str">
        <x:v>Proprietary</x:v>
      </x:c>
      <x:c r="G1233" s="2" t="str">
        <x:v>Medium (100-299 beds)</x:v>
      </x:c>
      <x:c r="H1233" s="7"/>
      <x:c r="I1233" s="7"/>
      <x:c r="J1233" s="7"/>
      <x:c r="K1233" s="8" t="n">
        <x:v>117</x:v>
      </x:c>
      <x:c r="L1233" s="8" t="n">
        <x:v>1564</x:v>
      </x:c>
      <x:c r="M1233" s="9" t="n">
        <x:v>0.8627107562</x:v>
      </x:c>
      <x:c r="N1233" s="10" t="n">
        <x:v>30530.5831202046</x:v>
      </x:c>
      <x:c r="O1233" s="9" t="n">
        <x:v>-0.0483978832</x:v>
      </x:c>
      <x:c r="P1233" s="9" t="n">
        <x:v>0.7512437811</x:v>
      </x:c>
      <x:c r="Q1233" s="9" t="n">
        <x:v>0</x:v>
      </x:c>
      <x:c r="R1233" s="3" t="b">
        <x:v>0</x:v>
      </x:c>
      <x:c r="S1233" s="3" t="b">
        <x:v>0</x:v>
      </x:c>
      <x:c r="T1233" s="3" t="b">
        <x:v>0</x:v>
      </x:c>
      <x:c r="U1233" s="2" t="str">
        <x:f>IF(T1233=TRUE,"Priority review",IF(R1233=TRUE,"High cost",IF(S1233=TRUE,"Low quality","Benchmark")))</x:f>
        <x:v>Benchmark</x:v>
      </x:c>
    </x:row>
    <x:row r="1234">
      <x:c r="A1234" s="2" t="str">
        <x:v>191307</x:v>
      </x:c>
      <x:c r="B1234" s="2" t="str">
        <x:v>DEQUINCY MEMORIAL HOSPITAL</x:v>
      </x:c>
      <x:c r="C1234" s="2" t="str">
        <x:v>DEQUINCY</x:v>
      </x:c>
      <x:c r="D1234" s="2" t="str">
        <x:v>LA</x:v>
      </x:c>
      <x:c r="E1234" s="2" t="str">
        <x:v>Critical Access Hospitals</x:v>
      </x:c>
      <x:c r="F1234" s="2" t="str">
        <x:v>Proprietary</x:v>
      </x:c>
      <x:c r="G1234" s="2" t="str">
        <x:v>Small (&lt;100 beds)</x:v>
      </x:c>
      <x:c r="H1234" s="7"/>
      <x:c r="I1234" s="7"/>
      <x:c r="J1234" s="7"/>
      <x:c r="K1234" s="8" t="n">
        <x:v>19</x:v>
      </x:c>
      <x:c r="L1234" s="8" t="n">
        <x:v>74</x:v>
      </x:c>
      <x:c r="M1234" s="9" t="n">
        <x:v>0.1735691688</x:v>
      </x:c>
      <x:c r="N1234" s="10" t="n">
        <x:v>209532.2702702703</x:v>
      </x:c>
      <x:c r="O1234" s="9" t="n">
        <x:v>-0.3531893889</x:v>
      </x:c>
      <x:c r="P1234" s="9" t="n">
        <x:v>0.750929368</x:v>
      </x:c>
      <x:c r="Q1234" s="9" t="n">
        <x:v>0.292936803</x:v>
      </x:c>
      <x:c r="R1234" s="3" t="b">
        <x:v>0</x:v>
      </x:c>
      <x:c r="S1234" s="3" t="b">
        <x:v>0</x:v>
      </x:c>
      <x:c r="T1234" s="3" t="b">
        <x:v>0</x:v>
      </x:c>
      <x:c r="U1234" s="2" t="str">
        <x:f>IF(T1234=TRUE,"Priority review",IF(R1234=TRUE,"High cost",IF(S1234=TRUE,"Low quality","Benchmark")))</x:f>
        <x:v>Benchmark</x:v>
      </x:c>
    </x:row>
    <x:row r="1235">
      <x:c r="A1235" s="2" t="str">
        <x:v>524014</x:v>
      </x:c>
      <x:c r="B1235" s="2" t="str">
        <x:v>BROWN COUNTY COMMUNITY TREATMENT CTR</x:v>
      </x:c>
      <x:c r="C1235" s="2" t="str">
        <x:v>GREEN BAY</x:v>
      </x:c>
      <x:c r="D1235" s="2" t="str">
        <x:v>WI</x:v>
      </x:c>
      <x:c r="E1235" s="2" t="str">
        <x:v>Psychiatric</x:v>
      </x:c>
      <x:c r="F1235" s="2" t="str">
        <x:v>Government</x:v>
      </x:c>
      <x:c r="G1235" s="2" t="str">
        <x:v>Small (&lt;100 beds)</x:v>
      </x:c>
      <x:c r="H1235" s="7"/>
      <x:c r="I1235" s="7"/>
      <x:c r="J1235" s="7"/>
      <x:c r="K1235" s="8" t="n">
        <x:v>16</x:v>
      </x:c>
      <x:c r="L1235" s="8" t="n">
        <x:v>567</x:v>
      </x:c>
      <x:c r="M1235" s="9" t="n">
        <x:v>0.5756489071</x:v>
      </x:c>
      <x:c r="N1235" s="10" t="n">
        <x:v>32035.7054673721</x:v>
      </x:c>
      <x:c r="O1235" s="9" t="n">
        <x:v>-0.5346286256</x:v>
      </x:c>
      <x:c r="P1235" s="9" t="n">
        <x:v>0.7508090615</x:v>
      </x:c>
      <x:c r="Q1235" s="9" t="n">
        <x:v>0</x:v>
      </x:c>
      <x:c r="R1235" s="3" t="b">
        <x:v>0</x:v>
      </x:c>
      <x:c r="S1235" s="3" t="b">
        <x:v>0</x:v>
      </x:c>
      <x:c r="T1235" s="3" t="b">
        <x:v>0</x:v>
      </x:c>
      <x:c r="U1235" s="2" t="str">
        <x:f>IF(T1235=TRUE,"Priority review",IF(R1235=TRUE,"High cost",IF(S1235=TRUE,"Low quality","Benchmark")))</x:f>
        <x:v>Benchmark</x:v>
      </x:c>
    </x:row>
    <x:row r="1236">
      <x:c r="A1236" s="2" t="str">
        <x:v>390142</x:v>
      </x:c>
      <x:c r="B1236" s="2" t="str">
        <x:v>JEFFERSON EINSTEIN PHILADELPHIA HOSPITAL</x:v>
      </x:c>
      <x:c r="C1236" s="2" t="str">
        <x:v>PHILADELPHIA</x:v>
      </x:c>
      <x:c r="D1236" s="2" t="str">
        <x:v>PA</x:v>
      </x:c>
      <x:c r="E1236" s="2" t="str">
        <x:v>Acute Care Hospitals</x:v>
      </x:c>
      <x:c r="F1236" s="2" t="str">
        <x:v>Voluntary non-profit</x:v>
      </x:c>
      <x:c r="G1236" s="2" t="str">
        <x:v>Large (300+ beds)</x:v>
      </x:c>
      <x:c r="H1236" s="7" t="n">
        <x:v>3</x:v>
      </x:c>
      <x:c r="I1236" s="7" t="n">
        <x:v>2</x:v>
      </x:c>
      <x:c r="J1236" s="7" t="n">
        <x:v>1.05</x:v>
      </x:c>
      <x:c r="K1236" s="8" t="n">
        <x:v>341</x:v>
      </x:c>
      <x:c r="L1236" s="8" t="n">
        <x:v>19316</x:v>
      </x:c>
      <x:c r="M1236" s="9" t="n">
        <x:v>0.8942915679</x:v>
      </x:c>
      <x:c r="N1236" s="10" t="n">
        <x:v>53403.1742596811</x:v>
      </x:c>
      <x:c r="O1236" s="9" t="n">
        <x:v>-0.3024314076</x:v>
      </x:c>
      <x:c r="P1236" s="9" t="n">
        <x:v>0.7507886435</x:v>
      </x:c>
      <x:c r="Q1236" s="9" t="n">
        <x:v>0.2570977918</x:v>
      </x:c>
      <x:c r="R1236" s="3" t="b">
        <x:v>0</x:v>
      </x:c>
      <x:c r="S1236" s="3" t="b">
        <x:v>0</x:v>
      </x:c>
      <x:c r="T1236" s="3" t="b">
        <x:v>0</x:v>
      </x:c>
      <x:c r="U1236" s="2" t="str">
        <x:f>IF(T1236=TRUE,"Priority review",IF(R1236=TRUE,"High cost",IF(S1236=TRUE,"Low quality","Benchmark")))</x:f>
        <x:v>Benchmark</x:v>
      </x:c>
    </x:row>
    <x:row r="1237">
      <x:c r="A1237" s="2" t="str">
        <x:v>060023</x:v>
      </x:c>
      <x:c r="B1237" s="2" t="str">
        <x:v>INTERMOUNTAIN HEALTH ST. MARY'S REGIONAL HOSPITAL</x:v>
      </x:c>
      <x:c r="C1237" s="2" t="str">
        <x:v>GRAND JUNCTION</x:v>
      </x:c>
      <x:c r="D1237" s="2" t="str">
        <x:v>CO</x:v>
      </x:c>
      <x:c r="E1237" s="2" t="str">
        <x:v>Acute Care Hospitals</x:v>
      </x:c>
      <x:c r="F1237" s="2" t="str">
        <x:v>Voluntary non-profit</x:v>
      </x:c>
      <x:c r="G1237" s="2" t="str">
        <x:v>Medium (100-299 beds)</x:v>
      </x:c>
      <x:c r="H1237" s="7" t="n">
        <x:v>4</x:v>
      </x:c>
      <x:c r="I1237" s="7" t="n">
        <x:v>3</x:v>
      </x:c>
      <x:c r="J1237" s="7" t="n">
        <x:v>1.04</x:v>
      </x:c>
      <x:c r="K1237" s="8" t="n">
        <x:v>252</x:v>
      </x:c>
      <x:c r="L1237" s="8" t="n">
        <x:v>12024</x:v>
      </x:c>
      <x:c r="M1237" s="9" t="n">
        <x:v>0.654436638</x:v>
      </x:c>
      <x:c r="N1237" s="10" t="n">
        <x:v>46417.8672654691</x:v>
      </x:c>
      <x:c r="O1237" s="9" t="n">
        <x:v>0.020009517</x:v>
      </x:c>
      <x:c r="P1237" s="9" t="n">
        <x:v>0.7506112469</x:v>
      </x:c>
      <x:c r="Q1237" s="9" t="n">
        <x:v>0.6022819886</x:v>
      </x:c>
      <x:c r="R1237" s="3" t="b">
        <x:v>0</x:v>
      </x:c>
      <x:c r="S1237" s="3" t="b">
        <x:v>0</x:v>
      </x:c>
      <x:c r="T1237" s="3" t="b">
        <x:v>0</x:v>
      </x:c>
      <x:c r="U1237" s="2" t="str">
        <x:f>IF(T1237=TRUE,"Priority review",IF(R1237=TRUE,"High cost",IF(S1237=TRUE,"Low quality","Benchmark")))</x:f>
        <x:v>Benchmark</x:v>
      </x:c>
    </x:row>
    <x:row r="1238">
      <x:c r="A1238" s="2" t="str">
        <x:v>450451</x:v>
      </x:c>
      <x:c r="B1238" s="2" t="str">
        <x:v>GLEN ROSE MEDICAL CENTER</x:v>
      </x:c>
      <x:c r="C1238" s="2" t="str">
        <x:v>GLEN ROSE</x:v>
      </x:c>
      <x:c r="D1238" s="2" t="str">
        <x:v>TX</x:v>
      </x:c>
      <x:c r="E1238" s="2" t="str">
        <x:v>Acute Care Hospitals</x:v>
      </x:c>
      <x:c r="F1238" s="2" t="str">
        <x:v>Government</x:v>
      </x:c>
      <x:c r="G1238" s="2" t="str">
        <x:v>Small (&lt;100 beds)</x:v>
      </x:c>
      <x:c r="H1238" s="7"/>
      <x:c r="I1238" s="7"/>
      <x:c r="J1238" s="7" t="n">
        <x:v>1.02</x:v>
      </x:c>
      <x:c r="K1238" s="8" t="n">
        <x:v>16</x:v>
      </x:c>
      <x:c r="L1238" s="8" t="n">
        <x:v>293</x:v>
      </x:c>
      <x:c r="M1238" s="9" t="n">
        <x:v>0.28125</x:v>
      </x:c>
      <x:c r="N1238" s="10" t="n">
        <x:v>83611.4129692833</x:v>
      </x:c>
      <x:c r="O1238" s="9" t="n">
        <x:v>-0.4260591125</x:v>
      </x:c>
      <x:c r="P1238" s="9" t="n">
        <x:v>0.750448833</x:v>
      </x:c>
      <x:c r="Q1238" s="9" t="n">
        <x:v>0.697486535</x:v>
      </x:c>
      <x:c r="R1238" s="3" t="b">
        <x:v>0</x:v>
      </x:c>
      <x:c r="S1238" s="3" t="b">
        <x:v>0</x:v>
      </x:c>
      <x:c r="T1238" s="3" t="b">
        <x:v>0</x:v>
      </x:c>
      <x:c r="U1238" s="2" t="str">
        <x:f>IF(T1238=TRUE,"Priority review",IF(R1238=TRUE,"High cost",IF(S1238=TRUE,"Low quality","Benchmark")))</x:f>
        <x:v>Benchmark</x:v>
      </x:c>
    </x:row>
    <x:row r="1239">
      <x:c r="A1239" s="2" t="str">
        <x:v>141303</x:v>
      </x:c>
      <x:c r="B1239" s="2" t="str">
        <x:v>WARNER HOSPITAL AND HEALTH SERVICES</x:v>
      </x:c>
      <x:c r="C1239" s="2" t="str">
        <x:v>CLINTON</x:v>
      </x:c>
      <x:c r="D1239" s="2" t="str">
        <x:v>IL</x:v>
      </x:c>
      <x:c r="E1239" s="2" t="str">
        <x:v>Critical Access Hospitals</x:v>
      </x:c>
      <x:c r="F1239" s="2" t="str">
        <x:v>Government</x:v>
      </x:c>
      <x:c r="G1239" s="2" t="str">
        <x:v>Small (&lt;100 beds)</x:v>
      </x:c>
      <x:c r="H1239" s="7"/>
      <x:c r="I1239" s="7"/>
      <x:c r="J1239" s="7"/>
      <x:c r="K1239" s="8" t="n">
        <x:v>15</x:v>
      </x:c>
      <x:c r="L1239" s="8" t="n">
        <x:v>114</x:v>
      </x:c>
      <x:c r="M1239" s="9" t="n">
        <x:v>0.0332420091</x:v>
      </x:c>
      <x:c r="N1239" s="10" t="n">
        <x:v>207681.4298245614</x:v>
      </x:c>
      <x:c r="O1239" s="9" t="n">
        <x:v>0.1061560719</x:v>
      </x:c>
      <x:c r="P1239" s="9" t="n">
        <x:v>0.7501858736</x:v>
      </x:c>
      <x:c r="Q1239" s="9" t="n">
        <x:v>0.292936803</x:v>
      </x:c>
      <x:c r="R1239" s="3" t="b">
        <x:v>0</x:v>
      </x:c>
      <x:c r="S1239" s="3" t="b">
        <x:v>0</x:v>
      </x:c>
      <x:c r="T1239" s="3" t="b">
        <x:v>0</x:v>
      </x:c>
      <x:c r="U1239" s="2" t="str">
        <x:f>IF(T1239=TRUE,"Priority review",IF(R1239=TRUE,"High cost",IF(S1239=TRUE,"Low quality","Benchmark")))</x:f>
        <x:v>Benchmark</x:v>
      </x:c>
    </x:row>
    <x:row r="1240">
      <x:c r="A1240" s="2" t="str">
        <x:v>103304</x:v>
      </x:c>
      <x:c r="B1240" s="2" t="str">
        <x:v>NEMOURS CHILDRENS HOSPITAL, FLORIDA</x:v>
      </x:c>
      <x:c r="C1240" s="2" t="str">
        <x:v>ORLANDO</x:v>
      </x:c>
      <x:c r="D1240" s="2" t="str">
        <x:v>FL</x:v>
      </x:c>
      <x:c r="E1240" s="2" t="str">
        <x:v>Childrens</x:v>
      </x:c>
      <x:c r="F1240" s="2" t="str">
        <x:v>Voluntary non-profit</x:v>
      </x:c>
      <x:c r="G1240" s="2" t="str">
        <x:v>Medium (100-299 beds)</x:v>
      </x:c>
      <x:c r="H1240" s="7"/>
      <x:c r="I1240" s="7"/>
      <x:c r="J1240" s="7"/>
      <x:c r="K1240" s="8" t="n">
        <x:v>130</x:v>
      </x:c>
      <x:c r="L1240" s="8" t="n">
        <x:v>3600</x:v>
      </x:c>
      <x:c r="M1240" s="9" t="n">
        <x:v>0.6221074816</x:v>
      </x:c>
      <x:c r="N1240" s="10" t="n">
        <x:v>118224.1947222222</x:v>
      </x:c>
      <x:c r="O1240" s="9" t="n">
        <x:v>-0.0333453826</x:v>
      </x:c>
      <x:c r="P1240" s="9" t="n">
        <x:v>0.75</x:v>
      </x:c>
      <x:c r="Q1240" s="9" t="n">
        <x:v>0</x:v>
      </x:c>
      <x:c r="R1240" s="3" t="b">
        <x:v>0</x:v>
      </x:c>
      <x:c r="S1240" s="3" t="b">
        <x:v>0</x:v>
      </x:c>
      <x:c r="T1240" s="3" t="b">
        <x:v>0</x:v>
      </x:c>
      <x:c r="U1240" s="2" t="str">
        <x:f>IF(T1240=TRUE,"Priority review",IF(R1240=TRUE,"High cost",IF(S1240=TRUE,"Low quality","Benchmark")))</x:f>
        <x:v>Benchmark</x:v>
      </x:c>
    </x:row>
    <x:row r="1241">
      <x:c r="A1241" s="2" t="str">
        <x:v>270049</x:v>
      </x:c>
      <x:c r="B1241" s="2" t="str">
        <x:v>INTERMOUNTAIN HEALTH ST VINCENT REGIONAL HOSPITAL</x:v>
      </x:c>
      <x:c r="C1241" s="2" t="str">
        <x:v>BILLINGS</x:v>
      </x:c>
      <x:c r="D1241" s="2" t="str">
        <x:v>MT</x:v>
      </x:c>
      <x:c r="E1241" s="2" t="str">
        <x:v>Acute Care Hospitals</x:v>
      </x:c>
      <x:c r="F1241" s="2" t="str">
        <x:v>Voluntary non-profit</x:v>
      </x:c>
      <x:c r="G1241" s="2" t="str">
        <x:v>Medium (100-299 beds)</x:v>
      </x:c>
      <x:c r="H1241" s="7" t="n">
        <x:v>4</x:v>
      </x:c>
      <x:c r="I1241" s="7" t="n">
        <x:v>3</x:v>
      </x:c>
      <x:c r="J1241" s="7" t="n">
        <x:v>1.01</x:v>
      </x:c>
      <x:c r="K1241" s="8" t="n">
        <x:v>226</x:v>
      </x:c>
      <x:c r="L1241" s="8" t="n">
        <x:v>12272</x:v>
      </x:c>
      <x:c r="M1241" s="9" t="n">
        <x:v>0.7417428309</x:v>
      </x:c>
      <x:c r="N1241" s="10" t="n">
        <x:v>46395.3244784876</x:v>
      </x:c>
      <x:c r="O1241" s="9" t="n">
        <x:v>-0.0432989782</x:v>
      </x:c>
      <x:c r="P1241" s="9" t="n">
        <x:v>0.749796251</x:v>
      </x:c>
      <x:c r="Q1241" s="9" t="n">
        <x:v>0.6022819886</x:v>
      </x:c>
      <x:c r="R1241" s="3" t="b">
        <x:v>0</x:v>
      </x:c>
      <x:c r="S1241" s="3" t="b">
        <x:v>0</x:v>
      </x:c>
      <x:c r="T1241" s="3" t="b">
        <x:v>0</x:v>
      </x:c>
      <x:c r="U1241" s="2" t="str">
        <x:f>IF(T1241=TRUE,"Priority review",IF(R1241=TRUE,"High cost",IF(S1241=TRUE,"Low quality","Benchmark")))</x:f>
        <x:v>Benchmark</x:v>
      </x:c>
    </x:row>
    <x:row r="1242">
      <x:c r="A1242" s="2" t="str">
        <x:v>260175</x:v>
      </x:c>
      <x:c r="B1242" s="2" t="str">
        <x:v>GOLDEN VALLEY MEMORIAL HOSPITAL</x:v>
      </x:c>
      <x:c r="C1242" s="2" t="str">
        <x:v>CLINTON</x:v>
      </x:c>
      <x:c r="D1242" s="2" t="str">
        <x:v>MO</x:v>
      </x:c>
      <x:c r="E1242" s="2" t="str">
        <x:v>Acute Care Hospitals</x:v>
      </x:c>
      <x:c r="F1242" s="2" t="str">
        <x:v>Government</x:v>
      </x:c>
      <x:c r="G1242" s="2" t="str">
        <x:v>Small (&lt;100 beds)</x:v>
      </x:c>
      <x:c r="H1242" s="7" t="n">
        <x:v>3</x:v>
      </x:c>
      <x:c r="I1242" s="7" t="n">
        <x:v>3</x:v>
      </x:c>
      <x:c r="J1242" s="7" t="n">
        <x:v>0.9</x:v>
      </x:c>
      <x:c r="K1242" s="8" t="n">
        <x:v>43</x:v>
      </x:c>
      <x:c r="L1242" s="8" t="n">
        <x:v>2207</x:v>
      </x:c>
      <x:c r="M1242" s="9" t="n">
        <x:v>0.4999044282</x:v>
      </x:c>
      <x:c r="N1242" s="10" t="n">
        <x:v>83343.0897145446</x:v>
      </x:c>
      <x:c r="O1242" s="9" t="n">
        <x:v>-0.086755333</x:v>
      </x:c>
      <x:c r="P1242" s="9" t="n">
        <x:v>0.749551167</x:v>
      </x:c>
      <x:c r="Q1242" s="9" t="n">
        <x:v>0.1687612208</x:v>
      </x:c>
      <x:c r="R1242" s="3" t="b">
        <x:v>0</x:v>
      </x:c>
      <x:c r="S1242" s="3" t="b">
        <x:v>0</x:v>
      </x:c>
      <x:c r="T1242" s="3" t="b">
        <x:v>0</x:v>
      </x:c>
      <x:c r="U1242" s="2" t="str">
        <x:f>IF(T1242=TRUE,"Priority review",IF(R1242=TRUE,"High cost",IF(S1242=TRUE,"Low quality","Benchmark")))</x:f>
        <x:v>Benchmark</x:v>
      </x:c>
    </x:row>
    <x:row r="1243">
      <x:c r="A1243" s="2" t="str">
        <x:v>501301</x:v>
      </x:c>
      <x:c r="B1243" s="2" t="str">
        <x:v>GARFIELD COUNTY PUBLIC HOSPITAL DISTRICT #1</x:v>
      </x:c>
      <x:c r="C1243" s="2" t="str">
        <x:v>POMEROY</x:v>
      </x:c>
      <x:c r="D1243" s="2" t="str">
        <x:v>WA</x:v>
      </x:c>
      <x:c r="E1243" s="2" t="str">
        <x:v>Critical Access Hospitals</x:v>
      </x:c>
      <x:c r="F1243" s="2" t="str">
        <x:v>Government</x:v>
      </x:c>
      <x:c r="G1243" s="2" t="str">
        <x:v>Small (&lt;100 beds)</x:v>
      </x:c>
      <x:c r="H1243" s="7"/>
      <x:c r="I1243" s="7"/>
      <x:c r="J1243" s="7"/>
      <x:c r="K1243" s="8" t="n">
        <x:v>25</x:v>
      </x:c>
      <x:c r="L1243" s="8" t="n">
        <x:v>62</x:v>
      </x:c>
      <x:c r="M1243" s="9" t="n">
        <x:v>0.6768306011</x:v>
      </x:c>
      <x:c r="N1243" s="10" t="n">
        <x:v>206346.5967741935</x:v>
      </x:c>
      <x:c r="O1243" s="9" t="n">
        <x:v>-0.0500020888</x:v>
      </x:c>
      <x:c r="P1243" s="9" t="n">
        <x:v>0.7494423792</x:v>
      </x:c>
      <x:c r="Q1243" s="9" t="n">
        <x:v>0.292936803</x:v>
      </x:c>
      <x:c r="R1243" s="3" t="b">
        <x:v>0</x:v>
      </x:c>
      <x:c r="S1243" s="3" t="b">
        <x:v>0</x:v>
      </x:c>
      <x:c r="T1243" s="3" t="b">
        <x:v>0</x:v>
      </x:c>
      <x:c r="U1243" s="2" t="str">
        <x:f>IF(T1243=TRUE,"Priority review",IF(R1243=TRUE,"High cost",IF(S1243=TRUE,"Low quality","Benchmark")))</x:f>
        <x:v>Benchmark</x:v>
      </x:c>
    </x:row>
    <x:row r="1244">
      <x:c r="A1244" s="2" t="str">
        <x:v>240010</x:v>
      </x:c>
      <x:c r="B1244" s="2" t="str">
        <x:v>MAYO CLINIC HOSPITAL ROCHESTER</x:v>
      </x:c>
      <x:c r="C1244" s="2" t="str">
        <x:v>ROCHESTER</x:v>
      </x:c>
      <x:c r="D1244" s="2" t="str">
        <x:v>MN</x:v>
      </x:c>
      <x:c r="E1244" s="2" t="str">
        <x:v>Acute Care Hospitals</x:v>
      </x:c>
      <x:c r="F1244" s="2" t="str">
        <x:v>Voluntary non-profit</x:v>
      </x:c>
      <x:c r="G1244" s="2" t="str">
        <x:v>Large (300+ beds)</x:v>
      </x:c>
      <x:c r="H1244" s="7" t="n">
        <x:v>5</x:v>
      </x:c>
      <x:c r="I1244" s="7" t="n">
        <x:v>5</x:v>
      </x:c>
      <x:c r="J1244" s="7" t="n">
        <x:v>0.95</x:v>
      </x:c>
      <x:c r="K1244" s="8" t="n">
        <x:v>1157</x:v>
      </x:c>
      <x:c r="L1244" s="8" t="n">
        <x:v>50498</x:v>
      </x:c>
      <x:c r="M1244" s="9" t="n">
        <x:v>0.7384679079</x:v>
      </x:c>
      <x:c r="N1244" s="10" t="n">
        <x:v>53371.4202344647</x:v>
      </x:c>
      <x:c r="O1244" s="9" t="n">
        <x:v>0.3075812966</x:v>
      </x:c>
      <x:c r="P1244" s="9" t="n">
        <x:v>0.7492113565</x:v>
      </x:c>
      <x:c r="Q1244" s="9" t="n">
        <x:v>0.8722397476</x:v>
      </x:c>
      <x:c r="R1244" s="3" t="b">
        <x:v>0</x:v>
      </x:c>
      <x:c r="S1244" s="3" t="b">
        <x:v>0</x:v>
      </x:c>
      <x:c r="T1244" s="3" t="b">
        <x:v>0</x:v>
      </x:c>
      <x:c r="U1244" s="2" t="str">
        <x:f>IF(T1244=TRUE,"Priority review",IF(R1244=TRUE,"High cost",IF(S1244=TRUE,"Low quality","Benchmark")))</x:f>
        <x:v>Benchmark</x:v>
      </x:c>
    </x:row>
    <x:row r="1245">
      <x:c r="A1245" s="2" t="str">
        <x:v>410005</x:v>
      </x:c>
      <x:c r="B1245" s="2" t="str">
        <x:v>OUR LADY OF FATIMA HOSPITAL</x:v>
      </x:c>
      <x:c r="C1245" s="2" t="str">
        <x:v>NORTH PROVIDENCE</x:v>
      </x:c>
      <x:c r="D1245" s="2" t="str">
        <x:v>RI</x:v>
      </x:c>
      <x:c r="E1245" s="2" t="str">
        <x:v>Acute Care Hospitals</x:v>
      </x:c>
      <x:c r="F1245" s="2" t="str">
        <x:v>Proprietary</x:v>
      </x:c>
      <x:c r="G1245" s="2" t="str">
        <x:v>Medium (100-299 beds)</x:v>
      </x:c>
      <x:c r="H1245" s="7" t="n">
        <x:v>3</x:v>
      </x:c>
      <x:c r="I1245" s="7" t="n">
        <x:v>3</x:v>
      </x:c>
      <x:c r="J1245" s="7" t="n">
        <x:v>1.02</x:v>
      </x:c>
      <x:c r="K1245" s="8" t="n">
        <x:v>185</x:v>
      </x:c>
      <x:c r="L1245" s="8" t="n">
        <x:v>3367</x:v>
      </x:c>
      <x:c r="M1245" s="9" t="n">
        <x:v>0.2138827352</x:v>
      </x:c>
      <x:c r="N1245" s="10" t="n">
        <x:v>46356.651024651</x:v>
      </x:c>
      <x:c r="O1245" s="9" t="n">
        <x:v>-0.1504057332</x:v>
      </x:c>
      <x:c r="P1245" s="9" t="n">
        <x:v>0.7489812551</x:v>
      </x:c>
      <x:c r="Q1245" s="9" t="n">
        <x:v>0.3023634882</x:v>
      </x:c>
      <x:c r="R1245" s="3" t="b">
        <x:v>0</x:v>
      </x:c>
      <x:c r="S1245" s="3" t="b">
        <x:v>0</x:v>
      </x:c>
      <x:c r="T1245" s="3" t="b">
        <x:v>0</x:v>
      </x:c>
      <x:c r="U1245" s="2" t="str">
        <x:f>IF(T1245=TRUE,"Priority review",IF(R1245=TRUE,"High cost",IF(S1245=TRUE,"Low quality","Benchmark")))</x:f>
        <x:v>Benchmark</x:v>
      </x:c>
    </x:row>
    <x:row r="1246">
      <x:c r="A1246" s="2" t="str">
        <x:v>261305</x:v>
      </x:c>
      <x:c r="B1246" s="2" t="str">
        <x:v>PUTNAM COUNTY MEMORIAL HOSPITAL</x:v>
      </x:c>
      <x:c r="C1246" s="2" t="str">
        <x:v>UNIONVILLE</x:v>
      </x:c>
      <x:c r="D1246" s="2" t="str">
        <x:v>MO</x:v>
      </x:c>
      <x:c r="E1246" s="2" t="str">
        <x:v>Critical Access Hospitals</x:v>
      </x:c>
      <x:c r="F1246" s="2" t="str">
        <x:v>Government</x:v>
      </x:c>
      <x:c r="G1246" s="2" t="str">
        <x:v>Small (&lt;100 beds)</x:v>
      </x:c>
      <x:c r="H1246" s="7"/>
      <x:c r="I1246" s="7"/>
      <x:c r="J1246" s="7"/>
      <x:c r="K1246" s="8" t="n">
        <x:v>15</x:v>
      </x:c>
      <x:c r="L1246" s="8" t="n">
        <x:v>87</x:v>
      </x:c>
      <x:c r="M1246" s="9" t="n">
        <x:v>0.1364383562</x:v>
      </x:c>
      <x:c r="N1246" s="10" t="n">
        <x:v>206259.4827586207</x:v>
      </x:c>
      <x:c r="O1246" s="9" t="n">
        <x:v>-0.2898370152</x:v>
      </x:c>
      <x:c r="P1246" s="9" t="n">
        <x:v>0.7486988848</x:v>
      </x:c>
      <x:c r="Q1246" s="9" t="n">
        <x:v>0.292936803</x:v>
      </x:c>
      <x:c r="R1246" s="3" t="b">
        <x:v>0</x:v>
      </x:c>
      <x:c r="S1246" s="3" t="b">
        <x:v>0</x:v>
      </x:c>
      <x:c r="T1246" s="3" t="b">
        <x:v>0</x:v>
      </x:c>
      <x:c r="U1246" s="2" t="str">
        <x:f>IF(T1246=TRUE,"Priority review",IF(R1246=TRUE,"High cost",IF(S1246=TRUE,"Low quality","Benchmark")))</x:f>
        <x:v>Benchmark</x:v>
      </x:c>
    </x:row>
    <x:row r="1247">
      <x:c r="A1247" s="2" t="str">
        <x:v>450369</x:v>
      </x:c>
      <x:c r="B1247" s="2" t="str">
        <x:v>CHILDRESS REGIONAL MEDICAL CENTER</x:v>
      </x:c>
      <x:c r="C1247" s="2" t="str">
        <x:v>CHILDRESS</x:v>
      </x:c>
      <x:c r="D1247" s="2" t="str">
        <x:v>TX</x:v>
      </x:c>
      <x:c r="E1247" s="2" t="str">
        <x:v>Acute Care Hospitals</x:v>
      </x:c>
      <x:c r="F1247" s="2" t="str">
        <x:v>Government</x:v>
      </x:c>
      <x:c r="G1247" s="2" t="str">
        <x:v>Small (&lt;100 beds)</x:v>
      </x:c>
      <x:c r="H1247" s="7"/>
      <x:c r="I1247" s="7"/>
      <x:c r="J1247" s="7" t="n">
        <x:v>1.05</x:v>
      </x:c>
      <x:c r="K1247" s="8" t="n">
        <x:v>37</x:v>
      </x:c>
      <x:c r="L1247" s="8" t="n">
        <x:v>493</x:v>
      </x:c>
      <x:c r="M1247" s="9" t="n">
        <x:v>0.1645251809</x:v>
      </x:c>
      <x:c r="N1247" s="10" t="n">
        <x:v>83335.1034482759</x:v>
      </x:c>
      <x:c r="O1247" s="9" t="n">
        <x:v>0.043434835</x:v>
      </x:c>
      <x:c r="P1247" s="9" t="n">
        <x:v>0.7486535009</x:v>
      </x:c>
      <x:c r="Q1247" s="9" t="n">
        <x:v>0.697486535</x:v>
      </x:c>
      <x:c r="R1247" s="3" t="b">
        <x:v>0</x:v>
      </x:c>
      <x:c r="S1247" s="3" t="b">
        <x:v>0</x:v>
      </x:c>
      <x:c r="T1247" s="3" t="b">
        <x:v>0</x:v>
      </x:c>
      <x:c r="U1247" s="2" t="str">
        <x:f>IF(T1247=TRUE,"Priority review",IF(R1247=TRUE,"High cost",IF(S1247=TRUE,"Low quality","Benchmark")))</x:f>
        <x:v>Benchmark</x:v>
      </x:c>
    </x:row>
    <x:row r="1248">
      <x:c r="A1248" s="2" t="str">
        <x:v>360133</x:v>
      </x:c>
      <x:c r="B1248" s="2" t="str">
        <x:v>KETTERING HEALTH DAYTON</x:v>
      </x:c>
      <x:c r="C1248" s="2" t="str">
        <x:v>DAYTON</x:v>
      </x:c>
      <x:c r="D1248" s="2" t="str">
        <x:v>OH</x:v>
      </x:c>
      <x:c r="E1248" s="2" t="str">
        <x:v>Acute Care Hospitals</x:v>
      </x:c>
      <x:c r="F1248" s="2" t="str">
        <x:v>Voluntary non-profit</x:v>
      </x:c>
      <x:c r="G1248" s="2" t="str">
        <x:v>Medium (100-299 beds)</x:v>
      </x:c>
      <x:c r="H1248" s="7" t="n">
        <x:v>4</x:v>
      </x:c>
      <x:c r="I1248" s="7" t="n">
        <x:v>3</x:v>
      </x:c>
      <x:c r="J1248" s="7" t="n">
        <x:v>0.99</x:v>
      </x:c>
      <x:c r="K1248" s="8" t="n">
        <x:v>295</x:v>
      </x:c>
      <x:c r="L1248" s="8" t="n">
        <x:v>15883</x:v>
      </x:c>
      <x:c r="M1248" s="9" t="n">
        <x:v>0.6205226259</x:v>
      </x:c>
      <x:c r="N1248" s="10" t="n">
        <x:v>46352.4457596172</x:v>
      </x:c>
      <x:c r="O1248" s="9" t="n">
        <x:v>0.0169875675</x:v>
      </x:c>
      <x:c r="P1248" s="9" t="n">
        <x:v>0.7481662592</x:v>
      </x:c>
      <x:c r="Q1248" s="9" t="n">
        <x:v>0.6022819886</x:v>
      </x:c>
      <x:c r="R1248" s="3" t="b">
        <x:v>0</x:v>
      </x:c>
      <x:c r="S1248" s="3" t="b">
        <x:v>0</x:v>
      </x:c>
      <x:c r="T1248" s="3" t="b">
        <x:v>0</x:v>
      </x:c>
      <x:c r="U1248" s="2" t="str">
        <x:f>IF(T1248=TRUE,"Priority review",IF(R1248=TRUE,"High cost",IF(S1248=TRUE,"Low quality","Benchmark")))</x:f>
        <x:v>Benchmark</x:v>
      </x:c>
    </x:row>
    <x:row r="1249">
      <x:c r="A1249" s="2" t="str">
        <x:v>061322</x:v>
      </x:c>
      <x:c r="B1249" s="2" t="str">
        <x:v>HEART OF THE ROCKIES REGIONAL MEDICAL CENTER</x:v>
      </x:c>
      <x:c r="C1249" s="2" t="str">
        <x:v>SALIDA</x:v>
      </x:c>
      <x:c r="D1249" s="2" t="str">
        <x:v>CO</x:v>
      </x:c>
      <x:c r="E1249" s="2" t="str">
        <x:v>Critical Access Hospitals</x:v>
      </x:c>
      <x:c r="F1249" s="2" t="str">
        <x:v>Government</x:v>
      </x:c>
      <x:c r="G1249" s="2" t="str">
        <x:v>Small (&lt;100 beds)</x:v>
      </x:c>
      <x:c r="H1249" s="7" t="n">
        <x:v>1</x:v>
      </x:c>
      <x:c r="I1249" s="7" t="n">
        <x:v>3</x:v>
      </x:c>
      <x:c r="J1249" s="7"/>
      <x:c r="K1249" s="8" t="n">
        <x:v>25</x:v>
      </x:c>
      <x:c r="L1249" s="8" t="n">
        <x:v>692</x:v>
      </x:c>
      <x:c r="M1249" s="9" t="n">
        <x:v>0.3486338798</x:v>
      </x:c>
      <x:c r="N1249" s="10" t="n">
        <x:v>206243.7875722543</x:v>
      </x:c>
      <x:c r="O1249" s="9" t="n">
        <x:v>0.052801988</x:v>
      </x:c>
      <x:c r="P1249" s="9" t="n">
        <x:v>0.7479553903</x:v>
      </x:c>
      <x:c r="Q1249" s="9" t="n">
        <x:v>0</x:v>
      </x:c>
      <x:c r="R1249" s="3" t="b">
        <x:v>0</x:v>
      </x:c>
      <x:c r="S1249" s="3" t="b">
        <x:v>1</x:v>
      </x:c>
      <x:c r="T1249" s="3" t="b">
        <x:v>0</x:v>
      </x:c>
      <x:c r="U1249" s="2" t="str">
        <x:f>IF(T1249=TRUE,"Priority review",IF(R1249=TRUE,"High cost",IF(S1249=TRUE,"Low quality","Benchmark")))</x:f>
        <x:v>Low quality</x:v>
      </x:c>
    </x:row>
    <x:row r="1250">
      <x:c r="A1250" s="2" t="str">
        <x:v>160001</x:v>
      </x:c>
      <x:c r="B1250" s="2" t="str">
        <x:v>UNITYPOINT HEALTH - MARSHALLTOWN</x:v>
      </x:c>
      <x:c r="C1250" s="2" t="str">
        <x:v>MARSHALLTOWN</x:v>
      </x:c>
      <x:c r="D1250" s="2" t="str">
        <x:v>IA</x:v>
      </x:c>
      <x:c r="E1250" s="2" t="str">
        <x:v>Acute Care Hospitals</x:v>
      </x:c>
      <x:c r="F1250" s="2" t="str">
        <x:v>Voluntary non-profit</x:v>
      </x:c>
      <x:c r="G1250" s="2" t="str">
        <x:v>Small (&lt;100 beds)</x:v>
      </x:c>
      <x:c r="H1250" s="7" t="n">
        <x:v>3</x:v>
      </x:c>
      <x:c r="I1250" s="7" t="n">
        <x:v>3</x:v>
      </x:c>
      <x:c r="J1250" s="7" t="n">
        <x:v>0.84</x:v>
      </x:c>
      <x:c r="K1250" s="8" t="n">
        <x:v>16</x:v>
      </x:c>
      <x:c r="L1250" s="8" t="n">
        <x:v>959</x:v>
      </x:c>
      <x:c r="M1250" s="9" t="n">
        <x:v>0.5544740437</x:v>
      </x:c>
      <x:c r="N1250" s="10" t="n">
        <x:v>83297.338894682</x:v>
      </x:c>
      <x:c r="O1250" s="9" t="n">
        <x:v>0.0290142859</x:v>
      </x:c>
      <x:c r="P1250" s="9" t="n">
        <x:v>0.7477558348</x:v>
      </x:c>
      <x:c r="Q1250" s="9" t="n">
        <x:v>0.1687612208</x:v>
      </x:c>
      <x:c r="R1250" s="3" t="b">
        <x:v>0</x:v>
      </x:c>
      <x:c r="S1250" s="3" t="b">
        <x:v>0</x:v>
      </x:c>
      <x:c r="T1250" s="3" t="b">
        <x:v>0</x:v>
      </x:c>
      <x:c r="U1250" s="2" t="str">
        <x:f>IF(T1250=TRUE,"Priority review",IF(R1250=TRUE,"High cost",IF(S1250=TRUE,"Low quality","Benchmark")))</x:f>
        <x:v>Benchmark</x:v>
      </x:c>
    </x:row>
    <x:row r="1251">
      <x:c r="A1251" s="2" t="str">
        <x:v>050139</x:v>
      </x:c>
      <x:c r="B1251" s="2" t="str">
        <x:v>KAISER FOUNDATION HOSPITAL - DOWNEY</x:v>
      </x:c>
      <x:c r="C1251" s="2" t="str">
        <x:v>DOWNEY</x:v>
      </x:c>
      <x:c r="D1251" s="2" t="str">
        <x:v>CA</x:v>
      </x:c>
      <x:c r="E1251" s="2" t="str">
        <x:v>Acute Care Hospitals</x:v>
      </x:c>
      <x:c r="F1251" s="2" t="str">
        <x:v>Voluntary non-profit</x:v>
      </x:c>
      <x:c r="G1251" s="2" t="str">
        <x:v>Large (300+ beds)</x:v>
      </x:c>
      <x:c r="H1251" s="7" t="n">
        <x:v>4</x:v>
      </x:c>
      <x:c r="I1251" s="7" t="n">
        <x:v>3</x:v>
      </x:c>
      <x:c r="J1251" s="7" t="n">
        <x:v>0.88</x:v>
      </x:c>
      <x:c r="K1251" s="8" t="n">
        <x:v>424</x:v>
      </x:c>
      <x:c r="L1251" s="8" t="n">
        <x:v>19017</x:v>
      </x:c>
      <x:c r="M1251" s="9" t="n">
        <x:v>0.5897579647</x:v>
      </x:c>
      <x:c r="N1251" s="10" t="n">
        <x:v>53124.2983120366</x:v>
      </x:c>
      <x:c r="O1251" s="9" t="n">
        <x:v>0.017941681</x:v>
      </x:c>
      <x:c r="P1251" s="9" t="n">
        <x:v>0.7476340694</x:v>
      </x:c>
      <x:c r="Q1251" s="9" t="n">
        <x:v>0.5899053628</x:v>
      </x:c>
      <x:c r="R1251" s="3" t="b">
        <x:v>0</x:v>
      </x:c>
      <x:c r="S1251" s="3" t="b">
        <x:v>0</x:v>
      </x:c>
      <x:c r="T1251" s="3" t="b">
        <x:v>0</x:v>
      </x:c>
      <x:c r="U1251" s="2" t="str">
        <x:f>IF(T1251=TRUE,"Priority review",IF(R1251=TRUE,"High cost",IF(S1251=TRUE,"Low quality","Benchmark")))</x:f>
        <x:v>Benchmark</x:v>
      </x:c>
    </x:row>
    <x:row r="1252">
      <x:c r="A1252" s="2" t="str">
        <x:v>054077</x:v>
      </x:c>
      <x:c r="B1252" s="2" t="str">
        <x:v>AURORA VISTA DEL MAR HOSPITAL</x:v>
      </x:c>
      <x:c r="C1252" s="2" t="str">
        <x:v>VENTURA</x:v>
      </x:c>
      <x:c r="D1252" s="2" t="str">
        <x:v>CA</x:v>
      </x:c>
      <x:c r="E1252" s="2" t="str">
        <x:v>Psychiatric</x:v>
      </x:c>
      <x:c r="F1252" s="2" t="str">
        <x:v>Proprietary</x:v>
      </x:c>
      <x:c r="G1252" s="2" t="str">
        <x:v>Small (&lt;100 beds)</x:v>
      </x:c>
      <x:c r="H1252" s="7"/>
      <x:c r="I1252" s="7"/>
      <x:c r="J1252" s="7"/>
      <x:c r="K1252" s="8" t="n">
        <x:v>87</x:v>
      </x:c>
      <x:c r="L1252" s="8" t="n">
        <x:v>931</x:v>
      </x:c>
      <x:c r="M1252" s="9" t="n">
        <x:v>0.2084668048</x:v>
      </x:c>
      <x:c r="N1252" s="10" t="n">
        <x:v>30715.3200859291</x:v>
      </x:c>
      <x:c r="O1252" s="9" t="n">
        <x:v>-2.5610883226</x:v>
      </x:c>
      <x:c r="P1252" s="9" t="n">
        <x:v>0.7475728155</x:v>
      </x:c>
      <x:c r="Q1252" s="9" t="n">
        <x:v>0</x:v>
      </x:c>
      <x:c r="R1252" s="3" t="b">
        <x:v>0</x:v>
      </x:c>
      <x:c r="S1252" s="3" t="b">
        <x:v>0</x:v>
      </x:c>
      <x:c r="T1252" s="3" t="b">
        <x:v>0</x:v>
      </x:c>
      <x:c r="U1252" s="2" t="str">
        <x:f>IF(T1252=TRUE,"Priority review",IF(R1252=TRUE,"High cost",IF(S1252=TRUE,"Low quality","Benchmark")))</x:f>
        <x:v>Benchmark</x:v>
      </x:c>
    </x:row>
    <x:row r="1253">
      <x:c r="A1253" s="2" t="str">
        <x:v>330074</x:v>
      </x:c>
      <x:c r="B1253" s="2" t="str">
        <x:v>F F THOMPSON HOSPITAL</x:v>
      </x:c>
      <x:c r="C1253" s="2" t="str">
        <x:v>CANANDAIGUA</x:v>
      </x:c>
      <x:c r="D1253" s="2" t="str">
        <x:v>NY</x:v>
      </x:c>
      <x:c r="E1253" s="2" t="str">
        <x:v>Acute Care Hospitals</x:v>
      </x:c>
      <x:c r="F1253" s="2" t="str">
        <x:v>Voluntary non-profit</x:v>
      </x:c>
      <x:c r="G1253" s="2" t="str">
        <x:v>Medium (100-299 beds)</x:v>
      </x:c>
      <x:c r="H1253" s="7" t="n">
        <x:v>2</x:v>
      </x:c>
      <x:c r="I1253" s="7" t="n">
        <x:v>4</x:v>
      </x:c>
      <x:c r="J1253" s="7" t="n">
        <x:v>0.9</x:v>
      </x:c>
      <x:c r="K1253" s="8" t="n">
        <x:v>113</x:v>
      </x:c>
      <x:c r="L1253" s="8" t="n">
        <x:v>5458</x:v>
      </x:c>
      <x:c r="M1253" s="9" t="n">
        <x:v>0.6844141399</x:v>
      </x:c>
      <x:c r="N1253" s="10" t="n">
        <x:v>46303.0240014657</x:v>
      </x:c>
      <x:c r="O1253" s="9" t="n">
        <x:v>-0.0331507204</x:v>
      </x:c>
      <x:c r="P1253" s="9" t="n">
        <x:v>0.7473512632</x:v>
      </x:c>
      <x:c r="Q1253" s="9" t="n">
        <x:v>0.0782396088</x:v>
      </x:c>
      <x:c r="R1253" s="3" t="b">
        <x:v>0</x:v>
      </x:c>
      <x:c r="S1253" s="3" t="b">
        <x:v>1</x:v>
      </x:c>
      <x:c r="T1253" s="3" t="b">
        <x:v>0</x:v>
      </x:c>
      <x:c r="U1253" s="2" t="str">
        <x:f>IF(T1253=TRUE,"Priority review",IF(R1253=TRUE,"High cost",IF(S1253=TRUE,"Low quality","Benchmark")))</x:f>
        <x:v>Low quality</x:v>
      </x:c>
    </x:row>
    <x:row r="1254">
      <x:c r="A1254" s="2" t="str">
        <x:v>381311</x:v>
      </x:c>
      <x:c r="B1254" s="2" t="str">
        <x:v>LOWER UMPQUA HOSPITAL DISTRICT</x:v>
      </x:c>
      <x:c r="C1254" s="2" t="str">
        <x:v>REEDSPORT</x:v>
      </x:c>
      <x:c r="D1254" s="2" t="str">
        <x:v>OR</x:v>
      </x:c>
      <x:c r="E1254" s="2" t="str">
        <x:v>Critical Access Hospitals</x:v>
      </x:c>
      <x:c r="F1254" s="2" t="str">
        <x:v>Government</x:v>
      </x:c>
      <x:c r="G1254" s="2" t="str">
        <x:v>Small (&lt;100 beds)</x:v>
      </x:c>
      <x:c r="H1254" s="7"/>
      <x:c r="I1254" s="7"/>
      <x:c r="J1254" s="7"/>
      <x:c r="K1254" s="8" t="n">
        <x:v>16</x:v>
      </x:c>
      <x:c r="L1254" s="8" t="n">
        <x:v>215</x:v>
      </x:c>
      <x:c r="M1254" s="9" t="n">
        <x:v>0.4008561644</x:v>
      </x:c>
      <x:c r="N1254" s="10" t="n">
        <x:v>205993.8837209302</x:v>
      </x:c>
      <x:c r="O1254" s="9" t="n">
        <x:v>-0.1736178716</x:v>
      </x:c>
      <x:c r="P1254" s="9" t="n">
        <x:v>0.7472118959</x:v>
      </x:c>
      <x:c r="Q1254" s="9" t="n">
        <x:v>0.292936803</x:v>
      </x:c>
      <x:c r="R1254" s="3" t="b">
        <x:v>0</x:v>
      </x:c>
      <x:c r="S1254" s="3" t="b">
        <x:v>0</x:v>
      </x:c>
      <x:c r="T1254" s="3" t="b">
        <x:v>0</x:v>
      </x:c>
      <x:c r="U1254" s="2" t="str">
        <x:f>IF(T1254=TRUE,"Priority review",IF(R1254=TRUE,"High cost",IF(S1254=TRUE,"Low quality","Benchmark")))</x:f>
        <x:v>Benchmark</x:v>
      </x:c>
    </x:row>
    <x:row r="1255">
      <x:c r="A1255" s="2" t="str">
        <x:v>210030</x:v>
      </x:c>
      <x:c r="B1255" s="2" t="str">
        <x:v>UNIVERSITY OF MD SHORE MEDICAL CTR AT CHESTERTOWN</x:v>
      </x:c>
      <x:c r="C1255" s="2" t="str">
        <x:v>CHESTERTOWN</x:v>
      </x:c>
      <x:c r="D1255" s="2" t="str">
        <x:v>MD</x:v>
      </x:c>
      <x:c r="E1255" s="2" t="str">
        <x:v>Acute Care Hospitals</x:v>
      </x:c>
      <x:c r="F1255" s="2" t="str">
        <x:v>Voluntary non-profit</x:v>
      </x:c>
      <x:c r="G1255" s="2" t="str">
        <x:v>Small (&lt;100 beds)</x:v>
      </x:c>
      <x:c r="H1255" s="7" t="n">
        <x:v>5</x:v>
      </x:c>
      <x:c r="I1255" s="7"/>
      <x:c r="J1255" s="7"/>
      <x:c r="K1255" s="8" t="n">
        <x:v>6</x:v>
      </x:c>
      <x:c r="L1255" s="8" t="n">
        <x:v>495</x:v>
      </x:c>
      <x:c r="M1255" s="9" t="n">
        <x:v>0.9292237443</x:v>
      </x:c>
      <x:c r="N1255" s="10" t="n">
        <x:v>82895.3393939394</x:v>
      </x:c>
      <x:c r="O1255" s="9" t="n">
        <x:v>0.1790107327</x:v>
      </x:c>
      <x:c r="P1255" s="9" t="n">
        <x:v>0.7468581688</x:v>
      </x:c>
      <x:c r="Q1255" s="9" t="n">
        <x:v>0.6131059246</x:v>
      </x:c>
      <x:c r="R1255" s="3" t="b">
        <x:v>0</x:v>
      </x:c>
      <x:c r="S1255" s="3" t="b">
        <x:v>0</x:v>
      </x:c>
      <x:c r="T1255" s="3" t="b">
        <x:v>0</x:v>
      </x:c>
      <x:c r="U1255" s="2" t="str">
        <x:f>IF(T1255=TRUE,"Priority review",IF(R1255=TRUE,"High cost",IF(S1255=TRUE,"Low quality","Benchmark")))</x:f>
        <x:v>Benchmark</x:v>
      </x:c>
    </x:row>
    <x:row r="1256">
      <x:c r="A1256" s="2" t="str">
        <x:v>420071</x:v>
      </x:c>
      <x:c r="B1256" s="2" t="str">
        <x:v>SELF REGIONAL HEALTHCARE</x:v>
      </x:c>
      <x:c r="C1256" s="2" t="str">
        <x:v>GREENWOOD</x:v>
      </x:c>
      <x:c r="D1256" s="2" t="str">
        <x:v>SC</x:v>
      </x:c>
      <x:c r="E1256" s="2" t="str">
        <x:v>Acute Care Hospitals</x:v>
      </x:c>
      <x:c r="F1256" s="2" t="str">
        <x:v>Voluntary non-profit</x:v>
      </x:c>
      <x:c r="G1256" s="2" t="str">
        <x:v>Medium (100-299 beds)</x:v>
      </x:c>
      <x:c r="H1256" s="7" t="n">
        <x:v>4</x:v>
      </x:c>
      <x:c r="I1256" s="7" t="n">
        <x:v>4</x:v>
      </x:c>
      <x:c r="J1256" s="7" t="n">
        <x:v>1.07</x:v>
      </x:c>
      <x:c r="K1256" s="8" t="n">
        <x:v>290</x:v>
      </x:c>
      <x:c r="L1256" s="8" t="n">
        <x:v>9516</x:v>
      </x:c>
      <x:c r="M1256" s="9" t="n">
        <x:v>0.4500942152</x:v>
      </x:c>
      <x:c r="N1256" s="10" t="n">
        <x:v>46296.6039302228</x:v>
      </x:c>
      <x:c r="O1256" s="9" t="n">
        <x:v>0.0945792746</x:v>
      </x:c>
      <x:c r="P1256" s="9" t="n">
        <x:v>0.7465362673</x:v>
      </x:c>
      <x:c r="Q1256" s="9" t="n">
        <x:v>0.6022819886</x:v>
      </x:c>
      <x:c r="R1256" s="3" t="b">
        <x:v>0</x:v>
      </x:c>
      <x:c r="S1256" s="3" t="b">
        <x:v>0</x:v>
      </x:c>
      <x:c r="T1256" s="3" t="b">
        <x:v>0</x:v>
      </x:c>
      <x:c r="U1256" s="2" t="str">
        <x:f>IF(T1256=TRUE,"Priority review",IF(R1256=TRUE,"High cost",IF(S1256=TRUE,"Low quality","Benchmark")))</x:f>
        <x:v>Benchmark</x:v>
      </x:c>
    </x:row>
    <x:row r="1257">
      <x:c r="A1257" s="2" t="str">
        <x:v>281302</x:v>
      </x:c>
      <x:c r="B1257" s="2" t="str">
        <x:v>PAWNEE COUNTY MEMORIAL HOSPITAL</x:v>
      </x:c>
      <x:c r="C1257" s="2" t="str">
        <x:v>PAWNEE CITY</x:v>
      </x:c>
      <x:c r="D1257" s="2" t="str">
        <x:v>NE</x:v>
      </x:c>
      <x:c r="E1257" s="2" t="str">
        <x:v>Critical Access Hospitals</x:v>
      </x:c>
      <x:c r="F1257" s="2" t="str">
        <x:v>Government</x:v>
      </x:c>
      <x:c r="G1257" s="2" t="str">
        <x:v>Small (&lt;100 beds)</x:v>
      </x:c>
      <x:c r="H1257" s="7"/>
      <x:c r="I1257" s="7"/>
      <x:c r="J1257" s="7"/>
      <x:c r="K1257" s="8" t="n">
        <x:v>17</x:v>
      </x:c>
      <x:c r="L1257" s="8" t="n">
        <x:v>54</x:v>
      </x:c>
      <x:c r="M1257" s="9" t="n">
        <x:v>0.0765511684</x:v>
      </x:c>
      <x:c r="N1257" s="10" t="n">
        <x:v>204975.6851851852</x:v>
      </x:c>
      <x:c r="O1257" s="9" t="n">
        <x:v>0.0636198979</x:v>
      </x:c>
      <x:c r="P1257" s="9" t="n">
        <x:v>0.7464684015</x:v>
      </x:c>
      <x:c r="Q1257" s="9" t="n">
        <x:v>0.292936803</x:v>
      </x:c>
      <x:c r="R1257" s="3" t="b">
        <x:v>0</x:v>
      </x:c>
      <x:c r="S1257" s="3" t="b">
        <x:v>0</x:v>
      </x:c>
      <x:c r="T1257" s="3" t="b">
        <x:v>0</x:v>
      </x:c>
      <x:c r="U1257" s="2" t="str">
        <x:f>IF(T1257=TRUE,"Priority review",IF(R1257=TRUE,"High cost",IF(S1257=TRUE,"Low quality","Benchmark")))</x:f>
        <x:v>Benchmark</x:v>
      </x:c>
    </x:row>
    <x:row r="1258">
      <x:c r="A1258" s="2" t="str">
        <x:v>334048</x:v>
      </x:c>
      <x:c r="B1258" s="2" t="str">
        <x:v>GRACIE SQUARE HOSP</x:v>
      </x:c>
      <x:c r="C1258" s="2" t="str">
        <x:v>NEW YORK</x:v>
      </x:c>
      <x:c r="D1258" s="2" t="str">
        <x:v>NY</x:v>
      </x:c>
      <x:c r="E1258" s="2" t="str">
        <x:v>Psychiatric</x:v>
      </x:c>
      <x:c r="F1258" s="2" t="str">
        <x:v>Voluntary non-profit</x:v>
      </x:c>
      <x:c r="G1258" s="2" t="str">
        <x:v>Medium (100-299 beds)</x:v>
      </x:c>
      <x:c r="H1258" s="7"/>
      <x:c r="I1258" s="7"/>
      <x:c r="J1258" s="7"/>
      <x:c r="K1258" s="8" t="n">
        <x:v>140</x:v>
      </x:c>
      <x:c r="L1258" s="8" t="n">
        <x:v>2786</x:v>
      </x:c>
      <x:c r="M1258" s="9" t="n">
        <x:v>0.8716432475</x:v>
      </x:c>
      <x:c r="N1258" s="10" t="n">
        <x:v>30159.2430007179</x:v>
      </x:c>
      <x:c r="O1258" s="9" t="n">
        <x:v>0.0118444501</x:v>
      </x:c>
      <x:c r="P1258" s="9" t="n">
        <x:v>0.7462686567</x:v>
      </x:c>
      <x:c r="Q1258" s="9" t="n">
        <x:v>0</x:v>
      </x:c>
      <x:c r="R1258" s="3" t="b">
        <x:v>0</x:v>
      </x:c>
      <x:c r="S1258" s="3" t="b">
        <x:v>0</x:v>
      </x:c>
      <x:c r="T1258" s="3" t="b">
        <x:v>0</x:v>
      </x:c>
      <x:c r="U1258" s="2" t="str">
        <x:f>IF(T1258=TRUE,"Priority review",IF(R1258=TRUE,"High cost",IF(S1258=TRUE,"Low quality","Benchmark")))</x:f>
        <x:v>Benchmark</x:v>
      </x:c>
    </x:row>
    <x:row r="1259">
      <x:c r="A1259" s="2" t="str">
        <x:v>130049</x:v>
      </x:c>
      <x:c r="B1259" s="2" t="str">
        <x:v>KOOTENAI HEALTH</x:v>
      </x:c>
      <x:c r="C1259" s="2" t="str">
        <x:v>COEUR D'ALENE</x:v>
      </x:c>
      <x:c r="D1259" s="2" t="str">
        <x:v>ID</x:v>
      </x:c>
      <x:c r="E1259" s="2" t="str">
        <x:v>Acute Care Hospitals</x:v>
      </x:c>
      <x:c r="F1259" s="2" t="str">
        <x:v>Government</x:v>
      </x:c>
      <x:c r="G1259" s="2" t="str">
        <x:v>Large (300+ beds)</x:v>
      </x:c>
      <x:c r="H1259" s="7" t="n">
        <x:v>4</x:v>
      </x:c>
      <x:c r="I1259" s="7" t="n">
        <x:v>3</x:v>
      </x:c>
      <x:c r="J1259" s="7" t="n">
        <x:v>1</x:v>
      </x:c>
      <x:c r="K1259" s="8" t="n">
        <x:v>317</x:v>
      </x:c>
      <x:c r="L1259" s="8" t="n">
        <x:v>18146</x:v>
      </x:c>
      <x:c r="M1259" s="9" t="n">
        <x:v>0.6792849632</x:v>
      </x:c>
      <x:c r="N1259" s="10" t="n">
        <x:v>53095.528931996</x:v>
      </x:c>
      <x:c r="O1259" s="9" t="n">
        <x:v>-0.1856840139</x:v>
      </x:c>
      <x:c r="P1259" s="9" t="n">
        <x:v>0.7460567823</x:v>
      </x:c>
      <x:c r="Q1259" s="9" t="n">
        <x:v>0.5899053628</x:v>
      </x:c>
      <x:c r="R1259" s="3" t="b">
        <x:v>0</x:v>
      </x:c>
      <x:c r="S1259" s="3" t="b">
        <x:v>0</x:v>
      </x:c>
      <x:c r="T1259" s="3" t="b">
        <x:v>0</x:v>
      </x:c>
      <x:c r="U1259" s="2" t="str">
        <x:f>IF(T1259=TRUE,"Priority review",IF(R1259=TRUE,"High cost",IF(S1259=TRUE,"Low quality","Benchmark")))</x:f>
        <x:v>Benchmark</x:v>
      </x:c>
    </x:row>
    <x:row r="1260">
      <x:c r="A1260" s="2" t="str">
        <x:v>340127</x:v>
      </x:c>
      <x:c r="B1260" s="2" t="str">
        <x:v>GRANVILLE HEALTH SYSTEMS</x:v>
      </x:c>
      <x:c r="C1260" s="2" t="str">
        <x:v>OXFORD</x:v>
      </x:c>
      <x:c r="D1260" s="2" t="str">
        <x:v>NC</x:v>
      </x:c>
      <x:c r="E1260" s="2" t="str">
        <x:v>Acute Care Hospitals</x:v>
      </x:c>
      <x:c r="F1260" s="2" t="str">
        <x:v>Government</x:v>
      </x:c>
      <x:c r="G1260" s="2" t="str">
        <x:v>Small (&lt;100 beds)</x:v>
      </x:c>
      <x:c r="H1260" s="7" t="n">
        <x:v>2</x:v>
      </x:c>
      <x:c r="I1260" s="7" t="n">
        <x:v>3</x:v>
      </x:c>
      <x:c r="J1260" s="7" t="n">
        <x:v>0.89</x:v>
      </x:c>
      <x:c r="K1260" s="8" t="n">
        <x:v>42</x:v>
      </x:c>
      <x:c r="L1260" s="8" t="n">
        <x:v>1180</x:v>
      </x:c>
      <x:c r="M1260" s="9" t="n">
        <x:v>0.3222742649</x:v>
      </x:c>
      <x:c r="N1260" s="10" t="n">
        <x:v>82885.7398305085</x:v>
      </x:c>
      <x:c r="O1260" s="9" t="n">
        <x:v>0.0111152252</x:v>
      </x:c>
      <x:c r="P1260" s="9" t="n">
        <x:v>0.7459605027</x:v>
      </x:c>
      <x:c r="Q1260" s="9" t="n">
        <x:v>0.0350089767</x:v>
      </x:c>
      <x:c r="R1260" s="3" t="b">
        <x:v>0</x:v>
      </x:c>
      <x:c r="S1260" s="3" t="b">
        <x:v>1</x:v>
      </x:c>
      <x:c r="T1260" s="3" t="b">
        <x:v>0</x:v>
      </x:c>
      <x:c r="U1260" s="2" t="str">
        <x:f>IF(T1260=TRUE,"Priority review",IF(R1260=TRUE,"High cost",IF(S1260=TRUE,"Low quality","Benchmark")))</x:f>
        <x:v>Low quality</x:v>
      </x:c>
    </x:row>
    <x:row r="1261">
      <x:c r="A1261" s="2" t="str">
        <x:v>241360</x:v>
      </x:c>
      <x:c r="B1261" s="2" t="str">
        <x:v>ESSENTIA HEALTH DEER RIVER</x:v>
      </x:c>
      <x:c r="C1261" s="2" t="str">
        <x:v>DEER RIVER</x:v>
      </x:c>
      <x:c r="D1261" s="2" t="str">
        <x:v>MN</x:v>
      </x:c>
      <x:c r="E1261" s="2" t="str">
        <x:v>Critical Access Hospitals</x:v>
      </x:c>
      <x:c r="F1261" s="2" t="str">
        <x:v>Voluntary non-profit</x:v>
      </x:c>
      <x:c r="G1261" s="2" t="str">
        <x:v>Small (&lt;100 beds)</x:v>
      </x:c>
      <x:c r="H1261" s="7"/>
      <x:c r="I1261" s="7"/>
      <x:c r="J1261" s="7"/>
      <x:c r="K1261" s="8" t="n">
        <x:v>20</x:v>
      </x:c>
      <x:c r="L1261" s="8" t="n">
        <x:v>210</x:v>
      </x:c>
      <x:c r="M1261" s="9" t="n">
        <x:v>0.197260274</x:v>
      </x:c>
      <x:c r="N1261" s="10" t="n">
        <x:v>204434.3238095238</x:v>
      </x:c>
      <x:c r="O1261" s="9" t="n">
        <x:v>0.0358576526</x:v>
      </x:c>
      <x:c r="P1261" s="9" t="n">
        <x:v>0.7457249071</x:v>
      </x:c>
      <x:c r="Q1261" s="9" t="n">
        <x:v>0.292936803</x:v>
      </x:c>
      <x:c r="R1261" s="3" t="b">
        <x:v>0</x:v>
      </x:c>
      <x:c r="S1261" s="3" t="b">
        <x:v>0</x:v>
      </x:c>
      <x:c r="T1261" s="3" t="b">
        <x:v>0</x:v>
      </x:c>
      <x:c r="U1261" s="2" t="str">
        <x:f>IF(T1261=TRUE,"Priority review",IF(R1261=TRUE,"High cost",IF(S1261=TRUE,"Low quality","Benchmark")))</x:f>
        <x:v>Benchmark</x:v>
      </x:c>
    </x:row>
    <x:row r="1262">
      <x:c r="A1262" s="2" t="str">
        <x:v>060001</x:v>
      </x:c>
      <x:c r="B1262" s="2" t="str">
        <x:v>BANNER NORTH COLORADO MEDICAL CENTER</x:v>
      </x:c>
      <x:c r="C1262" s="2" t="str">
        <x:v>GREELEY</x:v>
      </x:c>
      <x:c r="D1262" s="2" t="str">
        <x:v>CO</x:v>
      </x:c>
      <x:c r="E1262" s="2" t="str">
        <x:v>Acute Care Hospitals</x:v>
      </x:c>
      <x:c r="F1262" s="2" t="str">
        <x:v>Voluntary non-profit</x:v>
      </x:c>
      <x:c r="G1262" s="2" t="str">
        <x:v>Medium (100-299 beds)</x:v>
      </x:c>
      <x:c r="H1262" s="7" t="n">
        <x:v>4</x:v>
      </x:c>
      <x:c r="I1262" s="7" t="n">
        <x:v>3</x:v>
      </x:c>
      <x:c r="J1262" s="7" t="n">
        <x:v>1.08</x:v>
      </x:c>
      <x:c r="K1262" s="8" t="n">
        <x:v>182</x:v>
      </x:c>
      <x:c r="L1262" s="8" t="n">
        <x:v>7813</x:v>
      </x:c>
      <x:c r="M1262" s="9" t="n">
        <x:v>0.5872965832</x:v>
      </x:c>
      <x:c r="N1262" s="10" t="n">
        <x:v>46284.6020734673</x:v>
      </x:c>
      <x:c r="O1262" s="9" t="n">
        <x:v>-0.0637985523</x:v>
      </x:c>
      <x:c r="P1262" s="9" t="n">
        <x:v>0.7457212714</x:v>
      </x:c>
      <x:c r="Q1262" s="9" t="n">
        <x:v>0.6022819886</x:v>
      </x:c>
      <x:c r="R1262" s="3" t="b">
        <x:v>0</x:v>
      </x:c>
      <x:c r="S1262" s="3" t="b">
        <x:v>0</x:v>
      </x:c>
      <x:c r="T1262" s="3" t="b">
        <x:v>0</x:v>
      </x:c>
      <x:c r="U1262" s="2" t="str">
        <x:f>IF(T1262=TRUE,"Priority review",IF(R1262=TRUE,"High cost",IF(S1262=TRUE,"Low quality","Benchmark")))</x:f>
        <x:v>Benchmark</x:v>
      </x:c>
    </x:row>
    <x:row r="1263">
      <x:c r="A1263" s="2" t="str">
        <x:v>190218</x:v>
      </x:c>
      <x:c r="B1263" s="2" t="str">
        <x:v>SABINE MEDICAL CENTER</x:v>
      </x:c>
      <x:c r="C1263" s="2" t="str">
        <x:v>MANY</x:v>
      </x:c>
      <x:c r="D1263" s="2" t="str">
        <x:v>LA</x:v>
      </x:c>
      <x:c r="E1263" s="2" t="str">
        <x:v>Acute Care Hospitals</x:v>
      </x:c>
      <x:c r="F1263" s="2" t="str">
        <x:v>Proprietary</x:v>
      </x:c>
      <x:c r="G1263" s="2" t="str">
        <x:v>Small (&lt;100 beds)</x:v>
      </x:c>
      <x:c r="H1263" s="7"/>
      <x:c r="I1263" s="7"/>
      <x:c r="J1263" s="7" t="n">
        <x:v>1.09</x:v>
      </x:c>
      <x:c r="K1263" s="8" t="n">
        <x:v>48</x:v>
      </x:c>
      <x:c r="L1263" s="8" t="n">
        <x:v>307</x:v>
      </x:c>
      <x:c r="M1263" s="9" t="n">
        <x:v>0.049543379</x:v>
      </x:c>
      <x:c r="N1263" s="10" t="n">
        <x:v>82681.6416938111</x:v>
      </x:c>
      <x:c r="O1263" s="9" t="n">
        <x:v>0.2099701029</x:v>
      </x:c>
      <x:c r="P1263" s="9" t="n">
        <x:v>0.7450628366</x:v>
      </x:c>
      <x:c r="Q1263" s="9" t="n">
        <x:v>0.697486535</x:v>
      </x:c>
      <x:c r="R1263" s="3" t="b">
        <x:v>0</x:v>
      </x:c>
      <x:c r="S1263" s="3" t="b">
        <x:v>0</x:v>
      </x:c>
      <x:c r="T1263" s="3" t="b">
        <x:v>0</x:v>
      </x:c>
      <x:c r="U1263" s="2" t="str">
        <x:f>IF(T1263=TRUE,"Priority review",IF(R1263=TRUE,"High cost",IF(S1263=TRUE,"Low quality","Benchmark")))</x:f>
        <x:v>Benchmark</x:v>
      </x:c>
    </x:row>
    <x:row r="1264">
      <x:c r="A1264" s="2" t="str">
        <x:v>371309</x:v>
      </x:c>
      <x:c r="B1264" s="2" t="str">
        <x:v>PAWHUSKA HOSPITAL, INC</x:v>
      </x:c>
      <x:c r="C1264" s="2" t="str">
        <x:v>PAWHUSKA</x:v>
      </x:c>
      <x:c r="D1264" s="2" t="str">
        <x:v>OK</x:v>
      </x:c>
      <x:c r="E1264" s="2" t="str">
        <x:v>Critical Access Hospitals</x:v>
      </x:c>
      <x:c r="F1264" s="2" t="str">
        <x:v>Voluntary non-profit</x:v>
      </x:c>
      <x:c r="G1264" s="2" t="str">
        <x:v>Small (&lt;100 beds)</x:v>
      </x:c>
      <x:c r="H1264" s="7"/>
      <x:c r="I1264" s="7"/>
      <x:c r="J1264" s="7"/>
      <x:c r="K1264" s="8" t="n">
        <x:v>25</x:v>
      </x:c>
      <x:c r="L1264" s="8" t="n">
        <x:v>103</x:v>
      </x:c>
      <x:c r="M1264" s="9" t="n">
        <x:v>0.4831693989</x:v>
      </x:c>
      <x:c r="N1264" s="10" t="n">
        <x:v>203499.7378640777</x:v>
      </x:c>
      <x:c r="O1264" s="9" t="n">
        <x:v>-0.0397850174</x:v>
      </x:c>
      <x:c r="P1264" s="9" t="n">
        <x:v>0.7449814126</x:v>
      </x:c>
      <x:c r="Q1264" s="9" t="n">
        <x:v>0.292936803</x:v>
      </x:c>
      <x:c r="R1264" s="3" t="b">
        <x:v>0</x:v>
      </x:c>
      <x:c r="S1264" s="3" t="b">
        <x:v>0</x:v>
      </x:c>
      <x:c r="T1264" s="3" t="b">
        <x:v>0</x:v>
      </x:c>
      <x:c r="U1264" s="2" t="str">
        <x:f>IF(T1264=TRUE,"Priority review",IF(R1264=TRUE,"High cost",IF(S1264=TRUE,"Low quality","Benchmark")))</x:f>
        <x:v>Benchmark</x:v>
      </x:c>
    </x:row>
    <x:row r="1265">
      <x:c r="A1265" s="2" t="str">
        <x:v>050242</x:v>
      </x:c>
      <x:c r="B1265" s="2" t="str">
        <x:v>DOMINICAN HOSPITAL</x:v>
      </x:c>
      <x:c r="C1265" s="2" t="str">
        <x:v>SANTA CRUZ</x:v>
      </x:c>
      <x:c r="D1265" s="2" t="str">
        <x:v>CA</x:v>
      </x:c>
      <x:c r="E1265" s="2" t="str">
        <x:v>Acute Care Hospitals</x:v>
      </x:c>
      <x:c r="F1265" s="2" t="str">
        <x:v>Voluntary non-profit</x:v>
      </x:c>
      <x:c r="G1265" s="2" t="str">
        <x:v>Medium (100-299 beds)</x:v>
      </x:c>
      <x:c r="H1265" s="7" t="n">
        <x:v>4</x:v>
      </x:c>
      <x:c r="I1265" s="7" t="n">
        <x:v>4</x:v>
      </x:c>
      <x:c r="J1265" s="7" t="n">
        <x:v>1</x:v>
      </x:c>
      <x:c r="K1265" s="8" t="n">
        <x:v>193</x:v>
      </x:c>
      <x:c r="L1265" s="8" t="n">
        <x:v>10541</x:v>
      </x:c>
      <x:c r="M1265" s="9" t="n">
        <x:v>0.7600397473</x:v>
      </x:c>
      <x:c r="N1265" s="10" t="n">
        <x:v>46279.1133668532</x:v>
      </x:c>
      <x:c r="O1265" s="9" t="n">
        <x:v>0.0375877469</x:v>
      </x:c>
      <x:c r="P1265" s="9" t="n">
        <x:v>0.7449062755</x:v>
      </x:c>
      <x:c r="Q1265" s="9" t="n">
        <x:v>0.6022819886</x:v>
      </x:c>
      <x:c r="R1265" s="3" t="b">
        <x:v>0</x:v>
      </x:c>
      <x:c r="S1265" s="3" t="b">
        <x:v>0</x:v>
      </x:c>
      <x:c r="T1265" s="3" t="b">
        <x:v>0</x:v>
      </x:c>
      <x:c r="U1265" s="2" t="str">
        <x:f>IF(T1265=TRUE,"Priority review",IF(R1265=TRUE,"High cost",IF(S1265=TRUE,"Low quality","Benchmark")))</x:f>
        <x:v>Benchmark</x:v>
      </x:c>
    </x:row>
    <x:row r="1266">
      <x:c r="A1266" s="2" t="str">
        <x:v>500044</x:v>
      </x:c>
      <x:c r="B1266" s="2" t="str">
        <x:v>DEACONESS MEDICAL CENTER</x:v>
      </x:c>
      <x:c r="C1266" s="2" t="str">
        <x:v>SPOKANE</x:v>
      </x:c>
      <x:c r="D1266" s="2" t="str">
        <x:v>WA</x:v>
      </x:c>
      <x:c r="E1266" s="2" t="str">
        <x:v>Acute Care Hospitals</x:v>
      </x:c>
      <x:c r="F1266" s="2" t="str">
        <x:v>Voluntary non-profit</x:v>
      </x:c>
      <x:c r="G1266" s="2" t="str">
        <x:v>Large (300+ beds)</x:v>
      </x:c>
      <x:c r="H1266" s="7" t="n">
        <x:v>3</x:v>
      </x:c>
      <x:c r="I1266" s="7" t="n">
        <x:v>3</x:v>
      </x:c>
      <x:c r="J1266" s="7" t="n">
        <x:v>0.97</x:v>
      </x:c>
      <x:c r="K1266" s="8" t="n">
        <x:v>319</x:v>
      </x:c>
      <x:c r="L1266" s="8" t="n">
        <x:v>11312</x:v>
      </x:c>
      <x:c r="M1266" s="9" t="n">
        <x:v>0.4842061086</x:v>
      </x:c>
      <x:c r="N1266" s="10" t="n">
        <x:v>53074.0811527581</x:v>
      </x:c>
      <x:c r="O1266" s="9" t="n">
        <x:v>-0.1270031788</x:v>
      </x:c>
      <x:c r="P1266" s="9" t="n">
        <x:v>0.7444794953</x:v>
      </x:c>
      <x:c r="Q1266" s="9" t="n">
        <x:v>0.2570977918</x:v>
      </x:c>
      <x:c r="R1266" s="3" t="b">
        <x:v>0</x:v>
      </x:c>
      <x:c r="S1266" s="3" t="b">
        <x:v>0</x:v>
      </x:c>
      <x:c r="T1266" s="3" t="b">
        <x:v>0</x:v>
      </x:c>
      <x:c r="U1266" s="2" t="str">
        <x:f>IF(T1266=TRUE,"Priority review",IF(R1266=TRUE,"High cost",IF(S1266=TRUE,"Low quality","Benchmark")))</x:f>
        <x:v>Benchmark</x:v>
      </x:c>
    </x:row>
    <x:row r="1267">
      <x:c r="A1267" s="2" t="str">
        <x:v>444010</x:v>
      </x:c>
      <x:c r="B1267" s="2" t="str">
        <x:v>PATHWAYS OF TENNESSEE, INC</x:v>
      </x:c>
      <x:c r="C1267" s="2" t="str">
        <x:v>JACKSON</x:v>
      </x:c>
      <x:c r="D1267" s="2" t="str">
        <x:v>TN</x:v>
      </x:c>
      <x:c r="E1267" s="2" t="str">
        <x:v>Psychiatric</x:v>
      </x:c>
      <x:c r="F1267" s="2" t="str">
        <x:v>Voluntary non-profit</x:v>
      </x:c>
      <x:c r="G1267" s="2" t="str">
        <x:v>Small (&lt;100 beds)</x:v>
      </x:c>
      <x:c r="H1267" s="7"/>
      <x:c r="I1267" s="7"/>
      <x:c r="J1267" s="7"/>
      <x:c r="K1267" s="8" t="n">
        <x:v>25</x:v>
      </x:c>
      <x:c r="L1267" s="8" t="n">
        <x:v>877</x:v>
      </x:c>
      <x:c r="M1267" s="9" t="n">
        <x:v>0.445369863</x:v>
      </x:c>
      <x:c r="N1267" s="10" t="n">
        <x:v>30257.3352337514</x:v>
      </x:c>
      <x:c r="O1267" s="9" t="n">
        <x:v>-1.0869046193</x:v>
      </x:c>
      <x:c r="P1267" s="9" t="n">
        <x:v>0.7443365696</x:v>
      </x:c>
      <x:c r="Q1267" s="9" t="n">
        <x:v>0</x:v>
      </x:c>
      <x:c r="R1267" s="3" t="b">
        <x:v>0</x:v>
      </x:c>
      <x:c r="S1267" s="3" t="b">
        <x:v>0</x:v>
      </x:c>
      <x:c r="T1267" s="3" t="b">
        <x:v>0</x:v>
      </x:c>
      <x:c r="U1267" s="2" t="str">
        <x:f>IF(T1267=TRUE,"Priority review",IF(R1267=TRUE,"High cost",IF(S1267=TRUE,"Low quality","Benchmark")))</x:f>
        <x:v>Benchmark</x:v>
      </x:c>
    </x:row>
    <x:row r="1268">
      <x:c r="A1268" s="2" t="str">
        <x:v>251316</x:v>
      </x:c>
      <x:c r="B1268" s="2" t="str">
        <x:v>OCHSNER WATKINS HOSPITAL</x:v>
      </x:c>
      <x:c r="C1268" s="2" t="str">
        <x:v>QUITMAN</x:v>
      </x:c>
      <x:c r="D1268" s="2" t="str">
        <x:v>MS</x:v>
      </x:c>
      <x:c r="E1268" s="2" t="str">
        <x:v>Critical Access Hospitals</x:v>
      </x:c>
      <x:c r="F1268" s="2" t="str">
        <x:v>Voluntary non-profit</x:v>
      </x:c>
      <x:c r="G1268" s="2" t="str">
        <x:v>Small (&lt;100 beds)</x:v>
      </x:c>
      <x:c r="H1268" s="7"/>
      <x:c r="I1268" s="7"/>
      <x:c r="J1268" s="7"/>
      <x:c r="K1268" s="8" t="n">
        <x:v>25</x:v>
      </x:c>
      <x:c r="L1268" s="8" t="n">
        <x:v>126</x:v>
      </x:c>
      <x:c r="M1268" s="9" t="n">
        <x:v>0.2503825137</x:v>
      </x:c>
      <x:c r="N1268" s="10" t="n">
        <x:v>203018.3412698413</x:v>
      </x:c>
      <x:c r="O1268" s="9" t="n">
        <x:v>-0.0890837077</x:v>
      </x:c>
      <x:c r="P1268" s="9" t="n">
        <x:v>0.7442379182</x:v>
      </x:c>
      <x:c r="Q1268" s="9" t="n">
        <x:v>0.292936803</x:v>
      </x:c>
      <x:c r="R1268" s="3" t="b">
        <x:v>0</x:v>
      </x:c>
      <x:c r="S1268" s="3" t="b">
        <x:v>0</x:v>
      </x:c>
      <x:c r="T1268" s="3" t="b">
        <x:v>0</x:v>
      </x:c>
      <x:c r="U1268" s="2" t="str">
        <x:f>IF(T1268=TRUE,"Priority review",IF(R1268=TRUE,"High cost",IF(S1268=TRUE,"Low quality","Benchmark")))</x:f>
        <x:v>Benchmark</x:v>
      </x:c>
    </x:row>
    <x:row r="1269">
      <x:c r="A1269" s="2" t="str">
        <x:v>470001</x:v>
      </x:c>
      <x:c r="B1269" s="2" t="str">
        <x:v>CENTRAL VERMONT MEDICAL CENTER</x:v>
      </x:c>
      <x:c r="C1269" s="2" t="str">
        <x:v>BARRE</x:v>
      </x:c>
      <x:c r="D1269" s="2" t="str">
        <x:v>VT</x:v>
      </x:c>
      <x:c r="E1269" s="2" t="str">
        <x:v>Acute Care Hospitals</x:v>
      </x:c>
      <x:c r="F1269" s="2" t="str">
        <x:v>Voluntary non-profit</x:v>
      </x:c>
      <x:c r="G1269" s="2" t="str">
        <x:v>Small (&lt;100 beds)</x:v>
      </x:c>
      <x:c r="H1269" s="7" t="n">
        <x:v>3</x:v>
      </x:c>
      <x:c r="I1269" s="7" t="n">
        <x:v>4</x:v>
      </x:c>
      <x:c r="J1269" s="7" t="n">
        <x:v>0.85</x:v>
      </x:c>
      <x:c r="K1269" s="8" t="n">
        <x:v>88</x:v>
      </x:c>
      <x:c r="L1269" s="8" t="n">
        <x:v>3765</x:v>
      </x:c>
      <x:c r="M1269" s="9" t="n">
        <x:v>0.7502003643</x:v>
      </x:c>
      <x:c r="N1269" s="10" t="n">
        <x:v>82618.9078353254</x:v>
      </x:c>
      <x:c r="O1269" s="9" t="n">
        <x:v>0.0873231441</x:v>
      </x:c>
      <x:c r="P1269" s="9" t="n">
        <x:v>0.7441651706</x:v>
      </x:c>
      <x:c r="Q1269" s="9" t="n">
        <x:v>0.1687612208</x:v>
      </x:c>
      <x:c r="R1269" s="3" t="b">
        <x:v>0</x:v>
      </x:c>
      <x:c r="S1269" s="3" t="b">
        <x:v>0</x:v>
      </x:c>
      <x:c r="T1269" s="3" t="b">
        <x:v>0</x:v>
      </x:c>
      <x:c r="U1269" s="2" t="str">
        <x:f>IF(T1269=TRUE,"Priority review",IF(R1269=TRUE,"High cost",IF(S1269=TRUE,"Low quality","Benchmark")))</x:f>
        <x:v>Benchmark</x:v>
      </x:c>
    </x:row>
    <x:row r="1270">
      <x:c r="A1270" s="2" t="str">
        <x:v>060020</x:v>
      </x:c>
      <x:c r="B1270" s="2" t="str">
        <x:v>PARKVIEW MEDICAL CENTER, INC</x:v>
      </x:c>
      <x:c r="C1270" s="2" t="str">
        <x:v>PUEBLO</x:v>
      </x:c>
      <x:c r="D1270" s="2" t="str">
        <x:v>CO</x:v>
      </x:c>
      <x:c r="E1270" s="2" t="str">
        <x:v>Acute Care Hospitals</x:v>
      </x:c>
      <x:c r="F1270" s="2" t="str">
        <x:v>Voluntary non-profit</x:v>
      </x:c>
      <x:c r="G1270" s="2" t="str">
        <x:v>Medium (100-299 beds)</x:v>
      </x:c>
      <x:c r="H1270" s="7" t="n">
        <x:v>3</x:v>
      </x:c>
      <x:c r="I1270" s="7" t="n">
        <x:v>2</x:v>
      </x:c>
      <x:c r="J1270" s="7" t="n">
        <x:v>1</x:v>
      </x:c>
      <x:c r="K1270" s="8" t="n">
        <x:v>259</x:v>
      </x:c>
      <x:c r="L1270" s="8" t="n">
        <x:v>12911</x:v>
      </x:c>
      <x:c r="M1270" s="9" t="n">
        <x:v>0.6698577247</x:v>
      </x:c>
      <x:c r="N1270" s="10" t="n">
        <x:v>46235.3167841376</x:v>
      </x:c>
      <x:c r="O1270" s="9" t="n">
        <x:v>-0.1901518753</x:v>
      </x:c>
      <x:c r="P1270" s="9" t="n">
        <x:v>0.7440912795</x:v>
      </x:c>
      <x:c r="Q1270" s="9" t="n">
        <x:v>0.3023634882</x:v>
      </x:c>
      <x:c r="R1270" s="3" t="b">
        <x:v>0</x:v>
      </x:c>
      <x:c r="S1270" s="3" t="b">
        <x:v>0</x:v>
      </x:c>
      <x:c r="T1270" s="3" t="b">
        <x:v>0</x:v>
      </x:c>
      <x:c r="U1270" s="2" t="str">
        <x:f>IF(T1270=TRUE,"Priority review",IF(R1270=TRUE,"High cost",IF(S1270=TRUE,"Low quality","Benchmark")))</x:f>
        <x:v>Benchmark</x:v>
      </x:c>
    </x:row>
    <x:row r="1271">
      <x:c r="A1271" s="2" t="str">
        <x:v>171316</x:v>
      </x:c>
      <x:c r="B1271" s="2" t="str">
        <x:v>ANDERSON COUNTY HOSPITAL</x:v>
      </x:c>
      <x:c r="C1271" s="2" t="str">
        <x:v>GARNETT</x:v>
      </x:c>
      <x:c r="D1271" s="2" t="str">
        <x:v>KS</x:v>
      </x:c>
      <x:c r="E1271" s="2" t="str">
        <x:v>Critical Access Hospitals</x:v>
      </x:c>
      <x:c r="F1271" s="2" t="str">
        <x:v>Voluntary non-profit</x:v>
      </x:c>
      <x:c r="G1271" s="2" t="str">
        <x:v>Small (&lt;100 beds)</x:v>
      </x:c>
      <x:c r="H1271" s="7"/>
      <x:c r="I1271" s="7"/>
      <x:c r="J1271" s="7"/>
      <x:c r="K1271" s="8" t="n">
        <x:v>12</x:v>
      </x:c>
      <x:c r="L1271" s="8" t="n">
        <x:v>165</x:v>
      </x:c>
      <x:c r="M1271" s="9" t="n">
        <x:v>0.35428051</x:v>
      </x:c>
      <x:c r="N1271" s="10" t="n">
        <x:v>202475.1090909091</x:v>
      </x:c>
      <x:c r="O1271" s="9" t="n">
        <x:v>-0.0988351228</x:v>
      </x:c>
      <x:c r="P1271" s="9" t="n">
        <x:v>0.7434944238</x:v>
      </x:c>
      <x:c r="Q1271" s="9" t="n">
        <x:v>0.292936803</x:v>
      </x:c>
      <x:c r="R1271" s="3" t="b">
        <x:v>0</x:v>
      </x:c>
      <x:c r="S1271" s="3" t="b">
        <x:v>0</x:v>
      </x:c>
      <x:c r="T1271" s="3" t="b">
        <x:v>0</x:v>
      </x:c>
      <x:c r="U1271" s="2" t="str">
        <x:f>IF(T1271=TRUE,"Priority review",IF(R1271=TRUE,"High cost",IF(S1271=TRUE,"Low quality","Benchmark")))</x:f>
        <x:v>Benchmark</x:v>
      </x:c>
    </x:row>
    <x:row r="1272">
      <x:c r="A1272" s="2" t="str">
        <x:v>360039</x:v>
      </x:c>
      <x:c r="B1272" s="2" t="str">
        <x:v>GENESIS HOSPITAL</x:v>
      </x:c>
      <x:c r="C1272" s="2" t="str">
        <x:v>ZANESVILLE</x:v>
      </x:c>
      <x:c r="D1272" s="2" t="str">
        <x:v>OH</x:v>
      </x:c>
      <x:c r="E1272" s="2" t="str">
        <x:v>Acute Care Hospitals</x:v>
      </x:c>
      <x:c r="F1272" s="2" t="str">
        <x:v>Voluntary non-profit</x:v>
      </x:c>
      <x:c r="G1272" s="2" t="str">
        <x:v>Medium (100-299 beds)</x:v>
      </x:c>
      <x:c r="H1272" s="7" t="n">
        <x:v>5</x:v>
      </x:c>
      <x:c r="I1272" s="7" t="n">
        <x:v>4</x:v>
      </x:c>
      <x:c r="J1272" s="7" t="n">
        <x:v>0.9</x:v>
      </x:c>
      <x:c r="K1272" s="8" t="n">
        <x:v>247</x:v>
      </x:c>
      <x:c r="L1272" s="8" t="n">
        <x:v>13691</x:v>
      </x:c>
      <x:c r="M1272" s="9" t="n">
        <x:v>0.5973761642</x:v>
      </x:c>
      <x:c r="N1272" s="10" t="n">
        <x:v>46174.4050836316</x:v>
      </x:c>
      <x:c r="O1272" s="9" t="n">
        <x:v>-0.0188006344</x:v>
      </x:c>
      <x:c r="P1272" s="9" t="n">
        <x:v>0.7432762836</x:v>
      </x:c>
      <x:c r="Q1272" s="9" t="n">
        <x:v>0.8744906275</x:v>
      </x:c>
      <x:c r="R1272" s="3" t="b">
        <x:v>0</x:v>
      </x:c>
      <x:c r="S1272" s="3" t="b">
        <x:v>0</x:v>
      </x:c>
      <x:c r="T1272" s="3" t="b">
        <x:v>0</x:v>
      </x:c>
      <x:c r="U1272" s="2" t="str">
        <x:f>IF(T1272=TRUE,"Priority review",IF(R1272=TRUE,"High cost",IF(S1272=TRUE,"Low quality","Benchmark")))</x:f>
        <x:v>Benchmark</x:v>
      </x:c>
    </x:row>
    <x:row r="1273">
      <x:c r="A1273" s="2" t="str">
        <x:v>150069</x:v>
      </x:c>
      <x:c r="B1273" s="2" t="str">
        <x:v>NORTON-KING'S DAUGHTERS' HEALTH</x:v>
      </x:c>
      <x:c r="C1273" s="2" t="str">
        <x:v>MADISON</x:v>
      </x:c>
      <x:c r="D1273" s="2" t="str">
        <x:v>IN</x:v>
      </x:c>
      <x:c r="E1273" s="2" t="str">
        <x:v>Acute Care Hospitals</x:v>
      </x:c>
      <x:c r="F1273" s="2" t="str">
        <x:v>Voluntary non-profit</x:v>
      </x:c>
      <x:c r="G1273" s="2" t="str">
        <x:v>Small (&lt;100 beds)</x:v>
      </x:c>
      <x:c r="H1273" s="7" t="n">
        <x:v>2</x:v>
      </x:c>
      <x:c r="I1273" s="7" t="n">
        <x:v>3</x:v>
      </x:c>
      <x:c r="J1273" s="7" t="n">
        <x:v>1.01</x:v>
      </x:c>
      <x:c r="K1273" s="8" t="n">
        <x:v>70</x:v>
      </x:c>
      <x:c r="L1273" s="8" t="n">
        <x:v>2267</x:v>
      </x:c>
      <x:c r="M1273" s="9" t="n">
        <x:v>0.3505464481</x:v>
      </x:c>
      <x:c r="N1273" s="10" t="n">
        <x:v>82603.4005293339</x:v>
      </x:c>
      <x:c r="O1273" s="9" t="n">
        <x:v>-0.3466955075</x:v>
      </x:c>
      <x:c r="P1273" s="9" t="n">
        <x:v>0.7432675045</x:v>
      </x:c>
      <x:c r="Q1273" s="9" t="n">
        <x:v>0.0350089767</x:v>
      </x:c>
      <x:c r="R1273" s="3" t="b">
        <x:v>0</x:v>
      </x:c>
      <x:c r="S1273" s="3" t="b">
        <x:v>1</x:v>
      </x:c>
      <x:c r="T1273" s="3" t="b">
        <x:v>0</x:v>
      </x:c>
      <x:c r="U1273" s="2" t="str">
        <x:f>IF(T1273=TRUE,"Priority review",IF(R1273=TRUE,"High cost",IF(S1273=TRUE,"Low quality","Benchmark")))</x:f>
        <x:v>Low quality</x:v>
      </x:c>
    </x:row>
    <x:row r="1274">
      <x:c r="A1274" s="2" t="str">
        <x:v>360134</x:v>
      </x:c>
      <x:c r="B1274" s="2" t="str">
        <x:v>GOOD SAMARITAN HOSPITAL</x:v>
      </x:c>
      <x:c r="C1274" s="2" t="str">
        <x:v>CINCINNATI</x:v>
      </x:c>
      <x:c r="D1274" s="2" t="str">
        <x:v>OH</x:v>
      </x:c>
      <x:c r="E1274" s="2" t="str">
        <x:v>Acute Care Hospitals</x:v>
      </x:c>
      <x:c r="F1274" s="2" t="str">
        <x:v>Voluntary non-profit</x:v>
      </x:c>
      <x:c r="G1274" s="2" t="str">
        <x:v>Large (300+ beds)</x:v>
      </x:c>
      <x:c r="H1274" s="7" t="n">
        <x:v>4</x:v>
      </x:c>
      <x:c r="I1274" s="7" t="n">
        <x:v>3</x:v>
      </x:c>
      <x:c r="J1274" s="7" t="n">
        <x:v>0.96</x:v>
      </x:c>
      <x:c r="K1274" s="8" t="n">
        <x:v>362</x:v>
      </x:c>
      <x:c r="L1274" s="8" t="n">
        <x:v>18359</x:v>
      </x:c>
      <x:c r="M1274" s="9" t="n">
        <x:v>0.8147321429</x:v>
      </x:c>
      <x:c r="N1274" s="10" t="n">
        <x:v>52963.047388202</x:v>
      </x:c>
      <x:c r="O1274" s="9" t="n">
        <x:v>-0.000200779</x:v>
      </x:c>
      <x:c r="P1274" s="9" t="n">
        <x:v>0.7429022082</x:v>
      </x:c>
      <x:c r="Q1274" s="9" t="n">
        <x:v>0.5899053628</x:v>
      </x:c>
      <x:c r="R1274" s="3" t="b">
        <x:v>0</x:v>
      </x:c>
      <x:c r="S1274" s="3" t="b">
        <x:v>0</x:v>
      </x:c>
      <x:c r="T1274" s="3" t="b">
        <x:v>0</x:v>
      </x:c>
      <x:c r="U1274" s="2" t="str">
        <x:f>IF(T1274=TRUE,"Priority review",IF(R1274=TRUE,"High cost",IF(S1274=TRUE,"Low quality","Benchmark")))</x:f>
        <x:v>Benchmark</x:v>
      </x:c>
    </x:row>
    <x:row r="1275">
      <x:c r="A1275" s="2" t="str">
        <x:v>271342</x:v>
      </x:c>
      <x:c r="B1275" s="2" t="str">
        <x:v>DANIELS MEMORIAL HOSPITAL</x:v>
      </x:c>
      <x:c r="C1275" s="2" t="str">
        <x:v>SCOBEY</x:v>
      </x:c>
      <x:c r="D1275" s="2" t="str">
        <x:v>MT</x:v>
      </x:c>
      <x:c r="E1275" s="2" t="str">
        <x:v>Critical Access Hospitals</x:v>
      </x:c>
      <x:c r="F1275" s="2" t="str">
        <x:v>Voluntary non-profit</x:v>
      </x:c>
      <x:c r="G1275" s="2" t="str">
        <x:v>Small (&lt;100 beds)</x:v>
      </x:c>
      <x:c r="H1275" s="7"/>
      <x:c r="I1275" s="7"/>
      <x:c r="J1275" s="7"/>
      <x:c r="K1275" s="8" t="n">
        <x:v>25</x:v>
      </x:c>
      <x:c r="L1275" s="8" t="n">
        <x:v>55</x:v>
      </x:c>
      <x:c r="M1275" s="9" t="n">
        <x:v>0.5272328767</x:v>
      </x:c>
      <x:c r="N1275" s="10" t="n">
        <x:v>202349.0181818182</x:v>
      </x:c>
      <x:c r="O1275" s="9" t="n">
        <x:v>-0.1122552499</x:v>
      </x:c>
      <x:c r="P1275" s="9" t="n">
        <x:v>0.7427509294</x:v>
      </x:c>
      <x:c r="Q1275" s="9" t="n">
        <x:v>0.292936803</x:v>
      </x:c>
      <x:c r="R1275" s="3" t="b">
        <x:v>0</x:v>
      </x:c>
      <x:c r="S1275" s="3" t="b">
        <x:v>0</x:v>
      </x:c>
      <x:c r="T1275" s="3" t="b">
        <x:v>0</x:v>
      </x:c>
      <x:c r="U1275" s="2" t="str">
        <x:f>IF(T1275=TRUE,"Priority review",IF(R1275=TRUE,"High cost",IF(S1275=TRUE,"Low quality","Benchmark")))</x:f>
        <x:v>Benchmark</x:v>
      </x:c>
    </x:row>
    <x:row r="1276">
      <x:c r="A1276" s="2" t="str">
        <x:v>140135</x:v>
      </x:c>
      <x:c r="B1276" s="2" t="str">
        <x:v>DECATUR MEMORIAL HOSPITAL</x:v>
      </x:c>
      <x:c r="C1276" s="2" t="str">
        <x:v>DECATUR</x:v>
      </x:c>
      <x:c r="D1276" s="2" t="str">
        <x:v>IL</x:v>
      </x:c>
      <x:c r="E1276" s="2" t="str">
        <x:v>Acute Care Hospitals</x:v>
      </x:c>
      <x:c r="F1276" s="2" t="str">
        <x:v>Voluntary non-profit</x:v>
      </x:c>
      <x:c r="G1276" s="2" t="str">
        <x:v>Medium (100-299 beds)</x:v>
      </x:c>
      <x:c r="H1276" s="7" t="n">
        <x:v>3</x:v>
      </x:c>
      <x:c r="I1276" s="7" t="n">
        <x:v>2</x:v>
      </x:c>
      <x:c r="J1276" s="7" t="n">
        <x:v>1.03</x:v>
      </x:c>
      <x:c r="K1276" s="8" t="n">
        <x:v>178</x:v>
      </x:c>
      <x:c r="L1276" s="8" t="n">
        <x:v>7741</x:v>
      </x:c>
      <x:c r="M1276" s="9" t="n">
        <x:v>0.5621047461</x:v>
      </x:c>
      <x:c r="N1276" s="10" t="n">
        <x:v>46174.1787882702</x:v>
      </x:c>
      <x:c r="O1276" s="9" t="n">
        <x:v>-0.1579039254</x:v>
      </x:c>
      <x:c r="P1276" s="9" t="n">
        <x:v>0.7424612877</x:v>
      </x:c>
      <x:c r="Q1276" s="9" t="n">
        <x:v>0.3023634882</x:v>
      </x:c>
      <x:c r="R1276" s="3" t="b">
        <x:v>0</x:v>
      </x:c>
      <x:c r="S1276" s="3" t="b">
        <x:v>0</x:v>
      </x:c>
      <x:c r="T1276" s="3" t="b">
        <x:v>0</x:v>
      </x:c>
      <x:c r="U1276" s="2" t="str">
        <x:f>IF(T1276=TRUE,"Priority review",IF(R1276=TRUE,"High cost",IF(S1276=TRUE,"Low quality","Benchmark")))</x:f>
        <x:v>Benchmark</x:v>
      </x:c>
    </x:row>
    <x:row r="1277">
      <x:c r="A1277" s="2" t="str">
        <x:v>190099</x:v>
      </x:c>
      <x:c r="B1277" s="2" t="str">
        <x:v>AVOYELLES HOSPITAL</x:v>
      </x:c>
      <x:c r="C1277" s="2" t="str">
        <x:v>MARKSVILLE</x:v>
      </x:c>
      <x:c r="D1277" s="2" t="str">
        <x:v>LA</x:v>
      </x:c>
      <x:c r="E1277" s="2" t="str">
        <x:v>Acute Care Hospitals</x:v>
      </x:c>
      <x:c r="F1277" s="2" t="str">
        <x:v>Proprietary</x:v>
      </x:c>
      <x:c r="G1277" s="2" t="str">
        <x:v>Small (&lt;100 beds)</x:v>
      </x:c>
      <x:c r="H1277" s="7" t="n">
        <x:v>1</x:v>
      </x:c>
      <x:c r="I1277" s="7"/>
      <x:c r="J1277" s="7" t="n">
        <x:v>1.22</x:v>
      </x:c>
      <x:c r="K1277" s="8" t="n">
        <x:v>39</x:v>
      </x:c>
      <x:c r="L1277" s="8" t="n">
        <x:v>448</x:v>
      </x:c>
      <x:c r="M1277" s="9" t="n">
        <x:v>0.177028451</x:v>
      </x:c>
      <x:c r="N1277" s="10" t="n">
        <x:v>82169.7924107143</x:v>
      </x:c>
      <x:c r="O1277" s="9" t="n">
        <x:v>-0.0290100529</x:v>
      </x:c>
      <x:c r="P1277" s="9" t="n">
        <x:v>0.7423698384</x:v>
      </x:c>
      <x:c r="Q1277" s="9" t="n">
        <x:v>0</x:v>
      </x:c>
      <x:c r="R1277" s="3" t="b">
        <x:v>0</x:v>
      </x:c>
      <x:c r="S1277" s="3" t="b">
        <x:v>1</x:v>
      </x:c>
      <x:c r="T1277" s="3" t="b">
        <x:v>0</x:v>
      </x:c>
      <x:c r="U1277" s="2" t="str">
        <x:f>IF(T1277=TRUE,"Priority review",IF(R1277=TRUE,"High cost",IF(S1277=TRUE,"Low quality","Benchmark")))</x:f>
        <x:v>Low quality</x:v>
      </x:c>
    </x:row>
    <x:row r="1278">
      <x:c r="A1278" s="2" t="str">
        <x:v>161301</x:v>
      </x:c>
      <x:c r="B1278" s="2" t="str">
        <x:v>IOWA SPECIALTY HOSPITAL - BELMOND</x:v>
      </x:c>
      <x:c r="C1278" s="2" t="str">
        <x:v>BELMOND</x:v>
      </x:c>
      <x:c r="D1278" s="2" t="str">
        <x:v>IA</x:v>
      </x:c>
      <x:c r="E1278" s="2" t="str">
        <x:v>Critical Access Hospitals</x:v>
      </x:c>
      <x:c r="F1278" s="2" t="str">
        <x:v>Government</x:v>
      </x:c>
      <x:c r="G1278" s="2" t="str">
        <x:v>Small (&lt;100 beds)</x:v>
      </x:c>
      <x:c r="H1278" s="7"/>
      <x:c r="I1278" s="7"/>
      <x:c r="J1278" s="7"/>
      <x:c r="K1278" s="8" t="n">
        <x:v>22</x:v>
      </x:c>
      <x:c r="L1278" s="8" t="n">
        <x:v>277</x:v>
      </x:c>
      <x:c r="M1278" s="9" t="n">
        <x:v>0.1420921544</x:v>
      </x:c>
      <x:c r="N1278" s="10" t="n">
        <x:v>202236.8555956679</x:v>
      </x:c>
      <x:c r="O1278" s="9" t="n">
        <x:v>0.0218990509</x:v>
      </x:c>
      <x:c r="P1278" s="9" t="n">
        <x:v>0.7420074349</x:v>
      </x:c>
      <x:c r="Q1278" s="9" t="n">
        <x:v>0.292936803</x:v>
      </x:c>
      <x:c r="R1278" s="3" t="b">
        <x:v>0</x:v>
      </x:c>
      <x:c r="S1278" s="3" t="b">
        <x:v>0</x:v>
      </x:c>
      <x:c r="T1278" s="3" t="b">
        <x:v>0</x:v>
      </x:c>
      <x:c r="U1278" s="2" t="str">
        <x:f>IF(T1278=TRUE,"Priority review",IF(R1278=TRUE,"High cost",IF(S1278=TRUE,"Low quality","Benchmark")))</x:f>
        <x:v>Benchmark</x:v>
      </x:c>
    </x:row>
    <x:row r="1279">
      <x:c r="A1279" s="2" t="str">
        <x:v>230072</x:v>
      </x:c>
      <x:c r="B1279" s="2" t="str">
        <x:v>HOLLAND HOSPITAL</x:v>
      </x:c>
      <x:c r="C1279" s="2" t="str">
        <x:v>HOLLAND</x:v>
      </x:c>
      <x:c r="D1279" s="2" t="str">
        <x:v>MI</x:v>
      </x:c>
      <x:c r="E1279" s="2" t="str">
        <x:v>Acute Care Hospitals</x:v>
      </x:c>
      <x:c r="F1279" s="2" t="str">
        <x:v>Voluntary non-profit</x:v>
      </x:c>
      <x:c r="G1279" s="2" t="str">
        <x:v>Medium (100-299 beds)</x:v>
      </x:c>
      <x:c r="H1279" s="7" t="n">
        <x:v>5</x:v>
      </x:c>
      <x:c r="I1279" s="7" t="n">
        <x:v>4</x:v>
      </x:c>
      <x:c r="J1279" s="7" t="n">
        <x:v>0.87</x:v>
      </x:c>
      <x:c r="K1279" s="8" t="n">
        <x:v>191</x:v>
      </x:c>
      <x:c r="L1279" s="8" t="n">
        <x:v>6721</x:v>
      </x:c>
      <x:c r="M1279" s="9" t="n">
        <x:v>0.3877306977</x:v>
      </x:c>
      <x:c r="N1279" s="10" t="n">
        <x:v>46149.9123642315</x:v>
      </x:c>
      <x:c r="O1279" s="9" t="n">
        <x:v>-0.1025226169</x:v>
      </x:c>
      <x:c r="P1279" s="9" t="n">
        <x:v>0.7416462918</x:v>
      </x:c>
      <x:c r="Q1279" s="9" t="n">
        <x:v>0.8744906275</x:v>
      </x:c>
      <x:c r="R1279" s="3" t="b">
        <x:v>0</x:v>
      </x:c>
      <x:c r="S1279" s="3" t="b">
        <x:v>0</x:v>
      </x:c>
      <x:c r="T1279" s="3" t="b">
        <x:v>0</x:v>
      </x:c>
      <x:c r="U1279" s="2" t="str">
        <x:f>IF(T1279=TRUE,"Priority review",IF(R1279=TRUE,"High cost",IF(S1279=TRUE,"Low quality","Benchmark")))</x:f>
        <x:v>Benchmark</x:v>
      </x:c>
    </x:row>
    <x:row r="1280">
      <x:c r="A1280" s="2" t="str">
        <x:v>670124</x:v>
      </x:c>
      <x:c r="B1280" s="2" t="str">
        <x:v>THE HOSPITALS OF PROVIDENCE HORIZON CITY CAMPUS</x:v>
      </x:c>
      <x:c r="C1280" s="2" t="str">
        <x:v>HORIZON CITY</x:v>
      </x:c>
      <x:c r="D1280" s="2" t="str">
        <x:v>TX</x:v>
      </x:c>
      <x:c r="E1280" s="2" t="str">
        <x:v>Acute Care Hospitals</x:v>
      </x:c>
      <x:c r="F1280" s="2" t="str">
        <x:v>Proprietary</x:v>
      </x:c>
      <x:c r="G1280" s="2" t="str">
        <x:v>Small (&lt;100 beds)</x:v>
      </x:c>
      <x:c r="H1280" s="7"/>
      <x:c r="I1280" s="7"/>
      <x:c r="J1280" s="7" t="n">
        <x:v>0.67</x:v>
      </x:c>
      <x:c r="K1280" s="8" t="n">
        <x:v>16</x:v>
      </x:c>
      <x:c r="L1280" s="8" t="n">
        <x:v>515</x:v>
      </x:c>
      <x:c r="M1280" s="9" t="n">
        <x:v>0.2102117486</x:v>
      </x:c>
      <x:c r="N1280" s="10" t="n">
        <x:v>81925.772815534</x:v>
      </x:c>
      <x:c r="O1280" s="9" t="n">
        <x:v>0.2561167545</x:v>
      </x:c>
      <x:c r="P1280" s="9" t="n">
        <x:v>0.7414721724</x:v>
      </x:c>
      <x:c r="Q1280" s="9" t="n">
        <x:v>0.697486535</x:v>
      </x:c>
      <x:c r="R1280" s="3" t="b">
        <x:v>0</x:v>
      </x:c>
      <x:c r="S1280" s="3" t="b">
        <x:v>0</x:v>
      </x:c>
      <x:c r="T1280" s="3" t="b">
        <x:v>0</x:v>
      </x:c>
      <x:c r="U1280" s="2" t="str">
        <x:f>IF(T1280=TRUE,"Priority review",IF(R1280=TRUE,"High cost",IF(S1280=TRUE,"Low quality","Benchmark")))</x:f>
        <x:v>Benchmark</x:v>
      </x:c>
    </x:row>
    <x:row r="1281">
      <x:c r="A1281" s="2" t="str">
        <x:v>260040</x:v>
      </x:c>
      <x:c r="B1281" s="2" t="str">
        <x:v>COX MEDICAL CENTERS</x:v>
      </x:c>
      <x:c r="C1281" s="2" t="str">
        <x:v>SPRINGFIELD</x:v>
      </x:c>
      <x:c r="D1281" s="2" t="str">
        <x:v>MO</x:v>
      </x:c>
      <x:c r="E1281" s="2" t="str">
        <x:v>Acute Care Hospitals</x:v>
      </x:c>
      <x:c r="F1281" s="2" t="str">
        <x:v>Voluntary non-profit</x:v>
      </x:c>
      <x:c r="G1281" s="2" t="str">
        <x:v>Large (300+ beds)</x:v>
      </x:c>
      <x:c r="H1281" s="7" t="n">
        <x:v>3</x:v>
      </x:c>
      <x:c r="I1281" s="7" t="n">
        <x:v>2</x:v>
      </x:c>
      <x:c r="J1281" s="7" t="n">
        <x:v>0.97</x:v>
      </x:c>
      <x:c r="K1281" s="8" t="n">
        <x:v>794</x:v>
      </x:c>
      <x:c r="L1281" s="8" t="n">
        <x:v>33515</x:v>
      </x:c>
      <x:c r="M1281" s="9" t="n">
        <x:v>0.6344475644</x:v>
      </x:c>
      <x:c r="N1281" s="10" t="n">
        <x:v>52831.6583022527</x:v>
      </x:c>
      <x:c r="O1281" s="9" t="n">
        <x:v>-0.0471931121</x:v>
      </x:c>
      <x:c r="P1281" s="9" t="n">
        <x:v>0.7413249211</x:v>
      </x:c>
      <x:c r="Q1281" s="9" t="n">
        <x:v>0.2570977918</x:v>
      </x:c>
      <x:c r="R1281" s="3" t="b">
        <x:v>0</x:v>
      </x:c>
      <x:c r="S1281" s="3" t="b">
        <x:v>0</x:v>
      </x:c>
      <x:c r="T1281" s="3" t="b">
        <x:v>0</x:v>
      </x:c>
      <x:c r="U1281" s="2" t="str">
        <x:f>IF(T1281=TRUE,"Priority review",IF(R1281=TRUE,"High cost",IF(S1281=TRUE,"Low quality","Benchmark")))</x:f>
        <x:v>Benchmark</x:v>
      </x:c>
    </x:row>
    <x:row r="1282">
      <x:c r="A1282" s="2" t="str">
        <x:v>314012</x:v>
      </x:c>
      <x:c r="B1282" s="2" t="str">
        <x:v>HACKENSACK MERIDIAN HEALTH CARRIER CLINIC</x:v>
      </x:c>
      <x:c r="C1282" s="2" t="str">
        <x:v>BELLE MEAD</x:v>
      </x:c>
      <x:c r="D1282" s="2" t="str">
        <x:v>NJ</x:v>
      </x:c>
      <x:c r="E1282" s="2" t="str">
        <x:v>Psychiatric</x:v>
      </x:c>
      <x:c r="F1282" s="2" t="str">
        <x:v>Voluntary non-profit</x:v>
      </x:c>
      <x:c r="G1282" s="2" t="str">
        <x:v>Medium (100-299 beds)</x:v>
      </x:c>
      <x:c r="H1282" s="7"/>
      <x:c r="I1282" s="7"/>
      <x:c r="J1282" s="7"/>
      <x:c r="K1282" s="8" t="n">
        <x:v>229</x:v>
      </x:c>
      <x:c r="L1282" s="8" t="n">
        <x:v>3658</x:v>
      </x:c>
      <x:c r="M1282" s="9" t="n">
        <x:v>0.6835384008</x:v>
      </x:c>
      <x:c r="N1282" s="10" t="n">
        <x:v>29934.9338436304</x:v>
      </x:c>
      <x:c r="O1282" s="9" t="n">
        <x:v>-0.2339252517</x:v>
      </x:c>
      <x:c r="P1282" s="9" t="n">
        <x:v>0.7412935323</x:v>
      </x:c>
      <x:c r="Q1282" s="9" t="n">
        <x:v>0</x:v>
      </x:c>
      <x:c r="R1282" s="3" t="b">
        <x:v>0</x:v>
      </x:c>
      <x:c r="S1282" s="3" t="b">
        <x:v>0</x:v>
      </x:c>
      <x:c r="T1282" s="3" t="b">
        <x:v>0</x:v>
      </x:c>
      <x:c r="U1282" s="2" t="str">
        <x:f>IF(T1282=TRUE,"Priority review",IF(R1282=TRUE,"High cost",IF(S1282=TRUE,"Low quality","Benchmark")))</x:f>
        <x:v>Benchmark</x:v>
      </x:c>
    </x:row>
    <x:row r="1283">
      <x:c r="A1283" s="2" t="str">
        <x:v>111320</x:v>
      </x:c>
      <x:c r="B1283" s="2" t="str">
        <x:v>HIGGINS GENERAL HOSPITAL</x:v>
      </x:c>
      <x:c r="C1283" s="2" t="str">
        <x:v>BREMEN</x:v>
      </x:c>
      <x:c r="D1283" s="2" t="str">
        <x:v>GA</x:v>
      </x:c>
      <x:c r="E1283" s="2" t="str">
        <x:v>Critical Access Hospitals</x:v>
      </x:c>
      <x:c r="F1283" s="2" t="str">
        <x:v>Government</x:v>
      </x:c>
      <x:c r="G1283" s="2" t="str">
        <x:v>Small (&lt;100 beds)</x:v>
      </x:c>
      <x:c r="H1283" s="7"/>
      <x:c r="I1283" s="7" t="n">
        <x:v>5</x:v>
      </x:c>
      <x:c r="J1283" s="7"/>
      <x:c r="K1283" s="8" t="n">
        <x:v>23</x:v>
      </x:c>
      <x:c r="L1283" s="8" t="n">
        <x:v>224</x:v>
      </x:c>
      <x:c r="M1283" s="9" t="n">
        <x:v>0.695890411</x:v>
      </x:c>
      <x:c r="N1283" s="10" t="n">
        <x:v>201797.2276785714</x:v>
      </x:c>
      <x:c r="O1283" s="9" t="n">
        <x:v>0.0955629489</x:v>
      </x:c>
      <x:c r="P1283" s="9" t="n">
        <x:v>0.7412639405</x:v>
      </x:c>
      <x:c r="Q1283" s="9" t="n">
        <x:v>0.292936803</x:v>
      </x:c>
      <x:c r="R1283" s="3" t="b">
        <x:v>0</x:v>
      </x:c>
      <x:c r="S1283" s="3" t="b">
        <x:v>0</x:v>
      </x:c>
      <x:c r="T1283" s="3" t="b">
        <x:v>0</x:v>
      </x:c>
      <x:c r="U1283" s="2" t="str">
        <x:f>IF(T1283=TRUE,"Priority review",IF(R1283=TRUE,"High cost",IF(S1283=TRUE,"Low quality","Benchmark")))</x:f>
        <x:v>Benchmark</x:v>
      </x:c>
    </x:row>
    <x:row r="1284">
      <x:c r="A1284" s="2" t="str">
        <x:v>034023</x:v>
      </x:c>
      <x:c r="B1284" s="2" t="str">
        <x:v>THE GUIDANCE CENTER</x:v>
      </x:c>
      <x:c r="C1284" s="2" t="str">
        <x:v>FLAGSTAFF</x:v>
      </x:c>
      <x:c r="D1284" s="2" t="str">
        <x:v>AZ</x:v>
      </x:c>
      <x:c r="E1284" s="2" t="str">
        <x:v>Psychiatric</x:v>
      </x:c>
      <x:c r="F1284" s="2" t="str">
        <x:v>Voluntary non-profit</x:v>
      </x:c>
      <x:c r="G1284" s="2" t="str">
        <x:v>Small (&lt;100 beds)</x:v>
      </x:c>
      <x:c r="H1284" s="7"/>
      <x:c r="I1284" s="7"/>
      <x:c r="J1284" s="7"/>
      <x:c r="K1284" s="8" t="n">
        <x:v>16</x:v>
      </x:c>
      <x:c r="L1284" s="8" t="n">
        <x:v>656</x:v>
      </x:c>
      <x:c r="M1284" s="9" t="n">
        <x:v>0.7745901639</x:v>
      </x:c>
      <x:c r="N1284" s="10" t="n">
        <x:v>30138.8948170732</x:v>
      </x:c>
      <x:c r="O1284" s="9" t="n">
        <x:v>-0.0471849105</x:v>
      </x:c>
      <x:c r="P1284" s="9" t="n">
        <x:v>0.7411003236</x:v>
      </x:c>
      <x:c r="Q1284" s="9" t="n">
        <x:v>0</x:v>
      </x:c>
      <x:c r="R1284" s="3" t="b">
        <x:v>0</x:v>
      </x:c>
      <x:c r="S1284" s="3" t="b">
        <x:v>0</x:v>
      </x:c>
      <x:c r="T1284" s="3" t="b">
        <x:v>0</x:v>
      </x:c>
      <x:c r="U1284" s="2" t="str">
        <x:f>IF(T1284=TRUE,"Priority review",IF(R1284=TRUE,"High cost",IF(S1284=TRUE,"Low quality","Benchmark")))</x:f>
        <x:v>Benchmark</x:v>
      </x:c>
    </x:row>
    <x:row r="1285">
      <x:c r="A1285" s="2" t="str">
        <x:v>100289</x:v>
      </x:c>
      <x:c r="B1285" s="2" t="str">
        <x:v>CLEVELAND CLINIC HOSPITAL</x:v>
      </x:c>
      <x:c r="C1285" s="2" t="str">
        <x:v>WESTON</x:v>
      </x:c>
      <x:c r="D1285" s="2" t="str">
        <x:v>FL</x:v>
      </x:c>
      <x:c r="E1285" s="2" t="str">
        <x:v>Acute Care Hospitals</x:v>
      </x:c>
      <x:c r="F1285" s="2" t="str">
        <x:v>Voluntary non-profit</x:v>
      </x:c>
      <x:c r="G1285" s="2" t="str">
        <x:v>Medium (100-299 beds)</x:v>
      </x:c>
      <x:c r="H1285" s="7" t="n">
        <x:v>5</x:v>
      </x:c>
      <x:c r="I1285" s="7" t="n">
        <x:v>3</x:v>
      </x:c>
      <x:c r="J1285" s="7" t="n">
        <x:v>0.93</x:v>
      </x:c>
      <x:c r="K1285" s="8" t="n">
        <x:v>260</x:v>
      </x:c>
      <x:c r="L1285" s="8" t="n">
        <x:v>14008</x:v>
      </x:c>
      <x:c r="M1285" s="9" t="n">
        <x:v>0.725136612</x:v>
      </x:c>
      <x:c r="N1285" s="10" t="n">
        <x:v>46129.7009565962</x:v>
      </x:c>
      <x:c r="O1285" s="9" t="n">
        <x:v>0.1476943164</x:v>
      </x:c>
      <x:c r="P1285" s="9" t="n">
        <x:v>0.7408312958</x:v>
      </x:c>
      <x:c r="Q1285" s="9" t="n">
        <x:v>0.8744906275</x:v>
      </x:c>
      <x:c r="R1285" s="3" t="b">
        <x:v>0</x:v>
      </x:c>
      <x:c r="S1285" s="3" t="b">
        <x:v>0</x:v>
      </x:c>
      <x:c r="T1285" s="3" t="b">
        <x:v>0</x:v>
      </x:c>
      <x:c r="U1285" s="2" t="str">
        <x:f>IF(T1285=TRUE,"Priority review",IF(R1285=TRUE,"High cost",IF(S1285=TRUE,"Low quality","Benchmark")))</x:f>
        <x:v>Benchmark</x:v>
      </x:c>
    </x:row>
    <x:row r="1286">
      <x:c r="A1286" s="2" t="str">
        <x:v>453302</x:v>
      </x:c>
      <x:c r="B1286" s="2" t="str">
        <x:v>CHILDRENS MEDICAL CTR OF DALLAS</x:v>
      </x:c>
      <x:c r="C1286" s="2" t="str">
        <x:v>DALLAS</x:v>
      </x:c>
      <x:c r="D1286" s="2" t="str">
        <x:v>TX</x:v>
      </x:c>
      <x:c r="E1286" s="2" t="str">
        <x:v>Childrens</x:v>
      </x:c>
      <x:c r="F1286" s="2" t="str">
        <x:v>Voluntary non-profit</x:v>
      </x:c>
      <x:c r="G1286" s="2" t="str">
        <x:v>Large (300+ beds)</x:v>
      </x:c>
      <x:c r="H1286" s="7"/>
      <x:c r="I1286" s="7"/>
      <x:c r="J1286" s="7"/>
      <x:c r="K1286" s="8" t="n">
        <x:v>406</x:v>
      </x:c>
      <x:c r="L1286" s="8" t="n">
        <x:v>14653</x:v>
      </x:c>
      <x:c r="M1286" s="9" t="n">
        <x:v>0.7158941021</x:v>
      </x:c>
      <x:c r="N1286" s="10" t="n">
        <x:v>126009.2226847744</x:v>
      </x:c>
      <x:c r="O1286" s="9" t="n">
        <x:v>0.0908662433</x:v>
      </x:c>
      <x:c r="P1286" s="9" t="n">
        <x:v>0.7407407407</x:v>
      </x:c>
      <x:c r="Q1286" s="9" t="n">
        <x:v>0</x:v>
      </x:c>
      <x:c r="R1286" s="3" t="b">
        <x:v>0</x:v>
      </x:c>
      <x:c r="S1286" s="3" t="b">
        <x:v>0</x:v>
      </x:c>
      <x:c r="T1286" s="3" t="b">
        <x:v>0</x:v>
      </x:c>
      <x:c r="U1286" s="2" t="str">
        <x:f>IF(T1286=TRUE,"Priority review",IF(R1286=TRUE,"High cost",IF(S1286=TRUE,"Low quality","Benchmark")))</x:f>
        <x:v>Benchmark</x:v>
      </x:c>
    </x:row>
    <x:row r="1287">
      <x:c r="A1287" s="2" t="str">
        <x:v>050110</x:v>
      </x:c>
      <x:c r="B1287" s="2" t="str">
        <x:v>LOMPOC VALLEY MEDICAL CENTER</x:v>
      </x:c>
      <x:c r="C1287" s="2" t="str">
        <x:v>LOMPOC</x:v>
      </x:c>
      <x:c r="D1287" s="2" t="str">
        <x:v>CA</x:v>
      </x:c>
      <x:c r="E1287" s="2" t="str">
        <x:v>Acute Care Hospitals</x:v>
      </x:c>
      <x:c r="F1287" s="2" t="str">
        <x:v>Government</x:v>
      </x:c>
      <x:c r="G1287" s="2" t="str">
        <x:v>Small (&lt;100 beds)</x:v>
      </x:c>
      <x:c r="H1287" s="7" t="n">
        <x:v>1</x:v>
      </x:c>
      <x:c r="I1287" s="7" t="n">
        <x:v>2</x:v>
      </x:c>
      <x:c r="J1287" s="7" t="n">
        <x:v>1</x:v>
      </x:c>
      <x:c r="K1287" s="8" t="n">
        <x:v>60</x:v>
      </x:c>
      <x:c r="L1287" s="8" t="n">
        <x:v>2059</x:v>
      </x:c>
      <x:c r="M1287" s="9" t="n">
        <x:v>0.4065296804</x:v>
      </x:c>
      <x:c r="N1287" s="10" t="n">
        <x:v>81869.8649830015</x:v>
      </x:c>
      <x:c r="O1287" s="9" t="n">
        <x:v>0.0082918705</x:v>
      </x:c>
      <x:c r="P1287" s="9" t="n">
        <x:v>0.7405745063</x:v>
      </x:c>
      <x:c r="Q1287" s="9" t="n">
        <x:v>0</x:v>
      </x:c>
      <x:c r="R1287" s="3" t="b">
        <x:v>0</x:v>
      </x:c>
      <x:c r="S1287" s="3" t="b">
        <x:v>1</x:v>
      </x:c>
      <x:c r="T1287" s="3" t="b">
        <x:v>0</x:v>
      </x:c>
      <x:c r="U1287" s="2" t="str">
        <x:f>IF(T1287=TRUE,"Priority review",IF(R1287=TRUE,"High cost",IF(S1287=TRUE,"Low quality","Benchmark")))</x:f>
        <x:v>Low quality</x:v>
      </x:c>
    </x:row>
    <x:row r="1288">
      <x:c r="A1288" s="2" t="str">
        <x:v>161373</x:v>
      </x:c>
      <x:c r="B1288" s="2" t="str">
        <x:v>RINGGOLD COUNTY HOSPITAL</x:v>
      </x:c>
      <x:c r="C1288" s="2" t="str">
        <x:v>MOUNT AYR</x:v>
      </x:c>
      <x:c r="D1288" s="2" t="str">
        <x:v>IA</x:v>
      </x:c>
      <x:c r="E1288" s="2" t="str">
        <x:v>Critical Access Hospitals</x:v>
      </x:c>
      <x:c r="F1288" s="2" t="str">
        <x:v>Government</x:v>
      </x:c>
      <x:c r="G1288" s="2" t="str">
        <x:v>Small (&lt;100 beds)</x:v>
      </x:c>
      <x:c r="H1288" s="7"/>
      <x:c r="I1288" s="7"/>
      <x:c r="J1288" s="7"/>
      <x:c r="K1288" s="8" t="n">
        <x:v>16</x:v>
      </x:c>
      <x:c r="L1288" s="8" t="n">
        <x:v>137</x:v>
      </x:c>
      <x:c r="M1288" s="9" t="n">
        <x:v>0.134760274</x:v>
      </x:c>
      <x:c r="N1288" s="10" t="n">
        <x:v>201557.5401459854</x:v>
      </x:c>
      <x:c r="O1288" s="9" t="n">
        <x:v>0.0132634591</x:v>
      </x:c>
      <x:c r="P1288" s="9" t="n">
        <x:v>0.7405204461</x:v>
      </x:c>
      <x:c r="Q1288" s="9" t="n">
        <x:v>0.292936803</x:v>
      </x:c>
      <x:c r="R1288" s="3" t="b">
        <x:v>0</x:v>
      </x:c>
      <x:c r="S1288" s="3" t="b">
        <x:v>0</x:v>
      </x:c>
      <x:c r="T1288" s="3" t="b">
        <x:v>0</x:v>
      </x:c>
      <x:c r="U1288" s="2" t="str">
        <x:f>IF(T1288=TRUE,"Priority review",IF(R1288=TRUE,"High cost",IF(S1288=TRUE,"Low quality","Benchmark")))</x:f>
        <x:v>Benchmark</x:v>
      </x:c>
    </x:row>
    <x:row r="1289">
      <x:c r="A1289" s="2" t="str">
        <x:v>340051</x:v>
      </x:c>
      <x:c r="B1289" s="2" t="str">
        <x:v>WATAUGA MEDICAL CENTER</x:v>
      </x:c>
      <x:c r="C1289" s="2" t="str">
        <x:v>BOONE</x:v>
      </x:c>
      <x:c r="D1289" s="2" t="str">
        <x:v>NC</x:v>
      </x:c>
      <x:c r="E1289" s="2" t="str">
        <x:v>Acute Care Hospitals</x:v>
      </x:c>
      <x:c r="F1289" s="2" t="str">
        <x:v>Government</x:v>
      </x:c>
      <x:c r="G1289" s="2" t="str">
        <x:v>Medium (100-299 beds)</x:v>
      </x:c>
      <x:c r="H1289" s="7" t="n">
        <x:v>3</x:v>
      </x:c>
      <x:c r="I1289" s="7" t="n">
        <x:v>4</x:v>
      </x:c>
      <x:c r="J1289" s="7" t="n">
        <x:v>0.95</x:v>
      </x:c>
      <x:c r="K1289" s="8" t="n">
        <x:v>121</x:v>
      </x:c>
      <x:c r="L1289" s="8" t="n">
        <x:v>4365</x:v>
      </x:c>
      <x:c r="M1289" s="9" t="n">
        <x:v>0.3824748104</x:v>
      </x:c>
      <x:c r="N1289" s="10" t="n">
        <x:v>45996.7315005727</x:v>
      </x:c>
      <x:c r="O1289" s="9" t="n">
        <x:v>0.0488382301</x:v>
      </x:c>
      <x:c r="P1289" s="9" t="n">
        <x:v>0.7400162999</x:v>
      </x:c>
      <x:c r="Q1289" s="9" t="n">
        <x:v>0.3023634882</x:v>
      </x:c>
      <x:c r="R1289" s="3" t="b">
        <x:v>0</x:v>
      </x:c>
      <x:c r="S1289" s="3" t="b">
        <x:v>0</x:v>
      </x:c>
      <x:c r="T1289" s="3" t="b">
        <x:v>0</x:v>
      </x:c>
      <x:c r="U1289" s="2" t="str">
        <x:f>IF(T1289=TRUE,"Priority review",IF(R1289=TRUE,"High cost",IF(S1289=TRUE,"Low quality","Benchmark")))</x:f>
        <x:v>Benchmark</x:v>
      </x:c>
    </x:row>
    <x:row r="1290">
      <x:c r="A1290" s="2" t="str">
        <x:v>171335</x:v>
      </x:c>
      <x:c r="B1290" s="2" t="str">
        <x:v>STEVENS COUNTY HOSPITAL</x:v>
      </x:c>
      <x:c r="C1290" s="2" t="str">
        <x:v>HUGOTON</x:v>
      </x:c>
      <x:c r="D1290" s="2" t="str">
        <x:v>KS</x:v>
      </x:c>
      <x:c r="E1290" s="2" t="str">
        <x:v>Critical Access Hospitals</x:v>
      </x:c>
      <x:c r="F1290" s="2" t="str">
        <x:v>Government</x:v>
      </x:c>
      <x:c r="G1290" s="2" t="str">
        <x:v>Small (&lt;100 beds)</x:v>
      </x:c>
      <x:c r="H1290" s="7" t="n">
        <x:v>4</x:v>
      </x:c>
      <x:c r="I1290" s="7"/>
      <x:c r="J1290" s="7"/>
      <x:c r="K1290" s="8" t="n">
        <x:v>17</x:v>
      </x:c>
      <x:c r="L1290" s="8" t="n">
        <x:v>107</x:v>
      </x:c>
      <x:c r="M1290" s="9" t="n">
        <x:v>0.1120218579</x:v>
      </x:c>
      <x:c r="N1290" s="10" t="n">
        <x:v>201536.9439252336</x:v>
      </x:c>
      <x:c r="O1290" s="9" t="n">
        <x:v>-0.1320526002</x:v>
      </x:c>
      <x:c r="P1290" s="9" t="n">
        <x:v>0.7397769517</x:v>
      </x:c>
      <x:c r="Q1290" s="9" t="n">
        <x:v>0.1657992565</x:v>
      </x:c>
      <x:c r="R1290" s="3" t="b">
        <x:v>0</x:v>
      </x:c>
      <x:c r="S1290" s="3" t="b">
        <x:v>0</x:v>
      </x:c>
      <x:c r="T1290" s="3" t="b">
        <x:v>0</x:v>
      </x:c>
      <x:c r="U1290" s="2" t="str">
        <x:f>IF(T1290=TRUE,"Priority review",IF(R1290=TRUE,"High cost",IF(S1290=TRUE,"Low quality","Benchmark")))</x:f>
        <x:v>Benchmark</x:v>
      </x:c>
    </x:row>
    <x:row r="1291">
      <x:c r="A1291" s="2" t="str">
        <x:v>230230</x:v>
      </x:c>
      <x:c r="B1291" s="2" t="str">
        <x:v>EDWARD W SPARROW HOSPITAL</x:v>
      </x:c>
      <x:c r="C1291" s="2" t="str">
        <x:v>LANSING</x:v>
      </x:c>
      <x:c r="D1291" s="2" t="str">
        <x:v>MI</x:v>
      </x:c>
      <x:c r="E1291" s="2" t="str">
        <x:v>Acute Care Hospitals</x:v>
      </x:c>
      <x:c r="F1291" s="2" t="str">
        <x:v>Voluntary non-profit</x:v>
      </x:c>
      <x:c r="G1291" s="2" t="str">
        <x:v>Large (300+ beds)</x:v>
      </x:c>
      <x:c r="H1291" s="7" t="n">
        <x:v>3</x:v>
      </x:c>
      <x:c r="I1291" s="7" t="n">
        <x:v>2</x:v>
      </x:c>
      <x:c r="J1291" s="7" t="n">
        <x:v>0.98</x:v>
      </x:c>
      <x:c r="K1291" s="8" t="n">
        <x:v>454</x:v>
      </x:c>
      <x:c r="L1291" s="8" t="n">
        <x:v>25256</x:v>
      </x:c>
      <x:c r="M1291" s="9" t="n">
        <x:v>0.8062145045</x:v>
      </x:c>
      <x:c r="N1291" s="10" t="n">
        <x:v>52813.9562084257</x:v>
      </x:c>
      <x:c r="O1291" s="9" t="n">
        <x:v>-0.0616710123</x:v>
      </x:c>
      <x:c r="P1291" s="9" t="n">
        <x:v>0.7397476341</x:v>
      </x:c>
      <x:c r="Q1291" s="9" t="n">
        <x:v>0.2570977918</x:v>
      </x:c>
      <x:c r="R1291" s="3" t="b">
        <x:v>0</x:v>
      </x:c>
      <x:c r="S1291" s="3" t="b">
        <x:v>0</x:v>
      </x:c>
      <x:c r="T1291" s="3" t="b">
        <x:v>0</x:v>
      </x:c>
      <x:c r="U1291" s="2" t="str">
        <x:f>IF(T1291=TRUE,"Priority review",IF(R1291=TRUE,"High cost",IF(S1291=TRUE,"Low quality","Benchmark")))</x:f>
        <x:v>Benchmark</x:v>
      </x:c>
    </x:row>
    <x:row r="1292">
      <x:c r="A1292" s="2" t="str">
        <x:v>300014</x:v>
      </x:c>
      <x:c r="B1292" s="2" t="str">
        <x:v>FRISBIE MEMORIAL HOSPITAL</x:v>
      </x:c>
      <x:c r="C1292" s="2" t="str">
        <x:v>ROCHESTER</x:v>
      </x:c>
      <x:c r="D1292" s="2" t="str">
        <x:v>NH</x:v>
      </x:c>
      <x:c r="E1292" s="2" t="str">
        <x:v>Acute Care Hospitals</x:v>
      </x:c>
      <x:c r="F1292" s="2" t="str">
        <x:v>Proprietary</x:v>
      </x:c>
      <x:c r="G1292" s="2" t="str">
        <x:v>Small (&lt;100 beds)</x:v>
      </x:c>
      <x:c r="H1292" s="7" t="n">
        <x:v>3</x:v>
      </x:c>
      <x:c r="I1292" s="7" t="n">
        <x:v>4</x:v>
      </x:c>
      <x:c r="J1292" s="7" t="n">
        <x:v>0.86</x:v>
      </x:c>
      <x:c r="K1292" s="8" t="n">
        <x:v>39</x:v>
      </x:c>
      <x:c r="L1292" s="8" t="n">
        <x:v>1077</x:v>
      </x:c>
      <x:c r="M1292" s="9" t="n">
        <x:v>0.2778363189</x:v>
      </x:c>
      <x:c r="N1292" s="10" t="n">
        <x:v>81717.6935933148</x:v>
      </x:c>
      <x:c r="O1292" s="9" t="n">
        <x:v>-0.3848080642</x:v>
      </x:c>
      <x:c r="P1292" s="9" t="n">
        <x:v>0.7396768402</x:v>
      </x:c>
      <x:c r="Q1292" s="9" t="n">
        <x:v>0.1687612208</x:v>
      </x:c>
      <x:c r="R1292" s="3" t="b">
        <x:v>0</x:v>
      </x:c>
      <x:c r="S1292" s="3" t="b">
        <x:v>0</x:v>
      </x:c>
      <x:c r="T1292" s="3" t="b">
        <x:v>0</x:v>
      </x:c>
      <x:c r="U1292" s="2" t="str">
        <x:f>IF(T1292=TRUE,"Priority review",IF(R1292=TRUE,"High cost",IF(S1292=TRUE,"Low quality","Benchmark")))</x:f>
        <x:v>Benchmark</x:v>
      </x:c>
    </x:row>
    <x:row r="1293">
      <x:c r="A1293" s="2" t="str">
        <x:v>210003</x:v>
      </x:c>
      <x:c r="B1293" s="2" t="str">
        <x:v>UNIVERSITY OF MD CAPITAL REGION MEDICAL CENTER</x:v>
      </x:c>
      <x:c r="C1293" s="2" t="str">
        <x:v>UPPER MARLBORO</x:v>
      </x:c>
      <x:c r="D1293" s="2" t="str">
        <x:v>MD</x:v>
      </x:c>
      <x:c r="E1293" s="2" t="str">
        <x:v>Acute Care Hospitals</x:v>
      </x:c>
      <x:c r="F1293" s="2" t="str">
        <x:v>Voluntary non-profit</x:v>
      </x:c>
      <x:c r="G1293" s="2" t="str">
        <x:v>Medium (100-299 beds)</x:v>
      </x:c>
      <x:c r="H1293" s="7" t="n">
        <x:v>1</x:v>
      </x:c>
      <x:c r="I1293" s="7" t="n">
        <x:v>2</x:v>
      </x:c>
      <x:c r="J1293" s="7"/>
      <x:c r="K1293" s="8" t="n">
        <x:v>218</x:v>
      </x:c>
      <x:c r="L1293" s="8" t="n">
        <x:v>10568</x:v>
      </x:c>
      <x:c r="M1293" s="9" t="n">
        <x:v>0.8818775921</x:v>
      </x:c>
      <x:c r="N1293" s="10" t="n">
        <x:v>45981.2036336109</x:v>
      </x:c>
      <x:c r="O1293" s="9" t="n">
        <x:v>-0.0269734825</x:v>
      </x:c>
      <x:c r="P1293" s="9" t="n">
        <x:v>0.739201304</x:v>
      </x:c>
      <x:c r="Q1293" s="9" t="n">
        <x:v>0</x:v>
      </x:c>
      <x:c r="R1293" s="3" t="b">
        <x:v>0</x:v>
      </x:c>
      <x:c r="S1293" s="3" t="b">
        <x:v>1</x:v>
      </x:c>
      <x:c r="T1293" s="3" t="b">
        <x:v>0</x:v>
      </x:c>
      <x:c r="U1293" s="2" t="str">
        <x:f>IF(T1293=TRUE,"Priority review",IF(R1293=TRUE,"High cost",IF(S1293=TRUE,"Low quality","Benchmark")))</x:f>
        <x:v>Low quality</x:v>
      </x:c>
    </x:row>
    <x:row r="1294">
      <x:c r="A1294" s="2" t="str">
        <x:v>271334</x:v>
      </x:c>
      <x:c r="B1294" s="2" t="str">
        <x:v>LOGAN HEALTH - CHESTER</x:v>
      </x:c>
      <x:c r="C1294" s="2" t="str">
        <x:v>CHESTER</x:v>
      </x:c>
      <x:c r="D1294" s="2" t="str">
        <x:v>MT</x:v>
      </x:c>
      <x:c r="E1294" s="2" t="str">
        <x:v>Critical Access Hospitals</x:v>
      </x:c>
      <x:c r="F1294" s="2" t="str">
        <x:v>Voluntary non-profit</x:v>
      </x:c>
      <x:c r="G1294" s="2" t="str">
        <x:v>Small (&lt;100 beds)</x:v>
      </x:c>
      <x:c r="H1294" s="7"/>
      <x:c r="I1294" s="7"/>
      <x:c r="J1294" s="7"/>
      <x:c r="K1294" s="8" t="n">
        <x:v>25</x:v>
      </x:c>
      <x:c r="L1294" s="8" t="n">
        <x:v>58</x:v>
      </x:c>
      <x:c r="M1294" s="9" t="n">
        <x:v>0.7275409836</x:v>
      </x:c>
      <x:c r="N1294" s="10" t="n">
        <x:v>201130.5172413793</x:v>
      </x:c>
      <x:c r="O1294" s="9" t="n">
        <x:v>-0.2805532598</x:v>
      </x:c>
      <x:c r="P1294" s="9" t="n">
        <x:v>0.7390334572</x:v>
      </x:c>
      <x:c r="Q1294" s="9" t="n">
        <x:v>0.292936803</x:v>
      </x:c>
      <x:c r="R1294" s="3" t="b">
        <x:v>0</x:v>
      </x:c>
      <x:c r="S1294" s="3" t="b">
        <x:v>0</x:v>
      </x:c>
      <x:c r="T1294" s="3" t="b">
        <x:v>0</x:v>
      </x:c>
      <x:c r="U1294" s="2" t="str">
        <x:f>IF(T1294=TRUE,"Priority review",IF(R1294=TRUE,"High cost",IF(S1294=TRUE,"Low quality","Benchmark")))</x:f>
        <x:v>Benchmark</x:v>
      </x:c>
    </x:row>
    <x:row r="1295">
      <x:c r="A1295" s="2" t="str">
        <x:v>100313</x:v>
      </x:c>
      <x:c r="B1295" s="2" t="str">
        <x:v>ASCENSION SACRED HEART GULF</x:v>
      </x:c>
      <x:c r="C1295" s="2" t="str">
        <x:v>PORT SAINT JOE</x:v>
      </x:c>
      <x:c r="D1295" s="2" t="str">
        <x:v>FL</x:v>
      </x:c>
      <x:c r="E1295" s="2" t="str">
        <x:v>Acute Care Hospitals</x:v>
      </x:c>
      <x:c r="F1295" s="2" t="str">
        <x:v>Voluntary non-profit</x:v>
      </x:c>
      <x:c r="G1295" s="2" t="str">
        <x:v>Small (&lt;100 beds)</x:v>
      </x:c>
      <x:c r="H1295" s="7" t="n">
        <x:v>3</x:v>
      </x:c>
      <x:c r="I1295" s="7"/>
      <x:c r="J1295" s="7"/>
      <x:c r="K1295" s="8" t="n">
        <x:v>19</x:v>
      </x:c>
      <x:c r="L1295" s="8" t="n">
        <x:v>335</x:v>
      </x:c>
      <x:c r="M1295" s="9" t="n">
        <x:v>0.1440519106</x:v>
      </x:c>
      <x:c r="N1295" s="10" t="n">
        <x:v>81457.1223880597</x:v>
      </x:c>
      <x:c r="O1295" s="9" t="n">
        <x:v>-0.13684073</x:v>
      </x:c>
      <x:c r="P1295" s="9" t="n">
        <x:v>0.7387791741</x:v>
      </x:c>
      <x:c r="Q1295" s="9" t="n">
        <x:v>0.1687612208</x:v>
      </x:c>
      <x:c r="R1295" s="3" t="b">
        <x:v>0</x:v>
      </x:c>
      <x:c r="S1295" s="3" t="b">
        <x:v>0</x:v>
      </x:c>
      <x:c r="T1295" s="3" t="b">
        <x:v>0</x:v>
      </x:c>
      <x:c r="U1295" s="2" t="str">
        <x:f>IF(T1295=TRUE,"Priority review",IF(R1295=TRUE,"High cost",IF(S1295=TRUE,"Low quality","Benchmark")))</x:f>
        <x:v>Benchmark</x:v>
      </x:c>
    </x:row>
    <x:row r="1296">
      <x:c r="A1296" s="2" t="str">
        <x:v>150109</x:v>
      </x:c>
      <x:c r="B1296" s="2" t="str">
        <x:v>FRANCISCAN HEALTH LAFAYETTE</x:v>
      </x:c>
      <x:c r="C1296" s="2" t="str">
        <x:v>LAFAYETTE</x:v>
      </x:c>
      <x:c r="D1296" s="2" t="str">
        <x:v>IN</x:v>
      </x:c>
      <x:c r="E1296" s="2" t="str">
        <x:v>Acute Care Hospitals</x:v>
      </x:c>
      <x:c r="F1296" s="2" t="str">
        <x:v>Voluntary non-profit</x:v>
      </x:c>
      <x:c r="G1296" s="2" t="str">
        <x:v>Medium (100-299 beds)</x:v>
      </x:c>
      <x:c r="H1296" s="7" t="n">
        <x:v>3</x:v>
      </x:c>
      <x:c r="I1296" s="7" t="n">
        <x:v>3</x:v>
      </x:c>
      <x:c r="J1296" s="7" t="n">
        <x:v>1.03</x:v>
      </x:c>
      <x:c r="K1296" s="8" t="n">
        <x:v>177</x:v>
      </x:c>
      <x:c r="L1296" s="8" t="n">
        <x:v>8493</x:v>
      </x:c>
      <x:c r="M1296" s="9" t="n">
        <x:v>0.6097681455</x:v>
      </x:c>
      <x:c r="N1296" s="10" t="n">
        <x:v>45914.5862474979</x:v>
      </x:c>
      <x:c r="O1296" s="9" t="n">
        <x:v>0.0071045976</x:v>
      </x:c>
      <x:c r="P1296" s="9" t="n">
        <x:v>0.7383863081</x:v>
      </x:c>
      <x:c r="Q1296" s="9" t="n">
        <x:v>0.3023634882</x:v>
      </x:c>
      <x:c r="R1296" s="3" t="b">
        <x:v>0</x:v>
      </x:c>
      <x:c r="S1296" s="3" t="b">
        <x:v>0</x:v>
      </x:c>
      <x:c r="T1296" s="3" t="b">
        <x:v>0</x:v>
      </x:c>
      <x:c r="U1296" s="2" t="str">
        <x:f>IF(T1296=TRUE,"Priority review",IF(R1296=TRUE,"High cost",IF(S1296=TRUE,"Low quality","Benchmark")))</x:f>
        <x:v>Benchmark</x:v>
      </x:c>
    </x:row>
    <x:row r="1297">
      <x:c r="A1297" s="2" t="str">
        <x:v>241375</x:v>
      </x:c>
      <x:c r="B1297" s="2" t="str">
        <x:v>MINNESOTA VALLEY HEALTH CENTER  INC</x:v>
      </x:c>
      <x:c r="C1297" s="2" t="str">
        <x:v>LE SUEUR</x:v>
      </x:c>
      <x:c r="D1297" s="2" t="str">
        <x:v>MN</x:v>
      </x:c>
      <x:c r="E1297" s="2" t="str">
        <x:v>Critical Access Hospitals</x:v>
      </x:c>
      <x:c r="F1297" s="2" t="str">
        <x:v>Voluntary non-profit</x:v>
      </x:c>
      <x:c r="G1297" s="2" t="str">
        <x:v>Small (&lt;100 beds)</x:v>
      </x:c>
      <x:c r="H1297" s="7"/>
      <x:c r="I1297" s="7"/>
      <x:c r="J1297" s="7"/>
      <x:c r="K1297" s="8" t="n">
        <x:v>9</x:v>
      </x:c>
      <x:c r="L1297" s="8" t="n">
        <x:v>62</x:v>
      </x:c>
      <x:c r="M1297" s="9" t="n">
        <x:v>0.182756527</x:v>
      </x:c>
      <x:c r="N1297" s="10" t="n">
        <x:v>200791.9677419355</x:v>
      </x:c>
      <x:c r="O1297" s="9" t="n">
        <x:v>0.059247572</x:v>
      </x:c>
      <x:c r="P1297" s="9" t="n">
        <x:v>0.7382899628</x:v>
      </x:c>
      <x:c r="Q1297" s="9" t="n">
        <x:v>0.292936803</x:v>
      </x:c>
      <x:c r="R1297" s="3" t="b">
        <x:v>0</x:v>
      </x:c>
      <x:c r="S1297" s="3" t="b">
        <x:v>0</x:v>
      </x:c>
      <x:c r="T1297" s="3" t="b">
        <x:v>0</x:v>
      </x:c>
      <x:c r="U1297" s="2" t="str">
        <x:f>IF(T1297=TRUE,"Priority review",IF(R1297=TRUE,"High cost",IF(S1297=TRUE,"Low quality","Benchmark")))</x:f>
        <x:v>Benchmark</x:v>
      </x:c>
    </x:row>
    <x:row r="1298">
      <x:c r="A1298" s="2" t="str">
        <x:v>500054</x:v>
      </x:c>
      <x:c r="B1298" s="2" t="str">
        <x:v>PROV SACRED HRT MED CTR &amp; CHILDS HOSP.</x:v>
      </x:c>
      <x:c r="C1298" s="2" t="str">
        <x:v>SPOKANE</x:v>
      </x:c>
      <x:c r="D1298" s="2" t="str">
        <x:v>WA</x:v>
      </x:c>
      <x:c r="E1298" s="2" t="str">
        <x:v>Acute Care Hospitals</x:v>
      </x:c>
      <x:c r="F1298" s="2" t="str">
        <x:v>Voluntary non-profit</x:v>
      </x:c>
      <x:c r="G1298" s="2" t="str">
        <x:v>Large (300+ beds)</x:v>
      </x:c>
      <x:c r="H1298" s="7" t="n">
        <x:v>3</x:v>
      </x:c>
      <x:c r="I1298" s="7" t="n">
        <x:v>3</x:v>
      </x:c>
      <x:c r="J1298" s="7" t="n">
        <x:v>1.01</x:v>
      </x:c>
      <x:c r="K1298" s="8" t="n">
        <x:v>633</x:v>
      </x:c>
      <x:c r="L1298" s="8" t="n">
        <x:v>25129</x:v>
      </x:c>
      <x:c r="M1298" s="9" t="n">
        <x:v>0.7012923109</x:v>
      </x:c>
      <x:c r="N1298" s="10" t="n">
        <x:v>52648.7889291257</x:v>
      </x:c>
      <x:c r="O1298" s="9" t="n">
        <x:v>-0.1290404037</x:v>
      </x:c>
      <x:c r="P1298" s="9" t="n">
        <x:v>0.738170347</x:v>
      </x:c>
      <x:c r="Q1298" s="9" t="n">
        <x:v>0.2570977918</x:v>
      </x:c>
      <x:c r="R1298" s="3" t="b">
        <x:v>0</x:v>
      </x:c>
      <x:c r="S1298" s="3" t="b">
        <x:v>0</x:v>
      </x:c>
      <x:c r="T1298" s="3" t="b">
        <x:v>0</x:v>
      </x:c>
      <x:c r="U1298" s="2" t="str">
        <x:f>IF(T1298=TRUE,"Priority review",IF(R1298=TRUE,"High cost",IF(S1298=TRUE,"Low quality","Benchmark")))</x:f>
        <x:v>Benchmark</x:v>
      </x:c>
    </x:row>
    <x:row r="1299">
      <x:c r="A1299" s="2" t="str">
        <x:v>370171</x:v>
      </x:c>
      <x:c r="B1299" s="2" t="str">
        <x:v>CHEROKEE NATION W W HASTINGS INDIAN HOSPITAL</x:v>
      </x:c>
      <x:c r="C1299" s="2" t="str">
        <x:v>TAHLEQUAH</x:v>
      </x:c>
      <x:c r="D1299" s="2" t="str">
        <x:v>OK</x:v>
      </x:c>
      <x:c r="E1299" s="2" t="str">
        <x:v>Acute Care Hospitals</x:v>
      </x:c>
      <x:c r="F1299" s="2" t="str">
        <x:v>Voluntary non-profit</x:v>
      </x:c>
      <x:c r="G1299" s="2" t="str">
        <x:v>Small (&lt;100 beds)</x:v>
      </x:c>
      <x:c r="H1299" s="7" t="n">
        <x:v>3</x:v>
      </x:c>
      <x:c r="I1299" s="7" t="n">
        <x:v>4</x:v>
      </x:c>
      <x:c r="J1299" s="7" t="n">
        <x:v>0.89</x:v>
      </x:c>
      <x:c r="K1299" s="8" t="n">
        <x:v>52</x:v>
      </x:c>
      <x:c r="L1299" s="8" t="n">
        <x:v>2724</x:v>
      </x:c>
      <x:c r="M1299" s="9" t="n">
        <x:v>0.4887557797</x:v>
      </x:c>
      <x:c r="N1299" s="10" t="n">
        <x:v>81049.4104258443</x:v>
      </x:c>
      <x:c r="O1299" s="9"/>
      <x:c r="P1299" s="9" t="n">
        <x:v>0.7378815081</x:v>
      </x:c>
      <x:c r="Q1299" s="9" t="n">
        <x:v>0.1687612208</x:v>
      </x:c>
      <x:c r="R1299" s="3" t="b">
        <x:v>0</x:v>
      </x:c>
      <x:c r="S1299" s="3" t="b">
        <x:v>0</x:v>
      </x:c>
      <x:c r="T1299" s="3" t="b">
        <x:v>0</x:v>
      </x:c>
      <x:c r="U1299" s="2" t="str">
        <x:f>IF(T1299=TRUE,"Priority review",IF(R1299=TRUE,"High cost",IF(S1299=TRUE,"Low quality","Benchmark")))</x:f>
        <x:v>Benchmark</x:v>
      </x:c>
    </x:row>
    <x:row r="1300">
      <x:c r="A1300" s="2" t="str">
        <x:v>374008</x:v>
      </x:c>
      <x:c r="B1300" s="2" t="str">
        <x:v>JIM TALIAFERRO COMM MENTAL HEALTH CTR</x:v>
      </x:c>
      <x:c r="C1300" s="2" t="str">
        <x:v>LAWTON</x:v>
      </x:c>
      <x:c r="D1300" s="2" t="str">
        <x:v>OK</x:v>
      </x:c>
      <x:c r="E1300" s="2" t="str">
        <x:v>Psychiatric</x:v>
      </x:c>
      <x:c r="F1300" s="2" t="str">
        <x:v>Government</x:v>
      </x:c>
      <x:c r="G1300" s="2" t="str">
        <x:v>Small (&lt;100 beds)</x:v>
      </x:c>
      <x:c r="H1300" s="7"/>
      <x:c r="I1300" s="7"/>
      <x:c r="J1300" s="7"/>
      <x:c r="K1300" s="8" t="n">
        <x:v>17</x:v>
      </x:c>
      <x:c r="L1300" s="8" t="n">
        <x:v>583</x:v>
      </x:c>
      <x:c r="M1300" s="9" t="n">
        <x:v>0.764544722</x:v>
      </x:c>
      <x:c r="N1300" s="10" t="n">
        <x:v>29116.2367066895</x:v>
      </x:c>
      <x:c r="O1300" s="9" t="n">
        <x:v>-1.4713035123</x:v>
      </x:c>
      <x:c r="P1300" s="9" t="n">
        <x:v>0.7378640777</x:v>
      </x:c>
      <x:c r="Q1300" s="9" t="n">
        <x:v>0</x:v>
      </x:c>
      <x:c r="R1300" s="3" t="b">
        <x:v>0</x:v>
      </x:c>
      <x:c r="S1300" s="3" t="b">
        <x:v>0</x:v>
      </x:c>
      <x:c r="T1300" s="3" t="b">
        <x:v>0</x:v>
      </x:c>
      <x:c r="U1300" s="2" t="str">
        <x:f>IF(T1300=TRUE,"Priority review",IF(R1300=TRUE,"High cost",IF(S1300=TRUE,"Low quality","Benchmark")))</x:f>
        <x:v>Benchmark</x:v>
      </x:c>
    </x:row>
    <x:row r="1301">
      <x:c r="A1301" s="2" t="str">
        <x:v>500152</x:v>
      </x:c>
      <x:c r="B1301" s="2" t="str">
        <x:v>SWEDISH ISSAQUAH</x:v>
      </x:c>
      <x:c r="C1301" s="2" t="str">
        <x:v>ISSAQUAH</x:v>
      </x:c>
      <x:c r="D1301" s="2" t="str">
        <x:v>WA</x:v>
      </x:c>
      <x:c r="E1301" s="2" t="str">
        <x:v>Acute Care Hospitals</x:v>
      </x:c>
      <x:c r="F1301" s="2" t="str">
        <x:v>Voluntary non-profit</x:v>
      </x:c>
      <x:c r="G1301" s="2" t="str">
        <x:v>Medium (100-299 beds)</x:v>
      </x:c>
      <x:c r="H1301" s="7" t="n">
        <x:v>4</x:v>
      </x:c>
      <x:c r="I1301" s="7" t="n">
        <x:v>3</x:v>
      </x:c>
      <x:c r="J1301" s="7" t="n">
        <x:v>0.95</x:v>
      </x:c>
      <x:c r="K1301" s="8" t="n">
        <x:v>167</x:v>
      </x:c>
      <x:c r="L1301" s="8" t="n">
        <x:v>7482</x:v>
      </x:c>
      <x:c r="M1301" s="9" t="n">
        <x:v>0.5811655378</x:v>
      </x:c>
      <x:c r="N1301" s="10" t="n">
        <x:v>45897.7524726009</x:v>
      </x:c>
      <x:c r="O1301" s="9" t="n">
        <x:v>-0.0199256935</x:v>
      </x:c>
      <x:c r="P1301" s="9" t="n">
        <x:v>0.7375713121</x:v>
      </x:c>
      <x:c r="Q1301" s="9" t="n">
        <x:v>0.6022819886</x:v>
      </x:c>
      <x:c r="R1301" s="3" t="b">
        <x:v>0</x:v>
      </x:c>
      <x:c r="S1301" s="3" t="b">
        <x:v>0</x:v>
      </x:c>
      <x:c r="T1301" s="3" t="b">
        <x:v>0</x:v>
      </x:c>
      <x:c r="U1301" s="2" t="str">
        <x:f>IF(T1301=TRUE,"Priority review",IF(R1301=TRUE,"High cost",IF(S1301=TRUE,"Low quality","Benchmark")))</x:f>
        <x:v>Benchmark</x:v>
      </x:c>
    </x:row>
    <x:row r="1302">
      <x:c r="A1302" s="2" t="str">
        <x:v>201301</x:v>
      </x:c>
      <x:c r="B1302" s="2" t="str">
        <x:v>NORTHERN LIGHT C A DEAN HOSPITAL</x:v>
      </x:c>
      <x:c r="C1302" s="2" t="str">
        <x:v>GREENVILLE</x:v>
      </x:c>
      <x:c r="D1302" s="2" t="str">
        <x:v>ME</x:v>
      </x:c>
      <x:c r="E1302" s="2" t="str">
        <x:v>Critical Access Hospitals</x:v>
      </x:c>
      <x:c r="F1302" s="2" t="str">
        <x:v>Government</x:v>
      </x:c>
      <x:c r="G1302" s="2" t="str">
        <x:v>Small (&lt;100 beds)</x:v>
      </x:c>
      <x:c r="H1302" s="7"/>
      <x:c r="I1302" s="7"/>
      <x:c r="J1302" s="7"/>
      <x:c r="K1302" s="8" t="n">
        <x:v>25</x:v>
      </x:c>
      <x:c r="L1302" s="8" t="n">
        <x:v>120</x:v>
      </x:c>
      <x:c r="M1302" s="9" t="n">
        <x:v>0.4519125683</x:v>
      </x:c>
      <x:c r="N1302" s="10" t="n">
        <x:v>200701.5916666667</x:v>
      </x:c>
      <x:c r="O1302" s="9" t="n">
        <x:v>-0.1287096534</x:v>
      </x:c>
      <x:c r="P1302" s="9" t="n">
        <x:v>0.7375464684</x:v>
      </x:c>
      <x:c r="Q1302" s="9" t="n">
        <x:v>0.292936803</x:v>
      </x:c>
      <x:c r="R1302" s="3" t="b">
        <x:v>0</x:v>
      </x:c>
      <x:c r="S1302" s="3" t="b">
        <x:v>0</x:v>
      </x:c>
      <x:c r="T1302" s="3" t="b">
        <x:v>0</x:v>
      </x:c>
      <x:c r="U1302" s="2" t="str">
        <x:f>IF(T1302=TRUE,"Priority review",IF(R1302=TRUE,"High cost",IF(S1302=TRUE,"Low quality","Benchmark")))</x:f>
        <x:v>Benchmark</x:v>
      </x:c>
    </x:row>
    <x:row r="1303">
      <x:c r="A1303" s="2" t="str">
        <x:v>520044</x:v>
      </x:c>
      <x:c r="B1303" s="2" t="str">
        <x:v>ST NICHOLAS HOSPITAL</x:v>
      </x:c>
      <x:c r="C1303" s="2" t="str">
        <x:v>SHEBOYGAN</x:v>
      </x:c>
      <x:c r="D1303" s="2" t="str">
        <x:v>WI</x:v>
      </x:c>
      <x:c r="E1303" s="2" t="str">
        <x:v>Acute Care Hospitals</x:v>
      </x:c>
      <x:c r="F1303" s="2" t="str">
        <x:v>Voluntary non-profit</x:v>
      </x:c>
      <x:c r="G1303" s="2" t="str">
        <x:v>Small (&lt;100 beds)</x:v>
      </x:c>
      <x:c r="H1303" s="7" t="n">
        <x:v>3</x:v>
      </x:c>
      <x:c r="I1303" s="7" t="n">
        <x:v>4</x:v>
      </x:c>
      <x:c r="J1303" s="7" t="n">
        <x:v>0.87</x:v>
      </x:c>
      <x:c r="K1303" s="8" t="n">
        <x:v>47</x:v>
      </x:c>
      <x:c r="L1303" s="8" t="n">
        <x:v>1500</x:v>
      </x:c>
      <x:c r="M1303" s="9" t="n">
        <x:v>0.3032352084</x:v>
      </x:c>
      <x:c r="N1303" s="10" t="n">
        <x:v>80726.4413333333</x:v>
      </x:c>
      <x:c r="O1303" s="9" t="n">
        <x:v>-0.0590241577</x:v>
      </x:c>
      <x:c r="P1303" s="9" t="n">
        <x:v>0.736983842</x:v>
      </x:c>
      <x:c r="Q1303" s="9" t="n">
        <x:v>0.1687612208</x:v>
      </x:c>
      <x:c r="R1303" s="3" t="b">
        <x:v>0</x:v>
      </x:c>
      <x:c r="S1303" s="3" t="b">
        <x:v>0</x:v>
      </x:c>
      <x:c r="T1303" s="3" t="b">
        <x:v>0</x:v>
      </x:c>
      <x:c r="U1303" s="2" t="str">
        <x:f>IF(T1303=TRUE,"Priority review",IF(R1303=TRUE,"High cost",IF(S1303=TRUE,"Low quality","Benchmark")))</x:f>
        <x:v>Benchmark</x:v>
      </x:c>
    </x:row>
    <x:row r="1304">
      <x:c r="A1304" s="2" t="str">
        <x:v>371327</x:v>
      </x:c>
      <x:c r="B1304" s="2" t="str">
        <x:v>OKEENE MUNICIPAL HOSPITAL</x:v>
      </x:c>
      <x:c r="C1304" s="2" t="str">
        <x:v>OKEENE</x:v>
      </x:c>
      <x:c r="D1304" s="2" t="str">
        <x:v>OK</x:v>
      </x:c>
      <x:c r="E1304" s="2" t="str">
        <x:v>Critical Access Hospitals</x:v>
      </x:c>
      <x:c r="F1304" s="2" t="str">
        <x:v>Government</x:v>
      </x:c>
      <x:c r="G1304" s="2" t="str">
        <x:v>Small (&lt;100 beds)</x:v>
      </x:c>
      <x:c r="H1304" s="7"/>
      <x:c r="I1304" s="7"/>
      <x:c r="J1304" s="7"/>
      <x:c r="K1304" s="8" t="n">
        <x:v>17</x:v>
      </x:c>
      <x:c r="L1304" s="8" t="n">
        <x:v>50</x:v>
      </x:c>
      <x:c r="M1304" s="9" t="n">
        <x:v>0.1049153908</x:v>
      </x:c>
      <x:c r="N1304" s="10" t="n">
        <x:v>199953.64</x:v>
      </x:c>
      <x:c r="O1304" s="9" t="n">
        <x:v>-0.119091311</x:v>
      </x:c>
      <x:c r="P1304" s="9" t="n">
        <x:v>0.736802974</x:v>
      </x:c>
      <x:c r="Q1304" s="9" t="n">
        <x:v>0.292936803</x:v>
      </x:c>
      <x:c r="R1304" s="3" t="b">
        <x:v>0</x:v>
      </x:c>
      <x:c r="S1304" s="3" t="b">
        <x:v>0</x:v>
      </x:c>
      <x:c r="T1304" s="3" t="b">
        <x:v>0</x:v>
      </x:c>
      <x:c r="U1304" s="2" t="str">
        <x:f>IF(T1304=TRUE,"Priority review",IF(R1304=TRUE,"High cost",IF(S1304=TRUE,"Low quality","Benchmark")))</x:f>
        <x:v>Benchmark</x:v>
      </x:c>
    </x:row>
    <x:row r="1305">
      <x:c r="A1305" s="2" t="str">
        <x:v>330226</x:v>
      </x:c>
      <x:c r="B1305" s="2" t="str">
        <x:v>UNITY HOSPITAL</x:v>
      </x:c>
      <x:c r="C1305" s="2" t="str">
        <x:v>ROCHESTER</x:v>
      </x:c>
      <x:c r="D1305" s="2" t="str">
        <x:v>NY</x:v>
      </x:c>
      <x:c r="E1305" s="2" t="str">
        <x:v>Acute Care Hospitals</x:v>
      </x:c>
      <x:c r="F1305" s="2" t="str">
        <x:v>Voluntary non-profit</x:v>
      </x:c>
      <x:c r="G1305" s="2" t="str">
        <x:v>Medium (100-299 beds)</x:v>
      </x:c>
      <x:c r="H1305" s="7" t="n">
        <x:v>2</x:v>
      </x:c>
      <x:c r="I1305" s="7" t="n">
        <x:v>2</x:v>
      </x:c>
      <x:c r="J1305" s="7" t="n">
        <x:v>0.94</x:v>
      </x:c>
      <x:c r="K1305" s="8" t="n">
        <x:v>283</x:v>
      </x:c>
      <x:c r="L1305" s="8" t="n">
        <x:v>16140</x:v>
      </x:c>
      <x:c r="M1305" s="9" t="n">
        <x:v>1.0367935276</x:v>
      </x:c>
      <x:c r="N1305" s="10" t="n">
        <x:v>45699.3578686493</x:v>
      </x:c>
      <x:c r="O1305" s="9" t="n">
        <x:v>-0.0954186254</x:v>
      </x:c>
      <x:c r="P1305" s="9" t="n">
        <x:v>0.7367563162</x:v>
      </x:c>
      <x:c r="Q1305" s="9" t="n">
        <x:v>0.0782396088</x:v>
      </x:c>
      <x:c r="R1305" s="3" t="b">
        <x:v>0</x:v>
      </x:c>
      <x:c r="S1305" s="3" t="b">
        <x:v>1</x:v>
      </x:c>
      <x:c r="T1305" s="3" t="b">
        <x:v>0</x:v>
      </x:c>
      <x:c r="U1305" s="2" t="str">
        <x:f>IF(T1305=TRUE,"Priority review",IF(R1305=TRUE,"High cost",IF(S1305=TRUE,"Low quality","Benchmark")))</x:f>
        <x:v>Low quality</x:v>
      </x:c>
    </x:row>
    <x:row r="1306">
      <x:c r="A1306" s="2" t="str">
        <x:v>210012</x:v>
      </x:c>
      <x:c r="B1306" s="2" t="str">
        <x:v>SINAI HOSPITAL OF BALTIMORE</x:v>
      </x:c>
      <x:c r="C1306" s="2" t="str">
        <x:v>BALTIMORE</x:v>
      </x:c>
      <x:c r="D1306" s="2" t="str">
        <x:v>MD</x:v>
      </x:c>
      <x:c r="E1306" s="2" t="str">
        <x:v>Acute Care Hospitals</x:v>
      </x:c>
      <x:c r="F1306" s="2" t="str">
        <x:v>Voluntary non-profit</x:v>
      </x:c>
      <x:c r="G1306" s="2" t="str">
        <x:v>Large (300+ beds)</x:v>
      </x:c>
      <x:c r="H1306" s="7" t="n">
        <x:v>3</x:v>
      </x:c>
      <x:c r="I1306" s="7" t="n">
        <x:v>2</x:v>
      </x:c>
      <x:c r="J1306" s="7"/>
      <x:c r="K1306" s="8" t="n">
        <x:v>420</x:v>
      </x:c>
      <x:c r="L1306" s="8" t="n">
        <x:v>18592</x:v>
      </x:c>
      <x:c r="M1306" s="9" t="n">
        <x:v>0.8187059449</x:v>
      </x:c>
      <x:c r="N1306" s="10" t="n">
        <x:v>52570.3291200516</x:v>
      </x:c>
      <x:c r="O1306" s="9" t="n">
        <x:v>-0.1539116555</x:v>
      </x:c>
      <x:c r="P1306" s="9" t="n">
        <x:v>0.7365930599</x:v>
      </x:c>
      <x:c r="Q1306" s="9" t="n">
        <x:v>0.2570977918</x:v>
      </x:c>
      <x:c r="R1306" s="3" t="b">
        <x:v>0</x:v>
      </x:c>
      <x:c r="S1306" s="3" t="b">
        <x:v>0</x:v>
      </x:c>
      <x:c r="T1306" s="3" t="b">
        <x:v>0</x:v>
      </x:c>
      <x:c r="U1306" s="2" t="str">
        <x:f>IF(T1306=TRUE,"Priority review",IF(R1306=TRUE,"High cost",IF(S1306=TRUE,"Low quality","Benchmark")))</x:f>
        <x:v>Benchmark</x:v>
      </x:c>
    </x:row>
    <x:row r="1307">
      <x:c r="A1307" s="2" t="str">
        <x:v>514001</x:v>
      </x:c>
      <x:c r="B1307" s="2" t="str">
        <x:v>HIGHLAND HOSPITAL</x:v>
      </x:c>
      <x:c r="C1307" s="2" t="str">
        <x:v>CHARLESTON</x:v>
      </x:c>
      <x:c r="D1307" s="2" t="str">
        <x:v>WV</x:v>
      </x:c>
      <x:c r="E1307" s="2" t="str">
        <x:v>Psychiatric</x:v>
      </x:c>
      <x:c r="F1307" s="2" t="str">
        <x:v>Voluntary non-profit</x:v>
      </x:c>
      <x:c r="G1307" s="2" t="str">
        <x:v>Medium (100-299 beds)</x:v>
      </x:c>
      <x:c r="H1307" s="7"/>
      <x:c r="I1307" s="7"/>
      <x:c r="J1307" s="7"/>
      <x:c r="K1307" s="8" t="n">
        <x:v>122</x:v>
      </x:c>
      <x:c r="L1307" s="8" t="n">
        <x:v>1335</x:v>
      </x:c>
      <x:c r="M1307" s="9" t="n">
        <x:v>0.7276493774</x:v>
      </x:c>
      <x:c r="N1307" s="10" t="n">
        <x:v>26868.1992509363</x:v>
      </x:c>
      <x:c r="O1307" s="9" t="n">
        <x:v>0.1477761486</x:v>
      </x:c>
      <x:c r="P1307" s="9" t="n">
        <x:v>0.736318408</x:v>
      </x:c>
      <x:c r="Q1307" s="9" t="n">
        <x:v>0</x:v>
      </x:c>
      <x:c r="R1307" s="3" t="b">
        <x:v>0</x:v>
      </x:c>
      <x:c r="S1307" s="3" t="b">
        <x:v>0</x:v>
      </x:c>
      <x:c r="T1307" s="3" t="b">
        <x:v>0</x:v>
      </x:c>
      <x:c r="U1307" s="2" t="str">
        <x:f>IF(T1307=TRUE,"Priority review",IF(R1307=TRUE,"High cost",IF(S1307=TRUE,"Low quality","Benchmark")))</x:f>
        <x:v>Benchmark</x:v>
      </x:c>
    </x:row>
    <x:row r="1308">
      <x:c r="A1308" s="2" t="str">
        <x:v>190190</x:v>
      </x:c>
      <x:c r="B1308" s="2" t="str">
        <x:v>CALDWELL MEMORIAL HOSPITAL, INC</x:v>
      </x:c>
      <x:c r="C1308" s="2" t="str">
        <x:v>COLUMBIA</x:v>
      </x:c>
      <x:c r="D1308" s="2" t="str">
        <x:v>LA</x:v>
      </x:c>
      <x:c r="E1308" s="2" t="str">
        <x:v>Acute Care Hospitals</x:v>
      </x:c>
      <x:c r="F1308" s="2" t="str">
        <x:v>Proprietary</x:v>
      </x:c>
      <x:c r="G1308" s="2" t="str">
        <x:v>Small (&lt;100 beds)</x:v>
      </x:c>
      <x:c r="H1308" s="7"/>
      <x:c r="I1308" s="7"/>
      <x:c r="J1308" s="7" t="n">
        <x:v>1.1</x:v>
      </x:c>
      <x:c r="K1308" s="8" t="n">
        <x:v>26</x:v>
      </x:c>
      <x:c r="L1308" s="8" t="n">
        <x:v>162</x:v>
      </x:c>
      <x:c r="M1308" s="9" t="n">
        <x:v>0.0760823876</x:v>
      </x:c>
      <x:c r="N1308" s="10" t="n">
        <x:v>80485.1481481481</x:v>
      </x:c>
      <x:c r="O1308" s="9" t="n">
        <x:v>0.0630369614</x:v>
      </x:c>
      <x:c r="P1308" s="9" t="n">
        <x:v>0.7360861759</x:v>
      </x:c>
      <x:c r="Q1308" s="9" t="n">
        <x:v>0.697486535</x:v>
      </x:c>
      <x:c r="R1308" s="3" t="b">
        <x:v>0</x:v>
      </x:c>
      <x:c r="S1308" s="3" t="b">
        <x:v>0</x:v>
      </x:c>
      <x:c r="T1308" s="3" t="b">
        <x:v>0</x:v>
      </x:c>
      <x:c r="U1308" s="2" t="str">
        <x:f>IF(T1308=TRUE,"Priority review",IF(R1308=TRUE,"High cost",IF(S1308=TRUE,"Low quality","Benchmark")))</x:f>
        <x:v>Benchmark</x:v>
      </x:c>
    </x:row>
    <x:row r="1309">
      <x:c r="A1309" s="2" t="str">
        <x:v>141351</x:v>
      </x:c>
      <x:c r="B1309" s="2" t="str">
        <x:v>CLAY COUNTY HOSPITAL</x:v>
      </x:c>
      <x:c r="C1309" s="2" t="str">
        <x:v>FLORA</x:v>
      </x:c>
      <x:c r="D1309" s="2" t="str">
        <x:v>IL</x:v>
      </x:c>
      <x:c r="E1309" s="2" t="str">
        <x:v>Critical Access Hospitals</x:v>
      </x:c>
      <x:c r="F1309" s="2" t="str">
        <x:v>Government</x:v>
      </x:c>
      <x:c r="G1309" s="2" t="str">
        <x:v>Small (&lt;100 beds)</x:v>
      </x:c>
      <x:c r="H1309" s="7" t="n">
        <x:v>3</x:v>
      </x:c>
      <x:c r="I1309" s="7"/>
      <x:c r="J1309" s="7"/>
      <x:c r="K1309" s="8" t="n">
        <x:v>20</x:v>
      </x:c>
      <x:c r="L1309" s="8" t="n">
        <x:v>201</x:v>
      </x:c>
      <x:c r="M1309" s="9" t="n">
        <x:v>0.1952054795</x:v>
      </x:c>
      <x:c r="N1309" s="10" t="n">
        <x:v>199533.1194029851</x:v>
      </x:c>
      <x:c r="O1309" s="9" t="n">
        <x:v>0.0383355785</x:v>
      </x:c>
      <x:c r="P1309" s="9" t="n">
        <x:v>0.7360594796</x:v>
      </x:c>
      <x:c r="Q1309" s="9" t="n">
        <x:v>0.0765799257</x:v>
      </x:c>
      <x:c r="R1309" s="3" t="b">
        <x:v>0</x:v>
      </x:c>
      <x:c r="S1309" s="3" t="b">
        <x:v>1</x:v>
      </x:c>
      <x:c r="T1309" s="3" t="b">
        <x:v>0</x:v>
      </x:c>
      <x:c r="U1309" s="2" t="str">
        <x:f>IF(T1309=TRUE,"Priority review",IF(R1309=TRUE,"High cost",IF(S1309=TRUE,"Low quality","Benchmark")))</x:f>
        <x:v>Low quality</x:v>
      </x:c>
    </x:row>
    <x:row r="1310">
      <x:c r="A1310" s="2" t="str">
        <x:v>190060</x:v>
      </x:c>
      <x:c r="B1310" s="2" t="str">
        <x:v>LAKE CHARLES MEMORIAL HOSPITAL</x:v>
      </x:c>
      <x:c r="C1310" s="2" t="str">
        <x:v>LAKE CHARLES</x:v>
      </x:c>
      <x:c r="D1310" s="2" t="str">
        <x:v>LA</x:v>
      </x:c>
      <x:c r="E1310" s="2" t="str">
        <x:v>Acute Care Hospitals</x:v>
      </x:c>
      <x:c r="F1310" s="2" t="str">
        <x:v>Voluntary non-profit</x:v>
      </x:c>
      <x:c r="G1310" s="2" t="str">
        <x:v>Medium (100-299 beds)</x:v>
      </x:c>
      <x:c r="H1310" s="7" t="n">
        <x:v>3</x:v>
      </x:c>
      <x:c r="I1310" s="7" t="n">
        <x:v>3</x:v>
      </x:c>
      <x:c r="J1310" s="7" t="n">
        <x:v>1.02</x:v>
      </x:c>
      <x:c r="K1310" s="8" t="n">
        <x:v>223</x:v>
      </x:c>
      <x:c r="L1310" s="8" t="n">
        <x:v>9017</x:v>
      </x:c>
      <x:c r="M1310" s="9" t="n">
        <x:v>0.5387659585</x:v>
      </x:c>
      <x:c r="N1310" s="10" t="n">
        <x:v>45666.0087612288</x:v>
      </x:c>
      <x:c r="O1310" s="9" t="n">
        <x:v>-0.0491819892</x:v>
      </x:c>
      <x:c r="P1310" s="9" t="n">
        <x:v>0.7359413203</x:v>
      </x:c>
      <x:c r="Q1310" s="9" t="n">
        <x:v>0.3023634882</x:v>
      </x:c>
      <x:c r="R1310" s="3" t="b">
        <x:v>0</x:v>
      </x:c>
      <x:c r="S1310" s="3" t="b">
        <x:v>0</x:v>
      </x:c>
      <x:c r="T1310" s="3" t="b">
        <x:v>0</x:v>
      </x:c>
      <x:c r="U1310" s="2" t="str">
        <x:f>IF(T1310=TRUE,"Priority review",IF(R1310=TRUE,"High cost",IF(S1310=TRUE,"Low quality","Benchmark")))</x:f>
        <x:v>Benchmark</x:v>
      </x:c>
    </x:row>
    <x:row r="1311">
      <x:c r="A1311" s="2" t="str">
        <x:v>141346</x:v>
      </x:c>
      <x:c r="B1311" s="2" t="str">
        <x:v>FAYETTE COUNTY HOSPITAL</x:v>
      </x:c>
      <x:c r="C1311" s="2" t="str">
        <x:v>VANDALIA</x:v>
      </x:c>
      <x:c r="D1311" s="2" t="str">
        <x:v>IL</x:v>
      </x:c>
      <x:c r="E1311" s="2" t="str">
        <x:v>Critical Access Hospitals</x:v>
      </x:c>
      <x:c r="F1311" s="2" t="str">
        <x:v>Voluntary non-profit</x:v>
      </x:c>
      <x:c r="G1311" s="2" t="str">
        <x:v>Small (&lt;100 beds)</x:v>
      </x:c>
      <x:c r="H1311" s="7"/>
      <x:c r="I1311" s="7"/>
      <x:c r="J1311" s="7"/>
      <x:c r="K1311" s="8" t="n">
        <x:v>25</x:v>
      </x:c>
      <x:c r="L1311" s="8" t="n">
        <x:v>221</x:v>
      </x:c>
      <x:c r="M1311" s="9" t="n">
        <x:v>0.2029589041</x:v>
      </x:c>
      <x:c r="N1311" s="10" t="n">
        <x:v>199489.4389140272</x:v>
      </x:c>
      <x:c r="O1311" s="9" t="n">
        <x:v>-0.0523593281</x:v>
      </x:c>
      <x:c r="P1311" s="9" t="n">
        <x:v>0.7353159851</x:v>
      </x:c>
      <x:c r="Q1311" s="9" t="n">
        <x:v>0.292936803</x:v>
      </x:c>
      <x:c r="R1311" s="3" t="b">
        <x:v>0</x:v>
      </x:c>
      <x:c r="S1311" s="3" t="b">
        <x:v>0</x:v>
      </x:c>
      <x:c r="T1311" s="3" t="b">
        <x:v>0</x:v>
      </x:c>
      <x:c r="U1311" s="2" t="str">
        <x:f>IF(T1311=TRUE,"Priority review",IF(R1311=TRUE,"High cost",IF(S1311=TRUE,"Low quality","Benchmark")))</x:f>
        <x:v>Benchmark</x:v>
      </x:c>
    </x:row>
    <x:row r="1312">
      <x:c r="A1312" s="2" t="str">
        <x:v>460057</x:v>
      </x:c>
      <x:c r="B1312" s="2" t="str">
        <x:v>PARK CITY HOSPITAL</x:v>
      </x:c>
      <x:c r="C1312" s="2" t="str">
        <x:v>PARK CITY</x:v>
      </x:c>
      <x:c r="D1312" s="2" t="str">
        <x:v>UT</x:v>
      </x:c>
      <x:c r="E1312" s="2" t="str">
        <x:v>Acute Care Hospitals</x:v>
      </x:c>
      <x:c r="F1312" s="2" t="str">
        <x:v>Proprietary</x:v>
      </x:c>
      <x:c r="G1312" s="2" t="str">
        <x:v>Small (&lt;100 beds)</x:v>
      </x:c>
      <x:c r="H1312" s="7" t="n">
        <x:v>5</x:v>
      </x:c>
      <x:c r="I1312" s="7" t="n">
        <x:v>5</x:v>
      </x:c>
      <x:c r="J1312" s="7" t="n">
        <x:v>0.91</x:v>
      </x:c>
      <x:c r="K1312" s="8" t="n">
        <x:v>37</x:v>
      </x:c>
      <x:c r="L1312" s="8" t="n">
        <x:v>1518</x:v>
      </x:c>
      <x:c r="M1312" s="9" t="n">
        <x:v>0.279648501</x:v>
      </x:c>
      <x:c r="N1312" s="10" t="n">
        <x:v>80223.3326745718</x:v>
      </x:c>
      <x:c r="O1312" s="9" t="n">
        <x:v>0.1214608168</x:v>
      </x:c>
      <x:c r="P1312" s="9" t="n">
        <x:v>0.7351885099</x:v>
      </x:c>
      <x:c r="Q1312" s="9" t="n">
        <x:v>0.6131059246</x:v>
      </x:c>
      <x:c r="R1312" s="3" t="b">
        <x:v>0</x:v>
      </x:c>
      <x:c r="S1312" s="3" t="b">
        <x:v>0</x:v>
      </x:c>
      <x:c r="T1312" s="3" t="b">
        <x:v>0</x:v>
      </x:c>
      <x:c r="U1312" s="2" t="str">
        <x:f>IF(T1312=TRUE,"Priority review",IF(R1312=TRUE,"High cost",IF(S1312=TRUE,"Low quality","Benchmark")))</x:f>
        <x:v>Benchmark</x:v>
      </x:c>
    </x:row>
    <x:row r="1313">
      <x:c r="A1313" s="2" t="str">
        <x:v>490018</x:v>
      </x:c>
      <x:c r="B1313" s="2" t="str">
        <x:v>AUGUSTA HEALTH</x:v>
      </x:c>
      <x:c r="C1313" s="2" t="str">
        <x:v>FISHERSVILLE</x:v>
      </x:c>
      <x:c r="D1313" s="2" t="str">
        <x:v>VA</x:v>
      </x:c>
      <x:c r="E1313" s="2" t="str">
        <x:v>Acute Care Hospitals</x:v>
      </x:c>
      <x:c r="F1313" s="2" t="str">
        <x:v>Voluntary non-profit</x:v>
      </x:c>
      <x:c r="G1313" s="2" t="str">
        <x:v>Medium (100-299 beds)</x:v>
      </x:c>
      <x:c r="H1313" s="7" t="n">
        <x:v>4</x:v>
      </x:c>
      <x:c r="I1313" s="7" t="n">
        <x:v>3</x:v>
      </x:c>
      <x:c r="J1313" s="7" t="n">
        <x:v>0.96</x:v>
      </x:c>
      <x:c r="K1313" s="8" t="n">
        <x:v>189</x:v>
      </x:c>
      <x:c r="L1313" s="8" t="n">
        <x:v>9648</x:v>
      </x:c>
      <x:c r="M1313" s="9" t="n">
        <x:v>0.5746284032</x:v>
      </x:c>
      <x:c r="N1313" s="10" t="n">
        <x:v>45654.3110489221</x:v>
      </x:c>
      <x:c r="O1313" s="9" t="n">
        <x:v>0.1128016315</x:v>
      </x:c>
      <x:c r="P1313" s="9" t="n">
        <x:v>0.7351263244</x:v>
      </x:c>
      <x:c r="Q1313" s="9" t="n">
        <x:v>0.6022819886</x:v>
      </x:c>
      <x:c r="R1313" s="3" t="b">
        <x:v>0</x:v>
      </x:c>
      <x:c r="S1313" s="3" t="b">
        <x:v>0</x:v>
      </x:c>
      <x:c r="T1313" s="3" t="b">
        <x:v>0</x:v>
      </x:c>
      <x:c r="U1313" s="2" t="str">
        <x:f>IF(T1313=TRUE,"Priority review",IF(R1313=TRUE,"High cost",IF(S1313=TRUE,"Low quality","Benchmark")))</x:f>
        <x:v>Benchmark</x:v>
      </x:c>
    </x:row>
    <x:row r="1314">
      <x:c r="A1314" s="2" t="str">
        <x:v>050180</x:v>
      </x:c>
      <x:c r="B1314" s="2" t="str">
        <x:v>JOHN MUIR MEDICAL CENTER - WALNUT CREEK CAMPUS</x:v>
      </x:c>
      <x:c r="C1314" s="2" t="str">
        <x:v>WALNUT CREEK</x:v>
      </x:c>
      <x:c r="D1314" s="2" t="str">
        <x:v>CA</x:v>
      </x:c>
      <x:c r="E1314" s="2" t="str">
        <x:v>Acute Care Hospitals</x:v>
      </x:c>
      <x:c r="F1314" s="2" t="str">
        <x:v>Voluntary non-profit</x:v>
      </x:c>
      <x:c r="G1314" s="2" t="str">
        <x:v>Large (300+ beds)</x:v>
      </x:c>
      <x:c r="H1314" s="7" t="n">
        <x:v>2</x:v>
      </x:c>
      <x:c r="I1314" s="7" t="n">
        <x:v>3</x:v>
      </x:c>
      <x:c r="J1314" s="7" t="n">
        <x:v>1.02</x:v>
      </x:c>
      <x:c r="K1314" s="8" t="n">
        <x:v>335</x:v>
      </x:c>
      <x:c r="L1314" s="8" t="n">
        <x:v>22646</x:v>
      </x:c>
      <x:c r="M1314" s="9" t="n">
        <x:v>0.8387325667</x:v>
      </x:c>
      <x:c r="N1314" s="10" t="n">
        <x:v>52541.8236774706</x:v>
      </x:c>
      <x:c r="O1314" s="9" t="n">
        <x:v>-0.0196378953</x:v>
      </x:c>
      <x:c r="P1314" s="9" t="n">
        <x:v>0.7350157729</x:v>
      </x:c>
      <x:c r="Q1314" s="9" t="n">
        <x:v>0.0536277603</x:v>
      </x:c>
      <x:c r="R1314" s="3" t="b">
        <x:v>0</x:v>
      </x:c>
      <x:c r="S1314" s="3" t="b">
        <x:v>1</x:v>
      </x:c>
      <x:c r="T1314" s="3" t="b">
        <x:v>0</x:v>
      </x:c>
      <x:c r="U1314" s="2" t="str">
        <x:f>IF(T1314=TRUE,"Priority review",IF(R1314=TRUE,"High cost",IF(S1314=TRUE,"Low quality","Benchmark")))</x:f>
        <x:v>Low quality</x:v>
      </x:c>
    </x:row>
    <x:row r="1315">
      <x:c r="A1315" s="2" t="str">
        <x:v>394058</x:v>
      </x:c>
      <x:c r="B1315" s="2" t="str">
        <x:v>BERWICK HOSPITAL CENTER</x:v>
      </x:c>
      <x:c r="C1315" s="2" t="str">
        <x:v>BERWICK</x:v>
      </x:c>
      <x:c r="D1315" s="2" t="str">
        <x:v>PA</x:v>
      </x:c>
      <x:c r="E1315" s="2" t="str">
        <x:v>Psychiatric</x:v>
      </x:c>
      <x:c r="F1315" s="2" t="str">
        <x:v>Proprietary</x:v>
      </x:c>
      <x:c r="G1315" s="2" t="str">
        <x:v>Small (&lt;100 beds)</x:v>
      </x:c>
      <x:c r="H1315" s="7"/>
      <x:c r="I1315" s="7"/>
      <x:c r="J1315" s="7"/>
      <x:c r="K1315" s="8" t="n">
        <x:v>14</x:v>
      </x:c>
      <x:c r="L1315" s="8" t="n">
        <x:v>187</x:v>
      </x:c>
      <x:c r="M1315" s="9" t="n">
        <x:v>0.8183060109</x:v>
      </x:c>
      <x:c r="N1315" s="10" t="n">
        <x:v>27547.486631016</x:v>
      </x:c>
      <x:c r="O1315" s="9" t="n">
        <x:v>-0.118333101</x:v>
      </x:c>
      <x:c r="P1315" s="9" t="n">
        <x:v>0.7346278317</x:v>
      </x:c>
      <x:c r="Q1315" s="9" t="n">
        <x:v>0</x:v>
      </x:c>
      <x:c r="R1315" s="3" t="b">
        <x:v>0</x:v>
      </x:c>
      <x:c r="S1315" s="3" t="b">
        <x:v>0</x:v>
      </x:c>
      <x:c r="T1315" s="3" t="b">
        <x:v>0</x:v>
      </x:c>
      <x:c r="U1315" s="2" t="str">
        <x:f>IF(T1315=TRUE,"Priority review",IF(R1315=TRUE,"High cost",IF(S1315=TRUE,"Low quality","Benchmark")))</x:f>
        <x:v>Benchmark</x:v>
      </x:c>
    </x:row>
    <x:row r="1316">
      <x:c r="A1316" s="2" t="str">
        <x:v>241311</x:v>
      </x:c>
      <x:c r="B1316" s="2" t="str">
        <x:v>RIDGEVIEW SIBLEY MEDICAL CENTER</x:v>
      </x:c>
      <x:c r="C1316" s="2" t="str">
        <x:v>ARLINGTON</x:v>
      </x:c>
      <x:c r="D1316" s="2" t="str">
        <x:v>MN</x:v>
      </x:c>
      <x:c r="E1316" s="2" t="str">
        <x:v>Critical Access Hospitals</x:v>
      </x:c>
      <x:c r="F1316" s="2" t="str">
        <x:v>Voluntary non-profit</x:v>
      </x:c>
      <x:c r="G1316" s="2" t="str">
        <x:v>Small (&lt;100 beds)</x:v>
      </x:c>
      <x:c r="H1316" s="7"/>
      <x:c r="I1316" s="7"/>
      <x:c r="J1316" s="7"/>
      <x:c r="K1316" s="8" t="n">
        <x:v>20</x:v>
      </x:c>
      <x:c r="L1316" s="8" t="n">
        <x:v>93</x:v>
      </x:c>
      <x:c r="M1316" s="9" t="n">
        <x:v>0.1211748634</x:v>
      </x:c>
      <x:c r="N1316" s="10" t="n">
        <x:v>199304.3440860215</x:v>
      </x:c>
      <x:c r="O1316" s="9" t="n">
        <x:v>0.1778714934</x:v>
      </x:c>
      <x:c r="P1316" s="9" t="n">
        <x:v>0.7345724907</x:v>
      </x:c>
      <x:c r="Q1316" s="9" t="n">
        <x:v>0.292936803</x:v>
      </x:c>
      <x:c r="R1316" s="3" t="b">
        <x:v>0</x:v>
      </x:c>
      <x:c r="S1316" s="3" t="b">
        <x:v>0</x:v>
      </x:c>
      <x:c r="T1316" s="3" t="b">
        <x:v>0</x:v>
      </x:c>
      <x:c r="U1316" s="2" t="str">
        <x:f>IF(T1316=TRUE,"Priority review",IF(R1316=TRUE,"High cost",IF(S1316=TRUE,"Low quality","Benchmark")))</x:f>
        <x:v>Benchmark</x:v>
      </x:c>
    </x:row>
    <x:row r="1317">
      <x:c r="A1317" s="2" t="str">
        <x:v>140160</x:v>
      </x:c>
      <x:c r="B1317" s="2" t="str">
        <x:v>FHN MEMORIAL HOSPITAL</x:v>
      </x:c>
      <x:c r="C1317" s="2" t="str">
        <x:v>FREEPORT</x:v>
      </x:c>
      <x:c r="D1317" s="2" t="str">
        <x:v>IL</x:v>
      </x:c>
      <x:c r="E1317" s="2" t="str">
        <x:v>Acute Care Hospitals</x:v>
      </x:c>
      <x:c r="F1317" s="2" t="str">
        <x:v>Voluntary non-profit</x:v>
      </x:c>
      <x:c r="G1317" s="2" t="str">
        <x:v>Medium (100-299 beds)</x:v>
      </x:c>
      <x:c r="H1317" s="7" t="n">
        <x:v>3</x:v>
      </x:c>
      <x:c r="I1317" s="7" t="n">
        <x:v>4</x:v>
      </x:c>
      <x:c r="J1317" s="7" t="n">
        <x:v>1.05</x:v>
      </x:c>
      <x:c r="K1317" s="8" t="n">
        <x:v>100</x:v>
      </x:c>
      <x:c r="L1317" s="8" t="n">
        <x:v>3223</x:v>
      </x:c>
      <x:c r="M1317" s="9" t="n">
        <x:v>0.3807923497</x:v>
      </x:c>
      <x:c r="N1317" s="10" t="n">
        <x:v>45487.7167235495</x:v>
      </x:c>
      <x:c r="O1317" s="9" t="n">
        <x:v>0.0615477791</x:v>
      </x:c>
      <x:c r="P1317" s="9" t="n">
        <x:v>0.7343113284</x:v>
      </x:c>
      <x:c r="Q1317" s="9" t="n">
        <x:v>0.3023634882</x:v>
      </x:c>
      <x:c r="R1317" s="3" t="b">
        <x:v>0</x:v>
      </x:c>
      <x:c r="S1317" s="3" t="b">
        <x:v>0</x:v>
      </x:c>
      <x:c r="T1317" s="3" t="b">
        <x:v>0</x:v>
      </x:c>
      <x:c r="U1317" s="2" t="str">
        <x:f>IF(T1317=TRUE,"Priority review",IF(R1317=TRUE,"High cost",IF(S1317=TRUE,"Low quality","Benchmark")))</x:f>
        <x:v>Benchmark</x:v>
      </x:c>
    </x:row>
    <x:row r="1318">
      <x:c r="A1318" s="2" t="str">
        <x:v>240030</x:v>
      </x:c>
      <x:c r="B1318" s="2" t="str">
        <x:v>ALOMERE HEALTH</x:v>
      </x:c>
      <x:c r="C1318" s="2" t="str">
        <x:v>ALEXANDRIA</x:v>
      </x:c>
      <x:c r="D1318" s="2" t="str">
        <x:v>MN</x:v>
      </x:c>
      <x:c r="E1318" s="2" t="str">
        <x:v>Acute Care Hospitals</x:v>
      </x:c>
      <x:c r="F1318" s="2" t="str">
        <x:v>Government</x:v>
      </x:c>
      <x:c r="G1318" s="2" t="str">
        <x:v>Small (&lt;100 beds)</x:v>
      </x:c>
      <x:c r="H1318" s="7" t="n">
        <x:v>4</x:v>
      </x:c>
      <x:c r="I1318" s="7" t="n">
        <x:v>4</x:v>
      </x:c>
      <x:c r="J1318" s="7" t="n">
        <x:v>0.9</x:v>
      </x:c>
      <x:c r="K1318" s="8" t="n">
        <x:v>99</x:v>
      </x:c>
      <x:c r="L1318" s="8" t="n">
        <x:v>2560</x:v>
      </x:c>
      <x:c r="M1318" s="9" t="n">
        <x:v>0.2310537065</x:v>
      </x:c>
      <x:c r="N1318" s="10" t="n">
        <x:v>80191.52890625</x:v>
      </x:c>
      <x:c r="O1318" s="9" t="n">
        <x:v>0.0164526018</x:v>
      </x:c>
      <x:c r="P1318" s="9" t="n">
        <x:v>0.7342908438</x:v>
      </x:c>
      <x:c r="Q1318" s="9" t="n">
        <x:v>0.3913824057</x:v>
      </x:c>
      <x:c r="R1318" s="3" t="b">
        <x:v>0</x:v>
      </x:c>
      <x:c r="S1318" s="3" t="b">
        <x:v>0</x:v>
      </x:c>
      <x:c r="T1318" s="3" t="b">
        <x:v>0</x:v>
      </x:c>
      <x:c r="U1318" s="2" t="str">
        <x:f>IF(T1318=TRUE,"Priority review",IF(R1318=TRUE,"High cost",IF(S1318=TRUE,"Low quality","Benchmark")))</x:f>
        <x:v>Benchmark</x:v>
      </x:c>
    </x:row>
    <x:row r="1319">
      <x:c r="A1319" s="2" t="str">
        <x:v>281313</x:v>
      </x:c>
      <x:c r="B1319" s="2" t="str">
        <x:v>GOTHENBURG HEALTH</x:v>
      </x:c>
      <x:c r="C1319" s="2" t="str">
        <x:v>GOTHENBURG</x:v>
      </x:c>
      <x:c r="D1319" s="2" t="str">
        <x:v>NE</x:v>
      </x:c>
      <x:c r="E1319" s="2" t="str">
        <x:v>Critical Access Hospitals</x:v>
      </x:c>
      <x:c r="F1319" s="2" t="str">
        <x:v>Government</x:v>
      </x:c>
      <x:c r="G1319" s="2" t="str">
        <x:v>Small (&lt;100 beds)</x:v>
      </x:c>
      <x:c r="H1319" s="7"/>
      <x:c r="I1319" s="7"/>
      <x:c r="J1319" s="7"/>
      <x:c r="K1319" s="8" t="n">
        <x:v>15</x:v>
      </x:c>
      <x:c r="L1319" s="8" t="n">
        <x:v>196</x:v>
      </x:c>
      <x:c r="M1319" s="9" t="n">
        <x:v>0.2493150685</x:v>
      </x:c>
      <x:c r="N1319" s="10" t="n">
        <x:v>199155.8214285714</x:v>
      </x:c>
      <x:c r="O1319" s="9" t="n">
        <x:v>0.0050553519</x:v>
      </x:c>
      <x:c r="P1319" s="9" t="n">
        <x:v>0.7338289963</x:v>
      </x:c>
      <x:c r="Q1319" s="9" t="n">
        <x:v>0.292936803</x:v>
      </x:c>
      <x:c r="R1319" s="3" t="b">
        <x:v>0</x:v>
      </x:c>
      <x:c r="S1319" s="3" t="b">
        <x:v>0</x:v>
      </x:c>
      <x:c r="T1319" s="3" t="b">
        <x:v>0</x:v>
      </x:c>
      <x:c r="U1319" s="2" t="str">
        <x:f>IF(T1319=TRUE,"Priority review",IF(R1319=TRUE,"High cost",IF(S1319=TRUE,"Low quality","Benchmark")))</x:f>
        <x:v>Benchmark</x:v>
      </x:c>
    </x:row>
    <x:row r="1320">
      <x:c r="A1320" s="2" t="str">
        <x:v>310032</x:v>
      </x:c>
      <x:c r="B1320" s="2" t="str">
        <x:v>INSPIRA MEDICAL CENTER VINELAND</x:v>
      </x:c>
      <x:c r="C1320" s="2" t="str">
        <x:v>VINELAND</x:v>
      </x:c>
      <x:c r="D1320" s="2" t="str">
        <x:v>NJ</x:v>
      </x:c>
      <x:c r="E1320" s="2" t="str">
        <x:v>Acute Care Hospitals</x:v>
      </x:c>
      <x:c r="F1320" s="2" t="str">
        <x:v>Voluntary non-profit</x:v>
      </x:c>
      <x:c r="G1320" s="2" t="str">
        <x:v>Medium (100-299 beds)</x:v>
      </x:c>
      <x:c r="H1320" s="7" t="n">
        <x:v>3</x:v>
      </x:c>
      <x:c r="I1320" s="7" t="n">
        <x:v>3</x:v>
      </x:c>
      <x:c r="J1320" s="7" t="n">
        <x:v>1.05</x:v>
      </x:c>
      <x:c r="K1320" s="8" t="n">
        <x:v>280</x:v>
      </x:c>
      <x:c r="L1320" s="8" t="n">
        <x:v>15398</x:v>
      </x:c>
      <x:c r="M1320" s="9" t="n">
        <x:v>0.7965066354</x:v>
      </x:c>
      <x:c r="N1320" s="10" t="n">
        <x:v>45468.8158202364</x:v>
      </x:c>
      <x:c r="O1320" s="9" t="n">
        <x:v>-0.2088666304</x:v>
      </x:c>
      <x:c r="P1320" s="9" t="n">
        <x:v>0.7334963325</x:v>
      </x:c>
      <x:c r="Q1320" s="9" t="n">
        <x:v>0.3023634882</x:v>
      </x:c>
      <x:c r="R1320" s="3" t="b">
        <x:v>0</x:v>
      </x:c>
      <x:c r="S1320" s="3" t="b">
        <x:v>0</x:v>
      </x:c>
      <x:c r="T1320" s="3" t="b">
        <x:v>0</x:v>
      </x:c>
      <x:c r="U1320" s="2" t="str">
        <x:f>IF(T1320=TRUE,"Priority review",IF(R1320=TRUE,"High cost",IF(S1320=TRUE,"Low quality","Benchmark")))</x:f>
        <x:v>Benchmark</x:v>
      </x:c>
    </x:row>
    <x:row r="1321">
      <x:c r="A1321" s="2" t="str">
        <x:v>140010</x:v>
      </x:c>
      <x:c r="B1321" s="2" t="str">
        <x:v>NORTHSHORE UNIVERSITY HEALTHSYSTEM - EVANSTON HOSPITAL</x:v>
      </x:c>
      <x:c r="C1321" s="2" t="str">
        <x:v>EVANSTON</x:v>
      </x:c>
      <x:c r="D1321" s="2" t="str">
        <x:v>IL</x:v>
      </x:c>
      <x:c r="E1321" s="2" t="str">
        <x:v>Acute Care Hospitals</x:v>
      </x:c>
      <x:c r="F1321" s="2" t="str">
        <x:v>Voluntary non-profit</x:v>
      </x:c>
      <x:c r="G1321" s="2" t="str">
        <x:v>Large (300+ beds)</x:v>
      </x:c>
      <x:c r="H1321" s="7" t="n">
        <x:v>5</x:v>
      </x:c>
      <x:c r="I1321" s="7" t="n">
        <x:v>3</x:v>
      </x:c>
      <x:c r="J1321" s="7" t="n">
        <x:v>0.97</x:v>
      </x:c>
      <x:c r="K1321" s="8" t="n">
        <x:v>691</x:v>
      </x:c>
      <x:c r="L1321" s="8" t="n">
        <x:v>36288</x:v>
      </x:c>
      <x:c r="M1321" s="9" t="n">
        <x:v>0.697213265</x:v>
      </x:c>
      <x:c r="N1321" s="10" t="n">
        <x:v>52284.8423996914</x:v>
      </x:c>
      <x:c r="O1321" s="9" t="n">
        <x:v>-0.0499131096</x:v>
      </x:c>
      <x:c r="P1321" s="9" t="n">
        <x:v>0.7334384858</x:v>
      </x:c>
      <x:c r="Q1321" s="9" t="n">
        <x:v>0.8722397476</x:v>
      </x:c>
      <x:c r="R1321" s="3" t="b">
        <x:v>0</x:v>
      </x:c>
      <x:c r="S1321" s="3" t="b">
        <x:v>0</x:v>
      </x:c>
      <x:c r="T1321" s="3" t="b">
        <x:v>0</x:v>
      </x:c>
      <x:c r="U1321" s="2" t="str">
        <x:f>IF(T1321=TRUE,"Priority review",IF(R1321=TRUE,"High cost",IF(S1321=TRUE,"Low quality","Benchmark")))</x:f>
        <x:v>Benchmark</x:v>
      </x:c>
    </x:row>
    <x:row r="1322">
      <x:c r="A1322" s="2" t="str">
        <x:v>430091</x:v>
      </x:c>
      <x:c r="B1322" s="2" t="str">
        <x:v>BLACK HILLS SURGICAL HOSPITAL LLC</x:v>
      </x:c>
      <x:c r="C1322" s="2" t="str">
        <x:v>RAPID CITY</x:v>
      </x:c>
      <x:c r="D1322" s="2" t="str">
        <x:v>SD</x:v>
      </x:c>
      <x:c r="E1322" s="2" t="str">
        <x:v>Acute Care Hospitals</x:v>
      </x:c>
      <x:c r="F1322" s="2" t="str">
        <x:v>Proprietary</x:v>
      </x:c>
      <x:c r="G1322" s="2" t="str">
        <x:v>Small (&lt;100 beds)</x:v>
      </x:c>
      <x:c r="H1322" s="7"/>
      <x:c r="I1322" s="7" t="n">
        <x:v>5</x:v>
      </x:c>
      <x:c r="J1322" s="7" t="n">
        <x:v>0.87</x:v>
      </x:c>
      <x:c r="K1322" s="8" t="n">
        <x:v>25</x:v>
      </x:c>
      <x:c r="L1322" s="8" t="n">
        <x:v>1057</x:v>
      </x:c>
      <x:c r="M1322" s="9" t="n">
        <x:v>0.333989071</x:v>
      </x:c>
      <x:c r="N1322" s="10" t="n">
        <x:v>80017.0264900662</x:v>
      </x:c>
      <x:c r="O1322" s="9" t="n">
        <x:v>0.1834505015</x:v>
      </x:c>
      <x:c r="P1322" s="9" t="n">
        <x:v>0.7333931777</x:v>
      </x:c>
      <x:c r="Q1322" s="9" t="n">
        <x:v>0.697486535</x:v>
      </x:c>
      <x:c r="R1322" s="3" t="b">
        <x:v>0</x:v>
      </x:c>
      <x:c r="S1322" s="3" t="b">
        <x:v>0</x:v>
      </x:c>
      <x:c r="T1322" s="3" t="b">
        <x:v>0</x:v>
      </x:c>
      <x:c r="U1322" s="2" t="str">
        <x:f>IF(T1322=TRUE,"Priority review",IF(R1322=TRUE,"High cost",IF(S1322=TRUE,"Low quality","Benchmark")))</x:f>
        <x:v>Benchmark</x:v>
      </x:c>
    </x:row>
    <x:row r="1323">
      <x:c r="A1323" s="2" t="str">
        <x:v>251330</x:v>
      </x:c>
      <x:c r="B1323" s="2" t="str">
        <x:v>FRANKLIN COUNTY MEMORIAL HOSPITAL</x:v>
      </x:c>
      <x:c r="C1323" s="2" t="str">
        <x:v>MEADVILLE</x:v>
      </x:c>
      <x:c r="D1323" s="2" t="str">
        <x:v>MS</x:v>
      </x:c>
      <x:c r="E1323" s="2" t="str">
        <x:v>Critical Access Hospitals</x:v>
      </x:c>
      <x:c r="F1323" s="2" t="str">
        <x:v>Government</x:v>
      </x:c>
      <x:c r="G1323" s="2" t="str">
        <x:v>Small (&lt;100 beds)</x:v>
      </x:c>
      <x:c r="H1323" s="7"/>
      <x:c r="I1323" s="7"/>
      <x:c r="J1323" s="7"/>
      <x:c r="K1323" s="8" t="n">
        <x:v>24</x:v>
      </x:c>
      <x:c r="L1323" s="8" t="n">
        <x:v>123</x:v>
      </x:c>
      <x:c r="M1323" s="9" t="n">
        <x:v>0.5590182648</x:v>
      </x:c>
      <x:c r="N1323" s="10" t="n">
        <x:v>198970.8048780488</x:v>
      </x:c>
      <x:c r="O1323" s="9" t="n">
        <x:v>-0.1701412279</x:v>
      </x:c>
      <x:c r="P1323" s="9" t="n">
        <x:v>0.7330855019</x:v>
      </x:c>
      <x:c r="Q1323" s="9" t="n">
        <x:v>0.292936803</x:v>
      </x:c>
      <x:c r="R1323" s="3" t="b">
        <x:v>0</x:v>
      </x:c>
      <x:c r="S1323" s="3" t="b">
        <x:v>0</x:v>
      </x:c>
      <x:c r="T1323" s="3" t="b">
        <x:v>0</x:v>
      </x:c>
      <x:c r="U1323" s="2" t="str">
        <x:f>IF(T1323=TRUE,"Priority review",IF(R1323=TRUE,"High cost",IF(S1323=TRUE,"Low quality","Benchmark")))</x:f>
        <x:v>Benchmark</x:v>
      </x:c>
    </x:row>
    <x:row r="1324">
      <x:c r="A1324" s="2" t="str">
        <x:v>180029</x:v>
      </x:c>
      <x:c r="B1324" s="2" t="str">
        <x:v>HAZARD ARH REGIONAL MEDICAL CENTER</x:v>
      </x:c>
      <x:c r="C1324" s="2" t="str">
        <x:v>HAZARD</x:v>
      </x:c>
      <x:c r="D1324" s="2" t="str">
        <x:v>KY</x:v>
      </x:c>
      <x:c r="E1324" s="2" t="str">
        <x:v>Acute Care Hospitals</x:v>
      </x:c>
      <x:c r="F1324" s="2" t="str">
        <x:v>Voluntary non-profit</x:v>
      </x:c>
      <x:c r="G1324" s="2" t="str">
        <x:v>Medium (100-299 beds)</x:v>
      </x:c>
      <x:c r="H1324" s="7" t="n">
        <x:v>2</x:v>
      </x:c>
      <x:c r="I1324" s="7" t="n">
        <x:v>3</x:v>
      </x:c>
      <x:c r="J1324" s="7" t="n">
        <x:v>1.06</x:v>
      </x:c>
      <x:c r="K1324" s="8" t="n">
        <x:v>107</x:v>
      </x:c>
      <x:c r="L1324" s="8" t="n">
        <x:v>6212</x:v>
      </x:c>
      <x:c r="M1324" s="9" t="n">
        <x:v>0.7927025989</x:v>
      </x:c>
      <x:c r="N1324" s="10" t="n">
        <x:v>45457.6981648422</x:v>
      </x:c>
      <x:c r="O1324" s="9" t="n">
        <x:v>-0.1851083356</x:v>
      </x:c>
      <x:c r="P1324" s="9" t="n">
        <x:v>0.7326813366</x:v>
      </x:c>
      <x:c r="Q1324" s="9" t="n">
        <x:v>0.0782396088</x:v>
      </x:c>
      <x:c r="R1324" s="3" t="b">
        <x:v>0</x:v>
      </x:c>
      <x:c r="S1324" s="3" t="b">
        <x:v>1</x:v>
      </x:c>
      <x:c r="T1324" s="3" t="b">
        <x:v>0</x:v>
      </x:c>
      <x:c r="U1324" s="2" t="str">
        <x:f>IF(T1324=TRUE,"Priority review",IF(R1324=TRUE,"High cost",IF(S1324=TRUE,"Low quality","Benchmark")))</x:f>
        <x:v>Low quality</x:v>
      </x:c>
    </x:row>
    <x:row r="1325">
      <x:c r="A1325" s="2" t="str">
        <x:v>140001</x:v>
      </x:c>
      <x:c r="B1325" s="2" t="str">
        <x:v>GRAHAM HOSPITAL ASSOCIATION</x:v>
      </x:c>
      <x:c r="C1325" s="2" t="str">
        <x:v>CANTON</x:v>
      </x:c>
      <x:c r="D1325" s="2" t="str">
        <x:v>IL</x:v>
      </x:c>
      <x:c r="E1325" s="2" t="str">
        <x:v>Acute Care Hospitals</x:v>
      </x:c>
      <x:c r="F1325" s="2" t="str">
        <x:v>Voluntary non-profit</x:v>
      </x:c>
      <x:c r="G1325" s="2" t="str">
        <x:v>Small (&lt;100 beds)</x:v>
      </x:c>
      <x:c r="H1325" s="7" t="n">
        <x:v>3</x:v>
      </x:c>
      <x:c r="I1325" s="7" t="n">
        <x:v>3</x:v>
      </x:c>
      <x:c r="J1325" s="7" t="n">
        <x:v>0.93</x:v>
      </x:c>
      <x:c r="K1325" s="8" t="n">
        <x:v>43</x:v>
      </x:c>
      <x:c r="L1325" s="8" t="n">
        <x:v>1699</x:v>
      </x:c>
      <x:c r="M1325" s="9" t="n">
        <x:v>0.4080280344</x:v>
      </x:c>
      <x:c r="N1325" s="10" t="n">
        <x:v>79893.206592113</x:v>
      </x:c>
      <x:c r="O1325" s="9" t="n">
        <x:v>-0.0642821319</x:v>
      </x:c>
      <x:c r="P1325" s="9" t="n">
        <x:v>0.7324955117</x:v>
      </x:c>
      <x:c r="Q1325" s="9" t="n">
        <x:v>0.1687612208</x:v>
      </x:c>
      <x:c r="R1325" s="3" t="b">
        <x:v>0</x:v>
      </x:c>
      <x:c r="S1325" s="3" t="b">
        <x:v>0</x:v>
      </x:c>
      <x:c r="T1325" s="3" t="b">
        <x:v>0</x:v>
      </x:c>
      <x:c r="U1325" s="2" t="str">
        <x:f>IF(T1325=TRUE,"Priority review",IF(R1325=TRUE,"High cost",IF(S1325=TRUE,"Low quality","Benchmark")))</x:f>
        <x:v>Benchmark</x:v>
      </x:c>
    </x:row>
    <x:row r="1326">
      <x:c r="A1326" s="2" t="str">
        <x:v>271322</x:v>
      </x:c>
      <x:c r="B1326" s="2" t="str">
        <x:v>SHERIDAN MEMORIAL HOSPTIAL</x:v>
      </x:c>
      <x:c r="C1326" s="2" t="str">
        <x:v>PLENTYWOOD</x:v>
      </x:c>
      <x:c r="D1326" s="2" t="str">
        <x:v>MT</x:v>
      </x:c>
      <x:c r="E1326" s="2" t="str">
        <x:v>Critical Access Hospitals</x:v>
      </x:c>
      <x:c r="F1326" s="2" t="str">
        <x:v>Voluntary non-profit</x:v>
      </x:c>
      <x:c r="G1326" s="2" t="str">
        <x:v>Small (&lt;100 beds)</x:v>
      </x:c>
      <x:c r="H1326" s="7"/>
      <x:c r="I1326" s="7"/>
      <x:c r="J1326" s="7"/>
      <x:c r="K1326" s="8" t="n">
        <x:v>19</x:v>
      </x:c>
      <x:c r="L1326" s="8" t="n">
        <x:v>107</x:v>
      </x:c>
      <x:c r="M1326" s="9" t="n">
        <x:v>0.171593367</x:v>
      </x:c>
      <x:c r="N1326" s="10" t="n">
        <x:v>198759.8598130841</x:v>
      </x:c>
      <x:c r="O1326" s="9" t="n">
        <x:v>-0.0937919723</x:v>
      </x:c>
      <x:c r="P1326" s="9" t="n">
        <x:v>0.7323420074</x:v>
      </x:c>
      <x:c r="Q1326" s="9" t="n">
        <x:v>0.292936803</x:v>
      </x:c>
      <x:c r="R1326" s="3" t="b">
        <x:v>0</x:v>
      </x:c>
      <x:c r="S1326" s="3" t="b">
        <x:v>0</x:v>
      </x:c>
      <x:c r="T1326" s="3" t="b">
        <x:v>0</x:v>
      </x:c>
      <x:c r="U1326" s="2" t="str">
        <x:f>IF(T1326=TRUE,"Priority review",IF(R1326=TRUE,"High cost",IF(S1326=TRUE,"Low quality","Benchmark")))</x:f>
        <x:v>Benchmark</x:v>
      </x:c>
    </x:row>
    <x:row r="1327">
      <x:c r="A1327" s="2" t="str">
        <x:v>050191</x:v>
      </x:c>
      <x:c r="B1327" s="2" t="str">
        <x:v>ST MARY MEDICAL CENTER</x:v>
      </x:c>
      <x:c r="C1327" s="2" t="str">
        <x:v>LONG BEACH</x:v>
      </x:c>
      <x:c r="D1327" s="2" t="str">
        <x:v>CA</x:v>
      </x:c>
      <x:c r="E1327" s="2" t="str">
        <x:v>Acute Care Hospitals</x:v>
      </x:c>
      <x:c r="F1327" s="2" t="str">
        <x:v>Voluntary non-profit</x:v>
      </x:c>
      <x:c r="G1327" s="2" t="str">
        <x:v>Medium (100-299 beds)</x:v>
      </x:c>
      <x:c r="H1327" s="7" t="n">
        <x:v>5</x:v>
      </x:c>
      <x:c r="I1327" s="7" t="n">
        <x:v>2</x:v>
      </x:c>
      <x:c r="J1327" s="7" t="n">
        <x:v>1.1</x:v>
      </x:c>
      <x:c r="K1327" s="8" t="n">
        <x:v>273</x:v>
      </x:c>
      <x:c r="L1327" s="8" t="n">
        <x:v>10270</x:v>
      </x:c>
      <x:c r="M1327" s="9" t="n">
        <x:v>0.6798334995</x:v>
      </x:c>
      <x:c r="N1327" s="10" t="n">
        <x:v>45443.6745861733</x:v>
      </x:c>
      <x:c r="O1327" s="9" t="n">
        <x:v>-0.1846066996</x:v>
      </x:c>
      <x:c r="P1327" s="9" t="n">
        <x:v>0.7318663407</x:v>
      </x:c>
      <x:c r="Q1327" s="9" t="n">
        <x:v>0.8744906275</x:v>
      </x:c>
      <x:c r="R1327" s="3" t="b">
        <x:v>0</x:v>
      </x:c>
      <x:c r="S1327" s="3" t="b">
        <x:v>0</x:v>
      </x:c>
      <x:c r="T1327" s="3" t="b">
        <x:v>0</x:v>
      </x:c>
      <x:c r="U1327" s="2" t="str">
        <x:f>IF(T1327=TRUE,"Priority review",IF(R1327=TRUE,"High cost",IF(S1327=TRUE,"Low quality","Benchmark")))</x:f>
        <x:v>Benchmark</x:v>
      </x:c>
    </x:row>
    <x:row r="1328">
      <x:c r="A1328" s="2" t="str">
        <x:v>420073</x:v>
      </x:c>
      <x:c r="B1328" s="2" t="str">
        <x:v>LEXINGTON MEDICAL CENTER</x:v>
      </x:c>
      <x:c r="C1328" s="2" t="str">
        <x:v>WEST COLUMBIA</x:v>
      </x:c>
      <x:c r="D1328" s="2" t="str">
        <x:v>SC</x:v>
      </x:c>
      <x:c r="E1328" s="2" t="str">
        <x:v>Acute Care Hospitals</x:v>
      </x:c>
      <x:c r="F1328" s="2" t="str">
        <x:v>Voluntary non-profit</x:v>
      </x:c>
      <x:c r="G1328" s="2" t="str">
        <x:v>Large (300+ beds)</x:v>
      </x:c>
      <x:c r="H1328" s="7" t="n">
        <x:v>3</x:v>
      </x:c>
      <x:c r="I1328" s="7" t="n">
        <x:v>4</x:v>
      </x:c>
      <x:c r="J1328" s="7" t="n">
        <x:v>1</x:v>
      </x:c>
      <x:c r="K1328" s="8" t="n">
        <x:v>549</x:v>
      </x:c>
      <x:c r="L1328" s="8" t="n">
        <x:v>30259</x:v>
      </x:c>
      <x:c r="M1328" s="9" t="n">
        <x:v>0.831238118</x:v>
      </x:c>
      <x:c r="N1328" s="10" t="n">
        <x:v>52273.8460292805</x:v>
      </x:c>
      <x:c r="O1328" s="9" t="n">
        <x:v>0.0061331349</x:v>
      </x:c>
      <x:c r="P1328" s="9" t="n">
        <x:v>0.7318611987</x:v>
      </x:c>
      <x:c r="Q1328" s="9" t="n">
        <x:v>0.2570977918</x:v>
      </x:c>
      <x:c r="R1328" s="3" t="b">
        <x:v>0</x:v>
      </x:c>
      <x:c r="S1328" s="3" t="b">
        <x:v>0</x:v>
      </x:c>
      <x:c r="T1328" s="3" t="b">
        <x:v>0</x:v>
      </x:c>
      <x:c r="U1328" s="2" t="str">
        <x:f>IF(T1328=TRUE,"Priority review",IF(R1328=TRUE,"High cost",IF(S1328=TRUE,"Low quality","Benchmark")))</x:f>
        <x:v>Benchmark</x:v>
      </x:c>
    </x:row>
    <x:row r="1329">
      <x:c r="A1329" s="2" t="str">
        <x:v>351322</x:v>
      </x:c>
      <x:c r="B1329" s="2" t="str">
        <x:v>ASHLEY MEDICAL CENTER</x:v>
      </x:c>
      <x:c r="C1329" s="2" t="str">
        <x:v>ASHLEY</x:v>
      </x:c>
      <x:c r="D1329" s="2" t="str">
        <x:v>ND</x:v>
      </x:c>
      <x:c r="E1329" s="2" t="str">
        <x:v>Critical Access Hospitals</x:v>
      </x:c>
      <x:c r="F1329" s="2" t="str">
        <x:v>Voluntary non-profit</x:v>
      </x:c>
      <x:c r="G1329" s="2" t="str">
        <x:v>Small (&lt;100 beds)</x:v>
      </x:c>
      <x:c r="H1329" s="7"/>
      <x:c r="I1329" s="7"/>
      <x:c r="J1329" s="7"/>
      <x:c r="K1329" s="8" t="n">
        <x:v>20</x:v>
      </x:c>
      <x:c r="L1329" s="8" t="n">
        <x:v>58</x:v>
      </x:c>
      <x:c r="M1329" s="9" t="n">
        <x:v>0.0976712329</x:v>
      </x:c>
      <x:c r="N1329" s="10" t="n">
        <x:v>198638.5</x:v>
      </x:c>
      <x:c r="O1329" s="9" t="n">
        <x:v>-0.1725501116</x:v>
      </x:c>
      <x:c r="P1329" s="9" t="n">
        <x:v>0.731598513</x:v>
      </x:c>
      <x:c r="Q1329" s="9" t="n">
        <x:v>0.292936803</x:v>
      </x:c>
      <x:c r="R1329" s="3" t="b">
        <x:v>0</x:v>
      </x:c>
      <x:c r="S1329" s="3" t="b">
        <x:v>0</x:v>
      </x:c>
      <x:c r="T1329" s="3" t="b">
        <x:v>0</x:v>
      </x:c>
      <x:c r="U1329" s="2" t="str">
        <x:f>IF(T1329=TRUE,"Priority review",IF(R1329=TRUE,"High cost",IF(S1329=TRUE,"Low quality","Benchmark")))</x:f>
        <x:v>Benchmark</x:v>
      </x:c>
    </x:row>
    <x:row r="1330">
      <x:c r="A1330" s="2" t="str">
        <x:v>230108</x:v>
      </x:c>
      <x:c r="B1330" s="2" t="str">
        <x:v>UP HEALTH SYSTEM PORTAGE</x:v>
      </x:c>
      <x:c r="C1330" s="2" t="str">
        <x:v>HANCOCK</x:v>
      </x:c>
      <x:c r="D1330" s="2" t="str">
        <x:v>MI</x:v>
      </x:c>
      <x:c r="E1330" s="2" t="str">
        <x:v>Acute Care Hospitals</x:v>
      </x:c>
      <x:c r="F1330" s="2" t="str">
        <x:v>Voluntary non-profit</x:v>
      </x:c>
      <x:c r="G1330" s="2" t="str">
        <x:v>Small (&lt;100 beds)</x:v>
      </x:c>
      <x:c r="H1330" s="7" t="n">
        <x:v>5</x:v>
      </x:c>
      <x:c r="I1330" s="7" t="n">
        <x:v>5</x:v>
      </x:c>
      <x:c r="J1330" s="7" t="n">
        <x:v>0.77</x:v>
      </x:c>
      <x:c r="K1330" s="8" t="n">
        <x:v>36</x:v>
      </x:c>
      <x:c r="L1330" s="8" t="n">
        <x:v>1166</x:v>
      </x:c>
      <x:c r="M1330" s="9" t="n">
        <x:v>0.3859289617</x:v>
      </x:c>
      <x:c r="N1330" s="10" t="n">
        <x:v>79667.1492281304</x:v>
      </x:c>
      <x:c r="O1330" s="9" t="n">
        <x:v>-0.1158825746</x:v>
      </x:c>
      <x:c r="P1330" s="9" t="n">
        <x:v>0.7315978456</x:v>
      </x:c>
      <x:c r="Q1330" s="9" t="n">
        <x:v>0.6131059246</x:v>
      </x:c>
      <x:c r="R1330" s="3" t="b">
        <x:v>0</x:v>
      </x:c>
      <x:c r="S1330" s="3" t="b">
        <x:v>0</x:v>
      </x:c>
      <x:c r="T1330" s="3" t="b">
        <x:v>0</x:v>
      </x:c>
      <x:c r="U1330" s="2" t="str">
        <x:f>IF(T1330=TRUE,"Priority review",IF(R1330=TRUE,"High cost",IF(S1330=TRUE,"Low quality","Benchmark")))</x:f>
        <x:v>Benchmark</x:v>
      </x:c>
    </x:row>
    <x:row r="1331">
      <x:c r="A1331" s="2" t="str">
        <x:v>174026</x:v>
      </x:c>
      <x:c r="B1331" s="2" t="str">
        <x:v>CORTERRA OF WICHITA LLC</x:v>
      </x:c>
      <x:c r="C1331" s="2" t="str">
        <x:v>WICHITA</x:v>
      </x:c>
      <x:c r="D1331" s="2" t="str">
        <x:v>KS</x:v>
      </x:c>
      <x:c r="E1331" s="2" t="str">
        <x:v>Psychiatric</x:v>
      </x:c>
      <x:c r="F1331" s="2" t="str">
        <x:v>Proprietary</x:v>
      </x:c>
      <x:c r="G1331" s="2" t="str">
        <x:v>Small (&lt;100 beds)</x:v>
      </x:c>
      <x:c r="H1331" s="7"/>
      <x:c r="I1331" s="7"/>
      <x:c r="J1331" s="7"/>
      <x:c r="K1331" s="8" t="n">
        <x:v>24</x:v>
      </x:c>
      <x:c r="L1331" s="8" t="n">
        <x:v>172</x:v>
      </x:c>
      <x:c r="M1331" s="9" t="n">
        <x:v>0.3102762172</x:v>
      </x:c>
      <x:c r="N1331" s="10" t="n">
        <x:v>27499.3662790698</x:v>
      </x:c>
      <x:c r="O1331" s="9" t="n">
        <x:v>-1.0812044864</x:v>
      </x:c>
      <x:c r="P1331" s="9" t="n">
        <x:v>0.7313915858</x:v>
      </x:c>
      <x:c r="Q1331" s="9" t="n">
        <x:v>0</x:v>
      </x:c>
      <x:c r="R1331" s="3" t="b">
        <x:v>0</x:v>
      </x:c>
      <x:c r="S1331" s="3" t="b">
        <x:v>0</x:v>
      </x:c>
      <x:c r="T1331" s="3" t="b">
        <x:v>0</x:v>
      </x:c>
      <x:c r="U1331" s="2" t="str">
        <x:f>IF(T1331=TRUE,"Priority review",IF(R1331=TRUE,"High cost",IF(S1331=TRUE,"Low quality","Benchmark")))</x:f>
        <x:v>Benchmark</x:v>
      </x:c>
    </x:row>
    <x:row r="1332">
      <x:c r="A1332" s="2" t="str">
        <x:v>054145</x:v>
      </x:c>
      <x:c r="B1332" s="2" t="str">
        <x:v>SHARP MESA VISTA HOSPITAL</x:v>
      </x:c>
      <x:c r="C1332" s="2" t="str">
        <x:v>SAN DIEGO</x:v>
      </x:c>
      <x:c r="D1332" s="2" t="str">
        <x:v>CA</x:v>
      </x:c>
      <x:c r="E1332" s="2" t="str">
        <x:v>Psychiatric</x:v>
      </x:c>
      <x:c r="F1332" s="2" t="str">
        <x:v>Voluntary non-profit</x:v>
      </x:c>
      <x:c r="G1332" s="2" t="str">
        <x:v>Medium (100-299 beds)</x:v>
      </x:c>
      <x:c r="H1332" s="7"/>
      <x:c r="I1332" s="7"/>
      <x:c r="J1332" s="7"/>
      <x:c r="K1332" s="8" t="n">
        <x:v>160</x:v>
      </x:c>
      <x:c r="L1332" s="8" t="n">
        <x:v>4212</x:v>
      </x:c>
      <x:c r="M1332" s="9" t="n">
        <x:v>0.6238387978</x:v>
      </x:c>
      <x:c r="N1332" s="10" t="n">
        <x:v>26449.4247388414</x:v>
      </x:c>
      <x:c r="O1332" s="9" t="n">
        <x:v>-0.1937189167</x:v>
      </x:c>
      <x:c r="P1332" s="9" t="n">
        <x:v>0.7313432836</x:v>
      </x:c>
      <x:c r="Q1332" s="9" t="n">
        <x:v>0</x:v>
      </x:c>
      <x:c r="R1332" s="3" t="b">
        <x:v>0</x:v>
      </x:c>
      <x:c r="S1332" s="3" t="b">
        <x:v>0</x:v>
      </x:c>
      <x:c r="T1332" s="3" t="b">
        <x:v>0</x:v>
      </x:c>
      <x:c r="U1332" s="2" t="str">
        <x:f>IF(T1332=TRUE,"Priority review",IF(R1332=TRUE,"High cost",IF(S1332=TRUE,"Low quality","Benchmark")))</x:f>
        <x:v>Benchmark</x:v>
      </x:c>
    </x:row>
    <x:row r="1333">
      <x:c r="A1333" s="2" t="str">
        <x:v>460051</x:v>
      </x:c>
      <x:c r="B1333" s="2" t="str">
        <x:v>HOLY CROSS HOSPITAL-JORDAN VALLEY</x:v>
      </x:c>
      <x:c r="C1333" s="2" t="str">
        <x:v>WEST JORDAN</x:v>
      </x:c>
      <x:c r="D1333" s="2" t="str">
        <x:v>UT</x:v>
      </x:c>
      <x:c r="E1333" s="2" t="str">
        <x:v>Acute Care Hospitals</x:v>
      </x:c>
      <x:c r="F1333" s="2" t="str">
        <x:v>Voluntary non-profit</x:v>
      </x:c>
      <x:c r="G1333" s="2" t="str">
        <x:v>Medium (100-299 beds)</x:v>
      </x:c>
      <x:c r="H1333" s="7" t="n">
        <x:v>4</x:v>
      </x:c>
      <x:c r="I1333" s="7" t="n">
        <x:v>2</x:v>
      </x:c>
      <x:c r="J1333" s="7" t="n">
        <x:v>0.99</x:v>
      </x:c>
      <x:c r="K1333" s="8" t="n">
        <x:v>223</x:v>
      </x:c>
      <x:c r="L1333" s="8" t="n">
        <x:v>8838</x:v>
      </x:c>
      <x:c r="M1333" s="9" t="n">
        <x:v>0.4115240494</x:v>
      </x:c>
      <x:c r="N1333" s="10" t="n">
        <x:v>45431.7957682734</x:v>
      </x:c>
      <x:c r="O1333" s="9" t="n">
        <x:v>-0.3769221311</x:v>
      </x:c>
      <x:c r="P1333" s="9" t="n">
        <x:v>0.7310513447</x:v>
      </x:c>
      <x:c r="Q1333" s="9" t="n">
        <x:v>0.6022819886</x:v>
      </x:c>
      <x:c r="R1333" s="3" t="b">
        <x:v>0</x:v>
      </x:c>
      <x:c r="S1333" s="3" t="b">
        <x:v>0</x:v>
      </x:c>
      <x:c r="T1333" s="3" t="b">
        <x:v>0</x:v>
      </x:c>
      <x:c r="U1333" s="2" t="str">
        <x:f>IF(T1333=TRUE,"Priority review",IF(R1333=TRUE,"High cost",IF(S1333=TRUE,"Low quality","Benchmark")))</x:f>
        <x:v>Benchmark</x:v>
      </x:c>
    </x:row>
    <x:row r="1334">
      <x:c r="A1334" s="2" t="str">
        <x:v>171355</x:v>
      </x:c>
      <x:c r="B1334" s="2" t="str">
        <x:v>TREGO COUNTY LEMKE MEMORIAL HOSPITAL</x:v>
      </x:c>
      <x:c r="C1334" s="2" t="str">
        <x:v>WAKEENEY</x:v>
      </x:c>
      <x:c r="D1334" s="2" t="str">
        <x:v>KS</x:v>
      </x:c>
      <x:c r="E1334" s="2" t="str">
        <x:v>Critical Access Hospitals</x:v>
      </x:c>
      <x:c r="F1334" s="2" t="str">
        <x:v>Government</x:v>
      </x:c>
      <x:c r="G1334" s="2" t="str">
        <x:v>Small (&lt;100 beds)</x:v>
      </x:c>
      <x:c r="H1334" s="7"/>
      <x:c r="I1334" s="7"/>
      <x:c r="J1334" s="7"/>
      <x:c r="K1334" s="8" t="n">
        <x:v>25</x:v>
      </x:c>
      <x:c r="L1334" s="8" t="n">
        <x:v>99</x:v>
      </x:c>
      <x:c r="M1334" s="9" t="n">
        <x:v>0.1766120219</x:v>
      </x:c>
      <x:c r="N1334" s="10" t="n">
        <x:v>198489.7070707071</x:v>
      </x:c>
      <x:c r="O1334" s="9" t="n">
        <x:v>-0.1602310746</x:v>
      </x:c>
      <x:c r="P1334" s="9" t="n">
        <x:v>0.7308550186</x:v>
      </x:c>
      <x:c r="Q1334" s="9" t="n">
        <x:v>0.292936803</x:v>
      </x:c>
      <x:c r="R1334" s="3" t="b">
        <x:v>0</x:v>
      </x:c>
      <x:c r="S1334" s="3" t="b">
        <x:v>0</x:v>
      </x:c>
      <x:c r="T1334" s="3" t="b">
        <x:v>0</x:v>
      </x:c>
      <x:c r="U1334" s="2" t="str">
        <x:f>IF(T1334=TRUE,"Priority review",IF(R1334=TRUE,"High cost",IF(S1334=TRUE,"Low quality","Benchmark")))</x:f>
        <x:v>Benchmark</x:v>
      </x:c>
    </x:row>
    <x:row r="1335">
      <x:c r="A1335" s="2" t="str">
        <x:v>260057</x:v>
      </x:c>
      <x:c r="B1335" s="2" t="str">
        <x:v>CAMERON REGIONAL MEDICAL CENTER</x:v>
      </x:c>
      <x:c r="C1335" s="2" t="str">
        <x:v>CAMERON</x:v>
      </x:c>
      <x:c r="D1335" s="2" t="str">
        <x:v>MO</x:v>
      </x:c>
      <x:c r="E1335" s="2" t="str">
        <x:v>Acute Care Hospitals</x:v>
      </x:c>
      <x:c r="F1335" s="2" t="str">
        <x:v>Voluntary non-profit</x:v>
      </x:c>
      <x:c r="G1335" s="2" t="str">
        <x:v>Small (&lt;100 beds)</x:v>
      </x:c>
      <x:c r="H1335" s="7" t="n">
        <x:v>1</x:v>
      </x:c>
      <x:c r="I1335" s="7" t="n">
        <x:v>3</x:v>
      </x:c>
      <x:c r="J1335" s="7" t="n">
        <x:v>0.98</x:v>
      </x:c>
      <x:c r="K1335" s="8" t="n">
        <x:v>42</x:v>
      </x:c>
      <x:c r="L1335" s="8" t="n">
        <x:v>930</x:v>
      </x:c>
      <x:c r="M1335" s="9" t="n">
        <x:v>0.3350247203</x:v>
      </x:c>
      <x:c r="N1335" s="10" t="n">
        <x:v>79602</x:v>
      </x:c>
      <x:c r="O1335" s="9" t="n">
        <x:v>-0.2223858825</x:v>
      </x:c>
      <x:c r="P1335" s="9" t="n">
        <x:v>0.7307001795</x:v>
      </x:c>
      <x:c r="Q1335" s="9" t="n">
        <x:v>0</x:v>
      </x:c>
      <x:c r="R1335" s="3" t="b">
        <x:v>0</x:v>
      </x:c>
      <x:c r="S1335" s="3" t="b">
        <x:v>1</x:v>
      </x:c>
      <x:c r="T1335" s="3" t="b">
        <x:v>0</x:v>
      </x:c>
      <x:c r="U1335" s="2" t="str">
        <x:f>IF(T1335=TRUE,"Priority review",IF(R1335=TRUE,"High cost",IF(S1335=TRUE,"Low quality","Benchmark")))</x:f>
        <x:v>Low quality</x:v>
      </x:c>
    </x:row>
    <x:row r="1336">
      <x:c r="A1336" s="2" t="str">
        <x:v>330046</x:v>
      </x:c>
      <x:c r="B1336" s="2" t="str">
        <x:v>MOUNT SINAI WEST</x:v>
      </x:c>
      <x:c r="C1336" s="2" t="str">
        <x:v>NEW YORK</x:v>
      </x:c>
      <x:c r="D1336" s="2" t="str">
        <x:v>NY</x:v>
      </x:c>
      <x:c r="E1336" s="2" t="str">
        <x:v>Acute Care Hospitals</x:v>
      </x:c>
      <x:c r="F1336" s="2" t="str">
        <x:v>Voluntary non-profit</x:v>
      </x:c>
      <x:c r="G1336" s="2" t="str">
        <x:v>Large (300+ beds)</x:v>
      </x:c>
      <x:c r="H1336" s="7" t="n">
        <x:v>4</x:v>
      </x:c>
      <x:c r="I1336" s="7" t="n">
        <x:v>2</x:v>
      </x:c>
      <x:c r="J1336" s="7" t="n">
        <x:v>1.01</x:v>
      </x:c>
      <x:c r="K1336" s="8" t="n">
        <x:v>644</x:v>
      </x:c>
      <x:c r="L1336" s="8" t="n">
        <x:v>36914</x:v>
      </x:c>
      <x:c r="M1336" s="9" t="n">
        <x:v>0.9742346333</x:v>
      </x:c>
      <x:c r="N1336" s="10" t="n">
        <x:v>52149.2428617869</x:v>
      </x:c>
      <x:c r="O1336" s="9" t="n">
        <x:v>-0.2965707496</x:v>
      </x:c>
      <x:c r="P1336" s="9" t="n">
        <x:v>0.7302839117</x:v>
      </x:c>
      <x:c r="Q1336" s="9" t="n">
        <x:v>0.5899053628</x:v>
      </x:c>
      <x:c r="R1336" s="3" t="b">
        <x:v>0</x:v>
      </x:c>
      <x:c r="S1336" s="3" t="b">
        <x:v>0</x:v>
      </x:c>
      <x:c r="T1336" s="3" t="b">
        <x:v>0</x:v>
      </x:c>
      <x:c r="U1336" s="2" t="str">
        <x:f>IF(T1336=TRUE,"Priority review",IF(R1336=TRUE,"High cost",IF(S1336=TRUE,"Low quality","Benchmark")))</x:f>
        <x:v>Benchmark</x:v>
      </x:c>
    </x:row>
    <x:row r="1337">
      <x:c r="A1337" s="2" t="str">
        <x:v>070016</x:v>
      </x:c>
      <x:c r="B1337" s="2" t="str">
        <x:v>SAINT MARY'S HOSPITAL</x:v>
      </x:c>
      <x:c r="C1337" s="2" t="str">
        <x:v>WATERBURY</x:v>
      </x:c>
      <x:c r="D1337" s="2" t="str">
        <x:v>CT</x:v>
      </x:c>
      <x:c r="E1337" s="2" t="str">
        <x:v>Acute Care Hospitals</x:v>
      </x:c>
      <x:c r="F1337" s="2" t="str">
        <x:v>Voluntary non-profit</x:v>
      </x:c>
      <x:c r="G1337" s="2" t="str">
        <x:v>Medium (100-299 beds)</x:v>
      </x:c>
      <x:c r="H1337" s="7" t="n">
        <x:v>3</x:v>
      </x:c>
      <x:c r="I1337" s="7" t="n">
        <x:v>2</x:v>
      </x:c>
      <x:c r="J1337" s="7" t="n">
        <x:v>1.02</x:v>
      </x:c>
      <x:c r="K1337" s="8" t="n">
        <x:v>157</x:v>
      </x:c>
      <x:c r="L1337" s="8" t="n">
        <x:v>7336</x:v>
      </x:c>
      <x:c r="M1337" s="9" t="n">
        <x:v>0.5256865407</x:v>
      </x:c>
      <x:c r="N1337" s="10" t="n">
        <x:v>45391.5136314068</x:v>
      </x:c>
      <x:c r="O1337" s="9" t="n">
        <x:v>0.0206250524</x:v>
      </x:c>
      <x:c r="P1337" s="9" t="n">
        <x:v>0.7302363488</x:v>
      </x:c>
      <x:c r="Q1337" s="9" t="n">
        <x:v>0.3023634882</x:v>
      </x:c>
      <x:c r="R1337" s="3" t="b">
        <x:v>0</x:v>
      </x:c>
      <x:c r="S1337" s="3" t="b">
        <x:v>0</x:v>
      </x:c>
      <x:c r="T1337" s="3" t="b">
        <x:v>0</x:v>
      </x:c>
      <x:c r="U1337" s="2" t="str">
        <x:f>IF(T1337=TRUE,"Priority review",IF(R1337=TRUE,"High cost",IF(S1337=TRUE,"Low quality","Benchmark")))</x:f>
        <x:v>Benchmark</x:v>
      </x:c>
    </x:row>
    <x:row r="1338">
      <x:c r="A1338" s="2" t="str">
        <x:v>141304</x:v>
      </x:c>
      <x:c r="B1338" s="2" t="str">
        <x:v>GENESIS MEDICAL CENTER, ALEDO</x:v>
      </x:c>
      <x:c r="C1338" s="2" t="str">
        <x:v>ALEDO</x:v>
      </x:c>
      <x:c r="D1338" s="2" t="str">
        <x:v>IL</x:v>
      </x:c>
      <x:c r="E1338" s="2" t="str">
        <x:v>Critical Access Hospitals</x:v>
      </x:c>
      <x:c r="F1338" s="2" t="str">
        <x:v>Voluntary non-profit</x:v>
      </x:c>
      <x:c r="G1338" s="2" t="str">
        <x:v>Small (&lt;100 beds)</x:v>
      </x:c>
      <x:c r="H1338" s="7"/>
      <x:c r="I1338" s="7"/>
      <x:c r="J1338" s="7"/>
      <x:c r="K1338" s="8" t="n">
        <x:v>22</x:v>
      </x:c>
      <x:c r="L1338" s="8" t="n">
        <x:v>97</x:v>
      </x:c>
      <x:c r="M1338" s="9" t="n">
        <x:v>0.1143212951</x:v>
      </x:c>
      <x:c r="N1338" s="10" t="n">
        <x:v>198478.7628865979</x:v>
      </x:c>
      <x:c r="O1338" s="9" t="n">
        <x:v>-0.0808320622</x:v>
      </x:c>
      <x:c r="P1338" s="9" t="n">
        <x:v>0.7301115242</x:v>
      </x:c>
      <x:c r="Q1338" s="9" t="n">
        <x:v>0.292936803</x:v>
      </x:c>
      <x:c r="R1338" s="3" t="b">
        <x:v>0</x:v>
      </x:c>
      <x:c r="S1338" s="3" t="b">
        <x:v>0</x:v>
      </x:c>
      <x:c r="T1338" s="3" t="b">
        <x:v>0</x:v>
      </x:c>
      <x:c r="U1338" s="2" t="str">
        <x:f>IF(T1338=TRUE,"Priority review",IF(R1338=TRUE,"High cost",IF(S1338=TRUE,"Low quality","Benchmark")))</x:f>
        <x:v>Benchmark</x:v>
      </x:c>
    </x:row>
    <x:row r="1339">
      <x:c r="A1339" s="2" t="str">
        <x:v>170120</x:v>
      </x:c>
      <x:c r="B1339" s="2" t="str">
        <x:v>LABETTE HEALTH</x:v>
      </x:c>
      <x:c r="C1339" s="2" t="str">
        <x:v>PARSONS</x:v>
      </x:c>
      <x:c r="D1339" s="2" t="str">
        <x:v>KS</x:v>
      </x:c>
      <x:c r="E1339" s="2" t="str">
        <x:v>Acute Care Hospitals</x:v>
      </x:c>
      <x:c r="F1339" s="2" t="str">
        <x:v>Government</x:v>
      </x:c>
      <x:c r="G1339" s="2" t="str">
        <x:v>Small (&lt;100 beds)</x:v>
      </x:c>
      <x:c r="H1339" s="7" t="n">
        <x:v>3</x:v>
      </x:c>
      <x:c r="I1339" s="7" t="n">
        <x:v>4</x:v>
      </x:c>
      <x:c r="J1339" s="7" t="n">
        <x:v>0.9</x:v>
      </x:c>
      <x:c r="K1339" s="8" t="n">
        <x:v>49</x:v>
      </x:c>
      <x:c r="L1339" s="8" t="n">
        <x:v>1284</x:v>
      </x:c>
      <x:c r="M1339" s="9" t="n">
        <x:v>0.2218133155</x:v>
      </x:c>
      <x:c r="N1339" s="10" t="n">
        <x:v>79585.484423676</x:v>
      </x:c>
      <x:c r="O1339" s="9" t="n">
        <x:v>-0.1528917028</x:v>
      </x:c>
      <x:c r="P1339" s="9" t="n">
        <x:v>0.7298025135</x:v>
      </x:c>
      <x:c r="Q1339" s="9" t="n">
        <x:v>0.1687612208</x:v>
      </x:c>
      <x:c r="R1339" s="3" t="b">
        <x:v>0</x:v>
      </x:c>
      <x:c r="S1339" s="3" t="b">
        <x:v>0</x:v>
      </x:c>
      <x:c r="T1339" s="3" t="b">
        <x:v>0</x:v>
      </x:c>
      <x:c r="U1339" s="2" t="str">
        <x:f>IF(T1339=TRUE,"Priority review",IF(R1339=TRUE,"High cost",IF(S1339=TRUE,"Low quality","Benchmark")))</x:f>
        <x:v>Benchmark</x:v>
      </x:c>
    </x:row>
    <x:row r="1340">
      <x:c r="A1340" s="2" t="str">
        <x:v>150051</x:v>
      </x:c>
      <x:c r="B1340" s="2" t="str">
        <x:v>INDIANA UNIVERSITY HEALTH BLOOMINGTON HOSPITAL</x:v>
      </x:c>
      <x:c r="C1340" s="2" t="str">
        <x:v>BLOOMINGTON</x:v>
      </x:c>
      <x:c r="D1340" s="2" t="str">
        <x:v>IN</x:v>
      </x:c>
      <x:c r="E1340" s="2" t="str">
        <x:v>Acute Care Hospitals</x:v>
      </x:c>
      <x:c r="F1340" s="2" t="str">
        <x:v>Voluntary non-profit</x:v>
      </x:c>
      <x:c r="G1340" s="2" t="str">
        <x:v>Medium (100-299 beds)</x:v>
      </x:c>
      <x:c r="H1340" s="7" t="n">
        <x:v>3</x:v>
      </x:c>
      <x:c r="I1340" s="7" t="n">
        <x:v>2</x:v>
      </x:c>
      <x:c r="J1340" s="7" t="n">
        <x:v>1.06</x:v>
      </x:c>
      <x:c r="K1340" s="8" t="n">
        <x:v>194</x:v>
      </x:c>
      <x:c r="L1340" s="8" t="n">
        <x:v>11254</x:v>
      </x:c>
      <x:c r="M1340" s="9" t="n">
        <x:v>0.834037519</x:v>
      </x:c>
      <x:c r="N1340" s="10" t="n">
        <x:v>45373.9013684023</x:v>
      </x:c>
      <x:c r="O1340" s="9" t="n">
        <x:v>0.1035772657</x:v>
      </x:c>
      <x:c r="P1340" s="9" t="n">
        <x:v>0.7294213529</x:v>
      </x:c>
      <x:c r="Q1340" s="9" t="n">
        <x:v>0.3023634882</x:v>
      </x:c>
      <x:c r="R1340" s="3" t="b">
        <x:v>0</x:v>
      </x:c>
      <x:c r="S1340" s="3" t="b">
        <x:v>0</x:v>
      </x:c>
      <x:c r="T1340" s="3" t="b">
        <x:v>0</x:v>
      </x:c>
      <x:c r="U1340" s="2" t="str">
        <x:f>IF(T1340=TRUE,"Priority review",IF(R1340=TRUE,"High cost",IF(S1340=TRUE,"Low quality","Benchmark")))</x:f>
        <x:v>Benchmark</x:v>
      </x:c>
    </x:row>
    <x:row r="1341">
      <x:c r="A1341" s="2" t="str">
        <x:v>241328</x:v>
      </x:c>
      <x:c r="B1341" s="2" t="str">
        <x:v>SANFORD BAGLEY MEDICAL CENTER</x:v>
      </x:c>
      <x:c r="C1341" s="2" t="str">
        <x:v>BAGLEY</x:v>
      </x:c>
      <x:c r="D1341" s="2" t="str">
        <x:v>MN</x:v>
      </x:c>
      <x:c r="E1341" s="2" t="str">
        <x:v>Critical Access Hospitals</x:v>
      </x:c>
      <x:c r="F1341" s="2" t="str">
        <x:v>Voluntary non-profit</x:v>
      </x:c>
      <x:c r="G1341" s="2" t="str">
        <x:v>Small (&lt;100 beds)</x:v>
      </x:c>
      <x:c r="H1341" s="7"/>
      <x:c r="I1341" s="7"/>
      <x:c r="J1341" s="7"/>
      <x:c r="K1341" s="8" t="n">
        <x:v>25</x:v>
      </x:c>
      <x:c r="L1341" s="8" t="n">
        <x:v>72</x:v>
      </x:c>
      <x:c r="M1341" s="9" t="n">
        <x:v>0.2191256831</x:v>
      </x:c>
      <x:c r="N1341" s="10" t="n">
        <x:v>198303.625</x:v>
      </x:c>
      <x:c r="O1341" s="9" t="n">
        <x:v>0.1444038415</x:v>
      </x:c>
      <x:c r="P1341" s="9" t="n">
        <x:v>0.7293680297</x:v>
      </x:c>
      <x:c r="Q1341" s="9" t="n">
        <x:v>0.292936803</x:v>
      </x:c>
      <x:c r="R1341" s="3" t="b">
        <x:v>0</x:v>
      </x:c>
      <x:c r="S1341" s="3" t="b">
        <x:v>0</x:v>
      </x:c>
      <x:c r="T1341" s="3" t="b">
        <x:v>0</x:v>
      </x:c>
      <x:c r="U1341" s="2" t="str">
        <x:f>IF(T1341=TRUE,"Priority review",IF(R1341=TRUE,"High cost",IF(S1341=TRUE,"Low quality","Benchmark")))</x:f>
        <x:v>Benchmark</x:v>
      </x:c>
    </x:row>
    <x:row r="1342">
      <x:c r="A1342" s="2" t="str">
        <x:v>360131</x:v>
      </x:c>
      <x:c r="B1342" s="2" t="str">
        <x:v>ALLIANCE COMMUNITY HOSPITAL</x:v>
      </x:c>
      <x:c r="C1342" s="2" t="str">
        <x:v>ALLIANCE</x:v>
      </x:c>
      <x:c r="D1342" s="2" t="str">
        <x:v>OH</x:v>
      </x:c>
      <x:c r="E1342" s="2" t="str">
        <x:v>Acute Care Hospitals</x:v>
      </x:c>
      <x:c r="F1342" s="2" t="str">
        <x:v>Voluntary non-profit</x:v>
      </x:c>
      <x:c r="G1342" s="2" t="str">
        <x:v>Small (&lt;100 beds)</x:v>
      </x:c>
      <x:c r="H1342" s="7" t="n">
        <x:v>4</x:v>
      </x:c>
      <x:c r="I1342" s="7" t="n">
        <x:v>4</x:v>
      </x:c>
      <x:c r="J1342" s="7" t="n">
        <x:v>1.07</x:v>
      </x:c>
      <x:c r="K1342" s="8" t="n">
        <x:v>47</x:v>
      </x:c>
      <x:c r="L1342" s="8" t="n">
        <x:v>1307</x:v>
      </x:c>
      <x:c r="M1342" s="9" t="n">
        <x:v>0.2601983322</x:v>
      </x:c>
      <x:c r="N1342" s="10" t="n">
        <x:v>79520.4598316756</x:v>
      </x:c>
      <x:c r="O1342" s="9" t="n">
        <x:v>-0.0295542902</x:v>
      </x:c>
      <x:c r="P1342" s="9" t="n">
        <x:v>0.7289048474</x:v>
      </x:c>
      <x:c r="Q1342" s="9" t="n">
        <x:v>0.3913824057</x:v>
      </x:c>
      <x:c r="R1342" s="3" t="b">
        <x:v>0</x:v>
      </x:c>
      <x:c r="S1342" s="3" t="b">
        <x:v>0</x:v>
      </x:c>
      <x:c r="T1342" s="3" t="b">
        <x:v>0</x:v>
      </x:c>
      <x:c r="U1342" s="2" t="str">
        <x:f>IF(T1342=TRUE,"Priority review",IF(R1342=TRUE,"High cost",IF(S1342=TRUE,"Low quality","Benchmark")))</x:f>
        <x:v>Benchmark</x:v>
      </x:c>
    </x:row>
    <x:row r="1343">
      <x:c r="A1343" s="2" t="str">
        <x:v>110143</x:v>
      </x:c>
      <x:c r="B1343" s="2" t="str">
        <x:v>WELLSTAR COBB MEDICAL CENTER</x:v>
      </x:c>
      <x:c r="C1343" s="2" t="str">
        <x:v>AUSTELL</x:v>
      </x:c>
      <x:c r="D1343" s="2" t="str">
        <x:v>GA</x:v>
      </x:c>
      <x:c r="E1343" s="2" t="str">
        <x:v>Acute Care Hospitals</x:v>
      </x:c>
      <x:c r="F1343" s="2" t="str">
        <x:v>Voluntary non-profit</x:v>
      </x:c>
      <x:c r="G1343" s="2" t="str">
        <x:v>Large (300+ beds)</x:v>
      </x:c>
      <x:c r="H1343" s="7" t="n">
        <x:v>3</x:v>
      </x:c>
      <x:c r="I1343" s="7" t="n">
        <x:v>3</x:v>
      </x:c>
      <x:c r="J1343" s="7" t="n">
        <x:v>0.95</x:v>
      </x:c>
      <x:c r="K1343" s="8" t="n">
        <x:v>367</x:v>
      </x:c>
      <x:c r="L1343" s="8" t="n">
        <x:v>20630</x:v>
      </x:c>
      <x:c r="M1343" s="9" t="n">
        <x:v>0.8518308387</x:v>
      </x:c>
      <x:c r="N1343" s="10" t="n">
        <x:v>51969.2790111488</x:v>
      </x:c>
      <x:c r="O1343" s="9" t="n">
        <x:v>0.0454579009</x:v>
      </x:c>
      <x:c r="P1343" s="9" t="n">
        <x:v>0.7287066246</x:v>
      </x:c>
      <x:c r="Q1343" s="9" t="n">
        <x:v>0.2570977918</x:v>
      </x:c>
      <x:c r="R1343" s="3" t="b">
        <x:v>0</x:v>
      </x:c>
      <x:c r="S1343" s="3" t="b">
        <x:v>0</x:v>
      </x:c>
      <x:c r="T1343" s="3" t="b">
        <x:v>0</x:v>
      </x:c>
      <x:c r="U1343" s="2" t="str">
        <x:f>IF(T1343=TRUE,"Priority review",IF(R1343=TRUE,"High cost",IF(S1343=TRUE,"Low quality","Benchmark")))</x:f>
        <x:v>Benchmark</x:v>
      </x:c>
    </x:row>
    <x:row r="1344">
      <x:c r="A1344" s="2" t="str">
        <x:v>151327</x:v>
      </x:c>
      <x:c r="B1344" s="2" t="str">
        <x:v>SULLIVAN COUNTY COMMUNITY HOSPITAL</x:v>
      </x:c>
      <x:c r="C1344" s="2" t="str">
        <x:v>SULLIVAN</x:v>
      </x:c>
      <x:c r="D1344" s="2" t="str">
        <x:v>IN</x:v>
      </x:c>
      <x:c r="E1344" s="2" t="str">
        <x:v>Critical Access Hospitals</x:v>
      </x:c>
      <x:c r="F1344" s="2" t="str">
        <x:v>Government</x:v>
      </x:c>
      <x:c r="G1344" s="2" t="str">
        <x:v>Small (&lt;100 beds)</x:v>
      </x:c>
      <x:c r="H1344" s="7"/>
      <x:c r="I1344" s="7"/>
      <x:c r="J1344" s="7"/>
      <x:c r="K1344" s="8" t="n">
        <x:v>25</x:v>
      </x:c>
      <x:c r="L1344" s="8" t="n">
        <x:v>318</x:v>
      </x:c>
      <x:c r="M1344" s="9" t="n">
        <x:v>0.1354098361</x:v>
      </x:c>
      <x:c r="N1344" s="10" t="n">
        <x:v>198041.5691823899</x:v>
      </x:c>
      <x:c r="O1344" s="9" t="n">
        <x:v>-0.0967383723</x:v>
      </x:c>
      <x:c r="P1344" s="9" t="n">
        <x:v>0.7286245353</x:v>
      </x:c>
      <x:c r="Q1344" s="9" t="n">
        <x:v>0.292936803</x:v>
      </x:c>
      <x:c r="R1344" s="3" t="b">
        <x:v>0</x:v>
      </x:c>
      <x:c r="S1344" s="3" t="b">
        <x:v>0</x:v>
      </x:c>
      <x:c r="T1344" s="3" t="b">
        <x:v>0</x:v>
      </x:c>
      <x:c r="U1344" s="2" t="str">
        <x:f>IF(T1344=TRUE,"Priority review",IF(R1344=TRUE,"High cost",IF(S1344=TRUE,"Low quality","Benchmark")))</x:f>
        <x:v>Benchmark</x:v>
      </x:c>
    </x:row>
    <x:row r="1345">
      <x:c r="A1345" s="2" t="str">
        <x:v>370008</x:v>
      </x:c>
      <x:c r="B1345" s="2" t="str">
        <x:v>NORMAN REGIONAL</x:v>
      </x:c>
      <x:c r="C1345" s="2" t="str">
        <x:v>NORMAN</x:v>
      </x:c>
      <x:c r="D1345" s="2" t="str">
        <x:v>OK</x:v>
      </x:c>
      <x:c r="E1345" s="2" t="str">
        <x:v>Acute Care Hospitals</x:v>
      </x:c>
      <x:c r="F1345" s="2" t="str">
        <x:v>Government</x:v>
      </x:c>
      <x:c r="G1345" s="2" t="str">
        <x:v>Medium (100-299 beds)</x:v>
      </x:c>
      <x:c r="H1345" s="7" t="n">
        <x:v>2</x:v>
      </x:c>
      <x:c r="I1345" s="7" t="n">
        <x:v>2</x:v>
      </x:c>
      <x:c r="J1345" s="7" t="n">
        <x:v>0.95</x:v>
      </x:c>
      <x:c r="K1345" s="8" t="n">
        <x:v>289</x:v>
      </x:c>
      <x:c r="L1345" s="8" t="n">
        <x:v>14727</x:v>
      </x:c>
      <x:c r="M1345" s="9" t="n">
        <x:v>0.6098086034</x:v>
      </x:c>
      <x:c r="N1345" s="10" t="n">
        <x:v>45334.2948326204</x:v>
      </x:c>
      <x:c r="O1345" s="9" t="n">
        <x:v>-0.1628683998</x:v>
      </x:c>
      <x:c r="P1345" s="9" t="n">
        <x:v>0.728606357</x:v>
      </x:c>
      <x:c r="Q1345" s="9" t="n">
        <x:v>0.0782396088</x:v>
      </x:c>
      <x:c r="R1345" s="3" t="b">
        <x:v>0</x:v>
      </x:c>
      <x:c r="S1345" s="3" t="b">
        <x:v>1</x:v>
      </x:c>
      <x:c r="T1345" s="3" t="b">
        <x:v>0</x:v>
      </x:c>
      <x:c r="U1345" s="2" t="str">
        <x:f>IF(T1345=TRUE,"Priority review",IF(R1345=TRUE,"High cost",IF(S1345=TRUE,"Low quality","Benchmark")))</x:f>
        <x:v>Low quality</x:v>
      </x:c>
    </x:row>
    <x:row r="1346">
      <x:c r="A1346" s="2" t="str">
        <x:v>524019</x:v>
      </x:c>
      <x:c r="B1346" s="2" t="str">
        <x:v>NORWOOD HEALTH CENTER</x:v>
      </x:c>
      <x:c r="C1346" s="2" t="str">
        <x:v>MARSHFIELD</x:v>
      </x:c>
      <x:c r="D1346" s="2" t="str">
        <x:v>WI</x:v>
      </x:c>
      <x:c r="E1346" s="2" t="str">
        <x:v>Psychiatric</x:v>
      </x:c>
      <x:c r="F1346" s="2" t="str">
        <x:v>Government</x:v>
      </x:c>
      <x:c r="G1346" s="2" t="str">
        <x:v>Small (&lt;100 beds)</x:v>
      </x:c>
      <x:c r="H1346" s="7"/>
      <x:c r="I1346" s="7"/>
      <x:c r="J1346" s="7"/>
      <x:c r="K1346" s="8" t="n">
        <x:v>16</x:v>
      </x:c>
      <x:c r="L1346" s="8" t="n">
        <x:v>376</x:v>
      </x:c>
      <x:c r="M1346" s="9" t="n">
        <x:v>0.4327185792</x:v>
      </x:c>
      <x:c r="N1346" s="10" t="n">
        <x:v>27322.2207446808</x:v>
      </x:c>
      <x:c r="O1346" s="9" t="n">
        <x:v>-0.1760410634</x:v>
      </x:c>
      <x:c r="P1346" s="9" t="n">
        <x:v>0.7281553398</x:v>
      </x:c>
      <x:c r="Q1346" s="9" t="n">
        <x:v>0</x:v>
      </x:c>
      <x:c r="R1346" s="3" t="b">
        <x:v>0</x:v>
      </x:c>
      <x:c r="S1346" s="3" t="b">
        <x:v>0</x:v>
      </x:c>
      <x:c r="T1346" s="3" t="b">
        <x:v>0</x:v>
      </x:c>
      <x:c r="U1346" s="2" t="str">
        <x:f>IF(T1346=TRUE,"Priority review",IF(R1346=TRUE,"High cost",IF(S1346=TRUE,"Low quality","Benchmark")))</x:f>
        <x:v>Benchmark</x:v>
      </x:c>
    </x:row>
    <x:row r="1347">
      <x:c r="A1347" s="2" t="str">
        <x:v>370210</x:v>
      </x:c>
      <x:c r="B1347" s="2" t="str">
        <x:v>OKLAHOMA SURGICAL HOSPITAL, LLC</x:v>
      </x:c>
      <x:c r="C1347" s="2" t="str">
        <x:v>TULSA</x:v>
      </x:c>
      <x:c r="D1347" s="2" t="str">
        <x:v>OK</x:v>
      </x:c>
      <x:c r="E1347" s="2" t="str">
        <x:v>Acute Care Hospitals</x:v>
      </x:c>
      <x:c r="F1347" s="2" t="str">
        <x:v>Other / unknown</x:v>
      </x:c>
      <x:c r="G1347" s="2" t="str">
        <x:v>Small (&lt;100 beds)</x:v>
      </x:c>
      <x:c r="H1347" s="7" t="n">
        <x:v>5</x:v>
      </x:c>
      <x:c r="I1347" s="7" t="n">
        <x:v>4</x:v>
      </x:c>
      <x:c r="J1347" s="7" t="n">
        <x:v>1.01</x:v>
      </x:c>
      <x:c r="K1347" s="8" t="n">
        <x:v>74</x:v>
      </x:c>
      <x:c r="L1347" s="8" t="n">
        <x:v>1705</x:v>
      </x:c>
      <x:c r="M1347" s="9" t="n">
        <x:v>0.1862723379</x:v>
      </x:c>
      <x:c r="N1347" s="10" t="n">
        <x:v>79414.1906158358</x:v>
      </x:c>
      <x:c r="O1347" s="9" t="n">
        <x:v>0.1612535581</x:v>
      </x:c>
      <x:c r="P1347" s="9" t="n">
        <x:v>0.7280071813</x:v>
      </x:c>
      <x:c r="Q1347" s="9" t="n">
        <x:v>0.6131059246</x:v>
      </x:c>
      <x:c r="R1347" s="3" t="b">
        <x:v>0</x:v>
      </x:c>
      <x:c r="S1347" s="3" t="b">
        <x:v>0</x:v>
      </x:c>
      <x:c r="T1347" s="3" t="b">
        <x:v>0</x:v>
      </x:c>
      <x:c r="U1347" s="2" t="str">
        <x:f>IF(T1347=TRUE,"Priority review",IF(R1347=TRUE,"High cost",IF(S1347=TRUE,"Low quality","Benchmark")))</x:f>
        <x:v>Benchmark</x:v>
      </x:c>
    </x:row>
    <x:row r="1348">
      <x:c r="A1348" s="2" t="str">
        <x:v>521312</x:v>
      </x:c>
      <x:c r="B1348" s="2" t="str">
        <x:v>LAFAYETTE HOSPITAL AND CLINICS</x:v>
      </x:c>
      <x:c r="C1348" s="2" t="str">
        <x:v>DARLINGTON</x:v>
      </x:c>
      <x:c r="D1348" s="2" t="str">
        <x:v>WI</x:v>
      </x:c>
      <x:c r="E1348" s="2" t="str">
        <x:v>Critical Access Hospitals</x:v>
      </x:c>
      <x:c r="F1348" s="2" t="str">
        <x:v>Voluntary non-profit</x:v>
      </x:c>
      <x:c r="G1348" s="2" t="str">
        <x:v>Small (&lt;100 beds)</x:v>
      </x:c>
      <x:c r="H1348" s="7"/>
      <x:c r="I1348" s="7"/>
      <x:c r="J1348" s="7"/>
      <x:c r="K1348" s="8" t="n">
        <x:v>25</x:v>
      </x:c>
      <x:c r="L1348" s="8" t="n">
        <x:v>188</x:v>
      </x:c>
      <x:c r="M1348" s="9" t="n">
        <x:v>0.0954098361</x:v>
      </x:c>
      <x:c r="N1348" s="10" t="n">
        <x:v>197613.1382978723</x:v>
      </x:c>
      <x:c r="O1348" s="9" t="n">
        <x:v>-0.1875668843</x:v>
      </x:c>
      <x:c r="P1348" s="9" t="n">
        <x:v>0.7278810409</x:v>
      </x:c>
      <x:c r="Q1348" s="9" t="n">
        <x:v>0.292936803</x:v>
      </x:c>
      <x:c r="R1348" s="3" t="b">
        <x:v>0</x:v>
      </x:c>
      <x:c r="S1348" s="3" t="b">
        <x:v>0</x:v>
      </x:c>
      <x:c r="T1348" s="3" t="b">
        <x:v>0</x:v>
      </x:c>
      <x:c r="U1348" s="2" t="str">
        <x:f>IF(T1348=TRUE,"Priority review",IF(R1348=TRUE,"High cost",IF(S1348=TRUE,"Low quality","Benchmark")))</x:f>
        <x:v>Benchmark</x:v>
      </x:c>
    </x:row>
    <x:row r="1349">
      <x:c r="A1349" s="2" t="str">
        <x:v>310029</x:v>
      </x:c>
      <x:c r="B1349" s="2" t="str">
        <x:v>VIRTUA OUR LADY OF LOURDES HOSPITAL</x:v>
      </x:c>
      <x:c r="C1349" s="2" t="str">
        <x:v>CAMDEN</x:v>
      </x:c>
      <x:c r="D1349" s="2" t="str">
        <x:v>NJ</x:v>
      </x:c>
      <x:c r="E1349" s="2" t="str">
        <x:v>Acute Care Hospitals</x:v>
      </x:c>
      <x:c r="F1349" s="2" t="str">
        <x:v>Government</x:v>
      </x:c>
      <x:c r="G1349" s="2" t="str">
        <x:v>Medium (100-299 beds)</x:v>
      </x:c>
      <x:c r="H1349" s="7" t="n">
        <x:v>2</x:v>
      </x:c>
      <x:c r="I1349" s="7" t="n">
        <x:v>2</x:v>
      </x:c>
      <x:c r="J1349" s="7" t="n">
        <x:v>1.09</x:v>
      </x:c>
      <x:c r="K1349" s="8" t="n">
        <x:v>279</x:v>
      </x:c>
      <x:c r="L1349" s="8" t="n">
        <x:v>12223</x:v>
      </x:c>
      <x:c r="M1349" s="9" t="n">
        <x:v>0.6336055781</x:v>
      </x:c>
      <x:c r="N1349" s="10" t="n">
        <x:v>45261.0924486624</x:v>
      </x:c>
      <x:c r="O1349" s="9" t="n">
        <x:v>-0.0169291359</x:v>
      </x:c>
      <x:c r="P1349" s="9" t="n">
        <x:v>0.727791361</x:v>
      </x:c>
      <x:c r="Q1349" s="9" t="n">
        <x:v>0.0782396088</x:v>
      </x:c>
      <x:c r="R1349" s="3" t="b">
        <x:v>0</x:v>
      </x:c>
      <x:c r="S1349" s="3" t="b">
        <x:v>1</x:v>
      </x:c>
      <x:c r="T1349" s="3" t="b">
        <x:v>0</x:v>
      </x:c>
      <x:c r="U1349" s="2" t="str">
        <x:f>IF(T1349=TRUE,"Priority review",IF(R1349=TRUE,"High cost",IF(S1349=TRUE,"Low quality","Benchmark")))</x:f>
        <x:v>Low quality</x:v>
      </x:c>
    </x:row>
    <x:row r="1350">
      <x:c r="A1350" s="2" t="str">
        <x:v>141324</x:v>
      </x:c>
      <x:c r="B1350" s="2" t="str">
        <x:v>FERRELL HOSPITAL COMMUNITY FOUNDATIONS</x:v>
      </x:c>
      <x:c r="C1350" s="2" t="str">
        <x:v>ELDORADO</x:v>
      </x:c>
      <x:c r="D1350" s="2" t="str">
        <x:v>IL</x:v>
      </x:c>
      <x:c r="E1350" s="2" t="str">
        <x:v>Critical Access Hospitals</x:v>
      </x:c>
      <x:c r="F1350" s="2" t="str">
        <x:v>Voluntary non-profit</x:v>
      </x:c>
      <x:c r="G1350" s="2" t="str">
        <x:v>Small (&lt;100 beds)</x:v>
      </x:c>
      <x:c r="H1350" s="7" t="n">
        <x:v>1</x:v>
      </x:c>
      <x:c r="I1350" s="7"/>
      <x:c r="J1350" s="7"/>
      <x:c r="K1350" s="8" t="n">
        <x:v>25</x:v>
      </x:c>
      <x:c r="L1350" s="8" t="n">
        <x:v>375</x:v>
      </x:c>
      <x:c r="M1350" s="9" t="n">
        <x:v>0.3163835616</x:v>
      </x:c>
      <x:c r="N1350" s="10" t="n">
        <x:v>197604.408</x:v>
      </x:c>
      <x:c r="O1350" s="9" t="n">
        <x:v>-0.3523679654</x:v>
      </x:c>
      <x:c r="P1350" s="9" t="n">
        <x:v>0.7271375465</x:v>
      </x:c>
      <x:c r="Q1350" s="9" t="n">
        <x:v>0</x:v>
      </x:c>
      <x:c r="R1350" s="3" t="b">
        <x:v>0</x:v>
      </x:c>
      <x:c r="S1350" s="3" t="b">
        <x:v>1</x:v>
      </x:c>
      <x:c r="T1350" s="3" t="b">
        <x:v>0</x:v>
      </x:c>
      <x:c r="U1350" s="2" t="str">
        <x:f>IF(T1350=TRUE,"Priority review",IF(R1350=TRUE,"High cost",IF(S1350=TRUE,"Low quality","Benchmark")))</x:f>
        <x:v>Low quality</x:v>
      </x:c>
    </x:row>
    <x:row r="1351">
      <x:c r="A1351" s="2" t="str">
        <x:v>240057</x:v>
      </x:c>
      <x:c r="B1351" s="2" t="str">
        <x:v>ABBOTT NORTHWESTERN HOSPITAL</x:v>
      </x:c>
      <x:c r="C1351" s="2" t="str">
        <x:v>MINNEAPOLIS</x:v>
      </x:c>
      <x:c r="D1351" s="2" t="str">
        <x:v>MN</x:v>
      </x:c>
      <x:c r="E1351" s="2" t="str">
        <x:v>Acute Care Hospitals</x:v>
      </x:c>
      <x:c r="F1351" s="2" t="str">
        <x:v>Voluntary non-profit</x:v>
      </x:c>
      <x:c r="G1351" s="2" t="str">
        <x:v>Large (300+ beds)</x:v>
      </x:c>
      <x:c r="H1351" s="7" t="n">
        <x:v>4</x:v>
      </x:c>
      <x:c r="I1351" s="7" t="n">
        <x:v>3</x:v>
      </x:c>
      <x:c r="J1351" s="7" t="n">
        <x:v>0.95</x:v>
      </x:c>
      <x:c r="K1351" s="8" t="n">
        <x:v>605</x:v>
      </x:c>
      <x:c r="L1351" s="8" t="n">
        <x:v>33298</x:v>
      </x:c>
      <x:c r="M1351" s="9" t="n">
        <x:v>0.8042728094</x:v>
      </x:c>
      <x:c r="N1351" s="10" t="n">
        <x:v>51925.682983963</x:v>
      </x:c>
      <x:c r="O1351" s="9" t="n">
        <x:v>-0.2218202445</x:v>
      </x:c>
      <x:c r="P1351" s="9" t="n">
        <x:v>0.7271293375</x:v>
      </x:c>
      <x:c r="Q1351" s="9" t="n">
        <x:v>0.5899053628</x:v>
      </x:c>
      <x:c r="R1351" s="3" t="b">
        <x:v>0</x:v>
      </x:c>
      <x:c r="S1351" s="3" t="b">
        <x:v>0</x:v>
      </x:c>
      <x:c r="T1351" s="3" t="b">
        <x:v>0</x:v>
      </x:c>
      <x:c r="U1351" s="2" t="str">
        <x:f>IF(T1351=TRUE,"Priority review",IF(R1351=TRUE,"High cost",IF(S1351=TRUE,"Low quality","Benchmark")))</x:f>
        <x:v>Benchmark</x:v>
      </x:c>
    </x:row>
    <x:row r="1352">
      <x:c r="A1352" s="2" t="str">
        <x:v>280111</x:v>
      </x:c>
      <x:c r="B1352" s="2" t="str">
        <x:v>COLUMBUS COMMUNITY HOSPITAL, INC</x:v>
      </x:c>
      <x:c r="C1352" s="2" t="str">
        <x:v>COLUMBUS</x:v>
      </x:c>
      <x:c r="D1352" s="2" t="str">
        <x:v>NE</x:v>
      </x:c>
      <x:c r="E1352" s="2" t="str">
        <x:v>Acute Care Hospitals</x:v>
      </x:c>
      <x:c r="F1352" s="2" t="str">
        <x:v>Voluntary non-profit</x:v>
      </x:c>
      <x:c r="G1352" s="2" t="str">
        <x:v>Small (&lt;100 beds)</x:v>
      </x:c>
      <x:c r="H1352" s="7" t="n">
        <x:v>3</x:v>
      </x:c>
      <x:c r="I1352" s="7" t="n">
        <x:v>4</x:v>
      </x:c>
      <x:c r="J1352" s="7" t="n">
        <x:v>1</x:v>
      </x:c>
      <x:c r="K1352" s="8" t="n">
        <x:v>50</x:v>
      </x:c>
      <x:c r="L1352" s="8" t="n">
        <x:v>1997</x:v>
      </x:c>
      <x:c r="M1352" s="9" t="n">
        <x:v>0.5220273973</x:v>
      </x:c>
      <x:c r="N1352" s="10" t="n">
        <x:v>79403.9904857286</x:v>
      </x:c>
      <x:c r="O1352" s="9" t="n">
        <x:v>0.0467402162</x:v>
      </x:c>
      <x:c r="P1352" s="9" t="n">
        <x:v>0.7271095153</x:v>
      </x:c>
      <x:c r="Q1352" s="9" t="n">
        <x:v>0.1687612208</x:v>
      </x:c>
      <x:c r="R1352" s="3" t="b">
        <x:v>0</x:v>
      </x:c>
      <x:c r="S1352" s="3" t="b">
        <x:v>0</x:v>
      </x:c>
      <x:c r="T1352" s="3" t="b">
        <x:v>0</x:v>
      </x:c>
      <x:c r="U1352" s="2" t="str">
        <x:f>IF(T1352=TRUE,"Priority review",IF(R1352=TRUE,"High cost",IF(S1352=TRUE,"Low quality","Benchmark")))</x:f>
        <x:v>Benchmark</x:v>
      </x:c>
    </x:row>
    <x:row r="1353">
      <x:c r="A1353" s="2" t="str">
        <x:v>230117</x:v>
      </x:c>
      <x:c r="B1353" s="2" t="str">
        <x:v>BORGESS MEDICAL CENTER</x:v>
      </x:c>
      <x:c r="C1353" s="2" t="str">
        <x:v>KALAMAZOO</x:v>
      </x:c>
      <x:c r="D1353" s="2" t="str">
        <x:v>MI</x:v>
      </x:c>
      <x:c r="E1353" s="2" t="str">
        <x:v>Acute Care Hospitals</x:v>
      </x:c>
      <x:c r="F1353" s="2" t="str">
        <x:v>Voluntary non-profit</x:v>
      </x:c>
      <x:c r="G1353" s="2" t="str">
        <x:v>Medium (100-299 beds)</x:v>
      </x:c>
      <x:c r="H1353" s="7" t="n">
        <x:v>3</x:v>
      </x:c>
      <x:c r="I1353" s="7" t="n">
        <x:v>2</x:v>
      </x:c>
      <x:c r="J1353" s="7" t="n">
        <x:v>0.98</x:v>
      </x:c>
      <x:c r="K1353" s="8" t="n">
        <x:v>239</x:v>
      </x:c>
      <x:c r="L1353" s="8" t="n">
        <x:v>11019</x:v>
      </x:c>
      <x:c r="M1353" s="9" t="n">
        <x:v>0.5246518026</x:v>
      </x:c>
      <x:c r="N1353" s="10" t="n">
        <x:v>45216.3597422634</x:v>
      </x:c>
      <x:c r="O1353" s="9" t="n">
        <x:v>-0.1556439297</x:v>
      </x:c>
      <x:c r="P1353" s="9" t="n">
        <x:v>0.7269763651</x:v>
      </x:c>
      <x:c r="Q1353" s="9" t="n">
        <x:v>0.3023634882</x:v>
      </x:c>
      <x:c r="R1353" s="3" t="b">
        <x:v>0</x:v>
      </x:c>
      <x:c r="S1353" s="3" t="b">
        <x:v>0</x:v>
      </x:c>
      <x:c r="T1353" s="3" t="b">
        <x:v>0</x:v>
      </x:c>
      <x:c r="U1353" s="2" t="str">
        <x:f>IF(T1353=TRUE,"Priority review",IF(R1353=TRUE,"High cost",IF(S1353=TRUE,"Low quality","Benchmark")))</x:f>
        <x:v>Benchmark</x:v>
      </x:c>
    </x:row>
    <x:row r="1354">
      <x:c r="A1354" s="2" t="str">
        <x:v>171324</x:v>
      </x:c>
      <x:c r="B1354" s="2" t="str">
        <x:v>SATANTA DISTRICT HOSPITAL, CLINICS, &amp; LTCU</x:v>
      </x:c>
      <x:c r="C1354" s="2" t="str">
        <x:v>SATANTA</x:v>
      </x:c>
      <x:c r="D1354" s="2" t="str">
        <x:v>KS</x:v>
      </x:c>
      <x:c r="E1354" s="2" t="str">
        <x:v>Critical Access Hospitals</x:v>
      </x:c>
      <x:c r="F1354" s="2" t="str">
        <x:v>Government</x:v>
      </x:c>
      <x:c r="G1354" s="2" t="str">
        <x:v>Small (&lt;100 beds)</x:v>
      </x:c>
      <x:c r="H1354" s="7"/>
      <x:c r="I1354" s="7"/>
      <x:c r="J1354" s="7"/>
      <x:c r="K1354" s="8" t="n">
        <x:v>23</x:v>
      </x:c>
      <x:c r="L1354" s="8" t="n">
        <x:v>88</x:v>
      </x:c>
      <x:c r="M1354" s="9" t="n">
        <x:v>0.4416726063</x:v>
      </x:c>
      <x:c r="N1354" s="10" t="n">
        <x:v>197141.7045454546</x:v>
      </x:c>
      <x:c r="O1354" s="9" t="n">
        <x:v>-0.2178738148</x:v>
      </x:c>
      <x:c r="P1354" s="9" t="n">
        <x:v>0.726394052</x:v>
      </x:c>
      <x:c r="Q1354" s="9" t="n">
        <x:v>0.292936803</x:v>
      </x:c>
      <x:c r="R1354" s="3" t="b">
        <x:v>0</x:v>
      </x:c>
      <x:c r="S1354" s="3" t="b">
        <x:v>0</x:v>
      </x:c>
      <x:c r="T1354" s="3" t="b">
        <x:v>0</x:v>
      </x:c>
      <x:c r="U1354" s="2" t="str">
        <x:f>IF(T1354=TRUE,"Priority review",IF(R1354=TRUE,"High cost",IF(S1354=TRUE,"Low quality","Benchmark")))</x:f>
        <x:v>Benchmark</x:v>
      </x:c>
    </x:row>
    <x:row r="1355">
      <x:c r="A1355" s="2" t="str">
        <x:v>334002</x:v>
      </x:c>
      <x:c r="B1355" s="2" t="str">
        <x:v>FOUR WINDS</x:v>
      </x:c>
      <x:c r="C1355" s="2" t="str">
        <x:v>KATONAH</x:v>
      </x:c>
      <x:c r="D1355" s="2" t="str">
        <x:v>NY</x:v>
      </x:c>
      <x:c r="E1355" s="2" t="str">
        <x:v>Psychiatric</x:v>
      </x:c>
      <x:c r="F1355" s="2" t="str">
        <x:v>Proprietary</x:v>
      </x:c>
      <x:c r="G1355" s="2" t="str">
        <x:v>Medium (100-299 beds)</x:v>
      </x:c>
      <x:c r="H1355" s="7"/>
      <x:c r="I1355" s="7"/>
      <x:c r="J1355" s="7"/>
      <x:c r="K1355" s="8" t="n">
        <x:v>175</x:v>
      </x:c>
      <x:c r="L1355" s="8" t="n">
        <x:v>2628</x:v>
      </x:c>
      <x:c r="M1355" s="9" t="n">
        <x:v>0.8029820453</x:v>
      </x:c>
      <x:c r="N1355" s="10" t="n">
        <x:v>24621.7910958904</x:v>
      </x:c>
      <x:c r="O1355" s="9" t="n">
        <x:v>-0.1442217058</x:v>
      </x:c>
      <x:c r="P1355" s="9" t="n">
        <x:v>0.7263681592</x:v>
      </x:c>
      <x:c r="Q1355" s="9" t="n">
        <x:v>0</x:v>
      </x:c>
      <x:c r="R1355" s="3" t="b">
        <x:v>0</x:v>
      </x:c>
      <x:c r="S1355" s="3" t="b">
        <x:v>0</x:v>
      </x:c>
      <x:c r="T1355" s="3" t="b">
        <x:v>0</x:v>
      </x:c>
      <x:c r="U1355" s="2" t="str">
        <x:f>IF(T1355=TRUE,"Priority review",IF(R1355=TRUE,"High cost",IF(S1355=TRUE,"Low quality","Benchmark")))</x:f>
        <x:v>Benchmark</x:v>
      </x:c>
    </x:row>
    <x:row r="1356">
      <x:c r="A1356" s="2" t="str">
        <x:v>520028</x:v>
      </x:c>
      <x:c r="B1356" s="2" t="str">
        <x:v>THE MONROE CLINIC</x:v>
      </x:c>
      <x:c r="C1356" s="2" t="str">
        <x:v>MONROE</x:v>
      </x:c>
      <x:c r="D1356" s="2" t="str">
        <x:v>WI</x:v>
      </x:c>
      <x:c r="E1356" s="2" t="str">
        <x:v>Acute Care Hospitals</x:v>
      </x:c>
      <x:c r="F1356" s="2" t="str">
        <x:v>Voluntary non-profit</x:v>
      </x:c>
      <x:c r="G1356" s="2" t="str">
        <x:v>Small (&lt;100 beds)</x:v>
      </x:c>
      <x:c r="H1356" s="7" t="n">
        <x:v>5</x:v>
      </x:c>
      <x:c r="I1356" s="7" t="n">
        <x:v>4</x:v>
      </x:c>
      <x:c r="J1356" s="7" t="n">
        <x:v>0.9</x:v>
      </x:c>
      <x:c r="K1356" s="8" t="n">
        <x:v>58</x:v>
      </x:c>
      <x:c r="L1356" s="8" t="n">
        <x:v>2697</x:v>
      </x:c>
      <x:c r="M1356" s="9" t="n">
        <x:v>0.4473337102</x:v>
      </x:c>
      <x:c r="N1356" s="10" t="n">
        <x:v>79383.5647015202</x:v>
      </x:c>
      <x:c r="O1356" s="9" t="n">
        <x:v>0.0043716506</x:v>
      </x:c>
      <x:c r="P1356" s="9" t="n">
        <x:v>0.7262118492</x:v>
      </x:c>
      <x:c r="Q1356" s="9" t="n">
        <x:v>0.6131059246</x:v>
      </x:c>
      <x:c r="R1356" s="3" t="b">
        <x:v>0</x:v>
      </x:c>
      <x:c r="S1356" s="3" t="b">
        <x:v>0</x:v>
      </x:c>
      <x:c r="T1356" s="3" t="b">
        <x:v>0</x:v>
      </x:c>
      <x:c r="U1356" s="2" t="str">
        <x:f>IF(T1356=TRUE,"Priority review",IF(R1356=TRUE,"High cost",IF(S1356=TRUE,"Low quality","Benchmark")))</x:f>
        <x:v>Benchmark</x:v>
      </x:c>
    </x:row>
    <x:row r="1357">
      <x:c r="A1357" s="2" t="str">
        <x:v>480001</x:v>
      </x:c>
      <x:c r="B1357" s="2" t="str">
        <x:v>ROY LESTER SCHNEIDER HOSPITAL,THE</x:v>
      </x:c>
      <x:c r="C1357" s="2" t="str">
        <x:v>ST THOMAS</x:v>
      </x:c>
      <x:c r="D1357" s="2" t="str">
        <x:v>VI</x:v>
      </x:c>
      <x:c r="E1357" s="2" t="str">
        <x:v>Acute Care Hospitals</x:v>
      </x:c>
      <x:c r="F1357" s="2" t="str">
        <x:v>Government</x:v>
      </x:c>
      <x:c r="G1357" s="2" t="str">
        <x:v>Medium (100-299 beds)</x:v>
      </x:c>
      <x:c r="H1357" s="7" t="n">
        <x:v>2</x:v>
      </x:c>
      <x:c r="I1357" s="7"/>
      <x:c r="J1357" s="7"/>
      <x:c r="K1357" s="8" t="n">
        <x:v>149</x:v>
      </x:c>
      <x:c r="L1357" s="8" t="n">
        <x:v>2534</x:v>
      </x:c>
      <x:c r="M1357" s="9" t="n">
        <x:v>0.3638830821</x:v>
      </x:c>
      <x:c r="N1357" s="10" t="n">
        <x:v>45184.4818468824</x:v>
      </x:c>
      <x:c r="O1357" s="9" t="n">
        <x:v>-0.4527233625</x:v>
      </x:c>
      <x:c r="P1357" s="9" t="n">
        <x:v>0.7261613692</x:v>
      </x:c>
      <x:c r="Q1357" s="9" t="n">
        <x:v>0.0782396088</x:v>
      </x:c>
      <x:c r="R1357" s="3" t="b">
        <x:v>0</x:v>
      </x:c>
      <x:c r="S1357" s="3" t="b">
        <x:v>1</x:v>
      </x:c>
      <x:c r="T1357" s="3" t="b">
        <x:v>0</x:v>
      </x:c>
      <x:c r="U1357" s="2" t="str">
        <x:f>IF(T1357=TRUE,"Priority review",IF(R1357=TRUE,"High cost",IF(S1357=TRUE,"Low quality","Benchmark")))</x:f>
        <x:v>Low quality</x:v>
      </x:c>
    </x:row>
    <x:row r="1358">
      <x:c r="A1358" s="2" t="str">
        <x:v>171349</x:v>
      </x:c>
      <x:c r="B1358" s="2" t="str">
        <x:v>CLOUD COUNTY HEALTH CENTER</x:v>
      </x:c>
      <x:c r="C1358" s="2" t="str">
        <x:v>CONCORDIA</x:v>
      </x:c>
      <x:c r="D1358" s="2" t="str">
        <x:v>KS</x:v>
      </x:c>
      <x:c r="E1358" s="2" t="str">
        <x:v>Critical Access Hospitals</x:v>
      </x:c>
      <x:c r="F1358" s="2" t="str">
        <x:v>Voluntary non-profit</x:v>
      </x:c>
      <x:c r="G1358" s="2" t="str">
        <x:v>Small (&lt;100 beds)</x:v>
      </x:c>
      <x:c r="H1358" s="7"/>
      <x:c r="I1358" s="7"/>
      <x:c r="J1358" s="7"/>
      <x:c r="K1358" s="8" t="n">
        <x:v>15</x:v>
      </x:c>
      <x:c r="L1358" s="8" t="n">
        <x:v>140</x:v>
      </x:c>
      <x:c r="M1358" s="9" t="n">
        <x:v>0.2714025501</x:v>
      </x:c>
      <x:c r="N1358" s="10" t="n">
        <x:v>197135.0857142857</x:v>
      </x:c>
      <x:c r="O1358" s="9" t="n">
        <x:v>-0.2130423722</x:v>
      </x:c>
      <x:c r="P1358" s="9" t="n">
        <x:v>0.7256505576</x:v>
      </x:c>
      <x:c r="Q1358" s="9" t="n">
        <x:v>0.292936803</x:v>
      </x:c>
      <x:c r="R1358" s="3" t="b">
        <x:v>0</x:v>
      </x:c>
      <x:c r="S1358" s="3" t="b">
        <x:v>0</x:v>
      </x:c>
      <x:c r="T1358" s="3" t="b">
        <x:v>0</x:v>
      </x:c>
      <x:c r="U1358" s="2" t="str">
        <x:f>IF(T1358=TRUE,"Priority review",IF(R1358=TRUE,"High cost",IF(S1358=TRUE,"Low quality","Benchmark")))</x:f>
        <x:v>Benchmark</x:v>
      </x:c>
    </x:row>
    <x:row r="1359">
      <x:c r="A1359" s="2" t="str">
        <x:v>450024</x:v>
      </x:c>
      <x:c r="B1359" s="2" t="str">
        <x:v>UNIVERSITY MEDICAL CENTER OF EL PASO</x:v>
      </x:c>
      <x:c r="C1359" s="2" t="str">
        <x:v>EL PASO</x:v>
      </x:c>
      <x:c r="D1359" s="2" t="str">
        <x:v>TX</x:v>
      </x:c>
      <x:c r="E1359" s="2" t="str">
        <x:v>Acute Care Hospitals</x:v>
      </x:c>
      <x:c r="F1359" s="2" t="str">
        <x:v>Other / unknown</x:v>
      </x:c>
      <x:c r="G1359" s="2" t="str">
        <x:v>Large (300+ beds)</x:v>
      </x:c>
      <x:c r="H1359" s="7" t="n">
        <x:v>3</x:v>
      </x:c>
      <x:c r="I1359" s="7" t="n">
        <x:v>3</x:v>
      </x:c>
      <x:c r="J1359" s="7" t="n">
        <x:v>1.12</x:v>
      </x:c>
      <x:c r="K1359" s="8" t="n">
        <x:v>333</x:v>
      </x:c>
      <x:c r="L1359" s="8" t="n">
        <x:v>18156</x:v>
      </x:c>
      <x:c r="M1359" s="9" t="n">
        <x:v>0.8182565114</x:v>
      </x:c>
      <x:c r="N1359" s="10" t="n">
        <x:v>51595.827495043</x:v>
      </x:c>
      <x:c r="O1359" s="9" t="n">
        <x:v>-0.8073905673</x:v>
      </x:c>
      <x:c r="P1359" s="9" t="n">
        <x:v>0.7255520505</x:v>
      </x:c>
      <x:c r="Q1359" s="9" t="n">
        <x:v>0.2570977918</x:v>
      </x:c>
      <x:c r="R1359" s="3" t="b">
        <x:v>0</x:v>
      </x:c>
      <x:c r="S1359" s="3" t="b">
        <x:v>0</x:v>
      </x:c>
      <x:c r="T1359" s="3" t="b">
        <x:v>0</x:v>
      </x:c>
      <x:c r="U1359" s="2" t="str">
        <x:f>IF(T1359=TRUE,"Priority review",IF(R1359=TRUE,"High cost",IF(S1359=TRUE,"Low quality","Benchmark")))</x:f>
        <x:v>Benchmark</x:v>
      </x:c>
    </x:row>
    <x:row r="1360">
      <x:c r="A1360" s="2" t="str">
        <x:v>330399</x:v>
      </x:c>
      <x:c r="B1360" s="2" t="str">
        <x:v>ST BARNABAS HOSPITAL</x:v>
      </x:c>
      <x:c r="C1360" s="2" t="str">
        <x:v>BRONX</x:v>
      </x:c>
      <x:c r="D1360" s="2" t="str">
        <x:v>NY</x:v>
      </x:c>
      <x:c r="E1360" s="2" t="str">
        <x:v>Acute Care Hospitals</x:v>
      </x:c>
      <x:c r="F1360" s="2" t="str">
        <x:v>Voluntary non-profit</x:v>
      </x:c>
      <x:c r="G1360" s="2" t="str">
        <x:v>Medium (100-299 beds)</x:v>
      </x:c>
      <x:c r="H1360" s="7" t="n">
        <x:v>1</x:v>
      </x:c>
      <x:c r="I1360" s="7" t="n">
        <x:v>2</x:v>
      </x:c>
      <x:c r="J1360" s="7" t="n">
        <x:v>0.98</x:v>
      </x:c>
      <x:c r="K1360" s="8" t="n">
        <x:v>283</x:v>
      </x:c>
      <x:c r="L1360" s="8" t="n">
        <x:v>12828</x:v>
      </x:c>
      <x:c r="M1360" s="9" t="n">
        <x:v>0.7218521308</x:v>
      </x:c>
      <x:c r="N1360" s="10" t="n">
        <x:v>45143.0958060493</x:v>
      </x:c>
      <x:c r="O1360" s="9" t="n">
        <x:v>-0.1666808596</x:v>
      </x:c>
      <x:c r="P1360" s="9" t="n">
        <x:v>0.7253463733</x:v>
      </x:c>
      <x:c r="Q1360" s="9" t="n">
        <x:v>0</x:v>
      </x:c>
      <x:c r="R1360" s="3" t="b">
        <x:v>0</x:v>
      </x:c>
      <x:c r="S1360" s="3" t="b">
        <x:v>1</x:v>
      </x:c>
      <x:c r="T1360" s="3" t="b">
        <x:v>0</x:v>
      </x:c>
      <x:c r="U1360" s="2" t="str">
        <x:f>IF(T1360=TRUE,"Priority review",IF(R1360=TRUE,"High cost",IF(S1360=TRUE,"Low quality","Benchmark")))</x:f>
        <x:v>Low quality</x:v>
      </x:c>
    </x:row>
    <x:row r="1361">
      <x:c r="A1361" s="2" t="str">
        <x:v>340159</x:v>
      </x:c>
      <x:c r="B1361" s="2" t="str">
        <x:v>PERSON MEMORIAL HOSPITAL</x:v>
      </x:c>
      <x:c r="C1361" s="2" t="str">
        <x:v>ROXBORO</x:v>
      </x:c>
      <x:c r="D1361" s="2" t="str">
        <x:v>NC</x:v>
      </x:c>
      <x:c r="E1361" s="2" t="str">
        <x:v>Acute Care Hospitals</x:v>
      </x:c>
      <x:c r="F1361" s="2" t="str">
        <x:v>Proprietary</x:v>
      </x:c>
      <x:c r="G1361" s="2" t="str">
        <x:v>Small (&lt;100 beds)</x:v>
      </x:c>
      <x:c r="H1361" s="7" t="n">
        <x:v>3</x:v>
      </x:c>
      <x:c r="I1361" s="7"/>
      <x:c r="J1361" s="7" t="n">
        <x:v>0.92</x:v>
      </x:c>
      <x:c r="K1361" s="8" t="n">
        <x:v>38</x:v>
      </x:c>
      <x:c r="L1361" s="8" t="n">
        <x:v>599</x:v>
      </x:c>
      <x:c r="M1361" s="9" t="n">
        <x:v>0.2076423937</x:v>
      </x:c>
      <x:c r="N1361" s="10" t="n">
        <x:v>79358.7295492487</x:v>
      </x:c>
      <x:c r="O1361" s="9" t="n">
        <x:v>-0.4178803833</x:v>
      </x:c>
      <x:c r="P1361" s="9" t="n">
        <x:v>0.7253141831</x:v>
      </x:c>
      <x:c r="Q1361" s="9" t="n">
        <x:v>0.1687612208</x:v>
      </x:c>
      <x:c r="R1361" s="3" t="b">
        <x:v>0</x:v>
      </x:c>
      <x:c r="S1361" s="3" t="b">
        <x:v>0</x:v>
      </x:c>
      <x:c r="T1361" s="3" t="b">
        <x:v>0</x:v>
      </x:c>
      <x:c r="U1361" s="2" t="str">
        <x:f>IF(T1361=TRUE,"Priority review",IF(R1361=TRUE,"High cost",IF(S1361=TRUE,"Low quality","Benchmark")))</x:f>
        <x:v>Benchmark</x:v>
      </x:c>
    </x:row>
    <x:row r="1362">
      <x:c r="A1362" s="2" t="str">
        <x:v>394051</x:v>
      </x:c>
      <x:c r="B1362" s="2" t="str">
        <x:v>PENNSYLVANIA PSYCHIATRIC INSTITUTE</x:v>
      </x:c>
      <x:c r="C1362" s="2" t="str">
        <x:v>HARRISBURG</x:v>
      </x:c>
      <x:c r="D1362" s="2" t="str">
        <x:v>PA</x:v>
      </x:c>
      <x:c r="E1362" s="2" t="str">
        <x:v>Psychiatric</x:v>
      </x:c>
      <x:c r="F1362" s="2" t="str">
        <x:v>Proprietary</x:v>
      </x:c>
      <x:c r="G1362" s="2" t="str">
        <x:v>Small (&lt;100 beds)</x:v>
      </x:c>
      <x:c r="H1362" s="7"/>
      <x:c r="I1362" s="7"/>
      <x:c r="J1362" s="7"/>
      <x:c r="K1362" s="8" t="n">
        <x:v>89</x:v>
      </x:c>
      <x:c r="L1362" s="8" t="n">
        <x:v>1905</x:v>
      </x:c>
      <x:c r="M1362" s="9" t="n">
        <x:v>0.7618285362</x:v>
      </x:c>
      <x:c r="N1362" s="10" t="n">
        <x:v>27298.2650918635</x:v>
      </x:c>
      <x:c r="O1362" s="9" t="n">
        <x:v>-0.6090211966</x:v>
      </x:c>
      <x:c r="P1362" s="9" t="n">
        <x:v>0.7249190939</x:v>
      </x:c>
      <x:c r="Q1362" s="9" t="n">
        <x:v>0</x:v>
      </x:c>
      <x:c r="R1362" s="3" t="b">
        <x:v>0</x:v>
      </x:c>
      <x:c r="S1362" s="3" t="b">
        <x:v>0</x:v>
      </x:c>
      <x:c r="T1362" s="3" t="b">
        <x:v>0</x:v>
      </x:c>
      <x:c r="U1362" s="2" t="str">
        <x:f>IF(T1362=TRUE,"Priority review",IF(R1362=TRUE,"High cost",IF(S1362=TRUE,"Low quality","Benchmark")))</x:f>
        <x:v>Benchmark</x:v>
      </x:c>
    </x:row>
    <x:row r="1363">
      <x:c r="A1363" s="2" t="str">
        <x:v>321307</x:v>
      </x:c>
      <x:c r="B1363" s="2" t="str">
        <x:v>MINERS' COLFAX MEDICAL CENTER</x:v>
      </x:c>
      <x:c r="C1363" s="2" t="str">
        <x:v>RATON</x:v>
      </x:c>
      <x:c r="D1363" s="2" t="str">
        <x:v>NM</x:v>
      </x:c>
      <x:c r="E1363" s="2" t="str">
        <x:v>Critical Access Hospitals</x:v>
      </x:c>
      <x:c r="F1363" s="2" t="str">
        <x:v>Government</x:v>
      </x:c>
      <x:c r="G1363" s="2" t="str">
        <x:v>Small (&lt;100 beds)</x:v>
      </x:c>
      <x:c r="H1363" s="7"/>
      <x:c r="I1363" s="7"/>
      <x:c r="J1363" s="7"/>
      <x:c r="K1363" s="8" t="n">
        <x:v>25</x:v>
      </x:c>
      <x:c r="L1363" s="8" t="n">
        <x:v>217</x:v>
      </x:c>
      <x:c r="M1363" s="9" t="n">
        <x:v>0.106630137</x:v>
      </x:c>
      <x:c r="N1363" s="10" t="n">
        <x:v>196845.668202765</x:v>
      </x:c>
      <x:c r="O1363" s="9" t="n">
        <x:v>-0.9363718921</x:v>
      </x:c>
      <x:c r="P1363" s="9" t="n">
        <x:v>0.7249070632</x:v>
      </x:c>
      <x:c r="Q1363" s="9" t="n">
        <x:v>0.292936803</x:v>
      </x:c>
      <x:c r="R1363" s="3" t="b">
        <x:v>0</x:v>
      </x:c>
      <x:c r="S1363" s="3" t="b">
        <x:v>0</x:v>
      </x:c>
      <x:c r="T1363" s="3" t="b">
        <x:v>0</x:v>
      </x:c>
      <x:c r="U1363" s="2" t="str">
        <x:f>IF(T1363=TRUE,"Priority review",IF(R1363=TRUE,"High cost",IF(S1363=TRUE,"Low quality","Benchmark")))</x:f>
        <x:v>Benchmark</x:v>
      </x:c>
    </x:row>
    <x:row r="1364">
      <x:c r="A1364" s="2" t="str">
        <x:v>380047</x:v>
      </x:c>
      <x:c r="B1364" s="2" t="str">
        <x:v>ST CHARLES MEDICAL CENTER - BEND</x:v>
      </x:c>
      <x:c r="C1364" s="2" t="str">
        <x:v>BEND</x:v>
      </x:c>
      <x:c r="D1364" s="2" t="str">
        <x:v>OR</x:v>
      </x:c>
      <x:c r="E1364" s="2" t="str">
        <x:v>Acute Care Hospitals</x:v>
      </x:c>
      <x:c r="F1364" s="2" t="str">
        <x:v>Voluntary non-profit</x:v>
      </x:c>
      <x:c r="G1364" s="2" t="str">
        <x:v>Medium (100-299 beds)</x:v>
      </x:c>
      <x:c r="H1364" s="7" t="n">
        <x:v>4</x:v>
      </x:c>
      <x:c r="I1364" s="7" t="n">
        <x:v>4</x:v>
      </x:c>
      <x:c r="J1364" s="7" t="n">
        <x:v>0.9</x:v>
      </x:c>
      <x:c r="K1364" s="8" t="n">
        <x:v>280</x:v>
      </x:c>
      <x:c r="L1364" s="8" t="n">
        <x:v>18491</x:v>
      </x:c>
      <x:c r="M1364" s="9" t="n">
        <x:v>0.7467993755</x:v>
      </x:c>
      <x:c r="N1364" s="10" t="n">
        <x:v>45140.6850359634</x:v>
      </x:c>
      <x:c r="O1364" s="9" t="n">
        <x:v>0.1777181657</x:v>
      </x:c>
      <x:c r="P1364" s="9" t="n">
        <x:v>0.7245313773</x:v>
      </x:c>
      <x:c r="Q1364" s="9" t="n">
        <x:v>0.6022819886</x:v>
      </x:c>
      <x:c r="R1364" s="3" t="b">
        <x:v>0</x:v>
      </x:c>
      <x:c r="S1364" s="3" t="b">
        <x:v>0</x:v>
      </x:c>
      <x:c r="T1364" s="3" t="b">
        <x:v>0</x:v>
      </x:c>
      <x:c r="U1364" s="2" t="str">
        <x:f>IF(T1364=TRUE,"Priority review",IF(R1364=TRUE,"High cost",IF(S1364=TRUE,"Low quality","Benchmark")))</x:f>
        <x:v>Benchmark</x:v>
      </x:c>
    </x:row>
    <x:row r="1365">
      <x:c r="A1365" s="2" t="str">
        <x:v>150061</x:v>
      </x:c>
      <x:c r="B1365" s="2" t="str">
        <x:v>DAVIESS COMMUNITY HOSPITAL</x:v>
      </x:c>
      <x:c r="C1365" s="2" t="str">
        <x:v>WASHINGTON</x:v>
      </x:c>
      <x:c r="D1365" s="2" t="str">
        <x:v>IN</x:v>
      </x:c>
      <x:c r="E1365" s="2" t="str">
        <x:v>Acute Care Hospitals</x:v>
      </x:c>
      <x:c r="F1365" s="2" t="str">
        <x:v>Government</x:v>
      </x:c>
      <x:c r="G1365" s="2" t="str">
        <x:v>Small (&lt;100 beds)</x:v>
      </x:c>
      <x:c r="H1365" s="7" t="n">
        <x:v>3</x:v>
      </x:c>
      <x:c r="I1365" s="7" t="n">
        <x:v>3</x:v>
      </x:c>
      <x:c r="J1365" s="7" t="n">
        <x:v>1.07</x:v>
      </x:c>
      <x:c r="K1365" s="8" t="n">
        <x:v>36</x:v>
      </x:c>
      <x:c r="L1365" s="8" t="n">
        <x:v>989</x:v>
      </x:c>
      <x:c r="M1365" s="9" t="n">
        <x:v>0.3022920461</x:v>
      </x:c>
      <x:c r="N1365" s="10" t="n">
        <x:v>79261.2770475227</x:v>
      </x:c>
      <x:c r="O1365" s="9" t="n">
        <x:v>-0.2051385785</x:v>
      </x:c>
      <x:c r="P1365" s="9" t="n">
        <x:v>0.7244165171</x:v>
      </x:c>
      <x:c r="Q1365" s="9" t="n">
        <x:v>0.1687612208</x:v>
      </x:c>
      <x:c r="R1365" s="3" t="b">
        <x:v>0</x:v>
      </x:c>
      <x:c r="S1365" s="3" t="b">
        <x:v>0</x:v>
      </x:c>
      <x:c r="T1365" s="3" t="b">
        <x:v>0</x:v>
      </x:c>
      <x:c r="U1365" s="2" t="str">
        <x:f>IF(T1365=TRUE,"Priority review",IF(R1365=TRUE,"High cost",IF(S1365=TRUE,"Low quality","Benchmark")))</x:f>
        <x:v>Benchmark</x:v>
      </x:c>
    </x:row>
    <x:row r="1366">
      <x:c r="A1366" s="2" t="str">
        <x:v>431322</x:v>
      </x:c>
      <x:c r="B1366" s="2" t="str">
        <x:v>FALL RIVER HOSPITAL - CAH</x:v>
      </x:c>
      <x:c r="C1366" s="2" t="str">
        <x:v>HOT SPRINGS</x:v>
      </x:c>
      <x:c r="D1366" s="2" t="str">
        <x:v>SD</x:v>
      </x:c>
      <x:c r="E1366" s="2" t="str">
        <x:v>Critical Access Hospitals</x:v>
      </x:c>
      <x:c r="F1366" s="2" t="str">
        <x:v>Government</x:v>
      </x:c>
      <x:c r="G1366" s="2" t="str">
        <x:v>Small (&lt;100 beds)</x:v>
      </x:c>
      <x:c r="H1366" s="7"/>
      <x:c r="I1366" s="7"/>
      <x:c r="J1366" s="7"/>
      <x:c r="K1366" s="8" t="n">
        <x:v>25</x:v>
      </x:c>
      <x:c r="L1366" s="8" t="n">
        <x:v>163</x:v>
      </x:c>
      <x:c r="M1366" s="9" t="n">
        <x:v>0.2273224044</x:v>
      </x:c>
      <x:c r="N1366" s="10" t="n">
        <x:v>196786.0429447853</x:v>
      </x:c>
      <x:c r="O1366" s="9" t="n">
        <x:v>-0.0339979829</x:v>
      </x:c>
      <x:c r="P1366" s="9" t="n">
        <x:v>0.7241635688</x:v>
      </x:c>
      <x:c r="Q1366" s="9" t="n">
        <x:v>0.292936803</x:v>
      </x:c>
      <x:c r="R1366" s="3" t="b">
        <x:v>0</x:v>
      </x:c>
      <x:c r="S1366" s="3" t="b">
        <x:v>0</x:v>
      </x:c>
      <x:c r="T1366" s="3" t="b">
        <x:v>0</x:v>
      </x:c>
      <x:c r="U1366" s="2" t="str">
        <x:f>IF(T1366=TRUE,"Priority review",IF(R1366=TRUE,"High cost",IF(S1366=TRUE,"Low quality","Benchmark")))</x:f>
        <x:v>Benchmark</x:v>
      </x:c>
    </x:row>
    <x:row r="1367">
      <x:c r="A1367" s="2" t="str">
        <x:v>220171</x:v>
      </x:c>
      <x:c r="B1367" s="2" t="str">
        <x:v>LAHEY HOSPITAL &amp; MEDICAL CENTER, BURLINGTON</x:v>
      </x:c>
      <x:c r="C1367" s="2" t="str">
        <x:v>BURLINGTON</x:v>
      </x:c>
      <x:c r="D1367" s="2" t="str">
        <x:v>MA</x:v>
      </x:c>
      <x:c r="E1367" s="2" t="str">
        <x:v>Acute Care Hospitals</x:v>
      </x:c>
      <x:c r="F1367" s="2" t="str">
        <x:v>Voluntary non-profit</x:v>
      </x:c>
      <x:c r="G1367" s="2" t="str">
        <x:v>Large (300+ beds)</x:v>
      </x:c>
      <x:c r="H1367" s="7" t="n">
        <x:v>4</x:v>
      </x:c>
      <x:c r="I1367" s="7" t="n">
        <x:v>3</x:v>
      </x:c>
      <x:c r="J1367" s="7" t="n">
        <x:v>0.97</x:v>
      </x:c>
      <x:c r="K1367" s="8" t="n">
        <x:v>343</x:v>
      </x:c>
      <x:c r="L1367" s="8" t="n">
        <x:v>22176</x:v>
      </x:c>
      <x:c r="M1367" s="9" t="n">
        <x:v>1</x:v>
      </x:c>
      <x:c r="N1367" s="10" t="n">
        <x:v>51544.4584235209</x:v>
      </x:c>
      <x:c r="O1367" s="9" t="n">
        <x:v>0.0162044045</x:v>
      </x:c>
      <x:c r="P1367" s="9" t="n">
        <x:v>0.7239747634</x:v>
      </x:c>
      <x:c r="Q1367" s="9" t="n">
        <x:v>0.5899053628</x:v>
      </x:c>
      <x:c r="R1367" s="3" t="b">
        <x:v>0</x:v>
      </x:c>
      <x:c r="S1367" s="3" t="b">
        <x:v>0</x:v>
      </x:c>
      <x:c r="T1367" s="3" t="b">
        <x:v>0</x:v>
      </x:c>
      <x:c r="U1367" s="2" t="str">
        <x:f>IF(T1367=TRUE,"Priority review",IF(R1367=TRUE,"High cost",IF(S1367=TRUE,"Low quality","Benchmark")))</x:f>
        <x:v>Benchmark</x:v>
      </x:c>
    </x:row>
    <x:row r="1368">
      <x:c r="A1368" s="2" t="str">
        <x:v>180019</x:v>
      </x:c>
      <x:c r="B1368" s="2" t="str">
        <x:v>MEADOWVIEW REGIONAL MEDICAL CENTER</x:v>
      </x:c>
      <x:c r="C1368" s="2" t="str">
        <x:v>MAYSVILLE</x:v>
      </x:c>
      <x:c r="D1368" s="2" t="str">
        <x:v>KY</x:v>
      </x:c>
      <x:c r="E1368" s="2" t="str">
        <x:v>Acute Care Hospitals</x:v>
      </x:c>
      <x:c r="F1368" s="2" t="str">
        <x:v>Proprietary</x:v>
      </x:c>
      <x:c r="G1368" s="2" t="str">
        <x:v>Medium (100-299 beds)</x:v>
      </x:c>
      <x:c r="H1368" s="7" t="n">
        <x:v>4</x:v>
      </x:c>
      <x:c r="I1368" s="7" t="n">
        <x:v>3</x:v>
      </x:c>
      <x:c r="J1368" s="7" t="n">
        <x:v>1.1</x:v>
      </x:c>
      <x:c r="K1368" s="8" t="n">
        <x:v>100</x:v>
      </x:c>
      <x:c r="L1368" s="8" t="n">
        <x:v>1832</x:v>
      </x:c>
      <x:c r="M1368" s="9" t="n">
        <x:v>0.1413934426</x:v>
      </x:c>
      <x:c r="N1368" s="10" t="n">
        <x:v>45054.5884279476</x:v>
      </x:c>
      <x:c r="O1368" s="9" t="n">
        <x:v>0.1155979126</x:v>
      </x:c>
      <x:c r="P1368" s="9" t="n">
        <x:v>0.7237163814</x:v>
      </x:c>
      <x:c r="Q1368" s="9" t="n">
        <x:v>0.6022819886</x:v>
      </x:c>
      <x:c r="R1368" s="3" t="b">
        <x:v>0</x:v>
      </x:c>
      <x:c r="S1368" s="3" t="b">
        <x:v>0</x:v>
      </x:c>
      <x:c r="T1368" s="3" t="b">
        <x:v>0</x:v>
      </x:c>
      <x:c r="U1368" s="2" t="str">
        <x:f>IF(T1368=TRUE,"Priority review",IF(R1368=TRUE,"High cost",IF(S1368=TRUE,"Low quality","Benchmark")))</x:f>
        <x:v>Benchmark</x:v>
      </x:c>
    </x:row>
    <x:row r="1369">
      <x:c r="A1369" s="2" t="str">
        <x:v>050127</x:v>
      </x:c>
      <x:c r="B1369" s="2" t="str">
        <x:v>WOODLAND MEMORIAL HOSPITAL</x:v>
      </x:c>
      <x:c r="C1369" s="2" t="str">
        <x:v>WOODLAND</x:v>
      </x:c>
      <x:c r="D1369" s="2" t="str">
        <x:v>CA</x:v>
      </x:c>
      <x:c r="E1369" s="2" t="str">
        <x:v>Acute Care Hospitals</x:v>
      </x:c>
      <x:c r="F1369" s="2" t="str">
        <x:v>Voluntary non-profit</x:v>
      </x:c>
      <x:c r="G1369" s="2" t="str">
        <x:v>Small (&lt;100 beds)</x:v>
      </x:c>
      <x:c r="H1369" s="7" t="n">
        <x:v>5</x:v>
      </x:c>
      <x:c r="I1369" s="7" t="n">
        <x:v>4</x:v>
      </x:c>
      <x:c r="J1369" s="7" t="n">
        <x:v>0.89</x:v>
      </x:c>
      <x:c r="K1369" s="8" t="n">
        <x:v>74</x:v>
      </x:c>
      <x:c r="L1369" s="8" t="n">
        <x:v>3028</x:v>
      </x:c>
      <x:c r="M1369" s="9" t="n">
        <x:v>0.4348692955</x:v>
      </x:c>
      <x:c r="N1369" s="10" t="n">
        <x:v>79140.2450462351</x:v>
      </x:c>
      <x:c r="O1369" s="9" t="n">
        <x:v>-0.0155840371</x:v>
      </x:c>
      <x:c r="P1369" s="9" t="n">
        <x:v>0.723518851</x:v>
      </x:c>
      <x:c r="Q1369" s="9" t="n">
        <x:v>0.6131059246</x:v>
      </x:c>
      <x:c r="R1369" s="3" t="b">
        <x:v>0</x:v>
      </x:c>
      <x:c r="S1369" s="3" t="b">
        <x:v>0</x:v>
      </x:c>
      <x:c r="T1369" s="3" t="b">
        <x:v>0</x:v>
      </x:c>
      <x:c r="U1369" s="2" t="str">
        <x:f>IF(T1369=TRUE,"Priority review",IF(R1369=TRUE,"High cost",IF(S1369=TRUE,"Low quality","Benchmark")))</x:f>
        <x:v>Benchmark</x:v>
      </x:c>
    </x:row>
    <x:row r="1370">
      <x:c r="A1370" s="2" t="str">
        <x:v>051336</x:v>
      </x:c>
      <x:c r="B1370" s="2" t="str">
        <x:v>SOUTHERN MONTEREY COUNTY MEMORIAL HOSPITAL</x:v>
      </x:c>
      <x:c r="C1370" s="2" t="str">
        <x:v>KING CITY</x:v>
      </x:c>
      <x:c r="D1370" s="2" t="str">
        <x:v>CA</x:v>
      </x:c>
      <x:c r="E1370" s="2" t="str">
        <x:v>Critical Access Hospitals</x:v>
      </x:c>
      <x:c r="F1370" s="2" t="str">
        <x:v>Voluntary non-profit</x:v>
      </x:c>
      <x:c r="G1370" s="2" t="str">
        <x:v>Small (&lt;100 beds)</x:v>
      </x:c>
      <x:c r="H1370" s="7"/>
      <x:c r="I1370" s="7"/>
      <x:c r="J1370" s="7"/>
      <x:c r="K1370" s="8" t="n">
        <x:v>13</x:v>
      </x:c>
      <x:c r="L1370" s="8" t="n">
        <x:v>369</x:v>
      </x:c>
      <x:c r="M1370" s="9" t="n">
        <x:v>0.3699033207</x:v>
      </x:c>
      <x:c r="N1370" s="10" t="n">
        <x:v>196759.7154471545</x:v>
      </x:c>
      <x:c r="O1370" s="9" t="n">
        <x:v>-0.0658258957</x:v>
      </x:c>
      <x:c r="P1370" s="9" t="n">
        <x:v>0.7234200743</x:v>
      </x:c>
      <x:c r="Q1370" s="9" t="n">
        <x:v>0.292936803</x:v>
      </x:c>
      <x:c r="R1370" s="3" t="b">
        <x:v>0</x:v>
      </x:c>
      <x:c r="S1370" s="3" t="b">
        <x:v>0</x:v>
      </x:c>
      <x:c r="T1370" s="3" t="b">
        <x:v>0</x:v>
      </x:c>
      <x:c r="U1370" s="2" t="str">
        <x:f>IF(T1370=TRUE,"Priority review",IF(R1370=TRUE,"High cost",IF(S1370=TRUE,"Low quality","Benchmark")))</x:f>
        <x:v>Benchmark</x:v>
      </x:c>
    </x:row>
    <x:row r="1371">
      <x:c r="A1371" s="2" t="str">
        <x:v>050150</x:v>
      </x:c>
      <x:c r="B1371" s="2" t="str">
        <x:v>SIERRA NEVADA MEMORIAL HOSPITAL</x:v>
      </x:c>
      <x:c r="C1371" s="2" t="str">
        <x:v>GRASS VALLEY</x:v>
      </x:c>
      <x:c r="D1371" s="2" t="str">
        <x:v>CA</x:v>
      </x:c>
      <x:c r="E1371" s="2" t="str">
        <x:v>Acute Care Hospitals</x:v>
      </x:c>
      <x:c r="F1371" s="2" t="str">
        <x:v>Voluntary non-profit</x:v>
      </x:c>
      <x:c r="G1371" s="2" t="str">
        <x:v>Medium (100-299 beds)</x:v>
      </x:c>
      <x:c r="H1371" s="7" t="n">
        <x:v>3</x:v>
      </x:c>
      <x:c r="I1371" s="7" t="n">
        <x:v>3</x:v>
      </x:c>
      <x:c r="J1371" s="7" t="n">
        <x:v>0.97</x:v>
      </x:c>
      <x:c r="K1371" s="8" t="n">
        <x:v>104</x:v>
      </x:c>
      <x:c r="L1371" s="8" t="n">
        <x:v>4511</x:v>
      </x:c>
      <x:c r="M1371" s="9" t="n">
        <x:v>0.4951397646</x:v>
      </x:c>
      <x:c r="N1371" s="10" t="n">
        <x:v>45034.1990689426</x:v>
      </x:c>
      <x:c r="O1371" s="9" t="n">
        <x:v>0.0515402132</x:v>
      </x:c>
      <x:c r="P1371" s="9" t="n">
        <x:v>0.7229013855</x:v>
      </x:c>
      <x:c r="Q1371" s="9" t="n">
        <x:v>0.3023634882</x:v>
      </x:c>
      <x:c r="R1371" s="3" t="b">
        <x:v>0</x:v>
      </x:c>
      <x:c r="S1371" s="3" t="b">
        <x:v>0</x:v>
      </x:c>
      <x:c r="T1371" s="3" t="b">
        <x:v>0</x:v>
      </x:c>
      <x:c r="U1371" s="2" t="str">
        <x:f>IF(T1371=TRUE,"Priority review",IF(R1371=TRUE,"High cost",IF(S1371=TRUE,"Low quality","Benchmark")))</x:f>
        <x:v>Benchmark</x:v>
      </x:c>
    </x:row>
    <x:row r="1372">
      <x:c r="A1372" s="2" t="str">
        <x:v>331309</x:v>
      </x:c>
      <x:c r="B1372" s="2" t="str">
        <x:v>RIVER HOSPITAL CLINICS</x:v>
      </x:c>
      <x:c r="C1372" s="2" t="str">
        <x:v>ALEXANDRIA BAY</x:v>
      </x:c>
      <x:c r="D1372" s="2" t="str">
        <x:v>NY</x:v>
      </x:c>
      <x:c r="E1372" s="2" t="str">
        <x:v>Critical Access Hospitals</x:v>
      </x:c>
      <x:c r="F1372" s="2" t="str">
        <x:v>Voluntary non-profit</x:v>
      </x:c>
      <x:c r="G1372" s="2" t="str">
        <x:v>Small (&lt;100 beds)</x:v>
      </x:c>
      <x:c r="H1372" s="7"/>
      <x:c r="I1372" s="7"/>
      <x:c r="J1372" s="7"/>
      <x:c r="K1372" s="8" t="n">
        <x:v>25</x:v>
      </x:c>
      <x:c r="L1372" s="8" t="n">
        <x:v>152</x:v>
      </x:c>
      <x:c r="M1372" s="9" t="n">
        <x:v>0.2529315068</x:v>
      </x:c>
      <x:c r="N1372" s="10" t="n">
        <x:v>196715.3552631579</x:v>
      </x:c>
      <x:c r="O1372" s="9" t="n">
        <x:v>-0.0729870969</x:v>
      </x:c>
      <x:c r="P1372" s="9" t="n">
        <x:v>0.7226765799</x:v>
      </x:c>
      <x:c r="Q1372" s="9" t="n">
        <x:v>0.292936803</x:v>
      </x:c>
      <x:c r="R1372" s="3" t="b">
        <x:v>0</x:v>
      </x:c>
      <x:c r="S1372" s="3" t="b">
        <x:v>0</x:v>
      </x:c>
      <x:c r="T1372" s="3" t="b">
        <x:v>0</x:v>
      </x:c>
      <x:c r="U1372" s="2" t="str">
        <x:f>IF(T1372=TRUE,"Priority review",IF(R1372=TRUE,"High cost",IF(S1372=TRUE,"Low quality","Benchmark")))</x:f>
        <x:v>Benchmark</x:v>
      </x:c>
    </x:row>
    <x:row r="1373">
      <x:c r="A1373" s="2" t="str">
        <x:v>370216</x:v>
      </x:c>
      <x:c r="B1373" s="2" t="str">
        <x:v>TULSA SPINE &amp; SPECIALTY HOSPITAL</x:v>
      </x:c>
      <x:c r="C1373" s="2" t="str">
        <x:v>TULSA</x:v>
      </x:c>
      <x:c r="D1373" s="2" t="str">
        <x:v>OK</x:v>
      </x:c>
      <x:c r="E1373" s="2" t="str">
        <x:v>Acute Care Hospitals</x:v>
      </x:c>
      <x:c r="F1373" s="2" t="str">
        <x:v>Proprietary</x:v>
      </x:c>
      <x:c r="G1373" s="2" t="str">
        <x:v>Small (&lt;100 beds)</x:v>
      </x:c>
      <x:c r="H1373" s="7"/>
      <x:c r="I1373" s="7" t="n">
        <x:v>5</x:v>
      </x:c>
      <x:c r="J1373" s="7" t="n">
        <x:v>0.94</x:v>
      </x:c>
      <x:c r="K1373" s="8" t="n">
        <x:v>38</x:v>
      </x:c>
      <x:c r="L1373" s="8" t="n">
        <x:v>960</x:v>
      </x:c>
      <x:c r="M1373" s="9" t="n">
        <x:v>0.1896031061</x:v>
      </x:c>
      <x:c r="N1373" s="10" t="n">
        <x:v>79036.0947916667</x:v>
      </x:c>
      <x:c r="O1373" s="9" t="n">
        <x:v>0.1800049875</x:v>
      </x:c>
      <x:c r="P1373" s="9" t="n">
        <x:v>0.7226211849</x:v>
      </x:c>
      <x:c r="Q1373" s="9" t="n">
        <x:v>0.697486535</x:v>
      </x:c>
      <x:c r="R1373" s="3" t="b">
        <x:v>0</x:v>
      </x:c>
      <x:c r="S1373" s="3" t="b">
        <x:v>0</x:v>
      </x:c>
      <x:c r="T1373" s="3" t="b">
        <x:v>0</x:v>
      </x:c>
      <x:c r="U1373" s="2" t="str">
        <x:f>IF(T1373=TRUE,"Priority review",IF(R1373=TRUE,"High cost",IF(S1373=TRUE,"Low quality","Benchmark")))</x:f>
        <x:v>Benchmark</x:v>
      </x:c>
    </x:row>
    <x:row r="1374">
      <x:c r="A1374" s="2" t="str">
        <x:v>050138</x:v>
      </x:c>
      <x:c r="B1374" s="2" t="str">
        <x:v>KAISER FOUNDATION HOSPITAL - LOS ANGELES</x:v>
      </x:c>
      <x:c r="C1374" s="2" t="str">
        <x:v>LOS ANGELES</x:v>
      </x:c>
      <x:c r="D1374" s="2" t="str">
        <x:v>CA</x:v>
      </x:c>
      <x:c r="E1374" s="2" t="str">
        <x:v>Acute Care Hospitals</x:v>
      </x:c>
      <x:c r="F1374" s="2" t="str">
        <x:v>Voluntary non-profit</x:v>
      </x:c>
      <x:c r="G1374" s="2" t="str">
        <x:v>Large (300+ beds)</x:v>
      </x:c>
      <x:c r="H1374" s="7" t="n">
        <x:v>5</x:v>
      </x:c>
      <x:c r="I1374" s="7" t="n">
        <x:v>3</x:v>
      </x:c>
      <x:c r="J1374" s="7" t="n">
        <x:v>0.9</x:v>
      </x:c>
      <x:c r="K1374" s="8" t="n">
        <x:v>492</x:v>
      </x:c>
      <x:c r="L1374" s="8" t="n">
        <x:v>22329</x:v>
      </x:c>
      <x:c r="M1374" s="9" t="n">
        <x:v>0.7056621796</x:v>
      </x:c>
      <x:c r="N1374" s="10" t="n">
        <x:v>51476.6272112499</x:v>
      </x:c>
      <x:c r="O1374" s="9" t="n">
        <x:v>0.1792698051</x:v>
      </x:c>
      <x:c r="P1374" s="9" t="n">
        <x:v>0.7223974763</x:v>
      </x:c>
      <x:c r="Q1374" s="9" t="n">
        <x:v>0.8722397476</x:v>
      </x:c>
      <x:c r="R1374" s="3" t="b">
        <x:v>0</x:v>
      </x:c>
      <x:c r="S1374" s="3" t="b">
        <x:v>0</x:v>
      </x:c>
      <x:c r="T1374" s="3" t="b">
        <x:v>0</x:v>
      </x:c>
      <x:c r="U1374" s="2" t="str">
        <x:f>IF(T1374=TRUE,"Priority review",IF(R1374=TRUE,"High cost",IF(S1374=TRUE,"Low quality","Benchmark")))</x:f>
        <x:v>Benchmark</x:v>
      </x:c>
    </x:row>
    <x:row r="1375">
      <x:c r="A1375" s="2" t="str">
        <x:v>460015</x:v>
      </x:c>
      <x:c r="B1375" s="2" t="str">
        <x:v>INTERMOUNTAIN HEALTH LOGAN REGIONAL HOSPITAL</x:v>
      </x:c>
      <x:c r="C1375" s="2" t="str">
        <x:v>LOGAN</x:v>
      </x:c>
      <x:c r="D1375" s="2" t="str">
        <x:v>UT</x:v>
      </x:c>
      <x:c r="E1375" s="2" t="str">
        <x:v>Acute Care Hospitals</x:v>
      </x:c>
      <x:c r="F1375" s="2" t="str">
        <x:v>Voluntary non-profit</x:v>
      </x:c>
      <x:c r="G1375" s="2" t="str">
        <x:v>Medium (100-299 beds)</x:v>
      </x:c>
      <x:c r="H1375" s="7" t="n">
        <x:v>5</x:v>
      </x:c>
      <x:c r="I1375" s="7" t="n">
        <x:v>4</x:v>
      </x:c>
      <x:c r="J1375" s="7" t="n">
        <x:v>0.87</x:v>
      </x:c>
      <x:c r="K1375" s="8" t="n">
        <x:v>121</x:v>
      </x:c>
      <x:c r="L1375" s="8" t="n">
        <x:v>6175</x:v>
      </x:c>
      <x:c r="M1375" s="9" t="n">
        <x:v>0.4738517816</x:v>
      </x:c>
      <x:c r="N1375" s="10" t="n">
        <x:v>45005.5624291498</x:v>
      </x:c>
      <x:c r="O1375" s="9" t="n">
        <x:v>0.2411140413</x:v>
      </x:c>
      <x:c r="P1375" s="9" t="n">
        <x:v>0.7220863896</x:v>
      </x:c>
      <x:c r="Q1375" s="9" t="n">
        <x:v>0.8744906275</x:v>
      </x:c>
      <x:c r="R1375" s="3" t="b">
        <x:v>0</x:v>
      </x:c>
      <x:c r="S1375" s="3" t="b">
        <x:v>0</x:v>
      </x:c>
      <x:c r="T1375" s="3" t="b">
        <x:v>0</x:v>
      </x:c>
      <x:c r="U1375" s="2" t="str">
        <x:f>IF(T1375=TRUE,"Priority review",IF(R1375=TRUE,"High cost",IF(S1375=TRUE,"Low quality","Benchmark")))</x:f>
        <x:v>Benchmark</x:v>
      </x:c>
    </x:row>
    <x:row r="1376">
      <x:c r="A1376" s="2" t="str">
        <x:v>261322</x:v>
      </x:c>
      <x:c r="B1376" s="2" t="str">
        <x:v>EXCELSIOR SPRINGS HOSPITAL</x:v>
      </x:c>
      <x:c r="C1376" s="2" t="str">
        <x:v>EXCELSIOR SPRINGS</x:v>
      </x:c>
      <x:c r="D1376" s="2" t="str">
        <x:v>MO</x:v>
      </x:c>
      <x:c r="E1376" s="2" t="str">
        <x:v>Critical Access Hospitals</x:v>
      </x:c>
      <x:c r="F1376" s="2" t="str">
        <x:v>Government</x:v>
      </x:c>
      <x:c r="G1376" s="2" t="str">
        <x:v>Small (&lt;100 beds)</x:v>
      </x:c>
      <x:c r="H1376" s="7"/>
      <x:c r="I1376" s="7"/>
      <x:c r="J1376" s="7"/>
      <x:c r="K1376" s="8" t="n">
        <x:v>25</x:v>
      </x:c>
      <x:c r="L1376" s="8" t="n">
        <x:v>278</x:v>
      </x:c>
      <x:c r="M1376" s="9" t="n">
        <x:v>0.2590163934</x:v>
      </x:c>
      <x:c r="N1376" s="10" t="n">
        <x:v>196651.1151079137</x:v>
      </x:c>
      <x:c r="O1376" s="9" t="n">
        <x:v>-0.0009170632</x:v>
      </x:c>
      <x:c r="P1376" s="9" t="n">
        <x:v>0.7219330855</x:v>
      </x:c>
      <x:c r="Q1376" s="9" t="n">
        <x:v>0.292936803</x:v>
      </x:c>
      <x:c r="R1376" s="3" t="b">
        <x:v>0</x:v>
      </x:c>
      <x:c r="S1376" s="3" t="b">
        <x:v>0</x:v>
      </x:c>
      <x:c r="T1376" s="3" t="b">
        <x:v>0</x:v>
      </x:c>
      <x:c r="U1376" s="2" t="str">
        <x:f>IF(T1376=TRUE,"Priority review",IF(R1376=TRUE,"High cost",IF(S1376=TRUE,"Low quality","Benchmark")))</x:f>
        <x:v>Benchmark</x:v>
      </x:c>
    </x:row>
    <x:row r="1377">
      <x:c r="A1377" s="2" t="str">
        <x:v>060006</x:v>
      </x:c>
      <x:c r="B1377" s="2" t="str">
        <x:v>MONTROSE REGIONAL HEALTH</x:v>
      </x:c>
      <x:c r="C1377" s="2" t="str">
        <x:v>MONTROSE</x:v>
      </x:c>
      <x:c r="D1377" s="2" t="str">
        <x:v>CO</x:v>
      </x:c>
      <x:c r="E1377" s="2" t="str">
        <x:v>Acute Care Hospitals</x:v>
      </x:c>
      <x:c r="F1377" s="2" t="str">
        <x:v>Voluntary non-profit</x:v>
      </x:c>
      <x:c r="G1377" s="2" t="str">
        <x:v>Small (&lt;100 beds)</x:v>
      </x:c>
      <x:c r="H1377" s="7" t="n">
        <x:v>4</x:v>
      </x:c>
      <x:c r="I1377" s="7" t="n">
        <x:v>4</x:v>
      </x:c>
      <x:c r="J1377" s="7" t="n">
        <x:v>0.96</x:v>
      </x:c>
      <x:c r="K1377" s="8" t="n">
        <x:v>51</x:v>
      </x:c>
      <x:c r="L1377" s="8" t="n">
        <x:v>2515</x:v>
      </x:c>
      <x:c r="M1377" s="9" t="n">
        <x:v>0.3683702989</x:v>
      </x:c>
      <x:c r="N1377" s="10" t="n">
        <x:v>78920.5805168986</x:v>
      </x:c>
      <x:c r="O1377" s="9" t="n">
        <x:v>-0.0158574066</x:v>
      </x:c>
      <x:c r="P1377" s="9" t="n">
        <x:v>0.7217235189</x:v>
      </x:c>
      <x:c r="Q1377" s="9" t="n">
        <x:v>0.3913824057</x:v>
      </x:c>
      <x:c r="R1377" s="3" t="b">
        <x:v>0</x:v>
      </x:c>
      <x:c r="S1377" s="3" t="b">
        <x:v>0</x:v>
      </x:c>
      <x:c r="T1377" s="3" t="b">
        <x:v>0</x:v>
      </x:c>
      <x:c r="U1377" s="2" t="str">
        <x:f>IF(T1377=TRUE,"Priority review",IF(R1377=TRUE,"High cost",IF(S1377=TRUE,"Low quality","Benchmark")))</x:f>
        <x:v>Benchmark</x:v>
      </x:c>
    </x:row>
    <x:row r="1378">
      <x:c r="A1378" s="2" t="str">
        <x:v>374016</x:v>
      </x:c>
      <x:c r="B1378" s="2" t="str">
        <x:v>ROLLING HILLS HOSPITAL, LLC</x:v>
      </x:c>
      <x:c r="C1378" s="2" t="str">
        <x:v>ADA</x:v>
      </x:c>
      <x:c r="D1378" s="2" t="str">
        <x:v>OK</x:v>
      </x:c>
      <x:c r="E1378" s="2" t="str">
        <x:v>Psychiatric</x:v>
      </x:c>
      <x:c r="F1378" s="2" t="str">
        <x:v>Proprietary</x:v>
      </x:c>
      <x:c r="G1378" s="2" t="str">
        <x:v>Small (&lt;100 beds)</x:v>
      </x:c>
      <x:c r="H1378" s="7"/>
      <x:c r="I1378" s="7"/>
      <x:c r="J1378" s="7"/>
      <x:c r="K1378" s="8" t="n">
        <x:v>60</x:v>
      </x:c>
      <x:c r="L1378" s="8" t="n">
        <x:v>914</x:v>
      </x:c>
      <x:c r="M1378" s="9" t="n">
        <x:v>0.9509562842</x:v>
      </x:c>
      <x:c r="N1378" s="10" t="n">
        <x:v>25322.3807439825</x:v>
      </x:c>
      <x:c r="O1378" s="9" t="n">
        <x:v>0.1907053479</x:v>
      </x:c>
      <x:c r="P1378" s="9" t="n">
        <x:v>0.7216828479</x:v>
      </x:c>
      <x:c r="Q1378" s="9" t="n">
        <x:v>0</x:v>
      </x:c>
      <x:c r="R1378" s="3" t="b">
        <x:v>0</x:v>
      </x:c>
      <x:c r="S1378" s="3" t="b">
        <x:v>0</x:v>
      </x:c>
      <x:c r="T1378" s="3" t="b">
        <x:v>0</x:v>
      </x:c>
      <x:c r="U1378" s="2" t="str">
        <x:f>IF(T1378=TRUE,"Priority review",IF(R1378=TRUE,"High cost",IF(S1378=TRUE,"Low quality","Benchmark")))</x:f>
        <x:v>Benchmark</x:v>
      </x:c>
    </x:row>
    <x:row r="1379">
      <x:c r="A1379" s="2" t="str">
        <x:v>054055</x:v>
      </x:c>
      <x:c r="B1379" s="2" t="str">
        <x:v>COLLEGE HOSPITAL</x:v>
      </x:c>
      <x:c r="C1379" s="2" t="str">
        <x:v>CERRITOS</x:v>
      </x:c>
      <x:c r="D1379" s="2" t="str">
        <x:v>CA</x:v>
      </x:c>
      <x:c r="E1379" s="2" t="str">
        <x:v>Psychiatric</x:v>
      </x:c>
      <x:c r="F1379" s="2" t="str">
        <x:v>Proprietary</x:v>
      </x:c>
      <x:c r="G1379" s="2" t="str">
        <x:v>Medium (100-299 beds)</x:v>
      </x:c>
      <x:c r="H1379" s="7"/>
      <x:c r="I1379" s="7"/>
      <x:c r="J1379" s="7"/>
      <x:c r="K1379" s="8" t="n">
        <x:v>187</x:v>
      </x:c>
      <x:c r="L1379" s="8" t="n">
        <x:v>3395</x:v>
      </x:c>
      <x:c r="M1379" s="9" t="n">
        <x:v>0.9488910318</x:v>
      </x:c>
      <x:c r="N1379" s="10" t="n">
        <x:v>24006.6447717231</x:v>
      </x:c>
      <x:c r="O1379" s="9" t="n">
        <x:v>0.0170300172</x:v>
      </x:c>
      <x:c r="P1379" s="9" t="n">
        <x:v>0.7213930348</x:v>
      </x:c>
      <x:c r="Q1379" s="9" t="n">
        <x:v>0</x:v>
      </x:c>
      <x:c r="R1379" s="3" t="b">
        <x:v>0</x:v>
      </x:c>
      <x:c r="S1379" s="3" t="b">
        <x:v>0</x:v>
      </x:c>
      <x:c r="T1379" s="3" t="b">
        <x:v>0</x:v>
      </x:c>
      <x:c r="U1379" s="2" t="str">
        <x:f>IF(T1379=TRUE,"Priority review",IF(R1379=TRUE,"High cost",IF(S1379=TRUE,"Low quality","Benchmark")))</x:f>
        <x:v>Benchmark</x:v>
      </x:c>
    </x:row>
    <x:row r="1380">
      <x:c r="A1380" s="2" t="str">
        <x:v>050280</x:v>
      </x:c>
      <x:c r="B1380" s="2" t="str">
        <x:v>MERCY MEDICAL CENTER REDDING</x:v>
      </x:c>
      <x:c r="C1380" s="2" t="str">
        <x:v>REDDING</x:v>
      </x:c>
      <x:c r="D1380" s="2" t="str">
        <x:v>CA</x:v>
      </x:c>
      <x:c r="E1380" s="2" t="str">
        <x:v>Acute Care Hospitals</x:v>
      </x:c>
      <x:c r="F1380" s="2" t="str">
        <x:v>Voluntary non-profit</x:v>
      </x:c>
      <x:c r="G1380" s="2" t="str">
        <x:v>Medium (100-299 beds)</x:v>
      </x:c>
      <x:c r="H1380" s="7" t="n">
        <x:v>2</x:v>
      </x:c>
      <x:c r="I1380" s="7" t="n">
        <x:v>3</x:v>
      </x:c>
      <x:c r="J1380" s="7" t="n">
        <x:v>1.03</x:v>
      </x:c>
      <x:c r="K1380" s="8" t="n">
        <x:v>260</x:v>
      </x:c>
      <x:c r="L1380" s="8" t="n">
        <x:v>13218</x:v>
      </x:c>
      <x:c r="M1380" s="9" t="n">
        <x:v>0.7255321391</x:v>
      </x:c>
      <x:c r="N1380" s="10" t="n">
        <x:v>44988.5449387199</x:v>
      </x:c>
      <x:c r="O1380" s="9" t="n">
        <x:v>0.0450228351</x:v>
      </x:c>
      <x:c r="P1380" s="9" t="n">
        <x:v>0.7212713936</x:v>
      </x:c>
      <x:c r="Q1380" s="9" t="n">
        <x:v>0.0782396088</x:v>
      </x:c>
      <x:c r="R1380" s="3" t="b">
        <x:v>0</x:v>
      </x:c>
      <x:c r="S1380" s="3" t="b">
        <x:v>1</x:v>
      </x:c>
      <x:c r="T1380" s="3" t="b">
        <x:v>0</x:v>
      </x:c>
      <x:c r="U1380" s="2" t="str">
        <x:f>IF(T1380=TRUE,"Priority review",IF(R1380=TRUE,"High cost",IF(S1380=TRUE,"Low quality","Benchmark")))</x:f>
        <x:v>Low quality</x:v>
      </x:c>
    </x:row>
    <x:row r="1381">
      <x:c r="A1381" s="2" t="str">
        <x:v>241315</x:v>
      </x:c>
      <x:c r="B1381" s="2" t="str">
        <x:v>SANFORD JACKSON MEDICAL CENTER</x:v>
      </x:c>
      <x:c r="C1381" s="2" t="str">
        <x:v>JACKSON</x:v>
      </x:c>
      <x:c r="D1381" s="2" t="str">
        <x:v>MN</x:v>
      </x:c>
      <x:c r="E1381" s="2" t="str">
        <x:v>Critical Access Hospitals</x:v>
      </x:c>
      <x:c r="F1381" s="2" t="str">
        <x:v>Voluntary non-profit</x:v>
      </x:c>
      <x:c r="G1381" s="2" t="str">
        <x:v>Small (&lt;100 beds)</x:v>
      </x:c>
      <x:c r="H1381" s="7"/>
      <x:c r="I1381" s="7"/>
      <x:c r="J1381" s="7"/>
      <x:c r="K1381" s="8" t="n">
        <x:v>14</x:v>
      </x:c>
      <x:c r="L1381" s="8" t="n">
        <x:v>71</x:v>
      </x:c>
      <x:c r="M1381" s="9" t="n">
        <x:v>0.1291959407</x:v>
      </x:c>
      <x:c r="N1381" s="10" t="n">
        <x:v>196645.647887324</x:v>
      </x:c>
      <x:c r="O1381" s="9" t="n">
        <x:v>0.1528927658</x:v>
      </x:c>
      <x:c r="P1381" s="9" t="n">
        <x:v>0.7211895911</x:v>
      </x:c>
      <x:c r="Q1381" s="9" t="n">
        <x:v>0.292936803</x:v>
      </x:c>
      <x:c r="R1381" s="3" t="b">
        <x:v>0</x:v>
      </x:c>
      <x:c r="S1381" s="3" t="b">
        <x:v>0</x:v>
      </x:c>
      <x:c r="T1381" s="3" t="b">
        <x:v>0</x:v>
      </x:c>
      <x:c r="U1381" s="2" t="str">
        <x:f>IF(T1381=TRUE,"Priority review",IF(R1381=TRUE,"High cost",IF(S1381=TRUE,"Low quality","Benchmark")))</x:f>
        <x:v>Benchmark</x:v>
      </x:c>
    </x:row>
    <x:row r="1382">
      <x:c r="A1382" s="2" t="str">
        <x:v>450804</x:v>
      </x:c>
      <x:c r="B1382" s="2" t="str">
        <x:v>TEXAS ORTHOPEDIC HOSPITAL</x:v>
      </x:c>
      <x:c r="C1382" s="2" t="str">
        <x:v>HOUSTON</x:v>
      </x:c>
      <x:c r="D1382" s="2" t="str">
        <x:v>TX</x:v>
      </x:c>
      <x:c r="E1382" s="2" t="str">
        <x:v>Acute Care Hospitals</x:v>
      </x:c>
      <x:c r="F1382" s="2" t="str">
        <x:v>Voluntary non-profit</x:v>
      </x:c>
      <x:c r="G1382" s="2" t="str">
        <x:v>Small (&lt;100 beds)</x:v>
      </x:c>
      <x:c r="H1382" s="7"/>
      <x:c r="I1382" s="7" t="n">
        <x:v>4</x:v>
      </x:c>
      <x:c r="J1382" s="7" t="n">
        <x:v>0.97</x:v>
      </x:c>
      <x:c r="K1382" s="8" t="n">
        <x:v>42</x:v>
      </x:c>
      <x:c r="L1382" s="8" t="n">
        <x:v>1957</x:v>
      </x:c>
      <x:c r="M1382" s="9" t="n">
        <x:v>0.3360005204</x:v>
      </x:c>
      <x:c r="N1382" s="10" t="n">
        <x:v>78867.5130301482</x:v>
      </x:c>
      <x:c r="O1382" s="9" t="n">
        <x:v>0.4566952161</x:v>
      </x:c>
      <x:c r="P1382" s="9" t="n">
        <x:v>0.7208258528</x:v>
      </x:c>
      <x:c r="Q1382" s="9" t="n">
        <x:v>0.697486535</x:v>
      </x:c>
      <x:c r="R1382" s="3" t="b">
        <x:v>0</x:v>
      </x:c>
      <x:c r="S1382" s="3" t="b">
        <x:v>0</x:v>
      </x:c>
      <x:c r="T1382" s="3" t="b">
        <x:v>0</x:v>
      </x:c>
      <x:c r="U1382" s="2" t="str">
        <x:f>IF(T1382=TRUE,"Priority review",IF(R1382=TRUE,"High cost",IF(S1382=TRUE,"Low quality","Benchmark")))</x:f>
        <x:v>Benchmark</x:v>
      </x:c>
    </x:row>
    <x:row r="1383">
      <x:c r="A1383" s="2" t="str">
        <x:v>070033</x:v>
      </x:c>
      <x:c r="B1383" s="2" t="str">
        <x:v>DANBURY HOSPITAL</x:v>
      </x:c>
      <x:c r="C1383" s="2" t="str">
        <x:v>DANBURY</x:v>
      </x:c>
      <x:c r="D1383" s="2" t="str">
        <x:v>CT</x:v>
      </x:c>
      <x:c r="E1383" s="2" t="str">
        <x:v>Acute Care Hospitals</x:v>
      </x:c>
      <x:c r="F1383" s="2" t="str">
        <x:v>Voluntary non-profit</x:v>
      </x:c>
      <x:c r="G1383" s="2" t="str">
        <x:v>Large (300+ beds)</x:v>
      </x:c>
      <x:c r="H1383" s="7" t="n">
        <x:v>4</x:v>
      </x:c>
      <x:c r="I1383" s="7" t="n">
        <x:v>3</x:v>
      </x:c>
      <x:c r="J1383" s="7" t="n">
        <x:v>1.02</x:v>
      </x:c>
      <x:c r="K1383" s="8" t="n">
        <x:v>334</x:v>
      </x:c>
      <x:c r="L1383" s="8" t="n">
        <x:v>16581</x:v>
      </x:c>
      <x:c r="M1383" s="9" t="n">
        <x:v>0.6857187265</x:v>
      </x:c>
      <x:c r="N1383" s="10" t="n">
        <x:v>51442.2695253604</x:v>
      </x:c>
      <x:c r="O1383" s="9" t="n">
        <x:v>-0.0416703318</x:v>
      </x:c>
      <x:c r="P1383" s="9" t="n">
        <x:v>0.7208201893</x:v>
      </x:c>
      <x:c r="Q1383" s="9" t="n">
        <x:v>0.5899053628</x:v>
      </x:c>
      <x:c r="R1383" s="3" t="b">
        <x:v>0</x:v>
      </x:c>
      <x:c r="S1383" s="3" t="b">
        <x:v>0</x:v>
      </x:c>
      <x:c r="T1383" s="3" t="b">
        <x:v>0</x:v>
      </x:c>
      <x:c r="U1383" s="2" t="str">
        <x:f>IF(T1383=TRUE,"Priority review",IF(R1383=TRUE,"High cost",IF(S1383=TRUE,"Low quality","Benchmark")))</x:f>
        <x:v>Benchmark</x:v>
      </x:c>
    </x:row>
    <x:row r="1384">
      <x:c r="A1384" s="2" t="str">
        <x:v>650003</x:v>
      </x:c>
      <x:c r="B1384" s="2" t="str">
        <x:v>GUAM REGIONAL MEDICAL CITY</x:v>
      </x:c>
      <x:c r="C1384" s="2" t="str">
        <x:v>DEDEDO</x:v>
      </x:c>
      <x:c r="D1384" s="2" t="str">
        <x:v>GU</x:v>
      </x:c>
      <x:c r="E1384" s="2" t="str">
        <x:v>Acute Care Hospitals</x:v>
      </x:c>
      <x:c r="F1384" s="2" t="str">
        <x:v>Proprietary</x:v>
      </x:c>
      <x:c r="G1384" s="2" t="str">
        <x:v>Medium (100-299 beds)</x:v>
      </x:c>
      <x:c r="H1384" s="7"/>
      <x:c r="I1384" s="7"/>
      <x:c r="J1384" s="7"/>
      <x:c r="K1384" s="8" t="n">
        <x:v>150</x:v>
      </x:c>
      <x:c r="L1384" s="8" t="n">
        <x:v>5484</x:v>
      </x:c>
      <x:c r="M1384" s="9" t="n">
        <x:v>0.8812932605</x:v>
      </x:c>
      <x:c r="N1384" s="10" t="n">
        <x:v>44984.3338803793</x:v>
      </x:c>
      <x:c r="O1384" s="9" t="n">
        <x:v>0.0186809166</x:v>
      </x:c>
      <x:c r="P1384" s="9" t="n">
        <x:v>0.7204563977</x:v>
      </x:c>
      <x:c r="Q1384" s="9" t="n">
        <x:v>0.9616951915</x:v>
      </x:c>
      <x:c r="R1384" s="3" t="b">
        <x:v>0</x:v>
      </x:c>
      <x:c r="S1384" s="3" t="b">
        <x:v>0</x:v>
      </x:c>
      <x:c r="T1384" s="3" t="b">
        <x:v>0</x:v>
      </x:c>
      <x:c r="U1384" s="2" t="str">
        <x:f>IF(T1384=TRUE,"Priority review",IF(R1384=TRUE,"High cost",IF(S1384=TRUE,"Low quality","Benchmark")))</x:f>
        <x:v>Benchmark</x:v>
      </x:c>
    </x:row>
    <x:row r="1385">
      <x:c r="A1385" s="2" t="str">
        <x:v>521316</x:v>
      </x:c>
      <x:c r="B1385" s="2" t="str">
        <x:v>GUNDERSEN TRI-COUNTY HOSPITAL &amp; CLINICS</x:v>
      </x:c>
      <x:c r="C1385" s="2" t="str">
        <x:v>WHITEHALL</x:v>
      </x:c>
      <x:c r="D1385" s="2" t="str">
        <x:v>WI</x:v>
      </x:c>
      <x:c r="E1385" s="2" t="str">
        <x:v>Critical Access Hospitals</x:v>
      </x:c>
      <x:c r="F1385" s="2" t="str">
        <x:v>Voluntary non-profit</x:v>
      </x:c>
      <x:c r="G1385" s="2" t="str">
        <x:v>Small (&lt;100 beds)</x:v>
      </x:c>
      <x:c r="H1385" s="7"/>
      <x:c r="I1385" s="7"/>
      <x:c r="J1385" s="7"/>
      <x:c r="K1385" s="8" t="n">
        <x:v>25</x:v>
      </x:c>
      <x:c r="L1385" s="8" t="n">
        <x:v>178</x:v>
      </x:c>
      <x:c r="M1385" s="9" t="n">
        <x:v>0.5001092896</x:v>
      </x:c>
      <x:c r="N1385" s="10" t="n">
        <x:v>196349.4606741573</x:v>
      </x:c>
      <x:c r="O1385" s="9" t="n">
        <x:v>0.0381385869</x:v>
      </x:c>
      <x:c r="P1385" s="9" t="n">
        <x:v>0.7204460967</x:v>
      </x:c>
      <x:c r="Q1385" s="9" t="n">
        <x:v>0.292936803</x:v>
      </x:c>
      <x:c r="R1385" s="3" t="b">
        <x:v>0</x:v>
      </x:c>
      <x:c r="S1385" s="3" t="b">
        <x:v>0</x:v>
      </x:c>
      <x:c r="T1385" s="3" t="b">
        <x:v>0</x:v>
      </x:c>
      <x:c r="U1385" s="2" t="str">
        <x:f>IF(T1385=TRUE,"Priority review",IF(R1385=TRUE,"High cost",IF(S1385=TRUE,"Low quality","Benchmark")))</x:f>
        <x:v>Benchmark</x:v>
      </x:c>
    </x:row>
    <x:row r="1386">
      <x:c r="A1386" s="2" t="str">
        <x:v>344004</x:v>
      </x:c>
      <x:c r="B1386" s="2" t="str">
        <x:v>CENTRAL REGIONAL HOSPITAL</x:v>
      </x:c>
      <x:c r="C1386" s="2" t="str">
        <x:v>BUTNER</x:v>
      </x:c>
      <x:c r="D1386" s="2" t="str">
        <x:v>NC</x:v>
      </x:c>
      <x:c r="E1386" s="2" t="str">
        <x:v>Psychiatric</x:v>
      </x:c>
      <x:c r="F1386" s="2" t="str">
        <x:v>Voluntary non-profit</x:v>
      </x:c>
      <x:c r="G1386" s="2" t="str">
        <x:v>Large (300+ beds)</x:v>
      </x:c>
      <x:c r="H1386" s="7"/>
      <x:c r="I1386" s="7"/>
      <x:c r="J1386" s="7"/>
      <x:c r="K1386" s="8" t="n">
        <x:v>338</x:v>
      </x:c>
      <x:c r="L1386" s="8" t="n">
        <x:v>477</x:v>
      </x:c>
      <x:c r="M1386" s="9" t="n">
        <x:v>0.7206208965</x:v>
      </x:c>
      <x:c r="N1386" s="10" t="n">
        <x:v>544088.1886792453</x:v>
      </x:c>
      <x:c r="O1386" s="9"/>
      <x:c r="P1386" s="9" t="n">
        <x:v>0.72</x:v>
      </x:c>
      <x:c r="Q1386" s="9" t="n">
        <x:v>0</x:v>
      </x:c>
      <x:c r="R1386" s="3" t="b">
        <x:v>0</x:v>
      </x:c>
      <x:c r="S1386" s="3" t="b">
        <x:v>0</x:v>
      </x:c>
      <x:c r="T1386" s="3" t="b">
        <x:v>0</x:v>
      </x:c>
      <x:c r="U1386" s="2" t="str">
        <x:f>IF(T1386=TRUE,"Priority review",IF(R1386=TRUE,"High cost",IF(S1386=TRUE,"Low quality","Benchmark")))</x:f>
        <x:v>Benchmark</x:v>
      </x:c>
    </x:row>
    <x:row r="1387">
      <x:c r="A1387" s="2" t="str">
        <x:v>300019</x:v>
      </x:c>
      <x:c r="B1387" s="2" t="str">
        <x:v>CHESHIRE MEDICAL CENTER</x:v>
      </x:c>
      <x:c r="C1387" s="2" t="str">
        <x:v>KEENE</x:v>
      </x:c>
      <x:c r="D1387" s="2" t="str">
        <x:v>NH</x:v>
      </x:c>
      <x:c r="E1387" s="2" t="str">
        <x:v>Acute Care Hospitals</x:v>
      </x:c>
      <x:c r="F1387" s="2" t="str">
        <x:v>Voluntary non-profit</x:v>
      </x:c>
      <x:c r="G1387" s="2" t="str">
        <x:v>Small (&lt;100 beds)</x:v>
      </x:c>
      <x:c r="H1387" s="7" t="n">
        <x:v>4</x:v>
      </x:c>
      <x:c r="I1387" s="7" t="n">
        <x:v>3</x:v>
      </x:c>
      <x:c r="J1387" s="7" t="n">
        <x:v>0.97</x:v>
      </x:c>
      <x:c r="K1387" s="8" t="n">
        <x:v>86</x:v>
      </x:c>
      <x:c r="L1387" s="8" t="n">
        <x:v>4303</x:v>
      </x:c>
      <x:c r="M1387" s="9" t="n">
        <x:v>0.5520229372</x:v>
      </x:c>
      <x:c r="N1387" s="10" t="n">
        <x:v>78860.7269346967</x:v>
      </x:c>
      <x:c r="O1387" s="9" t="n">
        <x:v>-0.1662412164</x:v>
      </x:c>
      <x:c r="P1387" s="9" t="n">
        <x:v>0.7199281867</x:v>
      </x:c>
      <x:c r="Q1387" s="9" t="n">
        <x:v>0.3913824057</x:v>
      </x:c>
      <x:c r="R1387" s="3" t="b">
        <x:v>0</x:v>
      </x:c>
      <x:c r="S1387" s="3" t="b">
        <x:v>0</x:v>
      </x:c>
      <x:c r="T1387" s="3" t="b">
        <x:v>0</x:v>
      </x:c>
      <x:c r="U1387" s="2" t="str">
        <x:f>IF(T1387=TRUE,"Priority review",IF(R1387=TRUE,"High cost",IF(S1387=TRUE,"Low quality","Benchmark")))</x:f>
        <x:v>Benchmark</x:v>
      </x:c>
    </x:row>
    <x:row r="1388">
      <x:c r="A1388" s="2" t="str">
        <x:v>451324</x:v>
      </x:c>
      <x:c r="B1388" s="2" t="str">
        <x:v>LILLIAN M HUDSPETH MEMORIAL HOSPITAL</x:v>
      </x:c>
      <x:c r="C1388" s="2" t="str">
        <x:v>SONORA</x:v>
      </x:c>
      <x:c r="D1388" s="2" t="str">
        <x:v>TX</x:v>
      </x:c>
      <x:c r="E1388" s="2" t="str">
        <x:v>Critical Access Hospitals</x:v>
      </x:c>
      <x:c r="F1388" s="2" t="str">
        <x:v>Government</x:v>
      </x:c>
      <x:c r="G1388" s="2" t="str">
        <x:v>Small (&lt;100 beds)</x:v>
      </x:c>
      <x:c r="H1388" s="7"/>
      <x:c r="I1388" s="7"/>
      <x:c r="J1388" s="7"/>
      <x:c r="K1388" s="8" t="n">
        <x:v>11</x:v>
      </x:c>
      <x:c r="L1388" s="8" t="n">
        <x:v>66</x:v>
      </x:c>
      <x:c r="M1388" s="9" t="n">
        <x:v>0.152757079</x:v>
      </x:c>
      <x:c r="N1388" s="10" t="n">
        <x:v>196301.8333333333</x:v>
      </x:c>
      <x:c r="O1388" s="9" t="n">
        <x:v>-0.3156371476</x:v>
      </x:c>
      <x:c r="P1388" s="9" t="n">
        <x:v>0.7197026022</x:v>
      </x:c>
      <x:c r="Q1388" s="9" t="n">
        <x:v>0.292936803</x:v>
      </x:c>
      <x:c r="R1388" s="3" t="b">
        <x:v>0</x:v>
      </x:c>
      <x:c r="S1388" s="3" t="b">
        <x:v>0</x:v>
      </x:c>
      <x:c r="T1388" s="3" t="b">
        <x:v>0</x:v>
      </x:c>
      <x:c r="U1388" s="2" t="str">
        <x:f>IF(T1388=TRUE,"Priority review",IF(R1388=TRUE,"High cost",IF(S1388=TRUE,"Low quality","Benchmark")))</x:f>
        <x:v>Benchmark</x:v>
      </x:c>
    </x:row>
    <x:row r="1389">
      <x:c r="A1389" s="2" t="str">
        <x:v>130002</x:v>
      </x:c>
      <x:c r="B1389" s="2" t="str">
        <x:v>ST LUKES MAGIC VALLEY MEDICAL CENTER</x:v>
      </x:c>
      <x:c r="C1389" s="2" t="str">
        <x:v>TWIN FALLS</x:v>
      </x:c>
      <x:c r="D1389" s="2" t="str">
        <x:v>ID</x:v>
      </x:c>
      <x:c r="E1389" s="2" t="str">
        <x:v>Acute Care Hospitals</x:v>
      </x:c>
      <x:c r="F1389" s="2" t="str">
        <x:v>Voluntary non-profit</x:v>
      </x:c>
      <x:c r="G1389" s="2" t="str">
        <x:v>Medium (100-299 beds)</x:v>
      </x:c>
      <x:c r="H1389" s="7" t="n">
        <x:v>4</x:v>
      </x:c>
      <x:c r="I1389" s="7" t="n">
        <x:v>3</x:v>
      </x:c>
      <x:c r="J1389" s="7" t="n">
        <x:v>0.94</x:v>
      </x:c>
      <x:c r="K1389" s="8" t="n">
        <x:v>175</x:v>
      </x:c>
      <x:c r="L1389" s="8" t="n">
        <x:v>12275</x:v>
      </x:c>
      <x:c r="M1389" s="9" t="n">
        <x:v>0.5888231982</x:v>
      </x:c>
      <x:c r="N1389" s="10" t="n">
        <x:v>44972.5474541752</x:v>
      </x:c>
      <x:c r="O1389" s="9" t="n">
        <x:v>-0.0567568886</x:v>
      </x:c>
      <x:c r="P1389" s="9" t="n">
        <x:v>0.7196414018</x:v>
      </x:c>
      <x:c r="Q1389" s="9" t="n">
        <x:v>0.6022819886</x:v>
      </x:c>
      <x:c r="R1389" s="3" t="b">
        <x:v>0</x:v>
      </x:c>
      <x:c r="S1389" s="3" t="b">
        <x:v>0</x:v>
      </x:c>
      <x:c r="T1389" s="3" t="b">
        <x:v>0</x:v>
      </x:c>
      <x:c r="U1389" s="2" t="str">
        <x:f>IF(T1389=TRUE,"Priority review",IF(R1389=TRUE,"High cost",IF(S1389=TRUE,"Low quality","Benchmark")))</x:f>
        <x:v>Benchmark</x:v>
      </x:c>
    </x:row>
    <x:row r="1390">
      <x:c r="A1390" s="2" t="str">
        <x:v>210029</x:v>
      </x:c>
      <x:c r="B1390" s="2" t="str">
        <x:v>JOHNS HOPKINS BAYVIEW MEDICAL CENTER</x:v>
      </x:c>
      <x:c r="C1390" s="2" t="str">
        <x:v>BALTIMORE</x:v>
      </x:c>
      <x:c r="D1390" s="2" t="str">
        <x:v>MD</x:v>
      </x:c>
      <x:c r="E1390" s="2" t="str">
        <x:v>Acute Care Hospitals</x:v>
      </x:c>
      <x:c r="F1390" s="2" t="str">
        <x:v>Voluntary non-profit</x:v>
      </x:c>
      <x:c r="G1390" s="2" t="str">
        <x:v>Large (300+ beds)</x:v>
      </x:c>
      <x:c r="H1390" s="7" t="n">
        <x:v>3</x:v>
      </x:c>
      <x:c r="I1390" s="7" t="n">
        <x:v>3</x:v>
      </x:c>
      <x:c r="J1390" s="7"/>
      <x:c r="K1390" s="8" t="n">
        <x:v>398</x:v>
      </x:c>
      <x:c r="L1390" s="8" t="n">
        <x:v>16104</x:v>
      </x:c>
      <x:c r="M1390" s="9" t="n">
        <x:v>0.8337096441</x:v>
      </x:c>
      <x:c r="N1390" s="10" t="n">
        <x:v>51130.0919026329</x:v>
      </x:c>
      <x:c r="O1390" s="9" t="n">
        <x:v>-0.1172306649</x:v>
      </x:c>
      <x:c r="P1390" s="9" t="n">
        <x:v>0.7192429022</x:v>
      </x:c>
      <x:c r="Q1390" s="9" t="n">
        <x:v>0.2570977918</x:v>
      </x:c>
      <x:c r="R1390" s="3" t="b">
        <x:v>0</x:v>
      </x:c>
      <x:c r="S1390" s="3" t="b">
        <x:v>0</x:v>
      </x:c>
      <x:c r="T1390" s="3" t="b">
        <x:v>0</x:v>
      </x:c>
      <x:c r="U1390" s="2" t="str">
        <x:f>IF(T1390=TRUE,"Priority review",IF(R1390=TRUE,"High cost",IF(S1390=TRUE,"Low quality","Benchmark")))</x:f>
        <x:v>Benchmark</x:v>
      </x:c>
    </x:row>
    <x:row r="1391">
      <x:c r="A1391" s="2" t="str">
        <x:v>500007</x:v>
      </x:c>
      <x:c r="B1391" s="2" t="str">
        <x:v>ISLAND HOSPITAL</x:v>
      </x:c>
      <x:c r="C1391" s="2" t="str">
        <x:v>ANACORTES</x:v>
      </x:c>
      <x:c r="D1391" s="2" t="str">
        <x:v>WA</x:v>
      </x:c>
      <x:c r="E1391" s="2" t="str">
        <x:v>Acute Care Hospitals</x:v>
      </x:c>
      <x:c r="F1391" s="2" t="str">
        <x:v>Government</x:v>
      </x:c>
      <x:c r="G1391" s="2" t="str">
        <x:v>Small (&lt;100 beds)</x:v>
      </x:c>
      <x:c r="H1391" s="7" t="n">
        <x:v>4</x:v>
      </x:c>
      <x:c r="I1391" s="7" t="n">
        <x:v>4</x:v>
      </x:c>
      <x:c r="J1391" s="7" t="n">
        <x:v>0.89</x:v>
      </x:c>
      <x:c r="K1391" s="8" t="n">
        <x:v>43</x:v>
      </x:c>
      <x:c r="L1391" s="8" t="n">
        <x:v>1541</x:v>
      </x:c>
      <x:c r="M1391" s="9" t="n">
        <x:v>0.3718388614</x:v>
      </x:c>
      <x:c r="N1391" s="10" t="n">
        <x:v>78815.3815704088</x:v>
      </x:c>
      <x:c r="O1391" s="9" t="n">
        <x:v>-0.0887376201</x:v>
      </x:c>
      <x:c r="P1391" s="9" t="n">
        <x:v>0.7190305206</x:v>
      </x:c>
      <x:c r="Q1391" s="9" t="n">
        <x:v>0.3913824057</x:v>
      </x:c>
      <x:c r="R1391" s="3" t="b">
        <x:v>0</x:v>
      </x:c>
      <x:c r="S1391" s="3" t="b">
        <x:v>0</x:v>
      </x:c>
      <x:c r="T1391" s="3" t="b">
        <x:v>0</x:v>
      </x:c>
      <x:c r="U1391" s="2" t="str">
        <x:f>IF(T1391=TRUE,"Priority review",IF(R1391=TRUE,"High cost",IF(S1391=TRUE,"Low quality","Benchmark")))</x:f>
        <x:v>Benchmark</x:v>
      </x:c>
    </x:row>
    <x:row r="1392">
      <x:c r="A1392" s="2" t="str">
        <x:v>141312</x:v>
      </x:c>
      <x:c r="B1392" s="2" t="str">
        <x:v>ROCHELLE COMMUNITY HOSPITAL</x:v>
      </x:c>
      <x:c r="C1392" s="2" t="str">
        <x:v>ROCHELLE</x:v>
      </x:c>
      <x:c r="D1392" s="2" t="str">
        <x:v>IL</x:v>
      </x:c>
      <x:c r="E1392" s="2" t="str">
        <x:v>Critical Access Hospitals</x:v>
      </x:c>
      <x:c r="F1392" s="2" t="str">
        <x:v>Voluntary non-profit</x:v>
      </x:c>
      <x:c r="G1392" s="2" t="str">
        <x:v>Small (&lt;100 beds)</x:v>
      </x:c>
      <x:c r="H1392" s="7"/>
      <x:c r="I1392" s="7"/>
      <x:c r="J1392" s="7"/>
      <x:c r="K1392" s="8" t="n">
        <x:v>17</x:v>
      </x:c>
      <x:c r="L1392" s="8" t="n">
        <x:v>264</x:v>
      </x:c>
      <x:c r="M1392" s="9" t="n">
        <x:v>0.1236099919</x:v>
      </x:c>
      <x:c r="N1392" s="10" t="n">
        <x:v>195866.446969697</x:v>
      </x:c>
      <x:c r="O1392" s="9" t="n">
        <x:v>0.0209346717</x:v>
      </x:c>
      <x:c r="P1392" s="9" t="n">
        <x:v>0.7189591078</x:v>
      </x:c>
      <x:c r="Q1392" s="9" t="n">
        <x:v>0.292936803</x:v>
      </x:c>
      <x:c r="R1392" s="3" t="b">
        <x:v>0</x:v>
      </x:c>
      <x:c r="S1392" s="3" t="b">
        <x:v>0</x:v>
      </x:c>
      <x:c r="T1392" s="3" t="b">
        <x:v>0</x:v>
      </x:c>
      <x:c r="U1392" s="2" t="str">
        <x:f>IF(T1392=TRUE,"Priority review",IF(R1392=TRUE,"High cost",IF(S1392=TRUE,"Low quality","Benchmark")))</x:f>
        <x:v>Benchmark</x:v>
      </x:c>
    </x:row>
    <x:row r="1393">
      <x:c r="A1393" s="2" t="str">
        <x:v>340041</x:v>
      </x:c>
      <x:c r="B1393" s="2" t="str">
        <x:v>CALDWELL MEMORIAL HOSPITAL</x:v>
      </x:c>
      <x:c r="C1393" s="2" t="str">
        <x:v>LENOIR</x:v>
      </x:c>
      <x:c r="D1393" s="2" t="str">
        <x:v>NC</x:v>
      </x:c>
      <x:c r="E1393" s="2" t="str">
        <x:v>Acute Care Hospitals</x:v>
      </x:c>
      <x:c r="F1393" s="2" t="str">
        <x:v>Voluntary non-profit</x:v>
      </x:c>
      <x:c r="G1393" s="2" t="str">
        <x:v>Medium (100-299 beds)</x:v>
      </x:c>
      <x:c r="H1393" s="7" t="n">
        <x:v>3</x:v>
      </x:c>
      <x:c r="I1393" s="7" t="n">
        <x:v>3</x:v>
      </x:c>
      <x:c r="J1393" s="7" t="n">
        <x:v>1.03</x:v>
      </x:c>
      <x:c r="K1393" s="8" t="n">
        <x:v>137</x:v>
      </x:c>
      <x:c r="L1393" s="8" t="n">
        <x:v>4250</x:v>
      </x:c>
      <x:c r="M1393" s="9" t="n">
        <x:v>0.5167483252</x:v>
      </x:c>
      <x:c r="N1393" s="10" t="n">
        <x:v>44675.2374117647</x:v>
      </x:c>
      <x:c r="O1393" s="9" t="n">
        <x:v>0.0755266294</x:v>
      </x:c>
      <x:c r="P1393" s="9" t="n">
        <x:v>0.7188264059</x:v>
      </x:c>
      <x:c r="Q1393" s="9" t="n">
        <x:v>0.3023634882</x:v>
      </x:c>
      <x:c r="R1393" s="3" t="b">
        <x:v>0</x:v>
      </x:c>
      <x:c r="S1393" s="3" t="b">
        <x:v>0</x:v>
      </x:c>
      <x:c r="T1393" s="3" t="b">
        <x:v>0</x:v>
      </x:c>
      <x:c r="U1393" s="2" t="str">
        <x:f>IF(T1393=TRUE,"Priority review",IF(R1393=TRUE,"High cost",IF(S1393=TRUE,"Low quality","Benchmark")))</x:f>
        <x:v>Benchmark</x:v>
      </x:c>
    </x:row>
    <x:row r="1394">
      <x:c r="A1394" s="2" t="str">
        <x:v>054152</x:v>
      </x:c>
      <x:c r="B1394" s="2" t="str">
        <x:v>SANTA CRUZ COUNTY PSYCHIATRIC HEALTH FACILITY</x:v>
      </x:c>
      <x:c r="C1394" s="2" t="str">
        <x:v>SANTA CRUZ</x:v>
      </x:c>
      <x:c r="D1394" s="2" t="str">
        <x:v>CA</x:v>
      </x:c>
      <x:c r="E1394" s="2" t="str">
        <x:v>Psychiatric</x:v>
      </x:c>
      <x:c r="F1394" s="2" t="str">
        <x:v>Proprietary</x:v>
      </x:c>
      <x:c r="G1394" s="2" t="str">
        <x:v>Small (&lt;100 beds)</x:v>
      </x:c>
      <x:c r="H1394" s="7"/>
      <x:c r="I1394" s="7"/>
      <x:c r="J1394" s="7"/>
      <x:c r="K1394" s="8" t="n">
        <x:v>16</x:v>
      </x:c>
      <x:c r="L1394" s="8" t="n">
        <x:v>397</x:v>
      </x:c>
      <x:c r="M1394" s="9" t="n">
        <x:v>0.8352739726</x:v>
      </x:c>
      <x:c r="N1394" s="10" t="n">
        <x:v>25218.2191435768</x:v>
      </x:c>
      <x:c r="O1394" s="9" t="n">
        <x:v>0.0244576611</x:v>
      </x:c>
      <x:c r="P1394" s="9" t="n">
        <x:v>0.7184466019</x:v>
      </x:c>
      <x:c r="Q1394" s="9" t="n">
        <x:v>0</x:v>
      </x:c>
      <x:c r="R1394" s="3" t="b">
        <x:v>0</x:v>
      </x:c>
      <x:c r="S1394" s="3" t="b">
        <x:v>0</x:v>
      </x:c>
      <x:c r="T1394" s="3" t="b">
        <x:v>0</x:v>
      </x:c>
      <x:c r="U1394" s="2" t="str">
        <x:f>IF(T1394=TRUE,"Priority review",IF(R1394=TRUE,"High cost",IF(S1394=TRUE,"Low quality","Benchmark")))</x:f>
        <x:v>Benchmark</x:v>
      </x:c>
    </x:row>
    <x:row r="1395">
      <x:c r="A1395" s="2" t="str">
        <x:v>021305</x:v>
      </x:c>
      <x:c r="B1395" s="2" t="str">
        <x:v>SEARHC WRANGELL MEDICAL CENTER &amp; LTC</x:v>
      </x:c>
      <x:c r="C1395" s="2" t="str">
        <x:v>WRANGELL</x:v>
      </x:c>
      <x:c r="D1395" s="2" t="str">
        <x:v>AK</x:v>
      </x:c>
      <x:c r="E1395" s="2" t="str">
        <x:v>Critical Access Hospitals</x:v>
      </x:c>
      <x:c r="F1395" s="2" t="str">
        <x:v>Other / unknown</x:v>
      </x:c>
      <x:c r="G1395" s="2" t="str">
        <x:v>Small (&lt;100 beds)</x:v>
      </x:c>
      <x:c r="H1395" s="7"/>
      <x:c r="I1395" s="7"/>
      <x:c r="J1395" s="7"/>
      <x:c r="K1395" s="8" t="n">
        <x:v>8</x:v>
      </x:c>
      <x:c r="L1395" s="8" t="n">
        <x:v>73</x:v>
      </x:c>
      <x:c r="M1395" s="9" t="n">
        <x:v>0.262636612</x:v>
      </x:c>
      <x:c r="N1395" s="10" t="n">
        <x:v>194923.4794520548</x:v>
      </x:c>
      <x:c r="O1395" s="9" t="n">
        <x:v>0.254278576</x:v>
      </x:c>
      <x:c r="P1395" s="9" t="n">
        <x:v>0.7182156134</x:v>
      </x:c>
      <x:c r="Q1395" s="9" t="n">
        <x:v>0.292936803</x:v>
      </x:c>
      <x:c r="R1395" s="3" t="b">
        <x:v>0</x:v>
      </x:c>
      <x:c r="S1395" s="3" t="b">
        <x:v>0</x:v>
      </x:c>
      <x:c r="T1395" s="3" t="b">
        <x:v>0</x:v>
      </x:c>
      <x:c r="U1395" s="2" t="str">
        <x:f>IF(T1395=TRUE,"Priority review",IF(R1395=TRUE,"High cost",IF(S1395=TRUE,"Low quality","Benchmark")))</x:f>
        <x:v>Benchmark</x:v>
      </x:c>
    </x:row>
    <x:row r="1396">
      <x:c r="A1396" s="2" t="str">
        <x:v>040072</x:v>
      </x:c>
      <x:c r="B1396" s="2" t="str">
        <x:v>BAPTIST HEALTH MEDICAL CENTER-STUTTGART</x:v>
      </x:c>
      <x:c r="C1396" s="2" t="str">
        <x:v>STUTTGART</x:v>
      </x:c>
      <x:c r="D1396" s="2" t="str">
        <x:v>AR</x:v>
      </x:c>
      <x:c r="E1396" s="2" t="str">
        <x:v>Acute Care Hospitals</x:v>
      </x:c>
      <x:c r="F1396" s="2" t="str">
        <x:v>Voluntary non-profit</x:v>
      </x:c>
      <x:c r="G1396" s="2" t="str">
        <x:v>Small (&lt;100 beds)</x:v>
      </x:c>
      <x:c r="H1396" s="7" t="n">
        <x:v>3</x:v>
      </x:c>
      <x:c r="I1396" s="7"/>
      <x:c r="J1396" s="7" t="n">
        <x:v>0.98</x:v>
      </x:c>
      <x:c r="K1396" s="8" t="n">
        <x:v>49</x:v>
      </x:c>
      <x:c r="L1396" s="8" t="n">
        <x:v>428</x:v>
      </x:c>
      <x:c r="M1396" s="9" t="n">
        <x:v>0.0760566522</x:v>
      </x:c>
      <x:c r="N1396" s="10" t="n">
        <x:v>78806.2920560748</x:v>
      </x:c>
      <x:c r="O1396" s="9" t="n">
        <x:v>-0.354383786</x:v>
      </x:c>
      <x:c r="P1396" s="9" t="n">
        <x:v>0.7181328546</x:v>
      </x:c>
      <x:c r="Q1396" s="9" t="n">
        <x:v>0.1687612208</x:v>
      </x:c>
      <x:c r="R1396" s="3" t="b">
        <x:v>0</x:v>
      </x:c>
      <x:c r="S1396" s="3" t="b">
        <x:v>0</x:v>
      </x:c>
      <x:c r="T1396" s="3" t="b">
        <x:v>0</x:v>
      </x:c>
      <x:c r="U1396" s="2" t="str">
        <x:f>IF(T1396=TRUE,"Priority review",IF(R1396=TRUE,"High cost",IF(S1396=TRUE,"Low quality","Benchmark")))</x:f>
        <x:v>Benchmark</x:v>
      </x:c>
    </x:row>
    <x:row r="1397">
      <x:c r="A1397" s="2" t="str">
        <x:v>260094</x:v>
      </x:c>
      <x:c r="B1397" s="2" t="str">
        <x:v>COX MEDICAL CENTER BRANSON</x:v>
      </x:c>
      <x:c r="C1397" s="2" t="str">
        <x:v>BRANSON</x:v>
      </x:c>
      <x:c r="D1397" s="2" t="str">
        <x:v>MO</x:v>
      </x:c>
      <x:c r="E1397" s="2" t="str">
        <x:v>Acute Care Hospitals</x:v>
      </x:c>
      <x:c r="F1397" s="2" t="str">
        <x:v>Voluntary non-profit</x:v>
      </x:c>
      <x:c r="G1397" s="2" t="str">
        <x:v>Medium (100-299 beds)</x:v>
      </x:c>
      <x:c r="H1397" s="7" t="n">
        <x:v>4</x:v>
      </x:c>
      <x:c r="I1397" s="7" t="n">
        <x:v>3</x:v>
      </x:c>
      <x:c r="J1397" s="7" t="n">
        <x:v>0.91</x:v>
      </x:c>
      <x:c r="K1397" s="8" t="n">
        <x:v>144</x:v>
      </x:c>
      <x:c r="L1397" s="8" t="n">
        <x:v>6013</x:v>
      </x:c>
      <x:c r="M1397" s="9" t="n">
        <x:v>0.5127504554</x:v>
      </x:c>
      <x:c r="N1397" s="10" t="n">
        <x:v>44637.3529020456</x:v>
      </x:c>
      <x:c r="O1397" s="9" t="n">
        <x:v>0.0030719626</x:v>
      </x:c>
      <x:c r="P1397" s="9" t="n">
        <x:v>0.7180114099</x:v>
      </x:c>
      <x:c r="Q1397" s="9" t="n">
        <x:v>0.6022819886</x:v>
      </x:c>
      <x:c r="R1397" s="3" t="b">
        <x:v>0</x:v>
      </x:c>
      <x:c r="S1397" s="3" t="b">
        <x:v>0</x:v>
      </x:c>
      <x:c r="T1397" s="3" t="b">
        <x:v>0</x:v>
      </x:c>
      <x:c r="U1397" s="2" t="str">
        <x:f>IF(T1397=TRUE,"Priority review",IF(R1397=TRUE,"High cost",IF(S1397=TRUE,"Low quality","Benchmark")))</x:f>
        <x:v>Benchmark</x:v>
      </x:c>
    </x:row>
    <x:row r="1398">
      <x:c r="A1398" s="2" t="str">
        <x:v>140015</x:v>
      </x:c>
      <x:c r="B1398" s="2" t="str">
        <x:v>BLESSING HOSPITAL</x:v>
      </x:c>
      <x:c r="C1398" s="2" t="str">
        <x:v>QUINCY</x:v>
      </x:c>
      <x:c r="D1398" s="2" t="str">
        <x:v>IL</x:v>
      </x:c>
      <x:c r="E1398" s="2" t="str">
        <x:v>Acute Care Hospitals</x:v>
      </x:c>
      <x:c r="F1398" s="2" t="str">
        <x:v>Voluntary non-profit</x:v>
      </x:c>
      <x:c r="G1398" s="2" t="str">
        <x:v>Large (300+ beds)</x:v>
      </x:c>
      <x:c r="H1398" s="7" t="n">
        <x:v>4</x:v>
      </x:c>
      <x:c r="I1398" s="7" t="n">
        <x:v>3</x:v>
      </x:c>
      <x:c r="J1398" s="7" t="n">
        <x:v>1</x:v>
      </x:c>
      <x:c r="K1398" s="8" t="n">
        <x:v>311</x:v>
      </x:c>
      <x:c r="L1398" s="8" t="n">
        <x:v>13608</x:v>
      </x:c>
      <x:c r="M1398" s="9" t="n">
        <x:v>0.5682005869</x:v>
      </x:c>
      <x:c r="N1398" s="10" t="n">
        <x:v>51092.371031746</x:v>
      </x:c>
      <x:c r="O1398" s="9" t="n">
        <x:v>-0.1180533801</x:v>
      </x:c>
      <x:c r="P1398" s="9" t="n">
        <x:v>0.7176656151</x:v>
      </x:c>
      <x:c r="Q1398" s="9" t="n">
        <x:v>0.5899053628</x:v>
      </x:c>
      <x:c r="R1398" s="3" t="b">
        <x:v>0</x:v>
      </x:c>
      <x:c r="S1398" s="3" t="b">
        <x:v>0</x:v>
      </x:c>
      <x:c r="T1398" s="3" t="b">
        <x:v>0</x:v>
      </x:c>
      <x:c r="U1398" s="2" t="str">
        <x:f>IF(T1398=TRUE,"Priority review",IF(R1398=TRUE,"High cost",IF(S1398=TRUE,"Low quality","Benchmark")))</x:f>
        <x:v>Benchmark</x:v>
      </x:c>
    </x:row>
    <x:row r="1399">
      <x:c r="A1399" s="2" t="str">
        <x:v>201304</x:v>
      </x:c>
      <x:c r="B1399" s="2" t="str">
        <x:v>MOUNT DESERT ISLAND HOSPITAL</x:v>
      </x:c>
      <x:c r="C1399" s="2" t="str">
        <x:v>BAR HARBOR</x:v>
      </x:c>
      <x:c r="D1399" s="2" t="str">
        <x:v>ME</x:v>
      </x:c>
      <x:c r="E1399" s="2" t="str">
        <x:v>Critical Access Hospitals</x:v>
      </x:c>
      <x:c r="F1399" s="2" t="str">
        <x:v>Voluntary non-profit</x:v>
      </x:c>
      <x:c r="G1399" s="2" t="str">
        <x:v>Small (&lt;100 beds)</x:v>
      </x:c>
      <x:c r="H1399" s="7"/>
      <x:c r="I1399" s="7" t="n">
        <x:v>5</x:v>
      </x:c>
      <x:c r="J1399" s="7"/>
      <x:c r="K1399" s="8" t="n">
        <x:v>25</x:v>
      </x:c>
      <x:c r="L1399" s="8" t="n">
        <x:v>473</x:v>
      </x:c>
      <x:c r="M1399" s="9" t="n">
        <x:v>0.3207671233</x:v>
      </x:c>
      <x:c r="N1399" s="10" t="n">
        <x:v>194587.0824524313</x:v>
      </x:c>
      <x:c r="O1399" s="9" t="n">
        <x:v>-0.0803681711</x:v>
      </x:c>
      <x:c r="P1399" s="9" t="n">
        <x:v>0.717472119</x:v>
      </x:c>
      <x:c r="Q1399" s="9" t="n">
        <x:v>0.292936803</x:v>
      </x:c>
      <x:c r="R1399" s="3" t="b">
        <x:v>0</x:v>
      </x:c>
      <x:c r="S1399" s="3" t="b">
        <x:v>0</x:v>
      </x:c>
      <x:c r="T1399" s="3" t="b">
        <x:v>0</x:v>
      </x:c>
      <x:c r="U1399" s="2" t="str">
        <x:f>IF(T1399=TRUE,"Priority review",IF(R1399=TRUE,"High cost",IF(S1399=TRUE,"Low quality","Benchmark")))</x:f>
        <x:v>Benchmark</x:v>
      </x:c>
    </x:row>
    <x:row r="1400">
      <x:c r="A1400" s="2" t="str">
        <x:v>520210</x:v>
      </x:c>
      <x:c r="B1400" s="2" t="str">
        <x:v>MARSHFIELD MEDICAL CENTER - EAU CLAIRE</x:v>
      </x:c>
      <x:c r="C1400" s="2" t="str">
        <x:v>EAU CLAIRE</x:v>
      </x:c>
      <x:c r="D1400" s="2" t="str">
        <x:v>WI</x:v>
      </x:c>
      <x:c r="E1400" s="2" t="str">
        <x:v>Acute Care Hospitals</x:v>
      </x:c>
      <x:c r="F1400" s="2" t="str">
        <x:v>Voluntary non-profit</x:v>
      </x:c>
      <x:c r="G1400" s="2" t="str">
        <x:v>Small (&lt;100 beds)</x:v>
      </x:c>
      <x:c r="H1400" s="7" t="n">
        <x:v>3</x:v>
      </x:c>
      <x:c r="I1400" s="7" t="n">
        <x:v>4</x:v>
      </x:c>
      <x:c r="J1400" s="7" t="n">
        <x:v>0.91</x:v>
      </x:c>
      <x:c r="K1400" s="8" t="n">
        <x:v>56</x:v>
      </x:c>
      <x:c r="L1400" s="8" t="n">
        <x:v>3235</x:v>
      </x:c>
      <x:c r="M1400" s="9" t="n">
        <x:v>0.7093091335</x:v>
      </x:c>
      <x:c r="N1400" s="10" t="n">
        <x:v>78727.971561051</x:v>
      </x:c>
      <x:c r="O1400" s="9" t="n">
        <x:v>-0.2481211557</x:v>
      </x:c>
      <x:c r="P1400" s="9" t="n">
        <x:v>0.7172351885</x:v>
      </x:c>
      <x:c r="Q1400" s="9" t="n">
        <x:v>0.1687612208</x:v>
      </x:c>
      <x:c r="R1400" s="3" t="b">
        <x:v>0</x:v>
      </x:c>
      <x:c r="S1400" s="3" t="b">
        <x:v>0</x:v>
      </x:c>
      <x:c r="T1400" s="3" t="b">
        <x:v>0</x:v>
      </x:c>
      <x:c r="U1400" s="2" t="str">
        <x:f>IF(T1400=TRUE,"Priority review",IF(R1400=TRUE,"High cost",IF(S1400=TRUE,"Low quality","Benchmark")))</x:f>
        <x:v>Benchmark</x:v>
      </x:c>
    </x:row>
    <x:row r="1401">
      <x:c r="A1401" s="2" t="str">
        <x:v>170016</x:v>
      </x:c>
      <x:c r="B1401" s="2" t="str">
        <x:v>UNIVERSITY OF KANSAS HEALTH SYSTEM - ST FRANCIS CAMPUS</x:v>
      </x:c>
      <x:c r="C1401" s="2" t="str">
        <x:v>TOPEKA</x:v>
      </x:c>
      <x:c r="D1401" s="2" t="str">
        <x:v>KS</x:v>
      </x:c>
      <x:c r="E1401" s="2" t="str">
        <x:v>Acute Care Hospitals</x:v>
      </x:c>
      <x:c r="F1401" s="2" t="str">
        <x:v>Voluntary non-profit</x:v>
      </x:c>
      <x:c r="G1401" s="2" t="str">
        <x:v>Medium (100-299 beds)</x:v>
      </x:c>
      <x:c r="H1401" s="7" t="n">
        <x:v>3</x:v>
      </x:c>
      <x:c r="I1401" s="7" t="n">
        <x:v>3</x:v>
      </x:c>
      <x:c r="J1401" s="7" t="n">
        <x:v>0.98</x:v>
      </x:c>
      <x:c r="K1401" s="8" t="n">
        <x:v>183</x:v>
      </x:c>
      <x:c r="L1401" s="8" t="n">
        <x:v>8148</x:v>
      </x:c>
      <x:c r="M1401" s="9" t="n">
        <x:v>0.4652444045</x:v>
      </x:c>
      <x:c r="N1401" s="10" t="n">
        <x:v>44614.808910162</x:v>
      </x:c>
      <x:c r="O1401" s="9" t="n">
        <x:v>-0.1529154236</x:v>
      </x:c>
      <x:c r="P1401" s="9" t="n">
        <x:v>0.717196414</x:v>
      </x:c>
      <x:c r="Q1401" s="9" t="n">
        <x:v>0.3023634882</x:v>
      </x:c>
      <x:c r="R1401" s="3" t="b">
        <x:v>0</x:v>
      </x:c>
      <x:c r="S1401" s="3" t="b">
        <x:v>0</x:v>
      </x:c>
      <x:c r="T1401" s="3" t="b">
        <x:v>0</x:v>
      </x:c>
      <x:c r="U1401" s="2" t="str">
        <x:f>IF(T1401=TRUE,"Priority review",IF(R1401=TRUE,"High cost",IF(S1401=TRUE,"Low quality","Benchmark")))</x:f>
        <x:v>Benchmark</x:v>
      </x:c>
    </x:row>
    <x:row r="1402">
      <x:c r="A1402" s="2" t="str">
        <x:v>431333</x:v>
      </x:c>
      <x:c r="B1402" s="2" t="str">
        <x:v>SANFORD CANTON-INWOOD MEDICAL CENTER - CAH</x:v>
      </x:c>
      <x:c r="C1402" s="2" t="str">
        <x:v>CANTON</x:v>
      </x:c>
      <x:c r="D1402" s="2" t="str">
        <x:v>SD</x:v>
      </x:c>
      <x:c r="E1402" s="2" t="str">
        <x:v>Critical Access Hospitals</x:v>
      </x:c>
      <x:c r="F1402" s="2" t="str">
        <x:v>Voluntary non-profit</x:v>
      </x:c>
      <x:c r="G1402" s="2" t="str">
        <x:v>Small (&lt;100 beds)</x:v>
      </x:c>
      <x:c r="H1402" s="7"/>
      <x:c r="I1402" s="7"/>
      <x:c r="J1402" s="7"/>
      <x:c r="K1402" s="8" t="n">
        <x:v>11</x:v>
      </x:c>
      <x:c r="L1402" s="8" t="n">
        <x:v>72</x:v>
      </x:c>
      <x:c r="M1402" s="9" t="n">
        <x:v>0.2563338301</x:v>
      </x:c>
      <x:c r="N1402" s="10" t="n">
        <x:v>194470.0694444444</x:v>
      </x:c>
      <x:c r="O1402" s="9" t="n">
        <x:v>0.1019957951</x:v>
      </x:c>
      <x:c r="P1402" s="9" t="n">
        <x:v>0.7167286245</x:v>
      </x:c>
      <x:c r="Q1402" s="9" t="n">
        <x:v>0.292936803</x:v>
      </x:c>
      <x:c r="R1402" s="3" t="b">
        <x:v>0</x:v>
      </x:c>
      <x:c r="S1402" s="3" t="b">
        <x:v>0</x:v>
      </x:c>
      <x:c r="T1402" s="3" t="b">
        <x:v>0</x:v>
      </x:c>
      <x:c r="U1402" s="2" t="str">
        <x:f>IF(T1402=TRUE,"Priority review",IF(R1402=TRUE,"High cost",IF(S1402=TRUE,"Low quality","Benchmark")))</x:f>
        <x:v>Benchmark</x:v>
      </x:c>
    </x:row>
    <x:row r="1403">
      <x:c r="A1403" s="2" t="str">
        <x:v>414000</x:v>
      </x:c>
      <x:c r="B1403" s="2" t="str">
        <x:v>BUTLER HOSPITAL</x:v>
      </x:c>
      <x:c r="C1403" s="2" t="str">
        <x:v>PROVIDENCE</x:v>
      </x:c>
      <x:c r="D1403" s="2" t="str">
        <x:v>RI</x:v>
      </x:c>
      <x:c r="E1403" s="2" t="str">
        <x:v>Psychiatric</x:v>
      </x:c>
      <x:c r="F1403" s="2" t="str">
        <x:v>Voluntary non-profit</x:v>
      </x:c>
      <x:c r="G1403" s="2" t="str">
        <x:v>Medium (100-299 beds)</x:v>
      </x:c>
      <x:c r="H1403" s="7"/>
      <x:c r="I1403" s="7"/>
      <x:c r="J1403" s="7"/>
      <x:c r="K1403" s="8" t="n">
        <x:v>168</x:v>
      </x:c>
      <x:c r="L1403" s="8" t="n">
        <x:v>6693</x:v>
      </x:c>
      <x:c r="M1403" s="9" t="n">
        <x:v>0.8626236014</x:v>
      </x:c>
      <x:c r="N1403" s="10" t="n">
        <x:v>23684.9660839683</x:v>
      </x:c>
      <x:c r="O1403" s="9" t="n">
        <x:v>-0.3226239245</x:v>
      </x:c>
      <x:c r="P1403" s="9" t="n">
        <x:v>0.7164179104</x:v>
      </x:c>
      <x:c r="Q1403" s="9" t="n">
        <x:v>0</x:v>
      </x:c>
      <x:c r="R1403" s="3" t="b">
        <x:v>0</x:v>
      </x:c>
      <x:c r="S1403" s="3" t="b">
        <x:v>0</x:v>
      </x:c>
      <x:c r="T1403" s="3" t="b">
        <x:v>0</x:v>
      </x:c>
      <x:c r="U1403" s="2" t="str">
        <x:f>IF(T1403=TRUE,"Priority review",IF(R1403=TRUE,"High cost",IF(S1403=TRUE,"Low quality","Benchmark")))</x:f>
        <x:v>Benchmark</x:v>
      </x:c>
    </x:row>
    <x:row r="1404">
      <x:c r="A1404" s="2" t="str">
        <x:v>380025</x:v>
      </x:c>
      <x:c r="B1404" s="2" t="str">
        <x:v>LEGACY MOUNT HOOD MEDICAL CENTER</x:v>
      </x:c>
      <x:c r="C1404" s="2" t="str">
        <x:v>GRESHAM</x:v>
      </x:c>
      <x:c r="D1404" s="2" t="str">
        <x:v>OR</x:v>
      </x:c>
      <x:c r="E1404" s="2" t="str">
        <x:v>Acute Care Hospitals</x:v>
      </x:c>
      <x:c r="F1404" s="2" t="str">
        <x:v>Voluntary non-profit</x:v>
      </x:c>
      <x:c r="G1404" s="2" t="str">
        <x:v>Medium (100-299 beds)</x:v>
      </x:c>
      <x:c r="H1404" s="7" t="n">
        <x:v>3</x:v>
      </x:c>
      <x:c r="I1404" s="7" t="n">
        <x:v>3</x:v>
      </x:c>
      <x:c r="J1404" s="7" t="n">
        <x:v>0.87</x:v>
      </x:c>
      <x:c r="K1404" s="8" t="n">
        <x:v>100</x:v>
      </x:c>
      <x:c r="L1404" s="8" t="n">
        <x:v>5147</x:v>
      </x:c>
      <x:c r="M1404" s="9" t="n">
        <x:v>0.6176438356</x:v>
      </x:c>
      <x:c r="N1404" s="10" t="n">
        <x:v>44557.0559549252</x:v>
      </x:c>
      <x:c r="O1404" s="9" t="n">
        <x:v>-0.0618621889</x:v>
      </x:c>
      <x:c r="P1404" s="9" t="n">
        <x:v>0.7163814181</x:v>
      </x:c>
      <x:c r="Q1404" s="9" t="n">
        <x:v>0.3023634882</x:v>
      </x:c>
      <x:c r="R1404" s="3" t="b">
        <x:v>0</x:v>
      </x:c>
      <x:c r="S1404" s="3" t="b">
        <x:v>0</x:v>
      </x:c>
      <x:c r="T1404" s="3" t="b">
        <x:v>0</x:v>
      </x:c>
      <x:c r="U1404" s="2" t="str">
        <x:f>IF(T1404=TRUE,"Priority review",IF(R1404=TRUE,"High cost",IF(S1404=TRUE,"Low quality","Benchmark")))</x:f>
        <x:v>Benchmark</x:v>
      </x:c>
    </x:row>
    <x:row r="1405">
      <x:c r="A1405" s="2" t="str">
        <x:v>230180</x:v>
      </x:c>
      <x:c r="B1405" s="2" t="str">
        <x:v>MYMICHIGAN MEDICAL CENTER CLARE</x:v>
      </x:c>
      <x:c r="C1405" s="2" t="str">
        <x:v>CLARE</x:v>
      </x:c>
      <x:c r="D1405" s="2" t="str">
        <x:v>MI</x:v>
      </x:c>
      <x:c r="E1405" s="2" t="str">
        <x:v>Acute Care Hospitals</x:v>
      </x:c>
      <x:c r="F1405" s="2" t="str">
        <x:v>Voluntary non-profit</x:v>
      </x:c>
      <x:c r="G1405" s="2" t="str">
        <x:v>Small (&lt;100 beds)</x:v>
      </x:c>
      <x:c r="H1405" s="7" t="n">
        <x:v>2</x:v>
      </x:c>
      <x:c r="I1405" s="7" t="n">
        <x:v>4</x:v>
      </x:c>
      <x:c r="J1405" s="7" t="n">
        <x:v>0.87</x:v>
      </x:c>
      <x:c r="K1405" s="8" t="n">
        <x:v>39</x:v>
      </x:c>
      <x:c r="L1405" s="8" t="n">
        <x:v>1170</x:v>
      </x:c>
      <x:c r="M1405" s="9" t="n">
        <x:v>0.2533192835</x:v>
      </x:c>
      <x:c r="N1405" s="10" t="n">
        <x:v>78702.094017094</x:v>
      </x:c>
      <x:c r="O1405" s="9" t="n">
        <x:v>0.2219970187</x:v>
      </x:c>
      <x:c r="P1405" s="9" t="n">
        <x:v>0.7163375224</x:v>
      </x:c>
      <x:c r="Q1405" s="9" t="n">
        <x:v>0.0350089767</x:v>
      </x:c>
      <x:c r="R1405" s="3" t="b">
        <x:v>0</x:v>
      </x:c>
      <x:c r="S1405" s="3" t="b">
        <x:v>1</x:v>
      </x:c>
      <x:c r="T1405" s="3" t="b">
        <x:v>0</x:v>
      </x:c>
      <x:c r="U1405" s="2" t="str">
        <x:f>IF(T1405=TRUE,"Priority review",IF(R1405=TRUE,"High cost",IF(S1405=TRUE,"Low quality","Benchmark")))</x:f>
        <x:v>Low quality</x:v>
      </x:c>
    </x:row>
    <x:row r="1406">
      <x:c r="A1406" s="2" t="str">
        <x:v>160083</x:v>
      </x:c>
      <x:c r="B1406" s="2" t="str">
        <x:v>MERCYONE DES MOINES MEDICAL CENTER</x:v>
      </x:c>
      <x:c r="C1406" s="2" t="str">
        <x:v>DES MOINES</x:v>
      </x:c>
      <x:c r="D1406" s="2" t="str">
        <x:v>IA</x:v>
      </x:c>
      <x:c r="E1406" s="2" t="str">
        <x:v>Acute Care Hospitals</x:v>
      </x:c>
      <x:c r="F1406" s="2" t="str">
        <x:v>Voluntary non-profit</x:v>
      </x:c>
      <x:c r="G1406" s="2" t="str">
        <x:v>Large (300+ beds)</x:v>
      </x:c>
      <x:c r="H1406" s="7" t="n">
        <x:v>1</x:v>
      </x:c>
      <x:c r="I1406" s="7" t="n">
        <x:v>2</x:v>
      </x:c>
      <x:c r="J1406" s="7" t="n">
        <x:v>1.01</x:v>
      </x:c>
      <x:c r="K1406" s="8" t="n">
        <x:v>519</x:v>
      </x:c>
      <x:c r="L1406" s="8" t="n">
        <x:v>24331</x:v>
      </x:c>
      <x:c r="M1406" s="9" t="n">
        <x:v>0.7299495869</x:v>
      </x:c>
      <x:c r="N1406" s="10" t="n">
        <x:v>50795.7719781349</x:v>
      </x:c>
      <x:c r="O1406" s="9" t="n">
        <x:v>-0.2448750132</x:v>
      </x:c>
      <x:c r="P1406" s="9" t="n">
        <x:v>0.7160883281</x:v>
      </x:c>
      <x:c r="Q1406" s="9" t="n">
        <x:v>0</x:v>
      </x:c>
      <x:c r="R1406" s="3" t="b">
        <x:v>0</x:v>
      </x:c>
      <x:c r="S1406" s="3" t="b">
        <x:v>1</x:v>
      </x:c>
      <x:c r="T1406" s="3" t="b">
        <x:v>0</x:v>
      </x:c>
      <x:c r="U1406" s="2" t="str">
        <x:f>IF(T1406=TRUE,"Priority review",IF(R1406=TRUE,"High cost",IF(S1406=TRUE,"Low quality","Benchmark")))</x:f>
        <x:v>Low quality</x:v>
      </x:c>
    </x:row>
    <x:row r="1407">
      <x:c r="A1407" s="2" t="str">
        <x:v>111311</x:v>
      </x:c>
      <x:c r="B1407" s="2" t="str">
        <x:v>JENKINS COUNTY MEDICAL CENTER</x:v>
      </x:c>
      <x:c r="C1407" s="2" t="str">
        <x:v>MILLEN</x:v>
      </x:c>
      <x:c r="D1407" s="2" t="str">
        <x:v>GA</x:v>
      </x:c>
      <x:c r="E1407" s="2" t="str">
        <x:v>Critical Access Hospitals</x:v>
      </x:c>
      <x:c r="F1407" s="2" t="str">
        <x:v>Proprietary</x:v>
      </x:c>
      <x:c r="G1407" s="2" t="str">
        <x:v>Small (&lt;100 beds)</x:v>
      </x:c>
      <x:c r="H1407" s="7"/>
      <x:c r="I1407" s="7"/>
      <x:c r="J1407" s="7"/>
      <x:c r="K1407" s="8" t="n">
        <x:v>15</x:v>
      </x:c>
      <x:c r="L1407" s="8" t="n">
        <x:v>60</x:v>
      </x:c>
      <x:c r="M1407" s="9" t="n">
        <x:v>0.1112932605</x:v>
      </x:c>
      <x:c r="N1407" s="10" t="n">
        <x:v>193961.55</x:v>
      </x:c>
      <x:c r="O1407" s="9" t="n">
        <x:v>-0.0106389972</x:v>
      </x:c>
      <x:c r="P1407" s="9" t="n">
        <x:v>0.7159851301</x:v>
      </x:c>
      <x:c r="Q1407" s="9" t="n">
        <x:v>0.292936803</x:v>
      </x:c>
      <x:c r="R1407" s="3" t="b">
        <x:v>0</x:v>
      </x:c>
      <x:c r="S1407" s="3" t="b">
        <x:v>0</x:v>
      </x:c>
      <x:c r="T1407" s="3" t="b">
        <x:v>0</x:v>
      </x:c>
      <x:c r="U1407" s="2" t="str">
        <x:f>IF(T1407=TRUE,"Priority review",IF(R1407=TRUE,"High cost",IF(S1407=TRUE,"Low quality","Benchmark")))</x:f>
        <x:v>Benchmark</x:v>
      </x:c>
    </x:row>
    <x:row r="1408">
      <x:c r="A1408" s="2" t="str">
        <x:v>300012</x:v>
      </x:c>
      <x:c r="B1408" s="2" t="str">
        <x:v>ELLIOT HOSPITAL</x:v>
      </x:c>
      <x:c r="C1408" s="2" t="str">
        <x:v>MANCHESTER</x:v>
      </x:c>
      <x:c r="D1408" s="2" t="str">
        <x:v>NH</x:v>
      </x:c>
      <x:c r="E1408" s="2" t="str">
        <x:v>Acute Care Hospitals</x:v>
      </x:c>
      <x:c r="F1408" s="2" t="str">
        <x:v>Voluntary non-profit</x:v>
      </x:c>
      <x:c r="G1408" s="2" t="str">
        <x:v>Medium (100-299 beds)</x:v>
      </x:c>
      <x:c r="H1408" s="7" t="n">
        <x:v>2</x:v>
      </x:c>
      <x:c r="I1408" s="7" t="n">
        <x:v>4</x:v>
      </x:c>
      <x:c r="J1408" s="7" t="n">
        <x:v>1.01</x:v>
      </x:c>
      <x:c r="K1408" s="8" t="n">
        <x:v>215</x:v>
      </x:c>
      <x:c r="L1408" s="8" t="n">
        <x:v>15338</x:v>
      </x:c>
      <x:c r="M1408" s="9" t="n">
        <x:v>0.9057916534</x:v>
      </x:c>
      <x:c r="N1408" s="10" t="n">
        <x:v>44503.1613639327</x:v>
      </x:c>
      <x:c r="O1408" s="9" t="n">
        <x:v>0.0092842123</x:v>
      </x:c>
      <x:c r="P1408" s="9" t="n">
        <x:v>0.7155664222</x:v>
      </x:c>
      <x:c r="Q1408" s="9" t="n">
        <x:v>0.0782396088</x:v>
      </x:c>
      <x:c r="R1408" s="3" t="b">
        <x:v>0</x:v>
      </x:c>
      <x:c r="S1408" s="3" t="b">
        <x:v>1</x:v>
      </x:c>
      <x:c r="T1408" s="3" t="b">
        <x:v>0</x:v>
      </x:c>
      <x:c r="U1408" s="2" t="str">
        <x:f>IF(T1408=TRUE,"Priority review",IF(R1408=TRUE,"High cost",IF(S1408=TRUE,"Low quality","Benchmark")))</x:f>
        <x:v>Low quality</x:v>
      </x:c>
    </x:row>
    <x:row r="1409">
      <x:c r="A1409" s="2" t="str">
        <x:v>530006</x:v>
      </x:c>
      <x:c r="B1409" s="2" t="str">
        <x:v>SHERIDAN MEMORIAL HOSPITAL</x:v>
      </x:c>
      <x:c r="C1409" s="2" t="str">
        <x:v>SHERIDAN</x:v>
      </x:c>
      <x:c r="D1409" s="2" t="str">
        <x:v>WY</x:v>
      </x:c>
      <x:c r="E1409" s="2" t="str">
        <x:v>Acute Care Hospitals</x:v>
      </x:c>
      <x:c r="F1409" s="2" t="str">
        <x:v>Government</x:v>
      </x:c>
      <x:c r="G1409" s="2" t="str">
        <x:v>Small (&lt;100 beds)</x:v>
      </x:c>
      <x:c r="H1409" s="7" t="n">
        <x:v>3</x:v>
      </x:c>
      <x:c r="I1409" s="7" t="n">
        <x:v>3</x:v>
      </x:c>
      <x:c r="J1409" s="7" t="n">
        <x:v>0.92</x:v>
      </x:c>
      <x:c r="K1409" s="8" t="n">
        <x:v>88</x:v>
      </x:c>
      <x:c r="L1409" s="8" t="n">
        <x:v>2046</x:v>
      </x:c>
      <x:c r="M1409" s="9" t="n">
        <x:v>0.3880759651</x:v>
      </x:c>
      <x:c r="N1409" s="10" t="n">
        <x:v>78688.5351906158</x:v>
      </x:c>
      <x:c r="O1409" s="9" t="n">
        <x:v>-0.1368936398</x:v>
      </x:c>
      <x:c r="P1409" s="9" t="n">
        <x:v>0.7154398564</x:v>
      </x:c>
      <x:c r="Q1409" s="9" t="n">
        <x:v>0.1687612208</x:v>
      </x:c>
      <x:c r="R1409" s="3" t="b">
        <x:v>0</x:v>
      </x:c>
      <x:c r="S1409" s="3" t="b">
        <x:v>0</x:v>
      </x:c>
      <x:c r="T1409" s="3" t="b">
        <x:v>0</x:v>
      </x:c>
      <x:c r="U1409" s="2" t="str">
        <x:f>IF(T1409=TRUE,"Priority review",IF(R1409=TRUE,"High cost",IF(S1409=TRUE,"Low quality","Benchmark")))</x:f>
        <x:v>Benchmark</x:v>
      </x:c>
    </x:row>
    <x:row r="1410">
      <x:c r="A1410" s="2" t="str">
        <x:v>281319</x:v>
      </x:c>
      <x:c r="B1410" s="2" t="str">
        <x:v>JEFFERSON COMMUNITY HEALTH &amp; LIFE</x:v>
      </x:c>
      <x:c r="C1410" s="2" t="str">
        <x:v>FAIRBURY</x:v>
      </x:c>
      <x:c r="D1410" s="2" t="str">
        <x:v>NE</x:v>
      </x:c>
      <x:c r="E1410" s="2" t="str">
        <x:v>Critical Access Hospitals</x:v>
      </x:c>
      <x:c r="F1410" s="2" t="str">
        <x:v>Voluntary non-profit</x:v>
      </x:c>
      <x:c r="G1410" s="2" t="str">
        <x:v>Small (&lt;100 beds)</x:v>
      </x:c>
      <x:c r="H1410" s="7"/>
      <x:c r="I1410" s="7"/>
      <x:c r="J1410" s="7"/>
      <x:c r="K1410" s="8" t="n">
        <x:v>17</x:v>
      </x:c>
      <x:c r="L1410" s="8" t="n">
        <x:v>172</x:v>
      </x:c>
      <x:c r="M1410" s="9" t="n">
        <x:v>0.1647380264</x:v>
      </x:c>
      <x:c r="N1410" s="10" t="n">
        <x:v>193913.3895348837</x:v>
      </x:c>
      <x:c r="O1410" s="9" t="n">
        <x:v>-0.0890036795</x:v>
      </x:c>
      <x:c r="P1410" s="9" t="n">
        <x:v>0.7152416357</x:v>
      </x:c>
      <x:c r="Q1410" s="9" t="n">
        <x:v>0.292936803</x:v>
      </x:c>
      <x:c r="R1410" s="3" t="b">
        <x:v>0</x:v>
      </x:c>
      <x:c r="S1410" s="3" t="b">
        <x:v>0</x:v>
      </x:c>
      <x:c r="T1410" s="3" t="b">
        <x:v>0</x:v>
      </x:c>
      <x:c r="U1410" s="2" t="str">
        <x:f>IF(T1410=TRUE,"Priority review",IF(R1410=TRUE,"High cost",IF(S1410=TRUE,"Low quality","Benchmark")))</x:f>
        <x:v>Benchmark</x:v>
      </x:c>
    </x:row>
    <x:row r="1411">
      <x:c r="A1411" s="2" t="str">
        <x:v>254008</x:v>
      </x:c>
      <x:c r="B1411" s="2" t="str">
        <x:v>SOUTH MISSISSIPPI STATE HOSPITAL</x:v>
      </x:c>
      <x:c r="C1411" s="2" t="str">
        <x:v>PURVIS</x:v>
      </x:c>
      <x:c r="D1411" s="2" t="str">
        <x:v>MS</x:v>
      </x:c>
      <x:c r="E1411" s="2" t="str">
        <x:v>Psychiatric</x:v>
      </x:c>
      <x:c r="F1411" s="2" t="str">
        <x:v>Government</x:v>
      </x:c>
      <x:c r="G1411" s="2" t="str">
        <x:v>Small (&lt;100 beds)</x:v>
      </x:c>
      <x:c r="H1411" s="7"/>
      <x:c r="I1411" s="7"/>
      <x:c r="J1411" s="7"/>
      <x:c r="K1411" s="8" t="n">
        <x:v>50</x:v>
      </x:c>
      <x:c r="L1411" s="8" t="n">
        <x:v>378</x:v>
      </x:c>
      <x:c r="M1411" s="9" t="n">
        <x:v>0.8828493151</x:v>
      </x:c>
      <x:c r="N1411" s="10" t="n">
        <x:v>24852.1587301587</x:v>
      </x:c>
      <x:c r="O1411" s="9" t="n">
        <x:v>-5.275210752</x:v>
      </x:c>
      <x:c r="P1411" s="9" t="n">
        <x:v>0.715210356</x:v>
      </x:c>
      <x:c r="Q1411" s="9" t="n">
        <x:v>0</x:v>
      </x:c>
      <x:c r="R1411" s="3" t="b">
        <x:v>0</x:v>
      </x:c>
      <x:c r="S1411" s="3" t="b">
        <x:v>0</x:v>
      </x:c>
      <x:c r="T1411" s="3" t="b">
        <x:v>0</x:v>
      </x:c>
      <x:c r="U1411" s="2" t="str">
        <x:f>IF(T1411=TRUE,"Priority review",IF(R1411=TRUE,"High cost",IF(S1411=TRUE,"Low quality","Benchmark")))</x:f>
        <x:v>Benchmark</x:v>
      </x:c>
    </x:row>
    <x:row r="1412">
      <x:c r="A1412" s="2" t="str">
        <x:v>450709</x:v>
      </x:c>
      <x:c r="B1412" s="2" t="str">
        <x:v>HOUSTON METHODIST CLEAR LAKE HOSPITAL</x:v>
      </x:c>
      <x:c r="C1412" s="2" t="str">
        <x:v>NASSAU BAY</x:v>
      </x:c>
      <x:c r="D1412" s="2" t="str">
        <x:v>TX</x:v>
      </x:c>
      <x:c r="E1412" s="2" t="str">
        <x:v>Acute Care Hospitals</x:v>
      </x:c>
      <x:c r="F1412" s="2" t="str">
        <x:v>Voluntary non-profit</x:v>
      </x:c>
      <x:c r="G1412" s="2" t="str">
        <x:v>Medium (100-299 beds)</x:v>
      </x:c>
      <x:c r="H1412" s="7" t="n">
        <x:v>5</x:v>
      </x:c>
      <x:c r="I1412" s="7" t="n">
        <x:v>4</x:v>
      </x:c>
      <x:c r="J1412" s="7" t="n">
        <x:v>1.08</x:v>
      </x:c>
      <x:c r="K1412" s="8" t="n">
        <x:v>178</x:v>
      </x:c>
      <x:c r="L1412" s="8" t="n">
        <x:v>6860</x:v>
      </x:c>
      <x:c r="M1412" s="9" t="n">
        <x:v>0.4440044207</x:v>
      </x:c>
      <x:c r="N1412" s="10" t="n">
        <x:v>44442.4327988338</x:v>
      </x:c>
      <x:c r="O1412" s="9" t="n">
        <x:v>0.1210107208</x:v>
      </x:c>
      <x:c r="P1412" s="9" t="n">
        <x:v>0.7147514262</x:v>
      </x:c>
      <x:c r="Q1412" s="9" t="n">
        <x:v>0.8744906275</x:v>
      </x:c>
      <x:c r="R1412" s="3" t="b">
        <x:v>0</x:v>
      </x:c>
      <x:c r="S1412" s="3" t="b">
        <x:v>0</x:v>
      </x:c>
      <x:c r="T1412" s="3" t="b">
        <x:v>0</x:v>
      </x:c>
      <x:c r="U1412" s="2" t="str">
        <x:f>IF(T1412=TRUE,"Priority review",IF(R1412=TRUE,"High cost",IF(S1412=TRUE,"Low quality","Benchmark")))</x:f>
        <x:v>Benchmark</x:v>
      </x:c>
    </x:row>
    <x:row r="1413">
      <x:c r="A1413" s="2" t="str">
        <x:v>330079</x:v>
      </x:c>
      <x:c r="B1413" s="2" t="str">
        <x:v>ADIRONDACK MEDICAL CENTER - SARANAC LAKE</x:v>
      </x:c>
      <x:c r="C1413" s="2" t="str">
        <x:v>SARANAC LAKE</x:v>
      </x:c>
      <x:c r="D1413" s="2" t="str">
        <x:v>NY</x:v>
      </x:c>
      <x:c r="E1413" s="2" t="str">
        <x:v>Acute Care Hospitals</x:v>
      </x:c>
      <x:c r="F1413" s="2" t="str">
        <x:v>Voluntary non-profit</x:v>
      </x:c>
      <x:c r="G1413" s="2" t="str">
        <x:v>Small (&lt;100 beds)</x:v>
      </x:c>
      <x:c r="H1413" s="7" t="n">
        <x:v>4</x:v>
      </x:c>
      <x:c r="I1413" s="7" t="n">
        <x:v>5</x:v>
      </x:c>
      <x:c r="J1413" s="7" t="n">
        <x:v>0.87</x:v>
      </x:c>
      <x:c r="K1413" s="8" t="n">
        <x:v>83</x:v>
      </x:c>
      <x:c r="L1413" s="8" t="n">
        <x:v>1831</x:v>
      </x:c>
      <x:c r="M1413" s="9" t="n">
        <x:v>0.2583448548</x:v>
      </x:c>
      <x:c r="N1413" s="10" t="n">
        <x:v>78597.3468050246</x:v>
      </x:c>
      <x:c r="O1413" s="9" t="n">
        <x:v>0.0038958545</x:v>
      </x:c>
      <x:c r="P1413" s="9" t="n">
        <x:v>0.7145421903</x:v>
      </x:c>
      <x:c r="Q1413" s="9" t="n">
        <x:v>0.3913824057</x:v>
      </x:c>
      <x:c r="R1413" s="3" t="b">
        <x:v>0</x:v>
      </x:c>
      <x:c r="S1413" s="3" t="b">
        <x:v>0</x:v>
      </x:c>
      <x:c r="T1413" s="3" t="b">
        <x:v>0</x:v>
      </x:c>
      <x:c r="U1413" s="2" t="str">
        <x:f>IF(T1413=TRUE,"Priority review",IF(R1413=TRUE,"High cost",IF(S1413=TRUE,"Low quality","Benchmark")))</x:f>
        <x:v>Benchmark</x:v>
      </x:c>
    </x:row>
    <x:row r="1414">
      <x:c r="A1414" s="2" t="str">
        <x:v>500050</x:v>
      </x:c>
      <x:c r="B1414" s="2" t="str">
        <x:v>PEACEHEALTH SOUTHWEST MEDICAL CENTE</x:v>
      </x:c>
      <x:c r="C1414" s="2" t="str">
        <x:v>VANCOUVER</x:v>
      </x:c>
      <x:c r="D1414" s="2" t="str">
        <x:v>WA</x:v>
      </x:c>
      <x:c r="E1414" s="2" t="str">
        <x:v>Acute Care Hospitals</x:v>
      </x:c>
      <x:c r="F1414" s="2" t="str">
        <x:v>Voluntary non-profit</x:v>
      </x:c>
      <x:c r="G1414" s="2" t="str">
        <x:v>Large (300+ beds)</x:v>
      </x:c>
      <x:c r="H1414" s="7" t="n">
        <x:v>3</x:v>
      </x:c>
      <x:c r="I1414" s="7" t="n">
        <x:v>3</x:v>
      </x:c>
      <x:c r="J1414" s="7" t="n">
        <x:v>0.9</x:v>
      </x:c>
      <x:c r="K1414" s="8" t="n">
        <x:v>419</x:v>
      </x:c>
      <x:c r="L1414" s="8" t="n">
        <x:v>20615</x:v>
      </x:c>
      <x:c r="M1414" s="9" t="n">
        <x:v>0.6633819783</x:v>
      </x:c>
      <x:c r="N1414" s="10" t="n">
        <x:v>50764.5012854717</x:v>
      </x:c>
      <x:c r="O1414" s="9" t="n">
        <x:v>-0.1198431699</x:v>
      </x:c>
      <x:c r="P1414" s="9" t="n">
        <x:v>0.714511041</x:v>
      </x:c>
      <x:c r="Q1414" s="9" t="n">
        <x:v>0.2570977918</x:v>
      </x:c>
      <x:c r="R1414" s="3" t="b">
        <x:v>0</x:v>
      </x:c>
      <x:c r="S1414" s="3" t="b">
        <x:v>0</x:v>
      </x:c>
      <x:c r="T1414" s="3" t="b">
        <x:v>0</x:v>
      </x:c>
      <x:c r="U1414" s="2" t="str">
        <x:f>IF(T1414=TRUE,"Priority review",IF(R1414=TRUE,"High cost",IF(S1414=TRUE,"Low quality","Benchmark")))</x:f>
        <x:v>Benchmark</x:v>
      </x:c>
    </x:row>
    <x:row r="1415">
      <x:c r="A1415" s="2" t="str">
        <x:v>051312</x:v>
      </x:c>
      <x:c r="B1415" s="2" t="str">
        <x:v>MOUNTAINS COMMUNITY HOSPITAL</x:v>
      </x:c>
      <x:c r="C1415" s="2" t="str">
        <x:v>LAKE ARROWHEAD</x:v>
      </x:c>
      <x:c r="D1415" s="2" t="str">
        <x:v>CA</x:v>
      </x:c>
      <x:c r="E1415" s="2" t="str">
        <x:v>Critical Access Hospitals</x:v>
      </x:c>
      <x:c r="F1415" s="2" t="str">
        <x:v>Government</x:v>
      </x:c>
      <x:c r="G1415" s="2" t="str">
        <x:v>Small (&lt;100 beds)</x:v>
      </x:c>
      <x:c r="H1415" s="7"/>
      <x:c r="I1415" s="7"/>
      <x:c r="J1415" s="7"/>
      <x:c r="K1415" s="8" t="n">
        <x:v>17</x:v>
      </x:c>
      <x:c r="L1415" s="8" t="n">
        <x:v>217</x:v>
      </x:c>
      <x:c r="M1415" s="9" t="n">
        <x:v>0.1811442385</x:v>
      </x:c>
      <x:c r="N1415" s="10" t="n">
        <x:v>193898.8847926267</x:v>
      </x:c>
      <x:c r="O1415" s="9" t="n">
        <x:v>-0.0986326121</x:v>
      </x:c>
      <x:c r="P1415" s="9" t="n">
        <x:v>0.7144981413</x:v>
      </x:c>
      <x:c r="Q1415" s="9" t="n">
        <x:v>0.292936803</x:v>
      </x:c>
      <x:c r="R1415" s="3" t="b">
        <x:v>0</x:v>
      </x:c>
      <x:c r="S1415" s="3" t="b">
        <x:v>0</x:v>
      </x:c>
      <x:c r="T1415" s="3" t="b">
        <x:v>0</x:v>
      </x:c>
      <x:c r="U1415" s="2" t="str">
        <x:f>IF(T1415=TRUE,"Priority review",IF(R1415=TRUE,"High cost",IF(S1415=TRUE,"Low quality","Benchmark")))</x:f>
        <x:v>Benchmark</x:v>
      </x:c>
    </x:row>
    <x:row r="1416">
      <x:c r="A1416" s="2" t="str">
        <x:v>453319</x:v>
      </x:c>
      <x:c r="B1416" s="2" t="str">
        <x:v>TEXAS CHILDRENS HOSPITAL NORTH AUSTIN CAMPUS</x:v>
      </x:c>
      <x:c r="C1416" s="2" t="str">
        <x:v>AUSTIN</x:v>
      </x:c>
      <x:c r="D1416" s="2" t="str">
        <x:v>TX</x:v>
      </x:c>
      <x:c r="E1416" s="2" t="str">
        <x:v>Childrens</x:v>
      </x:c>
      <x:c r="F1416" s="2" t="str">
        <x:v>Voluntary non-profit</x:v>
      </x:c>
      <x:c r="G1416" s="2" t="str">
        <x:v>Small (&lt;100 beds)</x:v>
      </x:c>
      <x:c r="H1416" s="7"/>
      <x:c r="I1416" s="7"/>
      <x:c r="J1416" s="7"/>
      <x:c r="K1416" s="8" t="n">
        <x:v>52</x:v>
      </x:c>
      <x:c r="L1416" s="8" t="n">
        <x:v>712</x:v>
      </x:c>
      <x:c r="M1416" s="9" t="n">
        <x:v>0.2273604322</x:v>
      </x:c>
      <x:c r="N1416" s="10" t="n">
        <x:v>324721.0997191011</x:v>
      </x:c>
      <x:c r="O1416" s="9" t="n">
        <x:v>-2.7121028741</x:v>
      </x:c>
      <x:c r="P1416" s="9" t="n">
        <x:v>0.7142857143</x:v>
      </x:c>
      <x:c r="Q1416" s="9" t="n">
        <x:v>0</x:v>
      </x:c>
      <x:c r="R1416" s="3" t="b">
        <x:v>0</x:v>
      </x:c>
      <x:c r="S1416" s="3" t="b">
        <x:v>0</x:v>
      </x:c>
      <x:c r="T1416" s="3" t="b">
        <x:v>0</x:v>
      </x:c>
      <x:c r="U1416" s="2" t="str">
        <x:f>IF(T1416=TRUE,"Priority review",IF(R1416=TRUE,"High cost",IF(S1416=TRUE,"Low quality","Benchmark")))</x:f>
        <x:v>Benchmark</x:v>
      </x:c>
    </x:row>
    <x:row r="1417">
      <x:c r="A1417" s="2" t="str">
        <x:v>110001</x:v>
      </x:c>
      <x:c r="B1417" s="2" t="str">
        <x:v>HAMILTON MEDICAL CENTER</x:v>
      </x:c>
      <x:c r="C1417" s="2" t="str">
        <x:v>DALTON</x:v>
      </x:c>
      <x:c r="D1417" s="2" t="str">
        <x:v>GA</x:v>
      </x:c>
      <x:c r="E1417" s="2" t="str">
        <x:v>Acute Care Hospitals</x:v>
      </x:c>
      <x:c r="F1417" s="2" t="str">
        <x:v>Voluntary non-profit</x:v>
      </x:c>
      <x:c r="G1417" s="2" t="str">
        <x:v>Medium (100-299 beds)</x:v>
      </x:c>
      <x:c r="H1417" s="7" t="n">
        <x:v>3</x:v>
      </x:c>
      <x:c r="I1417" s="7" t="n">
        <x:v>3</x:v>
      </x:c>
      <x:c r="J1417" s="7" t="n">
        <x:v>0.94</x:v>
      </x:c>
      <x:c r="K1417" s="8" t="n">
        <x:v>227</x:v>
      </x:c>
      <x:c r="L1417" s="8" t="n">
        <x:v>8748</x:v>
      </x:c>
      <x:c r="M1417" s="9" t="n">
        <x:v>0.5099801084</x:v>
      </x:c>
      <x:c r="N1417" s="10" t="n">
        <x:v>44401.2369684499</x:v>
      </x:c>
      <x:c r="O1417" s="9" t="n">
        <x:v>0.0462120433</x:v>
      </x:c>
      <x:c r="P1417" s="9" t="n">
        <x:v>0.7139364303</x:v>
      </x:c>
      <x:c r="Q1417" s="9" t="n">
        <x:v>0.3023634882</x:v>
      </x:c>
      <x:c r="R1417" s="3" t="b">
        <x:v>0</x:v>
      </x:c>
      <x:c r="S1417" s="3" t="b">
        <x:v>0</x:v>
      </x:c>
      <x:c r="T1417" s="3" t="b">
        <x:v>0</x:v>
      </x:c>
      <x:c r="U1417" s="2" t="str">
        <x:f>IF(T1417=TRUE,"Priority review",IF(R1417=TRUE,"High cost",IF(S1417=TRUE,"Low quality","Benchmark")))</x:f>
        <x:v>Benchmark</x:v>
      </x:c>
    </x:row>
    <x:row r="1418">
      <x:c r="A1418" s="2" t="str">
        <x:v>171329</x:v>
      </x:c>
      <x:c r="B1418" s="2" t="str">
        <x:v>CALDWELL REGIONAL MEDICAL CENTER</x:v>
      </x:c>
      <x:c r="C1418" s="2" t="str">
        <x:v>CALDWELL</x:v>
      </x:c>
      <x:c r="D1418" s="2" t="str">
        <x:v>KS</x:v>
      </x:c>
      <x:c r="E1418" s="2" t="str">
        <x:v>Critical Access Hospitals</x:v>
      </x:c>
      <x:c r="F1418" s="2" t="str">
        <x:v>Government</x:v>
      </x:c>
      <x:c r="G1418" s="2" t="str">
        <x:v>Small (&lt;100 beds)</x:v>
      </x:c>
      <x:c r="H1418" s="7"/>
      <x:c r="I1418" s="7"/>
      <x:c r="J1418" s="7"/>
      <x:c r="K1418" s="8" t="n">
        <x:v>25</x:v>
      </x:c>
      <x:c r="L1418" s="8" t="n">
        <x:v>66</x:v>
      </x:c>
      <x:c r="M1418" s="9" t="n">
        <x:v>0.2652459016</x:v>
      </x:c>
      <x:c r="N1418" s="10" t="n">
        <x:v>193853.0909090909</x:v>
      </x:c>
      <x:c r="O1418" s="9" t="n">
        <x:v>-0.9073096943</x:v>
      </x:c>
      <x:c r="P1418" s="9" t="n">
        <x:v>0.7137546468</x:v>
      </x:c>
      <x:c r="Q1418" s="9" t="n">
        <x:v>0.292936803</x:v>
      </x:c>
      <x:c r="R1418" s="3" t="b">
        <x:v>0</x:v>
      </x:c>
      <x:c r="S1418" s="3" t="b">
        <x:v>0</x:v>
      </x:c>
      <x:c r="T1418" s="3" t="b">
        <x:v>0</x:v>
      </x:c>
      <x:c r="U1418" s="2" t="str">
        <x:f>IF(T1418=TRUE,"Priority review",IF(R1418=TRUE,"High cost",IF(S1418=TRUE,"Low quality","Benchmark")))</x:f>
        <x:v>Benchmark</x:v>
      </x:c>
    </x:row>
    <x:row r="1419">
      <x:c r="A1419" s="2" t="str">
        <x:v>500033</x:v>
      </x:c>
      <x:c r="B1419" s="2" t="str">
        <x:v>SAMARITAN HOSPITAL</x:v>
      </x:c>
      <x:c r="C1419" s="2" t="str">
        <x:v>MOSES LAKE</x:v>
      </x:c>
      <x:c r="D1419" s="2" t="str">
        <x:v>WA</x:v>
      </x:c>
      <x:c r="E1419" s="2" t="str">
        <x:v>Acute Care Hospitals</x:v>
      </x:c>
      <x:c r="F1419" s="2" t="str">
        <x:v>Proprietary</x:v>
      </x:c>
      <x:c r="G1419" s="2" t="str">
        <x:v>Small (&lt;100 beds)</x:v>
      </x:c>
      <x:c r="H1419" s="7" t="n">
        <x:v>2</x:v>
      </x:c>
      <x:c r="I1419" s="7" t="n">
        <x:v>3</x:v>
      </x:c>
      <x:c r="J1419" s="7" t="n">
        <x:v>0.93</x:v>
      </x:c>
      <x:c r="K1419" s="8" t="n">
        <x:v>47</x:v>
      </x:c>
      <x:c r="L1419" s="8" t="n">
        <x:v>2291</x:v>
      </x:c>
      <x:c r="M1419" s="9" t="n">
        <x:v>0.6362632252</x:v>
      </x:c>
      <x:c r="N1419" s="10" t="n">
        <x:v>78421.4033173287</x:v>
      </x:c>
      <x:c r="O1419" s="9" t="n">
        <x:v>-0.1245891793</x:v>
      </x:c>
      <x:c r="P1419" s="9" t="n">
        <x:v>0.7136445242</x:v>
      </x:c>
      <x:c r="Q1419" s="9" t="n">
        <x:v>0.0350089767</x:v>
      </x:c>
      <x:c r="R1419" s="3" t="b">
        <x:v>0</x:v>
      </x:c>
      <x:c r="S1419" s="3" t="b">
        <x:v>1</x:v>
      </x:c>
      <x:c r="T1419" s="3" t="b">
        <x:v>0</x:v>
      </x:c>
      <x:c r="U1419" s="2" t="str">
        <x:f>IF(T1419=TRUE,"Priority review",IF(R1419=TRUE,"High cost",IF(S1419=TRUE,"Low quality","Benchmark")))</x:f>
        <x:v>Low quality</x:v>
      </x:c>
    </x:row>
    <x:row r="1420">
      <x:c r="A1420" s="2" t="str">
        <x:v>360098</x:v>
      </x:c>
      <x:c r="B1420" s="2" t="str">
        <x:v>LAKE HEALTH</x:v>
      </x:c>
      <x:c r="C1420" s="2" t="str">
        <x:v>CONCORD</x:v>
      </x:c>
      <x:c r="D1420" s="2" t="str">
        <x:v>OH</x:v>
      </x:c>
      <x:c r="E1420" s="2" t="str">
        <x:v>Acute Care Hospitals</x:v>
      </x:c>
      <x:c r="F1420" s="2" t="str">
        <x:v>Voluntary non-profit</x:v>
      </x:c>
      <x:c r="G1420" s="2" t="str">
        <x:v>Medium (100-299 beds)</x:v>
      </x:c>
      <x:c r="H1420" s="7" t="n">
        <x:v>3</x:v>
      </x:c>
      <x:c r="I1420" s="7" t="n">
        <x:v>3</x:v>
      </x:c>
      <x:c r="J1420" s="7" t="n">
        <x:v>1.01</x:v>
      </x:c>
      <x:c r="K1420" s="8" t="n">
        <x:v>237</x:v>
      </x:c>
      <x:c r="L1420" s="8" t="n">
        <x:v>9233</x:v>
      </x:c>
      <x:c r="M1420" s="9" t="n">
        <x:v>0.4854626363</x:v>
      </x:c>
      <x:c r="N1420" s="10" t="n">
        <x:v>44380.7421206542</x:v>
      </x:c>
      <x:c r="O1420" s="9" t="n">
        <x:v>-0.3569046763</x:v>
      </x:c>
      <x:c r="P1420" s="9" t="n">
        <x:v>0.7131214344</x:v>
      </x:c>
      <x:c r="Q1420" s="9" t="n">
        <x:v>0.3023634882</x:v>
      </x:c>
      <x:c r="R1420" s="3" t="b">
        <x:v>0</x:v>
      </x:c>
      <x:c r="S1420" s="3" t="b">
        <x:v>0</x:v>
      </x:c>
      <x:c r="T1420" s="3" t="b">
        <x:v>0</x:v>
      </x:c>
      <x:c r="U1420" s="2" t="str">
        <x:f>IF(T1420=TRUE,"Priority review",IF(R1420=TRUE,"High cost",IF(S1420=TRUE,"Low quality","Benchmark")))</x:f>
        <x:v>Benchmark</x:v>
      </x:c>
    </x:row>
    <x:row r="1421">
      <x:c r="A1421" s="2" t="str">
        <x:v>451342</x:v>
      </x:c>
      <x:c r="B1421" s="2" t="str">
        <x:v>MITCHELL COUNTY HOSPITAL DISTRICT</x:v>
      </x:c>
      <x:c r="C1421" s="2" t="str">
        <x:v>COLORADO CITY</x:v>
      </x:c>
      <x:c r="D1421" s="2" t="str">
        <x:v>TX</x:v>
      </x:c>
      <x:c r="E1421" s="2" t="str">
        <x:v>Critical Access Hospitals</x:v>
      </x:c>
      <x:c r="F1421" s="2" t="str">
        <x:v>Government</x:v>
      </x:c>
      <x:c r="G1421" s="2" t="str">
        <x:v>Small (&lt;100 beds)</x:v>
      </x:c>
      <x:c r="H1421" s="7"/>
      <x:c r="I1421" s="7"/>
      <x:c r="J1421" s="7"/>
      <x:c r="K1421" s="8" t="n">
        <x:v>25</x:v>
      </x:c>
      <x:c r="L1421" s="8" t="n">
        <x:v>122</x:v>
      </x:c>
      <x:c r="M1421" s="9" t="n">
        <x:v>0.0995628415</x:v>
      </x:c>
      <x:c r="N1421" s="10" t="n">
        <x:v>193295.5</x:v>
      </x:c>
      <x:c r="O1421" s="9" t="n">
        <x:v>-0.5801182265</x:v>
      </x:c>
      <x:c r="P1421" s="9" t="n">
        <x:v>0.7130111524</x:v>
      </x:c>
      <x:c r="Q1421" s="9" t="n">
        <x:v>0.292936803</x:v>
      </x:c>
      <x:c r="R1421" s="3" t="b">
        <x:v>0</x:v>
      </x:c>
      <x:c r="S1421" s="3" t="b">
        <x:v>0</x:v>
      </x:c>
      <x:c r="T1421" s="3" t="b">
        <x:v>0</x:v>
      </x:c>
      <x:c r="U1421" s="2" t="str">
        <x:f>IF(T1421=TRUE,"Priority review",IF(R1421=TRUE,"High cost",IF(S1421=TRUE,"Low quality","Benchmark")))</x:f>
        <x:v>Benchmark</x:v>
      </x:c>
    </x:row>
    <x:row r="1422">
      <x:c r="A1422" s="2" t="str">
        <x:v>380051</x:v>
      </x:c>
      <x:c r="B1422" s="2" t="str">
        <x:v>SALEM HOSPITAL</x:v>
      </x:c>
      <x:c r="C1422" s="2" t="str">
        <x:v>SALEM</x:v>
      </x:c>
      <x:c r="D1422" s="2" t="str">
        <x:v>OR</x:v>
      </x:c>
      <x:c r="E1422" s="2" t="str">
        <x:v>Acute Care Hospitals</x:v>
      </x:c>
      <x:c r="F1422" s="2" t="str">
        <x:v>Voluntary non-profit</x:v>
      </x:c>
      <x:c r="G1422" s="2" t="str">
        <x:v>Large (300+ beds)</x:v>
      </x:c>
      <x:c r="H1422" s="7" t="n">
        <x:v>3</x:v>
      </x:c>
      <x:c r="I1422" s="7" t="n">
        <x:v>3</x:v>
      </x:c>
      <x:c r="J1422" s="7" t="n">
        <x:v>0.9</x:v>
      </x:c>
      <x:c r="K1422" s="8" t="n">
        <x:v>537</x:v>
      </x:c>
      <x:c r="L1422" s="8" t="n">
        <x:v>25753</x:v>
      </x:c>
      <x:c r="M1422" s="9" t="n">
        <x:v>0.6163006046</x:v>
      </x:c>
      <x:c r="N1422" s="10" t="n">
        <x:v>50542.0783986332</x:v>
      </x:c>
      <x:c r="O1422" s="9" t="n">
        <x:v>-0.3126028473</x:v>
      </x:c>
      <x:c r="P1422" s="9" t="n">
        <x:v>0.7129337539</x:v>
      </x:c>
      <x:c r="Q1422" s="9" t="n">
        <x:v>0.2570977918</x:v>
      </x:c>
      <x:c r="R1422" s="3" t="b">
        <x:v>0</x:v>
      </x:c>
      <x:c r="S1422" s="3" t="b">
        <x:v>0</x:v>
      </x:c>
      <x:c r="T1422" s="3" t="b">
        <x:v>0</x:v>
      </x:c>
      <x:c r="U1422" s="2" t="str">
        <x:f>IF(T1422=TRUE,"Priority review",IF(R1422=TRUE,"High cost",IF(S1422=TRUE,"Low quality","Benchmark")))</x:f>
        <x:v>Benchmark</x:v>
      </x:c>
    </x:row>
    <x:row r="1423">
      <x:c r="A1423" s="2" t="str">
        <x:v>230081</x:v>
      </x:c>
      <x:c r="B1423" s="2" t="str">
        <x:v>MUNSON HEALTHCARE CADILLAC HOSPITAL</x:v>
      </x:c>
      <x:c r="C1423" s="2" t="str">
        <x:v>CADILLAC</x:v>
      </x:c>
      <x:c r="D1423" s="2" t="str">
        <x:v>MI</x:v>
      </x:c>
      <x:c r="E1423" s="2" t="str">
        <x:v>Acute Care Hospitals</x:v>
      </x:c>
      <x:c r="F1423" s="2" t="str">
        <x:v>Voluntary non-profit</x:v>
      </x:c>
      <x:c r="G1423" s="2" t="str">
        <x:v>Small (&lt;100 beds)</x:v>
      </x:c>
      <x:c r="H1423" s="7" t="n">
        <x:v>4</x:v>
      </x:c>
      <x:c r="I1423" s="7" t="n">
        <x:v>4</x:v>
      </x:c>
      <x:c r="J1423" s="7" t="n">
        <x:v>0.82</x:v>
      </x:c>
      <x:c r="K1423" s="8" t="n">
        <x:v>49</x:v>
      </x:c>
      <x:c r="L1423" s="8" t="n">
        <x:v>2603</x:v>
      </x:c>
      <x:c r="M1423" s="9" t="n">
        <x:v>0.5124965055</x:v>
      </x:c>
      <x:c r="N1423" s="10" t="n">
        <x:v>78398.2650787553</x:v>
      </x:c>
      <x:c r="O1423" s="9" t="n">
        <x:v>0.089944079</x:v>
      </x:c>
      <x:c r="P1423" s="9" t="n">
        <x:v>0.7127468582</x:v>
      </x:c>
      <x:c r="Q1423" s="9" t="n">
        <x:v>0.3913824057</x:v>
      </x:c>
      <x:c r="R1423" s="3" t="b">
        <x:v>0</x:v>
      </x:c>
      <x:c r="S1423" s="3" t="b">
        <x:v>0</x:v>
      </x:c>
      <x:c r="T1423" s="3" t="b">
        <x:v>0</x:v>
      </x:c>
      <x:c r="U1423" s="2" t="str">
        <x:f>IF(T1423=TRUE,"Priority review",IF(R1423=TRUE,"High cost",IF(S1423=TRUE,"Low quality","Benchmark")))</x:f>
        <x:v>Benchmark</x:v>
      </x:c>
    </x:row>
    <x:row r="1424">
      <x:c r="A1424" s="2" t="str">
        <x:v>310016</x:v>
      </x:c>
      <x:c r="B1424" s="2" t="str">
        <x:v>HEIGHTS UNIVERSITY HOSPITAL</x:v>
      </x:c>
      <x:c r="C1424" s="2" t="str">
        <x:v>JERSEY CITY</x:v>
      </x:c>
      <x:c r="D1424" s="2" t="str">
        <x:v>NJ</x:v>
      </x:c>
      <x:c r="E1424" s="2" t="str">
        <x:v>Acute Care Hospitals</x:v>
      </x:c>
      <x:c r="F1424" s="2" t="str">
        <x:v>Voluntary non-profit</x:v>
      </x:c>
      <x:c r="G1424" s="2" t="str">
        <x:v>Medium (100-299 beds)</x:v>
      </x:c>
      <x:c r="H1424" s="7" t="n">
        <x:v>2</x:v>
      </x:c>
      <x:c r="I1424" s="7" t="n">
        <x:v>2</x:v>
      </x:c>
      <x:c r="J1424" s="7" t="n">
        <x:v>1.2</x:v>
      </x:c>
      <x:c r="K1424" s="8" t="n">
        <x:v>163</x:v>
      </x:c>
      <x:c r="L1424" s="8" t="n">
        <x:v>3709</x:v>
      </x:c>
      <x:c r="M1424" s="9" t="n">
        <x:v>0.4032988032</x:v>
      </x:c>
      <x:c r="N1424" s="10" t="n">
        <x:v>44264.146939876</x:v>
      </x:c>
      <x:c r="O1424" s="9" t="n">
        <x:v>-1.0749693006</x:v>
      </x:c>
      <x:c r="P1424" s="9" t="n">
        <x:v>0.7123064385</x:v>
      </x:c>
      <x:c r="Q1424" s="9" t="n">
        <x:v>0.0782396088</x:v>
      </x:c>
      <x:c r="R1424" s="3" t="b">
        <x:v>0</x:v>
      </x:c>
      <x:c r="S1424" s="3" t="b">
        <x:v>1</x:v>
      </x:c>
      <x:c r="T1424" s="3" t="b">
        <x:v>0</x:v>
      </x:c>
      <x:c r="U1424" s="2" t="str">
        <x:f>IF(T1424=TRUE,"Priority review",IF(R1424=TRUE,"High cost",IF(S1424=TRUE,"Low quality","Benchmark")))</x:f>
        <x:v>Low quality</x:v>
      </x:c>
    </x:row>
    <x:row r="1425">
      <x:c r="A1425" s="2" t="str">
        <x:v>141307</x:v>
      </x:c>
      <x:c r="B1425" s="2" t="str">
        <x:v>PINCKNEYVILLE COMMUNITY HOSPITAL</x:v>
      </x:c>
      <x:c r="C1425" s="2" t="str">
        <x:v>PINCKNEYVILLE</x:v>
      </x:c>
      <x:c r="D1425" s="2" t="str">
        <x:v>IL</x:v>
      </x:c>
      <x:c r="E1425" s="2" t="str">
        <x:v>Critical Access Hospitals</x:v>
      </x:c>
      <x:c r="F1425" s="2" t="str">
        <x:v>Government</x:v>
      </x:c>
      <x:c r="G1425" s="2" t="str">
        <x:v>Small (&lt;100 beds)</x:v>
      </x:c>
      <x:c r="H1425" s="7"/>
      <x:c r="I1425" s="7"/>
      <x:c r="J1425" s="7"/>
      <x:c r="K1425" s="8" t="n">
        <x:v>20</x:v>
      </x:c>
      <x:c r="L1425" s="8" t="n">
        <x:v>238</x:v>
      </x:c>
      <x:c r="M1425" s="9" t="n">
        <x:v>0.3871232877</x:v>
      </x:c>
      <x:c r="N1425" s="10" t="n">
        <x:v>192806.7478991597</x:v>
      </x:c>
      <x:c r="O1425" s="9" t="n">
        <x:v>-0.01390155</x:v>
      </x:c>
      <x:c r="P1425" s="9" t="n">
        <x:v>0.712267658</x:v>
      </x:c>
      <x:c r="Q1425" s="9" t="n">
        <x:v>0.292936803</x:v>
      </x:c>
      <x:c r="R1425" s="3" t="b">
        <x:v>0</x:v>
      </x:c>
      <x:c r="S1425" s="3" t="b">
        <x:v>0</x:v>
      </x:c>
      <x:c r="T1425" s="3" t="b">
        <x:v>0</x:v>
      </x:c>
      <x:c r="U1425" s="2" t="str">
        <x:f>IF(T1425=TRUE,"Priority review",IF(R1425=TRUE,"High cost",IF(S1425=TRUE,"Low quality","Benchmark")))</x:f>
        <x:v>Benchmark</x:v>
      </x:c>
    </x:row>
    <x:row r="1426">
      <x:c r="A1426" s="2" t="str">
        <x:v>104018</x:v>
      </x:c>
      <x:c r="B1426" s="2" t="str">
        <x:v>LIFESTREAM BEHAVIORAL CENTER</x:v>
      </x:c>
      <x:c r="C1426" s="2" t="str">
        <x:v>LEESBURG</x:v>
      </x:c>
      <x:c r="D1426" s="2" t="str">
        <x:v>FL</x:v>
      </x:c>
      <x:c r="E1426" s="2" t="str">
        <x:v>Psychiatric</x:v>
      </x:c>
      <x:c r="F1426" s="2" t="str">
        <x:v>Proprietary</x:v>
      </x:c>
      <x:c r="G1426" s="2" t="str">
        <x:v>Small (&lt;100 beds)</x:v>
      </x:c>
      <x:c r="H1426" s="7"/>
      <x:c r="I1426" s="7"/>
      <x:c r="J1426" s="7"/>
      <x:c r="K1426" s="8" t="n">
        <x:v>66</x:v>
      </x:c>
      <x:c r="L1426" s="8" t="n">
        <x:v>2561</x:v>
      </x:c>
      <x:c r="M1426" s="9" t="n">
        <x:v>0.5915317559</x:v>
      </x:c>
      <x:c r="N1426" s="10" t="n">
        <x:v>24102.5486138227</x:v>
      </x:c>
      <x:c r="O1426" s="9" t="n">
        <x:v>4.7059956957</x:v>
      </x:c>
      <x:c r="P1426" s="9" t="n">
        <x:v>0.71197411</x:v>
      </x:c>
      <x:c r="Q1426" s="9" t="n">
        <x:v>0</x:v>
      </x:c>
      <x:c r="R1426" s="3" t="b">
        <x:v>0</x:v>
      </x:c>
      <x:c r="S1426" s="3" t="b">
        <x:v>0</x:v>
      </x:c>
      <x:c r="T1426" s="3" t="b">
        <x:v>0</x:v>
      </x:c>
      <x:c r="U1426" s="2" t="str">
        <x:f>IF(T1426=TRUE,"Priority review",IF(R1426=TRUE,"High cost",IF(S1426=TRUE,"Low quality","Benchmark")))</x:f>
        <x:v>Benchmark</x:v>
      </x:c>
    </x:row>
    <x:row r="1427">
      <x:c r="A1427" s="2" t="str">
        <x:v>670078</x:v>
      </x:c>
      <x:c r="B1427" s="2" t="str">
        <x:v>BAPTIST NEIGHBORHOOD HOSPITAL THOUSAND OAKS</x:v>
      </x:c>
      <x:c r="C1427" s="2" t="str">
        <x:v>SAN ANTONIO</x:v>
      </x:c>
      <x:c r="D1427" s="2" t="str">
        <x:v>TX</x:v>
      </x:c>
      <x:c r="E1427" s="2" t="str">
        <x:v>Acute Care Hospitals</x:v>
      </x:c>
      <x:c r="F1427" s="2" t="str">
        <x:v>Proprietary</x:v>
      </x:c>
      <x:c r="G1427" s="2" t="str">
        <x:v>Small (&lt;100 beds)</x:v>
      </x:c>
      <x:c r="H1427" s="7" t="n">
        <x:v>5</x:v>
      </x:c>
      <x:c r="I1427" s="7" t="n">
        <x:v>4</x:v>
      </x:c>
      <x:c r="J1427" s="7" t="n">
        <x:v>0.82</x:v>
      </x:c>
      <x:c r="K1427" s="8" t="n">
        <x:v>58</x:v>
      </x:c>
      <x:c r="L1427" s="8" t="n">
        <x:v>1346</x:v>
      </x:c>
      <x:c r="M1427" s="9" t="n">
        <x:v>0.1547013379</x:v>
      </x:c>
      <x:c r="N1427" s="10" t="n">
        <x:v>78302.2823179792</x:v>
      </x:c>
      <x:c r="O1427" s="9" t="n">
        <x:v>0.3488111444</x:v>
      </x:c>
      <x:c r="P1427" s="9" t="n">
        <x:v>0.7118491921</x:v>
      </x:c>
      <x:c r="Q1427" s="9" t="n">
        <x:v>0.6131059246</x:v>
      </x:c>
      <x:c r="R1427" s="3" t="b">
        <x:v>0</x:v>
      </x:c>
      <x:c r="S1427" s="3" t="b">
        <x:v>0</x:v>
      </x:c>
      <x:c r="T1427" s="3" t="b">
        <x:v>0</x:v>
      </x:c>
      <x:c r="U1427" s="2" t="str">
        <x:f>IF(T1427=TRUE,"Priority review",IF(R1427=TRUE,"High cost",IF(S1427=TRUE,"Low quality","Benchmark")))</x:f>
        <x:v>Benchmark</x:v>
      </x:c>
    </x:row>
    <x:row r="1428">
      <x:c r="A1428" s="2" t="str">
        <x:v>371322</x:v>
      </x:c>
      <x:c r="B1428" s="2" t="str">
        <x:v>BEAVER COUNTY MEMORIAL HOSPITAL</x:v>
      </x:c>
      <x:c r="C1428" s="2" t="str">
        <x:v>BEAVER</x:v>
      </x:c>
      <x:c r="D1428" s="2" t="str">
        <x:v>OK</x:v>
      </x:c>
      <x:c r="E1428" s="2" t="str">
        <x:v>Critical Access Hospitals</x:v>
      </x:c>
      <x:c r="F1428" s="2" t="str">
        <x:v>Government</x:v>
      </x:c>
      <x:c r="G1428" s="2" t="str">
        <x:v>Small (&lt;100 beds)</x:v>
      </x:c>
      <x:c r="H1428" s="7"/>
      <x:c r="I1428" s="7"/>
      <x:c r="J1428" s="7"/>
      <x:c r="K1428" s="8" t="n">
        <x:v>24</x:v>
      </x:c>
      <x:c r="L1428" s="8" t="n">
        <x:v>43</x:v>
      </x:c>
      <x:c r="M1428" s="9" t="n">
        <x:v>0.048630137</x:v>
      </x:c>
      <x:c r="N1428" s="10" t="n">
        <x:v>192693.6744186046</x:v>
      </x:c>
      <x:c r="O1428" s="9" t="n">
        <x:v>-0.4865884903</x:v>
      </x:c>
      <x:c r="P1428" s="9" t="n">
        <x:v>0.7115241636</x:v>
      </x:c>
      <x:c r="Q1428" s="9" t="n">
        <x:v>0.292936803</x:v>
      </x:c>
      <x:c r="R1428" s="3" t="b">
        <x:v>0</x:v>
      </x:c>
      <x:c r="S1428" s="3" t="b">
        <x:v>0</x:v>
      </x:c>
      <x:c r="T1428" s="3" t="b">
        <x:v>0</x:v>
      </x:c>
      <x:c r="U1428" s="2" t="str">
        <x:f>IF(T1428=TRUE,"Priority review",IF(R1428=TRUE,"High cost",IF(S1428=TRUE,"Low quality","Benchmark")))</x:f>
        <x:v>Benchmark</x:v>
      </x:c>
    </x:row>
    <x:row r="1429">
      <x:c r="A1429" s="2" t="str">
        <x:v>170012</x:v>
      </x:c>
      <x:c r="B1429" s="2" t="str">
        <x:v>SALINA REGIONAL HEALTH CENTER</x:v>
      </x:c>
      <x:c r="C1429" s="2" t="str">
        <x:v>SALINA</x:v>
      </x:c>
      <x:c r="D1429" s="2" t="str">
        <x:v>KS</x:v>
      </x:c>
      <x:c r="E1429" s="2" t="str">
        <x:v>Acute Care Hospitals</x:v>
      </x:c>
      <x:c r="F1429" s="2" t="str">
        <x:v>Voluntary non-profit</x:v>
      </x:c>
      <x:c r="G1429" s="2" t="str">
        <x:v>Medium (100-299 beds)</x:v>
      </x:c>
      <x:c r="H1429" s="7" t="n">
        <x:v>3</x:v>
      </x:c>
      <x:c r="I1429" s="7" t="n">
        <x:v>4</x:v>
      </x:c>
      <x:c r="J1429" s="7" t="n">
        <x:v>1.05</x:v>
      </x:c>
      <x:c r="K1429" s="8" t="n">
        <x:v>177</x:v>
      </x:c>
      <x:c r="L1429" s="8" t="n">
        <x:v>7337</x:v>
      </x:c>
      <x:c r="M1429" s="9" t="n">
        <x:v>0.4390778333</x:v>
      </x:c>
      <x:c r="N1429" s="10" t="n">
        <x:v>44201.2292490119</x:v>
      </x:c>
      <x:c r="O1429" s="9" t="n">
        <x:v>-0.1041958722</x:v>
      </x:c>
      <x:c r="P1429" s="9" t="n">
        <x:v>0.7114914425</x:v>
      </x:c>
      <x:c r="Q1429" s="9" t="n">
        <x:v>0.3023634882</x:v>
      </x:c>
      <x:c r="R1429" s="3" t="b">
        <x:v>0</x:v>
      </x:c>
      <x:c r="S1429" s="3" t="b">
        <x:v>0</x:v>
      </x:c>
      <x:c r="T1429" s="3" t="b">
        <x:v>0</x:v>
      </x:c>
      <x:c r="U1429" s="2" t="str">
        <x:f>IF(T1429=TRUE,"Priority review",IF(R1429=TRUE,"High cost",IF(S1429=TRUE,"Low quality","Benchmark")))</x:f>
        <x:v>Benchmark</x:v>
      </x:c>
    </x:row>
    <x:row r="1430">
      <x:c r="A1430" s="2" t="str">
        <x:v>394023</x:v>
      </x:c>
      <x:c r="B1430" s="2" t="str">
        <x:v>BELMONT BEHAVIORAL HOSPITAL</x:v>
      </x:c>
      <x:c r="C1430" s="2" t="str">
        <x:v>PHILADELPHIA</x:v>
      </x:c>
      <x:c r="D1430" s="2" t="str">
        <x:v>PA</x:v>
      </x:c>
      <x:c r="E1430" s="2" t="str">
        <x:v>Psychiatric</x:v>
      </x:c>
      <x:c r="F1430" s="2" t="str">
        <x:v>Voluntary non-profit</x:v>
      </x:c>
      <x:c r="G1430" s="2" t="str">
        <x:v>Medium (100-299 beds)</x:v>
      </x:c>
      <x:c r="H1430" s="7"/>
      <x:c r="I1430" s="7"/>
      <x:c r="J1430" s="7"/>
      <x:c r="K1430" s="8" t="n">
        <x:v>252</x:v>
      </x:c>
      <x:c r="L1430" s="8" t="n">
        <x:v>3973</x:v>
      </x:c>
      <x:c r="M1430" s="9" t="n">
        <x:v>0.9076647097</x:v>
      </x:c>
      <x:c r="N1430" s="10" t="n">
        <x:v>23088.6906619683</x:v>
      </x:c>
      <x:c r="O1430" s="9" t="n">
        <x:v>0.025657529</x:v>
      </x:c>
      <x:c r="P1430" s="9" t="n">
        <x:v>0.7114427861</x:v>
      </x:c>
      <x:c r="Q1430" s="9" t="n">
        <x:v>0</x:v>
      </x:c>
      <x:c r="R1430" s="3" t="b">
        <x:v>0</x:v>
      </x:c>
      <x:c r="S1430" s="3" t="b">
        <x:v>0</x:v>
      </x:c>
      <x:c r="T1430" s="3" t="b">
        <x:v>0</x:v>
      </x:c>
      <x:c r="U1430" s="2" t="str">
        <x:f>IF(T1430=TRUE,"Priority review",IF(R1430=TRUE,"High cost",IF(S1430=TRUE,"Low quality","Benchmark")))</x:f>
        <x:v>Benchmark</x:v>
      </x:c>
    </x:row>
    <x:row r="1431">
      <x:c r="A1431" s="2" t="str">
        <x:v>380018</x:v>
      </x:c>
      <x:c r="B1431" s="2" t="str">
        <x:v>ASANTE ROGUE REGIONAL MEDICAL CENTER</x:v>
      </x:c>
      <x:c r="C1431" s="2" t="str">
        <x:v>MEDFORD</x:v>
      </x:c>
      <x:c r="D1431" s="2" t="str">
        <x:v>OR</x:v>
      </x:c>
      <x:c r="E1431" s="2" t="str">
        <x:v>Acute Care Hospitals</x:v>
      </x:c>
      <x:c r="F1431" s="2" t="str">
        <x:v>Voluntary non-profit</x:v>
      </x:c>
      <x:c r="G1431" s="2" t="str">
        <x:v>Large (300+ beds)</x:v>
      </x:c>
      <x:c r="H1431" s="7" t="n">
        <x:v>4</x:v>
      </x:c>
      <x:c r="I1431" s="7" t="n">
        <x:v>3</x:v>
      </x:c>
      <x:c r="J1431" s="7" t="n">
        <x:v>0.93</x:v>
      </x:c>
      <x:c r="K1431" s="8" t="n">
        <x:v>336</x:v>
      </x:c>
      <x:c r="L1431" s="8" t="n">
        <x:v>16653</x:v>
      </x:c>
      <x:c r="M1431" s="9" t="n">
        <x:v>0.753919464</x:v>
      </x:c>
      <x:c r="N1431" s="10" t="n">
        <x:v>50502.5257911487</x:v>
      </x:c>
      <x:c r="O1431" s="9" t="n">
        <x:v>0.0433062344</x:v>
      </x:c>
      <x:c r="P1431" s="9" t="n">
        <x:v>0.7113564669</x:v>
      </x:c>
      <x:c r="Q1431" s="9" t="n">
        <x:v>0.5899053628</x:v>
      </x:c>
      <x:c r="R1431" s="3" t="b">
        <x:v>0</x:v>
      </x:c>
      <x:c r="S1431" s="3" t="b">
        <x:v>0</x:v>
      </x:c>
      <x:c r="T1431" s="3" t="b">
        <x:v>0</x:v>
      </x:c>
      <x:c r="U1431" s="2" t="str">
        <x:f>IF(T1431=TRUE,"Priority review",IF(R1431=TRUE,"High cost",IF(S1431=TRUE,"Low quality","Benchmark")))</x:f>
        <x:v>Benchmark</x:v>
      </x:c>
    </x:row>
    <x:row r="1432">
      <x:c r="A1432" s="2" t="str">
        <x:v>450597</x:v>
      </x:c>
      <x:c r="B1432" s="2" t="str">
        <x:v>CUERO REGIONAL HOSPITAL</x:v>
      </x:c>
      <x:c r="C1432" s="2" t="str">
        <x:v>CUERO</x:v>
      </x:c>
      <x:c r="D1432" s="2" t="str">
        <x:v>TX</x:v>
      </x:c>
      <x:c r="E1432" s="2" t="str">
        <x:v>Acute Care Hospitals</x:v>
      </x:c>
      <x:c r="F1432" s="2" t="str">
        <x:v>Government</x:v>
      </x:c>
      <x:c r="G1432" s="2" t="str">
        <x:v>Small (&lt;100 beds)</x:v>
      </x:c>
      <x:c r="H1432" s="7" t="n">
        <x:v>4</x:v>
      </x:c>
      <x:c r="I1432" s="7"/>
      <x:c r="J1432" s="7" t="n">
        <x:v>1.23</x:v>
      </x:c>
      <x:c r="K1432" s="8" t="n">
        <x:v>44</x:v>
      </x:c>
      <x:c r="L1432" s="8" t="n">
        <x:v>621</x:v>
      </x:c>
      <x:c r="M1432" s="9" t="n">
        <x:v>0.135307998</x:v>
      </x:c>
      <x:c r="N1432" s="10" t="n">
        <x:v>78159.2383252818</x:v>
      </x:c>
      <x:c r="O1432" s="9" t="n">
        <x:v>-0.2366621484</x:v>
      </x:c>
      <x:c r="P1432" s="9" t="n">
        <x:v>0.710951526</x:v>
      </x:c>
      <x:c r="Q1432" s="9" t="n">
        <x:v>0.3913824057</x:v>
      </x:c>
      <x:c r="R1432" s="3" t="b">
        <x:v>0</x:v>
      </x:c>
      <x:c r="S1432" s="3" t="b">
        <x:v>0</x:v>
      </x:c>
      <x:c r="T1432" s="3" t="b">
        <x:v>0</x:v>
      </x:c>
      <x:c r="U1432" s="2" t="str">
        <x:f>IF(T1432=TRUE,"Priority review",IF(R1432=TRUE,"High cost",IF(S1432=TRUE,"Low quality","Benchmark")))</x:f>
        <x:v>Benchmark</x:v>
      </x:c>
    </x:row>
    <x:row r="1433">
      <x:c r="A1433" s="2" t="str">
        <x:v>161340</x:v>
      </x:c>
      <x:c r="B1433" s="2" t="str">
        <x:v>DECATUR COUNTY HOSPITAL</x:v>
      </x:c>
      <x:c r="C1433" s="2" t="str">
        <x:v>LEON</x:v>
      </x:c>
      <x:c r="D1433" s="2" t="str">
        <x:v>IA</x:v>
      </x:c>
      <x:c r="E1433" s="2" t="str">
        <x:v>Critical Access Hospitals</x:v>
      </x:c>
      <x:c r="F1433" s="2" t="str">
        <x:v>Government</x:v>
      </x:c>
      <x:c r="G1433" s="2" t="str">
        <x:v>Small (&lt;100 beds)</x:v>
      </x:c>
      <x:c r="H1433" s="7"/>
      <x:c r="I1433" s="7"/>
      <x:c r="J1433" s="7"/>
      <x:c r="K1433" s="8" t="n">
        <x:v>11</x:v>
      </x:c>
      <x:c r="L1433" s="8" t="n">
        <x:v>145</x:v>
      </x:c>
      <x:c r="M1433" s="9" t="n">
        <x:v>0.2373599004</x:v>
      </x:c>
      <x:c r="N1433" s="10" t="n">
        <x:v>192397.1724137931</x:v>
      </x:c>
      <x:c r="O1433" s="9" t="n">
        <x:v>-0.0358686583</x:v>
      </x:c>
      <x:c r="P1433" s="9" t="n">
        <x:v>0.7107806691</x:v>
      </x:c>
      <x:c r="Q1433" s="9" t="n">
        <x:v>0.292936803</x:v>
      </x:c>
      <x:c r="R1433" s="3" t="b">
        <x:v>0</x:v>
      </x:c>
      <x:c r="S1433" s="3" t="b">
        <x:v>0</x:v>
      </x:c>
      <x:c r="T1433" s="3" t="b">
        <x:v>0</x:v>
      </x:c>
      <x:c r="U1433" s="2" t="str">
        <x:f>IF(T1433=TRUE,"Priority review",IF(R1433=TRUE,"High cost",IF(S1433=TRUE,"Low quality","Benchmark")))</x:f>
        <x:v>Benchmark</x:v>
      </x:c>
    </x:row>
    <x:row r="1434">
      <x:c r="A1434" s="2" t="str">
        <x:v>080004</x:v>
      </x:c>
      <x:c r="B1434" s="2" t="str">
        <x:v>BAYHEALTH MEDICAL CENTER, KENT CAMPUS</x:v>
      </x:c>
      <x:c r="C1434" s="2" t="str">
        <x:v>DOVER</x:v>
      </x:c>
      <x:c r="D1434" s="2" t="str">
        <x:v>DE</x:v>
      </x:c>
      <x:c r="E1434" s="2" t="str">
        <x:v>Acute Care Hospitals</x:v>
      </x:c>
      <x:c r="F1434" s="2" t="str">
        <x:v>Voluntary non-profit</x:v>
      </x:c>
      <x:c r="G1434" s="2" t="str">
        <x:v>Medium (100-299 beds)</x:v>
      </x:c>
      <x:c r="H1434" s="7" t="n">
        <x:v>2</x:v>
      </x:c>
      <x:c r="I1434" s="7" t="n">
        <x:v>2</x:v>
      </x:c>
      <x:c r="J1434" s="7" t="n">
        <x:v>1.04</x:v>
      </x:c>
      <x:c r="K1434" s="8" t="n">
        <x:v>277</x:v>
      </x:c>
      <x:c r="L1434" s="8" t="n">
        <x:v>15036</x:v>
      </x:c>
      <x:c r="M1434" s="9" t="n">
        <x:v>0.7703377677</x:v>
      </x:c>
      <x:c r="N1434" s="10" t="n">
        <x:v>44139.5943735036</x:v>
      </x:c>
      <x:c r="O1434" s="9" t="n">
        <x:v>0.0731343683</x:v>
      </x:c>
      <x:c r="P1434" s="9" t="n">
        <x:v>0.7106764466</x:v>
      </x:c>
      <x:c r="Q1434" s="9" t="n">
        <x:v>0.0782396088</x:v>
      </x:c>
      <x:c r="R1434" s="3" t="b">
        <x:v>0</x:v>
      </x:c>
      <x:c r="S1434" s="3" t="b">
        <x:v>1</x:v>
      </x:c>
      <x:c r="T1434" s="3" t="b">
        <x:v>0</x:v>
      </x:c>
      <x:c r="U1434" s="2" t="str">
        <x:f>IF(T1434=TRUE,"Priority review",IF(R1434=TRUE,"High cost",IF(S1434=TRUE,"Low quality","Benchmark")))</x:f>
        <x:v>Low quality</x:v>
      </x:c>
    </x:row>
    <x:row r="1435">
      <x:c r="A1435" s="2" t="str">
        <x:v>200050</x:v>
      </x:c>
      <x:c r="B1435" s="2" t="str">
        <x:v>NORTHERN LIGHT MAINE COAST HOSPITAL</x:v>
      </x:c>
      <x:c r="C1435" s="2" t="str">
        <x:v>ELLSWORTH</x:v>
      </x:c>
      <x:c r="D1435" s="2" t="str">
        <x:v>ME</x:v>
      </x:c>
      <x:c r="E1435" s="2" t="str">
        <x:v>Acute Care Hospitals</x:v>
      </x:c>
      <x:c r="F1435" s="2" t="str">
        <x:v>Voluntary non-profit</x:v>
      </x:c>
      <x:c r="G1435" s="2" t="str">
        <x:v>Small (&lt;100 beds)</x:v>
      </x:c>
      <x:c r="H1435" s="7" t="n">
        <x:v>3</x:v>
      </x:c>
      <x:c r="I1435" s="7" t="n">
        <x:v>3</x:v>
      </x:c>
      <x:c r="J1435" s="7" t="n">
        <x:v>0.87</x:v>
      </x:c>
      <x:c r="K1435" s="8" t="n">
        <x:v>45</x:v>
      </x:c>
      <x:c r="L1435" s="8" t="n">
        <x:v>1511</x:v>
      </x:c>
      <x:c r="M1435" s="9" t="n">
        <x:v>0.5661867444</x:v>
      </x:c>
      <x:c r="N1435" s="10" t="n">
        <x:v>78150.6644606221</x:v>
      </x:c>
      <x:c r="O1435" s="9" t="n">
        <x:v>-0.0683187239</x:v>
      </x:c>
      <x:c r="P1435" s="9" t="n">
        <x:v>0.71005386</x:v>
      </x:c>
      <x:c r="Q1435" s="9" t="n">
        <x:v>0.1687612208</x:v>
      </x:c>
      <x:c r="R1435" s="3" t="b">
        <x:v>0</x:v>
      </x:c>
      <x:c r="S1435" s="3" t="b">
        <x:v>0</x:v>
      </x:c>
      <x:c r="T1435" s="3" t="b">
        <x:v>0</x:v>
      </x:c>
      <x:c r="U1435" s="2" t="str">
        <x:f>IF(T1435=TRUE,"Priority review",IF(R1435=TRUE,"High cost",IF(S1435=TRUE,"Low quality","Benchmark")))</x:f>
        <x:v>Benchmark</x:v>
      </x:c>
    </x:row>
    <x:row r="1436">
      <x:c r="A1436" s="2" t="str">
        <x:v>521319</x:v>
      </x:c>
      <x:c r="B1436" s="2" t="str">
        <x:v>EDGERTON HOSPITAL AND HEALTH SERVICES</x:v>
      </x:c>
      <x:c r="C1436" s="2" t="str">
        <x:v>EDGERTON</x:v>
      </x:c>
      <x:c r="D1436" s="2" t="str">
        <x:v>WI</x:v>
      </x:c>
      <x:c r="E1436" s="2" t="str">
        <x:v>Critical Access Hospitals</x:v>
      </x:c>
      <x:c r="F1436" s="2" t="str">
        <x:v>Voluntary non-profit</x:v>
      </x:c>
      <x:c r="G1436" s="2" t="str">
        <x:v>Small (&lt;100 beds)</x:v>
      </x:c>
      <x:c r="H1436" s="7"/>
      <x:c r="I1436" s="7"/>
      <x:c r="J1436" s="7"/>
      <x:c r="K1436" s="8" t="n">
        <x:v>16</x:v>
      </x:c>
      <x:c r="L1436" s="8" t="n">
        <x:v>205</x:v>
      </x:c>
      <x:c r="M1436" s="9" t="n">
        <x:v>0.549692623</x:v>
      </x:c>
      <x:c r="N1436" s="10" t="n">
        <x:v>192394.912195122</x:v>
      </x:c>
      <x:c r="O1436" s="9" t="n">
        <x:v>-0.0242778341</x:v>
      </x:c>
      <x:c r="P1436" s="9" t="n">
        <x:v>0.7100371747</x:v>
      </x:c>
      <x:c r="Q1436" s="9" t="n">
        <x:v>0.292936803</x:v>
      </x:c>
      <x:c r="R1436" s="3" t="b">
        <x:v>0</x:v>
      </x:c>
      <x:c r="S1436" s="3" t="b">
        <x:v>0</x:v>
      </x:c>
      <x:c r="T1436" s="3" t="b">
        <x:v>0</x:v>
      </x:c>
      <x:c r="U1436" s="2" t="str">
        <x:f>IF(T1436=TRUE,"Priority review",IF(R1436=TRUE,"High cost",IF(S1436=TRUE,"Low quality","Benchmark")))</x:f>
        <x:v>Benchmark</x:v>
      </x:c>
    </x:row>
    <x:row r="1437">
      <x:c r="A1437" s="2" t="str">
        <x:v>020006</x:v>
      </x:c>
      <x:c r="B1437" s="2" t="str">
        <x:v>MAT-SU REGIONAL MEDICAL CENTER</x:v>
      </x:c>
      <x:c r="C1437" s="2" t="str">
        <x:v>PALMER</x:v>
      </x:c>
      <x:c r="D1437" s="2" t="str">
        <x:v>AK</x:v>
      </x:c>
      <x:c r="E1437" s="2" t="str">
        <x:v>Acute Care Hospitals</x:v>
      </x:c>
      <x:c r="F1437" s="2" t="str">
        <x:v>Voluntary non-profit</x:v>
      </x:c>
      <x:c r="G1437" s="2" t="str">
        <x:v>Medium (100-299 beds)</x:v>
      </x:c>
      <x:c r="H1437" s="7" t="n">
        <x:v>3</x:v>
      </x:c>
      <x:c r="I1437" s="7" t="n">
        <x:v>4</x:v>
      </x:c>
      <x:c r="J1437" s="7" t="n">
        <x:v>0.82</x:v>
      </x:c>
      <x:c r="K1437" s="8" t="n">
        <x:v>125</x:v>
      </x:c>
      <x:c r="L1437" s="8" t="n">
        <x:v>5639</x:v>
      </x:c>
      <x:c r="M1437" s="9" t="n">
        <x:v>0.632284153</x:v>
      </x:c>
      <x:c r="N1437" s="10" t="n">
        <x:v>44121.8586628835</x:v>
      </x:c>
      <x:c r="O1437" s="9" t="n">
        <x:v>0.2651275978</x:v>
      </x:c>
      <x:c r="P1437" s="9" t="n">
        <x:v>0.7098614507</x:v>
      </x:c>
      <x:c r="Q1437" s="9" t="n">
        <x:v>0.3023634882</x:v>
      </x:c>
      <x:c r="R1437" s="3" t="b">
        <x:v>0</x:v>
      </x:c>
      <x:c r="S1437" s="3" t="b">
        <x:v>0</x:v>
      </x:c>
      <x:c r="T1437" s="3" t="b">
        <x:v>0</x:v>
      </x:c>
      <x:c r="U1437" s="2" t="str">
        <x:f>IF(T1437=TRUE,"Priority review",IF(R1437=TRUE,"High cost",IF(S1437=TRUE,"Low quality","Benchmark")))</x:f>
        <x:v>Benchmark</x:v>
      </x:c>
    </x:row>
    <x:row r="1438">
      <x:c r="A1438" s="2" t="str">
        <x:v>050396</x:v>
      </x:c>
      <x:c r="B1438" s="2" t="str">
        <x:v>SANTA BARBARA COTTAGE HOSPITAL</x:v>
      </x:c>
      <x:c r="C1438" s="2" t="str">
        <x:v>SANTA BARBARA</x:v>
      </x:c>
      <x:c r="D1438" s="2" t="str">
        <x:v>CA</x:v>
      </x:c>
      <x:c r="E1438" s="2" t="str">
        <x:v>Acute Care Hospitals</x:v>
      </x:c>
      <x:c r="F1438" s="2" t="str">
        <x:v>Voluntary non-profit</x:v>
      </x:c>
      <x:c r="G1438" s="2" t="str">
        <x:v>Large (300+ beds)</x:v>
      </x:c>
      <x:c r="H1438" s="7" t="n">
        <x:v>4</x:v>
      </x:c>
      <x:c r="I1438" s="7" t="n">
        <x:v>4</x:v>
      </x:c>
      <x:c r="J1438" s="7" t="n">
        <x:v>1.01</x:v>
      </x:c>
      <x:c r="K1438" s="8" t="n">
        <x:v>362</x:v>
      </x:c>
      <x:c r="L1438" s="8" t="n">
        <x:v>18694</x:v>
      </x:c>
      <x:c r="M1438" s="9" t="n">
        <x:v>0.6925927603</x:v>
      </x:c>
      <x:c r="N1438" s="10" t="n">
        <x:v>50480.3764309404</x:v>
      </x:c>
      <x:c r="O1438" s="9" t="n">
        <x:v>-0.0152808872</x:v>
      </x:c>
      <x:c r="P1438" s="9" t="n">
        <x:v>0.7097791798</x:v>
      </x:c>
      <x:c r="Q1438" s="9" t="n">
        <x:v>0.5899053628</x:v>
      </x:c>
      <x:c r="R1438" s="3" t="b">
        <x:v>0</x:v>
      </x:c>
      <x:c r="S1438" s="3" t="b">
        <x:v>0</x:v>
      </x:c>
      <x:c r="T1438" s="3" t="b">
        <x:v>0</x:v>
      </x:c>
      <x:c r="U1438" s="2" t="str">
        <x:f>IF(T1438=TRUE,"Priority review",IF(R1438=TRUE,"High cost",IF(S1438=TRUE,"Low quality","Benchmark")))</x:f>
        <x:v>Benchmark</x:v>
      </x:c>
    </x:row>
    <x:row r="1439">
      <x:c r="A1439" s="2" t="str">
        <x:v>151333</x:v>
      </x:c>
      <x:c r="B1439" s="2" t="str">
        <x:v>PUTNAM COUNTY HOSPITAL</x:v>
      </x:c>
      <x:c r="C1439" s="2" t="str">
        <x:v>GREENCASTLE</x:v>
      </x:c>
      <x:c r="D1439" s="2" t="str">
        <x:v>IN</x:v>
      </x:c>
      <x:c r="E1439" s="2" t="str">
        <x:v>Critical Access Hospitals</x:v>
      </x:c>
      <x:c r="F1439" s="2" t="str">
        <x:v>Government</x:v>
      </x:c>
      <x:c r="G1439" s="2" t="str">
        <x:v>Small (&lt;100 beds)</x:v>
      </x:c>
      <x:c r="H1439" s="7" t="n">
        <x:v>5</x:v>
      </x:c>
      <x:c r="I1439" s="7"/>
      <x:c r="J1439" s="7"/>
      <x:c r="K1439" s="8" t="n">
        <x:v>25</x:v>
      </x:c>
      <x:c r="L1439" s="8" t="n">
        <x:v>363</x:v>
      </x:c>
      <x:c r="M1439" s="9" t="n">
        <x:v>0.1365027322</x:v>
      </x:c>
      <x:c r="N1439" s="10" t="n">
        <x:v>192192.0688705234</x:v>
      </x:c>
      <x:c r="O1439" s="9" t="n">
        <x:v>-0.2550361211</x:v>
      </x:c>
      <x:c r="P1439" s="9" t="n">
        <x:v>0.7092936803</x:v>
      </x:c>
      <x:c r="Q1439" s="9" t="n">
        <x:v>0.2602230483</x:v>
      </x:c>
      <x:c r="R1439" s="3" t="b">
        <x:v>0</x:v>
      </x:c>
      <x:c r="S1439" s="3" t="b">
        <x:v>0</x:v>
      </x:c>
      <x:c r="T1439" s="3" t="b">
        <x:v>0</x:v>
      </x:c>
      <x:c r="U1439" s="2" t="str">
        <x:f>IF(T1439=TRUE,"Priority review",IF(R1439=TRUE,"High cost",IF(S1439=TRUE,"Low quality","Benchmark")))</x:f>
        <x:v>Benchmark</x:v>
      </x:c>
    </x:row>
    <x:row r="1440">
      <x:c r="A1440" s="2" t="str">
        <x:v>030136</x:v>
      </x:c>
      <x:c r="B1440" s="2" t="str">
        <x:v>DIGNITY HEALTH - ARIZONA GENERAL HOSPITAL</x:v>
      </x:c>
      <x:c r="C1440" s="2" t="str">
        <x:v>LAVEEN</x:v>
      </x:c>
      <x:c r="D1440" s="2" t="str">
        <x:v>AZ</x:v>
      </x:c>
      <x:c r="E1440" s="2" t="str">
        <x:v>Acute Care Hospitals</x:v>
      </x:c>
      <x:c r="F1440" s="2" t="str">
        <x:v>Proprietary</x:v>
      </x:c>
      <x:c r="G1440" s="2" t="str">
        <x:v>Small (&lt;100 beds)</x:v>
      </x:c>
      <x:c r="H1440" s="7"/>
      <x:c r="I1440" s="7"/>
      <x:c r="J1440" s="7" t="n">
        <x:v>0.84</x:v>
      </x:c>
      <x:c r="K1440" s="8" t="n">
        <x:v>16</x:v>
      </x:c>
      <x:c r="L1440" s="8" t="n">
        <x:v>1111</x:v>
      </x:c>
      <x:c r="M1440" s="9" t="n">
        <x:v>0.3299180328</x:v>
      </x:c>
      <x:c r="N1440" s="10" t="n">
        <x:v>78002.0801080108</x:v>
      </x:c>
      <x:c r="O1440" s="9" t="n">
        <x:v>0.0345072295</x:v>
      </x:c>
      <x:c r="P1440" s="9" t="n">
        <x:v>0.7091561939</x:v>
      </x:c>
      <x:c r="Q1440" s="9" t="n">
        <x:v>0.697486535</x:v>
      </x:c>
      <x:c r="R1440" s="3" t="b">
        <x:v>0</x:v>
      </x:c>
      <x:c r="S1440" s="3" t="b">
        <x:v>0</x:v>
      </x:c>
      <x:c r="T1440" s="3" t="b">
        <x:v>0</x:v>
      </x:c>
      <x:c r="U1440" s="2" t="str">
        <x:f>IF(T1440=TRUE,"Priority review",IF(R1440=TRUE,"High cost",IF(S1440=TRUE,"Low quality","Benchmark")))</x:f>
        <x:v>Benchmark</x:v>
      </x:c>
    </x:row>
    <x:row r="1441">
      <x:c r="A1441" s="2" t="str">
        <x:v>060114</x:v>
      </x:c>
      <x:c r="B1441" s="2" t="str">
        <x:v>AdventHealth Parker</x:v>
      </x:c>
      <x:c r="C1441" s="2" t="str">
        <x:v>PARKER</x:v>
      </x:c>
      <x:c r="D1441" s="2" t="str">
        <x:v>CO</x:v>
      </x:c>
      <x:c r="E1441" s="2" t="str">
        <x:v>Acute Care Hospitals</x:v>
      </x:c>
      <x:c r="F1441" s="2" t="str">
        <x:v>Voluntary non-profit</x:v>
      </x:c>
      <x:c r="G1441" s="2" t="str">
        <x:v>Medium (100-299 beds)</x:v>
      </x:c>
      <x:c r="H1441" s="7" t="n">
        <x:v>5</x:v>
      </x:c>
      <x:c r="I1441" s="7" t="n">
        <x:v>4</x:v>
      </x:c>
      <x:c r="J1441" s="7" t="n">
        <x:v>0.91</x:v>
      </x:c>
      <x:c r="K1441" s="8" t="n">
        <x:v>169</x:v>
      </x:c>
      <x:c r="L1441" s="8" t="n">
        <x:v>8527</x:v>
      </x:c>
      <x:c r="M1441" s="9" t="n">
        <x:v>0.6034692389</x:v>
      </x:c>
      <x:c r="N1441" s="10" t="n">
        <x:v>44081.9729095813</x:v>
      </x:c>
      <x:c r="O1441" s="9" t="n">
        <x:v>0.0883882108</x:v>
      </x:c>
      <x:c r="P1441" s="9" t="n">
        <x:v>0.7090464548</x:v>
      </x:c>
      <x:c r="Q1441" s="9" t="n">
        <x:v>0.8744906275</x:v>
      </x:c>
      <x:c r="R1441" s="3" t="b">
        <x:v>0</x:v>
      </x:c>
      <x:c r="S1441" s="3" t="b">
        <x:v>0</x:v>
      </x:c>
      <x:c r="T1441" s="3" t="b">
        <x:v>0</x:v>
      </x:c>
      <x:c r="U1441" s="2" t="str">
        <x:f>IF(T1441=TRUE,"Priority review",IF(R1441=TRUE,"High cost",IF(S1441=TRUE,"Low quality","Benchmark")))</x:f>
        <x:v>Benchmark</x:v>
      </x:c>
    </x:row>
    <x:row r="1442">
      <x:c r="A1442" s="2" t="str">
        <x:v>344023</x:v>
      </x:c>
      <x:c r="B1442" s="2" t="str">
        <x:v>JULIAN F KEITH ALCOHOL &amp; DRUG ABUSE TX</x:v>
      </x:c>
      <x:c r="C1442" s="2" t="str">
        <x:v>BLACK MOUNTAIN</x:v>
      </x:c>
      <x:c r="D1442" s="2" t="str">
        <x:v>NC</x:v>
      </x:c>
      <x:c r="E1442" s="2" t="str">
        <x:v>Psychiatric</x:v>
      </x:c>
      <x:c r="F1442" s="2" t="str">
        <x:v>Government</x:v>
      </x:c>
      <x:c r="G1442" s="2" t="str">
        <x:v>Small (&lt;100 beds)</x:v>
      </x:c>
      <x:c r="H1442" s="7"/>
      <x:c r="I1442" s="7"/>
      <x:c r="J1442" s="7"/>
      <x:c r="K1442" s="8" t="n">
        <x:v>80</x:v>
      </x:c>
      <x:c r="L1442" s="8" t="n">
        <x:v>1461</x:v>
      </x:c>
      <x:c r="M1442" s="9" t="n">
        <x:v>0.4791438356</x:v>
      </x:c>
      <x:c r="N1442" s="10" t="n">
        <x:v>23749.4305270363</x:v>
      </x:c>
      <x:c r="O1442" s="9" t="n">
        <x:v>0.174504338</x:v>
      </x:c>
      <x:c r="P1442" s="9" t="n">
        <x:v>0.7087378641</x:v>
      </x:c>
      <x:c r="Q1442" s="9" t="n">
        <x:v>0</x:v>
      </x:c>
      <x:c r="R1442" s="3" t="b">
        <x:v>0</x:v>
      </x:c>
      <x:c r="S1442" s="3" t="b">
        <x:v>0</x:v>
      </x:c>
      <x:c r="T1442" s="3" t="b">
        <x:v>0</x:v>
      </x:c>
      <x:c r="U1442" s="2" t="str">
        <x:f>IF(T1442=TRUE,"Priority review",IF(R1442=TRUE,"High cost",IF(S1442=TRUE,"Low quality","Benchmark")))</x:f>
        <x:v>Benchmark</x:v>
      </x:c>
    </x:row>
    <x:row r="1443">
      <x:c r="A1443" s="2" t="str">
        <x:v>451343</x:v>
      </x:c>
      <x:c r="B1443" s="2" t="str">
        <x:v>ELECTRA MEMORIAL HOSPITAL</x:v>
      </x:c>
      <x:c r="C1443" s="2" t="str">
        <x:v>ELECTRA</x:v>
      </x:c>
      <x:c r="D1443" s="2" t="str">
        <x:v>TX</x:v>
      </x:c>
      <x:c r="E1443" s="2" t="str">
        <x:v>Critical Access Hospitals</x:v>
      </x:c>
      <x:c r="F1443" s="2" t="str">
        <x:v>Government</x:v>
      </x:c>
      <x:c r="G1443" s="2" t="str">
        <x:v>Small (&lt;100 beds)</x:v>
      </x:c>
      <x:c r="H1443" s="7"/>
      <x:c r="I1443" s="7"/>
      <x:c r="J1443" s="7"/>
      <x:c r="K1443" s="8" t="n">
        <x:v>19</x:v>
      </x:c>
      <x:c r="L1443" s="8" t="n">
        <x:v>151</x:v>
      </x:c>
      <x:c r="M1443" s="9" t="n">
        <x:v>0.3176589014</x:v>
      </x:c>
      <x:c r="N1443" s="10" t="n">
        <x:v>191992.7880794702</x:v>
      </x:c>
      <x:c r="O1443" s="9" t="n">
        <x:v>-0.0996968475</x:v>
      </x:c>
      <x:c r="P1443" s="9" t="n">
        <x:v>0.7085501859</x:v>
      </x:c>
      <x:c r="Q1443" s="9" t="n">
        <x:v>0.292936803</x:v>
      </x:c>
      <x:c r="R1443" s="3" t="b">
        <x:v>0</x:v>
      </x:c>
      <x:c r="S1443" s="3" t="b">
        <x:v>0</x:v>
      </x:c>
      <x:c r="T1443" s="3" t="b">
        <x:v>0</x:v>
      </x:c>
      <x:c r="U1443" s="2" t="str">
        <x:f>IF(T1443=TRUE,"Priority review",IF(R1443=TRUE,"High cost",IF(S1443=TRUE,"Low quality","Benchmark")))</x:f>
        <x:v>Benchmark</x:v>
      </x:c>
    </x:row>
    <x:row r="1444">
      <x:c r="A1444" s="2" t="str">
        <x:v>193300</x:v>
      </x:c>
      <x:c r="B1444" s="2" t="str">
        <x:v>CHILDRENS HOSPITAL</x:v>
      </x:c>
      <x:c r="C1444" s="2" t="str">
        <x:v>NEW ORLEANS</x:v>
      </x:c>
      <x:c r="D1444" s="2" t="str">
        <x:v>LA</x:v>
      </x:c>
      <x:c r="E1444" s="2" t="str">
        <x:v>Childrens</x:v>
      </x:c>
      <x:c r="F1444" s="2" t="str">
        <x:v>Voluntary non-profit</x:v>
      </x:c>
      <x:c r="G1444" s="2" t="str">
        <x:v>Medium (100-299 beds)</x:v>
      </x:c>
      <x:c r="H1444" s="7"/>
      <x:c r="I1444" s="7"/>
      <x:c r="J1444" s="7"/>
      <x:c r="K1444" s="8" t="n">
        <x:v>199</x:v>
      </x:c>
      <x:c r="L1444" s="8" t="n">
        <x:v>5579</x:v>
      </x:c>
      <x:c r="M1444" s="9" t="n">
        <x:v>0.6047999561</x:v>
      </x:c>
      <x:c r="N1444" s="10" t="n">
        <x:v>97367.0969707833</x:v>
      </x:c>
      <x:c r="O1444" s="9" t="n">
        <x:v>0.1528384442</x:v>
      </x:c>
      <x:c r="P1444" s="9" t="n">
        <x:v>0.7083333333</x:v>
      </x:c>
      <x:c r="Q1444" s="9" t="n">
        <x:v>0</x:v>
      </x:c>
      <x:c r="R1444" s="3" t="b">
        <x:v>0</x:v>
      </x:c>
      <x:c r="S1444" s="3" t="b">
        <x:v>0</x:v>
      </x:c>
      <x:c r="T1444" s="3" t="b">
        <x:v>0</x:v>
      </x:c>
      <x:c r="U1444" s="2" t="str">
        <x:f>IF(T1444=TRUE,"Priority review",IF(R1444=TRUE,"High cost",IF(S1444=TRUE,"Low quality","Benchmark")))</x:f>
        <x:v>Benchmark</x:v>
      </x:c>
    </x:row>
    <x:row r="1445">
      <x:c r="A1445" s="2" t="str">
        <x:v>150166</x:v>
      </x:c>
      <x:c r="B1445" s="2" t="str">
        <x:v>PINNACLE HOSPITAL</x:v>
      </x:c>
      <x:c r="C1445" s="2" t="str">
        <x:v>CROWN POINT</x:v>
      </x:c>
      <x:c r="D1445" s="2" t="str">
        <x:v>IN</x:v>
      </x:c>
      <x:c r="E1445" s="2" t="str">
        <x:v>Acute Care Hospitals</x:v>
      </x:c>
      <x:c r="F1445" s="2" t="str">
        <x:v>Other / unknown</x:v>
      </x:c>
      <x:c r="G1445" s="2" t="str">
        <x:v>Small (&lt;100 beds)</x:v>
      </x:c>
      <x:c r="H1445" s="7"/>
      <x:c r="I1445" s="7" t="n">
        <x:v>4</x:v>
      </x:c>
      <x:c r="J1445" s="7" t="n">
        <x:v>1.06</x:v>
      </x:c>
      <x:c r="K1445" s="8" t="n">
        <x:v>18</x:v>
      </x:c>
      <x:c r="L1445" s="8" t="n">
        <x:v>561</x:v>
      </x:c>
      <x:c r="M1445" s="9" t="n">
        <x:v>0.2126593807</x:v>
      </x:c>
      <x:c r="N1445" s="10" t="n">
        <x:v>77903.7076648841</x:v>
      </x:c>
      <x:c r="O1445" s="9" t="n">
        <x:v>-0.1000969356</x:v>
      </x:c>
      <x:c r="P1445" s="9" t="n">
        <x:v>0.7082585278</x:v>
      </x:c>
      <x:c r="Q1445" s="9" t="n">
        <x:v>0.697486535</x:v>
      </x:c>
      <x:c r="R1445" s="3" t="b">
        <x:v>0</x:v>
      </x:c>
      <x:c r="S1445" s="3" t="b">
        <x:v>0</x:v>
      </x:c>
      <x:c r="T1445" s="3" t="b">
        <x:v>0</x:v>
      </x:c>
      <x:c r="U1445" s="2" t="str">
        <x:f>IF(T1445=TRUE,"Priority review",IF(R1445=TRUE,"High cost",IF(S1445=TRUE,"Low quality","Benchmark")))</x:f>
        <x:v>Benchmark</x:v>
      </x:c>
    </x:row>
    <x:row r="1446">
      <x:c r="A1446" s="2" t="str">
        <x:v>330304</x:v>
      </x:c>
      <x:c r="B1446" s="2" t="str">
        <x:v>WHITE PLAINS HOSPITAL CENTER</x:v>
      </x:c>
      <x:c r="C1446" s="2" t="str">
        <x:v>WHITE PLAINS</x:v>
      </x:c>
      <x:c r="D1446" s="2" t="str">
        <x:v>NY</x:v>
      </x:c>
      <x:c r="E1446" s="2" t="str">
        <x:v>Acute Care Hospitals</x:v>
      </x:c>
      <x:c r="F1446" s="2" t="str">
        <x:v>Voluntary non-profit</x:v>
      </x:c>
      <x:c r="G1446" s="2" t="str">
        <x:v>Medium (100-299 beds)</x:v>
      </x:c>
      <x:c r="H1446" s="7" t="n">
        <x:v>5</x:v>
      </x:c>
      <x:c r="I1446" s="7" t="n">
        <x:v>3</x:v>
      </x:c>
      <x:c r="J1446" s="7" t="n">
        <x:v>1.06</x:v>
      </x:c>
      <x:c r="K1446" s="8" t="n">
        <x:v>292</x:v>
      </x:c>
      <x:c r="L1446" s="8" t="n">
        <x:v>23143</x:v>
      </x:c>
      <x:c r="M1446" s="9" t="n">
        <x:v>1.0349064165</x:v>
      </x:c>
      <x:c r="N1446" s="10" t="n">
        <x:v>44044.8602169122</x:v>
      </x:c>
      <x:c r="O1446" s="9" t="n">
        <x:v>0.0971646432</x:v>
      </x:c>
      <x:c r="P1446" s="9" t="n">
        <x:v>0.7082314588</x:v>
      </x:c>
      <x:c r="Q1446" s="9" t="n">
        <x:v>0.8744906275</x:v>
      </x:c>
      <x:c r="R1446" s="3" t="b">
        <x:v>0</x:v>
      </x:c>
      <x:c r="S1446" s="3" t="b">
        <x:v>0</x:v>
      </x:c>
      <x:c r="T1446" s="3" t="b">
        <x:v>0</x:v>
      </x:c>
      <x:c r="U1446" s="2" t="str">
        <x:f>IF(T1446=TRUE,"Priority review",IF(R1446=TRUE,"High cost",IF(S1446=TRUE,"Low quality","Benchmark")))</x:f>
        <x:v>Benchmark</x:v>
      </x:c>
    </x:row>
    <x:row r="1447">
      <x:c r="A1447" s="2" t="str">
        <x:v>370093</x:v>
      </x:c>
      <x:c r="B1447" s="2" t="str">
        <x:v>O U MEDICAL CENTER</x:v>
      </x:c>
      <x:c r="C1447" s="2" t="str">
        <x:v>OKLAHOMA CITY</x:v>
      </x:c>
      <x:c r="D1447" s="2" t="str">
        <x:v>OK</x:v>
      </x:c>
      <x:c r="E1447" s="2" t="str">
        <x:v>Acute Care Hospitals</x:v>
      </x:c>
      <x:c r="F1447" s="2" t="str">
        <x:v>Voluntary non-profit</x:v>
      </x:c>
      <x:c r="G1447" s="2" t="str">
        <x:v>Large (300+ beds)</x:v>
      </x:c>
      <x:c r="H1447" s="7" t="n">
        <x:v>2</x:v>
      </x:c>
      <x:c r="I1447" s="7" t="n">
        <x:v>2</x:v>
      </x:c>
      <x:c r="J1447" s="7" t="n">
        <x:v>1.08</x:v>
      </x:c>
      <x:c r="K1447" s="8" t="n">
        <x:v>853</x:v>
      </x:c>
      <x:c r="L1447" s="8" t="n">
        <x:v>45441</x:v>
      </x:c>
      <x:c r="M1447" s="9" t="n">
        <x:v>0.8363583806</x:v>
      </x:c>
      <x:c r="N1447" s="10" t="n">
        <x:v>50454.9308333884</x:v>
      </x:c>
      <x:c r="O1447" s="9" t="n">
        <x:v>0.0491623481</x:v>
      </x:c>
      <x:c r="P1447" s="9" t="n">
        <x:v>0.7082018927</x:v>
      </x:c>
      <x:c r="Q1447" s="9" t="n">
        <x:v>0.0536277603</x:v>
      </x:c>
      <x:c r="R1447" s="3" t="b">
        <x:v>0</x:v>
      </x:c>
      <x:c r="S1447" s="3" t="b">
        <x:v>1</x:v>
      </x:c>
      <x:c r="T1447" s="3" t="b">
        <x:v>0</x:v>
      </x:c>
      <x:c r="U1447" s="2" t="str">
        <x:f>IF(T1447=TRUE,"Priority review",IF(R1447=TRUE,"High cost",IF(S1447=TRUE,"Low quality","Benchmark")))</x:f>
        <x:v>Low quality</x:v>
      </x:c>
    </x:row>
    <x:row r="1448">
      <x:c r="A1448" s="2" t="str">
        <x:v>531313</x:v>
      </x:c>
      <x:c r="B1448" s="2" t="str">
        <x:v>STAR VALLEY MEDICAL CENTER</x:v>
      </x:c>
      <x:c r="C1448" s="2" t="str">
        <x:v>AFTON</x:v>
      </x:c>
      <x:c r="D1448" s="2" t="str">
        <x:v>WY</x:v>
      </x:c>
      <x:c r="E1448" s="2" t="str">
        <x:v>Critical Access Hospitals</x:v>
      </x:c>
      <x:c r="F1448" s="2" t="str">
        <x:v>Government</x:v>
      </x:c>
      <x:c r="G1448" s="2" t="str">
        <x:v>Small (&lt;100 beds)</x:v>
      </x:c>
      <x:c r="H1448" s="7"/>
      <x:c r="I1448" s="7"/>
      <x:c r="J1448" s="7"/>
      <x:c r="K1448" s="8" t="n">
        <x:v>22</x:v>
      </x:c>
      <x:c r="L1448" s="8" t="n">
        <x:v>592</x:v>
      </x:c>
      <x:c r="M1448" s="9" t="n">
        <x:v>0.2439601494</x:v>
      </x:c>
      <x:c r="N1448" s="10" t="n">
        <x:v>191825.2939189189</x:v>
      </x:c>
      <x:c r="O1448" s="9" t="n">
        <x:v>-0.0424193023</x:v>
      </x:c>
      <x:c r="P1448" s="9" t="n">
        <x:v>0.7078066914</x:v>
      </x:c>
      <x:c r="Q1448" s="9" t="n">
        <x:v>0.292936803</x:v>
      </x:c>
      <x:c r="R1448" s="3" t="b">
        <x:v>0</x:v>
      </x:c>
      <x:c r="S1448" s="3" t="b">
        <x:v>0</x:v>
      </x:c>
      <x:c r="T1448" s="3" t="b">
        <x:v>0</x:v>
      </x:c>
      <x:c r="U1448" s="2" t="str">
        <x:f>IF(T1448=TRUE,"Priority review",IF(R1448=TRUE,"High cost",IF(S1448=TRUE,"Low quality","Benchmark")))</x:f>
        <x:v>Benchmark</x:v>
      </x:c>
    </x:row>
    <x:row r="1449">
      <x:c r="A1449" s="2" t="str">
        <x:v>390096</x:v>
      </x:c>
      <x:c r="B1449" s="2" t="str">
        <x:v>PENN STATE HEALTH ST. JOSEPH</x:v>
      </x:c>
      <x:c r="C1449" s="2" t="str">
        <x:v>READING</x:v>
      </x:c>
      <x:c r="D1449" s="2" t="str">
        <x:v>PA</x:v>
      </x:c>
      <x:c r="E1449" s="2" t="str">
        <x:v>Acute Care Hospitals</x:v>
      </x:c>
      <x:c r="F1449" s="2" t="str">
        <x:v>Voluntary non-profit</x:v>
      </x:c>
      <x:c r="G1449" s="2" t="str">
        <x:v>Medium (100-299 beds)</x:v>
      </x:c>
      <x:c r="H1449" s="7" t="n">
        <x:v>3</x:v>
      </x:c>
      <x:c r="I1449" s="7" t="n">
        <x:v>3</x:v>
      </x:c>
      <x:c r="J1449" s="7" t="n">
        <x:v>1.05</x:v>
      </x:c>
      <x:c r="K1449" s="8" t="n">
        <x:v>163</x:v>
      </x:c>
      <x:c r="L1449" s="8" t="n">
        <x:v>7538</x:v>
      </x:c>
      <x:c r="M1449" s="9" t="n">
        <x:v>0.5624002017</x:v>
      </x:c>
      <x:c r="N1449" s="10" t="n">
        <x:v>44041.998540727</x:v>
      </x:c>
      <x:c r="O1449" s="9" t="n">
        <x:v>0.0454600668</x:v>
      </x:c>
      <x:c r="P1449" s="9" t="n">
        <x:v>0.7074164629</x:v>
      </x:c>
      <x:c r="Q1449" s="9" t="n">
        <x:v>0.3023634882</x:v>
      </x:c>
      <x:c r="R1449" s="3" t="b">
        <x:v>0</x:v>
      </x:c>
      <x:c r="S1449" s="3" t="b">
        <x:v>0</x:v>
      </x:c>
      <x:c r="T1449" s="3" t="b">
        <x:v>0</x:v>
      </x:c>
      <x:c r="U1449" s="2" t="str">
        <x:f>IF(T1449=TRUE,"Priority review",IF(R1449=TRUE,"High cost",IF(S1449=TRUE,"Low quality","Benchmark")))</x:f>
        <x:v>Benchmark</x:v>
      </x:c>
    </x:row>
    <x:row r="1450">
      <x:c r="A1450" s="2" t="str">
        <x:v>190079</x:v>
      </x:c>
      <x:c r="B1450" s="2" t="str">
        <x:v>ST CHARLES PARISH HOSPITAL</x:v>
      </x:c>
      <x:c r="C1450" s="2" t="str">
        <x:v>LULING</x:v>
      </x:c>
      <x:c r="D1450" s="2" t="str">
        <x:v>LA</x:v>
      </x:c>
      <x:c r="E1450" s="2" t="str">
        <x:v>Acute Care Hospitals</x:v>
      </x:c>
      <x:c r="F1450" s="2" t="str">
        <x:v>Government</x:v>
      </x:c>
      <x:c r="G1450" s="2" t="str">
        <x:v>Small (&lt;100 beds)</x:v>
      </x:c>
      <x:c r="H1450" s="7"/>
      <x:c r="I1450" s="7" t="n">
        <x:v>5</x:v>
      </x:c>
      <x:c r="J1450" s="7" t="n">
        <x:v>0.82</x:v>
      </x:c>
      <x:c r="K1450" s="8" t="n">
        <x:v>27</x:v>
      </x:c>
      <x:c r="L1450" s="8" t="n">
        <x:v>996</x:v>
      </x:c>
      <x:c r="M1450" s="9" t="n">
        <x:v>0.3373921867</x:v>
      </x:c>
      <x:c r="N1450" s="10" t="n">
        <x:v>77665.2550200803</x:v>
      </x:c>
      <x:c r="O1450" s="9" t="n">
        <x:v>-0.0493187416</x:v>
      </x:c>
      <x:c r="P1450" s="9" t="n">
        <x:v>0.7073608618</x:v>
      </x:c>
      <x:c r="Q1450" s="9" t="n">
        <x:v>0.697486535</x:v>
      </x:c>
      <x:c r="R1450" s="3" t="b">
        <x:v>0</x:v>
      </x:c>
      <x:c r="S1450" s="3" t="b">
        <x:v>0</x:v>
      </x:c>
      <x:c r="T1450" s="3" t="b">
        <x:v>0</x:v>
      </x:c>
      <x:c r="U1450" s="2" t="str">
        <x:f>IF(T1450=TRUE,"Priority review",IF(R1450=TRUE,"High cost",IF(S1450=TRUE,"Low quality","Benchmark")))</x:f>
        <x:v>Benchmark</x:v>
      </x:c>
    </x:row>
    <x:row r="1451">
      <x:c r="A1451" s="2" t="str">
        <x:v>521309</x:v>
      </x:c>
      <x:c r="B1451" s="2" t="str">
        <x:v>GUNDERSEN MOUNDVIEW HOSPITAL AND CLINICS</x:v>
      </x:c>
      <x:c r="C1451" s="2" t="str">
        <x:v>FRIENDSHIP</x:v>
      </x:c>
      <x:c r="D1451" s="2" t="str">
        <x:v>WI</x:v>
      </x:c>
      <x:c r="E1451" s="2" t="str">
        <x:v>Critical Access Hospitals</x:v>
      </x:c>
      <x:c r="F1451" s="2" t="str">
        <x:v>Voluntary non-profit</x:v>
      </x:c>
      <x:c r="G1451" s="2" t="str">
        <x:v>Small (&lt;100 beds)</x:v>
      </x:c>
      <x:c r="H1451" s="7"/>
      <x:c r="I1451" s="7"/>
      <x:c r="J1451" s="7"/>
      <x:c r="K1451" s="8" t="n">
        <x:v>25</x:v>
      </x:c>
      <x:c r="L1451" s="8" t="n">
        <x:v>131</x:v>
      </x:c>
      <x:c r="M1451" s="9" t="n">
        <x:v>0.1836065574</x:v>
      </x:c>
      <x:c r="N1451" s="10" t="n">
        <x:v>191796.6183206107</x:v>
      </x:c>
      <x:c r="O1451" s="9" t="n">
        <x:v>-0.6022353177</x:v>
      </x:c>
      <x:c r="P1451" s="9" t="n">
        <x:v>0.707063197</x:v>
      </x:c>
      <x:c r="Q1451" s="9" t="n">
        <x:v>0.292936803</x:v>
      </x:c>
      <x:c r="R1451" s="3" t="b">
        <x:v>0</x:v>
      </x:c>
      <x:c r="S1451" s="3" t="b">
        <x:v>0</x:v>
      </x:c>
      <x:c r="T1451" s="3" t="b">
        <x:v>0</x:v>
      </x:c>
      <x:c r="U1451" s="2" t="str">
        <x:f>IF(T1451=TRUE,"Priority review",IF(R1451=TRUE,"High cost",IF(S1451=TRUE,"Low quality","Benchmark")))</x:f>
        <x:v>Benchmark</x:v>
      </x:c>
    </x:row>
    <x:row r="1452">
      <x:c r="A1452" s="2" t="str">
        <x:v>080001</x:v>
      </x:c>
      <x:c r="B1452" s="2" t="str">
        <x:v>CHRISTIANA HOSPITAL</x:v>
      </x:c>
      <x:c r="C1452" s="2" t="str">
        <x:v>NEWARK</x:v>
      </x:c>
      <x:c r="D1452" s="2" t="str">
        <x:v>DE</x:v>
      </x:c>
      <x:c r="E1452" s="2" t="str">
        <x:v>Acute Care Hospitals</x:v>
      </x:c>
      <x:c r="F1452" s="2" t="str">
        <x:v>Voluntary non-profit</x:v>
      </x:c>
      <x:c r="G1452" s="2" t="str">
        <x:v>Large (300+ beds)</x:v>
      </x:c>
      <x:c r="H1452" s="7" t="n">
        <x:v>4</x:v>
      </x:c>
      <x:c r="I1452" s="7" t="n">
        <x:v>2</x:v>
      </x:c>
      <x:c r="J1452" s="7" t="n">
        <x:v>1.04</x:v>
      </x:c>
      <x:c r="K1452" s="8" t="n">
        <x:v>1241</x:v>
      </x:c>
      <x:c r="L1452" s="8" t="n">
        <x:v>57226</x:v>
      </x:c>
      <x:c r="M1452" s="9" t="n">
        <x:v>0.8452485058</x:v>
      </x:c>
      <x:c r="N1452" s="10" t="n">
        <x:v>50446.1004438542</x:v>
      </x:c>
      <x:c r="O1452" s="9" t="n">
        <x:v>-0.137848029</x:v>
      </x:c>
      <x:c r="P1452" s="9" t="n">
        <x:v>0.7066246057</x:v>
      </x:c>
      <x:c r="Q1452" s="9" t="n">
        <x:v>0.5899053628</x:v>
      </x:c>
      <x:c r="R1452" s="3" t="b">
        <x:v>0</x:v>
      </x:c>
      <x:c r="S1452" s="3" t="b">
        <x:v>0</x:v>
      </x:c>
      <x:c r="T1452" s="3" t="b">
        <x:v>0</x:v>
      </x:c>
      <x:c r="U1452" s="2" t="str">
        <x:f>IF(T1452=TRUE,"Priority review",IF(R1452=TRUE,"High cost",IF(S1452=TRUE,"Low quality","Benchmark")))</x:f>
        <x:v>Benchmark</x:v>
      </x:c>
    </x:row>
    <x:row r="1453">
      <x:c r="A1453" s="2" t="str">
        <x:v>320022</x:v>
      </x:c>
      <x:c r="B1453" s="2" t="str">
        <x:v>PLAINS REGIONAL MEDICAL CENTER</x:v>
      </x:c>
      <x:c r="C1453" s="2" t="str">
        <x:v>CLOVIS</x:v>
      </x:c>
      <x:c r="D1453" s="2" t="str">
        <x:v>NM</x:v>
      </x:c>
      <x:c r="E1453" s="2" t="str">
        <x:v>Acute Care Hospitals</x:v>
      </x:c>
      <x:c r="F1453" s="2" t="str">
        <x:v>Voluntary non-profit</x:v>
      </x:c>
      <x:c r="G1453" s="2" t="str">
        <x:v>Medium (100-299 beds)</x:v>
      </x:c>
      <x:c r="H1453" s="7" t="n">
        <x:v>2</x:v>
      </x:c>
      <x:c r="I1453" s="7" t="n">
        <x:v>3</x:v>
      </x:c>
      <x:c r="J1453" s="7" t="n">
        <x:v>0.88</x:v>
      </x:c>
      <x:c r="K1453" s="8" t="n">
        <x:v>100</x:v>
      </x:c>
      <x:c r="L1453" s="8" t="n">
        <x:v>2958</x:v>
      </x:c>
      <x:c r="M1453" s="9" t="n">
        <x:v>0.289726776</x:v>
      </x:c>
      <x:c r="N1453" s="10" t="n">
        <x:v>44004.615280595</x:v>
      </x:c>
      <x:c r="O1453" s="9" t="n">
        <x:v>0.0437236677</x:v>
      </x:c>
      <x:c r="P1453" s="9" t="n">
        <x:v>0.706601467</x:v>
      </x:c>
      <x:c r="Q1453" s="9" t="n">
        <x:v>0.0782396088</x:v>
      </x:c>
      <x:c r="R1453" s="3" t="b">
        <x:v>0</x:v>
      </x:c>
      <x:c r="S1453" s="3" t="b">
        <x:v>1</x:v>
      </x:c>
      <x:c r="T1453" s="3" t="b">
        <x:v>0</x:v>
      </x:c>
      <x:c r="U1453" s="2" t="str">
        <x:f>IF(T1453=TRUE,"Priority review",IF(R1453=TRUE,"High cost",IF(S1453=TRUE,"Low quality","Benchmark")))</x:f>
        <x:v>Low quality</x:v>
      </x:c>
    </x:row>
    <x:row r="1454">
      <x:c r="A1454" s="2" t="str">
        <x:v>194007</x:v>
      </x:c>
      <x:c r="B1454" s="2" t="str">
        <x:v>NORTHLAKE BEHAVIORAL HEALTH SYSTEM</x:v>
      </x:c>
      <x:c r="C1454" s="2" t="str">
        <x:v>MANDEVILLE</x:v>
      </x:c>
      <x:c r="D1454" s="2" t="str">
        <x:v>LA</x:v>
      </x:c>
      <x:c r="E1454" s="2" t="str">
        <x:v>Psychiatric</x:v>
      </x:c>
      <x:c r="F1454" s="2" t="str">
        <x:v>Voluntary non-profit</x:v>
      </x:c>
      <x:c r="G1454" s="2" t="str">
        <x:v>Medium (100-299 beds)</x:v>
      </x:c>
      <x:c r="H1454" s="7"/>
      <x:c r="I1454" s="7"/>
      <x:c r="J1454" s="7"/>
      <x:c r="K1454" s="8" t="n">
        <x:v>140</x:v>
      </x:c>
      <x:c r="L1454" s="8" t="n">
        <x:v>1056</x:v>
      </x:c>
      <x:c r="M1454" s="9" t="n">
        <x:v>0.5393933464</x:v>
      </x:c>
      <x:c r="N1454" s="10" t="n">
        <x:v>23017.6363636364</x:v>
      </x:c>
      <x:c r="O1454" s="9" t="n">
        <x:v>-0.0889678108</x:v>
      </x:c>
      <x:c r="P1454" s="9" t="n">
        <x:v>0.7064676617</x:v>
      </x:c>
      <x:c r="Q1454" s="9" t="n">
        <x:v>0</x:v>
      </x:c>
      <x:c r="R1454" s="3" t="b">
        <x:v>0</x:v>
      </x:c>
      <x:c r="S1454" s="3" t="b">
        <x:v>0</x:v>
      </x:c>
      <x:c r="T1454" s="3" t="b">
        <x:v>0</x:v>
      </x:c>
      <x:c r="U1454" s="2" t="str">
        <x:f>IF(T1454=TRUE,"Priority review",IF(R1454=TRUE,"High cost",IF(S1454=TRUE,"Low quality","Benchmark")))</x:f>
        <x:v>Benchmark</x:v>
      </x:c>
    </x:row>
    <x:row r="1455">
      <x:c r="A1455" s="2" t="str">
        <x:v>450864</x:v>
      </x:c>
      <x:c r="B1455" s="2" t="str">
        <x:v>BAYLOR SCOTT &amp; WHITE TEXAS SPINE &amp; JOINT HOSPITAL</x:v>
      </x:c>
      <x:c r="C1455" s="2" t="str">
        <x:v>TYLER</x:v>
      </x:c>
      <x:c r="D1455" s="2" t="str">
        <x:v>TX</x:v>
      </x:c>
      <x:c r="E1455" s="2" t="str">
        <x:v>Acute Care Hospitals</x:v>
      </x:c>
      <x:c r="F1455" s="2" t="str">
        <x:v>Other / unknown</x:v>
      </x:c>
      <x:c r="G1455" s="2" t="str">
        <x:v>Small (&lt;100 beds)</x:v>
      </x:c>
      <x:c r="H1455" s="7" t="n">
        <x:v>5</x:v>
      </x:c>
      <x:c r="I1455" s="7" t="n">
        <x:v>4</x:v>
      </x:c>
      <x:c r="J1455" s="7" t="n">
        <x:v>0.85</x:v>
      </x:c>
      <x:c r="K1455" s="8" t="n">
        <x:v>20</x:v>
      </x:c>
      <x:c r="L1455" s="8" t="n">
        <x:v>1392</x:v>
      </x:c>
      <x:c r="M1455" s="9" t="n">
        <x:v>0.474726776</x:v>
      </x:c>
      <x:c r="N1455" s="10" t="n">
        <x:v>77487.5560344828</x:v>
      </x:c>
      <x:c r="O1455" s="9" t="n">
        <x:v>0.3668519996</x:v>
      </x:c>
      <x:c r="P1455" s="9" t="n">
        <x:v>0.7064631957</x:v>
      </x:c>
      <x:c r="Q1455" s="9" t="n">
        <x:v>0.6131059246</x:v>
      </x:c>
      <x:c r="R1455" s="3" t="b">
        <x:v>0</x:v>
      </x:c>
      <x:c r="S1455" s="3" t="b">
        <x:v>0</x:v>
      </x:c>
      <x:c r="T1455" s="3" t="b">
        <x:v>0</x:v>
      </x:c>
      <x:c r="U1455" s="2" t="str">
        <x:f>IF(T1455=TRUE,"Priority review",IF(R1455=TRUE,"High cost",IF(S1455=TRUE,"Low quality","Benchmark")))</x:f>
        <x:v>Benchmark</x:v>
      </x:c>
    </x:row>
    <x:row r="1456">
      <x:c r="A1456" s="2" t="str">
        <x:v>161334</x:v>
      </x:c>
      <x:c r="B1456" s="2" t="str">
        <x:v>HUMBOLDT COUNTY MEMORIAL HOSPITAL</x:v>
      </x:c>
      <x:c r="C1456" s="2" t="str">
        <x:v>HUMBOLDT</x:v>
      </x:c>
      <x:c r="D1456" s="2" t="str">
        <x:v>IA</x:v>
      </x:c>
      <x:c r="E1456" s="2" t="str">
        <x:v>Critical Access Hospitals</x:v>
      </x:c>
      <x:c r="F1456" s="2" t="str">
        <x:v>Voluntary non-profit</x:v>
      </x:c>
      <x:c r="G1456" s="2" t="str">
        <x:v>Small (&lt;100 beds)</x:v>
      </x:c>
      <x:c r="H1456" s="7"/>
      <x:c r="I1456" s="7"/>
      <x:c r="J1456" s="7"/>
      <x:c r="K1456" s="8" t="n">
        <x:v>17</x:v>
      </x:c>
      <x:c r="L1456" s="8" t="n">
        <x:v>173</x:v>
      </x:c>
      <x:c r="M1456" s="9" t="n">
        <x:v>0.1780821918</x:v>
      </x:c>
      <x:c r="N1456" s="10" t="n">
        <x:v>191505.4913294798</x:v>
      </x:c>
      <x:c r="O1456" s="9" t="n">
        <x:v>-0.0338573543</x:v>
      </x:c>
      <x:c r="P1456" s="9" t="n">
        <x:v>0.7063197026</x:v>
      </x:c>
      <x:c r="Q1456" s="9" t="n">
        <x:v>0.292936803</x:v>
      </x:c>
      <x:c r="R1456" s="3" t="b">
        <x:v>0</x:v>
      </x:c>
      <x:c r="S1456" s="3" t="b">
        <x:v>0</x:v>
      </x:c>
      <x:c r="T1456" s="3" t="b">
        <x:v>0</x:v>
      </x:c>
      <x:c r="U1456" s="2" t="str">
        <x:f>IF(T1456=TRUE,"Priority review",IF(R1456=TRUE,"High cost",IF(S1456=TRUE,"Low quality","Benchmark")))</x:f>
        <x:v>Benchmark</x:v>
      </x:c>
    </x:row>
    <x:row r="1457">
      <x:c r="A1457" s="2" t="str">
        <x:v>050336</x:v>
      </x:c>
      <x:c r="B1457" s="2" t="str">
        <x:v>ADVENTIST HEALTH LODI MEMORIAL</x:v>
      </x:c>
      <x:c r="C1457" s="2" t="str">
        <x:v>LODI</x:v>
      </x:c>
      <x:c r="D1457" s="2" t="str">
        <x:v>CA</x:v>
      </x:c>
      <x:c r="E1457" s="2" t="str">
        <x:v>Acute Care Hospitals</x:v>
      </x:c>
      <x:c r="F1457" s="2" t="str">
        <x:v>Voluntary non-profit</x:v>
      </x:c>
      <x:c r="G1457" s="2" t="str">
        <x:v>Medium (100-299 beds)</x:v>
      </x:c>
      <x:c r="H1457" s="7" t="n">
        <x:v>3</x:v>
      </x:c>
      <x:c r="I1457" s="7" t="n">
        <x:v>3</x:v>
      </x:c>
      <x:c r="J1457" s="7" t="n">
        <x:v>1</x:v>
      </x:c>
      <x:c r="K1457" s="8" t="n">
        <x:v>186</x:v>
      </x:c>
      <x:c r="L1457" s="8" t="n">
        <x:v>7154</x:v>
      </x:c>
      <x:c r="M1457" s="9" t="n">
        <x:v>0.4773635349</x:v>
      </x:c>
      <x:c r="N1457" s="10" t="n">
        <x:v>43973.5275370422</x:v>
      </x:c>
      <x:c r="O1457" s="9" t="n">
        <x:v>-0.0966943908</x:v>
      </x:c>
      <x:c r="P1457" s="9" t="n">
        <x:v>0.7057864711</x:v>
      </x:c>
      <x:c r="Q1457" s="9" t="n">
        <x:v>0.3023634882</x:v>
      </x:c>
      <x:c r="R1457" s="3" t="b">
        <x:v>0</x:v>
      </x:c>
      <x:c r="S1457" s="3" t="b">
        <x:v>0</x:v>
      </x:c>
      <x:c r="T1457" s="3" t="b">
        <x:v>0</x:v>
      </x:c>
      <x:c r="U1457" s="2" t="str">
        <x:f>IF(T1457=TRUE,"Priority review",IF(R1457=TRUE,"High cost",IF(S1457=TRUE,"Low quality","Benchmark")))</x:f>
        <x:v>Benchmark</x:v>
      </x:c>
    </x:row>
    <x:row r="1458">
      <x:c r="A1458" s="2" t="str">
        <x:v>141323</x:v>
      </x:c>
      <x:c r="B1458" s="2" t="str">
        <x:v>MASSAC MEMORIAL HOSPITAL</x:v>
      </x:c>
      <x:c r="C1458" s="2" t="str">
        <x:v>METROPOLIS</x:v>
      </x:c>
      <x:c r="D1458" s="2" t="str">
        <x:v>IL</x:v>
      </x:c>
      <x:c r="E1458" s="2" t="str">
        <x:v>Critical Access Hospitals</x:v>
      </x:c>
      <x:c r="F1458" s="2" t="str">
        <x:v>Government</x:v>
      </x:c>
      <x:c r="G1458" s="2" t="str">
        <x:v>Small (&lt;100 beds)</x:v>
      </x:c>
      <x:c r="H1458" s="7" t="n">
        <x:v>2</x:v>
      </x:c>
      <x:c r="I1458" s="7"/>
      <x:c r="J1458" s="7"/>
      <x:c r="K1458" s="8" t="n">
        <x:v>25</x:v>
      </x:c>
      <x:c r="L1458" s="8" t="n">
        <x:v>192</x:v>
      </x:c>
      <x:c r="M1458" s="9" t="n">
        <x:v>0.1420273973</x:v>
      </x:c>
      <x:c r="N1458" s="10" t="n">
        <x:v>191485.3229166667</x:v>
      </x:c>
      <x:c r="O1458" s="9" t="n">
        <x:v>-0.1399692704</x:v>
      </x:c>
      <x:c r="P1458" s="9" t="n">
        <x:v>0.7055762082</x:v>
      </x:c>
      <x:c r="Q1458" s="9" t="n">
        <x:v>0.0171003717</x:v>
      </x:c>
      <x:c r="R1458" s="3" t="b">
        <x:v>0</x:v>
      </x:c>
      <x:c r="S1458" s="3" t="b">
        <x:v>1</x:v>
      </x:c>
      <x:c r="T1458" s="3" t="b">
        <x:v>0</x:v>
      </x:c>
      <x:c r="U1458" s="2" t="str">
        <x:f>IF(T1458=TRUE,"Priority review",IF(R1458=TRUE,"High cost",IF(S1458=TRUE,"Low quality","Benchmark")))</x:f>
        <x:v>Low quality</x:v>
      </x:c>
    </x:row>
    <x:row r="1459">
      <x:c r="A1459" s="2" t="str">
        <x:v>390150</x:v>
      </x:c>
      <x:c r="B1459" s="2" t="str">
        <x:v>UPMC GREENE</x:v>
      </x:c>
      <x:c r="C1459" s="2" t="str">
        <x:v>WAYNESBURG</x:v>
      </x:c>
      <x:c r="D1459" s="2" t="str">
        <x:v>PA</x:v>
      </x:c>
      <x:c r="E1459" s="2" t="str">
        <x:v>Acute Care Hospitals</x:v>
      </x:c>
      <x:c r="F1459" s="2" t="str">
        <x:v>Voluntary non-profit</x:v>
      </x:c>
      <x:c r="G1459" s="2" t="str">
        <x:v>Small (&lt;100 beds)</x:v>
      </x:c>
      <x:c r="H1459" s="7"/>
      <x:c r="I1459" s="7"/>
      <x:c r="J1459" s="7" t="n">
        <x:v>1.02</x:v>
      </x:c>
      <x:c r="K1459" s="8" t="n">
        <x:v>18</x:v>
      </x:c>
      <x:c r="L1459" s="8" t="n">
        <x:v>278</x:v>
      </x:c>
      <x:c r="M1459" s="9" t="n">
        <x:v>0.202283105</x:v>
      </x:c>
      <x:c r="N1459" s="10" t="n">
        <x:v>77425.4784172662</x:v>
      </x:c>
      <x:c r="O1459" s="9" t="n">
        <x:v>-0.1429055459</x:v>
      </x:c>
      <x:c r="P1459" s="9" t="n">
        <x:v>0.7055655296</x:v>
      </x:c>
      <x:c r="Q1459" s="9" t="n">
        <x:v>0.697486535</x:v>
      </x:c>
      <x:c r="R1459" s="3" t="b">
        <x:v>0</x:v>
      </x:c>
      <x:c r="S1459" s="3" t="b">
        <x:v>0</x:v>
      </x:c>
      <x:c r="T1459" s="3" t="b">
        <x:v>0</x:v>
      </x:c>
      <x:c r="U1459" s="2" t="str">
        <x:f>IF(T1459=TRUE,"Priority review",IF(R1459=TRUE,"High cost",IF(S1459=TRUE,"Low quality","Benchmark")))</x:f>
        <x:v>Benchmark</x:v>
      </x:c>
    </x:row>
    <x:row r="1460">
      <x:c r="A1460" s="2" t="str">
        <x:v>074016</x:v>
      </x:c>
      <x:c r="B1460" s="2" t="str">
        <x:v>MASONICARE HEALTH CENTER</x:v>
      </x:c>
      <x:c r="C1460" s="2" t="str">
        <x:v>WALLINGFORD</x:v>
      </x:c>
      <x:c r="D1460" s="2" t="str">
        <x:v>CT</x:v>
      </x:c>
      <x:c r="E1460" s="2" t="str">
        <x:v>Psychiatric</x:v>
      </x:c>
      <x:c r="F1460" s="2" t="str">
        <x:v>Voluntary non-profit</x:v>
      </x:c>
      <x:c r="G1460" s="2" t="str">
        <x:v>Small (&lt;100 beds)</x:v>
      </x:c>
      <x:c r="H1460" s="7"/>
      <x:c r="I1460" s="7"/>
      <x:c r="J1460" s="7"/>
      <x:c r="K1460" s="8" t="n">
        <x:v>50</x:v>
      </x:c>
      <x:c r="L1460" s="8" t="n">
        <x:v>672</x:v>
      </x:c>
      <x:c r="M1460" s="9" t="n">
        <x:v>0.8601639344</x:v>
      </x:c>
      <x:c r="N1460" s="10" t="n">
        <x:v>23644.4479166667</x:v>
      </x:c>
      <x:c r="O1460" s="9" t="n">
        <x:v>0.1287763234</x:v>
      </x:c>
      <x:c r="P1460" s="9" t="n">
        <x:v>0.7055016181</x:v>
      </x:c>
      <x:c r="Q1460" s="9" t="n">
        <x:v>0</x:v>
      </x:c>
      <x:c r="R1460" s="3" t="b">
        <x:v>0</x:v>
      </x:c>
      <x:c r="S1460" s="3" t="b">
        <x:v>0</x:v>
      </x:c>
      <x:c r="T1460" s="3" t="b">
        <x:v>0</x:v>
      </x:c>
      <x:c r="U1460" s="2" t="str">
        <x:f>IF(T1460=TRUE,"Priority review",IF(R1460=TRUE,"High cost",IF(S1460=TRUE,"Low quality","Benchmark")))</x:f>
        <x:v>Benchmark</x:v>
      </x:c>
    </x:row>
    <x:row r="1461">
      <x:c r="A1461" s="2" t="str">
        <x:v>520051</x:v>
      </x:c>
      <x:c r="B1461" s="2" t="str">
        <x:v>ASCENSION COLUMBIA ST MARYS HOSPITAL MILWAUKEE</x:v>
      </x:c>
      <x:c r="C1461" s="2" t="str">
        <x:v>MILWAUKEE</x:v>
      </x:c>
      <x:c r="D1461" s="2" t="str">
        <x:v>WI</x:v>
      </x:c>
      <x:c r="E1461" s="2" t="str">
        <x:v>Acute Care Hospitals</x:v>
      </x:c>
      <x:c r="F1461" s="2" t="str">
        <x:v>Voluntary non-profit</x:v>
      </x:c>
      <x:c r="G1461" s="2" t="str">
        <x:v>Large (300+ beds)</x:v>
      </x:c>
      <x:c r="H1461" s="7" t="n">
        <x:v>3</x:v>
      </x:c>
      <x:c r="I1461" s="7" t="n">
        <x:v>3</x:v>
      </x:c>
      <x:c r="J1461" s="7" t="n">
        <x:v>0.98</x:v>
      </x:c>
      <x:c r="K1461" s="8" t="n">
        <x:v>360</x:v>
      </x:c>
      <x:c r="L1461" s="8" t="n">
        <x:v>12833</x:v>
      </x:c>
      <x:c r="M1461" s="9" t="n">
        <x:v>0.5531887367</x:v>
      </x:c>
      <x:c r="N1461" s="10" t="n">
        <x:v>50432.1192238759</x:v>
      </x:c>
      <x:c r="O1461" s="9" t="n">
        <x:v>-0.1937213807</x:v>
      </x:c>
      <x:c r="P1461" s="9" t="n">
        <x:v>0.7050473186</x:v>
      </x:c>
      <x:c r="Q1461" s="9" t="n">
        <x:v>0.2570977918</x:v>
      </x:c>
      <x:c r="R1461" s="3" t="b">
        <x:v>0</x:v>
      </x:c>
      <x:c r="S1461" s="3" t="b">
        <x:v>0</x:v>
      </x:c>
      <x:c r="T1461" s="3" t="b">
        <x:v>0</x:v>
      </x:c>
      <x:c r="U1461" s="2" t="str">
        <x:f>IF(T1461=TRUE,"Priority review",IF(R1461=TRUE,"High cost",IF(S1461=TRUE,"Low quality","Benchmark")))</x:f>
        <x:v>Benchmark</x:v>
      </x:c>
    </x:row>
    <x:row r="1462">
      <x:c r="A1462" s="2" t="str">
        <x:v>070024</x:v>
      </x:c>
      <x:c r="B1462" s="2" t="str">
        <x:v>WILLIAM W BACKUS HOSPITAL</x:v>
      </x:c>
      <x:c r="C1462" s="2" t="str">
        <x:v>NORWICH</x:v>
      </x:c>
      <x:c r="D1462" s="2" t="str">
        <x:v>CT</x:v>
      </x:c>
      <x:c r="E1462" s="2" t="str">
        <x:v>Acute Care Hospitals</x:v>
      </x:c>
      <x:c r="F1462" s="2" t="str">
        <x:v>Voluntary non-profit</x:v>
      </x:c>
      <x:c r="G1462" s="2" t="str">
        <x:v>Medium (100-299 beds)</x:v>
      </x:c>
      <x:c r="H1462" s="7" t="n">
        <x:v>4</x:v>
      </x:c>
      <x:c r="I1462" s="7" t="n">
        <x:v>3</x:v>
      </x:c>
      <x:c r="J1462" s="7" t="n">
        <x:v>0.97</x:v>
      </x:c>
      <x:c r="K1462" s="8" t="n">
        <x:v>183</x:v>
      </x:c>
      <x:c r="L1462" s="8" t="n">
        <x:v>11238</x:v>
      </x:c>
      <x:c r="M1462" s="9" t="n">
        <x:v>0.8202394816</x:v>
      </x:c>
      <x:c r="N1462" s="10" t="n">
        <x:v>43971.9135077416</x:v>
      </x:c>
      <x:c r="O1462" s="9" t="n">
        <x:v>-0.0070475424</x:v>
      </x:c>
      <x:c r="P1462" s="9" t="n">
        <x:v>0.7049714751</x:v>
      </x:c>
      <x:c r="Q1462" s="9" t="n">
        <x:v>0.6022819886</x:v>
      </x:c>
      <x:c r="R1462" s="3" t="b">
        <x:v>0</x:v>
      </x:c>
      <x:c r="S1462" s="3" t="b">
        <x:v>0</x:v>
      </x:c>
      <x:c r="T1462" s="3" t="b">
        <x:v>0</x:v>
      </x:c>
      <x:c r="U1462" s="2" t="str">
        <x:f>IF(T1462=TRUE,"Priority review",IF(R1462=TRUE,"High cost",IF(S1462=TRUE,"Low quality","Benchmark")))</x:f>
        <x:v>Benchmark</x:v>
      </x:c>
    </x:row>
    <x:row r="1463">
      <x:c r="A1463" s="2" t="str">
        <x:v>031320</x:v>
      </x:c>
      <x:c r="B1463" s="2" t="str">
        <x:v>SAN CARLOS APACHE HEALTHCARE CORPORATION</x:v>
      </x:c>
      <x:c r="C1463" s="2" t="str">
        <x:v>PERIDOT</x:v>
      </x:c>
      <x:c r="D1463" s="2" t="str">
        <x:v>AZ</x:v>
      </x:c>
      <x:c r="E1463" s="2" t="str">
        <x:v>Critical Access Hospitals</x:v>
      </x:c>
      <x:c r="F1463" s="2" t="str">
        <x:v>Other / unknown</x:v>
      </x:c>
      <x:c r="G1463" s="2" t="str">
        <x:v>Small (&lt;100 beds)</x:v>
      </x:c>
      <x:c r="H1463" s="7"/>
      <x:c r="I1463" s="7"/>
      <x:c r="J1463" s="7"/>
      <x:c r="K1463" s="8" t="n">
        <x:v>8</x:v>
      </x:c>
      <x:c r="L1463" s="8" t="n">
        <x:v>723</x:v>
      </x:c>
      <x:c r="M1463" s="9" t="n">
        <x:v>0.6909153005</x:v>
      </x:c>
      <x:c r="N1463" s="10" t="n">
        <x:v>191344.6970954357</x:v>
      </x:c>
      <x:c r="O1463" s="9"/>
      <x:c r="P1463" s="9" t="n">
        <x:v>0.7048327138</x:v>
      </x:c>
      <x:c r="Q1463" s="9" t="n">
        <x:v>0.292936803</x:v>
      </x:c>
      <x:c r="R1463" s="3" t="b">
        <x:v>0</x:v>
      </x:c>
      <x:c r="S1463" s="3" t="b">
        <x:v>0</x:v>
      </x:c>
      <x:c r="T1463" s="3" t="b">
        <x:v>0</x:v>
      </x:c>
      <x:c r="U1463" s="2" t="str">
        <x:f>IF(T1463=TRUE,"Priority review",IF(R1463=TRUE,"High cost",IF(S1463=TRUE,"Low quality","Benchmark")))</x:f>
        <x:v>Benchmark</x:v>
      </x:c>
    </x:row>
    <x:row r="1464">
      <x:c r="A1464" s="2" t="str">
        <x:v>500072</x:v>
      </x:c>
      <x:c r="B1464" s="2" t="str">
        <x:v>OLYMPIC MEDICAL CENTER</x:v>
      </x:c>
      <x:c r="C1464" s="2" t="str">
        <x:v>PORT ANGELES</x:v>
      </x:c>
      <x:c r="D1464" s="2" t="str">
        <x:v>WA</x:v>
      </x:c>
      <x:c r="E1464" s="2" t="str">
        <x:v>Acute Care Hospitals</x:v>
      </x:c>
      <x:c r="F1464" s="2" t="str">
        <x:v>Government</x:v>
      </x:c>
      <x:c r="G1464" s="2" t="str">
        <x:v>Small (&lt;100 beds)</x:v>
      </x:c>
      <x:c r="H1464" s="7" t="n">
        <x:v>3</x:v>
      </x:c>
      <x:c r="I1464" s="7" t="n">
        <x:v>3</x:v>
      </x:c>
      <x:c r="J1464" s="7" t="n">
        <x:v>0.92</x:v>
      </x:c>
      <x:c r="K1464" s="8" t="n">
        <x:v>78</x:v>
      </x:c>
      <x:c r="L1464" s="8" t="n">
        <x:v>3695</x:v>
      </x:c>
      <x:c r="M1464" s="9" t="n">
        <x:v>0.514957265</x:v>
      </x:c>
      <x:c r="N1464" s="10" t="n">
        <x:v>77213.6630581867</x:v>
      </x:c>
      <x:c r="O1464" s="9" t="n">
        <x:v>-0.0869575951</x:v>
      </x:c>
      <x:c r="P1464" s="9" t="n">
        <x:v>0.7046678636</x:v>
      </x:c>
      <x:c r="Q1464" s="9" t="n">
        <x:v>0.1687612208</x:v>
      </x:c>
      <x:c r="R1464" s="3" t="b">
        <x:v>0</x:v>
      </x:c>
      <x:c r="S1464" s="3" t="b">
        <x:v>0</x:v>
      </x:c>
      <x:c r="T1464" s="3" t="b">
        <x:v>0</x:v>
      </x:c>
      <x:c r="U1464" s="2" t="str">
        <x:f>IF(T1464=TRUE,"Priority review",IF(R1464=TRUE,"High cost",IF(S1464=TRUE,"Low quality","Benchmark")))</x:f>
        <x:v>Benchmark</x:v>
      </x:c>
    </x:row>
    <x:row r="1465">
      <x:c r="A1465" s="2" t="str">
        <x:v>100028</x:v>
      </x:c>
      <x:c r="B1465" s="2" t="str">
        <x:v>PARRISH MEDICAL CENTER</x:v>
      </x:c>
      <x:c r="C1465" s="2" t="str">
        <x:v>TITUSVILLE</x:v>
      </x:c>
      <x:c r="D1465" s="2" t="str">
        <x:v>FL</x:v>
      </x:c>
      <x:c r="E1465" s="2" t="str">
        <x:v>Acute Care Hospitals</x:v>
      </x:c>
      <x:c r="F1465" s="2" t="str">
        <x:v>Government</x:v>
      </x:c>
      <x:c r="G1465" s="2" t="str">
        <x:v>Medium (100-299 beds)</x:v>
      </x:c>
      <x:c r="H1465" s="7" t="n">
        <x:v>2</x:v>
      </x:c>
      <x:c r="I1465" s="7" t="n">
        <x:v>2</x:v>
      </x:c>
      <x:c r="J1465" s="7" t="n">
        <x:v>1.05</x:v>
      </x:c>
      <x:c r="K1465" s="8" t="n">
        <x:v>208</x:v>
      </x:c>
      <x:c r="L1465" s="8" t="n">
        <x:v>4416</x:v>
      </x:c>
      <x:c r="M1465" s="9" t="n">
        <x:v>0.3408864018</x:v>
      </x:c>
      <x:c r="N1465" s="10" t="n">
        <x:v>43924.7203351449</x:v>
      </x:c>
      <x:c r="O1465" s="9" t="n">
        <x:v>-0.0307021958</x:v>
      </x:c>
      <x:c r="P1465" s="9" t="n">
        <x:v>0.7041564792</x:v>
      </x:c>
      <x:c r="Q1465" s="9" t="n">
        <x:v>0.0782396088</x:v>
      </x:c>
      <x:c r="R1465" s="3" t="b">
        <x:v>0</x:v>
      </x:c>
      <x:c r="S1465" s="3" t="b">
        <x:v>1</x:v>
      </x:c>
      <x:c r="T1465" s="3" t="b">
        <x:v>0</x:v>
      </x:c>
      <x:c r="U1465" s="2" t="str">
        <x:f>IF(T1465=TRUE,"Priority review",IF(R1465=TRUE,"High cost",IF(S1465=TRUE,"Low quality","Benchmark")))</x:f>
        <x:v>Low quality</x:v>
      </x:c>
    </x:row>
    <x:row r="1466">
      <x:c r="A1466" s="2" t="str">
        <x:v>331312</x:v>
      </x:c>
      <x:c r="B1466" s="2" t="str">
        <x:v>DELAWARE VALLEY HOSPITAL, INC</x:v>
      </x:c>
      <x:c r="C1466" s="2" t="str">
        <x:v>WALTON</x:v>
      </x:c>
      <x:c r="D1466" s="2" t="str">
        <x:v>NY</x:v>
      </x:c>
      <x:c r="E1466" s="2" t="str">
        <x:v>Critical Access Hospitals</x:v>
      </x:c>
      <x:c r="F1466" s="2" t="str">
        <x:v>Voluntary non-profit</x:v>
      </x:c>
      <x:c r="G1466" s="2" t="str">
        <x:v>Small (&lt;100 beds)</x:v>
      </x:c>
      <x:c r="H1466" s="7" t="n">
        <x:v>1</x:v>
      </x:c>
      <x:c r="I1466" s="7" t="n">
        <x:v>4</x:v>
      </x:c>
      <x:c r="J1466" s="7"/>
      <x:c r="K1466" s="8" t="n">
        <x:v>25</x:v>
      </x:c>
      <x:c r="L1466" s="8" t="n">
        <x:v>169</x:v>
      </x:c>
      <x:c r="M1466" s="9" t="n">
        <x:v>0.4809836066</x:v>
      </x:c>
      <x:c r="N1466" s="10" t="n">
        <x:v>191125.650887574</x:v>
      </x:c>
      <x:c r="O1466" s="9" t="n">
        <x:v>0.2554420509</x:v>
      </x:c>
      <x:c r="P1466" s="9" t="n">
        <x:v>0.7040892193</x:v>
      </x:c>
      <x:c r="Q1466" s="9" t="n">
        <x:v>0</x:v>
      </x:c>
      <x:c r="R1466" s="3" t="b">
        <x:v>0</x:v>
      </x:c>
      <x:c r="S1466" s="3" t="b">
        <x:v>1</x:v>
      </x:c>
      <x:c r="T1466" s="3" t="b">
        <x:v>0</x:v>
      </x:c>
      <x:c r="U1466" s="2" t="str">
        <x:f>IF(T1466=TRUE,"Priority review",IF(R1466=TRUE,"High cost",IF(S1466=TRUE,"Low quality","Benchmark")))</x:f>
        <x:v>Low quality</x:v>
      </x:c>
    </x:row>
    <x:row r="1467">
      <x:c r="A1467" s="2" t="str">
        <x:v>390316</x:v>
      </x:c>
      <x:c r="B1467" s="2" t="str">
        <x:v>SURGICAL INSTITUTE OF READING</x:v>
      </x:c>
      <x:c r="C1467" s="2" t="str">
        <x:v>WYOMISSING</x:v>
      </x:c>
      <x:c r="D1467" s="2" t="str">
        <x:v>PA</x:v>
      </x:c>
      <x:c r="E1467" s="2" t="str">
        <x:v>Acute Care Hospitals</x:v>
      </x:c>
      <x:c r="F1467" s="2" t="str">
        <x:v>Other / unknown</x:v>
      </x:c>
      <x:c r="G1467" s="2" t="str">
        <x:v>Small (&lt;100 beds)</x:v>
      </x:c>
      <x:c r="H1467" s="7"/>
      <x:c r="I1467" s="7" t="n">
        <x:v>4</x:v>
      </x:c>
      <x:c r="J1467" s="7" t="n">
        <x:v>0.93</x:v>
      </x:c>
      <x:c r="K1467" s="8" t="n">
        <x:v>15</x:v>
      </x:c>
      <x:c r="L1467" s="8" t="n">
        <x:v>587</x:v>
      </x:c>
      <x:c r="M1467" s="9" t="n">
        <x:v>0.1517304189</x:v>
      </x:c>
      <x:c r="N1467" s="10" t="n">
        <x:v>77207.2896081772</x:v>
      </x:c>
      <x:c r="O1467" s="9" t="n">
        <x:v>0.2471769059</x:v>
      </x:c>
      <x:c r="P1467" s="9" t="n">
        <x:v>0.7037701975</x:v>
      </x:c>
      <x:c r="Q1467" s="9" t="n">
        <x:v>0.697486535</x:v>
      </x:c>
      <x:c r="R1467" s="3" t="b">
        <x:v>0</x:v>
      </x:c>
      <x:c r="S1467" s="3" t="b">
        <x:v>0</x:v>
      </x:c>
      <x:c r="T1467" s="3" t="b">
        <x:v>0</x:v>
      </x:c>
      <x:c r="U1467" s="2" t="str">
        <x:f>IF(T1467=TRUE,"Priority review",IF(R1467=TRUE,"High cost",IF(S1467=TRUE,"Low quality","Benchmark")))</x:f>
        <x:v>Benchmark</x:v>
      </x:c>
    </x:row>
    <x:row r="1468">
      <x:c r="A1468" s="2" t="str">
        <x:v>363305</x:v>
      </x:c>
      <x:c r="B1468" s="2" t="str">
        <x:v>NATIONWIDE CHILDREN'S HOSPITAL</x:v>
      </x:c>
      <x:c r="C1468" s="2" t="str">
        <x:v>COLUMBUS</x:v>
      </x:c>
      <x:c r="D1468" s="2" t="str">
        <x:v>OH</x:v>
      </x:c>
      <x:c r="E1468" s="2" t="str">
        <x:v>Childrens</x:v>
      </x:c>
      <x:c r="F1468" s="2" t="str">
        <x:v>Voluntary non-profit</x:v>
      </x:c>
      <x:c r="G1468" s="2" t="str">
        <x:v>Large (300+ beds)</x:v>
      </x:c>
      <x:c r="H1468" s="7"/>
      <x:c r="I1468" s="7"/>
      <x:c r="J1468" s="7"/>
      <x:c r="K1468" s="8" t="n">
        <x:v>700</x:v>
      </x:c>
      <x:c r="L1468" s="8" t="n">
        <x:v>20028</x:v>
      </x:c>
      <x:c r="M1468" s="9" t="n">
        <x:v>0.6869124978</x:v>
      </x:c>
      <x:c r="N1468" s="10" t="n">
        <x:v>113798.5737467545</x:v>
      </x:c>
      <x:c r="O1468" s="9" t="n">
        <x:v>0.082958285</x:v>
      </x:c>
      <x:c r="P1468" s="9" t="n">
        <x:v>0.7037037037</x:v>
      </x:c>
      <x:c r="Q1468" s="9" t="n">
        <x:v>0</x:v>
      </x:c>
      <x:c r="R1468" s="3" t="b">
        <x:v>0</x:v>
      </x:c>
      <x:c r="S1468" s="3" t="b">
        <x:v>0</x:v>
      </x:c>
      <x:c r="T1468" s="3" t="b">
        <x:v>0</x:v>
      </x:c>
      <x:c r="U1468" s="2" t="str">
        <x:f>IF(T1468=TRUE,"Priority review",IF(R1468=TRUE,"High cost",IF(S1468=TRUE,"Low quality","Benchmark")))</x:f>
        <x:v>Benchmark</x:v>
      </x:c>
    </x:row>
    <x:row r="1469">
      <x:c r="A1469" s="2" t="str">
        <x:v>050224</x:v>
      </x:c>
      <x:c r="B1469" s="2" t="str">
        <x:v>HOAG MEMORIAL HOSPITAL PRESBYTERIAN</x:v>
      </x:c>
      <x:c r="C1469" s="2" t="str">
        <x:v>NEWPORT BEACH</x:v>
      </x:c>
      <x:c r="D1469" s="2" t="str">
        <x:v>CA</x:v>
      </x:c>
      <x:c r="E1469" s="2" t="str">
        <x:v>Acute Care Hospitals</x:v>
      </x:c>
      <x:c r="F1469" s="2" t="str">
        <x:v>Voluntary non-profit</x:v>
      </x:c>
      <x:c r="G1469" s="2" t="str">
        <x:v>Large (300+ beds)</x:v>
      </x:c>
      <x:c r="H1469" s="7" t="n">
        <x:v>5</x:v>
      </x:c>
      <x:c r="I1469" s="7" t="n">
        <x:v>4</x:v>
      </x:c>
      <x:c r="J1469" s="7" t="n">
        <x:v>1.02</x:v>
      </x:c>
      <x:c r="K1469" s="8" t="n">
        <x:v>512</x:v>
      </x:c>
      <x:c r="L1469" s="8" t="n">
        <x:v>36023</x:v>
      </x:c>
      <x:c r="M1469" s="9" t="n">
        <x:v>0.8211876708</x:v>
      </x:c>
      <x:c r="N1469" s="10" t="n">
        <x:v>50250.7463842545</x:v>
      </x:c>
      <x:c r="O1469" s="9" t="n">
        <x:v>-0.0423944634</x:v>
      </x:c>
      <x:c r="P1469" s="9" t="n">
        <x:v>0.7034700315</x:v>
      </x:c>
      <x:c r="Q1469" s="9" t="n">
        <x:v>0.8722397476</x:v>
      </x:c>
      <x:c r="R1469" s="3" t="b">
        <x:v>0</x:v>
      </x:c>
      <x:c r="S1469" s="3" t="b">
        <x:v>0</x:v>
      </x:c>
      <x:c r="T1469" s="3" t="b">
        <x:v>0</x:v>
      </x:c>
      <x:c r="U1469" s="2" t="str">
        <x:f>IF(T1469=TRUE,"Priority review",IF(R1469=TRUE,"High cost",IF(S1469=TRUE,"Low quality","Benchmark")))</x:f>
        <x:v>Benchmark</x:v>
      </x:c>
    </x:row>
    <x:row r="1470">
      <x:c r="A1470" s="2" t="str">
        <x:v>501317</x:v>
      </x:c>
      <x:c r="B1470" s="2" t="str">
        <x:v>COLUMBIA BASIN HOSPITAL</x:v>
      </x:c>
      <x:c r="C1470" s="2" t="str">
        <x:v>EPHRATA</x:v>
      </x:c>
      <x:c r="D1470" s="2" t="str">
        <x:v>WA</x:v>
      </x:c>
      <x:c r="E1470" s="2" t="str">
        <x:v>Critical Access Hospitals</x:v>
      </x:c>
      <x:c r="F1470" s="2" t="str">
        <x:v>Government</x:v>
      </x:c>
      <x:c r="G1470" s="2" t="str">
        <x:v>Small (&lt;100 beds)</x:v>
      </x:c>
      <x:c r="H1470" s="7"/>
      <x:c r="I1470" s="7"/>
      <x:c r="J1470" s="7"/>
      <x:c r="K1470" s="8" t="n">
        <x:v>25</x:v>
      </x:c>
      <x:c r="L1470" s="8" t="n">
        <x:v>146</x:v>
      </x:c>
      <x:c r="M1470" s="9" t="n">
        <x:v>0.5757377049</x:v>
      </x:c>
      <x:c r="N1470" s="10" t="n">
        <x:v>191098.3698630137</x:v>
      </x:c>
      <x:c r="O1470" s="9" t="n">
        <x:v>-0.0622697494</x:v>
      </x:c>
      <x:c r="P1470" s="9" t="n">
        <x:v>0.7033457249</x:v>
      </x:c>
      <x:c r="Q1470" s="9" t="n">
        <x:v>0.292936803</x:v>
      </x:c>
      <x:c r="R1470" s="3" t="b">
        <x:v>0</x:v>
      </x:c>
      <x:c r="S1470" s="3" t="b">
        <x:v>0</x:v>
      </x:c>
      <x:c r="T1470" s="3" t="b">
        <x:v>0</x:v>
      </x:c>
      <x:c r="U1470" s="2" t="str">
        <x:f>IF(T1470=TRUE,"Priority review",IF(R1470=TRUE,"High cost",IF(S1470=TRUE,"Low quality","Benchmark")))</x:f>
        <x:v>Benchmark</x:v>
      </x:c>
    </x:row>
    <x:row r="1471">
      <x:c r="A1471" s="2" t="str">
        <x:v>150112</x:v>
      </x:c>
      <x:c r="B1471" s="2" t="str">
        <x:v>COLUMBUS REGIONAL HOSPITAL</x:v>
      </x:c>
      <x:c r="C1471" s="2" t="str">
        <x:v>COLUMBUS</x:v>
      </x:c>
      <x:c r="D1471" s="2" t="str">
        <x:v>IN</x:v>
      </x:c>
      <x:c r="E1471" s="2" t="str">
        <x:v>Acute Care Hospitals</x:v>
      </x:c>
      <x:c r="F1471" s="2" t="str">
        <x:v>Government</x:v>
      </x:c>
      <x:c r="G1471" s="2" t="str">
        <x:v>Medium (100-299 beds)</x:v>
      </x:c>
      <x:c r="H1471" s="7" t="n">
        <x:v>4</x:v>
      </x:c>
      <x:c r="I1471" s="7" t="n">
        <x:v>4</x:v>
      </x:c>
      <x:c r="J1471" s="7" t="n">
        <x:v>0.97</x:v>
      </x:c>
      <x:c r="K1471" s="8" t="n">
        <x:v>208</x:v>
      </x:c>
      <x:c r="L1471" s="8" t="n">
        <x:v>9073</x:v>
      </x:c>
      <x:c r="M1471" s="9" t="n">
        <x:v>0.4640990728</x:v>
      </x:c>
      <x:c r="N1471" s="10" t="n">
        <x:v>43918.5784194864</x:v>
      </x:c>
      <x:c r="O1471" s="9" t="n">
        <x:v>0.021333065</x:v>
      </x:c>
      <x:c r="P1471" s="9" t="n">
        <x:v>0.7033414833</x:v>
      </x:c>
      <x:c r="Q1471" s="9" t="n">
        <x:v>0.6022819886</x:v>
      </x:c>
      <x:c r="R1471" s="3" t="b">
        <x:v>0</x:v>
      </x:c>
      <x:c r="S1471" s="3" t="b">
        <x:v>0</x:v>
      </x:c>
      <x:c r="T1471" s="3" t="b">
        <x:v>0</x:v>
      </x:c>
      <x:c r="U1471" s="2" t="str">
        <x:f>IF(T1471=TRUE,"Priority review",IF(R1471=TRUE,"High cost",IF(S1471=TRUE,"Low quality","Benchmark")))</x:f>
        <x:v>Benchmark</x:v>
      </x:c>
    </x:row>
    <x:row r="1472">
      <x:c r="A1472" s="2" t="str">
        <x:v>360358</x:v>
      </x:c>
      <x:c r="B1472" s="2" t="str">
        <x:v>DILEY RIDGE MEDICAL CENTER</x:v>
      </x:c>
      <x:c r="C1472" s="2" t="str">
        <x:v>CANAL WINCHESTER</x:v>
      </x:c>
      <x:c r="D1472" s="2" t="str">
        <x:v>OH</x:v>
      </x:c>
      <x:c r="E1472" s="2" t="str">
        <x:v>Acute Care Hospitals</x:v>
      </x:c>
      <x:c r="F1472" s="2" t="str">
        <x:v>Voluntary non-profit</x:v>
      </x:c>
      <x:c r="G1472" s="2" t="str">
        <x:v>Small (&lt;100 beds)</x:v>
      </x:c>
      <x:c r="H1472" s="7"/>
      <x:c r="I1472" s="7"/>
      <x:c r="J1472" s="7"/>
      <x:c r="K1472" s="8" t="n">
        <x:v>10</x:v>
      </x:c>
      <x:c r="L1472" s="8" t="n">
        <x:v>208</x:v>
      </x:c>
      <x:c r="M1472" s="9" t="n">
        <x:v>0.0901369863</x:v>
      </x:c>
      <x:c r="N1472" s="10" t="n">
        <x:v>77001.9807692308</x:v>
      </x:c>
      <x:c r="O1472" s="9" t="n">
        <x:v>0.4145522926</x:v>
      </x:c>
      <x:c r="P1472" s="9" t="n">
        <x:v>0.7028725314</x:v>
      </x:c>
      <x:c r="Q1472" s="9" t="n">
        <x:v>0.697486535</x:v>
      </x:c>
      <x:c r="R1472" s="3" t="b">
        <x:v>0</x:v>
      </x:c>
      <x:c r="S1472" s="3" t="b">
        <x:v>0</x:v>
      </x:c>
      <x:c r="T1472" s="3" t="b">
        <x:v>0</x:v>
      </x:c>
      <x:c r="U1472" s="2" t="str">
        <x:f>IF(T1472=TRUE,"Priority review",IF(R1472=TRUE,"High cost",IF(S1472=TRUE,"Low quality","Benchmark")))</x:f>
        <x:v>Benchmark</x:v>
      </x:c>
    </x:row>
    <x:row r="1473">
      <x:c r="A1473" s="2" t="str">
        <x:v>061313</x:v>
      </x:c>
      <x:c r="B1473" s="2" t="str">
        <x:v>KIT CARSON COUNTY MEMORIAL HOSPITAL</x:v>
      </x:c>
      <x:c r="C1473" s="2" t="str">
        <x:v>BURLINGTON</x:v>
      </x:c>
      <x:c r="D1473" s="2" t="str">
        <x:v>CO</x:v>
      </x:c>
      <x:c r="E1473" s="2" t="str">
        <x:v>Critical Access Hospitals</x:v>
      </x:c>
      <x:c r="F1473" s="2" t="str">
        <x:v>Government</x:v>
      </x:c>
      <x:c r="G1473" s="2" t="str">
        <x:v>Small (&lt;100 beds)</x:v>
      </x:c>
      <x:c r="H1473" s="7"/>
      <x:c r="I1473" s="7"/>
      <x:c r="J1473" s="7"/>
      <x:c r="K1473" s="8" t="n">
        <x:v>19</x:v>
      </x:c>
      <x:c r="L1473" s="8" t="n">
        <x:v>128</x:v>
      </x:c>
      <x:c r="M1473" s="9" t="n">
        <x:v>0.1048317515</x:v>
      </x:c>
      <x:c r="N1473" s="10" t="n">
        <x:v>191003.4765625</x:v>
      </x:c>
      <x:c r="O1473" s="9" t="n">
        <x:v>-0.0013054249</x:v>
      </x:c>
      <x:c r="P1473" s="9" t="n">
        <x:v>0.7026022305</x:v>
      </x:c>
      <x:c r="Q1473" s="9" t="n">
        <x:v>0.292936803</x:v>
      </x:c>
      <x:c r="R1473" s="3" t="b">
        <x:v>0</x:v>
      </x:c>
      <x:c r="S1473" s="3" t="b">
        <x:v>0</x:v>
      </x:c>
      <x:c r="T1473" s="3" t="b">
        <x:v>0</x:v>
      </x:c>
      <x:c r="U1473" s="2" t="str">
        <x:f>IF(T1473=TRUE,"Priority review",IF(R1473=TRUE,"High cost",IF(S1473=TRUE,"Low quality","Benchmark")))</x:f>
        <x:v>Benchmark</x:v>
      </x:c>
    </x:row>
    <x:row r="1474">
      <x:c r="A1474" s="2" t="str">
        <x:v>450104</x:v>
      </x:c>
      <x:c r="B1474" s="2" t="str">
        <x:v>GUADALUPE REGIONAL MEDICAL CENTER</x:v>
      </x:c>
      <x:c r="C1474" s="2" t="str">
        <x:v>SEGUIN</x:v>
      </x:c>
      <x:c r="D1474" s="2" t="str">
        <x:v>TX</x:v>
      </x:c>
      <x:c r="E1474" s="2" t="str">
        <x:v>Acute Care Hospitals</x:v>
      </x:c>
      <x:c r="F1474" s="2" t="str">
        <x:v>Government</x:v>
      </x:c>
      <x:c r="G1474" s="2" t="str">
        <x:v>Medium (100-299 beds)</x:v>
      </x:c>
      <x:c r="H1474" s="7" t="n">
        <x:v>2</x:v>
      </x:c>
      <x:c r="I1474" s="7" t="n">
        <x:v>5</x:v>
      </x:c>
      <x:c r="J1474" s="7" t="n">
        <x:v>1.13</x:v>
      </x:c>
      <x:c r="K1474" s="8" t="n">
        <x:v>117</x:v>
      </x:c>
      <x:c r="L1474" s="8" t="n">
        <x:v>3611</x:v>
      </x:c>
      <x:c r="M1474" s="9" t="n">
        <x:v>0.2747186026</x:v>
      </x:c>
      <x:c r="N1474" s="10" t="n">
        <x:v>43889.0650789255</x:v>
      </x:c>
      <x:c r="O1474" s="9" t="n">
        <x:v>-0.1043337532</x:v>
      </x:c>
      <x:c r="P1474" s="9" t="n">
        <x:v>0.7025264874</x:v>
      </x:c>
      <x:c r="Q1474" s="9" t="n">
        <x:v>0.0782396088</x:v>
      </x:c>
      <x:c r="R1474" s="3" t="b">
        <x:v>0</x:v>
      </x:c>
      <x:c r="S1474" s="3" t="b">
        <x:v>1</x:v>
      </x:c>
      <x:c r="T1474" s="3" t="b">
        <x:v>0</x:v>
      </x:c>
      <x:c r="U1474" s="2" t="str">
        <x:f>IF(T1474=TRUE,"Priority review",IF(R1474=TRUE,"High cost",IF(S1474=TRUE,"Low quality","Benchmark")))</x:f>
        <x:v>Low quality</x:v>
      </x:c>
    </x:row>
    <x:row r="1475">
      <x:c r="A1475" s="2" t="str">
        <x:v>074017</x:v>
      </x:c>
      <x:c r="B1475" s="2" t="str">
        <x:v>HEBREW HOME AND HOSPITAL</x:v>
      </x:c>
      <x:c r="C1475" s="2" t="str">
        <x:v>WEST HARTFORD</x:v>
      </x:c>
      <x:c r="D1475" s="2" t="str">
        <x:v>CT</x:v>
      </x:c>
      <x:c r="E1475" s="2" t="str">
        <x:v>Psychiatric</x:v>
      </x:c>
      <x:c r="F1475" s="2" t="str">
        <x:v>Voluntary non-profit</x:v>
      </x:c>
      <x:c r="G1475" s="2" t="str">
        <x:v>Small (&lt;100 beds)</x:v>
      </x:c>
      <x:c r="H1475" s="7"/>
      <x:c r="I1475" s="7"/>
      <x:c r="J1475" s="7"/>
      <x:c r="K1475" s="8" t="n">
        <x:v>38</x:v>
      </x:c>
      <x:c r="L1475" s="8" t="n">
        <x:v>330</x:v>
      </x:c>
      <x:c r="M1475" s="9" t="n">
        <x:v>0.7560480148</x:v>
      </x:c>
      <x:c r="N1475" s="10" t="n">
        <x:v>22571.4666666667</x:v>
      </x:c>
      <x:c r="O1475" s="9" t="n">
        <x:v>-0.0083361254</x:v>
      </x:c>
      <x:c r="P1475" s="9" t="n">
        <x:v>0.7022653722</x:v>
      </x:c>
      <x:c r="Q1475" s="9" t="n">
        <x:v>0</x:v>
      </x:c>
      <x:c r="R1475" s="3" t="b">
        <x:v>0</x:v>
      </x:c>
      <x:c r="S1475" s="3" t="b">
        <x:v>0</x:v>
      </x:c>
      <x:c r="T1475" s="3" t="b">
        <x:v>0</x:v>
      </x:c>
      <x:c r="U1475" s="2" t="str">
        <x:f>IF(T1475=TRUE,"Priority review",IF(R1475=TRUE,"High cost",IF(S1475=TRUE,"Low quality","Benchmark")))</x:f>
        <x:v>Benchmark</x:v>
      </x:c>
    </x:row>
    <x:row r="1476">
      <x:c r="A1476" s="2" t="str">
        <x:v>380050</x:v>
      </x:c>
      <x:c r="B1476" s="2" t="str">
        <x:v>SKY LAKES MEDICAL CENTER</x:v>
      </x:c>
      <x:c r="C1476" s="2" t="str">
        <x:v>KLAMATH FALLS</x:v>
      </x:c>
      <x:c r="D1476" s="2" t="str">
        <x:v>OR</x:v>
      </x:c>
      <x:c r="E1476" s="2" t="str">
        <x:v>Acute Care Hospitals</x:v>
      </x:c>
      <x:c r="F1476" s="2" t="str">
        <x:v>Voluntary non-profit</x:v>
      </x:c>
      <x:c r="G1476" s="2" t="str">
        <x:v>Small (&lt;100 beds)</x:v>
      </x:c>
      <x:c r="H1476" s="7" t="n">
        <x:v>2</x:v>
      </x:c>
      <x:c r="I1476" s="7" t="n">
        <x:v>3</x:v>
      </x:c>
      <x:c r="J1476" s="7" t="n">
        <x:v>0.77</x:v>
      </x:c>
      <x:c r="K1476" s="8" t="n">
        <x:v>90</x:v>
      </x:c>
      <x:c r="L1476" s="8" t="n">
        <x:v>4625</x:v>
      </x:c>
      <x:c r="M1476" s="9" t="n">
        <x:v>0.6203400121</x:v>
      </x:c>
      <x:c r="N1476" s="10" t="n">
        <x:v>76933.1654054054</x:v>
      </x:c>
      <x:c r="O1476" s="9" t="n">
        <x:v>-0.1516886616</x:v>
      </x:c>
      <x:c r="P1476" s="9" t="n">
        <x:v>0.7019748654</x:v>
      </x:c>
      <x:c r="Q1476" s="9" t="n">
        <x:v>0.0350089767</x:v>
      </x:c>
      <x:c r="R1476" s="3" t="b">
        <x:v>0</x:v>
      </x:c>
      <x:c r="S1476" s="3" t="b">
        <x:v>1</x:v>
      </x:c>
      <x:c r="T1476" s="3" t="b">
        <x:v>0</x:v>
      </x:c>
      <x:c r="U1476" s="2" t="str">
        <x:f>IF(T1476=TRUE,"Priority review",IF(R1476=TRUE,"High cost",IF(S1476=TRUE,"Low quality","Benchmark")))</x:f>
        <x:v>Low quality</x:v>
      </x:c>
    </x:row>
    <x:row r="1477">
      <x:c r="A1477" s="2" t="str">
        <x:v>110083</x:v>
      </x:c>
      <x:c r="B1477" s="2" t="str">
        <x:v>PIEDMONT HOSPITAL, INC</x:v>
      </x:c>
      <x:c r="C1477" s="2" t="str">
        <x:v>ATLANTA</x:v>
      </x:c>
      <x:c r="D1477" s="2" t="str">
        <x:v>GA</x:v>
      </x:c>
      <x:c r="E1477" s="2" t="str">
        <x:v>Acute Care Hospitals</x:v>
      </x:c>
      <x:c r="F1477" s="2" t="str">
        <x:v>Government</x:v>
      </x:c>
      <x:c r="G1477" s="2" t="str">
        <x:v>Large (300+ beds)</x:v>
      </x:c>
      <x:c r="H1477" s="7" t="n">
        <x:v>4</x:v>
      </x:c>
      <x:c r="I1477" s="7" t="n">
        <x:v>3</x:v>
      </x:c>
      <x:c r="J1477" s="7" t="n">
        <x:v>0.94</x:v>
      </x:c>
      <x:c r="K1477" s="8" t="n">
        <x:v>593</x:v>
      </x:c>
      <x:c r="L1477" s="8" t="n">
        <x:v>29946</x:v>
      </x:c>
      <x:c r="M1477" s="9" t="n">
        <x:v>0.8426066668</x:v>
      </x:c>
      <x:c r="N1477" s="10" t="n">
        <x:v>50137.6017832098</x:v>
      </x:c>
      <x:c r="O1477" s="9" t="n">
        <x:v>0.1016761285</x:v>
      </x:c>
      <x:c r="P1477" s="9" t="n">
        <x:v>0.7018927445</x:v>
      </x:c>
      <x:c r="Q1477" s="9" t="n">
        <x:v>0.5899053628</x:v>
      </x:c>
      <x:c r="R1477" s="3" t="b">
        <x:v>0</x:v>
      </x:c>
      <x:c r="S1477" s="3" t="b">
        <x:v>0</x:v>
      </x:c>
      <x:c r="T1477" s="3" t="b">
        <x:v>0</x:v>
      </x:c>
      <x:c r="U1477" s="2" t="str">
        <x:f>IF(T1477=TRUE,"Priority review",IF(R1477=TRUE,"High cost",IF(S1477=TRUE,"Low quality","Benchmark")))</x:f>
        <x:v>Benchmark</x:v>
      </x:c>
    </x:row>
    <x:row r="1478">
      <x:c r="A1478" s="2" t="str">
        <x:v>161330</x:v>
      </x:c>
      <x:c r="B1478" s="2" t="str">
        <x:v>AUDUBON COUNTY MEMORIAL HOSPITAL</x:v>
      </x:c>
      <x:c r="C1478" s="2" t="str">
        <x:v>AUDUBON</x:v>
      </x:c>
      <x:c r="D1478" s="2" t="str">
        <x:v>IA</x:v>
      </x:c>
      <x:c r="E1478" s="2" t="str">
        <x:v>Critical Access Hospitals</x:v>
      </x:c>
      <x:c r="F1478" s="2" t="str">
        <x:v>Government</x:v>
      </x:c>
      <x:c r="G1478" s="2" t="str">
        <x:v>Small (&lt;100 beds)</x:v>
      </x:c>
      <x:c r="H1478" s="7"/>
      <x:c r="I1478" s="7"/>
      <x:c r="J1478" s="7"/>
      <x:c r="K1478" s="8" t="n">
        <x:v>17</x:v>
      </x:c>
      <x:c r="L1478" s="8" t="n">
        <x:v>97</x:v>
      </x:c>
      <x:c r="M1478" s="9" t="n">
        <x:v>0.0987912973</x:v>
      </x:c>
      <x:c r="N1478" s="10" t="n">
        <x:v>190803.5567010309</x:v>
      </x:c>
      <x:c r="O1478" s="9" t="n">
        <x:v>-0.1112525765</x:v>
      </x:c>
      <x:c r="P1478" s="9" t="n">
        <x:v>0.7018587361</x:v>
      </x:c>
      <x:c r="Q1478" s="9" t="n">
        <x:v>0.292936803</x:v>
      </x:c>
      <x:c r="R1478" s="3" t="b">
        <x:v>0</x:v>
      </x:c>
      <x:c r="S1478" s="3" t="b">
        <x:v>0</x:v>
      </x:c>
      <x:c r="T1478" s="3" t="b">
        <x:v>0</x:v>
      </x:c>
      <x:c r="U1478" s="2" t="str">
        <x:f>IF(T1478=TRUE,"Priority review",IF(R1478=TRUE,"High cost",IF(S1478=TRUE,"Low quality","Benchmark")))</x:f>
        <x:v>Benchmark</x:v>
      </x:c>
    </x:row>
    <x:row r="1479">
      <x:c r="A1479" s="2" t="str">
        <x:v>050124</x:v>
      </x:c>
      <x:c r="B1479" s="2" t="str">
        <x:v>USC VERDUGO HILLS HOSPITAL</x:v>
      </x:c>
      <x:c r="C1479" s="2" t="str">
        <x:v>GLENDALE</x:v>
      </x:c>
      <x:c r="D1479" s="2" t="str">
        <x:v>CA</x:v>
      </x:c>
      <x:c r="E1479" s="2" t="str">
        <x:v>Acute Care Hospitals</x:v>
      </x:c>
      <x:c r="F1479" s="2" t="str">
        <x:v>Voluntary non-profit</x:v>
      </x:c>
      <x:c r="G1479" s="2" t="str">
        <x:v>Medium (100-299 beds)</x:v>
      </x:c>
      <x:c r="H1479" s="7" t="n">
        <x:v>4</x:v>
      </x:c>
      <x:c r="I1479" s="7" t="n">
        <x:v>3</x:v>
      </x:c>
      <x:c r="J1479" s="7" t="n">
        <x:v>0.99</x:v>
      </x:c>
      <x:c r="K1479" s="8" t="n">
        <x:v>134</x:v>
      </x:c>
      <x:c r="L1479" s="8" t="n">
        <x:v>5286</x:v>
      </x:c>
      <x:c r="M1479" s="9" t="n">
        <x:v>0.4078102637</x:v>
      </x:c>
      <x:c r="N1479" s="10" t="n">
        <x:v>43671.7779038971</x:v>
      </x:c>
      <x:c r="O1479" s="9" t="n">
        <x:v>-0.2765860079</x:v>
      </x:c>
      <x:c r="P1479" s="9" t="n">
        <x:v>0.7017114914</x:v>
      </x:c>
      <x:c r="Q1479" s="9" t="n">
        <x:v>0.6022819886</x:v>
      </x:c>
      <x:c r="R1479" s="3" t="b">
        <x:v>0</x:v>
      </x:c>
      <x:c r="S1479" s="3" t="b">
        <x:v>0</x:v>
      </x:c>
      <x:c r="T1479" s="3" t="b">
        <x:v>0</x:v>
      </x:c>
      <x:c r="U1479" s="2" t="str">
        <x:f>IF(T1479=TRUE,"Priority review",IF(R1479=TRUE,"High cost",IF(S1479=TRUE,"Low quality","Benchmark")))</x:f>
        <x:v>Benchmark</x:v>
      </x:c>
    </x:row>
    <x:row r="1480">
      <x:c r="A1480" s="2" t="str">
        <x:v>444002</x:v>
      </x:c>
      <x:c r="B1480" s="2" t="str">
        <x:v>MOCCASIN BEND MENTAL HEALTH INSTITUTE</x:v>
      </x:c>
      <x:c r="C1480" s="2" t="str">
        <x:v>CHATTANOOGA</x:v>
      </x:c>
      <x:c r="D1480" s="2" t="str">
        <x:v>TN</x:v>
      </x:c>
      <x:c r="E1480" s="2" t="str">
        <x:v>Psychiatric</x:v>
      </x:c>
      <x:c r="F1480" s="2" t="str">
        <x:v>Government</x:v>
      </x:c>
      <x:c r="G1480" s="2" t="str">
        <x:v>Medium (100-299 beds)</x:v>
      </x:c>
      <x:c r="H1480" s="7"/>
      <x:c r="I1480" s="7"/>
      <x:c r="J1480" s="7"/>
      <x:c r="K1480" s="8" t="n">
        <x:v>165</x:v>
      </x:c>
      <x:c r="L1480" s="8" t="n">
        <x:v>2454</x:v>
      </x:c>
      <x:c r="M1480" s="9" t="n">
        <x:v>0.7452718971</x:v>
      </x:c>
      <x:c r="N1480" s="10" t="n">
        <x:v>22962.1454767726</x:v>
      </x:c>
      <x:c r="O1480" s="9"/>
      <x:c r="P1480" s="9" t="n">
        <x:v>0.7014925373</x:v>
      </x:c>
      <x:c r="Q1480" s="9" t="n">
        <x:v>0</x:v>
      </x:c>
      <x:c r="R1480" s="3" t="b">
        <x:v>0</x:v>
      </x:c>
      <x:c r="S1480" s="3" t="b">
        <x:v>0</x:v>
      </x:c>
      <x:c r="T1480" s="3" t="b">
        <x:v>0</x:v>
      </x:c>
      <x:c r="U1480" s="2" t="str">
        <x:f>IF(T1480=TRUE,"Priority review",IF(R1480=TRUE,"High cost",IF(S1480=TRUE,"Low quality","Benchmark")))</x:f>
        <x:v>Benchmark</x:v>
      </x:c>
    </x:row>
    <x:row r="1481">
      <x:c r="A1481" s="2" t="str">
        <x:v>271328</x:v>
      </x:c>
      <x:c r="B1481" s="2" t="str">
        <x:v>LOGAN HEALTH - SHELBY</x:v>
      </x:c>
      <x:c r="C1481" s="2" t="str">
        <x:v>SHELBY</x:v>
      </x:c>
      <x:c r="D1481" s="2" t="str">
        <x:v>MT</x:v>
      </x:c>
      <x:c r="E1481" s="2" t="str">
        <x:v>Critical Access Hospitals</x:v>
      </x:c>
      <x:c r="F1481" s="2" t="str">
        <x:v>Voluntary non-profit</x:v>
      </x:c>
      <x:c r="G1481" s="2" t="str">
        <x:v>Small (&lt;100 beds)</x:v>
      </x:c>
      <x:c r="H1481" s="7"/>
      <x:c r="I1481" s="7"/>
      <x:c r="J1481" s="7"/>
      <x:c r="K1481" s="8" t="n">
        <x:v>21</x:v>
      </x:c>
      <x:c r="L1481" s="8" t="n">
        <x:v>90</x:v>
      </x:c>
      <x:c r="M1481" s="9" t="n">
        <x:v>0.0680457976</x:v>
      </x:c>
      <x:c r="N1481" s="10" t="n">
        <x:v>190623.3777777778</x:v>
      </x:c>
      <x:c r="O1481" s="9" t="n">
        <x:v>-0.1375755174</x:v>
      </x:c>
      <x:c r="P1481" s="9" t="n">
        <x:v>0.7011152416</x:v>
      </x:c>
      <x:c r="Q1481" s="9" t="n">
        <x:v>0.292936803</x:v>
      </x:c>
      <x:c r="R1481" s="3" t="b">
        <x:v>0</x:v>
      </x:c>
      <x:c r="S1481" s="3" t="b">
        <x:v>0</x:v>
      </x:c>
      <x:c r="T1481" s="3" t="b">
        <x:v>0</x:v>
      </x:c>
      <x:c r="U1481" s="2" t="str">
        <x:f>IF(T1481=TRUE,"Priority review",IF(R1481=TRUE,"High cost",IF(S1481=TRUE,"Low quality","Benchmark")))</x:f>
        <x:v>Benchmark</x:v>
      </x:c>
    </x:row>
    <x:row r="1482">
      <x:c r="A1482" s="2" t="str">
        <x:v>010091</x:v>
      </x:c>
      <x:c r="B1482" s="2" t="str">
        <x:v>GROVE HILL MEMORIAL HOSPITAL</x:v>
      </x:c>
      <x:c r="C1482" s="2" t="str">
        <x:v>GROVE HILL</x:v>
      </x:c>
      <x:c r="D1482" s="2" t="str">
        <x:v>AL</x:v>
      </x:c>
      <x:c r="E1482" s="2" t="str">
        <x:v>Acute Care Hospitals</x:v>
      </x:c>
      <x:c r="F1482" s="2" t="str">
        <x:v>Government</x:v>
      </x:c>
      <x:c r="G1482" s="2" t="str">
        <x:v>Small (&lt;100 beds)</x:v>
      </x:c>
      <x:c r="H1482" s="7"/>
      <x:c r="I1482" s="7"/>
      <x:c r="J1482" s="7"/>
      <x:c r="K1482" s="8" t="n">
        <x:v>21</x:v>
      </x:c>
      <x:c r="L1482" s="8" t="n">
        <x:v>176</x:v>
      </x:c>
      <x:c r="M1482" s="9" t="n">
        <x:v>0.073320287</x:v>
      </x:c>
      <x:c r="N1482" s="10" t="n">
        <x:v>76892.7784090909</x:v>
      </x:c>
      <x:c r="O1482" s="9" t="n">
        <x:v>-0.5373737413</x:v>
      </x:c>
      <x:c r="P1482" s="9" t="n">
        <x:v>0.7010771993</x:v>
      </x:c>
      <x:c r="Q1482" s="9" t="n">
        <x:v>0.697486535</x:v>
      </x:c>
      <x:c r="R1482" s="3" t="b">
        <x:v>0</x:v>
      </x:c>
      <x:c r="S1482" s="3" t="b">
        <x:v>0</x:v>
      </x:c>
      <x:c r="T1482" s="3" t="b">
        <x:v>0</x:v>
      </x:c>
      <x:c r="U1482" s="2" t="str">
        <x:f>IF(T1482=TRUE,"Priority review",IF(R1482=TRUE,"High cost",IF(S1482=TRUE,"Low quality","Benchmark")))</x:f>
        <x:v>Benchmark</x:v>
      </x:c>
    </x:row>
    <x:row r="1483">
      <x:c r="A1483" s="2" t="str">
        <x:v>330180</x:v>
      </x:c>
      <x:c r="B1483" s="2" t="str">
        <x:v>SAMARITAN HOSPITAL OF TROY, NEW YORK</x:v>
      </x:c>
      <x:c r="C1483" s="2" t="str">
        <x:v>TROY</x:v>
      </x:c>
      <x:c r="D1483" s="2" t="str">
        <x:v>NY</x:v>
      </x:c>
      <x:c r="E1483" s="2" t="str">
        <x:v>Acute Care Hospitals</x:v>
      </x:c>
      <x:c r="F1483" s="2" t="str">
        <x:v>Voluntary non-profit</x:v>
      </x:c>
      <x:c r="G1483" s="2" t="str">
        <x:v>Medium (100-299 beds)</x:v>
      </x:c>
      <x:c r="H1483" s="7" t="n">
        <x:v>3</x:v>
      </x:c>
      <x:c r="I1483" s="7" t="n">
        <x:v>3</x:v>
      </x:c>
      <x:c r="J1483" s="7" t="n">
        <x:v>0.93</x:v>
      </x:c>
      <x:c r="K1483" s="8" t="n">
        <x:v>252</x:v>
      </x:c>
      <x:c r="L1483" s="8" t="n">
        <x:v>9631</x:v>
      </x:c>
      <x:c r="M1483" s="9" t="n">
        <x:v>0.5086622335</x:v>
      </x:c>
      <x:c r="N1483" s="10" t="n">
        <x:v>43667.9138199564</x:v>
      </x:c>
      <x:c r="O1483" s="9" t="n">
        <x:v>0.0558297997</x:v>
      </x:c>
      <x:c r="P1483" s="9" t="n">
        <x:v>0.7008964955</x:v>
      </x:c>
      <x:c r="Q1483" s="9" t="n">
        <x:v>0.3023634882</x:v>
      </x:c>
      <x:c r="R1483" s="3" t="b">
        <x:v>0</x:v>
      </x:c>
      <x:c r="S1483" s="3" t="b">
        <x:v>0</x:v>
      </x:c>
      <x:c r="T1483" s="3" t="b">
        <x:v>0</x:v>
      </x:c>
      <x:c r="U1483" s="2" t="str">
        <x:f>IF(T1483=TRUE,"Priority review",IF(R1483=TRUE,"High cost",IF(S1483=TRUE,"Low quality","Benchmark")))</x:f>
        <x:v>Benchmark</x:v>
      </x:c>
    </x:row>
    <x:row r="1484">
      <x:c r="A1484" s="2" t="str">
        <x:v>431302</x:v>
      </x:c>
      <x:c r="B1484" s="2" t="str">
        <x:v>AVERA MISSOURI RIVER HEALTH CENTER</x:v>
      </x:c>
      <x:c r="C1484" s="2" t="str">
        <x:v>GETTYSBURG</x:v>
      </x:c>
      <x:c r="D1484" s="2" t="str">
        <x:v>SD</x:v>
      </x:c>
      <x:c r="E1484" s="2" t="str">
        <x:v>Critical Access Hospitals</x:v>
      </x:c>
      <x:c r="F1484" s="2" t="str">
        <x:v>Voluntary non-profit</x:v>
      </x:c>
      <x:c r="G1484" s="2" t="str">
        <x:v>Small (&lt;100 beds)</x:v>
      </x:c>
      <x:c r="H1484" s="7"/>
      <x:c r="I1484" s="7"/>
      <x:c r="J1484" s="7"/>
      <x:c r="K1484" s="8" t="n">
        <x:v>7</x:v>
      </x:c>
      <x:c r="L1484" s="8" t="n">
        <x:v>73</x:v>
      </x:c>
      <x:c r="M1484" s="9" t="n">
        <x:v>0.3264187867</x:v>
      </x:c>
      <x:c r="N1484" s="10" t="n">
        <x:v>190366.1917808219</x:v>
      </x:c>
      <x:c r="O1484" s="9" t="n">
        <x:v>0.0236694297</x:v>
      </x:c>
      <x:c r="P1484" s="9" t="n">
        <x:v>0.7003717472</x:v>
      </x:c>
      <x:c r="Q1484" s="9" t="n">
        <x:v>0.292936803</x:v>
      </x:c>
      <x:c r="R1484" s="3" t="b">
        <x:v>0</x:v>
      </x:c>
      <x:c r="S1484" s="3" t="b">
        <x:v>0</x:v>
      </x:c>
      <x:c r="T1484" s="3" t="b">
        <x:v>0</x:v>
      </x:c>
      <x:c r="U1484" s="2" t="str">
        <x:f>IF(T1484=TRUE,"Priority review",IF(R1484=TRUE,"High cost",IF(S1484=TRUE,"Low quality","Benchmark")))</x:f>
        <x:v>Benchmark</x:v>
      </x:c>
    </x:row>
    <x:row r="1485">
      <x:c r="A1485" s="2" t="str">
        <x:v>050515</x:v>
      </x:c>
      <x:c r="B1485" s="2" t="str">
        <x:v>KAISER FOUNDATION HOSPITAL - SAN DIEGO</x:v>
      </x:c>
      <x:c r="C1485" s="2" t="str">
        <x:v>SAN DIEGO</x:v>
      </x:c>
      <x:c r="D1485" s="2" t="str">
        <x:v>CA</x:v>
      </x:c>
      <x:c r="E1485" s="2" t="str">
        <x:v>Acute Care Hospitals</x:v>
      </x:c>
      <x:c r="F1485" s="2" t="str">
        <x:v>Voluntary non-profit</x:v>
      </x:c>
      <x:c r="G1485" s="2" t="str">
        <x:v>Large (300+ beds)</x:v>
      </x:c>
      <x:c r="H1485" s="7" t="n">
        <x:v>4</x:v>
      </x:c>
      <x:c r="I1485" s="7" t="n">
        <x:v>4</x:v>
      </x:c>
      <x:c r="J1485" s="7" t="n">
        <x:v>0.87</x:v>
      </x:c>
      <x:c r="K1485" s="8" t="n">
        <x:v>596</x:v>
      </x:c>
      <x:c r="L1485" s="8" t="n">
        <x:v>23271</x:v>
      </x:c>
      <x:c r="M1485" s="9" t="n">
        <x:v>0.4621474676</x:v>
      </x:c>
      <x:c r="N1485" s="10" t="n">
        <x:v>50127.4118860384</x:v>
      </x:c>
      <x:c r="O1485" s="9" t="n">
        <x:v>0.029858223</x:v>
      </x:c>
      <x:c r="P1485" s="9" t="n">
        <x:v>0.7003154574</x:v>
      </x:c>
      <x:c r="Q1485" s="9" t="n">
        <x:v>0.5899053628</x:v>
      </x:c>
      <x:c r="R1485" s="3" t="b">
        <x:v>0</x:v>
      </x:c>
      <x:c r="S1485" s="3" t="b">
        <x:v>0</x:v>
      </x:c>
      <x:c r="T1485" s="3" t="b">
        <x:v>0</x:v>
      </x:c>
      <x:c r="U1485" s="2" t="str">
        <x:f>IF(T1485=TRUE,"Priority review",IF(R1485=TRUE,"High cost",IF(S1485=TRUE,"Low quality","Benchmark")))</x:f>
        <x:v>Benchmark</x:v>
      </x:c>
    </x:row>
    <x:row r="1486">
      <x:c r="A1486" s="2" t="str">
        <x:v>510012</x:v>
      </x:c>
      <x:c r="B1486" s="2" t="str">
        <x:v>RIVERS HEALTH</x:v>
      </x:c>
      <x:c r="C1486" s="2" t="str">
        <x:v>POINT PLEASANT</x:v>
      </x:c>
      <x:c r="D1486" s="2" t="str">
        <x:v>WV</x:v>
      </x:c>
      <x:c r="E1486" s="2" t="str">
        <x:v>Acute Care Hospitals</x:v>
      </x:c>
      <x:c r="F1486" s="2" t="str">
        <x:v>Voluntary non-profit</x:v>
      </x:c>
      <x:c r="G1486" s="2" t="str">
        <x:v>Small (&lt;100 beds)</x:v>
      </x:c>
      <x:c r="H1486" s="7" t="n">
        <x:v>1</x:v>
      </x:c>
      <x:c r="I1486" s="7" t="n">
        <x:v>4</x:v>
      </x:c>
      <x:c r="J1486" s="7" t="n">
        <x:v>1</x:v>
      </x:c>
      <x:c r="K1486" s="8" t="n">
        <x:v>43</x:v>
      </x:c>
      <x:c r="L1486" s="8" t="n">
        <x:v>844</x:v>
      </x:c>
      <x:c r="M1486" s="9" t="n">
        <x:v>0.3917270301</x:v>
      </x:c>
      <x:c r="N1486" s="10" t="n">
        <x:v>76197.2440758294</x:v>
      </x:c>
      <x:c r="O1486" s="9" t="n">
        <x:v>-0.4907642147</x:v>
      </x:c>
      <x:c r="P1486" s="9" t="n">
        <x:v>0.7001795332</x:v>
      </x:c>
      <x:c r="Q1486" s="9" t="n">
        <x:v>0</x:v>
      </x:c>
      <x:c r="R1486" s="3" t="b">
        <x:v>0</x:v>
      </x:c>
      <x:c r="S1486" s="3" t="b">
        <x:v>1</x:v>
      </x:c>
      <x:c r="T1486" s="3" t="b">
        <x:v>0</x:v>
      </x:c>
      <x:c r="U1486" s="2" t="str">
        <x:f>IF(T1486=TRUE,"Priority review",IF(R1486=TRUE,"High cost",IF(S1486=TRUE,"Low quality","Benchmark")))</x:f>
        <x:v>Low quality</x:v>
      </x:c>
    </x:row>
    <x:row r="1487">
      <x:c r="A1487" s="2" t="str">
        <x:v>050678</x:v>
      </x:c>
      <x:c r="B1487" s="2" t="str">
        <x:v>MEMORIALCARE ORANGE COAST MEDICAL CENTER</x:v>
      </x:c>
      <x:c r="C1487" s="2" t="str">
        <x:v>FOUNTAIN VALLEY</x:v>
      </x:c>
      <x:c r="D1487" s="2" t="str">
        <x:v>CA</x:v>
      </x:c>
      <x:c r="E1487" s="2" t="str">
        <x:v>Acute Care Hospitals</x:v>
      </x:c>
      <x:c r="F1487" s="2" t="str">
        <x:v>Proprietary</x:v>
      </x:c>
      <x:c r="G1487" s="2" t="str">
        <x:v>Medium (100-299 beds)</x:v>
      </x:c>
      <x:c r="H1487" s="7" t="n">
        <x:v>4</x:v>
      </x:c>
      <x:c r="I1487" s="7" t="n">
        <x:v>3</x:v>
      </x:c>
      <x:c r="J1487" s="7" t="n">
        <x:v>1.05</x:v>
      </x:c>
      <x:c r="K1487" s="8" t="n">
        <x:v>221</x:v>
      </x:c>
      <x:c r="L1487" s="8" t="n">
        <x:v>11787</x:v>
      </x:c>
      <x:c r="M1487" s="9" t="n">
        <x:v>0.6599640488</x:v>
      </x:c>
      <x:c r="N1487" s="10" t="n">
        <x:v>43623.6824467634</x:v>
      </x:c>
      <x:c r="O1487" s="9" t="n">
        <x:v>-0.0908216432</x:v>
      </x:c>
      <x:c r="P1487" s="9" t="n">
        <x:v>0.7000814996</x:v>
      </x:c>
      <x:c r="Q1487" s="9" t="n">
        <x:v>0.6022819886</x:v>
      </x:c>
      <x:c r="R1487" s="3" t="b">
        <x:v>0</x:v>
      </x:c>
      <x:c r="S1487" s="3" t="b">
        <x:v>0</x:v>
      </x:c>
      <x:c r="T1487" s="3" t="b">
        <x:v>0</x:v>
      </x:c>
      <x:c r="U1487" s="2" t="str">
        <x:f>IF(T1487=TRUE,"Priority review",IF(R1487=TRUE,"High cost",IF(S1487=TRUE,"Low quality","Benchmark")))</x:f>
        <x:v>Benchmark</x:v>
      </x:c>
    </x:row>
    <x:row r="1488">
      <x:c r="A1488" s="2" t="str">
        <x:v>431313</x:v>
      </x:c>
      <x:c r="B1488" s="2" t="str">
        <x:v>FREEMAN MEDICAL CENTER - CAH</x:v>
      </x:c>
      <x:c r="C1488" s="2" t="str">
        <x:v>FREEMAN</x:v>
      </x:c>
      <x:c r="D1488" s="2" t="str">
        <x:v>SD</x:v>
      </x:c>
      <x:c r="E1488" s="2" t="str">
        <x:v>Critical Access Hospitals</x:v>
      </x:c>
      <x:c r="F1488" s="2" t="str">
        <x:v>Voluntary non-profit</x:v>
      </x:c>
      <x:c r="G1488" s="2" t="str">
        <x:v>Small (&lt;100 beds)</x:v>
      </x:c>
      <x:c r="H1488" s="7"/>
      <x:c r="I1488" s="7"/>
      <x:c r="J1488" s="7"/>
      <x:c r="K1488" s="8" t="n">
        <x:v>25</x:v>
      </x:c>
      <x:c r="L1488" s="8" t="n">
        <x:v>94</x:v>
      </x:c>
      <x:c r="M1488" s="9" t="n">
        <x:v>0.1004371585</x:v>
      </x:c>
      <x:c r="N1488" s="10" t="n">
        <x:v>190168.5957446808</x:v>
      </x:c>
      <x:c r="O1488" s="9" t="n">
        <x:v>-0.0464347362</x:v>
      </x:c>
      <x:c r="P1488" s="9" t="n">
        <x:v>0.6996282528</x:v>
      </x:c>
      <x:c r="Q1488" s="9" t="n">
        <x:v>0.292936803</x:v>
      </x:c>
      <x:c r="R1488" s="3" t="b">
        <x:v>0</x:v>
      </x:c>
      <x:c r="S1488" s="3" t="b">
        <x:v>0</x:v>
      </x:c>
      <x:c r="T1488" s="3" t="b">
        <x:v>0</x:v>
      </x:c>
      <x:c r="U1488" s="2" t="str">
        <x:f>IF(T1488=TRUE,"Priority review",IF(R1488=TRUE,"High cost",IF(S1488=TRUE,"Low quality","Benchmark")))</x:f>
        <x:v>Benchmark</x:v>
      </x:c>
    </x:row>
    <x:row r="1489">
      <x:c r="A1489" s="2" t="str">
        <x:v>450880</x:v>
      </x:c>
      <x:c r="B1489" s="2" t="str">
        <x:v>BAYLOR SCOTT AND WHITE SURGICAL HOSPITAL FORTWORTH</x:v>
      </x:c>
      <x:c r="C1489" s="2" t="str">
        <x:v>FORT WORTH</x:v>
      </x:c>
      <x:c r="D1489" s="2" t="str">
        <x:v>TX</x:v>
      </x:c>
      <x:c r="E1489" s="2" t="str">
        <x:v>Acute Care Hospitals</x:v>
      </x:c>
      <x:c r="F1489" s="2" t="str">
        <x:v>Other / unknown</x:v>
      </x:c>
      <x:c r="G1489" s="2" t="str">
        <x:v>Small (&lt;100 beds)</x:v>
      </x:c>
      <x:c r="H1489" s="7"/>
      <x:c r="I1489" s="7" t="n">
        <x:v>4</x:v>
      </x:c>
      <x:c r="J1489" s="7" t="n">
        <x:v>0.93</x:v>
      </x:c>
      <x:c r="K1489" s="8" t="n">
        <x:v>30</x:v>
      </x:c>
      <x:c r="L1489" s="8" t="n">
        <x:v>1284</x:v>
      </x:c>
      <x:c r="M1489" s="9" t="n">
        <x:v>0.2521857923</x:v>
      </x:c>
      <x:c r="N1489" s="10" t="n">
        <x:v>76104.195482866</x:v>
      </x:c>
      <x:c r="O1489" s="9" t="n">
        <x:v>0.2048223959</x:v>
      </x:c>
      <x:c r="P1489" s="9" t="n">
        <x:v>0.6992818671</x:v>
      </x:c>
      <x:c r="Q1489" s="9" t="n">
        <x:v>0.697486535</x:v>
      </x:c>
      <x:c r="R1489" s="3" t="b">
        <x:v>0</x:v>
      </x:c>
      <x:c r="S1489" s="3" t="b">
        <x:v>0</x:v>
      </x:c>
      <x:c r="T1489" s="3" t="b">
        <x:v>0</x:v>
      </x:c>
      <x:c r="U1489" s="2" t="str">
        <x:f>IF(T1489=TRUE,"Priority review",IF(R1489=TRUE,"High cost",IF(S1489=TRUE,"Low quality","Benchmark")))</x:f>
        <x:v>Benchmark</x:v>
      </x:c>
    </x:row>
    <x:row r="1490">
      <x:c r="A1490" s="2" t="str">
        <x:v>420067</x:v>
      </x:c>
      <x:c r="B1490" s="2" t="str">
        <x:v>BEAUFORT COUNTY MEMORIAL HOSPITAL</x:v>
      </x:c>
      <x:c r="C1490" s="2" t="str">
        <x:v>BEAUFORT</x:v>
      </x:c>
      <x:c r="D1490" s="2" t="str">
        <x:v>SC</x:v>
      </x:c>
      <x:c r="E1490" s="2" t="str">
        <x:v>Acute Care Hospitals</x:v>
      </x:c>
      <x:c r="F1490" s="2" t="str">
        <x:v>Government</x:v>
      </x:c>
      <x:c r="G1490" s="2" t="str">
        <x:v>Medium (100-299 beds)</x:v>
      </x:c>
      <x:c r="H1490" s="7" t="n">
        <x:v>4</x:v>
      </x:c>
      <x:c r="I1490" s="7" t="n">
        <x:v>3</x:v>
      </x:c>
      <x:c r="J1490" s="7" t="n">
        <x:v>0.96</x:v>
      </x:c>
      <x:c r="K1490" s="8" t="n">
        <x:v>167</x:v>
      </x:c>
      <x:c r="L1490" s="8" t="n">
        <x:v>7876</x:v>
      </x:c>
      <x:c r="M1490" s="9" t="n">
        <x:v>0.5358954223</x:v>
      </x:c>
      <x:c r="N1490" s="10" t="n">
        <x:v>43538.4203910615</x:v>
      </x:c>
      <x:c r="O1490" s="9" t="n">
        <x:v>-0.0354275532</x:v>
      </x:c>
      <x:c r="P1490" s="9" t="n">
        <x:v>0.6992665037</x:v>
      </x:c>
      <x:c r="Q1490" s="9" t="n">
        <x:v>0.6022819886</x:v>
      </x:c>
      <x:c r="R1490" s="3" t="b">
        <x:v>0</x:v>
      </x:c>
      <x:c r="S1490" s="3" t="b">
        <x:v>0</x:v>
      </x:c>
      <x:c r="T1490" s="3" t="b">
        <x:v>0</x:v>
      </x:c>
      <x:c r="U1490" s="2" t="str">
        <x:f>IF(T1490=TRUE,"Priority review",IF(R1490=TRUE,"High cost",IF(S1490=TRUE,"Low quality","Benchmark")))</x:f>
        <x:v>Benchmark</x:v>
      </x:c>
    </x:row>
    <x:row r="1491">
      <x:c r="A1491" s="2" t="str">
        <x:v>394062</x:v>
      </x:c>
      <x:c r="B1491" s="2" t="str">
        <x:v>HAVEN BEHAVIORAL HOSPITAL OF WEST CHESTER</x:v>
      </x:c>
      <x:c r="C1491" s="2" t="str">
        <x:v>WEST CHESTER</x:v>
      </x:c>
      <x:c r="D1491" s="2" t="str">
        <x:v>PA</x:v>
      </x:c>
      <x:c r="E1491" s="2" t="str">
        <x:v>Psychiatric</x:v>
      </x:c>
      <x:c r="F1491" s="2" t="str">
        <x:v>Proprietary</x:v>
      </x:c>
      <x:c r="G1491" s="2" t="str">
        <x:v>Small (&lt;100 beds)</x:v>
      </x:c>
      <x:c r="H1491" s="7"/>
      <x:c r="I1491" s="7"/>
      <x:c r="J1491" s="7"/>
      <x:c r="K1491" s="8" t="n">
        <x:v>46</x:v>
      </x:c>
      <x:c r="L1491" s="8" t="n">
        <x:v>620</x:v>
      </x:c>
      <x:c r="M1491" s="9" t="n">
        <x:v>0.8578305161</x:v>
      </x:c>
      <x:c r="N1491" s="10" t="n">
        <x:v>21929.0870967742</x:v>
      </x:c>
      <x:c r="O1491" s="9" t="n">
        <x:v>-0.7138238913</x:v>
      </x:c>
      <x:c r="P1491" s="9" t="n">
        <x:v>0.6990291262</x:v>
      </x:c>
      <x:c r="Q1491" s="9" t="n">
        <x:v>0</x:v>
      </x:c>
      <x:c r="R1491" s="3" t="b">
        <x:v>0</x:v>
      </x:c>
      <x:c r="S1491" s="3" t="b">
        <x:v>0</x:v>
      </x:c>
      <x:c r="T1491" s="3" t="b">
        <x:v>0</x:v>
      </x:c>
      <x:c r="U1491" s="2" t="str">
        <x:f>IF(T1491=TRUE,"Priority review",IF(R1491=TRUE,"High cost",IF(S1491=TRUE,"Low quality","Benchmark")))</x:f>
        <x:v>Benchmark</x:v>
      </x:c>
    </x:row>
    <x:row r="1492">
      <x:c r="A1492" s="2" t="str">
        <x:v>161303</x:v>
      </x:c>
      <x:c r="B1492" s="2" t="str">
        <x:v>GRUNDY COUNTY MEMORIAL HOSPITAL</x:v>
      </x:c>
      <x:c r="C1492" s="2" t="str">
        <x:v>GRUNDY CENTER</x:v>
      </x:c>
      <x:c r="D1492" s="2" t="str">
        <x:v>IA</x:v>
      </x:c>
      <x:c r="E1492" s="2" t="str">
        <x:v>Critical Access Hospitals</x:v>
      </x:c>
      <x:c r="F1492" s="2" t="str">
        <x:v>Voluntary non-profit</x:v>
      </x:c>
      <x:c r="G1492" s="2" t="str">
        <x:v>Small (&lt;100 beds)</x:v>
      </x:c>
      <x:c r="H1492" s="7"/>
      <x:c r="I1492" s="7"/>
      <x:c r="J1492" s="7"/>
      <x:c r="K1492" s="8" t="n">
        <x:v>25</x:v>
      </x:c>
      <x:c r="L1492" s="8" t="n">
        <x:v>183</x:v>
      </x:c>
      <x:c r="M1492" s="9" t="n">
        <x:v>0.1544109589</x:v>
      </x:c>
      <x:c r="N1492" s="10" t="n">
        <x:v>189586.7759562842</x:v>
      </x:c>
      <x:c r="O1492" s="9" t="n">
        <x:v>0.1365815304</x:v>
      </x:c>
      <x:c r="P1492" s="9" t="n">
        <x:v>0.6988847584</x:v>
      </x:c>
      <x:c r="Q1492" s="9" t="n">
        <x:v>0.292936803</x:v>
      </x:c>
      <x:c r="R1492" s="3" t="b">
        <x:v>0</x:v>
      </x:c>
      <x:c r="S1492" s="3" t="b">
        <x:v>0</x:v>
      </x:c>
      <x:c r="T1492" s="3" t="b">
        <x:v>0</x:v>
      </x:c>
      <x:c r="U1492" s="2" t="str">
        <x:f>IF(T1492=TRUE,"Priority review",IF(R1492=TRUE,"High cost",IF(S1492=TRUE,"Low quality","Benchmark")))</x:f>
        <x:v>Benchmark</x:v>
      </x:c>
    </x:row>
    <x:row r="1493">
      <x:c r="A1493" s="2" t="str">
        <x:v>430077</x:v>
      </x:c>
      <x:c r="B1493" s="2" t="str">
        <x:v>MONUMENT HEALTH RAPID CITY HOSPITAL</x:v>
      </x:c>
      <x:c r="C1493" s="2" t="str">
        <x:v>RAPID CITY</x:v>
      </x:c>
      <x:c r="D1493" s="2" t="str">
        <x:v>SD</x:v>
      </x:c>
      <x:c r="E1493" s="2" t="str">
        <x:v>Acute Care Hospitals</x:v>
      </x:c>
      <x:c r="F1493" s="2" t="str">
        <x:v>Voluntary non-profit</x:v>
      </x:c>
      <x:c r="G1493" s="2" t="str">
        <x:v>Large (300+ beds)</x:v>
      </x:c>
      <x:c r="H1493" s="7" t="n">
        <x:v>3</x:v>
      </x:c>
      <x:c r="I1493" s="7" t="n">
        <x:v>3</x:v>
      </x:c>
      <x:c r="J1493" s="7" t="n">
        <x:v>1</x:v>
      </x:c>
      <x:c r="K1493" s="8" t="n">
        <x:v>416</x:v>
      </x:c>
      <x:c r="L1493" s="8" t="n">
        <x:v>19140</x:v>
      </x:c>
      <x:c r="M1493" s="9" t="n">
        <x:v>0.6493216544</x:v>
      </x:c>
      <x:c r="N1493" s="10" t="n">
        <x:v>50115.9196447231</x:v>
      </x:c>
      <x:c r="O1493" s="9" t="n">
        <x:v>-0.1555442903</x:v>
      </x:c>
      <x:c r="P1493" s="9" t="n">
        <x:v>0.6987381703</x:v>
      </x:c>
      <x:c r="Q1493" s="9" t="n">
        <x:v>0.2570977918</x:v>
      </x:c>
      <x:c r="R1493" s="3" t="b">
        <x:v>0</x:v>
      </x:c>
      <x:c r="S1493" s="3" t="b">
        <x:v>0</x:v>
      </x:c>
      <x:c r="T1493" s="3" t="b">
        <x:v>0</x:v>
      </x:c>
      <x:c r="U1493" s="2" t="str">
        <x:f>IF(T1493=TRUE,"Priority review",IF(R1493=TRUE,"High cost",IF(S1493=TRUE,"Low quality","Benchmark")))</x:f>
        <x:v>Benchmark</x:v>
      </x:c>
    </x:row>
    <x:row r="1494">
      <x:c r="A1494" s="2" t="str">
        <x:v>490093</x:v>
      </x:c>
      <x:c r="B1494" s="2" t="str">
        <x:v>SENTARA CAREPLEX HOSPITAL</x:v>
      </x:c>
      <x:c r="C1494" s="2" t="str">
        <x:v>HAMPTON</x:v>
      </x:c>
      <x:c r="D1494" s="2" t="str">
        <x:v>VA</x:v>
      </x:c>
      <x:c r="E1494" s="2" t="str">
        <x:v>Acute Care Hospitals</x:v>
      </x:c>
      <x:c r="F1494" s="2" t="str">
        <x:v>Voluntary non-profit</x:v>
      </x:c>
      <x:c r="G1494" s="2" t="str">
        <x:v>Medium (100-299 beds)</x:v>
      </x:c>
      <x:c r="H1494" s="7" t="n">
        <x:v>4</x:v>
      </x:c>
      <x:c r="I1494" s="7" t="n">
        <x:v>3</x:v>
      </x:c>
      <x:c r="J1494" s="7" t="n">
        <x:v>0.95</x:v>
      </x:c>
      <x:c r="K1494" s="8" t="n">
        <x:v>169</x:v>
      </x:c>
      <x:c r="L1494" s="8" t="n">
        <x:v>7730</x:v>
      </x:c>
      <x:c r="M1494" s="9" t="n">
        <x:v>0.5557441718</x:v>
      </x:c>
      <x:c r="N1494" s="10" t="n">
        <x:v>43462.924450194</x:v>
      </x:c>
      <x:c r="O1494" s="9" t="n">
        <x:v>0.1006140431</x:v>
      </x:c>
      <x:c r="P1494" s="9" t="n">
        <x:v>0.6984515077</x:v>
      </x:c>
      <x:c r="Q1494" s="9" t="n">
        <x:v>0.6022819886</x:v>
      </x:c>
      <x:c r="R1494" s="3" t="b">
        <x:v>0</x:v>
      </x:c>
      <x:c r="S1494" s="3" t="b">
        <x:v>0</x:v>
      </x:c>
      <x:c r="T1494" s="3" t="b">
        <x:v>0</x:v>
      </x:c>
      <x:c r="U1494" s="2" t="str">
        <x:f>IF(T1494=TRUE,"Priority review",IF(R1494=TRUE,"High cost",IF(S1494=TRUE,"Low quality","Benchmark")))</x:f>
        <x:v>Benchmark</x:v>
      </x:c>
    </x:row>
    <x:row r="1495">
      <x:c r="A1495" s="2" t="str">
        <x:v>430014</x:v>
      </x:c>
      <x:c r="B1495" s="2" t="str">
        <x:v>AVERA ST LUKES</x:v>
      </x:c>
      <x:c r="C1495" s="2" t="str">
        <x:v>ABERDEEN</x:v>
      </x:c>
      <x:c r="D1495" s="2" t="str">
        <x:v>SD</x:v>
      </x:c>
      <x:c r="E1495" s="2" t="str">
        <x:v>Acute Care Hospitals</x:v>
      </x:c>
      <x:c r="F1495" s="2" t="str">
        <x:v>Voluntary non-profit</x:v>
      </x:c>
      <x:c r="G1495" s="2" t="str">
        <x:v>Small (&lt;100 beds)</x:v>
      </x:c>
      <x:c r="H1495" s="7" t="n">
        <x:v>4</x:v>
      </x:c>
      <x:c r="I1495" s="7" t="n">
        <x:v>4</x:v>
      </x:c>
      <x:c r="J1495" s="7" t="n">
        <x:v>1.02</x:v>
      </x:c>
      <x:c r="K1495" s="8" t="n">
        <x:v>50</x:v>
      </x:c>
      <x:c r="L1495" s="8" t="n">
        <x:v>2778</x:v>
      </x:c>
      <x:c r="M1495" s="9" t="n">
        <x:v>0.6287123288</x:v>
      </x:c>
      <x:c r="N1495" s="10" t="n">
        <x:v>76009.3869690425</x:v>
      </x:c>
      <x:c r="O1495" s="9" t="n">
        <x:v>-0.0658392027</x:v>
      </x:c>
      <x:c r="P1495" s="9" t="n">
        <x:v>0.6983842011</x:v>
      </x:c>
      <x:c r="Q1495" s="9" t="n">
        <x:v>0.3913824057</x:v>
      </x:c>
      <x:c r="R1495" s="3" t="b">
        <x:v>0</x:v>
      </x:c>
      <x:c r="S1495" s="3" t="b">
        <x:v>0</x:v>
      </x:c>
      <x:c r="T1495" s="3" t="b">
        <x:v>0</x:v>
      </x:c>
      <x:c r="U1495" s="2" t="str">
        <x:f>IF(T1495=TRUE,"Priority review",IF(R1495=TRUE,"High cost",IF(S1495=TRUE,"Low quality","Benchmark")))</x:f>
        <x:v>Benchmark</x:v>
      </x:c>
    </x:row>
    <x:row r="1496">
      <x:c r="A1496" s="2" t="str">
        <x:v>161321</x:v>
      </x:c>
      <x:c r="B1496" s="2" t="str">
        <x:v>AVERA MERRILL PIONEER HOSPITAL</x:v>
      </x:c>
      <x:c r="C1496" s="2" t="str">
        <x:v>ROCK RAPIDS</x:v>
      </x:c>
      <x:c r="D1496" s="2" t="str">
        <x:v>IA</x:v>
      </x:c>
      <x:c r="E1496" s="2" t="str">
        <x:v>Critical Access Hospitals</x:v>
      </x:c>
      <x:c r="F1496" s="2" t="str">
        <x:v>Voluntary non-profit</x:v>
      </x:c>
      <x:c r="G1496" s="2" t="str">
        <x:v>Small (&lt;100 beds)</x:v>
      </x:c>
      <x:c r="H1496" s="7"/>
      <x:c r="I1496" s="7"/>
      <x:c r="J1496" s="7"/>
      <x:c r="K1496" s="8" t="n">
        <x:v>11</x:v>
      </x:c>
      <x:c r="L1496" s="8" t="n">
        <x:v>65</x:v>
      </x:c>
      <x:c r="M1496" s="9" t="n">
        <x:v>0.1556662516</x:v>
      </x:c>
      <x:c r="N1496" s="10" t="n">
        <x:v>189042.0923076923</x:v>
      </x:c>
      <x:c r="O1496" s="9" t="n">
        <x:v>-0.0421290217</x:v>
      </x:c>
      <x:c r="P1496" s="9" t="n">
        <x:v>0.6981412639</x:v>
      </x:c>
      <x:c r="Q1496" s="9" t="n">
        <x:v>0.292936803</x:v>
      </x:c>
      <x:c r="R1496" s="3" t="b">
        <x:v>0</x:v>
      </x:c>
      <x:c r="S1496" s="3" t="b">
        <x:v>0</x:v>
      </x:c>
      <x:c r="T1496" s="3" t="b">
        <x:v>0</x:v>
      </x:c>
      <x:c r="U1496" s="2" t="str">
        <x:f>IF(T1496=TRUE,"Priority review",IF(R1496=TRUE,"High cost",IF(S1496=TRUE,"Low quality","Benchmark")))</x:f>
        <x:v>Benchmark</x:v>
      </x:c>
    </x:row>
    <x:row r="1497">
      <x:c r="A1497" s="2" t="str">
        <x:v>280032</x:v>
      </x:c>
      <x:c r="B1497" s="2" t="str">
        <x:v>MARY LANNING HEALTHCARE</x:v>
      </x:c>
      <x:c r="C1497" s="2" t="str">
        <x:v>HASTINGS</x:v>
      </x:c>
      <x:c r="D1497" s="2" t="str">
        <x:v>NE</x:v>
      </x:c>
      <x:c r="E1497" s="2" t="str">
        <x:v>Acute Care Hospitals</x:v>
      </x:c>
      <x:c r="F1497" s="2" t="str">
        <x:v>Voluntary non-profit</x:v>
      </x:c>
      <x:c r="G1497" s="2" t="str">
        <x:v>Medium (100-299 beds)</x:v>
      </x:c>
      <x:c r="H1497" s="7" t="n">
        <x:v>2</x:v>
      </x:c>
      <x:c r="I1497" s="7" t="n">
        <x:v>3</x:v>
      </x:c>
      <x:c r="J1497" s="7" t="n">
        <x:v>0.91</x:v>
      </x:c>
      <x:c r="K1497" s="8" t="n">
        <x:v>106</x:v>
      </x:c>
      <x:c r="L1497" s="8" t="n">
        <x:v>5169</x:v>
      </x:c>
      <x:c r="M1497" s="9" t="n">
        <x:v>0.3598051345</x:v>
      </x:c>
      <x:c r="N1497" s="10" t="n">
        <x:v>43388.8773457148</x:v>
      </x:c>
      <x:c r="O1497" s="9" t="n">
        <x:v>-0.0466817544</x:v>
      </x:c>
      <x:c r="P1497" s="9" t="n">
        <x:v>0.6976365118</x:v>
      </x:c>
      <x:c r="Q1497" s="9" t="n">
        <x:v>0.0782396088</x:v>
      </x:c>
      <x:c r="R1497" s="3" t="b">
        <x:v>0</x:v>
      </x:c>
      <x:c r="S1497" s="3" t="b">
        <x:v>1</x:v>
      </x:c>
      <x:c r="T1497" s="3" t="b">
        <x:v>0</x:v>
      </x:c>
      <x:c r="U1497" s="2" t="str">
        <x:f>IF(T1497=TRUE,"Priority review",IF(R1497=TRUE,"High cost",IF(S1497=TRUE,"Low quality","Benchmark")))</x:f>
        <x:v>Low quality</x:v>
      </x:c>
    </x:row>
    <x:row r="1498">
      <x:c r="A1498" s="2" t="str">
        <x:v>050028</x:v>
      </x:c>
      <x:c r="B1498" s="2" t="str">
        <x:v>MAD RIVER COMMUNITY HOSPITAL</x:v>
      </x:c>
      <x:c r="C1498" s="2" t="str">
        <x:v>ARCATA</x:v>
      </x:c>
      <x:c r="D1498" s="2" t="str">
        <x:v>CA</x:v>
      </x:c>
      <x:c r="E1498" s="2" t="str">
        <x:v>Acute Care Hospitals</x:v>
      </x:c>
      <x:c r="F1498" s="2" t="str">
        <x:v>Proprietary</x:v>
      </x:c>
      <x:c r="G1498" s="2" t="str">
        <x:v>Small (&lt;100 beds)</x:v>
      </x:c>
      <x:c r="H1498" s="7" t="n">
        <x:v>1</x:v>
      </x:c>
      <x:c r="I1498" s="7" t="n">
        <x:v>3</x:v>
      </x:c>
      <x:c r="J1498" s="7" t="n">
        <x:v>0.91</x:v>
      </x:c>
      <x:c r="K1498" s="8" t="n">
        <x:v>49</x:v>
      </x:c>
      <x:c r="L1498" s="8" t="n">
        <x:v>778</x:v>
      </x:c>
      <x:c r="M1498" s="9" t="n">
        <x:v>0.2019569472</x:v>
      </x:c>
      <x:c r="N1498" s="10" t="n">
        <x:v>75927.9010282776</x:v>
      </x:c>
      <x:c r="O1498" s="9" t="n">
        <x:v>-0.1706718457</x:v>
      </x:c>
      <x:c r="P1498" s="9" t="n">
        <x:v>0.697486535</x:v>
      </x:c>
      <x:c r="Q1498" s="9" t="n">
        <x:v>0</x:v>
      </x:c>
      <x:c r="R1498" s="3" t="b">
        <x:v>0</x:v>
      </x:c>
      <x:c r="S1498" s="3" t="b">
        <x:v>1</x:v>
      </x:c>
      <x:c r="T1498" s="3" t="b">
        <x:v>0</x:v>
      </x:c>
      <x:c r="U1498" s="2" t="str">
        <x:f>IF(T1498=TRUE,"Priority review",IF(R1498=TRUE,"High cost",IF(S1498=TRUE,"Low quality","Benchmark")))</x:f>
        <x:v>Low quality</x:v>
      </x:c>
    </x:row>
    <x:row r="1499">
      <x:c r="A1499" s="2" t="str">
        <x:v>141349</x:v>
      </x:c>
      <x:c r="B1499" s="2" t="str">
        <x:v>SPARTA COMMUNITY HOSPITAL</x:v>
      </x:c>
      <x:c r="C1499" s="2" t="str">
        <x:v>SPARTA</x:v>
      </x:c>
      <x:c r="D1499" s="2" t="str">
        <x:v>IL</x:v>
      </x:c>
      <x:c r="E1499" s="2" t="str">
        <x:v>Critical Access Hospitals</x:v>
      </x:c>
      <x:c r="F1499" s="2" t="str">
        <x:v>Government</x:v>
      </x:c>
      <x:c r="G1499" s="2" t="str">
        <x:v>Small (&lt;100 beds)</x:v>
      </x:c>
      <x:c r="H1499" s="7" t="n">
        <x:v>3</x:v>
      </x:c>
      <x:c r="I1499" s="7"/>
      <x:c r="J1499" s="7"/>
      <x:c r="K1499" s="8" t="n">
        <x:v>25</x:v>
      </x:c>
      <x:c r="L1499" s="8" t="n">
        <x:v>266</x:v>
      </x:c>
      <x:c r="M1499" s="9" t="n">
        <x:v>0.2606027397</x:v>
      </x:c>
      <x:c r="N1499" s="10" t="n">
        <x:v>188278.022556391</x:v>
      </x:c>
      <x:c r="O1499" s="9" t="n">
        <x:v>-0.0345804527</x:v>
      </x:c>
      <x:c r="P1499" s="9" t="n">
        <x:v>0.6973977695</x:v>
      </x:c>
      <x:c r="Q1499" s="9" t="n">
        <x:v>0.0765799257</x:v>
      </x:c>
      <x:c r="R1499" s="3" t="b">
        <x:v>0</x:v>
      </x:c>
      <x:c r="S1499" s="3" t="b">
        <x:v>1</x:v>
      </x:c>
      <x:c r="T1499" s="3" t="b">
        <x:v>0</x:v>
      </x:c>
      <x:c r="U1499" s="2" t="str">
        <x:f>IF(T1499=TRUE,"Priority review",IF(R1499=TRUE,"High cost",IF(S1499=TRUE,"Low quality","Benchmark")))</x:f>
        <x:v>Low quality</x:v>
      </x:c>
    </x:row>
    <x:row r="1500">
      <x:c r="A1500" s="2" t="str">
        <x:v>020001</x:v>
      </x:c>
      <x:c r="B1500" s="2" t="str">
        <x:v>PROVIDENCE ALASKA MEDICAL CENTER</x:v>
      </x:c>
      <x:c r="C1500" s="2" t="str">
        <x:v>ANCHORAGE</x:v>
      </x:c>
      <x:c r="D1500" s="2" t="str">
        <x:v>AK</x:v>
      </x:c>
      <x:c r="E1500" s="2" t="str">
        <x:v>Acute Care Hospitals</x:v>
      </x:c>
      <x:c r="F1500" s="2" t="str">
        <x:v>Voluntary non-profit</x:v>
      </x:c>
      <x:c r="G1500" s="2" t="str">
        <x:v>Large (300+ beds)</x:v>
      </x:c>
      <x:c r="H1500" s="7" t="n">
        <x:v>3</x:v>
      </x:c>
      <x:c r="I1500" s="7" t="n">
        <x:v>4</x:v>
      </x:c>
      <x:c r="J1500" s="7" t="n">
        <x:v>0.95</x:v>
      </x:c>
      <x:c r="K1500" s="8" t="n">
        <x:v>401</x:v>
      </x:c>
      <x:c r="L1500" s="8" t="n">
        <x:v>15721</x:v>
      </x:c>
      <x:c r="M1500" s="9" t="n">
        <x:v>0.7672485453</x:v>
      </x:c>
      <x:c r="N1500" s="10" t="n">
        <x:v>50060.3614909993</x:v>
      </x:c>
      <x:c r="O1500" s="9" t="n">
        <x:v>0.0498616174</x:v>
      </x:c>
      <x:c r="P1500" s="9" t="n">
        <x:v>0.6971608833</x:v>
      </x:c>
      <x:c r="Q1500" s="9" t="n">
        <x:v>0.2570977918</x:v>
      </x:c>
      <x:c r="R1500" s="3" t="b">
        <x:v>0</x:v>
      </x:c>
      <x:c r="S1500" s="3" t="b">
        <x:v>0</x:v>
      </x:c>
      <x:c r="T1500" s="3" t="b">
        <x:v>0</x:v>
      </x:c>
      <x:c r="U1500" s="2" t="str">
        <x:f>IF(T1500=TRUE,"Priority review",IF(R1500=TRUE,"High cost",IF(S1500=TRUE,"Low quality","Benchmark")))</x:f>
        <x:v>Benchmark</x:v>
      </x:c>
    </x:row>
    <x:row r="1501">
      <x:c r="A1501" s="2" t="str">
        <x:v>390037</x:v>
      </x:c>
      <x:c r="B1501" s="2" t="str">
        <x:v>HERITAGE VALLEY SEWICKLEY</x:v>
      </x:c>
      <x:c r="C1501" s="2" t="str">
        <x:v>SEWICKLEY</x:v>
      </x:c>
      <x:c r="D1501" s="2" t="str">
        <x:v>PA</x:v>
      </x:c>
      <x:c r="E1501" s="2" t="str">
        <x:v>Acute Care Hospitals</x:v>
      </x:c>
      <x:c r="F1501" s="2" t="str">
        <x:v>Voluntary non-profit</x:v>
      </x:c>
      <x:c r="G1501" s="2" t="str">
        <x:v>Medium (100-299 beds)</x:v>
      </x:c>
      <x:c r="H1501" s="7" t="n">
        <x:v>4</x:v>
      </x:c>
      <x:c r="I1501" s="7" t="n">
        <x:v>3</x:v>
      </x:c>
      <x:c r="J1501" s="7" t="n">
        <x:v>1.12</x:v>
      </x:c>
      <x:c r="K1501" s="8" t="n">
        <x:v>165</x:v>
      </x:c>
      <x:c r="L1501" s="8" t="n">
        <x:v>4248</x:v>
      </x:c>
      <x:c r="M1501" s="9" t="n">
        <x:v>0.2769447904</x:v>
      </x:c>
      <x:c r="N1501" s="10" t="n">
        <x:v>43382.5320150659</x:v>
      </x:c>
      <x:c r="O1501" s="9" t="n">
        <x:v>-0.3368029322</x:v>
      </x:c>
      <x:c r="P1501" s="9" t="n">
        <x:v>0.6968215159</x:v>
      </x:c>
      <x:c r="Q1501" s="9" t="n">
        <x:v>0.6022819886</x:v>
      </x:c>
      <x:c r="R1501" s="3" t="b">
        <x:v>0</x:v>
      </x:c>
      <x:c r="S1501" s="3" t="b">
        <x:v>0</x:v>
      </x:c>
      <x:c r="T1501" s="3" t="b">
        <x:v>0</x:v>
      </x:c>
      <x:c r="U1501" s="2" t="str">
        <x:f>IF(T1501=TRUE,"Priority review",IF(R1501=TRUE,"High cost",IF(S1501=TRUE,"Low quality","Benchmark")))</x:f>
        <x:v>Benchmark</x:v>
      </x:c>
    </x:row>
    <x:row r="1502">
      <x:c r="A1502" s="2" t="str">
        <x:v>161329</x:v>
      </x:c>
      <x:c r="B1502" s="2" t="str">
        <x:v>JACKSON COUNTY REGIONAL HEALTH CENTER</x:v>
      </x:c>
      <x:c r="C1502" s="2" t="str">
        <x:v>MAQUOKETA</x:v>
      </x:c>
      <x:c r="D1502" s="2" t="str">
        <x:v>IA</x:v>
      </x:c>
      <x:c r="E1502" s="2" t="str">
        <x:v>Critical Access Hospitals</x:v>
      </x:c>
      <x:c r="F1502" s="2" t="str">
        <x:v>Government</x:v>
      </x:c>
      <x:c r="G1502" s="2" t="str">
        <x:v>Small (&lt;100 beds)</x:v>
      </x:c>
      <x:c r="H1502" s="7"/>
      <x:c r="I1502" s="7"/>
      <x:c r="J1502" s="7"/>
      <x:c r="K1502" s="8" t="n">
        <x:v>25</x:v>
      </x:c>
      <x:c r="L1502" s="8" t="n">
        <x:v>135</x:v>
      </x:c>
      <x:c r="M1502" s="9" t="n">
        <x:v>0.1392876712</x:v>
      </x:c>
      <x:c r="N1502" s="10" t="n">
        <x:v>188018.7037037037</x:v>
      </x:c>
      <x:c r="O1502" s="9" t="n">
        <x:v>0.1857587722</x:v>
      </x:c>
      <x:c r="P1502" s="9" t="n">
        <x:v>0.6966542751</x:v>
      </x:c>
      <x:c r="Q1502" s="9" t="n">
        <x:v>0.292936803</x:v>
      </x:c>
      <x:c r="R1502" s="3" t="b">
        <x:v>0</x:v>
      </x:c>
      <x:c r="S1502" s="3" t="b">
        <x:v>0</x:v>
      </x:c>
      <x:c r="T1502" s="3" t="b">
        <x:v>0</x:v>
      </x:c>
      <x:c r="U1502" s="2" t="str">
        <x:f>IF(T1502=TRUE,"Priority review",IF(R1502=TRUE,"High cost",IF(S1502=TRUE,"Low quality","Benchmark")))</x:f>
        <x:v>Benchmark</x:v>
      </x:c>
    </x:row>
    <x:row r="1503">
      <x:c r="A1503" s="2" t="str">
        <x:v>140210</x:v>
      </x:c>
      <x:c r="B1503" s="2" t="str">
        <x:v>HARRISBURG MEDICAL CENTER</x:v>
      </x:c>
      <x:c r="C1503" s="2" t="str">
        <x:v>HARRISBURG</x:v>
      </x:c>
      <x:c r="D1503" s="2" t="str">
        <x:v>IL</x:v>
      </x:c>
      <x:c r="E1503" s="2" t="str">
        <x:v>Acute Care Hospitals</x:v>
      </x:c>
      <x:c r="F1503" s="2" t="str">
        <x:v>Voluntary non-profit</x:v>
      </x:c>
      <x:c r="G1503" s="2" t="str">
        <x:v>Small (&lt;100 beds)</x:v>
      </x:c>
      <x:c r="H1503" s="7" t="n">
        <x:v>2</x:v>
      </x:c>
      <x:c r="I1503" s="7"/>
      <x:c r="J1503" s="7" t="n">
        <x:v>0.79</x:v>
      </x:c>
      <x:c r="K1503" s="8" t="n">
        <x:v>40</x:v>
      </x:c>
      <x:c r="L1503" s="8" t="n">
        <x:v>722</x:v>
      </x:c>
      <x:c r="M1503" s="9" t="n">
        <x:v>0.1237671233</x:v>
      </x:c>
      <x:c r="N1503" s="10" t="n">
        <x:v>75819.7617728532</x:v>
      </x:c>
      <x:c r="O1503" s="9" t="n">
        <x:v>0.1135617541</x:v>
      </x:c>
      <x:c r="P1503" s="9" t="n">
        <x:v>0.6965888689</x:v>
      </x:c>
      <x:c r="Q1503" s="9" t="n">
        <x:v>0.0350089767</x:v>
      </x:c>
      <x:c r="R1503" s="3" t="b">
        <x:v>0</x:v>
      </x:c>
      <x:c r="S1503" s="3" t="b">
        <x:v>1</x:v>
      </x:c>
      <x:c r="T1503" s="3" t="b">
        <x:v>0</x:v>
      </x:c>
      <x:c r="U1503" s="2" t="str">
        <x:f>IF(T1503=TRUE,"Priority review",IF(R1503=TRUE,"High cost",IF(S1503=TRUE,"Low quality","Benchmark")))</x:f>
        <x:v>Low quality</x:v>
      </x:c>
    </x:row>
    <x:row r="1504">
      <x:c r="A1504" s="2" t="str">
        <x:v>224013</x:v>
      </x:c>
      <x:c r="B1504" s="2" t="str">
        <x:v>ARBOUR HOSPITAL</x:v>
      </x:c>
      <x:c r="C1504" s="2" t="str">
        <x:v>BOSTON</x:v>
      </x:c>
      <x:c r="D1504" s="2" t="str">
        <x:v>MA</x:v>
      </x:c>
      <x:c r="E1504" s="2" t="str">
        <x:v>Psychiatric</x:v>
      </x:c>
      <x:c r="F1504" s="2" t="str">
        <x:v>Proprietary</x:v>
      </x:c>
      <x:c r="G1504" s="2" t="str">
        <x:v>Medium (100-299 beds)</x:v>
      </x:c>
      <x:c r="H1504" s="7"/>
      <x:c r="I1504" s="7"/>
      <x:c r="J1504" s="7"/>
      <x:c r="K1504" s="8" t="n">
        <x:v>142</x:v>
      </x:c>
      <x:c r="L1504" s="8" t="n">
        <x:v>2219</x:v>
      </x:c>
      <x:c r="M1504" s="9" t="n">
        <x:v>0.939990596</x:v>
      </x:c>
      <x:c r="N1504" s="10" t="n">
        <x:v>20778.18431726</x:v>
      </x:c>
      <x:c r="O1504" s="9" t="n">
        <x:v>0.1529963201</x:v>
      </x:c>
      <x:c r="P1504" s="9" t="n">
        <x:v>0.6965174129</x:v>
      </x:c>
      <x:c r="Q1504" s="9" t="n">
        <x:v>0</x:v>
      </x:c>
      <x:c r="R1504" s="3" t="b">
        <x:v>0</x:v>
      </x:c>
      <x:c r="S1504" s="3" t="b">
        <x:v>0</x:v>
      </x:c>
      <x:c r="T1504" s="3" t="b">
        <x:v>0</x:v>
      </x:c>
      <x:c r="U1504" s="2" t="str">
        <x:f>IF(T1504=TRUE,"Priority review",IF(R1504=TRUE,"High cost",IF(S1504=TRUE,"Low quality","Benchmark")))</x:f>
        <x:v>Benchmark</x:v>
      </x:c>
    </x:row>
    <x:row r="1505">
      <x:c r="A1505" s="2" t="str">
        <x:v>520096</x:v>
      </x:c>
      <x:c r="B1505" s="2" t="str">
        <x:v>ASCENSION ALL SAINTS HOSPITAL</x:v>
      </x:c>
      <x:c r="C1505" s="2" t="str">
        <x:v>RACINE</x:v>
      </x:c>
      <x:c r="D1505" s="2" t="str">
        <x:v>WI</x:v>
      </x:c>
      <x:c r="E1505" s="2" t="str">
        <x:v>Acute Care Hospitals</x:v>
      </x:c>
      <x:c r="F1505" s="2" t="str">
        <x:v>Voluntary non-profit</x:v>
      </x:c>
      <x:c r="G1505" s="2" t="str">
        <x:v>Medium (100-299 beds)</x:v>
      </x:c>
      <x:c r="H1505" s="7" t="n">
        <x:v>2</x:v>
      </x:c>
      <x:c r="I1505" s="7" t="n">
        <x:v>3</x:v>
      </x:c>
      <x:c r="J1505" s="7"/>
      <x:c r="K1505" s="8" t="n">
        <x:v>263</x:v>
      </x:c>
      <x:c r="L1505" s="8" t="n">
        <x:v>8082</x:v>
      </x:c>
      <x:c r="M1505" s="9" t="n">
        <x:v>0.4090421376</x:v>
      </x:c>
      <x:c r="N1505" s="10" t="n">
        <x:v>43228.8165058154</x:v>
      </x:c>
      <x:c r="O1505" s="9" t="n">
        <x:v>-0.2311801</x:v>
      </x:c>
      <x:c r="P1505" s="9" t="n">
        <x:v>0.69600652</x:v>
      </x:c>
      <x:c r="Q1505" s="9" t="n">
        <x:v>0.0782396088</x:v>
      </x:c>
      <x:c r="R1505" s="3" t="b">
        <x:v>0</x:v>
      </x:c>
      <x:c r="S1505" s="3" t="b">
        <x:v>1</x:v>
      </x:c>
      <x:c r="T1505" s="3" t="b">
        <x:v>0</x:v>
      </x:c>
      <x:c r="U1505" s="2" t="str">
        <x:f>IF(T1505=TRUE,"Priority review",IF(R1505=TRUE,"High cost",IF(S1505=TRUE,"Low quality","Benchmark")))</x:f>
        <x:v>Low quality</x:v>
      </x:c>
    </x:row>
    <x:row r="1506">
      <x:c r="A1506" s="2" t="str">
        <x:v>241312</x:v>
      </x:c>
      <x:c r="B1506" s="2" t="str">
        <x:v>COOK HOSPITAL</x:v>
      </x:c>
      <x:c r="C1506" s="2" t="str">
        <x:v>COOK</x:v>
      </x:c>
      <x:c r="D1506" s="2" t="str">
        <x:v>MN</x:v>
      </x:c>
      <x:c r="E1506" s="2" t="str">
        <x:v>Critical Access Hospitals</x:v>
      </x:c>
      <x:c r="F1506" s="2" t="str">
        <x:v>Government</x:v>
      </x:c>
      <x:c r="G1506" s="2" t="str">
        <x:v>Small (&lt;100 beds)</x:v>
      </x:c>
      <x:c r="H1506" s="7"/>
      <x:c r="I1506" s="7"/>
      <x:c r="J1506" s="7"/>
      <x:c r="K1506" s="8" t="n">
        <x:v>14</x:v>
      </x:c>
      <x:c r="L1506" s="8" t="n">
        <x:v>93</x:v>
      </x:c>
      <x:c r="M1506" s="9" t="n">
        <x:v>0.1005870841</x:v>
      </x:c>
      <x:c r="N1506" s="10" t="n">
        <x:v>187797.4516129032</x:v>
      </x:c>
      <x:c r="O1506" s="9" t="n">
        <x:v>-0.1498705494</x:v>
      </x:c>
      <x:c r="P1506" s="9" t="n">
        <x:v>0.6959107807</x:v>
      </x:c>
      <x:c r="Q1506" s="9" t="n">
        <x:v>0.292936803</x:v>
      </x:c>
      <x:c r="R1506" s="3" t="b">
        <x:v>0</x:v>
      </x:c>
      <x:c r="S1506" s="3" t="b">
        <x:v>0</x:v>
      </x:c>
      <x:c r="T1506" s="3" t="b">
        <x:v>0</x:v>
      </x:c>
      <x:c r="U1506" s="2" t="str">
        <x:f>IF(T1506=TRUE,"Priority review",IF(R1506=TRUE,"High cost",IF(S1506=TRUE,"Low quality","Benchmark")))</x:f>
        <x:v>Benchmark</x:v>
      </x:c>
    </x:row>
    <x:row r="1507">
      <x:c r="A1507" s="2" t="str">
        <x:v>054123</x:v>
      </x:c>
      <x:c r="B1507" s="2" t="str">
        <x:v>ST JOSEPH'S BEHAVIORAL HEALTH CENTER</x:v>
      </x:c>
      <x:c r="C1507" s="2" t="str">
        <x:v>STOCKTON</x:v>
      </x:c>
      <x:c r="D1507" s="2" t="str">
        <x:v>CA</x:v>
      </x:c>
      <x:c r="E1507" s="2" t="str">
        <x:v>Psychiatric</x:v>
      </x:c>
      <x:c r="F1507" s="2" t="str">
        <x:v>Proprietary</x:v>
      </x:c>
      <x:c r="G1507" s="2" t="str">
        <x:v>Small (&lt;100 beds)</x:v>
      </x:c>
      <x:c r="H1507" s="7"/>
      <x:c r="I1507" s="7"/>
      <x:c r="J1507" s="7"/>
      <x:c r="K1507" s="8" t="n">
        <x:v>35</x:v>
      </x:c>
      <x:c r="L1507" s="8" t="n">
        <x:v>1196</x:v>
      </x:c>
      <x:c r="M1507" s="9" t="n">
        <x:v>0.8800782779</x:v>
      </x:c>
      <x:c r="N1507" s="10" t="n">
        <x:v>21763.8536789298</x:v>
      </x:c>
      <x:c r="O1507" s="9" t="n">
        <x:v>-0.2729153746</x:v>
      </x:c>
      <x:c r="P1507" s="9" t="n">
        <x:v>0.6957928803</x:v>
      </x:c>
      <x:c r="Q1507" s="9" t="n">
        <x:v>0</x:v>
      </x:c>
      <x:c r="R1507" s="3" t="b">
        <x:v>0</x:v>
      </x:c>
      <x:c r="S1507" s="3" t="b">
        <x:v>0</x:v>
      </x:c>
      <x:c r="T1507" s="3" t="b">
        <x:v>0</x:v>
      </x:c>
      <x:c r="U1507" s="2" t="str">
        <x:f>IF(T1507=TRUE,"Priority review",IF(R1507=TRUE,"High cost",IF(S1507=TRUE,"Low quality","Benchmark")))</x:f>
        <x:v>Benchmark</x:v>
      </x:c>
    </x:row>
    <x:row r="1508">
      <x:c r="A1508" s="2" t="str">
        <x:v>450874</x:v>
      </x:c>
      <x:c r="B1508" s="2" t="str">
        <x:v>BAYLOR SURGICAL HOSPITAL AT LAS COLINAS</x:v>
      </x:c>
      <x:c r="C1508" s="2" t="str">
        <x:v>IRVING</x:v>
      </x:c>
      <x:c r="D1508" s="2" t="str">
        <x:v>TX</x:v>
      </x:c>
      <x:c r="E1508" s="2" t="str">
        <x:v>Acute Care Hospitals</x:v>
      </x:c>
      <x:c r="F1508" s="2" t="str">
        <x:v>Proprietary</x:v>
      </x:c>
      <x:c r="G1508" s="2" t="str">
        <x:v>Small (&lt;100 beds)</x:v>
      </x:c>
      <x:c r="H1508" s="7"/>
      <x:c r="I1508" s="7" t="n">
        <x:v>3</x:v>
      </x:c>
      <x:c r="J1508" s="7" t="n">
        <x:v>0.91</x:v>
      </x:c>
      <x:c r="K1508" s="8" t="n">
        <x:v>20</x:v>
      </x:c>
      <x:c r="L1508" s="8" t="n">
        <x:v>649</x:v>
      </x:c>
      <x:c r="M1508" s="9" t="n">
        <x:v>0.1674863388</x:v>
      </x:c>
      <x:c r="N1508" s="10" t="n">
        <x:v>75567.6163328197</x:v>
      </x:c>
      <x:c r="O1508" s="9" t="n">
        <x:v>0.3242643622</x:v>
      </x:c>
      <x:c r="P1508" s="9" t="n">
        <x:v>0.6956912029</x:v>
      </x:c>
      <x:c r="Q1508" s="9" t="n">
        <x:v>0.697486535</x:v>
      </x:c>
      <x:c r="R1508" s="3" t="b">
        <x:v>0</x:v>
      </x:c>
      <x:c r="S1508" s="3" t="b">
        <x:v>0</x:v>
      </x:c>
      <x:c r="T1508" s="3" t="b">
        <x:v>0</x:v>
      </x:c>
      <x:c r="U1508" s="2" t="str">
        <x:f>IF(T1508=TRUE,"Priority review",IF(R1508=TRUE,"High cost",IF(S1508=TRUE,"Low quality","Benchmark")))</x:f>
        <x:v>Benchmark</x:v>
      </x:c>
    </x:row>
    <x:row r="1509">
      <x:c r="A1509" s="2" t="str">
        <x:v>130007</x:v>
      </x:c>
      <x:c r="B1509" s="2" t="str">
        <x:v>SAINT ALPHONSUS REGIONAL MEDICAL CENTER</x:v>
      </x:c>
      <x:c r="C1509" s="2" t="str">
        <x:v>BOISE</x:v>
      </x:c>
      <x:c r="D1509" s="2" t="str">
        <x:v>ID</x:v>
      </x:c>
      <x:c r="E1509" s="2" t="str">
        <x:v>Acute Care Hospitals</x:v>
      </x:c>
      <x:c r="F1509" s="2" t="str">
        <x:v>Voluntary non-profit</x:v>
      </x:c>
      <x:c r="G1509" s="2" t="str">
        <x:v>Large (300+ beds)</x:v>
      </x:c>
      <x:c r="H1509" s="7" t="n">
        <x:v>3</x:v>
      </x:c>
      <x:c r="I1509" s="7" t="n">
        <x:v>3</x:v>
      </x:c>
      <x:c r="J1509" s="7" t="n">
        <x:v>1.02</x:v>
      </x:c>
      <x:c r="K1509" s="8" t="n">
        <x:v>374</x:v>
      </x:c>
      <x:c r="L1509" s="8" t="n">
        <x:v>19206</x:v>
      </x:c>
      <x:c r="M1509" s="9" t="n">
        <x:v>0.6730202916</x:v>
      </x:c>
      <x:c r="N1509" s="10" t="n">
        <x:v>49750.7975111944</x:v>
      </x:c>
      <x:c r="O1509" s="9" t="n">
        <x:v>-0.0345324672</x:v>
      </x:c>
      <x:c r="P1509" s="9" t="n">
        <x:v>0.6955835962</x:v>
      </x:c>
      <x:c r="Q1509" s="9" t="n">
        <x:v>0.2570977918</x:v>
      </x:c>
      <x:c r="R1509" s="3" t="b">
        <x:v>0</x:v>
      </x:c>
      <x:c r="S1509" s="3" t="b">
        <x:v>0</x:v>
      </x:c>
      <x:c r="T1509" s="3" t="b">
        <x:v>0</x:v>
      </x:c>
      <x:c r="U1509" s="2" t="str">
        <x:f>IF(T1509=TRUE,"Priority review",IF(R1509=TRUE,"High cost",IF(S1509=TRUE,"Low quality","Benchmark")))</x:f>
        <x:v>Benchmark</x:v>
      </x:c>
    </x:row>
    <x:row r="1510">
      <x:c r="A1510" s="2" t="str">
        <x:v>140172</x:v>
      </x:c>
      <x:c r="B1510" s="2" t="str">
        <x:v>FRANCISCAN HEALTH OLYMPIA &amp; CHICAGO HEIGHTS</x:v>
      </x:c>
      <x:c r="C1510" s="2" t="str">
        <x:v>OLYMPIA FIELDS</x:v>
      </x:c>
      <x:c r="D1510" s="2" t="str">
        <x:v>IL</x:v>
      </x:c>
      <x:c r="E1510" s="2" t="str">
        <x:v>Acute Care Hospitals</x:v>
      </x:c>
      <x:c r="F1510" s="2" t="str">
        <x:v>Voluntary non-profit</x:v>
      </x:c>
      <x:c r="G1510" s="2" t="str">
        <x:v>Medium (100-299 beds)</x:v>
      </x:c>
      <x:c r="H1510" s="7" t="n">
        <x:v>3</x:v>
      </x:c>
      <x:c r="I1510" s="7" t="n">
        <x:v>2</x:v>
      </x:c>
      <x:c r="J1510" s="7" t="n">
        <x:v>1.03</x:v>
      </x:c>
      <x:c r="K1510" s="8" t="n">
        <x:v>105</x:v>
      </x:c>
      <x:c r="L1510" s="8" t="n">
        <x:v>8442</x:v>
      </x:c>
      <x:c r="M1510" s="9" t="n">
        <x:v>0.8966738831</x:v>
      </x:c>
      <x:c r="N1510" s="10" t="n">
        <x:v>43155.5502250651</x:v>
      </x:c>
      <x:c r="O1510" s="9" t="n">
        <x:v>-0.266835006</x:v>
      </x:c>
      <x:c r="P1510" s="9" t="n">
        <x:v>0.695191524</x:v>
      </x:c>
      <x:c r="Q1510" s="9" t="n">
        <x:v>0.3023634882</x:v>
      </x:c>
      <x:c r="R1510" s="3" t="b">
        <x:v>0</x:v>
      </x:c>
      <x:c r="S1510" s="3" t="b">
        <x:v>0</x:v>
      </x:c>
      <x:c r="T1510" s="3" t="b">
        <x:v>0</x:v>
      </x:c>
      <x:c r="U1510" s="2" t="str">
        <x:f>IF(T1510=TRUE,"Priority review",IF(R1510=TRUE,"High cost",IF(S1510=TRUE,"Low quality","Benchmark")))</x:f>
        <x:v>Benchmark</x:v>
      </x:c>
    </x:row>
    <x:row r="1511">
      <x:c r="A1511" s="2" t="str">
        <x:v>281326</x:v>
      </x:c>
      <x:c r="B1511" s="2" t="str">
        <x:v>ANTELOPE MEMORIAL HOSPITAL</x:v>
      </x:c>
      <x:c r="C1511" s="2" t="str">
        <x:v>NELIGH</x:v>
      </x:c>
      <x:c r="D1511" s="2" t="str">
        <x:v>NE</x:v>
      </x:c>
      <x:c r="E1511" s="2" t="str">
        <x:v>Critical Access Hospitals</x:v>
      </x:c>
      <x:c r="F1511" s="2" t="str">
        <x:v>Voluntary non-profit</x:v>
      </x:c>
      <x:c r="G1511" s="2" t="str">
        <x:v>Small (&lt;100 beds)</x:v>
      </x:c>
      <x:c r="H1511" s="7"/>
      <x:c r="I1511" s="7"/>
      <x:c r="J1511" s="7"/>
      <x:c r="K1511" s="8" t="n">
        <x:v>16</x:v>
      </x:c>
      <x:c r="L1511" s="8" t="n">
        <x:v>123</x:v>
      </x:c>
      <x:c r="M1511" s="9" t="n">
        <x:v>0.186130137</x:v>
      </x:c>
      <x:c r="N1511" s="10" t="n">
        <x:v>187494.8048780488</x:v>
      </x:c>
      <x:c r="O1511" s="9" t="n">
        <x:v>0.0227929764</x:v>
      </x:c>
      <x:c r="P1511" s="9" t="n">
        <x:v>0.6951672862</x:v>
      </x:c>
      <x:c r="Q1511" s="9" t="n">
        <x:v>0.292936803</x:v>
      </x:c>
      <x:c r="R1511" s="3" t="b">
        <x:v>0</x:v>
      </x:c>
      <x:c r="S1511" s="3" t="b">
        <x:v>0</x:v>
      </x:c>
      <x:c r="T1511" s="3" t="b">
        <x:v>0</x:v>
      </x:c>
      <x:c r="U1511" s="2" t="str">
        <x:f>IF(T1511=TRUE,"Priority review",IF(R1511=TRUE,"High cost",IF(S1511=TRUE,"Low quality","Benchmark")))</x:f>
        <x:v>Benchmark</x:v>
      </x:c>
    </x:row>
    <x:row r="1512">
      <x:c r="A1512" s="2" t="str">
        <x:v>440111</x:v>
      </x:c>
      <x:c r="B1512" s="2" t="str">
        <x:v>METRO NASHVILLE GENERAL HOSPITAL</x:v>
      </x:c>
      <x:c r="C1512" s="2" t="str">
        <x:v>NASHVILLE</x:v>
      </x:c>
      <x:c r="D1512" s="2" t="str">
        <x:v>TN</x:v>
      </x:c>
      <x:c r="E1512" s="2" t="str">
        <x:v>Acute Care Hospitals</x:v>
      </x:c>
      <x:c r="F1512" s="2" t="str">
        <x:v>Government</x:v>
      </x:c>
      <x:c r="G1512" s="2" t="str">
        <x:v>Small (&lt;100 beds)</x:v>
      </x:c>
      <x:c r="H1512" s="7" t="n">
        <x:v>4</x:v>
      </x:c>
      <x:c r="I1512" s="7" t="n">
        <x:v>3</x:v>
      </x:c>
      <x:c r="J1512" s="7" t="n">
        <x:v>1.05</x:v>
      </x:c>
      <x:c r="K1512" s="8" t="n">
        <x:v>99</x:v>
      </x:c>
      <x:c r="L1512" s="8" t="n">
        <x:v>2548</x:v>
      </x:c>
      <x:c r="M1512" s="9" t="n">
        <x:v>0.2717586827</x:v>
      </x:c>
      <x:c r="N1512" s="10" t="n">
        <x:v>75343.6408948195</x:v>
      </x:c>
      <x:c r="O1512" s="9" t="n">
        <x:v>-2.0784376745</x:v>
      </x:c>
      <x:c r="P1512" s="9" t="n">
        <x:v>0.6947935368</x:v>
      </x:c>
      <x:c r="Q1512" s="9" t="n">
        <x:v>0.3913824057</x:v>
      </x:c>
      <x:c r="R1512" s="3" t="b">
        <x:v>0</x:v>
      </x:c>
      <x:c r="S1512" s="3" t="b">
        <x:v>0</x:v>
      </x:c>
      <x:c r="T1512" s="3" t="b">
        <x:v>0</x:v>
      </x:c>
      <x:c r="U1512" s="2" t="str">
        <x:f>IF(T1512=TRUE,"Priority review",IF(R1512=TRUE,"High cost",IF(S1512=TRUE,"Low quality","Benchmark")))</x:f>
        <x:v>Benchmark</x:v>
      </x:c>
    </x:row>
    <x:row r="1513">
      <x:c r="A1513" s="2" t="str">
        <x:v>171321</x:v>
      </x:c>
      <x:c r="B1513" s="2" t="str">
        <x:v>MEADE DISTRICT HOSPITAL</x:v>
      </x:c>
      <x:c r="C1513" s="2" t="str">
        <x:v>MEADE</x:v>
      </x:c>
      <x:c r="D1513" s="2" t="str">
        <x:v>KS</x:v>
      </x:c>
      <x:c r="E1513" s="2" t="str">
        <x:v>Critical Access Hospitals</x:v>
      </x:c>
      <x:c r="F1513" s="2" t="str">
        <x:v>Government</x:v>
      </x:c>
      <x:c r="G1513" s="2" t="str">
        <x:v>Small (&lt;100 beds)</x:v>
      </x:c>
      <x:c r="H1513" s="7"/>
      <x:c r="I1513" s="7"/>
      <x:c r="J1513" s="7"/>
      <x:c r="K1513" s="8" t="n">
        <x:v>20</x:v>
      </x:c>
      <x:c r="L1513" s="8" t="n">
        <x:v>73</x:v>
      </x:c>
      <x:c r="M1513" s="9" t="n">
        <x:v>0.0513661202</x:v>
      </x:c>
      <x:c r="N1513" s="10" t="n">
        <x:v>187433.5068493151</x:v>
      </x:c>
      <x:c r="O1513" s="9" t="n">
        <x:v>-0.2468643962</x:v>
      </x:c>
      <x:c r="P1513" s="9" t="n">
        <x:v>0.6944237918</x:v>
      </x:c>
      <x:c r="Q1513" s="9" t="n">
        <x:v>0.292936803</x:v>
      </x:c>
      <x:c r="R1513" s="3" t="b">
        <x:v>0</x:v>
      </x:c>
      <x:c r="S1513" s="3" t="b">
        <x:v>0</x:v>
      </x:c>
      <x:c r="T1513" s="3" t="b">
        <x:v>0</x:v>
      </x:c>
      <x:c r="U1513" s="2" t="str">
        <x:f>IF(T1513=TRUE,"Priority review",IF(R1513=TRUE,"High cost",IF(S1513=TRUE,"Low quality","Benchmark")))</x:f>
        <x:v>Benchmark</x:v>
      </x:c>
    </x:row>
    <x:row r="1514">
      <x:c r="A1514" s="2" t="str">
        <x:v>140304</x:v>
      </x:c>
      <x:c r="B1514" s="2" t="str">
        <x:v>UCHICAGO MEDICINE ADVENTHEALTH BOLINGBROOK</x:v>
      </x:c>
      <x:c r="C1514" s="2" t="str">
        <x:v>BOLINGBROOK</x:v>
      </x:c>
      <x:c r="D1514" s="2" t="str">
        <x:v>IL</x:v>
      </x:c>
      <x:c r="E1514" s="2" t="str">
        <x:v>Acute Care Hospitals</x:v>
      </x:c>
      <x:c r="F1514" s="2" t="str">
        <x:v>Voluntary non-profit</x:v>
      </x:c>
      <x:c r="G1514" s="2" t="str">
        <x:v>Medium (100-299 beds)</x:v>
      </x:c>
      <x:c r="H1514" s="7" t="n">
        <x:v>3</x:v>
      </x:c>
      <x:c r="I1514" s="7" t="n">
        <x:v>3</x:v>
      </x:c>
      <x:c r="J1514" s="7" t="n">
        <x:v>1.05</x:v>
      </x:c>
      <x:c r="K1514" s="8" t="n">
        <x:v>114</x:v>
      </x:c>
      <x:c r="L1514" s="8" t="n">
        <x:v>6195</x:v>
      </x:c>
      <x:c r="M1514" s="9" t="n">
        <x:v>0.5498274374</x:v>
      </x:c>
      <x:c r="N1514" s="10" t="n">
        <x:v>43153.4684422922</x:v>
      </x:c>
      <x:c r="O1514" s="9" t="n">
        <x:v>-0.1682658954</x:v>
      </x:c>
      <x:c r="P1514" s="9" t="n">
        <x:v>0.6943765281</x:v>
      </x:c>
      <x:c r="Q1514" s="9" t="n">
        <x:v>0.3023634882</x:v>
      </x:c>
      <x:c r="R1514" s="3" t="b">
        <x:v>0</x:v>
      </x:c>
      <x:c r="S1514" s="3" t="b">
        <x:v>0</x:v>
      </x:c>
      <x:c r="T1514" s="3" t="b">
        <x:v>0</x:v>
      </x:c>
      <x:c r="U1514" s="2" t="str">
        <x:f>IF(T1514=TRUE,"Priority review",IF(R1514=TRUE,"High cost",IF(S1514=TRUE,"Low quality","Benchmark")))</x:f>
        <x:v>Benchmark</x:v>
      </x:c>
    </x:row>
    <x:row r="1515">
      <x:c r="A1515" s="2" t="str">
        <x:v>050485</x:v>
      </x:c>
      <x:c r="B1515" s="2" t="str">
        <x:v>MEMORIALCARE LONG BEACH MEDICAL CENTER</x:v>
      </x:c>
      <x:c r="C1515" s="2" t="str">
        <x:v>LONG BEACH</x:v>
      </x:c>
      <x:c r="D1515" s="2" t="str">
        <x:v>CA</x:v>
      </x:c>
      <x:c r="E1515" s="2" t="str">
        <x:v>Acute Care Hospitals</x:v>
      </x:c>
      <x:c r="F1515" s="2" t="str">
        <x:v>Voluntary non-profit</x:v>
      </x:c>
      <x:c r="G1515" s="2" t="str">
        <x:v>Large (300+ beds)</x:v>
      </x:c>
      <x:c r="H1515" s="7" t="n">
        <x:v>2</x:v>
      </x:c>
      <x:c r="I1515" s="7" t="n">
        <x:v>3</x:v>
      </x:c>
      <x:c r="J1515" s="7" t="n">
        <x:v>1.11</x:v>
      </x:c>
      <x:c r="K1515" s="8" t="n">
        <x:v>369</x:v>
      </x:c>
      <x:c r="L1515" s="8" t="n">
        <x:v>17492</x:v>
      </x:c>
      <x:c r="M1515" s="9" t="n">
        <x:v>0.6730460287</x:v>
      </x:c>
      <x:c r="N1515" s="10" t="n">
        <x:v>49682.5093757146</x:v>
      </x:c>
      <x:c r="O1515" s="9" t="n">
        <x:v>-0.0544021126</x:v>
      </x:c>
      <x:c r="P1515" s="9" t="n">
        <x:v>0.6940063091</x:v>
      </x:c>
      <x:c r="Q1515" s="9" t="n">
        <x:v>0.0536277603</x:v>
      </x:c>
      <x:c r="R1515" s="3" t="b">
        <x:v>0</x:v>
      </x:c>
      <x:c r="S1515" s="3" t="b">
        <x:v>1</x:v>
      </x:c>
      <x:c r="T1515" s="3" t="b">
        <x:v>0</x:v>
      </x:c>
      <x:c r="U1515" s="2" t="str">
        <x:f>IF(T1515=TRUE,"Priority review",IF(R1515=TRUE,"High cost",IF(S1515=TRUE,"Low quality","Benchmark")))</x:f>
        <x:v>Low quality</x:v>
      </x:c>
    </x:row>
    <x:row r="1516">
      <x:c r="A1516" s="2" t="str">
        <x:v>200018</x:v>
      </x:c>
      <x:c r="B1516" s="2" t="str">
        <x:v>NORTHERN LIGHT  A R GOULD HOSPITAL</x:v>
      </x:c>
      <x:c r="C1516" s="2" t="str">
        <x:v>PRESQUE ISLE</x:v>
      </x:c>
      <x:c r="D1516" s="2" t="str">
        <x:v>ME</x:v>
      </x:c>
      <x:c r="E1516" s="2" t="str">
        <x:v>Acute Care Hospitals</x:v>
      </x:c>
      <x:c r="F1516" s="2" t="str">
        <x:v>Voluntary non-profit</x:v>
      </x:c>
      <x:c r="G1516" s="2" t="str">
        <x:v>Small (&lt;100 beds)</x:v>
      </x:c>
      <x:c r="H1516" s="7" t="n">
        <x:v>2</x:v>
      </x:c>
      <x:c r="I1516" s="7" t="n">
        <x:v>4</x:v>
      </x:c>
      <x:c r="J1516" s="7" t="n">
        <x:v>0.86</x:v>
      </x:c>
      <x:c r="K1516" s="8" t="n">
        <x:v>44</x:v>
      </x:c>
      <x:c r="L1516" s="8" t="n">
        <x:v>2362</x:v>
      </x:c>
      <x:c r="M1516" s="9" t="n">
        <x:v>0.6225161451</x:v>
      </x:c>
      <x:c r="N1516" s="10" t="n">
        <x:v>75332.5110076207</x:v>
      </x:c>
      <x:c r="O1516" s="9" t="n">
        <x:v>-0.1368195899</x:v>
      </x:c>
      <x:c r="P1516" s="9" t="n">
        <x:v>0.6938958707</x:v>
      </x:c>
      <x:c r="Q1516" s="9" t="n">
        <x:v>0.0350089767</x:v>
      </x:c>
      <x:c r="R1516" s="3" t="b">
        <x:v>0</x:v>
      </x:c>
      <x:c r="S1516" s="3" t="b">
        <x:v>1</x:v>
      </x:c>
      <x:c r="T1516" s="3" t="b">
        <x:v>0</x:v>
      </x:c>
      <x:c r="U1516" s="2" t="str">
        <x:f>IF(T1516=TRUE,"Priority review",IF(R1516=TRUE,"High cost",IF(S1516=TRUE,"Low quality","Benchmark")))</x:f>
        <x:v>Low quality</x:v>
      </x:c>
    </x:row>
    <x:row r="1517">
      <x:c r="A1517" s="2" t="str">
        <x:v>521344</x:v>
      </x:c>
      <x:c r="B1517" s="2" t="str">
        <x:v>GUNDERSEN BOSCOBEL AREA HOSPITAL AND CLINICS</x:v>
      </x:c>
      <x:c r="C1517" s="2" t="str">
        <x:v>BOSCOBEL</x:v>
      </x:c>
      <x:c r="D1517" s="2" t="str">
        <x:v>WI</x:v>
      </x:c>
      <x:c r="E1517" s="2" t="str">
        <x:v>Critical Access Hospitals</x:v>
      </x:c>
      <x:c r="F1517" s="2" t="str">
        <x:v>Voluntary non-profit</x:v>
      </x:c>
      <x:c r="G1517" s="2" t="str">
        <x:v>Small (&lt;100 beds)</x:v>
      </x:c>
      <x:c r="H1517" s="7"/>
      <x:c r="I1517" s="7"/>
      <x:c r="J1517" s="7"/>
      <x:c r="K1517" s="8" t="n">
        <x:v>25</x:v>
      </x:c>
      <x:c r="L1517" s="8" t="n">
        <x:v>158</x:v>
      </x:c>
      <x:c r="M1517" s="9" t="n">
        <x:v>0.1827322404</x:v>
      </x:c>
      <x:c r="N1517" s="10" t="n">
        <x:v>187270.8797468354</x:v>
      </x:c>
      <x:c r="O1517" s="9" t="n">
        <x:v>0.1206957514</x:v>
      </x:c>
      <x:c r="P1517" s="9" t="n">
        <x:v>0.6936802974</x:v>
      </x:c>
      <x:c r="Q1517" s="9" t="n">
        <x:v>0.292936803</x:v>
      </x:c>
      <x:c r="R1517" s="3" t="b">
        <x:v>0</x:v>
      </x:c>
      <x:c r="S1517" s="3" t="b">
        <x:v>0</x:v>
      </x:c>
      <x:c r="T1517" s="3" t="b">
        <x:v>0</x:v>
      </x:c>
      <x:c r="U1517" s="2" t="str">
        <x:f>IF(T1517=TRUE,"Priority review",IF(R1517=TRUE,"High cost",IF(S1517=TRUE,"Low quality","Benchmark")))</x:f>
        <x:v>Benchmark</x:v>
      </x:c>
    </x:row>
    <x:row r="1518">
      <x:c r="A1518" s="2" t="str">
        <x:v>500077</x:v>
      </x:c>
      <x:c r="B1518" s="2" t="str">
        <x:v>PROVIDENCE HOLY FAMILY HOSPITAL</x:v>
      </x:c>
      <x:c r="C1518" s="2" t="str">
        <x:v>SPOKANE</x:v>
      </x:c>
      <x:c r="D1518" s="2" t="str">
        <x:v>WA</x:v>
      </x:c>
      <x:c r="E1518" s="2" t="str">
        <x:v>Acute Care Hospitals</x:v>
      </x:c>
      <x:c r="F1518" s="2" t="str">
        <x:v>Voluntary non-profit</x:v>
      </x:c>
      <x:c r="G1518" s="2" t="str">
        <x:v>Medium (100-299 beds)</x:v>
      </x:c>
      <x:c r="H1518" s="7" t="n">
        <x:v>3</x:v>
      </x:c>
      <x:c r="I1518" s="7" t="n">
        <x:v>3</x:v>
      </x:c>
      <x:c r="J1518" s="7" t="n">
        <x:v>0.94</x:v>
      </x:c>
      <x:c r="K1518" s="8" t="n">
        <x:v>187</x:v>
      </x:c>
      <x:c r="L1518" s="8" t="n">
        <x:v>7393</x:v>
      </x:c>
      <x:c r="M1518" s="9" t="n">
        <x:v>0.6132053417</x:v>
      </x:c>
      <x:c r="N1518" s="10" t="n">
        <x:v>43115.4432571351</x:v>
      </x:c>
      <x:c r="O1518" s="9" t="n">
        <x:v>-0.0619535321</x:v>
      </x:c>
      <x:c r="P1518" s="9" t="n">
        <x:v>0.6935615322</x:v>
      </x:c>
      <x:c r="Q1518" s="9" t="n">
        <x:v>0.3023634882</x:v>
      </x:c>
      <x:c r="R1518" s="3" t="b">
        <x:v>0</x:v>
      </x:c>
      <x:c r="S1518" s="3" t="b">
        <x:v>0</x:v>
      </x:c>
      <x:c r="T1518" s="3" t="b">
        <x:v>0</x:v>
      </x:c>
      <x:c r="U1518" s="2" t="str">
        <x:f>IF(T1518=TRUE,"Priority review",IF(R1518=TRUE,"High cost",IF(S1518=TRUE,"Low quality","Benchmark")))</x:f>
        <x:v>Benchmark</x:v>
      </x:c>
    </x:row>
    <x:row r="1519">
      <x:c r="A1519" s="2" t="str">
        <x:v>200063</x:v>
      </x:c>
      <x:c r="B1519" s="2" t="str">
        <x:v>MAINEHEALTH PEN BAY HOSPITAL</x:v>
      </x:c>
      <x:c r="C1519" s="2" t="str">
        <x:v>ROCKPORT</x:v>
      </x:c>
      <x:c r="D1519" s="2" t="str">
        <x:v>ME</x:v>
      </x:c>
      <x:c r="E1519" s="2" t="str">
        <x:v>Acute Care Hospitals</x:v>
      </x:c>
      <x:c r="F1519" s="2" t="str">
        <x:v>Voluntary non-profit</x:v>
      </x:c>
      <x:c r="G1519" s="2" t="str">
        <x:v>Small (&lt;100 beds)</x:v>
      </x:c>
      <x:c r="H1519" s="7" t="n">
        <x:v>3</x:v>
      </x:c>
      <x:c r="I1519" s="7" t="n">
        <x:v>4</x:v>
      </x:c>
      <x:c r="J1519" s="7" t="n">
        <x:v>0.92</x:v>
      </x:c>
      <x:c r="K1519" s="8" t="n">
        <x:v>81</x:v>
      </x:c>
      <x:c r="L1519" s="8" t="n">
        <x:v>2998</x:v>
      </x:c>
      <x:c r="M1519" s="9" t="n">
        <x:v>0.631889631</x:v>
      </x:c>
      <x:c r="N1519" s="10" t="n">
        <x:v>75147.1731154103</x:v>
      </x:c>
      <x:c r="O1519" s="9" t="n">
        <x:v>-0.1210412938</x:v>
      </x:c>
      <x:c r="P1519" s="9" t="n">
        <x:v>0.6929982047</x:v>
      </x:c>
      <x:c r="Q1519" s="9" t="n">
        <x:v>0.1687612208</x:v>
      </x:c>
      <x:c r="R1519" s="3" t="b">
        <x:v>0</x:v>
      </x:c>
      <x:c r="S1519" s="3" t="b">
        <x:v>0</x:v>
      </x:c>
      <x:c r="T1519" s="3" t="b">
        <x:v>0</x:v>
      </x:c>
      <x:c r="U1519" s="2" t="str">
        <x:f>IF(T1519=TRUE,"Priority review",IF(R1519=TRUE,"High cost",IF(S1519=TRUE,"Low quality","Benchmark")))</x:f>
        <x:v>Benchmark</x:v>
      </x:c>
    </x:row>
    <x:row r="1520">
      <x:c r="A1520" s="2" t="str">
        <x:v>101309</x:v>
      </x:c>
      <x:c r="B1520" s="2" t="str">
        <x:v>HENDRY REGIONAL MEDICAL CENTER</x:v>
      </x:c>
      <x:c r="C1520" s="2" t="str">
        <x:v>CLEWISTON</x:v>
      </x:c>
      <x:c r="D1520" s="2" t="str">
        <x:v>FL</x:v>
      </x:c>
      <x:c r="E1520" s="2" t="str">
        <x:v>Critical Access Hospitals</x:v>
      </x:c>
      <x:c r="F1520" s="2" t="str">
        <x:v>Voluntary non-profit</x:v>
      </x:c>
      <x:c r="G1520" s="2" t="str">
        <x:v>Small (&lt;100 beds)</x:v>
      </x:c>
      <x:c r="H1520" s="7"/>
      <x:c r="I1520" s="7"/>
      <x:c r="J1520" s="7"/>
      <x:c r="K1520" s="8" t="n">
        <x:v>25</x:v>
      </x:c>
      <x:c r="L1520" s="8" t="n">
        <x:v>257</x:v>
      </x:c>
      <x:c r="M1520" s="9" t="n">
        <x:v>0.1810928962</x:v>
      </x:c>
      <x:c r="N1520" s="10" t="n">
        <x:v>187054.8015564202</x:v>
      </x:c>
      <x:c r="O1520" s="9" t="n">
        <x:v>-0.1319536394</x:v>
      </x:c>
      <x:c r="P1520" s="9" t="n">
        <x:v>0.692936803</x:v>
      </x:c>
      <x:c r="Q1520" s="9" t="n">
        <x:v>0.292936803</x:v>
      </x:c>
      <x:c r="R1520" s="3" t="b">
        <x:v>0</x:v>
      </x:c>
      <x:c r="S1520" s="3" t="b">
        <x:v>0</x:v>
      </x:c>
      <x:c r="T1520" s="3" t="b">
        <x:v>0</x:v>
      </x:c>
      <x:c r="U1520" s="2" t="str">
        <x:f>IF(T1520=TRUE,"Priority review",IF(R1520=TRUE,"High cost",IF(S1520=TRUE,"Low quality","Benchmark")))</x:f>
        <x:v>Benchmark</x:v>
      </x:c>
    </x:row>
    <x:row r="1521">
      <x:c r="A1521" s="2" t="str">
        <x:v>180048</x:v>
      </x:c>
      <x:c r="B1521" s="2" t="str">
        <x:v>EPHRAIM MCDOWELL REGIONAL MEDICAL CENTER</x:v>
      </x:c>
      <x:c r="C1521" s="2" t="str">
        <x:v>DANVILLE</x:v>
      </x:c>
      <x:c r="D1521" s="2" t="str">
        <x:v>KY</x:v>
      </x:c>
      <x:c r="E1521" s="2" t="str">
        <x:v>Acute Care Hospitals</x:v>
      </x:c>
      <x:c r="F1521" s="2" t="str">
        <x:v>Voluntary non-profit</x:v>
      </x:c>
      <x:c r="G1521" s="2" t="str">
        <x:v>Medium (100-299 beds)</x:v>
      </x:c>
      <x:c r="H1521" s="7" t="n">
        <x:v>3</x:v>
      </x:c>
      <x:c r="I1521" s="7" t="n">
        <x:v>4</x:v>
      </x:c>
      <x:c r="J1521" s="7" t="n">
        <x:v>1.07</x:v>
      </x:c>
      <x:c r="K1521" s="8" t="n">
        <x:v>157</x:v>
      </x:c>
      <x:c r="L1521" s="8" t="n">
        <x:v>6287</x:v>
      </x:c>
      <x:c r="M1521" s="9" t="n">
        <x:v>0.4730430545</x:v>
      </x:c>
      <x:c r="N1521" s="10" t="n">
        <x:v>43103.6114203913</x:v>
      </x:c>
      <x:c r="O1521" s="9" t="n">
        <x:v>-0.0614847573</x:v>
      </x:c>
      <x:c r="P1521" s="9" t="n">
        <x:v>0.6927465363</x:v>
      </x:c>
      <x:c r="Q1521" s="9" t="n">
        <x:v>0.3023634882</x:v>
      </x:c>
      <x:c r="R1521" s="3" t="b">
        <x:v>0</x:v>
      </x:c>
      <x:c r="S1521" s="3" t="b">
        <x:v>0</x:v>
      </x:c>
      <x:c r="T1521" s="3" t="b">
        <x:v>0</x:v>
      </x:c>
      <x:c r="U1521" s="2" t="str">
        <x:f>IF(T1521=TRUE,"Priority review",IF(R1521=TRUE,"High cost",IF(S1521=TRUE,"Low quality","Benchmark")))</x:f>
        <x:v>Benchmark</x:v>
      </x:c>
    </x:row>
    <x:row r="1522">
      <x:c r="A1522" s="2" t="str">
        <x:v>214022</x:v>
      </x:c>
      <x:c r="B1522" s="2" t="str">
        <x:v>UM UPPER CHESAPEAKE BEHAVIORAL HEALTH PAVILION AT</x:v>
      </x:c>
      <x:c r="C1522" s="2" t="str">
        <x:v>ABERDEEN</x:v>
      </x:c>
      <x:c r="D1522" s="2" t="str">
        <x:v>MD</x:v>
      </x:c>
      <x:c r="E1522" s="2" t="str">
        <x:v>Psychiatric</x:v>
      </x:c>
      <x:c r="F1522" s="2" t="str">
        <x:v>Voluntary non-profit</x:v>
      </x:c>
      <x:c r="G1522" s="2" t="str">
        <x:v>Small (&lt;100 beds)</x:v>
      </x:c>
      <x:c r="H1522" s="7"/>
      <x:c r="I1522" s="7"/>
      <x:c r="J1522" s="7"/>
      <x:c r="K1522" s="8" t="n">
        <x:v>33</x:v>
      </x:c>
      <x:c r="L1522" s="8" t="n">
        <x:v>1148</x:v>
      </x:c>
      <x:c r="M1522" s="9" t="n">
        <x:v>0.8086342881</x:v>
      </x:c>
      <x:c r="N1522" s="10" t="n">
        <x:v>21410.7038327526</x:v>
      </x:c>
      <x:c r="O1522" s="9" t="n">
        <x:v>-0.2199421315</x:v>
      </x:c>
      <x:c r="P1522" s="9" t="n">
        <x:v>0.6925566343</x:v>
      </x:c>
      <x:c r="Q1522" s="9" t="n">
        <x:v>0</x:v>
      </x:c>
      <x:c r="R1522" s="3" t="b">
        <x:v>0</x:v>
      </x:c>
      <x:c r="S1522" s="3" t="b">
        <x:v>0</x:v>
      </x:c>
      <x:c r="T1522" s="3" t="b">
        <x:v>0</x:v>
      </x:c>
      <x:c r="U1522" s="2" t="str">
        <x:f>IF(T1522=TRUE,"Priority review",IF(R1522=TRUE,"High cost",IF(S1522=TRUE,"Low quality","Benchmark")))</x:f>
        <x:v>Benchmark</x:v>
      </x:c>
    </x:row>
    <x:row r="1523">
      <x:c r="A1523" s="2" t="str">
        <x:v>050772</x:v>
      </x:c>
      <x:c r="B1523" s="2" t="str">
        <x:v>KAISER FOUNDATION HOSPITAL - ROSEVILLE</x:v>
      </x:c>
      <x:c r="C1523" s="2" t="str">
        <x:v>ROSEVILLE</x:v>
      </x:c>
      <x:c r="D1523" s="2" t="str">
        <x:v>CA</x:v>
      </x:c>
      <x:c r="E1523" s="2" t="str">
        <x:v>Acute Care Hospitals</x:v>
      </x:c>
      <x:c r="F1523" s="2" t="str">
        <x:v>Voluntary non-profit</x:v>
      </x:c>
      <x:c r="G1523" s="2" t="str">
        <x:v>Large (300+ beds)</x:v>
      </x:c>
      <x:c r="H1523" s="7" t="n">
        <x:v>4</x:v>
      </x:c>
      <x:c r="I1523" s="7" t="n">
        <x:v>3</x:v>
      </x:c>
      <x:c r="J1523" s="7" t="n">
        <x:v>0.84</x:v>
      </x:c>
      <x:c r="K1523" s="8" t="n">
        <x:v>402</x:v>
      </x:c>
      <x:c r="L1523" s="8" t="n">
        <x:v>23481</x:v>
      </x:c>
      <x:c r="M1523" s="9" t="n">
        <x:v>0.7595220618</x:v>
      </x:c>
      <x:c r="N1523" s="10" t="n">
        <x:v>49534.2265235723</x:v>
      </x:c>
      <x:c r="O1523" s="9" t="n">
        <x:v>0.1301489417</x:v>
      </x:c>
      <x:c r="P1523" s="9" t="n">
        <x:v>0.6924290221</x:v>
      </x:c>
      <x:c r="Q1523" s="9" t="n">
        <x:v>0.5899053628</x:v>
      </x:c>
      <x:c r="R1523" s="3" t="b">
        <x:v>0</x:v>
      </x:c>
      <x:c r="S1523" s="3" t="b">
        <x:v>0</x:v>
      </x:c>
      <x:c r="T1523" s="3" t="b">
        <x:v>0</x:v>
      </x:c>
      <x:c r="U1523" s="2" t="str">
        <x:f>IF(T1523=TRUE,"Priority review",IF(R1523=TRUE,"High cost",IF(S1523=TRUE,"Low quality","Benchmark")))</x:f>
        <x:v>Benchmark</x:v>
      </x:c>
    </x:row>
    <x:row r="1524">
      <x:c r="A1524" s="2" t="str">
        <x:v>171388</x:v>
      </x:c>
      <x:c r="B1524" s="2" t="str">
        <x:v>BOB WILSON MEMORIAL HOSPITAL</x:v>
      </x:c>
      <x:c r="C1524" s="2" t="str">
        <x:v>ULYSSES</x:v>
      </x:c>
      <x:c r="D1524" s="2" t="str">
        <x:v>KS</x:v>
      </x:c>
      <x:c r="E1524" s="2" t="str">
        <x:v>Critical Access Hospitals</x:v>
      </x:c>
      <x:c r="F1524" s="2" t="str">
        <x:v>Voluntary non-profit</x:v>
      </x:c>
      <x:c r="G1524" s="2" t="str">
        <x:v>Small (&lt;100 beds)</x:v>
      </x:c>
      <x:c r="H1524" s="7"/>
      <x:c r="I1524" s="7"/>
      <x:c r="J1524" s="7"/>
      <x:c r="K1524" s="8" t="n">
        <x:v>25</x:v>
      </x:c>
      <x:c r="L1524" s="8" t="n">
        <x:v>84</x:v>
      </x:c>
      <x:c r="M1524" s="9" t="n">
        <x:v>0.1052054795</x:v>
      </x:c>
      <x:c r="N1524" s="10" t="n">
        <x:v>186893.0476190476</x:v>
      </x:c>
      <x:c r="O1524" s="9" t="n">
        <x:v>-0.3666033608</x:v>
      </x:c>
      <x:c r="P1524" s="9" t="n">
        <x:v>0.6921933086</x:v>
      </x:c>
      <x:c r="Q1524" s="9" t="n">
        <x:v>0.292936803</x:v>
      </x:c>
      <x:c r="R1524" s="3" t="b">
        <x:v>0</x:v>
      </x:c>
      <x:c r="S1524" s="3" t="b">
        <x:v>0</x:v>
      </x:c>
      <x:c r="T1524" s="3" t="b">
        <x:v>0</x:v>
      </x:c>
      <x:c r="U1524" s="2" t="str">
        <x:f>IF(T1524=TRUE,"Priority review",IF(R1524=TRUE,"High cost",IF(S1524=TRUE,"Low quality","Benchmark")))</x:f>
        <x:v>Benchmark</x:v>
      </x:c>
    </x:row>
    <x:row r="1525">
      <x:c r="A1525" s="2" t="str">
        <x:v>060012</x:v>
      </x:c>
      <x:c r="B1525" s="2" t="str">
        <x:v>ST MARY-CORWIN HOSPITAL</x:v>
      </x:c>
      <x:c r="C1525" s="2" t="str">
        <x:v>PUEBLO</x:v>
      </x:c>
      <x:c r="D1525" s="2" t="str">
        <x:v>CO</x:v>
      </x:c>
      <x:c r="E1525" s="2" t="str">
        <x:v>Acute Care Hospitals</x:v>
      </x:c>
      <x:c r="F1525" s="2" t="str">
        <x:v>Voluntary non-profit</x:v>
      </x:c>
      <x:c r="G1525" s="2" t="str">
        <x:v>Small (&lt;100 beds)</x:v>
      </x:c>
      <x:c r="H1525" s="7" t="n">
        <x:v>4</x:v>
      </x:c>
      <x:c r="I1525" s="7" t="n">
        <x:v>4</x:v>
      </x:c>
      <x:c r="J1525" s="7" t="n">
        <x:v>0.91</x:v>
      </x:c>
      <x:c r="K1525" s="8" t="n">
        <x:v>42</x:v>
      </x:c>
      <x:c r="L1525" s="8" t="n">
        <x:v>2016</x:v>
      </x:c>
      <x:c r="M1525" s="9" t="n">
        <x:v>0.5491846053</x:v>
      </x:c>
      <x:c r="N1525" s="10" t="n">
        <x:v>75050</x:v>
      </x:c>
      <x:c r="O1525" s="9" t="n">
        <x:v>-0.0887667719</x:v>
      </x:c>
      <x:c r="P1525" s="9" t="n">
        <x:v>0.6921005386</x:v>
      </x:c>
      <x:c r="Q1525" s="9" t="n">
        <x:v>0.3913824057</x:v>
      </x:c>
      <x:c r="R1525" s="3" t="b">
        <x:v>0</x:v>
      </x:c>
      <x:c r="S1525" s="3" t="b">
        <x:v>0</x:v>
      </x:c>
      <x:c r="T1525" s="3" t="b">
        <x:v>0</x:v>
      </x:c>
      <x:c r="U1525" s="2" t="str">
        <x:f>IF(T1525=TRUE,"Priority review",IF(R1525=TRUE,"High cost",IF(S1525=TRUE,"Low quality","Benchmark")))</x:f>
        <x:v>Benchmark</x:v>
      </x:c>
    </x:row>
    <x:row r="1526">
      <x:c r="A1526" s="2" t="str">
        <x:v>220019</x:v>
      </x:c>
      <x:c r="B1526" s="2" t="str">
        <x:v>UMASS MEMORIAL HEALTH - HARRINGTON HOSPITAL</x:v>
      </x:c>
      <x:c r="C1526" s="2" t="str">
        <x:v>SOUTHBRIDGE</x:v>
      </x:c>
      <x:c r="D1526" s="2" t="str">
        <x:v>MA</x:v>
      </x:c>
      <x:c r="E1526" s="2" t="str">
        <x:v>Acute Care Hospitals</x:v>
      </x:c>
      <x:c r="F1526" s="2" t="str">
        <x:v>Voluntary non-profit</x:v>
      </x:c>
      <x:c r="G1526" s="2" t="str">
        <x:v>Medium (100-299 beds)</x:v>
      </x:c>
      <x:c r="H1526" s="7" t="n">
        <x:v>3</x:v>
      </x:c>
      <x:c r="I1526" s="7" t="n">
        <x:v>2</x:v>
      </x:c>
      <x:c r="J1526" s="7" t="n">
        <x:v>0.97</x:v>
      </x:c>
      <x:c r="K1526" s="8" t="n">
        <x:v>129</x:v>
      </x:c>
      <x:c r="L1526" s="8" t="n">
        <x:v>4283</x:v>
      </x:c>
      <x:c r="M1526" s="9" t="n">
        <x:v>0.5956495955</x:v>
      </x:c>
      <x:c r="N1526" s="10" t="n">
        <x:v>43055.3285080551</x:v>
      </x:c>
      <x:c r="O1526" s="9" t="n">
        <x:v>-0.1109052214</x:v>
      </x:c>
      <x:c r="P1526" s="9" t="n">
        <x:v>0.6919315403</x:v>
      </x:c>
      <x:c r="Q1526" s="9" t="n">
        <x:v>0.3023634882</x:v>
      </x:c>
      <x:c r="R1526" s="3" t="b">
        <x:v>0</x:v>
      </x:c>
      <x:c r="S1526" s="3" t="b">
        <x:v>0</x:v>
      </x:c>
      <x:c r="T1526" s="3" t="b">
        <x:v>0</x:v>
      </x:c>
      <x:c r="U1526" s="2" t="str">
        <x:f>IF(T1526=TRUE,"Priority review",IF(R1526=TRUE,"High cost",IF(S1526=TRUE,"Low quality","Benchmark")))</x:f>
        <x:v>Benchmark</x:v>
      </x:c>
    </x:row>
    <x:row r="1527">
      <x:c r="A1527" s="2" t="str">
        <x:v>224044</x:v>
      </x:c>
      <x:c r="B1527" s="2" t="str">
        <x:v>WESTBOROUGH BEHAVIORAL HEALTHCARE HOSPITAL LLC</x:v>
      </x:c>
      <x:c r="C1527" s="2" t="str">
        <x:v>WESTBOROUGH</x:v>
      </x:c>
      <x:c r="D1527" s="2" t="str">
        <x:v>MA</x:v>
      </x:c>
      <x:c r="E1527" s="2" t="str">
        <x:v>Psychiatric</x:v>
      </x:c>
      <x:c r="F1527" s="2" t="str">
        <x:v>Proprietary</x:v>
      </x:c>
      <x:c r="G1527" s="2" t="str">
        <x:v>Medium (100-299 beds)</x:v>
      </x:c>
      <x:c r="H1527" s="7"/>
      <x:c r="I1527" s="7"/>
      <x:c r="J1527" s="7"/>
      <x:c r="K1527" s="8" t="n">
        <x:v>114</x:v>
      </x:c>
      <x:c r="L1527" s="8" t="n">
        <x:v>1675</x:v>
      </x:c>
      <x:c r="M1527" s="9" t="n">
        <x:v>0.6718435433</x:v>
      </x:c>
      <x:c r="N1527" s="10" t="n">
        <x:v>20523.5964179104</x:v>
      </x:c>
      <x:c r="O1527" s="9" t="n">
        <x:v>0.0217726502</x:v>
      </x:c>
      <x:c r="P1527" s="9" t="n">
        <x:v>0.6915422886</x:v>
      </x:c>
      <x:c r="Q1527" s="9" t="n">
        <x:v>0</x:v>
      </x:c>
      <x:c r="R1527" s="3" t="b">
        <x:v>0</x:v>
      </x:c>
      <x:c r="S1527" s="3" t="b">
        <x:v>0</x:v>
      </x:c>
      <x:c r="T1527" s="3" t="b">
        <x:v>0</x:v>
      </x:c>
      <x:c r="U1527" s="2" t="str">
        <x:f>IF(T1527=TRUE,"Priority review",IF(R1527=TRUE,"High cost",IF(S1527=TRUE,"Low quality","Benchmark")))</x:f>
        <x:v>Benchmark</x:v>
      </x:c>
    </x:row>
    <x:row r="1528">
      <x:c r="A1528" s="2" t="str">
        <x:v>141316</x:v>
      </x:c>
      <x:c r="B1528" s="2" t="str">
        <x:v>CARLE HOOPESTON REGIONAL HEALTH CENTER</x:v>
      </x:c>
      <x:c r="C1528" s="2" t="str">
        <x:v>HOOPESTON</x:v>
      </x:c>
      <x:c r="D1528" s="2" t="str">
        <x:v>IL</x:v>
      </x:c>
      <x:c r="E1528" s="2" t="str">
        <x:v>Critical Access Hospitals</x:v>
      </x:c>
      <x:c r="F1528" s="2" t="str">
        <x:v>Voluntary non-profit</x:v>
      </x:c>
      <x:c r="G1528" s="2" t="str">
        <x:v>Small (&lt;100 beds)</x:v>
      </x:c>
      <x:c r="H1528" s="7"/>
      <x:c r="I1528" s="7" t="n">
        <x:v>4</x:v>
      </x:c>
      <x:c r="J1528" s="7"/>
      <x:c r="K1528" s="8" t="n">
        <x:v>22</x:v>
      </x:c>
      <x:c r="L1528" s="8" t="n">
        <x:v>423</x:v>
      </x:c>
      <x:c r="M1528" s="9" t="n">
        <x:v>0.2127421759</x:v>
      </x:c>
      <x:c r="N1528" s="10" t="n">
        <x:v>186614.8274231679</x:v>
      </x:c>
      <x:c r="O1528" s="9" t="n">
        <x:v>-0.024496991</x:v>
      </x:c>
      <x:c r="P1528" s="9" t="n">
        <x:v>0.6914498141</x:v>
      </x:c>
      <x:c r="Q1528" s="9" t="n">
        <x:v>0.292936803</x:v>
      </x:c>
      <x:c r="R1528" s="3" t="b">
        <x:v>0</x:v>
      </x:c>
      <x:c r="S1528" s="3" t="b">
        <x:v>0</x:v>
      </x:c>
      <x:c r="T1528" s="3" t="b">
        <x:v>0</x:v>
      </x:c>
      <x:c r="U1528" s="2" t="str">
        <x:f>IF(T1528=TRUE,"Priority review",IF(R1528=TRUE,"High cost",IF(S1528=TRUE,"Low quality","Benchmark")))</x:f>
        <x:v>Benchmark</x:v>
      </x:c>
    </x:row>
    <x:row r="1529">
      <x:c r="A1529" s="2" t="str">
        <x:v>470012</x:v>
      </x:c>
      <x:c r="B1529" s="2" t="str">
        <x:v>SOUTHWESTERN VERMONT MEDICAL CENTER</x:v>
      </x:c>
      <x:c r="C1529" s="2" t="str">
        <x:v>BENNINGTON</x:v>
      </x:c>
      <x:c r="D1529" s="2" t="str">
        <x:v>VT</x:v>
      </x:c>
      <x:c r="E1529" s="2" t="str">
        <x:v>Acute Care Hospitals</x:v>
      </x:c>
      <x:c r="F1529" s="2" t="str">
        <x:v>Voluntary non-profit</x:v>
      </x:c>
      <x:c r="G1529" s="2" t="str">
        <x:v>Small (&lt;100 beds)</x:v>
      </x:c>
      <x:c r="H1529" s="7" t="n">
        <x:v>3</x:v>
      </x:c>
      <x:c r="I1529" s="7" t="n">
        <x:v>4</x:v>
      </x:c>
      <x:c r="J1529" s="7" t="n">
        <x:v>0.96</x:v>
      </x:c>
      <x:c r="K1529" s="8" t="n">
        <x:v>56</x:v>
      </x:c>
      <x:c r="L1529" s="8" t="n">
        <x:v>2896</x:v>
      </x:c>
      <x:c r="M1529" s="9" t="n">
        <x:v>0.5717701015</x:v>
      </x:c>
      <x:c r="N1529" s="10" t="n">
        <x:v>74994.9378453039</x:v>
      </x:c>
      <x:c r="O1529" s="9" t="n">
        <x:v>-0.2600399312</x:v>
      </x:c>
      <x:c r="P1529" s="9" t="n">
        <x:v>0.6912028725</x:v>
      </x:c>
      <x:c r="Q1529" s="9" t="n">
        <x:v>0.1687612208</x:v>
      </x:c>
      <x:c r="R1529" s="3" t="b">
        <x:v>0</x:v>
      </x:c>
      <x:c r="S1529" s="3" t="b">
        <x:v>0</x:v>
      </x:c>
      <x:c r="T1529" s="3" t="b">
        <x:v>0</x:v>
      </x:c>
      <x:c r="U1529" s="2" t="str">
        <x:f>IF(T1529=TRUE,"Priority review",IF(R1529=TRUE,"High cost",IF(S1529=TRUE,"Low quality","Benchmark")))</x:f>
        <x:v>Benchmark</x:v>
      </x:c>
    </x:row>
    <x:row r="1530">
      <x:c r="A1530" s="2" t="str">
        <x:v>140032</x:v>
      </x:c>
      <x:c r="B1530" s="2" t="str">
        <x:v>ST ANTHONYS MEMORIAL HOSPITAL</x:v>
      </x:c>
      <x:c r="C1530" s="2" t="str">
        <x:v>EFFINGHAM</x:v>
      </x:c>
      <x:c r="D1530" s="2" t="str">
        <x:v>IL</x:v>
      </x:c>
      <x:c r="E1530" s="2" t="str">
        <x:v>Acute Care Hospitals</x:v>
      </x:c>
      <x:c r="F1530" s="2" t="str">
        <x:v>Voluntary non-profit</x:v>
      </x:c>
      <x:c r="G1530" s="2" t="str">
        <x:v>Medium (100-299 beds)</x:v>
      </x:c>
      <x:c r="H1530" s="7" t="n">
        <x:v>3</x:v>
      </x:c>
      <x:c r="I1530" s="7" t="n">
        <x:v>4</x:v>
      </x:c>
      <x:c r="J1530" s="7" t="n">
        <x:v>0.94</x:v>
      </x:c>
      <x:c r="K1530" s="8" t="n">
        <x:v>133</x:v>
      </x:c>
      <x:c r="L1530" s="8" t="n">
        <x:v>3403</x:v>
      </x:c>
      <x:c r="M1530" s="9" t="n">
        <x:v>0.2325471212</x:v>
      </x:c>
      <x:c r="N1530" s="10" t="n">
        <x:v>42907.8169262416</x:v>
      </x:c>
      <x:c r="O1530" s="9" t="n">
        <x:v>0.1460704996</x:v>
      </x:c>
      <x:c r="P1530" s="9" t="n">
        <x:v>0.6911165444</x:v>
      </x:c>
      <x:c r="Q1530" s="9" t="n">
        <x:v>0.3023634882</x:v>
      </x:c>
      <x:c r="R1530" s="3" t="b">
        <x:v>0</x:v>
      </x:c>
      <x:c r="S1530" s="3" t="b">
        <x:v>0</x:v>
      </x:c>
      <x:c r="T1530" s="3" t="b">
        <x:v>0</x:v>
      </x:c>
      <x:c r="U1530" s="2" t="str">
        <x:f>IF(T1530=TRUE,"Priority review",IF(R1530=TRUE,"High cost",IF(S1530=TRUE,"Low quality","Benchmark")))</x:f>
        <x:v>Benchmark</x:v>
      </x:c>
    </x:row>
    <x:row r="1531">
      <x:c r="A1531" s="2" t="str">
        <x:v>360017</x:v>
      </x:c>
      <x:c r="B1531" s="2" t="str">
        <x:v>GRANT MEDICAL CENTER</x:v>
      </x:c>
      <x:c r="C1531" s="2" t="str">
        <x:v>COLUMBUS</x:v>
      </x:c>
      <x:c r="D1531" s="2" t="str">
        <x:v>OH</x:v>
      </x:c>
      <x:c r="E1531" s="2" t="str">
        <x:v>Acute Care Hospitals</x:v>
      </x:c>
      <x:c r="F1531" s="2" t="str">
        <x:v>Voluntary non-profit</x:v>
      </x:c>
      <x:c r="G1531" s="2" t="str">
        <x:v>Large (300+ beds)</x:v>
      </x:c>
      <x:c r="H1531" s="7" t="n">
        <x:v>2</x:v>
      </x:c>
      <x:c r="I1531" s="7" t="n">
        <x:v>3</x:v>
      </x:c>
      <x:c r="J1531" s="7" t="n">
        <x:v>0.97</x:v>
      </x:c>
      <x:c r="K1531" s="8" t="n">
        <x:v>551</x:v>
      </x:c>
      <x:c r="L1531" s="8" t="n">
        <x:v>26229</x:v>
      </x:c>
      <x:c r="M1531" s="9" t="n">
        <x:v>0.6919821992</x:v>
      </x:c>
      <x:c r="N1531" s="10" t="n">
        <x:v>49338.9189065538</x:v>
      </x:c>
      <x:c r="O1531" s="9" t="n">
        <x:v>0.0804209259</x:v>
      </x:c>
      <x:c r="P1531" s="9" t="n">
        <x:v>0.690851735</x:v>
      </x:c>
      <x:c r="Q1531" s="9" t="n">
        <x:v>0.0536277603</x:v>
      </x:c>
      <x:c r="R1531" s="3" t="b">
        <x:v>0</x:v>
      </x:c>
      <x:c r="S1531" s="3" t="b">
        <x:v>1</x:v>
      </x:c>
      <x:c r="T1531" s="3" t="b">
        <x:v>0</x:v>
      </x:c>
      <x:c r="U1531" s="2" t="str">
        <x:f>IF(T1531=TRUE,"Priority review",IF(R1531=TRUE,"High cost",IF(S1531=TRUE,"Low quality","Benchmark")))</x:f>
        <x:v>Low quality</x:v>
      </x:c>
    </x:row>
    <x:row r="1532">
      <x:c r="A1532" s="2" t="str">
        <x:v>281356</x:v>
      </x:c>
      <x:c r="B1532" s="2" t="str">
        <x:v>PERKINS COUNTY HEALTH SERVICES</x:v>
      </x:c>
      <x:c r="C1532" s="2" t="str">
        <x:v>GRANT</x:v>
      </x:c>
      <x:c r="D1532" s="2" t="str">
        <x:v>NE</x:v>
      </x:c>
      <x:c r="E1532" s="2" t="str">
        <x:v>Critical Access Hospitals</x:v>
      </x:c>
      <x:c r="F1532" s="2" t="str">
        <x:v>Government</x:v>
      </x:c>
      <x:c r="G1532" s="2" t="str">
        <x:v>Small (&lt;100 beds)</x:v>
      </x:c>
      <x:c r="H1532" s="7"/>
      <x:c r="I1532" s="7"/>
      <x:c r="J1532" s="7"/>
      <x:c r="K1532" s="8" t="n">
        <x:v>20</x:v>
      </x:c>
      <x:c r="L1532" s="8" t="n">
        <x:v>170</x:v>
      </x:c>
      <x:c r="M1532" s="9" t="n">
        <x:v>0.1309589041</x:v>
      </x:c>
      <x:c r="N1532" s="10" t="n">
        <x:v>186273.5882352941</x:v>
      </x:c>
      <x:c r="O1532" s="9" t="n">
        <x:v>-0.1230058509</x:v>
      </x:c>
      <x:c r="P1532" s="9" t="n">
        <x:v>0.6907063197</x:v>
      </x:c>
      <x:c r="Q1532" s="9" t="n">
        <x:v>0.292936803</x:v>
      </x:c>
      <x:c r="R1532" s="3" t="b">
        <x:v>0</x:v>
      </x:c>
      <x:c r="S1532" s="3" t="b">
        <x:v>0</x:v>
      </x:c>
      <x:c r="T1532" s="3" t="b">
        <x:v>0</x:v>
      </x:c>
      <x:c r="U1532" s="2" t="str">
        <x:f>IF(T1532=TRUE,"Priority review",IF(R1532=TRUE,"High cost",IF(S1532=TRUE,"Low quality","Benchmark")))</x:f>
        <x:v>Benchmark</x:v>
      </x:c>
    </x:row>
    <x:row r="1533">
      <x:c r="A1533" s="2" t="str">
        <x:v>200008</x:v>
      </x:c>
      <x:c r="B1533" s="2" t="str">
        <x:v>NORTHERN LIGHT MERCY HOSPITAL</x:v>
      </x:c>
      <x:c r="C1533" s="2" t="str">
        <x:v>PORTLAND</x:v>
      </x:c>
      <x:c r="D1533" s="2" t="str">
        <x:v>ME</x:v>
      </x:c>
      <x:c r="E1533" s="2" t="str">
        <x:v>Acute Care Hospitals</x:v>
      </x:c>
      <x:c r="F1533" s="2" t="str">
        <x:v>Voluntary non-profit</x:v>
      </x:c>
      <x:c r="G1533" s="2" t="str">
        <x:v>Small (&lt;100 beds)</x:v>
      </x:c>
      <x:c r="H1533" s="7" t="n">
        <x:v>4</x:v>
      </x:c>
      <x:c r="I1533" s="7" t="n">
        <x:v>4</x:v>
      </x:c>
      <x:c r="J1533" s="7" t="n">
        <x:v>1</x:v>
      </x:c>
      <x:c r="K1533" s="8" t="n">
        <x:v>77</x:v>
      </x:c>
      <x:c r="L1533" s="8" t="n">
        <x:v>4202</x:v>
      </x:c>
      <x:c r="M1533" s="9" t="n">
        <x:v>0.6983890427</x:v>
      </x:c>
      <x:c r="N1533" s="10" t="n">
        <x:v>74990.9393146121</x:v>
      </x:c>
      <x:c r="O1533" s="9" t="n">
        <x:v>-0.0187902888</x:v>
      </x:c>
      <x:c r="P1533" s="9" t="n">
        <x:v>0.6903052065</x:v>
      </x:c>
      <x:c r="Q1533" s="9" t="n">
        <x:v>0.3913824057</x:v>
      </x:c>
      <x:c r="R1533" s="3" t="b">
        <x:v>0</x:v>
      </x:c>
      <x:c r="S1533" s="3" t="b">
        <x:v>0</x:v>
      </x:c>
      <x:c r="T1533" s="3" t="b">
        <x:v>0</x:v>
      </x:c>
      <x:c r="U1533" s="2" t="str">
        <x:f>IF(T1533=TRUE,"Priority review",IF(R1533=TRUE,"High cost",IF(S1533=TRUE,"Low quality","Benchmark")))</x:f>
        <x:v>Benchmark</x:v>
      </x:c>
    </x:row>
    <x:row r="1534">
      <x:c r="A1534" s="2" t="str">
        <x:v>260177</x:v>
      </x:c>
      <x:c r="B1534" s="2" t="str">
        <x:v>LIBERTY HOSPITAL</x:v>
      </x:c>
      <x:c r="C1534" s="2" t="str">
        <x:v>LIBERTY</x:v>
      </x:c>
      <x:c r="D1534" s="2" t="str">
        <x:v>MO</x:v>
      </x:c>
      <x:c r="E1534" s="2" t="str">
        <x:v>Acute Care Hospitals</x:v>
      </x:c>
      <x:c r="F1534" s="2" t="str">
        <x:v>Voluntary non-profit</x:v>
      </x:c>
      <x:c r="G1534" s="2" t="str">
        <x:v>Medium (100-299 beds)</x:v>
      </x:c>
      <x:c r="H1534" s="7" t="n">
        <x:v>2</x:v>
      </x:c>
      <x:c r="I1534" s="7" t="n">
        <x:v>3</x:v>
      </x:c>
      <x:c r="J1534" s="7" t="n">
        <x:v>1.05</x:v>
      </x:c>
      <x:c r="K1534" s="8" t="n">
        <x:v>199</x:v>
      </x:c>
      <x:c r="L1534" s="8" t="n">
        <x:v>7727</x:v>
      </x:c>
      <x:c r="M1534" s="9" t="n">
        <x:v>0.4912952742</x:v>
      </x:c>
      <x:c r="N1534" s="10" t="n">
        <x:v>42801.4151675942</x:v>
      </x:c>
      <x:c r="O1534" s="9" t="n">
        <x:v>-0.1251950523</x:v>
      </x:c>
      <x:c r="P1534" s="9" t="n">
        <x:v>0.6903015485</x:v>
      </x:c>
      <x:c r="Q1534" s="9" t="n">
        <x:v>0.0782396088</x:v>
      </x:c>
      <x:c r="R1534" s="3" t="b">
        <x:v>0</x:v>
      </x:c>
      <x:c r="S1534" s="3" t="b">
        <x:v>1</x:v>
      </x:c>
      <x:c r="T1534" s="3" t="b">
        <x:v>0</x:v>
      </x:c>
      <x:c r="U1534" s="2" t="str">
        <x:f>IF(T1534=TRUE,"Priority review",IF(R1534=TRUE,"High cost",IF(S1534=TRUE,"Low quality","Benchmark")))</x:f>
        <x:v>Low quality</x:v>
      </x:c>
    </x:row>
    <x:row r="1535">
      <x:c r="A1535" s="2" t="str">
        <x:v>161352</x:v>
      </x:c>
      <x:c r="B1535" s="2" t="str">
        <x:v>CLARINDA REGIONAL HEALTH CENTER</x:v>
      </x:c>
      <x:c r="C1535" s="2" t="str">
        <x:v>CLARINDA</x:v>
      </x:c>
      <x:c r="D1535" s="2" t="str">
        <x:v>IA</x:v>
      </x:c>
      <x:c r="E1535" s="2" t="str">
        <x:v>Critical Access Hospitals</x:v>
      </x:c>
      <x:c r="F1535" s="2" t="str">
        <x:v>Government</x:v>
      </x:c>
      <x:c r="G1535" s="2" t="str">
        <x:v>Small (&lt;100 beds)</x:v>
      </x:c>
      <x:c r="H1535" s="7" t="n">
        <x:v>4</x:v>
      </x:c>
      <x:c r="I1535" s="7"/>
      <x:c r="J1535" s="7"/>
      <x:c r="K1535" s="8" t="n">
        <x:v>25</x:v>
      </x:c>
      <x:c r="L1535" s="8" t="n">
        <x:v>358</x:v>
      </x:c>
      <x:c r="M1535" s="9" t="n">
        <x:v>0.2341917808</x:v>
      </x:c>
      <x:c r="N1535" s="10" t="n">
        <x:v>186111.8463687151</x:v>
      </x:c>
      <x:c r="O1535" s="9" t="n">
        <x:v>-0.0573222121</x:v>
      </x:c>
      <x:c r="P1535" s="9" t="n">
        <x:v>0.6899628253</x:v>
      </x:c>
      <x:c r="Q1535" s="9" t="n">
        <x:v>0.1657992565</x:v>
      </x:c>
      <x:c r="R1535" s="3" t="b">
        <x:v>0</x:v>
      </x:c>
      <x:c r="S1535" s="3" t="b">
        <x:v>0</x:v>
      </x:c>
      <x:c r="T1535" s="3" t="b">
        <x:v>0</x:v>
      </x:c>
      <x:c r="U1535" s="2" t="str">
        <x:f>IF(T1535=TRUE,"Priority review",IF(R1535=TRUE,"High cost",IF(S1535=TRUE,"Low quality","Benchmark")))</x:f>
        <x:v>Benchmark</x:v>
      </x:c>
    </x:row>
    <x:row r="1536">
      <x:c r="A1536" s="2" t="str">
        <x:v>340132</x:v>
      </x:c>
      <x:c r="B1536" s="2" t="str">
        <x:v>MARIA PARHAM MEDICAL CENTER</x:v>
      </x:c>
      <x:c r="C1536" s="2" t="str">
        <x:v>HENDERSON</x:v>
      </x:c>
      <x:c r="D1536" s="2" t="str">
        <x:v>NC</x:v>
      </x:c>
      <x:c r="E1536" s="2" t="str">
        <x:v>Acute Care Hospitals</x:v>
      </x:c>
      <x:c r="F1536" s="2" t="str">
        <x:v>Proprietary</x:v>
      </x:c>
      <x:c r="G1536" s="2" t="str">
        <x:v>Medium (100-299 beds)</x:v>
      </x:c>
      <x:c r="H1536" s="7" t="n">
        <x:v>2</x:v>
      </x:c>
      <x:c r="I1536" s="7" t="n">
        <x:v>2</x:v>
      </x:c>
      <x:c r="J1536" s="7" t="n">
        <x:v>1.01</x:v>
      </x:c>
      <x:c r="K1536" s="8" t="n">
        <x:v>111</x:v>
      </x:c>
      <x:c r="L1536" s="8" t="n">
        <x:v>3873</x:v>
      </x:c>
      <x:c r="M1536" s="9" t="n">
        <x:v>0.5529217742</x:v>
      </x:c>
      <x:c r="N1536" s="10" t="n">
        <x:v>42732.5409243481</x:v>
      </x:c>
      <x:c r="O1536" s="9" t="n">
        <x:v>0.042757806</x:v>
      </x:c>
      <x:c r="P1536" s="9" t="n">
        <x:v>0.6894865526</x:v>
      </x:c>
      <x:c r="Q1536" s="9" t="n">
        <x:v>0.0782396088</x:v>
      </x:c>
      <x:c r="R1536" s="3" t="b">
        <x:v>0</x:v>
      </x:c>
      <x:c r="S1536" s="3" t="b">
        <x:v>1</x:v>
      </x:c>
      <x:c r="T1536" s="3" t="b">
        <x:v>0</x:v>
      </x:c>
      <x:c r="U1536" s="2" t="str">
        <x:f>IF(T1536=TRUE,"Priority review",IF(R1536=TRUE,"High cost",IF(S1536=TRUE,"Low quality","Benchmark")))</x:f>
        <x:v>Low quality</x:v>
      </x:c>
    </x:row>
    <x:row r="1537">
      <x:c r="A1537" s="2" t="str">
        <x:v>530025</x:v>
      </x:c>
      <x:c r="B1537" s="2" t="str">
        <x:v>IVINSON MEMORIAL HOSPITAL</x:v>
      </x:c>
      <x:c r="C1537" s="2" t="str">
        <x:v>LARAMIE</x:v>
      </x:c>
      <x:c r="D1537" s="2" t="str">
        <x:v>WY</x:v>
      </x:c>
      <x:c r="E1537" s="2" t="str">
        <x:v>Acute Care Hospitals</x:v>
      </x:c>
      <x:c r="F1537" s="2" t="str">
        <x:v>Government</x:v>
      </x:c>
      <x:c r="G1537" s="2" t="str">
        <x:v>Small (&lt;100 beds)</x:v>
      </x:c>
      <x:c r="H1537" s="7" t="n">
        <x:v>3</x:v>
      </x:c>
      <x:c r="I1537" s="7" t="n">
        <x:v>4</x:v>
      </x:c>
      <x:c r="J1537" s="7" t="n">
        <x:v>0.97</x:v>
      </x:c>
      <x:c r="K1537" s="8" t="n">
        <x:v>76</x:v>
      </x:c>
      <x:c r="L1537" s="8" t="n">
        <x:v>1729</x:v>
      </x:c>
      <x:c r="M1537" s="9" t="n">
        <x:v>0.2200072098</x:v>
      </x:c>
      <x:c r="N1537" s="10" t="n">
        <x:v>74980.9300173511</x:v>
      </x:c>
      <x:c r="O1537" s="9" t="n">
        <x:v>0.1379872173</x:v>
      </x:c>
      <x:c r="P1537" s="9" t="n">
        <x:v>0.6894075404</x:v>
      </x:c>
      <x:c r="Q1537" s="9" t="n">
        <x:v>0.1687612208</x:v>
      </x:c>
      <x:c r="R1537" s="3" t="b">
        <x:v>0</x:v>
      </x:c>
      <x:c r="S1537" s="3" t="b">
        <x:v>0</x:v>
      </x:c>
      <x:c r="T1537" s="3" t="b">
        <x:v>0</x:v>
      </x:c>
      <x:c r="U1537" s="2" t="str">
        <x:f>IF(T1537=TRUE,"Priority review",IF(R1537=TRUE,"High cost",IF(S1537=TRUE,"Low quality","Benchmark")))</x:f>
        <x:v>Benchmark</x:v>
      </x:c>
    </x:row>
    <x:row r="1538">
      <x:c r="A1538" s="2" t="str">
        <x:v>214003</x:v>
      </x:c>
      <x:c r="B1538" s="2" t="str">
        <x:v>BROOK LANE HEALTH SERVICES</x:v>
      </x:c>
      <x:c r="C1538" s="2" t="str">
        <x:v>HAGERSTOWN</x:v>
      </x:c>
      <x:c r="D1538" s="2" t="str">
        <x:v>MD</x:v>
      </x:c>
      <x:c r="E1538" s="2" t="str">
        <x:v>Psychiatric</x:v>
      </x:c>
      <x:c r="F1538" s="2" t="str">
        <x:v>Voluntary non-profit</x:v>
      </x:c>
      <x:c r="G1538" s="2" t="str">
        <x:v>Small (&lt;100 beds)</x:v>
      </x:c>
      <x:c r="H1538" s="7"/>
      <x:c r="I1538" s="7"/>
      <x:c r="J1538" s="7"/>
      <x:c r="K1538" s="8" t="n">
        <x:v>65</x:v>
      </x:c>
      <x:c r="L1538" s="8" t="n">
        <x:v>1340</x:v>
      </x:c>
      <x:c r="M1538" s="9" t="n">
        <x:v>0.7435194942</x:v>
      </x:c>
      <x:c r="N1538" s="10" t="n">
        <x:v>21352.7492537313</x:v>
      </x:c>
      <x:c r="O1538" s="9" t="n">
        <x:v>-0.0724467461</x:v>
      </x:c>
      <x:c r="P1538" s="9" t="n">
        <x:v>0.6893203883</x:v>
      </x:c>
      <x:c r="Q1538" s="9" t="n">
        <x:v>0</x:v>
      </x:c>
      <x:c r="R1538" s="3" t="b">
        <x:v>0</x:v>
      </x:c>
      <x:c r="S1538" s="3" t="b">
        <x:v>0</x:v>
      </x:c>
      <x:c r="T1538" s="3" t="b">
        <x:v>0</x:v>
      </x:c>
      <x:c r="U1538" s="2" t="str">
        <x:f>IF(T1538=TRUE,"Priority review",IF(R1538=TRUE,"High cost",IF(S1538=TRUE,"Low quality","Benchmark")))</x:f>
        <x:v>Benchmark</x:v>
      </x:c>
    </x:row>
    <x:row r="1539">
      <x:c r="A1539" s="2" t="str">
        <x:v>260006</x:v>
      </x:c>
      <x:c r="B1539" s="2" t="str">
        <x:v>MOSAIC LIFE CARE AT ST JOSEPH</x:v>
      </x:c>
      <x:c r="C1539" s="2" t="str">
        <x:v>SAINT JOSEPH</x:v>
      </x:c>
      <x:c r="D1539" s="2" t="str">
        <x:v>MO</x:v>
      </x:c>
      <x:c r="E1539" s="2" t="str">
        <x:v>Acute Care Hospitals</x:v>
      </x:c>
      <x:c r="F1539" s="2" t="str">
        <x:v>Voluntary non-profit</x:v>
      </x:c>
      <x:c r="G1539" s="2" t="str">
        <x:v>Large (300+ beds)</x:v>
      </x:c>
      <x:c r="H1539" s="7" t="n">
        <x:v>4</x:v>
      </x:c>
      <x:c r="I1539" s="7" t="n">
        <x:v>3</x:v>
      </x:c>
      <x:c r="J1539" s="7" t="n">
        <x:v>1.05</x:v>
      </x:c>
      <x:c r="K1539" s="8" t="n">
        <x:v>330</x:v>
      </x:c>
      <x:c r="L1539" s="8" t="n">
        <x:v>16324</x:v>
      </x:c>
      <x:c r="M1539" s="9" t="n">
        <x:v>0.5974927356</x:v>
      </x:c>
      <x:c r="N1539" s="10" t="n">
        <x:v>49165.7411173732</x:v>
      </x:c>
      <x:c r="O1539" s="9" t="n">
        <x:v>-0.0260493018</x:v>
      </x:c>
      <x:c r="P1539" s="9" t="n">
        <x:v>0.6892744479</x:v>
      </x:c>
      <x:c r="Q1539" s="9" t="n">
        <x:v>0.5899053628</x:v>
      </x:c>
      <x:c r="R1539" s="3" t="b">
        <x:v>0</x:v>
      </x:c>
      <x:c r="S1539" s="3" t="b">
        <x:v>0</x:v>
      </x:c>
      <x:c r="T1539" s="3" t="b">
        <x:v>0</x:v>
      </x:c>
      <x:c r="U1539" s="2" t="str">
        <x:f>IF(T1539=TRUE,"Priority review",IF(R1539=TRUE,"High cost",IF(S1539=TRUE,"Low quality","Benchmark")))</x:f>
        <x:v>Benchmark</x:v>
      </x:c>
    </x:row>
    <x:row r="1540">
      <x:c r="A1540" s="2" t="str">
        <x:v>141327</x:v>
      </x:c>
      <x:c r="B1540" s="2" t="str">
        <x:v>WABASH GENERAL HOSPITAL 1</x:v>
      </x:c>
      <x:c r="C1540" s="2" t="str">
        <x:v>MOUNT CARMEL</x:v>
      </x:c>
      <x:c r="D1540" s="2" t="str">
        <x:v>IL</x:v>
      </x:c>
      <x:c r="E1540" s="2" t="str">
        <x:v>Critical Access Hospitals</x:v>
      </x:c>
      <x:c r="F1540" s="2" t="str">
        <x:v>Government</x:v>
      </x:c>
      <x:c r="G1540" s="2" t="str">
        <x:v>Small (&lt;100 beds)</x:v>
      </x:c>
      <x:c r="H1540" s="7"/>
      <x:c r="I1540" s="7" t="n">
        <x:v>4</x:v>
      </x:c>
      <x:c r="J1540" s="7"/>
      <x:c r="K1540" s="8" t="n">
        <x:v>25</x:v>
      </x:c>
      <x:c r="L1540" s="8" t="n">
        <x:v>498</x:v>
      </x:c>
      <x:c r="M1540" s="9" t="n">
        <x:v>0.293989071</x:v>
      </x:c>
      <x:c r="N1540" s="10" t="n">
        <x:v>185074.2991967871</x:v>
      </x:c>
      <x:c r="O1540" s="9" t="n">
        <x:v>0.1263810586</x:v>
      </x:c>
      <x:c r="P1540" s="9" t="n">
        <x:v>0.6892193309</x:v>
      </x:c>
      <x:c r="Q1540" s="9" t="n">
        <x:v>0.292936803</x:v>
      </x:c>
      <x:c r="R1540" s="3" t="b">
        <x:v>0</x:v>
      </x:c>
      <x:c r="S1540" s="3" t="b">
        <x:v>0</x:v>
      </x:c>
      <x:c r="T1540" s="3" t="b">
        <x:v>0</x:v>
      </x:c>
      <x:c r="U1540" s="2" t="str">
        <x:f>IF(T1540=TRUE,"Priority review",IF(R1540=TRUE,"High cost",IF(S1540=TRUE,"Low quality","Benchmark")))</x:f>
        <x:v>Benchmark</x:v>
      </x:c>
    </x:row>
    <x:row r="1541">
      <x:c r="A1541" s="2" t="str">
        <x:v>040134</x:v>
      </x:c>
      <x:c r="B1541" s="2" t="str">
        <x:v>ARKANSAS HEART HOSPITAL, LLC</x:v>
      </x:c>
      <x:c r="C1541" s="2" t="str">
        <x:v>LITTLE ROCK</x:v>
      </x:c>
      <x:c r="D1541" s="2" t="str">
        <x:v>AR</x:v>
      </x:c>
      <x:c r="E1541" s="2" t="str">
        <x:v>Acute Care Hospitals</x:v>
      </x:c>
      <x:c r="F1541" s="2" t="str">
        <x:v>Proprietary</x:v>
      </x:c>
      <x:c r="G1541" s="2" t="str">
        <x:v>Medium (100-299 beds)</x:v>
      </x:c>
      <x:c r="H1541" s="7" t="n">
        <x:v>3</x:v>
      </x:c>
      <x:c r="I1541" s="7" t="n">
        <x:v>4</x:v>
      </x:c>
      <x:c r="J1541" s="7" t="n">
        <x:v>0.94</x:v>
      </x:c>
      <x:c r="K1541" s="8" t="n">
        <x:v>112</x:v>
      </x:c>
      <x:c r="L1541" s="8" t="n">
        <x:v>4680</x:v>
      </x:c>
      <x:c r="M1541" s="9" t="n">
        <x:v>0.4590163934</x:v>
      </x:c>
      <x:c r="N1541" s="10" t="n">
        <x:v>42699.3784188034</x:v>
      </x:c>
      <x:c r="O1541" s="9" t="n">
        <x:v>0.0374241514</x:v>
      </x:c>
      <x:c r="P1541" s="9" t="n">
        <x:v>0.6886715566</x:v>
      </x:c>
      <x:c r="Q1541" s="9" t="n">
        <x:v>0.3023634882</x:v>
      </x:c>
      <x:c r="R1541" s="3" t="b">
        <x:v>0</x:v>
      </x:c>
      <x:c r="S1541" s="3" t="b">
        <x:v>0</x:v>
      </x:c>
      <x:c r="T1541" s="3" t="b">
        <x:v>0</x:v>
      </x:c>
      <x:c r="U1541" s="2" t="str">
        <x:f>IF(T1541=TRUE,"Priority review",IF(R1541=TRUE,"High cost",IF(S1541=TRUE,"Low quality","Benchmark")))</x:f>
        <x:v>Benchmark</x:v>
      </x:c>
    </x:row>
    <x:row r="1542">
      <x:c r="A1542" s="2" t="str">
        <x:v>010129</x:v>
      </x:c>
      <x:c r="B1542" s="2" t="str">
        <x:v>NORTH BALDWIN INFIRMARY</x:v>
      </x:c>
      <x:c r="C1542" s="2" t="str">
        <x:v>BAY MINETTE</x:v>
      </x:c>
      <x:c r="D1542" s="2" t="str">
        <x:v>AL</x:v>
      </x:c>
      <x:c r="E1542" s="2" t="str">
        <x:v>Acute Care Hospitals</x:v>
      </x:c>
      <x:c r="F1542" s="2" t="str">
        <x:v>Voluntary non-profit</x:v>
      </x:c>
      <x:c r="G1542" s="2" t="str">
        <x:v>Small (&lt;100 beds)</x:v>
      </x:c>
      <x:c r="H1542" s="7" t="n">
        <x:v>3</x:v>
      </x:c>
      <x:c r="I1542" s="7" t="n">
        <x:v>5</x:v>
      </x:c>
      <x:c r="J1542" s="7" t="n">
        <x:v>0.91</x:v>
      </x:c>
      <x:c r="K1542" s="8" t="n">
        <x:v>30</x:v>
      </x:c>
      <x:c r="L1542" s="8" t="n">
        <x:v>1453</x:v>
      </x:c>
      <x:c r="M1542" s="9" t="n">
        <x:v>0.4165296804</x:v>
      </x:c>
      <x:c r="N1542" s="10" t="n">
        <x:v>74846.7797660014</x:v>
      </x:c>
      <x:c r="O1542" s="9" t="n">
        <x:v>0.1014501997</x:v>
      </x:c>
      <x:c r="P1542" s="9" t="n">
        <x:v>0.6885098743</x:v>
      </x:c>
      <x:c r="Q1542" s="9" t="n">
        <x:v>0.1687612208</x:v>
      </x:c>
      <x:c r="R1542" s="3" t="b">
        <x:v>0</x:v>
      </x:c>
      <x:c r="S1542" s="3" t="b">
        <x:v>0</x:v>
      </x:c>
      <x:c r="T1542" s="3" t="b">
        <x:v>0</x:v>
      </x:c>
      <x:c r="U1542" s="2" t="str">
        <x:f>IF(T1542=TRUE,"Priority review",IF(R1542=TRUE,"High cost",IF(S1542=TRUE,"Low quality","Benchmark")))</x:f>
        <x:v>Benchmark</x:v>
      </x:c>
    </x:row>
    <x:row r="1543">
      <x:c r="A1543" s="2" t="str">
        <x:v>391304</x:v>
      </x:c>
      <x:c r="B1543" s="2" t="str">
        <x:v>BUCKTAIL MEDICAL CENTER</x:v>
      </x:c>
      <x:c r="C1543" s="2" t="str">
        <x:v>RENOVO</x:v>
      </x:c>
      <x:c r="D1543" s="2" t="str">
        <x:v>PA</x:v>
      </x:c>
      <x:c r="E1543" s="2" t="str">
        <x:v>Critical Access Hospitals</x:v>
      </x:c>
      <x:c r="F1543" s="2" t="str">
        <x:v>Voluntary non-profit</x:v>
      </x:c>
      <x:c r="G1543" s="2" t="str">
        <x:v>Small (&lt;100 beds)</x:v>
      </x:c>
      <x:c r="H1543" s="7"/>
      <x:c r="I1543" s="7"/>
      <x:c r="J1543" s="7"/>
      <x:c r="K1543" s="8" t="n">
        <x:v>16</x:v>
      </x:c>
      <x:c r="L1543" s="8" t="n">
        <x:v>57</x:v>
      </x:c>
      <x:c r="M1543" s="9" t="n">
        <x:v>0.204109589</x:v>
      </x:c>
      <x:c r="N1543" s="10" t="n">
        <x:v>185067.1578947369</x:v>
      </x:c>
      <x:c r="O1543" s="9" t="n">
        <x:v>-0.1849506899</x:v>
      </x:c>
      <x:c r="P1543" s="9" t="n">
        <x:v>0.6884758364</x:v>
      </x:c>
      <x:c r="Q1543" s="9" t="n">
        <x:v>0.292936803</x:v>
      </x:c>
      <x:c r="R1543" s="3" t="b">
        <x:v>0</x:v>
      </x:c>
      <x:c r="S1543" s="3" t="b">
        <x:v>0</x:v>
      </x:c>
      <x:c r="T1543" s="3" t="b">
        <x:v>0</x:v>
      </x:c>
      <x:c r="U1543" s="2" t="str">
        <x:f>IF(T1543=TRUE,"Priority review",IF(R1543=TRUE,"High cost",IF(S1543=TRUE,"Low quality","Benchmark")))</x:f>
        <x:v>Benchmark</x:v>
      </x:c>
    </x:row>
    <x:row r="1544">
      <x:c r="A1544" s="2" t="str">
        <x:v>210044</x:v>
      </x:c>
      <x:c r="B1544" s="2" t="str">
        <x:v>GREATER BALTIMORE MEDICAL CENTER</x:v>
      </x:c>
      <x:c r="C1544" s="2" t="str">
        <x:v>BALTIMORE</x:v>
      </x:c>
      <x:c r="D1544" s="2" t="str">
        <x:v>MD</x:v>
      </x:c>
      <x:c r="E1544" s="2" t="str">
        <x:v>Acute Care Hospitals</x:v>
      </x:c>
      <x:c r="F1544" s="2" t="str">
        <x:v>Voluntary non-profit</x:v>
      </x:c>
      <x:c r="G1544" s="2" t="str">
        <x:v>Medium (100-299 beds)</x:v>
      </x:c>
      <x:c r="H1544" s="7" t="n">
        <x:v>5</x:v>
      </x:c>
      <x:c r="I1544" s="7" t="n">
        <x:v>4</x:v>
      </x:c>
      <x:c r="J1544" s="7"/>
      <x:c r="K1544" s="8" t="n">
        <x:v>241</x:v>
      </x:c>
      <x:c r="L1544" s="8" t="n">
        <x:v>16137</x:v>
      </x:c>
      <x:c r="M1544" s="9" t="n">
        <x:v>0.7659751037</x:v>
      </x:c>
      <x:c r="N1544" s="10" t="n">
        <x:v>42685.1737621615</x:v>
      </x:c>
      <x:c r="O1544" s="9" t="n">
        <x:v>-0.5389792047</x:v>
      </x:c>
      <x:c r="P1544" s="9" t="n">
        <x:v>0.6878565607</x:v>
      </x:c>
      <x:c r="Q1544" s="9" t="n">
        <x:v>0.8744906275</x:v>
      </x:c>
      <x:c r="R1544" s="3" t="b">
        <x:v>0</x:v>
      </x:c>
      <x:c r="S1544" s="3" t="b">
        <x:v>0</x:v>
      </x:c>
      <x:c r="T1544" s="3" t="b">
        <x:v>0</x:v>
      </x:c>
      <x:c r="U1544" s="2" t="str">
        <x:f>IF(T1544=TRUE,"Priority review",IF(R1544=TRUE,"High cost",IF(S1544=TRUE,"Low quality","Benchmark")))</x:f>
        <x:v>Benchmark</x:v>
      </x:c>
    </x:row>
    <x:row r="1545">
      <x:c r="A1545" s="2" t="str">
        <x:v>141306</x:v>
      </x:c>
      <x:c r="B1545" s="2" t="str">
        <x:v>COMMUNITY HOSPITAL OF STAUNTON</x:v>
      </x:c>
      <x:c r="C1545" s="2" t="str">
        <x:v>STAUNTON</x:v>
      </x:c>
      <x:c r="D1545" s="2" t="str">
        <x:v>IL</x:v>
      </x:c>
      <x:c r="E1545" s="2" t="str">
        <x:v>Critical Access Hospitals</x:v>
      </x:c>
      <x:c r="F1545" s="2" t="str">
        <x:v>Voluntary non-profit</x:v>
      </x:c>
      <x:c r="G1545" s="2" t="str">
        <x:v>Small (&lt;100 beds)</x:v>
      </x:c>
      <x:c r="H1545" s="7"/>
      <x:c r="I1545" s="7"/>
      <x:c r="J1545" s="7"/>
      <x:c r="K1545" s="8" t="n">
        <x:v>25</x:v>
      </x:c>
      <x:c r="L1545" s="8" t="n">
        <x:v>119</x:v>
      </x:c>
      <x:c r="M1545" s="9" t="n">
        <x:v>0.1671038251</x:v>
      </x:c>
      <x:c r="N1545" s="10" t="n">
        <x:v>184805.1008403361</x:v>
      </x:c>
      <x:c r="O1545" s="9" t="n">
        <x:v>0.111529732</x:v>
      </x:c>
      <x:c r="P1545" s="9" t="n">
        <x:v>0.687732342</x:v>
      </x:c>
      <x:c r="Q1545" s="9" t="n">
        <x:v>0.292936803</x:v>
      </x:c>
      <x:c r="R1545" s="3" t="b">
        <x:v>0</x:v>
      </x:c>
      <x:c r="S1545" s="3" t="b">
        <x:v>0</x:v>
      </x:c>
      <x:c r="T1545" s="3" t="b">
        <x:v>0</x:v>
      </x:c>
      <x:c r="U1545" s="2" t="str">
        <x:f>IF(T1545=TRUE,"Priority review",IF(R1545=TRUE,"High cost",IF(S1545=TRUE,"Low quality","Benchmark")))</x:f>
        <x:v>Benchmark</x:v>
      </x:c>
    </x:row>
    <x:row r="1546">
      <x:c r="A1546" s="2" t="str">
        <x:v>030024</x:v>
      </x:c>
      <x:c r="B1546" s="2" t="str">
        <x:v>ST JOSEPHS HOSPITAL AND MEDICAL CENTER</x:v>
      </x:c>
      <x:c r="C1546" s="2" t="str">
        <x:v>PHOENIX</x:v>
      </x:c>
      <x:c r="D1546" s="2" t="str">
        <x:v>AZ</x:v>
      </x:c>
      <x:c r="E1546" s="2" t="str">
        <x:v>Acute Care Hospitals</x:v>
      </x:c>
      <x:c r="F1546" s="2" t="str">
        <x:v>Voluntary non-profit</x:v>
      </x:c>
      <x:c r="G1546" s="2" t="str">
        <x:v>Large (300+ beds)</x:v>
      </x:c>
      <x:c r="H1546" s="7" t="n">
        <x:v>4</x:v>
      </x:c>
      <x:c r="I1546" s="7" t="n">
        <x:v>3</x:v>
      </x:c>
      <x:c r="J1546" s="7" t="n">
        <x:v>1.03</x:v>
      </x:c>
      <x:c r="K1546" s="8" t="n">
        <x:v>524</x:v>
      </x:c>
      <x:c r="L1546" s="8" t="n">
        <x:v>33270</x:v>
      </x:c>
      <x:c r="M1546" s="9" t="n">
        <x:v>0.9126865395</x:v>
      </x:c>
      <x:c r="N1546" s="10" t="n">
        <x:v>48790.3694319206</x:v>
      </x:c>
      <x:c r="O1546" s="9" t="n">
        <x:v>-0.0810724251</x:v>
      </x:c>
      <x:c r="P1546" s="9" t="n">
        <x:v>0.6876971609</x:v>
      </x:c>
      <x:c r="Q1546" s="9" t="n">
        <x:v>0.5899053628</x:v>
      </x:c>
      <x:c r="R1546" s="3" t="b">
        <x:v>0</x:v>
      </x:c>
      <x:c r="S1546" s="3" t="b">
        <x:v>0</x:v>
      </x:c>
      <x:c r="T1546" s="3" t="b">
        <x:v>0</x:v>
      </x:c>
      <x:c r="U1546" s="2" t="str">
        <x:f>IF(T1546=TRUE,"Priority review",IF(R1546=TRUE,"High cost",IF(S1546=TRUE,"Low quality","Benchmark")))</x:f>
        <x:v>Benchmark</x:v>
      </x:c>
    </x:row>
    <x:row r="1547">
      <x:c r="A1547" s="2" t="str">
        <x:v>140043</x:v>
      </x:c>
      <x:c r="B1547" s="2" t="str">
        <x:v>CGH MEDICAL CENTER</x:v>
      </x:c>
      <x:c r="C1547" s="2" t="str">
        <x:v>STERLING</x:v>
      </x:c>
      <x:c r="D1547" s="2" t="str">
        <x:v>IL</x:v>
      </x:c>
      <x:c r="E1547" s="2" t="str">
        <x:v>Acute Care Hospitals</x:v>
      </x:c>
      <x:c r="F1547" s="2" t="str">
        <x:v>Government</x:v>
      </x:c>
      <x:c r="G1547" s="2" t="str">
        <x:v>Small (&lt;100 beds)</x:v>
      </x:c>
      <x:c r="H1547" s="7" t="n">
        <x:v>1</x:v>
      </x:c>
      <x:c r="I1547" s="7" t="n">
        <x:v>3</x:v>
      </x:c>
      <x:c r="J1547" s="7" t="n">
        <x:v>0.96</x:v>
      </x:c>
      <x:c r="K1547" s="8" t="n">
        <x:v>95</x:v>
      </x:c>
      <x:c r="L1547" s="8" t="n">
        <x:v>4102</x:v>
      </x:c>
      <x:c r="M1547" s="9" t="n">
        <x:v>0.471925018</x:v>
      </x:c>
      <x:c r="N1547" s="10" t="n">
        <x:v>74581.6896635787</x:v>
      </x:c>
      <x:c r="O1547" s="9" t="n">
        <x:v>-0.0097844104</x:v>
      </x:c>
      <x:c r="P1547" s="9" t="n">
        <x:v>0.6876122083</x:v>
      </x:c>
      <x:c r="Q1547" s="9" t="n">
        <x:v>0</x:v>
      </x:c>
      <x:c r="R1547" s="3" t="b">
        <x:v>0</x:v>
      </x:c>
      <x:c r="S1547" s="3" t="b">
        <x:v>1</x:v>
      </x:c>
      <x:c r="T1547" s="3" t="b">
        <x:v>0</x:v>
      </x:c>
      <x:c r="U1547" s="2" t="str">
        <x:f>IF(T1547=TRUE,"Priority review",IF(R1547=TRUE,"High cost",IF(S1547=TRUE,"Low quality","Benchmark")))</x:f>
        <x:v>Low quality</x:v>
      </x:c>
    </x:row>
    <x:row r="1548">
      <x:c r="A1548" s="2" t="str">
        <x:v>160153</x:v>
      </x:c>
      <x:c r="B1548" s="2" t="str">
        <x:v>MERCYONE SIOUXLAND MEDICAL CENTER</x:v>
      </x:c>
      <x:c r="C1548" s="2" t="str">
        <x:v>SIOUX CITY</x:v>
      </x:c>
      <x:c r="D1548" s="2" t="str">
        <x:v>IA</x:v>
      </x:c>
      <x:c r="E1548" s="2" t="str">
        <x:v>Acute Care Hospitals</x:v>
      </x:c>
      <x:c r="F1548" s="2" t="str">
        <x:v>Voluntary non-profit</x:v>
      </x:c>
      <x:c r="G1548" s="2" t="str">
        <x:v>Medium (100-299 beds)</x:v>
      </x:c>
      <x:c r="H1548" s="7" t="n">
        <x:v>2</x:v>
      </x:c>
      <x:c r="I1548" s="7" t="n">
        <x:v>2</x:v>
      </x:c>
      <x:c r="J1548" s="7" t="n">
        <x:v>0.98</x:v>
      </x:c>
      <x:c r="K1548" s="8" t="n">
        <x:v>115</x:v>
      </x:c>
      <x:c r="L1548" s="8" t="n">
        <x:v>4799</x:v>
      </x:c>
      <x:c r="M1548" s="9" t="n">
        <x:v>0.5924991671</x:v>
      </x:c>
      <x:c r="N1548" s="10" t="n">
        <x:v>42650.5801208585</x:v>
      </x:c>
      <x:c r="O1548" s="9" t="n">
        <x:v>-0.3095911087</x:v>
      </x:c>
      <x:c r="P1548" s="9" t="n">
        <x:v>0.6870415648</x:v>
      </x:c>
      <x:c r="Q1548" s="9" t="n">
        <x:v>0.0782396088</x:v>
      </x:c>
      <x:c r="R1548" s="3" t="b">
        <x:v>0</x:v>
      </x:c>
      <x:c r="S1548" s="3" t="b">
        <x:v>1</x:v>
      </x:c>
      <x:c r="T1548" s="3" t="b">
        <x:v>0</x:v>
      </x:c>
      <x:c r="U1548" s="2" t="str">
        <x:f>IF(T1548=TRUE,"Priority review",IF(R1548=TRUE,"High cost",IF(S1548=TRUE,"Low quality","Benchmark")))</x:f>
        <x:v>Low quality</x:v>
      </x:c>
    </x:row>
    <x:row r="1549">
      <x:c r="A1549" s="2" t="str">
        <x:v>141302</x:v>
      </x:c>
      <x:c r="B1549" s="2" t="str">
        <x:v>MIDWEST MEDICAL CENTER</x:v>
      </x:c>
      <x:c r="C1549" s="2" t="str">
        <x:v>GALENA</x:v>
      </x:c>
      <x:c r="D1549" s="2" t="str">
        <x:v>IL</x:v>
      </x:c>
      <x:c r="E1549" s="2" t="str">
        <x:v>Critical Access Hospitals</x:v>
      </x:c>
      <x:c r="F1549" s="2" t="str">
        <x:v>Voluntary non-profit</x:v>
      </x:c>
      <x:c r="G1549" s="2" t="str">
        <x:v>Small (&lt;100 beds)</x:v>
      </x:c>
      <x:c r="H1549" s="7"/>
      <x:c r="I1549" s="7" t="n">
        <x:v>5</x:v>
      </x:c>
      <x:c r="J1549" s="7"/>
      <x:c r="K1549" s="8" t="n">
        <x:v>25</x:v>
      </x:c>
      <x:c r="L1549" s="8" t="n">
        <x:v>227</x:v>
      </x:c>
      <x:c r="M1549" s="9" t="n">
        <x:v>0.2636065574</x:v>
      </x:c>
      <x:c r="N1549" s="10" t="n">
        <x:v>184276.8149779736</x:v>
      </x:c>
      <x:c r="O1549" s="9" t="n">
        <x:v>-0.0380675297</x:v>
      </x:c>
      <x:c r="P1549" s="9" t="n">
        <x:v>0.6869888476</x:v>
      </x:c>
      <x:c r="Q1549" s="9" t="n">
        <x:v>0.292936803</x:v>
      </x:c>
      <x:c r="R1549" s="3" t="b">
        <x:v>0</x:v>
      </x:c>
      <x:c r="S1549" s="3" t="b">
        <x:v>0</x:v>
      </x:c>
      <x:c r="T1549" s="3" t="b">
        <x:v>0</x:v>
      </x:c>
      <x:c r="U1549" s="2" t="str">
        <x:f>IF(T1549=TRUE,"Priority review",IF(R1549=TRUE,"High cost",IF(S1549=TRUE,"Low quality","Benchmark")))</x:f>
        <x:v>Benchmark</x:v>
      </x:c>
    </x:row>
    <x:row r="1550">
      <x:c r="A1550" s="2" t="str">
        <x:v>310031</x:v>
      </x:c>
      <x:c r="B1550" s="2" t="str">
        <x:v>DEBORAH HEART AND LUNG CENTER</x:v>
      </x:c>
      <x:c r="C1550" s="2" t="str">
        <x:v>BROWNS MILLS</x:v>
      </x:c>
      <x:c r="D1550" s="2" t="str">
        <x:v>NJ</x:v>
      </x:c>
      <x:c r="E1550" s="2" t="str">
        <x:v>Acute Care Hospitals</x:v>
      </x:c>
      <x:c r="F1550" s="2" t="str">
        <x:v>Voluntary non-profit</x:v>
      </x:c>
      <x:c r="G1550" s="2" t="str">
        <x:v>Small (&lt;100 beds)</x:v>
      </x:c>
      <x:c r="H1550" s="7" t="n">
        <x:v>3</x:v>
      </x:c>
      <x:c r="I1550" s="7" t="n">
        <x:v>4</x:v>
      </x:c>
      <x:c r="J1550" s="7" t="n">
        <x:v>1.03</x:v>
      </x:c>
      <x:c r="K1550" s="8" t="n">
        <x:v>84</x:v>
      </x:c>
      <x:c r="L1550" s="8" t="n">
        <x:v>3244</x:v>
      </x:c>
      <x:c r="M1550" s="9" t="n">
        <x:v>0.5510343482</x:v>
      </x:c>
      <x:c r="N1550" s="10" t="n">
        <x:v>74559.5508631319</x:v>
      </x:c>
      <x:c r="O1550" s="9" t="n">
        <x:v>-0.0898165185</x:v>
      </x:c>
      <x:c r="P1550" s="9" t="n">
        <x:v>0.6867145422</x:v>
      </x:c>
      <x:c r="Q1550" s="9" t="n">
        <x:v>0.1687612208</x:v>
      </x:c>
      <x:c r="R1550" s="3" t="b">
        <x:v>0</x:v>
      </x:c>
      <x:c r="S1550" s="3" t="b">
        <x:v>0</x:v>
      </x:c>
      <x:c r="T1550" s="3" t="b">
        <x:v>0</x:v>
      </x:c>
      <x:c r="U1550" s="2" t="str">
        <x:f>IF(T1550=TRUE,"Priority review",IF(R1550=TRUE,"High cost",IF(S1550=TRUE,"Low quality","Benchmark")))</x:f>
        <x:v>Benchmark</x:v>
      </x:c>
    </x:row>
    <x:row r="1551">
      <x:c r="A1551" s="2" t="str">
        <x:v>144031</x:v>
      </x:c>
      <x:c r="B1551" s="2" t="str">
        <x:v>ALEXIAN BROTHERS BEHAVIORAL HLTH HOSP</x:v>
      </x:c>
      <x:c r="C1551" s="2" t="str">
        <x:v>HOFFMAN ESTATES</x:v>
      </x:c>
      <x:c r="D1551" s="2" t="str">
        <x:v>IL</x:v>
      </x:c>
      <x:c r="E1551" s="2" t="str">
        <x:v>Psychiatric</x:v>
      </x:c>
      <x:c r="F1551" s="2" t="str">
        <x:v>Voluntary non-profit</x:v>
      </x:c>
      <x:c r="G1551" s="2" t="str">
        <x:v>Medium (100-299 beds)</x:v>
      </x:c>
      <x:c r="H1551" s="7"/>
      <x:c r="I1551" s="7"/>
      <x:c r="J1551" s="7"/>
      <x:c r="K1551" s="8" t="n">
        <x:v>141</x:v>
      </x:c>
      <x:c r="L1551" s="8" t="n">
        <x:v>4821</x:v>
      </x:c>
      <x:c r="M1551" s="9" t="n">
        <x:v>0.7134363159</x:v>
      </x:c>
      <x:c r="N1551" s="10" t="n">
        <x:v>20315.794855839</x:v>
      </x:c>
      <x:c r="O1551" s="9" t="n">
        <x:v>-0.3570630492</x:v>
      </x:c>
      <x:c r="P1551" s="9" t="n">
        <x:v>0.6865671642</x:v>
      </x:c>
      <x:c r="Q1551" s="9" t="n">
        <x:v>0</x:v>
      </x:c>
      <x:c r="R1551" s="3" t="b">
        <x:v>0</x:v>
      </x:c>
      <x:c r="S1551" s="3" t="b">
        <x:v>0</x:v>
      </x:c>
      <x:c r="T1551" s="3" t="b">
        <x:v>0</x:v>
      </x:c>
      <x:c r="U1551" s="2" t="str">
        <x:f>IF(T1551=TRUE,"Priority review",IF(R1551=TRUE,"High cost",IF(S1551=TRUE,"Low quality","Benchmark")))</x:f>
        <x:v>Benchmark</x:v>
      </x:c>
    </x:row>
    <x:row r="1552">
      <x:c r="A1552" s="2" t="str">
        <x:v>131317</x:v>
      </x:c>
      <x:c r="B1552" s="2" t="str">
        <x:v>BENEWAH COMMUNITY HOSPITAL</x:v>
      </x:c>
      <x:c r="C1552" s="2" t="str">
        <x:v>SAINT MARIES</x:v>
      </x:c>
      <x:c r="D1552" s="2" t="str">
        <x:v>ID</x:v>
      </x:c>
      <x:c r="E1552" s="2" t="str">
        <x:v>Critical Access Hospitals</x:v>
      </x:c>
      <x:c r="F1552" s="2" t="str">
        <x:v>Government</x:v>
      </x:c>
      <x:c r="G1552" s="2" t="str">
        <x:v>Small (&lt;100 beds)</x:v>
      </x:c>
      <x:c r="H1552" s="7"/>
      <x:c r="I1552" s="7"/>
      <x:c r="J1552" s="7"/>
      <x:c r="K1552" s="8" t="n">
        <x:v>19</x:v>
      </x:c>
      <x:c r="L1552" s="8" t="n">
        <x:v>114</x:v>
      </x:c>
      <x:c r="M1552" s="9" t="n">
        <x:v>0.0795225769</x:v>
      </x:c>
      <x:c r="N1552" s="10" t="n">
        <x:v>184218.3245614035</x:v>
      </x:c>
      <x:c r="O1552" s="9" t="n">
        <x:v>-0.1798065334</x:v>
      </x:c>
      <x:c r="P1552" s="9" t="n">
        <x:v>0.6862453532</x:v>
      </x:c>
      <x:c r="Q1552" s="9" t="n">
        <x:v>0.292936803</x:v>
      </x:c>
      <x:c r="R1552" s="3" t="b">
        <x:v>0</x:v>
      </x:c>
      <x:c r="S1552" s="3" t="b">
        <x:v>0</x:v>
      </x:c>
      <x:c r="T1552" s="3" t="b">
        <x:v>0</x:v>
      </x:c>
      <x:c r="U1552" s="2" t="str">
        <x:f>IF(T1552=TRUE,"Priority review",IF(R1552=TRUE,"High cost",IF(S1552=TRUE,"Low quality","Benchmark")))</x:f>
        <x:v>Benchmark</x:v>
      </x:c>
    </x:row>
    <x:row r="1553">
      <x:c r="A1553" s="2" t="str">
        <x:v>230075</x:v>
      </x:c>
      <x:c r="B1553" s="2" t="str">
        <x:v>BRONSON BATTLE CREEK HOSPITAL</x:v>
      </x:c>
      <x:c r="C1553" s="2" t="str">
        <x:v>BATTLE CREEK</x:v>
      </x:c>
      <x:c r="D1553" s="2" t="str">
        <x:v>MI</x:v>
      </x:c>
      <x:c r="E1553" s="2" t="str">
        <x:v>Acute Care Hospitals</x:v>
      </x:c>
      <x:c r="F1553" s="2" t="str">
        <x:v>Proprietary</x:v>
      </x:c>
      <x:c r="G1553" s="2" t="str">
        <x:v>Medium (100-299 beds)</x:v>
      </x:c>
      <x:c r="H1553" s="7" t="n">
        <x:v>3</x:v>
      </x:c>
      <x:c r="I1553" s="7" t="n">
        <x:v>3</x:v>
      </x:c>
      <x:c r="J1553" s="7" t="n">
        <x:v>0.94</x:v>
      </x:c>
      <x:c r="K1553" s="8" t="n">
        <x:v>139</x:v>
      </x:c>
      <x:c r="L1553" s="8" t="n">
        <x:v>7954</x:v>
      </x:c>
      <x:c r="M1553" s="9" t="n">
        <x:v>0.712289185</x:v>
      </x:c>
      <x:c r="N1553" s="10" t="n">
        <x:v>42641.5359567513</x:v>
      </x:c>
      <x:c r="O1553" s="9" t="n">
        <x:v>-0.1541199514</x:v>
      </x:c>
      <x:c r="P1553" s="9" t="n">
        <x:v>0.6862265689</x:v>
      </x:c>
      <x:c r="Q1553" s="9" t="n">
        <x:v>0.3023634882</x:v>
      </x:c>
      <x:c r="R1553" s="3" t="b">
        <x:v>0</x:v>
      </x:c>
      <x:c r="S1553" s="3" t="b">
        <x:v>0</x:v>
      </x:c>
      <x:c r="T1553" s="3" t="b">
        <x:v>0</x:v>
      </x:c>
      <x:c r="U1553" s="2" t="str">
        <x:f>IF(T1553=TRUE,"Priority review",IF(R1553=TRUE,"High cost",IF(S1553=TRUE,"Low quality","Benchmark")))</x:f>
        <x:v>Benchmark</x:v>
      </x:c>
    </x:row>
    <x:row r="1554">
      <x:c r="A1554" s="2" t="str">
        <x:v>330160</x:v>
      </x:c>
      <x:c r="B1554" s="2" t="str">
        <x:v>STATEN ISLAND UNIVERSITY HOSPITAL</x:v>
      </x:c>
      <x:c r="C1554" s="2" t="str">
        <x:v>STATEN ISLAND</x:v>
      </x:c>
      <x:c r="D1554" s="2" t="str">
        <x:v>NY</x:v>
      </x:c>
      <x:c r="E1554" s="2" t="str">
        <x:v>Acute Care Hospitals</x:v>
      </x:c>
      <x:c r="F1554" s="2" t="str">
        <x:v>Voluntary non-profit</x:v>
      </x:c>
      <x:c r="G1554" s="2" t="str">
        <x:v>Large (300+ beds)</x:v>
      </x:c>
      <x:c r="H1554" s="7" t="n">
        <x:v>3</x:v>
      </x:c>
      <x:c r="I1554" s="7" t="n">
        <x:v>2</x:v>
      </x:c>
      <x:c r="J1554" s="7" t="n">
        <x:v>1.01</x:v>
      </x:c>
      <x:c r="K1554" s="8" t="n">
        <x:v>544</x:v>
      </x:c>
      <x:c r="L1554" s="8" t="n">
        <x:v>39511</x:v>
      </x:c>
      <x:c r="M1554" s="9" t="n">
        <x:v>0.9646968419</x:v>
      </x:c>
      <x:c r="N1554" s="10" t="n">
        <x:v>48577.6916554883</x:v>
      </x:c>
      <x:c r="O1554" s="9" t="n">
        <x:v>-0.3707065149</x:v>
      </x:c>
      <x:c r="P1554" s="9" t="n">
        <x:v>0.6861198738</x:v>
      </x:c>
      <x:c r="Q1554" s="9" t="n">
        <x:v>0.2570977918</x:v>
      </x:c>
      <x:c r="R1554" s="3" t="b">
        <x:v>0</x:v>
      </x:c>
      <x:c r="S1554" s="3" t="b">
        <x:v>0</x:v>
      </x:c>
      <x:c r="T1554" s="3" t="b">
        <x:v>0</x:v>
      </x:c>
      <x:c r="U1554" s="2" t="str">
        <x:f>IF(T1554=TRUE,"Priority review",IF(R1554=TRUE,"High cost",IF(S1554=TRUE,"Low quality","Benchmark")))</x:f>
        <x:v>Benchmark</x:v>
      </x:c>
    </x:row>
    <x:row r="1555">
      <x:c r="A1555" s="2" t="str">
        <x:v>254009</x:v>
      </x:c>
      <x:c r="B1555" s="2" t="str">
        <x:v>NORTH MISSISSIPPI STATE HOSPITAL</x:v>
      </x:c>
      <x:c r="C1555" s="2" t="str">
        <x:v>TUPELO</x:v>
      </x:c>
      <x:c r="D1555" s="2" t="str">
        <x:v>MS</x:v>
      </x:c>
      <x:c r="E1555" s="2" t="str">
        <x:v>Psychiatric</x:v>
      </x:c>
      <x:c r="F1555" s="2" t="str">
        <x:v>Government</x:v>
      </x:c>
      <x:c r="G1555" s="2" t="str">
        <x:v>Small (&lt;100 beds)</x:v>
      </x:c>
      <x:c r="H1555" s="7"/>
      <x:c r="I1555" s="7"/>
      <x:c r="J1555" s="7"/>
      <x:c r="K1555" s="8" t="n">
        <x:v>50</x:v>
      </x:c>
      <x:c r="L1555" s="8" t="n">
        <x:v>455</x:v>
      </x:c>
      <x:c r="M1555" s="9" t="n">
        <x:v>0.9692054795</x:v>
      </x:c>
      <x:c r="N1555" s="10" t="n">
        <x:v>21240.1978021978</x:v>
      </x:c>
      <x:c r="O1555" s="9" t="n">
        <x:v>-13.786177542</x:v>
      </x:c>
      <x:c r="P1555" s="9" t="n">
        <x:v>0.6860841424</x:v>
      </x:c>
      <x:c r="Q1555" s="9" t="n">
        <x:v>0</x:v>
      </x:c>
      <x:c r="R1555" s="3" t="b">
        <x:v>0</x:v>
      </x:c>
      <x:c r="S1555" s="3" t="b">
        <x:v>0</x:v>
      </x:c>
      <x:c r="T1555" s="3" t="b">
        <x:v>0</x:v>
      </x:c>
      <x:c r="U1555" s="2" t="str">
        <x:f>IF(T1555=TRUE,"Priority review",IF(R1555=TRUE,"High cost",IF(S1555=TRUE,"Low quality","Benchmark")))</x:f>
        <x:v>Benchmark</x:v>
      </x:c>
    </x:row>
    <x:row r="1556">
      <x:c r="A1556" s="2" t="str">
        <x:v>220088</x:v>
      </x:c>
      <x:c r="B1556" s="2" t="str">
        <x:v>NEW ENGLAND BAPTIST HOSPITAL</x:v>
      </x:c>
      <x:c r="C1556" s="2" t="str">
        <x:v>BOSTON</x:v>
      </x:c>
      <x:c r="D1556" s="2" t="str">
        <x:v>MA</x:v>
      </x:c>
      <x:c r="E1556" s="2" t="str">
        <x:v>Acute Care Hospitals</x:v>
      </x:c>
      <x:c r="F1556" s="2" t="str">
        <x:v>Voluntary non-profit</x:v>
      </x:c>
      <x:c r="G1556" s="2" t="str">
        <x:v>Small (&lt;100 beds)</x:v>
      </x:c>
      <x:c r="H1556" s="7" t="n">
        <x:v>5</x:v>
      </x:c>
      <x:c r="I1556" s="7" t="n">
        <x:v>4</x:v>
      </x:c>
      <x:c r="J1556" s="7" t="n">
        <x:v>0.91</x:v>
      </x:c>
      <x:c r="K1556" s="8" t="n">
        <x:v>75</x:v>
      </x:c>
      <x:c r="L1556" s="8" t="n">
        <x:v>3274</x:v>
      </x:c>
      <x:c r="M1556" s="9" t="n">
        <x:v>0.3281602914</x:v>
      </x:c>
      <x:c r="N1556" s="10" t="n">
        <x:v>74411.1350030544</x:v>
      </x:c>
      <x:c r="O1556" s="9" t="n">
        <x:v>-0.2123235867</x:v>
      </x:c>
      <x:c r="P1556" s="9" t="n">
        <x:v>0.6858168761</x:v>
      </x:c>
      <x:c r="Q1556" s="9" t="n">
        <x:v>0.6131059246</x:v>
      </x:c>
      <x:c r="R1556" s="3" t="b">
        <x:v>0</x:v>
      </x:c>
      <x:c r="S1556" s="3" t="b">
        <x:v>0</x:v>
      </x:c>
      <x:c r="T1556" s="3" t="b">
        <x:v>0</x:v>
      </x:c>
      <x:c r="U1556" s="2" t="str">
        <x:f>IF(T1556=TRUE,"Priority review",IF(R1556=TRUE,"High cost",IF(S1556=TRUE,"Low quality","Benchmark")))</x:f>
        <x:v>Benchmark</x:v>
      </x:c>
    </x:row>
    <x:row r="1557">
      <x:c r="A1557" s="2" t="str">
        <x:v>141309</x:v>
      </x:c>
      <x:c r="B1557" s="2" t="str">
        <x:v>CARLE EUREKA  HOSPITAL</x:v>
      </x:c>
      <x:c r="C1557" s="2" t="str">
        <x:v>EUREKA</x:v>
      </x:c>
      <x:c r="D1557" s="2" t="str">
        <x:v>IL</x:v>
      </x:c>
      <x:c r="E1557" s="2" t="str">
        <x:v>Critical Access Hospitals</x:v>
      </x:c>
      <x:c r="F1557" s="2" t="str">
        <x:v>Voluntary non-profit</x:v>
      </x:c>
      <x:c r="G1557" s="2" t="str">
        <x:v>Small (&lt;100 beds)</x:v>
      </x:c>
      <x:c r="H1557" s="7"/>
      <x:c r="I1557" s="7"/>
      <x:c r="J1557" s="7"/>
      <x:c r="K1557" s="8" t="n">
        <x:v>25</x:v>
      </x:c>
      <x:c r="L1557" s="8" t="n">
        <x:v>161</x:v>
      </x:c>
      <x:c r="M1557" s="9" t="n">
        <x:v>0.1916939891</x:v>
      </x:c>
      <x:c r="N1557" s="10" t="n">
        <x:v>184112.1863354037</x:v>
      </x:c>
      <x:c r="O1557" s="9" t="n">
        <x:v>0.0456117244</x:v>
      </x:c>
      <x:c r="P1557" s="9" t="n">
        <x:v>0.6855018587</x:v>
      </x:c>
      <x:c r="Q1557" s="9" t="n">
        <x:v>0.292936803</x:v>
      </x:c>
      <x:c r="R1557" s="3" t="b">
        <x:v>0</x:v>
      </x:c>
      <x:c r="S1557" s="3" t="b">
        <x:v>0</x:v>
      </x:c>
      <x:c r="T1557" s="3" t="b">
        <x:v>0</x:v>
      </x:c>
      <x:c r="U1557" s="2" t="str">
        <x:f>IF(T1557=TRUE,"Priority review",IF(R1557=TRUE,"High cost",IF(S1557=TRUE,"Low quality","Benchmark")))</x:f>
        <x:v>Benchmark</x:v>
      </x:c>
    </x:row>
    <x:row r="1558">
      <x:c r="A1558" s="2" t="str">
        <x:v>190128</x:v>
      </x:c>
      <x:c r="B1558" s="2" t="str">
        <x:v>WOMANS HOSPITAL</x:v>
      </x:c>
      <x:c r="C1558" s="2" t="str">
        <x:v>BATON ROUGE</x:v>
      </x:c>
      <x:c r="D1558" s="2" t="str">
        <x:v>LA</x:v>
      </x:c>
      <x:c r="E1558" s="2" t="str">
        <x:v>Acute Care Hospitals</x:v>
      </x:c>
      <x:c r="F1558" s="2" t="str">
        <x:v>Voluntary non-profit</x:v>
      </x:c>
      <x:c r="G1558" s="2" t="str">
        <x:v>Medium (100-299 beds)</x:v>
      </x:c>
      <x:c r="H1558" s="7" t="n">
        <x:v>4</x:v>
      </x:c>
      <x:c r="I1558" s="7" t="n">
        <x:v>4</x:v>
      </x:c>
      <x:c r="J1558" s="7" t="n">
        <x:v>1.06</x:v>
      </x:c>
      <x:c r="K1558" s="8" t="n">
        <x:v>228</x:v>
      </x:c>
      <x:c r="L1558" s="8" t="n">
        <x:v>11059</x:v>
      </x:c>
      <x:c r="M1558" s="9" t="n">
        <x:v>0.6295777011</x:v>
      </x:c>
      <x:c r="N1558" s="10" t="n">
        <x:v>42542.5974319559</x:v>
      </x:c>
      <x:c r="O1558" s="9" t="n">
        <x:v>0.010821242</x:v>
      </x:c>
      <x:c r="P1558" s="9" t="n">
        <x:v>0.6854115729</x:v>
      </x:c>
      <x:c r="Q1558" s="9" t="n">
        <x:v>0.6022819886</x:v>
      </x:c>
      <x:c r="R1558" s="3" t="b">
        <x:v>0</x:v>
      </x:c>
      <x:c r="S1558" s="3" t="b">
        <x:v>0</x:v>
      </x:c>
      <x:c r="T1558" s="3" t="b">
        <x:v>0</x:v>
      </x:c>
      <x:c r="U1558" s="2" t="str">
        <x:f>IF(T1558=TRUE,"Priority review",IF(R1558=TRUE,"High cost",IF(S1558=TRUE,"Low quality","Benchmark")))</x:f>
        <x:v>Benchmark</x:v>
      </x:c>
    </x:row>
    <x:row r="1559">
      <x:c r="A1559" s="2" t="str">
        <x:v>360040</x:v>
      </x:c>
      <x:c r="B1559" s="2" t="str">
        <x:v>KNOX COMMUNITY HOSPITAL</x:v>
      </x:c>
      <x:c r="C1559" s="2" t="str">
        <x:v>MOUNT VERNON</x:v>
      </x:c>
      <x:c r="D1559" s="2" t="str">
        <x:v>OH</x:v>
      </x:c>
      <x:c r="E1559" s="2" t="str">
        <x:v>Acute Care Hospitals</x:v>
      </x:c>
      <x:c r="F1559" s="2" t="str">
        <x:v>Voluntary non-profit</x:v>
      </x:c>
      <x:c r="G1559" s="2" t="str">
        <x:v>Small (&lt;100 beds)</x:v>
      </x:c>
      <x:c r="H1559" s="7" t="n">
        <x:v>3</x:v>
      </x:c>
      <x:c r="I1559" s="7" t="n">
        <x:v>3</x:v>
      </x:c>
      <x:c r="J1559" s="7" t="n">
        <x:v>0.97</x:v>
      </x:c>
      <x:c r="K1559" s="8" t="n">
        <x:v>64</x:v>
      </x:c>
      <x:c r="L1559" s="8" t="n">
        <x:v>3294</x:v>
      </x:c>
      <x:c r="M1559" s="9" t="n">
        <x:v>0.5184853142</x:v>
      </x:c>
      <x:c r="N1559" s="10" t="n">
        <x:v>74228.9438372799</x:v>
      </x:c>
      <x:c r="O1559" s="9" t="n">
        <x:v>-0.2266874754</x:v>
      </x:c>
      <x:c r="P1559" s="9" t="n">
        <x:v>0.6849192101</x:v>
      </x:c>
      <x:c r="Q1559" s="9" t="n">
        <x:v>0.1687612208</x:v>
      </x:c>
      <x:c r="R1559" s="3" t="b">
        <x:v>0</x:v>
      </x:c>
      <x:c r="S1559" s="3" t="b">
        <x:v>0</x:v>
      </x:c>
      <x:c r="T1559" s="3" t="b">
        <x:v>0</x:v>
      </x:c>
      <x:c r="U1559" s="2" t="str">
        <x:f>IF(T1559=TRUE,"Priority review",IF(R1559=TRUE,"High cost",IF(S1559=TRUE,"Low quality","Benchmark")))</x:f>
        <x:v>Benchmark</x:v>
      </x:c>
    </x:row>
    <x:row r="1560">
      <x:c r="A1560" s="2" t="str">
        <x:v>161308</x:v>
      </x:c>
      <x:c r="B1560" s="2" t="str">
        <x:v>FRANKLIN GENERAL HOSPITAL</x:v>
      </x:c>
      <x:c r="C1560" s="2" t="str">
        <x:v>HAMPTON</x:v>
      </x:c>
      <x:c r="D1560" s="2" t="str">
        <x:v>IA</x:v>
      </x:c>
      <x:c r="E1560" s="2" t="str">
        <x:v>Critical Access Hospitals</x:v>
      </x:c>
      <x:c r="F1560" s="2" t="str">
        <x:v>Government</x:v>
      </x:c>
      <x:c r="G1560" s="2" t="str">
        <x:v>Small (&lt;100 beds)</x:v>
      </x:c>
      <x:c r="H1560" s="7"/>
      <x:c r="I1560" s="7"/>
      <x:c r="J1560" s="7"/>
      <x:c r="K1560" s="8" t="n">
        <x:v>25</x:v>
      </x:c>
      <x:c r="L1560" s="8" t="n">
        <x:v>167</x:v>
      </x:c>
      <x:c r="M1560" s="9" t="n">
        <x:v>0.226739726</x:v>
      </x:c>
      <x:c r="N1560" s="10" t="n">
        <x:v>183875.9940119761</x:v>
      </x:c>
      <x:c r="O1560" s="9" t="n">
        <x:v>-0.038118609</x:v>
      </x:c>
      <x:c r="P1560" s="9" t="n">
        <x:v>0.6847583643</x:v>
      </x:c>
      <x:c r="Q1560" s="9" t="n">
        <x:v>0.292936803</x:v>
      </x:c>
      <x:c r="R1560" s="3" t="b">
        <x:v>0</x:v>
      </x:c>
      <x:c r="S1560" s="3" t="b">
        <x:v>0</x:v>
      </x:c>
      <x:c r="T1560" s="3" t="b">
        <x:v>0</x:v>
      </x:c>
      <x:c r="U1560" s="2" t="str">
        <x:f>IF(T1560=TRUE,"Priority review",IF(R1560=TRUE,"High cost",IF(S1560=TRUE,"Low quality","Benchmark")))</x:f>
        <x:v>Benchmark</x:v>
      </x:c>
    </x:row>
    <x:row r="1561">
      <x:c r="A1561" s="2" t="str">
        <x:v>050002</x:v>
      </x:c>
      <x:c r="B1561" s="2" t="str">
        <x:v>ST ROSE HOSPITAL</x:v>
      </x:c>
      <x:c r="C1561" s="2" t="str">
        <x:v>HAYWARD</x:v>
      </x:c>
      <x:c r="D1561" s="2" t="str">
        <x:v>CA</x:v>
      </x:c>
      <x:c r="E1561" s="2" t="str">
        <x:v>Acute Care Hospitals</x:v>
      </x:c>
      <x:c r="F1561" s="2" t="str">
        <x:v>Voluntary non-profit</x:v>
      </x:c>
      <x:c r="G1561" s="2" t="str">
        <x:v>Medium (100-299 beds)</x:v>
      </x:c>
      <x:c r="H1561" s="7" t="n">
        <x:v>1</x:v>
      </x:c>
      <x:c r="I1561" s="7" t="n">
        <x:v>2</x:v>
      </x:c>
      <x:c r="J1561" s="7" t="n">
        <x:v>1.12</x:v>
      </x:c>
      <x:c r="K1561" s="8" t="n">
        <x:v>171</x:v>
      </x:c>
      <x:c r="L1561" s="8" t="n">
        <x:v>3337</x:v>
      </x:c>
      <x:c r="M1561" s="9" t="n">
        <x:v>0.2154475442</x:v>
      </x:c>
      <x:c r="N1561" s="10" t="n">
        <x:v>42522.0374587953</x:v>
      </x:c>
      <x:c r="O1561" s="9" t="n">
        <x:v>-0.2715608639</x:v>
      </x:c>
      <x:c r="P1561" s="9" t="n">
        <x:v>0.684596577</x:v>
      </x:c>
      <x:c r="Q1561" s="9" t="n">
        <x:v>0</x:v>
      </x:c>
      <x:c r="R1561" s="3" t="b">
        <x:v>0</x:v>
      </x:c>
      <x:c r="S1561" s="3" t="b">
        <x:v>1</x:v>
      </x:c>
      <x:c r="T1561" s="3" t="b">
        <x:v>0</x:v>
      </x:c>
      <x:c r="U1561" s="2" t="str">
        <x:f>IF(T1561=TRUE,"Priority review",IF(R1561=TRUE,"High cost",IF(S1561=TRUE,"Low quality","Benchmark")))</x:f>
        <x:v>Low quality</x:v>
      </x:c>
    </x:row>
    <x:row r="1562">
      <x:c r="A1562" s="2" t="str">
        <x:v>340131</x:v>
      </x:c>
      <x:c r="B1562" s="2" t="str">
        <x:v>CAROLINA EAST MEDICAL CENTER</x:v>
      </x:c>
      <x:c r="C1562" s="2" t="str">
        <x:v>NEW BERN</x:v>
      </x:c>
      <x:c r="D1562" s="2" t="str">
        <x:v>NC</x:v>
      </x:c>
      <x:c r="E1562" s="2" t="str">
        <x:v>Acute Care Hospitals</x:v>
      </x:c>
      <x:c r="F1562" s="2" t="str">
        <x:v>Government</x:v>
      </x:c>
      <x:c r="G1562" s="2" t="str">
        <x:v>Large (300+ beds)</x:v>
      </x:c>
      <x:c r="H1562" s="7" t="n">
        <x:v>4</x:v>
      </x:c>
      <x:c r="I1562" s="7" t="n">
        <x:v>4</x:v>
      </x:c>
      <x:c r="J1562" s="7" t="n">
        <x:v>0.89</x:v>
      </x:c>
      <x:c r="K1562" s="8" t="n">
        <x:v>300</x:v>
      </x:c>
      <x:c r="L1562" s="8" t="n">
        <x:v>12722</x:v>
      </x:c>
      <x:c r="M1562" s="9" t="n">
        <x:v>0.6165114155</x:v>
      </x:c>
      <x:c r="N1562" s="10" t="n">
        <x:v>48516.8023895614</x:v>
      </x:c>
      <x:c r="O1562" s="9" t="n">
        <x:v>-0.0347374321</x:v>
      </x:c>
      <x:c r="P1562" s="9" t="n">
        <x:v>0.6845425868</x:v>
      </x:c>
      <x:c r="Q1562" s="9" t="n">
        <x:v>0.5899053628</x:v>
      </x:c>
      <x:c r="R1562" s="3" t="b">
        <x:v>0</x:v>
      </x:c>
      <x:c r="S1562" s="3" t="b">
        <x:v>0</x:v>
      </x:c>
      <x:c r="T1562" s="3" t="b">
        <x:v>0</x:v>
      </x:c>
      <x:c r="U1562" s="2" t="str">
        <x:f>IF(T1562=TRUE,"Priority review",IF(R1562=TRUE,"High cost",IF(S1562=TRUE,"Low quality","Benchmark")))</x:f>
        <x:v>Benchmark</x:v>
      </x:c>
    </x:row>
    <x:row r="1563">
      <x:c r="A1563" s="2" t="str">
        <x:v>110234</x:v>
      </x:c>
      <x:c r="B1563" s="2" t="str">
        <x:v>SGMC BERRIEN CAMPUS</x:v>
      </x:c>
      <x:c r="C1563" s="2" t="str">
        <x:v>NASHVILLE</x:v>
      </x:c>
      <x:c r="D1563" s="2" t="str">
        <x:v>GA</x:v>
      </x:c>
      <x:c r="E1563" s="2" t="str">
        <x:v>Acute Care Hospitals</x:v>
      </x:c>
      <x:c r="F1563" s="2" t="str">
        <x:v>Voluntary non-profit</x:v>
      </x:c>
      <x:c r="G1563" s="2" t="str">
        <x:v>Small (&lt;100 beds)</x:v>
      </x:c>
      <x:c r="H1563" s="7"/>
      <x:c r="I1563" s="7"/>
      <x:c r="J1563" s="7"/>
      <x:c r="K1563" s="8" t="n">
        <x:v>10</x:v>
      </x:c>
      <x:c r="L1563" s="8" t="n">
        <x:v>123</x:v>
      </x:c>
      <x:c r="M1563" s="9" t="n">
        <x:v>0.1489552239</x:v>
      </x:c>
      <x:c r="N1563" s="10" t="n">
        <x:v>73965.2601626016</x:v>
      </x:c>
      <x:c r="O1563" s="9" t="n">
        <x:v>0.0426210577</x:v>
      </x:c>
      <x:c r="P1563" s="9" t="n">
        <x:v>0.684021544</x:v>
      </x:c>
      <x:c r="Q1563" s="9" t="n">
        <x:v>0.697486535</x:v>
      </x:c>
      <x:c r="R1563" s="3" t="b">
        <x:v>0</x:v>
      </x:c>
      <x:c r="S1563" s="3" t="b">
        <x:v>0</x:v>
      </x:c>
      <x:c r="T1563" s="3" t="b">
        <x:v>0</x:v>
      </x:c>
      <x:c r="U1563" s="2" t="str">
        <x:f>IF(T1563=TRUE,"Priority review",IF(R1563=TRUE,"High cost",IF(S1563=TRUE,"Low quality","Benchmark")))</x:f>
        <x:v>Benchmark</x:v>
      </x:c>
    </x:row>
    <x:row r="1564">
      <x:c r="A1564" s="2" t="str">
        <x:v>521353</x:v>
      </x:c>
      <x:c r="B1564" s="2" t="str">
        <x:v>CUMBERLAND MEMORIAL HOSPITAL</x:v>
      </x:c>
      <x:c r="C1564" s="2" t="str">
        <x:v>CUMBERLAND</x:v>
      </x:c>
      <x:c r="D1564" s="2" t="str">
        <x:v>WI</x:v>
      </x:c>
      <x:c r="E1564" s="2" t="str">
        <x:v>Critical Access Hospitals</x:v>
      </x:c>
      <x:c r="F1564" s="2" t="str">
        <x:v>Voluntary non-profit</x:v>
      </x:c>
      <x:c r="G1564" s="2" t="str">
        <x:v>Small (&lt;100 beds)</x:v>
      </x:c>
      <x:c r="H1564" s="7"/>
      <x:c r="I1564" s="7"/>
      <x:c r="J1564" s="7"/>
      <x:c r="K1564" s="8" t="n">
        <x:v>14</x:v>
      </x:c>
      <x:c r="L1564" s="8" t="n">
        <x:v>198</x:v>
      </x:c>
      <x:c r="M1564" s="9" t="n">
        <x:v>0.3156555773</x:v>
      </x:c>
      <x:c r="N1564" s="10" t="n">
        <x:v>183694.101010101</x:v>
      </x:c>
      <x:c r="O1564" s="9" t="n">
        <x:v>-0.1646427113</x:v>
      </x:c>
      <x:c r="P1564" s="9" t="n">
        <x:v>0.6840148699</x:v>
      </x:c>
      <x:c r="Q1564" s="9" t="n">
        <x:v>0.292936803</x:v>
      </x:c>
      <x:c r="R1564" s="3" t="b">
        <x:v>0</x:v>
      </x:c>
      <x:c r="S1564" s="3" t="b">
        <x:v>0</x:v>
      </x:c>
      <x:c r="T1564" s="3" t="b">
        <x:v>0</x:v>
      </x:c>
      <x:c r="U1564" s="2" t="str">
        <x:f>IF(T1564=TRUE,"Priority review",IF(R1564=TRUE,"High cost",IF(S1564=TRUE,"Low quality","Benchmark")))</x:f>
        <x:v>Benchmark</x:v>
      </x:c>
    </x:row>
    <x:row r="1565">
      <x:c r="A1565" s="2" t="str">
        <x:v>380089</x:v>
      </x:c>
      <x:c r="B1565" s="2" t="str">
        <x:v>LEGACY MERIDIAN PARK MEDICAL CENTER</x:v>
      </x:c>
      <x:c r="C1565" s="2" t="str">
        <x:v>TUALATIN</x:v>
      </x:c>
      <x:c r="D1565" s="2" t="str">
        <x:v>OR</x:v>
      </x:c>
      <x:c r="E1565" s="2" t="str">
        <x:v>Acute Care Hospitals</x:v>
      </x:c>
      <x:c r="F1565" s="2" t="str">
        <x:v>Voluntary non-profit</x:v>
      </x:c>
      <x:c r="G1565" s="2" t="str">
        <x:v>Medium (100-299 beds)</x:v>
      </x:c>
      <x:c r="H1565" s="7" t="n">
        <x:v>2</x:v>
      </x:c>
      <x:c r="I1565" s="7" t="n">
        <x:v>3</x:v>
      </x:c>
      <x:c r="J1565" s="7" t="n">
        <x:v>0.87</x:v>
      </x:c>
      <x:c r="K1565" s="8" t="n">
        <x:v>110</x:v>
      </x:c>
      <x:c r="L1565" s="8" t="n">
        <x:v>6905</x:v>
      </x:c>
      <x:c r="M1565" s="9" t="n">
        <x:v>0.7255541719</x:v>
      </x:c>
      <x:c r="N1565" s="10" t="n">
        <x:v>42502.694134685</x:v>
      </x:c>
      <x:c r="O1565" s="9" t="n">
        <x:v>0.0354567627</x:v>
      </x:c>
      <x:c r="P1565" s="9" t="n">
        <x:v>0.6837815811</x:v>
      </x:c>
      <x:c r="Q1565" s="9" t="n">
        <x:v>0.0782396088</x:v>
      </x:c>
      <x:c r="R1565" s="3" t="b">
        <x:v>0</x:v>
      </x:c>
      <x:c r="S1565" s="3" t="b">
        <x:v>1</x:v>
      </x:c>
      <x:c r="T1565" s="3" t="b">
        <x:v>0</x:v>
      </x:c>
      <x:c r="U1565" s="2" t="str">
        <x:f>IF(T1565=TRUE,"Priority review",IF(R1565=TRUE,"High cost",IF(S1565=TRUE,"Low quality","Benchmark")))</x:f>
        <x:v>Low quality</x:v>
      </x:c>
    </x:row>
    <x:row r="1566">
      <x:c r="A1566" s="2" t="str">
        <x:v>171336</x:v>
      </x:c>
      <x:c r="B1566" s="2" t="str">
        <x:v>NESS COUNTY HOSPITAL DISTRICT #2</x:v>
      </x:c>
      <x:c r="C1566" s="2" t="str">
        <x:v>NESS CITY</x:v>
      </x:c>
      <x:c r="D1566" s="2" t="str">
        <x:v>KS</x:v>
      </x:c>
      <x:c r="E1566" s="2" t="str">
        <x:v>Critical Access Hospitals</x:v>
      </x:c>
      <x:c r="F1566" s="2" t="str">
        <x:v>Government</x:v>
      </x:c>
      <x:c r="G1566" s="2" t="str">
        <x:v>Small (&lt;100 beds)</x:v>
      </x:c>
      <x:c r="H1566" s="7"/>
      <x:c r="I1566" s="7"/>
      <x:c r="J1566" s="7"/>
      <x:c r="K1566" s="8" t="n">
        <x:v>25</x:v>
      </x:c>
      <x:c r="L1566" s="8" t="n">
        <x:v>96</x:v>
      </x:c>
      <x:c r="M1566" s="9" t="n">
        <x:v>0.4084153005</x:v>
      </x:c>
      <x:c r="N1566" s="10" t="n">
        <x:v>183693.1666666667</x:v>
      </x:c>
      <x:c r="O1566" s="9" t="n">
        <x:v>-0.3384793191</x:v>
      </x:c>
      <x:c r="P1566" s="9" t="n">
        <x:v>0.6832713755</x:v>
      </x:c>
      <x:c r="Q1566" s="9" t="n">
        <x:v>0.292936803</x:v>
      </x:c>
      <x:c r="R1566" s="3" t="b">
        <x:v>0</x:v>
      </x:c>
      <x:c r="S1566" s="3" t="b">
        <x:v>0</x:v>
      </x:c>
      <x:c r="T1566" s="3" t="b">
        <x:v>0</x:v>
      </x:c>
      <x:c r="U1566" s="2" t="str">
        <x:f>IF(T1566=TRUE,"Priority review",IF(R1566=TRUE,"High cost",IF(S1566=TRUE,"Low quality","Benchmark")))</x:f>
        <x:v>Benchmark</x:v>
      </x:c>
    </x:row>
    <x:row r="1567">
      <x:c r="A1567" s="2" t="str">
        <x:v>330197</x:v>
      </x:c>
      <x:c r="B1567" s="2" t="str">
        <x:v>CANTON-POTSDAM HOSPITAL</x:v>
      </x:c>
      <x:c r="C1567" s="2" t="str">
        <x:v>POTSDAM</x:v>
      </x:c>
      <x:c r="D1567" s="2" t="str">
        <x:v>NY</x:v>
      </x:c>
      <x:c r="E1567" s="2" t="str">
        <x:v>Acute Care Hospitals</x:v>
      </x:c>
      <x:c r="F1567" s="2" t="str">
        <x:v>Voluntary non-profit</x:v>
      </x:c>
      <x:c r="G1567" s="2" t="str">
        <x:v>Small (&lt;100 beds)</x:v>
      </x:c>
      <x:c r="H1567" s="7" t="n">
        <x:v>2</x:v>
      </x:c>
      <x:c r="I1567" s="7" t="n">
        <x:v>4</x:v>
      </x:c>
      <x:c r="J1567" s="7" t="n">
        <x:v>0.96</x:v>
      </x:c>
      <x:c r="K1567" s="8" t="n">
        <x:v>94</x:v>
      </x:c>
      <x:c r="L1567" s="8" t="n">
        <x:v>4288</x:v>
      </x:c>
      <x:c r="M1567" s="9" t="n">
        <x:v>0.7137542146</x:v>
      </x:c>
      <x:c r="N1567" s="10" t="n">
        <x:v>73957.9020522388</x:v>
      </x:c>
      <x:c r="O1567" s="9" t="n">
        <x:v>-0.1083569031</x:v>
      </x:c>
      <x:c r="P1567" s="9" t="n">
        <x:v>0.6831238779</x:v>
      </x:c>
      <x:c r="Q1567" s="9" t="n">
        <x:v>0.0350089767</x:v>
      </x:c>
      <x:c r="R1567" s="3" t="b">
        <x:v>0</x:v>
      </x:c>
      <x:c r="S1567" s="3" t="b">
        <x:v>1</x:v>
      </x:c>
      <x:c r="T1567" s="3" t="b">
        <x:v>0</x:v>
      </x:c>
      <x:c r="U1567" s="2" t="str">
        <x:f>IF(T1567=TRUE,"Priority review",IF(R1567=TRUE,"High cost",IF(S1567=TRUE,"Low quality","Benchmark")))</x:f>
        <x:v>Low quality</x:v>
      </x:c>
    </x:row>
    <x:row r="1568">
      <x:c r="A1568" s="2" t="str">
        <x:v>150088</x:v>
      </x:c>
      <x:c r="B1568" s="2" t="str">
        <x:v>ASCENSION ST VINCENT ANDERSON</x:v>
      </x:c>
      <x:c r="C1568" s="2" t="str">
        <x:v>ANDERSON</x:v>
      </x:c>
      <x:c r="D1568" s="2" t="str">
        <x:v>IN</x:v>
      </x:c>
      <x:c r="E1568" s="2" t="str">
        <x:v>Acute Care Hospitals</x:v>
      </x:c>
      <x:c r="F1568" s="2" t="str">
        <x:v>Voluntary non-profit</x:v>
      </x:c>
      <x:c r="G1568" s="2" t="str">
        <x:v>Medium (100-299 beds)</x:v>
      </x:c>
      <x:c r="H1568" s="7" t="n">
        <x:v>2</x:v>
      </x:c>
      <x:c r="I1568" s="7" t="n">
        <x:v>2</x:v>
      </x:c>
      <x:c r="J1568" s="7" t="n">
        <x:v>0.95</x:v>
      </x:c>
      <x:c r="K1568" s="8" t="n">
        <x:v>136</x:v>
      </x:c>
      <x:c r="L1568" s="8" t="n">
        <x:v>4671</x:v>
      </x:c>
      <x:c r="M1568" s="9" t="n">
        <x:v>0.449556809</x:v>
      </x:c>
      <x:c r="N1568" s="10" t="n">
        <x:v>42469.2303575252</x:v>
      </x:c>
      <x:c r="O1568" s="9" t="n">
        <x:v>-0.0407407711</x:v>
      </x:c>
      <x:c r="P1568" s="9" t="n">
        <x:v>0.6829665852</x:v>
      </x:c>
      <x:c r="Q1568" s="9" t="n">
        <x:v>0.0782396088</x:v>
      </x:c>
      <x:c r="R1568" s="3" t="b">
        <x:v>0</x:v>
      </x:c>
      <x:c r="S1568" s="3" t="b">
        <x:v>1</x:v>
      </x:c>
      <x:c r="T1568" s="3" t="b">
        <x:v>0</x:v>
      </x:c>
      <x:c r="U1568" s="2" t="str">
        <x:f>IF(T1568=TRUE,"Priority review",IF(R1568=TRUE,"High cost",IF(S1568=TRUE,"Low quality","Benchmark")))</x:f>
        <x:v>Low quality</x:v>
      </x:c>
    </x:row>
    <x:row r="1569">
      <x:c r="A1569" s="2" t="str">
        <x:v>050069</x:v>
      </x:c>
      <x:c r="B1569" s="2" t="str">
        <x:v>PROVIDENCE ST. JOSEPH HOSPITAL</x:v>
      </x:c>
      <x:c r="C1569" s="2" t="str">
        <x:v>ORANGE</x:v>
      </x:c>
      <x:c r="D1569" s="2" t="str">
        <x:v>CA</x:v>
      </x:c>
      <x:c r="E1569" s="2" t="str">
        <x:v>Acute Care Hospitals</x:v>
      </x:c>
      <x:c r="F1569" s="2" t="str">
        <x:v>Voluntary non-profit</x:v>
      </x:c>
      <x:c r="G1569" s="2" t="str">
        <x:v>Large (300+ beds)</x:v>
      </x:c>
      <x:c r="H1569" s="7" t="n">
        <x:v>4</x:v>
      </x:c>
      <x:c r="I1569" s="7" t="n">
        <x:v>2</x:v>
      </x:c>
      <x:c r="J1569" s="7" t="n">
        <x:v>1</x:v>
      </x:c>
      <x:c r="K1569" s="8" t="n">
        <x:v>330</x:v>
      </x:c>
      <x:c r="L1569" s="8" t="n">
        <x:v>21226</x:v>
      </x:c>
      <x:c r="M1569" s="9" t="n">
        <x:v>0.8118140307</x:v>
      </x:c>
      <x:c r="N1569" s="10" t="n">
        <x:v>48408.9780929049</x:v>
      </x:c>
      <x:c r="O1569" s="9" t="n">
        <x:v>-0.4135917198</x:v>
      </x:c>
      <x:c r="P1569" s="9" t="n">
        <x:v>0.6829652997</x:v>
      </x:c>
      <x:c r="Q1569" s="9" t="n">
        <x:v>0.5899053628</x:v>
      </x:c>
      <x:c r="R1569" s="3" t="b">
        <x:v>0</x:v>
      </x:c>
      <x:c r="S1569" s="3" t="b">
        <x:v>0</x:v>
      </x:c>
      <x:c r="T1569" s="3" t="b">
        <x:v>0</x:v>
      </x:c>
      <x:c r="U1569" s="2" t="str">
        <x:f>IF(T1569=TRUE,"Priority review",IF(R1569=TRUE,"High cost",IF(S1569=TRUE,"Low quality","Benchmark")))</x:f>
        <x:v>Benchmark</x:v>
      </x:c>
    </x:row>
    <x:row r="1570">
      <x:c r="A1570" s="2" t="str">
        <x:v>364040</x:v>
      </x:c>
      <x:c r="B1570" s="2" t="str">
        <x:v>MENTAL HEALTH SERVICES FOR CLARK AND MADISON COS</x:v>
      </x:c>
      <x:c r="C1570" s="2" t="str">
        <x:v>SPRINGFIELD</x:v>
      </x:c>
      <x:c r="D1570" s="2" t="str">
        <x:v>OH</x:v>
      </x:c>
      <x:c r="E1570" s="2" t="str">
        <x:v>Psychiatric</x:v>
      </x:c>
      <x:c r="F1570" s="2" t="str">
        <x:v>Proprietary</x:v>
      </x:c>
      <x:c r="G1570" s="2" t="str">
        <x:v>Small (&lt;100 beds)</x:v>
      </x:c>
      <x:c r="H1570" s="7"/>
      <x:c r="I1570" s="7"/>
      <x:c r="J1570" s="7"/>
      <x:c r="K1570" s="8" t="n">
        <x:v>16</x:v>
      </x:c>
      <x:c r="L1570" s="8" t="n">
        <x:v>679</x:v>
      </x:c>
      <x:c r="M1570" s="9" t="n">
        <x:v>0.6907534247</x:v>
      </x:c>
      <x:c r="N1570" s="10" t="n">
        <x:v>21197.3328424153</x:v>
      </x:c>
      <x:c r="O1570" s="9" t="n">
        <x:v>-0.17796896</x:v>
      </x:c>
      <x:c r="P1570" s="9" t="n">
        <x:v>0.6828478964</x:v>
      </x:c>
      <x:c r="Q1570" s="9" t="n">
        <x:v>0</x:v>
      </x:c>
      <x:c r="R1570" s="3" t="b">
        <x:v>0</x:v>
      </x:c>
      <x:c r="S1570" s="3" t="b">
        <x:v>0</x:v>
      </x:c>
      <x:c r="T1570" s="3" t="b">
        <x:v>0</x:v>
      </x:c>
      <x:c r="U1570" s="2" t="str">
        <x:f>IF(T1570=TRUE,"Priority review",IF(R1570=TRUE,"High cost",IF(S1570=TRUE,"Low quality","Benchmark")))</x:f>
        <x:v>Benchmark</x:v>
      </x:c>
    </x:row>
    <x:row r="1571">
      <x:c r="A1571" s="2" t="str">
        <x:v>141335</x:v>
      </x:c>
      <x:c r="B1571" s="2" t="str">
        <x:v>MERCY HARVARD HOSPITAL</x:v>
      </x:c>
      <x:c r="C1571" s="2" t="str">
        <x:v>HARVARD</x:v>
      </x:c>
      <x:c r="D1571" s="2" t="str">
        <x:v>IL</x:v>
      </x:c>
      <x:c r="E1571" s="2" t="str">
        <x:v>Critical Access Hospitals</x:v>
      </x:c>
      <x:c r="F1571" s="2" t="str">
        <x:v>Voluntary non-profit</x:v>
      </x:c>
      <x:c r="G1571" s="2" t="str">
        <x:v>Small (&lt;100 beds)</x:v>
      </x:c>
      <x:c r="H1571" s="7"/>
      <x:c r="I1571" s="7"/>
      <x:c r="J1571" s="7"/>
      <x:c r="K1571" s="8" t="n">
        <x:v>13</x:v>
      </x:c>
      <x:c r="L1571" s="8" t="n">
        <x:v>149</x:v>
      </x:c>
      <x:c r="M1571" s="9" t="n">
        <x:v>0.085142255</x:v>
      </x:c>
      <x:c r="N1571" s="10" t="n">
        <x:v>183330.8993288591</x:v>
      </x:c>
      <x:c r="O1571" s="9" t="n">
        <x:v>-0.0594104452</x:v>
      </x:c>
      <x:c r="P1571" s="9" t="n">
        <x:v>0.682527881</x:v>
      </x:c>
      <x:c r="Q1571" s="9" t="n">
        <x:v>0.292936803</x:v>
      </x:c>
      <x:c r="R1571" s="3" t="b">
        <x:v>0</x:v>
      </x:c>
      <x:c r="S1571" s="3" t="b">
        <x:v>0</x:v>
      </x:c>
      <x:c r="T1571" s="3" t="b">
        <x:v>0</x:v>
      </x:c>
      <x:c r="U1571" s="2" t="str">
        <x:f>IF(T1571=TRUE,"Priority review",IF(R1571=TRUE,"High cost",IF(S1571=TRUE,"Low quality","Benchmark")))</x:f>
        <x:v>Benchmark</x:v>
      </x:c>
    </x:row>
    <x:row r="1572">
      <x:c r="A1572" s="2" t="str">
        <x:v>230301</x:v>
      </x:c>
      <x:c r="B1572" s="2" t="str">
        <x:v>SURGEONS CHOICE MEDICAL CENTER</x:v>
      </x:c>
      <x:c r="C1572" s="2" t="str">
        <x:v>SOUTHFIELD</x:v>
      </x:c>
      <x:c r="D1572" s="2" t="str">
        <x:v>MI</x:v>
      </x:c>
      <x:c r="E1572" s="2" t="str">
        <x:v>Acute Care Hospitals</x:v>
      </x:c>
      <x:c r="F1572" s="2" t="str">
        <x:v>Proprietary</x:v>
      </x:c>
      <x:c r="G1572" s="2" t="str">
        <x:v>Small (&lt;100 beds)</x:v>
      </x:c>
      <x:c r="H1572" s="7"/>
      <x:c r="I1572" s="7"/>
      <x:c r="J1572" s="7" t="n">
        <x:v>1.06</x:v>
      </x:c>
      <x:c r="K1572" s="8" t="n">
        <x:v>45</x:v>
      </x:c>
      <x:c r="L1572" s="8" t="n">
        <x:v>467</x:v>
      </x:c>
      <x:c r="M1572" s="9" t="n">
        <x:v>0.0825136612</x:v>
      </x:c>
      <x:c r="N1572" s="10" t="n">
        <x:v>73658.6680942184</x:v>
      </x:c>
      <x:c r="O1572" s="9" t="n">
        <x:v>-0.0168244903</x:v>
      </x:c>
      <x:c r="P1572" s="9" t="n">
        <x:v>0.6822262118</x:v>
      </x:c>
      <x:c r="Q1572" s="9" t="n">
        <x:v>0.697486535</x:v>
      </x:c>
      <x:c r="R1572" s="3" t="b">
        <x:v>0</x:v>
      </x:c>
      <x:c r="S1572" s="3" t="b">
        <x:v>0</x:v>
      </x:c>
      <x:c r="T1572" s="3" t="b">
        <x:v>0</x:v>
      </x:c>
      <x:c r="U1572" s="2" t="str">
        <x:f>IF(T1572=TRUE,"Priority review",IF(R1572=TRUE,"High cost",IF(S1572=TRUE,"Low quality","Benchmark")))</x:f>
        <x:v>Benchmark</x:v>
      </x:c>
    </x:row>
    <x:row r="1573">
      <x:c r="A1573" s="2" t="str">
        <x:v>510050</x:v>
      </x:c>
      <x:c r="B1573" s="2" t="str">
        <x:v>WHEELING HOSPITAL, INC</x:v>
      </x:c>
      <x:c r="C1573" s="2" t="str">
        <x:v>WHEELING</x:v>
      </x:c>
      <x:c r="D1573" s="2" t="str">
        <x:v>WV</x:v>
      </x:c>
      <x:c r="E1573" s="2" t="str">
        <x:v>Acute Care Hospitals</x:v>
      </x:c>
      <x:c r="F1573" s="2" t="str">
        <x:v>Voluntary non-profit</x:v>
      </x:c>
      <x:c r="G1573" s="2" t="str">
        <x:v>Medium (100-299 beds)</x:v>
      </x:c>
      <x:c r="H1573" s="7" t="n">
        <x:v>2</x:v>
      </x:c>
      <x:c r="I1573" s="7" t="n">
        <x:v>2</x:v>
      </x:c>
      <x:c r="J1573" s="7" t="n">
        <x:v>0.99</x:v>
      </x:c>
      <x:c r="K1573" s="8" t="n">
        <x:v>189</x:v>
      </x:c>
      <x:c r="L1573" s="8" t="n">
        <x:v>13164</x:v>
      </x:c>
      <x:c r="M1573" s="9" t="n">
        <x:v>0.7766068176</x:v>
      </x:c>
      <x:c r="N1573" s="10" t="n">
        <x:v>42339.1223032513</x:v>
      </x:c>
      <x:c r="O1573" s="9" t="n">
        <x:v>-0.0362187482</x:v>
      </x:c>
      <x:c r="P1573" s="9" t="n">
        <x:v>0.6821515892</x:v>
      </x:c>
      <x:c r="Q1573" s="9" t="n">
        <x:v>0.0782396088</x:v>
      </x:c>
      <x:c r="R1573" s="3" t="b">
        <x:v>0</x:v>
      </x:c>
      <x:c r="S1573" s="3" t="b">
        <x:v>1</x:v>
      </x:c>
      <x:c r="T1573" s="3" t="b">
        <x:v>0</x:v>
      </x:c>
      <x:c r="U1573" s="2" t="str">
        <x:f>IF(T1573=TRUE,"Priority review",IF(R1573=TRUE,"High cost",IF(S1573=TRUE,"Low quality","Benchmark")))</x:f>
        <x:v>Low quality</x:v>
      </x:c>
    </x:row>
    <x:row r="1574">
      <x:c r="A1574" s="2" t="str">
        <x:v>051328</x:v>
      </x:c>
      <x:c r="B1574" s="2" t="str">
        <x:v>TAHOE FOREST HOSPITAL</x:v>
      </x:c>
      <x:c r="C1574" s="2" t="str">
        <x:v>TRUCKEE</x:v>
      </x:c>
      <x:c r="D1574" s="2" t="str">
        <x:v>CA</x:v>
      </x:c>
      <x:c r="E1574" s="2" t="str">
        <x:v>Critical Access Hospitals</x:v>
      </x:c>
      <x:c r="F1574" s="2" t="str">
        <x:v>Government</x:v>
      </x:c>
      <x:c r="G1574" s="2" t="str">
        <x:v>Small (&lt;100 beds)</x:v>
      </x:c>
      <x:c r="H1574" s="7" t="n">
        <x:v>3</x:v>
      </x:c>
      <x:c r="I1574" s="7" t="n">
        <x:v>5</x:v>
      </x:c>
      <x:c r="J1574" s="7"/>
      <x:c r="K1574" s="8" t="n">
        <x:v>25</x:v>
      </x:c>
      <x:c r="L1574" s="8" t="n">
        <x:v>1477</x:v>
      </x:c>
      <x:c r="M1574" s="9" t="n">
        <x:v>0.546739726</x:v>
      </x:c>
      <x:c r="N1574" s="10" t="n">
        <x:v>183237.2051455653</x:v>
      </x:c>
      <x:c r="O1574" s="9" t="n">
        <x:v>0.1910433547</x:v>
      </x:c>
      <x:c r="P1574" s="9" t="n">
        <x:v>0.6817843866</x:v>
      </x:c>
      <x:c r="Q1574" s="9" t="n">
        <x:v>0.0765799257</x:v>
      </x:c>
      <x:c r="R1574" s="3" t="b">
        <x:v>0</x:v>
      </x:c>
      <x:c r="S1574" s="3" t="b">
        <x:v>1</x:v>
      </x:c>
      <x:c r="T1574" s="3" t="b">
        <x:v>0</x:v>
      </x:c>
      <x:c r="U1574" s="2" t="str">
        <x:f>IF(T1574=TRUE,"Priority review",IF(R1574=TRUE,"High cost",IF(S1574=TRUE,"Low quality","Benchmark")))</x:f>
        <x:v>Low quality</x:v>
      </x:c>
    </x:row>
    <x:row r="1575">
      <x:c r="A1575" s="2" t="str">
        <x:v>184004</x:v>
      </x:c>
      <x:c r="B1575" s="2" t="str">
        <x:v>EASTERN STATE HOSPITAL</x:v>
      </x:c>
      <x:c r="C1575" s="2" t="str">
        <x:v>LEXINGTON</x:v>
      </x:c>
      <x:c r="D1575" s="2" t="str">
        <x:v>KY</x:v>
      </x:c>
      <x:c r="E1575" s="2" t="str">
        <x:v>Psychiatric</x:v>
      </x:c>
      <x:c r="F1575" s="2" t="str">
        <x:v>Voluntary non-profit</x:v>
      </x:c>
      <x:c r="G1575" s="2" t="str">
        <x:v>Medium (100-299 beds)</x:v>
      </x:c>
      <x:c r="H1575" s="7"/>
      <x:c r="I1575" s="7"/>
      <x:c r="J1575" s="7"/>
      <x:c r="K1575" s="8" t="n">
        <x:v>195</x:v>
      </x:c>
      <x:c r="L1575" s="8" t="n">
        <x:v>3373</x:v>
      </x:c>
      <x:c r="M1575" s="9" t="n">
        <x:v>0.8327081138</x:v>
      </x:c>
      <x:c r="N1575" s="10" t="n">
        <x:v>20200.3293803736</x:v>
      </x:c>
      <x:c r="O1575" s="9" t="n">
        <x:v>-0.4133195687</x:v>
      </x:c>
      <x:c r="P1575" s="9" t="n">
        <x:v>0.6815920398</x:v>
      </x:c>
      <x:c r="Q1575" s="9" t="n">
        <x:v>0</x:v>
      </x:c>
      <x:c r="R1575" s="3" t="b">
        <x:v>0</x:v>
      </x:c>
      <x:c r="S1575" s="3" t="b">
        <x:v>0</x:v>
      </x:c>
      <x:c r="T1575" s="3" t="b">
        <x:v>0</x:v>
      </x:c>
      <x:c r="U1575" s="2" t="str">
        <x:f>IF(T1575=TRUE,"Priority review",IF(R1575=TRUE,"High cost",IF(S1575=TRUE,"Low quality","Benchmark")))</x:f>
        <x:v>Benchmark</x:v>
      </x:c>
    </x:row>
    <x:row r="1576">
      <x:c r="A1576" s="2" t="str">
        <x:v>030064</x:v>
      </x:c>
      <x:c r="B1576" s="2" t="str">
        <x:v>BANNER - UNIVERSITY MEDICAL CENTER TUCSON CAMPUS</x:v>
      </x:c>
      <x:c r="C1576" s="2" t="str">
        <x:v>TUCSON</x:v>
      </x:c>
      <x:c r="D1576" s="2" t="str">
        <x:v>AZ</x:v>
      </x:c>
      <x:c r="E1576" s="2" t="str">
        <x:v>Acute Care Hospitals</x:v>
      </x:c>
      <x:c r="F1576" s="2" t="str">
        <x:v>Voluntary non-profit</x:v>
      </x:c>
      <x:c r="G1576" s="2" t="str">
        <x:v>Large (300+ beds)</x:v>
      </x:c>
      <x:c r="H1576" s="7" t="n">
        <x:v>3</x:v>
      </x:c>
      <x:c r="I1576" s="7" t="n">
        <x:v>2</x:v>
      </x:c>
      <x:c r="J1576" s="7" t="n">
        <x:v>1</x:v>
      </x:c>
      <x:c r="K1576" s="8" t="n">
        <x:v>548</x:v>
      </x:c>
      <x:c r="L1576" s="8" t="n">
        <x:v>26807</x:v>
      </x:c>
      <x:c r="M1576" s="9" t="n">
        <x:v>0.9099825667</x:v>
      </x:c>
      <x:c r="N1576" s="10" t="n">
        <x:v>48362.8238146753</x:v>
      </x:c>
      <x:c r="O1576" s="9" t="n">
        <x:v>0.0273886997</x:v>
      </x:c>
      <x:c r="P1576" s="9" t="n">
        <x:v>0.6813880126</x:v>
      </x:c>
      <x:c r="Q1576" s="9" t="n">
        <x:v>0.2570977918</x:v>
      </x:c>
      <x:c r="R1576" s="3" t="b">
        <x:v>0</x:v>
      </x:c>
      <x:c r="S1576" s="3" t="b">
        <x:v>0</x:v>
      </x:c>
      <x:c r="T1576" s="3" t="b">
        <x:v>0</x:v>
      </x:c>
      <x:c r="U1576" s="2" t="str">
        <x:f>IF(T1576=TRUE,"Priority review",IF(R1576=TRUE,"High cost",IF(S1576=TRUE,"Low quality","Benchmark")))</x:f>
        <x:v>Benchmark</x:v>
      </x:c>
    </x:row>
    <x:row r="1577">
      <x:c r="A1577" s="2" t="str">
        <x:v>050590</x:v>
      </x:c>
      <x:c r="B1577" s="2" t="str">
        <x:v>METHODIST HOSPITAL OF SACRAMENTO</x:v>
      </x:c>
      <x:c r="C1577" s="2" t="str">
        <x:v>SACRAMENTO</x:v>
      </x:c>
      <x:c r="D1577" s="2" t="str">
        <x:v>CA</x:v>
      </x:c>
      <x:c r="E1577" s="2" t="str">
        <x:v>Acute Care Hospitals</x:v>
      </x:c>
      <x:c r="F1577" s="2" t="str">
        <x:v>Voluntary non-profit</x:v>
      </x:c>
      <x:c r="G1577" s="2" t="str">
        <x:v>Medium (100-299 beds)</x:v>
      </x:c>
      <x:c r="H1577" s="7" t="n">
        <x:v>3</x:v>
      </x:c>
      <x:c r="I1577" s="7" t="n">
        <x:v>3</x:v>
      </x:c>
      <x:c r="J1577" s="7" t="n">
        <x:v>0.94</x:v>
      </x:c>
      <x:c r="K1577" s="8" t="n">
        <x:v>154</x:v>
      </x:c>
      <x:c r="L1577" s="8" t="n">
        <x:v>9097</x:v>
      </x:c>
      <x:c r="M1577" s="9" t="n">
        <x:v>0.6261443475</x:v>
      </x:c>
      <x:c r="N1577" s="10" t="n">
        <x:v>42300.3059250302</x:v>
      </x:c>
      <x:c r="O1577" s="9" t="n">
        <x:v>-0.0049323456</x:v>
      </x:c>
      <x:c r="P1577" s="9" t="n">
        <x:v>0.6813365933</x:v>
      </x:c>
      <x:c r="Q1577" s="9" t="n">
        <x:v>0.3023634882</x:v>
      </x:c>
      <x:c r="R1577" s="3" t="b">
        <x:v>0</x:v>
      </x:c>
      <x:c r="S1577" s="3" t="b">
        <x:v>0</x:v>
      </x:c>
      <x:c r="T1577" s="3" t="b">
        <x:v>0</x:v>
      </x:c>
      <x:c r="U1577" s="2" t="str">
        <x:f>IF(T1577=TRUE,"Priority review",IF(R1577=TRUE,"High cost",IF(S1577=TRUE,"Low quality","Benchmark")))</x:f>
        <x:v>Benchmark</x:v>
      </x:c>
    </x:row>
    <x:row r="1578">
      <x:c r="A1578" s="2" t="str">
        <x:v>230241</x:v>
      </x:c>
      <x:c r="B1578" s="2" t="str">
        <x:v>ASCENSION RIVER DISTRICT HOSPITAL</x:v>
      </x:c>
      <x:c r="C1578" s="2" t="str">
        <x:v>EAST CHINA</x:v>
      </x:c>
      <x:c r="D1578" s="2" t="str">
        <x:v>MI</x:v>
      </x:c>
      <x:c r="E1578" s="2" t="str">
        <x:v>Acute Care Hospitals</x:v>
      </x:c>
      <x:c r="F1578" s="2" t="str">
        <x:v>Government</x:v>
      </x:c>
      <x:c r="G1578" s="2" t="str">
        <x:v>Small (&lt;100 beds)</x:v>
      </x:c>
      <x:c r="H1578" s="7" t="n">
        <x:v>3</x:v>
      </x:c>
      <x:c r="I1578" s="7" t="n">
        <x:v>5</x:v>
      </x:c>
      <x:c r="J1578" s="7"/>
      <x:c r="K1578" s="8" t="n">
        <x:v>18</x:v>
      </x:c>
      <x:c r="L1578" s="8" t="n">
        <x:v>410</x:v>
      </x:c>
      <x:c r="M1578" s="9" t="n">
        <x:v>0.1735159817</x:v>
      </x:c>
      <x:c r="N1578" s="10" t="n">
        <x:v>73519.6365853658</x:v>
      </x:c>
      <x:c r="O1578" s="9" t="n">
        <x:v>-0.7455641447</x:v>
      </x:c>
      <x:c r="P1578" s="9" t="n">
        <x:v>0.6813285458</x:v>
      </x:c>
      <x:c r="Q1578" s="9" t="n">
        <x:v>0.1687612208</x:v>
      </x:c>
      <x:c r="R1578" s="3" t="b">
        <x:v>0</x:v>
      </x:c>
      <x:c r="S1578" s="3" t="b">
        <x:v>0</x:v>
      </x:c>
      <x:c r="T1578" s="3" t="b">
        <x:v>0</x:v>
      </x:c>
      <x:c r="U1578" s="2" t="str">
        <x:f>IF(T1578=TRUE,"Priority review",IF(R1578=TRUE,"High cost",IF(S1578=TRUE,"Low quality","Benchmark")))</x:f>
        <x:v>Benchmark</x:v>
      </x:c>
    </x:row>
    <x:row r="1579">
      <x:c r="A1579" s="2" t="str">
        <x:v>461335</x:v>
      </x:c>
      <x:c r="B1579" s="2" t="str">
        <x:v>BEAVER VALLEY HOSPITAL</x:v>
      </x:c>
      <x:c r="C1579" s="2" t="str">
        <x:v>BEAVER</x:v>
      </x:c>
      <x:c r="D1579" s="2" t="str">
        <x:v>UT</x:v>
      </x:c>
      <x:c r="E1579" s="2" t="str">
        <x:v>Critical Access Hospitals</x:v>
      </x:c>
      <x:c r="F1579" s="2" t="str">
        <x:v>Government</x:v>
      </x:c>
      <x:c r="G1579" s="2" t="str">
        <x:v>Small (&lt;100 beds)</x:v>
      </x:c>
      <x:c r="H1579" s="7"/>
      <x:c r="I1579" s="7"/>
      <x:c r="J1579" s="7"/>
      <x:c r="K1579" s="8" t="n">
        <x:v>25</x:v>
      </x:c>
      <x:c r="L1579" s="8" t="n">
        <x:v>123</x:v>
      </x:c>
      <x:c r="M1579" s="9" t="n">
        <x:v>0.4828493151</x:v>
      </x:c>
      <x:c r="N1579" s="10" t="n">
        <x:v>183226.5447154471</x:v>
      </x:c>
      <x:c r="O1579" s="9" t="n">
        <x:v>-0.9628153265</x:v>
      </x:c>
      <x:c r="P1579" s="9" t="n">
        <x:v>0.6810408922</x:v>
      </x:c>
      <x:c r="Q1579" s="9" t="n">
        <x:v>0.292936803</x:v>
      </x:c>
      <x:c r="R1579" s="3" t="b">
        <x:v>0</x:v>
      </x:c>
      <x:c r="S1579" s="3" t="b">
        <x:v>0</x:v>
      </x:c>
      <x:c r="T1579" s="3" t="b">
        <x:v>0</x:v>
      </x:c>
      <x:c r="U1579" s="2" t="str">
        <x:f>IF(T1579=TRUE,"Priority review",IF(R1579=TRUE,"High cost",IF(S1579=TRUE,"Low quality","Benchmark")))</x:f>
        <x:v>Benchmark</x:v>
      </x:c>
    </x:row>
    <x:row r="1580">
      <x:c r="A1580" s="2" t="str">
        <x:v>330078</x:v>
      </x:c>
      <x:c r="B1580" s="2" t="str">
        <x:v>SISTERS OF CHARITY HOSPITAL</x:v>
      </x:c>
      <x:c r="C1580" s="2" t="str">
        <x:v>BUFFALO</x:v>
      </x:c>
      <x:c r="D1580" s="2" t="str">
        <x:v>NY</x:v>
      </x:c>
      <x:c r="E1580" s="2" t="str">
        <x:v>Acute Care Hospitals</x:v>
      </x:c>
      <x:c r="F1580" s="2" t="str">
        <x:v>Voluntary non-profit</x:v>
      </x:c>
      <x:c r="G1580" s="2" t="str">
        <x:v>Medium (100-299 beds)</x:v>
      </x:c>
      <x:c r="H1580" s="7" t="n">
        <x:v>3</x:v>
      </x:c>
      <x:c r="I1580" s="7" t="n">
        <x:v>3</x:v>
      </x:c>
      <x:c r="J1580" s="7" t="n">
        <x:v>0.96</x:v>
      </x:c>
      <x:c r="K1580" s="8" t="n">
        <x:v>296</x:v>
      </x:c>
      <x:c r="L1580" s="8" t="n">
        <x:v>11165</x:v>
      </x:c>
      <x:c r="M1580" s="9" t="n">
        <x:v>0.6192124502</x:v>
      </x:c>
      <x:c r="N1580" s="10" t="n">
        <x:v>42259.5525302284</x:v>
      </x:c>
      <x:c r="O1580" s="9" t="n">
        <x:v>-0.1829922483</x:v>
      </x:c>
      <x:c r="P1580" s="9" t="n">
        <x:v>0.6805215974</x:v>
      </x:c>
      <x:c r="Q1580" s="9" t="n">
        <x:v>0.3023634882</x:v>
      </x:c>
      <x:c r="R1580" s="3" t="b">
        <x:v>0</x:v>
      </x:c>
      <x:c r="S1580" s="3" t="b">
        <x:v>0</x:v>
      </x:c>
      <x:c r="T1580" s="3" t="b">
        <x:v>0</x:v>
      </x:c>
      <x:c r="U1580" s="2" t="str">
        <x:f>IF(T1580=TRUE,"Priority review",IF(R1580=TRUE,"High cost",IF(S1580=TRUE,"Low quality","Benchmark")))</x:f>
        <x:v>Benchmark</x:v>
      </x:c>
    </x:row>
    <x:row r="1581">
      <x:c r="A1581" s="2" t="str">
        <x:v>450851</x:v>
      </x:c>
      <x:c r="B1581" s="2" t="str">
        <x:v>BAYLOR SCOTT &amp; WHITE HEART &amp; VASCULAR HOSPITAL - DALLAS</x:v>
      </x:c>
      <x:c r="C1581" s="2" t="str">
        <x:v>DALLAS</x:v>
      </x:c>
      <x:c r="D1581" s="2" t="str">
        <x:v>TX</x:v>
      </x:c>
      <x:c r="E1581" s="2" t="str">
        <x:v>Acute Care Hospitals</x:v>
      </x:c>
      <x:c r="F1581" s="2" t="str">
        <x:v>Proprietary</x:v>
      </x:c>
      <x:c r="G1581" s="2" t="str">
        <x:v>Small (&lt;100 beds)</x:v>
      </x:c>
      <x:c r="H1581" s="7" t="n">
        <x:v>5</x:v>
      </x:c>
      <x:c r="I1581" s="7" t="n">
        <x:v>4</x:v>
      </x:c>
      <x:c r="J1581" s="7" t="n">
        <x:v>0.97</x:v>
      </x:c>
      <x:c r="K1581" s="8" t="n">
        <x:v>55</x:v>
      </x:c>
      <x:c r="L1581" s="8" t="n">
        <x:v>1736</x:v>
      </x:c>
      <x:c r="M1581" s="9" t="n">
        <x:v>0.5288794926</x:v>
      </x:c>
      <x:c r="N1581" s="10" t="n">
        <x:v>73268.0138248848</x:v>
      </x:c>
      <x:c r="O1581" s="9" t="n">
        <x:v>0.1704905878</x:v>
      </x:c>
      <x:c r="P1581" s="9" t="n">
        <x:v>0.6804308797</x:v>
      </x:c>
      <x:c r="Q1581" s="9" t="n">
        <x:v>0.6131059246</x:v>
      </x:c>
      <x:c r="R1581" s="3" t="b">
        <x:v>0</x:v>
      </x:c>
      <x:c r="S1581" s="3" t="b">
        <x:v>0</x:v>
      </x:c>
      <x:c r="T1581" s="3" t="b">
        <x:v>0</x:v>
      </x:c>
      <x:c r="U1581" s="2" t="str">
        <x:f>IF(T1581=TRUE,"Priority review",IF(R1581=TRUE,"High cost",IF(S1581=TRUE,"Low quality","Benchmark")))</x:f>
        <x:v>Benchmark</x:v>
      </x:c>
    </x:row>
    <x:row r="1582">
      <x:c r="A1582" s="2" t="str">
        <x:v>171343</x:v>
      </x:c>
      <x:c r="B1582" s="2" t="str">
        <x:v>STANTON COUNTY HOSPITAL</x:v>
      </x:c>
      <x:c r="C1582" s="2" t="str">
        <x:v>JOHNSON</x:v>
      </x:c>
      <x:c r="D1582" s="2" t="str">
        <x:v>KS</x:v>
      </x:c>
      <x:c r="E1582" s="2" t="str">
        <x:v>Critical Access Hospitals</x:v>
      </x:c>
      <x:c r="F1582" s="2" t="str">
        <x:v>Government</x:v>
      </x:c>
      <x:c r="G1582" s="2" t="str">
        <x:v>Small (&lt;100 beds)</x:v>
      </x:c>
      <x:c r="H1582" s="7"/>
      <x:c r="I1582" s="7"/>
      <x:c r="J1582" s="7"/>
      <x:c r="K1582" s="8" t="n">
        <x:v>16</x:v>
      </x:c>
      <x:c r="L1582" s="8" t="n">
        <x:v>61</x:v>
      </x:c>
      <x:c r="M1582" s="9" t="n">
        <x:v>0.137636612</x:v>
      </x:c>
      <x:c r="N1582" s="10" t="n">
        <x:v>183122.7049180328</x:v>
      </x:c>
      <x:c r="O1582" s="9" t="n">
        <x:v>-0.2669041281</x:v>
      </x:c>
      <x:c r="P1582" s="9" t="n">
        <x:v>0.6802973978</x:v>
      </x:c>
      <x:c r="Q1582" s="9" t="n">
        <x:v>0.292936803</x:v>
      </x:c>
      <x:c r="R1582" s="3" t="b">
        <x:v>0</x:v>
      </x:c>
      <x:c r="S1582" s="3" t="b">
        <x:v>0</x:v>
      </x:c>
      <x:c r="T1582" s="3" t="b">
        <x:v>0</x:v>
      </x:c>
      <x:c r="U1582" s="2" t="str">
        <x:f>IF(T1582=TRUE,"Priority review",IF(R1582=TRUE,"High cost",IF(S1582=TRUE,"Low quality","Benchmark")))</x:f>
        <x:v>Benchmark</x:v>
      </x:c>
    </x:row>
    <x:row r="1583">
      <x:c r="A1583" s="2" t="str">
        <x:v>314005</x:v>
      </x:c>
      <x:c r="B1583" s="2" t="str">
        <x:v>ANCORA PSYCH HOSP</x:v>
      </x:c>
      <x:c r="C1583" s="2" t="str">
        <x:v>HAMMONTON</x:v>
      </x:c>
      <x:c r="D1583" s="2" t="str">
        <x:v>NJ</x:v>
      </x:c>
      <x:c r="E1583" s="2" t="str">
        <x:v>Psychiatric</x:v>
      </x:c>
      <x:c r="F1583" s="2" t="str">
        <x:v>Voluntary non-profit</x:v>
      </x:c>
      <x:c r="G1583" s="2" t="str">
        <x:v>Large (300+ beds)</x:v>
      </x:c>
      <x:c r="H1583" s="7"/>
      <x:c r="I1583" s="7"/>
      <x:c r="J1583" s="7"/>
      <x:c r="K1583" s="8" t="n">
        <x:v>515</x:v>
      </x:c>
      <x:c r="L1583" s="8" t="n">
        <x:v>253</x:v>
      </x:c>
      <x:c r="M1583" s="9" t="n">
        <x:v>0.5546482245</x:v>
      </x:c>
      <x:c r="N1583" s="10" t="n">
        <x:v>528624.9130434783</x:v>
      </x:c>
      <x:c r="O1583" s="9" t="n">
        <x:v>-20.8386578989</x:v>
      </x:c>
      <x:c r="P1583" s="9" t="n">
        <x:v>0.68</x:v>
      </x:c>
      <x:c r="Q1583" s="9" t="n">
        <x:v>0</x:v>
      </x:c>
      <x:c r="R1583" s="3" t="b">
        <x:v>0</x:v>
      </x:c>
      <x:c r="S1583" s="3" t="b">
        <x:v>0</x:v>
      </x:c>
      <x:c r="T1583" s="3" t="b">
        <x:v>0</x:v>
      </x:c>
      <x:c r="U1583" s="2" t="str">
        <x:f>IF(T1583=TRUE,"Priority review",IF(R1583=TRUE,"High cost",IF(S1583=TRUE,"Low quality","Benchmark")))</x:f>
        <x:v>Benchmark</x:v>
      </x:c>
    </x:row>
    <x:row r="1584">
      <x:c r="A1584" s="2" t="str">
        <x:v>330043</x:v>
      </x:c>
      <x:c r="B1584" s="2" t="str">
        <x:v>NS/LIJ HS SOUTHSIDE HOSPITAL</x:v>
      </x:c>
      <x:c r="C1584" s="2" t="str">
        <x:v>BAY SHORE</x:v>
      </x:c>
      <x:c r="D1584" s="2" t="str">
        <x:v>NY</x:v>
      </x:c>
      <x:c r="E1584" s="2" t="str">
        <x:v>Acute Care Hospitals</x:v>
      </x:c>
      <x:c r="F1584" s="2" t="str">
        <x:v>Voluntary non-profit</x:v>
      </x:c>
      <x:c r="G1584" s="2" t="str">
        <x:v>Large (300+ beds)</x:v>
      </x:c>
      <x:c r="H1584" s="7" t="n">
        <x:v>3</x:v>
      </x:c>
      <x:c r="I1584" s="7" t="n">
        <x:v>3</x:v>
      </x:c>
      <x:c r="J1584" s="7" t="n">
        <x:v>1.1</x:v>
      </x:c>
      <x:c r="K1584" s="8" t="n">
        <x:v>324</x:v>
      </x:c>
      <x:c r="L1584" s="8" t="n">
        <x:v>24048</x:v>
      </x:c>
      <x:c r="M1584" s="9" t="n">
        <x:v>0.968395749</x:v>
      </x:c>
      <x:c r="N1584" s="10" t="n">
        <x:v>48340.6551896208</x:v>
      </x:c>
      <x:c r="O1584" s="9" t="n">
        <x:v>-0.3711666762</x:v>
      </x:c>
      <x:c r="P1584" s="9" t="n">
        <x:v>0.6798107256</x:v>
      </x:c>
      <x:c r="Q1584" s="9" t="n">
        <x:v>0.2570977918</x:v>
      </x:c>
      <x:c r="R1584" s="3" t="b">
        <x:v>0</x:v>
      </x:c>
      <x:c r="S1584" s="3" t="b">
        <x:v>0</x:v>
      </x:c>
      <x:c r="T1584" s="3" t="b">
        <x:v>0</x:v>
      </x:c>
      <x:c r="U1584" s="2" t="str">
        <x:f>IF(T1584=TRUE,"Priority review",IF(R1584=TRUE,"High cost",IF(S1584=TRUE,"Low quality","Benchmark")))</x:f>
        <x:v>Benchmark</x:v>
      </x:c>
    </x:row>
    <x:row r="1585">
      <x:c r="A1585" s="2" t="str">
        <x:v>060009</x:v>
      </x:c>
      <x:c r="B1585" s="2" t="str">
        <x:v>INTERMOUNTAIN HEALTH LUTHERAN HOSPITAL</x:v>
      </x:c>
      <x:c r="C1585" s="2" t="str">
        <x:v>WHEAT RIDGE</x:v>
      </x:c>
      <x:c r="D1585" s="2" t="str">
        <x:v>CO</x:v>
      </x:c>
      <x:c r="E1585" s="2" t="str">
        <x:v>Acute Care Hospitals</x:v>
      </x:c>
      <x:c r="F1585" s="2" t="str">
        <x:v>Voluntary non-profit</x:v>
      </x:c>
      <x:c r="G1585" s="2" t="str">
        <x:v>Medium (100-299 beds)</x:v>
      </x:c>
      <x:c r="H1585" s="7" t="n">
        <x:v>4</x:v>
      </x:c>
      <x:c r="I1585" s="7" t="n">
        <x:v>4</x:v>
      </x:c>
      <x:c r="J1585" s="7" t="n">
        <x:v>0.99</x:v>
      </x:c>
      <x:c r="K1585" s="8" t="n">
        <x:v>235</x:v>
      </x:c>
      <x:c r="L1585" s="8" t="n">
        <x:v>11678</x:v>
      </x:c>
      <x:c r="M1585" s="9" t="n">
        <x:v>0.6032321823</x:v>
      </x:c>
      <x:c r="N1585" s="10" t="n">
        <x:v>42228.7903750642</x:v>
      </x:c>
      <x:c r="O1585" s="9" t="n">
        <x:v>-0.1837984267</x:v>
      </x:c>
      <x:c r="P1585" s="9" t="n">
        <x:v>0.6797066015</x:v>
      </x:c>
      <x:c r="Q1585" s="9" t="n">
        <x:v>0.6022819886</x:v>
      </x:c>
      <x:c r="R1585" s="3" t="b">
        <x:v>0</x:v>
      </x:c>
      <x:c r="S1585" s="3" t="b">
        <x:v>0</x:v>
      </x:c>
      <x:c r="T1585" s="3" t="b">
        <x:v>0</x:v>
      </x:c>
      <x:c r="U1585" s="2" t="str">
        <x:f>IF(T1585=TRUE,"Priority review",IF(R1585=TRUE,"High cost",IF(S1585=TRUE,"Low quality","Benchmark")))</x:f>
        <x:v>Benchmark</x:v>
      </x:c>
    </x:row>
    <x:row r="1586">
      <x:c r="A1586" s="2" t="str">
        <x:v>364047</x:v>
      </x:c>
      <x:c r="B1586" s="2" t="str">
        <x:v>RIDGEVIEW HOSPITAL</x:v>
      </x:c>
      <x:c r="C1586" s="2" t="str">
        <x:v>MIDDLE POINT</x:v>
      </x:c>
      <x:c r="D1586" s="2" t="str">
        <x:v>OH</x:v>
      </x:c>
      <x:c r="E1586" s="2" t="str">
        <x:v>Psychiatric</x:v>
      </x:c>
      <x:c r="F1586" s="2" t="str">
        <x:v>Proprietary</x:v>
      </x:c>
      <x:c r="G1586" s="2" t="str">
        <x:v>Small (&lt;100 beds)</x:v>
      </x:c>
      <x:c r="H1586" s="7"/>
      <x:c r="I1586" s="7"/>
      <x:c r="J1586" s="7"/>
      <x:c r="K1586" s="8" t="n">
        <x:v>84</x:v>
      </x:c>
      <x:c r="L1586" s="8" t="n">
        <x:v>490</x:v>
      </x:c>
      <x:c r="M1586" s="9" t="n">
        <x:v>0.379163414</x:v>
      </x:c>
      <x:c r="N1586" s="10" t="n">
        <x:v>21093.9795918367</x:v>
      </x:c>
      <x:c r="O1586" s="9" t="n">
        <x:v>-0.0486997748</x:v>
      </x:c>
      <x:c r="P1586" s="9" t="n">
        <x:v>0.6796116505</x:v>
      </x:c>
      <x:c r="Q1586" s="9" t="n">
        <x:v>0</x:v>
      </x:c>
      <x:c r="R1586" s="3" t="b">
        <x:v>0</x:v>
      </x:c>
      <x:c r="S1586" s="3" t="b">
        <x:v>0</x:v>
      </x:c>
      <x:c r="T1586" s="3" t="b">
        <x:v>0</x:v>
      </x:c>
      <x:c r="U1586" s="2" t="str">
        <x:f>IF(T1586=TRUE,"Priority review",IF(R1586=TRUE,"High cost",IF(S1586=TRUE,"Low quality","Benchmark")))</x:f>
        <x:v>Benchmark</x:v>
      </x:c>
    </x:row>
    <x:row r="1587">
      <x:c r="A1587" s="2" t="str">
        <x:v>531309</x:v>
      </x:c>
      <x:c r="B1587" s="2" t="str">
        <x:v>NORTH BIG HORN HOSPITAL DISTRICT</x:v>
      </x:c>
      <x:c r="C1587" s="2" t="str">
        <x:v>LOVELL</x:v>
      </x:c>
      <x:c r="D1587" s="2" t="str">
        <x:v>WY</x:v>
      </x:c>
      <x:c r="E1587" s="2" t="str">
        <x:v>Critical Access Hospitals</x:v>
      </x:c>
      <x:c r="F1587" s="2" t="str">
        <x:v>Government</x:v>
      </x:c>
      <x:c r="G1587" s="2" t="str">
        <x:v>Small (&lt;100 beds)</x:v>
      </x:c>
      <x:c r="H1587" s="7" t="n">
        <x:v>4</x:v>
      </x:c>
      <x:c r="I1587" s="7"/>
      <x:c r="J1587" s="7"/>
      <x:c r="K1587" s="8" t="n">
        <x:v>14</x:v>
      </x:c>
      <x:c r="L1587" s="8" t="n">
        <x:v>163</x:v>
      </x:c>
      <x:c r="M1587" s="9" t="n">
        <x:v>0.2667318982</x:v>
      </x:c>
      <x:c r="N1587" s="10" t="n">
        <x:v>183021.9079754601</x:v>
      </x:c>
      <x:c r="O1587" s="9" t="n">
        <x:v>-0.0263895628</x:v>
      </x:c>
      <x:c r="P1587" s="9" t="n">
        <x:v>0.6795539033</x:v>
      </x:c>
      <x:c r="Q1587" s="9" t="n">
        <x:v>0.1657992565</x:v>
      </x:c>
      <x:c r="R1587" s="3" t="b">
        <x:v>0</x:v>
      </x:c>
      <x:c r="S1587" s="3" t="b">
        <x:v>0</x:v>
      </x:c>
      <x:c r="T1587" s="3" t="b">
        <x:v>0</x:v>
      </x:c>
      <x:c r="U1587" s="2" t="str">
        <x:f>IF(T1587=TRUE,"Priority review",IF(R1587=TRUE,"High cost",IF(S1587=TRUE,"Low quality","Benchmark")))</x:f>
        <x:v>Benchmark</x:v>
      </x:c>
    </x:row>
    <x:row r="1588">
      <x:c r="A1588" s="2" t="str">
        <x:v>240064</x:v>
      </x:c>
      <x:c r="B1588" s="2" t="str">
        <x:v>GRAND ITASCA CLINIC AND HOSPITAL</x:v>
      </x:c>
      <x:c r="C1588" s="2" t="str">
        <x:v>GRAND RAPIDS</x:v>
      </x:c>
      <x:c r="D1588" s="2" t="str">
        <x:v>MN</x:v>
      </x:c>
      <x:c r="E1588" s="2" t="str">
        <x:v>Acute Care Hospitals</x:v>
      </x:c>
      <x:c r="F1588" s="2" t="str">
        <x:v>Voluntary non-profit</x:v>
      </x:c>
      <x:c r="G1588" s="2" t="str">
        <x:v>Small (&lt;100 beds)</x:v>
      </x:c>
      <x:c r="H1588" s="7" t="n">
        <x:v>4</x:v>
      </x:c>
      <x:c r="I1588" s="7" t="n">
        <x:v>4</x:v>
      </x:c>
      <x:c r="J1588" s="7" t="n">
        <x:v>0.85</x:v>
      </x:c>
      <x:c r="K1588" s="8" t="n">
        <x:v>34</x:v>
      </x:c>
      <x:c r="L1588" s="8" t="n">
        <x:v>1820</x:v>
      </x:c>
      <x:c r="M1588" s="9" t="n">
        <x:v>0.4665702347</x:v>
      </x:c>
      <x:c r="N1588" s="10" t="n">
        <x:v>72847.6835164835</x:v>
      </x:c>
      <x:c r="O1588" s="9" t="n">
        <x:v>0.0102441166</x:v>
      </x:c>
      <x:c r="P1588" s="9" t="n">
        <x:v>0.6795332136</x:v>
      </x:c>
      <x:c r="Q1588" s="9" t="n">
        <x:v>0.3913824057</x:v>
      </x:c>
      <x:c r="R1588" s="3" t="b">
        <x:v>0</x:v>
      </x:c>
      <x:c r="S1588" s="3" t="b">
        <x:v>0</x:v>
      </x:c>
      <x:c r="T1588" s="3" t="b">
        <x:v>0</x:v>
      </x:c>
      <x:c r="U1588" s="2" t="str">
        <x:f>IF(T1588=TRUE,"Priority review",IF(R1588=TRUE,"High cost",IF(S1588=TRUE,"Low quality","Benchmark")))</x:f>
        <x:v>Benchmark</x:v>
      </x:c>
    </x:row>
    <x:row r="1589">
      <x:c r="A1589" s="2" t="str">
        <x:v>520008</x:v>
      </x:c>
      <x:c r="B1589" s="2" t="str">
        <x:v>WAUKESHA MEMORIAL HOSPITAL</x:v>
      </x:c>
      <x:c r="C1589" s="2" t="str">
        <x:v>WAUKESHA</x:v>
      </x:c>
      <x:c r="D1589" s="2" t="str">
        <x:v>WI</x:v>
      </x:c>
      <x:c r="E1589" s="2" t="str">
        <x:v>Acute Care Hospitals</x:v>
      </x:c>
      <x:c r="F1589" s="2" t="str">
        <x:v>Voluntary non-profit</x:v>
      </x:c>
      <x:c r="G1589" s="2" t="str">
        <x:v>Medium (100-299 beds)</x:v>
      </x:c>
      <x:c r="H1589" s="7" t="n">
        <x:v>4</x:v>
      </x:c>
      <x:c r="I1589" s="7" t="n">
        <x:v>4</x:v>
      </x:c>
      <x:c r="J1589" s="7" t="n">
        <x:v>1.05</x:v>
      </x:c>
      <x:c r="K1589" s="8" t="n">
        <x:v>272</x:v>
      </x:c>
      <x:c r="L1589" s="8" t="n">
        <x:v>13059</x:v>
      </x:c>
      <x:c r="M1589" s="9" t="n">
        <x:v>0.5529810422</x:v>
      </x:c>
      <x:c r="N1589" s="10" t="n">
        <x:v>42200.8809250325</x:v>
      </x:c>
      <x:c r="O1589" s="9" t="n">
        <x:v>0.0915658809</x:v>
      </x:c>
      <x:c r="P1589" s="9" t="n">
        <x:v>0.6788916055</x:v>
      </x:c>
      <x:c r="Q1589" s="9" t="n">
        <x:v>0.6022819886</x:v>
      </x:c>
      <x:c r="R1589" s="3" t="b">
        <x:v>0</x:v>
      </x:c>
      <x:c r="S1589" s="3" t="b">
        <x:v>0</x:v>
      </x:c>
      <x:c r="T1589" s="3" t="b">
        <x:v>0</x:v>
      </x:c>
      <x:c r="U1589" s="2" t="str">
        <x:f>IF(T1589=TRUE,"Priority review",IF(R1589=TRUE,"High cost",IF(S1589=TRUE,"Low quality","Benchmark")))</x:f>
        <x:v>Benchmark</x:v>
      </x:c>
    </x:row>
    <x:row r="1590">
      <x:c r="A1590" s="2" t="str">
        <x:v>241318</x:v>
      </x:c>
      <x:c r="B1590" s="2" t="str">
        <x:v>ELY - BLOOMENSON COMMUNITY HOSPITAL</x:v>
      </x:c>
      <x:c r="C1590" s="2" t="str">
        <x:v>ELY</x:v>
      </x:c>
      <x:c r="D1590" s="2" t="str">
        <x:v>MN</x:v>
      </x:c>
      <x:c r="E1590" s="2" t="str">
        <x:v>Critical Access Hospitals</x:v>
      </x:c>
      <x:c r="F1590" s="2" t="str">
        <x:v>Voluntary non-profit</x:v>
      </x:c>
      <x:c r="G1590" s="2" t="str">
        <x:v>Small (&lt;100 beds)</x:v>
      </x:c>
      <x:c r="H1590" s="7"/>
      <x:c r="I1590" s="7"/>
      <x:c r="J1590" s="7"/>
      <x:c r="K1590" s="8" t="n">
        <x:v>16</x:v>
      </x:c>
      <x:c r="L1590" s="8" t="n">
        <x:v>178</x:v>
      </x:c>
      <x:c r="M1590" s="9" t="n">
        <x:v>0.1760587432</x:v>
      </x:c>
      <x:c r="N1590" s="10" t="n">
        <x:v>182889.3764044944</x:v>
      </x:c>
      <x:c r="O1590" s="9" t="n">
        <x:v>-0.0155374444</x:v>
      </x:c>
      <x:c r="P1590" s="9" t="n">
        <x:v>0.6788104089</x:v>
      </x:c>
      <x:c r="Q1590" s="9" t="n">
        <x:v>0.292936803</x:v>
      </x:c>
      <x:c r="R1590" s="3" t="b">
        <x:v>0</x:v>
      </x:c>
      <x:c r="S1590" s="3" t="b">
        <x:v>0</x:v>
      </x:c>
      <x:c r="T1590" s="3" t="b">
        <x:v>0</x:v>
      </x:c>
      <x:c r="U1590" s="2" t="str">
        <x:f>IF(T1590=TRUE,"Priority review",IF(R1590=TRUE,"High cost",IF(S1590=TRUE,"Low quality","Benchmark")))</x:f>
        <x:v>Benchmark</x:v>
      </x:c>
    </x:row>
    <x:row r="1591">
      <x:c r="A1591" s="2" t="str">
        <x:v>180149</x:v>
      </x:c>
      <x:c r="B1591" s="2" t="str">
        <x:v>TJ HEALTH COLUMBIA</x:v>
      </x:c>
      <x:c r="C1591" s="2" t="str">
        <x:v>COLUMBIA</x:v>
      </x:c>
      <x:c r="D1591" s="2" t="str">
        <x:v>KY</x:v>
      </x:c>
      <x:c r="E1591" s="2" t="str">
        <x:v>Acute Care Hospitals</x:v>
      </x:c>
      <x:c r="F1591" s="2" t="str">
        <x:v>Government</x:v>
      </x:c>
      <x:c r="G1591" s="2" t="str">
        <x:v>Small (&lt;100 beds)</x:v>
      </x:c>
      <x:c r="H1591" s="7"/>
      <x:c r="I1591" s="7"/>
      <x:c r="J1591" s="7" t="n">
        <x:v>0.94</x:v>
      </x:c>
      <x:c r="K1591" s="8" t="n">
        <x:v>49</x:v>
      </x:c>
      <x:c r="L1591" s="8" t="n">
        <x:v>252</x:v>
      </x:c>
      <x:c r="M1591" s="9" t="n">
        <x:v>0.0649046504</x:v>
      </x:c>
      <x:c r="N1591" s="10" t="n">
        <x:v>72788.4841269841</x:v>
      </x:c>
      <x:c r="O1591" s="9" t="n">
        <x:v>0.0956160545</x:v>
      </x:c>
      <x:c r="P1591" s="9" t="n">
        <x:v>0.6786355476</x:v>
      </x:c>
      <x:c r="Q1591" s="9" t="n">
        <x:v>0.697486535</x:v>
      </x:c>
      <x:c r="R1591" s="3" t="b">
        <x:v>0</x:v>
      </x:c>
      <x:c r="S1591" s="3" t="b">
        <x:v>0</x:v>
      </x:c>
      <x:c r="T1591" s="3" t="b">
        <x:v>0</x:v>
      </x:c>
      <x:c r="U1591" s="2" t="str">
        <x:f>IF(T1591=TRUE,"Priority review",IF(R1591=TRUE,"High cost",IF(S1591=TRUE,"Low quality","Benchmark")))</x:f>
        <x:v>Benchmark</x:v>
      </x:c>
    </x:row>
    <x:row r="1592">
      <x:c r="A1592" s="2" t="str">
        <x:v>180035</x:v>
      </x:c>
      <x:c r="B1592" s="2" t="str">
        <x:v>ST ELIZABETH EDGEWOOD</x:v>
      </x:c>
      <x:c r="C1592" s="2" t="str">
        <x:v>EDGEWOOD</x:v>
      </x:c>
      <x:c r="D1592" s="2" t="str">
        <x:v>KY</x:v>
      </x:c>
      <x:c r="E1592" s="2" t="str">
        <x:v>Acute Care Hospitals</x:v>
      </x:c>
      <x:c r="F1592" s="2" t="str">
        <x:v>Voluntary non-profit</x:v>
      </x:c>
      <x:c r="G1592" s="2" t="str">
        <x:v>Large (300+ beds)</x:v>
      </x:c>
      <x:c r="H1592" s="7" t="n">
        <x:v>5</x:v>
      </x:c>
      <x:c r="I1592" s="7" t="n">
        <x:v>4</x:v>
      </x:c>
      <x:c r="J1592" s="7" t="n">
        <x:v>1.04</x:v>
      </x:c>
      <x:c r="K1592" s="8" t="n">
        <x:v>470</x:v>
      </x:c>
      <x:c r="L1592" s="8" t="n">
        <x:v>25052</x:v>
      </x:c>
      <x:c r="M1592" s="9" t="n">
        <x:v>0.7429466711</x:v>
      </x:c>
      <x:c r="N1592" s="10" t="n">
        <x:v>48181.2064106658</x:v>
      </x:c>
      <x:c r="O1592" s="9" t="n">
        <x:v>0.0365473119</x:v>
      </x:c>
      <x:c r="P1592" s="9" t="n">
        <x:v>0.6782334385</x:v>
      </x:c>
      <x:c r="Q1592" s="9" t="n">
        <x:v>0.8722397476</x:v>
      </x:c>
      <x:c r="R1592" s="3" t="b">
        <x:v>0</x:v>
      </x:c>
      <x:c r="S1592" s="3" t="b">
        <x:v>0</x:v>
      </x:c>
      <x:c r="T1592" s="3" t="b">
        <x:v>0</x:v>
      </x:c>
      <x:c r="U1592" s="2" t="str">
        <x:f>IF(T1592=TRUE,"Priority review",IF(R1592=TRUE,"High cost",IF(S1592=TRUE,"Low quality","Benchmark")))</x:f>
        <x:v>Benchmark</x:v>
      </x:c>
    </x:row>
    <x:row r="1593">
      <x:c r="A1593" s="2" t="str">
        <x:v>150007</x:v>
      </x:c>
      <x:c r="B1593" s="2" t="str">
        <x:v>COMMUNITY HOWARD REGIONAL HEALTH INC.</x:v>
      </x:c>
      <x:c r="C1593" s="2" t="str">
        <x:v>KOKOMO</x:v>
      </x:c>
      <x:c r="D1593" s="2" t="str">
        <x:v>IN</x:v>
      </x:c>
      <x:c r="E1593" s="2" t="str">
        <x:v>Acute Care Hospitals</x:v>
      </x:c>
      <x:c r="F1593" s="2" t="str">
        <x:v>Voluntary non-profit</x:v>
      </x:c>
      <x:c r="G1593" s="2" t="str">
        <x:v>Medium (100-299 beds)</x:v>
      </x:c>
      <x:c r="H1593" s="7" t="n">
        <x:v>4</x:v>
      </x:c>
      <x:c r="I1593" s="7" t="n">
        <x:v>4</x:v>
      </x:c>
      <x:c r="J1593" s="7" t="n">
        <x:v>0.99</x:v>
      </x:c>
      <x:c r="K1593" s="8" t="n">
        <x:v>111</x:v>
      </x:c>
      <x:c r="L1593" s="8" t="n">
        <x:v>4795</x:v>
      </x:c>
      <x:c r="M1593" s="9" t="n">
        <x:v>0.4707359132</x:v>
      </x:c>
      <x:c r="N1593" s="10" t="n">
        <x:v>42194.9303441084</x:v>
      </x:c>
      <x:c r="O1593" s="9" t="n">
        <x:v>0.0820288186</x:v>
      </x:c>
      <x:c r="P1593" s="9" t="n">
        <x:v>0.6780766096</x:v>
      </x:c>
      <x:c r="Q1593" s="9" t="n">
        <x:v>0.6022819886</x:v>
      </x:c>
      <x:c r="R1593" s="3" t="b">
        <x:v>0</x:v>
      </x:c>
      <x:c r="S1593" s="3" t="b">
        <x:v>0</x:v>
      </x:c>
      <x:c r="T1593" s="3" t="b">
        <x:v>0</x:v>
      </x:c>
      <x:c r="U1593" s="2" t="str">
        <x:f>IF(T1593=TRUE,"Priority review",IF(R1593=TRUE,"High cost",IF(S1593=TRUE,"Low quality","Benchmark")))</x:f>
        <x:v>Benchmark</x:v>
      </x:c>
    </x:row>
    <x:row r="1594">
      <x:c r="A1594" s="2" t="str">
        <x:v>351309</x:v>
      </x:c>
      <x:c r="B1594" s="2" t="str">
        <x:v>SANFORD MAYVILLE</x:v>
      </x:c>
      <x:c r="C1594" s="2" t="str">
        <x:v>MAYVILLE</x:v>
      </x:c>
      <x:c r="D1594" s="2" t="str">
        <x:v>ND</x:v>
      </x:c>
      <x:c r="E1594" s="2" t="str">
        <x:v>Critical Access Hospitals</x:v>
      </x:c>
      <x:c r="F1594" s="2" t="str">
        <x:v>Voluntary non-profit</x:v>
      </x:c>
      <x:c r="G1594" s="2" t="str">
        <x:v>Small (&lt;100 beds)</x:v>
      </x:c>
      <x:c r="H1594" s="7"/>
      <x:c r="I1594" s="7"/>
      <x:c r="J1594" s="7"/>
      <x:c r="K1594" s="8" t="n">
        <x:v>25</x:v>
      </x:c>
      <x:c r="L1594" s="8" t="n">
        <x:v>72</x:v>
      </x:c>
      <x:c r="M1594" s="9" t="n">
        <x:v>0.129726776</x:v>
      </x:c>
      <x:c r="N1594" s="10" t="n">
        <x:v>181774.2361111111</x:v>
      </x:c>
      <x:c r="O1594" s="9" t="n">
        <x:v>0.0607412552</x:v>
      </x:c>
      <x:c r="P1594" s="9" t="n">
        <x:v>0.6780669145</x:v>
      </x:c>
      <x:c r="Q1594" s="9" t="n">
        <x:v>0.292936803</x:v>
      </x:c>
      <x:c r="R1594" s="3" t="b">
        <x:v>0</x:v>
      </x:c>
      <x:c r="S1594" s="3" t="b">
        <x:v>0</x:v>
      </x:c>
      <x:c r="T1594" s="3" t="b">
        <x:v>0</x:v>
      </x:c>
      <x:c r="U1594" s="2" t="str">
        <x:f>IF(T1594=TRUE,"Priority review",IF(R1594=TRUE,"High cost",IF(S1594=TRUE,"Low quality","Benchmark")))</x:f>
        <x:v>Benchmark</x:v>
      </x:c>
    </x:row>
    <x:row r="1595">
      <x:c r="A1595" s="2" t="str">
        <x:v>360032</x:v>
      </x:c>
      <x:c r="B1595" s="2" t="str">
        <x:v>GRAND LAKE HEALTH SYSTEM</x:v>
      </x:c>
      <x:c r="C1595" s="2" t="str">
        <x:v>SAINT MARYS</x:v>
      </x:c>
      <x:c r="D1595" s="2" t="str">
        <x:v>OH</x:v>
      </x:c>
      <x:c r="E1595" s="2" t="str">
        <x:v>Acute Care Hospitals</x:v>
      </x:c>
      <x:c r="F1595" s="2" t="str">
        <x:v>Voluntary non-profit</x:v>
      </x:c>
      <x:c r="G1595" s="2" t="str">
        <x:v>Small (&lt;100 beds)</x:v>
      </x:c>
      <x:c r="H1595" s="7" t="n">
        <x:v>4</x:v>
      </x:c>
      <x:c r="I1595" s="7" t="n">
        <x:v>4</x:v>
      </x:c>
      <x:c r="J1595" s="7" t="n">
        <x:v>1.03</x:v>
      </x:c>
      <x:c r="K1595" s="8" t="n">
        <x:v>33</x:v>
      </x:c>
      <x:c r="L1595" s="8" t="n">
        <x:v>1339</x:v>
      </x:c>
      <x:c r="M1595" s="9" t="n">
        <x:v>0.3345752608</x:v>
      </x:c>
      <x:c r="N1595" s="10" t="n">
        <x:v>72454.2987303958</x:v>
      </x:c>
      <x:c r="O1595" s="9" t="n">
        <x:v>0.0554293543</x:v>
      </x:c>
      <x:c r="P1595" s="9" t="n">
        <x:v>0.6777378815</x:v>
      </x:c>
      <x:c r="Q1595" s="9" t="n">
        <x:v>0.3913824057</x:v>
      </x:c>
      <x:c r="R1595" s="3" t="b">
        <x:v>0</x:v>
      </x:c>
      <x:c r="S1595" s="3" t="b">
        <x:v>0</x:v>
      </x:c>
      <x:c r="T1595" s="3" t="b">
        <x:v>0</x:v>
      </x:c>
      <x:c r="U1595" s="2" t="str">
        <x:f>IF(T1595=TRUE,"Priority review",IF(R1595=TRUE,"High cost",IF(S1595=TRUE,"Low quality","Benchmark")))</x:f>
        <x:v>Benchmark</x:v>
      </x:c>
    </x:row>
    <x:row r="1596">
      <x:c r="A1596" s="2" t="str">
        <x:v>251323</x:v>
      </x:c>
      <x:c r="B1596" s="2" t="str">
        <x:v>OCHSNER SCOTT REGIONAL</x:v>
      </x:c>
      <x:c r="C1596" s="2" t="str">
        <x:v>MORTON</x:v>
      </x:c>
      <x:c r="D1596" s="2" t="str">
        <x:v>MS</x:v>
      </x:c>
      <x:c r="E1596" s="2" t="str">
        <x:v>Critical Access Hospitals</x:v>
      </x:c>
      <x:c r="F1596" s="2" t="str">
        <x:v>Voluntary non-profit</x:v>
      </x:c>
      <x:c r="G1596" s="2" t="str">
        <x:v>Small (&lt;100 beds)</x:v>
      </x:c>
      <x:c r="H1596" s="7"/>
      <x:c r="I1596" s="7"/>
      <x:c r="J1596" s="7"/>
      <x:c r="K1596" s="8" t="n">
        <x:v>25</x:v>
      </x:c>
      <x:c r="L1596" s="8" t="n">
        <x:v>86</x:v>
      </x:c>
      <x:c r="M1596" s="9" t="n">
        <x:v>0.243715847</x:v>
      </x:c>
      <x:c r="N1596" s="10" t="n">
        <x:v>181586.3837209302</x:v>
      </x:c>
      <x:c r="O1596" s="9" t="n">
        <x:v>-0.2028297611</x:v>
      </x:c>
      <x:c r="P1596" s="9" t="n">
        <x:v>0.6773234201</x:v>
      </x:c>
      <x:c r="Q1596" s="9" t="n">
        <x:v>0.292936803</x:v>
      </x:c>
      <x:c r="R1596" s="3" t="b">
        <x:v>0</x:v>
      </x:c>
      <x:c r="S1596" s="3" t="b">
        <x:v>0</x:v>
      </x:c>
      <x:c r="T1596" s="3" t="b">
        <x:v>0</x:v>
      </x:c>
      <x:c r="U1596" s="2" t="str">
        <x:f>IF(T1596=TRUE,"Priority review",IF(R1596=TRUE,"High cost",IF(S1596=TRUE,"Low quality","Benchmark")))</x:f>
        <x:v>Benchmark</x:v>
      </x:c>
    </x:row>
    <x:row r="1597">
      <x:c r="A1597" s="2" t="str">
        <x:v>070017</x:v>
      </x:c>
      <x:c r="B1597" s="2" t="str">
        <x:v>MIDSTATE MEDICAL CENTER</x:v>
      </x:c>
      <x:c r="C1597" s="2" t="str">
        <x:v>MERIDEN</x:v>
      </x:c>
      <x:c r="D1597" s="2" t="str">
        <x:v>CT</x:v>
      </x:c>
      <x:c r="E1597" s="2" t="str">
        <x:v>Acute Care Hospitals</x:v>
      </x:c>
      <x:c r="F1597" s="2" t="str">
        <x:v>Voluntary non-profit</x:v>
      </x:c>
      <x:c r="G1597" s="2" t="str">
        <x:v>Medium (100-299 beds)</x:v>
      </x:c>
      <x:c r="H1597" s="7" t="n">
        <x:v>4</x:v>
      </x:c>
      <x:c r="I1597" s="7" t="n">
        <x:v>3</x:v>
      </x:c>
      <x:c r="J1597" s="7" t="n">
        <x:v>1.02</x:v>
      </x:c>
      <x:c r="K1597" s="8" t="n">
        <x:v>143</x:v>
      </x:c>
      <x:c r="L1597" s="8" t="n">
        <x:v>9671</x:v>
      </x:c>
      <x:c r="M1597" s="9" t="n">
        <x:v>0.8164431197</x:v>
      </x:c>
      <x:c r="N1597" s="10" t="n">
        <x:v>42127.2324475235</x:v>
      </x:c>
      <x:c r="O1597" s="9" t="n">
        <x:v>-0.0091508055</x:v>
      </x:c>
      <x:c r="P1597" s="9" t="n">
        <x:v>0.6772616137</x:v>
      </x:c>
      <x:c r="Q1597" s="9" t="n">
        <x:v>0.6022819886</x:v>
      </x:c>
      <x:c r="R1597" s="3" t="b">
        <x:v>0</x:v>
      </x:c>
      <x:c r="S1597" s="3" t="b">
        <x:v>0</x:v>
      </x:c>
      <x:c r="T1597" s="3" t="b">
        <x:v>0</x:v>
      </x:c>
      <x:c r="U1597" s="2" t="str">
        <x:f>IF(T1597=TRUE,"Priority review",IF(R1597=TRUE,"High cost",IF(S1597=TRUE,"Low quality","Benchmark")))</x:f>
        <x:v>Benchmark</x:v>
      </x:c>
    </x:row>
    <x:row r="1598">
      <x:c r="A1598" s="2" t="str">
        <x:v>330085</x:v>
      </x:c>
      <x:c r="B1598" s="2" t="str">
        <x:v>AURELIA OSBORN FOX MEMORIAL HOSPITAL</x:v>
      </x:c>
      <x:c r="C1598" s="2" t="str">
        <x:v>ONEONTA</x:v>
      </x:c>
      <x:c r="D1598" s="2" t="str">
        <x:v>NY</x:v>
      </x:c>
      <x:c r="E1598" s="2" t="str">
        <x:v>Acute Care Hospitals</x:v>
      </x:c>
      <x:c r="F1598" s="2" t="str">
        <x:v>Voluntary non-profit</x:v>
      </x:c>
      <x:c r="G1598" s="2" t="str">
        <x:v>Small (&lt;100 beds)</x:v>
      </x:c>
      <x:c r="H1598" s="7" t="n">
        <x:v>3</x:v>
      </x:c>
      <x:c r="I1598" s="7" t="n">
        <x:v>3</x:v>
      </x:c>
      <x:c r="J1598" s="7" t="n">
        <x:v>1.01</x:v>
      </x:c>
      <x:c r="K1598" s="8" t="n">
        <x:v>53</x:v>
      </x:c>
      <x:c r="L1598" s="8" t="n">
        <x:v>1405</x:v>
      </x:c>
      <x:c r="M1598" s="9" t="n">
        <x:v>0.3429219507</x:v>
      </x:c>
      <x:c r="N1598" s="10" t="n">
        <x:v>72444.728113879</x:v>
      </x:c>
      <x:c r="O1598" s="9" t="n">
        <x:v>-0.0004034644</x:v>
      </x:c>
      <x:c r="P1598" s="9" t="n">
        <x:v>0.6768402154</x:v>
      </x:c>
      <x:c r="Q1598" s="9" t="n">
        <x:v>0.1687612208</x:v>
      </x:c>
      <x:c r="R1598" s="3" t="b">
        <x:v>0</x:v>
      </x:c>
      <x:c r="S1598" s="3" t="b">
        <x:v>0</x:v>
      </x:c>
      <x:c r="T1598" s="3" t="b">
        <x:v>0</x:v>
      </x:c>
      <x:c r="U1598" s="2" t="str">
        <x:f>IF(T1598=TRUE,"Priority review",IF(R1598=TRUE,"High cost",IF(S1598=TRUE,"Low quality","Benchmark")))</x:f>
        <x:v>Benchmark</x:v>
      </x:c>
    </x:row>
    <x:row r="1599">
      <x:c r="A1599" s="2" t="str">
        <x:v>500051</x:v>
      </x:c>
      <x:c r="B1599" s="2" t="str">
        <x:v>OVERLAKE HOSPITAL MEDICAL CENTER &amp; CLINICS</x:v>
      </x:c>
      <x:c r="C1599" s="2" t="str">
        <x:v>BELLEVUE</x:v>
      </x:c>
      <x:c r="D1599" s="2" t="str">
        <x:v>WA</x:v>
      </x:c>
      <x:c r="E1599" s="2" t="str">
        <x:v>Acute Care Hospitals</x:v>
      </x:c>
      <x:c r="F1599" s="2" t="str">
        <x:v>Voluntary non-profit</x:v>
      </x:c>
      <x:c r="G1599" s="2" t="str">
        <x:v>Large (300+ beds)</x:v>
      </x:c>
      <x:c r="H1599" s="7" t="n">
        <x:v>2</x:v>
      </x:c>
      <x:c r="I1599" s="7" t="n">
        <x:v>4</x:v>
      </x:c>
      <x:c r="J1599" s="7" t="n">
        <x:v>0.92</x:v>
      </x:c>
      <x:c r="K1599" s="8" t="n">
        <x:v>303</x:v>
      </x:c>
      <x:c r="L1599" s="8" t="n">
        <x:v>18265</x:v>
      </x:c>
      <x:c r="M1599" s="9" t="n">
        <x:v>0.6242868122</x:v>
      </x:c>
      <x:c r="N1599" s="10" t="n">
        <x:v>48060.3353955653</x:v>
      </x:c>
      <x:c r="O1599" s="9" t="n">
        <x:v>-0.088927345</x:v>
      </x:c>
      <x:c r="P1599" s="9" t="n">
        <x:v>0.6766561514</x:v>
      </x:c>
      <x:c r="Q1599" s="9" t="n">
        <x:v>0.0536277603</x:v>
      </x:c>
      <x:c r="R1599" s="3" t="b">
        <x:v>0</x:v>
      </x:c>
      <x:c r="S1599" s="3" t="b">
        <x:v>1</x:v>
      </x:c>
      <x:c r="T1599" s="3" t="b">
        <x:v>0</x:v>
      </x:c>
      <x:c r="U1599" s="2" t="str">
        <x:f>IF(T1599=TRUE,"Priority review",IF(R1599=TRUE,"High cost",IF(S1599=TRUE,"Low quality","Benchmark")))</x:f>
        <x:v>Low quality</x:v>
      </x:c>
    </x:row>
    <x:row r="1600">
      <x:c r="A1600" s="2" t="str">
        <x:v>064026</x:v>
      </x:c>
      <x:c r="B1600" s="2" t="str">
        <x:v>PEAK VIEW BEHAVIORAL HEALTH</x:v>
      </x:c>
      <x:c r="C1600" s="2" t="str">
        <x:v>COLORADO SPRINGS</x:v>
      </x:c>
      <x:c r="D1600" s="2" t="str">
        <x:v>CO</x:v>
      </x:c>
      <x:c r="E1600" s="2" t="str">
        <x:v>Psychiatric</x:v>
      </x:c>
      <x:c r="F1600" s="2" t="str">
        <x:v>Proprietary</x:v>
      </x:c>
      <x:c r="G1600" s="2" t="str">
        <x:v>Medium (100-299 beds)</x:v>
      </x:c>
      <x:c r="H1600" s="7"/>
      <x:c r="I1600" s="7"/>
      <x:c r="J1600" s="7"/>
      <x:c r="K1600" s="8" t="n">
        <x:v>128</x:v>
      </x:c>
      <x:c r="L1600" s="8" t="n">
        <x:v>2026</x:v>
      </x:c>
      <x:c r="M1600" s="9" t="n">
        <x:v>0.2799479167</x:v>
      </x:c>
      <x:c r="N1600" s="10" t="n">
        <x:v>19761.0538005923</x:v>
      </x:c>
      <x:c r="O1600" s="9" t="n">
        <x:v>0.1152473365</x:v>
      </x:c>
      <x:c r="P1600" s="9" t="n">
        <x:v>0.6766169154</x:v>
      </x:c>
      <x:c r="Q1600" s="9" t="n">
        <x:v>0</x:v>
      </x:c>
      <x:c r="R1600" s="3" t="b">
        <x:v>0</x:v>
      </x:c>
      <x:c r="S1600" s="3" t="b">
        <x:v>0</x:v>
      </x:c>
      <x:c r="T1600" s="3" t="b">
        <x:v>0</x:v>
      </x:c>
      <x:c r="U1600" s="2" t="str">
        <x:f>IF(T1600=TRUE,"Priority review",IF(R1600=TRUE,"High cost",IF(S1600=TRUE,"Low quality","Benchmark")))</x:f>
        <x:v>Benchmark</x:v>
      </x:c>
    </x:row>
    <x:row r="1601">
      <x:c r="A1601" s="2" t="str">
        <x:v>161348</x:v>
      </x:c>
      <x:c r="B1601" s="2" t="str">
        <x:v>CLARKE COUNTY HOSPITAL</x:v>
      </x:c>
      <x:c r="C1601" s="2" t="str">
        <x:v>OSCEOLA</x:v>
      </x:c>
      <x:c r="D1601" s="2" t="str">
        <x:v>IA</x:v>
      </x:c>
      <x:c r="E1601" s="2" t="str">
        <x:v>Critical Access Hospitals</x:v>
      </x:c>
      <x:c r="F1601" s="2" t="str">
        <x:v>Voluntary non-profit</x:v>
      </x:c>
      <x:c r="G1601" s="2" t="str">
        <x:v>Small (&lt;100 beds)</x:v>
      </x:c>
      <x:c r="H1601" s="7" t="n">
        <x:v>5</x:v>
      </x:c>
      <x:c r="I1601" s="7"/>
      <x:c r="J1601" s="7"/>
      <x:c r="K1601" s="8" t="n">
        <x:v>25</x:v>
      </x:c>
      <x:c r="L1601" s="8" t="n">
        <x:v>240</x:v>
      </x:c>
      <x:c r="M1601" s="9" t="n">
        <x:v>0.3842191781</x:v>
      </x:c>
      <x:c r="N1601" s="10" t="n">
        <x:v>181435.25</x:v>
      </x:c>
      <x:c r="O1601" s="9" t="n">
        <x:v>0.0234691015</x:v>
      </x:c>
      <x:c r="P1601" s="9" t="n">
        <x:v>0.6765799257</x:v>
      </x:c>
      <x:c r="Q1601" s="9" t="n">
        <x:v>0.2602230483</x:v>
      </x:c>
      <x:c r="R1601" s="3" t="b">
        <x:v>0</x:v>
      </x:c>
      <x:c r="S1601" s="3" t="b">
        <x:v>0</x:v>
      </x:c>
      <x:c r="T1601" s="3" t="b">
        <x:v>0</x:v>
      </x:c>
      <x:c r="U1601" s="2" t="str">
        <x:f>IF(T1601=TRUE,"Priority review",IF(R1601=TRUE,"High cost",IF(S1601=TRUE,"Low quality","Benchmark")))</x:f>
        <x:v>Benchmark</x:v>
      </x:c>
    </x:row>
    <x:row r="1602">
      <x:c r="A1602" s="2" t="str">
        <x:v>220101</x:v>
      </x:c>
      <x:c r="B1602" s="2" t="str">
        <x:v>NEWTON-WELLESLEY HOSPITAL</x:v>
      </x:c>
      <x:c r="C1602" s="2" t="str">
        <x:v>NEWTON</x:v>
      </x:c>
      <x:c r="D1602" s="2" t="str">
        <x:v>MA</x:v>
      </x:c>
      <x:c r="E1602" s="2" t="str">
        <x:v>Acute Care Hospitals</x:v>
      </x:c>
      <x:c r="F1602" s="2" t="str">
        <x:v>Voluntary non-profit</x:v>
      </x:c>
      <x:c r="G1602" s="2" t="str">
        <x:v>Medium (100-299 beds)</x:v>
      </x:c>
      <x:c r="H1602" s="7" t="n">
        <x:v>5</x:v>
      </x:c>
      <x:c r="I1602" s="7" t="n">
        <x:v>3</x:v>
      </x:c>
      <x:c r="J1602" s="7" t="n">
        <x:v>0.88</x:v>
      </x:c>
      <x:c r="K1602" s="8" t="n">
        <x:v>240</x:v>
      </x:c>
      <x:c r="L1602" s="8" t="n">
        <x:v>17496</x:v>
      </x:c>
      <x:c r="M1602" s="9" t="n">
        <x:v>0.9613120668</x:v>
      </x:c>
      <x:c r="N1602" s="10" t="n">
        <x:v>42092.15695016</x:v>
      </x:c>
      <x:c r="O1602" s="9" t="n">
        <x:v>-0.0222859426</x:v>
      </x:c>
      <x:c r="P1602" s="9" t="n">
        <x:v>0.6764466178</x:v>
      </x:c>
      <x:c r="Q1602" s="9" t="n">
        <x:v>0.8744906275</x:v>
      </x:c>
      <x:c r="R1602" s="3" t="b">
        <x:v>0</x:v>
      </x:c>
      <x:c r="S1602" s="3" t="b">
        <x:v>0</x:v>
      </x:c>
      <x:c r="T1602" s="3" t="b">
        <x:v>0</x:v>
      </x:c>
      <x:c r="U1602" s="2" t="str">
        <x:f>IF(T1602=TRUE,"Priority review",IF(R1602=TRUE,"High cost",IF(S1602=TRUE,"Low quality","Benchmark")))</x:f>
        <x:v>Benchmark</x:v>
      </x:c>
    </x:row>
    <x:row r="1603">
      <x:c r="A1603" s="2" t="str">
        <x:v>054096</x:v>
      </x:c>
      <x:c r="B1603" s="2" t="str">
        <x:v>SUTTER CENTER FOR PSYCHIATRY</x:v>
      </x:c>
      <x:c r="C1603" s="2" t="str">
        <x:v>SACRAMENTO</x:v>
      </x:c>
      <x:c r="D1603" s="2" t="str">
        <x:v>CA</x:v>
      </x:c>
      <x:c r="E1603" s="2" t="str">
        <x:v>Psychiatric</x:v>
      </x:c>
      <x:c r="F1603" s="2" t="str">
        <x:v>Voluntary non-profit</x:v>
      </x:c>
      <x:c r="G1603" s="2" t="str">
        <x:v>Small (&lt;100 beds)</x:v>
      </x:c>
      <x:c r="H1603" s="7"/>
      <x:c r="I1603" s="7"/>
      <x:c r="J1603" s="7"/>
      <x:c r="K1603" s="8" t="n">
        <x:v>73</x:v>
      </x:c>
      <x:c r="L1603" s="8" t="n">
        <x:v>2588</x:v>
      </x:c>
      <x:c r="M1603" s="9" t="n">
        <x:v>0.7581405794</x:v>
      </x:c>
      <x:c r="N1603" s="10" t="n">
        <x:v>21078.2364760433</x:v>
      </x:c>
      <x:c r="O1603" s="9" t="n">
        <x:v>-0.2351533486</x:v>
      </x:c>
      <x:c r="P1603" s="9" t="n">
        <x:v>0.6763754045</x:v>
      </x:c>
      <x:c r="Q1603" s="9" t="n">
        <x:v>0</x:v>
      </x:c>
      <x:c r="R1603" s="3" t="b">
        <x:v>0</x:v>
      </x:c>
      <x:c r="S1603" s="3" t="b">
        <x:v>0</x:v>
      </x:c>
      <x:c r="T1603" s="3" t="b">
        <x:v>0</x:v>
      </x:c>
      <x:c r="U1603" s="2" t="str">
        <x:f>IF(T1603=TRUE,"Priority review",IF(R1603=TRUE,"High cost",IF(S1603=TRUE,"Low quality","Benchmark")))</x:f>
        <x:v>Benchmark</x:v>
      </x:c>
    </x:row>
    <x:row r="1604">
      <x:c r="A1604" s="2" t="str">
        <x:v>670102</x:v>
      </x:c>
      <x:c r="B1604" s="2" t="str">
        <x:v>AD HOSPITAL EAST, LLC</x:v>
      </x:c>
      <x:c r="C1604" s="2" t="str">
        <x:v>HOUSTON</x:v>
      </x:c>
      <x:c r="D1604" s="2" t="str">
        <x:v>TX</x:v>
      </x:c>
      <x:c r="E1604" s="2" t="str">
        <x:v>Acute Care Hospitals</x:v>
      </x:c>
      <x:c r="F1604" s="2" t="str">
        <x:v>Proprietary</x:v>
      </x:c>
      <x:c r="G1604" s="2" t="str">
        <x:v>Small (&lt;100 beds)</x:v>
      </x:c>
      <x:c r="H1604" s="7"/>
      <x:c r="I1604" s="7"/>
      <x:c r="J1604" s="7" t="n">
        <x:v>1.2</x:v>
      </x:c>
      <x:c r="K1604" s="8" t="n">
        <x:v>47</x:v>
      </x:c>
      <x:c r="L1604" s="8" t="n">
        <x:v>894</x:v>
      </x:c>
      <x:c r="M1604" s="9" t="n">
        <x:v>0.3119986048</x:v>
      </x:c>
      <x:c r="N1604" s="10" t="n">
        <x:v>72119.0447427293</x:v>
      </x:c>
      <x:c r="O1604" s="9" t="n">
        <x:v>-0.184301382</x:v>
      </x:c>
      <x:c r="P1604" s="9" t="n">
        <x:v>0.6759425494</x:v>
      </x:c>
      <x:c r="Q1604" s="9" t="n">
        <x:v>0.697486535</x:v>
      </x:c>
      <x:c r="R1604" s="3" t="b">
        <x:v>0</x:v>
      </x:c>
      <x:c r="S1604" s="3" t="b">
        <x:v>0</x:v>
      </x:c>
      <x:c r="T1604" s="3" t="b">
        <x:v>0</x:v>
      </x:c>
      <x:c r="U1604" s="2" t="str">
        <x:f>IF(T1604=TRUE,"Priority review",IF(R1604=TRUE,"High cost",IF(S1604=TRUE,"Low quality","Benchmark")))</x:f>
        <x:v>Benchmark</x:v>
      </x:c>
    </x:row>
    <x:row r="1605">
      <x:c r="A1605" s="2" t="str">
        <x:v>451396</x:v>
      </x:c>
      <x:c r="B1605" s="2" t="str">
        <x:v>MID COAST MEDICAL CENTER - CENTRAL</x:v>
      </x:c>
      <x:c r="C1605" s="2" t="str">
        <x:v>LLANO</x:v>
      </x:c>
      <x:c r="D1605" s="2" t="str">
        <x:v>TX</x:v>
      </x:c>
      <x:c r="E1605" s="2" t="str">
        <x:v>Critical Access Hospitals</x:v>
      </x:c>
      <x:c r="F1605" s="2" t="str">
        <x:v>Other / unknown</x:v>
      </x:c>
      <x:c r="G1605" s="2" t="str">
        <x:v>Small (&lt;100 beds)</x:v>
      </x:c>
      <x:c r="H1605" s="7"/>
      <x:c r="I1605" s="7"/>
      <x:c r="J1605" s="7"/>
      <x:c r="K1605" s="8" t="n">
        <x:v>25</x:v>
      </x:c>
      <x:c r="L1605" s="8" t="n">
        <x:v>47</x:v>
      </x:c>
      <x:c r="M1605" s="9" t="n">
        <x:v>0.0867759563</x:v>
      </x:c>
      <x:c r="N1605" s="10" t="n">
        <x:v>180884.2553191489</x:v>
      </x:c>
      <x:c r="O1605" s="9" t="n">
        <x:v>-0.4792036037</x:v>
      </x:c>
      <x:c r="P1605" s="9" t="n">
        <x:v>0.6758364312</x:v>
      </x:c>
      <x:c r="Q1605" s="9" t="n">
        <x:v>0.292936803</x:v>
      </x:c>
      <x:c r="R1605" s="3" t="b">
        <x:v>0</x:v>
      </x:c>
      <x:c r="S1605" s="3" t="b">
        <x:v>0</x:v>
      </x:c>
      <x:c r="T1605" s="3" t="b">
        <x:v>0</x:v>
      </x:c>
      <x:c r="U1605" s="2" t="str">
        <x:f>IF(T1605=TRUE,"Priority review",IF(R1605=TRUE,"High cost",IF(S1605=TRUE,"Low quality","Benchmark")))</x:f>
        <x:v>Benchmark</x:v>
      </x:c>
    </x:row>
    <x:row r="1606">
      <x:c r="A1606" s="2" t="str">
        <x:v>120005</x:v>
      </x:c>
      <x:c r="B1606" s="2" t="str">
        <x:v>HILO BENIOFF MEDICAL CENTER</x:v>
      </x:c>
      <x:c r="C1606" s="2" t="str">
        <x:v>HILO</x:v>
      </x:c>
      <x:c r="D1606" s="2" t="str">
        <x:v>HI</x:v>
      </x:c>
      <x:c r="E1606" s="2" t="str">
        <x:v>Acute Care Hospitals</x:v>
      </x:c>
      <x:c r="F1606" s="2" t="str">
        <x:v>Government</x:v>
      </x:c>
      <x:c r="G1606" s="2" t="str">
        <x:v>Medium (100-299 beds)</x:v>
      </x:c>
      <x:c r="H1606" s="7" t="n">
        <x:v>3</x:v>
      </x:c>
      <x:c r="I1606" s="7" t="n">
        <x:v>3</x:v>
      </x:c>
      <x:c r="J1606" s="7" t="n">
        <x:v>0.89</x:v>
      </x:c>
      <x:c r="K1606" s="8" t="n">
        <x:v>194</x:v>
      </x:c>
      <x:c r="L1606" s="8" t="n">
        <x:v>8891</x:v>
      </x:c>
      <x:c r="M1606" s="9" t="n">
        <x:v>0.8506849315</x:v>
      </x:c>
      <x:c r="N1606" s="10" t="n">
        <x:v>42091.2895062423</x:v>
      </x:c>
      <x:c r="O1606" s="9" t="n">
        <x:v>-0.1813463008</x:v>
      </x:c>
      <x:c r="P1606" s="9" t="n">
        <x:v>0.6756316218</x:v>
      </x:c>
      <x:c r="Q1606" s="9" t="n">
        <x:v>0.3023634882</x:v>
      </x:c>
      <x:c r="R1606" s="3" t="b">
        <x:v>0</x:v>
      </x:c>
      <x:c r="S1606" s="3" t="b">
        <x:v>0</x:v>
      </x:c>
      <x:c r="T1606" s="3" t="b">
        <x:v>0</x:v>
      </x:c>
      <x:c r="U1606" s="2" t="str">
        <x:f>IF(T1606=TRUE,"Priority review",IF(R1606=TRUE,"High cost",IF(S1606=TRUE,"Low quality","Benchmark")))</x:f>
        <x:v>Benchmark</x:v>
      </x:c>
    </x:row>
    <x:row r="1607">
      <x:c r="A1607" s="2" t="str">
        <x:v>241321</x:v>
      </x:c>
      <x:c r="B1607" s="2" t="str">
        <x:v>ESSENTIA HEALTH HOLY TRINITY HOSPITAL</x:v>
      </x:c>
      <x:c r="C1607" s="2" t="str">
        <x:v>GRACEVILLE</x:v>
      </x:c>
      <x:c r="D1607" s="2" t="str">
        <x:v>MN</x:v>
      </x:c>
      <x:c r="E1607" s="2" t="str">
        <x:v>Critical Access Hospitals</x:v>
      </x:c>
      <x:c r="F1607" s="2" t="str">
        <x:v>Voluntary non-profit</x:v>
      </x:c>
      <x:c r="G1607" s="2" t="str">
        <x:v>Small (&lt;100 beds)</x:v>
      </x:c>
      <x:c r="H1607" s="7"/>
      <x:c r="I1607" s="7"/>
      <x:c r="J1607" s="7"/>
      <x:c r="K1607" s="8" t="n">
        <x:v>15</x:v>
      </x:c>
      <x:c r="L1607" s="8" t="n">
        <x:v>71</x:v>
      </x:c>
      <x:c r="M1607" s="9" t="n">
        <x:v>0.0491324201</x:v>
      </x:c>
      <x:c r="N1607" s="10" t="n">
        <x:v>180824</x:v>
      </x:c>
      <x:c r="O1607" s="9" t="n">
        <x:v>-0.0265262422</x:v>
      </x:c>
      <x:c r="P1607" s="9" t="n">
        <x:v>0.6750929368</x:v>
      </x:c>
      <x:c r="Q1607" s="9" t="n">
        <x:v>0.292936803</x:v>
      </x:c>
      <x:c r="R1607" s="3" t="b">
        <x:v>0</x:v>
      </x:c>
      <x:c r="S1607" s="3" t="b">
        <x:v>0</x:v>
      </x:c>
      <x:c r="T1607" s="3" t="b">
        <x:v>0</x:v>
      </x:c>
      <x:c r="U1607" s="2" t="str">
        <x:f>IF(T1607=TRUE,"Priority review",IF(R1607=TRUE,"High cost",IF(S1607=TRUE,"Low quality","Benchmark")))</x:f>
        <x:v>Benchmark</x:v>
      </x:c>
    </x:row>
    <x:row r="1608">
      <x:c r="A1608" s="2" t="str">
        <x:v>110087</x:v>
      </x:c>
      <x:c r="B1608" s="2" t="str">
        <x:v>NORTHSIDE HOSPITAL GWINNETT</x:v>
      </x:c>
      <x:c r="C1608" s="2" t="str">
        <x:v>LAWRENCEVILLE</x:v>
      </x:c>
      <x:c r="D1608" s="2" t="str">
        <x:v>GA</x:v>
      </x:c>
      <x:c r="E1608" s="2" t="str">
        <x:v>Acute Care Hospitals</x:v>
      </x:c>
      <x:c r="F1608" s="2" t="str">
        <x:v>Government</x:v>
      </x:c>
      <x:c r="G1608" s="2" t="str">
        <x:v>Large (300+ beds)</x:v>
      </x:c>
      <x:c r="H1608" s="7" t="n">
        <x:v>3</x:v>
      </x:c>
      <x:c r="I1608" s="7" t="n">
        <x:v>3</x:v>
      </x:c>
      <x:c r="J1608" s="7" t="n">
        <x:v>1.03</x:v>
      </x:c>
      <x:c r="K1608" s="8" t="n">
        <x:v>443</x:v>
      </x:c>
      <x:c r="L1608" s="8" t="n">
        <x:v>26203</x:v>
      </x:c>
      <x:c r="M1608" s="9" t="n">
        <x:v>1.1773612602</x:v>
      </x:c>
      <x:c r="N1608" s="10" t="n">
        <x:v>48019.669770637</x:v>
      </x:c>
      <x:c r="O1608" s="9" t="n">
        <x:v>-0.0244102798</x:v>
      </x:c>
      <x:c r="P1608" s="9" t="n">
        <x:v>0.6750788644</x:v>
      </x:c>
      <x:c r="Q1608" s="9" t="n">
        <x:v>0.2570977918</x:v>
      </x:c>
      <x:c r="R1608" s="3" t="b">
        <x:v>0</x:v>
      </x:c>
      <x:c r="S1608" s="3" t="b">
        <x:v>0</x:v>
      </x:c>
      <x:c r="T1608" s="3" t="b">
        <x:v>0</x:v>
      </x:c>
      <x:c r="U1608" s="2" t="str">
        <x:f>IF(T1608=TRUE,"Priority review",IF(R1608=TRUE,"High cost",IF(S1608=TRUE,"Low quality","Benchmark")))</x:f>
        <x:v>Benchmark</x:v>
      </x:c>
    </x:row>
    <x:row r="1609">
      <x:c r="A1609" s="2" t="str">
        <x:v>230239</x:v>
      </x:c>
      <x:c r="B1609" s="2" t="str">
        <x:v>CHIPPEWA COUNTY WAR MEMORIAL HOSPITAL</x:v>
      </x:c>
      <x:c r="C1609" s="2" t="str">
        <x:v>SAULT STE MARIE</x:v>
      </x:c>
      <x:c r="D1609" s="2" t="str">
        <x:v>MI</x:v>
      </x:c>
      <x:c r="E1609" s="2" t="str">
        <x:v>Acute Care Hospitals</x:v>
      </x:c>
      <x:c r="F1609" s="2" t="str">
        <x:v>Voluntary non-profit</x:v>
      </x:c>
      <x:c r="G1609" s="2" t="str">
        <x:v>Small (&lt;100 beds)</x:v>
      </x:c>
      <x:c r="H1609" s="7" t="n">
        <x:v>2</x:v>
      </x:c>
      <x:c r="I1609" s="7" t="n">
        <x:v>4</x:v>
      </x:c>
      <x:c r="J1609" s="7" t="n">
        <x:v>0.86</x:v>
      </x:c>
      <x:c r="K1609" s="8" t="n">
        <x:v>49</x:v>
      </x:c>
      <x:c r="L1609" s="8" t="n">
        <x:v>1627</x:v>
      </x:c>
      <x:c r="M1609" s="9" t="n">
        <x:v>0.3449259156</x:v>
      </x:c>
      <x:c r="N1609" s="10" t="n">
        <x:v>72009.1825445605</x:v>
      </x:c>
      <x:c r="O1609" s="9" t="n">
        <x:v>-0.1144910903</x:v>
      </x:c>
      <x:c r="P1609" s="9" t="n">
        <x:v>0.6750448833</x:v>
      </x:c>
      <x:c r="Q1609" s="9" t="n">
        <x:v>0.0350089767</x:v>
      </x:c>
      <x:c r="R1609" s="3" t="b">
        <x:v>0</x:v>
      </x:c>
      <x:c r="S1609" s="3" t="b">
        <x:v>1</x:v>
      </x:c>
      <x:c r="T1609" s="3" t="b">
        <x:v>0</x:v>
      </x:c>
      <x:c r="U1609" s="2" t="str">
        <x:f>IF(T1609=TRUE,"Priority review",IF(R1609=TRUE,"High cost",IF(S1609=TRUE,"Low quality","Benchmark")))</x:f>
        <x:v>Low quality</x:v>
      </x:c>
    </x:row>
    <x:row r="1610">
      <x:c r="A1610" s="2" t="str">
        <x:v>110095</x:v>
      </x:c>
      <x:c r="B1610" s="2" t="str">
        <x:v>TIFT REGIONAL MEDICAL CENTER</x:v>
      </x:c>
      <x:c r="C1610" s="2" t="str">
        <x:v>TIFTON</x:v>
      </x:c>
      <x:c r="D1610" s="2" t="str">
        <x:v>GA</x:v>
      </x:c>
      <x:c r="E1610" s="2" t="str">
        <x:v>Acute Care Hospitals</x:v>
      </x:c>
      <x:c r="F1610" s="2" t="str">
        <x:v>Government</x:v>
      </x:c>
      <x:c r="G1610" s="2" t="str">
        <x:v>Medium (100-299 beds)</x:v>
      </x:c>
      <x:c r="H1610" s="7" t="n">
        <x:v>3</x:v>
      </x:c>
      <x:c r="I1610" s="7" t="n">
        <x:v>3</x:v>
      </x:c>
      <x:c r="J1610" s="7" t="n">
        <x:v>0.93</x:v>
      </x:c>
      <x:c r="K1610" s="8" t="n">
        <x:v>181</x:v>
      </x:c>
      <x:c r="L1610" s="8" t="n">
        <x:v>10441</x:v>
      </x:c>
      <x:c r="M1610" s="9" t="n">
        <x:v>0.6936116898</x:v>
      </x:c>
      <x:c r="N1610" s="10" t="n">
        <x:v>42035.3057178431</x:v>
      </x:c>
      <x:c r="O1610" s="9" t="n">
        <x:v>-0.0360869374</x:v>
      </x:c>
      <x:c r="P1610" s="9" t="n">
        <x:v>0.6748166259</x:v>
      </x:c>
      <x:c r="Q1610" s="9" t="n">
        <x:v>0.3023634882</x:v>
      </x:c>
      <x:c r="R1610" s="3" t="b">
        <x:v>0</x:v>
      </x:c>
      <x:c r="S1610" s="3" t="b">
        <x:v>0</x:v>
      </x:c>
      <x:c r="T1610" s="3" t="b">
        <x:v>0</x:v>
      </x:c>
      <x:c r="U1610" s="2" t="str">
        <x:f>IF(T1610=TRUE,"Priority review",IF(R1610=TRUE,"High cost",IF(S1610=TRUE,"Low quality","Benchmark")))</x:f>
        <x:v>Benchmark</x:v>
      </x:c>
    </x:row>
    <x:row r="1611">
      <x:c r="A1611" s="2" t="str">
        <x:v>141319</x:v>
      </x:c>
      <x:c r="B1611" s="2" t="str">
        <x:v>HAMMOND HENRY HOSPITAL</x:v>
      </x:c>
      <x:c r="C1611" s="2" t="str">
        <x:v>GENESEO</x:v>
      </x:c>
      <x:c r="D1611" s="2" t="str">
        <x:v>IL</x:v>
      </x:c>
      <x:c r="E1611" s="2" t="str">
        <x:v>Critical Access Hospitals</x:v>
      </x:c>
      <x:c r="F1611" s="2" t="str">
        <x:v>Government</x:v>
      </x:c>
      <x:c r="G1611" s="2" t="str">
        <x:v>Small (&lt;100 beds)</x:v>
      </x:c>
      <x:c r="H1611" s="7"/>
      <x:c r="I1611" s="7" t="n">
        <x:v>5</x:v>
      </x:c>
      <x:c r="J1611" s="7"/>
      <x:c r="K1611" s="8" t="n">
        <x:v>23</x:v>
      </x:c>
      <x:c r="L1611" s="8" t="n">
        <x:v>332</x:v>
      </x:c>
      <x:c r="M1611" s="9" t="n">
        <x:v>0.2456223943</x:v>
      </x:c>
      <x:c r="N1611" s="10" t="n">
        <x:v>180368.0662650602</x:v>
      </x:c>
      <x:c r="O1611" s="9" t="n">
        <x:v>-0.0223502348</x:v>
      </x:c>
      <x:c r="P1611" s="9" t="n">
        <x:v>0.6743494424</x:v>
      </x:c>
      <x:c r="Q1611" s="9" t="n">
        <x:v>0.292936803</x:v>
      </x:c>
      <x:c r="R1611" s="3" t="b">
        <x:v>0</x:v>
      </x:c>
      <x:c r="S1611" s="3" t="b">
        <x:v>0</x:v>
      </x:c>
      <x:c r="T1611" s="3" t="b">
        <x:v>0</x:v>
      </x:c>
      <x:c r="U1611" s="2" t="str">
        <x:f>IF(T1611=TRUE,"Priority review",IF(R1611=TRUE,"High cost",IF(S1611=TRUE,"Low quality","Benchmark")))</x:f>
        <x:v>Benchmark</x:v>
      </x:c>
    </x:row>
    <x:row r="1612">
      <x:c r="A1612" s="2" t="str">
        <x:v>050211</x:v>
      </x:c>
      <x:c r="B1612" s="2" t="str">
        <x:v>ALAMEDA HOSPITAL</x:v>
      </x:c>
      <x:c r="C1612" s="2" t="str">
        <x:v>ALAMEDA</x:v>
      </x:c>
      <x:c r="D1612" s="2" t="str">
        <x:v>CA</x:v>
      </x:c>
      <x:c r="E1612" s="2" t="str">
        <x:v>Acute Care Hospitals</x:v>
      </x:c>
      <x:c r="F1612" s="2" t="str">
        <x:v>Government</x:v>
      </x:c>
      <x:c r="G1612" s="2" t="str">
        <x:v>Small (&lt;100 beds)</x:v>
      </x:c>
      <x:c r="H1612" s="7" t="n">
        <x:v>4</x:v>
      </x:c>
      <x:c r="I1612" s="7" t="n">
        <x:v>3</x:v>
      </x:c>
      <x:c r="J1612" s="7" t="n">
        <x:v>0.96</x:v>
      </x:c>
      <x:c r="K1612" s="8" t="n">
        <x:v>66</x:v>
      </x:c>
      <x:c r="L1612" s="8" t="n">
        <x:v>2526</x:v>
      </x:c>
      <x:c r="M1612" s="9" t="n">
        <x:v>0.5051058531</x:v>
      </x:c>
      <x:c r="N1612" s="10" t="n">
        <x:v>71940.3190815519</x:v>
      </x:c>
      <x:c r="O1612" s="9" t="n">
        <x:v>-0.4740373327</x:v>
      </x:c>
      <x:c r="P1612" s="9" t="n">
        <x:v>0.6741472172</x:v>
      </x:c>
      <x:c r="Q1612" s="9" t="n">
        <x:v>0.3913824057</x:v>
      </x:c>
      <x:c r="R1612" s="3" t="b">
        <x:v>0</x:v>
      </x:c>
      <x:c r="S1612" s="3" t="b">
        <x:v>0</x:v>
      </x:c>
      <x:c r="T1612" s="3" t="b">
        <x:v>0</x:v>
      </x:c>
      <x:c r="U1612" s="2" t="str">
        <x:f>IF(T1612=TRUE,"Priority review",IF(R1612=TRUE,"High cost",IF(S1612=TRUE,"Low quality","Benchmark")))</x:f>
        <x:v>Benchmark</x:v>
      </x:c>
    </x:row>
    <x:row r="1613">
      <x:c r="A1613" s="2" t="str">
        <x:v>150089</x:v>
      </x:c>
      <x:c r="B1613" s="2" t="str">
        <x:v>INDIANA UNIVERSITY HEALTH BALL MEMORIAL HOSPITAL</x:v>
      </x:c>
      <x:c r="C1613" s="2" t="str">
        <x:v>MUNCIE</x:v>
      </x:c>
      <x:c r="D1613" s="2" t="str">
        <x:v>IN</x:v>
      </x:c>
      <x:c r="E1613" s="2" t="str">
        <x:v>Acute Care Hospitals</x:v>
      </x:c>
      <x:c r="F1613" s="2" t="str">
        <x:v>Voluntary non-profit</x:v>
      </x:c>
      <x:c r="G1613" s="2" t="str">
        <x:v>Medium (100-299 beds)</x:v>
      </x:c>
      <x:c r="H1613" s="7" t="n">
        <x:v>3</x:v>
      </x:c>
      <x:c r="I1613" s="7" t="n">
        <x:v>3</x:v>
      </x:c>
      <x:c r="J1613" s="7" t="n">
        <x:v>1.01</x:v>
      </x:c>
      <x:c r="K1613" s="8" t="n">
        <x:v>295</x:v>
      </x:c>
      <x:c r="L1613" s="8" t="n">
        <x:v>13242</x:v>
      </x:c>
      <x:c r="M1613" s="9" t="n">
        <x:v>0.6608872835</x:v>
      </x:c>
      <x:c r="N1613" s="10" t="n">
        <x:v>41900.4976589639</x:v>
      </x:c>
      <x:c r="O1613" s="9" t="n">
        <x:v>-0.0297906538</x:v>
      </x:c>
      <x:c r="P1613" s="9" t="n">
        <x:v>0.67400163</x:v>
      </x:c>
      <x:c r="Q1613" s="9" t="n">
        <x:v>0.3023634882</x:v>
      </x:c>
      <x:c r="R1613" s="3" t="b">
        <x:v>0</x:v>
      </x:c>
      <x:c r="S1613" s="3" t="b">
        <x:v>0</x:v>
      </x:c>
      <x:c r="T1613" s="3" t="b">
        <x:v>0</x:v>
      </x:c>
      <x:c r="U1613" s="2" t="str">
        <x:f>IF(T1613=TRUE,"Priority review",IF(R1613=TRUE,"High cost",IF(S1613=TRUE,"Low quality","Benchmark")))</x:f>
        <x:v>Benchmark</x:v>
      </x:c>
    </x:row>
    <x:row r="1614">
      <x:c r="A1614" s="2" t="str">
        <x:v>051331</x:v>
      </x:c>
      <x:c r="B1614" s="2" t="str">
        <x:v>SANTA YNEZ VALLEY COTTAGE HOSPITAL</x:v>
      </x:c>
      <x:c r="C1614" s="2" t="str">
        <x:v>SOLVANG</x:v>
      </x:c>
      <x:c r="D1614" s="2" t="str">
        <x:v>CA</x:v>
      </x:c>
      <x:c r="E1614" s="2" t="str">
        <x:v>Critical Access Hospitals</x:v>
      </x:c>
      <x:c r="F1614" s="2" t="str">
        <x:v>Voluntary non-profit</x:v>
      </x:c>
      <x:c r="G1614" s="2" t="str">
        <x:v>Small (&lt;100 beds)</x:v>
      </x:c>
      <x:c r="H1614" s="7"/>
      <x:c r="I1614" s="7"/>
      <x:c r="J1614" s="7"/>
      <x:c r="K1614" s="8" t="n">
        <x:v>11</x:v>
      </x:c>
      <x:c r="L1614" s="8" t="n">
        <x:v>162</x:v>
      </x:c>
      <x:c r="M1614" s="9" t="n">
        <x:v>0.1212121212</x:v>
      </x:c>
      <x:c r="N1614" s="10" t="n">
        <x:v>180254.1358024691</x:v>
      </x:c>
      <x:c r="O1614" s="9" t="n">
        <x:v>0.0074471115</x:v>
      </x:c>
      <x:c r="P1614" s="9" t="n">
        <x:v>0.673605948</x:v>
      </x:c>
      <x:c r="Q1614" s="9" t="n">
        <x:v>0.292936803</x:v>
      </x:c>
      <x:c r="R1614" s="3" t="b">
        <x:v>0</x:v>
      </x:c>
      <x:c r="S1614" s="3" t="b">
        <x:v>0</x:v>
      </x:c>
      <x:c r="T1614" s="3" t="b">
        <x:v>0</x:v>
      </x:c>
      <x:c r="U1614" s="2" t="str">
        <x:f>IF(T1614=TRUE,"Priority review",IF(R1614=TRUE,"High cost",IF(S1614=TRUE,"Low quality","Benchmark")))</x:f>
        <x:v>Benchmark</x:v>
      </x:c>
    </x:row>
    <x:row r="1615">
      <x:c r="A1615" s="2" t="str">
        <x:v>390028</x:v>
      </x:c>
      <x:c r="B1615" s="2" t="str">
        <x:v>UPMC MERCY</x:v>
      </x:c>
      <x:c r="C1615" s="2" t="str">
        <x:v>PITTSBURGH</x:v>
      </x:c>
      <x:c r="D1615" s="2" t="str">
        <x:v>PA</x:v>
      </x:c>
      <x:c r="E1615" s="2" t="str">
        <x:v>Acute Care Hospitals</x:v>
      </x:c>
      <x:c r="F1615" s="2" t="str">
        <x:v>Voluntary non-profit</x:v>
      </x:c>
      <x:c r="G1615" s="2" t="str">
        <x:v>Large (300+ beds)</x:v>
      </x:c>
      <x:c r="H1615" s="7" t="n">
        <x:v>4</x:v>
      </x:c>
      <x:c r="I1615" s="7" t="n">
        <x:v>3</x:v>
      </x:c>
      <x:c r="J1615" s="7" t="n">
        <x:v>1.08</x:v>
      </x:c>
      <x:c r="K1615" s="8" t="n">
        <x:v>335</x:v>
      </x:c>
      <x:c r="L1615" s="8" t="n">
        <x:v>12793</x:v>
      </x:c>
      <x:c r="M1615" s="9" t="n">
        <x:v>0.599355013</x:v>
      </x:c>
      <x:c r="N1615" s="10" t="n">
        <x:v>47905.532244196</x:v>
      </x:c>
      <x:c r="O1615" s="9" t="n">
        <x:v>-0.3067145515</x:v>
      </x:c>
      <x:c r="P1615" s="9" t="n">
        <x:v>0.6735015773</x:v>
      </x:c>
      <x:c r="Q1615" s="9" t="n">
        <x:v>0.5899053628</x:v>
      </x:c>
      <x:c r="R1615" s="3" t="b">
        <x:v>0</x:v>
      </x:c>
      <x:c r="S1615" s="3" t="b">
        <x:v>0</x:v>
      </x:c>
      <x:c r="T1615" s="3" t="b">
        <x:v>0</x:v>
      </x:c>
      <x:c r="U1615" s="2" t="str">
        <x:f>IF(T1615=TRUE,"Priority review",IF(R1615=TRUE,"High cost",IF(S1615=TRUE,"Low quality","Benchmark")))</x:f>
        <x:v>Benchmark</x:v>
      </x:c>
    </x:row>
    <x:row r="1616">
      <x:c r="A1616" s="2" t="str">
        <x:v>070004</x:v>
      </x:c>
      <x:c r="B1616" s="2" t="str">
        <x:v>SHARON HOSPITAL</x:v>
      </x:c>
      <x:c r="C1616" s="2" t="str">
        <x:v>SHARON</x:v>
      </x:c>
      <x:c r="D1616" s="2" t="str">
        <x:v>CT</x:v>
      </x:c>
      <x:c r="E1616" s="2" t="str">
        <x:v>Acute Care Hospitals</x:v>
      </x:c>
      <x:c r="F1616" s="2" t="str">
        <x:v>Proprietary</x:v>
      </x:c>
      <x:c r="G1616" s="2" t="str">
        <x:v>Small (&lt;100 beds)</x:v>
      </x:c>
      <x:c r="H1616" s="7" t="n">
        <x:v>5</x:v>
      </x:c>
      <x:c r="I1616" s="7" t="n">
        <x:v>4</x:v>
      </x:c>
      <x:c r="J1616" s="7" t="n">
        <x:v>0.92</x:v>
      </x:c>
      <x:c r="K1616" s="8" t="n">
        <x:v>36</x:v>
      </x:c>
      <x:c r="L1616" s="8" t="n">
        <x:v>1009</x:v>
      </x:c>
      <x:c r="M1616" s="9" t="n">
        <x:v>0.3628640777</x:v>
      </x:c>
      <x:c r="N1616" s="10" t="n">
        <x:v>71486.9990089197</x:v>
      </x:c>
      <x:c r="O1616" s="9" t="n">
        <x:v>-0.404671043</x:v>
      </x:c>
      <x:c r="P1616" s="9" t="n">
        <x:v>0.6732495512</x:v>
      </x:c>
      <x:c r="Q1616" s="9" t="n">
        <x:v>0.6131059246</x:v>
      </x:c>
      <x:c r="R1616" s="3" t="b">
        <x:v>0</x:v>
      </x:c>
      <x:c r="S1616" s="3" t="b">
        <x:v>0</x:v>
      </x:c>
      <x:c r="T1616" s="3" t="b">
        <x:v>0</x:v>
      </x:c>
      <x:c r="U1616" s="2" t="str">
        <x:f>IF(T1616=TRUE,"Priority review",IF(R1616=TRUE,"High cost",IF(S1616=TRUE,"Low quality","Benchmark")))</x:f>
        <x:v>Benchmark</x:v>
      </x:c>
    </x:row>
    <x:row r="1617">
      <x:c r="A1617" s="2" t="str">
        <x:v>120011</x:v>
      </x:c>
      <x:c r="B1617" s="2" t="str">
        <x:v>KAISER FOUNDATION HOSPITAL</x:v>
      </x:c>
      <x:c r="C1617" s="2" t="str">
        <x:v>HONOLULU</x:v>
      </x:c>
      <x:c r="D1617" s="2" t="str">
        <x:v>HI</x:v>
      </x:c>
      <x:c r="E1617" s="2" t="str">
        <x:v>Acute Care Hospitals</x:v>
      </x:c>
      <x:c r="F1617" s="2" t="str">
        <x:v>Voluntary non-profit</x:v>
      </x:c>
      <x:c r="G1617" s="2" t="str">
        <x:v>Medium (100-299 beds)</x:v>
      </x:c>
      <x:c r="H1617" s="7" t="n">
        <x:v>4</x:v>
      </x:c>
      <x:c r="I1617" s="7" t="n">
        <x:v>4</x:v>
      </x:c>
      <x:c r="J1617" s="7" t="n">
        <x:v>0.82</x:v>
      </x:c>
      <x:c r="K1617" s="8" t="n">
        <x:v>225</x:v>
      </x:c>
      <x:c r="L1617" s="8" t="n">
        <x:v>10441</x:v>
      </x:c>
      <x:c r="M1617" s="9" t="n">
        <x:v>0.6450880389</x:v>
      </x:c>
      <x:c r="N1617" s="10" t="n">
        <x:v>41882.4031223063</x:v>
      </x:c>
      <x:c r="O1617" s="9" t="n">
        <x:v>0.0561988582</x:v>
      </x:c>
      <x:c r="P1617" s="9" t="n">
        <x:v>0.6731866341</x:v>
      </x:c>
      <x:c r="Q1617" s="9" t="n">
        <x:v>0.6022819886</x:v>
      </x:c>
      <x:c r="R1617" s="3" t="b">
        <x:v>0</x:v>
      </x:c>
      <x:c r="S1617" s="3" t="b">
        <x:v>0</x:v>
      </x:c>
      <x:c r="T1617" s="3" t="b">
        <x:v>0</x:v>
      </x:c>
      <x:c r="U1617" s="2" t="str">
        <x:f>IF(T1617=TRUE,"Priority review",IF(R1617=TRUE,"High cost",IF(S1617=TRUE,"Low quality","Benchmark")))</x:f>
        <x:v>Benchmark</x:v>
      </x:c>
    </x:row>
    <x:row r="1618">
      <x:c r="A1618" s="2" t="str">
        <x:v>394057</x:v>
      </x:c>
      <x:c r="B1618" s="2" t="str">
        <x:v>MALVERN BEHAVIORAL HEALTH</x:v>
      </x:c>
      <x:c r="C1618" s="2" t="str">
        <x:v>PHILADELPHIA</x:v>
      </x:c>
      <x:c r="D1618" s="2" t="str">
        <x:v>PA</x:v>
      </x:c>
      <x:c r="E1618" s="2" t="str">
        <x:v>Psychiatric</x:v>
      </x:c>
      <x:c r="F1618" s="2" t="str">
        <x:v>Voluntary non-profit</x:v>
      </x:c>
      <x:c r="G1618" s="2" t="str">
        <x:v>Small (&lt;100 beds)</x:v>
      </x:c>
      <x:c r="H1618" s="7"/>
      <x:c r="I1618" s="7"/>
      <x:c r="J1618" s="7"/>
      <x:c r="K1618" s="8" t="n">
        <x:v>76</x:v>
      </x:c>
      <x:c r="L1618" s="8" t="n">
        <x:v>731</x:v>
      </x:c>
      <x:c r="M1618" s="9" t="n">
        <x:v>0.3050043141</x:v>
      </x:c>
      <x:c r="N1618" s="10" t="n">
        <x:v>21034.6634746922</x:v>
      </x:c>
      <x:c r="O1618" s="9" t="n">
        <x:v>0.0568186746</x:v>
      </x:c>
      <x:c r="P1618" s="9" t="n">
        <x:v>0.6731391586</x:v>
      </x:c>
      <x:c r="Q1618" s="9" t="n">
        <x:v>0</x:v>
      </x:c>
      <x:c r="R1618" s="3" t="b">
        <x:v>0</x:v>
      </x:c>
      <x:c r="S1618" s="3" t="b">
        <x:v>0</x:v>
      </x:c>
      <x:c r="T1618" s="3" t="b">
        <x:v>0</x:v>
      </x:c>
      <x:c r="U1618" s="2" t="str">
        <x:f>IF(T1618=TRUE,"Priority review",IF(R1618=TRUE,"High cost",IF(S1618=TRUE,"Low quality","Benchmark")))</x:f>
        <x:v>Benchmark</x:v>
      </x:c>
    </x:row>
    <x:row r="1619">
      <x:c r="A1619" s="2" t="str">
        <x:v>161341</x:v>
      </x:c>
      <x:c r="B1619" s="2" t="str">
        <x:v>LUCAS COUNTY HEALTH CENTER</x:v>
      </x:c>
      <x:c r="C1619" s="2" t="str">
        <x:v>CHARITON</x:v>
      </x:c>
      <x:c r="D1619" s="2" t="str">
        <x:v>IA</x:v>
      </x:c>
      <x:c r="E1619" s="2" t="str">
        <x:v>Critical Access Hospitals</x:v>
      </x:c>
      <x:c r="F1619" s="2" t="str">
        <x:v>Voluntary non-profit</x:v>
      </x:c>
      <x:c r="G1619" s="2" t="str">
        <x:v>Small (&lt;100 beds)</x:v>
      </x:c>
      <x:c r="H1619" s="7"/>
      <x:c r="I1619" s="7"/>
      <x:c r="J1619" s="7"/>
      <x:c r="K1619" s="8" t="n">
        <x:v>25</x:v>
      </x:c>
      <x:c r="L1619" s="8" t="n">
        <x:v>188</x:v>
      </x:c>
      <x:c r="M1619" s="9" t="n">
        <x:v>0.1115616438</x:v>
      </x:c>
      <x:c r="N1619" s="10" t="n">
        <x:v>180008.4627659574</x:v>
      </x:c>
      <x:c r="O1619" s="9" t="n">
        <x:v>-0.0256830602</x:v>
      </x:c>
      <x:c r="P1619" s="9" t="n">
        <x:v>0.6728624535</x:v>
      </x:c>
      <x:c r="Q1619" s="9" t="n">
        <x:v>0.292936803</x:v>
      </x:c>
      <x:c r="R1619" s="3" t="b">
        <x:v>0</x:v>
      </x:c>
      <x:c r="S1619" s="3" t="b">
        <x:v>0</x:v>
      </x:c>
      <x:c r="T1619" s="3" t="b">
        <x:v>0</x:v>
      </x:c>
      <x:c r="U1619" s="2" t="str">
        <x:f>IF(T1619=TRUE,"Priority review",IF(R1619=TRUE,"High cost",IF(S1619=TRUE,"Low quality","Benchmark")))</x:f>
        <x:v>Benchmark</x:v>
      </x:c>
    </x:row>
    <x:row r="1620">
      <x:c r="A1620" s="2" t="str">
        <x:v>380038</x:v>
      </x:c>
      <x:c r="B1620" s="2" t="str">
        <x:v>PROVIDENCE WILLAMETTE FALLS MEDICAL CENTER</x:v>
      </x:c>
      <x:c r="C1620" s="2" t="str">
        <x:v>OREGON CITY</x:v>
      </x:c>
      <x:c r="D1620" s="2" t="str">
        <x:v>OR</x:v>
      </x:c>
      <x:c r="E1620" s="2" t="str">
        <x:v>Acute Care Hospitals</x:v>
      </x:c>
      <x:c r="F1620" s="2" t="str">
        <x:v>Voluntary non-profit</x:v>
      </x:c>
      <x:c r="G1620" s="2" t="str">
        <x:v>Medium (100-299 beds)</x:v>
      </x:c>
      <x:c r="H1620" s="7" t="n">
        <x:v>4</x:v>
      </x:c>
      <x:c r="I1620" s="7" t="n">
        <x:v>4</x:v>
      </x:c>
      <x:c r="J1620" s="7" t="n">
        <x:v>0.87</x:v>
      </x:c>
      <x:c r="K1620" s="8" t="n">
        <x:v>108</x:v>
      </x:c>
      <x:c r="L1620" s="8" t="n">
        <x:v>5493</x:v>
      </x:c>
      <x:c r="M1620" s="9" t="n">
        <x:v>0.6868548877</x:v>
      </x:c>
      <x:c r="N1620" s="10" t="n">
        <x:v>41870.3382486801</x:v>
      </x:c>
      <x:c r="O1620" s="9" t="n">
        <x:v>-0.0662284219</x:v>
      </x:c>
      <x:c r="P1620" s="9" t="n">
        <x:v>0.6723716381</x:v>
      </x:c>
      <x:c r="Q1620" s="9" t="n">
        <x:v>0.6022819886</x:v>
      </x:c>
      <x:c r="R1620" s="3" t="b">
        <x:v>0</x:v>
      </x:c>
      <x:c r="S1620" s="3" t="b">
        <x:v>0</x:v>
      </x:c>
      <x:c r="T1620" s="3" t="b">
        <x:v>0</x:v>
      </x:c>
      <x:c r="U1620" s="2" t="str">
        <x:f>IF(T1620=TRUE,"Priority review",IF(R1620=TRUE,"High cost",IF(S1620=TRUE,"Low quality","Benchmark")))</x:f>
        <x:v>Benchmark</x:v>
      </x:c>
    </x:row>
    <x:row r="1621">
      <x:c r="A1621" s="2" t="str">
        <x:v>490097</x:v>
      </x:c>
      <x:c r="B1621" s="2" t="str">
        <x:v>BON SECOURS SOUTHERN VIRGINIA MEDICAL CENTER</x:v>
      </x:c>
      <x:c r="C1621" s="2" t="str">
        <x:v>EMPORIA</x:v>
      </x:c>
      <x:c r="D1621" s="2" t="str">
        <x:v>VA</x:v>
      </x:c>
      <x:c r="E1621" s="2" t="str">
        <x:v>Acute Care Hospitals</x:v>
      </x:c>
      <x:c r="F1621" s="2" t="str">
        <x:v>Proprietary</x:v>
      </x:c>
      <x:c r="G1621" s="2" t="str">
        <x:v>Small (&lt;100 beds)</x:v>
      </x:c>
      <x:c r="H1621" s="7" t="n">
        <x:v>4</x:v>
      </x:c>
      <x:c r="I1621" s="7"/>
      <x:c r="J1621" s="7" t="n">
        <x:v>0.97</x:v>
      </x:c>
      <x:c r="K1621" s="8" t="n">
        <x:v>39</x:v>
      </x:c>
      <x:c r="L1621" s="8" t="n">
        <x:v>432</x:v>
      </x:c>
      <x:c r="M1621" s="9" t="n">
        <x:v>0.1181168558</x:v>
      </x:c>
      <x:c r="N1621" s="10" t="n">
        <x:v>71407.4050925926</x:v>
      </x:c>
      <x:c r="O1621" s="9" t="n">
        <x:v>-0.0741947239</x:v>
      </x:c>
      <x:c r="P1621" s="9" t="n">
        <x:v>0.6723518851</x:v>
      </x:c>
      <x:c r="Q1621" s="9" t="n">
        <x:v>0.3913824057</x:v>
      </x:c>
      <x:c r="R1621" s="3" t="b">
        <x:v>0</x:v>
      </x:c>
      <x:c r="S1621" s="3" t="b">
        <x:v>0</x:v>
      </x:c>
      <x:c r="T1621" s="3" t="b">
        <x:v>0</x:v>
      </x:c>
      <x:c r="U1621" s="2" t="str">
        <x:f>IF(T1621=TRUE,"Priority review",IF(R1621=TRUE,"High cost",IF(S1621=TRUE,"Low quality","Benchmark")))</x:f>
        <x:v>Benchmark</x:v>
      </x:c>
    </x:row>
    <x:row r="1622">
      <x:c r="A1622" s="2" t="str">
        <x:v>171347</x:v>
      </x:c>
      <x:c r="B1622" s="2" t="str">
        <x:v>SHERIDAN COUNTY HOSPITAL</x:v>
      </x:c>
      <x:c r="C1622" s="2" t="str">
        <x:v>HOXIE</x:v>
      </x:c>
      <x:c r="D1622" s="2" t="str">
        <x:v>KS</x:v>
      </x:c>
      <x:c r="E1622" s="2" t="str">
        <x:v>Critical Access Hospitals</x:v>
      </x:c>
      <x:c r="F1622" s="2" t="str">
        <x:v>Government</x:v>
      </x:c>
      <x:c r="G1622" s="2" t="str">
        <x:v>Small (&lt;100 beds)</x:v>
      </x:c>
      <x:c r="H1622" s="7"/>
      <x:c r="I1622" s="7"/>
      <x:c r="J1622" s="7"/>
      <x:c r="K1622" s="8" t="n">
        <x:v>18</x:v>
      </x:c>
      <x:c r="L1622" s="8" t="n">
        <x:v>98</x:v>
      </x:c>
      <x:c r="M1622" s="9" t="n">
        <x:v>0.1373709775</x:v>
      </x:c>
      <x:c r="N1622" s="10" t="n">
        <x:v>179975.4897959184</x:v>
      </x:c>
      <x:c r="O1622" s="9" t="n">
        <x:v>-0.3553746965</x:v>
      </x:c>
      <x:c r="P1622" s="9" t="n">
        <x:v>0.6721189591</x:v>
      </x:c>
      <x:c r="Q1622" s="9" t="n">
        <x:v>0.292936803</x:v>
      </x:c>
      <x:c r="R1622" s="3" t="b">
        <x:v>0</x:v>
      </x:c>
      <x:c r="S1622" s="3" t="b">
        <x:v>0</x:v>
      </x:c>
      <x:c r="T1622" s="3" t="b">
        <x:v>0</x:v>
      </x:c>
      <x:c r="U1622" s="2" t="str">
        <x:f>IF(T1622=TRUE,"Priority review",IF(R1622=TRUE,"High cost",IF(S1622=TRUE,"Low quality","Benchmark")))</x:f>
        <x:v>Benchmark</x:v>
      </x:c>
    </x:row>
    <x:row r="1623">
      <x:c r="A1623" s="2" t="str">
        <x:v>330182</x:v>
      </x:c>
      <x:c r="B1623" s="2" t="str">
        <x:v>ST FRANCIS HOSPITAL - THE HEART CENTER</x:v>
      </x:c>
      <x:c r="C1623" s="2" t="str">
        <x:v>ROSLYN</x:v>
      </x:c>
      <x:c r="D1623" s="2" t="str">
        <x:v>NY</x:v>
      </x:c>
      <x:c r="E1623" s="2" t="str">
        <x:v>Acute Care Hospitals</x:v>
      </x:c>
      <x:c r="F1623" s="2" t="str">
        <x:v>Voluntary non-profit</x:v>
      </x:c>
      <x:c r="G1623" s="2" t="str">
        <x:v>Large (300+ beds)</x:v>
      </x:c>
      <x:c r="H1623" s="7" t="n">
        <x:v>5</x:v>
      </x:c>
      <x:c r="I1623" s="7" t="n">
        <x:v>4</x:v>
      </x:c>
      <x:c r="J1623" s="7" t="n">
        <x:v>0.99</x:v>
      </x:c>
      <x:c r="K1623" s="8" t="n">
        <x:v>326</x:v>
      </x:c>
      <x:c r="L1623" s="8" t="n">
        <x:v>20242</x:v>
      </x:c>
      <x:c r="M1623" s="9" t="n">
        <x:v>0.856398136</x:v>
      </x:c>
      <x:c r="N1623" s="10" t="n">
        <x:v>47852.4858709614</x:v>
      </x:c>
      <x:c r="O1623" s="9" t="n">
        <x:v>-0.0601641844</x:v>
      </x:c>
      <x:c r="P1623" s="9" t="n">
        <x:v>0.6719242902</x:v>
      </x:c>
      <x:c r="Q1623" s="9" t="n">
        <x:v>0.8722397476</x:v>
      </x:c>
      <x:c r="R1623" s="3" t="b">
        <x:v>0</x:v>
      </x:c>
      <x:c r="S1623" s="3" t="b">
        <x:v>0</x:v>
      </x:c>
      <x:c r="T1623" s="3" t="b">
        <x:v>0</x:v>
      </x:c>
      <x:c r="U1623" s="2" t="str">
        <x:f>IF(T1623=TRUE,"Priority review",IF(R1623=TRUE,"High cost",IF(S1623=TRUE,"Low quality","Benchmark")))</x:f>
        <x:v>Benchmark</x:v>
      </x:c>
    </x:row>
    <x:row r="1624">
      <x:c r="A1624" s="2" t="str">
        <x:v>524018</x:v>
      </x:c>
      <x:c r="B1624" s="2" t="str">
        <x:v>ROGERS MEMORIAL HOSPITAL</x:v>
      </x:c>
      <x:c r="C1624" s="2" t="str">
        <x:v>OCONOMOWOC</x:v>
      </x:c>
      <x:c r="D1624" s="2" t="str">
        <x:v>WI</x:v>
      </x:c>
      <x:c r="E1624" s="2" t="str">
        <x:v>Psychiatric</x:v>
      </x:c>
      <x:c r="F1624" s="2" t="str">
        <x:v>Voluntary non-profit</x:v>
      </x:c>
      <x:c r="G1624" s="2" t="str">
        <x:v>Medium (100-299 beds)</x:v>
      </x:c>
      <x:c r="H1624" s="7"/>
      <x:c r="I1624" s="7"/>
      <x:c r="J1624" s="7"/>
      <x:c r="K1624" s="8" t="n">
        <x:v>227</x:v>
      </x:c>
      <x:c r="L1624" s="8" t="n">
        <x:v>9017</x:v>
      </x:c>
      <x:c r="M1624" s="9" t="n">
        <x:v>0.7154859055</x:v>
      </x:c>
      <x:c r="N1624" s="10" t="n">
        <x:v>19714.6072973273</x:v>
      </x:c>
      <x:c r="O1624" s="9" t="n">
        <x:v>-0.4840124809</x:v>
      </x:c>
      <x:c r="P1624" s="9" t="n">
        <x:v>0.671641791</x:v>
      </x:c>
      <x:c r="Q1624" s="9" t="n">
        <x:v>0</x:v>
      </x:c>
      <x:c r="R1624" s="3" t="b">
        <x:v>0</x:v>
      </x:c>
      <x:c r="S1624" s="3" t="b">
        <x:v>0</x:v>
      </x:c>
      <x:c r="T1624" s="3" t="b">
        <x:v>0</x:v>
      </x:c>
      <x:c r="U1624" s="2" t="str">
        <x:f>IF(T1624=TRUE,"Priority review",IF(R1624=TRUE,"High cost",IF(S1624=TRUE,"Low quality","Benchmark")))</x:f>
        <x:v>Benchmark</x:v>
      </x:c>
    </x:row>
    <x:row r="1625">
      <x:c r="A1625" s="2" t="str">
        <x:v>310010</x:v>
      </x:c>
      <x:c r="B1625" s="2" t="str">
        <x:v>UNIVERSITY MEDICAL CENTER OF PRINCETON AT PLAINSBORO</x:v>
      </x:c>
      <x:c r="C1625" s="2" t="str">
        <x:v>PLAINSBORO</x:v>
      </x:c>
      <x:c r="D1625" s="2" t="str">
        <x:v>NJ</x:v>
      </x:c>
      <x:c r="E1625" s="2" t="str">
        <x:v>Acute Care Hospitals</x:v>
      </x:c>
      <x:c r="F1625" s="2" t="str">
        <x:v>Voluntary non-profit</x:v>
      </x:c>
      <x:c r="G1625" s="2" t="str">
        <x:v>Medium (100-299 beds)</x:v>
      </x:c>
      <x:c r="H1625" s="7" t="n">
        <x:v>4</x:v>
      </x:c>
      <x:c r="I1625" s="7" t="n">
        <x:v>3</x:v>
      </x:c>
      <x:c r="J1625" s="7" t="n">
        <x:v>1</x:v>
      </x:c>
      <x:c r="K1625" s="8" t="n">
        <x:v>213</x:v>
      </x:c>
      <x:c r="L1625" s="8" t="n">
        <x:v>15375</x:v>
      </x:c>
      <x:c r="M1625" s="9" t="n">
        <x:v>0.7902607113</x:v>
      </x:c>
      <x:c r="N1625" s="10" t="n">
        <x:v>41776.489495935</x:v>
      </x:c>
      <x:c r="O1625" s="9" t="n">
        <x:v>-0.0317605612</x:v>
      </x:c>
      <x:c r="P1625" s="9" t="n">
        <x:v>0.6715566422</x:v>
      </x:c>
      <x:c r="Q1625" s="9" t="n">
        <x:v>0.6022819886</x:v>
      </x:c>
      <x:c r="R1625" s="3" t="b">
        <x:v>0</x:v>
      </x:c>
      <x:c r="S1625" s="3" t="b">
        <x:v>0</x:v>
      </x:c>
      <x:c r="T1625" s="3" t="b">
        <x:v>0</x:v>
      </x:c>
      <x:c r="U1625" s="2" t="str">
        <x:f>IF(T1625=TRUE,"Priority review",IF(R1625=TRUE,"High cost",IF(S1625=TRUE,"Low quality","Benchmark")))</x:f>
        <x:v>Benchmark</x:v>
      </x:c>
    </x:row>
    <x:row r="1626">
      <x:c r="A1626" s="2" t="str">
        <x:v>240040</x:v>
      </x:c>
      <x:c r="B1626" s="2" t="str">
        <x:v>RANGE REGIONAL HEALTH SERVICES</x:v>
      </x:c>
      <x:c r="C1626" s="2" t="str">
        <x:v>HIBBING</x:v>
      </x:c>
      <x:c r="D1626" s="2" t="str">
        <x:v>MN</x:v>
      </x:c>
      <x:c r="E1626" s="2" t="str">
        <x:v>Acute Care Hospitals</x:v>
      </x:c>
      <x:c r="F1626" s="2" t="str">
        <x:v>Voluntary non-profit</x:v>
      </x:c>
      <x:c r="G1626" s="2" t="str">
        <x:v>Small (&lt;100 beds)</x:v>
      </x:c>
      <x:c r="H1626" s="7" t="n">
        <x:v>4</x:v>
      </x:c>
      <x:c r="I1626" s="7" t="n">
        <x:v>4</x:v>
      </x:c>
      <x:c r="J1626" s="7" t="n">
        <x:v>0.91</x:v>
      </x:c>
      <x:c r="K1626" s="8" t="n">
        <x:v>73</x:v>
      </x:c>
      <x:c r="L1626" s="8" t="n">
        <x:v>2126</x:v>
      </x:c>
      <x:c r="M1626" s="9" t="n">
        <x:v>0.4689722285</x:v>
      </x:c>
      <x:c r="N1626" s="10" t="n">
        <x:v>71230.3372530574</x:v>
      </x:c>
      <x:c r="O1626" s="9" t="n">
        <x:v>-0.1538485252</x:v>
      </x:c>
      <x:c r="P1626" s="9" t="n">
        <x:v>0.671454219</x:v>
      </x:c>
      <x:c r="Q1626" s="9" t="n">
        <x:v>0.3913824057</x:v>
      </x:c>
      <x:c r="R1626" s="3" t="b">
        <x:v>0</x:v>
      </x:c>
      <x:c r="S1626" s="3" t="b">
        <x:v>0</x:v>
      </x:c>
      <x:c r="T1626" s="3" t="b">
        <x:v>0</x:v>
      </x:c>
      <x:c r="U1626" s="2" t="str">
        <x:f>IF(T1626=TRUE,"Priority review",IF(R1626=TRUE,"High cost",IF(S1626=TRUE,"Low quality","Benchmark")))</x:f>
        <x:v>Benchmark</x:v>
      </x:c>
    </x:row>
    <x:row r="1627">
      <x:c r="A1627" s="2" t="str">
        <x:v>501303</x:v>
      </x:c>
      <x:c r="B1627" s="2" t="str">
        <x:v>WILLAPA HARBOR HOSPITAL</x:v>
      </x:c>
      <x:c r="C1627" s="2" t="str">
        <x:v>SOUTH BEND</x:v>
      </x:c>
      <x:c r="D1627" s="2" t="str">
        <x:v>WA</x:v>
      </x:c>
      <x:c r="E1627" s="2" t="str">
        <x:v>Critical Access Hospitals</x:v>
      </x:c>
      <x:c r="F1627" s="2" t="str">
        <x:v>Government</x:v>
      </x:c>
      <x:c r="G1627" s="2" t="str">
        <x:v>Small (&lt;100 beds)</x:v>
      </x:c>
      <x:c r="H1627" s="7"/>
      <x:c r="I1627" s="7"/>
      <x:c r="J1627" s="7"/>
      <x:c r="K1627" s="8" t="n">
        <x:v>10</x:v>
      </x:c>
      <x:c r="L1627" s="8" t="n">
        <x:v>171</x:v>
      </x:c>
      <x:c r="M1627" s="9" t="n">
        <x:v>0.1483606557</x:v>
      </x:c>
      <x:c r="N1627" s="10" t="n">
        <x:v>179343.0233918129</x:v>
      </x:c>
      <x:c r="O1627" s="9" t="n">
        <x:v>-0.0414324481</x:v>
      </x:c>
      <x:c r="P1627" s="9" t="n">
        <x:v>0.6713754647</x:v>
      </x:c>
      <x:c r="Q1627" s="9" t="n">
        <x:v>0.292936803</x:v>
      </x:c>
      <x:c r="R1627" s="3" t="b">
        <x:v>0</x:v>
      </x:c>
      <x:c r="S1627" s="3" t="b">
        <x:v>0</x:v>
      </x:c>
      <x:c r="T1627" s="3" t="b">
        <x:v>0</x:v>
      </x:c>
      <x:c r="U1627" s="2" t="str">
        <x:f>IF(T1627=TRUE,"Priority review",IF(R1627=TRUE,"High cost",IF(S1627=TRUE,"Low quality","Benchmark")))</x:f>
        <x:v>Benchmark</x:v>
      </x:c>
    </x:row>
    <x:row r="1628">
      <x:c r="A1628" s="2" t="str">
        <x:v>460021</x:v>
      </x:c>
      <x:c r="B1628" s="2" t="str">
        <x:v>ST. GEORGE REGIONAL HOSPITAL</x:v>
      </x:c>
      <x:c r="C1628" s="2" t="str">
        <x:v>ST GEORGE</x:v>
      </x:c>
      <x:c r="D1628" s="2" t="str">
        <x:v>UT</x:v>
      </x:c>
      <x:c r="E1628" s="2" t="str">
        <x:v>Acute Care Hospitals</x:v>
      </x:c>
      <x:c r="F1628" s="2" t="str">
        <x:v>Voluntary non-profit</x:v>
      </x:c>
      <x:c r="G1628" s="2" t="str">
        <x:v>Medium (100-299 beds)</x:v>
      </x:c>
      <x:c r="H1628" s="7" t="n">
        <x:v>5</x:v>
      </x:c>
      <x:c r="I1628" s="7" t="n">
        <x:v>4</x:v>
      </x:c>
      <x:c r="J1628" s="7" t="n">
        <x:v>0.94</x:v>
      </x:c>
      <x:c r="K1628" s="8" t="n">
        <x:v>280</x:v>
      </x:c>
      <x:c r="L1628" s="8" t="n">
        <x:v>19818</x:v>
      </x:c>
      <x:c r="M1628" s="9" t="n">
        <x:v>0.7465651835</x:v>
      </x:c>
      <x:c r="N1628" s="10" t="n">
        <x:v>41664.4672519931</x:v>
      </x:c>
      <x:c r="O1628" s="9" t="n">
        <x:v>0.0890735883</x:v>
      </x:c>
      <x:c r="P1628" s="9" t="n">
        <x:v>0.6707416463</x:v>
      </x:c>
      <x:c r="Q1628" s="9" t="n">
        <x:v>0.8744906275</x:v>
      </x:c>
      <x:c r="R1628" s="3" t="b">
        <x:v>0</x:v>
      </x:c>
      <x:c r="S1628" s="3" t="b">
        <x:v>0</x:v>
      </x:c>
      <x:c r="T1628" s="3" t="b">
        <x:v>0</x:v>
      </x:c>
      <x:c r="U1628" s="2" t="str">
        <x:f>IF(T1628=TRUE,"Priority review",IF(R1628=TRUE,"High cost",IF(S1628=TRUE,"Low quality","Benchmark")))</x:f>
        <x:v>Benchmark</x:v>
      </x:c>
    </x:row>
    <x:row r="1629">
      <x:c r="A1629" s="2" t="str">
        <x:v>261327</x:v>
      </x:c>
      <x:c r="B1629" s="2" t="str">
        <x:v>RAY COUNTY MEMORIAL HOSPITAL</x:v>
      </x:c>
      <x:c r="C1629" s="2" t="str">
        <x:v>RICHMOND</x:v>
      </x:c>
      <x:c r="D1629" s="2" t="str">
        <x:v>MO</x:v>
      </x:c>
      <x:c r="E1629" s="2" t="str">
        <x:v>Critical Access Hospitals</x:v>
      </x:c>
      <x:c r="F1629" s="2" t="str">
        <x:v>Government</x:v>
      </x:c>
      <x:c r="G1629" s="2" t="str">
        <x:v>Small (&lt;100 beds)</x:v>
      </x:c>
      <x:c r="H1629" s="7"/>
      <x:c r="I1629" s="7"/>
      <x:c r="J1629" s="7"/>
      <x:c r="K1629" s="8" t="n">
        <x:v>25</x:v>
      </x:c>
      <x:c r="L1629" s="8" t="n">
        <x:v>159</x:v>
      </x:c>
      <x:c r="M1629" s="9" t="n">
        <x:v>0.2009836066</x:v>
      </x:c>
      <x:c r="N1629" s="10" t="n">
        <x:v>179144.3270440252</x:v>
      </x:c>
      <x:c r="O1629" s="9" t="n">
        <x:v>-0.1281834435</x:v>
      </x:c>
      <x:c r="P1629" s="9" t="n">
        <x:v>0.6706319703</x:v>
      </x:c>
      <x:c r="Q1629" s="9" t="n">
        <x:v>0.292936803</x:v>
      </x:c>
      <x:c r="R1629" s="3" t="b">
        <x:v>0</x:v>
      </x:c>
      <x:c r="S1629" s="3" t="b">
        <x:v>0</x:v>
      </x:c>
      <x:c r="T1629" s="3" t="b">
        <x:v>0</x:v>
      </x:c>
      <x:c r="U1629" s="2" t="str">
        <x:f>IF(T1629=TRUE,"Priority review",IF(R1629=TRUE,"High cost",IF(S1629=TRUE,"Low quality","Benchmark")))</x:f>
        <x:v>Benchmark</x:v>
      </x:c>
    </x:row>
    <x:row r="1630">
      <x:c r="A1630" s="2" t="str">
        <x:v>670108</x:v>
      </x:c>
      <x:c r="B1630" s="2" t="str">
        <x:v>BAYLOR SCOTT &amp; WHITE MEDICAL CENTER - MARBLE FALLS</x:v>
      </x:c>
      <x:c r="C1630" s="2" t="str">
        <x:v>MARBLE FALLS</x:v>
      </x:c>
      <x:c r="D1630" s="2" t="str">
        <x:v>TX</x:v>
      </x:c>
      <x:c r="E1630" s="2" t="str">
        <x:v>Acute Care Hospitals</x:v>
      </x:c>
      <x:c r="F1630" s="2" t="str">
        <x:v>Voluntary non-profit</x:v>
      </x:c>
      <x:c r="G1630" s="2" t="str">
        <x:v>Small (&lt;100 beds)</x:v>
      </x:c>
      <x:c r="H1630" s="7" t="n">
        <x:v>4</x:v>
      </x:c>
      <x:c r="I1630" s="7" t="n">
        <x:v>4</x:v>
      </x:c>
      <x:c r="J1630" s="7" t="n">
        <x:v>1.01</x:v>
      </x:c>
      <x:c r="K1630" s="8" t="n">
        <x:v>46</x:v>
      </x:c>
      <x:c r="L1630" s="8" t="n">
        <x:v>2640</x:v>
      </x:c>
      <x:c r="M1630" s="9" t="n">
        <x:v>0.6094699226</x:v>
      </x:c>
      <x:c r="N1630" s="10" t="n">
        <x:v>71186.5541666667</x:v>
      </x:c>
      <x:c r="O1630" s="9" t="n">
        <x:v>-0.0458838139</x:v>
      </x:c>
      <x:c r="P1630" s="9" t="n">
        <x:v>0.670556553</x:v>
      </x:c>
      <x:c r="Q1630" s="9" t="n">
        <x:v>0.3913824057</x:v>
      </x:c>
      <x:c r="R1630" s="3" t="b">
        <x:v>0</x:v>
      </x:c>
      <x:c r="S1630" s="3" t="b">
        <x:v>0</x:v>
      </x:c>
      <x:c r="T1630" s="3" t="b">
        <x:v>0</x:v>
      </x:c>
      <x:c r="U1630" s="2" t="str">
        <x:f>IF(T1630=TRUE,"Priority review",IF(R1630=TRUE,"High cost",IF(S1630=TRUE,"Low quality","Benchmark")))</x:f>
        <x:v>Benchmark</x:v>
      </x:c>
    </x:row>
    <x:row r="1631">
      <x:c r="A1631" s="2" t="str">
        <x:v>040016</x:v>
      </x:c>
      <x:c r="B1631" s="2" t="str">
        <x:v>University of Arkansas Medical Sciences</x:v>
      </x:c>
      <x:c r="C1631" s="2" t="str">
        <x:v>LITTLE ROCK</x:v>
      </x:c>
      <x:c r="D1631" s="2" t="str">
        <x:v>AR</x:v>
      </x:c>
      <x:c r="E1631" s="2" t="str">
        <x:v>Acute Care Hospitals</x:v>
      </x:c>
      <x:c r="F1631" s="2" t="str">
        <x:v>Government</x:v>
      </x:c>
      <x:c r="G1631" s="2" t="str">
        <x:v>Large (300+ beds)</x:v>
      </x:c>
      <x:c r="H1631" s="7" t="n">
        <x:v>2</x:v>
      </x:c>
      <x:c r="I1631" s="7" t="n">
        <x:v>3</x:v>
      </x:c>
      <x:c r="J1631" s="7" t="n">
        <x:v>0.98</x:v>
      </x:c>
      <x:c r="K1631" s="8" t="n">
        <x:v>545</x:v>
      </x:c>
      <x:c r="L1631" s="8" t="n">
        <x:v>26462</x:v>
      </x:c>
      <x:c r="M1631" s="9" t="n">
        <x:v>0.768192494</x:v>
      </x:c>
      <x:c r="N1631" s="10" t="n">
        <x:v>47759.6813166049</x:v>
      </x:c>
      <x:c r="O1631" s="9" t="n">
        <x:v>0.0654532685</x:v>
      </x:c>
      <x:c r="P1631" s="9" t="n">
        <x:v>0.6703470032</x:v>
      </x:c>
      <x:c r="Q1631" s="9" t="n">
        <x:v>0.0536277603</x:v>
      </x:c>
      <x:c r="R1631" s="3" t="b">
        <x:v>0</x:v>
      </x:c>
      <x:c r="S1631" s="3" t="b">
        <x:v>1</x:v>
      </x:c>
      <x:c r="T1631" s="3" t="b">
        <x:v>0</x:v>
      </x:c>
      <x:c r="U1631" s="2" t="str">
        <x:f>IF(T1631=TRUE,"Priority review",IF(R1631=TRUE,"High cost",IF(S1631=TRUE,"Low quality","Benchmark")))</x:f>
        <x:v>Low quality</x:v>
      </x:c>
    </x:row>
    <x:row r="1632">
      <x:c r="A1632" s="2" t="str">
        <x:v>500150</x:v>
      </x:c>
      <x:c r="B1632" s="2" t="str">
        <x:v>LEGACY SALMON CREEK MEDICAL CENTER</x:v>
      </x:c>
      <x:c r="C1632" s="2" t="str">
        <x:v>VANCOUVER</x:v>
      </x:c>
      <x:c r="D1632" s="2" t="str">
        <x:v>WA</x:v>
      </x:c>
      <x:c r="E1632" s="2" t="str">
        <x:v>Acute Care Hospitals</x:v>
      </x:c>
      <x:c r="F1632" s="2" t="str">
        <x:v>Voluntary non-profit</x:v>
      </x:c>
      <x:c r="G1632" s="2" t="str">
        <x:v>Medium (100-299 beds)</x:v>
      </x:c>
      <x:c r="H1632" s="7" t="n">
        <x:v>4</x:v>
      </x:c>
      <x:c r="I1632" s="7" t="n">
        <x:v>4</x:v>
      </x:c>
      <x:c r="J1632" s="7" t="n">
        <x:v>0.86</x:v>
      </x:c>
      <x:c r="K1632" s="8" t="n">
        <x:v>178</x:v>
      </x:c>
      <x:c r="L1632" s="8" t="n">
        <x:v>13902</x:v>
      </x:c>
      <x:c r="M1632" s="9" t="n">
        <x:v>0.9559796829</x:v>
      </x:c>
      <x:c r="N1632" s="10" t="n">
        <x:v>41649.5758164293</x:v>
      </x:c>
      <x:c r="O1632" s="9" t="n">
        <x:v>0.044941217</x:v>
      </x:c>
      <x:c r="P1632" s="9" t="n">
        <x:v>0.6699266504</x:v>
      </x:c>
      <x:c r="Q1632" s="9" t="n">
        <x:v>0.6022819886</x:v>
      </x:c>
      <x:c r="R1632" s="3" t="b">
        <x:v>0</x:v>
      </x:c>
      <x:c r="S1632" s="3" t="b">
        <x:v>0</x:v>
      </x:c>
      <x:c r="T1632" s="3" t="b">
        <x:v>0</x:v>
      </x:c>
      <x:c r="U1632" s="2" t="str">
        <x:f>IF(T1632=TRUE,"Priority review",IF(R1632=TRUE,"High cost",IF(S1632=TRUE,"Low quality","Benchmark")))</x:f>
        <x:v>Benchmark</x:v>
      </x:c>
    </x:row>
    <x:row r="1633">
      <x:c r="A1633" s="2" t="str">
        <x:v>054153</x:v>
      </x:c>
      <x:c r="B1633" s="2" t="str">
        <x:v>OCEAN VIEW PSYCHIATRIC HEALTH FACILITY</x:v>
      </x:c>
      <x:c r="C1633" s="2" t="str">
        <x:v>LONG BEACH</x:v>
      </x:c>
      <x:c r="D1633" s="2" t="str">
        <x:v>CA</x:v>
      </x:c>
      <x:c r="E1633" s="2" t="str">
        <x:v>Psychiatric</x:v>
      </x:c>
      <x:c r="F1633" s="2" t="str">
        <x:v>Proprietary</x:v>
      </x:c>
      <x:c r="G1633" s="2" t="str">
        <x:v>Small (&lt;100 beds)</x:v>
      </x:c>
      <x:c r="H1633" s="7"/>
      <x:c r="I1633" s="7"/>
      <x:c r="J1633" s="7"/>
      <x:c r="K1633" s="8" t="n">
        <x:v>39</x:v>
      </x:c>
      <x:c r="L1633" s="8" t="n">
        <x:v>997</x:v>
      </x:c>
      <x:c r="M1633" s="9" t="n">
        <x:v>0.7264957265</x:v>
      </x:c>
      <x:c r="N1633" s="10" t="n">
        <x:v>20916.0531594784</x:v>
      </x:c>
      <x:c r="O1633" s="9" t="n">
        <x:v>-0.6640238017</x:v>
      </x:c>
      <x:c r="P1633" s="9" t="n">
        <x:v>0.6699029126</x:v>
      </x:c>
      <x:c r="Q1633" s="9" t="n">
        <x:v>0</x:v>
      </x:c>
      <x:c r="R1633" s="3" t="b">
        <x:v>0</x:v>
      </x:c>
      <x:c r="S1633" s="3" t="b">
        <x:v>0</x:v>
      </x:c>
      <x:c r="T1633" s="3" t="b">
        <x:v>0</x:v>
      </x:c>
      <x:c r="U1633" s="2" t="str">
        <x:f>IF(T1633=TRUE,"Priority review",IF(R1633=TRUE,"High cost",IF(S1633=TRUE,"Low quality","Benchmark")))</x:f>
        <x:v>Benchmark</x:v>
      </x:c>
    </x:row>
    <x:row r="1634">
      <x:c r="A1634" s="2" t="str">
        <x:v>051330</x:v>
      </x:c>
      <x:c r="B1634" s="2" t="str">
        <x:v>MODOC MEDICAL CENTER</x:v>
      </x:c>
      <x:c r="C1634" s="2" t="str">
        <x:v>ALTURAS</x:v>
      </x:c>
      <x:c r="D1634" s="2" t="str">
        <x:v>CA</x:v>
      </x:c>
      <x:c r="E1634" s="2" t="str">
        <x:v>Critical Access Hospitals</x:v>
      </x:c>
      <x:c r="F1634" s="2" t="str">
        <x:v>Government</x:v>
      </x:c>
      <x:c r="G1634" s="2" t="str">
        <x:v>Small (&lt;100 beds)</x:v>
      </x:c>
      <x:c r="H1634" s="7" t="n">
        <x:v>4</x:v>
      </x:c>
      <x:c r="I1634" s="7"/>
      <x:c r="J1634" s="7"/>
      <x:c r="K1634" s="8" t="n">
        <x:v>8</x:v>
      </x:c>
      <x:c r="L1634" s="8" t="n">
        <x:v>242</x:v>
      </x:c>
      <x:c r="M1634" s="9" t="n">
        <x:v>0.4434931507</x:v>
      </x:c>
      <x:c r="N1634" s="10" t="n">
        <x:v>178973.2107438016</x:v>
      </x:c>
      <x:c r="O1634" s="9" t="n">
        <x:v>-0.0216675091</x:v>
      </x:c>
      <x:c r="P1634" s="9" t="n">
        <x:v>0.6698884758</x:v>
      </x:c>
      <x:c r="Q1634" s="9" t="n">
        <x:v>0.1657992565</x:v>
      </x:c>
      <x:c r="R1634" s="3" t="b">
        <x:v>0</x:v>
      </x:c>
      <x:c r="S1634" s="3" t="b">
        <x:v>0</x:v>
      </x:c>
      <x:c r="T1634" s="3" t="b">
        <x:v>0</x:v>
      </x:c>
      <x:c r="U1634" s="2" t="str">
        <x:f>IF(T1634=TRUE,"Priority review",IF(R1634=TRUE,"High cost",IF(S1634=TRUE,"Low quality","Benchmark")))</x:f>
        <x:v>Benchmark</x:v>
      </x:c>
    </x:row>
    <x:row r="1635">
      <x:c r="A1635" s="2" t="str">
        <x:v>140101</x:v>
      </x:c>
      <x:c r="B1635" s="2" t="str">
        <x:v>MORRIS HOSPITAL &amp; HEALTHCARE CENTERS</x:v>
      </x:c>
      <x:c r="C1635" s="2" t="str">
        <x:v>MORRIS</x:v>
      </x:c>
      <x:c r="D1635" s="2" t="str">
        <x:v>IL</x:v>
      </x:c>
      <x:c r="E1635" s="2" t="str">
        <x:v>Acute Care Hospitals</x:v>
      </x:c>
      <x:c r="F1635" s="2" t="str">
        <x:v>Voluntary non-profit</x:v>
      </x:c>
      <x:c r="G1635" s="2" t="str">
        <x:v>Small (&lt;100 beds)</x:v>
      </x:c>
      <x:c r="H1635" s="7" t="n">
        <x:v>4</x:v>
      </x:c>
      <x:c r="I1635" s="7" t="n">
        <x:v>4</x:v>
      </x:c>
      <x:c r="J1635" s="7" t="n">
        <x:v>1.04</x:v>
      </x:c>
      <x:c r="K1635" s="8" t="n">
        <x:v>89</x:v>
      </x:c>
      <x:c r="L1635" s="8" t="n">
        <x:v>3347</x:v>
      </x:c>
      <x:c r="M1635" s="9" t="n">
        <x:v>0.3852459016</x:v>
      </x:c>
      <x:c r="N1635" s="10" t="n">
        <x:v>71121.8831789662</x:v>
      </x:c>
      <x:c r="O1635" s="9" t="n">
        <x:v>0.0029926896</x:v>
      </x:c>
      <x:c r="P1635" s="9" t="n">
        <x:v>0.6696588869</x:v>
      </x:c>
      <x:c r="Q1635" s="9" t="n">
        <x:v>0.3913824057</x:v>
      </x:c>
      <x:c r="R1635" s="3" t="b">
        <x:v>0</x:v>
      </x:c>
      <x:c r="S1635" s="3" t="b">
        <x:v>0</x:v>
      </x:c>
      <x:c r="T1635" s="3" t="b">
        <x:v>0</x:v>
      </x:c>
      <x:c r="U1635" s="2" t="str">
        <x:f>IF(T1635=TRUE,"Priority review",IF(R1635=TRUE,"High cost",IF(S1635=TRUE,"Low quality","Benchmark")))</x:f>
        <x:v>Benchmark</x:v>
      </x:c>
    </x:row>
    <x:row r="1636">
      <x:c r="A1636" s="2" t="str">
        <x:v>261314</x:v>
      </x:c>
      <x:c r="B1636" s="2" t="str">
        <x:v>HERMANN AREA DISTRICT HOSPITAL</x:v>
      </x:c>
      <x:c r="C1636" s="2" t="str">
        <x:v>HERMANN</x:v>
      </x:c>
      <x:c r="D1636" s="2" t="str">
        <x:v>MO</x:v>
      </x:c>
      <x:c r="E1636" s="2" t="str">
        <x:v>Critical Access Hospitals</x:v>
      </x:c>
      <x:c r="F1636" s="2" t="str">
        <x:v>Government</x:v>
      </x:c>
      <x:c r="G1636" s="2" t="str">
        <x:v>Small (&lt;100 beds)</x:v>
      </x:c>
      <x:c r="H1636" s="7"/>
      <x:c r="I1636" s="7"/>
      <x:c r="J1636" s="7"/>
      <x:c r="K1636" s="8" t="n">
        <x:v>24</x:v>
      </x:c>
      <x:c r="L1636" s="8" t="n">
        <x:v>118</x:v>
      </x:c>
      <x:c r="M1636" s="9" t="n">
        <x:v>0.3833105647</x:v>
      </x:c>
      <x:c r="N1636" s="10" t="n">
        <x:v>178590.1525423729</x:v>
      </x:c>
      <x:c r="O1636" s="9" t="n">
        <x:v>-0.0983575952</x:v>
      </x:c>
      <x:c r="P1636" s="9" t="n">
        <x:v>0.6691449814</x:v>
      </x:c>
      <x:c r="Q1636" s="9" t="n">
        <x:v>0.292936803</x:v>
      </x:c>
      <x:c r="R1636" s="3" t="b">
        <x:v>0</x:v>
      </x:c>
      <x:c r="S1636" s="3" t="b">
        <x:v>0</x:v>
      </x:c>
      <x:c r="T1636" s="3" t="b">
        <x:v>0</x:v>
      </x:c>
      <x:c r="U1636" s="2" t="str">
        <x:f>IF(T1636=TRUE,"Priority review",IF(R1636=TRUE,"High cost",IF(S1636=TRUE,"Low quality","Benchmark")))</x:f>
        <x:v>Benchmark</x:v>
      </x:c>
    </x:row>
    <x:row r="1637">
      <x:c r="A1637" s="2" t="str">
        <x:v>190004</x:v>
      </x:c>
      <x:c r="B1637" s="2" t="str">
        <x:v>THIBODAUX REGIONAL MEDICAL CENTER</x:v>
      </x:c>
      <x:c r="C1637" s="2" t="str">
        <x:v>THIBODAUX</x:v>
      </x:c>
      <x:c r="D1637" s="2" t="str">
        <x:v>LA</x:v>
      </x:c>
      <x:c r="E1637" s="2" t="str">
        <x:v>Acute Care Hospitals</x:v>
      </x:c>
      <x:c r="F1637" s="2" t="str">
        <x:v>Voluntary non-profit</x:v>
      </x:c>
      <x:c r="G1637" s="2" t="str">
        <x:v>Medium (100-299 beds)</x:v>
      </x:c>
      <x:c r="H1637" s="7" t="n">
        <x:v>3</x:v>
      </x:c>
      <x:c r="I1637" s="7" t="n">
        <x:v>4</x:v>
      </x:c>
      <x:c r="J1637" s="7" t="n">
        <x:v>1.04</x:v>
      </x:c>
      <x:c r="K1637" s="8" t="n">
        <x:v>170</x:v>
      </x:c>
      <x:c r="L1637" s="8" t="n">
        <x:v>6694</x:v>
      </x:c>
      <x:c r="M1637" s="9" t="n">
        <x:v>0.412327226</x:v>
      </x:c>
      <x:c r="N1637" s="10" t="n">
        <x:v>41647.3894532417</x:v>
      </x:c>
      <x:c r="O1637" s="9" t="n">
        <x:v>0.0133205619</x:v>
      </x:c>
      <x:c r="P1637" s="9" t="n">
        <x:v>0.6691116544</x:v>
      </x:c>
      <x:c r="Q1637" s="9" t="n">
        <x:v>0.3023634882</x:v>
      </x:c>
      <x:c r="R1637" s="3" t="b">
        <x:v>0</x:v>
      </x:c>
      <x:c r="S1637" s="3" t="b">
        <x:v>0</x:v>
      </x:c>
      <x:c r="T1637" s="3" t="b">
        <x:v>0</x:v>
      </x:c>
      <x:c r="U1637" s="2" t="str">
        <x:f>IF(T1637=TRUE,"Priority review",IF(R1637=TRUE,"High cost",IF(S1637=TRUE,"Low quality","Benchmark")))</x:f>
        <x:v>Benchmark</x:v>
      </x:c>
    </x:row>
    <x:row r="1638">
      <x:c r="A1638" s="2" t="str">
        <x:v>460010</x:v>
      </x:c>
      <x:c r="B1638" s="2" t="str">
        <x:v>INTERMOUNTAIN MEDICAL CENTER</x:v>
      </x:c>
      <x:c r="C1638" s="2" t="str">
        <x:v>MURRAY</x:v>
      </x:c>
      <x:c r="D1638" s="2" t="str">
        <x:v>UT</x:v>
      </x:c>
      <x:c r="E1638" s="2" t="str">
        <x:v>Acute Care Hospitals</x:v>
      </x:c>
      <x:c r="F1638" s="2" t="str">
        <x:v>Voluntary non-profit</x:v>
      </x:c>
      <x:c r="G1638" s="2" t="str">
        <x:v>Large (300+ beds)</x:v>
      </x:c>
      <x:c r="H1638" s="7" t="n">
        <x:v>5</x:v>
      </x:c>
      <x:c r="I1638" s="7" t="n">
        <x:v>3</x:v>
      </x:c>
      <x:c r="J1638" s="7" t="n">
        <x:v>0.97</x:v>
      </x:c>
      <x:c r="K1638" s="8" t="n">
        <x:v>486</x:v>
      </x:c>
      <x:c r="L1638" s="8" t="n">
        <x:v>27950</x:v>
      </x:c>
      <x:c r="M1638" s="9" t="n">
        <x:v>0.7843553936</x:v>
      </x:c>
      <x:c r="N1638" s="10" t="n">
        <x:v>47737.6142039356</x:v>
      </x:c>
      <x:c r="O1638" s="9" t="n">
        <x:v>0.0699907119</x:v>
      </x:c>
      <x:c r="P1638" s="9" t="n">
        <x:v>0.6687697161</x:v>
      </x:c>
      <x:c r="Q1638" s="9" t="n">
        <x:v>0.8722397476</x:v>
      </x:c>
      <x:c r="R1638" s="3" t="b">
        <x:v>0</x:v>
      </x:c>
      <x:c r="S1638" s="3" t="b">
        <x:v>0</x:v>
      </x:c>
      <x:c r="T1638" s="3" t="b">
        <x:v>0</x:v>
      </x:c>
      <x:c r="U1638" s="2" t="str">
        <x:f>IF(T1638=TRUE,"Priority review",IF(R1638=TRUE,"High cost",IF(S1638=TRUE,"Low quality","Benchmark")))</x:f>
        <x:v>Benchmark</x:v>
      </x:c>
    </x:row>
    <x:row r="1639">
      <x:c r="A1639" s="2" t="str">
        <x:v>180087</x:v>
      </x:c>
      <x:c r="B1639" s="2" t="str">
        <x:v>TAYLOR REGIONAL HOSPITAL</x:v>
      </x:c>
      <x:c r="C1639" s="2" t="str">
        <x:v>CAMPBELLSVILLE</x:v>
      </x:c>
      <x:c r="D1639" s="2" t="str">
        <x:v>KY</x:v>
      </x:c>
      <x:c r="E1639" s="2" t="str">
        <x:v>Acute Care Hospitals</x:v>
      </x:c>
      <x:c r="F1639" s="2" t="str">
        <x:v>Government</x:v>
      </x:c>
      <x:c r="G1639" s="2" t="str">
        <x:v>Small (&lt;100 beds)</x:v>
      </x:c>
      <x:c r="H1639" s="7" t="n">
        <x:v>2</x:v>
      </x:c>
      <x:c r="I1639" s="7" t="n">
        <x:v>4</x:v>
      </x:c>
      <x:c r="J1639" s="7" t="n">
        <x:v>1.09</x:v>
      </x:c>
      <x:c r="K1639" s="8" t="n">
        <x:v>90</x:v>
      </x:c>
      <x:c r="L1639" s="8" t="n">
        <x:v>2016</x:v>
      </x:c>
      <x:c r="M1639" s="9" t="n">
        <x:v>0.2779299848</x:v>
      </x:c>
      <x:c r="N1639" s="10" t="n">
        <x:v>70608.6071428571</x:v>
      </x:c>
      <x:c r="O1639" s="9" t="n">
        <x:v>-0.0056452417</x:v>
      </x:c>
      <x:c r="P1639" s="9" t="n">
        <x:v>0.6687612208</x:v>
      </x:c>
      <x:c r="Q1639" s="9" t="n">
        <x:v>0.0350089767</x:v>
      </x:c>
      <x:c r="R1639" s="3" t="b">
        <x:v>0</x:v>
      </x:c>
      <x:c r="S1639" s="3" t="b">
        <x:v>1</x:v>
      </x:c>
      <x:c r="T1639" s="3" t="b">
        <x:v>0</x:v>
      </x:c>
      <x:c r="U1639" s="2" t="str">
        <x:f>IF(T1639=TRUE,"Priority review",IF(R1639=TRUE,"High cost",IF(S1639=TRUE,"Low quality","Benchmark")))</x:f>
        <x:v>Low quality</x:v>
      </x:c>
    </x:row>
    <x:row r="1640">
      <x:c r="A1640" s="2" t="str">
        <x:v>451328</x:v>
      </x:c>
      <x:c r="B1640" s="2" t="str">
        <x:v>RICELAND MEDICAL CENTER</x:v>
      </x:c>
      <x:c r="C1640" s="2" t="str">
        <x:v>WINNIE</x:v>
      </x:c>
      <x:c r="D1640" s="2" t="str">
        <x:v>TX</x:v>
      </x:c>
      <x:c r="E1640" s="2" t="str">
        <x:v>Critical Access Hospitals</x:v>
      </x:c>
      <x:c r="F1640" s="2" t="str">
        <x:v>Proprietary</x:v>
      </x:c>
      <x:c r="G1640" s="2" t="str">
        <x:v>Small (&lt;100 beds)</x:v>
      </x:c>
      <x:c r="H1640" s="7"/>
      <x:c r="I1640" s="7"/>
      <x:c r="J1640" s="7"/>
      <x:c r="K1640" s="8" t="n">
        <x:v>25</x:v>
      </x:c>
      <x:c r="L1640" s="8" t="n">
        <x:v>238</x:v>
      </x:c>
      <x:c r="M1640" s="9" t="n">
        <x:v>0.1150819672</x:v>
      </x:c>
      <x:c r="N1640" s="10" t="n">
        <x:v>178446.1890756302</x:v>
      </x:c>
      <x:c r="O1640" s="9" t="n">
        <x:v>-0.0104674627</x:v>
      </x:c>
      <x:c r="P1640" s="9" t="n">
        <x:v>0.668401487</x:v>
      </x:c>
      <x:c r="Q1640" s="9" t="n">
        <x:v>0.292936803</x:v>
      </x:c>
      <x:c r="R1640" s="3" t="b">
        <x:v>0</x:v>
      </x:c>
      <x:c r="S1640" s="3" t="b">
        <x:v>0</x:v>
      </x:c>
      <x:c r="T1640" s="3" t="b">
        <x:v>0</x:v>
      </x:c>
      <x:c r="U1640" s="2" t="str">
        <x:f>IF(T1640=TRUE,"Priority review",IF(R1640=TRUE,"High cost",IF(S1640=TRUE,"Low quality","Benchmark")))</x:f>
        <x:v>Benchmark</x:v>
      </x:c>
    </x:row>
    <x:row r="1641">
      <x:c r="A1641" s="2" t="str">
        <x:v>310008</x:v>
      </x:c>
      <x:c r="B1641" s="2" t="str">
        <x:v>HOLY NAME MEDICAL CENTER</x:v>
      </x:c>
      <x:c r="C1641" s="2" t="str">
        <x:v>TEANECK</x:v>
      </x:c>
      <x:c r="D1641" s="2" t="str">
        <x:v>NJ</x:v>
      </x:c>
      <x:c r="E1641" s="2" t="str">
        <x:v>Acute Care Hospitals</x:v>
      </x:c>
      <x:c r="F1641" s="2" t="str">
        <x:v>Voluntary non-profit</x:v>
      </x:c>
      <x:c r="G1641" s="2" t="str">
        <x:v>Medium (100-299 beds)</x:v>
      </x:c>
      <x:c r="H1641" s="7" t="n">
        <x:v>5</x:v>
      </x:c>
      <x:c r="I1641" s="7" t="n">
        <x:v>3</x:v>
      </x:c>
      <x:c r="J1641" s="7" t="n">
        <x:v>1.06</x:v>
      </x:c>
      <x:c r="K1641" s="8" t="n">
        <x:v>289</x:v>
      </x:c>
      <x:c r="L1641" s="8" t="n">
        <x:v>12112</x:v>
      </x:c>
      <x:c r="M1641" s="9" t="n">
        <x:v>0.5505133587</x:v>
      </x:c>
      <x:c r="N1641" s="10" t="n">
        <x:v>41633.4787813738</x:v>
      </x:c>
      <x:c r="O1641" s="9" t="n">
        <x:v>0.0998652233</x:v>
      </x:c>
      <x:c r="P1641" s="9" t="n">
        <x:v>0.6682966585</x:v>
      </x:c>
      <x:c r="Q1641" s="9" t="n">
        <x:v>0.8744906275</x:v>
      </x:c>
      <x:c r="R1641" s="3" t="b">
        <x:v>0</x:v>
      </x:c>
      <x:c r="S1641" s="3" t="b">
        <x:v>0</x:v>
      </x:c>
      <x:c r="T1641" s="3" t="b">
        <x:v>0</x:v>
      </x:c>
      <x:c r="U1641" s="2" t="str">
        <x:f>IF(T1641=TRUE,"Priority review",IF(R1641=TRUE,"High cost",IF(S1641=TRUE,"Low quality","Benchmark")))</x:f>
        <x:v>Benchmark</x:v>
      </x:c>
    </x:row>
    <x:row r="1642">
      <x:c r="A1642" s="2" t="str">
        <x:v>430005</x:v>
      </x:c>
      <x:c r="B1642" s="2" t="str">
        <x:v>PRAIRIE LAKES HEALTHCARE SYSTEM, INC</x:v>
      </x:c>
      <x:c r="C1642" s="2" t="str">
        <x:v>WATERTOWN</x:v>
      </x:c>
      <x:c r="D1642" s="2" t="str">
        <x:v>SD</x:v>
      </x:c>
      <x:c r="E1642" s="2" t="str">
        <x:v>Acute Care Hospitals</x:v>
      </x:c>
      <x:c r="F1642" s="2" t="str">
        <x:v>Voluntary non-profit</x:v>
      </x:c>
      <x:c r="G1642" s="2" t="str">
        <x:v>Small (&lt;100 beds)</x:v>
      </x:c>
      <x:c r="H1642" s="7" t="n">
        <x:v>3</x:v>
      </x:c>
      <x:c r="I1642" s="7" t="n">
        <x:v>4</x:v>
      </x:c>
      <x:c r="J1642" s="7" t="n">
        <x:v>0.98</x:v>
      </x:c>
      <x:c r="K1642" s="8" t="n">
        <x:v>81</x:v>
      </x:c>
      <x:c r="L1642" s="8" t="n">
        <x:v>2390</x:v>
      </x:c>
      <x:c r="M1642" s="9" t="n">
        <x:v>0.3084052089</x:v>
      </x:c>
      <x:c r="N1642" s="10" t="n">
        <x:v>70493.9079497908</x:v>
      </x:c>
      <x:c r="O1642" s="9" t="n">
        <x:v>-0.0374712669</x:v>
      </x:c>
      <x:c r="P1642" s="9" t="n">
        <x:v>0.6678635548</x:v>
      </x:c>
      <x:c r="Q1642" s="9" t="n">
        <x:v>0.1687612208</x:v>
      </x:c>
      <x:c r="R1642" s="3" t="b">
        <x:v>0</x:v>
      </x:c>
      <x:c r="S1642" s="3" t="b">
        <x:v>0</x:v>
      </x:c>
      <x:c r="T1642" s="3" t="b">
        <x:v>0</x:v>
      </x:c>
      <x:c r="U1642" s="2" t="str">
        <x:f>IF(T1642=TRUE,"Priority review",IF(R1642=TRUE,"High cost",IF(S1642=TRUE,"Low quality","Benchmark")))</x:f>
        <x:v>Benchmark</x:v>
      </x:c>
    </x:row>
    <x:row r="1643">
      <x:c r="A1643" s="2" t="str">
        <x:v>451332</x:v>
      </x:c>
      <x:c r="B1643" s="2" t="str">
        <x:v>PALACIOS COMMUNITY MEDICAL CENTER</x:v>
      </x:c>
      <x:c r="C1643" s="2" t="str">
        <x:v>PALACIOS</x:v>
      </x:c>
      <x:c r="D1643" s="2" t="str">
        <x:v>TX</x:v>
      </x:c>
      <x:c r="E1643" s="2" t="str">
        <x:v>Critical Access Hospitals</x:v>
      </x:c>
      <x:c r="F1643" s="2" t="str">
        <x:v>Voluntary non-profit</x:v>
      </x:c>
      <x:c r="G1643" s="2" t="str">
        <x:v>Small (&lt;100 beds)</x:v>
      </x:c>
      <x:c r="H1643" s="7"/>
      <x:c r="I1643" s="7"/>
      <x:c r="J1643" s="7"/>
      <x:c r="K1643" s="8" t="n">
        <x:v>17</x:v>
      </x:c>
      <x:c r="L1643" s="8" t="n">
        <x:v>33</x:v>
      </x:c>
      <x:c r="M1643" s="9" t="n">
        <x:v>0.1730954677</x:v>
      </x:c>
      <x:c r="N1643" s="10" t="n">
        <x:v>178137.7575757576</x:v>
      </x:c>
      <x:c r="O1643" s="9" t="n">
        <x:v>-0.2264949205</x:v>
      </x:c>
      <x:c r="P1643" s="9" t="n">
        <x:v>0.6676579926</x:v>
      </x:c>
      <x:c r="Q1643" s="9" t="n">
        <x:v>0.292936803</x:v>
      </x:c>
      <x:c r="R1643" s="3" t="b">
        <x:v>0</x:v>
      </x:c>
      <x:c r="S1643" s="3" t="b">
        <x:v>0</x:v>
      </x:c>
      <x:c r="T1643" s="3" t="b">
        <x:v>0</x:v>
      </x:c>
      <x:c r="U1643" s="2" t="str">
        <x:f>IF(T1643=TRUE,"Priority review",IF(R1643=TRUE,"High cost",IF(S1643=TRUE,"Low quality","Benchmark")))</x:f>
        <x:v>Benchmark</x:v>
      </x:c>
    </x:row>
    <x:row r="1644">
      <x:c r="A1644" s="2" t="str">
        <x:v>390002</x:v>
      </x:c>
      <x:c r="B1644" s="2" t="str">
        <x:v>UPMC MCKEESPORT HOSPITAL</x:v>
      </x:c>
      <x:c r="C1644" s="2" t="str">
        <x:v>MC KEESPORT</x:v>
      </x:c>
      <x:c r="D1644" s="2" t="str">
        <x:v>PA</x:v>
      </x:c>
      <x:c r="E1644" s="2" t="str">
        <x:v>Acute Care Hospitals</x:v>
      </x:c>
      <x:c r="F1644" s="2" t="str">
        <x:v>Voluntary non-profit</x:v>
      </x:c>
      <x:c r="G1644" s="2" t="str">
        <x:v>Medium (100-299 beds)</x:v>
      </x:c>
      <x:c r="H1644" s="7" t="n">
        <x:v>3</x:v>
      </x:c>
      <x:c r="I1644" s="7" t="n">
        <x:v>2</x:v>
      </x:c>
      <x:c r="J1644" s="7" t="n">
        <x:v>1.02</x:v>
      </x:c>
      <x:c r="K1644" s="8" t="n">
        <x:v>123</x:v>
      </x:c>
      <x:c r="L1644" s="8" t="n">
        <x:v>4052</x:v>
      </x:c>
      <x:c r="M1644" s="9" t="n">
        <x:v>0.5849262333</x:v>
      </x:c>
      <x:c r="N1644" s="10" t="n">
        <x:v>41604.4178183613</x:v>
      </x:c>
      <x:c r="O1644" s="9" t="n">
        <x:v>-0.2688803313</x:v>
      </x:c>
      <x:c r="P1644" s="9" t="n">
        <x:v>0.6674816626</x:v>
      </x:c>
      <x:c r="Q1644" s="9" t="n">
        <x:v>0.3023634882</x:v>
      </x:c>
      <x:c r="R1644" s="3" t="b">
        <x:v>0</x:v>
      </x:c>
      <x:c r="S1644" s="3" t="b">
        <x:v>0</x:v>
      </x:c>
      <x:c r="T1644" s="3" t="b">
        <x:v>0</x:v>
      </x:c>
      <x:c r="U1644" s="2" t="str">
        <x:f>IF(T1644=TRUE,"Priority review",IF(R1644=TRUE,"High cost",IF(S1644=TRUE,"Low quality","Benchmark")))</x:f>
        <x:v>Benchmark</x:v>
      </x:c>
    </x:row>
    <x:row r="1645">
      <x:c r="A1645" s="2" t="str">
        <x:v>310073</x:v>
      </x:c>
      <x:c r="B1645" s="2" t="str">
        <x:v>JERSEY SHORE UNIVERSITY MEDICAL CENTER</x:v>
      </x:c>
      <x:c r="C1645" s="2" t="str">
        <x:v>NEPTUNE</x:v>
      </x:c>
      <x:c r="D1645" s="2" t="str">
        <x:v>NJ</x:v>
      </x:c>
      <x:c r="E1645" s="2" t="str">
        <x:v>Acute Care Hospitals</x:v>
      </x:c>
      <x:c r="F1645" s="2" t="str">
        <x:v>Voluntary non-profit</x:v>
      </x:c>
      <x:c r="G1645" s="2" t="str">
        <x:v>Large (300+ beds)</x:v>
      </x:c>
      <x:c r="H1645" s="7" t="n">
        <x:v>4</x:v>
      </x:c>
      <x:c r="I1645" s="7" t="n">
        <x:v>3</x:v>
      </x:c>
      <x:c r="J1645" s="7" t="n">
        <x:v>1.07</x:v>
      </x:c>
      <x:c r="K1645" s="8" t="n">
        <x:v>598</x:v>
      </x:c>
      <x:c r="L1645" s="8" t="n">
        <x:v>30218</x:v>
      </x:c>
      <x:c r="M1645" s="9" t="n">
        <x:v>0.8232222161</x:v>
      </x:c>
      <x:c r="N1645" s="10" t="n">
        <x:v>47672.3873850023</x:v>
      </x:c>
      <x:c r="O1645" s="9" t="n">
        <x:v>0.0409048635</x:v>
      </x:c>
      <x:c r="P1645" s="9" t="n">
        <x:v>0.667192429</x:v>
      </x:c>
      <x:c r="Q1645" s="9" t="n">
        <x:v>0.5899053628</x:v>
      </x:c>
      <x:c r="R1645" s="3" t="b">
        <x:v>0</x:v>
      </x:c>
      <x:c r="S1645" s="3" t="b">
        <x:v>0</x:v>
      </x:c>
      <x:c r="T1645" s="3" t="b">
        <x:v>0</x:v>
      </x:c>
      <x:c r="U1645" s="2" t="str">
        <x:f>IF(T1645=TRUE,"Priority review",IF(R1645=TRUE,"High cost",IF(S1645=TRUE,"Low quality","Benchmark")))</x:f>
        <x:v>Benchmark</x:v>
      </x:c>
    </x:row>
    <x:row r="1646">
      <x:c r="A1646" s="2" t="str">
        <x:v>460026</x:v>
      </x:c>
      <x:c r="B1646" s="2" t="str">
        <x:v>INTERMOUNTAIN HEALTH SEVIER VALLEY HOSPITAL</x:v>
      </x:c>
      <x:c r="C1646" s="2" t="str">
        <x:v>RICHFIELD</x:v>
      </x:c>
      <x:c r="D1646" s="2" t="str">
        <x:v>UT</x:v>
      </x:c>
      <x:c r="E1646" s="2" t="str">
        <x:v>Acute Care Hospitals</x:v>
      </x:c>
      <x:c r="F1646" s="2" t="str">
        <x:v>Voluntary non-profit</x:v>
      </x:c>
      <x:c r="G1646" s="2" t="str">
        <x:v>Small (&lt;100 beds)</x:v>
      </x:c>
      <x:c r="H1646" s="7" t="n">
        <x:v>4</x:v>
      </x:c>
      <x:c r="I1646" s="7" t="n">
        <x:v>5</x:v>
      </x:c>
      <x:c r="J1646" s="7" t="n">
        <x:v>0.91</x:v>
      </x:c>
      <x:c r="K1646" s="8" t="n">
        <x:v>24</x:v>
      </x:c>
      <x:c r="L1646" s="8" t="n">
        <x:v>837</x:v>
      </x:c>
      <x:c r="M1646" s="9" t="n">
        <x:v>0.2487477231</x:v>
      </x:c>
      <x:c r="N1646" s="10" t="n">
        <x:v>70468.8506571087</x:v>
      </x:c>
      <x:c r="O1646" s="9" t="n">
        <x:v>0.1234540777</x:v>
      </x:c>
      <x:c r="P1646" s="9" t="n">
        <x:v>0.6669658887</x:v>
      </x:c>
      <x:c r="Q1646" s="9" t="n">
        <x:v>0.3913824057</x:v>
      </x:c>
      <x:c r="R1646" s="3" t="b">
        <x:v>0</x:v>
      </x:c>
      <x:c r="S1646" s="3" t="b">
        <x:v>0</x:v>
      </x:c>
      <x:c r="T1646" s="3" t="b">
        <x:v>0</x:v>
      </x:c>
      <x:c r="U1646" s="2" t="str">
        <x:f>IF(T1646=TRUE,"Priority review",IF(R1646=TRUE,"High cost",IF(S1646=TRUE,"Low quality","Benchmark")))</x:f>
        <x:v>Benchmark</x:v>
      </x:c>
    </x:row>
    <x:row r="1647">
      <x:c r="A1647" s="2" t="str">
        <x:v>151305</x:v>
      </x:c>
      <x:c r="B1647" s="2" t="str">
        <x:v>PULASKI MEMORIAL HOSPITAL</x:v>
      </x:c>
      <x:c r="C1647" s="2" t="str">
        <x:v>WINAMAC</x:v>
      </x:c>
      <x:c r="D1647" s="2" t="str">
        <x:v>IN</x:v>
      </x:c>
      <x:c r="E1647" s="2" t="str">
        <x:v>Critical Access Hospitals</x:v>
      </x:c>
      <x:c r="F1647" s="2" t="str">
        <x:v>Voluntary non-profit</x:v>
      </x:c>
      <x:c r="G1647" s="2" t="str">
        <x:v>Small (&lt;100 beds)</x:v>
      </x:c>
      <x:c r="H1647" s="7"/>
      <x:c r="I1647" s="7"/>
      <x:c r="J1647" s="7"/>
      <x:c r="K1647" s="8" t="n">
        <x:v>25</x:v>
      </x:c>
      <x:c r="L1647" s="8" t="n">
        <x:v>251</x:v>
      </x:c>
      <x:c r="M1647" s="9" t="n">
        <x:v>0.1351912568</x:v>
      </x:c>
      <x:c r="N1647" s="10" t="n">
        <x:v>178133.4980079681</x:v>
      </x:c>
      <x:c r="O1647" s="9" t="n">
        <x:v>-0.1067221113</x:v>
      </x:c>
      <x:c r="P1647" s="9" t="n">
        <x:v>0.6669144981</x:v>
      </x:c>
      <x:c r="Q1647" s="9" t="n">
        <x:v>0.292936803</x:v>
      </x:c>
      <x:c r="R1647" s="3" t="b">
        <x:v>0</x:v>
      </x:c>
      <x:c r="S1647" s="3" t="b">
        <x:v>0</x:v>
      </x:c>
      <x:c r="T1647" s="3" t="b">
        <x:v>0</x:v>
      </x:c>
      <x:c r="U1647" s="2" t="str">
        <x:f>IF(T1647=TRUE,"Priority review",IF(R1647=TRUE,"High cost",IF(S1647=TRUE,"Low quality","Benchmark")))</x:f>
        <x:v>Benchmark</x:v>
      </x:c>
    </x:row>
    <x:row r="1648">
      <x:c r="A1648" s="2" t="str">
        <x:v>053301</x:v>
      </x:c>
      <x:c r="B1648" s="2" t="str">
        <x:v>UCSF BENIOFF CHILDREN'S HOSPITAL OAKLAND</x:v>
      </x:c>
      <x:c r="C1648" s="2" t="str">
        <x:v>OAKLAND</x:v>
      </x:c>
      <x:c r="D1648" s="2" t="str">
        <x:v>CA</x:v>
      </x:c>
      <x:c r="E1648" s="2" t="str">
        <x:v>Childrens</x:v>
      </x:c>
      <x:c r="F1648" s="2" t="str">
        <x:v>Voluntary non-profit</x:v>
      </x:c>
      <x:c r="G1648" s="2" t="str">
        <x:v>Medium (100-299 beds)</x:v>
      </x:c>
      <x:c r="H1648" s="7"/>
      <x:c r="I1648" s="7"/>
      <x:c r="J1648" s="7"/>
      <x:c r="K1648" s="8" t="n">
        <x:v>163</x:v>
      </x:c>
      <x:c r="L1648" s="8" t="n">
        <x:v>7496</x:v>
      </x:c>
      <x:c r="M1648" s="9" t="n">
        <x:v>0.6588788974</x:v>
      </x:c>
      <x:c r="N1648" s="10" t="n">
        <x:v>91556.1731590181</x:v>
      </x:c>
      <x:c r="O1648" s="9" t="n">
        <x:v>0.0354386821</x:v>
      </x:c>
      <x:c r="P1648" s="9" t="n">
        <x:v>0.6666666667</x:v>
      </x:c>
      <x:c r="Q1648" s="9" t="n">
        <x:v>0</x:v>
      </x:c>
      <x:c r="R1648" s="3" t="b">
        <x:v>0</x:v>
      </x:c>
      <x:c r="S1648" s="3" t="b">
        <x:v>0</x:v>
      </x:c>
      <x:c r="T1648" s="3" t="b">
        <x:v>0</x:v>
      </x:c>
      <x:c r="U1648" s="2" t="str">
        <x:f>IF(T1648=TRUE,"Priority review",IF(R1648=TRUE,"High cost",IF(S1648=TRUE,"Low quality","Benchmark")))</x:f>
        <x:v>Benchmark</x:v>
      </x:c>
    </x:row>
    <x:row r="1649">
      <x:c r="A1649" s="2" t="str">
        <x:v>034041</x:v>
      </x:c>
      <x:c r="B1649" s="2" t="str">
        <x:v>AGAVE RIDGE BEHAVIORAL HOSPITAL</x:v>
      </x:c>
      <x:c r="C1649" s="2" t="str">
        <x:v>MESA</x:v>
      </x:c>
      <x:c r="D1649" s="2" t="str">
        <x:v>AZ</x:v>
      </x:c>
      <x:c r="E1649" s="2" t="str">
        <x:v>Psychiatric</x:v>
      </x:c>
      <x:c r="F1649" s="2" t="str">
        <x:v>Proprietary</x:v>
      </x:c>
      <x:c r="G1649" s="2" t="str">
        <x:v>Medium (100-299 beds)</x:v>
      </x:c>
      <x:c r="H1649" s="7"/>
      <x:c r="I1649" s="7"/>
      <x:c r="J1649" s="7"/>
      <x:c r="K1649" s="8" t="n">
        <x:v>100</x:v>
      </x:c>
      <x:c r="L1649" s="8" t="n">
        <x:v>435</x:v>
      </x:c>
      <x:c r="M1649" s="9" t="n">
        <x:v>0.2390647482</x:v>
      </x:c>
      <x:c r="N1649" s="10" t="n">
        <x:v>18512.7954022988</x:v>
      </x:c>
      <x:c r="O1649" s="9" t="n">
        <x:v>-7.7161563072</x:v>
      </x:c>
      <x:c r="P1649" s="9" t="n">
        <x:v>0.6666666667</x:v>
      </x:c>
      <x:c r="Q1649" s="9" t="n">
        <x:v>0</x:v>
      </x:c>
      <x:c r="R1649" s="3" t="b">
        <x:v>0</x:v>
      </x:c>
      <x:c r="S1649" s="3" t="b">
        <x:v>0</x:v>
      </x:c>
      <x:c r="T1649" s="3" t="b">
        <x:v>0</x:v>
      </x:c>
      <x:c r="U1649" s="2" t="str">
        <x:f>IF(T1649=TRUE,"Priority review",IF(R1649=TRUE,"High cost",IF(S1649=TRUE,"Low quality","Benchmark")))</x:f>
        <x:v>Benchmark</x:v>
      </x:c>
    </x:row>
    <x:row r="1650">
      <x:c r="A1650" s="2" t="str">
        <x:v>143300</x:v>
      </x:c>
      <x:c r="B1650" s="2" t="str">
        <x:v>ANN &amp; ROBERT H LURIE CHILDRENS HOSPITAL OF CHICAGO</x:v>
      </x:c>
      <x:c r="C1650" s="2" t="str">
        <x:v>CHICAGO</x:v>
      </x:c>
      <x:c r="D1650" s="2" t="str">
        <x:v>IL</x:v>
      </x:c>
      <x:c r="E1650" s="2" t="str">
        <x:v>Childrens</x:v>
      </x:c>
      <x:c r="F1650" s="2" t="str">
        <x:v>Voluntary non-profit</x:v>
      </x:c>
      <x:c r="G1650" s="2" t="str">
        <x:v>Large (300+ beds)</x:v>
      </x:c>
      <x:c r="H1650" s="7"/>
      <x:c r="I1650" s="7"/>
      <x:c r="J1650" s="7"/>
      <x:c r="K1650" s="8" t="n">
        <x:v>364</x:v>
      </x:c>
      <x:c r="L1650" s="8" t="n">
        <x:v>12401</x:v>
      </x:c>
      <x:c r="M1650" s="9" t="n">
        <x:v>0.7323272618</x:v>
      </x:c>
      <x:c r="N1650" s="10" t="n">
        <x:v>111035.395129425</x:v>
      </x:c>
      <x:c r="O1650" s="9" t="n">
        <x:v>-0.0442968786</x:v>
      </x:c>
      <x:c r="P1650" s="9" t="n">
        <x:v>0.6666666667</x:v>
      </x:c>
      <x:c r="Q1650" s="9" t="n">
        <x:v>0</x:v>
      </x:c>
      <x:c r="R1650" s="3" t="b">
        <x:v>0</x:v>
      </x:c>
      <x:c r="S1650" s="3" t="b">
        <x:v>0</x:v>
      </x:c>
      <x:c r="T1650" s="3" t="b">
        <x:v>0</x:v>
      </x:c>
      <x:c r="U1650" s="2" t="str">
        <x:f>IF(T1650=TRUE,"Priority review",IF(R1650=TRUE,"High cost",IF(S1650=TRUE,"Low quality","Benchmark")))</x:f>
        <x:v>Benchmark</x:v>
      </x:c>
    </x:row>
    <x:row r="1651">
      <x:c r="A1651" s="2" t="str">
        <x:v>490145</x:v>
      </x:c>
      <x:c r="B1651" s="2" t="str">
        <x:v>STONESPRINGS HOSPITAL CENTER</x:v>
      </x:c>
      <x:c r="C1651" s="2" t="str">
        <x:v>DULLES</x:v>
      </x:c>
      <x:c r="D1651" s="2" t="str">
        <x:v>VA</x:v>
      </x:c>
      <x:c r="E1651" s="2" t="str">
        <x:v>Acute Care Hospitals</x:v>
      </x:c>
      <x:c r="F1651" s="2" t="str">
        <x:v>Proprietary</x:v>
      </x:c>
      <x:c r="G1651" s="2" t="str">
        <x:v>Medium (100-299 beds)</x:v>
      </x:c>
      <x:c r="H1651" s="7" t="n">
        <x:v>4</x:v>
      </x:c>
      <x:c r="I1651" s="7" t="n">
        <x:v>3</x:v>
      </x:c>
      <x:c r="J1651" s="7" t="n">
        <x:v>0.97</x:v>
      </x:c>
      <x:c r="K1651" s="8" t="n">
        <x:v>107</x:v>
      </x:c>
      <x:c r="L1651" s="8" t="n">
        <x:v>3020</x:v>
      </x:c>
      <x:c r="M1651" s="9" t="n">
        <x:v>0.2629845258</x:v>
      </x:c>
      <x:c r="N1651" s="10" t="n">
        <x:v>41569.8529801324</x:v>
      </x:c>
      <x:c r="O1651" s="9" t="n">
        <x:v>0.0042050797</x:v>
      </x:c>
      <x:c r="P1651" s="9" t="n">
        <x:v>0.6666666667</x:v>
      </x:c>
      <x:c r="Q1651" s="9" t="n">
        <x:v>0.6022819886</x:v>
      </x:c>
      <x:c r="R1651" s="3" t="b">
        <x:v>0</x:v>
      </x:c>
      <x:c r="S1651" s="3" t="b">
        <x:v>0</x:v>
      </x:c>
      <x:c r="T1651" s="3" t="b">
        <x:v>0</x:v>
      </x:c>
      <x:c r="U1651" s="2" t="str">
        <x:f>IF(T1651=TRUE,"Priority review",IF(R1651=TRUE,"High cost",IF(S1651=TRUE,"Low quality","Benchmark")))</x:f>
        <x:v>Benchmark</x:v>
      </x:c>
    </x:row>
    <x:row r="1652">
      <x:c r="A1652" s="2" t="str">
        <x:v>394033</x:v>
      </x:c>
      <x:c r="B1652" s="2" t="str">
        <x:v>MONTGOMERY COUNTY EMERGENCY SERVICE</x:v>
      </x:c>
      <x:c r="C1652" s="2" t="str">
        <x:v>NORRISTOWN</x:v>
      </x:c>
      <x:c r="D1652" s="2" t="str">
        <x:v>PA</x:v>
      </x:c>
      <x:c r="E1652" s="2" t="str">
        <x:v>Psychiatric</x:v>
      </x:c>
      <x:c r="F1652" s="2" t="str">
        <x:v>Voluntary non-profit</x:v>
      </x:c>
      <x:c r="G1652" s="2" t="str">
        <x:v>Small (&lt;100 beds)</x:v>
      </x:c>
      <x:c r="H1652" s="7"/>
      <x:c r="I1652" s="7"/>
      <x:c r="J1652" s="7"/>
      <x:c r="K1652" s="8" t="n">
        <x:v>73</x:v>
      </x:c>
      <x:c r="L1652" s="8" t="n">
        <x:v>884</x:v>
      </x:c>
      <x:c r="M1652" s="9" t="n">
        <x:v>0.5281291049</x:v>
      </x:c>
      <x:c r="N1652" s="10" t="n">
        <x:v>20669.1108597285</x:v>
      </x:c>
      <x:c r="O1652" s="9" t="n">
        <x:v>-0.442067941</x:v>
      </x:c>
      <x:c r="P1652" s="9" t="n">
        <x:v>0.6666666667</x:v>
      </x:c>
      <x:c r="Q1652" s="9" t="n">
        <x:v>0</x:v>
      </x:c>
      <x:c r="R1652" s="3" t="b">
        <x:v>0</x:v>
      </x:c>
      <x:c r="S1652" s="3" t="b">
        <x:v>0</x:v>
      </x:c>
      <x:c r="T1652" s="3" t="b">
        <x:v>0</x:v>
      </x:c>
      <x:c r="U1652" s="2" t="str">
        <x:f>IF(T1652=TRUE,"Priority review",IF(R1652=TRUE,"High cost",IF(S1652=TRUE,"Low quality","Benchmark")))</x:f>
        <x:v>Benchmark</x:v>
      </x:c>
    </x:row>
    <x:row r="1653">
      <x:c r="A1653" s="2" t="str">
        <x:v>161326</x:v>
      </x:c>
      <x:c r="B1653" s="2" t="str">
        <x:v>MADISON COUNTY HEALTH CARE SYSTEM</x:v>
      </x:c>
      <x:c r="C1653" s="2" t="str">
        <x:v>WINTERSET</x:v>
      </x:c>
      <x:c r="D1653" s="2" t="str">
        <x:v>IA</x:v>
      </x:c>
      <x:c r="E1653" s="2" t="str">
        <x:v>Critical Access Hospitals</x:v>
      </x:c>
      <x:c r="F1653" s="2" t="str">
        <x:v>Government</x:v>
      </x:c>
      <x:c r="G1653" s="2" t="str">
        <x:v>Small (&lt;100 beds)</x:v>
      </x:c>
      <x:c r="H1653" s="7"/>
      <x:c r="I1653" s="7"/>
      <x:c r="J1653" s="7"/>
      <x:c r="K1653" s="8" t="n">
        <x:v>25</x:v>
      </x:c>
      <x:c r="L1653" s="8" t="n">
        <x:v>195</x:v>
      </x:c>
      <x:c r="M1653" s="9" t="n">
        <x:v>0.1431232877</x:v>
      </x:c>
      <x:c r="N1653" s="10" t="n">
        <x:v>177935.9692307692</x:v>
      </x:c>
      <x:c r="O1653" s="9" t="n">
        <x:v>-0.0063959157</x:v>
      </x:c>
      <x:c r="P1653" s="9" t="n">
        <x:v>0.6661710037</x:v>
      </x:c>
      <x:c r="Q1653" s="9" t="n">
        <x:v>0.292936803</x:v>
      </x:c>
      <x:c r="R1653" s="3" t="b">
        <x:v>0</x:v>
      </x:c>
      <x:c r="S1653" s="3" t="b">
        <x:v>0</x:v>
      </x:c>
      <x:c r="T1653" s="3" t="b">
        <x:v>0</x:v>
      </x:c>
      <x:c r="U1653" s="2" t="str">
        <x:f>IF(T1653=TRUE,"Priority review",IF(R1653=TRUE,"High cost",IF(S1653=TRUE,"Low quality","Benchmark")))</x:f>
        <x:v>Benchmark</x:v>
      </x:c>
    </x:row>
    <x:row r="1654">
      <x:c r="A1654" s="2" t="str">
        <x:v>110194</x:v>
      </x:c>
      <x:c r="B1654" s="2" t="str">
        <x:v>DONALSONVILLE HOSPITAL INC</x:v>
      </x:c>
      <x:c r="C1654" s="2" t="str">
        <x:v>DONALSONVILLE</x:v>
      </x:c>
      <x:c r="D1654" s="2" t="str">
        <x:v>GA</x:v>
      </x:c>
      <x:c r="E1654" s="2" t="str">
        <x:v>Acute Care Hospitals</x:v>
      </x:c>
      <x:c r="F1654" s="2" t="str">
        <x:v>Voluntary non-profit</x:v>
      </x:c>
      <x:c r="G1654" s="2" t="str">
        <x:v>Small (&lt;100 beds)</x:v>
      </x:c>
      <x:c r="H1654" s="7"/>
      <x:c r="I1654" s="7"/>
      <x:c r="J1654" s="7" t="n">
        <x:v>0.82</x:v>
      </x:c>
      <x:c r="K1654" s="8" t="n">
        <x:v>41</x:v>
      </x:c>
      <x:c r="L1654" s="8" t="n">
        <x:v>486</x:v>
      </x:c>
      <x:c r="M1654" s="9" t="n">
        <x:v>0.1352489141</x:v>
      </x:c>
      <x:c r="N1654" s="10" t="n">
        <x:v>70456.6728395062</x:v>
      </x:c>
      <x:c r="O1654" s="9" t="n">
        <x:v>-0.0694394747</x:v>
      </x:c>
      <x:c r="P1654" s="9" t="n">
        <x:v>0.6660682226</x:v>
      </x:c>
      <x:c r="Q1654" s="9" t="n">
        <x:v>0.697486535</x:v>
      </x:c>
      <x:c r="R1654" s="3" t="b">
        <x:v>0</x:v>
      </x:c>
      <x:c r="S1654" s="3" t="b">
        <x:v>0</x:v>
      </x:c>
      <x:c r="T1654" s="3" t="b">
        <x:v>0</x:v>
      </x:c>
      <x:c r="U1654" s="2" t="str">
        <x:f>IF(T1654=TRUE,"Priority review",IF(R1654=TRUE,"High cost",IF(S1654=TRUE,"Low quality","Benchmark")))</x:f>
        <x:v>Benchmark</x:v>
      </x:c>
    </x:row>
    <x:row r="1655">
      <x:c r="A1655" s="2" t="str">
        <x:v>340008</x:v>
      </x:c>
      <x:c r="B1655" s="2" t="str">
        <x:v>SCOTLAND MEMORIAL HOSPITAL</x:v>
      </x:c>
      <x:c r="C1655" s="2" t="str">
        <x:v>LAURINBURG</x:v>
      </x:c>
      <x:c r="D1655" s="2" t="str">
        <x:v>NC</x:v>
      </x:c>
      <x:c r="E1655" s="2" t="str">
        <x:v>Acute Care Hospitals</x:v>
      </x:c>
      <x:c r="F1655" s="2" t="str">
        <x:v>Voluntary non-profit</x:v>
      </x:c>
      <x:c r="G1655" s="2" t="str">
        <x:v>Medium (100-299 beds)</x:v>
      </x:c>
      <x:c r="H1655" s="7" t="n">
        <x:v>3</x:v>
      </x:c>
      <x:c r="I1655" s="7" t="n">
        <x:v>3</x:v>
      </x:c>
      <x:c r="J1655" s="7" t="n">
        <x:v>0.93</x:v>
      </x:c>
      <x:c r="K1655" s="8" t="n">
        <x:v>104</x:v>
      </x:c>
      <x:c r="L1655" s="8" t="n">
        <x:v>5844</x:v>
      </x:c>
      <x:c r="M1655" s="9" t="n">
        <x:v>0.6472257251</x:v>
      </x:c>
      <x:c r="N1655" s="10" t="n">
        <x:v>41445.0800821355</x:v>
      </x:c>
      <x:c r="O1655" s="9" t="n">
        <x:v>0.0110741504</x:v>
      </x:c>
      <x:c r="P1655" s="9" t="n">
        <x:v>0.6658516707</x:v>
      </x:c>
      <x:c r="Q1655" s="9" t="n">
        <x:v>0.3023634882</x:v>
      </x:c>
      <x:c r="R1655" s="3" t="b">
        <x:v>0</x:v>
      </x:c>
      <x:c r="S1655" s="3" t="b">
        <x:v>0</x:v>
      </x:c>
      <x:c r="T1655" s="3" t="b">
        <x:v>0</x:v>
      </x:c>
      <x:c r="U1655" s="2" t="str">
        <x:f>IF(T1655=TRUE,"Priority review",IF(R1655=TRUE,"High cost",IF(S1655=TRUE,"Low quality","Benchmark")))</x:f>
        <x:v>Benchmark</x:v>
      </x:c>
    </x:row>
    <x:row r="1656">
      <x:c r="A1656" s="2" t="str">
        <x:v>370028</x:v>
      </x:c>
      <x:c r="B1656" s="2" t="str">
        <x:v>INTEGRIS BAPTIST MEDICAL CENTER, INC</x:v>
      </x:c>
      <x:c r="C1656" s="2" t="str">
        <x:v>OKLAHOMA CITY</x:v>
      </x:c>
      <x:c r="D1656" s="2" t="str">
        <x:v>OK</x:v>
      </x:c>
      <x:c r="E1656" s="2" t="str">
        <x:v>Acute Care Hospitals</x:v>
      </x:c>
      <x:c r="F1656" s="2" t="str">
        <x:v>Voluntary non-profit</x:v>
      </x:c>
      <x:c r="G1656" s="2" t="str">
        <x:v>Large (300+ beds)</x:v>
      </x:c>
      <x:c r="H1656" s="7" t="n">
        <x:v>3</x:v>
      </x:c>
      <x:c r="I1656" s="7" t="n">
        <x:v>3</x:v>
      </x:c>
      <x:c r="J1656" s="7" t="n">
        <x:v>1.07</x:v>
      </x:c>
      <x:c r="K1656" s="8" t="n">
        <x:v>609</x:v>
      </x:c>
      <x:c r="L1656" s="8" t="n">
        <x:v>28262</x:v>
      </x:c>
      <x:c r="M1656" s="9" t="n">
        <x:v>0.8328609085</x:v>
      </x:c>
      <x:c r="N1656" s="10" t="n">
        <x:v>47488.3694006086</x:v>
      </x:c>
      <x:c r="O1656" s="9" t="n">
        <x:v>-0.1037977391</x:v>
      </x:c>
      <x:c r="P1656" s="9" t="n">
        <x:v>0.665615142</x:v>
      </x:c>
      <x:c r="Q1656" s="9" t="n">
        <x:v>0.2570977918</x:v>
      </x:c>
      <x:c r="R1656" s="3" t="b">
        <x:v>0</x:v>
      </x:c>
      <x:c r="S1656" s="3" t="b">
        <x:v>0</x:v>
      </x:c>
      <x:c r="T1656" s="3" t="b">
        <x:v>0</x:v>
      </x:c>
      <x:c r="U1656" s="2" t="str">
        <x:f>IF(T1656=TRUE,"Priority review",IF(R1656=TRUE,"High cost",IF(S1656=TRUE,"Low quality","Benchmark")))</x:f>
        <x:v>Benchmark</x:v>
      </x:c>
    </x:row>
    <x:row r="1657">
      <x:c r="A1657" s="2" t="str">
        <x:v>431314</x:v>
      </x:c>
      <x:c r="B1657" s="2" t="str">
        <x:v>BENNETT COUNTY HOSPITAL AND NURSING HOME - CAH</x:v>
      </x:c>
      <x:c r="C1657" s="2" t="str">
        <x:v>MARTIN</x:v>
      </x:c>
      <x:c r="D1657" s="2" t="str">
        <x:v>SD</x:v>
      </x:c>
      <x:c r="E1657" s="2" t="str">
        <x:v>Critical Access Hospitals</x:v>
      </x:c>
      <x:c r="F1657" s="2" t="str">
        <x:v>Voluntary non-profit</x:v>
      </x:c>
      <x:c r="G1657" s="2" t="str">
        <x:v>Small (&lt;100 beds)</x:v>
      </x:c>
      <x:c r="H1657" s="7"/>
      <x:c r="I1657" s="7"/>
      <x:c r="J1657" s="7"/>
      <x:c r="K1657" s="8" t="n">
        <x:v>14</x:v>
      </x:c>
      <x:c r="L1657" s="8" t="n">
        <x:v>61</x:v>
      </x:c>
      <x:c r="M1657" s="9" t="n">
        <x:v>0.2019906323</x:v>
      </x:c>
      <x:c r="N1657" s="10" t="n">
        <x:v>177541.2950819672</x:v>
      </x:c>
      <x:c r="O1657" s="9" t="n">
        <x:v>-0.0961281441</x:v>
      </x:c>
      <x:c r="P1657" s="9" t="n">
        <x:v>0.6654275093</x:v>
      </x:c>
      <x:c r="Q1657" s="9" t="n">
        <x:v>0.292936803</x:v>
      </x:c>
      <x:c r="R1657" s="3" t="b">
        <x:v>0</x:v>
      </x:c>
      <x:c r="S1657" s="3" t="b">
        <x:v>0</x:v>
      </x:c>
      <x:c r="T1657" s="3" t="b">
        <x:v>0</x:v>
      </x:c>
      <x:c r="U1657" s="2" t="str">
        <x:f>IF(T1657=TRUE,"Priority review",IF(R1657=TRUE,"High cost",IF(S1657=TRUE,"Low quality","Benchmark")))</x:f>
        <x:v>Benchmark</x:v>
      </x:c>
    </x:row>
    <x:row r="1658">
      <x:c r="A1658" s="2" t="str">
        <x:v>150042</x:v>
      </x:c>
      <x:c r="B1658" s="2" t="str">
        <x:v>GOOD SAMARITAN HOSPITAL</x:v>
      </x:c>
      <x:c r="C1658" s="2" t="str">
        <x:v>VINCENNES</x:v>
      </x:c>
      <x:c r="D1658" s="2" t="str">
        <x:v>IN</x:v>
      </x:c>
      <x:c r="E1658" s="2" t="str">
        <x:v>Acute Care Hospitals</x:v>
      </x:c>
      <x:c r="F1658" s="2" t="str">
        <x:v>Voluntary non-profit</x:v>
      </x:c>
      <x:c r="G1658" s="2" t="str">
        <x:v>Small (&lt;100 beds)</x:v>
      </x:c>
      <x:c r="H1658" s="7" t="n">
        <x:v>2</x:v>
      </x:c>
      <x:c r="I1658" s="7" t="n">
        <x:v>3</x:v>
      </x:c>
      <x:c r="J1658" s="7" t="n">
        <x:v>1.16</x:v>
      </x:c>
      <x:c r="K1658" s="8" t="n">
        <x:v>99</x:v>
      </x:c>
      <x:c r="L1658" s="8" t="n">
        <x:v>4127</x:v>
      </x:c>
      <x:c r="M1658" s="9" t="n">
        <x:v>0.4258707291</x:v>
      </x:c>
      <x:c r="N1658" s="10" t="n">
        <x:v>70322.8916888781</x:v>
      </x:c>
      <x:c r="O1658" s="9" t="n">
        <x:v>-0.087068366</x:v>
      </x:c>
      <x:c r="P1658" s="9" t="n">
        <x:v>0.6651705566</x:v>
      </x:c>
      <x:c r="Q1658" s="9" t="n">
        <x:v>0.0350089767</x:v>
      </x:c>
      <x:c r="R1658" s="3" t="b">
        <x:v>0</x:v>
      </x:c>
      <x:c r="S1658" s="3" t="b">
        <x:v>1</x:v>
      </x:c>
      <x:c r="T1658" s="3" t="b">
        <x:v>0</x:v>
      </x:c>
      <x:c r="U1658" s="2" t="str">
        <x:f>IF(T1658=TRUE,"Priority review",IF(R1658=TRUE,"High cost",IF(S1658=TRUE,"Low quality","Benchmark")))</x:f>
        <x:v>Low quality</x:v>
      </x:c>
    </x:row>
    <x:row r="1659">
      <x:c r="A1659" s="2" t="str">
        <x:v>030023</x:v>
      </x:c>
      <x:c r="B1659" s="2" t="str">
        <x:v>FLAGSTAFF MEDICAL CENTER</x:v>
      </x:c>
      <x:c r="C1659" s="2" t="str">
        <x:v>FLAGSTAFF</x:v>
      </x:c>
      <x:c r="D1659" s="2" t="str">
        <x:v>AZ</x:v>
      </x:c>
      <x:c r="E1659" s="2" t="str">
        <x:v>Acute Care Hospitals</x:v>
      </x:c>
      <x:c r="F1659" s="2" t="str">
        <x:v>Voluntary non-profit</x:v>
      </x:c>
      <x:c r="G1659" s="2" t="str">
        <x:v>Medium (100-299 beds)</x:v>
      </x:c>
      <x:c r="H1659" s="7" t="n">
        <x:v>4</x:v>
      </x:c>
      <x:c r="I1659" s="7" t="n">
        <x:v>3</x:v>
      </x:c>
      <x:c r="J1659" s="7" t="n">
        <x:v>1.05</x:v>
      </x:c>
      <x:c r="K1659" s="8" t="n">
        <x:v>242</x:v>
      </x:c>
      <x:c r="L1659" s="8" t="n">
        <x:v>12681</x:v>
      </x:c>
      <x:c r="M1659" s="9" t="n">
        <x:v>0.7096230046</x:v>
      </x:c>
      <x:c r="N1659" s="10" t="n">
        <x:v>41235.0727071997</x:v>
      </x:c>
      <x:c r="O1659" s="9" t="n">
        <x:v>0.107724752</x:v>
      </x:c>
      <x:c r="P1659" s="9" t="n">
        <x:v>0.6650366748</x:v>
      </x:c>
      <x:c r="Q1659" s="9" t="n">
        <x:v>0.6022819886</x:v>
      </x:c>
      <x:c r="R1659" s="3" t="b">
        <x:v>0</x:v>
      </x:c>
      <x:c r="S1659" s="3" t="b">
        <x:v>0</x:v>
      </x:c>
      <x:c r="T1659" s="3" t="b">
        <x:v>0</x:v>
      </x:c>
      <x:c r="U1659" s="2" t="str">
        <x:f>IF(T1659=TRUE,"Priority review",IF(R1659=TRUE,"High cost",IF(S1659=TRUE,"Low quality","Benchmark")))</x:f>
        <x:v>Benchmark</x:v>
      </x:c>
    </x:row>
    <x:row r="1660">
      <x:c r="A1660" s="2" t="str">
        <x:v>171337</x:v>
      </x:c>
      <x:c r="B1660" s="2" t="str">
        <x:v>WAMEGO HEALTH CENTER</x:v>
      </x:c>
      <x:c r="C1660" s="2" t="str">
        <x:v>WAMEGO</x:v>
      </x:c>
      <x:c r="D1660" s="2" t="str">
        <x:v>KS</x:v>
      </x:c>
      <x:c r="E1660" s="2" t="str">
        <x:v>Critical Access Hospitals</x:v>
      </x:c>
      <x:c r="F1660" s="2" t="str">
        <x:v>Voluntary non-profit</x:v>
      </x:c>
      <x:c r="G1660" s="2" t="str">
        <x:v>Small (&lt;100 beds)</x:v>
      </x:c>
      <x:c r="H1660" s="7"/>
      <x:c r="I1660" s="7"/>
      <x:c r="J1660" s="7"/>
      <x:c r="K1660" s="8" t="n">
        <x:v>18</x:v>
      </x:c>
      <x:c r="L1660" s="8" t="n">
        <x:v>89</x:v>
      </x:c>
      <x:c r="M1660" s="9" t="n">
        <x:v>0.2767152398</x:v>
      </x:c>
      <x:c r="N1660" s="10" t="n">
        <x:v>177391.2584269663</x:v>
      </x:c>
      <x:c r="O1660" s="9" t="n">
        <x:v>0.0855268512</x:v>
      </x:c>
      <x:c r="P1660" s="9" t="n">
        <x:v>0.6646840149</x:v>
      </x:c>
      <x:c r="Q1660" s="9" t="n">
        <x:v>0.292936803</x:v>
      </x:c>
      <x:c r="R1660" s="3" t="b">
        <x:v>0</x:v>
      </x:c>
      <x:c r="S1660" s="3" t="b">
        <x:v>0</x:v>
      </x:c>
      <x:c r="T1660" s="3" t="b">
        <x:v>0</x:v>
      </x:c>
      <x:c r="U1660" s="2" t="str">
        <x:f>IF(T1660=TRUE,"Priority review",IF(R1660=TRUE,"High cost",IF(S1660=TRUE,"Low quality","Benchmark")))</x:f>
        <x:v>Benchmark</x:v>
      </x:c>
    </x:row>
    <x:row r="1661">
      <x:c r="A1661" s="2" t="str">
        <x:v>190007</x:v>
      </x:c>
      <x:c r="B1661" s="2" t="str">
        <x:v>NATCHITOCHES REGIONAL MEDICAL CENTER</x:v>
      </x:c>
      <x:c r="C1661" s="2" t="str">
        <x:v>NATCHITOCHES</x:v>
      </x:c>
      <x:c r="D1661" s="2" t="str">
        <x:v>LA</x:v>
      </x:c>
      <x:c r="E1661" s="2" t="str">
        <x:v>Acute Care Hospitals</x:v>
      </x:c>
      <x:c r="F1661" s="2" t="str">
        <x:v>Government</x:v>
      </x:c>
      <x:c r="G1661" s="2" t="str">
        <x:v>Small (&lt;100 beds)</x:v>
      </x:c>
      <x:c r="H1661" s="7" t="n">
        <x:v>4</x:v>
      </x:c>
      <x:c r="I1661" s="7" t="n">
        <x:v>4</x:v>
      </x:c>
      <x:c r="J1661" s="7" t="n">
        <x:v>1.11</x:v>
      </x:c>
      <x:c r="K1661" s="8" t="n">
        <x:v>81</x:v>
      </x:c>
      <x:c r="L1661" s="8" t="n">
        <x:v>1707</x:v>
      </x:c>
      <x:c r="M1661" s="9" t="n">
        <x:v>0.2332487739</x:v>
      </x:c>
      <x:c r="N1661" s="10" t="n">
        <x:v>70318.575278266</x:v>
      </x:c>
      <x:c r="O1661" s="9" t="n">
        <x:v>-0.1388571717</x:v>
      </x:c>
      <x:c r="P1661" s="9" t="n">
        <x:v>0.6642728905</x:v>
      </x:c>
      <x:c r="Q1661" s="9" t="n">
        <x:v>0.3913824057</x:v>
      </x:c>
      <x:c r="R1661" s="3" t="b">
        <x:v>0</x:v>
      </x:c>
      <x:c r="S1661" s="3" t="b">
        <x:v>0</x:v>
      </x:c>
      <x:c r="T1661" s="3" t="b">
        <x:v>0</x:v>
      </x:c>
      <x:c r="U1661" s="2" t="str">
        <x:f>IF(T1661=TRUE,"Priority review",IF(R1661=TRUE,"High cost",IF(S1661=TRUE,"Low quality","Benchmark")))</x:f>
        <x:v>Benchmark</x:v>
      </x:c>
    </x:row>
    <x:row r="1662">
      <x:c r="A1662" s="2" t="str">
        <x:v>060113</x:v>
      </x:c>
      <x:c r="B1662" s="2" t="str">
        <x:v>AdventHealth Littleton</x:v>
      </x:c>
      <x:c r="C1662" s="2" t="str">
        <x:v>LITTLETON</x:v>
      </x:c>
      <x:c r="D1662" s="2" t="str">
        <x:v>CO</x:v>
      </x:c>
      <x:c r="E1662" s="2" t="str">
        <x:v>Acute Care Hospitals</x:v>
      </x:c>
      <x:c r="F1662" s="2" t="str">
        <x:v>Voluntary non-profit</x:v>
      </x:c>
      <x:c r="G1662" s="2" t="str">
        <x:v>Medium (100-299 beds)</x:v>
      </x:c>
      <x:c r="H1662" s="7" t="n">
        <x:v>4</x:v>
      </x:c>
      <x:c r="I1662" s="7" t="n">
        <x:v>3</x:v>
      </x:c>
      <x:c r="J1662" s="7" t="n">
        <x:v>1</x:v>
      </x:c>
      <x:c r="K1662" s="8" t="n">
        <x:v>201</x:v>
      </x:c>
      <x:c r="L1662" s="8" t="n">
        <x:v>9553</x:v>
      </x:c>
      <x:c r="M1662" s="9" t="n">
        <x:v>0.5867656254</x:v>
      </x:c>
      <x:c r="N1662" s="10" t="n">
        <x:v>41224.0055479954</x:v>
      </x:c>
      <x:c r="O1662" s="9" t="n">
        <x:v>-0.0442180848</x:v>
      </x:c>
      <x:c r="P1662" s="9" t="n">
        <x:v>0.6642216789</x:v>
      </x:c>
      <x:c r="Q1662" s="9" t="n">
        <x:v>0.6022819886</x:v>
      </x:c>
      <x:c r="R1662" s="3" t="b">
        <x:v>0</x:v>
      </x:c>
      <x:c r="S1662" s="3" t="b">
        <x:v>0</x:v>
      </x:c>
      <x:c r="T1662" s="3" t="b">
        <x:v>0</x:v>
      </x:c>
      <x:c r="U1662" s="2" t="str">
        <x:f>IF(T1662=TRUE,"Priority review",IF(R1662=TRUE,"High cost",IF(S1662=TRUE,"Low quality","Benchmark")))</x:f>
        <x:v>Benchmark</x:v>
      </x:c>
    </x:row>
    <x:row r="1663">
      <x:c r="A1663" s="2" t="str">
        <x:v>120001</x:v>
      </x:c>
      <x:c r="B1663" s="2" t="str">
        <x:v>THE QUEENS MEDICAL CENTER</x:v>
      </x:c>
      <x:c r="C1663" s="2" t="str">
        <x:v>HONOLULU</x:v>
      </x:c>
      <x:c r="D1663" s="2" t="str">
        <x:v>HI</x:v>
      </x:c>
      <x:c r="E1663" s="2" t="str">
        <x:v>Acute Care Hospitals</x:v>
      </x:c>
      <x:c r="F1663" s="2" t="str">
        <x:v>Voluntary non-profit</x:v>
      </x:c>
      <x:c r="G1663" s="2" t="str">
        <x:v>Large (300+ beds)</x:v>
      </x:c>
      <x:c r="H1663" s="7" t="n">
        <x:v>3</x:v>
      </x:c>
      <x:c r="I1663" s="7" t="n">
        <x:v>3</x:v>
      </x:c>
      <x:c r="J1663" s="7" t="n">
        <x:v>0.93</x:v>
      </x:c>
      <x:c r="K1663" s="8" t="n">
        <x:v>762</x:v>
      </x:c>
      <x:c r="L1663" s="8" t="n">
        <x:v>34632</x:v>
      </x:c>
      <x:c r="M1663" s="9" t="n">
        <x:v>0.8489930146</x:v>
      </x:c>
      <x:c r="N1663" s="10" t="n">
        <x:v>47407.449006699</x:v>
      </x:c>
      <x:c r="O1663" s="9" t="n">
        <x:v>0.0011661618</x:v>
      </x:c>
      <x:c r="P1663" s="9" t="n">
        <x:v>0.6640378549</x:v>
      </x:c>
      <x:c r="Q1663" s="9" t="n">
        <x:v>0.2570977918</x:v>
      </x:c>
      <x:c r="R1663" s="3" t="b">
        <x:v>0</x:v>
      </x:c>
      <x:c r="S1663" s="3" t="b">
        <x:v>0</x:v>
      </x:c>
      <x:c r="T1663" s="3" t="b">
        <x:v>0</x:v>
      </x:c>
      <x:c r="U1663" s="2" t="str">
        <x:f>IF(T1663=TRUE,"Priority review",IF(R1663=TRUE,"High cost",IF(S1663=TRUE,"Low quality","Benchmark")))</x:f>
        <x:v>Benchmark</x:v>
      </x:c>
    </x:row>
    <x:row r="1664">
      <x:c r="A1664" s="2" t="str">
        <x:v>281306</x:v>
      </x:c>
      <x:c r="B1664" s="2" t="str">
        <x:v>KEARNEY COUNTY HEALTH SERVICES HOSPITAL</x:v>
      </x:c>
      <x:c r="C1664" s="2" t="str">
        <x:v>MINDEN</x:v>
      </x:c>
      <x:c r="D1664" s="2" t="str">
        <x:v>NE</x:v>
      </x:c>
      <x:c r="E1664" s="2" t="str">
        <x:v>Critical Access Hospitals</x:v>
      </x:c>
      <x:c r="F1664" s="2" t="str">
        <x:v>Government</x:v>
      </x:c>
      <x:c r="G1664" s="2" t="str">
        <x:v>Small (&lt;100 beds)</x:v>
      </x:c>
      <x:c r="H1664" s="7"/>
      <x:c r="I1664" s="7"/>
      <x:c r="J1664" s="7"/>
      <x:c r="K1664" s="8" t="n">
        <x:v>10</x:v>
      </x:c>
      <x:c r="L1664" s="8" t="n">
        <x:v>108</x:v>
      </x:c>
      <x:c r="M1664" s="9" t="n">
        <x:v>0.3684931507</x:v>
      </x:c>
      <x:c r="N1664" s="10" t="n">
        <x:v>177241.0462962963</x:v>
      </x:c>
      <x:c r="O1664" s="9" t="n">
        <x:v>-0.0871645234</x:v>
      </x:c>
      <x:c r="P1664" s="9" t="n">
        <x:v>0.6639405204</x:v>
      </x:c>
      <x:c r="Q1664" s="9" t="n">
        <x:v>0.292936803</x:v>
      </x:c>
      <x:c r="R1664" s="3" t="b">
        <x:v>0</x:v>
      </x:c>
      <x:c r="S1664" s="3" t="b">
        <x:v>0</x:v>
      </x:c>
      <x:c r="T1664" s="3" t="b">
        <x:v>0</x:v>
      </x:c>
      <x:c r="U1664" s="2" t="str">
        <x:f>IF(T1664=TRUE,"Priority review",IF(R1664=TRUE,"High cost",IF(S1664=TRUE,"Low quality","Benchmark")))</x:f>
        <x:v>Benchmark</x:v>
      </x:c>
    </x:row>
    <x:row r="1665">
      <x:c r="A1665" s="2" t="str">
        <x:v>054078</x:v>
      </x:c>
      <x:c r="B1665" s="2" t="str">
        <x:v>AURORA LAS ENCINAS</x:v>
      </x:c>
      <x:c r="C1665" s="2" t="str">
        <x:v>PASADENA</x:v>
      </x:c>
      <x:c r="D1665" s="2" t="str">
        <x:v>CA</x:v>
      </x:c>
      <x:c r="E1665" s="2" t="str">
        <x:v>Psychiatric</x:v>
      </x:c>
      <x:c r="F1665" s="2" t="str">
        <x:v>Proprietary</x:v>
      </x:c>
      <x:c r="G1665" s="2" t="str">
        <x:v>Small (&lt;100 beds)</x:v>
      </x:c>
      <x:c r="H1665" s="7"/>
      <x:c r="I1665" s="7"/>
      <x:c r="J1665" s="7"/>
      <x:c r="K1665" s="8" t="n">
        <x:v>96</x:v>
      </x:c>
      <x:c r="L1665" s="8" t="n">
        <x:v>1969</x:v>
      </x:c>
      <x:c r="M1665" s="9" t="n">
        <x:v>0.9252333789</x:v>
      </x:c>
      <x:c r="N1665" s="10" t="n">
        <x:v>19867.3534789233</x:v>
      </x:c>
      <x:c r="O1665" s="9" t="n">
        <x:v>0.096220512</x:v>
      </x:c>
      <x:c r="P1665" s="9" t="n">
        <x:v>0.6634304207</x:v>
      </x:c>
      <x:c r="Q1665" s="9" t="n">
        <x:v>0</x:v>
      </x:c>
      <x:c r="R1665" s="3" t="b">
        <x:v>0</x:v>
      </x:c>
      <x:c r="S1665" s="3" t="b">
        <x:v>0</x:v>
      </x:c>
      <x:c r="T1665" s="3" t="b">
        <x:v>0</x:v>
      </x:c>
      <x:c r="U1665" s="2" t="str">
        <x:f>IF(T1665=TRUE,"Priority review",IF(R1665=TRUE,"High cost",IF(S1665=TRUE,"Low quality","Benchmark")))</x:f>
        <x:v>Benchmark</x:v>
      </x:c>
    </x:row>
    <x:row r="1666">
      <x:c r="A1666" s="2" t="str">
        <x:v>490017</x:v>
      </x:c>
      <x:c r="B1666" s="2" t="str">
        <x:v>BON SECOURS MARYVIEW MEDICAL CENTER</x:v>
      </x:c>
      <x:c r="C1666" s="2" t="str">
        <x:v>PORTSMOUTH</x:v>
      </x:c>
      <x:c r="D1666" s="2" t="str">
        <x:v>VA</x:v>
      </x:c>
      <x:c r="E1666" s="2" t="str">
        <x:v>Acute Care Hospitals</x:v>
      </x:c>
      <x:c r="F1666" s="2" t="str">
        <x:v>Voluntary non-profit</x:v>
      </x:c>
      <x:c r="G1666" s="2" t="str">
        <x:v>Medium (100-299 beds)</x:v>
      </x:c>
      <x:c r="H1666" s="7" t="n">
        <x:v>3</x:v>
      </x:c>
      <x:c r="I1666" s="7" t="n">
        <x:v>3</x:v>
      </x:c>
      <x:c r="J1666" s="7" t="n">
        <x:v>1.01</x:v>
      </x:c>
      <x:c r="K1666" s="8" t="n">
        <x:v>173</x:v>
      </x:c>
      <x:c r="L1666" s="8" t="n">
        <x:v>2132</x:v>
      </x:c>
      <x:c r="M1666" s="9" t="n">
        <x:v>0.6668995744</x:v>
      </x:c>
      <x:c r="N1666" s="10" t="n">
        <x:v>41111.4521575985</x:v>
      </x:c>
      <x:c r="O1666" s="9" t="n">
        <x:v>0.0903955478</x:v>
      </x:c>
      <x:c r="P1666" s="9" t="n">
        <x:v>0.663406683</x:v>
      </x:c>
      <x:c r="Q1666" s="9" t="n">
        <x:v>0.3023634882</x:v>
      </x:c>
      <x:c r="R1666" s="3" t="b">
        <x:v>0</x:v>
      </x:c>
      <x:c r="S1666" s="3" t="b">
        <x:v>0</x:v>
      </x:c>
      <x:c r="T1666" s="3" t="b">
        <x:v>0</x:v>
      </x:c>
      <x:c r="U1666" s="2" t="str">
        <x:f>IF(T1666=TRUE,"Priority review",IF(R1666=TRUE,"High cost",IF(S1666=TRUE,"Low quality","Benchmark")))</x:f>
        <x:v>Benchmark</x:v>
      </x:c>
    </x:row>
    <x:row r="1667">
      <x:c r="A1667" s="2" t="str">
        <x:v>420020</x:v>
      </x:c>
      <x:c r="B1667" s="2" t="str">
        <x:v>TIDELANDS GEORGETOWN MEMORIAL HOSPITAL</x:v>
      </x:c>
      <x:c r="C1667" s="2" t="str">
        <x:v>GEORGETOWN</x:v>
      </x:c>
      <x:c r="D1667" s="2" t="str">
        <x:v>SC</x:v>
      </x:c>
      <x:c r="E1667" s="2" t="str">
        <x:v>Acute Care Hospitals</x:v>
      </x:c>
      <x:c r="F1667" s="2" t="str">
        <x:v>Voluntary non-profit</x:v>
      </x:c>
      <x:c r="G1667" s="2" t="str">
        <x:v>Small (&lt;100 beds)</x:v>
      </x:c>
      <x:c r="H1667" s="7" t="n">
        <x:v>2</x:v>
      </x:c>
      <x:c r="I1667" s="7" t="n">
        <x:v>3</x:v>
      </x:c>
      <x:c r="J1667" s="7" t="n">
        <x:v>0.94</x:v>
      </x:c>
      <x:c r="K1667" s="8" t="n">
        <x:v>68</x:v>
      </x:c>
      <x:c r="L1667" s="8" t="n">
        <x:v>3314</x:v>
      </x:c>
      <x:c r="M1667" s="9" t="n">
        <x:v>0.7680022528</x:v>
      </x:c>
      <x:c r="N1667" s="10" t="n">
        <x:v>70209.8811104406</x:v>
      </x:c>
      <x:c r="O1667" s="9" t="n">
        <x:v>0.0538764795</x:v>
      </x:c>
      <x:c r="P1667" s="9" t="n">
        <x:v>0.6633752244</x:v>
      </x:c>
      <x:c r="Q1667" s="9" t="n">
        <x:v>0.0350089767</x:v>
      </x:c>
      <x:c r="R1667" s="3" t="b">
        <x:v>0</x:v>
      </x:c>
      <x:c r="S1667" s="3" t="b">
        <x:v>1</x:v>
      </x:c>
      <x:c r="T1667" s="3" t="b">
        <x:v>0</x:v>
      </x:c>
      <x:c r="U1667" s="2" t="str">
        <x:f>IF(T1667=TRUE,"Priority review",IF(R1667=TRUE,"High cost",IF(S1667=TRUE,"Low quality","Benchmark")))</x:f>
        <x:v>Low quality</x:v>
      </x:c>
    </x:row>
    <x:row r="1668">
      <x:c r="A1668" s="2" t="str">
        <x:v>131316</x:v>
      </x:c>
      <x:c r="B1668" s="2" t="str">
        <x:v>BEAR LAKE MEMORIAL HOSPITAL</x:v>
      </x:c>
      <x:c r="C1668" s="2" t="str">
        <x:v>MONTPELIER</x:v>
      </x:c>
      <x:c r="D1668" s="2" t="str">
        <x:v>ID</x:v>
      </x:c>
      <x:c r="E1668" s="2" t="str">
        <x:v>Critical Access Hospitals</x:v>
      </x:c>
      <x:c r="F1668" s="2" t="str">
        <x:v>Government</x:v>
      </x:c>
      <x:c r="G1668" s="2" t="str">
        <x:v>Small (&lt;100 beds)</x:v>
      </x:c>
      <x:c r="H1668" s="7"/>
      <x:c r="I1668" s="7"/>
      <x:c r="J1668" s="7"/>
      <x:c r="K1668" s="8" t="n">
        <x:v>21</x:v>
      </x:c>
      <x:c r="L1668" s="8" t="n">
        <x:v>225</x:v>
      </x:c>
      <x:c r="M1668" s="9" t="n">
        <x:v>0.1813687224</x:v>
      </x:c>
      <x:c r="N1668" s="10" t="n">
        <x:v>176995.8622222222</x:v>
      </x:c>
      <x:c r="O1668" s="9" t="n">
        <x:v>-0.0658571387</x:v>
      </x:c>
      <x:c r="P1668" s="9" t="n">
        <x:v>0.663197026</x:v>
      </x:c>
      <x:c r="Q1668" s="9" t="n">
        <x:v>0.292936803</x:v>
      </x:c>
      <x:c r="R1668" s="3" t="b">
        <x:v>0</x:v>
      </x:c>
      <x:c r="S1668" s="3" t="b">
        <x:v>0</x:v>
      </x:c>
      <x:c r="T1668" s="3" t="b">
        <x:v>0</x:v>
      </x:c>
      <x:c r="U1668" s="2" t="str">
        <x:f>IF(T1668=TRUE,"Priority review",IF(R1668=TRUE,"High cost",IF(S1668=TRUE,"Low quality","Benchmark")))</x:f>
        <x:v>Benchmark</x:v>
      </x:c>
    </x:row>
    <x:row r="1669">
      <x:c r="A1669" s="2" t="str">
        <x:v>500119</x:v>
      </x:c>
      <x:c r="B1669" s="2" t="str">
        <x:v>MULTICARE VALLEY HOSPITAL</x:v>
      </x:c>
      <x:c r="C1669" s="2" t="str">
        <x:v>SPOKANE VALLEY</x:v>
      </x:c>
      <x:c r="D1669" s="2" t="str">
        <x:v>WA</x:v>
      </x:c>
      <x:c r="E1669" s="2" t="str">
        <x:v>Acute Care Hospitals</x:v>
      </x:c>
      <x:c r="F1669" s="2" t="str">
        <x:v>Voluntary non-profit</x:v>
      </x:c>
      <x:c r="G1669" s="2" t="str">
        <x:v>Medium (100-299 beds)</x:v>
      </x:c>
      <x:c r="H1669" s="7" t="n">
        <x:v>5</x:v>
      </x:c>
      <x:c r="I1669" s="7" t="n">
        <x:v>3</x:v>
      </x:c>
      <x:c r="J1669" s="7" t="n">
        <x:v>0.92</x:v>
      </x:c>
      <x:c r="K1669" s="8" t="n">
        <x:v>123</x:v>
      </x:c>
      <x:c r="L1669" s="8" t="n">
        <x:v>5149</x:v>
      </x:c>
      <x:c r="M1669" s="9" t="n">
        <x:v>0.4920476254</x:v>
      </x:c>
      <x:c r="N1669" s="10" t="n">
        <x:v>41102.2485919596</x:v>
      </x:c>
      <x:c r="O1669" s="9" t="n">
        <x:v>-0.0782837536</x:v>
      </x:c>
      <x:c r="P1669" s="9" t="n">
        <x:v>0.662591687</x:v>
      </x:c>
      <x:c r="Q1669" s="9" t="n">
        <x:v>0.8744906275</x:v>
      </x:c>
      <x:c r="R1669" s="3" t="b">
        <x:v>0</x:v>
      </x:c>
      <x:c r="S1669" s="3" t="b">
        <x:v>0</x:v>
      </x:c>
      <x:c r="T1669" s="3" t="b">
        <x:v>0</x:v>
      </x:c>
      <x:c r="U1669" s="2" t="str">
        <x:f>IF(T1669=TRUE,"Priority review",IF(R1669=TRUE,"High cost",IF(S1669=TRUE,"Low quality","Benchmark")))</x:f>
        <x:v>Benchmark</x:v>
      </x:c>
    </x:row>
    <x:row r="1670">
      <x:c r="A1670" s="2" t="str">
        <x:v>280065</x:v>
      </x:c>
      <x:c r="B1670" s="2" t="str">
        <x:v>GREAT PLAINS HEALTH</x:v>
      </x:c>
      <x:c r="C1670" s="2" t="str">
        <x:v>NORTH PLATTE</x:v>
      </x:c>
      <x:c r="D1670" s="2" t="str">
        <x:v>NE</x:v>
      </x:c>
      <x:c r="E1670" s="2" t="str">
        <x:v>Acute Care Hospitals</x:v>
      </x:c>
      <x:c r="F1670" s="2" t="str">
        <x:v>Voluntary non-profit</x:v>
      </x:c>
      <x:c r="G1670" s="2" t="str">
        <x:v>Small (&lt;100 beds)</x:v>
      </x:c>
      <x:c r="H1670" s="7" t="n">
        <x:v>3</x:v>
      </x:c>
      <x:c r="I1670" s="7" t="n">
        <x:v>3</x:v>
      </x:c>
      <x:c r="J1670" s="7" t="n">
        <x:v>0.97</x:v>
      </x:c>
      <x:c r="K1670" s="8" t="n">
        <x:v>96</x:v>
      </x:c>
      <x:c r="L1670" s="8" t="n">
        <x:v>4280</x:v>
      </x:c>
      <x:c r="M1670" s="9" t="n">
        <x:v>0.5175318761</x:v>
      </x:c>
      <x:c r="N1670" s="10" t="n">
        <x:v>70184.1502336449</x:v>
      </x:c>
      <x:c r="O1670" s="9"/>
      <x:c r="P1670" s="9" t="n">
        <x:v>0.6624775583</x:v>
      </x:c>
      <x:c r="Q1670" s="9" t="n">
        <x:v>0.1687612208</x:v>
      </x:c>
      <x:c r="R1670" s="3" t="b">
        <x:v>0</x:v>
      </x:c>
      <x:c r="S1670" s="3" t="b">
        <x:v>0</x:v>
      </x:c>
      <x:c r="T1670" s="3" t="b">
        <x:v>0</x:v>
      </x:c>
      <x:c r="U1670" s="2" t="str">
        <x:f>IF(T1670=TRUE,"Priority review",IF(R1670=TRUE,"High cost",IF(S1670=TRUE,"Low quality","Benchmark")))</x:f>
        <x:v>Benchmark</x:v>
      </x:c>
    </x:row>
    <x:row r="1671">
      <x:c r="A1671" s="2" t="str">
        <x:v>070010</x:v>
      </x:c>
      <x:c r="B1671" s="2" t="str">
        <x:v>BRIDGEPORT HOSPITAL</x:v>
      </x:c>
      <x:c r="C1671" s="2" t="str">
        <x:v>BRIDGEPORT</x:v>
      </x:c>
      <x:c r="D1671" s="2" t="str">
        <x:v>CT</x:v>
      </x:c>
      <x:c r="E1671" s="2" t="str">
        <x:v>Acute Care Hospitals</x:v>
      </x:c>
      <x:c r="F1671" s="2" t="str">
        <x:v>Voluntary non-profit</x:v>
      </x:c>
      <x:c r="G1671" s="2" t="str">
        <x:v>Large (300+ beds)</x:v>
      </x:c>
      <x:c r="H1671" s="7" t="n">
        <x:v>4</x:v>
      </x:c>
      <x:c r="I1671" s="7" t="n">
        <x:v>3</x:v>
      </x:c>
      <x:c r="J1671" s="7" t="n">
        <x:v>0.99</x:v>
      </x:c>
      <x:c r="K1671" s="8" t="n">
        <x:v>397</x:v>
      </x:c>
      <x:c r="L1671" s="8" t="n">
        <x:v>19856</x:v>
      </x:c>
      <x:c r="M1671" s="9" t="n">
        <x:v>0.7632379458</x:v>
      </x:c>
      <x:c r="N1671" s="10" t="n">
        <x:v>47365.3829572925</x:v>
      </x:c>
      <x:c r="O1671" s="9" t="n">
        <x:v>-0.1193852237</x:v>
      </x:c>
      <x:c r="P1671" s="9" t="n">
        <x:v>0.6624605678</x:v>
      </x:c>
      <x:c r="Q1671" s="9" t="n">
        <x:v>0.5899053628</x:v>
      </x:c>
      <x:c r="R1671" s="3" t="b">
        <x:v>0</x:v>
      </x:c>
      <x:c r="S1671" s="3" t="b">
        <x:v>0</x:v>
      </x:c>
      <x:c r="T1671" s="3" t="b">
        <x:v>0</x:v>
      </x:c>
      <x:c r="U1671" s="2" t="str">
        <x:f>IF(T1671=TRUE,"Priority review",IF(R1671=TRUE,"High cost",IF(S1671=TRUE,"Low quality","Benchmark")))</x:f>
        <x:v>Benchmark</x:v>
      </x:c>
    </x:row>
    <x:row r="1672">
      <x:c r="A1672" s="2" t="str">
        <x:v>281361</x:v>
      </x:c>
      <x:c r="B1672" s="2" t="str">
        <x:v>LEXINGTON REGIONAL HEALTH CENTER</x:v>
      </x:c>
      <x:c r="C1672" s="2" t="str">
        <x:v>LEXINGTON</x:v>
      </x:c>
      <x:c r="D1672" s="2" t="str">
        <x:v>NE</x:v>
      </x:c>
      <x:c r="E1672" s="2" t="str">
        <x:v>Critical Access Hospitals</x:v>
      </x:c>
      <x:c r="F1672" s="2" t="str">
        <x:v>Government</x:v>
      </x:c>
      <x:c r="G1672" s="2" t="str">
        <x:v>Small (&lt;100 beds)</x:v>
      </x:c>
      <x:c r="H1672" s="7"/>
      <x:c r="I1672" s="7"/>
      <x:c r="J1672" s="7"/>
      <x:c r="K1672" s="8" t="n">
        <x:v>25</x:v>
      </x:c>
      <x:c r="L1672" s="8" t="n">
        <x:v>311</x:v>
      </x:c>
      <x:c r="M1672" s="9" t="n">
        <x:v>0.2166575342</x:v>
      </x:c>
      <x:c r="N1672" s="10" t="n">
        <x:v>176697.6559485531</x:v>
      </x:c>
      <x:c r="O1672" s="9" t="n">
        <x:v>-0.0413397686</x:v>
      </x:c>
      <x:c r="P1672" s="9" t="n">
        <x:v>0.6624535316</x:v>
      </x:c>
      <x:c r="Q1672" s="9" t="n">
        <x:v>0.292936803</x:v>
      </x:c>
      <x:c r="R1672" s="3" t="b">
        <x:v>0</x:v>
      </x:c>
      <x:c r="S1672" s="3" t="b">
        <x:v>0</x:v>
      </x:c>
      <x:c r="T1672" s="3" t="b">
        <x:v>0</x:v>
      </x:c>
      <x:c r="U1672" s="2" t="str">
        <x:f>IF(T1672=TRUE,"Priority review",IF(R1672=TRUE,"High cost",IF(S1672=TRUE,"Low quality","Benchmark")))</x:f>
        <x:v>Benchmark</x:v>
      </x:c>
    </x:row>
    <x:row r="1673">
      <x:c r="A1673" s="2" t="str">
        <x:v>190065</x:v>
      </x:c>
      <x:c r="B1673" s="2" t="str">
        <x:v>BATON ROUGE GENERAL MEDICAL CENTER</x:v>
      </x:c>
      <x:c r="C1673" s="2" t="str">
        <x:v>BATON ROUGE</x:v>
      </x:c>
      <x:c r="D1673" s="2" t="str">
        <x:v>LA</x:v>
      </x:c>
      <x:c r="E1673" s="2" t="str">
        <x:v>Acute Care Hospitals</x:v>
      </x:c>
      <x:c r="F1673" s="2" t="str">
        <x:v>Voluntary non-profit</x:v>
      </x:c>
      <x:c r="G1673" s="2" t="str">
        <x:v>Medium (100-299 beds)</x:v>
      </x:c>
      <x:c r="H1673" s="7" t="n">
        <x:v>3</x:v>
      </x:c>
      <x:c r="I1673" s="7" t="n">
        <x:v>3</x:v>
      </x:c>
      <x:c r="J1673" s="7" t="n">
        <x:v>0.98</x:v>
      </x:c>
      <x:c r="K1673" s="8" t="n">
        <x:v>261</x:v>
      </x:c>
      <x:c r="L1673" s="8" t="n">
        <x:v>13306</x:v>
      </x:c>
      <x:c r="M1673" s="9" t="n">
        <x:v>0.7296128803</x:v>
      </x:c>
      <x:c r="N1673" s="10" t="n">
        <x:v>41089.2952803247</x:v>
      </x:c>
      <x:c r="O1673" s="9" t="n">
        <x:v>-0.0973333778</x:v>
      </x:c>
      <x:c r="P1673" s="9" t="n">
        <x:v>0.6617766911</x:v>
      </x:c>
      <x:c r="Q1673" s="9" t="n">
        <x:v>0.3023634882</x:v>
      </x:c>
      <x:c r="R1673" s="3" t="b">
        <x:v>0</x:v>
      </x:c>
      <x:c r="S1673" s="3" t="b">
        <x:v>0</x:v>
      </x:c>
      <x:c r="T1673" s="3" t="b">
        <x:v>0</x:v>
      </x:c>
      <x:c r="U1673" s="2" t="str">
        <x:f>IF(T1673=TRUE,"Priority review",IF(R1673=TRUE,"High cost",IF(S1673=TRUE,"Low quality","Benchmark")))</x:f>
        <x:v>Benchmark</x:v>
      </x:c>
    </x:row>
    <x:row r="1674">
      <x:c r="A1674" s="2" t="str">
        <x:v>051333</x:v>
      </x:c>
      <x:c r="B1674" s="2" t="str">
        <x:v>RIDGECREST REGIONAL HOSPITAL</x:v>
      </x:c>
      <x:c r="C1674" s="2" t="str">
        <x:v>RIDGECREST</x:v>
      </x:c>
      <x:c r="D1674" s="2" t="str">
        <x:v>CA</x:v>
      </x:c>
      <x:c r="E1674" s="2" t="str">
        <x:v>Critical Access Hospitals</x:v>
      </x:c>
      <x:c r="F1674" s="2" t="str">
        <x:v>Voluntary non-profit</x:v>
      </x:c>
      <x:c r="G1674" s="2" t="str">
        <x:v>Small (&lt;100 beds)</x:v>
      </x:c>
      <x:c r="H1674" s="7"/>
      <x:c r="I1674" s="7"/>
      <x:c r="J1674" s="7"/>
      <x:c r="K1674" s="8" t="n">
        <x:v>25</x:v>
      </x:c>
      <x:c r="L1674" s="8" t="n">
        <x:v>898</x:v>
      </x:c>
      <x:c r="M1674" s="9" t="n">
        <x:v>0.48</x:v>
      </x:c>
      <x:c r="N1674" s="10" t="n">
        <x:v>176498.2538975501</x:v>
      </x:c>
      <x:c r="O1674" s="9" t="n">
        <x:v>-0.0921490638</x:v>
      </x:c>
      <x:c r="P1674" s="9" t="n">
        <x:v>0.6617100372</x:v>
      </x:c>
      <x:c r="Q1674" s="9" t="n">
        <x:v>0.292936803</x:v>
      </x:c>
      <x:c r="R1674" s="3" t="b">
        <x:v>0</x:v>
      </x:c>
      <x:c r="S1674" s="3" t="b">
        <x:v>0</x:v>
      </x:c>
      <x:c r="T1674" s="3" t="b">
        <x:v>0</x:v>
      </x:c>
      <x:c r="U1674" s="2" t="str">
        <x:f>IF(T1674=TRUE,"Priority review",IF(R1674=TRUE,"High cost",IF(S1674=TRUE,"Low quality","Benchmark")))</x:f>
        <x:v>Benchmark</x:v>
      </x:c>
    </x:row>
    <x:row r="1675">
      <x:c r="A1675" s="2" t="str">
        <x:v>264024</x:v>
      </x:c>
      <x:c r="B1675" s="2" t="str">
        <x:v>LAKELAND BEHAVIORAL HEALTH SYSTEM</x:v>
      </x:c>
      <x:c r="C1675" s="2" t="str">
        <x:v>SPRINGFIELD</x:v>
      </x:c>
      <x:c r="D1675" s="2" t="str">
        <x:v>MO</x:v>
      </x:c>
      <x:c r="E1675" s="2" t="str">
        <x:v>Psychiatric</x:v>
      </x:c>
      <x:c r="F1675" s="2" t="str">
        <x:v>Proprietary</x:v>
      </x:c>
      <x:c r="G1675" s="2" t="str">
        <x:v>Medium (100-299 beds)</x:v>
      </x:c>
      <x:c r="H1675" s="7"/>
      <x:c r="I1675" s="7"/>
      <x:c r="J1675" s="7"/>
      <x:c r="K1675" s="8" t="n">
        <x:v>100</x:v>
      </x:c>
      <x:c r="L1675" s="8" t="n">
        <x:v>2078</x:v>
      </x:c>
      <x:c r="M1675" s="9" t="n">
        <x:v>0.6812295082</x:v>
      </x:c>
      <x:c r="N1675" s="10" t="n">
        <x:v>18407.3729547642</x:v>
      </x:c>
      <x:c r="O1675" s="9" t="n">
        <x:v>0.1572298962</x:v>
      </x:c>
      <x:c r="P1675" s="9" t="n">
        <x:v>0.6616915423</x:v>
      </x:c>
      <x:c r="Q1675" s="9" t="n">
        <x:v>0</x:v>
      </x:c>
      <x:c r="R1675" s="3" t="b">
        <x:v>0</x:v>
      </x:c>
      <x:c r="S1675" s="3" t="b">
        <x:v>0</x:v>
      </x:c>
      <x:c r="T1675" s="3" t="b">
        <x:v>0</x:v>
      </x:c>
      <x:c r="U1675" s="2" t="str">
        <x:f>IF(T1675=TRUE,"Priority review",IF(R1675=TRUE,"High cost",IF(S1675=TRUE,"Low quality","Benchmark")))</x:f>
        <x:v>Benchmark</x:v>
      </x:c>
    </x:row>
    <x:row r="1676">
      <x:c r="A1676" s="2" t="str">
        <x:v>370019</x:v>
      </x:c>
      <x:c r="B1676" s="2" t="str">
        <x:v>GREAT PLAINS REGIONAL MEDICAL CENTER</x:v>
      </x:c>
      <x:c r="C1676" s="2" t="str">
        <x:v>ELK CITY</x:v>
      </x:c>
      <x:c r="D1676" s="2" t="str">
        <x:v>OK</x:v>
      </x:c>
      <x:c r="E1676" s="2" t="str">
        <x:v>Acute Care Hospitals</x:v>
      </x:c>
      <x:c r="F1676" s="2" t="str">
        <x:v>Voluntary non-profit</x:v>
      </x:c>
      <x:c r="G1676" s="2" t="str">
        <x:v>Small (&lt;100 beds)</x:v>
      </x:c>
      <x:c r="H1676" s="7" t="n">
        <x:v>2</x:v>
      </x:c>
      <x:c r="I1676" s="7" t="n">
        <x:v>3</x:v>
      </x:c>
      <x:c r="J1676" s="7" t="n">
        <x:v>1.08</x:v>
      </x:c>
      <x:c r="K1676" s="8" t="n">
        <x:v>42</x:v>
      </x:c>
      <x:c r="L1676" s="8" t="n">
        <x:v>870</x:v>
      </x:c>
      <x:c r="M1676" s="9" t="n">
        <x:v>0.3098499674</x:v>
      </x:c>
      <x:c r="N1676" s="10" t="n">
        <x:v>70119.5908045977</x:v>
      </x:c>
      <x:c r="O1676" s="9" t="n">
        <x:v>-0.2369737857</x:v>
      </x:c>
      <x:c r="P1676" s="9" t="n">
        <x:v>0.6615798923</x:v>
      </x:c>
      <x:c r="Q1676" s="9" t="n">
        <x:v>0.0350089767</x:v>
      </x:c>
      <x:c r="R1676" s="3" t="b">
        <x:v>0</x:v>
      </x:c>
      <x:c r="S1676" s="3" t="b">
        <x:v>1</x:v>
      </x:c>
      <x:c r="T1676" s="3" t="b">
        <x:v>0</x:v>
      </x:c>
      <x:c r="U1676" s="2" t="str">
        <x:f>IF(T1676=TRUE,"Priority review",IF(R1676=TRUE,"High cost",IF(S1676=TRUE,"Low quality","Benchmark")))</x:f>
        <x:v>Low quality</x:v>
      </x:c>
    </x:row>
    <x:row r="1677">
      <x:c r="A1677" s="2" t="str">
        <x:v>141332</x:v>
      </x:c>
      <x:c r="B1677" s="2" t="str">
        <x:v>HILLSBORO AREA HOSPITAL</x:v>
      </x:c>
      <x:c r="C1677" s="2" t="str">
        <x:v>HILLSBORO</x:v>
      </x:c>
      <x:c r="D1677" s="2" t="str">
        <x:v>IL</x:v>
      </x:c>
      <x:c r="E1677" s="2" t="str">
        <x:v>Critical Access Hospitals</x:v>
      </x:c>
      <x:c r="F1677" s="2" t="str">
        <x:v>Voluntary non-profit</x:v>
      </x:c>
      <x:c r="G1677" s="2" t="str">
        <x:v>Small (&lt;100 beds)</x:v>
      </x:c>
      <x:c r="H1677" s="7"/>
      <x:c r="I1677" s="7"/>
      <x:c r="J1677" s="7"/>
      <x:c r="K1677" s="8" t="n">
        <x:v>25</x:v>
      </x:c>
      <x:c r="L1677" s="8" t="n">
        <x:v>271</x:v>
      </x:c>
      <x:c r="M1677" s="9" t="n">
        <x:v>0.1705205479</x:v>
      </x:c>
      <x:c r="N1677" s="10" t="n">
        <x:v>176443.4612546125</x:v>
      </x:c>
      <x:c r="O1677" s="9" t="n">
        <x:v>0.0974393258</x:v>
      </x:c>
      <x:c r="P1677" s="9" t="n">
        <x:v>0.6609665428</x:v>
      </x:c>
      <x:c r="Q1677" s="9" t="n">
        <x:v>0.292936803</x:v>
      </x:c>
      <x:c r="R1677" s="3" t="b">
        <x:v>0</x:v>
      </x:c>
      <x:c r="S1677" s="3" t="b">
        <x:v>0</x:v>
      </x:c>
      <x:c r="T1677" s="3" t="b">
        <x:v>0</x:v>
      </x:c>
      <x:c r="U1677" s="2" t="str">
        <x:f>IF(T1677=TRUE,"Priority review",IF(R1677=TRUE,"High cost",IF(S1677=TRUE,"Low quality","Benchmark")))</x:f>
        <x:v>Benchmark</x:v>
      </x:c>
    </x:row>
    <x:row r="1678">
      <x:c r="A1678" s="2" t="str">
        <x:v>440011</x:v>
      </x:c>
      <x:c r="B1678" s="2" t="str">
        <x:v>BLOUNT MEMORIAL HOSPITAL</x:v>
      </x:c>
      <x:c r="C1678" s="2" t="str">
        <x:v>MARYVILLE</x:v>
      </x:c>
      <x:c r="D1678" s="2" t="str">
        <x:v>TN</x:v>
      </x:c>
      <x:c r="E1678" s="2" t="str">
        <x:v>Acute Care Hospitals</x:v>
      </x:c>
      <x:c r="F1678" s="2" t="str">
        <x:v>Government</x:v>
      </x:c>
      <x:c r="G1678" s="2" t="str">
        <x:v>Medium (100-299 beds)</x:v>
      </x:c>
      <x:c r="H1678" s="7" t="n">
        <x:v>2</x:v>
      </x:c>
      <x:c r="I1678" s="7" t="n">
        <x:v>3</x:v>
      </x:c>
      <x:c r="J1678" s="7" t="n">
        <x:v>0.97</x:v>
      </x:c>
      <x:c r="K1678" s="8" t="n">
        <x:v>150</x:v>
      </x:c>
      <x:c r="L1678" s="8" t="n">
        <x:v>8646</x:v>
      </x:c>
      <x:c r="M1678" s="9" t="n">
        <x:v>0.670283105</x:v>
      </x:c>
      <x:c r="N1678" s="10" t="n">
        <x:v>41065.7955123757</x:v>
      </x:c>
      <x:c r="O1678" s="9" t="n">
        <x:v>-0.0565508586</x:v>
      </x:c>
      <x:c r="P1678" s="9" t="n">
        <x:v>0.6609616952</x:v>
      </x:c>
      <x:c r="Q1678" s="9" t="n">
        <x:v>0.0782396088</x:v>
      </x:c>
      <x:c r="R1678" s="3" t="b">
        <x:v>0</x:v>
      </x:c>
      <x:c r="S1678" s="3" t="b">
        <x:v>1</x:v>
      </x:c>
      <x:c r="T1678" s="3" t="b">
        <x:v>0</x:v>
      </x:c>
      <x:c r="U1678" s="2" t="str">
        <x:f>IF(T1678=TRUE,"Priority review",IF(R1678=TRUE,"High cost",IF(S1678=TRUE,"Low quality","Benchmark")))</x:f>
        <x:v>Low quality</x:v>
      </x:c>
    </x:row>
    <x:row r="1679">
      <x:c r="A1679" s="2" t="str">
        <x:v>490063</x:v>
      </x:c>
      <x:c r="B1679" s="2" t="str">
        <x:v>INOVA FAIRFAX HOSPITAL</x:v>
      </x:c>
      <x:c r="C1679" s="2" t="str">
        <x:v>FALLS CHURCH</x:v>
      </x:c>
      <x:c r="D1679" s="2" t="str">
        <x:v>VA</x:v>
      </x:c>
      <x:c r="E1679" s="2" t="str">
        <x:v>Acute Care Hospitals</x:v>
      </x:c>
      <x:c r="F1679" s="2" t="str">
        <x:v>Voluntary non-profit</x:v>
      </x:c>
      <x:c r="G1679" s="2" t="str">
        <x:v>Large (300+ beds)</x:v>
      </x:c>
      <x:c r="H1679" s="7" t="n">
        <x:v>5</x:v>
      </x:c>
      <x:c r="I1679" s="7" t="n">
        <x:v>4</x:v>
      </x:c>
      <x:c r="J1679" s="7" t="n">
        <x:v>0.98</x:v>
      </x:c>
      <x:c r="K1679" s="8" t="n">
        <x:v>922</x:v>
      </x:c>
      <x:c r="L1679" s="8" t="n">
        <x:v>51243</x:v>
      </x:c>
      <x:c r="M1679" s="9" t="n">
        <x:v>0.9041878549</x:v>
      </x:c>
      <x:c r="N1679" s="10" t="n">
        <x:v>47259.1367015983</x:v>
      </x:c>
      <x:c r="O1679" s="9" t="n">
        <x:v>0.2154364502</x:v>
      </x:c>
      <x:c r="P1679" s="9" t="n">
        <x:v>0.6608832808</x:v>
      </x:c>
      <x:c r="Q1679" s="9" t="n">
        <x:v>0.8722397476</x:v>
      </x:c>
      <x:c r="R1679" s="3" t="b">
        <x:v>0</x:v>
      </x:c>
      <x:c r="S1679" s="3" t="b">
        <x:v>0</x:v>
      </x:c>
      <x:c r="T1679" s="3" t="b">
        <x:v>0</x:v>
      </x:c>
      <x:c r="U1679" s="2" t="str">
        <x:f>IF(T1679=TRUE,"Priority review",IF(R1679=TRUE,"High cost",IF(S1679=TRUE,"Low quality","Benchmark")))</x:f>
        <x:v>Benchmark</x:v>
      </x:c>
    </x:row>
    <x:row r="1680">
      <x:c r="A1680" s="2" t="str">
        <x:v>450834</x:v>
      </x:c>
      <x:c r="B1680" s="2" t="str">
        <x:v>PHYSICIANS CENTRE,THE</x:v>
      </x:c>
      <x:c r="C1680" s="2" t="str">
        <x:v>BRYAN</x:v>
      </x:c>
      <x:c r="D1680" s="2" t="str">
        <x:v>TX</x:v>
      </x:c>
      <x:c r="E1680" s="2" t="str">
        <x:v>Acute Care Hospitals</x:v>
      </x:c>
      <x:c r="F1680" s="2" t="str">
        <x:v>Proprietary</x:v>
      </x:c>
      <x:c r="G1680" s="2" t="str">
        <x:v>Small (&lt;100 beds)</x:v>
      </x:c>
      <x:c r="H1680" s="7"/>
      <x:c r="I1680" s="7" t="n">
        <x:v>5</x:v>
      </x:c>
      <x:c r="J1680" s="7" t="n">
        <x:v>0.92</x:v>
      </x:c>
      <x:c r="K1680" s="8" t="n">
        <x:v>16</x:v>
      </x:c>
      <x:c r="L1680" s="8" t="n">
        <x:v>448</x:v>
      </x:c>
      <x:c r="M1680" s="9" t="n">
        <x:v>0.1422472678</x:v>
      </x:c>
      <x:c r="N1680" s="10" t="n">
        <x:v>70092.03125</x:v>
      </x:c>
      <x:c r="O1680" s="9" t="n">
        <x:v>0.147451802</x:v>
      </x:c>
      <x:c r="P1680" s="9" t="n">
        <x:v>0.6606822262</x:v>
      </x:c>
      <x:c r="Q1680" s="9" t="n">
        <x:v>0.697486535</x:v>
      </x:c>
      <x:c r="R1680" s="3" t="b">
        <x:v>0</x:v>
      </x:c>
      <x:c r="S1680" s="3" t="b">
        <x:v>0</x:v>
      </x:c>
      <x:c r="T1680" s="3" t="b">
        <x:v>0</x:v>
      </x:c>
      <x:c r="U1680" s="2" t="str">
        <x:f>IF(T1680=TRUE,"Priority review",IF(R1680=TRUE,"High cost",IF(S1680=TRUE,"Low quality","Benchmark")))</x:f>
        <x:v>Benchmark</x:v>
      </x:c>
    </x:row>
    <x:row r="1681">
      <x:c r="A1681" s="2" t="str">
        <x:v>021301</x:v>
      </x:c>
      <x:c r="B1681" s="2" t="str">
        <x:v>PROVIDENCE VALDEZ MEDICAL CENTER</x:v>
      </x:c>
      <x:c r="C1681" s="2" t="str">
        <x:v>VALDEZ</x:v>
      </x:c>
      <x:c r="D1681" s="2" t="str">
        <x:v>AK</x:v>
      </x:c>
      <x:c r="E1681" s="2" t="str">
        <x:v>Critical Access Hospitals</x:v>
      </x:c>
      <x:c r="F1681" s="2" t="str">
        <x:v>Government</x:v>
      </x:c>
      <x:c r="G1681" s="2" t="str">
        <x:v>Small (&lt;100 beds)</x:v>
      </x:c>
      <x:c r="H1681" s="7"/>
      <x:c r="I1681" s="7"/>
      <x:c r="J1681" s="7"/>
      <x:c r="K1681" s="8" t="n">
        <x:v>11</x:v>
      </x:c>
      <x:c r="L1681" s="8" t="n">
        <x:v>112</x:v>
      </x:c>
      <x:c r="M1681" s="9" t="n">
        <x:v>0.1775956284</x:v>
      </x:c>
      <x:c r="N1681" s="10" t="n">
        <x:v>176228.8928571429</x:v>
      </x:c>
      <x:c r="O1681" s="9" t="n">
        <x:v>0.1408342237</x:v>
      </x:c>
      <x:c r="P1681" s="9" t="n">
        <x:v>0.6602230483</x:v>
      </x:c>
      <x:c r="Q1681" s="9" t="n">
        <x:v>0.292936803</x:v>
      </x:c>
      <x:c r="R1681" s="3" t="b">
        <x:v>0</x:v>
      </x:c>
      <x:c r="S1681" s="3" t="b">
        <x:v>0</x:v>
      </x:c>
      <x:c r="T1681" s="3" t="b">
        <x:v>0</x:v>
      </x:c>
      <x:c r="U1681" s="2" t="str">
        <x:f>IF(T1681=TRUE,"Priority review",IF(R1681=TRUE,"High cost",IF(S1681=TRUE,"Low quality","Benchmark")))</x:f>
        <x:v>Benchmark</x:v>
      </x:c>
    </x:row>
    <x:row r="1682">
      <x:c r="A1682" s="2" t="str">
        <x:v>224018</x:v>
      </x:c>
      <x:c r="B1682" s="2" t="str">
        <x:v>ARBOUR HUMAN RESOURCE INSTITUTE</x:v>
      </x:c>
      <x:c r="C1682" s="2" t="str">
        <x:v>BROOKLINE</x:v>
      </x:c>
      <x:c r="D1682" s="2" t="str">
        <x:v>MA</x:v>
      </x:c>
      <x:c r="E1682" s="2" t="str">
        <x:v>Psychiatric</x:v>
      </x:c>
      <x:c r="F1682" s="2" t="str">
        <x:v>Proprietary</x:v>
      </x:c>
      <x:c r="G1682" s="2" t="str">
        <x:v>Small (&lt;100 beds)</x:v>
      </x:c>
      <x:c r="H1682" s="7"/>
      <x:c r="I1682" s="7"/>
      <x:c r="J1682" s="7"/>
      <x:c r="K1682" s="8" t="n">
        <x:v>66</x:v>
      </x:c>
      <x:c r="L1682" s="8" t="n">
        <x:v>1348</x:v>
      </x:c>
      <x:c r="M1682" s="9" t="n">
        <x:v>0.9870839543</x:v>
      </x:c>
      <x:c r="N1682" s="10" t="n">
        <x:v>19654.1743323442</x:v>
      </x:c>
      <x:c r="O1682" s="9" t="n">
        <x:v>0.2833209319</x:v>
      </x:c>
      <x:c r="P1682" s="9" t="n">
        <x:v>0.6601941748</x:v>
      </x:c>
      <x:c r="Q1682" s="9" t="n">
        <x:v>0</x:v>
      </x:c>
      <x:c r="R1682" s="3" t="b">
        <x:v>0</x:v>
      </x:c>
      <x:c r="S1682" s="3" t="b">
        <x:v>0</x:v>
      </x:c>
      <x:c r="T1682" s="3" t="b">
        <x:v>0</x:v>
      </x:c>
      <x:c r="U1682" s="2" t="str">
        <x:f>IF(T1682=TRUE,"Priority review",IF(R1682=TRUE,"High cost",IF(S1682=TRUE,"Low quality","Benchmark")))</x:f>
        <x:v>Benchmark</x:v>
      </x:c>
    </x:row>
    <x:row r="1683">
      <x:c r="A1683" s="2" t="str">
        <x:v>210037</x:v>
      </x:c>
      <x:c r="B1683" s="2" t="str">
        <x:v>UNIVERSITY OF MD SHORE MEDICAL CENTER AT EASTON</x:v>
      </x:c>
      <x:c r="C1683" s="2" t="str">
        <x:v>EASTON</x:v>
      </x:c>
      <x:c r="D1683" s="2" t="str">
        <x:v>MD</x:v>
      </x:c>
      <x:c r="E1683" s="2" t="str">
        <x:v>Acute Care Hospitals</x:v>
      </x:c>
      <x:c r="F1683" s="2" t="str">
        <x:v>Voluntary non-profit</x:v>
      </x:c>
      <x:c r="G1683" s="2" t="str">
        <x:v>Medium (100-299 beds)</x:v>
      </x:c>
      <x:c r="H1683" s="7" t="n">
        <x:v>4</x:v>
      </x:c>
      <x:c r="I1683" s="7" t="n">
        <x:v>2</x:v>
      </x:c>
      <x:c r="J1683" s="7"/>
      <x:c r="K1683" s="8" t="n">
        <x:v>115</x:v>
      </x:c>
      <x:c r="L1683" s="8" t="n">
        <x:v>6978</x:v>
      </x:c>
      <x:c r="M1683" s="9" t="n">
        <x:v>0.9268612269</x:v>
      </x:c>
      <x:c r="N1683" s="10" t="n">
        <x:v>41056.2113786185</x:v>
      </x:c>
      <x:c r="O1683" s="9" t="n">
        <x:v>0.0649042372</x:v>
      </x:c>
      <x:c r="P1683" s="9" t="n">
        <x:v>0.6601466993</x:v>
      </x:c>
      <x:c r="Q1683" s="9" t="n">
        <x:v>0.6022819886</x:v>
      </x:c>
      <x:c r="R1683" s="3" t="b">
        <x:v>0</x:v>
      </x:c>
      <x:c r="S1683" s="3" t="b">
        <x:v>0</x:v>
      </x:c>
      <x:c r="T1683" s="3" t="b">
        <x:v>0</x:v>
      </x:c>
      <x:c r="U1683" s="2" t="str">
        <x:f>IF(T1683=TRUE,"Priority review",IF(R1683=TRUE,"High cost",IF(S1683=TRUE,"Low quality","Benchmark")))</x:f>
        <x:v>Benchmark</x:v>
      </x:c>
    </x:row>
    <x:row r="1684">
      <x:c r="A1684" s="2" t="str">
        <x:v>520107</x:v>
      </x:c>
      <x:c r="B1684" s="2" t="str">
        <x:v>HOLY FAMILY MEMORIAL</x:v>
      </x:c>
      <x:c r="C1684" s="2" t="str">
        <x:v>MANITOWOC</x:v>
      </x:c>
      <x:c r="D1684" s="2" t="str">
        <x:v>WI</x:v>
      </x:c>
      <x:c r="E1684" s="2" t="str">
        <x:v>Acute Care Hospitals</x:v>
      </x:c>
      <x:c r="F1684" s="2" t="str">
        <x:v>Voluntary non-profit</x:v>
      </x:c>
      <x:c r="G1684" s="2" t="str">
        <x:v>Small (&lt;100 beds)</x:v>
      </x:c>
      <x:c r="H1684" s="7" t="n">
        <x:v>3</x:v>
      </x:c>
      <x:c r="I1684" s="7" t="n">
        <x:v>4</x:v>
      </x:c>
      <x:c r="J1684" s="7" t="n">
        <x:v>0.88</x:v>
      </x:c>
      <x:c r="K1684" s="8" t="n">
        <x:v>45</x:v>
      </x:c>
      <x:c r="L1684" s="8" t="n">
        <x:v>1637</x:v>
      </x:c>
      <x:c r="M1684" s="9" t="n">
        <x:v>0.3937899543</x:v>
      </x:c>
      <x:c r="N1684" s="10" t="n">
        <x:v>69860.4202810018</x:v>
      </x:c>
      <x:c r="O1684" s="9" t="n">
        <x:v>-0.413371557</x:v>
      </x:c>
      <x:c r="P1684" s="9" t="n">
        <x:v>0.6597845601</x:v>
      </x:c>
      <x:c r="Q1684" s="9" t="n">
        <x:v>0.1687612208</x:v>
      </x:c>
      <x:c r="R1684" s="3" t="b">
        <x:v>0</x:v>
      </x:c>
      <x:c r="S1684" s="3" t="b">
        <x:v>0</x:v>
      </x:c>
      <x:c r="T1684" s="3" t="b">
        <x:v>0</x:v>
      </x:c>
      <x:c r="U1684" s="2" t="str">
        <x:f>IF(T1684=TRUE,"Priority review",IF(R1684=TRUE,"High cost",IF(S1684=TRUE,"Low quality","Benchmark")))</x:f>
        <x:v>Benchmark</x:v>
      </x:c>
    </x:row>
    <x:row r="1685">
      <x:c r="A1685" s="2" t="str">
        <x:v>241349</x:v>
      </x:c>
      <x:c r="B1685" s="2" t="str">
        <x:v>CENTRACARE - PAYNESVILLE HOSPITAL</x:v>
      </x:c>
      <x:c r="C1685" s="2" t="str">
        <x:v>PAYNESVILLE</x:v>
      </x:c>
      <x:c r="D1685" s="2" t="str">
        <x:v>MN</x:v>
      </x:c>
      <x:c r="E1685" s="2" t="str">
        <x:v>Critical Access Hospitals</x:v>
      </x:c>
      <x:c r="F1685" s="2" t="str">
        <x:v>Voluntary non-profit</x:v>
      </x:c>
      <x:c r="G1685" s="2" t="str">
        <x:v>Small (&lt;100 beds)</x:v>
      </x:c>
      <x:c r="H1685" s="7"/>
      <x:c r="I1685" s="7"/>
      <x:c r="J1685" s="7"/>
      <x:c r="K1685" s="8" t="n">
        <x:v>15</x:v>
      </x:c>
      <x:c r="L1685" s="8" t="n">
        <x:v>261</x:v>
      </x:c>
      <x:c r="M1685" s="9" t="n">
        <x:v>0.4193607306</x:v>
      </x:c>
      <x:c r="N1685" s="10" t="n">
        <x:v>175796.7432950191</x:v>
      </x:c>
      <x:c r="O1685" s="9" t="n">
        <x:v>0.0332876162</x:v>
      </x:c>
      <x:c r="P1685" s="9" t="n">
        <x:v>0.6594795539</x:v>
      </x:c>
      <x:c r="Q1685" s="9" t="n">
        <x:v>0.292936803</x:v>
      </x:c>
      <x:c r="R1685" s="3" t="b">
        <x:v>0</x:v>
      </x:c>
      <x:c r="S1685" s="3" t="b">
        <x:v>0</x:v>
      </x:c>
      <x:c r="T1685" s="3" t="b">
        <x:v>0</x:v>
      </x:c>
      <x:c r="U1685" s="2" t="str">
        <x:f>IF(T1685=TRUE,"Priority review",IF(R1685=TRUE,"High cost",IF(S1685=TRUE,"Low quality","Benchmark")))</x:f>
        <x:v>Benchmark</x:v>
      </x:c>
    </x:row>
    <x:row r="1686">
      <x:c r="A1686" s="2" t="str">
        <x:v>330107</x:v>
      </x:c>
      <x:c r="B1686" s="2" t="str">
        <x:v>PECONIC BAY MEDICAL CENTER</x:v>
      </x:c>
      <x:c r="C1686" s="2" t="str">
        <x:v>RIVERHEAD</x:v>
      </x:c>
      <x:c r="D1686" s="2" t="str">
        <x:v>NY</x:v>
      </x:c>
      <x:c r="E1686" s="2" t="str">
        <x:v>Acute Care Hospitals</x:v>
      </x:c>
      <x:c r="F1686" s="2" t="str">
        <x:v>Voluntary non-profit</x:v>
      </x:c>
      <x:c r="G1686" s="2" t="str">
        <x:v>Medium (100-299 beds)</x:v>
      </x:c>
      <x:c r="H1686" s="7" t="n">
        <x:v>2</x:v>
      </x:c>
      <x:c r="I1686" s="7" t="n">
        <x:v>3</x:v>
      </x:c>
      <x:c r="J1686" s="7" t="n">
        <x:v>1</x:v>
      </x:c>
      <x:c r="K1686" s="8" t="n">
        <x:v>130</x:v>
      </x:c>
      <x:c r="L1686" s="8" t="n">
        <x:v>10447</x:v>
      </x:c>
      <x:c r="M1686" s="9" t="n">
        <x:v>0.9765237495</x:v>
      </x:c>
      <x:c r="N1686" s="10" t="n">
        <x:v>41041.738680961</x:v>
      </x:c>
      <x:c r="O1686" s="9" t="n">
        <x:v>-0.3676365376</x:v>
      </x:c>
      <x:c r="P1686" s="9" t="n">
        <x:v>0.6593317033</x:v>
      </x:c>
      <x:c r="Q1686" s="9" t="n">
        <x:v>0.0782396088</x:v>
      </x:c>
      <x:c r="R1686" s="3" t="b">
        <x:v>0</x:v>
      </x:c>
      <x:c r="S1686" s="3" t="b">
        <x:v>1</x:v>
      </x:c>
      <x:c r="T1686" s="3" t="b">
        <x:v>0</x:v>
      </x:c>
      <x:c r="U1686" s="2" t="str">
        <x:f>IF(T1686=TRUE,"Priority review",IF(R1686=TRUE,"High cost",IF(S1686=TRUE,"Low quality","Benchmark")))</x:f>
        <x:v>Low quality</x:v>
      </x:c>
    </x:row>
    <x:row r="1687">
      <x:c r="A1687" s="2" t="str">
        <x:v>510055</x:v>
      </x:c>
      <x:c r="B1687" s="2" t="str">
        <x:v>CABELL HUNTINGTON HOSPITAL, INC</x:v>
      </x:c>
      <x:c r="C1687" s="2" t="str">
        <x:v>HUNTINGTON</x:v>
      </x:c>
      <x:c r="D1687" s="2" t="str">
        <x:v>WV</x:v>
      </x:c>
      <x:c r="E1687" s="2" t="str">
        <x:v>Acute Care Hospitals</x:v>
      </x:c>
      <x:c r="F1687" s="2" t="str">
        <x:v>Voluntary non-profit</x:v>
      </x:c>
      <x:c r="G1687" s="2" t="str">
        <x:v>Large (300+ beds)</x:v>
      </x:c>
      <x:c r="H1687" s="7" t="n">
        <x:v>3</x:v>
      </x:c>
      <x:c r="I1687" s="7" t="n">
        <x:v>3</x:v>
      </x:c>
      <x:c r="J1687" s="7" t="n">
        <x:v>1.08</x:v>
      </x:c>
      <x:c r="K1687" s="8" t="n">
        <x:v>335</x:v>
      </x:c>
      <x:c r="L1687" s="8" t="n">
        <x:v>16119</x:v>
      </x:c>
      <x:c r="M1687" s="9" t="n">
        <x:v>0.736823261</x:v>
      </x:c>
      <x:c r="N1687" s="10" t="n">
        <x:v>47150.6124449408</x:v>
      </x:c>
      <x:c r="O1687" s="9" t="n">
        <x:v>-0.064115699</x:v>
      </x:c>
      <x:c r="P1687" s="9" t="n">
        <x:v>0.6593059937</x:v>
      </x:c>
      <x:c r="Q1687" s="9" t="n">
        <x:v>0.2570977918</x:v>
      </x:c>
      <x:c r="R1687" s="3" t="b">
        <x:v>0</x:v>
      </x:c>
      <x:c r="S1687" s="3" t="b">
        <x:v>0</x:v>
      </x:c>
      <x:c r="T1687" s="3" t="b">
        <x:v>0</x:v>
      </x:c>
      <x:c r="U1687" s="2" t="str">
        <x:f>IF(T1687=TRUE,"Priority review",IF(R1687=TRUE,"High cost",IF(S1687=TRUE,"Low quality","Benchmark")))</x:f>
        <x:v>Benchmark</x:v>
      </x:c>
    </x:row>
    <x:row r="1688">
      <x:c r="A1688" s="2" t="str">
        <x:v>190151</x:v>
      </x:c>
      <x:c r="B1688" s="2" t="str">
        <x:v>RICHARDSON MEDICAL CENTER</x:v>
      </x:c>
      <x:c r="C1688" s="2" t="str">
        <x:v>RAYVILLE</x:v>
      </x:c>
      <x:c r="D1688" s="2" t="str">
        <x:v>LA</x:v>
      </x:c>
      <x:c r="E1688" s="2" t="str">
        <x:v>Acute Care Hospitals</x:v>
      </x:c>
      <x:c r="F1688" s="2" t="str">
        <x:v>Government</x:v>
      </x:c>
      <x:c r="G1688" s="2" t="str">
        <x:v>Small (&lt;100 beds)</x:v>
      </x:c>
      <x:c r="H1688" s="7"/>
      <x:c r="I1688" s="7"/>
      <x:c r="J1688" s="7" t="n">
        <x:v>1.11</x:v>
      </x:c>
      <x:c r="K1688" s="8" t="n">
        <x:v>38</x:v>
      </x:c>
      <x:c r="L1688" s="8" t="n">
        <x:v>395</x:v>
      </x:c>
      <x:c r="M1688" s="9" t="n">
        <x:v>0.1481161921</x:v>
      </x:c>
      <x:c r="N1688" s="10" t="n">
        <x:v>69839.6202531646</x:v>
      </x:c>
      <x:c r="O1688" s="9" t="n">
        <x:v>-0.1240448788</x:v>
      </x:c>
      <x:c r="P1688" s="9" t="n">
        <x:v>0.6588868941</x:v>
      </x:c>
      <x:c r="Q1688" s="9" t="n">
        <x:v>0.697486535</x:v>
      </x:c>
      <x:c r="R1688" s="3" t="b">
        <x:v>0</x:v>
      </x:c>
      <x:c r="S1688" s="3" t="b">
        <x:v>0</x:v>
      </x:c>
      <x:c r="T1688" s="3" t="b">
        <x:v>0</x:v>
      </x:c>
      <x:c r="U1688" s="2" t="str">
        <x:f>IF(T1688=TRUE,"Priority review",IF(R1688=TRUE,"High cost",IF(S1688=TRUE,"Low quality","Benchmark")))</x:f>
        <x:v>Benchmark</x:v>
      </x:c>
    </x:row>
    <x:row r="1689">
      <x:c r="A1689" s="2" t="str">
        <x:v>191326</x:v>
      </x:c>
      <x:c r="B1689" s="2" t="str">
        <x:v>REEVES MEMORIAL MEDICAL CENTER</x:v>
      </x:c>
      <x:c r="C1689" s="2" t="str">
        <x:v>BERNICE</x:v>
      </x:c>
      <x:c r="D1689" s="2" t="str">
        <x:v>LA</x:v>
      </x:c>
      <x:c r="E1689" s="2" t="str">
        <x:v>Critical Access Hospitals</x:v>
      </x:c>
      <x:c r="F1689" s="2" t="str">
        <x:v>Government</x:v>
      </x:c>
      <x:c r="G1689" s="2" t="str">
        <x:v>Small (&lt;100 beds)</x:v>
      </x:c>
      <x:c r="H1689" s="7"/>
      <x:c r="I1689" s="7"/>
      <x:c r="J1689" s="7"/>
      <x:c r="K1689" s="8" t="n">
        <x:v>15</x:v>
      </x:c>
      <x:c r="L1689" s="8" t="n">
        <x:v>101</x:v>
      </x:c>
      <x:c r="M1689" s="9" t="n">
        <x:v>0.3865209472</x:v>
      </x:c>
      <x:c r="N1689" s="10" t="n">
        <x:v>175721.099009901</x:v>
      </x:c>
      <x:c r="O1689" s="9" t="n">
        <x:v>-0.0575991829</x:v>
      </x:c>
      <x:c r="P1689" s="9" t="n">
        <x:v>0.6587360595</x:v>
      </x:c>
      <x:c r="Q1689" s="9" t="n">
        <x:v>0.292936803</x:v>
      </x:c>
      <x:c r="R1689" s="3" t="b">
        <x:v>0</x:v>
      </x:c>
      <x:c r="S1689" s="3" t="b">
        <x:v>0</x:v>
      </x:c>
      <x:c r="T1689" s="3" t="b">
        <x:v>0</x:v>
      </x:c>
      <x:c r="U1689" s="2" t="str">
        <x:f>IF(T1689=TRUE,"Priority review",IF(R1689=TRUE,"High cost",IF(S1689=TRUE,"Low quality","Benchmark")))</x:f>
        <x:v>Benchmark</x:v>
      </x:c>
    </x:row>
    <x:row r="1690">
      <x:c r="A1690" s="2" t="str">
        <x:v>360125</x:v>
      </x:c>
      <x:c r="B1690" s="2" t="str">
        <x:v>ASHTABULA COUNTY MEDICAL CENTER</x:v>
      </x:c>
      <x:c r="C1690" s="2" t="str">
        <x:v>ASHTABULA</x:v>
      </x:c>
      <x:c r="D1690" s="2" t="str">
        <x:v>OH</x:v>
      </x:c>
      <x:c r="E1690" s="2" t="str">
        <x:v>Acute Care Hospitals</x:v>
      </x:c>
      <x:c r="F1690" s="2" t="str">
        <x:v>Voluntary non-profit</x:v>
      </x:c>
      <x:c r="G1690" s="2" t="str">
        <x:v>Medium (100-299 beds)</x:v>
      </x:c>
      <x:c r="H1690" s="7" t="n">
        <x:v>3</x:v>
      </x:c>
      <x:c r="I1690" s="7" t="n">
        <x:v>4</x:v>
      </x:c>
      <x:c r="J1690" s="7" t="n">
        <x:v>1.05</x:v>
      </x:c>
      <x:c r="K1690" s="8" t="n">
        <x:v>105</x:v>
      </x:c>
      <x:c r="L1690" s="8" t="n">
        <x:v>4330</x:v>
      </x:c>
      <x:c r="M1690" s="9" t="n">
        <x:v>0.4696330991</x:v>
      </x:c>
      <x:c r="N1690" s="10" t="n">
        <x:v>41031.5378752887</x:v>
      </x:c>
      <x:c r="O1690" s="9" t="n">
        <x:v>-0.1429349283</x:v>
      </x:c>
      <x:c r="P1690" s="9" t="n">
        <x:v>0.6585167074</x:v>
      </x:c>
      <x:c r="Q1690" s="9" t="n">
        <x:v>0.3023634882</x:v>
      </x:c>
      <x:c r="R1690" s="3" t="b">
        <x:v>0</x:v>
      </x:c>
      <x:c r="S1690" s="3" t="b">
        <x:v>0</x:v>
      </x:c>
      <x:c r="T1690" s="3" t="b">
        <x:v>0</x:v>
      </x:c>
      <x:c r="U1690" s="2" t="str">
        <x:f>IF(T1690=TRUE,"Priority review",IF(R1690=TRUE,"High cost",IF(S1690=TRUE,"Low quality","Benchmark")))</x:f>
        <x:v>Benchmark</x:v>
      </x:c>
    </x:row>
    <x:row r="1691">
      <x:c r="A1691" s="2" t="str">
        <x:v>171348</x:v>
      </x:c>
      <x:c r="B1691" s="2" t="str">
        <x:v>NORTON COUNTY HOSPITAL</x:v>
      </x:c>
      <x:c r="C1691" s="2" t="str">
        <x:v>NORTON</x:v>
      </x:c>
      <x:c r="D1691" s="2" t="str">
        <x:v>KS</x:v>
      </x:c>
      <x:c r="E1691" s="2" t="str">
        <x:v>Critical Access Hospitals</x:v>
      </x:c>
      <x:c r="F1691" s="2" t="str">
        <x:v>Government</x:v>
      </x:c>
      <x:c r="G1691" s="2" t="str">
        <x:v>Small (&lt;100 beds)</x:v>
      </x:c>
      <x:c r="H1691" s="7"/>
      <x:c r="I1691" s="7"/>
      <x:c r="J1691" s="7"/>
      <x:c r="K1691" s="8" t="n">
        <x:v>25</x:v>
      </x:c>
      <x:c r="L1691" s="8" t="n">
        <x:v>114</x:v>
      </x:c>
      <x:c r="M1691" s="9" t="n">
        <x:v>0.1243835616</x:v>
      </x:c>
      <x:c r="N1691" s="10" t="n">
        <x:v>175549.0263157895</x:v>
      </x:c>
      <x:c r="O1691" s="9" t="n">
        <x:v>-0.3594561276</x:v>
      </x:c>
      <x:c r="P1691" s="9" t="n">
        <x:v>0.6579925651</x:v>
      </x:c>
      <x:c r="Q1691" s="9" t="n">
        <x:v>0.292936803</x:v>
      </x:c>
      <x:c r="R1691" s="3" t="b">
        <x:v>0</x:v>
      </x:c>
      <x:c r="S1691" s="3" t="b">
        <x:v>0</x:v>
      </x:c>
      <x:c r="T1691" s="3" t="b">
        <x:v>0</x:v>
      </x:c>
      <x:c r="U1691" s="2" t="str">
        <x:f>IF(T1691=TRUE,"Priority review",IF(R1691=TRUE,"High cost",IF(S1691=TRUE,"Low quality","Benchmark")))</x:f>
        <x:v>Benchmark</x:v>
      </x:c>
    </x:row>
    <x:row r="1692">
      <x:c r="A1692" s="2" t="str">
        <x:v>460054</x:v>
      </x:c>
      <x:c r="B1692" s="2" t="str">
        <x:v>CACHE VALLEY HOSPITAL</x:v>
      </x:c>
      <x:c r="C1692" s="2" t="str">
        <x:v>NORTH LOGAN</x:v>
      </x:c>
      <x:c r="D1692" s="2" t="str">
        <x:v>UT</x:v>
      </x:c>
      <x:c r="E1692" s="2" t="str">
        <x:v>Acute Care Hospitals</x:v>
      </x:c>
      <x:c r="F1692" s="2" t="str">
        <x:v>Proprietary</x:v>
      </x:c>
      <x:c r="G1692" s="2" t="str">
        <x:v>Small (&lt;100 beds)</x:v>
      </x:c>
      <x:c r="H1692" s="7"/>
      <x:c r="I1692" s="7" t="n">
        <x:v>4</x:v>
      </x:c>
      <x:c r="J1692" s="7" t="n">
        <x:v>1.02</x:v>
      </x:c>
      <x:c r="K1692" s="8" t="n">
        <x:v>28</x:v>
      </x:c>
      <x:c r="L1692" s="8" t="n">
        <x:v>635</x:v>
      </x:c>
      <x:c r="M1692" s="9" t="n">
        <x:v>0.1577299413</x:v>
      </x:c>
      <x:c r="N1692" s="10" t="n">
        <x:v>69752.3543307087</x:v>
      </x:c>
      <x:c r="O1692" s="9" t="n">
        <x:v>-0.160511025</x:v>
      </x:c>
      <x:c r="P1692" s="9" t="n">
        <x:v>0.657989228</x:v>
      </x:c>
      <x:c r="Q1692" s="9" t="n">
        <x:v>0.697486535</x:v>
      </x:c>
      <x:c r="R1692" s="3" t="b">
        <x:v>0</x:v>
      </x:c>
      <x:c r="S1692" s="3" t="b">
        <x:v>0</x:v>
      </x:c>
      <x:c r="T1692" s="3" t="b">
        <x:v>0</x:v>
      </x:c>
      <x:c r="U1692" s="2" t="str">
        <x:f>IF(T1692=TRUE,"Priority review",IF(R1692=TRUE,"High cost",IF(S1692=TRUE,"Low quality","Benchmark")))</x:f>
        <x:v>Benchmark</x:v>
      </x:c>
    </x:row>
    <x:row r="1693">
      <x:c r="A1693" s="2" t="str">
        <x:v>390050</x:v>
      </x:c>
      <x:c r="B1693" s="2" t="str">
        <x:v>ALLEGHENY GENERAL HOSPITAL</x:v>
      </x:c>
      <x:c r="C1693" s="2" t="str">
        <x:v>PITTSBURGH</x:v>
      </x:c>
      <x:c r="D1693" s="2" t="str">
        <x:v>PA</x:v>
      </x:c>
      <x:c r="E1693" s="2" t="str">
        <x:v>Acute Care Hospitals</x:v>
      </x:c>
      <x:c r="F1693" s="2" t="str">
        <x:v>Voluntary non-profit</x:v>
      </x:c>
      <x:c r="G1693" s="2" t="str">
        <x:v>Large (300+ beds)</x:v>
      </x:c>
      <x:c r="H1693" s="7" t="n">
        <x:v>3</x:v>
      </x:c>
      <x:c r="I1693" s="7" t="n">
        <x:v>3</x:v>
      </x:c>
      <x:c r="J1693" s="7" t="n">
        <x:v>1.05</x:v>
      </x:c>
      <x:c r="K1693" s="8" t="n">
        <x:v>508</x:v>
      </x:c>
      <x:c r="L1693" s="8" t="n">
        <x:v>21588</x:v>
      </x:c>
      <x:c r="M1693" s="9" t="n">
        <x:v>0.731350484</x:v>
      </x:c>
      <x:c r="N1693" s="10" t="n">
        <x:v>46976.6777839541</x:v>
      </x:c>
      <x:c r="O1693" s="9" t="n">
        <x:v>0.0320225969</x:v>
      </x:c>
      <x:c r="P1693" s="9" t="n">
        <x:v>0.6577287066</x:v>
      </x:c>
      <x:c r="Q1693" s="9" t="n">
        <x:v>0.2570977918</x:v>
      </x:c>
      <x:c r="R1693" s="3" t="b">
        <x:v>0</x:v>
      </x:c>
      <x:c r="S1693" s="3" t="b">
        <x:v>0</x:v>
      </x:c>
      <x:c r="T1693" s="3" t="b">
        <x:v>0</x:v>
      </x:c>
      <x:c r="U1693" s="2" t="str">
        <x:f>IF(T1693=TRUE,"Priority review",IF(R1693=TRUE,"High cost",IF(S1693=TRUE,"Low quality","Benchmark")))</x:f>
        <x:v>Benchmark</x:v>
      </x:c>
    </x:row>
    <x:row r="1694">
      <x:c r="A1694" s="2" t="str">
        <x:v>330188</x:v>
      </x:c>
      <x:c r="B1694" s="2" t="str">
        <x:v>MOUNT ST. MARY'S HOSPITAL &amp; HEALTH CENTER</x:v>
      </x:c>
      <x:c r="C1694" s="2" t="str">
        <x:v>LEWISTON</x:v>
      </x:c>
      <x:c r="D1694" s="2" t="str">
        <x:v>NY</x:v>
      </x:c>
      <x:c r="E1694" s="2" t="str">
        <x:v>Acute Care Hospitals</x:v>
      </x:c>
      <x:c r="F1694" s="2" t="str">
        <x:v>Voluntary non-profit</x:v>
      </x:c>
      <x:c r="G1694" s="2" t="str">
        <x:v>Medium (100-299 beds)</x:v>
      </x:c>
      <x:c r="H1694" s="7" t="n">
        <x:v>2</x:v>
      </x:c>
      <x:c r="I1694" s="7" t="n">
        <x:v>3</x:v>
      </x:c>
      <x:c r="J1694" s="7" t="n">
        <x:v>0.97</x:v>
      </x:c>
      <x:c r="K1694" s="8" t="n">
        <x:v>175</x:v>
      </x:c>
      <x:c r="L1694" s="8" t="n">
        <x:v>3316</x:v>
      </x:c>
      <x:c r="M1694" s="9" t="n">
        <x:v>0.4416528176</x:v>
      </x:c>
      <x:c r="N1694" s="10" t="n">
        <x:v>40902.8431845597</x:v>
      </x:c>
      <x:c r="O1694" s="9" t="n">
        <x:v>-0.1399618193</x:v>
      </x:c>
      <x:c r="P1694" s="9" t="n">
        <x:v>0.6577017115</x:v>
      </x:c>
      <x:c r="Q1694" s="9" t="n">
        <x:v>0.0782396088</x:v>
      </x:c>
      <x:c r="R1694" s="3" t="b">
        <x:v>0</x:v>
      </x:c>
      <x:c r="S1694" s="3" t="b">
        <x:v>1</x:v>
      </x:c>
      <x:c r="T1694" s="3" t="b">
        <x:v>0</x:v>
      </x:c>
      <x:c r="U1694" s="2" t="str">
        <x:f>IF(T1694=TRUE,"Priority review",IF(R1694=TRUE,"High cost",IF(S1694=TRUE,"Low quality","Benchmark")))</x:f>
        <x:v>Low quality</x:v>
      </x:c>
    </x:row>
    <x:row r="1695">
      <x:c r="A1695" s="2" t="str">
        <x:v>141334</x:v>
      </x:c>
      <x:c r="B1695" s="2" t="str">
        <x:v>ST JOSEPH MEMORIAL HOSPITAL</x:v>
      </x:c>
      <x:c r="C1695" s="2" t="str">
        <x:v>MURPHYSBORO</x:v>
      </x:c>
      <x:c r="D1695" s="2" t="str">
        <x:v>IL</x:v>
      </x:c>
      <x:c r="E1695" s="2" t="str">
        <x:v>Critical Access Hospitals</x:v>
      </x:c>
      <x:c r="F1695" s="2" t="str">
        <x:v>Voluntary non-profit</x:v>
      </x:c>
      <x:c r="G1695" s="2" t="str">
        <x:v>Small (&lt;100 beds)</x:v>
      </x:c>
      <x:c r="H1695" s="7"/>
      <x:c r="I1695" s="7" t="n">
        <x:v>4</x:v>
      </x:c>
      <x:c r="J1695" s="7"/>
      <x:c r="K1695" s="8" t="n">
        <x:v>25</x:v>
      </x:c>
      <x:c r="L1695" s="8" t="n">
        <x:v>320</x:v>
      </x:c>
      <x:c r="M1695" s="9" t="n">
        <x:v>0.5558356164</x:v>
      </x:c>
      <x:c r="N1695" s="10" t="n">
        <x:v>175130.13125</x:v>
      </x:c>
      <x:c r="O1695" s="9" t="n">
        <x:v>0.3738284964</x:v>
      </x:c>
      <x:c r="P1695" s="9" t="n">
        <x:v>0.6572490706</x:v>
      </x:c>
      <x:c r="Q1695" s="9" t="n">
        <x:v>0.292936803</x:v>
      </x:c>
      <x:c r="R1695" s="3" t="b">
        <x:v>0</x:v>
      </x:c>
      <x:c r="S1695" s="3" t="b">
        <x:v>0</x:v>
      </x:c>
      <x:c r="T1695" s="3" t="b">
        <x:v>0</x:v>
      </x:c>
      <x:c r="U1695" s="2" t="str">
        <x:f>IF(T1695=TRUE,"Priority review",IF(R1695=TRUE,"High cost",IF(S1695=TRUE,"Low quality","Benchmark")))</x:f>
        <x:v>Benchmark</x:v>
      </x:c>
    </x:row>
    <x:row r="1696">
      <x:c r="A1696" s="2" t="str">
        <x:v>470011</x:v>
      </x:c>
      <x:c r="B1696" s="2" t="str">
        <x:v>BRATTLEBORO MEMORIAL HOSPITAL</x:v>
      </x:c>
      <x:c r="C1696" s="2" t="str">
        <x:v>BRATTLEBORO</x:v>
      </x:c>
      <x:c r="D1696" s="2" t="str">
        <x:v>VT</x:v>
      </x:c>
      <x:c r="E1696" s="2" t="str">
        <x:v>Acute Care Hospitals</x:v>
      </x:c>
      <x:c r="F1696" s="2" t="str">
        <x:v>Voluntary non-profit</x:v>
      </x:c>
      <x:c r="G1696" s="2" t="str">
        <x:v>Small (&lt;100 beds)</x:v>
      </x:c>
      <x:c r="H1696" s="7" t="n">
        <x:v>3</x:v>
      </x:c>
      <x:c r="I1696" s="7" t="n">
        <x:v>3</x:v>
      </x:c>
      <x:c r="J1696" s="7" t="n">
        <x:v>0.97</x:v>
      </x:c>
      <x:c r="K1696" s="8" t="n">
        <x:v>47</x:v>
      </x:c>
      <x:c r="L1696" s="8" t="n">
        <x:v>1725</x:v>
      </x:c>
      <x:c r="M1696" s="9" t="n">
        <x:v>0.340658063</x:v>
      </x:c>
      <x:c r="N1696" s="10" t="n">
        <x:v>69606.0214492754</x:v>
      </x:c>
      <x:c r="O1696" s="9" t="n">
        <x:v>-0.316215408</x:v>
      </x:c>
      <x:c r="P1696" s="9" t="n">
        <x:v>0.6570915619</x:v>
      </x:c>
      <x:c r="Q1696" s="9" t="n">
        <x:v>0.1687612208</x:v>
      </x:c>
      <x:c r="R1696" s="3" t="b">
        <x:v>0</x:v>
      </x:c>
      <x:c r="S1696" s="3" t="b">
        <x:v>0</x:v>
      </x:c>
      <x:c r="T1696" s="3" t="b">
        <x:v>0</x:v>
      </x:c>
      <x:c r="U1696" s="2" t="str">
        <x:f>IF(T1696=TRUE,"Priority review",IF(R1696=TRUE,"High cost",IF(S1696=TRUE,"Low quality","Benchmark")))</x:f>
        <x:v>Benchmark</x:v>
      </x:c>
    </x:row>
    <x:row r="1697">
      <x:c r="A1697" s="2" t="str">
        <x:v>194121</x:v>
      </x:c>
      <x:c r="B1697" s="2" t="str">
        <x:v>FREEDOM BEHAVIORAL HOSPITAL OF LEESVILLE</x:v>
      </x:c>
      <x:c r="C1697" s="2" t="str">
        <x:v>LEESVILLE</x:v>
      </x:c>
      <x:c r="D1697" s="2" t="str">
        <x:v>LA</x:v>
      </x:c>
      <x:c r="E1697" s="2" t="str">
        <x:v>Psychiatric</x:v>
      </x:c>
      <x:c r="F1697" s="2" t="str">
        <x:v>Proprietary</x:v>
      </x:c>
      <x:c r="G1697" s="2" t="str">
        <x:v>Small (&lt;100 beds)</x:v>
      </x:c>
      <x:c r="H1697" s="7"/>
      <x:c r="I1697" s="7"/>
      <x:c r="J1697" s="7"/>
      <x:c r="K1697" s="8" t="n">
        <x:v>22</x:v>
      </x:c>
      <x:c r="L1697" s="8" t="n">
        <x:v>148</x:v>
      </x:c>
      <x:c r="M1697" s="9" t="n">
        <x:v>0.2775372775</x:v>
      </x:c>
      <x:c r="N1697" s="10" t="n">
        <x:v>19320.1824324324</x:v>
      </x:c>
      <x:c r="O1697" s="9" t="n">
        <x:v>-0.7438997689</x:v>
      </x:c>
      <x:c r="P1697" s="9" t="n">
        <x:v>0.6569579288</x:v>
      </x:c>
      <x:c r="Q1697" s="9" t="n">
        <x:v>0</x:v>
      </x:c>
      <x:c r="R1697" s="3" t="b">
        <x:v>0</x:v>
      </x:c>
      <x:c r="S1697" s="3" t="b">
        <x:v>0</x:v>
      </x:c>
      <x:c r="T1697" s="3" t="b">
        <x:v>0</x:v>
      </x:c>
      <x:c r="U1697" s="2" t="str">
        <x:f>IF(T1697=TRUE,"Priority review",IF(R1697=TRUE,"High cost",IF(S1697=TRUE,"Low quality","Benchmark")))</x:f>
        <x:v>Benchmark</x:v>
      </x:c>
    </x:row>
    <x:row r="1698">
      <x:c r="A1698" s="2" t="str">
        <x:v>520160</x:v>
      </x:c>
      <x:c r="B1698" s="2" t="str">
        <x:v>THEDACARE REGIONAL MEDICAL CENTER - APPLETON INC</x:v>
      </x:c>
      <x:c r="C1698" s="2" t="str">
        <x:v>APPLETON</x:v>
      </x:c>
      <x:c r="D1698" s="2" t="str">
        <x:v>WI</x:v>
      </x:c>
      <x:c r="E1698" s="2" t="str">
        <x:v>Acute Care Hospitals</x:v>
      </x:c>
      <x:c r="F1698" s="2" t="str">
        <x:v>Voluntary non-profit</x:v>
      </x:c>
      <x:c r="G1698" s="2" t="str">
        <x:v>Medium (100-299 beds)</x:v>
      </x:c>
      <x:c r="H1698" s="7" t="n">
        <x:v>4</x:v>
      </x:c>
      <x:c r="I1698" s="7" t="n">
        <x:v>4</x:v>
      </x:c>
      <x:c r="J1698" s="7" t="n">
        <x:v>0.92</x:v>
      </x:c>
      <x:c r="K1698" s="8" t="n">
        <x:v>146</x:v>
      </x:c>
      <x:c r="L1698" s="8" t="n">
        <x:v>10466</x:v>
      </x:c>
      <x:c r="M1698" s="9" t="n">
        <x:v>0.6513604804</x:v>
      </x:c>
      <x:c r="N1698" s="10" t="n">
        <x:v>40843.0730938276</x:v>
      </x:c>
      <x:c r="O1698" s="9" t="n">
        <x:v>0.1264404841</x:v>
      </x:c>
      <x:c r="P1698" s="9" t="n">
        <x:v>0.6568867156</x:v>
      </x:c>
      <x:c r="Q1698" s="9" t="n">
        <x:v>0.6022819886</x:v>
      </x:c>
      <x:c r="R1698" s="3" t="b">
        <x:v>0</x:v>
      </x:c>
      <x:c r="S1698" s="3" t="b">
        <x:v>0</x:v>
      </x:c>
      <x:c r="T1698" s="3" t="b">
        <x:v>0</x:v>
      </x:c>
      <x:c r="U1698" s="2" t="str">
        <x:f>IF(T1698=TRUE,"Priority review",IF(R1698=TRUE,"High cost",IF(S1698=TRUE,"Low quality","Benchmark")))</x:f>
        <x:v>Benchmark</x:v>
      </x:c>
    </x:row>
    <x:row r="1699">
      <x:c r="A1699" s="2" t="str">
        <x:v>034013</x:v>
      </x:c>
      <x:c r="B1699" s="2" t="str">
        <x:v>COLLEGE MEDICAL CENTER PHOENIX</x:v>
      </x:c>
      <x:c r="C1699" s="2" t="str">
        <x:v>PHOENIX</x:v>
      </x:c>
      <x:c r="D1699" s="2" t="str">
        <x:v>AZ</x:v>
      </x:c>
      <x:c r="E1699" s="2" t="str">
        <x:v>Psychiatric</x:v>
      </x:c>
      <x:c r="F1699" s="2" t="str">
        <x:v>Proprietary</x:v>
      </x:c>
      <x:c r="G1699" s="2" t="str">
        <x:v>Medium (100-299 beds)</x:v>
      </x:c>
      <x:c r="H1699" s="7"/>
      <x:c r="I1699" s="7" t="n">
        <x:v>4</x:v>
      </x:c>
      <x:c r="J1699" s="7"/>
      <x:c r="K1699" s="8" t="n">
        <x:v>127</x:v>
      </x:c>
      <x:c r="L1699" s="8" t="n">
        <x:v>702</x:v>
      </x:c>
      <x:c r="M1699" s="9" t="n">
        <x:v>0.2700349956</x:v>
      </x:c>
      <x:c r="N1699" s="10" t="n">
        <x:v>18291.9601139601</x:v>
      </x:c>
      <x:c r="O1699" s="9" t="n">
        <x:v>-3.8563405509</x:v>
      </x:c>
      <x:c r="P1699" s="9" t="n">
        <x:v>0.6567164179</x:v>
      </x:c>
      <x:c r="Q1699" s="9" t="n">
        <x:v>0</x:v>
      </x:c>
      <x:c r="R1699" s="3" t="b">
        <x:v>0</x:v>
      </x:c>
      <x:c r="S1699" s="3" t="b">
        <x:v>0</x:v>
      </x:c>
      <x:c r="T1699" s="3" t="b">
        <x:v>0</x:v>
      </x:c>
      <x:c r="U1699" s="2" t="str">
        <x:f>IF(T1699=TRUE,"Priority review",IF(R1699=TRUE,"High cost",IF(S1699=TRUE,"Low quality","Benchmark")))</x:f>
        <x:v>Benchmark</x:v>
      </x:c>
    </x:row>
    <x:row r="1700">
      <x:c r="A1700" s="2" t="str">
        <x:v>451389</x:v>
      </x:c>
      <x:c r="B1700" s="2" t="str">
        <x:v>PECOS COUNTY MEMORIAL HOSPITAL</x:v>
      </x:c>
      <x:c r="C1700" s="2" t="str">
        <x:v>FORT STOCKTON</x:v>
      </x:c>
      <x:c r="D1700" s="2" t="str">
        <x:v>TX</x:v>
      </x:c>
      <x:c r="E1700" s="2" t="str">
        <x:v>Critical Access Hospitals</x:v>
      </x:c>
      <x:c r="F1700" s="2" t="str">
        <x:v>Government</x:v>
      </x:c>
      <x:c r="G1700" s="2" t="str">
        <x:v>Small (&lt;100 beds)</x:v>
      </x:c>
      <x:c r="H1700" s="7"/>
      <x:c r="I1700" s="7"/>
      <x:c r="J1700" s="7"/>
      <x:c r="K1700" s="8" t="n">
        <x:v>25</x:v>
      </x:c>
      <x:c r="L1700" s="8" t="n">
        <x:v>208</x:v>
      </x:c>
      <x:c r="M1700" s="9" t="n">
        <x:v>0.1536612022</x:v>
      </x:c>
      <x:c r="N1700" s="10" t="n">
        <x:v>175063.3701923077</x:v>
      </x:c>
      <x:c r="O1700" s="9" t="n">
        <x:v>-0.6822565253</x:v>
      </x:c>
      <x:c r="P1700" s="9" t="n">
        <x:v>0.6565055762</x:v>
      </x:c>
      <x:c r="Q1700" s="9" t="n">
        <x:v>0.292936803</x:v>
      </x:c>
      <x:c r="R1700" s="3" t="b">
        <x:v>0</x:v>
      </x:c>
      <x:c r="S1700" s="3" t="b">
        <x:v>0</x:v>
      </x:c>
      <x:c r="T1700" s="3" t="b">
        <x:v>0</x:v>
      </x:c>
      <x:c r="U1700" s="2" t="str">
        <x:f>IF(T1700=TRUE,"Priority review",IF(R1700=TRUE,"High cost",IF(S1700=TRUE,"Low quality","Benchmark")))</x:f>
        <x:v>Benchmark</x:v>
      </x:c>
    </x:row>
    <x:row r="1701">
      <x:c r="A1701" s="2" t="str">
        <x:v>670059</x:v>
      </x:c>
      <x:c r="B1701" s="2" t="str">
        <x:v>CHI ST LUKES LAKESIDE HOSPITAL</x:v>
      </x:c>
      <x:c r="C1701" s="2" t="str">
        <x:v>THE WOODLANDS</x:v>
      </x:c>
      <x:c r="D1701" s="2" t="str">
        <x:v>TX</x:v>
      </x:c>
      <x:c r="E1701" s="2" t="str">
        <x:v>Acute Care Hospitals</x:v>
      </x:c>
      <x:c r="F1701" s="2" t="str">
        <x:v>Voluntary non-profit</x:v>
      </x:c>
      <x:c r="G1701" s="2" t="str">
        <x:v>Small (&lt;100 beds)</x:v>
      </x:c>
      <x:c r="H1701" s="7"/>
      <x:c r="I1701" s="7" t="n">
        <x:v>4</x:v>
      </x:c>
      <x:c r="J1701" s="7" t="n">
        <x:v>1.18</x:v>
      </x:c>
      <x:c r="K1701" s="8" t="n">
        <x:v>30</x:v>
      </x:c>
      <x:c r="L1701" s="8" t="n">
        <x:v>567</x:v>
      </x:c>
      <x:c r="M1701" s="9" t="n">
        <x:v>0.14</x:v>
      </x:c>
      <x:c r="N1701" s="10" t="n">
        <x:v>69427.9841269841</x:v>
      </x:c>
      <x:c r="O1701" s="9" t="n">
        <x:v>0.1750496879</x:v>
      </x:c>
      <x:c r="P1701" s="9" t="n">
        <x:v>0.6561938959</x:v>
      </x:c>
      <x:c r="Q1701" s="9" t="n">
        <x:v>0.697486535</x:v>
      </x:c>
      <x:c r="R1701" s="3" t="b">
        <x:v>0</x:v>
      </x:c>
      <x:c r="S1701" s="3" t="b">
        <x:v>0</x:v>
      </x:c>
      <x:c r="T1701" s="3" t="b">
        <x:v>0</x:v>
      </x:c>
      <x:c r="U1701" s="2" t="str">
        <x:f>IF(T1701=TRUE,"Priority review",IF(R1701=TRUE,"High cost",IF(S1701=TRUE,"Low quality","Benchmark")))</x:f>
        <x:v>Benchmark</x:v>
      </x:c>
    </x:row>
    <x:row r="1702">
      <x:c r="A1702" s="2" t="str">
        <x:v>260179</x:v>
      </x:c>
      <x:c r="B1702" s="2" t="str">
        <x:v>ST LUKES HOSPITAL</x:v>
      </x:c>
      <x:c r="C1702" s="2" t="str">
        <x:v>CHESTERFIELD</x:v>
      </x:c>
      <x:c r="D1702" s="2" t="str">
        <x:v>MO</x:v>
      </x:c>
      <x:c r="E1702" s="2" t="str">
        <x:v>Acute Care Hospitals</x:v>
      </x:c>
      <x:c r="F1702" s="2" t="str">
        <x:v>Voluntary non-profit</x:v>
      </x:c>
      <x:c r="G1702" s="2" t="str">
        <x:v>Large (300+ beds)</x:v>
      </x:c>
      <x:c r="H1702" s="7" t="n">
        <x:v>4</x:v>
      </x:c>
      <x:c r="I1702" s="7" t="n">
        <x:v>4</x:v>
      </x:c>
      <x:c r="J1702" s="7" t="n">
        <x:v>1.01</x:v>
      </x:c>
      <x:c r="K1702" s="8" t="n">
        <x:v>390</x:v>
      </x:c>
      <x:c r="L1702" s="8" t="n">
        <x:v>13151</x:v>
      </x:c>
      <x:c r="M1702" s="9" t="n">
        <x:v>0.4657885494</x:v>
      </x:c>
      <x:c r="N1702" s="10" t="n">
        <x:v>46872.5928826705</x:v>
      </x:c>
      <x:c r="O1702" s="9" t="n">
        <x:v>-0.0749015968</x:v>
      </x:c>
      <x:c r="P1702" s="9" t="n">
        <x:v>0.6561514196</x:v>
      </x:c>
      <x:c r="Q1702" s="9" t="n">
        <x:v>0.5899053628</x:v>
      </x:c>
      <x:c r="R1702" s="3" t="b">
        <x:v>0</x:v>
      </x:c>
      <x:c r="S1702" s="3" t="b">
        <x:v>0</x:v>
      </x:c>
      <x:c r="T1702" s="3" t="b">
        <x:v>0</x:v>
      </x:c>
      <x:c r="U1702" s="2" t="str">
        <x:f>IF(T1702=TRUE,"Priority review",IF(R1702=TRUE,"High cost",IF(S1702=TRUE,"Low quality","Benchmark")))</x:f>
        <x:v>Benchmark</x:v>
      </x:c>
    </x:row>
    <x:row r="1703">
      <x:c r="A1703" s="2" t="str">
        <x:v>050740</x:v>
      </x:c>
      <x:c r="B1703" s="2" t="str">
        <x:v>CEDAR-SINAI MARINA DEL REY HOSPITAL</x:v>
      </x:c>
      <x:c r="C1703" s="2" t="str">
        <x:v>MARINA DEL REY</x:v>
      </x:c>
      <x:c r="D1703" s="2" t="str">
        <x:v>CA</x:v>
      </x:c>
      <x:c r="E1703" s="2" t="str">
        <x:v>Acute Care Hospitals</x:v>
      </x:c>
      <x:c r="F1703" s="2" t="str">
        <x:v>Proprietary</x:v>
      </x:c>
      <x:c r="G1703" s="2" t="str">
        <x:v>Medium (100-299 beds)</x:v>
      </x:c>
      <x:c r="H1703" s="7" t="n">
        <x:v>4</x:v>
      </x:c>
      <x:c r="I1703" s="7" t="n">
        <x:v>2</x:v>
      </x:c>
      <x:c r="J1703" s="7" t="n">
        <x:v>1.04</x:v>
      </x:c>
      <x:c r="K1703" s="8" t="n">
        <x:v>103</x:v>
      </x:c>
      <x:c r="L1703" s="8" t="n">
        <x:v>4489</x:v>
      </x:c>
      <x:c r="M1703" s="9" t="n">
        <x:v>0.5142439154</x:v>
      </x:c>
      <x:c r="N1703" s="10" t="n">
        <x:v>40814.3426152818</x:v>
      </x:c>
      <x:c r="O1703" s="9" t="n">
        <x:v>-0.1040165575</x:v>
      </x:c>
      <x:c r="P1703" s="9" t="n">
        <x:v>0.6560717196</x:v>
      </x:c>
      <x:c r="Q1703" s="9" t="n">
        <x:v>0.6022819886</x:v>
      </x:c>
      <x:c r="R1703" s="3" t="b">
        <x:v>0</x:v>
      </x:c>
      <x:c r="S1703" s="3" t="b">
        <x:v>0</x:v>
      </x:c>
      <x:c r="T1703" s="3" t="b">
        <x:v>0</x:v>
      </x:c>
      <x:c r="U1703" s="2" t="str">
        <x:f>IF(T1703=TRUE,"Priority review",IF(R1703=TRUE,"High cost",IF(S1703=TRUE,"Low quality","Benchmark")))</x:f>
        <x:v>Benchmark</x:v>
      </x:c>
    </x:row>
    <x:row r="1704">
      <x:c r="A1704" s="2" t="str">
        <x:v>171346</x:v>
      </x:c>
      <x:c r="B1704" s="2" t="str">
        <x:v>HOSPITAL DISTRICT #6 PATTERSON HEALTH CENTER</x:v>
      </x:c>
      <x:c r="C1704" s="2" t="str">
        <x:v>ANTHONY</x:v>
      </x:c>
      <x:c r="D1704" s="2" t="str">
        <x:v>KS</x:v>
      </x:c>
      <x:c r="E1704" s="2" t="str">
        <x:v>Critical Access Hospitals</x:v>
      </x:c>
      <x:c r="F1704" s="2" t="str">
        <x:v>Government</x:v>
      </x:c>
      <x:c r="G1704" s="2" t="str">
        <x:v>Small (&lt;100 beds)</x:v>
      </x:c>
      <x:c r="H1704" s="7"/>
      <x:c r="I1704" s="7"/>
      <x:c r="J1704" s="7"/>
      <x:c r="K1704" s="8" t="n">
        <x:v>25</x:v>
      </x:c>
      <x:c r="L1704" s="8" t="n">
        <x:v>147</x:v>
      </x:c>
      <x:c r="M1704" s="9" t="n">
        <x:v>0.1508196721</x:v>
      </x:c>
      <x:c r="N1704" s="10" t="n">
        <x:v>174307.5442176871</x:v>
      </x:c>
      <x:c r="O1704" s="9" t="n">
        <x:v>-0.500908721</x:v>
      </x:c>
      <x:c r="P1704" s="9" t="n">
        <x:v>0.6557620818</x:v>
      </x:c>
      <x:c r="Q1704" s="9" t="n">
        <x:v>0.292936803</x:v>
      </x:c>
      <x:c r="R1704" s="3" t="b">
        <x:v>0</x:v>
      </x:c>
      <x:c r="S1704" s="3" t="b">
        <x:v>0</x:v>
      </x:c>
      <x:c r="T1704" s="3" t="b">
        <x:v>0</x:v>
      </x:c>
      <x:c r="U1704" s="2" t="str">
        <x:f>IF(T1704=TRUE,"Priority review",IF(R1704=TRUE,"High cost",IF(S1704=TRUE,"Low quality","Benchmark")))</x:f>
        <x:v>Benchmark</x:v>
      </x:c>
    </x:row>
    <x:row r="1705">
      <x:c r="A1705" s="2" t="str">
        <x:v>190267</x:v>
      </x:c>
      <x:c r="B1705" s="2" t="str">
        <x:v>AVALA</x:v>
      </x:c>
      <x:c r="C1705" s="2" t="str">
        <x:v>COVINGTON</x:v>
      </x:c>
      <x:c r="D1705" s="2" t="str">
        <x:v>LA</x:v>
      </x:c>
      <x:c r="E1705" s="2" t="str">
        <x:v>Acute Care Hospitals</x:v>
      </x:c>
      <x:c r="F1705" s="2" t="str">
        <x:v>Other / unknown</x:v>
      </x:c>
      <x:c r="G1705" s="2" t="str">
        <x:v>Small (&lt;100 beds)</x:v>
      </x:c>
      <x:c r="H1705" s="7"/>
      <x:c r="I1705" s="7" t="n">
        <x:v>5</x:v>
      </x:c>
      <x:c r="J1705" s="7" t="n">
        <x:v>0.96</x:v>
      </x:c>
      <x:c r="K1705" s="8" t="n">
        <x:v>21</x:v>
      </x:c>
      <x:c r="L1705" s="8" t="n">
        <x:v>869</x:v>
      </x:c>
      <x:c r="M1705" s="9" t="n">
        <x:v>0.2149362477</x:v>
      </x:c>
      <x:c r="N1705" s="10" t="n">
        <x:v>69266.086306099</x:v>
      </x:c>
      <x:c r="O1705" s="9" t="n">
        <x:v>0.1065690113</x:v>
      </x:c>
      <x:c r="P1705" s="9" t="n">
        <x:v>0.6552962298</x:v>
      </x:c>
      <x:c r="Q1705" s="9" t="n">
        <x:v>0.697486535</x:v>
      </x:c>
      <x:c r="R1705" s="3" t="b">
        <x:v>0</x:v>
      </x:c>
      <x:c r="S1705" s="3" t="b">
        <x:v>0</x:v>
      </x:c>
      <x:c r="T1705" s="3" t="b">
        <x:v>0</x:v>
      </x:c>
      <x:c r="U1705" s="2" t="str">
        <x:f>IF(T1705=TRUE,"Priority review",IF(R1705=TRUE,"High cost",IF(S1705=TRUE,"Low quality","Benchmark")))</x:f>
        <x:v>Benchmark</x:v>
      </x:c>
    </x:row>
    <x:row r="1706">
      <x:c r="A1706" s="2" t="str">
        <x:v>330103</x:v>
      </x:c>
      <x:c r="B1706" s="2" t="str">
        <x:v>OLEAN GENERAL HOSPITAL</x:v>
      </x:c>
      <x:c r="C1706" s="2" t="str">
        <x:v>OLEAN</x:v>
      </x:c>
      <x:c r="D1706" s="2" t="str">
        <x:v>NY</x:v>
      </x:c>
      <x:c r="E1706" s="2" t="str">
        <x:v>Acute Care Hospitals</x:v>
      </x:c>
      <x:c r="F1706" s="2" t="str">
        <x:v>Proprietary</x:v>
      </x:c>
      <x:c r="G1706" s="2" t="str">
        <x:v>Medium (100-299 beds)</x:v>
      </x:c>
      <x:c r="H1706" s="7" t="n">
        <x:v>1</x:v>
      </x:c>
      <x:c r="I1706" s="7" t="n">
        <x:v>2</x:v>
      </x:c>
      <x:c r="J1706" s="7" t="n">
        <x:v>0.94</x:v>
      </x:c>
      <x:c r="K1706" s="8" t="n">
        <x:v>202</x:v>
      </x:c>
      <x:c r="L1706" s="8" t="n">
        <x:v>5573</x:v>
      </x:c>
      <x:c r="M1706" s="9" t="n">
        <x:v>0.5805389509</x:v>
      </x:c>
      <x:c r="N1706" s="10" t="n">
        <x:v>40810.7419702135</x:v>
      </x:c>
      <x:c r="O1706" s="9" t="n">
        <x:v>-0.1379057534</x:v>
      </x:c>
      <x:c r="P1706" s="9" t="n">
        <x:v>0.6552567237</x:v>
      </x:c>
      <x:c r="Q1706" s="9" t="n">
        <x:v>0</x:v>
      </x:c>
      <x:c r="R1706" s="3" t="b">
        <x:v>0</x:v>
      </x:c>
      <x:c r="S1706" s="3" t="b">
        <x:v>1</x:v>
      </x:c>
      <x:c r="T1706" s="3" t="b">
        <x:v>0</x:v>
      </x:c>
      <x:c r="U1706" s="2" t="str">
        <x:f>IF(T1706=TRUE,"Priority review",IF(R1706=TRUE,"High cost",IF(S1706=TRUE,"Low quality","Benchmark")))</x:f>
        <x:v>Low quality</x:v>
      </x:c>
    </x:row>
    <x:row r="1707">
      <x:c r="A1707" s="2" t="str">
        <x:v>171358</x:v>
      </x:c>
      <x:c r="B1707" s="2" t="str">
        <x:v>LINDSBORG COMMUNITY HOSPITAL</x:v>
      </x:c>
      <x:c r="C1707" s="2" t="str">
        <x:v>LINDSBORG</x:v>
      </x:c>
      <x:c r="D1707" s="2" t="str">
        <x:v>KS</x:v>
      </x:c>
      <x:c r="E1707" s="2" t="str">
        <x:v>Critical Access Hospitals</x:v>
      </x:c>
      <x:c r="F1707" s="2" t="str">
        <x:v>Voluntary non-profit</x:v>
      </x:c>
      <x:c r="G1707" s="2" t="str">
        <x:v>Small (&lt;100 beds)</x:v>
      </x:c>
      <x:c r="H1707" s="7"/>
      <x:c r="I1707" s="7"/>
      <x:c r="J1707" s="7"/>
      <x:c r="K1707" s="8" t="n">
        <x:v>14</x:v>
      </x:c>
      <x:c r="L1707" s="8" t="n">
        <x:v>100</x:v>
      </x:c>
      <x:c r="M1707" s="9" t="n">
        <x:v>0.3225995316</x:v>
      </x:c>
      <x:c r="N1707" s="10" t="n">
        <x:v>174244.38</x:v>
      </x:c>
      <x:c r="O1707" s="9" t="n">
        <x:v>-0.26986153</x:v>
      </x:c>
      <x:c r="P1707" s="9" t="n">
        <x:v>0.6550185874</x:v>
      </x:c>
      <x:c r="Q1707" s="9" t="n">
        <x:v>0.292936803</x:v>
      </x:c>
      <x:c r="R1707" s="3" t="b">
        <x:v>0</x:v>
      </x:c>
      <x:c r="S1707" s="3" t="b">
        <x:v>0</x:v>
      </x:c>
      <x:c r="T1707" s="3" t="b">
        <x:v>0</x:v>
      </x:c>
      <x:c r="U1707" s="2" t="str">
        <x:f>IF(T1707=TRUE,"Priority review",IF(R1707=TRUE,"High cost",IF(S1707=TRUE,"Low quality","Benchmark")))</x:f>
        <x:v>Benchmark</x:v>
      </x:c>
    </x:row>
    <x:row r="1708">
      <x:c r="A1708" s="2" t="str">
        <x:v>190176</x:v>
      </x:c>
      <x:c r="B1708" s="2" t="str">
        <x:v>EAST JEFFERSON GENERAL HOSPITAL</x:v>
      </x:c>
      <x:c r="C1708" s="2" t="str">
        <x:v>METAIRIE</x:v>
      </x:c>
      <x:c r="D1708" s="2" t="str">
        <x:v>LA</x:v>
      </x:c>
      <x:c r="E1708" s="2" t="str">
        <x:v>Acute Care Hospitals</x:v>
      </x:c>
      <x:c r="F1708" s="2" t="str">
        <x:v>Voluntary non-profit</x:v>
      </x:c>
      <x:c r="G1708" s="2" t="str">
        <x:v>Large (300+ beds)</x:v>
      </x:c>
      <x:c r="H1708" s="7" t="n">
        <x:v>2</x:v>
      </x:c>
      <x:c r="I1708" s="7" t="n">
        <x:v>4</x:v>
      </x:c>
      <x:c r="J1708" s="7" t="n">
        <x:v>1.06</x:v>
      </x:c>
      <x:c r="K1708" s="8" t="n">
        <x:v>516</x:v>
      </x:c>
      <x:c r="L1708" s="8" t="n">
        <x:v>23278</x:v>
      </x:c>
      <x:c r="M1708" s="9" t="n">
        <x:v>0.6304087937</x:v>
      </x:c>
      <x:c r="N1708" s="10" t="n">
        <x:v>46780.7475728155</x:v>
      </x:c>
      <x:c r="O1708" s="9" t="n">
        <x:v>-0.1188115616</x:v>
      </x:c>
      <x:c r="P1708" s="9" t="n">
        <x:v>0.6545741325</x:v>
      </x:c>
      <x:c r="Q1708" s="9" t="n">
        <x:v>0.0536277603</x:v>
      </x:c>
      <x:c r="R1708" s="3" t="b">
        <x:v>0</x:v>
      </x:c>
      <x:c r="S1708" s="3" t="b">
        <x:v>1</x:v>
      </x:c>
      <x:c r="T1708" s="3" t="b">
        <x:v>0</x:v>
      </x:c>
      <x:c r="U1708" s="2" t="str">
        <x:f>IF(T1708=TRUE,"Priority review",IF(R1708=TRUE,"High cost",IF(S1708=TRUE,"Low quality","Benchmark")))</x:f>
        <x:v>Low quality</x:v>
      </x:c>
    </x:row>
    <x:row r="1709">
      <x:c r="A1709" s="2" t="str">
        <x:v>340068</x:v>
      </x:c>
      <x:c r="B1709" s="2" t="str">
        <x:v>COLUMBUS REGIONAL HEALTHCARE SYSTEM</x:v>
      </x:c>
      <x:c r="C1709" s="2" t="str">
        <x:v>WHITEVILLE</x:v>
      </x:c>
      <x:c r="D1709" s="2" t="str">
        <x:v>NC</x:v>
      </x:c>
      <x:c r="E1709" s="2" t="str">
        <x:v>Acute Care Hospitals</x:v>
      </x:c>
      <x:c r="F1709" s="2" t="str">
        <x:v>Voluntary non-profit</x:v>
      </x:c>
      <x:c r="G1709" s="2" t="str">
        <x:v>Medium (100-299 beds)</x:v>
      </x:c>
      <x:c r="H1709" s="7" t="n">
        <x:v>1</x:v>
      </x:c>
      <x:c r="I1709" s="7" t="n">
        <x:v>2</x:v>
      </x:c>
      <x:c r="J1709" s="7" t="n">
        <x:v>1.01</x:v>
      </x:c>
      <x:c r="K1709" s="8" t="n">
        <x:v>154</x:v>
      </x:c>
      <x:c r="L1709" s="8" t="n">
        <x:v>3044</x:v>
      </x:c>
      <x:c r="M1709" s="9" t="n">
        <x:v>0.2890674899</x:v>
      </x:c>
      <x:c r="N1709" s="10" t="n">
        <x:v>40787.2201051248</x:v>
      </x:c>
      <x:c r="O1709" s="9" t="n">
        <x:v>0.0956709594</x:v>
      </x:c>
      <x:c r="P1709" s="9" t="n">
        <x:v>0.6544417278</x:v>
      </x:c>
      <x:c r="Q1709" s="9" t="n">
        <x:v>0</x:v>
      </x:c>
      <x:c r="R1709" s="3" t="b">
        <x:v>0</x:v>
      </x:c>
      <x:c r="S1709" s="3" t="b">
        <x:v>1</x:v>
      </x:c>
      <x:c r="T1709" s="3" t="b">
        <x:v>0</x:v>
      </x:c>
      <x:c r="U1709" s="2" t="str">
        <x:f>IF(T1709=TRUE,"Priority review",IF(R1709=TRUE,"High cost",IF(S1709=TRUE,"Low quality","Benchmark")))</x:f>
        <x:v>Low quality</x:v>
      </x:c>
    </x:row>
    <x:row r="1710">
      <x:c r="A1710" s="2" t="str">
        <x:v>190133</x:v>
      </x:c>
      <x:c r="B1710" s="2" t="str">
        <x:v>ALLEN PARISH HOSPITAL</x:v>
      </x:c>
      <x:c r="C1710" s="2" t="str">
        <x:v>KINDER</x:v>
      </x:c>
      <x:c r="D1710" s="2" t="str">
        <x:v>LA</x:v>
      </x:c>
      <x:c r="E1710" s="2" t="str">
        <x:v>Acute Care Hospitals</x:v>
      </x:c>
      <x:c r="F1710" s="2" t="str">
        <x:v>Government</x:v>
      </x:c>
      <x:c r="G1710" s="2" t="str">
        <x:v>Small (&lt;100 beds)</x:v>
      </x:c>
      <x:c r="H1710" s="7"/>
      <x:c r="I1710" s="7"/>
      <x:c r="J1710" s="7" t="n">
        <x:v>1.03</x:v>
      </x:c>
      <x:c r="K1710" s="8" t="n">
        <x:v>25</x:v>
      </x:c>
      <x:c r="L1710" s="8" t="n">
        <x:v>411</x:v>
      </x:c>
      <x:c r="M1710" s="9" t="n">
        <x:v>0.2243287671</x:v>
      </x:c>
      <x:c r="N1710" s="10" t="n">
        <x:v>69221.900243309</x:v>
      </x:c>
      <x:c r="O1710" s="9" t="n">
        <x:v>-0.5824804686</x:v>
      </x:c>
      <x:c r="P1710" s="9" t="n">
        <x:v>0.6543985637</x:v>
      </x:c>
      <x:c r="Q1710" s="9" t="n">
        <x:v>0.697486535</x:v>
      </x:c>
      <x:c r="R1710" s="3" t="b">
        <x:v>0</x:v>
      </x:c>
      <x:c r="S1710" s="3" t="b">
        <x:v>0</x:v>
      </x:c>
      <x:c r="T1710" s="3" t="b">
        <x:v>0</x:v>
      </x:c>
      <x:c r="U1710" s="2" t="str">
        <x:f>IF(T1710=TRUE,"Priority review",IF(R1710=TRUE,"High cost",IF(S1710=TRUE,"Low quality","Benchmark")))</x:f>
        <x:v>Benchmark</x:v>
      </x:c>
    </x:row>
    <x:row r="1711">
      <x:c r="A1711" s="2" t="str">
        <x:v>281300</x:v>
      </x:c>
      <x:c r="B1711" s="2" t="str">
        <x:v>HARLAN COUNTY HEALTH SYSTEM</x:v>
      </x:c>
      <x:c r="C1711" s="2" t="str">
        <x:v>ALMA</x:v>
      </x:c>
      <x:c r="D1711" s="2" t="str">
        <x:v>NE</x:v>
      </x:c>
      <x:c r="E1711" s="2" t="str">
        <x:v>Critical Access Hospitals</x:v>
      </x:c>
      <x:c r="F1711" s="2" t="str">
        <x:v>Government</x:v>
      </x:c>
      <x:c r="G1711" s="2" t="str">
        <x:v>Small (&lt;100 beds)</x:v>
      </x:c>
      <x:c r="H1711" s="7"/>
      <x:c r="I1711" s="7"/>
      <x:c r="J1711" s="7"/>
      <x:c r="K1711" s="8" t="n">
        <x:v>19</x:v>
      </x:c>
      <x:c r="L1711" s="8" t="n">
        <x:v>97</x:v>
      </x:c>
      <x:c r="M1711" s="9" t="n">
        <x:v>0.0907391429</x:v>
      </x:c>
      <x:c r="N1711" s="10" t="n">
        <x:v>174093.4948453608</x:v>
      </x:c>
      <x:c r="O1711" s="9" t="n">
        <x:v>-0.1149517341</x:v>
      </x:c>
      <x:c r="P1711" s="9" t="n">
        <x:v>0.6542750929</x:v>
      </x:c>
      <x:c r="Q1711" s="9" t="n">
        <x:v>0.292936803</x:v>
      </x:c>
      <x:c r="R1711" s="3" t="b">
        <x:v>0</x:v>
      </x:c>
      <x:c r="S1711" s="3" t="b">
        <x:v>0</x:v>
      </x:c>
      <x:c r="T1711" s="3" t="b">
        <x:v>0</x:v>
      </x:c>
      <x:c r="U1711" s="2" t="str">
        <x:f>IF(T1711=TRUE,"Priority review",IF(R1711=TRUE,"High cost",IF(S1711=TRUE,"Low quality","Benchmark")))</x:f>
        <x:v>Benchmark</x:v>
      </x:c>
    </x:row>
    <x:row r="1712">
      <x:c r="A1712" s="2" t="str">
        <x:v>454118</x:v>
      </x:c>
      <x:c r="B1712" s="2" t="str">
        <x:v>LONE STAR BEHAVIORAL HEALTH CYPRESS</x:v>
      </x:c>
      <x:c r="C1712" s="2" t="str">
        <x:v>CYPRESS</x:v>
      </x:c>
      <x:c r="D1712" s="2" t="str">
        <x:v>TX</x:v>
      </x:c>
      <x:c r="E1712" s="2" t="str">
        <x:v>Psychiatric</x:v>
      </x:c>
      <x:c r="F1712" s="2" t="str">
        <x:v>Proprietary</x:v>
      </x:c>
      <x:c r="G1712" s="2" t="str">
        <x:v>Small (&lt;100 beds)</x:v>
      </x:c>
      <x:c r="H1712" s="7"/>
      <x:c r="I1712" s="7"/>
      <x:c r="J1712" s="7"/>
      <x:c r="K1712" s="8" t="n">
        <x:v>24</x:v>
      </x:c>
      <x:c r="L1712" s="8" t="n">
        <x:v>654</x:v>
      </x:c>
      <x:c r="M1712" s="9" t="n">
        <x:v>0.7280282332</x:v>
      </x:c>
      <x:c r="N1712" s="10" t="n">
        <x:v>18821.3134556575</x:v>
      </x:c>
      <x:c r="O1712" s="9" t="n">
        <x:v>0.2234345734</x:v>
      </x:c>
      <x:c r="P1712" s="9" t="n">
        <x:v>0.6537216828</x:v>
      </x:c>
      <x:c r="Q1712" s="9" t="n">
        <x:v>0</x:v>
      </x:c>
      <x:c r="R1712" s="3" t="b">
        <x:v>0</x:v>
      </x:c>
      <x:c r="S1712" s="3" t="b">
        <x:v>0</x:v>
      </x:c>
      <x:c r="T1712" s="3" t="b">
        <x:v>0</x:v>
      </x:c>
      <x:c r="U1712" s="2" t="str">
        <x:f>IF(T1712=TRUE,"Priority review",IF(R1712=TRUE,"High cost",IF(S1712=TRUE,"Low quality","Benchmark")))</x:f>
        <x:v>Benchmark</x:v>
      </x:c>
    </x:row>
    <x:row r="1713">
      <x:c r="A1713" s="2" t="str">
        <x:v>420049</x:v>
      </x:c>
      <x:c r="B1713" s="2" t="str">
        <x:v>CONWAY MEDICAL CENTER</x:v>
      </x:c>
      <x:c r="C1713" s="2" t="str">
        <x:v>CONWAY</x:v>
      </x:c>
      <x:c r="D1713" s="2" t="str">
        <x:v>SC</x:v>
      </x:c>
      <x:c r="E1713" s="2" t="str">
        <x:v>Acute Care Hospitals</x:v>
      </x:c>
      <x:c r="F1713" s="2" t="str">
        <x:v>Voluntary non-profit</x:v>
      </x:c>
      <x:c r="G1713" s="2" t="str">
        <x:v>Medium (100-299 beds)</x:v>
      </x:c>
      <x:c r="H1713" s="7" t="n">
        <x:v>2</x:v>
      </x:c>
      <x:c r="I1713" s="7" t="n">
        <x:v>3</x:v>
      </x:c>
      <x:c r="J1713" s="7" t="n">
        <x:v>1.03</x:v>
      </x:c>
      <x:c r="K1713" s="8" t="n">
        <x:v>171</x:v>
      </x:c>
      <x:c r="L1713" s="8" t="n">
        <x:v>8613</x:v>
      </x:c>
      <x:c r="M1713" s="9" t="n">
        <x:v>0.554932413</x:v>
      </x:c>
      <x:c r="N1713" s="10" t="n">
        <x:v>40783.6433298502</x:v>
      </x:c>
      <x:c r="O1713" s="9" t="n">
        <x:v>-0.2072745604</x:v>
      </x:c>
      <x:c r="P1713" s="9" t="n">
        <x:v>0.6536267319</x:v>
      </x:c>
      <x:c r="Q1713" s="9" t="n">
        <x:v>0.0782396088</x:v>
      </x:c>
      <x:c r="R1713" s="3" t="b">
        <x:v>0</x:v>
      </x:c>
      <x:c r="S1713" s="3" t="b">
        <x:v>1</x:v>
      </x:c>
      <x:c r="T1713" s="3" t="b">
        <x:v>0</x:v>
      </x:c>
      <x:c r="U1713" s="2" t="str">
        <x:f>IF(T1713=TRUE,"Priority review",IF(R1713=TRUE,"High cost",IF(S1713=TRUE,"Low quality","Benchmark")))</x:f>
        <x:v>Low quality</x:v>
      </x:c>
    </x:row>
    <x:row r="1714">
      <x:c r="A1714" s="2" t="str">
        <x:v>281305</x:v>
      </x:c>
      <x:c r="B1714" s="2" t="str">
        <x:v>KIMBALL HEALTH SERVICES</x:v>
      </x:c>
      <x:c r="C1714" s="2" t="str">
        <x:v>KIMBALL</x:v>
      </x:c>
      <x:c r="D1714" s="2" t="str">
        <x:v>NE</x:v>
      </x:c>
      <x:c r="E1714" s="2" t="str">
        <x:v>Critical Access Hospitals</x:v>
      </x:c>
      <x:c r="F1714" s="2" t="str">
        <x:v>Government</x:v>
      </x:c>
      <x:c r="G1714" s="2" t="str">
        <x:v>Small (&lt;100 beds)</x:v>
      </x:c>
      <x:c r="H1714" s="7"/>
      <x:c r="I1714" s="7"/>
      <x:c r="J1714" s="7"/>
      <x:c r="K1714" s="8" t="n">
        <x:v>14</x:v>
      </x:c>
      <x:c r="L1714" s="8" t="n">
        <x:v>155</x:v>
      </x:c>
      <x:c r="M1714" s="9" t="n">
        <x:v>0.2354207436</x:v>
      </x:c>
      <x:c r="N1714" s="10" t="n">
        <x:v>173914.2064516129</x:v>
      </x:c>
      <x:c r="O1714" s="9" t="n">
        <x:v>-0.1447577144</x:v>
      </x:c>
      <x:c r="P1714" s="9" t="n">
        <x:v>0.6535315985</x:v>
      </x:c>
      <x:c r="Q1714" s="9" t="n">
        <x:v>0.292936803</x:v>
      </x:c>
      <x:c r="R1714" s="3" t="b">
        <x:v>0</x:v>
      </x:c>
      <x:c r="S1714" s="3" t="b">
        <x:v>0</x:v>
      </x:c>
      <x:c r="T1714" s="3" t="b">
        <x:v>0</x:v>
      </x:c>
      <x:c r="U1714" s="2" t="str">
        <x:f>IF(T1714=TRUE,"Priority review",IF(R1714=TRUE,"High cost",IF(S1714=TRUE,"Low quality","Benchmark")))</x:f>
        <x:v>Benchmark</x:v>
      </x:c>
    </x:row>
    <x:row r="1715">
      <x:c r="A1715" s="2" t="str">
        <x:v>010044</x:v>
      </x:c>
      <x:c r="B1715" s="2" t="str">
        <x:v>MARION REGIONAL MEDICAL CENTER</x:v>
      </x:c>
      <x:c r="C1715" s="2" t="str">
        <x:v>HAMILTON</x:v>
      </x:c>
      <x:c r="D1715" s="2" t="str">
        <x:v>AL</x:v>
      </x:c>
      <x:c r="E1715" s="2" t="str">
        <x:v>Acute Care Hospitals</x:v>
      </x:c>
      <x:c r="F1715" s="2" t="str">
        <x:v>Voluntary non-profit</x:v>
      </x:c>
      <x:c r="G1715" s="2" t="str">
        <x:v>Small (&lt;100 beds)</x:v>
      </x:c>
      <x:c r="H1715" s="7" t="n">
        <x:v>3</x:v>
      </x:c>
      <x:c r="I1715" s="7"/>
      <x:c r="J1715" s="7" t="n">
        <x:v>1.07</x:v>
      </x:c>
      <x:c r="K1715" s="8" t="n">
        <x:v>36</x:v>
      </x:c>
      <x:c r="L1715" s="8" t="n">
        <x:v>321</x:v>
      </x:c>
      <x:c r="M1715" s="9" t="n">
        <x:v>0.224195507</x:v>
      </x:c>
      <x:c r="N1715" s="10" t="n">
        <x:v>69185.9781931464</x:v>
      </x:c>
      <x:c r="O1715" s="9" t="n">
        <x:v>-0.2029007911</x:v>
      </x:c>
      <x:c r="P1715" s="9" t="n">
        <x:v>0.6535008977</x:v>
      </x:c>
      <x:c r="Q1715" s="9" t="n">
        <x:v>0.1687612208</x:v>
      </x:c>
      <x:c r="R1715" s="3" t="b">
        <x:v>0</x:v>
      </x:c>
      <x:c r="S1715" s="3" t="b">
        <x:v>0</x:v>
      </x:c>
      <x:c r="T1715" s="3" t="b">
        <x:v>0</x:v>
      </x:c>
      <x:c r="U1715" s="2" t="str">
        <x:f>IF(T1715=TRUE,"Priority review",IF(R1715=TRUE,"High cost",IF(S1715=TRUE,"Low quality","Benchmark")))</x:f>
        <x:v>Benchmark</x:v>
      </x:c>
    </x:row>
    <x:row r="1716">
      <x:c r="A1716" s="2" t="str">
        <x:v>150162</x:v>
      </x:c>
      <x:c r="B1716" s="2" t="str">
        <x:v>FRANCISCAN HEALTH INDIANAPOLIS</x:v>
      </x:c>
      <x:c r="C1716" s="2" t="str">
        <x:v>INDIANAPOLIS</x:v>
      </x:c>
      <x:c r="D1716" s="2" t="str">
        <x:v>IN</x:v>
      </x:c>
      <x:c r="E1716" s="2" t="str">
        <x:v>Acute Care Hospitals</x:v>
      </x:c>
      <x:c r="F1716" s="2" t="str">
        <x:v>Voluntary non-profit</x:v>
      </x:c>
      <x:c r="G1716" s="2" t="str">
        <x:v>Large (300+ beds)</x:v>
      </x:c>
      <x:c r="H1716" s="7" t="n">
        <x:v>4</x:v>
      </x:c>
      <x:c r="I1716" s="7" t="n">
        <x:v>3</x:v>
      </x:c>
      <x:c r="J1716" s="7" t="n">
        <x:v>0.99</x:v>
      </x:c>
      <x:c r="K1716" s="8" t="n">
        <x:v>402</x:v>
      </x:c>
      <x:c r="L1716" s="8" t="n">
        <x:v>20340</x:v>
      </x:c>
      <x:c r="M1716" s="9" t="n">
        <x:v>0.761077593</x:v>
      </x:c>
      <x:c r="N1716" s="10" t="n">
        <x:v>46421.0824975418</x:v>
      </x:c>
      <x:c r="O1716" s="9" t="n">
        <x:v>-0.0046011509</x:v>
      </x:c>
      <x:c r="P1716" s="9" t="n">
        <x:v>0.6529968454</x:v>
      </x:c>
      <x:c r="Q1716" s="9" t="n">
        <x:v>0.5899053628</x:v>
      </x:c>
      <x:c r="R1716" s="3" t="b">
        <x:v>0</x:v>
      </x:c>
      <x:c r="S1716" s="3" t="b">
        <x:v>0</x:v>
      </x:c>
      <x:c r="T1716" s="3" t="b">
        <x:v>0</x:v>
      </x:c>
      <x:c r="U1716" s="2" t="str">
        <x:f>IF(T1716=TRUE,"Priority review",IF(R1716=TRUE,"High cost",IF(S1716=TRUE,"Low quality","Benchmark")))</x:f>
        <x:v>Benchmark</x:v>
      </x:c>
    </x:row>
    <x:row r="1717">
      <x:c r="A1717" s="2" t="str">
        <x:v>310034</x:v>
      </x:c>
      <x:c r="B1717" s="2" t="str">
        <x:v>RIVERVIEW MEDICAL CENTER</x:v>
      </x:c>
      <x:c r="C1717" s="2" t="str">
        <x:v>RED BANK</x:v>
      </x:c>
      <x:c r="D1717" s="2" t="str">
        <x:v>NJ</x:v>
      </x:c>
      <x:c r="E1717" s="2" t="str">
        <x:v>Acute Care Hospitals</x:v>
      </x:c>
      <x:c r="F1717" s="2" t="str">
        <x:v>Voluntary non-profit</x:v>
      </x:c>
      <x:c r="G1717" s="2" t="str">
        <x:v>Medium (100-299 beds)</x:v>
      </x:c>
      <x:c r="H1717" s="7" t="n">
        <x:v>3</x:v>
      </x:c>
      <x:c r="I1717" s="7" t="n">
        <x:v>3</x:v>
      </x:c>
      <x:c r="J1717" s="7" t="n">
        <x:v>1.07</x:v>
      </x:c>
      <x:c r="K1717" s="8" t="n">
        <x:v>232</x:v>
      </x:c>
      <x:c r="L1717" s="8" t="n">
        <x:v>9944</x:v>
      </x:c>
      <x:c r="M1717" s="9" t="n">
        <x:v>0.5447286603</x:v>
      </x:c>
      <x:c r="N1717" s="10" t="n">
        <x:v>40718.226468222</x:v>
      </x:c>
      <x:c r="O1717" s="9" t="n">
        <x:v>0.022533608</x:v>
      </x:c>
      <x:c r="P1717" s="9" t="n">
        <x:v>0.6528117359</x:v>
      </x:c>
      <x:c r="Q1717" s="9" t="n">
        <x:v>0.3023634882</x:v>
      </x:c>
      <x:c r="R1717" s="3" t="b">
        <x:v>0</x:v>
      </x:c>
      <x:c r="S1717" s="3" t="b">
        <x:v>0</x:v>
      </x:c>
      <x:c r="T1717" s="3" t="b">
        <x:v>0</x:v>
      </x:c>
      <x:c r="U1717" s="2" t="str">
        <x:f>IF(T1717=TRUE,"Priority review",IF(R1717=TRUE,"High cost",IF(S1717=TRUE,"Low quality","Benchmark")))</x:f>
        <x:v>Benchmark</x:v>
      </x:c>
    </x:row>
    <x:row r="1718">
      <x:c r="A1718" s="2" t="str">
        <x:v>261309</x:v>
      </x:c>
      <x:c r="B1718" s="2" t="str">
        <x:v>WRIGHT MEMORIAL HOSPITAL</x:v>
      </x:c>
      <x:c r="C1718" s="2" t="str">
        <x:v>TRENTON</x:v>
      </x:c>
      <x:c r="D1718" s="2" t="str">
        <x:v>MO</x:v>
      </x:c>
      <x:c r="E1718" s="2" t="str">
        <x:v>Critical Access Hospitals</x:v>
      </x:c>
      <x:c r="F1718" s="2" t="str">
        <x:v>Voluntary non-profit</x:v>
      </x:c>
      <x:c r="G1718" s="2" t="str">
        <x:v>Small (&lt;100 beds)</x:v>
      </x:c>
      <x:c r="H1718" s="7" t="n">
        <x:v>4</x:v>
      </x:c>
      <x:c r="I1718" s="7"/>
      <x:c r="J1718" s="7"/>
      <x:c r="K1718" s="8" t="n">
        <x:v>25</x:v>
      </x:c>
      <x:c r="L1718" s="8" t="n">
        <x:v>229</x:v>
      </x:c>
      <x:c r="M1718" s="9" t="n">
        <x:v>0.1997814208</x:v>
      </x:c>
      <x:c r="N1718" s="10" t="n">
        <x:v>172654.3973799127</x:v>
      </x:c>
      <x:c r="O1718" s="9" t="n">
        <x:v>-0.015169128</x:v>
      </x:c>
      <x:c r="P1718" s="9" t="n">
        <x:v>0.6527881041</x:v>
      </x:c>
      <x:c r="Q1718" s="9" t="n">
        <x:v>0.1657992565</x:v>
      </x:c>
      <x:c r="R1718" s="3" t="b">
        <x:v>0</x:v>
      </x:c>
      <x:c r="S1718" s="3" t="b">
        <x:v>0</x:v>
      </x:c>
      <x:c r="T1718" s="3" t="b">
        <x:v>0</x:v>
      </x:c>
      <x:c r="U1718" s="2" t="str">
        <x:f>IF(T1718=TRUE,"Priority review",IF(R1718=TRUE,"High cost",IF(S1718=TRUE,"Low quality","Benchmark")))</x:f>
        <x:v>Benchmark</x:v>
      </x:c>
    </x:row>
    <x:row r="1719">
      <x:c r="A1719" s="2" t="str">
        <x:v>280139</x:v>
      </x:c>
      <x:c r="B1719" s="2" t="str">
        <x:v>GRAND ISLAND REGIONAL MEDICAL CENTER</x:v>
      </x:c>
      <x:c r="C1719" s="2" t="str">
        <x:v>GRAND ISLAND</x:v>
      </x:c>
      <x:c r="D1719" s="2" t="str">
        <x:v>NE</x:v>
      </x:c>
      <x:c r="E1719" s="2" t="str">
        <x:v>Acute Care Hospitals</x:v>
      </x:c>
      <x:c r="F1719" s="2" t="str">
        <x:v>Voluntary non-profit</x:v>
      </x:c>
      <x:c r="G1719" s="2" t="str">
        <x:v>Small (&lt;100 beds)</x:v>
      </x:c>
      <x:c r="H1719" s="7" t="n">
        <x:v>2</x:v>
      </x:c>
      <x:c r="I1719" s="7" t="n">
        <x:v>3</x:v>
      </x:c>
      <x:c r="J1719" s="7" t="n">
        <x:v>0.93</x:v>
      </x:c>
      <x:c r="K1719" s="8" t="n">
        <x:v>60</x:v>
      </x:c>
      <x:c r="L1719" s="8" t="n">
        <x:v>1355</x:v>
      </x:c>
      <x:c r="M1719" s="9" t="n">
        <x:v>0.4324225865</x:v>
      </x:c>
      <x:c r="N1719" s="10" t="n">
        <x:v>69159.8140221402</x:v>
      </x:c>
      <x:c r="O1719" s="9" t="n">
        <x:v>-0.082193071</x:v>
      </x:c>
      <x:c r="P1719" s="9" t="n">
        <x:v>0.6526032316</x:v>
      </x:c>
      <x:c r="Q1719" s="9" t="n">
        <x:v>0.0350089767</x:v>
      </x:c>
      <x:c r="R1719" s="3" t="b">
        <x:v>0</x:v>
      </x:c>
      <x:c r="S1719" s="3" t="b">
        <x:v>1</x:v>
      </x:c>
      <x:c r="T1719" s="3" t="b">
        <x:v>0</x:v>
      </x:c>
      <x:c r="U1719" s="2" t="str">
        <x:f>IF(T1719=TRUE,"Priority review",IF(R1719=TRUE,"High cost",IF(S1719=TRUE,"Low quality","Benchmark")))</x:f>
        <x:v>Low quality</x:v>
      </x:c>
    </x:row>
    <x:row r="1720">
      <x:c r="A1720" s="2" t="str">
        <x:v>281357</x:v>
      </x:c>
      <x:c r="B1720" s="2" t="str">
        <x:v>SIDNEY REGIONAL MEDICAL CENTER</x:v>
      </x:c>
      <x:c r="C1720" s="2" t="str">
        <x:v>SIDNEY</x:v>
      </x:c>
      <x:c r="D1720" s="2" t="str">
        <x:v>NE</x:v>
      </x:c>
      <x:c r="E1720" s="2" t="str">
        <x:v>Critical Access Hospitals</x:v>
      </x:c>
      <x:c r="F1720" s="2" t="str">
        <x:v>Voluntary non-profit</x:v>
      </x:c>
      <x:c r="G1720" s="2" t="str">
        <x:v>Small (&lt;100 beds)</x:v>
      </x:c>
      <x:c r="H1720" s="7"/>
      <x:c r="I1720" s="7" t="n">
        <x:v>5</x:v>
      </x:c>
      <x:c r="J1720" s="7"/>
      <x:c r="K1720" s="8" t="n">
        <x:v>25</x:v>
      </x:c>
      <x:c r="L1720" s="8" t="n">
        <x:v>447</x:v>
      </x:c>
      <x:c r="M1720" s="9" t="n">
        <x:v>0.2351912568</x:v>
      </x:c>
      <x:c r="N1720" s="10" t="n">
        <x:v>172636.192393736</x:v>
      </x:c>
      <x:c r="O1720" s="9" t="n">
        <x:v>0.0184324129</x:v>
      </x:c>
      <x:c r="P1720" s="9" t="n">
        <x:v>0.6520446097</x:v>
      </x:c>
      <x:c r="Q1720" s="9" t="n">
        <x:v>0.292936803</x:v>
      </x:c>
      <x:c r="R1720" s="3" t="b">
        <x:v>0</x:v>
      </x:c>
      <x:c r="S1720" s="3" t="b">
        <x:v>0</x:v>
      </x:c>
      <x:c r="T1720" s="3" t="b">
        <x:v>0</x:v>
      </x:c>
      <x:c r="U1720" s="2" t="str">
        <x:f>IF(T1720=TRUE,"Priority review",IF(R1720=TRUE,"High cost",IF(S1720=TRUE,"Low quality","Benchmark")))</x:f>
        <x:v>Benchmark</x:v>
      </x:c>
    </x:row>
    <x:row r="1721">
      <x:c r="A1721" s="2" t="str">
        <x:v>390102</x:v>
      </x:c>
      <x:c r="B1721" s="2" t="str">
        <x:v>UPMC ST MARGARET</x:v>
      </x:c>
      <x:c r="C1721" s="2" t="str">
        <x:v>PITTSBURGH</x:v>
      </x:c>
      <x:c r="D1721" s="2" t="str">
        <x:v>PA</x:v>
      </x:c>
      <x:c r="E1721" s="2" t="str">
        <x:v>Acute Care Hospitals</x:v>
      </x:c>
      <x:c r="F1721" s="2" t="str">
        <x:v>Voluntary non-profit</x:v>
      </x:c>
      <x:c r="G1721" s="2" t="str">
        <x:v>Medium (100-299 beds)</x:v>
      </x:c>
      <x:c r="H1721" s="7" t="n">
        <x:v>3</x:v>
      </x:c>
      <x:c r="I1721" s="7" t="n">
        <x:v>4</x:v>
      </x:c>
      <x:c r="J1721" s="7" t="n">
        <x:v>1.01</x:v>
      </x:c>
      <x:c r="K1721" s="8" t="n">
        <x:v>170</x:v>
      </x:c>
      <x:c r="L1721" s="8" t="n">
        <x:v>7873</x:v>
      </x:c>
      <x:c r="M1721" s="9" t="n">
        <x:v>0.5863815238</x:v>
      </x:c>
      <x:c r="N1721" s="10" t="n">
        <x:v>40717.8540581735</x:v>
      </x:c>
      <x:c r="O1721" s="9" t="n">
        <x:v>-0.1537439569</x:v>
      </x:c>
      <x:c r="P1721" s="9" t="n">
        <x:v>0.65199674</x:v>
      </x:c>
      <x:c r="Q1721" s="9" t="n">
        <x:v>0.3023634882</x:v>
      </x:c>
      <x:c r="R1721" s="3" t="b">
        <x:v>0</x:v>
      </x:c>
      <x:c r="S1721" s="3" t="b">
        <x:v>0</x:v>
      </x:c>
      <x:c r="T1721" s="3" t="b">
        <x:v>0</x:v>
      </x:c>
      <x:c r="U1721" s="2" t="str">
        <x:f>IF(T1721=TRUE,"Priority review",IF(R1721=TRUE,"High cost",IF(S1721=TRUE,"Low quality","Benchmark")))</x:f>
        <x:v>Benchmark</x:v>
      </x:c>
    </x:row>
    <x:row r="1722">
      <x:c r="A1722" s="2" t="str">
        <x:v>054160</x:v>
      </x:c>
      <x:c r="B1722" s="2" t="str">
        <x:v>RIVER VISTA BEHAVIORAL HEALTH</x:v>
      </x:c>
      <x:c r="C1722" s="2" t="str">
        <x:v>MADERA</x:v>
      </x:c>
      <x:c r="D1722" s="2" t="str">
        <x:v>CA</x:v>
      </x:c>
      <x:c r="E1722" s="2" t="str">
        <x:v>Psychiatric</x:v>
      </x:c>
      <x:c r="F1722" s="2" t="str">
        <x:v>Proprietary</x:v>
      </x:c>
      <x:c r="G1722" s="2" t="str">
        <x:v>Medium (100-299 beds)</x:v>
      </x:c>
      <x:c r="H1722" s="7"/>
      <x:c r="I1722" s="7"/>
      <x:c r="J1722" s="7"/>
      <x:c r="K1722" s="8" t="n">
        <x:v>128</x:v>
      </x:c>
      <x:c r="L1722" s="8" t="n">
        <x:v>1546</x:v>
      </x:c>
      <x:c r="M1722" s="9" t="n">
        <x:v>0.3768570697</x:v>
      </x:c>
      <x:c r="N1722" s="10" t="n">
        <x:v>18195.3564036223</x:v>
      </x:c>
      <x:c r="O1722" s="9" t="n">
        <x:v>-0.1343605748</x:v>
      </x:c>
      <x:c r="P1722" s="9" t="n">
        <x:v>0.6517412935</x:v>
      </x:c>
      <x:c r="Q1722" s="9" t="n">
        <x:v>0</x:v>
      </x:c>
      <x:c r="R1722" s="3" t="b">
        <x:v>0</x:v>
      </x:c>
      <x:c r="S1722" s="3" t="b">
        <x:v>0</x:v>
      </x:c>
      <x:c r="T1722" s="3" t="b">
        <x:v>0</x:v>
      </x:c>
      <x:c r="U1722" s="2" t="str">
        <x:f>IF(T1722=TRUE,"Priority review",IF(R1722=TRUE,"High cost",IF(S1722=TRUE,"Low quality","Benchmark")))</x:f>
        <x:v>Benchmark</x:v>
      </x:c>
    </x:row>
    <x:row r="1723">
      <x:c r="A1723" s="2" t="str">
        <x:v>180066</x:v>
      </x:c>
      <x:c r="B1723" s="2" t="str">
        <x:v>The Medical Center at Russellville</x:v>
      </x:c>
      <x:c r="C1723" s="2" t="str">
        <x:v>RUSSELLVILLE</x:v>
      </x:c>
      <x:c r="D1723" s="2" t="str">
        <x:v>KY</x:v>
      </x:c>
      <x:c r="E1723" s="2" t="str">
        <x:v>Acute Care Hospitals</x:v>
      </x:c>
      <x:c r="F1723" s="2" t="str">
        <x:v>Proprietary</x:v>
      </x:c>
      <x:c r="G1723" s="2" t="str">
        <x:v>Small (&lt;100 beds)</x:v>
      </x:c>
      <x:c r="H1723" s="7" t="n">
        <x:v>2</x:v>
      </x:c>
      <x:c r="I1723" s="7"/>
      <x:c r="J1723" s="7" t="n">
        <x:v>0.92</x:v>
      </x:c>
      <x:c r="K1723" s="8" t="n">
        <x:v>37</x:v>
      </x:c>
      <x:c r="L1723" s="8" t="n">
        <x:v>329</x:v>
      </x:c>
      <x:c r="M1723" s="9" t="n">
        <x:v>0.1484513711</x:v>
      </x:c>
      <x:c r="N1723" s="10" t="n">
        <x:v>69105.094224924</x:v>
      </x:c>
      <x:c r="O1723" s="9" t="n">
        <x:v>-0.2780461629</x:v>
      </x:c>
      <x:c r="P1723" s="9" t="n">
        <x:v>0.6517055655</x:v>
      </x:c>
      <x:c r="Q1723" s="9" t="n">
        <x:v>0.0350089767</x:v>
      </x:c>
      <x:c r="R1723" s="3" t="b">
        <x:v>0</x:v>
      </x:c>
      <x:c r="S1723" s="3" t="b">
        <x:v>1</x:v>
      </x:c>
      <x:c r="T1723" s="3" t="b">
        <x:v>0</x:v>
      </x:c>
      <x:c r="U1723" s="2" t="str">
        <x:f>IF(T1723=TRUE,"Priority review",IF(R1723=TRUE,"High cost",IF(S1723=TRUE,"Low quality","Benchmark")))</x:f>
        <x:v>Low quality</x:v>
      </x:c>
    </x:row>
    <x:row r="1724">
      <x:c r="A1724" s="2" t="str">
        <x:v>150084</x:v>
      </x:c>
      <x:c r="B1724" s="2" t="str">
        <x:v>ASCENSION ST VINCENT HOSPITAL</x:v>
      </x:c>
      <x:c r="C1724" s="2" t="str">
        <x:v>INDIANAPOLIS</x:v>
      </x:c>
      <x:c r="D1724" s="2" t="str">
        <x:v>IN</x:v>
      </x:c>
      <x:c r="E1724" s="2" t="str">
        <x:v>Acute Care Hospitals</x:v>
      </x:c>
      <x:c r="F1724" s="2" t="str">
        <x:v>Voluntary non-profit</x:v>
      </x:c>
      <x:c r="G1724" s="2" t="str">
        <x:v>Large (300+ beds)</x:v>
      </x:c>
      <x:c r="H1724" s="7" t="n">
        <x:v>2</x:v>
      </x:c>
      <x:c r="I1724" s="7" t="n">
        <x:v>2</x:v>
      </x:c>
      <x:c r="J1724" s="7" t="n">
        <x:v>1.04</x:v>
      </x:c>
      <x:c r="K1724" s="8" t="n">
        <x:v>745</x:v>
      </x:c>
      <x:c r="L1724" s="8" t="n">
        <x:v>31437</x:v>
      </x:c>
      <x:c r="M1724" s="9" t="n">
        <x:v>0.7202243266</x:v>
      </x:c>
      <x:c r="N1724" s="10" t="n">
        <x:v>46366.6016159303</x:v>
      </x:c>
      <x:c r="O1724" s="9" t="n">
        <x:v>0.0452431557</x:v>
      </x:c>
      <x:c r="P1724" s="9" t="n">
        <x:v>0.6514195584</x:v>
      </x:c>
      <x:c r="Q1724" s="9" t="n">
        <x:v>0.0536277603</x:v>
      </x:c>
      <x:c r="R1724" s="3" t="b">
        <x:v>0</x:v>
      </x:c>
      <x:c r="S1724" s="3" t="b">
        <x:v>1</x:v>
      </x:c>
      <x:c r="T1724" s="3" t="b">
        <x:v>0</x:v>
      </x:c>
      <x:c r="U1724" s="2" t="str">
        <x:f>IF(T1724=TRUE,"Priority review",IF(R1724=TRUE,"High cost",IF(S1724=TRUE,"Low quality","Benchmark")))</x:f>
        <x:v>Low quality</x:v>
      </x:c>
    </x:row>
    <x:row r="1725">
      <x:c r="A1725" s="2" t="str">
        <x:v>441320</x:v>
      </x:c>
      <x:c r="B1725" s="2" t="str">
        <x:v>WEST TENNESSEE HEALTHCARE BOLIVAR HOSPITAL</x:v>
      </x:c>
      <x:c r="C1725" s="2" t="str">
        <x:v>BOLIVAR</x:v>
      </x:c>
      <x:c r="D1725" s="2" t="str">
        <x:v>TN</x:v>
      </x:c>
      <x:c r="E1725" s="2" t="str">
        <x:v>Critical Access Hospitals</x:v>
      </x:c>
      <x:c r="F1725" s="2" t="str">
        <x:v>Government</x:v>
      </x:c>
      <x:c r="G1725" s="2" t="str">
        <x:v>Small (&lt;100 beds)</x:v>
      </x:c>
      <x:c r="H1725" s="7"/>
      <x:c r="I1725" s="7"/>
      <x:c r="J1725" s="7"/>
      <x:c r="K1725" s="8" t="n">
        <x:v>25</x:v>
      </x:c>
      <x:c r="L1725" s="8" t="n">
        <x:v>54</x:v>
      </x:c>
      <x:c r="M1725" s="9" t="n">
        <x:v>0.0244383562</x:v>
      </x:c>
      <x:c r="N1725" s="10" t="n">
        <x:v>172609.6666666667</x:v>
      </x:c>
      <x:c r="O1725" s="9" t="n">
        <x:v>0.352211444</x:v>
      </x:c>
      <x:c r="P1725" s="9" t="n">
        <x:v>0.6513011152</x:v>
      </x:c>
      <x:c r="Q1725" s="9" t="n">
        <x:v>0.292936803</x:v>
      </x:c>
      <x:c r="R1725" s="3" t="b">
        <x:v>0</x:v>
      </x:c>
      <x:c r="S1725" s="3" t="b">
        <x:v>0</x:v>
      </x:c>
      <x:c r="T1725" s="3" t="b">
        <x:v>0</x:v>
      </x:c>
      <x:c r="U1725" s="2" t="str">
        <x:f>IF(T1725=TRUE,"Priority review",IF(R1725=TRUE,"High cost",IF(S1725=TRUE,"Low quality","Benchmark")))</x:f>
        <x:v>Benchmark</x:v>
      </x:c>
    </x:row>
    <x:row r="1726">
      <x:c r="A1726" s="2" t="str">
        <x:v>450508</x:v>
      </x:c>
      <x:c r="B1726" s="2" t="str">
        <x:v>NACOGDOCHES MEMORIAL HOSPITAL</x:v>
      </x:c>
      <x:c r="C1726" s="2" t="str">
        <x:v>NACOGDOCHES</x:v>
      </x:c>
      <x:c r="D1726" s="2" t="str">
        <x:v>TX</x:v>
      </x:c>
      <x:c r="E1726" s="2" t="str">
        <x:v>Acute Care Hospitals</x:v>
      </x:c>
      <x:c r="F1726" s="2" t="str">
        <x:v>Proprietary</x:v>
      </x:c>
      <x:c r="G1726" s="2" t="str">
        <x:v>Medium (100-299 beds)</x:v>
      </x:c>
      <x:c r="H1726" s="7" t="n">
        <x:v>2</x:v>
      </x:c>
      <x:c r="I1726" s="7" t="n">
        <x:v>3</x:v>
      </x:c>
      <x:c r="J1726" s="7" t="n">
        <x:v>1.08</x:v>
      </x:c>
      <x:c r="K1726" s="8" t="n">
        <x:v>192</x:v>
      </x:c>
      <x:c r="L1726" s="8" t="n">
        <x:v>1587</x:v>
      </x:c>
      <x:c r="M1726" s="9" t="n">
        <x:v>0.0938784247</x:v>
      </x:c>
      <x:c r="N1726" s="10" t="n">
        <x:v>40628.4511657215</x:v>
      </x:c>
      <x:c r="O1726" s="9" t="n">
        <x:v>-0.5531734059</x:v>
      </x:c>
      <x:c r="P1726" s="9" t="n">
        <x:v>0.6511817441</x:v>
      </x:c>
      <x:c r="Q1726" s="9" t="n">
        <x:v>0.0782396088</x:v>
      </x:c>
      <x:c r="R1726" s="3" t="b">
        <x:v>0</x:v>
      </x:c>
      <x:c r="S1726" s="3" t="b">
        <x:v>1</x:v>
      </x:c>
      <x:c r="T1726" s="3" t="b">
        <x:v>0</x:v>
      </x:c>
      <x:c r="U1726" s="2" t="str">
        <x:f>IF(T1726=TRUE,"Priority review",IF(R1726=TRUE,"High cost",IF(S1726=TRUE,"Low quality","Benchmark")))</x:f>
        <x:v>Low quality</x:v>
      </x:c>
    </x:row>
    <x:row r="1727">
      <x:c r="A1727" s="2" t="str">
        <x:v>670006</x:v>
      </x:c>
      <x:c r="B1727" s="2" t="str">
        <x:v>THE HOSPITAL AT WESTLAKE MEDICAL CENTER</x:v>
      </x:c>
      <x:c r="C1727" s="2" t="str">
        <x:v>AUSTIN</x:v>
      </x:c>
      <x:c r="D1727" s="2" t="str">
        <x:v>TX</x:v>
      </x:c>
      <x:c r="E1727" s="2" t="str">
        <x:v>Acute Care Hospitals</x:v>
      </x:c>
      <x:c r="F1727" s="2" t="str">
        <x:v>Other / unknown</x:v>
      </x:c>
      <x:c r="G1727" s="2" t="str">
        <x:v>Small (&lt;100 beds)</x:v>
      </x:c>
      <x:c r="H1727" s="7"/>
      <x:c r="I1727" s="7" t="n">
        <x:v>3</x:v>
      </x:c>
      <x:c r="J1727" s="7" t="n">
        <x:v>1.01</x:v>
      </x:c>
      <x:c r="K1727" s="8" t="n">
        <x:v>23</x:v>
      </x:c>
      <x:c r="L1727" s="8" t="n">
        <x:v>615</x:v>
      </x:c>
      <x:c r="M1727" s="9" t="n">
        <x:v>0.1576383939</x:v>
      </x:c>
      <x:c r="N1727" s="10" t="n">
        <x:v>69070.5203252033</x:v>
      </x:c>
      <x:c r="O1727" s="9" t="n">
        <x:v>0.0113887821</x:v>
      </x:c>
      <x:c r="P1727" s="9" t="n">
        <x:v>0.6508078995</x:v>
      </x:c>
      <x:c r="Q1727" s="9" t="n">
        <x:v>0.697486535</x:v>
      </x:c>
      <x:c r="R1727" s="3" t="b">
        <x:v>0</x:v>
      </x:c>
      <x:c r="S1727" s="3" t="b">
        <x:v>0</x:v>
      </x:c>
      <x:c r="T1727" s="3" t="b">
        <x:v>0</x:v>
      </x:c>
      <x:c r="U1727" s="2" t="str">
        <x:f>IF(T1727=TRUE,"Priority review",IF(R1727=TRUE,"High cost",IF(S1727=TRUE,"Low quality","Benchmark")))</x:f>
        <x:v>Benchmark</x:v>
      </x:c>
    </x:row>
    <x:row r="1728">
      <x:c r="A1728" s="2" t="str">
        <x:v>051326</x:v>
      </x:c>
      <x:c r="B1728" s="2" t="str">
        <x:v>PLUMAS DISTRICT HOSPITAL</x:v>
      </x:c>
      <x:c r="C1728" s="2" t="str">
        <x:v>QUINCY</x:v>
      </x:c>
      <x:c r="D1728" s="2" t="str">
        <x:v>CA</x:v>
      </x:c>
      <x:c r="E1728" s="2" t="str">
        <x:v>Critical Access Hospitals</x:v>
      </x:c>
      <x:c r="F1728" s="2" t="str">
        <x:v>Government</x:v>
      </x:c>
      <x:c r="G1728" s="2" t="str">
        <x:v>Small (&lt;100 beds)</x:v>
      </x:c>
      <x:c r="H1728" s="7"/>
      <x:c r="I1728" s="7"/>
      <x:c r="J1728" s="7"/>
      <x:c r="K1728" s="8" t="n">
        <x:v>14</x:v>
      </x:c>
      <x:c r="L1728" s="8" t="n">
        <x:v>265</x:v>
      </x:c>
      <x:c r="M1728" s="9" t="n">
        <x:v>0.2833659491</x:v>
      </x:c>
      <x:c r="N1728" s="10" t="n">
        <x:v>172392.237735849</x:v>
      </x:c>
      <x:c r="O1728" s="9" t="n">
        <x:v>-0.0097650976</x:v>
      </x:c>
      <x:c r="P1728" s="9" t="n">
        <x:v>0.6505576208</x:v>
      </x:c>
      <x:c r="Q1728" s="9" t="n">
        <x:v>0.292936803</x:v>
      </x:c>
      <x:c r="R1728" s="3" t="b">
        <x:v>0</x:v>
      </x:c>
      <x:c r="S1728" s="3" t="b">
        <x:v>0</x:v>
      </x:c>
      <x:c r="T1728" s="3" t="b">
        <x:v>0</x:v>
      </x:c>
      <x:c r="U1728" s="2" t="str">
        <x:f>IF(T1728=TRUE,"Priority review",IF(R1728=TRUE,"High cost",IF(S1728=TRUE,"Low quality","Benchmark")))</x:f>
        <x:v>Benchmark</x:v>
      </x:c>
    </x:row>
    <x:row r="1729">
      <x:c r="A1729" s="2" t="str">
        <x:v>254010</x:v>
      </x:c>
      <x:c r="B1729" s="2" t="str">
        <x:v>MS STATE HOSPITAL-WHITFIELD</x:v>
      </x:c>
      <x:c r="C1729" s="2" t="str">
        <x:v>WHITFIELD</x:v>
      </x:c>
      <x:c r="D1729" s="2" t="str">
        <x:v>MS</x:v>
      </x:c>
      <x:c r="E1729" s="2" t="str">
        <x:v>Psychiatric</x:v>
      </x:c>
      <x:c r="F1729" s="2" t="str">
        <x:v>Government</x:v>
      </x:c>
      <x:c r="G1729" s="2" t="str">
        <x:v>Small (&lt;100 beds)</x:v>
      </x:c>
      <x:c r="H1729" s="7"/>
      <x:c r="I1729" s="7"/>
      <x:c r="J1729" s="7"/>
      <x:c r="K1729" s="8" t="n">
        <x:v>79</x:v>
      </x:c>
      <x:c r="L1729" s="8" t="n">
        <x:v>550</x:v>
      </x:c>
      <x:c r="M1729" s="9" t="n">
        <x:v>0.9568148064</x:v>
      </x:c>
      <x:c r="N1729" s="10" t="n">
        <x:v>17916.2181818182</x:v>
      </x:c>
      <x:c r="O1729" s="9"/>
      <x:c r="P1729" s="9" t="n">
        <x:v>0.6504854369</x:v>
      </x:c>
      <x:c r="Q1729" s="9" t="n">
        <x:v>0</x:v>
      </x:c>
      <x:c r="R1729" s="3" t="b">
        <x:v>0</x:v>
      </x:c>
      <x:c r="S1729" s="3" t="b">
        <x:v>0</x:v>
      </x:c>
      <x:c r="T1729" s="3" t="b">
        <x:v>0</x:v>
      </x:c>
      <x:c r="U1729" s="2" t="str">
        <x:f>IF(T1729=TRUE,"Priority review",IF(R1729=TRUE,"High cost",IF(S1729=TRUE,"Low quality","Benchmark")))</x:f>
        <x:v>Benchmark</x:v>
      </x:c>
    </x:row>
    <x:row r="1730">
      <x:c r="A1730" s="2" t="str">
        <x:v>250042</x:v>
      </x:c>
      <x:c r="B1730" s="2" t="str">
        <x:v>NORTHWEST MISSISSISSIPPI REGIONAL MEDICAL CENTER</x:v>
      </x:c>
      <x:c r="C1730" s="2" t="str">
        <x:v>CLARKSDALE</x:v>
      </x:c>
      <x:c r="D1730" s="2" t="str">
        <x:v>MS</x:v>
      </x:c>
      <x:c r="E1730" s="2" t="str">
        <x:v>Acute Care Hospitals</x:v>
      </x:c>
      <x:c r="F1730" s="2" t="str">
        <x:v>Proprietary</x:v>
      </x:c>
      <x:c r="G1730" s="2" t="str">
        <x:v>Medium (100-299 beds)</x:v>
      </x:c>
      <x:c r="H1730" s="7" t="n">
        <x:v>3</x:v>
      </x:c>
      <x:c r="I1730" s="7"/>
      <x:c r="J1730" s="7" t="n">
        <x:v>0.94</x:v>
      </x:c>
      <x:c r="K1730" s="8" t="n">
        <x:v>181</x:v>
      </x:c>
      <x:c r="L1730" s="8" t="n">
        <x:v>679</x:v>
      </x:c>
      <x:c r="M1730" s="9" t="n">
        <x:v>0.0675033536</x:v>
      </x:c>
      <x:c r="N1730" s="10" t="n">
        <x:v>40490.8586156112</x:v>
      </x:c>
      <x:c r="O1730" s="9" t="n">
        <x:v>-0.0406795259</x:v>
      </x:c>
      <x:c r="P1730" s="9" t="n">
        <x:v>0.6503667482</x:v>
      </x:c>
      <x:c r="Q1730" s="9" t="n">
        <x:v>0.3023634882</x:v>
      </x:c>
      <x:c r="R1730" s="3" t="b">
        <x:v>0</x:v>
      </x:c>
      <x:c r="S1730" s="3" t="b">
        <x:v>0</x:v>
      </x:c>
      <x:c r="T1730" s="3" t="b">
        <x:v>0</x:v>
      </x:c>
      <x:c r="U1730" s="2" t="str">
        <x:f>IF(T1730=TRUE,"Priority review",IF(R1730=TRUE,"High cost",IF(S1730=TRUE,"Low quality","Benchmark")))</x:f>
        <x:v>Benchmark</x:v>
      </x:c>
    </x:row>
    <x:row r="1731">
      <x:c r="A1731" s="2" t="str">
        <x:v>440176</x:v>
      </x:c>
      <x:c r="B1731" s="2" t="str">
        <x:v>INDIAN PATH COMMUNITY HOSPITAL</x:v>
      </x:c>
      <x:c r="C1731" s="2" t="str">
        <x:v>KINGSPORT</x:v>
      </x:c>
      <x:c r="D1731" s="2" t="str">
        <x:v>TN</x:v>
      </x:c>
      <x:c r="E1731" s="2" t="str">
        <x:v>Acute Care Hospitals</x:v>
      </x:c>
      <x:c r="F1731" s="2" t="str">
        <x:v>Voluntary non-profit</x:v>
      </x:c>
      <x:c r="G1731" s="2" t="str">
        <x:v>Small (&lt;100 beds)</x:v>
      </x:c>
      <x:c r="H1731" s="7"/>
      <x:c r="I1731" s="7" t="n">
        <x:v>3</x:v>
      </x:c>
      <x:c r="J1731" s="7" t="n">
        <x:v>0.99</x:v>
      </x:c>
      <x:c r="K1731" s="8" t="n">
        <x:v>34</x:v>
      </x:c>
      <x:c r="L1731" s="8" t="n">
        <x:v>2092</x:v>
      </x:c>
      <x:c r="M1731" s="9" t="n">
        <x:v>0.4985495568</x:v>
      </x:c>
      <x:c r="N1731" s="10" t="n">
        <x:v>69034.8245697897</x:v>
      </x:c>
      <x:c r="O1731" s="9" t="n">
        <x:v>0.0430300057</x:v>
      </x:c>
      <x:c r="P1731" s="9" t="n">
        <x:v>0.6499102334</x:v>
      </x:c>
      <x:c r="Q1731" s="9" t="n">
        <x:v>0.697486535</x:v>
      </x:c>
      <x:c r="R1731" s="3" t="b">
        <x:v>0</x:v>
      </x:c>
      <x:c r="S1731" s="3" t="b">
        <x:v>0</x:v>
      </x:c>
      <x:c r="T1731" s="3" t="b">
        <x:v>0</x:v>
      </x:c>
      <x:c r="U1731" s="2" t="str">
        <x:f>IF(T1731=TRUE,"Priority review",IF(R1731=TRUE,"High cost",IF(S1731=TRUE,"Low quality","Benchmark")))</x:f>
        <x:v>Benchmark</x:v>
      </x:c>
    </x:row>
    <x:row r="1732">
      <x:c r="A1732" s="2" t="str">
        <x:v>100113</x:v>
      </x:c>
      <x:c r="B1732" s="2" t="str">
        <x:v>UF HEALTH SHANDS HOSPITAL</x:v>
      </x:c>
      <x:c r="C1732" s="2" t="str">
        <x:v>GAINESVILLE</x:v>
      </x:c>
      <x:c r="D1732" s="2" t="str">
        <x:v>FL</x:v>
      </x:c>
      <x:c r="E1732" s="2" t="str">
        <x:v>Acute Care Hospitals</x:v>
      </x:c>
      <x:c r="F1732" s="2" t="str">
        <x:v>Voluntary non-profit</x:v>
      </x:c>
      <x:c r="G1732" s="2" t="str">
        <x:v>Large (300+ beds)</x:v>
      </x:c>
      <x:c r="H1732" s="7" t="n">
        <x:v>5</x:v>
      </x:c>
      <x:c r="I1732" s="7" t="n">
        <x:v>3</x:v>
      </x:c>
      <x:c r="J1732" s="7" t="n">
        <x:v>0.98</x:v>
      </x:c>
      <x:c r="K1732" s="8" t="n">
        <x:v>993</x:v>
      </x:c>
      <x:c r="L1732" s="8" t="n">
        <x:v>51671</x:v>
      </x:c>
      <x:c r="M1732" s="9" t="n">
        <x:v>0.8784781139</x:v>
      </x:c>
      <x:c r="N1732" s="10" t="n">
        <x:v>46251.6814460723</x:v>
      </x:c>
      <x:c r="O1732" s="9" t="n">
        <x:v>0.1752619877</x:v>
      </x:c>
      <x:c r="P1732" s="9" t="n">
        <x:v>0.6498422713</x:v>
      </x:c>
      <x:c r="Q1732" s="9" t="n">
        <x:v>0.8722397476</x:v>
      </x:c>
      <x:c r="R1732" s="3" t="b">
        <x:v>0</x:v>
      </x:c>
      <x:c r="S1732" s="3" t="b">
        <x:v>0</x:v>
      </x:c>
      <x:c r="T1732" s="3" t="b">
        <x:v>0</x:v>
      </x:c>
      <x:c r="U1732" s="2" t="str">
        <x:f>IF(T1732=TRUE,"Priority review",IF(R1732=TRUE,"High cost",IF(S1732=TRUE,"Low quality","Benchmark")))</x:f>
        <x:v>Benchmark</x:v>
      </x:c>
    </x:row>
    <x:row r="1733">
      <x:c r="A1733" s="2" t="str">
        <x:v>371341</x:v>
      </x:c>
      <x:c r="B1733" s="2" t="str">
        <x:v>SHARE MEDICAL CENTER</x:v>
      </x:c>
      <x:c r="C1733" s="2" t="str">
        <x:v>ALVA</x:v>
      </x:c>
      <x:c r="D1733" s="2" t="str">
        <x:v>OK</x:v>
      </x:c>
      <x:c r="E1733" s="2" t="str">
        <x:v>Critical Access Hospitals</x:v>
      </x:c>
      <x:c r="F1733" s="2" t="str">
        <x:v>Government</x:v>
      </x:c>
      <x:c r="G1733" s="2" t="str">
        <x:v>Small (&lt;100 beds)</x:v>
      </x:c>
      <x:c r="H1733" s="7"/>
      <x:c r="I1733" s="7"/>
      <x:c r="J1733" s="7"/>
      <x:c r="K1733" s="8" t="n">
        <x:v>25</x:v>
      </x:c>
      <x:c r="L1733" s="8" t="n">
        <x:v>94</x:v>
      </x:c>
      <x:c r="M1733" s="9" t="n">
        <x:v>0.0349589041</x:v>
      </x:c>
      <x:c r="N1733" s="10" t="n">
        <x:v>172072.2553191489</x:v>
      </x:c>
      <x:c r="O1733" s="9" t="n">
        <x:v>-0.0429703507</x:v>
      </x:c>
      <x:c r="P1733" s="9" t="n">
        <x:v>0.6498141264</x:v>
      </x:c>
      <x:c r="Q1733" s="9" t="n">
        <x:v>0.292936803</x:v>
      </x:c>
      <x:c r="R1733" s="3" t="b">
        <x:v>0</x:v>
      </x:c>
      <x:c r="S1733" s="3" t="b">
        <x:v>0</x:v>
      </x:c>
      <x:c r="T1733" s="3" t="b">
        <x:v>0</x:v>
      </x:c>
      <x:c r="U1733" s="2" t="str">
        <x:f>IF(T1733=TRUE,"Priority review",IF(R1733=TRUE,"High cost",IF(S1733=TRUE,"Low quality","Benchmark")))</x:f>
        <x:v>Benchmark</x:v>
      </x:c>
    </x:row>
    <x:row r="1734">
      <x:c r="A1734" s="2" t="str">
        <x:v>390013</x:v>
      </x:c>
      <x:c r="B1734" s="2" t="str">
        <x:v>WELLSPAN EVANGELICAL COMMUNITY HOSPITAL</x:v>
      </x:c>
      <x:c r="C1734" s="2" t="str">
        <x:v>LEWISBURG</x:v>
      </x:c>
      <x:c r="D1734" s="2" t="str">
        <x:v>PA</x:v>
      </x:c>
      <x:c r="E1734" s="2" t="str">
        <x:v>Acute Care Hospitals</x:v>
      </x:c>
      <x:c r="F1734" s="2" t="str">
        <x:v>Voluntary non-profit</x:v>
      </x:c>
      <x:c r="G1734" s="2" t="str">
        <x:v>Medium (100-299 beds)</x:v>
      </x:c>
      <x:c r="H1734" s="7" t="n">
        <x:v>4</x:v>
      </x:c>
      <x:c r="I1734" s="7" t="n">
        <x:v>4</x:v>
      </x:c>
      <x:c r="J1734" s="7" t="n">
        <x:v>0.91</x:v>
      </x:c>
      <x:c r="K1734" s="8" t="n">
        <x:v>119</x:v>
      </x:c>
      <x:c r="L1734" s="8" t="n">
        <x:v>5170</x:v>
      </x:c>
      <x:c r="M1734" s="9" t="n">
        <x:v>0.4706112582</x:v>
      </x:c>
      <x:c r="N1734" s="10" t="n">
        <x:v>40488.8885880077</x:v>
      </x:c>
      <x:c r="O1734" s="9" t="n">
        <x:v>0.1624805281</x:v>
      </x:c>
      <x:c r="P1734" s="9" t="n">
        <x:v>0.6495517522</x:v>
      </x:c>
      <x:c r="Q1734" s="9" t="n">
        <x:v>0.6022819886</x:v>
      </x:c>
      <x:c r="R1734" s="3" t="b">
        <x:v>0</x:v>
      </x:c>
      <x:c r="S1734" s="3" t="b">
        <x:v>0</x:v>
      </x:c>
      <x:c r="T1734" s="3" t="b">
        <x:v>0</x:v>
      </x:c>
      <x:c r="U1734" s="2" t="str">
        <x:f>IF(T1734=TRUE,"Priority review",IF(R1734=TRUE,"High cost",IF(S1734=TRUE,"Low quality","Benchmark")))</x:f>
        <x:v>Benchmark</x:v>
      </x:c>
    </x:row>
    <x:row r="1735">
      <x:c r="A1735" s="2" t="str">
        <x:v>241301</x:v>
      </x:c>
      <x:c r="B1735" s="2" t="str">
        <x:v>LAKEWOOD HEALTH CENTER</x:v>
      </x:c>
      <x:c r="C1735" s="2" t="str">
        <x:v>BAUDETTE</x:v>
      </x:c>
      <x:c r="D1735" s="2" t="str">
        <x:v>MN</x:v>
      </x:c>
      <x:c r="E1735" s="2" t="str">
        <x:v>Critical Access Hospitals</x:v>
      </x:c>
      <x:c r="F1735" s="2" t="str">
        <x:v>Voluntary non-profit</x:v>
      </x:c>
      <x:c r="G1735" s="2" t="str">
        <x:v>Small (&lt;100 beds)</x:v>
      </x:c>
      <x:c r="H1735" s="7"/>
      <x:c r="I1735" s="7"/>
      <x:c r="J1735" s="7"/>
      <x:c r="K1735" s="8" t="n">
        <x:v>15</x:v>
      </x:c>
      <x:c r="L1735" s="8" t="n">
        <x:v>138</x:v>
      </x:c>
      <x:c r="M1735" s="9" t="n">
        <x:v>0.1875799087</x:v>
      </x:c>
      <x:c r="N1735" s="10" t="n">
        <x:v>171734.7391304348</x:v>
      </x:c>
      <x:c r="O1735" s="9" t="n">
        <x:v>-0.1409941317</x:v>
      </x:c>
      <x:c r="P1735" s="9" t="n">
        <x:v>0.649070632</x:v>
      </x:c>
      <x:c r="Q1735" s="9" t="n">
        <x:v>0.292936803</x:v>
      </x:c>
      <x:c r="R1735" s="3" t="b">
        <x:v>0</x:v>
      </x:c>
      <x:c r="S1735" s="3" t="b">
        <x:v>0</x:v>
      </x:c>
      <x:c r="T1735" s="3" t="b">
        <x:v>0</x:v>
      </x:c>
      <x:c r="U1735" s="2" t="str">
        <x:f>IF(T1735=TRUE,"Priority review",IF(R1735=TRUE,"High cost",IF(S1735=TRUE,"Low quality","Benchmark")))</x:f>
        <x:v>Benchmark</x:v>
      </x:c>
    </x:row>
    <x:row r="1736">
      <x:c r="A1736" s="2" t="str">
        <x:v>520100</x:v>
      </x:c>
      <x:c r="B1736" s="2" t="str">
        <x:v>BELOIT HEALTH SYSTEM</x:v>
      </x:c>
      <x:c r="C1736" s="2" t="str">
        <x:v>BELOIT</x:v>
      </x:c>
      <x:c r="D1736" s="2" t="str">
        <x:v>WI</x:v>
      </x:c>
      <x:c r="E1736" s="2" t="str">
        <x:v>Acute Care Hospitals</x:v>
      </x:c>
      <x:c r="F1736" s="2" t="str">
        <x:v>Voluntary non-profit</x:v>
      </x:c>
      <x:c r="G1736" s="2" t="str">
        <x:v>Small (&lt;100 beds)</x:v>
      </x:c>
      <x:c r="H1736" s="7" t="n">
        <x:v>3</x:v>
      </x:c>
      <x:c r="I1736" s="7" t="n">
        <x:v>3</x:v>
      </x:c>
      <x:c r="J1736" s="7" t="n">
        <x:v>0.96</x:v>
      </x:c>
      <x:c r="K1736" s="8" t="n">
        <x:v>93</x:v>
      </x:c>
      <x:c r="L1736" s="8" t="n">
        <x:v>4249</x:v>
      </x:c>
      <x:c r="M1736" s="9" t="n">
        <x:v>0.6004171808</x:v>
      </x:c>
      <x:c r="N1736" s="10" t="n">
        <x:v>69024.7317015768</x:v>
      </x:c>
      <x:c r="O1736" s="9" t="n">
        <x:v>-0.0298603007</x:v>
      </x:c>
      <x:c r="P1736" s="9" t="n">
        <x:v>0.6490125673</x:v>
      </x:c>
      <x:c r="Q1736" s="9" t="n">
        <x:v>0.1687612208</x:v>
      </x:c>
      <x:c r="R1736" s="3" t="b">
        <x:v>0</x:v>
      </x:c>
      <x:c r="S1736" s="3" t="b">
        <x:v>0</x:v>
      </x:c>
      <x:c r="T1736" s="3" t="b">
        <x:v>0</x:v>
      </x:c>
      <x:c r="U1736" s="2" t="str">
        <x:f>IF(T1736=TRUE,"Priority review",IF(R1736=TRUE,"High cost",IF(S1736=TRUE,"Low quality","Benchmark")))</x:f>
        <x:v>Benchmark</x:v>
      </x:c>
    </x:row>
    <x:row r="1737">
      <x:c r="A1737" s="2" t="str">
        <x:v>040071</x:v>
      </x:c>
      <x:c r="B1737" s="2" t="str">
        <x:v>JEFFERSON REGIONAL MEDICAL CENTER</x:v>
      </x:c>
      <x:c r="C1737" s="2" t="str">
        <x:v>PINE BLUFF</x:v>
      </x:c>
      <x:c r="D1737" s="2" t="str">
        <x:v>AR</x:v>
      </x:c>
      <x:c r="E1737" s="2" t="str">
        <x:v>Acute Care Hospitals</x:v>
      </x:c>
      <x:c r="F1737" s="2" t="str">
        <x:v>Voluntary non-profit</x:v>
      </x:c>
      <x:c r="G1737" s="2" t="str">
        <x:v>Medium (100-299 beds)</x:v>
      </x:c>
      <x:c r="H1737" s="7" t="n">
        <x:v>1</x:v>
      </x:c>
      <x:c r="I1737" s="7" t="n">
        <x:v>3</x:v>
      </x:c>
      <x:c r="J1737" s="7" t="n">
        <x:v>1.1</x:v>
      </x:c>
      <x:c r="K1737" s="8" t="n">
        <x:v>245</x:v>
      </x:c>
      <x:c r="L1737" s="8" t="n">
        <x:v>6551</x:v>
      </x:c>
      <x:c r="M1737" s="9" t="n">
        <x:v>0.3529773553</x:v>
      </x:c>
      <x:c r="N1737" s="10" t="n">
        <x:v>40433.0145016028</x:v>
      </x:c>
      <x:c r="O1737" s="9" t="n">
        <x:v>-0.0250413688</x:v>
      </x:c>
      <x:c r="P1737" s="9" t="n">
        <x:v>0.6487367563</x:v>
      </x:c>
      <x:c r="Q1737" s="9" t="n">
        <x:v>0</x:v>
      </x:c>
      <x:c r="R1737" s="3" t="b">
        <x:v>0</x:v>
      </x:c>
      <x:c r="S1737" s="3" t="b">
        <x:v>1</x:v>
      </x:c>
      <x:c r="T1737" s="3" t="b">
        <x:v>0</x:v>
      </x:c>
      <x:c r="U1737" s="2" t="str">
        <x:f>IF(T1737=TRUE,"Priority review",IF(R1737=TRUE,"High cost",IF(S1737=TRUE,"Low quality","Benchmark")))</x:f>
        <x:v>Low quality</x:v>
      </x:c>
    </x:row>
    <x:row r="1738">
      <x:c r="A1738" s="2" t="str">
        <x:v>281348</x:v>
      </x:c>
      <x:c r="B1738" s="2" t="str">
        <x:v>TRI VALLEY HEALTH SYSTEM</x:v>
      </x:c>
      <x:c r="C1738" s="2" t="str">
        <x:v>CAMBRIDGE</x:v>
      </x:c>
      <x:c r="D1738" s="2" t="str">
        <x:v>NE</x:v>
      </x:c>
      <x:c r="E1738" s="2" t="str">
        <x:v>Critical Access Hospitals</x:v>
      </x:c>
      <x:c r="F1738" s="2" t="str">
        <x:v>Voluntary non-profit</x:v>
      </x:c>
      <x:c r="G1738" s="2" t="str">
        <x:v>Small (&lt;100 beds)</x:v>
      </x:c>
      <x:c r="H1738" s="7"/>
      <x:c r="I1738" s="7"/>
      <x:c r="J1738" s="7"/>
      <x:c r="K1738" s="8" t="n">
        <x:v>20</x:v>
      </x:c>
      <x:c r="L1738" s="8" t="n">
        <x:v>161</x:v>
      </x:c>
      <x:c r="M1738" s="9" t="n">
        <x:v>0.1650684932</x:v>
      </x:c>
      <x:c r="N1738" s="10" t="n">
        <x:v>171671.5776397515</x:v>
      </x:c>
      <x:c r="O1738" s="9" t="n">
        <x:v>-0.0114019053</x:v>
      </x:c>
      <x:c r="P1738" s="9" t="n">
        <x:v>0.6483271375</x:v>
      </x:c>
      <x:c r="Q1738" s="9" t="n">
        <x:v>0.292936803</x:v>
      </x:c>
      <x:c r="R1738" s="3" t="b">
        <x:v>0</x:v>
      </x:c>
      <x:c r="S1738" s="3" t="b">
        <x:v>0</x:v>
      </x:c>
      <x:c r="T1738" s="3" t="b">
        <x:v>0</x:v>
      </x:c>
      <x:c r="U1738" s="2" t="str">
        <x:f>IF(T1738=TRUE,"Priority review",IF(R1738=TRUE,"High cost",IF(S1738=TRUE,"Low quality","Benchmark")))</x:f>
        <x:v>Benchmark</x:v>
      </x:c>
    </x:row>
    <x:row r="1739">
      <x:c r="A1739" s="2" t="str">
        <x:v>230038</x:v>
      </x:c>
      <x:c r="B1739" s="2" t="str">
        <x:v>SPECTRUM HEALTH</x:v>
      </x:c>
      <x:c r="C1739" s="2" t="str">
        <x:v>GRAND RAPIDS</x:v>
      </x:c>
      <x:c r="D1739" s="2" t="str">
        <x:v>MI</x:v>
      </x:c>
      <x:c r="E1739" s="2" t="str">
        <x:v>Acute Care Hospitals</x:v>
      </x:c>
      <x:c r="F1739" s="2" t="str">
        <x:v>Voluntary non-profit</x:v>
      </x:c>
      <x:c r="G1739" s="2" t="str">
        <x:v>Large (300+ beds)</x:v>
      </x:c>
      <x:c r="H1739" s="7" t="n">
        <x:v>4</x:v>
      </x:c>
      <x:c r="I1739" s="7" t="n">
        <x:v>3</x:v>
      </x:c>
      <x:c r="J1739" s="7" t="n">
        <x:v>0.96</x:v>
      </x:c>
      <x:c r="K1739" s="8" t="n">
        <x:v>1117</x:v>
      </x:c>
      <x:c r="L1739" s="8" t="n">
        <x:v>58597</x:v>
      </x:c>
      <x:c r="M1739" s="9" t="n">
        <x:v>0.8012466137</x:v>
      </x:c>
      <x:c r="N1739" s="10" t="n">
        <x:v>46075.3987064184</x:v>
      </x:c>
      <x:c r="O1739" s="9" t="n">
        <x:v>0.1453612395</x:v>
      </x:c>
      <x:c r="P1739" s="9" t="n">
        <x:v>0.6482649842</x:v>
      </x:c>
      <x:c r="Q1739" s="9" t="n">
        <x:v>0.5899053628</x:v>
      </x:c>
      <x:c r="R1739" s="3" t="b">
        <x:v>0</x:v>
      </x:c>
      <x:c r="S1739" s="3" t="b">
        <x:v>0</x:v>
      </x:c>
      <x:c r="T1739" s="3" t="b">
        <x:v>0</x:v>
      </x:c>
      <x:c r="U1739" s="2" t="str">
        <x:f>IF(T1739=TRUE,"Priority review",IF(R1739=TRUE,"High cost",IF(S1739=TRUE,"Low quality","Benchmark")))</x:f>
        <x:v>Benchmark</x:v>
      </x:c>
    </x:row>
    <x:row r="1740">
      <x:c r="A1740" s="2" t="str">
        <x:v>170191</x:v>
      </x:c>
      <x:c r="B1740" s="2" t="str">
        <x:v>UNIVERSITY  OF KS HLTH SYSTEM GREAT BEND CAMPUS</x:v>
      </x:c>
      <x:c r="C1740" s="2" t="str">
        <x:v>GREAT BEND</x:v>
      </x:c>
      <x:c r="D1740" s="2" t="str">
        <x:v>KS</x:v>
      </x:c>
      <x:c r="E1740" s="2" t="str">
        <x:v>Acute Care Hospitals</x:v>
      </x:c>
      <x:c r="F1740" s="2" t="str">
        <x:v>Government</x:v>
      </x:c>
      <x:c r="G1740" s="2" t="str">
        <x:v>Small (&lt;100 beds)</x:v>
      </x:c>
      <x:c r="H1740" s="7" t="n">
        <x:v>4</x:v>
      </x:c>
      <x:c r="I1740" s="7" t="n">
        <x:v>3</x:v>
      </x:c>
      <x:c r="J1740" s="7" t="n">
        <x:v>0.97</x:v>
      </x:c>
      <x:c r="K1740" s="8" t="n">
        <x:v>29</x:v>
      </x:c>
      <x:c r="L1740" s="8" t="n">
        <x:v>1098</x:v>
      </x:c>
      <x:c r="M1740" s="9" t="n">
        <x:v>0.4006613132</x:v>
      </x:c>
      <x:c r="N1740" s="10" t="n">
        <x:v>68954.9326047359</x:v>
      </x:c>
      <x:c r="O1740" s="9" t="n">
        <x:v>-0.1636336889</x:v>
      </x:c>
      <x:c r="P1740" s="9" t="n">
        <x:v>0.6481149013</x:v>
      </x:c>
      <x:c r="Q1740" s="9" t="n">
        <x:v>0.3913824057</x:v>
      </x:c>
      <x:c r="R1740" s="3" t="b">
        <x:v>0</x:v>
      </x:c>
      <x:c r="S1740" s="3" t="b">
        <x:v>0</x:v>
      </x:c>
      <x:c r="T1740" s="3" t="b">
        <x:v>0</x:v>
      </x:c>
      <x:c r="U1740" s="2" t="str">
        <x:f>IF(T1740=TRUE,"Priority review",IF(R1740=TRUE,"High cost",IF(S1740=TRUE,"Low quality","Benchmark")))</x:f>
        <x:v>Benchmark</x:v>
      </x:c>
    </x:row>
    <x:row r="1741">
      <x:c r="A1741" s="2" t="str">
        <x:v>340143</x:v>
      </x:c>
      <x:c r="B1741" s="2" t="str">
        <x:v>CATAWBA VALLEY MEDICAL CENTER</x:v>
      </x:c>
      <x:c r="C1741" s="2" t="str">
        <x:v>HICKORY</x:v>
      </x:c>
      <x:c r="D1741" s="2" t="str">
        <x:v>NC</x:v>
      </x:c>
      <x:c r="E1741" s="2" t="str">
        <x:v>Acute Care Hospitals</x:v>
      </x:c>
      <x:c r="F1741" s="2" t="str">
        <x:v>Voluntary non-profit</x:v>
      </x:c>
      <x:c r="G1741" s="2" t="str">
        <x:v>Medium (100-299 beds)</x:v>
      </x:c>
      <x:c r="H1741" s="7" t="n">
        <x:v>2</x:v>
      </x:c>
      <x:c r="I1741" s="7" t="n">
        <x:v>4</x:v>
      </x:c>
      <x:c r="J1741" s="7" t="n">
        <x:v>0.96</x:v>
      </x:c>
      <x:c r="K1741" s="8" t="n">
        <x:v>200</x:v>
      </x:c>
      <x:c r="L1741" s="8" t="n">
        <x:v>9100</x:v>
      </x:c>
      <x:c r="M1741" s="9" t="n">
        <x:v>0.5350547945</x:v>
      </x:c>
      <x:c r="N1741" s="10" t="n">
        <x:v>40330.3832967033</x:v>
      </x:c>
      <x:c r="O1741" s="9" t="n">
        <x:v>0.1396573557</x:v>
      </x:c>
      <x:c r="P1741" s="9" t="n">
        <x:v>0.6479217604</x:v>
      </x:c>
      <x:c r="Q1741" s="9" t="n">
        <x:v>0.0782396088</x:v>
      </x:c>
      <x:c r="R1741" s="3" t="b">
        <x:v>0</x:v>
      </x:c>
      <x:c r="S1741" s="3" t="b">
        <x:v>1</x:v>
      </x:c>
      <x:c r="T1741" s="3" t="b">
        <x:v>0</x:v>
      </x:c>
      <x:c r="U1741" s="2" t="str">
        <x:f>IF(T1741=TRUE,"Priority review",IF(R1741=TRUE,"High cost",IF(S1741=TRUE,"Low quality","Benchmark")))</x:f>
        <x:v>Low quality</x:v>
      </x:c>
    </x:row>
    <x:row r="1742">
      <x:c r="A1742" s="2" t="str">
        <x:v>271341</x:v>
      </x:c>
      <x:c r="B1742" s="2" t="str">
        <x:v>TRINITY HOSPITAL</x:v>
      </x:c>
      <x:c r="C1742" s="2" t="str">
        <x:v>WOLF POINT</x:v>
      </x:c>
      <x:c r="D1742" s="2" t="str">
        <x:v>MT</x:v>
      </x:c>
      <x:c r="E1742" s="2" t="str">
        <x:v>Critical Access Hospitals</x:v>
      </x:c>
      <x:c r="F1742" s="2" t="str">
        <x:v>Voluntary non-profit</x:v>
      </x:c>
      <x:c r="G1742" s="2" t="str">
        <x:v>Small (&lt;100 beds)</x:v>
      </x:c>
      <x:c r="H1742" s="7"/>
      <x:c r="I1742" s="7"/>
      <x:c r="J1742" s="7"/>
      <x:c r="K1742" s="8" t="n">
        <x:v>22</x:v>
      </x:c>
      <x:c r="L1742" s="8" t="n">
        <x:v>274</x:v>
      </x:c>
      <x:c r="M1742" s="9" t="n">
        <x:v>0.1577833126</x:v>
      </x:c>
      <x:c r="N1742" s="10" t="n">
        <x:v>171626.6058394161</x:v>
      </x:c>
      <x:c r="O1742" s="9" t="n">
        <x:v>-0.4020297456</x:v>
      </x:c>
      <x:c r="P1742" s="9" t="n">
        <x:v>0.6475836431</x:v>
      </x:c>
      <x:c r="Q1742" s="9" t="n">
        <x:v>0.292936803</x:v>
      </x:c>
      <x:c r="R1742" s="3" t="b">
        <x:v>0</x:v>
      </x:c>
      <x:c r="S1742" s="3" t="b">
        <x:v>0</x:v>
      </x:c>
      <x:c r="T1742" s="3" t="b">
        <x:v>0</x:v>
      </x:c>
      <x:c r="U1742" s="2" t="str">
        <x:f>IF(T1742=TRUE,"Priority review",IF(R1742=TRUE,"High cost",IF(S1742=TRUE,"Low quality","Benchmark")))</x:f>
        <x:v>Benchmark</x:v>
      </x:c>
    </x:row>
    <x:row r="1743">
      <x:c r="A1743" s="2" t="str">
        <x:v>224039</x:v>
      </x:c>
      <x:c r="B1743" s="2" t="str">
        <x:v>WHITTIER PAVILION</x:v>
      </x:c>
      <x:c r="C1743" s="2" t="str">
        <x:v>HAVERHILL</x:v>
      </x:c>
      <x:c r="D1743" s="2" t="str">
        <x:v>MA</x:v>
      </x:c>
      <x:c r="E1743" s="2" t="str">
        <x:v>Psychiatric</x:v>
      </x:c>
      <x:c r="F1743" s="2" t="str">
        <x:v>Proprietary</x:v>
      </x:c>
      <x:c r="G1743" s="2" t="str">
        <x:v>Small (&lt;100 beds)</x:v>
      </x:c>
      <x:c r="H1743" s="7"/>
      <x:c r="I1743" s="7"/>
      <x:c r="J1743" s="7"/>
      <x:c r="K1743" s="8" t="n">
        <x:v>71</x:v>
      </x:c>
      <x:c r="L1743" s="8" t="n">
        <x:v>1354</x:v>
      </x:c>
      <x:c r="M1743" s="9" t="n">
        <x:v>0.955245132</x:v>
      </x:c>
      <x:c r="N1743" s="10" t="n">
        <x:v>17565.7304283604</x:v>
      </x:c>
      <x:c r="O1743" s="9" t="n">
        <x:v>0.0708407758</x:v>
      </x:c>
      <x:c r="P1743" s="9" t="n">
        <x:v>0.6472491909</x:v>
      </x:c>
      <x:c r="Q1743" s="9" t="n">
        <x:v>0</x:v>
      </x:c>
      <x:c r="R1743" s="3" t="b">
        <x:v>0</x:v>
      </x:c>
      <x:c r="S1743" s="3" t="b">
        <x:v>0</x:v>
      </x:c>
      <x:c r="T1743" s="3" t="b">
        <x:v>0</x:v>
      </x:c>
      <x:c r="U1743" s="2" t="str">
        <x:f>IF(T1743=TRUE,"Priority review",IF(R1743=TRUE,"High cost",IF(S1743=TRUE,"Low quality","Benchmark")))</x:f>
        <x:v>Benchmark</x:v>
      </x:c>
    </x:row>
    <x:row r="1744">
      <x:c r="A1744" s="2" t="str">
        <x:v>140137</x:v>
      </x:c>
      <x:c r="B1744" s="2" t="str">
        <x:v>HSHS HOLY FAMILY HOSPITAL INC</x:v>
      </x:c>
      <x:c r="C1744" s="2" t="str">
        <x:v>GREENVILLE</x:v>
      </x:c>
      <x:c r="D1744" s="2" t="str">
        <x:v>IL</x:v>
      </x:c>
      <x:c r="E1744" s="2" t="str">
        <x:v>Acute Care Hospitals</x:v>
      </x:c>
      <x:c r="F1744" s="2" t="str">
        <x:v>Voluntary non-profit</x:v>
      </x:c>
      <x:c r="G1744" s="2" t="str">
        <x:v>Small (&lt;100 beds)</x:v>
      </x:c>
      <x:c r="H1744" s="7" t="n">
        <x:v>3</x:v>
      </x:c>
      <x:c r="I1744" s="7"/>
      <x:c r="J1744" s="7" t="n">
        <x:v>0.92</x:v>
      </x:c>
      <x:c r="K1744" s="8" t="n">
        <x:v>8</x:v>
      </x:c>
      <x:c r="L1744" s="8" t="n">
        <x:v>363</x:v>
      </x:c>
      <x:c r="M1744" s="9" t="n">
        <x:v>0.5294520548</x:v>
      </x:c>
      <x:c r="N1744" s="10" t="n">
        <x:v>68832.5261707989</x:v>
      </x:c>
      <x:c r="O1744" s="9" t="n">
        <x:v>-0.0836230806</x:v>
      </x:c>
      <x:c r="P1744" s="9" t="n">
        <x:v>0.6472172352</x:v>
      </x:c>
      <x:c r="Q1744" s="9" t="n">
        <x:v>0.1687612208</x:v>
      </x:c>
      <x:c r="R1744" s="3" t="b">
        <x:v>0</x:v>
      </x:c>
      <x:c r="S1744" s="3" t="b">
        <x:v>0</x:v>
      </x:c>
      <x:c r="T1744" s="3" t="b">
        <x:v>0</x:v>
      </x:c>
      <x:c r="U1744" s="2" t="str">
        <x:f>IF(T1744=TRUE,"Priority review",IF(R1744=TRUE,"High cost",IF(S1744=TRUE,"Low quality","Benchmark")))</x:f>
        <x:v>Benchmark</x:v>
      </x:c>
    </x:row>
    <x:row r="1745">
      <x:c r="A1745" s="2" t="str">
        <x:v>520207</x:v>
      </x:c>
      <x:c r="B1745" s="2" t="str">
        <x:v>AURORA MEDICAL CENTER</x:v>
      </x:c>
      <x:c r="C1745" s="2" t="str">
        <x:v>GRAFTON</x:v>
      </x:c>
      <x:c r="D1745" s="2" t="str">
        <x:v>WI</x:v>
      </x:c>
      <x:c r="E1745" s="2" t="str">
        <x:v>Acute Care Hospitals</x:v>
      </x:c>
      <x:c r="F1745" s="2" t="str">
        <x:v>Voluntary non-profit</x:v>
      </x:c>
      <x:c r="G1745" s="2" t="str">
        <x:v>Medium (100-299 beds)</x:v>
      </x:c>
      <x:c r="H1745" s="7" t="n">
        <x:v>5</x:v>
      </x:c>
      <x:c r="I1745" s="7" t="n">
        <x:v>4</x:v>
      </x:c>
      <x:c r="J1745" s="7" t="n">
        <x:v>0.85</x:v>
      </x:c>
      <x:c r="K1745" s="8" t="n">
        <x:v>132</x:v>
      </x:c>
      <x:c r="L1745" s="8" t="n">
        <x:v>6901</x:v>
      </x:c>
      <x:c r="M1745" s="9" t="n">
        <x:v>0.7409132307</x:v>
      </x:c>
      <x:c r="N1745" s="10" t="n">
        <x:v>40312.0537603246</x:v>
      </x:c>
      <x:c r="O1745" s="9" t="n">
        <x:v>0.22527735</x:v>
      </x:c>
      <x:c r="P1745" s="9" t="n">
        <x:v>0.6471067645</x:v>
      </x:c>
      <x:c r="Q1745" s="9" t="n">
        <x:v>0.8744906275</x:v>
      </x:c>
      <x:c r="R1745" s="3" t="b">
        <x:v>0</x:v>
      </x:c>
      <x:c r="S1745" s="3" t="b">
        <x:v>0</x:v>
      </x:c>
      <x:c r="T1745" s="3" t="b">
        <x:v>0</x:v>
      </x:c>
      <x:c r="U1745" s="2" t="str">
        <x:f>IF(T1745=TRUE,"Priority review",IF(R1745=TRUE,"High cost",IF(S1745=TRUE,"Low quality","Benchmark")))</x:f>
        <x:v>Benchmark</x:v>
      </x:c>
    </x:row>
    <x:row r="1746">
      <x:c r="A1746" s="2" t="str">
        <x:v>391303</x:v>
      </x:c>
      <x:c r="B1746" s="2" t="str">
        <x:v>FULTON COUNTY MEDICAL CENTER</x:v>
      </x:c>
      <x:c r="C1746" s="2" t="str">
        <x:v>MCCONNELLSBURG</x:v>
      </x:c>
      <x:c r="D1746" s="2" t="str">
        <x:v>PA</x:v>
      </x:c>
      <x:c r="E1746" s="2" t="str">
        <x:v>Critical Access Hospitals</x:v>
      </x:c>
      <x:c r="F1746" s="2" t="str">
        <x:v>Voluntary non-profit</x:v>
      </x:c>
      <x:c r="G1746" s="2" t="str">
        <x:v>Small (&lt;100 beds)</x:v>
      </x:c>
      <x:c r="H1746" s="7" t="n">
        <x:v>3</x:v>
      </x:c>
      <x:c r="I1746" s="7"/>
      <x:c r="J1746" s="7"/>
      <x:c r="K1746" s="8" t="n">
        <x:v>21</x:v>
      </x:c>
      <x:c r="L1746" s="8" t="n">
        <x:v>343</x:v>
      </x:c>
      <x:c r="M1746" s="9" t="n">
        <x:v>0.2318330072</x:v>
      </x:c>
      <x:c r="N1746" s="10" t="n">
        <x:v>171508.1982507289</x:v>
      </x:c>
      <x:c r="O1746" s="9" t="n">
        <x:v>-0.0873211653</x:v>
      </x:c>
      <x:c r="P1746" s="9" t="n">
        <x:v>0.6468401487</x:v>
      </x:c>
      <x:c r="Q1746" s="9" t="n">
        <x:v>0.0765799257</x:v>
      </x:c>
      <x:c r="R1746" s="3" t="b">
        <x:v>0</x:v>
      </x:c>
      <x:c r="S1746" s="3" t="b">
        <x:v>1</x:v>
      </x:c>
      <x:c r="T1746" s="3" t="b">
        <x:v>0</x:v>
      </x:c>
      <x:c r="U1746" s="2" t="str">
        <x:f>IF(T1746=TRUE,"Priority review",IF(R1746=TRUE,"High cost",IF(S1746=TRUE,"Low quality","Benchmark")))</x:f>
        <x:v>Low quality</x:v>
      </x:c>
    </x:row>
    <x:row r="1747">
      <x:c r="A1747" s="2" t="str">
        <x:v>164007</x:v>
      </x:c>
      <x:c r="B1747" s="2" t="str">
        <x:v>CLIVE BEHAVIORAL HEALTH</x:v>
      </x:c>
      <x:c r="C1747" s="2" t="str">
        <x:v>CLIVE</x:v>
      </x:c>
      <x:c r="D1747" s="2" t="str">
        <x:v>IA</x:v>
      </x:c>
      <x:c r="E1747" s="2" t="str">
        <x:v>Psychiatric</x:v>
      </x:c>
      <x:c r="F1747" s="2" t="str">
        <x:v>Proprietary</x:v>
      </x:c>
      <x:c r="G1747" s="2" t="str">
        <x:v>Medium (100-299 beds)</x:v>
      </x:c>
      <x:c r="H1747" s="7"/>
      <x:c r="I1747" s="7"/>
      <x:c r="J1747" s="7"/>
      <x:c r="K1747" s="8" t="n">
        <x:v>100</x:v>
      </x:c>
      <x:c r="L1747" s="8" t="n">
        <x:v>1630</x:v>
      </x:c>
      <x:c r="M1747" s="9" t="n">
        <x:v>0.5647945205</x:v>
      </x:c>
      <x:c r="N1747" s="10" t="n">
        <x:v>18043.263803681</x:v>
      </x:c>
      <x:c r="O1747" s="9" t="n">
        <x:v>0.093442369</x:v>
      </x:c>
      <x:c r="P1747" s="9" t="n">
        <x:v>0.6467661692</x:v>
      </x:c>
      <x:c r="Q1747" s="9" t="n">
        <x:v>0</x:v>
      </x:c>
      <x:c r="R1747" s="3" t="b">
        <x:v>0</x:v>
      </x:c>
      <x:c r="S1747" s="3" t="b">
        <x:v>0</x:v>
      </x:c>
      <x:c r="T1747" s="3" t="b">
        <x:v>0</x:v>
      </x:c>
      <x:c r="U1747" s="2" t="str">
        <x:f>IF(T1747=TRUE,"Priority review",IF(R1747=TRUE,"High cost",IF(S1747=TRUE,"Low quality","Benchmark")))</x:f>
        <x:v>Benchmark</x:v>
      </x:c>
    </x:row>
    <x:row r="1748">
      <x:c r="A1748" s="2" t="str">
        <x:v>050140</x:v>
      </x:c>
      <x:c r="B1748" s="2" t="str">
        <x:v>KAISER FOUNDATION HOSPITAL FONTANA/ONTARIO</x:v>
      </x:c>
      <x:c r="C1748" s="2" t="str">
        <x:v>FONTANA</x:v>
      </x:c>
      <x:c r="D1748" s="2" t="str">
        <x:v>CA</x:v>
      </x:c>
      <x:c r="E1748" s="2" t="str">
        <x:v>Acute Care Hospitals</x:v>
      </x:c>
      <x:c r="F1748" s="2" t="str">
        <x:v>Voluntary non-profit</x:v>
      </x:c>
      <x:c r="G1748" s="2" t="str">
        <x:v>Large (300+ beds)</x:v>
      </x:c>
      <x:c r="H1748" s="7" t="n">
        <x:v>3</x:v>
      </x:c>
      <x:c r="I1748" s="7" t="n">
        <x:v>4</x:v>
      </x:c>
      <x:c r="J1748" s="7" t="n">
        <x:v>0.93</x:v>
      </x:c>
      <x:c r="K1748" s="8" t="n">
        <x:v>664</x:v>
      </x:c>
      <x:c r="L1748" s="8" t="n">
        <x:v>32305</x:v>
      </x:c>
      <x:c r="M1748" s="9" t="n">
        <x:v>0.5972949174</x:v>
      </x:c>
      <x:c r="N1748" s="10" t="n">
        <x:v>45836.5224268689</x:v>
      </x:c>
      <x:c r="O1748" s="9" t="n">
        <x:v>0.1143607697</x:v>
      </x:c>
      <x:c r="P1748" s="9" t="n">
        <x:v>0.6466876972</x:v>
      </x:c>
      <x:c r="Q1748" s="9" t="n">
        <x:v>0.2570977918</x:v>
      </x:c>
      <x:c r="R1748" s="3" t="b">
        <x:v>0</x:v>
      </x:c>
      <x:c r="S1748" s="3" t="b">
        <x:v>0</x:v>
      </x:c>
      <x:c r="T1748" s="3" t="b">
        <x:v>0</x:v>
      </x:c>
      <x:c r="U1748" s="2" t="str">
        <x:f>IF(T1748=TRUE,"Priority review",IF(R1748=TRUE,"High cost",IF(S1748=TRUE,"Low quality","Benchmark")))</x:f>
        <x:v>Benchmark</x:v>
      </x:c>
    </x:row>
    <x:row r="1749">
      <x:c r="A1749" s="2" t="str">
        <x:v>450460</x:v>
      </x:c>
      <x:c r="B1749" s="2" t="str">
        <x:v>TYLER COUNTY HOSPITAL</x:v>
      </x:c>
      <x:c r="C1749" s="2" t="str">
        <x:v>WOODVILLE</x:v>
      </x:c>
      <x:c r="D1749" s="2" t="str">
        <x:v>TX</x:v>
      </x:c>
      <x:c r="E1749" s="2" t="str">
        <x:v>Acute Care Hospitals</x:v>
      </x:c>
      <x:c r="F1749" s="2" t="str">
        <x:v>Government</x:v>
      </x:c>
      <x:c r="G1749" s="2" t="str">
        <x:v>Small (&lt;100 beds)</x:v>
      </x:c>
      <x:c r="H1749" s="7"/>
      <x:c r="I1749" s="7"/>
      <x:c r="J1749" s="7" t="n">
        <x:v>0.8</x:v>
      </x:c>
      <x:c r="K1749" s="8" t="n">
        <x:v>25</x:v>
      </x:c>
      <x:c r="L1749" s="8" t="n">
        <x:v>216</x:v>
      </x:c>
      <x:c r="M1749" s="9" t="n">
        <x:v>0.0631232877</x:v>
      </x:c>
      <x:c r="N1749" s="10" t="n">
        <x:v>68469.7916666667</x:v>
      </x:c>
      <x:c r="O1749" s="9" t="n">
        <x:v>-0.7514041632</x:v>
      </x:c>
      <x:c r="P1749" s="9" t="n">
        <x:v>0.6463195691</x:v>
      </x:c>
      <x:c r="Q1749" s="9" t="n">
        <x:v>0.697486535</x:v>
      </x:c>
      <x:c r="R1749" s="3" t="b">
        <x:v>0</x:v>
      </x:c>
      <x:c r="S1749" s="3" t="b">
        <x:v>0</x:v>
      </x:c>
      <x:c r="T1749" s="3" t="b">
        <x:v>0</x:v>
      </x:c>
      <x:c r="U1749" s="2" t="str">
        <x:f>IF(T1749=TRUE,"Priority review",IF(R1749=TRUE,"High cost",IF(S1749=TRUE,"Low quality","Benchmark")))</x:f>
        <x:v>Benchmark</x:v>
      </x:c>
    </x:row>
    <x:row r="1750">
      <x:c r="A1750" s="2" t="str">
        <x:v>220012</x:v>
      </x:c>
      <x:c r="B1750" s="2" t="str">
        <x:v>CAPE COD HOSPITAL</x:v>
      </x:c>
      <x:c r="C1750" s="2" t="str">
        <x:v>HYANNIS</x:v>
      </x:c>
      <x:c r="D1750" s="2" t="str">
        <x:v>MA</x:v>
      </x:c>
      <x:c r="E1750" s="2" t="str">
        <x:v>Acute Care Hospitals</x:v>
      </x:c>
      <x:c r="F1750" s="2" t="str">
        <x:v>Voluntary non-profit</x:v>
      </x:c>
      <x:c r="G1750" s="2" t="str">
        <x:v>Medium (100-299 beds)</x:v>
      </x:c>
      <x:c r="H1750" s="7" t="n">
        <x:v>2</x:v>
      </x:c>
      <x:c r="I1750" s="7" t="n">
        <x:v>3</x:v>
      </x:c>
      <x:c r="J1750" s="7" t="n">
        <x:v>0.97</x:v>
      </x:c>
      <x:c r="K1750" s="8" t="n">
        <x:v>239</x:v>
      </x:c>
      <x:c r="L1750" s="8" t="n">
        <x:v>16668</x:v>
      </x:c>
      <x:c r="M1750" s="9" t="n">
        <x:v>0.8301552461</x:v>
      </x:c>
      <x:c r="N1750" s="10" t="n">
        <x:v>40307.7315814735</x:v>
      </x:c>
      <x:c r="O1750" s="9" t="n">
        <x:v>0.0350504277</x:v>
      </x:c>
      <x:c r="P1750" s="9" t="n">
        <x:v>0.6462917685</x:v>
      </x:c>
      <x:c r="Q1750" s="9" t="n">
        <x:v>0.0782396088</x:v>
      </x:c>
      <x:c r="R1750" s="3" t="b">
        <x:v>0</x:v>
      </x:c>
      <x:c r="S1750" s="3" t="b">
        <x:v>1</x:v>
      </x:c>
      <x:c r="T1750" s="3" t="b">
        <x:v>0</x:v>
      </x:c>
      <x:c r="U1750" s="2" t="str">
        <x:f>IF(T1750=TRUE,"Priority review",IF(R1750=TRUE,"High cost",IF(S1750=TRUE,"Low quality","Benchmark")))</x:f>
        <x:v>Low quality</x:v>
      </x:c>
    </x:row>
    <x:row r="1751">
      <x:c r="A1751" s="2" t="str">
        <x:v>501304</x:v>
      </x:c>
      <x:c r="B1751" s="2" t="str">
        <x:v>SUMMIT PACIFIC MEDICAL CENTER</x:v>
      </x:c>
      <x:c r="C1751" s="2" t="str">
        <x:v>ELMA</x:v>
      </x:c>
      <x:c r="D1751" s="2" t="str">
        <x:v>WA</x:v>
      </x:c>
      <x:c r="E1751" s="2" t="str">
        <x:v>Critical Access Hospitals</x:v>
      </x:c>
      <x:c r="F1751" s="2" t="str">
        <x:v>Government</x:v>
      </x:c>
      <x:c r="G1751" s="2" t="str">
        <x:v>Small (&lt;100 beds)</x:v>
      </x:c>
      <x:c r="H1751" s="7" t="n">
        <x:v>2</x:v>
      </x:c>
      <x:c r="I1751" s="7"/>
      <x:c r="J1751" s="7"/>
      <x:c r="K1751" s="8" t="n">
        <x:v>10</x:v>
      </x:c>
      <x:c r="L1751" s="8" t="n">
        <x:v>534</x:v>
      </x:c>
      <x:c r="M1751" s="9" t="n">
        <x:v>0.5786885246</x:v>
      </x:c>
      <x:c r="N1751" s="10" t="n">
        <x:v>171303.6029962547</x:v>
      </x:c>
      <x:c r="O1751" s="9" t="n">
        <x:v>-0.0748292259</x:v>
      </x:c>
      <x:c r="P1751" s="9" t="n">
        <x:v>0.6460966543</x:v>
      </x:c>
      <x:c r="Q1751" s="9" t="n">
        <x:v>0.0171003717</x:v>
      </x:c>
      <x:c r="R1751" s="3" t="b">
        <x:v>0</x:v>
      </x:c>
      <x:c r="S1751" s="3" t="b">
        <x:v>1</x:v>
      </x:c>
      <x:c r="T1751" s="3" t="b">
        <x:v>0</x:v>
      </x:c>
      <x:c r="U1751" s="2" t="str">
        <x:f>IF(T1751=TRUE,"Priority review",IF(R1751=TRUE,"High cost",IF(S1751=TRUE,"Low quality","Benchmark")))</x:f>
        <x:v>Low quality</x:v>
      </x:c>
    </x:row>
    <x:row r="1752">
      <x:c r="A1752" s="2" t="str">
        <x:v>310027</x:v>
      </x:c>
      <x:c r="B1752" s="2" t="str">
        <x:v>TRINITAS REGIONAL MEDICAL CENTER</x:v>
      </x:c>
      <x:c r="C1752" s="2" t="str">
        <x:v>ELIZABETH</x:v>
      </x:c>
      <x:c r="D1752" s="2" t="str">
        <x:v>NJ</x:v>
      </x:c>
      <x:c r="E1752" s="2" t="str">
        <x:v>Acute Care Hospitals</x:v>
      </x:c>
      <x:c r="F1752" s="2" t="str">
        <x:v>Voluntary non-profit</x:v>
      </x:c>
      <x:c r="G1752" s="2" t="str">
        <x:v>Medium (100-299 beds)</x:v>
      </x:c>
      <x:c r="H1752" s="7" t="n">
        <x:v>3</x:v>
      </x:c>
      <x:c r="I1752" s="7" t="n">
        <x:v>2</x:v>
      </x:c>
      <x:c r="J1752" s="7" t="n">
        <x:v>1.11</x:v>
      </x:c>
      <x:c r="K1752" s="8" t="n">
        <x:v>182</x:v>
      </x:c>
      <x:c r="L1752" s="8" t="n">
        <x:v>9440</x:v>
      </x:c>
      <x:c r="M1752" s="9" t="n">
        <x:v>0.7016603615</x:v>
      </x:c>
      <x:c r="N1752" s="10" t="n">
        <x:v>40273.3644067797</x:v>
      </x:c>
      <x:c r="O1752" s="9" t="n">
        <x:v>-0.3035316051</x:v>
      </x:c>
      <x:c r="P1752" s="9" t="n">
        <x:v>0.6454767726</x:v>
      </x:c>
      <x:c r="Q1752" s="9" t="n">
        <x:v>0.3023634882</x:v>
      </x:c>
      <x:c r="R1752" s="3" t="b">
        <x:v>0</x:v>
      </x:c>
      <x:c r="S1752" s="3" t="b">
        <x:v>0</x:v>
      </x:c>
      <x:c r="T1752" s="3" t="b">
        <x:v>0</x:v>
      </x:c>
      <x:c r="U1752" s="2" t="str">
        <x:f>IF(T1752=TRUE,"Priority review",IF(R1752=TRUE,"High cost",IF(S1752=TRUE,"Low quality","Benchmark")))</x:f>
        <x:v>Benchmark</x:v>
      </x:c>
    </x:row>
    <x:row r="1753">
      <x:c r="A1753" s="2" t="str">
        <x:v>360092</x:v>
      </x:c>
      <x:c r="B1753" s="2" t="str">
        <x:v>MEMORIAL HOSPITAL</x:v>
      </x:c>
      <x:c r="C1753" s="2" t="str">
        <x:v>MARYSVILLE</x:v>
      </x:c>
      <x:c r="D1753" s="2" t="str">
        <x:v>OH</x:v>
      </x:c>
      <x:c r="E1753" s="2" t="str">
        <x:v>Acute Care Hospitals</x:v>
      </x:c>
      <x:c r="F1753" s="2" t="str">
        <x:v>Government</x:v>
      </x:c>
      <x:c r="G1753" s="2" t="str">
        <x:v>Small (&lt;100 beds)</x:v>
      </x:c>
      <x:c r="H1753" s="7" t="n">
        <x:v>5</x:v>
      </x:c>
      <x:c r="I1753" s="7" t="n">
        <x:v>4</x:v>
      </x:c>
      <x:c r="J1753" s="7" t="n">
        <x:v>0.84</x:v>
      </x:c>
      <x:c r="K1753" s="8" t="n">
        <x:v>54</x:v>
      </x:c>
      <x:c r="L1753" s="8" t="n">
        <x:v>2947</x:v>
      </x:c>
      <x:c r="M1753" s="9" t="n">
        <x:v>0.4586622141</x:v>
      </x:c>
      <x:c r="N1753" s="10" t="n">
        <x:v>68469.3719036308</x:v>
      </x:c>
      <x:c r="O1753" s="9" t="n">
        <x:v>-0.0741795827</x:v>
      </x:c>
      <x:c r="P1753" s="9" t="n">
        <x:v>0.6454219031</x:v>
      </x:c>
      <x:c r="Q1753" s="9" t="n">
        <x:v>0.6131059246</x:v>
      </x:c>
      <x:c r="R1753" s="3" t="b">
        <x:v>0</x:v>
      </x:c>
      <x:c r="S1753" s="3" t="b">
        <x:v>0</x:v>
      </x:c>
      <x:c r="T1753" s="3" t="b">
        <x:v>0</x:v>
      </x:c>
      <x:c r="U1753" s="2" t="str">
        <x:f>IF(T1753=TRUE,"Priority review",IF(R1753=TRUE,"High cost",IF(S1753=TRUE,"Low quality","Benchmark")))</x:f>
        <x:v>Benchmark</x:v>
      </x:c>
    </x:row>
    <x:row r="1754">
      <x:c r="A1754" s="2" t="str">
        <x:v>351300</x:v>
      </x:c>
      <x:c r="B1754" s="2" t="str">
        <x:v>TIOGA MEDICAL CENTER</x:v>
      </x:c>
      <x:c r="C1754" s="2" t="str">
        <x:v>TIOGA</x:v>
      </x:c>
      <x:c r="D1754" s="2" t="str">
        <x:v>ND</x:v>
      </x:c>
      <x:c r="E1754" s="2" t="str">
        <x:v>Critical Access Hospitals</x:v>
      </x:c>
      <x:c r="F1754" s="2" t="str">
        <x:v>Voluntary non-profit</x:v>
      </x:c>
      <x:c r="G1754" s="2" t="str">
        <x:v>Small (&lt;100 beds)</x:v>
      </x:c>
      <x:c r="H1754" s="7"/>
      <x:c r="I1754" s="7"/>
      <x:c r="J1754" s="7"/>
      <x:c r="K1754" s="8" t="n">
        <x:v>25</x:v>
      </x:c>
      <x:c r="L1754" s="8" t="n">
        <x:v>109</x:v>
      </x:c>
      <x:c r="M1754" s="9" t="n">
        <x:v>0.1632876712</x:v>
      </x:c>
      <x:c r="N1754" s="10" t="n">
        <x:v>171008.1100917431</x:v>
      </x:c>
      <x:c r="O1754" s="9" t="n">
        <x:v>-0.065790685</x:v>
      </x:c>
      <x:c r="P1754" s="9" t="n">
        <x:v>0.6453531599</x:v>
      </x:c>
      <x:c r="Q1754" s="9" t="n">
        <x:v>0.292936803</x:v>
      </x:c>
      <x:c r="R1754" s="3" t="b">
        <x:v>0</x:v>
      </x:c>
      <x:c r="S1754" s="3" t="b">
        <x:v>0</x:v>
      </x:c>
      <x:c r="T1754" s="3" t="b">
        <x:v>0</x:v>
      </x:c>
      <x:c r="U1754" s="2" t="str">
        <x:f>IF(T1754=TRUE,"Priority review",IF(R1754=TRUE,"High cost",IF(S1754=TRUE,"Low quality","Benchmark")))</x:f>
        <x:v>Benchmark</x:v>
      </x:c>
    </x:row>
    <x:row r="1755">
      <x:c r="A1755" s="2" t="str">
        <x:v>230092</x:v>
      </x:c>
      <x:c r="B1755" s="2" t="str">
        <x:v>HENRY FORD ALLEGIANCE HEALTH</x:v>
      </x:c>
      <x:c r="C1755" s="2" t="str">
        <x:v>JACKSON</x:v>
      </x:c>
      <x:c r="D1755" s="2" t="str">
        <x:v>MI</x:v>
      </x:c>
      <x:c r="E1755" s="2" t="str">
        <x:v>Acute Care Hospitals</x:v>
      </x:c>
      <x:c r="F1755" s="2" t="str">
        <x:v>Voluntary non-profit</x:v>
      </x:c>
      <x:c r="G1755" s="2" t="str">
        <x:v>Large (300+ beds)</x:v>
      </x:c>
      <x:c r="H1755" s="7" t="n">
        <x:v>3</x:v>
      </x:c>
      <x:c r="I1755" s="7" t="n">
        <x:v>2</x:v>
      </x:c>
      <x:c r="J1755" s="7" t="n">
        <x:v>0.93</x:v>
      </x:c>
      <x:c r="K1755" s="8" t="n">
        <x:v>356</x:v>
      </x:c>
      <x:c r="L1755" s="8" t="n">
        <x:v>17277</x:v>
      </x:c>
      <x:c r="M1755" s="9" t="n">
        <x:v>0.5913201835</x:v>
      </x:c>
      <x:c r="N1755" s="10" t="n">
        <x:v>45815.4799444348</x:v>
      </x:c>
      <x:c r="O1755" s="9" t="n">
        <x:v>0.0009130589</x:v>
      </x:c>
      <x:c r="P1755" s="9" t="n">
        <x:v>0.6451104101</x:v>
      </x:c>
      <x:c r="Q1755" s="9" t="n">
        <x:v>0.2570977918</x:v>
      </x:c>
      <x:c r="R1755" s="3" t="b">
        <x:v>0</x:v>
      </x:c>
      <x:c r="S1755" s="3" t="b">
        <x:v>0</x:v>
      </x:c>
      <x:c r="T1755" s="3" t="b">
        <x:v>0</x:v>
      </x:c>
      <x:c r="U1755" s="2" t="str">
        <x:f>IF(T1755=TRUE,"Priority review",IF(R1755=TRUE,"High cost",IF(S1755=TRUE,"Low quality","Benchmark")))</x:f>
        <x:v>Benchmark</x:v>
      </x:c>
    </x:row>
    <x:row r="1756">
      <x:c r="A1756" s="2" t="str">
        <x:v>140080</x:v>
      </x:c>
      <x:c r="B1756" s="2" t="str">
        <x:v>SAINT FRANCIS HOSPITAL-EVANSTON</x:v>
      </x:c>
      <x:c r="C1756" s="2" t="str">
        <x:v>EVANSTON</x:v>
      </x:c>
      <x:c r="D1756" s="2" t="str">
        <x:v>IL</x:v>
      </x:c>
      <x:c r="E1756" s="2" t="str">
        <x:v>Acute Care Hospitals</x:v>
      </x:c>
      <x:c r="F1756" s="2" t="str">
        <x:v>Voluntary non-profit</x:v>
      </x:c>
      <x:c r="G1756" s="2" t="str">
        <x:v>Medium (100-299 beds)</x:v>
      </x:c>
      <x:c r="H1756" s="7" t="n">
        <x:v>2</x:v>
      </x:c>
      <x:c r="I1756" s="7" t="n">
        <x:v>2</x:v>
      </x:c>
      <x:c r="J1756" s="7" t="n">
        <x:v>1.08</x:v>
      </x:c>
      <x:c r="K1756" s="8" t="n">
        <x:v>146</x:v>
      </x:c>
      <x:c r="L1756" s="8" t="n">
        <x:v>3886</x:v>
      </x:c>
      <x:c r="M1756" s="9" t="n">
        <x:v>0.592733525</x:v>
      </x:c>
      <x:c r="N1756" s="10" t="n">
        <x:v>40219.2861554297</x:v>
      </x:c>
      <x:c r="O1756" s="9" t="n">
        <x:v>-0.2320018463</x:v>
      </x:c>
      <x:c r="P1756" s="9" t="n">
        <x:v>0.6446617767</x:v>
      </x:c>
      <x:c r="Q1756" s="9" t="n">
        <x:v>0.0782396088</x:v>
      </x:c>
      <x:c r="R1756" s="3" t="b">
        <x:v>0</x:v>
      </x:c>
      <x:c r="S1756" s="3" t="b">
        <x:v>1</x:v>
      </x:c>
      <x:c r="T1756" s="3" t="b">
        <x:v>0</x:v>
      </x:c>
      <x:c r="U1756" s="2" t="str">
        <x:f>IF(T1756=TRUE,"Priority review",IF(R1756=TRUE,"High cost",IF(S1756=TRUE,"Low quality","Benchmark")))</x:f>
        <x:v>Low quality</x:v>
      </x:c>
    </x:row>
    <x:row r="1757">
      <x:c r="A1757" s="2" t="str">
        <x:v>331321</x:v>
      </x:c>
      <x:c r="B1757" s="2" t="str">
        <x:v>THE UNIVERSITY OF VERMONT HEALTH NETWORK-ALICE HY</x:v>
      </x:c>
      <x:c r="C1757" s="2" t="str">
        <x:v>MALONE</x:v>
      </x:c>
      <x:c r="D1757" s="2" t="str">
        <x:v>NY</x:v>
      </x:c>
      <x:c r="E1757" s="2" t="str">
        <x:v>Critical Access Hospitals</x:v>
      </x:c>
      <x:c r="F1757" s="2" t="str">
        <x:v>Voluntary non-profit</x:v>
      </x:c>
      <x:c r="G1757" s="2" t="str">
        <x:v>Small (&lt;100 beds)</x:v>
      </x:c>
      <x:c r="H1757" s="7" t="n">
        <x:v>1</x:v>
      </x:c>
      <x:c r="I1757" s="7" t="n">
        <x:v>3</x:v>
      </x:c>
      <x:c r="J1757" s="7"/>
      <x:c r="K1757" s="8" t="n">
        <x:v>25</x:v>
      </x:c>
      <x:c r="L1757" s="8" t="n">
        <x:v>672</x:v>
      </x:c>
      <x:c r="M1757" s="9" t="n">
        <x:v>0.4891803279</x:v>
      </x:c>
      <x:c r="N1757" s="10" t="n">
        <x:v>170834.6860119048</x:v>
      </x:c>
      <x:c r="O1757" s="9" t="n">
        <x:v>-0.1277539745</x:v>
      </x:c>
      <x:c r="P1757" s="9" t="n">
        <x:v>0.6446096654</x:v>
      </x:c>
      <x:c r="Q1757" s="9" t="n">
        <x:v>0</x:v>
      </x:c>
      <x:c r="R1757" s="3" t="b">
        <x:v>0</x:v>
      </x:c>
      <x:c r="S1757" s="3" t="b">
        <x:v>1</x:v>
      </x:c>
      <x:c r="T1757" s="3" t="b">
        <x:v>0</x:v>
      </x:c>
      <x:c r="U1757" s="2" t="str">
        <x:f>IF(T1757=TRUE,"Priority review",IF(R1757=TRUE,"High cost",IF(S1757=TRUE,"Low quality","Benchmark")))</x:f>
        <x:v>Low quality</x:v>
      </x:c>
    </x:row>
    <x:row r="1758">
      <x:c r="A1758" s="2" t="str">
        <x:v>420072</x:v>
      </x:c>
      <x:c r="B1758" s="2" t="str">
        <x:v>HAMPTON REGIONAL MEDICAL CENTER</x:v>
      </x:c>
      <x:c r="C1758" s="2" t="str">
        <x:v>VARNVILLE</x:v>
      </x:c>
      <x:c r="D1758" s="2" t="str">
        <x:v>SC</x:v>
      </x:c>
      <x:c r="E1758" s="2" t="str">
        <x:v>Acute Care Hospitals</x:v>
      </x:c>
      <x:c r="F1758" s="2" t="str">
        <x:v>Voluntary non-profit</x:v>
      </x:c>
      <x:c r="G1758" s="2" t="str">
        <x:v>Small (&lt;100 beds)</x:v>
      </x:c>
      <x:c r="H1758" s="7"/>
      <x:c r="I1758" s="7"/>
      <x:c r="J1758" s="7" t="n">
        <x:v>0.96</x:v>
      </x:c>
      <x:c r="K1758" s="8" t="n">
        <x:v>32</x:v>
      </x:c>
      <x:c r="L1758" s="8" t="n">
        <x:v>487</x:v>
      </x:c>
      <x:c r="M1758" s="9" t="n">
        <x:v>0.2011612022</x:v>
      </x:c>
      <x:c r="N1758" s="10" t="n">
        <x:v>68247.8439425051</x:v>
      </x:c>
      <x:c r="O1758" s="9" t="n">
        <x:v>-0.0267571872</x:v>
      </x:c>
      <x:c r="P1758" s="9" t="n">
        <x:v>0.644524237</x:v>
      </x:c>
      <x:c r="Q1758" s="9" t="n">
        <x:v>0.697486535</x:v>
      </x:c>
      <x:c r="R1758" s="3" t="b">
        <x:v>0</x:v>
      </x:c>
      <x:c r="S1758" s="3" t="b">
        <x:v>0</x:v>
      </x:c>
      <x:c r="T1758" s="3" t="b">
        <x:v>0</x:v>
      </x:c>
      <x:c r="U1758" s="2" t="str">
        <x:f>IF(T1758=TRUE,"Priority review",IF(R1758=TRUE,"High cost",IF(S1758=TRUE,"Low quality","Benchmark")))</x:f>
        <x:v>Benchmark</x:v>
      </x:c>
    </x:row>
    <x:row r="1759">
      <x:c r="A1759" s="2" t="str">
        <x:v>444021</x:v>
      </x:c>
      <x:c r="B1759" s="2" t="str">
        <x:v>UNITY PSYCHIATRIC CARE-COLUMBIA</x:v>
      </x:c>
      <x:c r="C1759" s="2" t="str">
        <x:v>COLUMBIA</x:v>
      </x:c>
      <x:c r="D1759" s="2" t="str">
        <x:v>TN</x:v>
      </x:c>
      <x:c r="E1759" s="2" t="str">
        <x:v>Psychiatric</x:v>
      </x:c>
      <x:c r="F1759" s="2" t="str">
        <x:v>Proprietary</x:v>
      </x:c>
      <x:c r="G1759" s="2" t="str">
        <x:v>Small (&lt;100 beds)</x:v>
      </x:c>
      <x:c r="H1759" s="7"/>
      <x:c r="I1759" s="7"/>
      <x:c r="J1759" s="7"/>
      <x:c r="K1759" s="8" t="n">
        <x:v>24</x:v>
      </x:c>
      <x:c r="L1759" s="8" t="n">
        <x:v>365</x:v>
      </x:c>
      <x:c r="M1759" s="9" t="n">
        <x:v>0.6948998179</x:v>
      </x:c>
      <x:c r="N1759" s="10" t="n">
        <x:v>17558.9506849315</x:v>
      </x:c>
      <x:c r="O1759" s="9" t="n">
        <x:v>-0.0808846669</x:v>
      </x:c>
      <x:c r="P1759" s="9" t="n">
        <x:v>0.644012945</x:v>
      </x:c>
      <x:c r="Q1759" s="9" t="n">
        <x:v>0</x:v>
      </x:c>
      <x:c r="R1759" s="3" t="b">
        <x:v>0</x:v>
      </x:c>
      <x:c r="S1759" s="3" t="b">
        <x:v>0</x:v>
      </x:c>
      <x:c r="T1759" s="3" t="b">
        <x:v>0</x:v>
      </x:c>
      <x:c r="U1759" s="2" t="str">
        <x:f>IF(T1759=TRUE,"Priority review",IF(R1759=TRUE,"High cost",IF(S1759=TRUE,"Low quality","Benchmark")))</x:f>
        <x:v>Benchmark</x:v>
      </x:c>
    </x:row>
    <x:row r="1760">
      <x:c r="A1760" s="2" t="str">
        <x:v>181309</x:v>
      </x:c>
      <x:c r="B1760" s="2" t="str">
        <x:v>CASEY COUNTY HOSPITAL</x:v>
      </x:c>
      <x:c r="C1760" s="2" t="str">
        <x:v>LIBERTY</x:v>
      </x:c>
      <x:c r="D1760" s="2" t="str">
        <x:v>KY</x:v>
      </x:c>
      <x:c r="E1760" s="2" t="str">
        <x:v>Critical Access Hospitals</x:v>
      </x:c>
      <x:c r="F1760" s="2" t="str">
        <x:v>Government</x:v>
      </x:c>
      <x:c r="G1760" s="2" t="str">
        <x:v>Small (&lt;100 beds)</x:v>
      </x:c>
      <x:c r="H1760" s="7" t="n">
        <x:v>3</x:v>
      </x:c>
      <x:c r="I1760" s="7"/>
      <x:c r="J1760" s="7"/>
      <x:c r="K1760" s="8" t="n">
        <x:v>24</x:v>
      </x:c>
      <x:c r="L1760" s="8" t="n">
        <x:v>207</x:v>
      </x:c>
      <x:c r="M1760" s="9" t="n">
        <x:v>0.8933789954</x:v>
      </x:c>
      <x:c r="N1760" s="10" t="n">
        <x:v>170754.4782608696</x:v>
      </x:c>
      <x:c r="O1760" s="9" t="n">
        <x:v>0.4227891237</x:v>
      </x:c>
      <x:c r="P1760" s="9" t="n">
        <x:v>0.643866171</x:v>
      </x:c>
      <x:c r="Q1760" s="9" t="n">
        <x:v>0.0765799257</x:v>
      </x:c>
      <x:c r="R1760" s="3" t="b">
        <x:v>0</x:v>
      </x:c>
      <x:c r="S1760" s="3" t="b">
        <x:v>1</x:v>
      </x:c>
      <x:c r="T1760" s="3" t="b">
        <x:v>0</x:v>
      </x:c>
      <x:c r="U1760" s="2" t="str">
        <x:f>IF(T1760=TRUE,"Priority review",IF(R1760=TRUE,"High cost",IF(S1760=TRUE,"Low quality","Benchmark")))</x:f>
        <x:v>Low quality</x:v>
      </x:c>
    </x:row>
    <x:row r="1761">
      <x:c r="A1761" s="2" t="str">
        <x:v>050780</x:v>
      </x:c>
      <x:c r="B1761" s="2" t="str">
        <x:v>FOOTHILL REGIONAL MEDICAL CENTER</x:v>
      </x:c>
      <x:c r="C1761" s="2" t="str">
        <x:v>TUSTIN</x:v>
      </x:c>
      <x:c r="D1761" s="2" t="str">
        <x:v>CA</x:v>
      </x:c>
      <x:c r="E1761" s="2" t="str">
        <x:v>Acute Care Hospitals</x:v>
      </x:c>
      <x:c r="F1761" s="2" t="str">
        <x:v>Proprietary</x:v>
      </x:c>
      <x:c r="G1761" s="2" t="str">
        <x:v>Medium (100-299 beds)</x:v>
      </x:c>
      <x:c r="H1761" s="7" t="n">
        <x:v>3</x:v>
      </x:c>
      <x:c r="I1761" s="7" t="n">
        <x:v>1</x:v>
      </x:c>
      <x:c r="J1761" s="7" t="n">
        <x:v>1.42</x:v>
      </x:c>
      <x:c r="K1761" s="8" t="n">
        <x:v>111</x:v>
      </x:c>
      <x:c r="L1761" s="8" t="n">
        <x:v>4914</x:v>
      </x:c>
      <x:c r="M1761" s="9" t="n">
        <x:v>0.4197312066</x:v>
      </x:c>
      <x:c r="N1761" s="10" t="n">
        <x:v>40192.7498982499</x:v>
      </x:c>
      <x:c r="O1761" s="9" t="n">
        <x:v>-1.0833679678</x:v>
      </x:c>
      <x:c r="P1761" s="9" t="n">
        <x:v>0.6438467808</x:v>
      </x:c>
      <x:c r="Q1761" s="9" t="n">
        <x:v>0.3023634882</x:v>
      </x:c>
      <x:c r="R1761" s="3" t="b">
        <x:v>0</x:v>
      </x:c>
      <x:c r="S1761" s="3" t="b">
        <x:v>0</x:v>
      </x:c>
      <x:c r="T1761" s="3" t="b">
        <x:v>0</x:v>
      </x:c>
      <x:c r="U1761" s="2" t="str">
        <x:f>IF(T1761=TRUE,"Priority review",IF(R1761=TRUE,"High cost",IF(S1761=TRUE,"Low quality","Benchmark")))</x:f>
        <x:v>Benchmark</x:v>
      </x:c>
    </x:row>
    <x:row r="1762">
      <x:c r="A1762" s="2" t="str">
        <x:v>390112</x:v>
      </x:c>
      <x:c r="B1762" s="2" t="str">
        <x:v>CHAN SOON- SHIONG MEDICAL CENTER AT WINDBER</x:v>
      </x:c>
      <x:c r="C1762" s="2" t="str">
        <x:v>WINDBER</x:v>
      </x:c>
      <x:c r="D1762" s="2" t="str">
        <x:v>PA</x:v>
      </x:c>
      <x:c r="E1762" s="2" t="str">
        <x:v>Acute Care Hospitals</x:v>
      </x:c>
      <x:c r="F1762" s="2" t="str">
        <x:v>Voluntary non-profit</x:v>
      </x:c>
      <x:c r="G1762" s="2" t="str">
        <x:v>Small (&lt;100 beds)</x:v>
      </x:c>
      <x:c r="H1762" s="7" t="n">
        <x:v>2</x:v>
      </x:c>
      <x:c r="I1762" s="7" t="n">
        <x:v>4</x:v>
      </x:c>
      <x:c r="J1762" s="7" t="n">
        <x:v>1.02</x:v>
      </x:c>
      <x:c r="K1762" s="8" t="n">
        <x:v>47</x:v>
      </x:c>
      <x:c r="L1762" s="8" t="n">
        <x:v>951</x:v>
      </x:c>
      <x:c r="M1762" s="9" t="n">
        <x:v>0.1642669776</x:v>
      </x:c>
      <x:c r="N1762" s="10" t="n">
        <x:v>67905.1398527865</x:v>
      </x:c>
      <x:c r="O1762" s="9" t="n">
        <x:v>-0.7505588331</x:v>
      </x:c>
      <x:c r="P1762" s="9" t="n">
        <x:v>0.6436265709</x:v>
      </x:c>
      <x:c r="Q1762" s="9" t="n">
        <x:v>0.0350089767</x:v>
      </x:c>
      <x:c r="R1762" s="3" t="b">
        <x:v>0</x:v>
      </x:c>
      <x:c r="S1762" s="3" t="b">
        <x:v>1</x:v>
      </x:c>
      <x:c r="T1762" s="3" t="b">
        <x:v>0</x:v>
      </x:c>
      <x:c r="U1762" s="2" t="str">
        <x:f>IF(T1762=TRUE,"Priority review",IF(R1762=TRUE,"High cost",IF(S1762=TRUE,"Low quality","Benchmark")))</x:f>
        <x:v>Low quality</x:v>
      </x:c>
    </x:row>
    <x:row r="1763">
      <x:c r="A1763" s="2" t="str">
        <x:v>390067</x:v>
      </x:c>
      <x:c r="B1763" s="2" t="str">
        <x:v>UPMC PINNACLE HOSPITALS</x:v>
      </x:c>
      <x:c r="C1763" s="2" t="str">
        <x:v>HARRISBURG</x:v>
      </x:c>
      <x:c r="D1763" s="2" t="str">
        <x:v>PA</x:v>
      </x:c>
      <x:c r="E1763" s="2" t="str">
        <x:v>Acute Care Hospitals</x:v>
      </x:c>
      <x:c r="F1763" s="2" t="str">
        <x:v>Voluntary non-profit</x:v>
      </x:c>
      <x:c r="G1763" s="2" t="str">
        <x:v>Large (300+ beds)</x:v>
      </x:c>
      <x:c r="H1763" s="7" t="n">
        <x:v>4</x:v>
      </x:c>
      <x:c r="I1763" s="7" t="n">
        <x:v>3</x:v>
      </x:c>
      <x:c r="J1763" s="7" t="n">
        <x:v>1.05</x:v>
      </x:c>
      <x:c r="K1763" s="8" t="n">
        <x:v>529</x:v>
      </x:c>
      <x:c r="L1763" s="8" t="n">
        <x:v>27132</x:v>
      </x:c>
      <x:c r="M1763" s="9" t="n">
        <x:v>0.8505166119</x:v>
      </x:c>
      <x:c r="N1763" s="10" t="n">
        <x:v>45768.8349918915</x:v>
      </x:c>
      <x:c r="O1763" s="9" t="n">
        <x:v>0.201399061</x:v>
      </x:c>
      <x:c r="P1763" s="9" t="n">
        <x:v>0.643533123</x:v>
      </x:c>
      <x:c r="Q1763" s="9" t="n">
        <x:v>0.5899053628</x:v>
      </x:c>
      <x:c r="R1763" s="3" t="b">
        <x:v>0</x:v>
      </x:c>
      <x:c r="S1763" s="3" t="b">
        <x:v>0</x:v>
      </x:c>
      <x:c r="T1763" s="3" t="b">
        <x:v>0</x:v>
      </x:c>
      <x:c r="U1763" s="2" t="str">
        <x:f>IF(T1763=TRUE,"Priority review",IF(R1763=TRUE,"High cost",IF(S1763=TRUE,"Low quality","Benchmark")))</x:f>
        <x:v>Benchmark</x:v>
      </x:c>
    </x:row>
    <x:row r="1764">
      <x:c r="A1764" s="2" t="str">
        <x:v>271301</x:v>
      </x:c>
      <x:c r="B1764" s="2" t="str">
        <x:v>FALLON MEDICAL COMPLEX HOSPITAL</x:v>
      </x:c>
      <x:c r="C1764" s="2" t="str">
        <x:v>BAKER</x:v>
      </x:c>
      <x:c r="D1764" s="2" t="str">
        <x:v>MT</x:v>
      </x:c>
      <x:c r="E1764" s="2" t="str">
        <x:v>Critical Access Hospitals</x:v>
      </x:c>
      <x:c r="F1764" s="2" t="str">
        <x:v>Voluntary non-profit</x:v>
      </x:c>
      <x:c r="G1764" s="2" t="str">
        <x:v>Small (&lt;100 beds)</x:v>
      </x:c>
      <x:c r="H1764" s="7"/>
      <x:c r="I1764" s="7"/>
      <x:c r="J1764" s="7"/>
      <x:c r="K1764" s="8" t="n">
        <x:v>25</x:v>
      </x:c>
      <x:c r="L1764" s="8" t="n">
        <x:v>75</x:v>
      </x:c>
      <x:c r="M1764" s="9" t="n">
        <x:v>0.7543013699</x:v>
      </x:c>
      <x:c r="N1764" s="10" t="n">
        <x:v>170234.3466666667</x:v>
      </x:c>
      <x:c r="O1764" s="9" t="n">
        <x:v>-0.110207009</x:v>
      </x:c>
      <x:c r="P1764" s="9" t="n">
        <x:v>0.6431226766</x:v>
      </x:c>
      <x:c r="Q1764" s="9" t="n">
        <x:v>0.292936803</x:v>
      </x:c>
      <x:c r="R1764" s="3" t="b">
        <x:v>0</x:v>
      </x:c>
      <x:c r="S1764" s="3" t="b">
        <x:v>0</x:v>
      </x:c>
      <x:c r="T1764" s="3" t="b">
        <x:v>0</x:v>
      </x:c>
      <x:c r="U1764" s="2" t="str">
        <x:f>IF(T1764=TRUE,"Priority review",IF(R1764=TRUE,"High cost",IF(S1764=TRUE,"Low quality","Benchmark")))</x:f>
        <x:v>Benchmark</x:v>
      </x:c>
    </x:row>
    <x:row r="1765">
      <x:c r="A1765" s="2" t="str">
        <x:v>390339</x:v>
      </x:c>
      <x:c r="B1765" s="2" t="str">
        <x:v>PENN STATE HEALTH LANCASTER MEDICAL CENTER</x:v>
      </x:c>
      <x:c r="C1765" s="2" t="str">
        <x:v>LANCASTER</x:v>
      </x:c>
      <x:c r="D1765" s="2" t="str">
        <x:v>PA</x:v>
      </x:c>
      <x:c r="E1765" s="2" t="str">
        <x:v>Acute Care Hospitals</x:v>
      </x:c>
      <x:c r="F1765" s="2" t="str">
        <x:v>Voluntary non-profit</x:v>
      </x:c>
      <x:c r="G1765" s="2" t="str">
        <x:v>Medium (100-299 beds)</x:v>
      </x:c>
      <x:c r="H1765" s="7" t="n">
        <x:v>3</x:v>
      </x:c>
      <x:c r="I1765" s="7" t="n">
        <x:v>3</x:v>
      </x:c>
      <x:c r="J1765" s="7" t="n">
        <x:v>0.99</x:v>
      </x:c>
      <x:c r="K1765" s="8" t="n">
        <x:v>127</x:v>
      </x:c>
      <x:c r="L1765" s="8" t="n">
        <x:v>5531</x:v>
      </x:c>
      <x:c r="M1765" s="9" t="n">
        <x:v>0.499967641</x:v>
      </x:c>
      <x:c r="N1765" s="10" t="n">
        <x:v>40148.1446393057</x:v>
      </x:c>
      <x:c r="O1765" s="9" t="n">
        <x:v>-0.0355232603</x:v>
      </x:c>
      <x:c r="P1765" s="9" t="n">
        <x:v>0.6430317848</x:v>
      </x:c>
      <x:c r="Q1765" s="9" t="n">
        <x:v>0.3023634882</x:v>
      </x:c>
      <x:c r="R1765" s="3" t="b">
        <x:v>0</x:v>
      </x:c>
      <x:c r="S1765" s="3" t="b">
        <x:v>0</x:v>
      </x:c>
      <x:c r="T1765" s="3" t="b">
        <x:v>0</x:v>
      </x:c>
      <x:c r="U1765" s="2" t="str">
        <x:f>IF(T1765=TRUE,"Priority review",IF(R1765=TRUE,"High cost",IF(S1765=TRUE,"Low quality","Benchmark")))</x:f>
        <x:v>Benchmark</x:v>
      </x:c>
    </x:row>
    <x:row r="1766">
      <x:c r="A1766" s="2" t="str">
        <x:v>283300</x:v>
      </x:c>
      <x:c r="B1766" s="2" t="str">
        <x:v>BOYS TOWN NATIONAL RESEARCH HOSPITAL</x:v>
      </x:c>
      <x:c r="C1766" s="2" t="str">
        <x:v>BOYS TOWN</x:v>
      </x:c>
      <x:c r="D1766" s="2" t="str">
        <x:v>NE</x:v>
      </x:c>
      <x:c r="E1766" s="2" t="str">
        <x:v>Childrens</x:v>
      </x:c>
      <x:c r="F1766" s="2" t="str">
        <x:v>Voluntary non-profit</x:v>
      </x:c>
      <x:c r="G1766" s="2" t="str">
        <x:v>Small (&lt;100 beds)</x:v>
      </x:c>
      <x:c r="H1766" s="7"/>
      <x:c r="I1766" s="7"/>
      <x:c r="J1766" s="7"/>
      <x:c r="K1766" s="8" t="n">
        <x:v>52</x:v>
      </x:c>
      <x:c r="L1766" s="8" t="n">
        <x:v>837</x:v>
      </x:c>
      <x:c r="M1766" s="9" t="n">
        <x:v>0.1577343422</x:v>
      </x:c>
      <x:c r="N1766" s="10" t="n">
        <x:v>312603.5244922342</x:v>
      </x:c>
      <x:c r="O1766" s="9" t="n">
        <x:v>-0.2876237158</x:v>
      </x:c>
      <x:c r="P1766" s="9" t="n">
        <x:v>0.6428571429</x:v>
      </x:c>
      <x:c r="Q1766" s="9" t="n">
        <x:v>0</x:v>
      </x:c>
      <x:c r="R1766" s="3" t="b">
        <x:v>0</x:v>
      </x:c>
      <x:c r="S1766" s="3" t="b">
        <x:v>0</x:v>
      </x:c>
      <x:c r="T1766" s="3" t="b">
        <x:v>0</x:v>
      </x:c>
      <x:c r="U1766" s="2" t="str">
        <x:f>IF(T1766=TRUE,"Priority review",IF(R1766=TRUE,"High cost",IF(S1766=TRUE,"Low quality","Benchmark")))</x:f>
        <x:v>Benchmark</x:v>
      </x:c>
    </x:row>
    <x:row r="1767">
      <x:c r="A1767" s="2" t="str">
        <x:v>520078</x:v>
      </x:c>
      <x:c r="B1767" s="2" t="str">
        <x:v>ASCENSION ST FRANCIS HOSPITAL</x:v>
      </x:c>
      <x:c r="C1767" s="2" t="str">
        <x:v>MILWAUKEE</x:v>
      </x:c>
      <x:c r="D1767" s="2" t="str">
        <x:v>WI</x:v>
      </x:c>
      <x:c r="E1767" s="2" t="str">
        <x:v>Acute Care Hospitals</x:v>
      </x:c>
      <x:c r="F1767" s="2" t="str">
        <x:v>Voluntary non-profit</x:v>
      </x:c>
      <x:c r="G1767" s="2" t="str">
        <x:v>Small (&lt;100 beds)</x:v>
      </x:c>
      <x:c r="H1767" s="7" t="n">
        <x:v>3</x:v>
      </x:c>
      <x:c r="I1767" s="7" t="n">
        <x:v>2</x:v>
      </x:c>
      <x:c r="J1767" s="7"/>
      <x:c r="K1767" s="8" t="n">
        <x:v>73</x:v>
      </x:c>
      <x:c r="L1767" s="8" t="n">
        <x:v>1986</x:v>
      </x:c>
      <x:c r="M1767" s="9" t="n">
        <x:v>0.3397635579</x:v>
      </x:c>
      <x:c r="N1767" s="10" t="n">
        <x:v>67863.1752265861</x:v>
      </x:c>
      <x:c r="O1767" s="9" t="n">
        <x:v>-0.2685927547</x:v>
      </x:c>
      <x:c r="P1767" s="9" t="n">
        <x:v>0.6427289048</x:v>
      </x:c>
      <x:c r="Q1767" s="9" t="n">
        <x:v>0.1687612208</x:v>
      </x:c>
      <x:c r="R1767" s="3" t="b">
        <x:v>0</x:v>
      </x:c>
      <x:c r="S1767" s="3" t="b">
        <x:v>0</x:v>
      </x:c>
      <x:c r="T1767" s="3" t="b">
        <x:v>0</x:v>
      </x:c>
      <x:c r="U1767" s="2" t="str">
        <x:f>IF(T1767=TRUE,"Priority review",IF(R1767=TRUE,"High cost",IF(S1767=TRUE,"Low quality","Benchmark")))</x:f>
        <x:v>Benchmark</x:v>
      </x:c>
    </x:row>
    <x:row r="1768">
      <x:c r="A1768" s="2" t="str">
        <x:v>171309</x:v>
      </x:c>
      <x:c r="B1768" s="2" t="str">
        <x:v>JEWELL COUNTY HOSPITAL</x:v>
      </x:c>
      <x:c r="C1768" s="2" t="str">
        <x:v>MANKATO</x:v>
      </x:c>
      <x:c r="D1768" s="2" t="str">
        <x:v>KS</x:v>
      </x:c>
      <x:c r="E1768" s="2" t="str">
        <x:v>Critical Access Hospitals</x:v>
      </x:c>
      <x:c r="F1768" s="2" t="str">
        <x:v>Government</x:v>
      </x:c>
      <x:c r="G1768" s="2" t="str">
        <x:v>Small (&lt;100 beds)</x:v>
      </x:c>
      <x:c r="H1768" s="7"/>
      <x:c r="I1768" s="7"/>
      <x:c r="J1768" s="7"/>
      <x:c r="K1768" s="8" t="n">
        <x:v>25</x:v>
      </x:c>
      <x:c r="L1768" s="8" t="n">
        <x:v>55</x:v>
      </x:c>
      <x:c r="M1768" s="9" t="n">
        <x:v>0.7212021858</x:v>
      </x:c>
      <x:c r="N1768" s="10" t="n">
        <x:v>170159.6363636364</x:v>
      </x:c>
      <x:c r="O1768" s="9" t="n">
        <x:v>-0.1859184742</x:v>
      </x:c>
      <x:c r="P1768" s="9" t="n">
        <x:v>0.6423791822</x:v>
      </x:c>
      <x:c r="Q1768" s="9" t="n">
        <x:v>0.292936803</x:v>
      </x:c>
      <x:c r="R1768" s="3" t="b">
        <x:v>0</x:v>
      </x:c>
      <x:c r="S1768" s="3" t="b">
        <x:v>0</x:v>
      </x:c>
      <x:c r="T1768" s="3" t="b">
        <x:v>0</x:v>
      </x:c>
      <x:c r="U1768" s="2" t="str">
        <x:f>IF(T1768=TRUE,"Priority review",IF(R1768=TRUE,"High cost",IF(S1768=TRUE,"Low quality","Benchmark")))</x:f>
        <x:v>Benchmark</x:v>
      </x:c>
    </x:row>
    <x:row r="1769">
      <x:c r="A1769" s="2" t="str">
        <x:v>360009</x:v>
      </x:c>
      <x:c r="B1769" s="2" t="str">
        <x:v>LIMA MEMORIAL HEALTH SYSTEM</x:v>
      </x:c>
      <x:c r="C1769" s="2" t="str">
        <x:v>LIMA</x:v>
      </x:c>
      <x:c r="D1769" s="2" t="str">
        <x:v>OH</x:v>
      </x:c>
      <x:c r="E1769" s="2" t="str">
        <x:v>Acute Care Hospitals</x:v>
      </x:c>
      <x:c r="F1769" s="2" t="str">
        <x:v>Voluntary non-profit</x:v>
      </x:c>
      <x:c r="G1769" s="2" t="str">
        <x:v>Medium (100-299 beds)</x:v>
      </x:c>
      <x:c r="H1769" s="7" t="n">
        <x:v>3</x:v>
      </x:c>
      <x:c r="I1769" s="7" t="n">
        <x:v>3</x:v>
      </x:c>
      <x:c r="J1769" s="7" t="n">
        <x:v>0.98</x:v>
      </x:c>
      <x:c r="K1769" s="8" t="n">
        <x:v>107</x:v>
      </x:c>
      <x:c r="L1769" s="8" t="n">
        <x:v>6544</x:v>
      </x:c>
      <x:c r="M1769" s="9" t="n">
        <x:v>0.6655431285</x:v>
      </x:c>
      <x:c r="N1769" s="10" t="n">
        <x:v>40130.3100550122</x:v>
      </x:c>
      <x:c r="O1769" s="9" t="n">
        <x:v>0.0636710031</x:v>
      </x:c>
      <x:c r="P1769" s="9" t="n">
        <x:v>0.6422167889</x:v>
      </x:c>
      <x:c r="Q1769" s="9" t="n">
        <x:v>0.3023634882</x:v>
      </x:c>
      <x:c r="R1769" s="3" t="b">
        <x:v>0</x:v>
      </x:c>
      <x:c r="S1769" s="3" t="b">
        <x:v>0</x:v>
      </x:c>
      <x:c r="T1769" s="3" t="b">
        <x:v>0</x:v>
      </x:c>
      <x:c r="U1769" s="2" t="str">
        <x:f>IF(T1769=TRUE,"Priority review",IF(R1769=TRUE,"High cost",IF(S1769=TRUE,"Low quality","Benchmark")))</x:f>
        <x:v>Benchmark</x:v>
      </x:c>
    </x:row>
    <x:row r="1770">
      <x:c r="A1770" s="2" t="str">
        <x:v>010023</x:v>
      </x:c>
      <x:c r="B1770" s="2" t="str">
        <x:v>BAPTIST MEDICAL CENTER SOUTH</x:v>
      </x:c>
      <x:c r="C1770" s="2" t="str">
        <x:v>MONTGOMERY</x:v>
      </x:c>
      <x:c r="D1770" s="2" t="str">
        <x:v>AL</x:v>
      </x:c>
      <x:c r="E1770" s="2" t="str">
        <x:v>Acute Care Hospitals</x:v>
      </x:c>
      <x:c r="F1770" s="2" t="str">
        <x:v>Government</x:v>
      </x:c>
      <x:c r="G1770" s="2" t="str">
        <x:v>Large (300+ beds)</x:v>
      </x:c>
      <x:c r="H1770" s="7" t="n">
        <x:v>2</x:v>
      </x:c>
      <x:c r="I1770" s="7" t="n">
        <x:v>3</x:v>
      </x:c>
      <x:c r="J1770" s="7" t="n">
        <x:v>1.01</x:v>
      </x:c>
      <x:c r="K1770" s="8" t="n">
        <x:v>328</x:v>
      </x:c>
      <x:c r="L1770" s="8" t="n">
        <x:v>15539</x:v>
      </x:c>
      <x:c r="M1770" s="9" t="n">
        <x:v>0.8680922152</x:v>
      </x:c>
      <x:c r="N1770" s="10" t="n">
        <x:v>45675.0964025999</x:v>
      </x:c>
      <x:c r="O1770" s="9" t="n">
        <x:v>-0.024408242</x:v>
      </x:c>
      <x:c r="P1770" s="9" t="n">
        <x:v>0.641955836</x:v>
      </x:c>
      <x:c r="Q1770" s="9" t="n">
        <x:v>0.0536277603</x:v>
      </x:c>
      <x:c r="R1770" s="3" t="b">
        <x:v>0</x:v>
      </x:c>
      <x:c r="S1770" s="3" t="b">
        <x:v>1</x:v>
      </x:c>
      <x:c r="T1770" s="3" t="b">
        <x:v>0</x:v>
      </x:c>
      <x:c r="U1770" s="2" t="str">
        <x:f>IF(T1770=TRUE,"Priority review",IF(R1770=TRUE,"High cost",IF(S1770=TRUE,"Low quality","Benchmark")))</x:f>
        <x:v>Low quality</x:v>
      </x:c>
    </x:row>
    <x:row r="1771">
      <x:c r="A1771" s="2" t="str">
        <x:v>360071</x:v>
      </x:c>
      <x:c r="B1771" s="2" t="str">
        <x:v>VAN WERT COUNTY HOSPITAL</x:v>
      </x:c>
      <x:c r="C1771" s="2" t="str">
        <x:v>VAN WERT</x:v>
      </x:c>
      <x:c r="D1771" s="2" t="str">
        <x:v>OH</x:v>
      </x:c>
      <x:c r="E1771" s="2" t="str">
        <x:v>Acute Care Hospitals</x:v>
      </x:c>
      <x:c r="F1771" s="2" t="str">
        <x:v>Voluntary non-profit</x:v>
      </x:c>
      <x:c r="G1771" s="2" t="str">
        <x:v>Small (&lt;100 beds)</x:v>
      </x:c>
      <x:c r="H1771" s="7" t="n">
        <x:v>5</x:v>
      </x:c>
      <x:c r="I1771" s="7" t="n">
        <x:v>4</x:v>
      </x:c>
      <x:c r="J1771" s="7" t="n">
        <x:v>0.92</x:v>
      </x:c>
      <x:c r="K1771" s="8" t="n">
        <x:v>27</x:v>
      </x:c>
      <x:c r="L1771" s="8" t="n">
        <x:v>851</x:v>
      </x:c>
      <x:c r="M1771" s="9" t="n">
        <x:v>0.2449518011</x:v>
      </x:c>
      <x:c r="N1771" s="10" t="n">
        <x:v>67754.7884841363</x:v>
      </x:c>
      <x:c r="O1771" s="9" t="n">
        <x:v>-0.1878844871</x:v>
      </x:c>
      <x:c r="P1771" s="9" t="n">
        <x:v>0.6418312388</x:v>
      </x:c>
      <x:c r="Q1771" s="9" t="n">
        <x:v>0.6131059246</x:v>
      </x:c>
      <x:c r="R1771" s="3" t="b">
        <x:v>0</x:v>
      </x:c>
      <x:c r="S1771" s="3" t="b">
        <x:v>0</x:v>
      </x:c>
      <x:c r="T1771" s="3" t="b">
        <x:v>0</x:v>
      </x:c>
      <x:c r="U1771" s="2" t="str">
        <x:f>IF(T1771=TRUE,"Priority review",IF(R1771=TRUE,"High cost",IF(S1771=TRUE,"Low quality","Benchmark")))</x:f>
        <x:v>Benchmark</x:v>
      </x:c>
    </x:row>
    <x:row r="1772">
      <x:c r="A1772" s="2" t="str">
        <x:v>224021</x:v>
      </x:c>
      <x:c r="B1772" s="2" t="str">
        <x:v>ARBOUR-FULLER HOSPITAL</x:v>
      </x:c>
      <x:c r="C1772" s="2" t="str">
        <x:v>SOUTH ATTLEBORO</x:v>
      </x:c>
      <x:c r="D1772" s="2" t="str">
        <x:v>MA</x:v>
      </x:c>
      <x:c r="E1772" s="2" t="str">
        <x:v>Psychiatric</x:v>
      </x:c>
      <x:c r="F1772" s="2" t="str">
        <x:v>Proprietary</x:v>
      </x:c>
      <x:c r="G1772" s="2" t="str">
        <x:v>Medium (100-299 beds)</x:v>
      </x:c>
      <x:c r="H1772" s="7"/>
      <x:c r="I1772" s="7"/>
      <x:c r="J1772" s="7"/>
      <x:c r="K1772" s="8" t="n">
        <x:v>109</x:v>
      </x:c>
      <x:c r="L1772" s="8" t="n">
        <x:v>2041</x:v>
      </x:c>
      <x:c r="M1772" s="9" t="n">
        <x:v>0.9126435053</x:v>
      </x:c>
      <x:c r="N1772" s="10" t="n">
        <x:v>17779.34688878</x:v>
      </x:c>
      <x:c r="O1772" s="9" t="n">
        <x:v>0.1760040499</x:v>
      </x:c>
      <x:c r="P1772" s="9" t="n">
        <x:v>0.6417910448</x:v>
      </x:c>
      <x:c r="Q1772" s="9" t="n">
        <x:v>0</x:v>
      </x:c>
      <x:c r="R1772" s="3" t="b">
        <x:v>0</x:v>
      </x:c>
      <x:c r="S1772" s="3" t="b">
        <x:v>0</x:v>
      </x:c>
      <x:c r="T1772" s="3" t="b">
        <x:v>0</x:v>
      </x:c>
      <x:c r="U1772" s="2" t="str">
        <x:f>IF(T1772=TRUE,"Priority review",IF(R1772=TRUE,"High cost",IF(S1772=TRUE,"Low quality","Benchmark")))</x:f>
        <x:v>Benchmark</x:v>
      </x:c>
    </x:row>
    <x:row r="1773">
      <x:c r="A1773" s="2" t="str">
        <x:v>521317</x:v>
      </x:c>
      <x:c r="B1773" s="2" t="str">
        <x:v>ASCENSION CALUMET HOSPITAL</x:v>
      </x:c>
      <x:c r="C1773" s="2" t="str">
        <x:v>CHILTON</x:v>
      </x:c>
      <x:c r="D1773" s="2" t="str">
        <x:v>WI</x:v>
      </x:c>
      <x:c r="E1773" s="2" t="str">
        <x:v>Critical Access Hospitals</x:v>
      </x:c>
      <x:c r="F1773" s="2" t="str">
        <x:v>Voluntary non-profit</x:v>
      </x:c>
      <x:c r="G1773" s="2" t="str">
        <x:v>Small (&lt;100 beds)</x:v>
      </x:c>
      <x:c r="H1773" s="7"/>
      <x:c r="I1773" s="7"/>
      <x:c r="J1773" s="7"/>
      <x:c r="K1773" s="8" t="n">
        <x:v>25</x:v>
      </x:c>
      <x:c r="L1773" s="8" t="n">
        <x:v>170</x:v>
      </x:c>
      <x:c r="M1773" s="9" t="n">
        <x:v>0.149369863</x:v>
      </x:c>
      <x:c r="N1773" s="10" t="n">
        <x:v>169411.1352941176</x:v>
      </x:c>
      <x:c r="O1773" s="9" t="n">
        <x:v>0.0780804424</x:v>
      </x:c>
      <x:c r="P1773" s="9" t="n">
        <x:v>0.6416356877</x:v>
      </x:c>
      <x:c r="Q1773" s="9" t="n">
        <x:v>0.292936803</x:v>
      </x:c>
      <x:c r="R1773" s="3" t="b">
        <x:v>0</x:v>
      </x:c>
      <x:c r="S1773" s="3" t="b">
        <x:v>0</x:v>
      </x:c>
      <x:c r="T1773" s="3" t="b">
        <x:v>0</x:v>
      </x:c>
      <x:c r="U1773" s="2" t="str">
        <x:f>IF(T1773=TRUE,"Priority review",IF(R1773=TRUE,"High cost",IF(S1773=TRUE,"Low quality","Benchmark")))</x:f>
        <x:v>Benchmark</x:v>
      </x:c>
    </x:row>
    <x:row r="1774">
      <x:c r="A1774" s="2" t="str">
        <x:v>060132</x:v>
      </x:c>
      <x:c r="B1774" s="2" t="str">
        <x:v>UCHEALTH HIGHLANDS RANCH HOSPITAL</x:v>
      </x:c>
      <x:c r="C1774" s="2" t="str">
        <x:v>HIGHLANDS RANCH</x:v>
      </x:c>
      <x:c r="D1774" s="2" t="str">
        <x:v>CO</x:v>
      </x:c>
      <x:c r="E1774" s="2" t="str">
        <x:v>Acute Care Hospitals</x:v>
      </x:c>
      <x:c r="F1774" s="2" t="str">
        <x:v>Voluntary non-profit</x:v>
      </x:c>
      <x:c r="G1774" s="2" t="str">
        <x:v>Medium (100-299 beds)</x:v>
      </x:c>
      <x:c r="H1774" s="7" t="n">
        <x:v>5</x:v>
      </x:c>
      <x:c r="I1774" s="7" t="n">
        <x:v>4</x:v>
      </x:c>
      <x:c r="J1774" s="7" t="n">
        <x:v>0.97</x:v>
      </x:c>
      <x:c r="K1774" s="8" t="n">
        <x:v>139</x:v>
      </x:c>
      <x:c r="L1774" s="8" t="n">
        <x:v>7644</x:v>
      </x:c>
      <x:c r="M1774" s="9" t="n">
        <x:v>0.6370749975</x:v>
      </x:c>
      <x:c r="N1774" s="10" t="n">
        <x:v>40123.1161695447</x:v>
      </x:c>
      <x:c r="O1774" s="9" t="n">
        <x:v>0.0018854437</x:v>
      </x:c>
      <x:c r="P1774" s="9" t="n">
        <x:v>0.641401793</x:v>
      </x:c>
      <x:c r="Q1774" s="9" t="n">
        <x:v>0.8744906275</x:v>
      </x:c>
      <x:c r="R1774" s="3" t="b">
        <x:v>0</x:v>
      </x:c>
      <x:c r="S1774" s="3" t="b">
        <x:v>0</x:v>
      </x:c>
      <x:c r="T1774" s="3" t="b">
        <x:v>0</x:v>
      </x:c>
      <x:c r="U1774" s="2" t="str">
        <x:f>IF(T1774=TRUE,"Priority review",IF(R1774=TRUE,"High cost",IF(S1774=TRUE,"Low quality","Benchmark")))</x:f>
        <x:v>Benchmark</x:v>
      </x:c>
    </x:row>
    <x:row r="1775">
      <x:c r="A1775" s="2" t="str">
        <x:v>160124</x:v>
      </x:c>
      <x:c r="B1775" s="2" t="str">
        <x:v>LAKES REGIONAL HEALTHCARE</x:v>
      </x:c>
      <x:c r="C1775" s="2" t="str">
        <x:v>SPIRIT LAKE</x:v>
      </x:c>
      <x:c r="D1775" s="2" t="str">
        <x:v>IA</x:v>
      </x:c>
      <x:c r="E1775" s="2" t="str">
        <x:v>Acute Care Hospitals</x:v>
      </x:c>
      <x:c r="F1775" s="2" t="str">
        <x:v>Government</x:v>
      </x:c>
      <x:c r="G1775" s="2" t="str">
        <x:v>Small (&lt;100 beds)</x:v>
      </x:c>
      <x:c r="H1775" s="7" t="n">
        <x:v>2</x:v>
      </x:c>
      <x:c r="I1775" s="7" t="n">
        <x:v>5</x:v>
      </x:c>
      <x:c r="J1775" s="7" t="n">
        <x:v>0.88</x:v>
      </x:c>
      <x:c r="K1775" s="8" t="n">
        <x:v>44</x:v>
      </x:c>
      <x:c r="L1775" s="8" t="n">
        <x:v>1014</x:v>
      </x:c>
      <x:c r="M1775" s="9" t="n">
        <x:v>0.2270236613</x:v>
      </x:c>
      <x:c r="N1775" s="10" t="n">
        <x:v>67753.0256410256</x:v>
      </x:c>
      <x:c r="O1775" s="9" t="n">
        <x:v>0.001922686</x:v>
      </x:c>
      <x:c r="P1775" s="9" t="n">
        <x:v>0.6409335727</x:v>
      </x:c>
      <x:c r="Q1775" s="9" t="n">
        <x:v>0.0350089767</x:v>
      </x:c>
      <x:c r="R1775" s="3" t="b">
        <x:v>0</x:v>
      </x:c>
      <x:c r="S1775" s="3" t="b">
        <x:v>1</x:v>
      </x:c>
      <x:c r="T1775" s="3" t="b">
        <x:v>0</x:v>
      </x:c>
      <x:c r="U1775" s="2" t="str">
        <x:f>IF(T1775=TRUE,"Priority review",IF(R1775=TRUE,"High cost",IF(S1775=TRUE,"Low quality","Benchmark")))</x:f>
        <x:v>Low quality</x:v>
      </x:c>
    </x:row>
    <x:row r="1776">
      <x:c r="A1776" s="2" t="str">
        <x:v>061326</x:v>
      </x:c>
      <x:c r="B1776" s="2" t="str">
        <x:v>UCHEALTH PIKES PEAK REGIONAL HOSPITAL</x:v>
      </x:c>
      <x:c r="C1776" s="2" t="str">
        <x:v>WOODLAND PARK</x:v>
      </x:c>
      <x:c r="D1776" s="2" t="str">
        <x:v>CO</x:v>
      </x:c>
      <x:c r="E1776" s="2" t="str">
        <x:v>Critical Access Hospitals</x:v>
      </x:c>
      <x:c r="F1776" s="2" t="str">
        <x:v>Voluntary non-profit</x:v>
      </x:c>
      <x:c r="G1776" s="2" t="str">
        <x:v>Small (&lt;100 beds)</x:v>
      </x:c>
      <x:c r="H1776" s="7"/>
      <x:c r="I1776" s="7"/>
      <x:c r="J1776" s="7"/>
      <x:c r="K1776" s="8" t="n">
        <x:v>13</x:v>
      </x:c>
      <x:c r="L1776" s="8" t="n">
        <x:v>201</x:v>
      </x:c>
      <x:c r="M1776" s="9" t="n">
        <x:v>0.1949420443</x:v>
      </x:c>
      <x:c r="N1776" s="10" t="n">
        <x:v>169381.4776119403</x:v>
      </x:c>
      <x:c r="O1776" s="9" t="n">
        <x:v>0.0979983512</x:v>
      </x:c>
      <x:c r="P1776" s="9" t="n">
        <x:v>0.6408921933</x:v>
      </x:c>
      <x:c r="Q1776" s="9" t="n">
        <x:v>0.292936803</x:v>
      </x:c>
      <x:c r="R1776" s="3" t="b">
        <x:v>0</x:v>
      </x:c>
      <x:c r="S1776" s="3" t="b">
        <x:v>0</x:v>
      </x:c>
      <x:c r="T1776" s="3" t="b">
        <x:v>0</x:v>
      </x:c>
      <x:c r="U1776" s="2" t="str">
        <x:f>IF(T1776=TRUE,"Priority review",IF(R1776=TRUE,"High cost",IF(S1776=TRUE,"Low quality","Benchmark")))</x:f>
        <x:v>Benchmark</x:v>
      </x:c>
    </x:row>
    <x:row r="1777">
      <x:c r="A1777" s="2" t="str">
        <x:v>334049</x:v>
      </x:c>
      <x:c r="B1777" s="2" t="str">
        <x:v>FOUR WINDS OF SARATOGA</x:v>
      </x:c>
      <x:c r="C1777" s="2" t="str">
        <x:v>SARATOGA SPRINGS</x:v>
      </x:c>
      <x:c r="D1777" s="2" t="str">
        <x:v>NY</x:v>
      </x:c>
      <x:c r="E1777" s="2" t="str">
        <x:v>Psychiatric</x:v>
      </x:c>
      <x:c r="F1777" s="2" t="str">
        <x:v>Proprietary</x:v>
      </x:c>
      <x:c r="G1777" s="2" t="str">
        <x:v>Small (&lt;100 beds)</x:v>
      </x:c>
      <x:c r="H1777" s="7"/>
      <x:c r="I1777" s="7"/>
      <x:c r="J1777" s="7"/>
      <x:c r="K1777" s="8" t="n">
        <x:v>88</x:v>
      </x:c>
      <x:c r="L1777" s="8" t="n">
        <x:v>2284</x:v>
      </x:c>
      <x:c r="M1777" s="9" t="n">
        <x:v>1</x:v>
      </x:c>
      <x:c r="N1777" s="10" t="n">
        <x:v>17412.4890542907</x:v>
      </x:c>
      <x:c r="O1777" s="9" t="n">
        <x:v>-0.0136486069</x:v>
      </x:c>
      <x:c r="P1777" s="9" t="n">
        <x:v>0.640776699</x:v>
      </x:c>
      <x:c r="Q1777" s="9" t="n">
        <x:v>0</x:v>
      </x:c>
      <x:c r="R1777" s="3" t="b">
        <x:v>0</x:v>
      </x:c>
      <x:c r="S1777" s="3" t="b">
        <x:v>0</x:v>
      </x:c>
      <x:c r="T1777" s="3" t="b">
        <x:v>0</x:v>
      </x:c>
      <x:c r="U1777" s="2" t="str">
        <x:f>IF(T1777=TRUE,"Priority review",IF(R1777=TRUE,"High cost",IF(S1777=TRUE,"Low quality","Benchmark")))</x:f>
        <x:v>Benchmark</x:v>
      </x:c>
    </x:row>
    <x:row r="1778">
      <x:c r="A1778" s="2" t="str">
        <x:v>340020</x:v>
      </x:c>
      <x:c r="B1778" s="2" t="str">
        <x:v>CENTRAL CAROLINA HOSPITAL</x:v>
      </x:c>
      <x:c r="C1778" s="2" t="str">
        <x:v>SANFORD</x:v>
      </x:c>
      <x:c r="D1778" s="2" t="str">
        <x:v>NC</x:v>
      </x:c>
      <x:c r="E1778" s="2" t="str">
        <x:v>Acute Care Hospitals</x:v>
      </x:c>
      <x:c r="F1778" s="2" t="str">
        <x:v>Voluntary non-profit</x:v>
      </x:c>
      <x:c r="G1778" s="2" t="str">
        <x:v>Medium (100-299 beds)</x:v>
      </x:c>
      <x:c r="H1778" s="7" t="n">
        <x:v>2</x:v>
      </x:c>
      <x:c r="I1778" s="7" t="n">
        <x:v>2</x:v>
      </x:c>
      <x:c r="J1778" s="7" t="n">
        <x:v>0.96</x:v>
      </x:c>
      <x:c r="K1778" s="8" t="n">
        <x:v>127</x:v>
      </x:c>
      <x:c r="L1778" s="8" t="n">
        <x:v>2259</x:v>
      </x:c>
      <x:c r="M1778" s="9" t="n">
        <x:v>0.2083387118</x:v>
      </x:c>
      <x:c r="N1778" s="10" t="n">
        <x:v>40095.9557326251</x:v>
      </x:c>
      <x:c r="O1778" s="9" t="n">
        <x:v>0.0048310706</x:v>
      </x:c>
      <x:c r="P1778" s="9" t="n">
        <x:v>0.6405867971</x:v>
      </x:c>
      <x:c r="Q1778" s="9" t="n">
        <x:v>0.0782396088</x:v>
      </x:c>
      <x:c r="R1778" s="3" t="b">
        <x:v>0</x:v>
      </x:c>
      <x:c r="S1778" s="3" t="b">
        <x:v>1</x:v>
      </x:c>
      <x:c r="T1778" s="3" t="b">
        <x:v>0</x:v>
      </x:c>
      <x:c r="U1778" s="2" t="str">
        <x:f>IF(T1778=TRUE,"Priority review",IF(R1778=TRUE,"High cost",IF(S1778=TRUE,"Low quality","Benchmark")))</x:f>
        <x:v>Low quality</x:v>
      </x:c>
    </x:row>
    <x:row r="1779">
      <x:c r="A1779" s="2" t="str">
        <x:v>050292</x:v>
      </x:c>
      <x:c r="B1779" s="2" t="str">
        <x:v>RIVERSIDE UNIVERSITY HEALTH SYSTEM-MEDICAL CENTER</x:v>
      </x:c>
      <x:c r="C1779" s="2" t="str">
        <x:v>MORENO VALLEY</x:v>
      </x:c>
      <x:c r="D1779" s="2" t="str">
        <x:v>CA</x:v>
      </x:c>
      <x:c r="E1779" s="2" t="str">
        <x:v>Acute Care Hospitals</x:v>
      </x:c>
      <x:c r="F1779" s="2" t="str">
        <x:v>Government</x:v>
      </x:c>
      <x:c r="G1779" s="2" t="str">
        <x:v>Large (300+ beds)</x:v>
      </x:c>
      <x:c r="H1779" s="7" t="n">
        <x:v>3</x:v>
      </x:c>
      <x:c r="I1779" s="7" t="n">
        <x:v>2</x:v>
      </x:c>
      <x:c r="J1779" s="7" t="n">
        <x:v>1.05</x:v>
      </x:c>
      <x:c r="K1779" s="8" t="n">
        <x:v>423</x:v>
      </x:c>
      <x:c r="L1779" s="8" t="n">
        <x:v>23670</x:v>
      </x:c>
      <x:c r="M1779" s="9" t="n">
        <x:v>0.8714401373</x:v>
      </x:c>
      <x:c r="N1779" s="10" t="n">
        <x:v>45608.4589776088</x:v>
      </x:c>
      <x:c r="O1779" s="9" t="n">
        <x:v>-0.1460437258</x:v>
      </x:c>
      <x:c r="P1779" s="9" t="n">
        <x:v>0.6403785489</x:v>
      </x:c>
      <x:c r="Q1779" s="9" t="n">
        <x:v>0.2570977918</x:v>
      </x:c>
      <x:c r="R1779" s="3" t="b">
        <x:v>0</x:v>
      </x:c>
      <x:c r="S1779" s="3" t="b">
        <x:v>0</x:v>
      </x:c>
      <x:c r="T1779" s="3" t="b">
        <x:v>0</x:v>
      </x:c>
      <x:c r="U1779" s="2" t="str">
        <x:f>IF(T1779=TRUE,"Priority review",IF(R1779=TRUE,"High cost",IF(S1779=TRUE,"Low quality","Benchmark")))</x:f>
        <x:v>Benchmark</x:v>
      </x:c>
    </x:row>
    <x:row r="1780">
      <x:c r="A1780" s="2" t="str">
        <x:v>231308</x:v>
      </x:c>
      <x:c r="B1780" s="2" t="str">
        <x:v>MUNISING MEMORIAL HOSPITAL</x:v>
      </x:c>
      <x:c r="C1780" s="2" t="str">
        <x:v>MUNISING</x:v>
      </x:c>
      <x:c r="D1780" s="2" t="str">
        <x:v>MI</x:v>
      </x:c>
      <x:c r="E1780" s="2" t="str">
        <x:v>Critical Access Hospitals</x:v>
      </x:c>
      <x:c r="F1780" s="2" t="str">
        <x:v>Voluntary non-profit</x:v>
      </x:c>
      <x:c r="G1780" s="2" t="str">
        <x:v>Small (&lt;100 beds)</x:v>
      </x:c>
      <x:c r="H1780" s="7"/>
      <x:c r="I1780" s="7"/>
      <x:c r="J1780" s="7"/>
      <x:c r="K1780" s="8" t="n">
        <x:v>11</x:v>
      </x:c>
      <x:c r="L1780" s="8" t="n">
        <x:v>87</x:v>
      </x:c>
      <x:c r="M1780" s="9" t="n">
        <x:v>0.2231631382</x:v>
      </x:c>
      <x:c r="N1780" s="10" t="n">
        <x:v>168138.1609195402</x:v>
      </x:c>
      <x:c r="O1780" s="9" t="n">
        <x:v>-0.1447485086</x:v>
      </x:c>
      <x:c r="P1780" s="9" t="n">
        <x:v>0.6401486989</x:v>
      </x:c>
      <x:c r="Q1780" s="9" t="n">
        <x:v>0.292936803</x:v>
      </x:c>
      <x:c r="R1780" s="3" t="b">
        <x:v>0</x:v>
      </x:c>
      <x:c r="S1780" s="3" t="b">
        <x:v>0</x:v>
      </x:c>
      <x:c r="T1780" s="3" t="b">
        <x:v>0</x:v>
      </x:c>
      <x:c r="U1780" s="2" t="str">
        <x:f>IF(T1780=TRUE,"Priority review",IF(R1780=TRUE,"High cost",IF(S1780=TRUE,"Low quality","Benchmark")))</x:f>
        <x:v>Benchmark</x:v>
      </x:c>
    </x:row>
    <x:row r="1781">
      <x:c r="A1781" s="2" t="str">
        <x:v>510072</x:v>
      </x:c>
      <x:c r="B1781" s="2" t="str">
        <x:v>WETZEL COUNTY HOSPITAL</x:v>
      </x:c>
      <x:c r="C1781" s="2" t="str">
        <x:v>NEW MARTINSVILLE</x:v>
      </x:c>
      <x:c r="D1781" s="2" t="str">
        <x:v>WV</x:v>
      </x:c>
      <x:c r="E1781" s="2" t="str">
        <x:v>Acute Care Hospitals</x:v>
      </x:c>
      <x:c r="F1781" s="2" t="str">
        <x:v>Government</x:v>
      </x:c>
      <x:c r="G1781" s="2" t="str">
        <x:v>Small (&lt;100 beds)</x:v>
      </x:c>
      <x:c r="H1781" s="7" t="n">
        <x:v>3</x:v>
      </x:c>
      <x:c r="I1781" s="7" t="n">
        <x:v>5</x:v>
      </x:c>
      <x:c r="J1781" s="7" t="n">
        <x:v>0.99</x:v>
      </x:c>
      <x:c r="K1781" s="8" t="n">
        <x:v>25</x:v>
      </x:c>
      <x:c r="L1781" s="8" t="n">
        <x:v>601</x:v>
      </x:c>
      <x:c r="M1781" s="9" t="n">
        <x:v>0.3575956284</x:v>
      </x:c>
      <x:c r="N1781" s="10" t="n">
        <x:v>67671.4891846922</x:v>
      </x:c>
      <x:c r="O1781" s="9" t="n">
        <x:v>0.0499484031</x:v>
      </x:c>
      <x:c r="P1781" s="9" t="n">
        <x:v>0.6400359066</x:v>
      </x:c>
      <x:c r="Q1781" s="9" t="n">
        <x:v>0.1687612208</x:v>
      </x:c>
      <x:c r="R1781" s="3" t="b">
        <x:v>0</x:v>
      </x:c>
      <x:c r="S1781" s="3" t="b">
        <x:v>0</x:v>
      </x:c>
      <x:c r="T1781" s="3" t="b">
        <x:v>0</x:v>
      </x:c>
      <x:c r="U1781" s="2" t="str">
        <x:f>IF(T1781=TRUE,"Priority review",IF(R1781=TRUE,"High cost",IF(S1781=TRUE,"Low quality","Benchmark")))</x:f>
        <x:v>Benchmark</x:v>
      </x:c>
    </x:row>
    <x:row r="1782">
      <x:c r="A1782" s="2" t="str">
        <x:v>194008</x:v>
      </x:c>
      <x:c r="B1782" s="2" t="str">
        <x:v>EASTERN LA MENTAL HEALTH SYSTEM</x:v>
      </x:c>
      <x:c r="C1782" s="2" t="str">
        <x:v>JACKSON</x:v>
      </x:c>
      <x:c r="D1782" s="2" t="str">
        <x:v>LA</x:v>
      </x:c>
      <x:c r="E1782" s="2" t="str">
        <x:v>Psychiatric</x:v>
      </x:c>
      <x:c r="F1782" s="2" t="str">
        <x:v>Government</x:v>
      </x:c>
      <x:c r="G1782" s="2" t="str">
        <x:v>Large (300+ beds)</x:v>
      </x:c>
      <x:c r="H1782" s="7"/>
      <x:c r="I1782" s="7"/>
      <x:c r="J1782" s="7"/>
      <x:c r="K1782" s="8" t="n">
        <x:v>334</x:v>
      </x:c>
      <x:c r="L1782" s="8" t="n">
        <x:v>395</x:v>
      </x:c>
      <x:c r="M1782" s="9" t="n">
        <x:v>0.9337872201</x:v>
      </x:c>
      <x:c r="N1782" s="10" t="n">
        <x:v>505510.8962025316</x:v>
      </x:c>
      <x:c r="O1782" s="9"/>
      <x:c r="P1782" s="9" t="n">
        <x:v>0.64</x:v>
      </x:c>
      <x:c r="Q1782" s="9" t="n">
        <x:v>0</x:v>
      </x:c>
      <x:c r="R1782" s="3" t="b">
        <x:v>0</x:v>
      </x:c>
      <x:c r="S1782" s="3" t="b">
        <x:v>0</x:v>
      </x:c>
      <x:c r="T1782" s="3" t="b">
        <x:v>0</x:v>
      </x:c>
      <x:c r="U1782" s="2" t="str">
        <x:f>IF(T1782=TRUE,"Priority review",IF(R1782=TRUE,"High cost",IF(S1782=TRUE,"Low quality","Benchmark")))</x:f>
        <x:v>Benchmark</x:v>
      </x:c>
    </x:row>
    <x:row r="1783">
      <x:c r="A1783" s="2" t="str">
        <x:v>340129</x:v>
      </x:c>
      <x:c r="B1783" s="2" t="str">
        <x:v>DUKE HEALTH LAKE NORMAN HOSPITAL</x:v>
      </x:c>
      <x:c r="C1783" s="2" t="str">
        <x:v>MOORESVILLE</x:v>
      </x:c>
      <x:c r="D1783" s="2" t="str">
        <x:v>NC</x:v>
      </x:c>
      <x:c r="E1783" s="2" t="str">
        <x:v>Acute Care Hospitals</x:v>
      </x:c>
      <x:c r="F1783" s="2" t="str">
        <x:v>Proprietary</x:v>
      </x:c>
      <x:c r="G1783" s="2" t="str">
        <x:v>Medium (100-299 beds)</x:v>
      </x:c>
      <x:c r="H1783" s="7" t="n">
        <x:v>1</x:v>
      </x:c>
      <x:c r="I1783" s="7" t="n">
        <x:v>2</x:v>
      </x:c>
      <x:c r="J1783" s="7" t="n">
        <x:v>0.94</x:v>
      </x:c>
      <x:c r="K1783" s="8" t="n">
        <x:v>123</x:v>
      </x:c>
      <x:c r="L1783" s="8" t="n">
        <x:v>2948</x:v>
      </x:c>
      <x:c r="M1783" s="9" t="n">
        <x:v>0.3106535164</x:v>
      </x:c>
      <x:c r="N1783" s="10" t="n">
        <x:v>40047.1767299864</x:v>
      </x:c>
      <x:c r="O1783" s="9" t="n">
        <x:v>0.1813471095</x:v>
      </x:c>
      <x:c r="P1783" s="9" t="n">
        <x:v>0.6397718011</x:v>
      </x:c>
      <x:c r="Q1783" s="9" t="n">
        <x:v>0</x:v>
      </x:c>
      <x:c r="R1783" s="3" t="b">
        <x:v>0</x:v>
      </x:c>
      <x:c r="S1783" s="3" t="b">
        <x:v>1</x:v>
      </x:c>
      <x:c r="T1783" s="3" t="b">
        <x:v>0</x:v>
      </x:c>
      <x:c r="U1783" s="2" t="str">
        <x:f>IF(T1783=TRUE,"Priority review",IF(R1783=TRUE,"High cost",IF(S1783=TRUE,"Low quality","Benchmark")))</x:f>
        <x:v>Low quality</x:v>
      </x:c>
    </x:row>
    <x:row r="1784">
      <x:c r="A1784" s="2" t="str">
        <x:v>161377</x:v>
      </x:c>
      <x:c r="B1784" s="2" t="str">
        <x:v>MERCYONE CENTERVILLE MEDICAL CENTER</x:v>
      </x:c>
      <x:c r="C1784" s="2" t="str">
        <x:v>CENTERVILLE</x:v>
      </x:c>
      <x:c r="D1784" s="2" t="str">
        <x:v>IA</x:v>
      </x:c>
      <x:c r="E1784" s="2" t="str">
        <x:v>Critical Access Hospitals</x:v>
      </x:c>
      <x:c r="F1784" s="2" t="str">
        <x:v>Voluntary non-profit</x:v>
      </x:c>
      <x:c r="G1784" s="2" t="str">
        <x:v>Small (&lt;100 beds)</x:v>
      </x:c>
      <x:c r="H1784" s="7"/>
      <x:c r="I1784" s="7"/>
      <x:c r="J1784" s="7"/>
      <x:c r="K1784" s="8" t="n">
        <x:v>20</x:v>
      </x:c>
      <x:c r="L1784" s="8" t="n">
        <x:v>289</x:v>
      </x:c>
      <x:c r="M1784" s="9" t="n">
        <x:v>0.1436986301</x:v>
      </x:c>
      <x:c r="N1784" s="10" t="n">
        <x:v>168055.4705882353</x:v>
      </x:c>
      <x:c r="O1784" s="9" t="n">
        <x:v>-0.1018084865</x:v>
      </x:c>
      <x:c r="P1784" s="9" t="n">
        <x:v>0.6394052045</x:v>
      </x:c>
      <x:c r="Q1784" s="9" t="n">
        <x:v>0.292936803</x:v>
      </x:c>
      <x:c r="R1784" s="3" t="b">
        <x:v>0</x:v>
      </x:c>
      <x:c r="S1784" s="3" t="b">
        <x:v>0</x:v>
      </x:c>
      <x:c r="T1784" s="3" t="b">
        <x:v>0</x:v>
      </x:c>
      <x:c r="U1784" s="2" t="str">
        <x:f>IF(T1784=TRUE,"Priority review",IF(R1784=TRUE,"High cost",IF(S1784=TRUE,"Low quality","Benchmark")))</x:f>
        <x:v>Benchmark</x:v>
      </x:c>
    </x:row>
    <x:row r="1785">
      <x:c r="A1785" s="2" t="str">
        <x:v>360185</x:v>
      </x:c>
      <x:c r="B1785" s="2" t="str">
        <x:v>SALEM REGIONAL MEDICAL CENTER</x:v>
      </x:c>
      <x:c r="C1785" s="2" t="str">
        <x:v>SALEM</x:v>
      </x:c>
      <x:c r="D1785" s="2" t="str">
        <x:v>OH</x:v>
      </x:c>
      <x:c r="E1785" s="2" t="str">
        <x:v>Acute Care Hospitals</x:v>
      </x:c>
      <x:c r="F1785" s="2" t="str">
        <x:v>Voluntary non-profit</x:v>
      </x:c>
      <x:c r="G1785" s="2" t="str">
        <x:v>Small (&lt;100 beds)</x:v>
      </x:c>
      <x:c r="H1785" s="7" t="n">
        <x:v>3</x:v>
      </x:c>
      <x:c r="I1785" s="7" t="n">
        <x:v>3</x:v>
      </x:c>
      <x:c r="J1785" s="7" t="n">
        <x:v>1.02</x:v>
      </x:c>
      <x:c r="K1785" s="8" t="n">
        <x:v>87</x:v>
      </x:c>
      <x:c r="L1785" s="8" t="n">
        <x:v>1915</x:v>
      </x:c>
      <x:c r="M1785" s="9" t="n">
        <x:v>0.2883955283</x:v>
      </x:c>
      <x:c r="N1785" s="10" t="n">
        <x:v>67622.6861618799</x:v>
      </x:c>
      <x:c r="O1785" s="9" t="n">
        <x:v>-0.1987355173</x:v>
      </x:c>
      <x:c r="P1785" s="9" t="n">
        <x:v>0.6391382406</x:v>
      </x:c>
      <x:c r="Q1785" s="9" t="n">
        <x:v>0.1687612208</x:v>
      </x:c>
      <x:c r="R1785" s="3" t="b">
        <x:v>0</x:v>
      </x:c>
      <x:c r="S1785" s="3" t="b">
        <x:v>0</x:v>
      </x:c>
      <x:c r="T1785" s="3" t="b">
        <x:v>0</x:v>
      </x:c>
      <x:c r="U1785" s="2" t="str">
        <x:f>IF(T1785=TRUE,"Priority review",IF(R1785=TRUE,"High cost",IF(S1785=TRUE,"Low quality","Benchmark")))</x:f>
        <x:v>Benchmark</x:v>
      </x:c>
    </x:row>
    <x:row r="1786">
      <x:c r="A1786" s="2" t="str">
        <x:v>520035</x:v>
      </x:c>
      <x:c r="B1786" s="2" t="str">
        <x:v>AURORA MEDICAL CENTER SHEBOYGAN COUNTY</x:v>
      </x:c>
      <x:c r="C1786" s="2" t="str">
        <x:v>SHEBOYGAN</x:v>
      </x:c>
      <x:c r="D1786" s="2" t="str">
        <x:v>WI</x:v>
      </x:c>
      <x:c r="E1786" s="2" t="str">
        <x:v>Acute Care Hospitals</x:v>
      </x:c>
      <x:c r="F1786" s="2" t="str">
        <x:v>Voluntary non-profit</x:v>
      </x:c>
      <x:c r="G1786" s="2" t="str">
        <x:v>Medium (100-299 beds)</x:v>
      </x:c>
      <x:c r="H1786" s="7" t="n">
        <x:v>5</x:v>
      </x:c>
      <x:c r="I1786" s="7" t="n">
        <x:v>4</x:v>
      </x:c>
      <x:c r="J1786" s="7" t="n">
        <x:v>0.83</x:v>
      </x:c>
      <x:c r="K1786" s="8" t="n">
        <x:v>123</x:v>
      </x:c>
      <x:c r="L1786" s="8" t="n">
        <x:v>5465</x:v>
      </x:c>
      <x:c r="M1786" s="9" t="n">
        <x:v>0.5586654227</x:v>
      </x:c>
      <x:c r="N1786" s="10" t="n">
        <x:v>39999.4753888381</x:v>
      </x:c>
      <x:c r="O1786" s="9" t="n">
        <x:v>0.172266125</x:v>
      </x:c>
      <x:c r="P1786" s="9" t="n">
        <x:v>0.6389568052</x:v>
      </x:c>
      <x:c r="Q1786" s="9" t="n">
        <x:v>0.8744906275</x:v>
      </x:c>
      <x:c r="R1786" s="3" t="b">
        <x:v>0</x:v>
      </x:c>
      <x:c r="S1786" s="3" t="b">
        <x:v>0</x:v>
      </x:c>
      <x:c r="T1786" s="3" t="b">
        <x:v>0</x:v>
      </x:c>
      <x:c r="U1786" s="2" t="str">
        <x:f>IF(T1786=TRUE,"Priority review",IF(R1786=TRUE,"High cost",IF(S1786=TRUE,"Low quality","Benchmark")))</x:f>
        <x:v>Benchmark</x:v>
      </x:c>
    </x:row>
    <x:row r="1787">
      <x:c r="A1787" s="2" t="str">
        <x:v>170086</x:v>
      </x:c>
      <x:c r="B1787" s="2" t="str">
        <x:v>STORMONT VAIL HOSPITAL</x:v>
      </x:c>
      <x:c r="C1787" s="2" t="str">
        <x:v>TOPEKA</x:v>
      </x:c>
      <x:c r="D1787" s="2" t="str">
        <x:v>KS</x:v>
      </x:c>
      <x:c r="E1787" s="2" t="str">
        <x:v>Acute Care Hospitals</x:v>
      </x:c>
      <x:c r="F1787" s="2" t="str">
        <x:v>Voluntary non-profit</x:v>
      </x:c>
      <x:c r="G1787" s="2" t="str">
        <x:v>Large (300+ beds)</x:v>
      </x:c>
      <x:c r="H1787" s="7" t="n">
        <x:v>4</x:v>
      </x:c>
      <x:c r="I1787" s="7" t="n">
        <x:v>3</x:v>
      </x:c>
      <x:c r="J1787" s="7" t="n">
        <x:v>1.06</x:v>
      </x:c>
      <x:c r="K1787" s="8" t="n">
        <x:v>440</x:v>
      </x:c>
      <x:c r="L1787" s="8" t="n">
        <x:v>20874</x:v>
      </x:c>
      <x:c r="M1787" s="9" t="n">
        <x:v>0.5831194276</x:v>
      </x:c>
      <x:c r="N1787" s="10" t="n">
        <x:v>45444.9746095621</x:v>
      </x:c>
      <x:c r="O1787" s="9" t="n">
        <x:v>-0.0057738751</x:v>
      </x:c>
      <x:c r="P1787" s="9" t="n">
        <x:v>0.6388012618</x:v>
      </x:c>
      <x:c r="Q1787" s="9" t="n">
        <x:v>0.5899053628</x:v>
      </x:c>
      <x:c r="R1787" s="3" t="b">
        <x:v>0</x:v>
      </x:c>
      <x:c r="S1787" s="3" t="b">
        <x:v>0</x:v>
      </x:c>
      <x:c r="T1787" s="3" t="b">
        <x:v>0</x:v>
      </x:c>
      <x:c r="U1787" s="2" t="str">
        <x:f>IF(T1787=TRUE,"Priority review",IF(R1787=TRUE,"High cost",IF(S1787=TRUE,"Low quality","Benchmark")))</x:f>
        <x:v>Benchmark</x:v>
      </x:c>
    </x:row>
    <x:row r="1788">
      <x:c r="A1788" s="2" t="str">
        <x:v>521337</x:v>
      </x:c>
      <x:c r="B1788" s="2" t="str">
        <x:v>ST CROIX REGIONAL MEDICAL CENTER</x:v>
      </x:c>
      <x:c r="C1788" s="2" t="str">
        <x:v>SAINT CROIX FALLS</x:v>
      </x:c>
      <x:c r="D1788" s="2" t="str">
        <x:v>WI</x:v>
      </x:c>
      <x:c r="E1788" s="2" t="str">
        <x:v>Critical Access Hospitals</x:v>
      </x:c>
      <x:c r="F1788" s="2" t="str">
        <x:v>Voluntary non-profit</x:v>
      </x:c>
      <x:c r="G1788" s="2" t="str">
        <x:v>Small (&lt;100 beds)</x:v>
      </x:c>
      <x:c r="H1788" s="7" t="n">
        <x:v>3</x:v>
      </x:c>
      <x:c r="I1788" s="7" t="n">
        <x:v>4</x:v>
      </x:c>
      <x:c r="J1788" s="7"/>
      <x:c r="K1788" s="8" t="n">
        <x:v>25</x:v>
      </x:c>
      <x:c r="L1788" s="8" t="n">
        <x:v>748</x:v>
      </x:c>
      <x:c r="M1788" s="9" t="n">
        <x:v>0.4995628415</x:v>
      </x:c>
      <x:c r="N1788" s="10" t="n">
        <x:v>167954.1056149733</x:v>
      </x:c>
      <x:c r="O1788" s="9" t="n">
        <x:v>0.0987449939</x:v>
      </x:c>
      <x:c r="P1788" s="9" t="n">
        <x:v>0.63866171</x:v>
      </x:c>
      <x:c r="Q1788" s="9" t="n">
        <x:v>0.0765799257</x:v>
      </x:c>
      <x:c r="R1788" s="3" t="b">
        <x:v>0</x:v>
      </x:c>
      <x:c r="S1788" s="3" t="b">
        <x:v>1</x:v>
      </x:c>
      <x:c r="T1788" s="3" t="b">
        <x:v>0</x:v>
      </x:c>
      <x:c r="U1788" s="2" t="str">
        <x:f>IF(T1788=TRUE,"Priority review",IF(R1788=TRUE,"High cost",IF(S1788=TRUE,"Low quality","Benchmark")))</x:f>
        <x:v>Low quality</x:v>
      </x:c>
    </x:row>
    <x:row r="1789">
      <x:c r="A1789" s="2" t="str">
        <x:v>370215</x:v>
      </x:c>
      <x:c r="B1789" s="2" t="str">
        <x:v>OKLAHOMA HEART HOSPITAL, LLC</x:v>
      </x:c>
      <x:c r="C1789" s="2" t="str">
        <x:v>OKLAHOMA CITY</x:v>
      </x:c>
      <x:c r="D1789" s="2" t="str">
        <x:v>OK</x:v>
      </x:c>
      <x:c r="E1789" s="2" t="str">
        <x:v>Acute Care Hospitals</x:v>
      </x:c>
      <x:c r="F1789" s="2" t="str">
        <x:v>Other / unknown</x:v>
      </x:c>
      <x:c r="G1789" s="2" t="str">
        <x:v>Small (&lt;100 beds)</x:v>
      </x:c>
      <x:c r="H1789" s="7" t="n">
        <x:v>4</x:v>
      </x:c>
      <x:c r="I1789" s="7" t="n">
        <x:v>5</x:v>
      </x:c>
      <x:c r="J1789" s="7" t="n">
        <x:v>1.01</x:v>
      </x:c>
      <x:c r="K1789" s="8" t="n">
        <x:v>97</x:v>
      </x:c>
      <x:c r="L1789" s="8" t="n">
        <x:v>5347</x:v>
      </x:c>
      <x:c r="M1789" s="9" t="n">
        <x:v>0.6204439187</x:v>
      </x:c>
      <x:c r="N1789" s="10" t="n">
        <x:v>67570.571909482</x:v>
      </x:c>
      <x:c r="O1789" s="9" t="n">
        <x:v>-0.0141625288</x:v>
      </x:c>
      <x:c r="P1789" s="9" t="n">
        <x:v>0.6382405745</x:v>
      </x:c>
      <x:c r="Q1789" s="9" t="n">
        <x:v>0.3913824057</x:v>
      </x:c>
      <x:c r="R1789" s="3" t="b">
        <x:v>0</x:v>
      </x:c>
      <x:c r="S1789" s="3" t="b">
        <x:v>0</x:v>
      </x:c>
      <x:c r="T1789" s="3" t="b">
        <x:v>0</x:v>
      </x:c>
      <x:c r="U1789" s="2" t="str">
        <x:f>IF(T1789=TRUE,"Priority review",IF(R1789=TRUE,"High cost",IF(S1789=TRUE,"Low quality","Benchmark")))</x:f>
        <x:v>Benchmark</x:v>
      </x:c>
    </x:row>
    <x:row r="1790">
      <x:c r="A1790" s="2" t="str">
        <x:v>100200</x:v>
      </x:c>
      <x:c r="B1790" s="2" t="str">
        <x:v>BROWARD HEALTH IMPERIAL POINT</x:v>
      </x:c>
      <x:c r="C1790" s="2" t="str">
        <x:v>FORT LAUDERDALE</x:v>
      </x:c>
      <x:c r="D1790" s="2" t="str">
        <x:v>FL</x:v>
      </x:c>
      <x:c r="E1790" s="2" t="str">
        <x:v>Acute Care Hospitals</x:v>
      </x:c>
      <x:c r="F1790" s="2" t="str">
        <x:v>Government</x:v>
      </x:c>
      <x:c r="G1790" s="2" t="str">
        <x:v>Medium (100-299 beds)</x:v>
      </x:c>
      <x:c r="H1790" s="7" t="n">
        <x:v>3</x:v>
      </x:c>
      <x:c r="I1790" s="7" t="n">
        <x:v>2</x:v>
      </x:c>
      <x:c r="J1790" s="7" t="n">
        <x:v>1.09</x:v>
      </x:c>
      <x:c r="K1790" s="8" t="n">
        <x:v>129</x:v>
      </x:c>
      <x:c r="L1790" s="8" t="n">
        <x:v>4028</x:v>
      </x:c>
      <x:c r="M1790" s="9" t="n">
        <x:v>0.3588616332</x:v>
      </x:c>
      <x:c r="N1790" s="10" t="n">
        <x:v>39991.2452830189</x:v>
      </x:c>
      <x:c r="O1790" s="9" t="n">
        <x:v>-0.2606430325</x:v>
      </x:c>
      <x:c r="P1790" s="9" t="n">
        <x:v>0.6381418093</x:v>
      </x:c>
      <x:c r="Q1790" s="9" t="n">
        <x:v>0.3023634882</x:v>
      </x:c>
      <x:c r="R1790" s="3" t="b">
        <x:v>0</x:v>
      </x:c>
      <x:c r="S1790" s="3" t="b">
        <x:v>0</x:v>
      </x:c>
      <x:c r="T1790" s="3" t="b">
        <x:v>0</x:v>
      </x:c>
      <x:c r="U1790" s="2" t="str">
        <x:f>IF(T1790=TRUE,"Priority review",IF(R1790=TRUE,"High cost",IF(S1790=TRUE,"Low quality","Benchmark")))</x:f>
        <x:v>Benchmark</x:v>
      </x:c>
    </x:row>
    <x:row r="1791">
      <x:c r="A1791" s="2" t="str">
        <x:v>271331</x:v>
      </x:c>
      <x:c r="B1791" s="2" t="str">
        <x:v>MINERAL COMMUNITY HOSPITAL</x:v>
      </x:c>
      <x:c r="C1791" s="2" t="str">
        <x:v>SUPERIOR</x:v>
      </x:c>
      <x:c r="D1791" s="2" t="str">
        <x:v>MT</x:v>
      </x:c>
      <x:c r="E1791" s="2" t="str">
        <x:v>Critical Access Hospitals</x:v>
      </x:c>
      <x:c r="F1791" s="2" t="str">
        <x:v>Government</x:v>
      </x:c>
      <x:c r="G1791" s="2" t="str">
        <x:v>Small (&lt;100 beds)</x:v>
      </x:c>
      <x:c r="H1791" s="7"/>
      <x:c r="I1791" s="7"/>
      <x:c r="J1791" s="7"/>
      <x:c r="K1791" s="8" t="n">
        <x:v>25</x:v>
      </x:c>
      <x:c r="L1791" s="8" t="n">
        <x:v>77</x:v>
      </x:c>
      <x:c r="M1791" s="9" t="n">
        <x:v>0.5605479452</x:v>
      </x:c>
      <x:c r="N1791" s="10" t="n">
        <x:v>167949.2727272727</x:v>
      </x:c>
      <x:c r="O1791" s="9" t="n">
        <x:v>-0.0626417499</x:v>
      </x:c>
      <x:c r="P1791" s="9" t="n">
        <x:v>0.6379182156</x:v>
      </x:c>
      <x:c r="Q1791" s="9" t="n">
        <x:v>0.292936803</x:v>
      </x:c>
      <x:c r="R1791" s="3" t="b">
        <x:v>0</x:v>
      </x:c>
      <x:c r="S1791" s="3" t="b">
        <x:v>0</x:v>
      </x:c>
      <x:c r="T1791" s="3" t="b">
        <x:v>0</x:v>
      </x:c>
      <x:c r="U1791" s="2" t="str">
        <x:f>IF(T1791=TRUE,"Priority review",IF(R1791=TRUE,"High cost",IF(S1791=TRUE,"Low quality","Benchmark")))</x:f>
        <x:v>Benchmark</x:v>
      </x:c>
    </x:row>
    <x:row r="1792">
      <x:c r="A1792" s="2" t="str">
        <x:v>054075</x:v>
      </x:c>
      <x:c r="B1792" s="2" t="str">
        <x:v>ALVARADO PARKWAY INSTITUTE BEHAVIORAL HEALTH SYSTE</x:v>
      </x:c>
      <x:c r="C1792" s="2" t="str">
        <x:v>LA MESA</x:v>
      </x:c>
      <x:c r="D1792" s="2" t="str">
        <x:v>CA</x:v>
      </x:c>
      <x:c r="E1792" s="2" t="str">
        <x:v>Psychiatric</x:v>
      </x:c>
      <x:c r="F1792" s="2" t="str">
        <x:v>Voluntary non-profit</x:v>
      </x:c>
      <x:c r="G1792" s="2" t="str">
        <x:v>Small (&lt;100 beds)</x:v>
      </x:c>
      <x:c r="H1792" s="7"/>
      <x:c r="I1792" s="7"/>
      <x:c r="J1792" s="7"/>
      <x:c r="K1792" s="8" t="n">
        <x:v>66</x:v>
      </x:c>
      <x:c r="L1792" s="8" t="n">
        <x:v>2199</x:v>
      </x:c>
      <x:c r="M1792" s="9" t="n">
        <x:v>0.9423331677</x:v>
      </x:c>
      <x:c r="N1792" s="10" t="n">
        <x:v>17355.7430650296</x:v>
      </x:c>
      <x:c r="O1792" s="9" t="n">
        <x:v>0.0334952174</x:v>
      </x:c>
      <x:c r="P1792" s="9" t="n">
        <x:v>0.6375404531</x:v>
      </x:c>
      <x:c r="Q1792" s="9" t="n">
        <x:v>0</x:v>
      </x:c>
      <x:c r="R1792" s="3" t="b">
        <x:v>0</x:v>
      </x:c>
      <x:c r="S1792" s="3" t="b">
        <x:v>0</x:v>
      </x:c>
      <x:c r="T1792" s="3" t="b">
        <x:v>0</x:v>
      </x:c>
      <x:c r="U1792" s="2" t="str">
        <x:f>IF(T1792=TRUE,"Priority review",IF(R1792=TRUE,"High cost",IF(S1792=TRUE,"Low quality","Benchmark")))</x:f>
        <x:v>Benchmark</x:v>
      </x:c>
    </x:row>
    <x:row r="1793">
      <x:c r="A1793" s="2" t="str">
        <x:v>450755</x:v>
      </x:c>
      <x:c r="B1793" s="2" t="str">
        <x:v>COVENANT HOSPITAL LEVELLAND</x:v>
      </x:c>
      <x:c r="C1793" s="2" t="str">
        <x:v>LEVELLAND</x:v>
      </x:c>
      <x:c r="D1793" s="2" t="str">
        <x:v>TX</x:v>
      </x:c>
      <x:c r="E1793" s="2" t="str">
        <x:v>Acute Care Hospitals</x:v>
      </x:c>
      <x:c r="F1793" s="2" t="str">
        <x:v>Voluntary non-profit</x:v>
      </x:c>
      <x:c r="G1793" s="2" t="str">
        <x:v>Small (&lt;100 beds)</x:v>
      </x:c>
      <x:c r="H1793" s="7"/>
      <x:c r="I1793" s="7"/>
      <x:c r="J1793" s="7" t="n">
        <x:v>0.91</x:v>
      </x:c>
      <x:c r="K1793" s="8" t="n">
        <x:v>21</x:v>
      </x:c>
      <x:c r="L1793" s="8" t="n">
        <x:v>474</x:v>
      </x:c>
      <x:c r="M1793" s="9" t="n">
        <x:v>0.1812133072</x:v>
      </x:c>
      <x:c r="N1793" s="10" t="n">
        <x:v>67365.2151898734</x:v>
      </x:c>
      <x:c r="O1793" s="9" t="n">
        <x:v>-0.2658786117</x:v>
      </x:c>
      <x:c r="P1793" s="9" t="n">
        <x:v>0.6373429084</x:v>
      </x:c>
      <x:c r="Q1793" s="9" t="n">
        <x:v>0.697486535</x:v>
      </x:c>
      <x:c r="R1793" s="3" t="b">
        <x:v>0</x:v>
      </x:c>
      <x:c r="S1793" s="3" t="b">
        <x:v>0</x:v>
      </x:c>
      <x:c r="T1793" s="3" t="b">
        <x:v>0</x:v>
      </x:c>
      <x:c r="U1793" s="2" t="str">
        <x:f>IF(T1793=TRUE,"Priority review",IF(R1793=TRUE,"High cost",IF(S1793=TRUE,"Low quality","Benchmark")))</x:f>
        <x:v>Benchmark</x:v>
      </x:c>
    </x:row>
    <x:row r="1794">
      <x:c r="A1794" s="2" t="str">
        <x:v>050581</x:v>
      </x:c>
      <x:c r="B1794" s="2" t="str">
        <x:v>UCI HEALTH-LAKEWOOD</x:v>
      </x:c>
      <x:c r="C1794" s="2" t="str">
        <x:v>LAKEWOOD</x:v>
      </x:c>
      <x:c r="D1794" s="2" t="str">
        <x:v>CA</x:v>
      </x:c>
      <x:c r="E1794" s="2" t="str">
        <x:v>Acute Care Hospitals</x:v>
      </x:c>
      <x:c r="F1794" s="2" t="str">
        <x:v>Proprietary</x:v>
      </x:c>
      <x:c r="G1794" s="2" t="str">
        <x:v>Medium (100-299 beds)</x:v>
      </x:c>
      <x:c r="H1794" s="7" t="n">
        <x:v>2</x:v>
      </x:c>
      <x:c r="I1794" s="7" t="n">
        <x:v>1</x:v>
      </x:c>
      <x:c r="J1794" s="7" t="n">
        <x:v>1.16</x:v>
      </x:c>
      <x:c r="K1794" s="8" t="n">
        <x:v>172</x:v>
      </x:c>
      <x:c r="L1794" s="8" t="n">
        <x:v>7979</x:v>
      </x:c>
      <x:c r="M1794" s="9" t="n">
        <x:v>0.8731443135</x:v>
      </x:c>
      <x:c r="N1794" s="10" t="n">
        <x:v>39959.4818899611</x:v>
      </x:c>
      <x:c r="O1794" s="9" t="n">
        <x:v>-0.2795115882</x:v>
      </x:c>
      <x:c r="P1794" s="9" t="n">
        <x:v>0.6373268134</x:v>
      </x:c>
      <x:c r="Q1794" s="9" t="n">
        <x:v>0.0782396088</x:v>
      </x:c>
      <x:c r="R1794" s="3" t="b">
        <x:v>0</x:v>
      </x:c>
      <x:c r="S1794" s="3" t="b">
        <x:v>1</x:v>
      </x:c>
      <x:c r="T1794" s="3" t="b">
        <x:v>0</x:v>
      </x:c>
      <x:c r="U1794" s="2" t="str">
        <x:f>IF(T1794=TRUE,"Priority review",IF(R1794=TRUE,"High cost",IF(S1794=TRUE,"Low quality","Benchmark")))</x:f>
        <x:v>Low quality</x:v>
      </x:c>
    </x:row>
    <x:row r="1795">
      <x:c r="A1795" s="2" t="str">
        <x:v>050245</x:v>
      </x:c>
      <x:c r="B1795" s="2" t="str">
        <x:v>ARROWHEAD REGIONAL MEDICAL CENTER</x:v>
      </x:c>
      <x:c r="C1795" s="2" t="str">
        <x:v>COLTON</x:v>
      </x:c>
      <x:c r="D1795" s="2" t="str">
        <x:v>CA</x:v>
      </x:c>
      <x:c r="E1795" s="2" t="str">
        <x:v>Acute Care Hospitals</x:v>
      </x:c>
      <x:c r="F1795" s="2" t="str">
        <x:v>Government</x:v>
      </x:c>
      <x:c r="G1795" s="2" t="str">
        <x:v>Large (300+ beds)</x:v>
      </x:c>
      <x:c r="H1795" s="7" t="n">
        <x:v>2</x:v>
      </x:c>
      <x:c r="I1795" s="7" t="n">
        <x:v>3</x:v>
      </x:c>
      <x:c r="J1795" s="7" t="n">
        <x:v>1.02</x:v>
      </x:c>
      <x:c r="K1795" s="8" t="n">
        <x:v>366</x:v>
      </x:c>
      <x:c r="L1795" s="8" t="n">
        <x:v>19883</x:v>
      </x:c>
      <x:c r="M1795" s="9" t="n">
        <x:v>0.9102926866</x:v>
      </x:c>
      <x:c r="N1795" s="10" t="n">
        <x:v>45444.3863602072</x:v>
      </x:c>
      <x:c r="O1795" s="9" t="n">
        <x:v>-0.7180225202</x:v>
      </x:c>
      <x:c r="P1795" s="9" t="n">
        <x:v>0.6372239748</x:v>
      </x:c>
      <x:c r="Q1795" s="9" t="n">
        <x:v>0.0536277603</x:v>
      </x:c>
      <x:c r="R1795" s="3" t="b">
        <x:v>0</x:v>
      </x:c>
      <x:c r="S1795" s="3" t="b">
        <x:v>1</x:v>
      </x:c>
      <x:c r="T1795" s="3" t="b">
        <x:v>0</x:v>
      </x:c>
      <x:c r="U1795" s="2" t="str">
        <x:f>IF(T1795=TRUE,"Priority review",IF(R1795=TRUE,"High cost",IF(S1795=TRUE,"Low quality","Benchmark")))</x:f>
        <x:v>Low quality</x:v>
      </x:c>
    </x:row>
    <x:row r="1796">
      <x:c r="A1796" s="2" t="str">
        <x:v>171344</x:v>
      </x:c>
      <x:c r="B1796" s="2" t="str">
        <x:v>WILSON MEDICAL CENTER</x:v>
      </x:c>
      <x:c r="C1796" s="2" t="str">
        <x:v>NEODESHA</x:v>
      </x:c>
      <x:c r="D1796" s="2" t="str">
        <x:v>KS</x:v>
      </x:c>
      <x:c r="E1796" s="2" t="str">
        <x:v>Critical Access Hospitals</x:v>
      </x:c>
      <x:c r="F1796" s="2" t="str">
        <x:v>Government</x:v>
      </x:c>
      <x:c r="G1796" s="2" t="str">
        <x:v>Small (&lt;100 beds)</x:v>
      </x:c>
      <x:c r="H1796" s="7"/>
      <x:c r="I1796" s="7"/>
      <x:c r="J1796" s="7"/>
      <x:c r="K1796" s="8" t="n">
        <x:v>15</x:v>
      </x:c>
      <x:c r="L1796" s="8" t="n">
        <x:v>131</x:v>
      </x:c>
      <x:c r="M1796" s="9" t="n">
        <x:v>0.2265938069</x:v>
      </x:c>
      <x:c r="N1796" s="10" t="n">
        <x:v>167912.6335877863</x:v>
      </x:c>
      <x:c r="O1796" s="9" t="n">
        <x:v>-0.2118152977</x:v>
      </x:c>
      <x:c r="P1796" s="9" t="n">
        <x:v>0.6371747212</x:v>
      </x:c>
      <x:c r="Q1796" s="9" t="n">
        <x:v>0.292936803</x:v>
      </x:c>
      <x:c r="R1796" s="3" t="b">
        <x:v>0</x:v>
      </x:c>
      <x:c r="S1796" s="3" t="b">
        <x:v>0</x:v>
      </x:c>
      <x:c r="T1796" s="3" t="b">
        <x:v>0</x:v>
      </x:c>
      <x:c r="U1796" s="2" t="str">
        <x:f>IF(T1796=TRUE,"Priority review",IF(R1796=TRUE,"High cost",IF(S1796=TRUE,"Low quality","Benchmark")))</x:f>
        <x:v>Benchmark</x:v>
      </x:c>
    </x:row>
    <x:row r="1797">
      <x:c r="A1797" s="2" t="str">
        <x:v>504016</x:v>
      </x:c>
      <x:c r="B1797" s="2" t="str">
        <x:v>WELLFOUND BEHAVIORAL HEALTH HOSPITAL</x:v>
      </x:c>
      <x:c r="C1797" s="2" t="str">
        <x:v>TACOMA</x:v>
      </x:c>
      <x:c r="D1797" s="2" t="str">
        <x:v>WA</x:v>
      </x:c>
      <x:c r="E1797" s="2" t="str">
        <x:v>Psychiatric</x:v>
      </x:c>
      <x:c r="F1797" s="2" t="str">
        <x:v>Voluntary non-profit</x:v>
      </x:c>
      <x:c r="G1797" s="2" t="str">
        <x:v>Medium (100-299 beds)</x:v>
      </x:c>
      <x:c r="H1797" s="7"/>
      <x:c r="I1797" s="7"/>
      <x:c r="J1797" s="7"/>
      <x:c r="K1797" s="8" t="n">
        <x:v>120</x:v>
      </x:c>
      <x:c r="L1797" s="8" t="n">
        <x:v>2693</x:v>
      </x:c>
      <x:c r="M1797" s="9" t="n">
        <x:v>0.9268430734</x:v>
      </x:c>
      <x:c r="N1797" s="10" t="n">
        <x:v>17505.2963238024</x:v>
      </x:c>
      <x:c r="O1797" s="9" t="n">
        <x:v>0.0723072827</x:v>
      </x:c>
      <x:c r="P1797" s="9" t="n">
        <x:v>0.6368159204</x:v>
      </x:c>
      <x:c r="Q1797" s="9" t="n">
        <x:v>0</x:v>
      </x:c>
      <x:c r="R1797" s="3" t="b">
        <x:v>0</x:v>
      </x:c>
      <x:c r="S1797" s="3" t="b">
        <x:v>0</x:v>
      </x:c>
      <x:c r="T1797" s="3" t="b">
        <x:v>0</x:v>
      </x:c>
      <x:c r="U1797" s="2" t="str">
        <x:f>IF(T1797=TRUE,"Priority review",IF(R1797=TRUE,"High cost",IF(S1797=TRUE,"Low quality","Benchmark")))</x:f>
        <x:v>Benchmark</x:v>
      </x:c>
    </x:row>
    <x:row r="1798">
      <x:c r="A1798" s="2" t="str">
        <x:v>150048</x:v>
      </x:c>
      <x:c r="B1798" s="2" t="str">
        <x:v>REID HEALTH</x:v>
      </x:c>
      <x:c r="C1798" s="2" t="str">
        <x:v>RICHMOND</x:v>
      </x:c>
      <x:c r="D1798" s="2" t="str">
        <x:v>IN</x:v>
      </x:c>
      <x:c r="E1798" s="2" t="str">
        <x:v>Acute Care Hospitals</x:v>
      </x:c>
      <x:c r="F1798" s="2" t="str">
        <x:v>Voluntary non-profit</x:v>
      </x:c>
      <x:c r="G1798" s="2" t="str">
        <x:v>Medium (100-299 beds)</x:v>
      </x:c>
      <x:c r="H1798" s="7" t="n">
        <x:v>2</x:v>
      </x:c>
      <x:c r="I1798" s="7" t="n">
        <x:v>3</x:v>
      </x:c>
      <x:c r="J1798" s="7" t="n">
        <x:v>0.99</x:v>
      </x:c>
      <x:c r="K1798" s="8" t="n">
        <x:v>207</x:v>
      </x:c>
      <x:c r="L1798" s="8" t="n">
        <x:v>12293</x:v>
      </x:c>
      <x:c r="M1798" s="9" t="n">
        <x:v>0.5974720596</x:v>
      </x:c>
      <x:c r="N1798" s="10" t="n">
        <x:v>39925.0426258846</x:v>
      </x:c>
      <x:c r="O1798" s="9" t="n">
        <x:v>0.0627552881</x:v>
      </x:c>
      <x:c r="P1798" s="9" t="n">
        <x:v>0.6365118174</x:v>
      </x:c>
      <x:c r="Q1798" s="9" t="n">
        <x:v>0.0782396088</x:v>
      </x:c>
      <x:c r="R1798" s="3" t="b">
        <x:v>0</x:v>
      </x:c>
      <x:c r="S1798" s="3" t="b">
        <x:v>1</x:v>
      </x:c>
      <x:c r="T1798" s="3" t="b">
        <x:v>0</x:v>
      </x:c>
      <x:c r="U1798" s="2" t="str">
        <x:f>IF(T1798=TRUE,"Priority review",IF(R1798=TRUE,"High cost",IF(S1798=TRUE,"Low quality","Benchmark")))</x:f>
        <x:v>Low quality</x:v>
      </x:c>
    </x:row>
    <x:row r="1799">
      <x:c r="A1799" s="2" t="str">
        <x:v>030155</x:v>
      </x:c>
      <x:c r="B1799" s="2" t="str">
        <x:v>EXCEPTIONAL COMMUNITY HOSPITAL BULLHEAD CITY</x:v>
      </x:c>
      <x:c r="C1799" s="2" t="str">
        <x:v>BULLHEAD CITY</x:v>
      </x:c>
      <x:c r="D1799" s="2" t="str">
        <x:v>AZ</x:v>
      </x:c>
      <x:c r="E1799" s="2" t="str">
        <x:v>Acute Care Hospitals</x:v>
      </x:c>
      <x:c r="F1799" s="2" t="str">
        <x:v>Proprietary</x:v>
      </x:c>
      <x:c r="G1799" s="2" t="str">
        <x:v>Small (&lt;100 beds)</x:v>
      </x:c>
      <x:c r="H1799" s="7"/>
      <x:c r="I1799" s="7"/>
      <x:c r="J1799" s="7"/>
      <x:c r="K1799" s="8" t="n">
        <x:v>8</x:v>
      </x:c>
      <x:c r="L1799" s="8" t="n">
        <x:v>179</x:v>
      </x:c>
      <x:c r="M1799" s="9" t="n">
        <x:v>0.217032967</x:v>
      </x:c>
      <x:c r="N1799" s="10" t="n">
        <x:v>66928.8100558659</x:v>
      </x:c>
      <x:c r="O1799" s="9" t="n">
        <x:v>-0.10272115</x:v>
      </x:c>
      <x:c r="P1799" s="9" t="n">
        <x:v>0.6364452424</x:v>
      </x:c>
      <x:c r="Q1799" s="9" t="n">
        <x:v>0.697486535</x:v>
      </x:c>
      <x:c r="R1799" s="3" t="b">
        <x:v>0</x:v>
      </x:c>
      <x:c r="S1799" s="3" t="b">
        <x:v>0</x:v>
      </x:c>
      <x:c r="T1799" s="3" t="b">
        <x:v>0</x:v>
      </x:c>
      <x:c r="U1799" s="2" t="str">
        <x:f>IF(T1799=TRUE,"Priority review",IF(R1799=TRUE,"High cost",IF(S1799=TRUE,"Low quality","Benchmark")))</x:f>
        <x:v>Benchmark</x:v>
      </x:c>
    </x:row>
    <x:row r="1800">
      <x:c r="A1800" s="2" t="str">
        <x:v>141341</x:v>
      </x:c>
      <x:c r="B1800" s="2" t="str">
        <x:v>PANA COMMUNITY HOSPITAL</x:v>
      </x:c>
      <x:c r="C1800" s="2" t="str">
        <x:v>PANA</x:v>
      </x:c>
      <x:c r="D1800" s="2" t="str">
        <x:v>IL</x:v>
      </x:c>
      <x:c r="E1800" s="2" t="str">
        <x:v>Critical Access Hospitals</x:v>
      </x:c>
      <x:c r="F1800" s="2" t="str">
        <x:v>Voluntary non-profit</x:v>
      </x:c>
      <x:c r="G1800" s="2" t="str">
        <x:v>Small (&lt;100 beds)</x:v>
      </x:c>
      <x:c r="H1800" s="7" t="n">
        <x:v>4</x:v>
      </x:c>
      <x:c r="I1800" s="7"/>
      <x:c r="J1800" s="7"/>
      <x:c r="K1800" s="8" t="n">
        <x:v>22</x:v>
      </x:c>
      <x:c r="L1800" s="8" t="n">
        <x:v>250</x:v>
      </x:c>
      <x:c r="M1800" s="9" t="n">
        <x:v>0.3499751615</x:v>
      </x:c>
      <x:c r="N1800" s="10" t="n">
        <x:v>167839.08</x:v>
      </x:c>
      <x:c r="O1800" s="9" t="n">
        <x:v>0.0017583519</x:v>
      </x:c>
      <x:c r="P1800" s="9" t="n">
        <x:v>0.6364312268</x:v>
      </x:c>
      <x:c r="Q1800" s="9" t="n">
        <x:v>0.1657992565</x:v>
      </x:c>
      <x:c r="R1800" s="3" t="b">
        <x:v>0</x:v>
      </x:c>
      <x:c r="S1800" s="3" t="b">
        <x:v>0</x:v>
      </x:c>
      <x:c r="T1800" s="3" t="b">
        <x:v>0</x:v>
      </x:c>
      <x:c r="U1800" s="2" t="str">
        <x:f>IF(T1800=TRUE,"Priority review",IF(R1800=TRUE,"High cost",IF(S1800=TRUE,"Low quality","Benchmark")))</x:f>
        <x:v>Benchmark</x:v>
      </x:c>
    </x:row>
    <x:row r="1801">
      <x:c r="A1801" s="2" t="str">
        <x:v>330065</x:v>
      </x:c>
      <x:c r="B1801" s="2" t="str">
        <x:v>NIAGARA FALLS MEMORIAL MEDICAL CENTER</x:v>
      </x:c>
      <x:c r="C1801" s="2" t="str">
        <x:v>NIAGARA FALLS</x:v>
      </x:c>
      <x:c r="D1801" s="2" t="str">
        <x:v>NY</x:v>
      </x:c>
      <x:c r="E1801" s="2" t="str">
        <x:v>Acute Care Hospitals</x:v>
      </x:c>
      <x:c r="F1801" s="2" t="str">
        <x:v>Voluntary non-profit</x:v>
      </x:c>
      <x:c r="G1801" s="2" t="str">
        <x:v>Medium (100-299 beds)</x:v>
      </x:c>
      <x:c r="H1801" s="7" t="n">
        <x:v>1</x:v>
      </x:c>
      <x:c r="I1801" s="7" t="n">
        <x:v>2</x:v>
      </x:c>
      <x:c r="J1801" s="7" t="n">
        <x:v>0.95</x:v>
      </x:c>
      <x:c r="K1801" s="8" t="n">
        <x:v>133</x:v>
      </x:c>
      <x:c r="L1801" s="8" t="n">
        <x:v>3454</x:v>
      </x:c>
      <x:c r="M1801" s="9" t="n">
        <x:v>0.5342043634</x:v>
      </x:c>
      <x:c r="N1801" s="10" t="n">
        <x:v>39917.8103647944</x:v>
      </x:c>
      <x:c r="O1801" s="9" t="n">
        <x:v>-0.4099936719</x:v>
      </x:c>
      <x:c r="P1801" s="9" t="n">
        <x:v>0.6356968215</x:v>
      </x:c>
      <x:c r="Q1801" s="9" t="n">
        <x:v>0</x:v>
      </x:c>
      <x:c r="R1801" s="3" t="b">
        <x:v>0</x:v>
      </x:c>
      <x:c r="S1801" s="3" t="b">
        <x:v>1</x:v>
      </x:c>
      <x:c r="T1801" s="3" t="b">
        <x:v>0</x:v>
      </x:c>
      <x:c r="U1801" s="2" t="str">
        <x:f>IF(T1801=TRUE,"Priority review",IF(R1801=TRUE,"High cost",IF(S1801=TRUE,"Low quality","Benchmark")))</x:f>
        <x:v>Low quality</x:v>
      </x:c>
    </x:row>
    <x:row r="1802">
      <x:c r="A1802" s="2" t="str">
        <x:v>271314</x:v>
      </x:c>
      <x:c r="B1802" s="2" t="str">
        <x:v>DEER LODGE MEDICAL CENTER</x:v>
      </x:c>
      <x:c r="C1802" s="2" t="str">
        <x:v>DEER LODGE</x:v>
      </x:c>
      <x:c r="D1802" s="2" t="str">
        <x:v>MT</x:v>
      </x:c>
      <x:c r="E1802" s="2" t="str">
        <x:v>Critical Access Hospitals</x:v>
      </x:c>
      <x:c r="F1802" s="2" t="str">
        <x:v>Voluntary non-profit</x:v>
      </x:c>
      <x:c r="G1802" s="2" t="str">
        <x:v>Small (&lt;100 beds)</x:v>
      </x:c>
      <x:c r="H1802" s="7"/>
      <x:c r="I1802" s="7"/>
      <x:c r="J1802" s="7"/>
      <x:c r="K1802" s="8" t="n">
        <x:v>16</x:v>
      </x:c>
      <x:c r="L1802" s="8" t="n">
        <x:v>155</x:v>
      </x:c>
      <x:c r="M1802" s="9" t="n">
        <x:v>0.2044520548</x:v>
      </x:c>
      <x:c r="N1802" s="10" t="n">
        <x:v>167778.6451612903</x:v>
      </x:c>
      <x:c r="O1802" s="9" t="n">
        <x:v>-0.0115525533</x:v>
      </x:c>
      <x:c r="P1802" s="9" t="n">
        <x:v>0.6356877323</x:v>
      </x:c>
      <x:c r="Q1802" s="9" t="n">
        <x:v>0.292936803</x:v>
      </x:c>
      <x:c r="R1802" s="3" t="b">
        <x:v>0</x:v>
      </x:c>
      <x:c r="S1802" s="3" t="b">
        <x:v>0</x:v>
      </x:c>
      <x:c r="T1802" s="3" t="b">
        <x:v>0</x:v>
      </x:c>
      <x:c r="U1802" s="2" t="str">
        <x:f>IF(T1802=TRUE,"Priority review",IF(R1802=TRUE,"High cost",IF(S1802=TRUE,"Low quality","Benchmark")))</x:f>
        <x:v>Benchmark</x:v>
      </x:c>
    </x:row>
    <x:row r="1803">
      <x:c r="A1803" s="2" t="str">
        <x:v>310038</x:v>
      </x:c>
      <x:c r="B1803" s="2" t="str">
        <x:v>ROBERT WOOD JOHNSON UNIVERSITY HOSPITAL</x:v>
      </x:c>
      <x:c r="C1803" s="2" t="str">
        <x:v>NEW BRUNSWICK</x:v>
      </x:c>
      <x:c r="D1803" s="2" t="str">
        <x:v>NJ</x:v>
      </x:c>
      <x:c r="E1803" s="2" t="str">
        <x:v>Acute Care Hospitals</x:v>
      </x:c>
      <x:c r="F1803" s="2" t="str">
        <x:v>Voluntary non-profit</x:v>
      </x:c>
      <x:c r="G1803" s="2" t="str">
        <x:v>Large (300+ beds)</x:v>
      </x:c>
      <x:c r="H1803" s="7" t="n">
        <x:v>2</x:v>
      </x:c>
      <x:c r="I1803" s="7" t="n">
        <x:v>3</x:v>
      </x:c>
      <x:c r="J1803" s="7" t="n">
        <x:v>1.07</x:v>
      </x:c>
      <x:c r="K1803" s="8" t="n">
        <x:v>625</x:v>
      </x:c>
      <x:c r="L1803" s="8" t="n">
        <x:v>36561</x:v>
      </x:c>
      <x:c r="M1803" s="9" t="n">
        <x:v>0.9252502732</x:v>
      </x:c>
      <x:c r="N1803" s="10" t="n">
        <x:v>45432.5482071059</x:v>
      </x:c>
      <x:c r="O1803" s="9" t="n">
        <x:v>0.0025525191</x:v>
      </x:c>
      <x:c r="P1803" s="9" t="n">
        <x:v>0.6356466877</x:v>
      </x:c>
      <x:c r="Q1803" s="9" t="n">
        <x:v>0.0536277603</x:v>
      </x:c>
      <x:c r="R1803" s="3" t="b">
        <x:v>0</x:v>
      </x:c>
      <x:c r="S1803" s="3" t="b">
        <x:v>1</x:v>
      </x:c>
      <x:c r="T1803" s="3" t="b">
        <x:v>0</x:v>
      </x:c>
      <x:c r="U1803" s="2" t="str">
        <x:f>IF(T1803=TRUE,"Priority review",IF(R1803=TRUE,"High cost",IF(S1803=TRUE,"Low quality","Benchmark")))</x:f>
        <x:v>Low quality</x:v>
      </x:c>
    </x:row>
    <x:row r="1804">
      <x:c r="A1804" s="2" t="str">
        <x:v>010062</x:v>
      </x:c>
      <x:c r="B1804" s="2" t="str">
        <x:v>WIREGRASS MEDICAL CENTER</x:v>
      </x:c>
      <x:c r="C1804" s="2" t="str">
        <x:v>GENEVA</x:v>
      </x:c>
      <x:c r="D1804" s="2" t="str">
        <x:v>AL</x:v>
      </x:c>
      <x:c r="E1804" s="2" t="str">
        <x:v>Acute Care Hospitals</x:v>
      </x:c>
      <x:c r="F1804" s="2" t="str">
        <x:v>Government</x:v>
      </x:c>
      <x:c r="G1804" s="2" t="str">
        <x:v>Small (&lt;100 beds)</x:v>
      </x:c>
      <x:c r="H1804" s="7"/>
      <x:c r="I1804" s="7"/>
      <x:c r="J1804" s="7" t="n">
        <x:v>0.96</x:v>
      </x:c>
      <x:c r="K1804" s="8" t="n">
        <x:v>27</x:v>
      </x:c>
      <x:c r="L1804" s="8" t="n">
        <x:v>377</x:v>
      </x:c>
      <x:c r="M1804" s="9" t="n">
        <x:v>0.3523578223</x:v>
      </x:c>
      <x:c r="N1804" s="10" t="n">
        <x:v>66824.7639257294</x:v>
      </x:c>
      <x:c r="O1804" s="9" t="n">
        <x:v>-0.0800942998</x:v>
      </x:c>
      <x:c r="P1804" s="9" t="n">
        <x:v>0.6355475763</x:v>
      </x:c>
      <x:c r="Q1804" s="9" t="n">
        <x:v>0.697486535</x:v>
      </x:c>
      <x:c r="R1804" s="3" t="b">
        <x:v>0</x:v>
      </x:c>
      <x:c r="S1804" s="3" t="b">
        <x:v>0</x:v>
      </x:c>
      <x:c r="T1804" s="3" t="b">
        <x:v>0</x:v>
      </x:c>
      <x:c r="U1804" s="2" t="str">
        <x:f>IF(T1804=TRUE,"Priority review",IF(R1804=TRUE,"High cost",IF(S1804=TRUE,"Low quality","Benchmark")))</x:f>
        <x:v>Benchmark</x:v>
      </x:c>
    </x:row>
    <x:row r="1805">
      <x:c r="A1805" s="2" t="str">
        <x:v>161324</x:v>
      </x:c>
      <x:c r="B1805" s="2" t="str">
        <x:v>GEORGE C GRAPE COMMUNITY HOSPITAL</x:v>
      </x:c>
      <x:c r="C1805" s="2" t="str">
        <x:v>HAMBURG</x:v>
      </x:c>
      <x:c r="D1805" s="2" t="str">
        <x:v>IA</x:v>
      </x:c>
      <x:c r="E1805" s="2" t="str">
        <x:v>Critical Access Hospitals</x:v>
      </x:c>
      <x:c r="F1805" s="2" t="str">
        <x:v>Voluntary non-profit</x:v>
      </x:c>
      <x:c r="G1805" s="2" t="str">
        <x:v>Small (&lt;100 beds)</x:v>
      </x:c>
      <x:c r="H1805" s="7"/>
      <x:c r="I1805" s="7"/>
      <x:c r="J1805" s="7"/>
      <x:c r="K1805" s="8" t="n">
        <x:v>25</x:v>
      </x:c>
      <x:c r="L1805" s="8" t="n">
        <x:v>89</x:v>
      </x:c>
      <x:c r="M1805" s="9" t="n">
        <x:v>0.0676502732</x:v>
      </x:c>
      <x:c r="N1805" s="10" t="n">
        <x:v>167436.1235955056</x:v>
      </x:c>
      <x:c r="O1805" s="9" t="n">
        <x:v>0.0039205324</x:v>
      </x:c>
      <x:c r="P1805" s="9" t="n">
        <x:v>0.6349442379</x:v>
      </x:c>
      <x:c r="Q1805" s="9" t="n">
        <x:v>0.292936803</x:v>
      </x:c>
      <x:c r="R1805" s="3" t="b">
        <x:v>0</x:v>
      </x:c>
      <x:c r="S1805" s="3" t="b">
        <x:v>0</x:v>
      </x:c>
      <x:c r="T1805" s="3" t="b">
        <x:v>0</x:v>
      </x:c>
      <x:c r="U1805" s="2" t="str">
        <x:f>IF(T1805=TRUE,"Priority review",IF(R1805=TRUE,"High cost",IF(S1805=TRUE,"Low quality","Benchmark")))</x:f>
        <x:v>Benchmark</x:v>
      </x:c>
    </x:row>
    <x:row r="1806">
      <x:c r="A1806" s="2" t="str">
        <x:v>330259</x:v>
      </x:c>
      <x:c r="B1806" s="2" t="str">
        <x:v>MERCY MEDICAL CENTER</x:v>
      </x:c>
      <x:c r="C1806" s="2" t="str">
        <x:v>ROCKVILLE CENTRE</x:v>
      </x:c>
      <x:c r="D1806" s="2" t="str">
        <x:v>NY</x:v>
      </x:c>
      <x:c r="E1806" s="2" t="str">
        <x:v>Acute Care Hospitals</x:v>
      </x:c>
      <x:c r="F1806" s="2" t="str">
        <x:v>Voluntary non-profit</x:v>
      </x:c>
      <x:c r="G1806" s="2" t="str">
        <x:v>Medium (100-299 beds)</x:v>
      </x:c>
      <x:c r="H1806" s="7" t="n">
        <x:v>5</x:v>
      </x:c>
      <x:c r="I1806" s="7" t="n">
        <x:v>3</x:v>
      </x:c>
      <x:c r="J1806" s="7" t="n">
        <x:v>1.14</x:v>
      </x:c>
      <x:c r="K1806" s="8" t="n">
        <x:v>166</x:v>
      </x:c>
      <x:c r="L1806" s="8" t="n">
        <x:v>9156</x:v>
      </x:c>
      <x:c r="M1806" s="9" t="n">
        <x:v>0.8206267694</x:v>
      </x:c>
      <x:c r="N1806" s="10" t="n">
        <x:v>39886.6698339886</x:v>
      </x:c>
      <x:c r="O1806" s="9" t="n">
        <x:v>-0.1718147803</x:v>
      </x:c>
      <x:c r="P1806" s="9" t="n">
        <x:v>0.6348818256</x:v>
      </x:c>
      <x:c r="Q1806" s="9" t="n">
        <x:v>0.8744906275</x:v>
      </x:c>
      <x:c r="R1806" s="3" t="b">
        <x:v>0</x:v>
      </x:c>
      <x:c r="S1806" s="3" t="b">
        <x:v>0</x:v>
      </x:c>
      <x:c r="T1806" s="3" t="b">
        <x:v>0</x:v>
      </x:c>
      <x:c r="U1806" s="2" t="str">
        <x:f>IF(T1806=TRUE,"Priority review",IF(R1806=TRUE,"High cost",IF(S1806=TRUE,"Low quality","Benchmark")))</x:f>
        <x:v>Benchmark</x:v>
      </x:c>
    </x:row>
    <x:row r="1807">
      <x:c r="A1807" s="2" t="str">
        <x:v>370158</x:v>
      </x:c>
      <x:c r="B1807" s="2" t="str">
        <x:v>PURCELL MUNICIPAL HOSPITAL</x:v>
      </x:c>
      <x:c r="C1807" s="2" t="str">
        <x:v>PURCELL</x:v>
      </x:c>
      <x:c r="D1807" s="2" t="str">
        <x:v>OK</x:v>
      </x:c>
      <x:c r="E1807" s="2" t="str">
        <x:v>Acute Care Hospitals</x:v>
      </x:c>
      <x:c r="F1807" s="2" t="str">
        <x:v>Government</x:v>
      </x:c>
      <x:c r="G1807" s="2" t="str">
        <x:v>Small (&lt;100 beds)</x:v>
      </x:c>
      <x:c r="H1807" s="7" t="n">
        <x:v>3</x:v>
      </x:c>
      <x:c r="I1807" s="7"/>
      <x:c r="J1807" s="7" t="n">
        <x:v>1.02</x:v>
      </x:c>
      <x:c r="K1807" s="8" t="n">
        <x:v>10</x:v>
      </x:c>
      <x:c r="L1807" s="8" t="n">
        <x:v>165</x:v>
      </x:c>
      <x:c r="M1807" s="9" t="n">
        <x:v>0.1523287671</x:v>
      </x:c>
      <x:c r="N1807" s="10" t="n">
        <x:v>66646.8424242424</x:v>
      </x:c>
      <x:c r="O1807" s="9" t="n">
        <x:v>-0.0131154561</x:v>
      </x:c>
      <x:c r="P1807" s="9" t="n">
        <x:v>0.6346499102</x:v>
      </x:c>
      <x:c r="Q1807" s="9" t="n">
        <x:v>0.1687612208</x:v>
      </x:c>
      <x:c r="R1807" s="3" t="b">
        <x:v>0</x:v>
      </x:c>
      <x:c r="S1807" s="3" t="b">
        <x:v>0</x:v>
      </x:c>
      <x:c r="T1807" s="3" t="b">
        <x:v>0</x:v>
      </x:c>
      <x:c r="U1807" s="2" t="str">
        <x:f>IF(T1807=TRUE,"Priority review",IF(R1807=TRUE,"High cost",IF(S1807=TRUE,"Low quality","Benchmark")))</x:f>
        <x:v>Benchmark</x:v>
      </x:c>
    </x:row>
    <x:row r="1808">
      <x:c r="A1808" s="2" t="str">
        <x:v>394053</x:v>
      </x:c>
      <x:c r="B1808" s="2" t="str">
        <x:v>HAVEN BEHAVIORAL HOSPITAL OF PHILADELPHIA</x:v>
      </x:c>
      <x:c r="C1808" s="2" t="str">
        <x:v>PHILADELPHIA</x:v>
      </x:c>
      <x:c r="D1808" s="2" t="str">
        <x:v>PA</x:v>
      </x:c>
      <x:c r="E1808" s="2" t="str">
        <x:v>Psychiatric</x:v>
      </x:c>
      <x:c r="F1808" s="2" t="str">
        <x:v>Proprietary</x:v>
      </x:c>
      <x:c r="G1808" s="2" t="str">
        <x:v>Small (&lt;100 beds)</x:v>
      </x:c>
      <x:c r="H1808" s="7"/>
      <x:c r="I1808" s="7"/>
      <x:c r="J1808" s="7"/>
      <x:c r="K1808" s="8" t="n">
        <x:v>42</x:v>
      </x:c>
      <x:c r="L1808" s="8" t="n">
        <x:v>699</x:v>
      </x:c>
      <x:c r="M1808" s="9" t="n">
        <x:v>0.9017694509</x:v>
      </x:c>
      <x:c r="N1808" s="10" t="n">
        <x:v>17135.2188841202</x:v>
      </x:c>
      <x:c r="O1808" s="9" t="n">
        <x:v>0.0960674863</x:v>
      </x:c>
      <x:c r="P1808" s="9" t="n">
        <x:v>0.6343042071</x:v>
      </x:c>
      <x:c r="Q1808" s="9" t="n">
        <x:v>0</x:v>
      </x:c>
      <x:c r="R1808" s="3" t="b">
        <x:v>0</x:v>
      </x:c>
      <x:c r="S1808" s="3" t="b">
        <x:v>0</x:v>
      </x:c>
      <x:c r="T1808" s="3" t="b">
        <x:v>0</x:v>
      </x:c>
      <x:c r="U1808" s="2" t="str">
        <x:f>IF(T1808=TRUE,"Priority review",IF(R1808=TRUE,"High cost",IF(S1808=TRUE,"Low quality","Benchmark")))</x:f>
        <x:v>Benchmark</x:v>
      </x:c>
    </x:row>
    <x:row r="1809">
      <x:c r="A1809" s="2" t="str">
        <x:v>381320</x:v>
      </x:c>
      <x:c r="B1809" s="2" t="str">
        <x:v>COLUMBIA MEMORIAL HOSPITAL</x:v>
      </x:c>
      <x:c r="C1809" s="2" t="str">
        <x:v>ASTORIA</x:v>
      </x:c>
      <x:c r="D1809" s="2" t="str">
        <x:v>OR</x:v>
      </x:c>
      <x:c r="E1809" s="2" t="str">
        <x:v>Critical Access Hospitals</x:v>
      </x:c>
      <x:c r="F1809" s="2" t="str">
        <x:v>Proprietary</x:v>
      </x:c>
      <x:c r="G1809" s="2" t="str">
        <x:v>Small (&lt;100 beds)</x:v>
      </x:c>
      <x:c r="H1809" s="7"/>
      <x:c r="I1809" s="7" t="n">
        <x:v>4</x:v>
      </x:c>
      <x:c r="J1809" s="7"/>
      <x:c r="K1809" s="8" t="n">
        <x:v>25</x:v>
      </x:c>
      <x:c r="L1809" s="8" t="n">
        <x:v>1232</x:v>
      </x:c>
      <x:c r="M1809" s="9" t="n">
        <x:v>0.5098360656</x:v>
      </x:c>
      <x:c r="N1809" s="10" t="n">
        <x:v>167016.0819805195</x:v>
      </x:c>
      <x:c r="O1809" s="9" t="n">
        <x:v>0.080431145</x:v>
      </x:c>
      <x:c r="P1809" s="9" t="n">
        <x:v>0.6342007435</x:v>
      </x:c>
      <x:c r="Q1809" s="9" t="n">
        <x:v>0.292936803</x:v>
      </x:c>
      <x:c r="R1809" s="3" t="b">
        <x:v>0</x:v>
      </x:c>
      <x:c r="S1809" s="3" t="b">
        <x:v>0</x:v>
      </x:c>
      <x:c r="T1809" s="3" t="b">
        <x:v>0</x:v>
      </x:c>
      <x:c r="U1809" s="2" t="str">
        <x:f>IF(T1809=TRUE,"Priority review",IF(R1809=TRUE,"High cost",IF(S1809=TRUE,"Low quality","Benchmark")))</x:f>
        <x:v>Benchmark</x:v>
      </x:c>
    </x:row>
    <x:row r="1810">
      <x:c r="A1810" s="2" t="str">
        <x:v>070002</x:v>
      </x:c>
      <x:c r="B1810" s="2" t="str">
        <x:v>ST FRANCIS HOSPITAL &amp; MEDICAL CENTER</x:v>
      </x:c>
      <x:c r="C1810" s="2" t="str">
        <x:v>HARTFORD</x:v>
      </x:c>
      <x:c r="D1810" s="2" t="str">
        <x:v>CT</x:v>
      </x:c>
      <x:c r="E1810" s="2" t="str">
        <x:v>Acute Care Hospitals</x:v>
      </x:c>
      <x:c r="F1810" s="2" t="str">
        <x:v>Voluntary non-profit</x:v>
      </x:c>
      <x:c r="G1810" s="2" t="str">
        <x:v>Large (300+ beds)</x:v>
      </x:c>
      <x:c r="H1810" s="7" t="n">
        <x:v>2</x:v>
      </x:c>
      <x:c r="I1810" s="7" t="n">
        <x:v>2</x:v>
      </x:c>
      <x:c r="J1810" s="7" t="n">
        <x:v>1.05</x:v>
      </x:c>
      <x:c r="K1810" s="8" t="n">
        <x:v>413</x:v>
      </x:c>
      <x:c r="L1810" s="8" t="n">
        <x:v>20226</x:v>
      </x:c>
      <x:c r="M1810" s="9" t="n">
        <x:v>0.6716085156</x:v>
      </x:c>
      <x:c r="N1810" s="10" t="n">
        <x:v>45196.7444872936</x:v>
      </x:c>
      <x:c r="O1810" s="9" t="n">
        <x:v>-0.1300753594</x:v>
      </x:c>
      <x:c r="P1810" s="9" t="n">
        <x:v>0.6340694006</x:v>
      </x:c>
      <x:c r="Q1810" s="9" t="n">
        <x:v>0.0536277603</x:v>
      </x:c>
      <x:c r="R1810" s="3" t="b">
        <x:v>0</x:v>
      </x:c>
      <x:c r="S1810" s="3" t="b">
        <x:v>1</x:v>
      </x:c>
      <x:c r="T1810" s="3" t="b">
        <x:v>0</x:v>
      </x:c>
      <x:c r="U1810" s="2" t="str">
        <x:f>IF(T1810=TRUE,"Priority review",IF(R1810=TRUE,"High cost",IF(S1810=TRUE,"Low quality","Benchmark")))</x:f>
        <x:v>Low quality</x:v>
      </x:c>
    </x:row>
    <x:row r="1811">
      <x:c r="A1811" s="2" t="str">
        <x:v>050481</x:v>
      </x:c>
      <x:c r="B1811" s="2" t="str">
        <x:v>UCLA WEST VALLEY MEDICAL CENTER</x:v>
      </x:c>
      <x:c r="C1811" s="2" t="str">
        <x:v>WEST HILLS</x:v>
      </x:c>
      <x:c r="D1811" s="2" t="str">
        <x:v>CA</x:v>
      </x:c>
      <x:c r="E1811" s="2" t="str">
        <x:v>Acute Care Hospitals</x:v>
      </x:c>
      <x:c r="F1811" s="2" t="str">
        <x:v>Proprietary</x:v>
      </x:c>
      <x:c r="G1811" s="2" t="str">
        <x:v>Medium (100-299 beds)</x:v>
      </x:c>
      <x:c r="H1811" s="7" t="n">
        <x:v>2</x:v>
      </x:c>
      <x:c r="I1811" s="7" t="n">
        <x:v>1</x:v>
      </x:c>
      <x:c r="J1811" s="7" t="n">
        <x:v>1.09</x:v>
      </x:c>
      <x:c r="K1811" s="8" t="n">
        <x:v>231</x:v>
      </x:c>
      <x:c r="L1811" s="8" t="n">
        <x:v>8096</x:v>
      </x:c>
      <x:c r="M1811" s="9" t="n">
        <x:v>0.5753306055</x:v>
      </x:c>
      <x:c r="N1811" s="10" t="n">
        <x:v>39842.0082756917</x:v>
      </x:c>
      <x:c r="O1811" s="9" t="n">
        <x:v>-0.4462438454</x:v>
      </x:c>
      <x:c r="P1811" s="9" t="n">
        <x:v>0.6340668297</x:v>
      </x:c>
      <x:c r="Q1811" s="9" t="n">
        <x:v>0.0782396088</x:v>
      </x:c>
      <x:c r="R1811" s="3" t="b">
        <x:v>0</x:v>
      </x:c>
      <x:c r="S1811" s="3" t="b">
        <x:v>1</x:v>
      </x:c>
      <x:c r="T1811" s="3" t="b">
        <x:v>0</x:v>
      </x:c>
      <x:c r="U1811" s="2" t="str">
        <x:f>IF(T1811=TRUE,"Priority review",IF(R1811=TRUE,"High cost",IF(S1811=TRUE,"Low quality","Benchmark")))</x:f>
        <x:v>Low quality</x:v>
      </x:c>
    </x:row>
    <x:row r="1812">
      <x:c r="A1812" s="2" t="str">
        <x:v>330276</x:v>
      </x:c>
      <x:c r="B1812" s="2" t="str">
        <x:v>NATHAN LITTAUER HOSPITAL</x:v>
      </x:c>
      <x:c r="C1812" s="2" t="str">
        <x:v>GLOVERSVILLE</x:v>
      </x:c>
      <x:c r="D1812" s="2" t="str">
        <x:v>NY</x:v>
      </x:c>
      <x:c r="E1812" s="2" t="str">
        <x:v>Acute Care Hospitals</x:v>
      </x:c>
      <x:c r="F1812" s="2" t="str">
        <x:v>Voluntary non-profit</x:v>
      </x:c>
      <x:c r="G1812" s="2" t="str">
        <x:v>Small (&lt;100 beds)</x:v>
      </x:c>
      <x:c r="H1812" s="7" t="n">
        <x:v>2</x:v>
      </x:c>
      <x:c r="I1812" s="7" t="n">
        <x:v>3</x:v>
      </x:c>
      <x:c r="J1812" s="7" t="n">
        <x:v>0.85</x:v>
      </x:c>
      <x:c r="K1812" s="8" t="n">
        <x:v>57</x:v>
      </x:c>
      <x:c r="L1812" s="8" t="n">
        <x:v>2026</x:v>
      </x:c>
      <x:c r="M1812" s="9" t="n">
        <x:v>0.3893682293</x:v>
      </x:c>
      <x:c r="N1812" s="10" t="n">
        <x:v>66278.3079960513</x:v>
      </x:c>
      <x:c r="O1812" s="9" t="n">
        <x:v>-0.1977793817</x:v>
      </x:c>
      <x:c r="P1812" s="9" t="n">
        <x:v>0.6337522442</x:v>
      </x:c>
      <x:c r="Q1812" s="9" t="n">
        <x:v>0.0350089767</x:v>
      </x:c>
      <x:c r="R1812" s="3" t="b">
        <x:v>0</x:v>
      </x:c>
      <x:c r="S1812" s="3" t="b">
        <x:v>1</x:v>
      </x:c>
      <x:c r="T1812" s="3" t="b">
        <x:v>0</x:v>
      </x:c>
      <x:c r="U1812" s="2" t="str">
        <x:f>IF(T1812=TRUE,"Priority review",IF(R1812=TRUE,"High cost",IF(S1812=TRUE,"Low quality","Benchmark")))</x:f>
        <x:v>Low quality</x:v>
      </x:c>
    </x:row>
    <x:row r="1813">
      <x:c r="A1813" s="2" t="str">
        <x:v>331318</x:v>
      </x:c>
      <x:c r="B1813" s="2" t="str">
        <x:v>CARTHAGE AREA HOSPITAL, INC</x:v>
      </x:c>
      <x:c r="C1813" s="2" t="str">
        <x:v>CARTHAGE</x:v>
      </x:c>
      <x:c r="D1813" s="2" t="str">
        <x:v>NY</x:v>
      </x:c>
      <x:c r="E1813" s="2" t="str">
        <x:v>Critical Access Hospitals</x:v>
      </x:c>
      <x:c r="F1813" s="2" t="str">
        <x:v>Voluntary non-profit</x:v>
      </x:c>
      <x:c r="G1813" s="2" t="str">
        <x:v>Small (&lt;100 beds)</x:v>
      </x:c>
      <x:c r="H1813" s="7"/>
      <x:c r="I1813" s="7"/>
      <x:c r="J1813" s="7"/>
      <x:c r="K1813" s="8" t="n">
        <x:v>25</x:v>
      </x:c>
      <x:c r="L1813" s="8" t="n">
        <x:v>564</x:v>
      </x:c>
      <x:c r="M1813" s="9" t="n">
        <x:v>0.4775956284</x:v>
      </x:c>
      <x:c r="N1813" s="10" t="n">
        <x:v>166809.4184397163</x:v>
      </x:c>
      <x:c r="O1813" s="9" t="n">
        <x:v>-0.0162728069</x:v>
      </x:c>
      <x:c r="P1813" s="9" t="n">
        <x:v>0.6334572491</x:v>
      </x:c>
      <x:c r="Q1813" s="9" t="n">
        <x:v>0.292936803</x:v>
      </x:c>
      <x:c r="R1813" s="3" t="b">
        <x:v>0</x:v>
      </x:c>
      <x:c r="S1813" s="3" t="b">
        <x:v>0</x:v>
      </x:c>
      <x:c r="T1813" s="3" t="b">
        <x:v>0</x:v>
      </x:c>
      <x:c r="U1813" s="2" t="str">
        <x:f>IF(T1813=TRUE,"Priority review",IF(R1813=TRUE,"High cost",IF(S1813=TRUE,"Low quality","Benchmark")))</x:f>
        <x:v>Benchmark</x:v>
      </x:c>
    </x:row>
    <x:row r="1814">
      <x:c r="A1814" s="2" t="str">
        <x:v>050523</x:v>
      </x:c>
      <x:c r="B1814" s="2" t="str">
        <x:v>SUTTER DELTA MEDICAL CENTER</x:v>
      </x:c>
      <x:c r="C1814" s="2" t="str">
        <x:v>ANTIOCH</x:v>
      </x:c>
      <x:c r="D1814" s="2" t="str">
        <x:v>CA</x:v>
      </x:c>
      <x:c r="E1814" s="2" t="str">
        <x:v>Acute Care Hospitals</x:v>
      </x:c>
      <x:c r="F1814" s="2" t="str">
        <x:v>Voluntary non-profit</x:v>
      </x:c>
      <x:c r="G1814" s="2" t="str">
        <x:v>Medium (100-299 beds)</x:v>
      </x:c>
      <x:c r="H1814" s="7" t="n">
        <x:v>3</x:v>
      </x:c>
      <x:c r="I1814" s="7" t="n">
        <x:v>2</x:v>
      </x:c>
      <x:c r="J1814" s="7" t="n">
        <x:v>0.98</x:v>
      </x:c>
      <x:c r="K1814" s="8" t="n">
        <x:v>119</x:v>
      </x:c>
      <x:c r="L1814" s="8" t="n">
        <x:v>6420</x:v>
      </x:c>
      <x:c r="M1814" s="9" t="n">
        <x:v>0.5908068145</x:v>
      </x:c>
      <x:c r="N1814" s="10" t="n">
        <x:v>39837.8845794393</x:v>
      </x:c>
      <x:c r="O1814" s="9" t="n">
        <x:v>0.0075879246</x:v>
      </x:c>
      <x:c r="P1814" s="9" t="n">
        <x:v>0.6332518337</x:v>
      </x:c>
      <x:c r="Q1814" s="9" t="n">
        <x:v>0.3023634882</x:v>
      </x:c>
      <x:c r="R1814" s="3" t="b">
        <x:v>0</x:v>
      </x:c>
      <x:c r="S1814" s="3" t="b">
        <x:v>0</x:v>
      </x:c>
      <x:c r="T1814" s="3" t="b">
        <x:v>0</x:v>
      </x:c>
      <x:c r="U1814" s="2" t="str">
        <x:f>IF(T1814=TRUE,"Priority review",IF(R1814=TRUE,"High cost",IF(S1814=TRUE,"Low quality","Benchmark")))</x:f>
        <x:v>Benchmark</x:v>
      </x:c>
    </x:row>
    <x:row r="1815">
      <x:c r="A1815" s="2" t="str">
        <x:v>360189</x:v>
      </x:c>
      <x:c r="B1815" s="2" t="str">
        <x:v>MADISON HEALTH</x:v>
      </x:c>
      <x:c r="C1815" s="2" t="str">
        <x:v>LONDON</x:v>
      </x:c>
      <x:c r="D1815" s="2" t="str">
        <x:v>OH</x:v>
      </x:c>
      <x:c r="E1815" s="2" t="str">
        <x:v>Acute Care Hospitals</x:v>
      </x:c>
      <x:c r="F1815" s="2" t="str">
        <x:v>Voluntary non-profit</x:v>
      </x:c>
      <x:c r="G1815" s="2" t="str">
        <x:v>Small (&lt;100 beds)</x:v>
      </x:c>
      <x:c r="H1815" s="7" t="n">
        <x:v>3</x:v>
      </x:c>
      <x:c r="I1815" s="7" t="n">
        <x:v>4</x:v>
      </x:c>
      <x:c r="J1815" s="7" t="n">
        <x:v>0.83</x:v>
      </x:c>
      <x:c r="K1815" s="8" t="n">
        <x:v>45</x:v>
      </x:c>
      <x:c r="L1815" s="8" t="n">
        <x:v>855</x:v>
      </x:c>
      <x:c r="M1815" s="9" t="n">
        <x:v>0.1813600486</x:v>
      </x:c>
      <x:c r="N1815" s="10" t="n">
        <x:v>66091.081871345</x:v>
      </x:c>
      <x:c r="O1815" s="9" t="n">
        <x:v>0.1334236942</x:v>
      </x:c>
      <x:c r="P1815" s="9" t="n">
        <x:v>0.6328545781</x:v>
      </x:c>
      <x:c r="Q1815" s="9" t="n">
        <x:v>0.1687612208</x:v>
      </x:c>
      <x:c r="R1815" s="3" t="b">
        <x:v>0</x:v>
      </x:c>
      <x:c r="S1815" s="3" t="b">
        <x:v>0</x:v>
      </x:c>
      <x:c r="T1815" s="3" t="b">
        <x:v>0</x:v>
      </x:c>
      <x:c r="U1815" s="2" t="str">
        <x:f>IF(T1815=TRUE,"Priority review",IF(R1815=TRUE,"High cost",IF(S1815=TRUE,"Low quality","Benchmark")))</x:f>
        <x:v>Benchmark</x:v>
      </x:c>
    </x:row>
    <x:row r="1816">
      <x:c r="A1816" s="2" t="str">
        <x:v>281323</x:v>
      </x:c>
      <x:c r="B1816" s="2" t="str">
        <x:v>CHI HEALTH SCHUYLER</x:v>
      </x:c>
      <x:c r="C1816" s="2" t="str">
        <x:v>SCHUYLER</x:v>
      </x:c>
      <x:c r="D1816" s="2" t="str">
        <x:v>NE</x:v>
      </x:c>
      <x:c r="E1816" s="2" t="str">
        <x:v>Critical Access Hospitals</x:v>
      </x:c>
      <x:c r="F1816" s="2" t="str">
        <x:v>Voluntary non-profit</x:v>
      </x:c>
      <x:c r="G1816" s="2" t="str">
        <x:v>Small (&lt;100 beds)</x:v>
      </x:c>
      <x:c r="H1816" s="7"/>
      <x:c r="I1816" s="7"/>
      <x:c r="J1816" s="7"/>
      <x:c r="K1816" s="8" t="n">
        <x:v>25</x:v>
      </x:c>
      <x:c r="L1816" s="8" t="n">
        <x:v>103</x:v>
      </x:c>
      <x:c r="M1816" s="9" t="n">
        <x:v>0.1659178082</x:v>
      </x:c>
      <x:c r="N1816" s="10" t="n">
        <x:v>166535.2038834952</x:v>
      </x:c>
      <x:c r="O1816" s="9" t="n">
        <x:v>-0.0553844176</x:v>
      </x:c>
      <x:c r="P1816" s="9" t="n">
        <x:v>0.6327137546</x:v>
      </x:c>
      <x:c r="Q1816" s="9" t="n">
        <x:v>0.292936803</x:v>
      </x:c>
      <x:c r="R1816" s="3" t="b">
        <x:v>0</x:v>
      </x:c>
      <x:c r="S1816" s="3" t="b">
        <x:v>0</x:v>
      </x:c>
      <x:c r="T1816" s="3" t="b">
        <x:v>0</x:v>
      </x:c>
      <x:c r="U1816" s="2" t="str">
        <x:f>IF(T1816=TRUE,"Priority review",IF(R1816=TRUE,"High cost",IF(S1816=TRUE,"Low quality","Benchmark")))</x:f>
        <x:v>Benchmark</x:v>
      </x:c>
    </x:row>
    <x:row r="1817">
      <x:c r="A1817" s="2" t="str">
        <x:v>110008</x:v>
      </x:c>
      <x:c r="B1817" s="2" t="str">
        <x:v>NORTHSIDE HOSPITAL CHEROKEE</x:v>
      </x:c>
      <x:c r="C1817" s="2" t="str">
        <x:v>CANTON</x:v>
      </x:c>
      <x:c r="D1817" s="2" t="str">
        <x:v>GA</x:v>
      </x:c>
      <x:c r="E1817" s="2" t="str">
        <x:v>Acute Care Hospitals</x:v>
      </x:c>
      <x:c r="F1817" s="2" t="str">
        <x:v>Voluntary non-profit</x:v>
      </x:c>
      <x:c r="G1817" s="2" t="str">
        <x:v>Large (300+ beds)</x:v>
      </x:c>
      <x:c r="H1817" s="7" t="n">
        <x:v>4</x:v>
      </x:c>
      <x:c r="I1817" s="7" t="n">
        <x:v>4</x:v>
      </x:c>
      <x:c r="J1817" s="7" t="n">
        <x:v>0.94</x:v>
      </x:c>
      <x:c r="K1817" s="8" t="n">
        <x:v>329</x:v>
      </x:c>
      <x:c r="L1817" s="8" t="n">
        <x:v>16907</x:v>
      </x:c>
      <x:c r="M1817" s="9" t="n">
        <x:v>0.8507814706</x:v>
      </x:c>
      <x:c r="N1817" s="10" t="n">
        <x:v>44946.5587626427</x:v>
      </x:c>
      <x:c r="O1817" s="9" t="n">
        <x:v>0.292326059</x:v>
      </x:c>
      <x:c r="P1817" s="9" t="n">
        <x:v>0.6324921136</x:v>
      </x:c>
      <x:c r="Q1817" s="9" t="n">
        <x:v>0.5899053628</x:v>
      </x:c>
      <x:c r="R1817" s="3" t="b">
        <x:v>0</x:v>
      </x:c>
      <x:c r="S1817" s="3" t="b">
        <x:v>0</x:v>
      </x:c>
      <x:c r="T1817" s="3" t="b">
        <x:v>0</x:v>
      </x:c>
      <x:c r="U1817" s="2" t="str">
        <x:f>IF(T1817=TRUE,"Priority review",IF(R1817=TRUE,"High cost",IF(S1817=TRUE,"Low quality","Benchmark")))</x:f>
        <x:v>Benchmark</x:v>
      </x:c>
    </x:row>
    <x:row r="1818">
      <x:c r="A1818" s="2" t="str">
        <x:v>050636</x:v>
      </x:c>
      <x:c r="B1818" s="2" t="str">
        <x:v>PALOMAR MEDICAL CENTER POWAY</x:v>
      </x:c>
      <x:c r="C1818" s="2" t="str">
        <x:v>POWAY</x:v>
      </x:c>
      <x:c r="D1818" s="2" t="str">
        <x:v>CA</x:v>
      </x:c>
      <x:c r="E1818" s="2" t="str">
        <x:v>Acute Care Hospitals</x:v>
      </x:c>
      <x:c r="F1818" s="2" t="str">
        <x:v>Government</x:v>
      </x:c>
      <x:c r="G1818" s="2" t="str">
        <x:v>Medium (100-299 beds)</x:v>
      </x:c>
      <x:c r="H1818" s="7" t="n">
        <x:v>4</x:v>
      </x:c>
      <x:c r="I1818" s="7" t="n">
        <x:v>2</x:v>
      </x:c>
      <x:c r="J1818" s="7" t="n">
        <x:v>1.06</x:v>
      </x:c>
      <x:c r="K1818" s="8" t="n">
        <x:v>119</x:v>
      </x:c>
      <x:c r="L1818" s="8" t="n">
        <x:v>5104</x:v>
      </x:c>
      <x:c r="M1818" s="9" t="n">
        <x:v>0.447450213</x:v>
      </x:c>
      <x:c r="N1818" s="10" t="n">
        <x:v>39835.0092084639</x:v>
      </x:c>
      <x:c r="O1818" s="9" t="n">
        <x:v>-0.1289813519</x:v>
      </x:c>
      <x:c r="P1818" s="9" t="n">
        <x:v>0.6324368378</x:v>
      </x:c>
      <x:c r="Q1818" s="9" t="n">
        <x:v>0.6022819886</x:v>
      </x:c>
      <x:c r="R1818" s="3" t="b">
        <x:v>0</x:v>
      </x:c>
      <x:c r="S1818" s="3" t="b">
        <x:v>0</x:v>
      </x:c>
      <x:c r="T1818" s="3" t="b">
        <x:v>0</x:v>
      </x:c>
      <x:c r="U1818" s="2" t="str">
        <x:f>IF(T1818=TRUE,"Priority review",IF(R1818=TRUE,"High cost",IF(S1818=TRUE,"Low quality","Benchmark")))</x:f>
        <x:v>Benchmark</x:v>
      </x:c>
    </x:row>
    <x:row r="1819">
      <x:c r="A1819" s="2" t="str">
        <x:v>271338</x:v>
      </x:c>
      <x:c r="B1819" s="2" t="str">
        <x:v>BIG HORN HOSPITAL</x:v>
      </x:c>
      <x:c r="C1819" s="2" t="str">
        <x:v>HARDIN</x:v>
      </x:c>
      <x:c r="D1819" s="2" t="str">
        <x:v>MT</x:v>
      </x:c>
      <x:c r="E1819" s="2" t="str">
        <x:v>Critical Access Hospitals</x:v>
      </x:c>
      <x:c r="F1819" s="2" t="str">
        <x:v>Voluntary non-profit</x:v>
      </x:c>
      <x:c r="G1819" s="2" t="str">
        <x:v>Small (&lt;100 beds)</x:v>
      </x:c>
      <x:c r="H1819" s="7"/>
      <x:c r="I1819" s="7"/>
      <x:c r="J1819" s="7"/>
      <x:c r="K1819" s="8" t="n">
        <x:v>18</x:v>
      </x:c>
      <x:c r="L1819" s="8" t="n">
        <x:v>105</x:v>
      </x:c>
      <x:c r="M1819" s="9" t="n">
        <x:v>0.4337899543</x:v>
      </x:c>
      <x:c r="N1819" s="10" t="n">
        <x:v>166291.4857142857</x:v>
      </x:c>
      <x:c r="O1819" s="9" t="n">
        <x:v>-0.0420151468</x:v>
      </x:c>
      <x:c r="P1819" s="9" t="n">
        <x:v>0.6319702602</x:v>
      </x:c>
      <x:c r="Q1819" s="9" t="n">
        <x:v>0.292936803</x:v>
      </x:c>
      <x:c r="R1819" s="3" t="b">
        <x:v>0</x:v>
      </x:c>
      <x:c r="S1819" s="3" t="b">
        <x:v>0</x:v>
      </x:c>
      <x:c r="T1819" s="3" t="b">
        <x:v>0</x:v>
      </x:c>
      <x:c r="U1819" s="2" t="str">
        <x:f>IF(T1819=TRUE,"Priority review",IF(R1819=TRUE,"High cost",IF(S1819=TRUE,"Low quality","Benchmark")))</x:f>
        <x:v>Benchmark</x:v>
      </x:c>
    </x:row>
    <x:row r="1820">
      <x:c r="A1820" s="2" t="str">
        <x:v>440007</x:v>
      </x:c>
      <x:c r="B1820" s="2" t="str">
        <x:v>UNITY MEDICAL CENTER</x:v>
      </x:c>
      <x:c r="C1820" s="2" t="str">
        <x:v>MANCHESTER</x:v>
      </x:c>
      <x:c r="D1820" s="2" t="str">
        <x:v>TN</x:v>
      </x:c>
      <x:c r="E1820" s="2" t="str">
        <x:v>Acute Care Hospitals</x:v>
      </x:c>
      <x:c r="F1820" s="2" t="str">
        <x:v>Voluntary non-profit</x:v>
      </x:c>
      <x:c r="G1820" s="2" t="str">
        <x:v>Small (&lt;100 beds)</x:v>
      </x:c>
      <x:c r="H1820" s="7" t="n">
        <x:v>3</x:v>
      </x:c>
      <x:c r="I1820" s="7" t="n">
        <x:v>5</x:v>
      </x:c>
      <x:c r="J1820" s="7" t="n">
        <x:v>1.15</x:v>
      </x:c>
      <x:c r="K1820" s="8" t="n">
        <x:v>49</x:v>
      </x:c>
      <x:c r="L1820" s="8" t="n">
        <x:v>849</x:v>
      </x:c>
      <x:c r="M1820" s="9" t="n">
        <x:v>0.2011263522</x:v>
      </x:c>
      <x:c r="N1820" s="10" t="n">
        <x:v>66045.3863368669</x:v>
      </x:c>
      <x:c r="O1820" s="9" t="n">
        <x:v>-0.0508074595</x:v>
      </x:c>
      <x:c r="P1820" s="9" t="n">
        <x:v>0.631956912</x:v>
      </x:c>
      <x:c r="Q1820" s="9" t="n">
        <x:v>0.1687612208</x:v>
      </x:c>
      <x:c r="R1820" s="3" t="b">
        <x:v>0</x:v>
      </x:c>
      <x:c r="S1820" s="3" t="b">
        <x:v>0</x:v>
      </x:c>
      <x:c r="T1820" s="3" t="b">
        <x:v>0</x:v>
      </x:c>
      <x:c r="U1820" s="2" t="str">
        <x:f>IF(T1820=TRUE,"Priority review",IF(R1820=TRUE,"High cost",IF(S1820=TRUE,"Low quality","Benchmark")))</x:f>
        <x:v>Benchmark</x:v>
      </x:c>
    </x:row>
    <x:row r="1821">
      <x:c r="A1821" s="2" t="str">
        <x:v>144043</x:v>
      </x:c>
      <x:c r="B1821" s="2" t="str">
        <x:v>MONTROSE BEHAVIORAL HEALTH HOSPITAL</x:v>
      </x:c>
      <x:c r="C1821" s="2" t="str">
        <x:v>CHICAGO</x:v>
      </x:c>
      <x:c r="D1821" s="2" t="str">
        <x:v>IL</x:v>
      </x:c>
      <x:c r="E1821" s="2" t="str">
        <x:v>Psychiatric</x:v>
      </x:c>
      <x:c r="F1821" s="2" t="str">
        <x:v>Proprietary</x:v>
      </x:c>
      <x:c r="G1821" s="2" t="str">
        <x:v>Medium (100-299 beds)</x:v>
      </x:c>
      <x:c r="H1821" s="7"/>
      <x:c r="I1821" s="7"/>
      <x:c r="J1821" s="7"/>
      <x:c r="K1821" s="8" t="n">
        <x:v>161</x:v>
      </x:c>
      <x:c r="L1821" s="8" t="n">
        <x:v>2331</x:v>
      </x:c>
      <x:c r="M1821" s="9" t="n">
        <x:v>0.3952414893</x:v>
      </x:c>
      <x:c r="N1821" s="10" t="n">
        <x:v>17365.7365937366</x:v>
      </x:c>
      <x:c r="O1821" s="9" t="n">
        <x:v>-0.4562469363</x:v>
      </x:c>
      <x:c r="P1821" s="9" t="n">
        <x:v>0.631840796</x:v>
      </x:c>
      <x:c r="Q1821" s="9" t="n">
        <x:v>0</x:v>
      </x:c>
      <x:c r="R1821" s="3" t="b">
        <x:v>0</x:v>
      </x:c>
      <x:c r="S1821" s="3" t="b">
        <x:v>0</x:v>
      </x:c>
      <x:c r="T1821" s="3" t="b">
        <x:v>0</x:v>
      </x:c>
      <x:c r="U1821" s="2" t="str">
        <x:f>IF(T1821=TRUE,"Priority review",IF(R1821=TRUE,"High cost",IF(S1821=TRUE,"Low quality","Benchmark")))</x:f>
        <x:v>Benchmark</x:v>
      </x:c>
    </x:row>
    <x:row r="1822">
      <x:c r="A1822" s="2" t="str">
        <x:v>140233</x:v>
      </x:c>
      <x:c r="B1822" s="2" t="str">
        <x:v>SAINT ANTHONY MEDICAL CENTER</x:v>
      </x:c>
      <x:c r="C1822" s="2" t="str">
        <x:v>ROCKFORD</x:v>
      </x:c>
      <x:c r="D1822" s="2" t="str">
        <x:v>IL</x:v>
      </x:c>
      <x:c r="E1822" s="2" t="str">
        <x:v>Acute Care Hospitals</x:v>
      </x:c>
      <x:c r="F1822" s="2" t="str">
        <x:v>Voluntary non-profit</x:v>
      </x:c>
      <x:c r="G1822" s="2" t="str">
        <x:v>Medium (100-299 beds)</x:v>
      </x:c>
      <x:c r="H1822" s="7" t="n">
        <x:v>2</x:v>
      </x:c>
      <x:c r="I1822" s="7" t="n">
        <x:v>3</x:v>
      </x:c>
      <x:c r="J1822" s="7" t="n">
        <x:v>1.05</x:v>
      </x:c>
      <x:c r="K1822" s="8" t="n">
        <x:v>235</x:v>
      </x:c>
      <x:c r="L1822" s="8" t="n">
        <x:v>11703</x:v>
      </x:c>
      <x:c r="M1822" s="9" t="n">
        <x:v>0.762295082</x:v>
      </x:c>
      <x:c r="N1822" s="10" t="n">
        <x:v>39790.6975989063</x:v>
      </x:c>
      <x:c r="O1822" s="9" t="n">
        <x:v>0.0119835687</x:v>
      </x:c>
      <x:c r="P1822" s="9" t="n">
        <x:v>0.6316218419</x:v>
      </x:c>
      <x:c r="Q1822" s="9" t="n">
        <x:v>0.0782396088</x:v>
      </x:c>
      <x:c r="R1822" s="3" t="b">
        <x:v>0</x:v>
      </x:c>
      <x:c r="S1822" s="3" t="b">
        <x:v>1</x:v>
      </x:c>
      <x:c r="T1822" s="3" t="b">
        <x:v>0</x:v>
      </x:c>
      <x:c r="U1822" s="2" t="str">
        <x:f>IF(T1822=TRUE,"Priority review",IF(R1822=TRUE,"High cost",IF(S1822=TRUE,"Low quality","Benchmark")))</x:f>
        <x:v>Low quality</x:v>
      </x:c>
    </x:row>
    <x:row r="1823">
      <x:c r="A1823" s="2" t="str">
        <x:v>241302</x:v>
      </x:c>
      <x:c r="B1823" s="2" t="str">
        <x:v>SANFORD WESTBROOK MEDICAL CENTER</x:v>
      </x:c>
      <x:c r="C1823" s="2" t="str">
        <x:v>WESTBROOK</x:v>
      </x:c>
      <x:c r="D1823" s="2" t="str">
        <x:v>MN</x:v>
      </x:c>
      <x:c r="E1823" s="2" t="str">
        <x:v>Critical Access Hospitals</x:v>
      </x:c>
      <x:c r="F1823" s="2" t="str">
        <x:v>Voluntary non-profit</x:v>
      </x:c>
      <x:c r="G1823" s="2" t="str">
        <x:v>Small (&lt;100 beds)</x:v>
      </x:c>
      <x:c r="H1823" s="7"/>
      <x:c r="I1823" s="7"/>
      <x:c r="J1823" s="7"/>
      <x:c r="K1823" s="8" t="n">
        <x:v>8</x:v>
      </x:c>
      <x:c r="L1823" s="8" t="n">
        <x:v>64</x:v>
      </x:c>
      <x:c r="M1823" s="9" t="n">
        <x:v>0.1458333333</x:v>
      </x:c>
      <x:c r="N1823" s="10" t="n">
        <x:v>166026.28125</x:v>
      </x:c>
      <x:c r="O1823" s="9" t="n">
        <x:v>-0.040797424</x:v>
      </x:c>
      <x:c r="P1823" s="9" t="n">
        <x:v>0.6312267658</x:v>
      </x:c>
      <x:c r="Q1823" s="9" t="n">
        <x:v>0.292936803</x:v>
      </x:c>
      <x:c r="R1823" s="3" t="b">
        <x:v>0</x:v>
      </x:c>
      <x:c r="S1823" s="3" t="b">
        <x:v>0</x:v>
      </x:c>
      <x:c r="T1823" s="3" t="b">
        <x:v>0</x:v>
      </x:c>
      <x:c r="U1823" s="2" t="str">
        <x:f>IF(T1823=TRUE,"Priority review",IF(R1823=TRUE,"High cost",IF(S1823=TRUE,"Low quality","Benchmark")))</x:f>
        <x:v>Benchmark</x:v>
      </x:c>
    </x:row>
    <x:row r="1824">
      <x:c r="A1824" s="2" t="str">
        <x:v>374027</x:v>
      </x:c>
      <x:c r="B1824" s="2" t="str">
        <x:v>BEHAVIORAL HEALTH CENTER AT PORTER HEALTH VILLAGE</x:v>
      </x:c>
      <x:c r="C1824" s="2" t="str">
        <x:v>NORMAN</x:v>
      </x:c>
      <x:c r="D1824" s="2" t="str">
        <x:v>OK</x:v>
      </x:c>
      <x:c r="E1824" s="2" t="str">
        <x:v>Psychiatric</x:v>
      </x:c>
      <x:c r="F1824" s="2" t="str">
        <x:v>Proprietary</x:v>
      </x:c>
      <x:c r="G1824" s="2" t="str">
        <x:v>Small (&lt;100 beds)</x:v>
      </x:c>
      <x:c r="H1824" s="7"/>
      <x:c r="I1824" s="7"/>
      <x:c r="J1824" s="7"/>
      <x:c r="K1824" s="8" t="n">
        <x:v>48</x:v>
      </x:c>
      <x:c r="L1824" s="8" t="n">
        <x:v>383</x:v>
      </x:c>
      <x:c r="M1824" s="9" t="n">
        <x:v>0.4819785276</x:v>
      </x:c>
      <x:c r="N1824" s="10" t="n">
        <x:v>16613.4255874674</x:v>
      </x:c>
      <x:c r="O1824" s="9" t="n">
        <x:v>-1.799661556</x:v>
      </x:c>
      <x:c r="P1824" s="9" t="n">
        <x:v>0.6310679612</x:v>
      </x:c>
      <x:c r="Q1824" s="9" t="n">
        <x:v>0</x:v>
      </x:c>
      <x:c r="R1824" s="3" t="b">
        <x:v>0</x:v>
      </x:c>
      <x:c r="S1824" s="3" t="b">
        <x:v>0</x:v>
      </x:c>
      <x:c r="T1824" s="3" t="b">
        <x:v>0</x:v>
      </x:c>
      <x:c r="U1824" s="2" t="str">
        <x:f>IF(T1824=TRUE,"Priority review",IF(R1824=TRUE,"High cost",IF(S1824=TRUE,"Low quality","Benchmark")))</x:f>
        <x:v>Benchmark</x:v>
      </x:c>
    </x:row>
    <x:row r="1825">
      <x:c r="A1825" s="2" t="str">
        <x:v>140161</x:v>
      </x:c>
      <x:c r="B1825" s="2" t="str">
        <x:v>SAINT JAMES HOSPITAL</x:v>
      </x:c>
      <x:c r="C1825" s="2" t="str">
        <x:v>PONTIAC</x:v>
      </x:c>
      <x:c r="D1825" s="2" t="str">
        <x:v>IL</x:v>
      </x:c>
      <x:c r="E1825" s="2" t="str">
        <x:v>Acute Care Hospitals</x:v>
      </x:c>
      <x:c r="F1825" s="2" t="str">
        <x:v>Voluntary non-profit</x:v>
      </x:c>
      <x:c r="G1825" s="2" t="str">
        <x:v>Small (&lt;100 beds)</x:v>
      </x:c>
      <x:c r="H1825" s="7" t="n">
        <x:v>4</x:v>
      </x:c>
      <x:c r="I1825" s="7" t="n">
        <x:v>3</x:v>
      </x:c>
      <x:c r="J1825" s="7" t="n">
        <x:v>0.92</x:v>
      </x:c>
      <x:c r="K1825" s="8" t="n">
        <x:v>40</x:v>
      </x:c>
      <x:c r="L1825" s="8" t="n">
        <x:v>1288</x:v>
      </x:c>
      <x:c r="M1825" s="9" t="n">
        <x:v>0.3341530055</x:v>
      </x:c>
      <x:c r="N1825" s="10" t="n">
        <x:v>65925.2305900621</x:v>
      </x:c>
      <x:c r="O1825" s="9" t="n">
        <x:v>0.0368760003</x:v>
      </x:c>
      <x:c r="P1825" s="9" t="n">
        <x:v>0.631059246</x:v>
      </x:c>
      <x:c r="Q1825" s="9" t="n">
        <x:v>0.3913824057</x:v>
      </x:c>
      <x:c r="R1825" s="3" t="b">
        <x:v>0</x:v>
      </x:c>
      <x:c r="S1825" s="3" t="b">
        <x:v>0</x:v>
      </x:c>
      <x:c r="T1825" s="3" t="b">
        <x:v>0</x:v>
      </x:c>
      <x:c r="U1825" s="2" t="str">
        <x:f>IF(T1825=TRUE,"Priority review",IF(R1825=TRUE,"High cost",IF(S1825=TRUE,"Low quality","Benchmark")))</x:f>
        <x:v>Benchmark</x:v>
      </x:c>
    </x:row>
    <x:row r="1826">
      <x:c r="A1826" s="2" t="str">
        <x:v>310002</x:v>
      </x:c>
      <x:c r="B1826" s="2" t="str">
        <x:v>NEWARK BETH ISRAEL MEDICAL CENTER</x:v>
      </x:c>
      <x:c r="C1826" s="2" t="str">
        <x:v>NEWARK</x:v>
      </x:c>
      <x:c r="D1826" s="2" t="str">
        <x:v>NJ</x:v>
      </x:c>
      <x:c r="E1826" s="2" t="str">
        <x:v>Acute Care Hospitals</x:v>
      </x:c>
      <x:c r="F1826" s="2" t="str">
        <x:v>Voluntary non-profit</x:v>
      </x:c>
      <x:c r="G1826" s="2" t="str">
        <x:v>Large (300+ beds)</x:v>
      </x:c>
      <x:c r="H1826" s="7" t="n">
        <x:v>2</x:v>
      </x:c>
      <x:c r="I1826" s="7" t="n">
        <x:v>2</x:v>
      </x:c>
      <x:c r="J1826" s="7" t="n">
        <x:v>1.11</x:v>
      </x:c>
      <x:c r="K1826" s="8" t="n">
        <x:v>419</x:v>
      </x:c>
      <x:c r="L1826" s="8" t="n">
        <x:v>19613</x:v>
      </x:c>
      <x:c r="M1826" s="9" t="n">
        <x:v>0.8140120245</x:v>
      </x:c>
      <x:c r="N1826" s="10" t="n">
        <x:v>44881.7962065977</x:v>
      </x:c>
      <x:c r="O1826" s="9" t="n">
        <x:v>-0.0895408256</x:v>
      </x:c>
      <x:c r="P1826" s="9" t="n">
        <x:v>0.6309148265</x:v>
      </x:c>
      <x:c r="Q1826" s="9" t="n">
        <x:v>0.0536277603</x:v>
      </x:c>
      <x:c r="R1826" s="3" t="b">
        <x:v>0</x:v>
      </x:c>
      <x:c r="S1826" s="3" t="b">
        <x:v>1</x:v>
      </x:c>
      <x:c r="T1826" s="3" t="b">
        <x:v>0</x:v>
      </x:c>
      <x:c r="U1826" s="2" t="str">
        <x:f>IF(T1826=TRUE,"Priority review",IF(R1826=TRUE,"High cost",IF(S1826=TRUE,"Low quality","Benchmark")))</x:f>
        <x:v>Low quality</x:v>
      </x:c>
    </x:row>
    <x:row r="1827">
      <x:c r="A1827" s="2" t="str">
        <x:v>120002</x:v>
      </x:c>
      <x:c r="B1827" s="2" t="str">
        <x:v>MAUI MEMORIAL MEDICAL CENTER</x:v>
      </x:c>
      <x:c r="C1827" s="2" t="str">
        <x:v>WAILUKU</x:v>
      </x:c>
      <x:c r="D1827" s="2" t="str">
        <x:v>HI</x:v>
      </x:c>
      <x:c r="E1827" s="2" t="str">
        <x:v>Acute Care Hospitals</x:v>
      </x:c>
      <x:c r="F1827" s="2" t="str">
        <x:v>Government</x:v>
      </x:c>
      <x:c r="G1827" s="2" t="str">
        <x:v>Medium (100-299 beds)</x:v>
      </x:c>
      <x:c r="H1827" s="7" t="n">
        <x:v>2</x:v>
      </x:c>
      <x:c r="I1827" s="7" t="n">
        <x:v>3</x:v>
      </x:c>
      <x:c r="J1827" s="7" t="n">
        <x:v>0.86</x:v>
      </x:c>
      <x:c r="K1827" s="8" t="n">
        <x:v>219</x:v>
      </x:c>
      <x:c r="L1827" s="8" t="n">
        <x:v>8843</x:v>
      </x:c>
      <x:c r="M1827" s="9" t="n">
        <x:v>0.7310552187</x:v>
      </x:c>
      <x:c r="N1827" s="10" t="n">
        <x:v>39790.1785593125</x:v>
      </x:c>
      <x:c r="O1827" s="9" t="n">
        <x:v>0.0215281491</x:v>
      </x:c>
      <x:c r="P1827" s="9" t="n">
        <x:v>0.630806846</x:v>
      </x:c>
      <x:c r="Q1827" s="9" t="n">
        <x:v>0.0782396088</x:v>
      </x:c>
      <x:c r="R1827" s="3" t="b">
        <x:v>0</x:v>
      </x:c>
      <x:c r="S1827" s="3" t="b">
        <x:v>1</x:v>
      </x:c>
      <x:c r="T1827" s="3" t="b">
        <x:v>0</x:v>
      </x:c>
      <x:c r="U1827" s="2" t="str">
        <x:f>IF(T1827=TRUE,"Priority review",IF(R1827=TRUE,"High cost",IF(S1827=TRUE,"Low quality","Benchmark")))</x:f>
        <x:v>Low quality</x:v>
      </x:c>
    </x:row>
    <x:row r="1828">
      <x:c r="A1828" s="2" t="str">
        <x:v>501324</x:v>
      </x:c>
      <x:c r="B1828" s="2" t="str">
        <x:v>THREE RIVERS HOSPITAL</x:v>
      </x:c>
      <x:c r="C1828" s="2" t="str">
        <x:v>BREWSTER</x:v>
      </x:c>
      <x:c r="D1828" s="2" t="str">
        <x:v>WA</x:v>
      </x:c>
      <x:c r="E1828" s="2" t="str">
        <x:v>Critical Access Hospitals</x:v>
      </x:c>
      <x:c r="F1828" s="2" t="str">
        <x:v>Government</x:v>
      </x:c>
      <x:c r="G1828" s="2" t="str">
        <x:v>Small (&lt;100 beds)</x:v>
      </x:c>
      <x:c r="H1828" s="7"/>
      <x:c r="I1828" s="7"/>
      <x:c r="J1828" s="7"/>
      <x:c r="K1828" s="8" t="n">
        <x:v>25</x:v>
      </x:c>
      <x:c r="L1828" s="8" t="n">
        <x:v>124</x:v>
      </x:c>
      <x:c r="M1828" s="9" t="n">
        <x:v>0.0992349727</x:v>
      </x:c>
      <x:c r="N1828" s="10" t="n">
        <x:v>165928.3306451613</x:v>
      </x:c>
      <x:c r="O1828" s="9" t="n">
        <x:v>-0.1614595461</x:v>
      </x:c>
      <x:c r="P1828" s="9" t="n">
        <x:v>0.6304832714</x:v>
      </x:c>
      <x:c r="Q1828" s="9" t="n">
        <x:v>0.292936803</x:v>
      </x:c>
      <x:c r="R1828" s="3" t="b">
        <x:v>0</x:v>
      </x:c>
      <x:c r="S1828" s="3" t="b">
        <x:v>0</x:v>
      </x:c>
      <x:c r="T1828" s="3" t="b">
        <x:v>0</x:v>
      </x:c>
      <x:c r="U1828" s="2" t="str">
        <x:f>IF(T1828=TRUE,"Priority review",IF(R1828=TRUE,"High cost",IF(S1828=TRUE,"Low quality","Benchmark")))</x:f>
        <x:v>Benchmark</x:v>
      </x:c>
    </x:row>
    <x:row r="1829">
      <x:c r="A1829" s="2" t="str">
        <x:v>140012</x:v>
      </x:c>
      <x:c r="B1829" s="2" t="str">
        <x:v>OSF SAINT KATHARINE MEDICAL CENTER</x:v>
      </x:c>
      <x:c r="C1829" s="2" t="str">
        <x:v>DIXON</x:v>
      </x:c>
      <x:c r="D1829" s="2" t="str">
        <x:v>IL</x:v>
      </x:c>
      <x:c r="E1829" s="2" t="str">
        <x:v>Acute Care Hospitals</x:v>
      </x:c>
      <x:c r="F1829" s="2" t="str">
        <x:v>Voluntary non-profit</x:v>
      </x:c>
      <x:c r="G1829" s="2" t="str">
        <x:v>Small (&lt;100 beds)</x:v>
      </x:c>
      <x:c r="H1829" s="7" t="n">
        <x:v>2</x:v>
      </x:c>
      <x:c r="I1829" s="7" t="n">
        <x:v>3</x:v>
      </x:c>
      <x:c r="J1829" s="7" t="n">
        <x:v>0.96</x:v>
      </x:c>
      <x:c r="K1829" s="8" t="n">
        <x:v>80</x:v>
      </x:c>
      <x:c r="L1829" s="8" t="n">
        <x:v>2556</x:v>
      </x:c>
      <x:c r="M1829" s="9" t="n">
        <x:v>0.4153005464</x:v>
      </x:c>
      <x:c r="N1829" s="10" t="n">
        <x:v>65897.7429577465</x:v>
      </x:c>
      <x:c r="O1829" s="9" t="n">
        <x:v>-0.2116298202</x:v>
      </x:c>
      <x:c r="P1829" s="9" t="n">
        <x:v>0.6301615799</x:v>
      </x:c>
      <x:c r="Q1829" s="9" t="n">
        <x:v>0.0350089767</x:v>
      </x:c>
      <x:c r="R1829" s="3" t="b">
        <x:v>0</x:v>
      </x:c>
      <x:c r="S1829" s="3" t="b">
        <x:v>1</x:v>
      </x:c>
      <x:c r="T1829" s="3" t="b">
        <x:v>0</x:v>
      </x:c>
      <x:c r="U1829" s="2" t="str">
        <x:f>IF(T1829=TRUE,"Priority review",IF(R1829=TRUE,"High cost",IF(S1829=TRUE,"Low quality","Benchmark")))</x:f>
        <x:v>Low quality</x:v>
      </x:c>
    </x:row>
    <x:row r="1830">
      <x:c r="A1830" s="2" t="str">
        <x:v>380002</x:v>
      </x:c>
      <x:c r="B1830" s="2" t="str">
        <x:v>ASANTE THREE RIVERS MEDICAL CENTER</x:v>
      </x:c>
      <x:c r="C1830" s="2" t="str">
        <x:v>GRANTS PASS</x:v>
      </x:c>
      <x:c r="D1830" s="2" t="str">
        <x:v>OR</x:v>
      </x:c>
      <x:c r="E1830" s="2" t="str">
        <x:v>Acute Care Hospitals</x:v>
      </x:c>
      <x:c r="F1830" s="2" t="str">
        <x:v>Voluntary non-profit</x:v>
      </x:c>
      <x:c r="G1830" s="2" t="str">
        <x:v>Medium (100-299 beds)</x:v>
      </x:c>
      <x:c r="H1830" s="7" t="n">
        <x:v>3</x:v>
      </x:c>
      <x:c r="I1830" s="7" t="n">
        <x:v>4</x:v>
      </x:c>
      <x:c r="J1830" s="7" t="n">
        <x:v>0.87</x:v>
      </x:c>
      <x:c r="K1830" s="8" t="n">
        <x:v>126</x:v>
      </x:c>
      <x:c r="L1830" s="8" t="n">
        <x:v>7436</x:v>
      </x:c>
      <x:c r="M1830" s="9" t="n">
        <x:v>0.6310174343</x:v>
      </x:c>
      <x:c r="N1830" s="10" t="n">
        <x:v>39729.469203873</x:v>
      </x:c>
      <x:c r="O1830" s="9" t="n">
        <x:v>0.0190792666</x:v>
      </x:c>
      <x:c r="P1830" s="9" t="n">
        <x:v>0.62999185</x:v>
      </x:c>
      <x:c r="Q1830" s="9" t="n">
        <x:v>0.3023634882</x:v>
      </x:c>
      <x:c r="R1830" s="3" t="b">
        <x:v>0</x:v>
      </x:c>
      <x:c r="S1830" s="3" t="b">
        <x:v>0</x:v>
      </x:c>
      <x:c r="T1830" s="3" t="b">
        <x:v>0</x:v>
      </x:c>
      <x:c r="U1830" s="2" t="str">
        <x:f>IF(T1830=TRUE,"Priority review",IF(R1830=TRUE,"High cost",IF(S1830=TRUE,"Low quality","Benchmark")))</x:f>
        <x:v>Benchmark</x:v>
      </x:c>
    </x:row>
    <x:row r="1831">
      <x:c r="A1831" s="2" t="str">
        <x:v>511313</x:v>
      </x:c>
      <x:c r="B1831" s="2" t="str">
        <x:v>BOONE MEMORIAL HOSPITAL</x:v>
      </x:c>
      <x:c r="C1831" s="2" t="str">
        <x:v>MADISON</x:v>
      </x:c>
      <x:c r="D1831" s="2" t="str">
        <x:v>WV</x:v>
      </x:c>
      <x:c r="E1831" s="2" t="str">
        <x:v>Critical Access Hospitals</x:v>
      </x:c>
      <x:c r="F1831" s="2" t="str">
        <x:v>Government</x:v>
      </x:c>
      <x:c r="G1831" s="2" t="str">
        <x:v>Small (&lt;100 beds)</x:v>
      </x:c>
      <x:c r="H1831" s="7" t="n">
        <x:v>4</x:v>
      </x:c>
      <x:c r="I1831" s="7" t="n">
        <x:v>5</x:v>
      </x:c>
      <x:c r="J1831" s="7"/>
      <x:c r="K1831" s="8" t="n">
        <x:v>25</x:v>
      </x:c>
      <x:c r="L1831" s="8" t="n">
        <x:v>580</x:v>
      </x:c>
      <x:c r="M1831" s="9" t="n">
        <x:v>0.6282739726</x:v>
      </x:c>
      <x:c r="N1831" s="10" t="n">
        <x:v>165802.2379310345</x:v>
      </x:c>
      <x:c r="O1831" s="9" t="n">
        <x:v>-0.3383855625</x:v>
      </x:c>
      <x:c r="P1831" s="9" t="n">
        <x:v>0.629739777</x:v>
      </x:c>
      <x:c r="Q1831" s="9" t="n">
        <x:v>0.1657992565</x:v>
      </x:c>
      <x:c r="R1831" s="3" t="b">
        <x:v>0</x:v>
      </x:c>
      <x:c r="S1831" s="3" t="b">
        <x:v>0</x:v>
      </x:c>
      <x:c r="T1831" s="3" t="b">
        <x:v>0</x:v>
      </x:c>
      <x:c r="U1831" s="2" t="str">
        <x:f>IF(T1831=TRUE,"Priority review",IF(R1831=TRUE,"High cost",IF(S1831=TRUE,"Low quality","Benchmark")))</x:f>
        <x:v>Benchmark</x:v>
      </x:c>
    </x:row>
    <x:row r="1832">
      <x:c r="A1832" s="2" t="str">
        <x:v>063301</x:v>
      </x:c>
      <x:c r="B1832" s="2" t="str">
        <x:v>CHILDREN'S HOSPITAL COLORADO</x:v>
      </x:c>
      <x:c r="C1832" s="2" t="str">
        <x:v>AURORA</x:v>
      </x:c>
      <x:c r="D1832" s="2" t="str">
        <x:v>CO</x:v>
      </x:c>
      <x:c r="E1832" s="2" t="str">
        <x:v>Childrens</x:v>
      </x:c>
      <x:c r="F1832" s="2" t="str">
        <x:v>Voluntary non-profit</x:v>
      </x:c>
      <x:c r="G1832" s="2" t="str">
        <x:v>Large (300+ beds)</x:v>
      </x:c>
      <x:c r="H1832" s="7"/>
      <x:c r="I1832" s="7"/>
      <x:c r="J1832" s="7"/>
      <x:c r="K1832" s="8" t="n">
        <x:v>484</x:v>
      </x:c>
      <x:c r="L1832" s="8" t="n">
        <x:v>15636</x:v>
      </x:c>
      <x:c r="M1832" s="9" t="n">
        <x:v>0.6804836026</x:v>
      </x:c>
      <x:c r="N1832" s="10" t="n">
        <x:v>108565.4942440522</x:v>
      </x:c>
      <x:c r="O1832" s="9" t="n">
        <x:v>-0.0685896343</x:v>
      </x:c>
      <x:c r="P1832" s="9" t="n">
        <x:v>0.6296296296</x:v>
      </x:c>
      <x:c r="Q1832" s="9" t="n">
        <x:v>0</x:v>
      </x:c>
      <x:c r="R1832" s="3" t="b">
        <x:v>0</x:v>
      </x:c>
      <x:c r="S1832" s="3" t="b">
        <x:v>0</x:v>
      </x:c>
      <x:c r="T1832" s="3" t="b">
        <x:v>0</x:v>
      </x:c>
      <x:c r="U1832" s="2" t="str">
        <x:f>IF(T1832=TRUE,"Priority review",IF(R1832=TRUE,"High cost",IF(S1832=TRUE,"Low quality","Benchmark")))</x:f>
        <x:v>Benchmark</x:v>
      </x:c>
    </x:row>
    <x:row r="1833">
      <x:c r="A1833" s="2" t="str">
        <x:v>180009</x:v>
      </x:c>
      <x:c r="B1833" s="2" t="str">
        <x:v>KING'S DAUGHTERS' MEDICAL CENTER</x:v>
      </x:c>
      <x:c r="C1833" s="2" t="str">
        <x:v>ASHLAND</x:v>
      </x:c>
      <x:c r="D1833" s="2" t="str">
        <x:v>KY</x:v>
      </x:c>
      <x:c r="E1833" s="2" t="str">
        <x:v>Acute Care Hospitals</x:v>
      </x:c>
      <x:c r="F1833" s="2" t="str">
        <x:v>Voluntary non-profit</x:v>
      </x:c>
      <x:c r="G1833" s="2" t="str">
        <x:v>Large (300+ beds)</x:v>
      </x:c>
      <x:c r="H1833" s="7" t="n">
        <x:v>3</x:v>
      </x:c>
      <x:c r="I1833" s="7" t="n">
        <x:v>3</x:v>
      </x:c>
      <x:c r="J1833" s="7" t="n">
        <x:v>1</x:v>
      </x:c>
      <x:c r="K1833" s="8" t="n">
        <x:v>367</x:v>
      </x:c>
      <x:c r="L1833" s="8" t="n">
        <x:v>18444</x:v>
      </x:c>
      <x:c r="M1833" s="9" t="n">
        <x:v>0.5890709567</x:v>
      </x:c>
      <x:c r="N1833" s="10" t="n">
        <x:v>44833.1659618304</x:v>
      </x:c>
      <x:c r="O1833" s="9" t="n">
        <x:v>-0.276637552</x:v>
      </x:c>
      <x:c r="P1833" s="9" t="n">
        <x:v>0.6293375394</x:v>
      </x:c>
      <x:c r="Q1833" s="9" t="n">
        <x:v>0.2570977918</x:v>
      </x:c>
      <x:c r="R1833" s="3" t="b">
        <x:v>0</x:v>
      </x:c>
      <x:c r="S1833" s="3" t="b">
        <x:v>0</x:v>
      </x:c>
      <x:c r="T1833" s="3" t="b">
        <x:v>0</x:v>
      </x:c>
      <x:c r="U1833" s="2" t="str">
        <x:f>IF(T1833=TRUE,"Priority review",IF(R1833=TRUE,"High cost",IF(S1833=TRUE,"Low quality","Benchmark")))</x:f>
        <x:v>Benchmark</x:v>
      </x:c>
    </x:row>
    <x:row r="1834">
      <x:c r="A1834" s="2" t="str">
        <x:v>370049</x:v>
      </x:c>
      <x:c r="B1834" s="2" t="str">
        <x:v>STILLWATER MEDICAL CENTER</x:v>
      </x:c>
      <x:c r="C1834" s="2" t="str">
        <x:v>STILLWATER</x:v>
      </x:c>
      <x:c r="D1834" s="2" t="str">
        <x:v>OK</x:v>
      </x:c>
      <x:c r="E1834" s="2" t="str">
        <x:v>Acute Care Hospitals</x:v>
      </x:c>
      <x:c r="F1834" s="2" t="str">
        <x:v>Government</x:v>
      </x:c>
      <x:c r="G1834" s="2" t="str">
        <x:v>Small (&lt;100 beds)</x:v>
      </x:c>
      <x:c r="H1834" s="7" t="n">
        <x:v>4</x:v>
      </x:c>
      <x:c r="I1834" s="7" t="n">
        <x:v>4</x:v>
      </x:c>
      <x:c r="J1834" s="7" t="n">
        <x:v>1.03</x:v>
      </x:c>
      <x:c r="K1834" s="8" t="n">
        <x:v>52</x:v>
      </x:c>
      <x:c r="L1834" s="8" t="n">
        <x:v>4931</x:v>
      </x:c>
      <x:c r="M1834" s="9" t="n">
        <x:v>0.8428961749</x:v>
      </x:c>
      <x:c r="N1834" s="10" t="n">
        <x:v>65804.853376597</x:v>
      </x:c>
      <x:c r="O1834" s="9" t="n">
        <x:v>-0.0562094996</x:v>
      </x:c>
      <x:c r="P1834" s="9" t="n">
        <x:v>0.6292639138</x:v>
      </x:c>
      <x:c r="Q1834" s="9" t="n">
        <x:v>0.3913824057</x:v>
      </x:c>
      <x:c r="R1834" s="3" t="b">
        <x:v>0</x:v>
      </x:c>
      <x:c r="S1834" s="3" t="b">
        <x:v>0</x:v>
      </x:c>
      <x:c r="T1834" s="3" t="b">
        <x:v>0</x:v>
      </x:c>
      <x:c r="U1834" s="2" t="str">
        <x:f>IF(T1834=TRUE,"Priority review",IF(R1834=TRUE,"High cost",IF(S1834=TRUE,"Low quality","Benchmark")))</x:f>
        <x:v>Benchmark</x:v>
      </x:c>
    </x:row>
    <x:row r="1835">
      <x:c r="A1835" s="2" t="str">
        <x:v>050378</x:v>
      </x:c>
      <x:c r="B1835" s="2" t="str">
        <x:v>PACIFICA HOSPITAL OF THE VALLEY</x:v>
      </x:c>
      <x:c r="C1835" s="2" t="str">
        <x:v>SUN VALLEY</x:v>
      </x:c>
      <x:c r="D1835" s="2" t="str">
        <x:v>CA</x:v>
      </x:c>
      <x:c r="E1835" s="2" t="str">
        <x:v>Acute Care Hospitals</x:v>
      </x:c>
      <x:c r="F1835" s="2" t="str">
        <x:v>Proprietary</x:v>
      </x:c>
      <x:c r="G1835" s="2" t="str">
        <x:v>Medium (100-299 beds)</x:v>
      </x:c>
      <x:c r="H1835" s="7"/>
      <x:c r="I1835" s="7"/>
      <x:c r="J1835" s="7" t="n">
        <x:v>1.31</x:v>
      </x:c>
      <x:c r="K1835" s="8" t="n">
        <x:v>133</x:v>
      </x:c>
      <x:c r="L1835" s="8" t="n">
        <x:v>2975</x:v>
      </x:c>
      <x:c r="M1835" s="9" t="n">
        <x:v>0.5561444595</x:v>
      </x:c>
      <x:c r="N1835" s="10" t="n">
        <x:v>39581.8544537815</x:v>
      </x:c>
      <x:c r="O1835" s="9" t="n">
        <x:v>-0.0291211548</x:v>
      </x:c>
      <x:c r="P1835" s="9" t="n">
        <x:v>0.6291768541</x:v>
      </x:c>
      <x:c r="Q1835" s="9" t="n">
        <x:v>0.9616951915</x:v>
      </x:c>
      <x:c r="R1835" s="3" t="b">
        <x:v>0</x:v>
      </x:c>
      <x:c r="S1835" s="3" t="b">
        <x:v>0</x:v>
      </x:c>
      <x:c r="T1835" s="3" t="b">
        <x:v>0</x:v>
      </x:c>
      <x:c r="U1835" s="2" t="str">
        <x:f>IF(T1835=TRUE,"Priority review",IF(R1835=TRUE,"High cost",IF(S1835=TRUE,"Low quality","Benchmark")))</x:f>
        <x:v>Benchmark</x:v>
      </x:c>
    </x:row>
    <x:row r="1836">
      <x:c r="A1836" s="2" t="str">
        <x:v>531311</x:v>
      </x:c>
      <x:c r="B1836" s="2" t="str">
        <x:v>CROOK COUNTY HOSPITAL</x:v>
      </x:c>
      <x:c r="C1836" s="2" t="str">
        <x:v>SUNDANCE</x:v>
      </x:c>
      <x:c r="D1836" s="2" t="str">
        <x:v>WY</x:v>
      </x:c>
      <x:c r="E1836" s="2" t="str">
        <x:v>Critical Access Hospitals</x:v>
      </x:c>
      <x:c r="F1836" s="2" t="str">
        <x:v>Government</x:v>
      </x:c>
      <x:c r="G1836" s="2" t="str">
        <x:v>Small (&lt;100 beds)</x:v>
      </x:c>
      <x:c r="H1836" s="7"/>
      <x:c r="I1836" s="7"/>
      <x:c r="J1836" s="7"/>
      <x:c r="K1836" s="8" t="n">
        <x:v>16</x:v>
      </x:c>
      <x:c r="L1836" s="8" t="n">
        <x:v>108</x:v>
      </x:c>
      <x:c r="M1836" s="9" t="n">
        <x:v>0.2594178082</x:v>
      </x:c>
      <x:c r="N1836" s="10" t="n">
        <x:v>165710.8148148148</x:v>
      </x:c>
      <x:c r="O1836" s="9" t="n">
        <x:v>-0.1798633603</x:v>
      </x:c>
      <x:c r="P1836" s="9" t="n">
        <x:v>0.6289962825</x:v>
      </x:c>
      <x:c r="Q1836" s="9" t="n">
        <x:v>0.292936803</x:v>
      </x:c>
      <x:c r="R1836" s="3" t="b">
        <x:v>0</x:v>
      </x:c>
      <x:c r="S1836" s="3" t="b">
        <x:v>0</x:v>
      </x:c>
      <x:c r="T1836" s="3" t="b">
        <x:v>0</x:v>
      </x:c>
      <x:c r="U1836" s="2" t="str">
        <x:f>IF(T1836=TRUE,"Priority review",IF(R1836=TRUE,"High cost",IF(S1836=TRUE,"Low quality","Benchmark")))</x:f>
        <x:v>Benchmark</x:v>
      </x:c>
    </x:row>
    <x:row r="1837">
      <x:c r="A1837" s="2" t="str">
        <x:v>030037</x:v>
      </x:c>
      <x:c r="B1837" s="2" t="str">
        <x:v>HONORHEALTH TEMPE MEDICAL CENTER</x:v>
      </x:c>
      <x:c r="C1837" s="2" t="str">
        <x:v>PHOENIX</x:v>
      </x:c>
      <x:c r="D1837" s="2" t="str">
        <x:v>AZ</x:v>
      </x:c>
      <x:c r="E1837" s="2" t="str">
        <x:v>Acute Care Hospitals</x:v>
      </x:c>
      <x:c r="F1837" s="2" t="str">
        <x:v>Proprietary</x:v>
      </x:c>
      <x:c r="G1837" s="2" t="str">
        <x:v>Small (&lt;100 beds)</x:v>
      </x:c>
      <x:c r="H1837" s="7"/>
      <x:c r="I1837" s="7" t="n">
        <x:v>2</x:v>
      </x:c>
      <x:c r="J1837" s="7" t="n">
        <x:v>1.09</x:v>
      </x:c>
      <x:c r="K1837" s="8" t="n">
        <x:v>74</x:v>
      </x:c>
      <x:c r="L1837" s="8" t="n">
        <x:v>486</x:v>
      </x:c>
      <x:c r="M1837" s="9" t="n">
        <x:v>0.1496294682</x:v>
      </x:c>
      <x:c r="N1837" s="10" t="n">
        <x:v>65647.2901234568</x:v>
      </x:c>
      <x:c r="O1837" s="9" t="n">
        <x:v>-1.5312589776</x:v>
      </x:c>
      <x:c r="P1837" s="9" t="n">
        <x:v>0.6283662478</x:v>
      </x:c>
      <x:c r="Q1837" s="9" t="n">
        <x:v>0.697486535</x:v>
      </x:c>
      <x:c r="R1837" s="3" t="b">
        <x:v>0</x:v>
      </x:c>
      <x:c r="S1837" s="3" t="b">
        <x:v>0</x:v>
      </x:c>
      <x:c r="T1837" s="3" t="b">
        <x:v>0</x:v>
      </x:c>
      <x:c r="U1837" s="2" t="str">
        <x:f>IF(T1837=TRUE,"Priority review",IF(R1837=TRUE,"High cost",IF(S1837=TRUE,"Low quality","Benchmark")))</x:f>
        <x:v>Benchmark</x:v>
      </x:c>
    </x:row>
    <x:row r="1838">
      <x:c r="A1838" s="2" t="str">
        <x:v>050603</x:v>
      </x:c>
      <x:c r="B1838" s="2" t="str">
        <x:v>MEMORIALCARE SADDLEBACK MEDICAL CENTER</x:v>
      </x:c>
      <x:c r="C1838" s="2" t="str">
        <x:v>LAGUNA HILLS</x:v>
      </x:c>
      <x:c r="D1838" s="2" t="str">
        <x:v>CA</x:v>
      </x:c>
      <x:c r="E1838" s="2" t="str">
        <x:v>Acute Care Hospitals</x:v>
      </x:c>
      <x:c r="F1838" s="2" t="str">
        <x:v>Voluntary non-profit</x:v>
      </x:c>
      <x:c r="G1838" s="2" t="str">
        <x:v>Medium (100-299 beds)</x:v>
      </x:c>
      <x:c r="H1838" s="7" t="n">
        <x:v>4</x:v>
      </x:c>
      <x:c r="I1838" s="7" t="n">
        <x:v>3</x:v>
      </x:c>
      <x:c r="J1838" s="7" t="n">
        <x:v>1.06</x:v>
      </x:c>
      <x:c r="K1838" s="8" t="n">
        <x:v>248</x:v>
      </x:c>
      <x:c r="L1838" s="8" t="n">
        <x:v>10953</x:v>
      </x:c>
      <x:c r="M1838" s="9" t="n">
        <x:v>0.5139416703</x:v>
      </x:c>
      <x:c r="N1838" s="10" t="n">
        <x:v>39554.7553181777</x:v>
      </x:c>
      <x:c r="O1838" s="9" t="n">
        <x:v>-0.0678835362</x:v>
      </x:c>
      <x:c r="P1838" s="9" t="n">
        <x:v>0.6283618582</x:v>
      </x:c>
      <x:c r="Q1838" s="9" t="n">
        <x:v>0.6022819886</x:v>
      </x:c>
      <x:c r="R1838" s="3" t="b">
        <x:v>0</x:v>
      </x:c>
      <x:c r="S1838" s="3" t="b">
        <x:v>0</x:v>
      </x:c>
      <x:c r="T1838" s="3" t="b">
        <x:v>0</x:v>
      </x:c>
      <x:c r="U1838" s="2" t="str">
        <x:f>IF(T1838=TRUE,"Priority review",IF(R1838=TRUE,"High cost",IF(S1838=TRUE,"Low quality","Benchmark")))</x:f>
        <x:v>Benchmark</x:v>
      </x:c>
    </x:row>
    <x:row r="1839">
      <x:c r="A1839" s="2" t="str">
        <x:v>131301</x:v>
      </x:c>
      <x:c r="B1839" s="2" t="str">
        <x:v>BOUNDARY COMMUNITY HOSPITAL</x:v>
      </x:c>
      <x:c r="C1839" s="2" t="str">
        <x:v>BONNERS FERRY</x:v>
      </x:c>
      <x:c r="D1839" s="2" t="str">
        <x:v>ID</x:v>
      </x:c>
      <x:c r="E1839" s="2" t="str">
        <x:v>Critical Access Hospitals</x:v>
      </x:c>
      <x:c r="F1839" s="2" t="str">
        <x:v>Voluntary non-profit</x:v>
      </x:c>
      <x:c r="G1839" s="2" t="str">
        <x:v>Small (&lt;100 beds)</x:v>
      </x:c>
      <x:c r="H1839" s="7"/>
      <x:c r="I1839" s="7"/>
      <x:c r="J1839" s="7"/>
      <x:c r="K1839" s="8" t="n">
        <x:v>20</x:v>
      </x:c>
      <x:c r="L1839" s="8" t="n">
        <x:v>143</x:v>
      </x:c>
      <x:c r="M1839" s="9" t="n">
        <x:v>0.2831967213</x:v>
      </x:c>
      <x:c r="N1839" s="10" t="n">
        <x:v>165685.2307692308</x:v>
      </x:c>
      <x:c r="O1839" s="9" t="n">
        <x:v>-0.0746696431</x:v>
      </x:c>
      <x:c r="P1839" s="9" t="n">
        <x:v>0.6282527881</x:v>
      </x:c>
      <x:c r="Q1839" s="9" t="n">
        <x:v>0.292936803</x:v>
      </x:c>
      <x:c r="R1839" s="3" t="b">
        <x:v>0</x:v>
      </x:c>
      <x:c r="S1839" s="3" t="b">
        <x:v>0</x:v>
      </x:c>
      <x:c r="T1839" s="3" t="b">
        <x:v>0</x:v>
      </x:c>
      <x:c r="U1839" s="2" t="str">
        <x:f>IF(T1839=TRUE,"Priority review",IF(R1839=TRUE,"High cost",IF(S1839=TRUE,"Low quality","Benchmark")))</x:f>
        <x:v>Benchmark</x:v>
      </x:c>
    </x:row>
    <x:row r="1840">
      <x:c r="A1840" s="2" t="str">
        <x:v>234040</x:v>
      </x:c>
      <x:c r="B1840" s="2" t="str">
        <x:v>SAMARITAN BEHAVIORAL CENTER</x:v>
      </x:c>
      <x:c r="C1840" s="2" t="str">
        <x:v>DETROIT</x:v>
      </x:c>
      <x:c r="D1840" s="2" t="str">
        <x:v>MI</x:v>
      </x:c>
      <x:c r="E1840" s="2" t="str">
        <x:v>Psychiatric</x:v>
      </x:c>
      <x:c r="F1840" s="2" t="str">
        <x:v>Voluntary non-profit</x:v>
      </x:c>
      <x:c r="G1840" s="2" t="str">
        <x:v>Small (&lt;100 beds)</x:v>
      </x:c>
      <x:c r="H1840" s="7"/>
      <x:c r="I1840" s="7"/>
      <x:c r="J1840" s="7"/>
      <x:c r="K1840" s="8" t="n">
        <x:v>55</x:v>
      </x:c>
      <x:c r="L1840" s="8" t="n">
        <x:v>928</x:v>
      </x:c>
      <x:c r="M1840" s="9" t="n">
        <x:v>0.8830601093</x:v>
      </x:c>
      <x:c r="N1840" s="10" t="n">
        <x:v>16514.4903017241</x:v>
      </x:c>
      <x:c r="O1840" s="9" t="n">
        <x:v>0.0465325219</x:v>
      </x:c>
      <x:c r="P1840" s="9" t="n">
        <x:v>0.6278317152</x:v>
      </x:c>
      <x:c r="Q1840" s="9" t="n">
        <x:v>0</x:v>
      </x:c>
      <x:c r="R1840" s="3" t="b">
        <x:v>0</x:v>
      </x:c>
      <x:c r="S1840" s="3" t="b">
        <x:v>0</x:v>
      </x:c>
      <x:c r="T1840" s="3" t="b">
        <x:v>0</x:v>
      </x:c>
      <x:c r="U1840" s="2" t="str">
        <x:f>IF(T1840=TRUE,"Priority review",IF(R1840=TRUE,"High cost",IF(S1840=TRUE,"Low quality","Benchmark")))</x:f>
        <x:v>Benchmark</x:v>
      </x:c>
    </x:row>
    <x:row r="1841">
      <x:c r="A1841" s="2" t="str">
        <x:v>140067</x:v>
      </x:c>
      <x:c r="B1841" s="2" t="str">
        <x:v>SAINT FRANCIS MEDICAL CENTER</x:v>
      </x:c>
      <x:c r="C1841" s="2" t="str">
        <x:v>PEORIA</x:v>
      </x:c>
      <x:c r="D1841" s="2" t="str">
        <x:v>IL</x:v>
      </x:c>
      <x:c r="E1841" s="2" t="str">
        <x:v>Acute Care Hospitals</x:v>
      </x:c>
      <x:c r="F1841" s="2" t="str">
        <x:v>Voluntary non-profit</x:v>
      </x:c>
      <x:c r="G1841" s="2" t="str">
        <x:v>Large (300+ beds)</x:v>
      </x:c>
      <x:c r="H1841" s="7" t="n">
        <x:v>2</x:v>
      </x:c>
      <x:c r="I1841" s="7" t="n">
        <x:v>3</x:v>
      </x:c>
      <x:c r="J1841" s="7" t="n">
        <x:v>0.97</x:v>
      </x:c>
      <x:c r="K1841" s="8" t="n">
        <x:v>642</x:v>
      </x:c>
      <x:c r="L1841" s="8" t="n">
        <x:v>29591</x:v>
      </x:c>
      <x:c r="M1841" s="9" t="n">
        <x:v>0.8074366307</x:v>
      </x:c>
      <x:c r="N1841" s="10" t="n">
        <x:v>44776.3303707208</x:v>
      </x:c>
      <x:c r="O1841" s="9" t="n">
        <x:v>0.1590847997</x:v>
      </x:c>
      <x:c r="P1841" s="9" t="n">
        <x:v>0.6277602524</x:v>
      </x:c>
      <x:c r="Q1841" s="9" t="n">
        <x:v>0.0536277603</x:v>
      </x:c>
      <x:c r="R1841" s="3" t="b">
        <x:v>0</x:v>
      </x:c>
      <x:c r="S1841" s="3" t="b">
        <x:v>1</x:v>
      </x:c>
      <x:c r="T1841" s="3" t="b">
        <x:v>0</x:v>
      </x:c>
      <x:c r="U1841" s="2" t="str">
        <x:f>IF(T1841=TRUE,"Priority review",IF(R1841=TRUE,"High cost",IF(S1841=TRUE,"Low quality","Benchmark")))</x:f>
        <x:v>Low quality</x:v>
      </x:c>
    </x:row>
    <x:row r="1842">
      <x:c r="A1842" s="2" t="str">
        <x:v>330267</x:v>
      </x:c>
      <x:c r="B1842" s="2" t="str">
        <x:v>HUDSON VALLEY HOSPITAL CENTER</x:v>
      </x:c>
      <x:c r="C1842" s="2" t="str">
        <x:v>CORTLANDT MANOR</x:v>
      </x:c>
      <x:c r="D1842" s="2" t="str">
        <x:v>NY</x:v>
      </x:c>
      <x:c r="E1842" s="2" t="str">
        <x:v>Acute Care Hospitals</x:v>
      </x:c>
      <x:c r="F1842" s="2" t="str">
        <x:v>Voluntary non-profit</x:v>
      </x:c>
      <x:c r="G1842" s="2" t="str">
        <x:v>Medium (100-299 beds)</x:v>
      </x:c>
      <x:c r="H1842" s="7" t="n">
        <x:v>5</x:v>
      </x:c>
      <x:c r="I1842" s="7" t="n">
        <x:v>4</x:v>
      </x:c>
      <x:c r="J1842" s="7" t="n">
        <x:v>1.06</x:v>
      </x:c>
      <x:c r="K1842" s="8" t="n">
        <x:v>128</x:v>
      </x:c>
      <x:c r="L1842" s="8" t="n">
        <x:v>7937</x:v>
      </x:c>
      <x:c r="M1842" s="9" t="n">
        <x:v>0.8303235997</x:v>
      </x:c>
      <x:c r="N1842" s="10" t="n">
        <x:v>39552.8537230692</x:v>
      </x:c>
      <x:c r="O1842" s="9" t="n">
        <x:v>-0.0813530223</x:v>
      </x:c>
      <x:c r="P1842" s="9" t="n">
        <x:v>0.6275468623</x:v>
      </x:c>
      <x:c r="Q1842" s="9" t="n">
        <x:v>0.8744906275</x:v>
      </x:c>
      <x:c r="R1842" s="3" t="b">
        <x:v>0</x:v>
      </x:c>
      <x:c r="S1842" s="3" t="b">
        <x:v>0</x:v>
      </x:c>
      <x:c r="T1842" s="3" t="b">
        <x:v>0</x:v>
      </x:c>
      <x:c r="U1842" s="2" t="str">
        <x:f>IF(T1842=TRUE,"Priority review",IF(R1842=TRUE,"High cost",IF(S1842=TRUE,"Low quality","Benchmark")))</x:f>
        <x:v>Benchmark</x:v>
      </x:c>
    </x:row>
    <x:row r="1843">
      <x:c r="A1843" s="2" t="str">
        <x:v>061320</x:v>
      </x:c>
      <x:c r="B1843" s="2" t="str">
        <x:v>GUNNISON VALLEY HOSPITAL</x:v>
      </x:c>
      <x:c r="C1843" s="2" t="str">
        <x:v>GUNNISON</x:v>
      </x:c>
      <x:c r="D1843" s="2" t="str">
        <x:v>CO</x:v>
      </x:c>
      <x:c r="E1843" s="2" t="str">
        <x:v>Critical Access Hospitals</x:v>
      </x:c>
      <x:c r="F1843" s="2" t="str">
        <x:v>Government</x:v>
      </x:c>
      <x:c r="G1843" s="2" t="str">
        <x:v>Small (&lt;100 beds)</x:v>
      </x:c>
      <x:c r="H1843" s="7"/>
      <x:c r="I1843" s="7"/>
      <x:c r="J1843" s="7"/>
      <x:c r="K1843" s="8" t="n">
        <x:v>20</x:v>
      </x:c>
      <x:c r="L1843" s="8" t="n">
        <x:v>515</x:v>
      </x:c>
      <x:c r="M1843" s="9" t="n">
        <x:v>0.3551912568</x:v>
      </x:c>
      <x:c r="N1843" s="10" t="n">
        <x:v>165482.2679611651</x:v>
      </x:c>
      <x:c r="O1843" s="9" t="n">
        <x:v>-0.0509936856</x:v>
      </x:c>
      <x:c r="P1843" s="9" t="n">
        <x:v>0.6275092937</x:v>
      </x:c>
      <x:c r="Q1843" s="9" t="n">
        <x:v>0.292936803</x:v>
      </x:c>
      <x:c r="R1843" s="3" t="b">
        <x:v>0</x:v>
      </x:c>
      <x:c r="S1843" s="3" t="b">
        <x:v>0</x:v>
      </x:c>
      <x:c r="T1843" s="3" t="b">
        <x:v>0</x:v>
      </x:c>
      <x:c r="U1843" s="2" t="str">
        <x:f>IF(T1843=TRUE,"Priority review",IF(R1843=TRUE,"High cost",IF(S1843=TRUE,"Low quality","Benchmark")))</x:f>
        <x:v>Benchmark</x:v>
      </x:c>
    </x:row>
    <x:row r="1844">
      <x:c r="A1844" s="2" t="str">
        <x:v>370245</x:v>
      </x:c>
      <x:c r="B1844" s="2" t="str">
        <x:v>CLINTON REGIONAL HOSPITAL</x:v>
      </x:c>
      <x:c r="C1844" s="2" t="str">
        <x:v>CLINTON</x:v>
      </x:c>
      <x:c r="D1844" s="2" t="str">
        <x:v>OK</x:v>
      </x:c>
      <x:c r="E1844" s="2" t="str">
        <x:v>Acute Care Hospitals</x:v>
      </x:c>
      <x:c r="F1844" s="2" t="str">
        <x:v>Government</x:v>
      </x:c>
      <x:c r="G1844" s="2" t="str">
        <x:v>Small (&lt;100 beds)</x:v>
      </x:c>
      <x:c r="H1844" s="7"/>
      <x:c r="I1844" s="7"/>
      <x:c r="J1844" s="7" t="n">
        <x:v>1.04</x:v>
      </x:c>
      <x:c r="K1844" s="8" t="n">
        <x:v>22</x:v>
      </x:c>
      <x:c r="L1844" s="8" t="n">
        <x:v>153</x:v>
      </x:c>
      <x:c r="M1844" s="9" t="n">
        <x:v>0.0697384807</x:v>
      </x:c>
      <x:c r="N1844" s="10" t="n">
        <x:v>65612.0980392157</x:v>
      </x:c>
      <x:c r="O1844" s="9" t="n">
        <x:v>-1.4013441201</x:v>
      </x:c>
      <x:c r="P1844" s="9" t="n">
        <x:v>0.6274685817</x:v>
      </x:c>
      <x:c r="Q1844" s="9" t="n">
        <x:v>0.697486535</x:v>
      </x:c>
      <x:c r="R1844" s="3" t="b">
        <x:v>0</x:v>
      </x:c>
      <x:c r="S1844" s="3" t="b">
        <x:v>0</x:v>
      </x:c>
      <x:c r="T1844" s="3" t="b">
        <x:v>0</x:v>
      </x:c>
      <x:c r="U1844" s="2" t="str">
        <x:f>IF(T1844=TRUE,"Priority review",IF(R1844=TRUE,"High cost",IF(S1844=TRUE,"Low quality","Benchmark")))</x:f>
        <x:v>Benchmark</x:v>
      </x:c>
    </x:row>
    <x:row r="1845">
      <x:c r="A1845" s="2" t="str">
        <x:v>054151</x:v>
      </x:c>
      <x:c r="B1845" s="2" t="str">
        <x:v>AURORA BEHAVIORAL HEALTHCARE-SANTA ROSA, LLC</x:v>
      </x:c>
      <x:c r="C1845" s="2" t="str">
        <x:v>SANTA ROSA</x:v>
      </x:c>
      <x:c r="D1845" s="2" t="str">
        <x:v>CA</x:v>
      </x:c>
      <x:c r="E1845" s="2" t="str">
        <x:v>Psychiatric</x:v>
      </x:c>
      <x:c r="F1845" s="2" t="str">
        <x:v>Proprietary</x:v>
      </x:c>
      <x:c r="G1845" s="2" t="str">
        <x:v>Medium (100-299 beds)</x:v>
      </x:c>
      <x:c r="H1845" s="7"/>
      <x:c r="I1845" s="7"/>
      <x:c r="J1845" s="7"/>
      <x:c r="K1845" s="8" t="n">
        <x:v>144</x:v>
      </x:c>
      <x:c r="L1845" s="8" t="n">
        <x:v>3516</x:v>
      </x:c>
      <x:c r="M1845" s="9" t="n">
        <x:v>0.6802709472</x:v>
      </x:c>
      <x:c r="N1845" s="10" t="n">
        <x:v>17227.6803185438</x:v>
      </x:c>
      <x:c r="O1845" s="9" t="n">
        <x:v>-0.0506728258</x:v>
      </x:c>
      <x:c r="P1845" s="9" t="n">
        <x:v>0.6268656716</x:v>
      </x:c>
      <x:c r="Q1845" s="9" t="n">
        <x:v>0</x:v>
      </x:c>
      <x:c r="R1845" s="3" t="b">
        <x:v>0</x:v>
      </x:c>
      <x:c r="S1845" s="3" t="b">
        <x:v>0</x:v>
      </x:c>
      <x:c r="T1845" s="3" t="b">
        <x:v>0</x:v>
      </x:c>
      <x:c r="U1845" s="2" t="str">
        <x:f>IF(T1845=TRUE,"Priority review",IF(R1845=TRUE,"High cost",IF(S1845=TRUE,"Low quality","Benchmark")))</x:f>
        <x:v>Benchmark</x:v>
      </x:c>
    </x:row>
    <x:row r="1846">
      <x:c r="A1846" s="2" t="str">
        <x:v>261307</x:v>
      </x:c>
      <x:c r="B1846" s="2" t="str">
        <x:v>PERSHING MEMORIAL HOSPITAL</x:v>
      </x:c>
      <x:c r="C1846" s="2" t="str">
        <x:v>BROOKFIELD</x:v>
      </x:c>
      <x:c r="D1846" s="2" t="str">
        <x:v>MO</x:v>
      </x:c>
      <x:c r="E1846" s="2" t="str">
        <x:v>Critical Access Hospitals</x:v>
      </x:c>
      <x:c r="F1846" s="2" t="str">
        <x:v>Voluntary non-profit</x:v>
      </x:c>
      <x:c r="G1846" s="2" t="str">
        <x:v>Small (&lt;100 beds)</x:v>
      </x:c>
      <x:c r="H1846" s="7" t="n">
        <x:v>3</x:v>
      </x:c>
      <x:c r="I1846" s="7"/>
      <x:c r="J1846" s="7"/>
      <x:c r="K1846" s="8" t="n">
        <x:v>25</x:v>
      </x:c>
      <x:c r="L1846" s="8" t="n">
        <x:v>139</x:v>
      </x:c>
      <x:c r="M1846" s="9" t="n">
        <x:v>0.1167123288</x:v>
      </x:c>
      <x:c r="N1846" s="10" t="n">
        <x:v>165299.7553956835</x:v>
      </x:c>
      <x:c r="O1846" s="9" t="n">
        <x:v>-0.0333979908</x:v>
      </x:c>
      <x:c r="P1846" s="9" t="n">
        <x:v>0.6267657993</x:v>
      </x:c>
      <x:c r="Q1846" s="9" t="n">
        <x:v>0.0765799257</x:v>
      </x:c>
      <x:c r="R1846" s="3" t="b">
        <x:v>0</x:v>
      </x:c>
      <x:c r="S1846" s="3" t="b">
        <x:v>1</x:v>
      </x:c>
      <x:c r="T1846" s="3" t="b">
        <x:v>0</x:v>
      </x:c>
      <x:c r="U1846" s="2" t="str">
        <x:f>IF(T1846=TRUE,"Priority review",IF(R1846=TRUE,"High cost",IF(S1846=TRUE,"Low quality","Benchmark")))</x:f>
        <x:v>Low quality</x:v>
      </x:c>
    </x:row>
    <x:row r="1847">
      <x:c r="A1847" s="2" t="str">
        <x:v>410012</x:v>
      </x:c>
      <x:c r="B1847" s="2" t="str">
        <x:v>THE MIRIAM HOSPITAL</x:v>
      </x:c>
      <x:c r="C1847" s="2" t="str">
        <x:v>PROVIDENCE</x:v>
      </x:c>
      <x:c r="D1847" s="2" t="str">
        <x:v>RI</x:v>
      </x:c>
      <x:c r="E1847" s="2" t="str">
        <x:v>Acute Care Hospitals</x:v>
      </x:c>
      <x:c r="F1847" s="2" t="str">
        <x:v>Voluntary non-profit</x:v>
      </x:c>
      <x:c r="G1847" s="2" t="str">
        <x:v>Medium (100-299 beds)</x:v>
      </x:c>
      <x:c r="H1847" s="7" t="n">
        <x:v>4</x:v>
      </x:c>
      <x:c r="I1847" s="7" t="n">
        <x:v>3</x:v>
      </x:c>
      <x:c r="J1847" s="7" t="n">
        <x:v>0.96</x:v>
      </x:c>
      <x:c r="K1847" s="8" t="n">
        <x:v>247</x:v>
      </x:c>
      <x:c r="L1847" s="8" t="n">
        <x:v>17580</x:v>
      </x:c>
      <x:c r="M1847" s="9" t="n">
        <x:v>0.7896199365</x:v>
      </x:c>
      <x:c r="N1847" s="10" t="n">
        <x:v>39518.1449943117</x:v>
      </x:c>
      <x:c r="O1847" s="9" t="n">
        <x:v>-0.1876092375</x:v>
      </x:c>
      <x:c r="P1847" s="9" t="n">
        <x:v>0.6267318663</x:v>
      </x:c>
      <x:c r="Q1847" s="9" t="n">
        <x:v>0.6022819886</x:v>
      </x:c>
      <x:c r="R1847" s="3" t="b">
        <x:v>0</x:v>
      </x:c>
      <x:c r="S1847" s="3" t="b">
        <x:v>0</x:v>
      </x:c>
      <x:c r="T1847" s="3" t="b">
        <x:v>0</x:v>
      </x:c>
      <x:c r="U1847" s="2" t="str">
        <x:f>IF(T1847=TRUE,"Priority review",IF(R1847=TRUE,"High cost",IF(S1847=TRUE,"Low quality","Benchmark")))</x:f>
        <x:v>Benchmark</x:v>
      </x:c>
    </x:row>
    <x:row r="1848">
      <x:c r="A1848" s="2" t="str">
        <x:v>360266</x:v>
      </x:c>
      <x:c r="B1848" s="2" t="str">
        <x:v>MOUNT CARMEL NEW ALBANY SURGICAL HOSPITAL</x:v>
      </x:c>
      <x:c r="C1848" s="2" t="str">
        <x:v>NEW ALBANY</x:v>
      </x:c>
      <x:c r="D1848" s="2" t="str">
        <x:v>OH</x:v>
      </x:c>
      <x:c r="E1848" s="2" t="str">
        <x:v>Acute Care Hospitals</x:v>
      </x:c>
      <x:c r="F1848" s="2" t="str">
        <x:v>Proprietary</x:v>
      </x:c>
      <x:c r="G1848" s="2" t="str">
        <x:v>Small (&lt;100 beds)</x:v>
      </x:c>
      <x:c r="H1848" s="7"/>
      <x:c r="I1848" s="7" t="n">
        <x:v>4</x:v>
      </x:c>
      <x:c r="J1848" s="7" t="n">
        <x:v>0.93</x:v>
      </x:c>
      <x:c r="K1848" s="8" t="n">
        <x:v>60</x:v>
      </x:c>
      <x:c r="L1848" s="8" t="n">
        <x:v>1195</x:v>
      </x:c>
      <x:c r="M1848" s="9" t="n">
        <x:v>0.1151141553</x:v>
      </x:c>
      <x:c r="N1848" s="10" t="n">
        <x:v>65606.1062761506</x:v>
      </x:c>
      <x:c r="O1848" s="9" t="n">
        <x:v>0.1571787924</x:v>
      </x:c>
      <x:c r="P1848" s="9" t="n">
        <x:v>0.6265709156</x:v>
      </x:c>
      <x:c r="Q1848" s="9" t="n">
        <x:v>0.697486535</x:v>
      </x:c>
      <x:c r="R1848" s="3" t="b">
        <x:v>0</x:v>
      </x:c>
      <x:c r="S1848" s="3" t="b">
        <x:v>0</x:v>
      </x:c>
      <x:c r="T1848" s="3" t="b">
        <x:v>0</x:v>
      </x:c>
      <x:c r="U1848" s="2" t="str">
        <x:f>IF(T1848=TRUE,"Priority review",IF(R1848=TRUE,"High cost",IF(S1848=TRUE,"Low quality","Benchmark")))</x:f>
        <x:v>Benchmark</x:v>
      </x:c>
    </x:row>
    <x:row r="1849">
      <x:c r="A1849" s="2" t="str">
        <x:v>340141</x:v>
      </x:c>
      <x:c r="B1849" s="2" t="str">
        <x:v>NOVANT HEALTH NEW HANOVER REGIONAL MEDICAL CENTER</x:v>
      </x:c>
      <x:c r="C1849" s="2" t="str">
        <x:v>WILMINGTON</x:v>
      </x:c>
      <x:c r="D1849" s="2" t="str">
        <x:v>NC</x:v>
      </x:c>
      <x:c r="E1849" s="2" t="str">
        <x:v>Acute Care Hospitals</x:v>
      </x:c>
      <x:c r="F1849" s="2" t="str">
        <x:v>Government</x:v>
      </x:c>
      <x:c r="G1849" s="2" t="str">
        <x:v>Large (300+ beds)</x:v>
      </x:c>
      <x:c r="H1849" s="7" t="n">
        <x:v>3</x:v>
      </x:c>
      <x:c r="I1849" s="7" t="n">
        <x:v>2</x:v>
      </x:c>
      <x:c r="J1849" s="7" t="n">
        <x:v>0.94</x:v>
      </x:c>
      <x:c r="K1849" s="8" t="n">
        <x:v>723</x:v>
      </x:c>
      <x:c r="L1849" s="8" t="n">
        <x:v>41017</x:v>
      </x:c>
      <x:c r="M1849" s="9" t="n">
        <x:v>0.9568510079</x:v>
      </x:c>
      <x:c r="N1849" s="10" t="n">
        <x:v>44769.7522246873</x:v>
      </x:c>
      <x:c r="O1849" s="9" t="n">
        <x:v>0.0905903193</x:v>
      </x:c>
      <x:c r="P1849" s="9" t="n">
        <x:v>0.6261829653</x:v>
      </x:c>
      <x:c r="Q1849" s="9" t="n">
        <x:v>0.2570977918</x:v>
      </x:c>
      <x:c r="R1849" s="3" t="b">
        <x:v>0</x:v>
      </x:c>
      <x:c r="S1849" s="3" t="b">
        <x:v>0</x:v>
      </x:c>
      <x:c r="T1849" s="3" t="b">
        <x:v>0</x:v>
      </x:c>
      <x:c r="U1849" s="2" t="str">
        <x:f>IF(T1849=TRUE,"Priority review",IF(R1849=TRUE,"High cost",IF(S1849=TRUE,"Low quality","Benchmark")))</x:f>
        <x:v>Benchmark</x:v>
      </x:c>
    </x:row>
    <x:row r="1850">
      <x:c r="A1850" s="2" t="str">
        <x:v>241309</x:v>
      </x:c>
      <x:c r="B1850" s="2" t="str">
        <x:v>ESSENTIA HEALTH SANDSTONE</x:v>
      </x:c>
      <x:c r="C1850" s="2" t="str">
        <x:v>SANDSTONE</x:v>
      </x:c>
      <x:c r="D1850" s="2" t="str">
        <x:v>MN</x:v>
      </x:c>
      <x:c r="E1850" s="2" t="str">
        <x:v>Critical Access Hospitals</x:v>
      </x:c>
      <x:c r="F1850" s="2" t="str">
        <x:v>Voluntary non-profit</x:v>
      </x:c>
      <x:c r="G1850" s="2" t="str">
        <x:v>Small (&lt;100 beds)</x:v>
      </x:c>
      <x:c r="H1850" s="7"/>
      <x:c r="I1850" s="7"/>
      <x:c r="J1850" s="7"/>
      <x:c r="K1850" s="8" t="n">
        <x:v>9</x:v>
      </x:c>
      <x:c r="L1850" s="8" t="n">
        <x:v>155</x:v>
      </x:c>
      <x:c r="M1850" s="9" t="n">
        <x:v>0.3750380518</x:v>
      </x:c>
      <x:c r="N1850" s="10" t="n">
        <x:v>164726.4774193548</x:v>
      </x:c>
      <x:c r="O1850" s="9" t="n">
        <x:v>-0.0572228846</x:v>
      </x:c>
      <x:c r="P1850" s="9" t="n">
        <x:v>0.6260223048</x:v>
      </x:c>
      <x:c r="Q1850" s="9" t="n">
        <x:v>0.292936803</x:v>
      </x:c>
      <x:c r="R1850" s="3" t="b">
        <x:v>0</x:v>
      </x:c>
      <x:c r="S1850" s="3" t="b">
        <x:v>0</x:v>
      </x:c>
      <x:c r="T1850" s="3" t="b">
        <x:v>0</x:v>
      </x:c>
      <x:c r="U1850" s="2" t="str">
        <x:f>IF(T1850=TRUE,"Priority review",IF(R1850=TRUE,"High cost",IF(S1850=TRUE,"Low quality","Benchmark")))</x:f>
        <x:v>Benchmark</x:v>
      </x:c>
    </x:row>
    <x:row r="1851">
      <x:c r="A1851" s="2" t="str">
        <x:v>490066</x:v>
      </x:c>
      <x:c r="B1851" s="2" t="str">
        <x:v>SENTARA WILLIAMSBURG REGIONAL MEDICAL CENTER</x:v>
      </x:c>
      <x:c r="C1851" s="2" t="str">
        <x:v>WILLIAMSBURG</x:v>
      </x:c>
      <x:c r="D1851" s="2" t="str">
        <x:v>VA</x:v>
      </x:c>
      <x:c r="E1851" s="2" t="str">
        <x:v>Acute Care Hospitals</x:v>
      </x:c>
      <x:c r="F1851" s="2" t="str">
        <x:v>Voluntary non-profit</x:v>
      </x:c>
      <x:c r="G1851" s="2" t="str">
        <x:v>Medium (100-299 beds)</x:v>
      </x:c>
      <x:c r="H1851" s="7" t="n">
        <x:v>5</x:v>
      </x:c>
      <x:c r="I1851" s="7" t="n">
        <x:v>4</x:v>
      </x:c>
      <x:c r="J1851" s="7" t="n">
        <x:v>0.93</x:v>
      </x:c>
      <x:c r="K1851" s="8" t="n">
        <x:v>139</x:v>
      </x:c>
      <x:c r="L1851" s="8" t="n">
        <x:v>5859</x:v>
      </x:c>
      <x:c r="M1851" s="9" t="n">
        <x:v>0.4769823485</x:v>
      </x:c>
      <x:c r="N1851" s="10" t="n">
        <x:v>39479.8859873699</x:v>
      </x:c>
      <x:c r="O1851" s="9" t="n">
        <x:v>-0.0255201199</x:v>
      </x:c>
      <x:c r="P1851" s="9" t="n">
        <x:v>0.6259168704</x:v>
      </x:c>
      <x:c r="Q1851" s="9" t="n">
        <x:v>0.8744906275</x:v>
      </x:c>
      <x:c r="R1851" s="3" t="b">
        <x:v>0</x:v>
      </x:c>
      <x:c r="S1851" s="3" t="b">
        <x:v>0</x:v>
      </x:c>
      <x:c r="T1851" s="3" t="b">
        <x:v>0</x:v>
      </x:c>
      <x:c r="U1851" s="2" t="str">
        <x:f>IF(T1851=TRUE,"Priority review",IF(R1851=TRUE,"High cost",IF(S1851=TRUE,"Low quality","Benchmark")))</x:f>
        <x:v>Benchmark</x:v>
      </x:c>
    </x:row>
    <x:row r="1852">
      <x:c r="A1852" s="2" t="str">
        <x:v>230100</x:v>
      </x:c>
      <x:c r="B1852" s="2" t="str">
        <x:v>TAWAS ST JOSEPH HOSPITAL</x:v>
      </x:c>
      <x:c r="C1852" s="2" t="str">
        <x:v>TAWAS CITY</x:v>
      </x:c>
      <x:c r="D1852" s="2" t="str">
        <x:v>MI</x:v>
      </x:c>
      <x:c r="E1852" s="2" t="str">
        <x:v>Acute Care Hospitals</x:v>
      </x:c>
      <x:c r="F1852" s="2" t="str">
        <x:v>Government</x:v>
      </x:c>
      <x:c r="G1852" s="2" t="str">
        <x:v>Small (&lt;100 beds)</x:v>
      </x:c>
      <x:c r="H1852" s="7" t="n">
        <x:v>3</x:v>
      </x:c>
      <x:c r="I1852" s="7" t="n">
        <x:v>3</x:v>
      </x:c>
      <x:c r="J1852" s="7" t="n">
        <x:v>0.91</x:v>
      </x:c>
      <x:c r="K1852" s="8" t="n">
        <x:v>47</x:v>
      </x:c>
      <x:c r="L1852" s="8" t="n">
        <x:v>818</x:v>
      </x:c>
      <x:c r="M1852" s="9" t="n">
        <x:v>0.1955115127</x:v>
      </x:c>
      <x:c r="N1852" s="10" t="n">
        <x:v>65318.2420537897</x:v>
      </x:c>
      <x:c r="O1852" s="9" t="n">
        <x:v>-0.0241887661</x:v>
      </x:c>
      <x:c r="P1852" s="9" t="n">
        <x:v>0.6256732496</x:v>
      </x:c>
      <x:c r="Q1852" s="9" t="n">
        <x:v>0.1687612208</x:v>
      </x:c>
      <x:c r="R1852" s="3" t="b">
        <x:v>0</x:v>
      </x:c>
      <x:c r="S1852" s="3" t="b">
        <x:v>0</x:v>
      </x:c>
      <x:c r="T1852" s="3" t="b">
        <x:v>0</x:v>
      </x:c>
      <x:c r="U1852" s="2" t="str">
        <x:f>IF(T1852=TRUE,"Priority review",IF(R1852=TRUE,"High cost",IF(S1852=TRUE,"Low quality","Benchmark")))</x:f>
        <x:v>Benchmark</x:v>
      </x:c>
    </x:row>
    <x:row r="1853">
      <x:c r="A1853" s="2" t="str">
        <x:v>051324</x:v>
      </x:c>
      <x:c r="B1853" s="2" t="str">
        <x:v>NORTHERN INYO HOSPITAL</x:v>
      </x:c>
      <x:c r="C1853" s="2" t="str">
        <x:v>BISHOP</x:v>
      </x:c>
      <x:c r="D1853" s="2" t="str">
        <x:v>CA</x:v>
      </x:c>
      <x:c r="E1853" s="2" t="str">
        <x:v>Critical Access Hospitals</x:v>
      </x:c>
      <x:c r="F1853" s="2" t="str">
        <x:v>Government</x:v>
      </x:c>
      <x:c r="G1853" s="2" t="str">
        <x:v>Small (&lt;100 beds)</x:v>
      </x:c>
      <x:c r="H1853" s="7" t="n">
        <x:v>3</x:v>
      </x:c>
      <x:c r="I1853" s="7" t="n">
        <x:v>4</x:v>
      </x:c>
      <x:c r="J1853" s="7"/>
      <x:c r="K1853" s="8" t="n">
        <x:v>25</x:v>
      </x:c>
      <x:c r="L1853" s="8" t="n">
        <x:v>825</x:v>
      </x:c>
      <x:c r="M1853" s="9" t="n">
        <x:v>0.2824109589</x:v>
      </x:c>
      <x:c r="N1853" s="10" t="n">
        <x:v>163744.6618181818</x:v>
      </x:c>
      <x:c r="O1853" s="9" t="n">
        <x:v>-0.185710911</x:v>
      </x:c>
      <x:c r="P1853" s="9" t="n">
        <x:v>0.6252788104</x:v>
      </x:c>
      <x:c r="Q1853" s="9" t="n">
        <x:v>0.0765799257</x:v>
      </x:c>
      <x:c r="R1853" s="3" t="b">
        <x:v>0</x:v>
      </x:c>
      <x:c r="S1853" s="3" t="b">
        <x:v>1</x:v>
      </x:c>
      <x:c r="T1853" s="3" t="b">
        <x:v>0</x:v>
      </x:c>
      <x:c r="U1853" s="2" t="str">
        <x:f>IF(T1853=TRUE,"Priority review",IF(R1853=TRUE,"High cost",IF(S1853=TRUE,"Low quality","Benchmark")))</x:f>
        <x:v>Low quality</x:v>
      </x:c>
    </x:row>
    <x:row r="1854">
      <x:c r="A1854" s="2" t="str">
        <x:v>530008</x:v>
      </x:c>
      <x:c r="B1854" s="2" t="str">
        <x:v>SAGEWEST HEALTH CARE</x:v>
      </x:c>
      <x:c r="C1854" s="2" t="str">
        <x:v>RIVERTON</x:v>
      </x:c>
      <x:c r="D1854" s="2" t="str">
        <x:v>WY</x:v>
      </x:c>
      <x:c r="E1854" s="2" t="str">
        <x:v>Acute Care Hospitals</x:v>
      </x:c>
      <x:c r="F1854" s="2" t="str">
        <x:v>Proprietary</x:v>
      </x:c>
      <x:c r="G1854" s="2" t="str">
        <x:v>Medium (100-299 beds)</x:v>
      </x:c>
      <x:c r="H1854" s="7" t="n">
        <x:v>2</x:v>
      </x:c>
      <x:c r="I1854" s="7" t="n">
        <x:v>2</x:v>
      </x:c>
      <x:c r="J1854" s="7" t="n">
        <x:v>0.95</x:v>
      </x:c>
      <x:c r="K1854" s="8" t="n">
        <x:v>133</x:v>
      </x:c>
      <x:c r="L1854" s="8" t="n">
        <x:v>1848</x:v>
      </x:c>
      <x:c r="M1854" s="9" t="n">
        <x:v>0.1323390443</x:v>
      </x:c>
      <x:c r="N1854" s="10" t="n">
        <x:v>39398.6504329004</x:v>
      </x:c>
      <x:c r="O1854" s="9" t="n">
        <x:v>-0.0598534217</x:v>
      </x:c>
      <x:c r="P1854" s="9" t="n">
        <x:v>0.6251018745</x:v>
      </x:c>
      <x:c r="Q1854" s="9" t="n">
        <x:v>0.0782396088</x:v>
      </x:c>
      <x:c r="R1854" s="3" t="b">
        <x:v>0</x:v>
      </x:c>
      <x:c r="S1854" s="3" t="b">
        <x:v>1</x:v>
      </x:c>
      <x:c r="T1854" s="3" t="b">
        <x:v>0</x:v>
      </x:c>
      <x:c r="U1854" s="2" t="str">
        <x:f>IF(T1854=TRUE,"Priority review",IF(R1854=TRUE,"High cost",IF(S1854=TRUE,"Low quality","Benchmark")))</x:f>
        <x:v>Low quality</x:v>
      </x:c>
    </x:row>
    <x:row r="1855">
      <x:c r="A1855" s="2" t="str">
        <x:v>363306</x:v>
      </x:c>
      <x:c r="B1855" s="2" t="str">
        <x:v>DAYTON CHILDRENS HOSPITAL</x:v>
      </x:c>
      <x:c r="C1855" s="2" t="str">
        <x:v>DAYTON</x:v>
      </x:c>
      <x:c r="D1855" s="2" t="str">
        <x:v>OH</x:v>
      </x:c>
      <x:c r="E1855" s="2" t="str">
        <x:v>Childrens</x:v>
      </x:c>
      <x:c r="F1855" s="2" t="str">
        <x:v>Voluntary non-profit</x:v>
      </x:c>
      <x:c r="G1855" s="2" t="str">
        <x:v>Medium (100-299 beds)</x:v>
      </x:c>
      <x:c r="H1855" s="7"/>
      <x:c r="I1855" s="7"/>
      <x:c r="J1855" s="7"/>
      <x:c r="K1855" s="8" t="n">
        <x:v>182</x:v>
      </x:c>
      <x:c r="L1855" s="8" t="n">
        <x:v>6974</x:v>
      </x:c>
      <x:c r="M1855" s="9" t="n">
        <x:v>0.5026644588</x:v>
      </x:c>
      <x:c r="N1855" s="10" t="n">
        <x:v>89554.1970174935</x:v>
      </x:c>
      <x:c r="O1855" s="9" t="n">
        <x:v>0.0556637878</x:v>
      </x:c>
      <x:c r="P1855" s="9" t="n">
        <x:v>0.625</x:v>
      </x:c>
      <x:c r="Q1855" s="9" t="n">
        <x:v>0</x:v>
      </x:c>
      <x:c r="R1855" s="3" t="b">
        <x:v>0</x:v>
      </x:c>
      <x:c r="S1855" s="3" t="b">
        <x:v>0</x:v>
      </x:c>
      <x:c r="T1855" s="3" t="b">
        <x:v>0</x:v>
      </x:c>
      <x:c r="U1855" s="2" t="str">
        <x:f>IF(T1855=TRUE,"Priority review",IF(R1855=TRUE,"High cost",IF(S1855=TRUE,"Low quality","Benchmark")))</x:f>
        <x:v>Benchmark</x:v>
      </x:c>
    </x:row>
    <x:row r="1856">
      <x:c r="A1856" s="2" t="str">
        <x:v>050784</x:v>
      </x:c>
      <x:c r="B1856" s="2" t="str">
        <x:v>ADVENTIST HEALTH TULARE</x:v>
      </x:c>
      <x:c r="C1856" s="2" t="str">
        <x:v>TULARE</x:v>
      </x:c>
      <x:c r="D1856" s="2" t="str">
        <x:v>CA</x:v>
      </x:c>
      <x:c r="E1856" s="2" t="str">
        <x:v>Acute Care Hospitals</x:v>
      </x:c>
      <x:c r="F1856" s="2" t="str">
        <x:v>Voluntary non-profit</x:v>
      </x:c>
      <x:c r="G1856" s="2" t="str">
        <x:v>Small (&lt;100 beds)</x:v>
      </x:c>
      <x:c r="H1856" s="7" t="n">
        <x:v>3</x:v>
      </x:c>
      <x:c r="I1856" s="7" t="n">
        <x:v>3</x:v>
      </x:c>
      <x:c r="J1856" s="7" t="n">
        <x:v>1.02</x:v>
      </x:c>
      <x:c r="K1856" s="8" t="n">
        <x:v>73</x:v>
      </x:c>
      <x:c r="L1856" s="8" t="n">
        <x:v>1624</x:v>
      </x:c>
      <x:c r="M1856" s="9" t="n">
        <x:v>0.2763679916</x:v>
      </x:c>
      <x:c r="N1856" s="10" t="n">
        <x:v>65040.3091133005</x:v>
      </x:c>
      <x:c r="O1856" s="9" t="n">
        <x:v>-0.3884249624</x:v>
      </x:c>
      <x:c r="P1856" s="9" t="n">
        <x:v>0.6247755835</x:v>
      </x:c>
      <x:c r="Q1856" s="9" t="n">
        <x:v>0.1687612208</x:v>
      </x:c>
      <x:c r="R1856" s="3" t="b">
        <x:v>0</x:v>
      </x:c>
      <x:c r="S1856" s="3" t="b">
        <x:v>0</x:v>
      </x:c>
      <x:c r="T1856" s="3" t="b">
        <x:v>0</x:v>
      </x:c>
      <x:c r="U1856" s="2" t="str">
        <x:f>IF(T1856=TRUE,"Priority review",IF(R1856=TRUE,"High cost",IF(S1856=TRUE,"Low quality","Benchmark")))</x:f>
        <x:v>Benchmark</x:v>
      </x:c>
    </x:row>
    <x:row r="1857">
      <x:c r="A1857" s="2" t="str">
        <x:v>310108</x:v>
      </x:c>
      <x:c r="B1857" s="2" t="str">
        <x:v>JFK UNIVERSITY MEDICAL CENTER</x:v>
      </x:c>
      <x:c r="C1857" s="2" t="str">
        <x:v>EDISON</x:v>
      </x:c>
      <x:c r="D1857" s="2" t="str">
        <x:v>NJ</x:v>
      </x:c>
      <x:c r="E1857" s="2" t="str">
        <x:v>Acute Care Hospitals</x:v>
      </x:c>
      <x:c r="F1857" s="2" t="str">
        <x:v>Voluntary non-profit</x:v>
      </x:c>
      <x:c r="G1857" s="2" t="str">
        <x:v>Large (300+ beds)</x:v>
      </x:c>
      <x:c r="H1857" s="7" t="n">
        <x:v>3</x:v>
      </x:c>
      <x:c r="I1857" s="7" t="n">
        <x:v>2</x:v>
      </x:c>
      <x:c r="J1857" s="7" t="n">
        <x:v>1.08</x:v>
      </x:c>
      <x:c r="K1857" s="8" t="n">
        <x:v>353</x:v>
      </x:c>
      <x:c r="L1857" s="8" t="n">
        <x:v>21861</x:v>
      </x:c>
      <x:c r="M1857" s="9" t="n">
        <x:v>0.8239678633</x:v>
      </x:c>
      <x:c r="N1857" s="10" t="n">
        <x:v>44751.2645807603</x:v>
      </x:c>
      <x:c r="O1857" s="9" t="n">
        <x:v>-0.1317120014</x:v>
      </x:c>
      <x:c r="P1857" s="9" t="n">
        <x:v>0.6246056782</x:v>
      </x:c>
      <x:c r="Q1857" s="9" t="n">
        <x:v>0.2570977918</x:v>
      </x:c>
      <x:c r="R1857" s="3" t="b">
        <x:v>0</x:v>
      </x:c>
      <x:c r="S1857" s="3" t="b">
        <x:v>0</x:v>
      </x:c>
      <x:c r="T1857" s="3" t="b">
        <x:v>0</x:v>
      </x:c>
      <x:c r="U1857" s="2" t="str">
        <x:f>IF(T1857=TRUE,"Priority review",IF(R1857=TRUE,"High cost",IF(S1857=TRUE,"Low quality","Benchmark")))</x:f>
        <x:v>Benchmark</x:v>
      </x:c>
    </x:row>
    <x:row r="1858">
      <x:c r="A1858" s="2" t="str">
        <x:v>234044</x:v>
      </x:c>
      <x:c r="B1858" s="2" t="str">
        <x:v>BRIGHTWELL BEHAVIORAL HEALTH</x:v>
      </x:c>
      <x:c r="C1858" s="2" t="str">
        <x:v>EAST LANSING</x:v>
      </x:c>
      <x:c r="D1858" s="2" t="str">
        <x:v>MI</x:v>
      </x:c>
      <x:c r="E1858" s="2" t="str">
        <x:v>Psychiatric</x:v>
      </x:c>
      <x:c r="F1858" s="2" t="str">
        <x:v>Proprietary</x:v>
      </x:c>
      <x:c r="G1858" s="2" t="str">
        <x:v>Small (&lt;100 beds)</x:v>
      </x:c>
      <x:c r="H1858" s="7"/>
      <x:c r="I1858" s="7"/>
      <x:c r="J1858" s="7"/>
      <x:c r="K1858" s="8" t="n">
        <x:v>23</x:v>
      </x:c>
      <x:c r="L1858" s="8" t="n">
        <x:v>426</x:v>
      </x:c>
      <x:c r="M1858" s="9" t="n">
        <x:v>0.7836778332</x:v>
      </x:c>
      <x:c r="N1858" s="10" t="n">
        <x:v>16367.6713615023</x:v>
      </x:c>
      <x:c r="O1858" s="9" t="n">
        <x:v>-0.9579840758</x:v>
      </x:c>
      <x:c r="P1858" s="9" t="n">
        <x:v>0.6245954693</x:v>
      </x:c>
      <x:c r="Q1858" s="9" t="n">
        <x:v>0</x:v>
      </x:c>
      <x:c r="R1858" s="3" t="b">
        <x:v>0</x:v>
      </x:c>
      <x:c r="S1858" s="3" t="b">
        <x:v>0</x:v>
      </x:c>
      <x:c r="T1858" s="3" t="b">
        <x:v>0</x:v>
      </x:c>
      <x:c r="U1858" s="2" t="str">
        <x:f>IF(T1858=TRUE,"Priority review",IF(R1858=TRUE,"High cost",IF(S1858=TRUE,"Low quality","Benchmark")))</x:f>
        <x:v>Benchmark</x:v>
      </x:c>
    </x:row>
    <x:row r="1859">
      <x:c r="A1859" s="2" t="str">
        <x:v>531316</x:v>
      </x:c>
      <x:c r="B1859" s="2" t="str">
        <x:v>MEMORIAL HOSPITAL OF CARBON COUNTY</x:v>
      </x:c>
      <x:c r="C1859" s="2" t="str">
        <x:v>RAWLINS</x:v>
      </x:c>
      <x:c r="D1859" s="2" t="str">
        <x:v>WY</x:v>
      </x:c>
      <x:c r="E1859" s="2" t="str">
        <x:v>Critical Access Hospitals</x:v>
      </x:c>
      <x:c r="F1859" s="2" t="str">
        <x:v>Government</x:v>
      </x:c>
      <x:c r="G1859" s="2" t="str">
        <x:v>Small (&lt;100 beds)</x:v>
      </x:c>
      <x:c r="H1859" s="7"/>
      <x:c r="I1859" s="7"/>
      <x:c r="J1859" s="7"/>
      <x:c r="K1859" s="8" t="n">
        <x:v>25</x:v>
      </x:c>
      <x:c r="L1859" s="8" t="n">
        <x:v>208</x:v>
      </x:c>
      <x:c r="M1859" s="9" t="n">
        <x:v>0.0885479452</x:v>
      </x:c>
      <x:c r="N1859" s="10" t="n">
        <x:v>163689.6394230769</x:v>
      </x:c>
      <x:c r="O1859" s="9" t="n">
        <x:v>-0.279570202</x:v>
      </x:c>
      <x:c r="P1859" s="9" t="n">
        <x:v>0.624535316</x:v>
      </x:c>
      <x:c r="Q1859" s="9" t="n">
        <x:v>0.292936803</x:v>
      </x:c>
      <x:c r="R1859" s="3" t="b">
        <x:v>0</x:v>
      </x:c>
      <x:c r="S1859" s="3" t="b">
        <x:v>0</x:v>
      </x:c>
      <x:c r="T1859" s="3" t="b">
        <x:v>0</x:v>
      </x:c>
      <x:c r="U1859" s="2" t="str">
        <x:f>IF(T1859=TRUE,"Priority review",IF(R1859=TRUE,"High cost",IF(S1859=TRUE,"Low quality","Benchmark")))</x:f>
        <x:v>Benchmark</x:v>
      </x:c>
    </x:row>
    <x:row r="1860">
      <x:c r="A1860" s="2" t="str">
        <x:v>330104</x:v>
      </x:c>
      <x:c r="B1860" s="2" t="str">
        <x:v>NYACK HOSPITAL</x:v>
      </x:c>
      <x:c r="C1860" s="2" t="str">
        <x:v>NYACK</x:v>
      </x:c>
      <x:c r="D1860" s="2" t="str">
        <x:v>NY</x:v>
      </x:c>
      <x:c r="E1860" s="2" t="str">
        <x:v>Acute Care Hospitals</x:v>
      </x:c>
      <x:c r="F1860" s="2" t="str">
        <x:v>Voluntary non-profit</x:v>
      </x:c>
      <x:c r="G1860" s="2" t="str">
        <x:v>Medium (100-299 beds)</x:v>
      </x:c>
      <x:c r="H1860" s="7" t="n">
        <x:v>2</x:v>
      </x:c>
      <x:c r="I1860" s="7" t="n">
        <x:v>2</x:v>
      </x:c>
      <x:c r="J1860" s="7" t="n">
        <x:v>1.08</x:v>
      </x:c>
      <x:c r="K1860" s="8" t="n">
        <x:v>235</x:v>
      </x:c>
      <x:c r="L1860" s="8" t="n">
        <x:v>10293</x:v>
      </x:c>
      <x:c r="M1860" s="9" t="n">
        <x:v>0.6298569934</x:v>
      </x:c>
      <x:c r="N1860" s="10" t="n">
        <x:v>39395.9721169727</x:v>
      </x:c>
      <x:c r="O1860" s="9" t="n">
        <x:v>-0.1378514684</x:v>
      </x:c>
      <x:c r="P1860" s="9" t="n">
        <x:v>0.6242868786</x:v>
      </x:c>
      <x:c r="Q1860" s="9" t="n">
        <x:v>0.0782396088</x:v>
      </x:c>
      <x:c r="R1860" s="3" t="b">
        <x:v>0</x:v>
      </x:c>
      <x:c r="S1860" s="3" t="b">
        <x:v>1</x:v>
      </x:c>
      <x:c r="T1860" s="3" t="b">
        <x:v>0</x:v>
      </x:c>
      <x:c r="U1860" s="2" t="str">
        <x:f>IF(T1860=TRUE,"Priority review",IF(R1860=TRUE,"High cost",IF(S1860=TRUE,"Low quality","Benchmark")))</x:f>
        <x:v>Low quality</x:v>
      </x:c>
    </x:row>
    <x:row r="1861">
      <x:c r="A1861" s="2" t="str">
        <x:v>210061</x:v>
      </x:c>
      <x:c r="B1861" s="2" t="str">
        <x:v>ATLANTIC GENERAL HOSPITAL</x:v>
      </x:c>
      <x:c r="C1861" s="2" t="str">
        <x:v>BERLIN</x:v>
      </x:c>
      <x:c r="D1861" s="2" t="str">
        <x:v>MD</x:v>
      </x:c>
      <x:c r="E1861" s="2" t="str">
        <x:v>Acute Care Hospitals</x:v>
      </x:c>
      <x:c r="F1861" s="2" t="str">
        <x:v>Voluntary non-profit</x:v>
      </x:c>
      <x:c r="G1861" s="2" t="str">
        <x:v>Small (&lt;100 beds)</x:v>
      </x:c>
      <x:c r="H1861" s="7" t="n">
        <x:v>3</x:v>
      </x:c>
      <x:c r="I1861" s="7" t="n">
        <x:v>4</x:v>
      </x:c>
      <x:c r="J1861" s="7"/>
      <x:c r="K1861" s="8" t="n">
        <x:v>62</x:v>
      </x:c>
      <x:c r="L1861" s="8" t="n">
        <x:v>2733</x:v>
      </x:c>
      <x:c r="M1861" s="9" t="n">
        <x:v>0.4802474591</x:v>
      </x:c>
      <x:c r="N1861" s="10" t="n">
        <x:v>64752.0062202708</x:v>
      </x:c>
      <x:c r="O1861" s="9" t="n">
        <x:v>-0.1305693397</x:v>
      </x:c>
      <x:c r="P1861" s="9" t="n">
        <x:v>0.6238779174</x:v>
      </x:c>
      <x:c r="Q1861" s="9" t="n">
        <x:v>0.1687612208</x:v>
      </x:c>
      <x:c r="R1861" s="3" t="b">
        <x:v>0</x:v>
      </x:c>
      <x:c r="S1861" s="3" t="b">
        <x:v>0</x:v>
      </x:c>
      <x:c r="T1861" s="3" t="b">
        <x:v>0</x:v>
      </x:c>
      <x:c r="U1861" s="2" t="str">
        <x:f>IF(T1861=TRUE,"Priority review",IF(R1861=TRUE,"High cost",IF(S1861=TRUE,"Low quality","Benchmark")))</x:f>
        <x:v>Benchmark</x:v>
      </x:c>
    </x:row>
    <x:row r="1862">
      <x:c r="A1862" s="2" t="str">
        <x:v>251331</x:v>
      </x:c>
      <x:c r="B1862" s="2" t="str">
        <x:v>BMH-CALHOUN</x:v>
      </x:c>
      <x:c r="C1862" s="2" t="str">
        <x:v>CALHOUN CITY</x:v>
      </x:c>
      <x:c r="D1862" s="2" t="str">
        <x:v>MS</x:v>
      </x:c>
      <x:c r="E1862" s="2" t="str">
        <x:v>Critical Access Hospitals</x:v>
      </x:c>
      <x:c r="F1862" s="2" t="str">
        <x:v>Voluntary non-profit</x:v>
      </x:c>
      <x:c r="G1862" s="2" t="str">
        <x:v>Small (&lt;100 beds)</x:v>
      </x:c>
      <x:c r="H1862" s="7"/>
      <x:c r="I1862" s="7"/>
      <x:c r="J1862" s="7"/>
      <x:c r="K1862" s="8" t="n">
        <x:v>25</x:v>
      </x:c>
      <x:c r="L1862" s="8" t="n">
        <x:v>165</x:v>
      </x:c>
      <x:c r="M1862" s="9" t="n">
        <x:v>0.486557377</x:v>
      </x:c>
      <x:c r="N1862" s="10" t="n">
        <x:v>163604.0060606061</x:v>
      </x:c>
      <x:c r="O1862" s="9" t="n">
        <x:v>-0.0492767052</x:v>
      </x:c>
      <x:c r="P1862" s="9" t="n">
        <x:v>0.6237918216</x:v>
      </x:c>
      <x:c r="Q1862" s="9" t="n">
        <x:v>0.292936803</x:v>
      </x:c>
      <x:c r="R1862" s="3" t="b">
        <x:v>0</x:v>
      </x:c>
      <x:c r="S1862" s="3" t="b">
        <x:v>0</x:v>
      </x:c>
      <x:c r="T1862" s="3" t="b">
        <x:v>0</x:v>
      </x:c>
      <x:c r="U1862" s="2" t="str">
        <x:f>IF(T1862=TRUE,"Priority review",IF(R1862=TRUE,"High cost",IF(S1862=TRUE,"Low quality","Benchmark")))</x:f>
        <x:v>Benchmark</x:v>
      </x:c>
    </x:row>
    <x:row r="1863">
      <x:c r="A1863" s="2" t="str">
        <x:v>320018</x:v>
      </x:c>
      <x:c r="B1863" s="2" t="str">
        <x:v>MEMORIAL MEDICAL CENTER</x:v>
      </x:c>
      <x:c r="C1863" s="2" t="str">
        <x:v>LAS CRUCES</x:v>
      </x:c>
      <x:c r="D1863" s="2" t="str">
        <x:v>NM</x:v>
      </x:c>
      <x:c r="E1863" s="2" t="str">
        <x:v>Acute Care Hospitals</x:v>
      </x:c>
      <x:c r="F1863" s="2" t="str">
        <x:v>Proprietary</x:v>
      </x:c>
      <x:c r="G1863" s="2" t="str">
        <x:v>Medium (100-299 beds)</x:v>
      </x:c>
      <x:c r="H1863" s="7" t="n">
        <x:v>2</x:v>
      </x:c>
      <x:c r="I1863" s="7" t="n">
        <x:v>2</x:v>
      </x:c>
      <x:c r="J1863" s="7" t="n">
        <x:v>1.03</x:v>
      </x:c>
      <x:c r="K1863" s="8" t="n">
        <x:v>199</x:v>
      </x:c>
      <x:c r="L1863" s="8" t="n">
        <x:v>8986</x:v>
      </x:c>
      <x:c r="M1863" s="9" t="n">
        <x:v>0.5247549222</x:v>
      </x:c>
      <x:c r="N1863" s="10" t="n">
        <x:v>39364.3024705097</x:v>
      </x:c>
      <x:c r="O1863" s="9" t="n">
        <x:v>0.0641960507</x:v>
      </x:c>
      <x:c r="P1863" s="9" t="n">
        <x:v>0.6234718826</x:v>
      </x:c>
      <x:c r="Q1863" s="9" t="n">
        <x:v>0.0782396088</x:v>
      </x:c>
      <x:c r="R1863" s="3" t="b">
        <x:v>0</x:v>
      </x:c>
      <x:c r="S1863" s="3" t="b">
        <x:v>1</x:v>
      </x:c>
      <x:c r="T1863" s="3" t="b">
        <x:v>0</x:v>
      </x:c>
      <x:c r="U1863" s="2" t="str">
        <x:f>IF(T1863=TRUE,"Priority review",IF(R1863=TRUE,"High cost",IF(S1863=TRUE,"Low quality","Benchmark")))</x:f>
        <x:v>Low quality</x:v>
      </x:c>
    </x:row>
    <x:row r="1864">
      <x:c r="A1864" s="2" t="str">
        <x:v>111330</x:v>
      </x:c>
      <x:c r="B1864" s="2" t="str">
        <x:v>ATRIUM HEALTH FLOYD POLK MEDICAL CENTER</x:v>
      </x:c>
      <x:c r="C1864" s="2" t="str">
        <x:v>CEDARTOWN</x:v>
      </x:c>
      <x:c r="D1864" s="2" t="str">
        <x:v>GA</x:v>
      </x:c>
      <x:c r="E1864" s="2" t="str">
        <x:v>Critical Access Hospitals</x:v>
      </x:c>
      <x:c r="F1864" s="2" t="str">
        <x:v>Voluntary non-profit</x:v>
      </x:c>
      <x:c r="G1864" s="2" t="str">
        <x:v>Small (&lt;100 beds)</x:v>
      </x:c>
      <x:c r="H1864" s="7"/>
      <x:c r="I1864" s="7"/>
      <x:c r="J1864" s="7"/>
      <x:c r="K1864" s="8" t="n">
        <x:v>25</x:v>
      </x:c>
      <x:c r="L1864" s="8" t="n">
        <x:v>175</x:v>
      </x:c>
      <x:c r="M1864" s="9" t="n">
        <x:v>0.8695081967</x:v>
      </x:c>
      <x:c r="N1864" s="10" t="n">
        <x:v>163367.6971428572</x:v>
      </x:c>
      <x:c r="O1864" s="9" t="n">
        <x:v>0.3269468413</x:v>
      </x:c>
      <x:c r="P1864" s="9" t="n">
        <x:v>0.6230483271</x:v>
      </x:c>
      <x:c r="Q1864" s="9" t="n">
        <x:v>0.292936803</x:v>
      </x:c>
      <x:c r="R1864" s="3" t="b">
        <x:v>0</x:v>
      </x:c>
      <x:c r="S1864" s="3" t="b">
        <x:v>0</x:v>
      </x:c>
      <x:c r="T1864" s="3" t="b">
        <x:v>0</x:v>
      </x:c>
      <x:c r="U1864" s="2" t="str">
        <x:f>IF(T1864=TRUE,"Priority review",IF(R1864=TRUE,"High cost",IF(S1864=TRUE,"Low quality","Benchmark")))</x:f>
        <x:v>Benchmark</x:v>
      </x:c>
    </x:row>
    <x:row r="1865">
      <x:c r="A1865" s="2" t="str">
        <x:v>240001</x:v>
      </x:c>
      <x:c r="B1865" s="2" t="str">
        <x:v>NORTH MEMORIAL HEALTH HOSPITAL</x:v>
      </x:c>
      <x:c r="C1865" s="2" t="str">
        <x:v>ROBBINSDALE</x:v>
      </x:c>
      <x:c r="D1865" s="2" t="str">
        <x:v>MN</x:v>
      </x:c>
      <x:c r="E1865" s="2" t="str">
        <x:v>Acute Care Hospitals</x:v>
      </x:c>
      <x:c r="F1865" s="2" t="str">
        <x:v>Voluntary non-profit</x:v>
      </x:c>
      <x:c r="G1865" s="2" t="str">
        <x:v>Large (300+ beds)</x:v>
      </x:c>
      <x:c r="H1865" s="7" t="n">
        <x:v>1</x:v>
      </x:c>
      <x:c r="I1865" s="7" t="n">
        <x:v>3</x:v>
      </x:c>
      <x:c r="J1865" s="7" t="n">
        <x:v>0.93</x:v>
      </x:c>
      <x:c r="K1865" s="8" t="n">
        <x:v>319</x:v>
      </x:c>
      <x:c r="L1865" s="8" t="n">
        <x:v>17784</x:v>
      </x:c>
      <x:c r="M1865" s="9" t="n">
        <x:v>0.7292596124</x:v>
      </x:c>
      <x:c r="N1865" s="10" t="n">
        <x:v>44514.353520018</x:v>
      </x:c>
      <x:c r="O1865" s="9" t="n">
        <x:v>-0.2156860524</x:v>
      </x:c>
      <x:c r="P1865" s="9" t="n">
        <x:v>0.6230283912</x:v>
      </x:c>
      <x:c r="Q1865" s="9" t="n">
        <x:v>0</x:v>
      </x:c>
      <x:c r="R1865" s="3" t="b">
        <x:v>0</x:v>
      </x:c>
      <x:c r="S1865" s="3" t="b">
        <x:v>1</x:v>
      </x:c>
      <x:c r="T1865" s="3" t="b">
        <x:v>0</x:v>
      </x:c>
      <x:c r="U1865" s="2" t="str">
        <x:f>IF(T1865=TRUE,"Priority review",IF(R1865=TRUE,"High cost",IF(S1865=TRUE,"Low quality","Benchmark")))</x:f>
        <x:v>Low quality</x:v>
      </x:c>
    </x:row>
    <x:row r="1866">
      <x:c r="A1866" s="2" t="str">
        <x:v>060054</x:v>
      </x:c>
      <x:c r="B1866" s="2" t="str">
        <x:v>COMMUNITY HOSPITAL</x:v>
      </x:c>
      <x:c r="C1866" s="2" t="str">
        <x:v>GRAND JUNCTION</x:v>
      </x:c>
      <x:c r="D1866" s="2" t="str">
        <x:v>CO</x:v>
      </x:c>
      <x:c r="E1866" s="2" t="str">
        <x:v>Acute Care Hospitals</x:v>
      </x:c>
      <x:c r="F1866" s="2" t="str">
        <x:v>Voluntary non-profit</x:v>
      </x:c>
      <x:c r="G1866" s="2" t="str">
        <x:v>Small (&lt;100 beds)</x:v>
      </x:c>
      <x:c r="H1866" s="7" t="n">
        <x:v>4</x:v>
      </x:c>
      <x:c r="I1866" s="7" t="n">
        <x:v>4</x:v>
      </x:c>
      <x:c r="J1866" s="7" t="n">
        <x:v>0.97</x:v>
      </x:c>
      <x:c r="K1866" s="8" t="n">
        <x:v>44</x:v>
      </x:c>
      <x:c r="L1866" s="8" t="n">
        <x:v>4369</x:v>
      </x:c>
      <x:c r="M1866" s="9" t="n">
        <x:v>0.5171385991</x:v>
      </x:c>
      <x:c r="N1866" s="10" t="n">
        <x:v>64700.200732433</x:v>
      </x:c>
      <x:c r="O1866" s="9" t="n">
        <x:v>-0.0314239949</x:v>
      </x:c>
      <x:c r="P1866" s="9" t="n">
        <x:v>0.6229802513</x:v>
      </x:c>
      <x:c r="Q1866" s="9" t="n">
        <x:v>0.3913824057</x:v>
      </x:c>
      <x:c r="R1866" s="3" t="b">
        <x:v>0</x:v>
      </x:c>
      <x:c r="S1866" s="3" t="b">
        <x:v>0</x:v>
      </x:c>
      <x:c r="T1866" s="3" t="b">
        <x:v>0</x:v>
      </x:c>
      <x:c r="U1866" s="2" t="str">
        <x:f>IF(T1866=TRUE,"Priority review",IF(R1866=TRUE,"High cost",IF(S1866=TRUE,"Low quality","Benchmark")))</x:f>
        <x:v>Benchmark</x:v>
      </x:c>
    </x:row>
    <x:row r="1867">
      <x:c r="A1867" s="2" t="str">
        <x:v>500039</x:v>
      </x:c>
      <x:c r="B1867" s="2" t="str">
        <x:v>ST MICHAEL MEDICAL CENTER</x:v>
      </x:c>
      <x:c r="C1867" s="2" t="str">
        <x:v>SILVERDALE</x:v>
      </x:c>
      <x:c r="D1867" s="2" t="str">
        <x:v>WA</x:v>
      </x:c>
      <x:c r="E1867" s="2" t="str">
        <x:v>Acute Care Hospitals</x:v>
      </x:c>
      <x:c r="F1867" s="2" t="str">
        <x:v>Voluntary non-profit</x:v>
      </x:c>
      <x:c r="G1867" s="2" t="str">
        <x:v>Medium (100-299 beds)</x:v>
      </x:c>
      <x:c r="H1867" s="7" t="n">
        <x:v>4</x:v>
      </x:c>
      <x:c r="I1867" s="7" t="n">
        <x:v>3</x:v>
      </x:c>
      <x:c r="J1867" s="7" t="n">
        <x:v>0.95</x:v>
      </x:c>
      <x:c r="K1867" s="8" t="n">
        <x:v>238</x:v>
      </x:c>
      <x:c r="L1867" s="8" t="n">
        <x:v>18403</x:v>
      </x:c>
      <x:c r="M1867" s="9" t="n">
        <x:v>0.9860366064</x:v>
      </x:c>
      <x:c r="N1867" s="10" t="n">
        <x:v>39272.4064554692</x:v>
      </x:c>
      <x:c r="O1867" s="9" t="n">
        <x:v>0.1188583003</x:v>
      </x:c>
      <x:c r="P1867" s="9" t="n">
        <x:v>0.6226568867</x:v>
      </x:c>
      <x:c r="Q1867" s="9" t="n">
        <x:v>0.6022819886</x:v>
      </x:c>
      <x:c r="R1867" s="3" t="b">
        <x:v>0</x:v>
      </x:c>
      <x:c r="S1867" s="3" t="b">
        <x:v>0</x:v>
      </x:c>
      <x:c r="T1867" s="3" t="b">
        <x:v>0</x:v>
      </x:c>
      <x:c r="U1867" s="2" t="str">
        <x:f>IF(T1867=TRUE,"Priority review",IF(R1867=TRUE,"High cost",IF(S1867=TRUE,"Low quality","Benchmark")))</x:f>
        <x:v>Benchmark</x:v>
      </x:c>
    </x:row>
    <x:row r="1868">
      <x:c r="A1868" s="2" t="str">
        <x:v>061310</x:v>
      </x:c>
      <x:c r="B1868" s="2" t="str">
        <x:v>SEDGWICK COUNTY MEMORIAL HOSPITAL</x:v>
      </x:c>
      <x:c r="C1868" s="2" t="str">
        <x:v>JULESBURG</x:v>
      </x:c>
      <x:c r="D1868" s="2" t="str">
        <x:v>CO</x:v>
      </x:c>
      <x:c r="E1868" s="2" t="str">
        <x:v>Critical Access Hospitals</x:v>
      </x:c>
      <x:c r="F1868" s="2" t="str">
        <x:v>Government</x:v>
      </x:c>
      <x:c r="G1868" s="2" t="str">
        <x:v>Small (&lt;100 beds)</x:v>
      </x:c>
      <x:c r="H1868" s="7"/>
      <x:c r="I1868" s="7"/>
      <x:c r="J1868" s="7"/>
      <x:c r="K1868" s="8" t="n">
        <x:v>9</x:v>
      </x:c>
      <x:c r="L1868" s="8" t="n">
        <x:v>105</x:v>
      </x:c>
      <x:c r="M1868" s="9" t="n">
        <x:v>0.2079538555</x:v>
      </x:c>
      <x:c r="N1868" s="10" t="n">
        <x:v>162993.2761904762</x:v>
      </x:c>
      <x:c r="O1868" s="9" t="n">
        <x:v>-0.0636688799</x:v>
      </x:c>
      <x:c r="P1868" s="9" t="n">
        <x:v>0.6223048327</x:v>
      </x:c>
      <x:c r="Q1868" s="9" t="n">
        <x:v>0.292936803</x:v>
      </x:c>
      <x:c r="R1868" s="3" t="b">
        <x:v>0</x:v>
      </x:c>
      <x:c r="S1868" s="3" t="b">
        <x:v>0</x:v>
      </x:c>
      <x:c r="T1868" s="3" t="b">
        <x:v>0</x:v>
      </x:c>
      <x:c r="U1868" s="2" t="str">
        <x:f>IF(T1868=TRUE,"Priority review",IF(R1868=TRUE,"High cost",IF(S1868=TRUE,"Low quality","Benchmark")))</x:f>
        <x:v>Benchmark</x:v>
      </x:c>
    </x:row>
    <x:row r="1869">
      <x:c r="A1869" s="2" t="str">
        <x:v>190278</x:v>
      </x:c>
      <x:c r="B1869" s="2" t="str">
        <x:v>SPECIALISTS HOSPITAL SHREVEPORT</x:v>
      </x:c>
      <x:c r="C1869" s="2" t="str">
        <x:v>SHREVEPORT</x:v>
      </x:c>
      <x:c r="D1869" s="2" t="str">
        <x:v>LA</x:v>
      </x:c>
      <x:c r="E1869" s="2" t="str">
        <x:v>Acute Care Hospitals</x:v>
      </x:c>
      <x:c r="F1869" s="2" t="str">
        <x:v>Proprietary</x:v>
      </x:c>
      <x:c r="G1869" s="2" t="str">
        <x:v>Small (&lt;100 beds)</x:v>
      </x:c>
      <x:c r="H1869" s="7"/>
      <x:c r="I1869" s="7" t="n">
        <x:v>4</x:v>
      </x:c>
      <x:c r="J1869" s="7" t="n">
        <x:v>1.02</x:v>
      </x:c>
      <x:c r="K1869" s="8" t="n">
        <x:v>30</x:v>
      </x:c>
      <x:c r="L1869" s="8" t="n">
        <x:v>1092</x:v>
      </x:c>
      <x:c r="M1869" s="9" t="n">
        <x:v>0.2422586521</x:v>
      </x:c>
      <x:c r="N1869" s="10" t="n">
        <x:v>64610.5842490842</x:v>
      </x:c>
      <x:c r="O1869" s="9" t="n">
        <x:v>0.0973323781</x:v>
      </x:c>
      <x:c r="P1869" s="9" t="n">
        <x:v>0.6220825853</x:v>
      </x:c>
      <x:c r="Q1869" s="9" t="n">
        <x:v>0.697486535</x:v>
      </x:c>
      <x:c r="R1869" s="3" t="b">
        <x:v>0</x:v>
      </x:c>
      <x:c r="S1869" s="3" t="b">
        <x:v>0</x:v>
      </x:c>
      <x:c r="T1869" s="3" t="b">
        <x:v>0</x:v>
      </x:c>
      <x:c r="U1869" s="2" t="str">
        <x:f>IF(T1869=TRUE,"Priority review",IF(R1869=TRUE,"High cost",IF(S1869=TRUE,"Low quality","Benchmark")))</x:f>
        <x:v>Benchmark</x:v>
      </x:c>
    </x:row>
    <x:row r="1870">
      <x:c r="A1870" s="2" t="str">
        <x:v>144035</x:v>
      </x:c>
      <x:c r="B1870" s="2" t="str">
        <x:v>LINDEN OAKS AT EDWARD</x:v>
      </x:c>
      <x:c r="C1870" s="2" t="str">
        <x:v>NAPERVILLE</x:v>
      </x:c>
      <x:c r="D1870" s="2" t="str">
        <x:v>IL</x:v>
      </x:c>
      <x:c r="E1870" s="2" t="str">
        <x:v>Psychiatric</x:v>
      </x:c>
      <x:c r="F1870" s="2" t="str">
        <x:v>Voluntary non-profit</x:v>
      </x:c>
      <x:c r="G1870" s="2" t="str">
        <x:v>Medium (100-299 beds)</x:v>
      </x:c>
      <x:c r="H1870" s="7"/>
      <x:c r="I1870" s="7"/>
      <x:c r="J1870" s="7"/>
      <x:c r="K1870" s="8" t="n">
        <x:v>110</x:v>
      </x:c>
      <x:c r="L1870" s="8" t="n">
        <x:v>3501</x:v>
      </x:c>
      <x:c r="M1870" s="9" t="n">
        <x:v>0.6901639344</x:v>
      </x:c>
      <x:c r="N1870" s="10" t="n">
        <x:v>16811.6700942588</x:v>
      </x:c>
      <x:c r="O1870" s="9" t="n">
        <x:v>0.0287217231</x:v>
      </x:c>
      <x:c r="P1870" s="9" t="n">
        <x:v>0.6218905473</x:v>
      </x:c>
      <x:c r="Q1870" s="9" t="n">
        <x:v>0</x:v>
      </x:c>
      <x:c r="R1870" s="3" t="b">
        <x:v>0</x:v>
      </x:c>
      <x:c r="S1870" s="3" t="b">
        <x:v>0</x:v>
      </x:c>
      <x:c r="T1870" s="3" t="b">
        <x:v>0</x:v>
      </x:c>
      <x:c r="U1870" s="2" t="str">
        <x:f>IF(T1870=TRUE,"Priority review",IF(R1870=TRUE,"High cost",IF(S1870=TRUE,"Low quality","Benchmark")))</x:f>
        <x:v>Benchmark</x:v>
      </x:c>
    </x:row>
    <x:row r="1871">
      <x:c r="A1871" s="2" t="str">
        <x:v>050128</x:v>
      </x:c>
      <x:c r="B1871" s="2" t="str">
        <x:v>TRI-CITY MEDICAL CENTER</x:v>
      </x:c>
      <x:c r="C1871" s="2" t="str">
        <x:v>OCEANSIDE</x:v>
      </x:c>
      <x:c r="D1871" s="2" t="str">
        <x:v>CA</x:v>
      </x:c>
      <x:c r="E1871" s="2" t="str">
        <x:v>Acute Care Hospitals</x:v>
      </x:c>
      <x:c r="F1871" s="2" t="str">
        <x:v>Government</x:v>
      </x:c>
      <x:c r="G1871" s="2" t="str">
        <x:v>Medium (100-299 beds)</x:v>
      </x:c>
      <x:c r="H1871" s="7" t="n">
        <x:v>1</x:v>
      </x:c>
      <x:c r="I1871" s="7" t="n">
        <x:v>2</x:v>
      </x:c>
      <x:c r="J1871" s="7" t="n">
        <x:v>1.04</x:v>
      </x:c>
      <x:c r="K1871" s="8" t="n">
        <x:v>252</x:v>
      </x:c>
      <x:c r="L1871" s="8" t="n">
        <x:v>8635</x:v>
      </x:c>
      <x:c r="M1871" s="9" t="n">
        <x:v>0.4626766688</x:v>
      </x:c>
      <x:c r="N1871" s="10" t="n">
        <x:v>39262.7967573827</x:v>
      </x:c>
      <x:c r="O1871" s="9" t="n">
        <x:v>-0.166443328</x:v>
      </x:c>
      <x:c r="P1871" s="9" t="n">
        <x:v>0.6218418908</x:v>
      </x:c>
      <x:c r="Q1871" s="9" t="n">
        <x:v>0</x:v>
      </x:c>
      <x:c r="R1871" s="3" t="b">
        <x:v>0</x:v>
      </x:c>
      <x:c r="S1871" s="3" t="b">
        <x:v>1</x:v>
      </x:c>
      <x:c r="T1871" s="3" t="b">
        <x:v>0</x:v>
      </x:c>
      <x:c r="U1871" s="2" t="str">
        <x:f>IF(T1871=TRUE,"Priority review",IF(R1871=TRUE,"High cost",IF(S1871=TRUE,"Low quality","Benchmark")))</x:f>
        <x:v>Low quality</x:v>
      </x:c>
    </x:row>
    <x:row r="1872">
      <x:c r="A1872" s="2" t="str">
        <x:v>521328</x:v>
      </x:c>
      <x:c r="B1872" s="2" t="str">
        <x:v>MARSHFIELD MEDICAL CENTER - LADYSMITH</x:v>
      </x:c>
      <x:c r="C1872" s="2" t="str">
        <x:v>LADYSMITH</x:v>
      </x:c>
      <x:c r="D1872" s="2" t="str">
        <x:v>WI</x:v>
      </x:c>
      <x:c r="E1872" s="2" t="str">
        <x:v>Critical Access Hospitals</x:v>
      </x:c>
      <x:c r="F1872" s="2" t="str">
        <x:v>Government</x:v>
      </x:c>
      <x:c r="G1872" s="2" t="str">
        <x:v>Small (&lt;100 beds)</x:v>
      </x:c>
      <x:c r="H1872" s="7"/>
      <x:c r="I1872" s="7"/>
      <x:c r="J1872" s="7"/>
      <x:c r="K1872" s="8" t="n">
        <x:v>25</x:v>
      </x:c>
      <x:c r="L1872" s="8" t="n">
        <x:v>228</x:v>
      </x:c>
      <x:c r="M1872" s="9" t="n">
        <x:v>0.1650273224</x:v>
      </x:c>
      <x:c r="N1872" s="10" t="n">
        <x:v>162922.4912280702</x:v>
      </x:c>
      <x:c r="O1872" s="9" t="n">
        <x:v>0.0747926615</x:v>
      </x:c>
      <x:c r="P1872" s="9" t="n">
        <x:v>0.6215613383</x:v>
      </x:c>
      <x:c r="Q1872" s="9" t="n">
        <x:v>0.292936803</x:v>
      </x:c>
      <x:c r="R1872" s="3" t="b">
        <x:v>0</x:v>
      </x:c>
      <x:c r="S1872" s="3" t="b">
        <x:v>0</x:v>
      </x:c>
      <x:c r="T1872" s="3" t="b">
        <x:v>0</x:v>
      </x:c>
      <x:c r="U1872" s="2" t="str">
        <x:f>IF(T1872=TRUE,"Priority review",IF(R1872=TRUE,"High cost",IF(S1872=TRUE,"Low quality","Benchmark")))</x:f>
        <x:v>Benchmark</x:v>
      </x:c>
    </x:row>
    <x:row r="1873">
      <x:c r="A1873" s="2" t="str">
        <x:v>110005</x:v>
      </x:c>
      <x:c r="B1873" s="2" t="str">
        <x:v>NORTHSIDE HOSPITAL FORSYTH</x:v>
      </x:c>
      <x:c r="C1873" s="2" t="str">
        <x:v>CUMMING</x:v>
      </x:c>
      <x:c r="D1873" s="2" t="str">
        <x:v>GA</x:v>
      </x:c>
      <x:c r="E1873" s="2" t="str">
        <x:v>Acute Care Hospitals</x:v>
      </x:c>
      <x:c r="F1873" s="2" t="str">
        <x:v>Voluntary non-profit</x:v>
      </x:c>
      <x:c r="G1873" s="2" t="str">
        <x:v>Large (300+ beds)</x:v>
      </x:c>
      <x:c r="H1873" s="7" t="n">
        <x:v>4</x:v>
      </x:c>
      <x:c r="I1873" s="7" t="n">
        <x:v>4</x:v>
      </x:c>
      <x:c r="J1873" s="7" t="n">
        <x:v>0.96</x:v>
      </x:c>
      <x:c r="K1873" s="8" t="n">
        <x:v>382</x:v>
      </x:c>
      <x:c r="L1873" s="8" t="n">
        <x:v>18619</x:v>
      </x:c>
      <x:c r="M1873" s="9" t="n">
        <x:v>0.8708694533</x:v>
      </x:c>
      <x:c r="N1873" s="10" t="n">
        <x:v>44218.107739406</x:v>
      </x:c>
      <x:c r="O1873" s="9" t="n">
        <x:v>-0.0215152037</x:v>
      </x:c>
      <x:c r="P1873" s="9" t="n">
        <x:v>0.6214511041</x:v>
      </x:c>
      <x:c r="Q1873" s="9" t="n">
        <x:v>0.5899053628</x:v>
      </x:c>
      <x:c r="R1873" s="3" t="b">
        <x:v>0</x:v>
      </x:c>
      <x:c r="S1873" s="3" t="b">
        <x:v>0</x:v>
      </x:c>
      <x:c r="T1873" s="3" t="b">
        <x:v>0</x:v>
      </x:c>
      <x:c r="U1873" s="2" t="str">
        <x:f>IF(T1873=TRUE,"Priority review",IF(R1873=TRUE,"High cost",IF(S1873=TRUE,"Low quality","Benchmark")))</x:f>
        <x:v>Benchmark</x:v>
      </x:c>
    </x:row>
    <x:row r="1874">
      <x:c r="A1874" s="2" t="str">
        <x:v>374020</x:v>
      </x:c>
      <x:c r="B1874" s="2" t="str">
        <x:v>LAUREATE PSYCHIATRIC CLINIC AND HOSPITAL, INC</x:v>
      </x:c>
      <x:c r="C1874" s="2" t="str">
        <x:v>TULSA</x:v>
      </x:c>
      <x:c r="D1874" s="2" t="str">
        <x:v>OK</x:v>
      </x:c>
      <x:c r="E1874" s="2" t="str">
        <x:v>Psychiatric</x:v>
      </x:c>
      <x:c r="F1874" s="2" t="str">
        <x:v>Voluntary non-profit</x:v>
      </x:c>
      <x:c r="G1874" s="2" t="str">
        <x:v>Small (&lt;100 beds)</x:v>
      </x:c>
      <x:c r="H1874" s="7"/>
      <x:c r="I1874" s="7"/>
      <x:c r="J1874" s="7"/>
      <x:c r="K1874" s="8" t="n">
        <x:v>90</x:v>
      </x:c>
      <x:c r="L1874" s="8" t="n">
        <x:v>3151</x:v>
      </x:c>
      <x:c r="M1874" s="9" t="n">
        <x:v>0.9098630137</x:v>
      </x:c>
      <x:c r="N1874" s="10" t="n">
        <x:v>16359.6715328467</x:v>
      </x:c>
      <x:c r="O1874" s="9" t="n">
        <x:v>-0.0050818226</x:v>
      </x:c>
      <x:c r="P1874" s="9" t="n">
        <x:v>0.6213592233</x:v>
      </x:c>
      <x:c r="Q1874" s="9" t="n">
        <x:v>0</x:v>
      </x:c>
      <x:c r="R1874" s="3" t="b">
        <x:v>0</x:v>
      </x:c>
      <x:c r="S1874" s="3" t="b">
        <x:v>0</x:v>
      </x:c>
      <x:c r="T1874" s="3" t="b">
        <x:v>0</x:v>
      </x:c>
      <x:c r="U1874" s="2" t="str">
        <x:f>IF(T1874=TRUE,"Priority review",IF(R1874=TRUE,"High cost",IF(S1874=TRUE,"Low quality","Benchmark")))</x:f>
        <x:v>Benchmark</x:v>
      </x:c>
    </x:row>
    <x:row r="1875">
      <x:c r="A1875" s="2" t="str">
        <x:v>230133</x:v>
      </x:c>
      <x:c r="B1875" s="2" t="str">
        <x:v>MUNSON HEALTHCARE OTSEGO MEMORIAL HOSPITAL</x:v>
      </x:c>
      <x:c r="C1875" s="2" t="str">
        <x:v>GAYLORD</x:v>
      </x:c>
      <x:c r="D1875" s="2" t="str">
        <x:v>MI</x:v>
      </x:c>
      <x:c r="E1875" s="2" t="str">
        <x:v>Acute Care Hospitals</x:v>
      </x:c>
      <x:c r="F1875" s="2" t="str">
        <x:v>Voluntary non-profit</x:v>
      </x:c>
      <x:c r="G1875" s="2" t="str">
        <x:v>Small (&lt;100 beds)</x:v>
      </x:c>
      <x:c r="H1875" s="7" t="n">
        <x:v>4</x:v>
      </x:c>
      <x:c r="I1875" s="7" t="n">
        <x:v>3</x:v>
      </x:c>
      <x:c r="J1875" s="7" t="n">
        <x:v>0.9</x:v>
      </x:c>
      <x:c r="K1875" s="8" t="n">
        <x:v>46</x:v>
      </x:c>
      <x:c r="L1875" s="8" t="n">
        <x:v>1923</x:v>
      </x:c>
      <x:c r="M1875" s="9" t="n">
        <x:v>0.3401429422</x:v>
      </x:c>
      <x:c r="N1875" s="10" t="n">
        <x:v>64439.5683827353</x:v>
      </x:c>
      <x:c r="O1875" s="9" t="n">
        <x:v>0.0801881344</x:v>
      </x:c>
      <x:c r="P1875" s="9" t="n">
        <x:v>0.6211849192</x:v>
      </x:c>
      <x:c r="Q1875" s="9" t="n">
        <x:v>0.3913824057</x:v>
      </x:c>
      <x:c r="R1875" s="3" t="b">
        <x:v>0</x:v>
      </x:c>
      <x:c r="S1875" s="3" t="b">
        <x:v>0</x:v>
      </x:c>
      <x:c r="T1875" s="3" t="b">
        <x:v>0</x:v>
      </x:c>
      <x:c r="U1875" s="2" t="str">
        <x:f>IF(T1875=TRUE,"Priority review",IF(R1875=TRUE,"High cost",IF(S1875=TRUE,"Low quality","Benchmark")))</x:f>
        <x:v>Benchmark</x:v>
      </x:c>
    </x:row>
    <x:row r="1876">
      <x:c r="A1876" s="2" t="str">
        <x:v>330045</x:v>
      </x:c>
      <x:c r="B1876" s="2" t="str">
        <x:v>NS/LIJ HS HUNTINGTON HOSPITAL</x:v>
      </x:c>
      <x:c r="C1876" s="2" t="str">
        <x:v>HUNTINGTON</x:v>
      </x:c>
      <x:c r="D1876" s="2" t="str">
        <x:v>NY</x:v>
      </x:c>
      <x:c r="E1876" s="2" t="str">
        <x:v>Acute Care Hospitals</x:v>
      </x:c>
      <x:c r="F1876" s="2" t="str">
        <x:v>Voluntary non-profit</x:v>
      </x:c>
      <x:c r="G1876" s="2" t="str">
        <x:v>Medium (100-299 beds)</x:v>
      </x:c>
      <x:c r="H1876" s="7" t="n">
        <x:v>5</x:v>
      </x:c>
      <x:c r="I1876" s="7" t="n">
        <x:v>3</x:v>
      </x:c>
      <x:c r="J1876" s="7" t="n">
        <x:v>0.98</x:v>
      </x:c>
      <x:c r="K1876" s="8" t="n">
        <x:v>269</x:v>
      </x:c>
      <x:c r="L1876" s="8" t="n">
        <x:v>18282</x:v>
      </x:c>
      <x:c r="M1876" s="9" t="n">
        <x:v>0.8113332114</x:v>
      </x:c>
      <x:c r="N1876" s="10" t="n">
        <x:v>39250.9389563505</x:v>
      </x:c>
      <x:c r="O1876" s="9" t="n">
        <x:v>0.6416585883</x:v>
      </x:c>
      <x:c r="P1876" s="9" t="n">
        <x:v>0.6210268949</x:v>
      </x:c>
      <x:c r="Q1876" s="9" t="n">
        <x:v>0.8744906275</x:v>
      </x:c>
      <x:c r="R1876" s="3" t="b">
        <x:v>0</x:v>
      </x:c>
      <x:c r="S1876" s="3" t="b">
        <x:v>0</x:v>
      </x:c>
      <x:c r="T1876" s="3" t="b">
        <x:v>0</x:v>
      </x:c>
      <x:c r="U1876" s="2" t="str">
        <x:f>IF(T1876=TRUE,"Priority review",IF(R1876=TRUE,"High cost",IF(S1876=TRUE,"Low quality","Benchmark")))</x:f>
        <x:v>Benchmark</x:v>
      </x:c>
    </x:row>
    <x:row r="1877">
      <x:c r="A1877" s="2" t="str">
        <x:v>161366</x:v>
      </x:c>
      <x:c r="B1877" s="2" t="str">
        <x:v>SHENANDOAH MEDICAL CENTER</x:v>
      </x:c>
      <x:c r="C1877" s="2" t="str">
        <x:v>SHENANDOAH</x:v>
      </x:c>
      <x:c r="D1877" s="2" t="str">
        <x:v>IA</x:v>
      </x:c>
      <x:c r="E1877" s="2" t="str">
        <x:v>Critical Access Hospitals</x:v>
      </x:c>
      <x:c r="F1877" s="2" t="str">
        <x:v>Voluntary non-profit</x:v>
      </x:c>
      <x:c r="G1877" s="2" t="str">
        <x:v>Small (&lt;100 beds)</x:v>
      </x:c>
      <x:c r="H1877" s="7"/>
      <x:c r="I1877" s="7"/>
      <x:c r="J1877" s="7"/>
      <x:c r="K1877" s="8" t="n">
        <x:v>25</x:v>
      </x:c>
      <x:c r="L1877" s="8" t="n">
        <x:v>384</x:v>
      </x:c>
      <x:c r="M1877" s="9" t="n">
        <x:v>0.2057923497</x:v>
      </x:c>
      <x:c r="N1877" s="10" t="n">
        <x:v>162887.3932291667</x:v>
      </x:c>
      <x:c r="O1877" s="9" t="n">
        <x:v>-0.0522504441</x:v>
      </x:c>
      <x:c r="P1877" s="9" t="n">
        <x:v>0.6208178439</x:v>
      </x:c>
      <x:c r="Q1877" s="9" t="n">
        <x:v>0.292936803</x:v>
      </x:c>
      <x:c r="R1877" s="3" t="b">
        <x:v>0</x:v>
      </x:c>
      <x:c r="S1877" s="3" t="b">
        <x:v>0</x:v>
      </x:c>
      <x:c r="T1877" s="3" t="b">
        <x:v>0</x:v>
      </x:c>
      <x:c r="U1877" s="2" t="str">
        <x:f>IF(T1877=TRUE,"Priority review",IF(R1877=TRUE,"High cost",IF(S1877=TRUE,"Low quality","Benchmark")))</x:f>
        <x:v>Benchmark</x:v>
      </x:c>
    </x:row>
    <x:row r="1878">
      <x:c r="A1878" s="2" t="str">
        <x:v>050335</x:v>
      </x:c>
      <x:c r="B1878" s="2" t="str">
        <x:v>ADVENTIST HEALTH SONORA</x:v>
      </x:c>
      <x:c r="C1878" s="2" t="str">
        <x:v>SONORA</x:v>
      </x:c>
      <x:c r="D1878" s="2" t="str">
        <x:v>CA</x:v>
      </x:c>
      <x:c r="E1878" s="2" t="str">
        <x:v>Acute Care Hospitals</x:v>
      </x:c>
      <x:c r="F1878" s="2" t="str">
        <x:v>Voluntary non-profit</x:v>
      </x:c>
      <x:c r="G1878" s="2" t="str">
        <x:v>Small (&lt;100 beds)</x:v>
      </x:c>
      <x:c r="H1878" s="7" t="n">
        <x:v>3</x:v>
      </x:c>
      <x:c r="I1878" s="7" t="n">
        <x:v>3</x:v>
      </x:c>
      <x:c r="J1878" s="7" t="n">
        <x:v>0.91</x:v>
      </x:c>
      <x:c r="K1878" s="8" t="n">
        <x:v>84</x:v>
      </x:c>
      <x:c r="L1878" s="8" t="n">
        <x:v>5450</x:v>
      </x:c>
      <x:c r="M1878" s="9" t="n">
        <x:v>0.5004879001</x:v>
      </x:c>
      <x:c r="N1878" s="10" t="n">
        <x:v>64105.1899082569</x:v>
      </x:c>
      <x:c r="O1878" s="9" t="n">
        <x:v>-0.0655521702</x:v>
      </x:c>
      <x:c r="P1878" s="9" t="n">
        <x:v>0.6202872531</x:v>
      </x:c>
      <x:c r="Q1878" s="9" t="n">
        <x:v>0.1687612208</x:v>
      </x:c>
      <x:c r="R1878" s="3" t="b">
        <x:v>0</x:v>
      </x:c>
      <x:c r="S1878" s="3" t="b">
        <x:v>0</x:v>
      </x:c>
      <x:c r="T1878" s="3" t="b">
        <x:v>0</x:v>
      </x:c>
      <x:c r="U1878" s="2" t="str">
        <x:f>IF(T1878=TRUE,"Priority review",IF(R1878=TRUE,"High cost",IF(S1878=TRUE,"Low quality","Benchmark")))</x:f>
        <x:v>Benchmark</x:v>
      </x:c>
    </x:row>
    <x:row r="1879">
      <x:c r="A1879" s="2" t="str">
        <x:v>090008</x:v>
      </x:c>
      <x:c r="B1879" s="2" t="str">
        <x:v>UNITED MEDICAL CENTER</x:v>
      </x:c>
      <x:c r="C1879" s="2" t="str">
        <x:v>WASHINGTON</x:v>
      </x:c>
      <x:c r="D1879" s="2" t="str">
        <x:v>DC</x:v>
      </x:c>
      <x:c r="E1879" s="2" t="str">
        <x:v>Acute Care Hospitals</x:v>
      </x:c>
      <x:c r="F1879" s="2" t="str">
        <x:v>Proprietary</x:v>
      </x:c>
      <x:c r="G1879" s="2" t="str">
        <x:v>Medium (100-299 beds)</x:v>
      </x:c>
      <x:c r="H1879" s="7" t="n">
        <x:v>3</x:v>
      </x:c>
      <x:c r="I1879" s="7"/>
      <x:c r="J1879" s="7" t="n">
        <x:v>1.04</x:v>
      </x:c>
      <x:c r="K1879" s="8" t="n">
        <x:v>126</x:v>
      </x:c>
      <x:c r="L1879" s="8" t="n">
        <x:v>3161</x:v>
      </x:c>
      <x:c r="M1879" s="9" t="n">
        <x:v>0.5180197762</x:v>
      </x:c>
      <x:c r="N1879" s="10" t="n">
        <x:v>39185.3309079405</x:v>
      </x:c>
      <x:c r="O1879" s="9" t="n">
        <x:v>-0.3886353253</x:v>
      </x:c>
      <x:c r="P1879" s="9" t="n">
        <x:v>0.6202118989</x:v>
      </x:c>
      <x:c r="Q1879" s="9" t="n">
        <x:v>0.3023634882</x:v>
      </x:c>
      <x:c r="R1879" s="3" t="b">
        <x:v>0</x:v>
      </x:c>
      <x:c r="S1879" s="3" t="b">
        <x:v>0</x:v>
      </x:c>
      <x:c r="T1879" s="3" t="b">
        <x:v>0</x:v>
      </x:c>
      <x:c r="U1879" s="2" t="str">
        <x:f>IF(T1879=TRUE,"Priority review",IF(R1879=TRUE,"High cost",IF(S1879=TRUE,"Low quality","Benchmark")))</x:f>
        <x:v>Benchmark</x:v>
      </x:c>
    </x:row>
    <x:row r="1880">
      <x:c r="A1880" s="2" t="str">
        <x:v>171381</x:v>
      </x:c>
      <x:c r="B1880" s="2" t="str">
        <x:v>MEMORIAL HOSPITAL</x:v>
      </x:c>
      <x:c r="C1880" s="2" t="str">
        <x:v>ABILENE</x:v>
      </x:c>
      <x:c r="D1880" s="2" t="str">
        <x:v>KS</x:v>
      </x:c>
      <x:c r="E1880" s="2" t="str">
        <x:v>Critical Access Hospitals</x:v>
      </x:c>
      <x:c r="F1880" s="2" t="str">
        <x:v>Government</x:v>
      </x:c>
      <x:c r="G1880" s="2" t="str">
        <x:v>Small (&lt;100 beds)</x:v>
      </x:c>
      <x:c r="H1880" s="7" t="n">
        <x:v>2</x:v>
      </x:c>
      <x:c r="I1880" s="7"/>
      <x:c r="J1880" s="7"/>
      <x:c r="K1880" s="8" t="n">
        <x:v>21</x:v>
      </x:c>
      <x:c r="L1880" s="8" t="n">
        <x:v>328</x:v>
      </x:c>
      <x:c r="M1880" s="9" t="n">
        <x:v>0.2819411918</x:v>
      </x:c>
      <x:c r="N1880" s="10" t="n">
        <x:v>162732.1890243902</x:v>
      </x:c>
      <x:c r="O1880" s="9" t="n">
        <x:v>-0.2086546445</x:v>
      </x:c>
      <x:c r="P1880" s="9" t="n">
        <x:v>0.6200743494</x:v>
      </x:c>
      <x:c r="Q1880" s="9" t="n">
        <x:v>0.0171003717</x:v>
      </x:c>
      <x:c r="R1880" s="3" t="b">
        <x:v>0</x:v>
      </x:c>
      <x:c r="S1880" s="3" t="b">
        <x:v>1</x:v>
      </x:c>
      <x:c r="T1880" s="3" t="b">
        <x:v>0</x:v>
      </x:c>
      <x:c r="U1880" s="2" t="str">
        <x:f>IF(T1880=TRUE,"Priority review",IF(R1880=TRUE,"High cost",IF(S1880=TRUE,"Low quality","Benchmark")))</x:f>
        <x:v>Low quality</x:v>
      </x:c>
    </x:row>
    <x:row r="1881">
      <x:c r="A1881" s="2" t="str">
        <x:v>050149</x:v>
      </x:c>
      <x:c r="B1881" s="2" t="str">
        <x:v>CALIFORNIA HOSPITAL MEDICAL CENTER LA</x:v>
      </x:c>
      <x:c r="C1881" s="2" t="str">
        <x:v>LOS ANGELES</x:v>
      </x:c>
      <x:c r="D1881" s="2" t="str">
        <x:v>CA</x:v>
      </x:c>
      <x:c r="E1881" s="2" t="str">
        <x:v>Acute Care Hospitals</x:v>
      </x:c>
      <x:c r="F1881" s="2" t="str">
        <x:v>Voluntary non-profit</x:v>
      </x:c>
      <x:c r="G1881" s="2" t="str">
        <x:v>Large (300+ beds)</x:v>
      </x:c>
      <x:c r="H1881" s="7" t="n">
        <x:v>2</x:v>
      </x:c>
      <x:c r="I1881" s="7" t="n">
        <x:v>2</x:v>
      </x:c>
      <x:c r="J1881" s="7" t="n">
        <x:v>1.05</x:v>
      </x:c>
      <x:c r="K1881" s="8" t="n">
        <x:v>318</x:v>
      </x:c>
      <x:c r="L1881" s="8" t="n">
        <x:v>14346</x:v>
      </x:c>
      <x:c r="M1881" s="9" t="n">
        <x:v>0.6711516651</x:v>
      </x:c>
      <x:c r="N1881" s="10" t="n">
        <x:v>44212.5130349923</x:v>
      </x:c>
      <x:c r="O1881" s="9" t="n">
        <x:v>-0.0386841024</x:v>
      </x:c>
      <x:c r="P1881" s="9" t="n">
        <x:v>0.619873817</x:v>
      </x:c>
      <x:c r="Q1881" s="9" t="n">
        <x:v>0.0536277603</x:v>
      </x:c>
      <x:c r="R1881" s="3" t="b">
        <x:v>0</x:v>
      </x:c>
      <x:c r="S1881" s="3" t="b">
        <x:v>1</x:v>
      </x:c>
      <x:c r="T1881" s="3" t="b">
        <x:v>0</x:v>
      </x:c>
      <x:c r="U1881" s="2" t="str">
        <x:f>IF(T1881=TRUE,"Priority review",IF(R1881=TRUE,"High cost",IF(S1881=TRUE,"Low quality","Benchmark")))</x:f>
        <x:v>Low quality</x:v>
      </x:c>
    </x:row>
    <x:row r="1882">
      <x:c r="A1882" s="2" t="str">
        <x:v>070007</x:v>
      </x:c>
      <x:c r="B1882" s="2" t="str">
        <x:v>LAWRENCE &amp; MEMORIAL HOSPITAL</x:v>
      </x:c>
      <x:c r="C1882" s="2" t="str">
        <x:v>NEW LONDON</x:v>
      </x:c>
      <x:c r="D1882" s="2" t="str">
        <x:v>CT</x:v>
      </x:c>
      <x:c r="E1882" s="2" t="str">
        <x:v>Acute Care Hospitals</x:v>
      </x:c>
      <x:c r="F1882" s="2" t="str">
        <x:v>Voluntary non-profit</x:v>
      </x:c>
      <x:c r="G1882" s="2" t="str">
        <x:v>Medium (100-299 beds)</x:v>
      </x:c>
      <x:c r="H1882" s="7" t="n">
        <x:v>3</x:v>
      </x:c>
      <x:c r="I1882" s="7" t="n">
        <x:v>3</x:v>
      </x:c>
      <x:c r="J1882" s="7" t="n">
        <x:v>0.97</x:v>
      </x:c>
      <x:c r="K1882" s="8" t="n">
        <x:v>234</x:v>
      </x:c>
      <x:c r="L1882" s="8" t="n">
        <x:v>12675</x:v>
      </x:c>
      <x:c r="M1882" s="9" t="n">
        <x:v>0.725549951</x:v>
      </x:c>
      <x:c r="N1882" s="10" t="n">
        <x:v>39155.5565285996</x:v>
      </x:c>
      <x:c r="O1882" s="9" t="n">
        <x:v>-0.0329546843</x:v>
      </x:c>
      <x:c r="P1882" s="9" t="n">
        <x:v>0.619396903</x:v>
      </x:c>
      <x:c r="Q1882" s="9" t="n">
        <x:v>0.3023634882</x:v>
      </x:c>
      <x:c r="R1882" s="3" t="b">
        <x:v>0</x:v>
      </x:c>
      <x:c r="S1882" s="3" t="b">
        <x:v>0</x:v>
      </x:c>
      <x:c r="T1882" s="3" t="b">
        <x:v>0</x:v>
      </x:c>
      <x:c r="U1882" s="2" t="str">
        <x:f>IF(T1882=TRUE,"Priority review",IF(R1882=TRUE,"High cost",IF(S1882=TRUE,"Low quality","Benchmark")))</x:f>
        <x:v>Benchmark</x:v>
      </x:c>
    </x:row>
    <x:row r="1883">
      <x:c r="A1883" s="2" t="str">
        <x:v>040018</x:v>
      </x:c>
      <x:c r="B1883" s="2" t="str">
        <x:v>BAPTIST HEALTH - VAN BUREN</x:v>
      </x:c>
      <x:c r="C1883" s="2" t="str">
        <x:v>VAN BUREN</x:v>
      </x:c>
      <x:c r="D1883" s="2" t="str">
        <x:v>AR</x:v>
      </x:c>
      <x:c r="E1883" s="2" t="str">
        <x:v>Acute Care Hospitals</x:v>
      </x:c>
      <x:c r="F1883" s="2" t="str">
        <x:v>Voluntary non-profit</x:v>
      </x:c>
      <x:c r="G1883" s="2" t="str">
        <x:v>Small (&lt;100 beds)</x:v>
      </x:c>
      <x:c r="H1883" s="7"/>
      <x:c r="I1883" s="7"/>
      <x:c r="J1883" s="7"/>
      <x:c r="K1883" s="8" t="n">
        <x:v>74</x:v>
      </x:c>
      <x:c r="L1883" s="8" t="n">
        <x:v>229</x:v>
      </x:c>
      <x:c r="M1883" s="9" t="n">
        <x:v>0.0287623689</x:v>
      </x:c>
      <x:c r="N1883" s="10" t="n">
        <x:v>63839.2969432314</x:v>
      </x:c>
      <x:c r="O1883" s="9" t="n">
        <x:v>-0.357138368</x:v>
      </x:c>
      <x:c r="P1883" s="9" t="n">
        <x:v>0.6193895871</x:v>
      </x:c>
      <x:c r="Q1883" s="9" t="n">
        <x:v>0.697486535</x:v>
      </x:c>
      <x:c r="R1883" s="3" t="b">
        <x:v>0</x:v>
      </x:c>
      <x:c r="S1883" s="3" t="b">
        <x:v>0</x:v>
      </x:c>
      <x:c r="T1883" s="3" t="b">
        <x:v>0</x:v>
      </x:c>
      <x:c r="U1883" s="2" t="str">
        <x:f>IF(T1883=TRUE,"Priority review",IF(R1883=TRUE,"High cost",IF(S1883=TRUE,"Low quality","Benchmark")))</x:f>
        <x:v>Benchmark</x:v>
      </x:c>
    </x:row>
    <x:row r="1884">
      <x:c r="A1884" s="2" t="str">
        <x:v>161312</x:v>
      </x:c>
      <x:c r="B1884" s="2" t="str">
        <x:v>GUTTENBERG MUNICIPAL HOSPITAL</x:v>
      </x:c>
      <x:c r="C1884" s="2" t="str">
        <x:v>GUTTENBERG</x:v>
      </x:c>
      <x:c r="D1884" s="2" t="str">
        <x:v>IA</x:v>
      </x:c>
      <x:c r="E1884" s="2" t="str">
        <x:v>Critical Access Hospitals</x:v>
      </x:c>
      <x:c r="F1884" s="2" t="str">
        <x:v>Government</x:v>
      </x:c>
      <x:c r="G1884" s="2" t="str">
        <x:v>Small (&lt;100 beds)</x:v>
      </x:c>
      <x:c r="H1884" s="7"/>
      <x:c r="I1884" s="7"/>
      <x:c r="J1884" s="7"/>
      <x:c r="K1884" s="8" t="n">
        <x:v>25</x:v>
      </x:c>
      <x:c r="L1884" s="8" t="n">
        <x:v>181</x:v>
      </x:c>
      <x:c r="M1884" s="9" t="n">
        <x:v>0.1429041096</x:v>
      </x:c>
      <x:c r="N1884" s="10" t="n">
        <x:v>162584.3093922652</x:v>
      </x:c>
      <x:c r="O1884" s="9" t="n">
        <x:v>-0.035808474</x:v>
      </x:c>
      <x:c r="P1884" s="9" t="n">
        <x:v>0.619330855</x:v>
      </x:c>
      <x:c r="Q1884" s="9" t="n">
        <x:v>0.292936803</x:v>
      </x:c>
      <x:c r="R1884" s="3" t="b">
        <x:v>0</x:v>
      </x:c>
      <x:c r="S1884" s="3" t="b">
        <x:v>0</x:v>
      </x:c>
      <x:c r="T1884" s="3" t="b">
        <x:v>0</x:v>
      </x:c>
      <x:c r="U1884" s="2" t="str">
        <x:f>IF(T1884=TRUE,"Priority review",IF(R1884=TRUE,"High cost",IF(S1884=TRUE,"Low quality","Benchmark")))</x:f>
        <x:v>Benchmark</x:v>
      </x:c>
    </x:row>
    <x:row r="1885">
      <x:c r="A1885" s="2" t="str">
        <x:v>121303</x:v>
      </x:c>
      <x:c r="B1885" s="2" t="str">
        <x:v>MOLOKAI GENERAL HOSPITAL</x:v>
      </x:c>
      <x:c r="C1885" s="2" t="str">
        <x:v>KAUNAKAKAI</x:v>
      </x:c>
      <x:c r="D1885" s="2" t="str">
        <x:v>HI</x:v>
      </x:c>
      <x:c r="E1885" s="2" t="str">
        <x:v>Critical Access Hospitals</x:v>
      </x:c>
      <x:c r="F1885" s="2" t="str">
        <x:v>Voluntary non-profit</x:v>
      </x:c>
      <x:c r="G1885" s="2" t="str">
        <x:v>Small (&lt;100 beds)</x:v>
      </x:c>
      <x:c r="H1885" s="7"/>
      <x:c r="I1885" s="7"/>
      <x:c r="J1885" s="7"/>
      <x:c r="K1885" s="8" t="n">
        <x:v>15</x:v>
      </x:c>
      <x:c r="L1885" s="8" t="n">
        <x:v>137</x:v>
      </x:c>
      <x:c r="M1885" s="9" t="n">
        <x:v>0.1234703196</x:v>
      </x:c>
      <x:c r="N1885" s="10" t="n">
        <x:v>162380.7153284672</x:v>
      </x:c>
      <x:c r="O1885" s="9" t="n">
        <x:v>0.0576187526</x:v>
      </x:c>
      <x:c r="P1885" s="9" t="n">
        <x:v>0.6185873606</x:v>
      </x:c>
      <x:c r="Q1885" s="9" t="n">
        <x:v>0.292936803</x:v>
      </x:c>
      <x:c r="R1885" s="3" t="b">
        <x:v>0</x:v>
      </x:c>
      <x:c r="S1885" s="3" t="b">
        <x:v>0</x:v>
      </x:c>
      <x:c r="T1885" s="3" t="b">
        <x:v>0</x:v>
      </x:c>
      <x:c r="U1885" s="2" t="str">
        <x:f>IF(T1885=TRUE,"Priority review",IF(R1885=TRUE,"High cost",IF(S1885=TRUE,"Low quality","Benchmark")))</x:f>
        <x:v>Benchmark</x:v>
      </x:c>
    </x:row>
    <x:row r="1886">
      <x:c r="A1886" s="2" t="str">
        <x:v>390079</x:v>
      </x:c>
      <x:c r="B1886" s="2" t="str">
        <x:v>ROBERT PACKER HOSPITAL</x:v>
      </x:c>
      <x:c r="C1886" s="2" t="str">
        <x:v>SAYRE</x:v>
      </x:c>
      <x:c r="D1886" s="2" t="str">
        <x:v>PA</x:v>
      </x:c>
      <x:c r="E1886" s="2" t="str">
        <x:v>Acute Care Hospitals</x:v>
      </x:c>
      <x:c r="F1886" s="2" t="str">
        <x:v>Voluntary non-profit</x:v>
      </x:c>
      <x:c r="G1886" s="2" t="str">
        <x:v>Medium (100-299 beds)</x:v>
      </x:c>
      <x:c r="H1886" s="7" t="n">
        <x:v>2</x:v>
      </x:c>
      <x:c r="I1886" s="7" t="n">
        <x:v>4</x:v>
      </x:c>
      <x:c r="J1886" s="7" t="n">
        <x:v>0.98</x:v>
      </x:c>
      <x:c r="K1886" s="8" t="n">
        <x:v>252</x:v>
      </x:c>
      <x:c r="L1886" s="8" t="n">
        <x:v>14353</x:v>
      </x:c>
      <x:c r="M1886" s="9" t="n">
        <x:v>0.718286584</x:v>
      </x:c>
      <x:c r="N1886" s="10" t="n">
        <x:v>39112.8890824218</x:v>
      </x:c>
      <x:c r="O1886" s="9" t="n">
        <x:v>0.0430010333</x:v>
      </x:c>
      <x:c r="P1886" s="9" t="n">
        <x:v>0.6185819071</x:v>
      </x:c>
      <x:c r="Q1886" s="9" t="n">
        <x:v>0.0782396088</x:v>
      </x:c>
      <x:c r="R1886" s="3" t="b">
        <x:v>0</x:v>
      </x:c>
      <x:c r="S1886" s="3" t="b">
        <x:v>1</x:v>
      </x:c>
      <x:c r="T1886" s="3" t="b">
        <x:v>0</x:v>
      </x:c>
      <x:c r="U1886" s="2" t="str">
        <x:f>IF(T1886=TRUE,"Priority review",IF(R1886=TRUE,"High cost",IF(S1886=TRUE,"Low quality","Benchmark")))</x:f>
        <x:v>Low quality</x:v>
      </x:c>
    </x:row>
    <x:row r="1887">
      <x:c r="A1887" s="2" t="str">
        <x:v>380029</x:v>
      </x:c>
      <x:c r="B1887" s="2" t="str">
        <x:v>LEGACY SILVERTON MEDICAL CENTER</x:v>
      </x:c>
      <x:c r="C1887" s="2" t="str">
        <x:v>SILVERTON</x:v>
      </x:c>
      <x:c r="D1887" s="2" t="str">
        <x:v>OR</x:v>
      </x:c>
      <x:c r="E1887" s="2" t="str">
        <x:v>Acute Care Hospitals</x:v>
      </x:c>
      <x:c r="F1887" s="2" t="str">
        <x:v>Voluntary non-profit</x:v>
      </x:c>
      <x:c r="G1887" s="2" t="str">
        <x:v>Small (&lt;100 beds)</x:v>
      </x:c>
      <x:c r="H1887" s="7"/>
      <x:c r="I1887" s="7" t="n">
        <x:v>4</x:v>
      </x:c>
      <x:c r="J1887" s="7" t="n">
        <x:v>0.82</x:v>
      </x:c>
      <x:c r="K1887" s="8" t="n">
        <x:v>29</x:v>
      </x:c>
      <x:c r="L1887" s="8" t="n">
        <x:v>2385</x:v>
      </x:c>
      <x:c r="M1887" s="9" t="n">
        <x:v>0.68559282</x:v>
      </x:c>
      <x:c r="N1887" s="10" t="n">
        <x:v>63803.6360587002</x:v>
      </x:c>
      <x:c r="O1887" s="9" t="n">
        <x:v>-0.0946926428</x:v>
      </x:c>
      <x:c r="P1887" s="9" t="n">
        <x:v>0.618491921</x:v>
      </x:c>
      <x:c r="Q1887" s="9" t="n">
        <x:v>0.697486535</x:v>
      </x:c>
      <x:c r="R1887" s="3" t="b">
        <x:v>0</x:v>
      </x:c>
      <x:c r="S1887" s="3" t="b">
        <x:v>0</x:v>
      </x:c>
      <x:c r="T1887" s="3" t="b">
        <x:v>0</x:v>
      </x:c>
      <x:c r="U1887" s="2" t="str">
        <x:f>IF(T1887=TRUE,"Priority review",IF(R1887=TRUE,"High cost",IF(S1887=TRUE,"Low quality","Benchmark")))</x:f>
        <x:v>Benchmark</x:v>
      </x:c>
    </x:row>
    <x:row r="1888">
      <x:c r="A1888" s="2" t="str">
        <x:v>220077</x:v>
      </x:c>
      <x:c r="B1888" s="2" t="str">
        <x:v>BAYSTATE MEDICAL CENTER</x:v>
      </x:c>
      <x:c r="C1888" s="2" t="str">
        <x:v>SPRINGFIELD</x:v>
      </x:c>
      <x:c r="D1888" s="2" t="str">
        <x:v>MA</x:v>
      </x:c>
      <x:c r="E1888" s="2" t="str">
        <x:v>Acute Care Hospitals</x:v>
      </x:c>
      <x:c r="F1888" s="2" t="str">
        <x:v>Voluntary non-profit</x:v>
      </x:c>
      <x:c r="G1888" s="2" t="str">
        <x:v>Large (300+ beds)</x:v>
      </x:c>
      <x:c r="H1888" s="7" t="n">
        <x:v>2</x:v>
      </x:c>
      <x:c r="I1888" s="7" t="n">
        <x:v>2</x:v>
      </x:c>
      <x:c r="J1888" s="7" t="n">
        <x:v>1.03</x:v>
      </x:c>
      <x:c r="K1888" s="8" t="n">
        <x:v>740</x:v>
      </x:c>
      <x:c r="L1888" s="8" t="n">
        <x:v>40131</x:v>
      </x:c>
      <x:c r="M1888" s="9" t="n">
        <x:v>0.8468210013</x:v>
      </x:c>
      <x:c r="N1888" s="10" t="n">
        <x:v>44152.790436321</x:v>
      </x:c>
      <x:c r="O1888" s="9" t="n">
        <x:v>-0.0773650973</x:v>
      </x:c>
      <x:c r="P1888" s="9" t="n">
        <x:v>0.61829653</x:v>
      </x:c>
      <x:c r="Q1888" s="9" t="n">
        <x:v>0.0536277603</x:v>
      </x:c>
      <x:c r="R1888" s="3" t="b">
        <x:v>0</x:v>
      </x:c>
      <x:c r="S1888" s="3" t="b">
        <x:v>1</x:v>
      </x:c>
      <x:c r="T1888" s="3" t="b">
        <x:v>0</x:v>
      </x:c>
      <x:c r="U1888" s="2" t="str">
        <x:f>IF(T1888=TRUE,"Priority review",IF(R1888=TRUE,"High cost",IF(S1888=TRUE,"Low quality","Benchmark")))</x:f>
        <x:v>Low quality</x:v>
      </x:c>
    </x:row>
    <x:row r="1889">
      <x:c r="A1889" s="2" t="str">
        <x:v>054074</x:v>
      </x:c>
      <x:c r="B1889" s="2" t="str">
        <x:v>ADVENTIST HEALTH VALLEJO</x:v>
      </x:c>
      <x:c r="C1889" s="2" t="str">
        <x:v>VALLEJO</x:v>
      </x:c>
      <x:c r="D1889" s="2" t="str">
        <x:v>CA</x:v>
      </x:c>
      <x:c r="E1889" s="2" t="str">
        <x:v>Psychiatric</x:v>
      </x:c>
      <x:c r="F1889" s="2" t="str">
        <x:v>Voluntary non-profit</x:v>
      </x:c>
      <x:c r="G1889" s="2" t="str">
        <x:v>Small (&lt;100 beds)</x:v>
      </x:c>
      <x:c r="H1889" s="7"/>
      <x:c r="I1889" s="7"/>
      <x:c r="J1889" s="7"/>
      <x:c r="K1889" s="8" t="n">
        <x:v>61</x:v>
      </x:c>
      <x:c r="L1889" s="8" t="n">
        <x:v>2283</x:v>
      </x:c>
      <x:c r="M1889" s="9" t="n">
        <x:v>0.8595807579</x:v>
      </x:c>
      <x:c r="N1889" s="10" t="n">
        <x:v>16220.4923346474</x:v>
      </x:c>
      <x:c r="O1889" s="9" t="n">
        <x:v>-0.0352846662</x:v>
      </x:c>
      <x:c r="P1889" s="9" t="n">
        <x:v>0.6181229773</x:v>
      </x:c>
      <x:c r="Q1889" s="9" t="n">
        <x:v>0</x:v>
      </x:c>
      <x:c r="R1889" s="3" t="b">
        <x:v>0</x:v>
      </x:c>
      <x:c r="S1889" s="3" t="b">
        <x:v>0</x:v>
      </x:c>
      <x:c r="T1889" s="3" t="b">
        <x:v>0</x:v>
      </x:c>
      <x:c r="U1889" s="2" t="str">
        <x:f>IF(T1889=TRUE,"Priority review",IF(R1889=TRUE,"High cost",IF(S1889=TRUE,"Low quality","Benchmark")))</x:f>
        <x:v>Benchmark</x:v>
      </x:c>
    </x:row>
    <x:row r="1890">
      <x:c r="A1890" s="2" t="str">
        <x:v>161331</x:v>
      </x:c>
      <x:c r="B1890" s="2" t="str">
        <x:v>MERCY MEDICAL CENTER-NEW HAMPTON</x:v>
      </x:c>
      <x:c r="C1890" s="2" t="str">
        <x:v>NEW HAMPTON</x:v>
      </x:c>
      <x:c r="D1890" s="2" t="str">
        <x:v>IA</x:v>
      </x:c>
      <x:c r="E1890" s="2" t="str">
        <x:v>Critical Access Hospitals</x:v>
      </x:c>
      <x:c r="F1890" s="2" t="str">
        <x:v>Voluntary non-profit</x:v>
      </x:c>
      <x:c r="G1890" s="2" t="str">
        <x:v>Small (&lt;100 beds)</x:v>
      </x:c>
      <x:c r="H1890" s="7"/>
      <x:c r="I1890" s="7"/>
      <x:c r="J1890" s="7"/>
      <x:c r="K1890" s="8" t="n">
        <x:v>11</x:v>
      </x:c>
      <x:c r="L1890" s="8" t="n">
        <x:v>133</x:v>
      </x:c>
      <x:c r="M1890" s="9" t="n">
        <x:v>0.1880448319</x:v>
      </x:c>
      <x:c r="N1890" s="10" t="n">
        <x:v>162359.8872180451</x:v>
      </x:c>
      <x:c r="O1890" s="9" t="n">
        <x:v>0.0688814296</x:v>
      </x:c>
      <x:c r="P1890" s="9" t="n">
        <x:v>0.6178438662</x:v>
      </x:c>
      <x:c r="Q1890" s="9" t="n">
        <x:v>0.292936803</x:v>
      </x:c>
      <x:c r="R1890" s="3" t="b">
        <x:v>0</x:v>
      </x:c>
      <x:c r="S1890" s="3" t="b">
        <x:v>0</x:v>
      </x:c>
      <x:c r="T1890" s="3" t="b">
        <x:v>0</x:v>
      </x:c>
      <x:c r="U1890" s="2" t="str">
        <x:f>IF(T1890=TRUE,"Priority review",IF(R1890=TRUE,"High cost",IF(S1890=TRUE,"Low quality","Benchmark")))</x:f>
        <x:v>Benchmark</x:v>
      </x:c>
    </x:row>
    <x:row r="1891">
      <x:c r="A1891" s="2" t="str">
        <x:v>170049</x:v>
      </x:c>
      <x:c r="B1891" s="2" t="str">
        <x:v>UNIVERSITY OF KANSAS HEALTH SYSTEM OLATHE HOSPITAL</x:v>
      </x:c>
      <x:c r="C1891" s="2" t="str">
        <x:v>OLATHE</x:v>
      </x:c>
      <x:c r="D1891" s="2" t="str">
        <x:v>KS</x:v>
      </x:c>
      <x:c r="E1891" s="2" t="str">
        <x:v>Acute Care Hospitals</x:v>
      </x:c>
      <x:c r="F1891" s="2" t="str">
        <x:v>Voluntary non-profit</x:v>
      </x:c>
      <x:c r="G1891" s="2" t="str">
        <x:v>Medium (100-299 beds)</x:v>
      </x:c>
      <x:c r="H1891" s="7" t="n">
        <x:v>4</x:v>
      </x:c>
      <x:c r="I1891" s="7" t="n">
        <x:v>3</x:v>
      </x:c>
      <x:c r="J1891" s="7" t="n">
        <x:v>1</x:v>
      </x:c>
      <x:c r="K1891" s="8" t="n">
        <x:v>227</x:v>
      </x:c>
      <x:c r="L1891" s="8" t="n">
        <x:v>11469</x:v>
      </x:c>
      <x:c r="M1891" s="9" t="n">
        <x:v>0.5531947274</x:v>
      </x:c>
      <x:c r="N1891" s="10" t="n">
        <x:v>39039.4349115006</x:v>
      </x:c>
      <x:c r="O1891" s="9" t="n">
        <x:v>-0.4068385243</x:v>
      </x:c>
      <x:c r="P1891" s="9" t="n">
        <x:v>0.6177669112</x:v>
      </x:c>
      <x:c r="Q1891" s="9" t="n">
        <x:v>0.6022819886</x:v>
      </x:c>
      <x:c r="R1891" s="3" t="b">
        <x:v>0</x:v>
      </x:c>
      <x:c r="S1891" s="3" t="b">
        <x:v>0</x:v>
      </x:c>
      <x:c r="T1891" s="3" t="b">
        <x:v>0</x:v>
      </x:c>
      <x:c r="U1891" s="2" t="str">
        <x:f>IF(T1891=TRUE,"Priority review",IF(R1891=TRUE,"High cost",IF(S1891=TRUE,"Low quality","Benchmark")))</x:f>
        <x:v>Benchmark</x:v>
      </x:c>
    </x:row>
    <x:row r="1892">
      <x:c r="A1892" s="2" t="str">
        <x:v>190090</x:v>
      </x:c>
      <x:c r="B1892" s="2" t="str">
        <x:v>WINN PARISH MEDICAL CENTER</x:v>
      </x:c>
      <x:c r="C1892" s="2" t="str">
        <x:v>WINNFIELD</x:v>
      </x:c>
      <x:c r="D1892" s="2" t="str">
        <x:v>LA</x:v>
      </x:c>
      <x:c r="E1892" s="2" t="str">
        <x:v>Acute Care Hospitals</x:v>
      </x:c>
      <x:c r="F1892" s="2" t="str">
        <x:v>Proprietary</x:v>
      </x:c>
      <x:c r="G1892" s="2" t="str">
        <x:v>Small (&lt;100 beds)</x:v>
      </x:c>
      <x:c r="H1892" s="7"/>
      <x:c r="I1892" s="7"/>
      <x:c r="J1892" s="7" t="n">
        <x:v>1.23</x:v>
      </x:c>
      <x:c r="K1892" s="8" t="n">
        <x:v>45</x:v>
      </x:c>
      <x:c r="L1892" s="8" t="n">
        <x:v>325</x:v>
      </x:c>
      <x:c r="M1892" s="9" t="n">
        <x:v>0.0870015221</x:v>
      </x:c>
      <x:c r="N1892" s="10" t="n">
        <x:v>63483.2184615385</x:v>
      </x:c>
      <x:c r="O1892" s="9" t="n">
        <x:v>-0.0777711604</x:v>
      </x:c>
      <x:c r="P1892" s="9" t="n">
        <x:v>0.6175942549</x:v>
      </x:c>
      <x:c r="Q1892" s="9" t="n">
        <x:v>0.697486535</x:v>
      </x:c>
      <x:c r="R1892" s="3" t="b">
        <x:v>0</x:v>
      </x:c>
      <x:c r="S1892" s="3" t="b">
        <x:v>0</x:v>
      </x:c>
      <x:c r="T1892" s="3" t="b">
        <x:v>0</x:v>
      </x:c>
      <x:c r="U1892" s="2" t="str">
        <x:f>IF(T1892=TRUE,"Priority review",IF(R1892=TRUE,"High cost",IF(S1892=TRUE,"Low quality","Benchmark")))</x:f>
        <x:v>Benchmark</x:v>
      </x:c>
    </x:row>
    <x:row r="1893">
      <x:c r="A1893" s="2" t="str">
        <x:v>501322</x:v>
      </x:c>
      <x:c r="B1893" s="2" t="str">
        <x:v>FERRY COUNTY MEMORIAL HOSPITAL</x:v>
      </x:c>
      <x:c r="C1893" s="2" t="str">
        <x:v>REPUBLIC</x:v>
      </x:c>
      <x:c r="D1893" s="2" t="str">
        <x:v>WA</x:v>
      </x:c>
      <x:c r="E1893" s="2" t="str">
        <x:v>Critical Access Hospitals</x:v>
      </x:c>
      <x:c r="F1893" s="2" t="str">
        <x:v>Government</x:v>
      </x:c>
      <x:c r="G1893" s="2" t="str">
        <x:v>Small (&lt;100 beds)</x:v>
      </x:c>
      <x:c r="H1893" s="7"/>
      <x:c r="I1893" s="7"/>
      <x:c r="J1893" s="7"/>
      <x:c r="K1893" s="8" t="n">
        <x:v>25</x:v>
      </x:c>
      <x:c r="L1893" s="8" t="n">
        <x:v>134</x:v>
      </x:c>
      <x:c r="M1893" s="9" t="n">
        <x:v>0.4543169399</x:v>
      </x:c>
      <x:c r="N1893" s="10" t="n">
        <x:v>161910.1194029851</x:v>
      </x:c>
      <x:c r="O1893" s="9" t="n">
        <x:v>-0.2446135191</x:v>
      </x:c>
      <x:c r="P1893" s="9" t="n">
        <x:v>0.6171003717</x:v>
      </x:c>
      <x:c r="Q1893" s="9" t="n">
        <x:v>0.292936803</x:v>
      </x:c>
      <x:c r="R1893" s="3" t="b">
        <x:v>0</x:v>
      </x:c>
      <x:c r="S1893" s="3" t="b">
        <x:v>0</x:v>
      </x:c>
      <x:c r="T1893" s="3" t="b">
        <x:v>0</x:v>
      </x:c>
      <x:c r="U1893" s="2" t="str">
        <x:f>IF(T1893=TRUE,"Priority review",IF(R1893=TRUE,"High cost",IF(S1893=TRUE,"Low quality","Benchmark")))</x:f>
        <x:v>Benchmark</x:v>
      </x:c>
    </x:row>
    <x:row r="1894">
      <x:c r="A1894" s="2" t="str">
        <x:v>490075</x:v>
      </x:c>
      <x:c r="B1894" s="2" t="str">
        <x:v>SOVAH HEALTH DANVILLE</x:v>
      </x:c>
      <x:c r="C1894" s="2" t="str">
        <x:v>DANVILLE</x:v>
      </x:c>
      <x:c r="D1894" s="2" t="str">
        <x:v>VA</x:v>
      </x:c>
      <x:c r="E1894" s="2" t="str">
        <x:v>Acute Care Hospitals</x:v>
      </x:c>
      <x:c r="F1894" s="2" t="str">
        <x:v>Proprietary</x:v>
      </x:c>
      <x:c r="G1894" s="2" t="str">
        <x:v>Medium (100-299 beds)</x:v>
      </x:c>
      <x:c r="H1894" s="7" t="n">
        <x:v>2</x:v>
      </x:c>
      <x:c r="I1894" s="7" t="n">
        <x:v>2</x:v>
      </x:c>
      <x:c r="J1894" s="7" t="n">
        <x:v>1.01</x:v>
      </x:c>
      <x:c r="K1894" s="8" t="n">
        <x:v>214</x:v>
      </x:c>
      <x:c r="L1894" s="8" t="n">
        <x:v>9639</x:v>
      </x:c>
      <x:c r="M1894" s="9" t="n">
        <x:v>0.5023492161</x:v>
      </x:c>
      <x:c r="N1894" s="10" t="n">
        <x:v>39005.4815852267</x:v>
      </x:c>
      <x:c r="O1894" s="9" t="n">
        <x:v>0.0875603573</x:v>
      </x:c>
      <x:c r="P1894" s="9" t="n">
        <x:v>0.6169519152</x:v>
      </x:c>
      <x:c r="Q1894" s="9" t="n">
        <x:v>0.0782396088</x:v>
      </x:c>
      <x:c r="R1894" s="3" t="b">
        <x:v>0</x:v>
      </x:c>
      <x:c r="S1894" s="3" t="b">
        <x:v>1</x:v>
      </x:c>
      <x:c r="T1894" s="3" t="b">
        <x:v>0</x:v>
      </x:c>
      <x:c r="U1894" s="2" t="str">
        <x:f>IF(T1894=TRUE,"Priority review",IF(R1894=TRUE,"High cost",IF(S1894=TRUE,"Low quality","Benchmark")))</x:f>
        <x:v>Low quality</x:v>
      </x:c>
    </x:row>
    <x:row r="1895">
      <x:c r="A1895" s="2" t="str">
        <x:v>334026</x:v>
      </x:c>
      <x:c r="B1895" s="2" t="str">
        <x:v>BRUNSWICK HOSPITAL CENTER, INC.</x:v>
      </x:c>
      <x:c r="C1895" s="2" t="str">
        <x:v>AMITYVILLE</x:v>
      </x:c>
      <x:c r="D1895" s="2" t="str">
        <x:v>NY</x:v>
      </x:c>
      <x:c r="E1895" s="2" t="str">
        <x:v>Psychiatric</x:v>
      </x:c>
      <x:c r="F1895" s="2" t="str">
        <x:v>Proprietary</x:v>
      </x:c>
      <x:c r="G1895" s="2" t="str">
        <x:v>Medium (100-299 beds)</x:v>
      </x:c>
      <x:c r="H1895" s="7"/>
      <x:c r="I1895" s="7"/>
      <x:c r="J1895" s="7"/>
      <x:c r="K1895" s="8" t="n">
        <x:v>146</x:v>
      </x:c>
      <x:c r="L1895" s="8" t="n">
        <x:v>3106</x:v>
      </x:c>
      <x:c r="M1895" s="9" t="n">
        <x:v>0.9721723183</x:v>
      </x:c>
      <x:c r="N1895" s="10" t="n">
        <x:v>16608.7591757888</x:v>
      </x:c>
      <x:c r="O1895" s="9" t="n">
        <x:v>-0.0200348514</x:v>
      </x:c>
      <x:c r="P1895" s="9" t="n">
        <x:v>0.6169154229</x:v>
      </x:c>
      <x:c r="Q1895" s="9" t="n">
        <x:v>0</x:v>
      </x:c>
      <x:c r="R1895" s="3" t="b">
        <x:v>0</x:v>
      </x:c>
      <x:c r="S1895" s="3" t="b">
        <x:v>0</x:v>
      </x:c>
      <x:c r="T1895" s="3" t="b">
        <x:v>0</x:v>
      </x:c>
      <x:c r="U1895" s="2" t="str">
        <x:f>IF(T1895=TRUE,"Priority review",IF(R1895=TRUE,"High cost",IF(S1895=TRUE,"Low quality","Benchmark")))</x:f>
        <x:v>Benchmark</x:v>
      </x:c>
    </x:row>
    <x:row r="1896">
      <x:c r="A1896" s="2" t="str">
        <x:v>310051</x:v>
      </x:c>
      <x:c r="B1896" s="2" t="str">
        <x:v>OVERLOOK MEDICAL CENTER</x:v>
      </x:c>
      <x:c r="C1896" s="2" t="str">
        <x:v>SUMMIT</x:v>
      </x:c>
      <x:c r="D1896" s="2" t="str">
        <x:v>NJ</x:v>
      </x:c>
      <x:c r="E1896" s="2" t="str">
        <x:v>Acute Care Hospitals</x:v>
      </x:c>
      <x:c r="F1896" s="2" t="str">
        <x:v>Voluntary non-profit</x:v>
      </x:c>
      <x:c r="G1896" s="2" t="str">
        <x:v>Large (300+ beds)</x:v>
      </x:c>
      <x:c r="H1896" s="7" t="n">
        <x:v>5</x:v>
      </x:c>
      <x:c r="I1896" s="7" t="n">
        <x:v>3</x:v>
      </x:c>
      <x:c r="J1896" s="7" t="n">
        <x:v>1.04</x:v>
      </x:c>
      <x:c r="K1896" s="8" t="n">
        <x:v>429</x:v>
      </x:c>
      <x:c r="L1896" s="8" t="n">
        <x:v>21415</x:v>
      </x:c>
      <x:c r="M1896" s="9" t="n">
        <x:v>0.6422803062</x:v>
      </x:c>
      <x:c r="N1896" s="10" t="n">
        <x:v>44137.7066075181</x:v>
      </x:c>
      <x:c r="O1896" s="9" t="n">
        <x:v>0.0936603435</x:v>
      </x:c>
      <x:c r="P1896" s="9" t="n">
        <x:v>0.6167192429</x:v>
      </x:c>
      <x:c r="Q1896" s="9" t="n">
        <x:v>0.8722397476</x:v>
      </x:c>
      <x:c r="R1896" s="3" t="b">
        <x:v>0</x:v>
      </x:c>
      <x:c r="S1896" s="3" t="b">
        <x:v>0</x:v>
      </x:c>
      <x:c r="T1896" s="3" t="b">
        <x:v>0</x:v>
      </x:c>
      <x:c r="U1896" s="2" t="str">
        <x:f>IF(T1896=TRUE,"Priority review",IF(R1896=TRUE,"High cost",IF(S1896=TRUE,"Low quality","Benchmark")))</x:f>
        <x:v>Benchmark</x:v>
      </x:c>
    </x:row>
    <x:row r="1897">
      <x:c r="A1897" s="2" t="str">
        <x:v>450400</x:v>
      </x:c>
      <x:c r="B1897" s="2" t="str">
        <x:v>PARKVIEW REGIONAL HOSPITAL</x:v>
      </x:c>
      <x:c r="C1897" s="2" t="str">
        <x:v>MEXIA</x:v>
      </x:c>
      <x:c r="D1897" s="2" t="str">
        <x:v>TX</x:v>
      </x:c>
      <x:c r="E1897" s="2" t="str">
        <x:v>Acute Care Hospitals</x:v>
      </x:c>
      <x:c r="F1897" s="2" t="str">
        <x:v>Proprietary</x:v>
      </x:c>
      <x:c r="G1897" s="2" t="str">
        <x:v>Small (&lt;100 beds)</x:v>
      </x:c>
      <x:c r="H1897" s="7"/>
      <x:c r="I1897" s="7"/>
      <x:c r="J1897" s="7" t="n">
        <x:v>0.94</x:v>
      </x:c>
      <x:c r="K1897" s="8" t="n">
        <x:v>49</x:v>
      </x:c>
      <x:c r="L1897" s="8" t="n">
        <x:v>451</x:v>
      </x:c>
      <x:c r="M1897" s="9" t="n">
        <x:v>0.0768241543</x:v>
      </x:c>
      <x:c r="N1897" s="10" t="n">
        <x:v>63289.5853658537</x:v>
      </x:c>
      <x:c r="O1897" s="9" t="n">
        <x:v>0.0959886886</x:v>
      </x:c>
      <x:c r="P1897" s="9" t="n">
        <x:v>0.6166965889</x:v>
      </x:c>
      <x:c r="Q1897" s="9" t="n">
        <x:v>0.697486535</x:v>
      </x:c>
      <x:c r="R1897" s="3" t="b">
        <x:v>0</x:v>
      </x:c>
      <x:c r="S1897" s="3" t="b">
        <x:v>0</x:v>
      </x:c>
      <x:c r="T1897" s="3" t="b">
        <x:v>0</x:v>
      </x:c>
      <x:c r="U1897" s="2" t="str">
        <x:f>IF(T1897=TRUE,"Priority review",IF(R1897=TRUE,"High cost",IF(S1897=TRUE,"Low quality","Benchmark")))</x:f>
        <x:v>Benchmark</x:v>
      </x:c>
    </x:row>
    <x:row r="1898">
      <x:c r="A1898" s="2" t="str">
        <x:v>361322</x:v>
      </x:c>
      <x:c r="B1898" s="2" t="str">
        <x:v>BLUFFTON HOSPITAL</x:v>
      </x:c>
      <x:c r="C1898" s="2" t="str">
        <x:v>BLUFFTON</x:v>
      </x:c>
      <x:c r="D1898" s="2" t="str">
        <x:v>OH</x:v>
      </x:c>
      <x:c r="E1898" s="2" t="str">
        <x:v>Critical Access Hospitals</x:v>
      </x:c>
      <x:c r="F1898" s="2" t="str">
        <x:v>Voluntary non-profit</x:v>
      </x:c>
      <x:c r="G1898" s="2" t="str">
        <x:v>Small (&lt;100 beds)</x:v>
      </x:c>
      <x:c r="H1898" s="7"/>
      <x:c r="I1898" s="7"/>
      <x:c r="J1898" s="7"/>
      <x:c r="K1898" s="8" t="n">
        <x:v>25</x:v>
      </x:c>
      <x:c r="L1898" s="8" t="n">
        <x:v>127</x:v>
      </x:c>
      <x:c r="M1898" s="9" t="n">
        <x:v>0.0967213115</x:v>
      </x:c>
      <x:c r="N1898" s="10" t="n">
        <x:v>161584.4409448819</x:v>
      </x:c>
      <x:c r="O1898" s="9" t="n">
        <x:v>0.3646657846</x:v>
      </x:c>
      <x:c r="P1898" s="9" t="n">
        <x:v>0.6163568773</x:v>
      </x:c>
      <x:c r="Q1898" s="9" t="n">
        <x:v>0.292936803</x:v>
      </x:c>
      <x:c r="R1898" s="3" t="b">
        <x:v>0</x:v>
      </x:c>
      <x:c r="S1898" s="3" t="b">
        <x:v>0</x:v>
      </x:c>
      <x:c r="T1898" s="3" t="b">
        <x:v>0</x:v>
      </x:c>
      <x:c r="U1898" s="2" t="str">
        <x:f>IF(T1898=TRUE,"Priority review",IF(R1898=TRUE,"High cost",IF(S1898=TRUE,"Low quality","Benchmark")))</x:f>
        <x:v>Benchmark</x:v>
      </x:c>
    </x:row>
    <x:row r="1899">
      <x:c r="A1899" s="2" t="str">
        <x:v>340013</x:v>
      </x:c>
      <x:c r="B1899" s="2" t="str">
        <x:v>RUTHERFORD REGIONAL MEDICAL CENTER</x:v>
      </x:c>
      <x:c r="C1899" s="2" t="str">
        <x:v>RUTHERFORDTON</x:v>
      </x:c>
      <x:c r="D1899" s="2" t="str">
        <x:v>NC</x:v>
      </x:c>
      <x:c r="E1899" s="2" t="str">
        <x:v>Acute Care Hospitals</x:v>
      </x:c>
      <x:c r="F1899" s="2" t="str">
        <x:v>Proprietary</x:v>
      </x:c>
      <x:c r="G1899" s="2" t="str">
        <x:v>Medium (100-299 beds)</x:v>
      </x:c>
      <x:c r="H1899" s="7" t="n">
        <x:v>2</x:v>
      </x:c>
      <x:c r="I1899" s="7" t="n">
        <x:v>3</x:v>
      </x:c>
      <x:c r="J1899" s="7" t="n">
        <x:v>0.94</x:v>
      </x:c>
      <x:c r="K1899" s="8" t="n">
        <x:v>119</x:v>
      </x:c>
      <x:c r="L1899" s="8" t="n">
        <x:v>2573</x:v>
      </x:c>
      <x:c r="M1899" s="9" t="n">
        <x:v>0.221151095</x:v>
      </x:c>
      <x:c r="N1899" s="10" t="n">
        <x:v>39002.0656820832</x:v>
      </x:c>
      <x:c r="O1899" s="9" t="n">
        <x:v>0.1077389956</x:v>
      </x:c>
      <x:c r="P1899" s="9" t="n">
        <x:v>0.6161369193</x:v>
      </x:c>
      <x:c r="Q1899" s="9" t="n">
        <x:v>0.0782396088</x:v>
      </x:c>
      <x:c r="R1899" s="3" t="b">
        <x:v>0</x:v>
      </x:c>
      <x:c r="S1899" s="3" t="b">
        <x:v>1</x:v>
      </x:c>
      <x:c r="T1899" s="3" t="b">
        <x:v>0</x:v>
      </x:c>
      <x:c r="U1899" s="2" t="str">
        <x:f>IF(T1899=TRUE,"Priority review",IF(R1899=TRUE,"High cost",IF(S1899=TRUE,"Low quality","Benchmark")))</x:f>
        <x:v>Low quality</x:v>
      </x:c>
    </x:row>
    <x:row r="1900">
      <x:c r="A1900" s="2" t="str">
        <x:v>450539</x:v>
      </x:c>
      <x:c r="B1900" s="2" t="str">
        <x:v>COVENANT HOSPITAL PLAINVIEW</x:v>
      </x:c>
      <x:c r="C1900" s="2" t="str">
        <x:v>PLAINVIEW</x:v>
      </x:c>
      <x:c r="D1900" s="2" t="str">
        <x:v>TX</x:v>
      </x:c>
      <x:c r="E1900" s="2" t="str">
        <x:v>Acute Care Hospitals</x:v>
      </x:c>
      <x:c r="F1900" s="2" t="str">
        <x:v>Voluntary non-profit</x:v>
      </x:c>
      <x:c r="G1900" s="2" t="str">
        <x:v>Small (&lt;100 beds)</x:v>
      </x:c>
      <x:c r="H1900" s="7" t="n">
        <x:v>4</x:v>
      </x:c>
      <x:c r="I1900" s="7" t="n">
        <x:v>3</x:v>
      </x:c>
      <x:c r="J1900" s="7" t="n">
        <x:v>0.99</x:v>
      </x:c>
      <x:c r="K1900" s="8" t="n">
        <x:v>49</x:v>
      </x:c>
      <x:c r="L1900" s="8" t="n">
        <x:v>1180</x:v>
      </x:c>
      <x:c r="M1900" s="9" t="n">
        <x:v>0.2262790048</x:v>
      </x:c>
      <x:c r="N1900" s="10" t="n">
        <x:v>63283.213559322</x:v>
      </x:c>
      <x:c r="O1900" s="9" t="n">
        <x:v>-0.1049019871</x:v>
      </x:c>
      <x:c r="P1900" s="9" t="n">
        <x:v>0.6157989228</x:v>
      </x:c>
      <x:c r="Q1900" s="9" t="n">
        <x:v>0.3913824057</x:v>
      </x:c>
      <x:c r="R1900" s="3" t="b">
        <x:v>0</x:v>
      </x:c>
      <x:c r="S1900" s="3" t="b">
        <x:v>0</x:v>
      </x:c>
      <x:c r="T1900" s="3" t="b">
        <x:v>0</x:v>
      </x:c>
      <x:c r="U1900" s="2" t="str">
        <x:f>IF(T1900=TRUE,"Priority review",IF(R1900=TRUE,"High cost",IF(S1900=TRUE,"Low quality","Benchmark")))</x:f>
        <x:v>Benchmark</x:v>
      </x:c>
    </x:row>
    <x:row r="1901">
      <x:c r="A1901" s="2" t="str">
        <x:v>041320</x:v>
      </x:c>
      <x:c r="B1901" s="2" t="str">
        <x:v>LITTLE RIVER MEMORIAL HOSPITAL</x:v>
      </x:c>
      <x:c r="C1901" s="2" t="str">
        <x:v>ASHDOWN</x:v>
      </x:c>
      <x:c r="D1901" s="2" t="str">
        <x:v>AR</x:v>
      </x:c>
      <x:c r="E1901" s="2" t="str">
        <x:v>Critical Access Hospitals</x:v>
      </x:c>
      <x:c r="F1901" s="2" t="str">
        <x:v>Voluntary non-profit</x:v>
      </x:c>
      <x:c r="G1901" s="2" t="str">
        <x:v>Small (&lt;100 beds)</x:v>
      </x:c>
      <x:c r="H1901" s="7"/>
      <x:c r="I1901" s="7"/>
      <x:c r="J1901" s="7"/>
      <x:c r="K1901" s="8" t="n">
        <x:v>25</x:v>
      </x:c>
      <x:c r="L1901" s="8" t="n">
        <x:v>74</x:v>
      </x:c>
      <x:c r="M1901" s="9" t="n">
        <x:v>0.0875616438</x:v>
      </x:c>
      <x:c r="N1901" s="10" t="n">
        <x:v>161239.2567567567</x:v>
      </x:c>
      <x:c r="O1901" s="9" t="n">
        <x:v>-0.2280946883</x:v>
      </x:c>
      <x:c r="P1901" s="9" t="n">
        <x:v>0.6156133829</x:v>
      </x:c>
      <x:c r="Q1901" s="9" t="n">
        <x:v>0.292936803</x:v>
      </x:c>
      <x:c r="R1901" s="3" t="b">
        <x:v>0</x:v>
      </x:c>
      <x:c r="S1901" s="3" t="b">
        <x:v>0</x:v>
      </x:c>
      <x:c r="T1901" s="3" t="b">
        <x:v>0</x:v>
      </x:c>
      <x:c r="U1901" s="2" t="str">
        <x:f>IF(T1901=TRUE,"Priority review",IF(R1901=TRUE,"High cost",IF(S1901=TRUE,"Low quality","Benchmark")))</x:f>
        <x:v>Benchmark</x:v>
      </x:c>
    </x:row>
    <x:row r="1902">
      <x:c r="A1902" s="2" t="str">
        <x:v>010087</x:v>
      </x:c>
      <x:c r="B1902" s="2" t="str">
        <x:v>USA HEALTH UNIVERSITY HOSPITAL</x:v>
      </x:c>
      <x:c r="C1902" s="2" t="str">
        <x:v>MOBILE</x:v>
      </x:c>
      <x:c r="D1902" s="2" t="str">
        <x:v>AL</x:v>
      </x:c>
      <x:c r="E1902" s="2" t="str">
        <x:v>Acute Care Hospitals</x:v>
      </x:c>
      <x:c r="F1902" s="2" t="str">
        <x:v>Government</x:v>
      </x:c>
      <x:c r="G1902" s="2" t="str">
        <x:v>Medium (100-299 beds)</x:v>
      </x:c>
      <x:c r="H1902" s="7" t="n">
        <x:v>2</x:v>
      </x:c>
      <x:c r="I1902" s="7" t="n">
        <x:v>3</x:v>
      </x:c>
      <x:c r="J1902" s="7" t="n">
        <x:v>0.98</x:v>
      </x:c>
      <x:c r="K1902" s="8" t="n">
        <x:v>274</x:v>
      </x:c>
      <x:c r="L1902" s="8" t="n">
        <x:v>12216</x:v>
      </x:c>
      <x:c r="M1902" s="9" t="n">
        <x:v>0.9202558379</x:v>
      </x:c>
      <x:c r="N1902" s="10" t="n">
        <x:v>38988.9426981009</x:v>
      </x:c>
      <x:c r="O1902" s="9" t="n">
        <x:v>-0.1226825071</x:v>
      </x:c>
      <x:c r="P1902" s="9" t="n">
        <x:v>0.6153219234</x:v>
      </x:c>
      <x:c r="Q1902" s="9" t="n">
        <x:v>0.0782396088</x:v>
      </x:c>
      <x:c r="R1902" s="3" t="b">
        <x:v>0</x:v>
      </x:c>
      <x:c r="S1902" s="3" t="b">
        <x:v>1</x:v>
      </x:c>
      <x:c r="T1902" s="3" t="b">
        <x:v>0</x:v>
      </x:c>
      <x:c r="U1902" s="2" t="str">
        <x:f>IF(T1902=TRUE,"Priority review",IF(R1902=TRUE,"High cost",IF(S1902=TRUE,"Low quality","Benchmark")))</x:f>
        <x:v>Low quality</x:v>
      </x:c>
    </x:row>
    <x:row r="1903">
      <x:c r="A1903" s="2" t="str">
        <x:v>150100</x:v>
      </x:c>
      <x:c r="B1903" s="2" t="str">
        <x:v>ASCENSION ST VINCENT EVANSVILLE</x:v>
      </x:c>
      <x:c r="C1903" s="2" t="str">
        <x:v>EVANSVILLE</x:v>
      </x:c>
      <x:c r="D1903" s="2" t="str">
        <x:v>IN</x:v>
      </x:c>
      <x:c r="E1903" s="2" t="str">
        <x:v>Acute Care Hospitals</x:v>
      </x:c>
      <x:c r="F1903" s="2" t="str">
        <x:v>Voluntary non-profit</x:v>
      </x:c>
      <x:c r="G1903" s="2" t="str">
        <x:v>Large (300+ beds)</x:v>
      </x:c>
      <x:c r="H1903" s="7" t="n">
        <x:v>4</x:v>
      </x:c>
      <x:c r="I1903" s="7" t="n">
        <x:v>3</x:v>
      </x:c>
      <x:c r="J1903" s="7" t="n">
        <x:v>0.99</x:v>
      </x:c>
      <x:c r="K1903" s="8" t="n">
        <x:v>310</x:v>
      </x:c>
      <x:c r="L1903" s="8" t="n">
        <x:v>15058</x:v>
      </x:c>
      <x:c r="M1903" s="9" t="n">
        <x:v>0.5121929871</x:v>
      </x:c>
      <x:c r="N1903" s="10" t="n">
        <x:v>44129.0700624253</x:v>
      </x:c>
      <x:c r="O1903" s="9" t="n">
        <x:v>0.0104476433</x:v>
      </x:c>
      <x:c r="P1903" s="9" t="n">
        <x:v>0.6151419558</x:v>
      </x:c>
      <x:c r="Q1903" s="9" t="n">
        <x:v>0.5899053628</x:v>
      </x:c>
      <x:c r="R1903" s="3" t="b">
        <x:v>0</x:v>
      </x:c>
      <x:c r="S1903" s="3" t="b">
        <x:v>0</x:v>
      </x:c>
      <x:c r="T1903" s="3" t="b">
        <x:v>0</x:v>
      </x:c>
      <x:c r="U1903" s="2" t="str">
        <x:f>IF(T1903=TRUE,"Priority review",IF(R1903=TRUE,"High cost",IF(S1903=TRUE,"Low quality","Benchmark")))</x:f>
        <x:v>Benchmark</x:v>
      </x:c>
    </x:row>
    <x:row r="1904">
      <x:c r="A1904" s="2" t="str">
        <x:v>190106</x:v>
      </x:c>
      <x:c r="B1904" s="2" t="str">
        <x:v>OAKDALE COMMUNITY HOSPITAL</x:v>
      </x:c>
      <x:c r="C1904" s="2" t="str">
        <x:v>OAKDALE</x:v>
      </x:c>
      <x:c r="D1904" s="2" t="str">
        <x:v>LA</x:v>
      </x:c>
      <x:c r="E1904" s="2" t="str">
        <x:v>Acute Care Hospitals</x:v>
      </x:c>
      <x:c r="F1904" s="2" t="str">
        <x:v>Proprietary</x:v>
      </x:c>
      <x:c r="G1904" s="2" t="str">
        <x:v>Small (&lt;100 beds)</x:v>
      </x:c>
      <x:c r="H1904" s="7" t="n">
        <x:v>3</x:v>
      </x:c>
      <x:c r="I1904" s="7"/>
      <x:c r="J1904" s="7" t="n">
        <x:v>1.04</x:v>
      </x:c>
      <x:c r="K1904" s="8" t="n">
        <x:v>37</x:v>
      </x:c>
      <x:c r="L1904" s="8" t="n">
        <x:v>432</x:v>
      </x:c>
      <x:c r="M1904" s="9" t="n">
        <x:v>0.1424657534</x:v>
      </x:c>
      <x:c r="N1904" s="10" t="n">
        <x:v>63160.3726851852</x:v>
      </x:c>
      <x:c r="O1904" s="9" t="n">
        <x:v>-0.164031933</x:v>
      </x:c>
      <x:c r="P1904" s="9" t="n">
        <x:v>0.6149012567</x:v>
      </x:c>
      <x:c r="Q1904" s="9" t="n">
        <x:v>0.1687612208</x:v>
      </x:c>
      <x:c r="R1904" s="3" t="b">
        <x:v>0</x:v>
      </x:c>
      <x:c r="S1904" s="3" t="b">
        <x:v>0</x:v>
      </x:c>
      <x:c r="T1904" s="3" t="b">
        <x:v>0</x:v>
      </x:c>
      <x:c r="U1904" s="2" t="str">
        <x:f>IF(T1904=TRUE,"Priority review",IF(R1904=TRUE,"High cost",IF(S1904=TRUE,"Low quality","Benchmark")))</x:f>
        <x:v>Benchmark</x:v>
      </x:c>
    </x:row>
    <x:row r="1905">
      <x:c r="A1905" s="2" t="str">
        <x:v>444019</x:v>
      </x:c>
      <x:c r="B1905" s="2" t="str">
        <x:v>UNITY PSYCHIATRIC CARE-CLARKSVILLE</x:v>
      </x:c>
      <x:c r="C1905" s="2" t="str">
        <x:v>CLARKSVILLE</x:v>
      </x:c>
      <x:c r="D1905" s="2" t="str">
        <x:v>TN</x:v>
      </x:c>
      <x:c r="E1905" s="2" t="str">
        <x:v>Psychiatric</x:v>
      </x:c>
      <x:c r="F1905" s="2" t="str">
        <x:v>Proprietary</x:v>
      </x:c>
      <x:c r="G1905" s="2" t="str">
        <x:v>Small (&lt;100 beds)</x:v>
      </x:c>
      <x:c r="H1905" s="7"/>
      <x:c r="I1905" s="7"/>
      <x:c r="J1905" s="7"/>
      <x:c r="K1905" s="8" t="n">
        <x:v>26</x:v>
      </x:c>
      <x:c r="L1905" s="8" t="n">
        <x:v>364</x:v>
      </x:c>
      <x:c r="M1905" s="9" t="n">
        <x:v>0.6568936528</x:v>
      </x:c>
      <x:c r="N1905" s="10" t="n">
        <x:v>16077.6538461538</x:v>
      </x:c>
      <x:c r="O1905" s="9" t="n">
        <x:v>-0.2005768744</x:v>
      </x:c>
      <x:c r="P1905" s="9" t="n">
        <x:v>0.6148867314</x:v>
      </x:c>
      <x:c r="Q1905" s="9" t="n">
        <x:v>0</x:v>
      </x:c>
      <x:c r="R1905" s="3" t="b">
        <x:v>0</x:v>
      </x:c>
      <x:c r="S1905" s="3" t="b">
        <x:v>0</x:v>
      </x:c>
      <x:c r="T1905" s="3" t="b">
        <x:v>0</x:v>
      </x:c>
      <x:c r="U1905" s="2" t="str">
        <x:f>IF(T1905=TRUE,"Priority review",IF(R1905=TRUE,"High cost",IF(S1905=TRUE,"Low quality","Benchmark")))</x:f>
        <x:v>Benchmark</x:v>
      </x:c>
    </x:row>
    <x:row r="1906">
      <x:c r="A1906" s="2" t="str">
        <x:v>351302</x:v>
      </x:c>
      <x:c r="B1906" s="2" t="str">
        <x:v>MCKENZIE COUNTY HEALTHCARE SYSTEMS INC</x:v>
      </x:c>
      <x:c r="C1906" s="2" t="str">
        <x:v>WATFORD CITY</x:v>
      </x:c>
      <x:c r="D1906" s="2" t="str">
        <x:v>ND</x:v>
      </x:c>
      <x:c r="E1906" s="2" t="str">
        <x:v>Critical Access Hospitals</x:v>
      </x:c>
      <x:c r="F1906" s="2" t="str">
        <x:v>Voluntary non-profit</x:v>
      </x:c>
      <x:c r="G1906" s="2" t="str">
        <x:v>Small (&lt;100 beds)</x:v>
      </x:c>
      <x:c r="H1906" s="7"/>
      <x:c r="I1906" s="7"/>
      <x:c r="J1906" s="7"/>
      <x:c r="K1906" s="8" t="n">
        <x:v>24</x:v>
      </x:c>
      <x:c r="L1906" s="8" t="n">
        <x:v>508</x:v>
      </x:c>
      <x:c r="M1906" s="9" t="n">
        <x:v>0.3349315068</x:v>
      </x:c>
      <x:c r="N1906" s="10" t="n">
        <x:v>160947.281496063</x:v>
      </x:c>
      <x:c r="O1906" s="9" t="n">
        <x:v>-0.2486886216</x:v>
      </x:c>
      <x:c r="P1906" s="9" t="n">
        <x:v>0.6148698885</x:v>
      </x:c>
      <x:c r="Q1906" s="9" t="n">
        <x:v>0.292936803</x:v>
      </x:c>
      <x:c r="R1906" s="3" t="b">
        <x:v>0</x:v>
      </x:c>
      <x:c r="S1906" s="3" t="b">
        <x:v>0</x:v>
      </x:c>
      <x:c r="T1906" s="3" t="b">
        <x:v>0</x:v>
      </x:c>
      <x:c r="U1906" s="2" t="str">
        <x:f>IF(T1906=TRUE,"Priority review",IF(R1906=TRUE,"High cost",IF(S1906=TRUE,"Low quality","Benchmark")))</x:f>
        <x:v>Benchmark</x:v>
      </x:c>
    </x:row>
    <x:row r="1907">
      <x:c r="A1907" s="2" t="str">
        <x:v>050278</x:v>
      </x:c>
      <x:c r="B1907" s="2" t="str">
        <x:v>PROVIDENCE HOLY CROSS MEDICAL CENTER</x:v>
      </x:c>
      <x:c r="C1907" s="2" t="str">
        <x:v>MISSION HILLS</x:v>
      </x:c>
      <x:c r="D1907" s="2" t="str">
        <x:v>CA</x:v>
      </x:c>
      <x:c r="E1907" s="2" t="str">
        <x:v>Acute Care Hospitals</x:v>
      </x:c>
      <x:c r="F1907" s="2" t="str">
        <x:v>Voluntary non-profit</x:v>
      </x:c>
      <x:c r="G1907" s="2" t="str">
        <x:v>Medium (100-299 beds)</x:v>
      </x:c>
      <x:c r="H1907" s="7" t="n">
        <x:v>4</x:v>
      </x:c>
      <x:c r="I1907" s="7" t="n">
        <x:v>3</x:v>
      </x:c>
      <x:c r="J1907" s="7" t="n">
        <x:v>1.01</x:v>
      </x:c>
      <x:c r="K1907" s="8" t="n">
        <x:v>297</x:v>
      </x:c>
      <x:c r="L1907" s="8" t="n">
        <x:v>15767</x:v>
      </x:c>
      <x:c r="M1907" s="9" t="n">
        <x:v>0.7440801457</x:v>
      </x:c>
      <x:c r="N1907" s="10" t="n">
        <x:v>38949.1059808461</x:v>
      </x:c>
      <x:c r="O1907" s="9" t="n">
        <x:v>0.0280226387</x:v>
      </x:c>
      <x:c r="P1907" s="9" t="n">
        <x:v>0.6145069275</x:v>
      </x:c>
      <x:c r="Q1907" s="9" t="n">
        <x:v>0.6022819886</x:v>
      </x:c>
      <x:c r="R1907" s="3" t="b">
        <x:v>0</x:v>
      </x:c>
      <x:c r="S1907" s="3" t="b">
        <x:v>0</x:v>
      </x:c>
      <x:c r="T1907" s="3" t="b">
        <x:v>0</x:v>
      </x:c>
      <x:c r="U1907" s="2" t="str">
        <x:f>IF(T1907=TRUE,"Priority review",IF(R1907=TRUE,"High cost",IF(S1907=TRUE,"Low quality","Benchmark")))</x:f>
        <x:v>Benchmark</x:v>
      </x:c>
    </x:row>
    <x:row r="1908">
      <x:c r="A1908" s="2" t="str">
        <x:v>521354</x:v>
      </x:c>
      <x:c r="B1908" s="2" t="str">
        <x:v>SOUTHWEST HEALTH CENTER</x:v>
      </x:c>
      <x:c r="C1908" s="2" t="str">
        <x:v>PLATTEVILLE</x:v>
      </x:c>
      <x:c r="D1908" s="2" t="str">
        <x:v>WI</x:v>
      </x:c>
      <x:c r="E1908" s="2" t="str">
        <x:v>Critical Access Hospitals</x:v>
      </x:c>
      <x:c r="F1908" s="2" t="str">
        <x:v>Voluntary non-profit</x:v>
      </x:c>
      <x:c r="G1908" s="2" t="str">
        <x:v>Small (&lt;100 beds)</x:v>
      </x:c>
      <x:c r="H1908" s="7"/>
      <x:c r="I1908" s="7" t="n">
        <x:v>5</x:v>
      </x:c>
      <x:c r="J1908" s="7"/>
      <x:c r="K1908" s="8" t="n">
        <x:v>25</x:v>
      </x:c>
      <x:c r="L1908" s="8" t="n">
        <x:v>708</x:v>
      </x:c>
      <x:c r="M1908" s="9" t="n">
        <x:v>0.3297534247</x:v>
      </x:c>
      <x:c r="N1908" s="10" t="n">
        <x:v>160683.2231638418</x:v>
      </x:c>
      <x:c r="O1908" s="9" t="n">
        <x:v>0.178808682</x:v>
      </x:c>
      <x:c r="P1908" s="9" t="n">
        <x:v>0.6141263941</x:v>
      </x:c>
      <x:c r="Q1908" s="9" t="n">
        <x:v>0.292936803</x:v>
      </x:c>
      <x:c r="R1908" s="3" t="b">
        <x:v>0</x:v>
      </x:c>
      <x:c r="S1908" s="3" t="b">
        <x:v>0</x:v>
      </x:c>
      <x:c r="T1908" s="3" t="b">
        <x:v>0</x:v>
      </x:c>
      <x:c r="U1908" s="2" t="str">
        <x:f>IF(T1908=TRUE,"Priority review",IF(R1908=TRUE,"High cost",IF(S1908=TRUE,"Low quality","Benchmark")))</x:f>
        <x:v>Benchmark</x:v>
      </x:c>
    </x:row>
    <x:row r="1909">
      <x:c r="A1909" s="2" t="str">
        <x:v>260009</x:v>
      </x:c>
      <x:c r="B1909" s="2" t="str">
        <x:v>BOTHWELL REGIONAL HEALTH CENTER</x:v>
      </x:c>
      <x:c r="C1909" s="2" t="str">
        <x:v>SEDALIA</x:v>
      </x:c>
      <x:c r="D1909" s="2" t="str">
        <x:v>MO</x:v>
      </x:c>
      <x:c r="E1909" s="2" t="str">
        <x:v>Acute Care Hospitals</x:v>
      </x:c>
      <x:c r="F1909" s="2" t="str">
        <x:v>Government</x:v>
      </x:c>
      <x:c r="G1909" s="2" t="str">
        <x:v>Small (&lt;100 beds)</x:v>
      </x:c>
      <x:c r="H1909" s="7" t="n">
        <x:v>4</x:v>
      </x:c>
      <x:c r="I1909" s="7" t="n">
        <x:v>3</x:v>
      </x:c>
      <x:c r="J1909" s="7" t="n">
        <x:v>0.9</x:v>
      </x:c>
      <x:c r="K1909" s="8" t="n">
        <x:v>71</x:v>
      </x:c>
      <x:c r="L1909" s="8" t="n">
        <x:v>2742</x:v>
      </x:c>
      <x:c r="M1909" s="9" t="n">
        <x:v>0.4548716959</x:v>
      </x:c>
      <x:c r="N1909" s="10" t="n">
        <x:v>63090.0116703136</x:v>
      </x:c>
      <x:c r="O1909" s="9" t="n">
        <x:v>0.0276384678</x:v>
      </x:c>
      <x:c r="P1909" s="9" t="n">
        <x:v>0.6140035907</x:v>
      </x:c>
      <x:c r="Q1909" s="9" t="n">
        <x:v>0.3913824057</x:v>
      </x:c>
      <x:c r="R1909" s="3" t="b">
        <x:v>0</x:v>
      </x:c>
      <x:c r="S1909" s="3" t="b">
        <x:v>0</x:v>
      </x:c>
      <x:c r="T1909" s="3" t="b">
        <x:v>0</x:v>
      </x:c>
      <x:c r="U1909" s="2" t="str">
        <x:f>IF(T1909=TRUE,"Priority review",IF(R1909=TRUE,"High cost",IF(S1909=TRUE,"Low quality","Benchmark")))</x:f>
        <x:v>Benchmark</x:v>
      </x:c>
    </x:row>
    <x:row r="1910">
      <x:c r="A1910" s="2" t="str">
        <x:v>140093</x:v>
      </x:c>
      <x:c r="B1910" s="2" t="str">
        <x:v>OSF SACRED HEART MEDICAL CENTER</x:v>
      </x:c>
      <x:c r="C1910" s="2" t="str">
        <x:v>DANVILLE</x:v>
      </x:c>
      <x:c r="D1910" s="2" t="str">
        <x:v>IL</x:v>
      </x:c>
      <x:c r="E1910" s="2" t="str">
        <x:v>Acute Care Hospitals</x:v>
      </x:c>
      <x:c r="F1910" s="2" t="str">
        <x:v>Voluntary non-profit</x:v>
      </x:c>
      <x:c r="G1910" s="2" t="str">
        <x:v>Medium (100-299 beds)</x:v>
      </x:c>
      <x:c r="H1910" s="7" t="n">
        <x:v>2</x:v>
      </x:c>
      <x:c r="I1910" s="7" t="n">
        <x:v>3</x:v>
      </x:c>
      <x:c r="J1910" s="7" t="n">
        <x:v>0.93</x:v>
      </x:c>
      <x:c r="K1910" s="8" t="n">
        <x:v>100</x:v>
      </x:c>
      <x:c r="L1910" s="8" t="n">
        <x:v>2637</x:v>
      </x:c>
      <x:c r="M1910" s="9" t="n">
        <x:v>0.256557377</x:v>
      </x:c>
      <x:c r="N1910" s="10" t="n">
        <x:v>38929.2309442548</x:v>
      </x:c>
      <x:c r="O1910" s="9" t="n">
        <x:v>-0.1540779245</x:v>
      </x:c>
      <x:c r="P1910" s="9" t="n">
        <x:v>0.6136919315</x:v>
      </x:c>
      <x:c r="Q1910" s="9" t="n">
        <x:v>0.0782396088</x:v>
      </x:c>
      <x:c r="R1910" s="3" t="b">
        <x:v>0</x:v>
      </x:c>
      <x:c r="S1910" s="3" t="b">
        <x:v>1</x:v>
      </x:c>
      <x:c r="T1910" s="3" t="b">
        <x:v>0</x:v>
      </x:c>
      <x:c r="U1910" s="2" t="str">
        <x:f>IF(T1910=TRUE,"Priority review",IF(R1910=TRUE,"High cost",IF(S1910=TRUE,"Low quality","Benchmark")))</x:f>
        <x:v>Low quality</x:v>
      </x:c>
    </x:row>
    <x:row r="1911">
      <x:c r="A1911" s="2" t="str">
        <x:v>290007</x:v>
      </x:c>
      <x:c r="B1911" s="2" t="str">
        <x:v>UNIVERSITY MEDICAL CENTER</x:v>
      </x:c>
      <x:c r="C1911" s="2" t="str">
        <x:v>LAS VEGAS</x:v>
      </x:c>
      <x:c r="D1911" s="2" t="str">
        <x:v>NV</x:v>
      </x:c>
      <x:c r="E1911" s="2" t="str">
        <x:v>Acute Care Hospitals</x:v>
      </x:c>
      <x:c r="F1911" s="2" t="str">
        <x:v>Voluntary non-profit</x:v>
      </x:c>
      <x:c r="G1911" s="2" t="str">
        <x:v>Large (300+ beds)</x:v>
      </x:c>
      <x:c r="H1911" s="7" t="n">
        <x:v>2</x:v>
      </x:c>
      <x:c r="I1911" s="7" t="n">
        <x:v>2</x:v>
      </x:c>
      <x:c r="J1911" s="7" t="n">
        <x:v>1.08</x:v>
      </x:c>
      <x:c r="K1911" s="8" t="n">
        <x:v>490</x:v>
      </x:c>
      <x:c r="L1911" s="8" t="n">
        <x:v>23997</x:v>
      </x:c>
      <x:c r="M1911" s="9" t="n">
        <x:v>0.775085267</x:v>
      </x:c>
      <x:c r="N1911" s="10" t="n">
        <x:v>43963.4094678501</x:v>
      </x:c>
      <x:c r="O1911" s="9" t="n">
        <x:v>-0.0239287015</x:v>
      </x:c>
      <x:c r="P1911" s="9" t="n">
        <x:v>0.6135646688</x:v>
      </x:c>
      <x:c r="Q1911" s="9" t="n">
        <x:v>0.0536277603</x:v>
      </x:c>
      <x:c r="R1911" s="3" t="b">
        <x:v>0</x:v>
      </x:c>
      <x:c r="S1911" s="3" t="b">
        <x:v>1</x:v>
      </x:c>
      <x:c r="T1911" s="3" t="b">
        <x:v>0</x:v>
      </x:c>
      <x:c r="U1911" s="2" t="str">
        <x:f>IF(T1911=TRUE,"Priority review",IF(R1911=TRUE,"High cost",IF(S1911=TRUE,"Low quality","Benchmark")))</x:f>
        <x:v>Low quality</x:v>
      </x:c>
    </x:row>
    <x:row r="1912">
      <x:c r="A1912" s="2" t="str">
        <x:v>501321</x:v>
      </x:c>
      <x:c r="B1912" s="2" t="str">
        <x:v>NORTH VALLEY HOSPITAL</x:v>
      </x:c>
      <x:c r="C1912" s="2" t="str">
        <x:v>TONASKET</x:v>
      </x:c>
      <x:c r="D1912" s="2" t="str">
        <x:v>WA</x:v>
      </x:c>
      <x:c r="E1912" s="2" t="str">
        <x:v>Critical Access Hospitals</x:v>
      </x:c>
      <x:c r="F1912" s="2" t="str">
        <x:v>Government</x:v>
      </x:c>
      <x:c r="G1912" s="2" t="str">
        <x:v>Small (&lt;100 beds)</x:v>
      </x:c>
      <x:c r="H1912" s="7"/>
      <x:c r="I1912" s="7"/>
      <x:c r="J1912" s="7"/>
      <x:c r="K1912" s="8" t="n">
        <x:v>18</x:v>
      </x:c>
      <x:c r="L1912" s="8" t="n">
        <x:v>186</x:v>
      </x:c>
      <x:c r="M1912" s="9" t="n">
        <x:v>0.3759866424</x:v>
      </x:c>
      <x:c r="N1912" s="10" t="n">
        <x:v>160646.6505376344</x:v>
      </x:c>
      <x:c r="O1912" s="9" t="n">
        <x:v>-0.1474126679</x:v>
      </x:c>
      <x:c r="P1912" s="9" t="n">
        <x:v>0.6133828996</x:v>
      </x:c>
      <x:c r="Q1912" s="9" t="n">
        <x:v>0.292936803</x:v>
      </x:c>
      <x:c r="R1912" s="3" t="b">
        <x:v>0</x:v>
      </x:c>
      <x:c r="S1912" s="3" t="b">
        <x:v>0</x:v>
      </x:c>
      <x:c r="T1912" s="3" t="b">
        <x:v>0</x:v>
      </x:c>
      <x:c r="U1912" s="2" t="str">
        <x:f>IF(T1912=TRUE,"Priority review",IF(R1912=TRUE,"High cost",IF(S1912=TRUE,"Low quality","Benchmark")))</x:f>
        <x:v>Benchmark</x:v>
      </x:c>
    </x:row>
    <x:row r="1913">
      <x:c r="A1913" s="2" t="str">
        <x:v>450694</x:v>
      </x:c>
      <x:c r="B1913" s="2" t="str">
        <x:v>EL CAMPO MEMORIAL HOSPITAL</x:v>
      </x:c>
      <x:c r="C1913" s="2" t="str">
        <x:v>EL CAMPO</x:v>
      </x:c>
      <x:c r="D1913" s="2" t="str">
        <x:v>TX</x:v>
      </x:c>
      <x:c r="E1913" s="2" t="str">
        <x:v>Acute Care Hospitals</x:v>
      </x:c>
      <x:c r="F1913" s="2" t="str">
        <x:v>Voluntary non-profit</x:v>
      </x:c>
      <x:c r="G1913" s="2" t="str">
        <x:v>Small (&lt;100 beds)</x:v>
      </x:c>
      <x:c r="H1913" s="7" t="n">
        <x:v>3</x:v>
      </x:c>
      <x:c r="I1913" s="7" t="n">
        <x:v>3</x:v>
      </x:c>
      <x:c r="J1913" s="7" t="n">
        <x:v>1.13</x:v>
      </x:c>
      <x:c r="K1913" s="8" t="n">
        <x:v>26</x:v>
      </x:c>
      <x:c r="L1913" s="8" t="n">
        <x:v>678</x:v>
      </x:c>
      <x:c r="M1913" s="9" t="n">
        <x:v>0.3270281631</x:v>
      </x:c>
      <x:c r="N1913" s="10" t="n">
        <x:v>63071.8008849558</x:v>
      </x:c>
      <x:c r="O1913" s="9" t="n">
        <x:v>-0.5392350755</x:v>
      </x:c>
      <x:c r="P1913" s="9" t="n">
        <x:v>0.6131059246</x:v>
      </x:c>
      <x:c r="Q1913" s="9" t="n">
        <x:v>0.1687612208</x:v>
      </x:c>
      <x:c r="R1913" s="3" t="b">
        <x:v>0</x:v>
      </x:c>
      <x:c r="S1913" s="3" t="b">
        <x:v>0</x:v>
      </x:c>
      <x:c r="T1913" s="3" t="b">
        <x:v>0</x:v>
      </x:c>
      <x:c r="U1913" s="2" t="str">
        <x:f>IF(T1913=TRUE,"Priority review",IF(R1913=TRUE,"High cost",IF(S1913=TRUE,"Low quality","Benchmark")))</x:f>
        <x:v>Benchmark</x:v>
      </x:c>
    </x:row>
    <x:row r="1914">
      <x:c r="A1914" s="2" t="str">
        <x:v>390057</x:v>
      </x:c>
      <x:c r="B1914" s="2" t="str">
        <x:v>ST LUKE'S HOSPITAL - GRAND VIEW CAMPUS</x:v>
      </x:c>
      <x:c r="C1914" s="2" t="str">
        <x:v>SELLERSVILLE</x:v>
      </x:c>
      <x:c r="D1914" s="2" t="str">
        <x:v>PA</x:v>
      </x:c>
      <x:c r="E1914" s="2" t="str">
        <x:v>Acute Care Hospitals</x:v>
      </x:c>
      <x:c r="F1914" s="2" t="str">
        <x:v>Voluntary non-profit</x:v>
      </x:c>
      <x:c r="G1914" s="2" t="str">
        <x:v>Medium (100-299 beds)</x:v>
      </x:c>
      <x:c r="H1914" s="7" t="n">
        <x:v>4</x:v>
      </x:c>
      <x:c r="I1914" s="7" t="n">
        <x:v>3</x:v>
      </x:c>
      <x:c r="J1914" s="7" t="n">
        <x:v>0.97</x:v>
      </x:c>
      <x:c r="K1914" s="8" t="n">
        <x:v>193</x:v>
      </x:c>
      <x:c r="L1914" s="8" t="n">
        <x:v>9182</x:v>
      </x:c>
      <x:c r="M1914" s="9" t="n">
        <x:v>0.5922662823</x:v>
      </x:c>
      <x:c r="N1914" s="10" t="n">
        <x:v>38928.705510782</x:v>
      </x:c>
      <x:c r="O1914" s="9" t="n">
        <x:v>-0.2987199184</x:v>
      </x:c>
      <x:c r="P1914" s="9" t="n">
        <x:v>0.6128769356</x:v>
      </x:c>
      <x:c r="Q1914" s="9" t="n">
        <x:v>0.6022819886</x:v>
      </x:c>
      <x:c r="R1914" s="3" t="b">
        <x:v>0</x:v>
      </x:c>
      <x:c r="S1914" s="3" t="b">
        <x:v>0</x:v>
      </x:c>
      <x:c r="T1914" s="3" t="b">
        <x:v>0</x:v>
      </x:c>
      <x:c r="U1914" s="2" t="str">
        <x:f>IF(T1914=TRUE,"Priority review",IF(R1914=TRUE,"High cost",IF(S1914=TRUE,"Low quality","Benchmark")))</x:f>
        <x:v>Benchmark</x:v>
      </x:c>
    </x:row>
    <x:row r="1915">
      <x:c r="A1915" s="2" t="str">
        <x:v>351325</x:v>
      </x:c>
      <x:c r="B1915" s="2" t="str">
        <x:v>ST LUKE'S HOSPITAL</x:v>
      </x:c>
      <x:c r="C1915" s="2" t="str">
        <x:v>CROSBY</x:v>
      </x:c>
      <x:c r="D1915" s="2" t="str">
        <x:v>ND</x:v>
      </x:c>
      <x:c r="E1915" s="2" t="str">
        <x:v>Critical Access Hospitals</x:v>
      </x:c>
      <x:c r="F1915" s="2" t="str">
        <x:v>Voluntary non-profit</x:v>
      </x:c>
      <x:c r="G1915" s="2" t="str">
        <x:v>Small (&lt;100 beds)</x:v>
      </x:c>
      <x:c r="H1915" s="7"/>
      <x:c r="I1915" s="7"/>
      <x:c r="J1915" s="7"/>
      <x:c r="K1915" s="8" t="n">
        <x:v>20</x:v>
      </x:c>
      <x:c r="L1915" s="8" t="n">
        <x:v>71</x:v>
      </x:c>
      <x:c r="M1915" s="9" t="n">
        <x:v>0.5250684932</x:v>
      </x:c>
      <x:c r="N1915" s="10" t="n">
        <x:v>160537.4084507042</x:v>
      </x:c>
      <x:c r="O1915" s="9" t="n">
        <x:v>-0.2790108639</x:v>
      </x:c>
      <x:c r="P1915" s="9" t="n">
        <x:v>0.6126394052</x:v>
      </x:c>
      <x:c r="Q1915" s="9" t="n">
        <x:v>0.292936803</x:v>
      </x:c>
      <x:c r="R1915" s="3" t="b">
        <x:v>0</x:v>
      </x:c>
      <x:c r="S1915" s="3" t="b">
        <x:v>0</x:v>
      </x:c>
      <x:c r="T1915" s="3" t="b">
        <x:v>0</x:v>
      </x:c>
      <x:c r="U1915" s="2" t="str">
        <x:f>IF(T1915=TRUE,"Priority review",IF(R1915=TRUE,"High cost",IF(S1915=TRUE,"Low quality","Benchmark")))</x:f>
        <x:v>Benchmark</x:v>
      </x:c>
    </x:row>
    <x:row r="1916">
      <x:c r="A1916" s="2" t="str">
        <x:v>450893</x:v>
      </x:c>
      <x:c r="B1916" s="2" t="str">
        <x:v>THE HEART HOSPITAL BAYLOR DENTON</x:v>
      </x:c>
      <x:c r="C1916" s="2" t="str">
        <x:v>DENTON</x:v>
      </x:c>
      <x:c r="D1916" s="2" t="str">
        <x:v>TX</x:v>
      </x:c>
      <x:c r="E1916" s="2" t="str">
        <x:v>Acute Care Hospitals</x:v>
      </x:c>
      <x:c r="F1916" s="2" t="str">
        <x:v>Other / unknown</x:v>
      </x:c>
      <x:c r="G1916" s="2" t="str">
        <x:v>Small (&lt;100 beds)</x:v>
      </x:c>
      <x:c r="H1916" s="7" t="n">
        <x:v>5</x:v>
      </x:c>
      <x:c r="I1916" s="7" t="n">
        <x:v>4</x:v>
      </x:c>
      <x:c r="J1916" s="7" t="n">
        <x:v>1.06</x:v>
      </x:c>
      <x:c r="K1916" s="8" t="n">
        <x:v>22</x:v>
      </x:c>
      <x:c r="L1916" s="8" t="n">
        <x:v>1230</x:v>
      </x:c>
      <x:c r="M1916" s="9" t="n">
        <x:v>0.6032041729</x:v>
      </x:c>
      <x:c r="N1916" s="10" t="n">
        <x:v>63028.218699187</x:v>
      </x:c>
      <x:c r="O1916" s="9" t="n">
        <x:v>0.2536741488</x:v>
      </x:c>
      <x:c r="P1916" s="9" t="n">
        <x:v>0.6122082585</x:v>
      </x:c>
      <x:c r="Q1916" s="9" t="n">
        <x:v>0.6131059246</x:v>
      </x:c>
      <x:c r="R1916" s="3" t="b">
        <x:v>0</x:v>
      </x:c>
      <x:c r="S1916" s="3" t="b">
        <x:v>0</x:v>
      </x:c>
      <x:c r="T1916" s="3" t="b">
        <x:v>0</x:v>
      </x:c>
      <x:c r="U1916" s="2" t="str">
        <x:f>IF(T1916=TRUE,"Priority review",IF(R1916=TRUE,"High cost",IF(S1916=TRUE,"Low quality","Benchmark")))</x:f>
        <x:v>Benchmark</x:v>
      </x:c>
    </x:row>
    <x:row r="1917">
      <x:c r="A1917" s="2" t="str">
        <x:v>060015</x:v>
      </x:c>
      <x:c r="B1917" s="2" t="str">
        <x:v>CENTURA HEALTH-ST ANTHONY HOSPITAL</x:v>
      </x:c>
      <x:c r="C1917" s="2" t="str">
        <x:v>LAKEWOOD</x:v>
      </x:c>
      <x:c r="D1917" s="2" t="str">
        <x:v>CO</x:v>
      </x:c>
      <x:c r="E1917" s="2" t="str">
        <x:v>Acute Care Hospitals</x:v>
      </x:c>
      <x:c r="F1917" s="2" t="str">
        <x:v>Voluntary non-profit</x:v>
      </x:c>
      <x:c r="G1917" s="2" t="str">
        <x:v>Medium (100-299 beds)</x:v>
      </x:c>
      <x:c r="H1917" s="7" t="n">
        <x:v>4</x:v>
      </x:c>
      <x:c r="I1917" s="7" t="n">
        <x:v>3</x:v>
      </x:c>
      <x:c r="J1917" s="7" t="n">
        <x:v>1.04</x:v>
      </x:c>
      <x:c r="K1917" s="8" t="n">
        <x:v>220</x:v>
      </x:c>
      <x:c r="L1917" s="8" t="n">
        <x:v>14537</x:v>
      </x:c>
      <x:c r="M1917" s="9" t="n">
        <x:v>0.9404234122</x:v>
      </x:c>
      <x:c r="N1917" s="10" t="n">
        <x:v>38923.6759991745</x:v>
      </x:c>
      <x:c r="O1917" s="9" t="n">
        <x:v>-0.0771799579</x:v>
      </x:c>
      <x:c r="P1917" s="9" t="n">
        <x:v>0.6120619397</x:v>
      </x:c>
      <x:c r="Q1917" s="9" t="n">
        <x:v>0.6022819886</x:v>
      </x:c>
      <x:c r="R1917" s="3" t="b">
        <x:v>0</x:v>
      </x:c>
      <x:c r="S1917" s="3" t="b">
        <x:v>0</x:v>
      </x:c>
      <x:c r="T1917" s="3" t="b">
        <x:v>0</x:v>
      </x:c>
      <x:c r="U1917" s="2" t="str">
        <x:f>IF(T1917=TRUE,"Priority review",IF(R1917=TRUE,"High cost",IF(S1917=TRUE,"Low quality","Benchmark")))</x:f>
        <x:v>Benchmark</x:v>
      </x:c>
    </x:row>
    <x:row r="1918">
      <x:c r="A1918" s="2" t="str">
        <x:v>390270</x:v>
      </x:c>
      <x:c r="B1918" s="2" t="str">
        <x:v>GEISINGER WYOMING VALLEY MEDICAL CENTER</x:v>
      </x:c>
      <x:c r="C1918" s="2" t="str">
        <x:v>WILKES BARRE</x:v>
      </x:c>
      <x:c r="D1918" s="2" t="str">
        <x:v>PA</x:v>
      </x:c>
      <x:c r="E1918" s="2" t="str">
        <x:v>Acute Care Hospitals</x:v>
      </x:c>
      <x:c r="F1918" s="2" t="str">
        <x:v>Voluntary non-profit</x:v>
      </x:c>
      <x:c r="G1918" s="2" t="str">
        <x:v>Large (300+ beds)</x:v>
      </x:c>
      <x:c r="H1918" s="7" t="n">
        <x:v>4</x:v>
      </x:c>
      <x:c r="I1918" s="7" t="n">
        <x:v>2</x:v>
      </x:c>
      <x:c r="J1918" s="7" t="n">
        <x:v>1</x:v>
      </x:c>
      <x:c r="K1918" s="8" t="n">
        <x:v>349</x:v>
      </x:c>
      <x:c r="L1918" s="8" t="n">
        <x:v>21924</x:v>
      </x:c>
      <x:c r="M1918" s="9" t="n">
        <x:v>0.8849610803</x:v>
      </x:c>
      <x:c r="N1918" s="10" t="n">
        <x:v>43904.0883050538</x:v>
      </x:c>
      <x:c r="O1918" s="9" t="n">
        <x:v>0.1094399596</x:v>
      </x:c>
      <x:c r="P1918" s="9" t="n">
        <x:v>0.6119873817</x:v>
      </x:c>
      <x:c r="Q1918" s="9" t="n">
        <x:v>0.5899053628</x:v>
      </x:c>
      <x:c r="R1918" s="3" t="b">
        <x:v>0</x:v>
      </x:c>
      <x:c r="S1918" s="3" t="b">
        <x:v>0</x:v>
      </x:c>
      <x:c r="T1918" s="3" t="b">
        <x:v>0</x:v>
      </x:c>
      <x:c r="U1918" s="2" t="str">
        <x:f>IF(T1918=TRUE,"Priority review",IF(R1918=TRUE,"High cost",IF(S1918=TRUE,"Low quality","Benchmark")))</x:f>
        <x:v>Benchmark</x:v>
      </x:c>
    </x:row>
    <x:row r="1919">
      <x:c r="A1919" s="2" t="str">
        <x:v>394034</x:v>
      </x:c>
      <x:c r="B1919" s="2" t="str">
        <x:v>HORSHAM CLINIC</x:v>
      </x:c>
      <x:c r="C1919" s="2" t="str">
        <x:v>AMBLER</x:v>
      </x:c>
      <x:c r="D1919" s="2" t="str">
        <x:v>PA</x:v>
      </x:c>
      <x:c r="E1919" s="2" t="str">
        <x:v>Psychiatric</x:v>
      </x:c>
      <x:c r="F1919" s="2" t="str">
        <x:v>Proprietary</x:v>
      </x:c>
      <x:c r="G1919" s="2" t="str">
        <x:v>Medium (100-299 beds)</x:v>
      </x:c>
      <x:c r="H1919" s="7"/>
      <x:c r="I1919" s="7"/>
      <x:c r="J1919" s="7"/>
      <x:c r="K1919" s="8" t="n">
        <x:v>206</x:v>
      </x:c>
      <x:c r="L1919" s="8" t="n">
        <x:v>4056</x:v>
      </x:c>
      <x:c r="M1919" s="9" t="n">
        <x:v>0.8889745977</x:v>
      </x:c>
      <x:c r="N1919" s="10" t="n">
        <x:v>16226.1516272189</x:v>
      </x:c>
      <x:c r="O1919" s="9" t="n">
        <x:v>0.0531789473</x:v>
      </x:c>
      <x:c r="P1919" s="9" t="n">
        <x:v>0.6119402985</x:v>
      </x:c>
      <x:c r="Q1919" s="9" t="n">
        <x:v>0</x:v>
      </x:c>
      <x:c r="R1919" s="3" t="b">
        <x:v>0</x:v>
      </x:c>
      <x:c r="S1919" s="3" t="b">
        <x:v>0</x:v>
      </x:c>
      <x:c r="T1919" s="3" t="b">
        <x:v>0</x:v>
      </x:c>
      <x:c r="U1919" s="2" t="str">
        <x:f>IF(T1919=TRUE,"Priority review",IF(R1919=TRUE,"High cost",IF(S1919=TRUE,"Low quality","Benchmark")))</x:f>
        <x:v>Benchmark</x:v>
      </x:c>
    </x:row>
    <x:row r="1920">
      <x:c r="A1920" s="2" t="str">
        <x:v>381322</x:v>
      </x:c>
      <x:c r="B1920" s="2" t="str">
        <x:v>CURRY GENERAL HOSPITAL</x:v>
      </x:c>
      <x:c r="C1920" s="2" t="str">
        <x:v>GOLD BEACH</x:v>
      </x:c>
      <x:c r="D1920" s="2" t="str">
        <x:v>OR</x:v>
      </x:c>
      <x:c r="E1920" s="2" t="str">
        <x:v>Critical Access Hospitals</x:v>
      </x:c>
      <x:c r="F1920" s="2" t="str">
        <x:v>Government</x:v>
      </x:c>
      <x:c r="G1920" s="2" t="str">
        <x:v>Small (&lt;100 beds)</x:v>
      </x:c>
      <x:c r="H1920" s="7" t="n">
        <x:v>2</x:v>
      </x:c>
      <x:c r="I1920" s="7"/>
      <x:c r="J1920" s="7"/>
      <x:c r="K1920" s="8" t="n">
        <x:v>16</x:v>
      </x:c>
      <x:c r="L1920" s="8" t="n">
        <x:v>514</x:v>
      </x:c>
      <x:c r="M1920" s="9" t="n">
        <x:v>0.411130137</x:v>
      </x:c>
      <x:c r="N1920" s="10" t="n">
        <x:v>160436.1906614786</x:v>
      </x:c>
      <x:c r="O1920" s="9" t="n">
        <x:v>0.0036895558</x:v>
      </x:c>
      <x:c r="P1920" s="9" t="n">
        <x:v>0.6118959108</x:v>
      </x:c>
      <x:c r="Q1920" s="9" t="n">
        <x:v>0.0171003717</x:v>
      </x:c>
      <x:c r="R1920" s="3" t="b">
        <x:v>0</x:v>
      </x:c>
      <x:c r="S1920" s="3" t="b">
        <x:v>1</x:v>
      </x:c>
      <x:c r="T1920" s="3" t="b">
        <x:v>0</x:v>
      </x:c>
      <x:c r="U1920" s="2" t="str">
        <x:f>IF(T1920=TRUE,"Priority review",IF(R1920=TRUE,"High cost",IF(S1920=TRUE,"Low quality","Benchmark")))</x:f>
        <x:v>Low quality</x:v>
      </x:c>
    </x:row>
    <x:row r="1921">
      <x:c r="A1921" s="2" t="str">
        <x:v>344030</x:v>
      </x:c>
      <x:c r="B1921" s="2" t="str">
        <x:v>STRATEGIC BEHAVIORAL CENTER-LELAND</x:v>
      </x:c>
      <x:c r="C1921" s="2" t="str">
        <x:v>LELAND</x:v>
      </x:c>
      <x:c r="D1921" s="2" t="str">
        <x:v>NC</x:v>
      </x:c>
      <x:c r="E1921" s="2" t="str">
        <x:v>Psychiatric</x:v>
      </x:c>
      <x:c r="F1921" s="2" t="str">
        <x:v>Proprietary</x:v>
      </x:c>
      <x:c r="G1921" s="2" t="str">
        <x:v>Small (&lt;100 beds)</x:v>
      </x:c>
      <x:c r="H1921" s="7"/>
      <x:c r="I1921" s="7"/>
      <x:c r="J1921" s="7"/>
      <x:c r="K1921" s="8" t="n">
        <x:v>62</x:v>
      </x:c>
      <x:c r="L1921" s="8" t="n">
        <x:v>1470</x:v>
      </x:c>
      <x:c r="M1921" s="9" t="n">
        <x:v>0.6984840472</x:v>
      </x:c>
      <x:c r="N1921" s="10" t="n">
        <x:v>15936.6517006803</x:v>
      </x:c>
      <x:c r="O1921" s="9" t="n">
        <x:v>-0.0970558832</x:v>
      </x:c>
      <x:c r="P1921" s="9" t="n">
        <x:v>0.6116504854</x:v>
      </x:c>
      <x:c r="Q1921" s="9" t="n">
        <x:v>0</x:v>
      </x:c>
      <x:c r="R1921" s="3" t="b">
        <x:v>0</x:v>
      </x:c>
      <x:c r="S1921" s="3" t="b">
        <x:v>0</x:v>
      </x:c>
      <x:c r="T1921" s="3" t="b">
        <x:v>0</x:v>
      </x:c>
      <x:c r="U1921" s="2" t="str">
        <x:f>IF(T1921=TRUE,"Priority review",IF(R1921=TRUE,"High cost",IF(S1921=TRUE,"Low quality","Benchmark")))</x:f>
        <x:v>Benchmark</x:v>
      </x:c>
    </x:row>
    <x:row r="1922">
      <x:c r="A1922" s="2" t="str">
        <x:v>390163</x:v>
      </x:c>
      <x:c r="B1922" s="2" t="str">
        <x:v>ACMH HOSPITAL</x:v>
      </x:c>
      <x:c r="C1922" s="2" t="str">
        <x:v>KITTANNING</x:v>
      </x:c>
      <x:c r="D1922" s="2" t="str">
        <x:v>PA</x:v>
      </x:c>
      <x:c r="E1922" s="2" t="str">
        <x:v>Acute Care Hospitals</x:v>
      </x:c>
      <x:c r="F1922" s="2" t="str">
        <x:v>Voluntary non-profit</x:v>
      </x:c>
      <x:c r="G1922" s="2" t="str">
        <x:v>Small (&lt;100 beds)</x:v>
      </x:c>
      <x:c r="H1922" s="7" t="n">
        <x:v>3</x:v>
      </x:c>
      <x:c r="I1922" s="7" t="n">
        <x:v>3</x:v>
      </x:c>
      <x:c r="J1922" s="7" t="n">
        <x:v>0.92</x:v>
      </x:c>
      <x:c r="K1922" s="8" t="n">
        <x:v>68</x:v>
      </x:c>
      <x:c r="L1922" s="8" t="n">
        <x:v>2490</x:v>
      </x:c>
      <x:c r="M1922" s="9" t="n">
        <x:v>0.5033540373</x:v>
      </x:c>
      <x:c r="N1922" s="10" t="n">
        <x:v>63008.1092369478</x:v>
      </x:c>
      <x:c r="O1922" s="9" t="n">
        <x:v>-0.1466391021</x:v>
      </x:c>
      <x:c r="P1922" s="9" t="n">
        <x:v>0.6113105925</x:v>
      </x:c>
      <x:c r="Q1922" s="9" t="n">
        <x:v>0.1687612208</x:v>
      </x:c>
      <x:c r="R1922" s="3" t="b">
        <x:v>0</x:v>
      </x:c>
      <x:c r="S1922" s="3" t="b">
        <x:v>0</x:v>
      </x:c>
      <x:c r="T1922" s="3" t="b">
        <x:v>0</x:v>
      </x:c>
      <x:c r="U1922" s="2" t="str">
        <x:f>IF(T1922=TRUE,"Priority review",IF(R1922=TRUE,"High cost",IF(S1922=TRUE,"Low quality","Benchmark")))</x:f>
        <x:v>Benchmark</x:v>
      </x:c>
    </x:row>
    <x:row r="1923">
      <x:c r="A1923" s="2" t="str">
        <x:v>330153</x:v>
      </x:c>
      <x:c r="B1923" s="2" t="str">
        <x:v>ELLIS HOSPITAL</x:v>
      </x:c>
      <x:c r="C1923" s="2" t="str">
        <x:v>SCHENECTADY</x:v>
      </x:c>
      <x:c r="D1923" s="2" t="str">
        <x:v>NY</x:v>
      </x:c>
      <x:c r="E1923" s="2" t="str">
        <x:v>Acute Care Hospitals</x:v>
      </x:c>
      <x:c r="F1923" s="2" t="str">
        <x:v>Voluntary non-profit</x:v>
      </x:c>
      <x:c r="G1923" s="2" t="str">
        <x:v>Medium (100-299 beds)</x:v>
      </x:c>
      <x:c r="H1923" s="7" t="n">
        <x:v>3</x:v>
      </x:c>
      <x:c r="I1923" s="7" t="n">
        <x:v>3</x:v>
      </x:c>
      <x:c r="J1923" s="7" t="n">
        <x:v>0.93</x:v>
      </x:c>
      <x:c r="K1923" s="8" t="n">
        <x:v>270</x:v>
      </x:c>
      <x:c r="L1923" s="8" t="n">
        <x:v>11931</x:v>
      </x:c>
      <x:c r="M1923" s="9" t="n">
        <x:v>0.6739020441</x:v>
      </x:c>
      <x:c r="N1923" s="10" t="n">
        <x:v>38860.0583354287</x:v>
      </x:c>
      <x:c r="O1923" s="9" t="n">
        <x:v>-0.0621618558</x:v>
      </x:c>
      <x:c r="P1923" s="9" t="n">
        <x:v>0.6112469438</x:v>
      </x:c>
      <x:c r="Q1923" s="9" t="n">
        <x:v>0.3023634882</x:v>
      </x:c>
      <x:c r="R1923" s="3" t="b">
        <x:v>0</x:v>
      </x:c>
      <x:c r="S1923" s="3" t="b">
        <x:v>0</x:v>
      </x:c>
      <x:c r="T1923" s="3" t="b">
        <x:v>0</x:v>
      </x:c>
      <x:c r="U1923" s="2" t="str">
        <x:f>IF(T1923=TRUE,"Priority review",IF(R1923=TRUE,"High cost",IF(S1923=TRUE,"Low quality","Benchmark")))</x:f>
        <x:v>Benchmark</x:v>
      </x:c>
    </x:row>
    <x:row r="1924">
      <x:c r="A1924" s="2" t="str">
        <x:v>161337</x:v>
      </x:c>
      <x:c r="B1924" s="2" t="str">
        <x:v>VAN BUREN COUNTY HOSPITAL</x:v>
      </x:c>
      <x:c r="C1924" s="2" t="str">
        <x:v>KEOSAUQUA</x:v>
      </x:c>
      <x:c r="D1924" s="2" t="str">
        <x:v>IA</x:v>
      </x:c>
      <x:c r="E1924" s="2" t="str">
        <x:v>Critical Access Hospitals</x:v>
      </x:c>
      <x:c r="F1924" s="2" t="str">
        <x:v>Government</x:v>
      </x:c>
      <x:c r="G1924" s="2" t="str">
        <x:v>Small (&lt;100 beds)</x:v>
      </x:c>
      <x:c r="H1924" s="7"/>
      <x:c r="I1924" s="7"/>
      <x:c r="J1924" s="7"/>
      <x:c r="K1924" s="8" t="n">
        <x:v>25</x:v>
      </x:c>
      <x:c r="L1924" s="8" t="n">
        <x:v>177</x:v>
      </x:c>
      <x:c r="M1924" s="9" t="n">
        <x:v>0.1101369863</x:v>
      </x:c>
      <x:c r="N1924" s="10" t="n">
        <x:v>160162</x:v>
      </x:c>
      <x:c r="O1924" s="9" t="n">
        <x:v>0.0477503486</x:v>
      </x:c>
      <x:c r="P1924" s="9" t="n">
        <x:v>0.6111524164</x:v>
      </x:c>
      <x:c r="Q1924" s="9" t="n">
        <x:v>0.292936803</x:v>
      </x:c>
      <x:c r="R1924" s="3" t="b">
        <x:v>0</x:v>
      </x:c>
      <x:c r="S1924" s="3" t="b">
        <x:v>0</x:v>
      </x:c>
      <x:c r="T1924" s="3" t="b">
        <x:v>0</x:v>
      </x:c>
      <x:c r="U1924" s="2" t="str">
        <x:f>IF(T1924=TRUE,"Priority review",IF(R1924=TRUE,"High cost",IF(S1924=TRUE,"Low quality","Benchmark")))</x:f>
        <x:v>Benchmark</x:v>
      </x:c>
    </x:row>
    <x:row r="1925">
      <x:c r="A1925" s="2" t="str">
        <x:v>120006</x:v>
      </x:c>
      <x:c r="B1925" s="2" t="str">
        <x:v>ADVENTIST HEALTH CASTLE</x:v>
      </x:c>
      <x:c r="C1925" s="2" t="str">
        <x:v>KAILUA</x:v>
      </x:c>
      <x:c r="D1925" s="2" t="str">
        <x:v>HI</x:v>
      </x:c>
      <x:c r="E1925" s="2" t="str">
        <x:v>Acute Care Hospitals</x:v>
      </x:c>
      <x:c r="F1925" s="2" t="str">
        <x:v>Voluntary non-profit</x:v>
      </x:c>
      <x:c r="G1925" s="2" t="str">
        <x:v>Medium (100-299 beds)</x:v>
      </x:c>
      <x:c r="H1925" s="7" t="n">
        <x:v>4</x:v>
      </x:c>
      <x:c r="I1925" s="7" t="n">
        <x:v>4</x:v>
      </x:c>
      <x:c r="J1925" s="7" t="n">
        <x:v>0.91</x:v>
      </x:c>
      <x:c r="K1925" s="8" t="n">
        <x:v>142</x:v>
      </x:c>
      <x:c r="L1925" s="8" t="n">
        <x:v>6795</x:v>
      </x:c>
      <x:c r="M1925" s="9" t="n">
        <x:v>0.5331524667</x:v>
      </x:c>
      <x:c r="N1925" s="10" t="n">
        <x:v>38858.8228108904</x:v>
      </x:c>
      <x:c r="O1925" s="9" t="n">
        <x:v>-0.1036802301</x:v>
      </x:c>
      <x:c r="P1925" s="9" t="n">
        <x:v>0.6104319478</x:v>
      </x:c>
      <x:c r="Q1925" s="9" t="n">
        <x:v>0.6022819886</x:v>
      </x:c>
      <x:c r="R1925" s="3" t="b">
        <x:v>0</x:v>
      </x:c>
      <x:c r="S1925" s="3" t="b">
        <x:v>0</x:v>
      </x:c>
      <x:c r="T1925" s="3" t="b">
        <x:v>0</x:v>
      </x:c>
      <x:c r="U1925" s="2" t="str">
        <x:f>IF(T1925=TRUE,"Priority review",IF(R1925=TRUE,"High cost",IF(S1925=TRUE,"Low quality","Benchmark")))</x:f>
        <x:v>Benchmark</x:v>
      </x:c>
    </x:row>
    <x:row r="1926">
      <x:c r="A1926" s="2" t="str">
        <x:v>050769</x:v>
      </x:c>
      <x:c r="B1926" s="2" t="str">
        <x:v>HOAG ORTHOPEDIC INSTITUTE</x:v>
      </x:c>
      <x:c r="C1926" s="2" t="str">
        <x:v>IRVINE</x:v>
      </x:c>
      <x:c r="D1926" s="2" t="str">
        <x:v>CA</x:v>
      </x:c>
      <x:c r="E1926" s="2" t="str">
        <x:v>Acute Care Hospitals</x:v>
      </x:c>
      <x:c r="F1926" s="2" t="str">
        <x:v>Proprietary</x:v>
      </x:c>
      <x:c r="G1926" s="2" t="str">
        <x:v>Small (&lt;100 beds)</x:v>
      </x:c>
      <x:c r="H1926" s="7"/>
      <x:c r="I1926" s="7" t="n">
        <x:v>4</x:v>
      </x:c>
      <x:c r="J1926" s="7" t="n">
        <x:v>0.88</x:v>
      </x:c>
      <x:c r="K1926" s="8" t="n">
        <x:v>70</x:v>
      </x:c>
      <x:c r="L1926" s="8" t="n">
        <x:v>1778</x:v>
      </x:c>
      <x:c r="M1926" s="9" t="n">
        <x:v>0.1551522248</x:v>
      </x:c>
      <x:c r="N1926" s="10" t="n">
        <x:v>62934.7660292463</x:v>
      </x:c>
      <x:c r="O1926" s="9" t="n">
        <x:v>0.2710064775</x:v>
      </x:c>
      <x:c r="P1926" s="9" t="n">
        <x:v>0.6104129264</x:v>
      </x:c>
      <x:c r="Q1926" s="9" t="n">
        <x:v>0.697486535</x:v>
      </x:c>
      <x:c r="R1926" s="3" t="b">
        <x:v>0</x:v>
      </x:c>
      <x:c r="S1926" s="3" t="b">
        <x:v>0</x:v>
      </x:c>
      <x:c r="T1926" s="3" t="b">
        <x:v>0</x:v>
      </x:c>
      <x:c r="U1926" s="2" t="str">
        <x:f>IF(T1926=TRUE,"Priority review",IF(R1926=TRUE,"High cost",IF(S1926=TRUE,"Low quality","Benchmark")))</x:f>
        <x:v>Benchmark</x:v>
      </x:c>
    </x:row>
    <x:row r="1927">
      <x:c r="A1927" s="2" t="str">
        <x:v>380004</x:v>
      </x:c>
      <x:c r="B1927" s="2" t="str">
        <x:v>PROVIDENCE ST VINCENT MEDICAL CENTER</x:v>
      </x:c>
      <x:c r="C1927" s="2" t="str">
        <x:v>PORTLAND</x:v>
      </x:c>
      <x:c r="D1927" s="2" t="str">
        <x:v>OR</x:v>
      </x:c>
      <x:c r="E1927" s="2" t="str">
        <x:v>Acute Care Hospitals</x:v>
      </x:c>
      <x:c r="F1927" s="2" t="str">
        <x:v>Voluntary non-profit</x:v>
      </x:c>
      <x:c r="G1927" s="2" t="str">
        <x:v>Large (300+ beds)</x:v>
      </x:c>
      <x:c r="H1927" s="7" t="n">
        <x:v>4</x:v>
      </x:c>
      <x:c r="I1927" s="7" t="n">
        <x:v>4</x:v>
      </x:c>
      <x:c r="J1927" s="7" t="n">
        <x:v>0.89</x:v>
      </x:c>
      <x:c r="K1927" s="8" t="n">
        <x:v>514</x:v>
      </x:c>
      <x:c r="L1927" s="8" t="n">
        <x:v>27312</x:v>
      </x:c>
      <x:c r="M1927" s="9" t="n">
        <x:v>0.8213306117</x:v>
      </x:c>
      <x:c r="N1927" s="10" t="n">
        <x:v>43882.7588239602</x:v>
      </x:c>
      <x:c r="O1927" s="9" t="n">
        <x:v>-0.0331028851</x:v>
      </x:c>
      <x:c r="P1927" s="9" t="n">
        <x:v>0.6104100946</x:v>
      </x:c>
      <x:c r="Q1927" s="9" t="n">
        <x:v>0.5899053628</x:v>
      </x:c>
      <x:c r="R1927" s="3" t="b">
        <x:v>0</x:v>
      </x:c>
      <x:c r="S1927" s="3" t="b">
        <x:v>0</x:v>
      </x:c>
      <x:c r="T1927" s="3" t="b">
        <x:v>0</x:v>
      </x:c>
      <x:c r="U1927" s="2" t="str">
        <x:f>IF(T1927=TRUE,"Priority review",IF(R1927=TRUE,"High cost",IF(S1927=TRUE,"Low quality","Benchmark")))</x:f>
        <x:v>Benchmark</x:v>
      </x:c>
    </x:row>
    <x:row r="1928">
      <x:c r="A1928" s="2" t="str">
        <x:v>451358</x:v>
      </x:c>
      <x:c r="B1928" s="2" t="str">
        <x:v>MEMORIAL HOSPITAL</x:v>
      </x:c>
      <x:c r="C1928" s="2" t="str">
        <x:v>SEMINOLE</x:v>
      </x:c>
      <x:c r="D1928" s="2" t="str">
        <x:v>TX</x:v>
      </x:c>
      <x:c r="E1928" s="2" t="str">
        <x:v>Critical Access Hospitals</x:v>
      </x:c>
      <x:c r="F1928" s="2" t="str">
        <x:v>Government</x:v>
      </x:c>
      <x:c r="G1928" s="2" t="str">
        <x:v>Small (&lt;100 beds)</x:v>
      </x:c>
      <x:c r="H1928" s="7"/>
      <x:c r="I1928" s="7"/>
      <x:c r="J1928" s="7"/>
      <x:c r="K1928" s="8" t="n">
        <x:v>25</x:v>
      </x:c>
      <x:c r="L1928" s="8" t="n">
        <x:v>367</x:v>
      </x:c>
      <x:c r="M1928" s="9" t="n">
        <x:v>0.3124590164</x:v>
      </x:c>
      <x:c r="N1928" s="10" t="n">
        <x:v>160127.6512261581</x:v>
      </x:c>
      <x:c r="O1928" s="9" t="n">
        <x:v>-0.5650780898</x:v>
      </x:c>
      <x:c r="P1928" s="9" t="n">
        <x:v>0.6104089219</x:v>
      </x:c>
      <x:c r="Q1928" s="9" t="n">
        <x:v>0.292936803</x:v>
      </x:c>
      <x:c r="R1928" s="3" t="b">
        <x:v>0</x:v>
      </x:c>
      <x:c r="S1928" s="3" t="b">
        <x:v>0</x:v>
      </x:c>
      <x:c r="T1928" s="3" t="b">
        <x:v>0</x:v>
      </x:c>
      <x:c r="U1928" s="2" t="str">
        <x:f>IF(T1928=TRUE,"Priority review",IF(R1928=TRUE,"High cost",IF(S1928=TRUE,"Low quality","Benchmark")))</x:f>
        <x:v>Benchmark</x:v>
      </x:c>
    </x:row>
    <x:row r="1929">
      <x:c r="A1929" s="2" t="str">
        <x:v>451382</x:v>
      </x:c>
      <x:c r="B1929" s="2" t="str">
        <x:v>COMANCHE COUNTY MEDICAL CENTER</x:v>
      </x:c>
      <x:c r="C1929" s="2" t="str">
        <x:v>COMANCHE</x:v>
      </x:c>
      <x:c r="D1929" s="2" t="str">
        <x:v>TX</x:v>
      </x:c>
      <x:c r="E1929" s="2" t="str">
        <x:v>Critical Access Hospitals</x:v>
      </x:c>
      <x:c r="F1929" s="2" t="str">
        <x:v>Voluntary non-profit</x:v>
      </x:c>
      <x:c r="G1929" s="2" t="str">
        <x:v>Small (&lt;100 beds)</x:v>
      </x:c>
      <x:c r="H1929" s="7" t="n">
        <x:v>3</x:v>
      </x:c>
      <x:c r="I1929" s="7"/>
      <x:c r="J1929" s="7"/>
      <x:c r="K1929" s="8" t="n">
        <x:v>16</x:v>
      </x:c>
      <x:c r="L1929" s="8" t="n">
        <x:v>361</x:v>
      </x:c>
      <x:c r="M1929" s="9" t="n">
        <x:v>0.3200136612</x:v>
      </x:c>
      <x:c r="N1929" s="10" t="n">
        <x:v>160006.0831024931</x:v>
      </x:c>
      <x:c r="O1929" s="9" t="n">
        <x:v>-0.4403430639</x:v>
      </x:c>
      <x:c r="P1929" s="9" t="n">
        <x:v>0.6096654275</x:v>
      </x:c>
      <x:c r="Q1929" s="9" t="n">
        <x:v>0.0765799257</x:v>
      </x:c>
      <x:c r="R1929" s="3" t="b">
        <x:v>0</x:v>
      </x:c>
      <x:c r="S1929" s="3" t="b">
        <x:v>1</x:v>
      </x:c>
      <x:c r="T1929" s="3" t="b">
        <x:v>0</x:v>
      </x:c>
      <x:c r="U1929" s="2" t="str">
        <x:f>IF(T1929=TRUE,"Priority review",IF(R1929=TRUE,"High cost",IF(S1929=TRUE,"Low quality","Benchmark")))</x:f>
        <x:v>Low quality</x:v>
      </x:c>
    </x:row>
    <x:row r="1930">
      <x:c r="A1930" s="2" t="str">
        <x:v>050058</x:v>
      </x:c>
      <x:c r="B1930" s="2" t="str">
        <x:v>GLENDALE MEM HOSPITAL &amp; HLTH CENTER</x:v>
      </x:c>
      <x:c r="C1930" s="2" t="str">
        <x:v>GLENDALE</x:v>
      </x:c>
      <x:c r="D1930" s="2" t="str">
        <x:v>CA</x:v>
      </x:c>
      <x:c r="E1930" s="2" t="str">
        <x:v>Acute Care Hospitals</x:v>
      </x:c>
      <x:c r="F1930" s="2" t="str">
        <x:v>Voluntary non-profit</x:v>
      </x:c>
      <x:c r="G1930" s="2" t="str">
        <x:v>Medium (100-299 beds)</x:v>
      </x:c>
      <x:c r="H1930" s="7" t="n">
        <x:v>4</x:v>
      </x:c>
      <x:c r="I1930" s="7" t="n">
        <x:v>2</x:v>
      </x:c>
      <x:c r="J1930" s="7" t="n">
        <x:v>1.11</x:v>
      </x:c>
      <x:c r="K1930" s="8" t="n">
        <x:v>241</x:v>
      </x:c>
      <x:c r="L1930" s="8" t="n">
        <x:v>8686</x:v>
      </x:c>
      <x:c r="M1930" s="9" t="n">
        <x:v>0.4131238238</x:v>
      </x:c>
      <x:c r="N1930" s="10" t="n">
        <x:v>38832.576329726</x:v>
      </x:c>
      <x:c r="O1930" s="9" t="n">
        <x:v>-0.1694245755</x:v>
      </x:c>
      <x:c r="P1930" s="9" t="n">
        <x:v>0.6096169519</x:v>
      </x:c>
      <x:c r="Q1930" s="9" t="n">
        <x:v>0.6022819886</x:v>
      </x:c>
      <x:c r="R1930" s="3" t="b">
        <x:v>0</x:v>
      </x:c>
      <x:c r="S1930" s="3" t="b">
        <x:v>0</x:v>
      </x:c>
      <x:c r="T1930" s="3" t="b">
        <x:v>0</x:v>
      </x:c>
      <x:c r="U1930" s="2" t="str">
        <x:f>IF(T1930=TRUE,"Priority review",IF(R1930=TRUE,"High cost",IF(S1930=TRUE,"Low quality","Benchmark")))</x:f>
        <x:v>Benchmark</x:v>
      </x:c>
    </x:row>
    <x:row r="1931">
      <x:c r="A1931" s="2" t="str">
        <x:v>330181</x:v>
      </x:c>
      <x:c r="B1931" s="2" t="str">
        <x:v>NORTHWELL HOSPITAL GLEN COVE</x:v>
      </x:c>
      <x:c r="C1931" s="2" t="str">
        <x:v>GLEN COVE</x:v>
      </x:c>
      <x:c r="D1931" s="2" t="str">
        <x:v>NY</x:v>
      </x:c>
      <x:c r="E1931" s="2" t="str">
        <x:v>Acute Care Hospitals</x:v>
      </x:c>
      <x:c r="F1931" s="2" t="str">
        <x:v>Voluntary non-profit</x:v>
      </x:c>
      <x:c r="G1931" s="2" t="str">
        <x:v>Small (&lt;100 beds)</x:v>
      </x:c>
      <x:c r="H1931" s="7" t="n">
        <x:v>5</x:v>
      </x:c>
      <x:c r="I1931" s="7" t="n">
        <x:v>4</x:v>
      </x:c>
      <x:c r="J1931" s="7" t="n">
        <x:v>1.14</x:v>
      </x:c>
      <x:c r="K1931" s="8" t="n">
        <x:v>57</x:v>
      </x:c>
      <x:c r="L1931" s="8" t="n">
        <x:v>4288</x:v>
      </x:c>
      <x:c r="M1931" s="9" t="n">
        <x:v>0.9400345125</x:v>
      </x:c>
      <x:c r="N1931" s="10" t="n">
        <x:v>62856.1828358209</x:v>
      </x:c>
      <x:c r="O1931" s="9" t="n">
        <x:v>-0.1697324185</x:v>
      </x:c>
      <x:c r="P1931" s="9" t="n">
        <x:v>0.6095152603</x:v>
      </x:c>
      <x:c r="Q1931" s="9" t="n">
        <x:v>0.6131059246</x:v>
      </x:c>
      <x:c r="R1931" s="3" t="b">
        <x:v>0</x:v>
      </x:c>
      <x:c r="S1931" s="3" t="b">
        <x:v>0</x:v>
      </x:c>
      <x:c r="T1931" s="3" t="b">
        <x:v>0</x:v>
      </x:c>
      <x:c r="U1931" s="2" t="str">
        <x:f>IF(T1931=TRUE,"Priority review",IF(R1931=TRUE,"High cost",IF(S1931=TRUE,"Low quality","Benchmark")))</x:f>
        <x:v>Benchmark</x:v>
      </x:c>
    </x:row>
    <x:row r="1932">
      <x:c r="A1932" s="2" t="str">
        <x:v>291308</x:v>
      </x:c>
      <x:c r="B1932" s="2" t="str">
        <x:v>HUMBOLDT GENERAL HOSPITAL</x:v>
      </x:c>
      <x:c r="C1932" s="2" t="str">
        <x:v>WINNEMUCCA</x:v>
      </x:c>
      <x:c r="D1932" s="2" t="str">
        <x:v>NV</x:v>
      </x:c>
      <x:c r="E1932" s="2" t="str">
        <x:v>Critical Access Hospitals</x:v>
      </x:c>
      <x:c r="F1932" s="2" t="str">
        <x:v>Government</x:v>
      </x:c>
      <x:c r="G1932" s="2" t="str">
        <x:v>Small (&lt;100 beds)</x:v>
      </x:c>
      <x:c r="H1932" s="7" t="n">
        <x:v>2</x:v>
      </x:c>
      <x:c r="I1932" s="7" t="n">
        <x:v>3</x:v>
      </x:c>
      <x:c r="J1932" s="7"/>
      <x:c r="K1932" s="8" t="n">
        <x:v>25</x:v>
      </x:c>
      <x:c r="L1932" s="8" t="n">
        <x:v>503</x:v>
      </x:c>
      <x:c r="M1932" s="9" t="n">
        <x:v>0.2584109589</x:v>
      </x:c>
      <x:c r="N1932" s="10" t="n">
        <x:v>159806.3598409543</x:v>
      </x:c>
      <x:c r="O1932" s="9" t="n">
        <x:v>-0.1085594642</x:v>
      </x:c>
      <x:c r="P1932" s="9" t="n">
        <x:v>0.6089219331</x:v>
      </x:c>
      <x:c r="Q1932" s="9" t="n">
        <x:v>0.0171003717</x:v>
      </x:c>
      <x:c r="R1932" s="3" t="b">
        <x:v>0</x:v>
      </x:c>
      <x:c r="S1932" s="3" t="b">
        <x:v>1</x:v>
      </x:c>
      <x:c r="T1932" s="3" t="b">
        <x:v>0</x:v>
      </x:c>
      <x:c r="U1932" s="2" t="str">
        <x:f>IF(T1932=TRUE,"Priority review",IF(R1932=TRUE,"High cost",IF(S1932=TRUE,"Low quality","Benchmark")))</x:f>
        <x:v>Low quality</x:v>
      </x:c>
    </x:row>
    <x:row r="1933">
      <x:c r="A1933" s="2" t="str">
        <x:v>050077</x:v>
      </x:c>
      <x:c r="B1933" s="2" t="str">
        <x:v>SCRIPPS MERCY HOSPITAL</x:v>
      </x:c>
      <x:c r="C1933" s="2" t="str">
        <x:v>SAN DIEGO</x:v>
      </x:c>
      <x:c r="D1933" s="2" t="str">
        <x:v>CA</x:v>
      </x:c>
      <x:c r="E1933" s="2" t="str">
        <x:v>Acute Care Hospitals</x:v>
      </x:c>
      <x:c r="F1933" s="2" t="str">
        <x:v>Voluntary non-profit</x:v>
      </x:c>
      <x:c r="G1933" s="2" t="str">
        <x:v>Large (300+ beds)</x:v>
      </x:c>
      <x:c r="H1933" s="7" t="n">
        <x:v>4</x:v>
      </x:c>
      <x:c r="I1933" s="7" t="n">
        <x:v>3</x:v>
      </x:c>
      <x:c r="J1933" s="7" t="n">
        <x:v>1.04</x:v>
      </x:c>
      <x:c r="K1933" s="8" t="n">
        <x:v>550</x:v>
      </x:c>
      <x:c r="L1933" s="8" t="n">
        <x:v>29041</x:v>
      </x:c>
      <x:c r="M1933" s="9" t="n">
        <x:v>0.7756880278</x:v>
      </x:c>
      <x:c r="N1933" s="10" t="n">
        <x:v>43747.4793223374</x:v>
      </x:c>
      <x:c r="O1933" s="9" t="n">
        <x:v>-0.1871506061</x:v>
      </x:c>
      <x:c r="P1933" s="9" t="n">
        <x:v>0.6088328076</x:v>
      </x:c>
      <x:c r="Q1933" s="9" t="n">
        <x:v>0.5899053628</x:v>
      </x:c>
      <x:c r="R1933" s="3" t="b">
        <x:v>0</x:v>
      </x:c>
      <x:c r="S1933" s="3" t="b">
        <x:v>0</x:v>
      </x:c>
      <x:c r="T1933" s="3" t="b">
        <x:v>0</x:v>
      </x:c>
      <x:c r="U1933" s="2" t="str">
        <x:f>IF(T1933=TRUE,"Priority review",IF(R1933=TRUE,"High cost",IF(S1933=TRUE,"Low quality","Benchmark")))</x:f>
        <x:v>Benchmark</x:v>
      </x:c>
    </x:row>
    <x:row r="1934">
      <x:c r="A1934" s="2" t="str">
        <x:v>390268</x:v>
      </x:c>
      <x:c r="B1934" s="2" t="str">
        <x:v>MOUNT NITTANY MEDICAL CENTER</x:v>
      </x:c>
      <x:c r="C1934" s="2" t="str">
        <x:v>STATE COLLEGE</x:v>
      </x:c>
      <x:c r="D1934" s="2" t="str">
        <x:v>PA</x:v>
      </x:c>
      <x:c r="E1934" s="2" t="str">
        <x:v>Acute Care Hospitals</x:v>
      </x:c>
      <x:c r="F1934" s="2" t="str">
        <x:v>Voluntary non-profit</x:v>
      </x:c>
      <x:c r="G1934" s="2" t="str">
        <x:v>Medium (100-299 beds)</x:v>
      </x:c>
      <x:c r="H1934" s="7" t="n">
        <x:v>5</x:v>
      </x:c>
      <x:c r="I1934" s="7" t="n">
        <x:v>4</x:v>
      </x:c>
      <x:c r="J1934" s="7" t="n">
        <x:v>1.03</x:v>
      </x:c>
      <x:c r="K1934" s="8" t="n">
        <x:v>248</x:v>
      </x:c>
      <x:c r="L1934" s="8" t="n">
        <x:v>11053</x:v>
      </x:c>
      <x:c r="M1934" s="9" t="n">
        <x:v>0.5297061423</x:v>
      </x:c>
      <x:c r="N1934" s="10" t="n">
        <x:v>38776.5922374016</x:v>
      </x:c>
      <x:c r="O1934" s="9" t="n">
        <x:v>0.1520513975</x:v>
      </x:c>
      <x:c r="P1934" s="9" t="n">
        <x:v>0.608801956</x:v>
      </x:c>
      <x:c r="Q1934" s="9" t="n">
        <x:v>0.8744906275</x:v>
      </x:c>
      <x:c r="R1934" s="3" t="b">
        <x:v>0</x:v>
      </x:c>
      <x:c r="S1934" s="3" t="b">
        <x:v>0</x:v>
      </x:c>
      <x:c r="T1934" s="3" t="b">
        <x:v>0</x:v>
      </x:c>
      <x:c r="U1934" s="2" t="str">
        <x:f>IF(T1934=TRUE,"Priority review",IF(R1934=TRUE,"High cost",IF(S1934=TRUE,"Low quality","Benchmark")))</x:f>
        <x:v>Benchmark</x:v>
      </x:c>
    </x:row>
    <x:row r="1935">
      <x:c r="A1935" s="2" t="str">
        <x:v>040001</x:v>
      </x:c>
      <x:c r="B1935" s="2" t="str">
        <x:v>SILOAM SPRINGS REGIONAL HOSPITAL</x:v>
      </x:c>
      <x:c r="C1935" s="2" t="str">
        <x:v>SILOAM SPRINGS</x:v>
      </x:c>
      <x:c r="D1935" s="2" t="str">
        <x:v>AR</x:v>
      </x:c>
      <x:c r="E1935" s="2" t="str">
        <x:v>Acute Care Hospitals</x:v>
      </x:c>
      <x:c r="F1935" s="2" t="str">
        <x:v>Proprietary</x:v>
      </x:c>
      <x:c r="G1935" s="2" t="str">
        <x:v>Small (&lt;100 beds)</x:v>
      </x:c>
      <x:c r="H1935" s="7" t="n">
        <x:v>3</x:v>
      </x:c>
      <x:c r="I1935" s="7" t="n">
        <x:v>3</x:v>
      </x:c>
      <x:c r="J1935" s="7" t="n">
        <x:v>0.93</x:v>
      </x:c>
      <x:c r="K1935" s="8" t="n">
        <x:v>44</x:v>
      </x:c>
      <x:c r="L1935" s="8" t="n">
        <x:v>1274</x:v>
      </x:c>
      <x:c r="M1935" s="9" t="n">
        <x:v>0.2407222914</x:v>
      </x:c>
      <x:c r="N1935" s="10" t="n">
        <x:v>62790.7095761381</x:v>
      </x:c>
      <x:c r="O1935" s="9" t="n">
        <x:v>-0.0614268452</x:v>
      </x:c>
      <x:c r="P1935" s="9" t="n">
        <x:v>0.6086175943</x:v>
      </x:c>
      <x:c r="Q1935" s="9" t="n">
        <x:v>0.1687612208</x:v>
      </x:c>
      <x:c r="R1935" s="3" t="b">
        <x:v>0</x:v>
      </x:c>
      <x:c r="S1935" s="3" t="b">
        <x:v>0</x:v>
      </x:c>
      <x:c r="T1935" s="3" t="b">
        <x:v>0</x:v>
      </x:c>
      <x:c r="U1935" s="2" t="str">
        <x:f>IF(T1935=TRUE,"Priority review",IF(R1935=TRUE,"High cost",IF(S1935=TRUE,"Low quality","Benchmark")))</x:f>
        <x:v>Benchmark</x:v>
      </x:c>
    </x:row>
    <x:row r="1936">
      <x:c r="A1936" s="2" t="str">
        <x:v>054131</x:v>
      </x:c>
      <x:c r="B1936" s="2" t="str">
        <x:v>JOHN MUIR BEHAVIORAL HEALTH CENTER</x:v>
      </x:c>
      <x:c r="C1936" s="2" t="str">
        <x:v>CONCORD</x:v>
      </x:c>
      <x:c r="D1936" s="2" t="str">
        <x:v>CA</x:v>
      </x:c>
      <x:c r="E1936" s="2" t="str">
        <x:v>Psychiatric</x:v>
      </x:c>
      <x:c r="F1936" s="2" t="str">
        <x:v>Voluntary non-profit</x:v>
      </x:c>
      <x:c r="G1936" s="2" t="str">
        <x:v>Small (&lt;100 beds)</x:v>
      </x:c>
      <x:c r="H1936" s="7"/>
      <x:c r="I1936" s="7"/>
      <x:c r="J1936" s="7"/>
      <x:c r="K1936" s="8" t="n">
        <x:v>73</x:v>
      </x:c>
      <x:c r="L1936" s="8" t="n">
        <x:v>3089</x:v>
      </x:c>
      <x:c r="M1936" s="9" t="n">
        <x:v>0.6913691145</x:v>
      </x:c>
      <x:c r="N1936" s="10" t="n">
        <x:v>15814.9540304306</x:v>
      </x:c>
      <x:c r="O1936" s="9" t="n">
        <x:v>-0.1637735308</x:v>
      </x:c>
      <x:c r="P1936" s="9" t="n">
        <x:v>0.6084142395</x:v>
      </x:c>
      <x:c r="Q1936" s="9" t="n">
        <x:v>0</x:v>
      </x:c>
      <x:c r="R1936" s="3" t="b">
        <x:v>0</x:v>
      </x:c>
      <x:c r="S1936" s="3" t="b">
        <x:v>0</x:v>
      </x:c>
      <x:c r="T1936" s="3" t="b">
        <x:v>0</x:v>
      </x:c>
      <x:c r="U1936" s="2" t="str">
        <x:f>IF(T1936=TRUE,"Priority review",IF(R1936=TRUE,"High cost",IF(S1936=TRUE,"Low quality","Benchmark")))</x:f>
        <x:v>Benchmark</x:v>
      </x:c>
    </x:row>
    <x:row r="1937">
      <x:c r="A1937" s="2" t="str">
        <x:v>231324</x:v>
      </x:c>
      <x:c r="B1937" s="2" t="str">
        <x:v>EATON RAPIDS MEDICAL CENTER</x:v>
      </x:c>
      <x:c r="C1937" s="2" t="str">
        <x:v>EATON RAPIDS</x:v>
      </x:c>
      <x:c r="D1937" s="2" t="str">
        <x:v>MI</x:v>
      </x:c>
      <x:c r="E1937" s="2" t="str">
        <x:v>Critical Access Hospitals</x:v>
      </x:c>
      <x:c r="F1937" s="2" t="str">
        <x:v>Voluntary non-profit</x:v>
      </x:c>
      <x:c r="G1937" s="2" t="str">
        <x:v>Small (&lt;100 beds)</x:v>
      </x:c>
      <x:c r="H1937" s="7"/>
      <x:c r="I1937" s="7"/>
      <x:c r="J1937" s="7"/>
      <x:c r="K1937" s="8" t="n">
        <x:v>20</x:v>
      </x:c>
      <x:c r="L1937" s="8" t="n">
        <x:v>303</x:v>
      </x:c>
      <x:c r="M1937" s="9" t="n">
        <x:v>0.2384931507</x:v>
      </x:c>
      <x:c r="N1937" s="10" t="n">
        <x:v>159560.0066006601</x:v>
      </x:c>
      <x:c r="O1937" s="9" t="n">
        <x:v>0.0199672024</x:v>
      </x:c>
      <x:c r="P1937" s="9" t="n">
        <x:v>0.6081784387</x:v>
      </x:c>
      <x:c r="Q1937" s="9" t="n">
        <x:v>0.292936803</x:v>
      </x:c>
      <x:c r="R1937" s="3" t="b">
        <x:v>0</x:v>
      </x:c>
      <x:c r="S1937" s="3" t="b">
        <x:v>0</x:v>
      </x:c>
      <x:c r="T1937" s="3" t="b">
        <x:v>0</x:v>
      </x:c>
      <x:c r="U1937" s="2" t="str">
        <x:f>IF(T1937=TRUE,"Priority review",IF(R1937=TRUE,"High cost",IF(S1937=TRUE,"Low quality","Benchmark")))</x:f>
        <x:v>Benchmark</x:v>
      </x:c>
    </x:row>
    <x:row r="1938">
      <x:c r="A1938" s="2" t="str">
        <x:v>340060</x:v>
      </x:c>
      <x:c r="B1938" s="2" t="str">
        <x:v>UNC ROCKINGHAM</x:v>
      </x:c>
      <x:c r="C1938" s="2" t="str">
        <x:v>EDEN</x:v>
      </x:c>
      <x:c r="D1938" s="2" t="str">
        <x:v>NC</x:v>
      </x:c>
      <x:c r="E1938" s="2" t="str">
        <x:v>Acute Care Hospitals</x:v>
      </x:c>
      <x:c r="F1938" s="2" t="str">
        <x:v>Voluntary non-profit</x:v>
      </x:c>
      <x:c r="G1938" s="2" t="str">
        <x:v>Medium (100-299 beds)</x:v>
      </x:c>
      <x:c r="H1938" s="7" t="n">
        <x:v>4</x:v>
      </x:c>
      <x:c r="I1938" s="7" t="n">
        <x:v>4</x:v>
      </x:c>
      <x:c r="J1938" s="7" t="n">
        <x:v>0.92</x:v>
      </x:c>
      <x:c r="K1938" s="8" t="n">
        <x:v>108</x:v>
      </x:c>
      <x:c r="L1938" s="8" t="n">
        <x:v>1759</x:v>
      </x:c>
      <x:c r="M1938" s="9" t="n">
        <x:v>0.1828006088</x:v>
      </x:c>
      <x:c r="N1938" s="10" t="n">
        <x:v>38773.5793064241</x:v>
      </x:c>
      <x:c r="O1938" s="9" t="n">
        <x:v>-0.1576452786</x:v>
      </x:c>
      <x:c r="P1938" s="9" t="n">
        <x:v>0.6079869601</x:v>
      </x:c>
      <x:c r="Q1938" s="9" t="n">
        <x:v>0.6022819886</x:v>
      </x:c>
      <x:c r="R1938" s="3" t="b">
        <x:v>0</x:v>
      </x:c>
      <x:c r="S1938" s="3" t="b">
        <x:v>0</x:v>
      </x:c>
      <x:c r="T1938" s="3" t="b">
        <x:v>0</x:v>
      </x:c>
      <x:c r="U1938" s="2" t="str">
        <x:f>IF(T1938=TRUE,"Priority review",IF(R1938=TRUE,"High cost",IF(S1938=TRUE,"Low quality","Benchmark")))</x:f>
        <x:v>Benchmark</x:v>
      </x:c>
    </x:row>
    <x:row r="1939">
      <x:c r="A1939" s="2" t="str">
        <x:v>480002</x:v>
      </x:c>
      <x:c r="B1939" s="2" t="str">
        <x:v>GOV JUAN F LUIS HOSPITAL &amp; MEDICAL CTR</x:v>
      </x:c>
      <x:c r="C1939" s="2" t="str">
        <x:v>ST CROIX</x:v>
      </x:c>
      <x:c r="D1939" s="2" t="str">
        <x:v>VI</x:v>
      </x:c>
      <x:c r="E1939" s="2" t="str">
        <x:v>Acute Care Hospitals</x:v>
      </x:c>
      <x:c r="F1939" s="2" t="str">
        <x:v>Government</x:v>
      </x:c>
      <x:c r="G1939" s="2" t="str">
        <x:v>Small (&lt;100 beds)</x:v>
      </x:c>
      <x:c r="H1939" s="7" t="n">
        <x:v>1</x:v>
      </x:c>
      <x:c r="I1939" s="7"/>
      <x:c r="J1939" s="7"/>
      <x:c r="K1939" s="8" t="n">
        <x:v>54</x:v>
      </x:c>
      <x:c r="L1939" s="8" t="n">
        <x:v>1729</x:v>
      </x:c>
      <x:c r="M1939" s="9" t="n">
        <x:v>0.6003339405</x:v>
      </x:c>
      <x:c r="N1939" s="10" t="n">
        <x:v>62667.3209947947</x:v>
      </x:c>
      <x:c r="O1939" s="9" t="n">
        <x:v>-1.6115716857</x:v>
      </x:c>
      <x:c r="P1939" s="9" t="n">
        <x:v>0.6077199282</x:v>
      </x:c>
      <x:c r="Q1939" s="9" t="n">
        <x:v>0</x:v>
      </x:c>
      <x:c r="R1939" s="3" t="b">
        <x:v>0</x:v>
      </x:c>
      <x:c r="S1939" s="3" t="b">
        <x:v>1</x:v>
      </x:c>
      <x:c r="T1939" s="3" t="b">
        <x:v>0</x:v>
      </x:c>
      <x:c r="U1939" s="2" t="str">
        <x:f>IF(T1939=TRUE,"Priority review",IF(R1939=TRUE,"High cost",IF(S1939=TRUE,"Low quality","Benchmark")))</x:f>
        <x:v>Low quality</x:v>
      </x:c>
    </x:row>
    <x:row r="1940">
      <x:c r="A1940" s="2" t="str">
        <x:v>351311</x:v>
      </x:c>
      <x:c r="B1940" s="2" t="str">
        <x:v>LISBON AREA HEALTH SERVICES</x:v>
      </x:c>
      <x:c r="C1940" s="2" t="str">
        <x:v>LISBON</x:v>
      </x:c>
      <x:c r="D1940" s="2" t="str">
        <x:v>ND</x:v>
      </x:c>
      <x:c r="E1940" s="2" t="str">
        <x:v>Critical Access Hospitals</x:v>
      </x:c>
      <x:c r="F1940" s="2" t="str">
        <x:v>Voluntary non-profit</x:v>
      </x:c>
      <x:c r="G1940" s="2" t="str">
        <x:v>Small (&lt;100 beds)</x:v>
      </x:c>
      <x:c r="H1940" s="7"/>
      <x:c r="I1940" s="7"/>
      <x:c r="J1940" s="7"/>
      <x:c r="K1940" s="8" t="n">
        <x:v>25</x:v>
      </x:c>
      <x:c r="L1940" s="8" t="n">
        <x:v>86</x:v>
      </x:c>
      <x:c r="M1940" s="9" t="n">
        <x:v>0.2546849315</x:v>
      </x:c>
      <x:c r="N1940" s="10" t="n">
        <x:v>159365.8139534884</x:v>
      </x:c>
      <x:c r="O1940" s="9" t="n">
        <x:v>-0.3383797818</x:v>
      </x:c>
      <x:c r="P1940" s="9" t="n">
        <x:v>0.6074349442</x:v>
      </x:c>
      <x:c r="Q1940" s="9" t="n">
        <x:v>0.292936803</x:v>
      </x:c>
      <x:c r="R1940" s="3" t="b">
        <x:v>0</x:v>
      </x:c>
      <x:c r="S1940" s="3" t="b">
        <x:v>0</x:v>
      </x:c>
      <x:c r="T1940" s="3" t="b">
        <x:v>0</x:v>
      </x:c>
      <x:c r="U1940" s="2" t="str">
        <x:f>IF(T1940=TRUE,"Priority review",IF(R1940=TRUE,"High cost",IF(S1940=TRUE,"Low quality","Benchmark")))</x:f>
        <x:v>Benchmark</x:v>
      </x:c>
    </x:row>
    <x:row r="1941">
      <x:c r="A1941" s="2" t="str">
        <x:v>510007</x:v>
      </x:c>
      <x:c r="B1941" s="2" t="str">
        <x:v>ST MARYS MEDICAL CENTER</x:v>
      </x:c>
      <x:c r="C1941" s="2" t="str">
        <x:v>HUNTINGTON</x:v>
      </x:c>
      <x:c r="D1941" s="2" t="str">
        <x:v>WV</x:v>
      </x:c>
      <x:c r="E1941" s="2" t="str">
        <x:v>Acute Care Hospitals</x:v>
      </x:c>
      <x:c r="F1941" s="2" t="str">
        <x:v>Voluntary non-profit</x:v>
      </x:c>
      <x:c r="G1941" s="2" t="str">
        <x:v>Large (300+ beds)</x:v>
      </x:c>
      <x:c r="H1941" s="7" t="n">
        <x:v>3</x:v>
      </x:c>
      <x:c r="I1941" s="7" t="n">
        <x:v>3</x:v>
      </x:c>
      <x:c r="J1941" s="7" t="n">
        <x:v>0.99</x:v>
      </x:c>
      <x:c r="K1941" s="8" t="n">
        <x:v>373</x:v>
      </x:c>
      <x:c r="L1941" s="8" t="n">
        <x:v>13589</x:v>
      </x:c>
      <x:c r="M1941" s="9" t="n">
        <x:v>0.6615537878</x:v>
      </x:c>
      <x:c r="N1941" s="10" t="n">
        <x:v>43677.5219662963</x:v>
      </x:c>
      <x:c r="O1941" s="9" t="n">
        <x:v>-0.0833103005</x:v>
      </x:c>
      <x:c r="P1941" s="9" t="n">
        <x:v>0.6072555205</x:v>
      </x:c>
      <x:c r="Q1941" s="9" t="n">
        <x:v>0.2570977918</x:v>
      </x:c>
      <x:c r="R1941" s="3" t="b">
        <x:v>0</x:v>
      </x:c>
      <x:c r="S1941" s="3" t="b">
        <x:v>0</x:v>
      </x:c>
      <x:c r="T1941" s="3" t="b">
        <x:v>0</x:v>
      </x:c>
      <x:c r="U1941" s="2" t="str">
        <x:f>IF(T1941=TRUE,"Priority review",IF(R1941=TRUE,"High cost",IF(S1941=TRUE,"Low quality","Benchmark")))</x:f>
        <x:v>Benchmark</x:v>
      </x:c>
    </x:row>
    <x:row r="1942">
      <x:c r="A1942" s="2" t="str">
        <x:v>410004</x:v>
      </x:c>
      <x:c r="B1942" s="2" t="str">
        <x:v>ROGER WILLIAMS MEDICAL CENTER</x:v>
      </x:c>
      <x:c r="C1942" s="2" t="str">
        <x:v>PROVIDENCE</x:v>
      </x:c>
      <x:c r="D1942" s="2" t="str">
        <x:v>RI</x:v>
      </x:c>
      <x:c r="E1942" s="2" t="str">
        <x:v>Acute Care Hospitals</x:v>
      </x:c>
      <x:c r="F1942" s="2" t="str">
        <x:v>Proprietary</x:v>
      </x:c>
      <x:c r="G1942" s="2" t="str">
        <x:v>Medium (100-299 beds)</x:v>
      </x:c>
      <x:c r="H1942" s="7" t="n">
        <x:v>3</x:v>
      </x:c>
      <x:c r="I1942" s="7" t="n">
        <x:v>2</x:v>
      </x:c>
      <x:c r="J1942" s="7" t="n">
        <x:v>1.02</x:v>
      </x:c>
      <x:c r="K1942" s="8" t="n">
        <x:v>148</x:v>
      </x:c>
      <x:c r="L1942" s="8" t="n">
        <x:v>5289</x:v>
      </x:c>
      <x:c r="M1942" s="9" t="n">
        <x:v>0.440463004</x:v>
      </x:c>
      <x:c r="N1942" s="10" t="n">
        <x:v>38733.8154660616</x:v>
      </x:c>
      <x:c r="O1942" s="9" t="n">
        <x:v>-0.1506225308</x:v>
      </x:c>
      <x:c r="P1942" s="9" t="n">
        <x:v>0.6071719641</x:v>
      </x:c>
      <x:c r="Q1942" s="9" t="n">
        <x:v>0.3023634882</x:v>
      </x:c>
      <x:c r="R1942" s="3" t="b">
        <x:v>0</x:v>
      </x:c>
      <x:c r="S1942" s="3" t="b">
        <x:v>0</x:v>
      </x:c>
      <x:c r="T1942" s="3" t="b">
        <x:v>0</x:v>
      </x:c>
      <x:c r="U1942" s="2" t="str">
        <x:f>IF(T1942=TRUE,"Priority review",IF(R1942=TRUE,"High cost",IF(S1942=TRUE,"Low quality","Benchmark")))</x:f>
        <x:v>Benchmark</x:v>
      </x:c>
    </x:row>
    <x:row r="1943">
      <x:c r="A1943" s="2" t="str">
        <x:v>464013</x:v>
      </x:c>
      <x:c r="B1943" s="2" t="str">
        <x:v>SALT LAKE BEHAVIORAL HEALTH</x:v>
      </x:c>
      <x:c r="C1943" s="2" t="str">
        <x:v>SALT LAKE CITY</x:v>
      </x:c>
      <x:c r="D1943" s="2" t="str">
        <x:v>UT</x:v>
      </x:c>
      <x:c r="E1943" s="2" t="str">
        <x:v>Psychiatric</x:v>
      </x:c>
      <x:c r="F1943" s="2" t="str">
        <x:v>Proprietary</x:v>
      </x:c>
      <x:c r="G1943" s="2" t="str">
        <x:v>Medium (100-299 beds)</x:v>
      </x:c>
      <x:c r="H1943" s="7"/>
      <x:c r="I1943" s="7"/>
      <x:c r="J1943" s="7"/>
      <x:c r="K1943" s="8" t="n">
        <x:v>118</x:v>
      </x:c>
      <x:c r="L1943" s="8" t="n">
        <x:v>1910</x:v>
      </x:c>
      <x:c r="M1943" s="9" t="n">
        <x:v>0.6512225618</x:v>
      </x:c>
      <x:c r="N1943" s="10" t="n">
        <x:v>16055.1848167539</x:v>
      </x:c>
      <x:c r="O1943" s="9" t="n">
        <x:v>0.1543242187</x:v>
      </x:c>
      <x:c r="P1943" s="9" t="n">
        <x:v>0.6069651741</x:v>
      </x:c>
      <x:c r="Q1943" s="9" t="n">
        <x:v>0</x:v>
      </x:c>
      <x:c r="R1943" s="3" t="b">
        <x:v>0</x:v>
      </x:c>
      <x:c r="S1943" s="3" t="b">
        <x:v>0</x:v>
      </x:c>
      <x:c r="T1943" s="3" t="b">
        <x:v>0</x:v>
      </x:c>
      <x:c r="U1943" s="2" t="str">
        <x:f>IF(T1943=TRUE,"Priority review",IF(R1943=TRUE,"High cost",IF(S1943=TRUE,"Low quality","Benchmark")))</x:f>
        <x:v>Benchmark</x:v>
      </x:c>
    </x:row>
    <x:row r="1944">
      <x:c r="A1944" s="2" t="str">
        <x:v>500084</x:v>
      </x:c>
      <x:c r="B1944" s="2" t="str">
        <x:v>EVERGREENHEALTH MONROE</x:v>
      </x:c>
      <x:c r="C1944" s="2" t="str">
        <x:v>MONROE</x:v>
      </x:c>
      <x:c r="D1944" s="2" t="str">
        <x:v>WA</x:v>
      </x:c>
      <x:c r="E1944" s="2" t="str">
        <x:v>Acute Care Hospitals</x:v>
      </x:c>
      <x:c r="F1944" s="2" t="str">
        <x:v>Government</x:v>
      </x:c>
      <x:c r="G1944" s="2" t="str">
        <x:v>Small (&lt;100 beds)</x:v>
      </x:c>
      <x:c r="H1944" s="7" t="n">
        <x:v>3</x:v>
      </x:c>
      <x:c r="I1944" s="7" t="n">
        <x:v>2</x:v>
      </x:c>
      <x:c r="J1944" s="7" t="n">
        <x:v>0.83</x:v>
      </x:c>
      <x:c r="K1944" s="8" t="n">
        <x:v>26</x:v>
      </x:c>
      <x:c r="L1944" s="8" t="n">
        <x:v>1000</x:v>
      </x:c>
      <x:c r="M1944" s="9" t="n">
        <x:v>0.4040563262</x:v>
      </x:c>
      <x:c r="N1944" s="10" t="n">
        <x:v>62647.531</x:v>
      </x:c>
      <x:c r="O1944" s="9" t="n">
        <x:v>0.1233730671</x:v>
      </x:c>
      <x:c r="P1944" s="9" t="n">
        <x:v>0.6068222621</x:v>
      </x:c>
      <x:c r="Q1944" s="9" t="n">
        <x:v>0.1687612208</x:v>
      </x:c>
      <x:c r="R1944" s="3" t="b">
        <x:v>0</x:v>
      </x:c>
      <x:c r="S1944" s="3" t="b">
        <x:v>0</x:v>
      </x:c>
      <x:c r="T1944" s="3" t="b">
        <x:v>0</x:v>
      </x:c>
      <x:c r="U1944" s="2" t="str">
        <x:f>IF(T1944=TRUE,"Priority review",IF(R1944=TRUE,"High cost",IF(S1944=TRUE,"Low quality","Benchmark")))</x:f>
        <x:v>Benchmark</x:v>
      </x:c>
    </x:row>
    <x:row r="1945">
      <x:c r="A1945" s="2" t="str">
        <x:v>281327</x:v>
      </x:c>
      <x:c r="B1945" s="2" t="str">
        <x:v>COZAD COMMUNITY HOSPITAL</x:v>
      </x:c>
      <x:c r="C1945" s="2" t="str">
        <x:v>COZAD</x:v>
      </x:c>
      <x:c r="D1945" s="2" t="str">
        <x:v>NE</x:v>
      </x:c>
      <x:c r="E1945" s="2" t="str">
        <x:v>Critical Access Hospitals</x:v>
      </x:c>
      <x:c r="F1945" s="2" t="str">
        <x:v>Government</x:v>
      </x:c>
      <x:c r="G1945" s="2" t="str">
        <x:v>Small (&lt;100 beds)</x:v>
      </x:c>
      <x:c r="H1945" s="7"/>
      <x:c r="I1945" s="7"/>
      <x:c r="J1945" s="7"/>
      <x:c r="K1945" s="8" t="n">
        <x:v>20</x:v>
      </x:c>
      <x:c r="L1945" s="8" t="n">
        <x:v>175</x:v>
      </x:c>
      <x:c r="M1945" s="9" t="n">
        <x:v>0.1426027397</x:v>
      </x:c>
      <x:c r="N1945" s="10" t="n">
        <x:v>159358.6228571429</x:v>
      </x:c>
      <x:c r="O1945" s="9" t="n">
        <x:v>-0.1210529805</x:v>
      </x:c>
      <x:c r="P1945" s="9" t="n">
        <x:v>0.6066914498</x:v>
      </x:c>
      <x:c r="Q1945" s="9" t="n">
        <x:v>0.292936803</x:v>
      </x:c>
      <x:c r="R1945" s="3" t="b">
        <x:v>0</x:v>
      </x:c>
      <x:c r="S1945" s="3" t="b">
        <x:v>0</x:v>
      </x:c>
      <x:c r="T1945" s="3" t="b">
        <x:v>0</x:v>
      </x:c>
      <x:c r="U1945" s="2" t="str">
        <x:f>IF(T1945=TRUE,"Priority review",IF(R1945=TRUE,"High cost",IF(S1945=TRUE,"Low quality","Benchmark")))</x:f>
        <x:v>Benchmark</x:v>
      </x:c>
    </x:row>
    <x:row r="1946">
      <x:c r="A1946" s="2" t="str">
        <x:v>340003</x:v>
      </x:c>
      <x:c r="B1946" s="2" t="str">
        <x:v>NORTHERN REGIONAL HOSPITAL</x:v>
      </x:c>
      <x:c r="C1946" s="2" t="str">
        <x:v>MOUNT AIRY</x:v>
      </x:c>
      <x:c r="D1946" s="2" t="str">
        <x:v>NC</x:v>
      </x:c>
      <x:c r="E1946" s="2" t="str">
        <x:v>Acute Care Hospitals</x:v>
      </x:c>
      <x:c r="F1946" s="2" t="str">
        <x:v>Government</x:v>
      </x:c>
      <x:c r="G1946" s="2" t="str">
        <x:v>Medium (100-299 beds)</x:v>
      </x:c>
      <x:c r="H1946" s="7" t="n">
        <x:v>4</x:v>
      </x:c>
      <x:c r="I1946" s="7" t="n">
        <x:v>4</x:v>
      </x:c>
      <x:c r="J1946" s="7" t="n">
        <x:v>0.94</x:v>
      </x:c>
      <x:c r="K1946" s="8" t="n">
        <x:v>100</x:v>
      </x:c>
      <x:c r="L1946" s="8" t="n">
        <x:v>3548</x:v>
      </x:c>
      <x:c r="M1946" s="9" t="n">
        <x:v>0.4308469945</x:v>
      </x:c>
      <x:c r="N1946" s="10" t="n">
        <x:v>38642.8289177001</x:v>
      </x:c>
      <x:c r="O1946" s="9" t="n">
        <x:v>-0.1615646182</x:v>
      </x:c>
      <x:c r="P1946" s="9" t="n">
        <x:v>0.6063569682</x:v>
      </x:c>
      <x:c r="Q1946" s="9" t="n">
        <x:v>0.6022819886</x:v>
      </x:c>
      <x:c r="R1946" s="3" t="b">
        <x:v>0</x:v>
      </x:c>
      <x:c r="S1946" s="3" t="b">
        <x:v>0</x:v>
      </x:c>
      <x:c r="T1946" s="3" t="b">
        <x:v>0</x:v>
      </x:c>
      <x:c r="U1946" s="2" t="str">
        <x:f>IF(T1946=TRUE,"Priority review",IF(R1946=TRUE,"High cost",IF(S1946=TRUE,"Low quality","Benchmark")))</x:f>
        <x:v>Benchmark</x:v>
      </x:c>
    </x:row>
    <x:row r="1947">
      <x:c r="A1947" s="2" t="str">
        <x:v>501315</x:v>
      </x:c>
      <x:c r="B1947" s="2" t="str">
        <x:v>SKYLINE HOSPITAL</x:v>
      </x:c>
      <x:c r="C1947" s="2" t="str">
        <x:v>WHITE SALMON</x:v>
      </x:c>
      <x:c r="D1947" s="2" t="str">
        <x:v>WA</x:v>
      </x:c>
      <x:c r="E1947" s="2" t="str">
        <x:v>Critical Access Hospitals</x:v>
      </x:c>
      <x:c r="F1947" s="2" t="str">
        <x:v>Government</x:v>
      </x:c>
      <x:c r="G1947" s="2" t="str">
        <x:v>Small (&lt;100 beds)</x:v>
      </x:c>
      <x:c r="H1947" s="7"/>
      <x:c r="I1947" s="7"/>
      <x:c r="J1947" s="7"/>
      <x:c r="K1947" s="8" t="n">
        <x:v>14</x:v>
      </x:c>
      <x:c r="L1947" s="8" t="n">
        <x:v>181</x:v>
      </x:c>
      <x:c r="M1947" s="9" t="n">
        <x:v>0.3696330991</x:v>
      </x:c>
      <x:c r="N1947" s="10" t="n">
        <x:v>159032.4419889503</x:v>
      </x:c>
      <x:c r="O1947" s="9" t="n">
        <x:v>-0.0637208385</x:v>
      </x:c>
      <x:c r="P1947" s="9" t="n">
        <x:v>0.6059479554</x:v>
      </x:c>
      <x:c r="Q1947" s="9" t="n">
        <x:v>0.292936803</x:v>
      </x:c>
      <x:c r="R1947" s="3" t="b">
        <x:v>0</x:v>
      </x:c>
      <x:c r="S1947" s="3" t="b">
        <x:v>0</x:v>
      </x:c>
      <x:c r="T1947" s="3" t="b">
        <x:v>0</x:v>
      </x:c>
      <x:c r="U1947" s="2" t="str">
        <x:f>IF(T1947=TRUE,"Priority review",IF(R1947=TRUE,"High cost",IF(S1947=TRUE,"Low quality","Benchmark")))</x:f>
        <x:v>Benchmark</x:v>
      </x:c>
    </x:row>
    <x:row r="1948">
      <x:c r="A1948" s="2" t="str">
        <x:v>490092</x:v>
      </x:c>
      <x:c r="B1948" s="2" t="str">
        <x:v>BON SECOURS SOUTHAMPTON MEMORIAL HOSPITAL</x:v>
      </x:c>
      <x:c r="C1948" s="2" t="str">
        <x:v>FRANKLIN</x:v>
      </x:c>
      <x:c r="D1948" s="2" t="str">
        <x:v>VA</x:v>
      </x:c>
      <x:c r="E1948" s="2" t="str">
        <x:v>Acute Care Hospitals</x:v>
      </x:c>
      <x:c r="F1948" s="2" t="str">
        <x:v>Voluntary non-profit</x:v>
      </x:c>
      <x:c r="G1948" s="2" t="str">
        <x:v>Small (&lt;100 beds)</x:v>
      </x:c>
      <x:c r="H1948" s="7" t="n">
        <x:v>3</x:v>
      </x:c>
      <x:c r="I1948" s="7" t="n">
        <x:v>3</x:v>
      </x:c>
      <x:c r="J1948" s="7" t="n">
        <x:v>0.84</x:v>
      </x:c>
      <x:c r="K1948" s="8" t="n">
        <x:v>42</x:v>
      </x:c>
      <x:c r="L1948" s="8" t="n">
        <x:v>942</x:v>
      </x:c>
      <x:c r="M1948" s="9" t="n">
        <x:v>0.1584699454</x:v>
      </x:c>
      <x:c r="N1948" s="10" t="n">
        <x:v>62569.8704883227</x:v>
      </x:c>
      <x:c r="O1948" s="9" t="n">
        <x:v>-0.2404234285</x:v>
      </x:c>
      <x:c r="P1948" s="9" t="n">
        <x:v>0.6059245961</x:v>
      </x:c>
      <x:c r="Q1948" s="9" t="n">
        <x:v>0.1687612208</x:v>
      </x:c>
      <x:c r="R1948" s="3" t="b">
        <x:v>0</x:v>
      </x:c>
      <x:c r="S1948" s="3" t="b">
        <x:v>0</x:v>
      </x:c>
      <x:c r="T1948" s="3" t="b">
        <x:v>0</x:v>
      </x:c>
      <x:c r="U1948" s="2" t="str">
        <x:f>IF(T1948=TRUE,"Priority review",IF(R1948=TRUE,"High cost",IF(S1948=TRUE,"Low quality","Benchmark")))</x:f>
        <x:v>Benchmark</x:v>
      </x:c>
    </x:row>
    <x:row r="1949">
      <x:c r="A1949" s="2" t="str">
        <x:v>100025</x:v>
      </x:c>
      <x:c r="B1949" s="2" t="str">
        <x:v>SACRED HEART HOSPITAL</x:v>
      </x:c>
      <x:c r="C1949" s="2" t="str">
        <x:v>PENSACOLA</x:v>
      </x:c>
      <x:c r="D1949" s="2" t="str">
        <x:v>FL</x:v>
      </x:c>
      <x:c r="E1949" s="2" t="str">
        <x:v>Acute Care Hospitals</x:v>
      </x:c>
      <x:c r="F1949" s="2" t="str">
        <x:v>Voluntary non-profit</x:v>
      </x:c>
      <x:c r="G1949" s="2" t="str">
        <x:v>Large (300+ beds)</x:v>
      </x:c>
      <x:c r="H1949" s="7" t="n">
        <x:v>4</x:v>
      </x:c>
      <x:c r="I1949" s="7" t="n">
        <x:v>2</x:v>
      </x:c>
      <x:c r="J1949" s="7" t="n">
        <x:v>1</x:v>
      </x:c>
      <x:c r="K1949" s="8" t="n">
        <x:v>583</x:v>
      </x:c>
      <x:c r="L1949" s="8" t="n">
        <x:v>28186</x:v>
      </x:c>
      <x:c r="M1949" s="9" t="n">
        <x:v>0.6755938814</x:v>
      </x:c>
      <x:c r="N1949" s="10" t="n">
        <x:v>43668.8527283048</x:v>
      </x:c>
      <x:c r="O1949" s="9" t="n">
        <x:v>-0.0026142449</x:v>
      </x:c>
      <x:c r="P1949" s="9" t="n">
        <x:v>0.6056782334</x:v>
      </x:c>
      <x:c r="Q1949" s="9" t="n">
        <x:v>0.5899053628</x:v>
      </x:c>
      <x:c r="R1949" s="3" t="b">
        <x:v>0</x:v>
      </x:c>
      <x:c r="S1949" s="3" t="b">
        <x:v>0</x:v>
      </x:c>
      <x:c r="T1949" s="3" t="b">
        <x:v>0</x:v>
      </x:c>
      <x:c r="U1949" s="2" t="str">
        <x:f>IF(T1949=TRUE,"Priority review",IF(R1949=TRUE,"High cost",IF(S1949=TRUE,"Low quality","Benchmark")))</x:f>
        <x:v>Benchmark</x:v>
      </x:c>
    </x:row>
    <x:row r="1950">
      <x:c r="A1950" s="2" t="str">
        <x:v>150034</x:v>
      </x:c>
      <x:c r="B1950" s="2" t="str">
        <x:v>ST MARY MEDICAL CENTER INC</x:v>
      </x:c>
      <x:c r="C1950" s="2" t="str">
        <x:v>HOBART</x:v>
      </x:c>
      <x:c r="D1950" s="2" t="str">
        <x:v>IN</x:v>
      </x:c>
      <x:c r="E1950" s="2" t="str">
        <x:v>Acute Care Hospitals</x:v>
      </x:c>
      <x:c r="F1950" s="2" t="str">
        <x:v>Voluntary non-profit</x:v>
      </x:c>
      <x:c r="G1950" s="2" t="str">
        <x:v>Medium (100-299 beds)</x:v>
      </x:c>
      <x:c r="H1950" s="7" t="n">
        <x:v>3</x:v>
      </x:c>
      <x:c r="I1950" s="7" t="n">
        <x:v>3</x:v>
      </x:c>
      <x:c r="J1950" s="7" t="n">
        <x:v>1.04</x:v>
      </x:c>
      <x:c r="K1950" s="8" t="n">
        <x:v>180</x:v>
      </x:c>
      <x:c r="L1950" s="8" t="n">
        <x:v>8548</x:v>
      </x:c>
      <x:c r="M1950" s="9" t="n">
        <x:v>0.6149771689</x:v>
      </x:c>
      <x:c r="N1950" s="10" t="n">
        <x:v>38587.0367337389</x:v>
      </x:c>
      <x:c r="O1950" s="9" t="n">
        <x:v>0.0848301228</x:v>
      </x:c>
      <x:c r="P1950" s="9" t="n">
        <x:v>0.6055419723</x:v>
      </x:c>
      <x:c r="Q1950" s="9" t="n">
        <x:v>0.3023634882</x:v>
      </x:c>
      <x:c r="R1950" s="3" t="b">
        <x:v>0</x:v>
      </x:c>
      <x:c r="S1950" s="3" t="b">
        <x:v>0</x:v>
      </x:c>
      <x:c r="T1950" s="3" t="b">
        <x:v>0</x:v>
      </x:c>
      <x:c r="U1950" s="2" t="str">
        <x:f>IF(T1950=TRUE,"Priority review",IF(R1950=TRUE,"High cost",IF(S1950=TRUE,"Low quality","Benchmark")))</x:f>
        <x:v>Benchmark</x:v>
      </x:c>
    </x:row>
    <x:row r="1951">
      <x:c r="A1951" s="2" t="str">
        <x:v>101311</x:v>
      </x:c>
      <x:c r="B1951" s="2" t="str">
        <x:v>MADISON COUNTY MEMORIAL HOSPITAL</x:v>
      </x:c>
      <x:c r="C1951" s="2" t="str">
        <x:v>MADISON</x:v>
      </x:c>
      <x:c r="D1951" s="2" t="str">
        <x:v>FL</x:v>
      </x:c>
      <x:c r="E1951" s="2" t="str">
        <x:v>Critical Access Hospitals</x:v>
      </x:c>
      <x:c r="F1951" s="2" t="str">
        <x:v>Government</x:v>
      </x:c>
      <x:c r="G1951" s="2" t="str">
        <x:v>Small (&lt;100 beds)</x:v>
      </x:c>
      <x:c r="H1951" s="7"/>
      <x:c r="I1951" s="7"/>
      <x:c r="J1951" s="7"/>
      <x:c r="K1951" s="8" t="n">
        <x:v>25</x:v>
      </x:c>
      <x:c r="L1951" s="8" t="n">
        <x:v>103</x:v>
      </x:c>
      <x:c r="M1951" s="9" t="n">
        <x:v>0.2845901639</x:v>
      </x:c>
      <x:c r="N1951" s="10" t="n">
        <x:v>158827.0291262136</x:v>
      </x:c>
      <x:c r="O1951" s="9" t="n">
        <x:v>-0.2747923041</x:v>
      </x:c>
      <x:c r="P1951" s="9" t="n">
        <x:v>0.605204461</x:v>
      </x:c>
      <x:c r="Q1951" s="9" t="n">
        <x:v>0.292936803</x:v>
      </x:c>
      <x:c r="R1951" s="3" t="b">
        <x:v>0</x:v>
      </x:c>
      <x:c r="S1951" s="3" t="b">
        <x:v>0</x:v>
      </x:c>
      <x:c r="T1951" s="3" t="b">
        <x:v>0</x:v>
      </x:c>
      <x:c r="U1951" s="2" t="str">
        <x:f>IF(T1951=TRUE,"Priority review",IF(R1951=TRUE,"High cost",IF(S1951=TRUE,"Low quality","Benchmark")))</x:f>
        <x:v>Benchmark</x:v>
      </x:c>
    </x:row>
    <x:row r="1952">
      <x:c r="A1952" s="2" t="str">
        <x:v>364066</x:v>
      </x:c>
      <x:c r="B1952" s="2" t="str">
        <x:v>ASSURANCE HEALTH TOLEDO LLC</x:v>
      </x:c>
      <x:c r="C1952" s="2" t="str">
        <x:v>SYLVANIA</x:v>
      </x:c>
      <x:c r="D1952" s="2" t="str">
        <x:v>OH</x:v>
      </x:c>
      <x:c r="E1952" s="2" t="str">
        <x:v>Psychiatric</x:v>
      </x:c>
      <x:c r="F1952" s="2" t="str">
        <x:v>Proprietary</x:v>
      </x:c>
      <x:c r="G1952" s="2" t="str">
        <x:v>Small (&lt;100 beds)</x:v>
      </x:c>
      <x:c r="H1952" s="7"/>
      <x:c r="I1952" s="7"/>
      <x:c r="J1952" s="7"/>
      <x:c r="K1952" s="8" t="n">
        <x:v>23</x:v>
      </x:c>
      <x:c r="L1952" s="8" t="n">
        <x:v>393</x:v>
      </x:c>
      <x:c r="M1952" s="9" t="n">
        <x:v>0.6476597767</x:v>
      </x:c>
      <x:c r="N1952" s="10" t="n">
        <x:v>15553.3511450382</x:v>
      </x:c>
      <x:c r="O1952" s="9" t="n">
        <x:v>-0.2147602363</x:v>
      </x:c>
      <x:c r="P1952" s="9" t="n">
        <x:v>0.6051779935</x:v>
      </x:c>
      <x:c r="Q1952" s="9" t="n">
        <x:v>0</x:v>
      </x:c>
      <x:c r="R1952" s="3" t="b">
        <x:v>0</x:v>
      </x:c>
      <x:c r="S1952" s="3" t="b">
        <x:v>0</x:v>
      </x:c>
      <x:c r="T1952" s="3" t="b">
        <x:v>0</x:v>
      </x:c>
      <x:c r="U1952" s="2" t="str">
        <x:f>IF(T1952=TRUE,"Priority review",IF(R1952=TRUE,"High cost",IF(S1952=TRUE,"Low quality","Benchmark")))</x:f>
        <x:v>Benchmark</x:v>
      </x:c>
    </x:row>
    <x:row r="1953">
      <x:c r="A1953" s="2" t="str">
        <x:v>050136</x:v>
      </x:c>
      <x:c r="B1953" s="2" t="str">
        <x:v>PETALUMA VALLEY HOSPITAL</x:v>
      </x:c>
      <x:c r="C1953" s="2" t="str">
        <x:v>PETALUMA</x:v>
      </x:c>
      <x:c r="D1953" s="2" t="str">
        <x:v>CA</x:v>
      </x:c>
      <x:c r="E1953" s="2" t="str">
        <x:v>Acute Care Hospitals</x:v>
      </x:c>
      <x:c r="F1953" s="2" t="str">
        <x:v>Voluntary non-profit</x:v>
      </x:c>
      <x:c r="G1953" s="2" t="str">
        <x:v>Small (&lt;100 beds)</x:v>
      </x:c>
      <x:c r="H1953" s="7" t="n">
        <x:v>4</x:v>
      </x:c>
      <x:c r="I1953" s="7" t="n">
        <x:v>3</x:v>
      </x:c>
      <x:c r="J1953" s="7" t="n">
        <x:v>0.97</x:v>
      </x:c>
      <x:c r="K1953" s="8" t="n">
        <x:v>58</x:v>
      </x:c>
      <x:c r="L1953" s="8" t="n">
        <x:v>1758</x:v>
      </x:c>
      <x:c r="M1953" s="9" t="n">
        <x:v>0.3557864903</x:v>
      </x:c>
      <x:c r="N1953" s="10" t="n">
        <x:v>62552.1399317406</x:v>
      </x:c>
      <x:c r="O1953" s="9" t="n">
        <x:v>-0.2843550828</x:v>
      </x:c>
      <x:c r="P1953" s="9" t="n">
        <x:v>0.60502693</x:v>
      </x:c>
      <x:c r="Q1953" s="9" t="n">
        <x:v>0.3913824057</x:v>
      </x:c>
      <x:c r="R1953" s="3" t="b">
        <x:v>0</x:v>
      </x:c>
      <x:c r="S1953" s="3" t="b">
        <x:v>0</x:v>
      </x:c>
      <x:c r="T1953" s="3" t="b">
        <x:v>0</x:v>
      </x:c>
      <x:c r="U1953" s="2" t="str">
        <x:f>IF(T1953=TRUE,"Priority review",IF(R1953=TRUE,"High cost",IF(S1953=TRUE,"Low quality","Benchmark")))</x:f>
        <x:v>Benchmark</x:v>
      </x:c>
    </x:row>
    <x:row r="1954">
      <x:c r="A1954" s="2" t="str">
        <x:v>340075</x:v>
      </x:c>
      <x:c r="B1954" s="2" t="str">
        <x:v>BLUE RIDGE HEALTHCARE HOSPITALS, INC</x:v>
      </x:c>
      <x:c r="C1954" s="2" t="str">
        <x:v>MORGANTON</x:v>
      </x:c>
      <x:c r="D1954" s="2" t="str">
        <x:v>NC</x:v>
      </x:c>
      <x:c r="E1954" s="2" t="str">
        <x:v>Acute Care Hospitals</x:v>
      </x:c>
      <x:c r="F1954" s="2" t="str">
        <x:v>Proprietary</x:v>
      </x:c>
      <x:c r="G1954" s="2" t="str">
        <x:v>Medium (100-299 beds)</x:v>
      </x:c>
      <x:c r="H1954" s="7" t="n">
        <x:v>4</x:v>
      </x:c>
      <x:c r="I1954" s="7" t="n">
        <x:v>3</x:v>
      </x:c>
      <x:c r="J1954" s="7" t="n">
        <x:v>1</x:v>
      </x:c>
      <x:c r="K1954" s="8" t="n">
        <x:v>159</x:v>
      </x:c>
      <x:c r="L1954" s="8" t="n">
        <x:v>8133</x:v>
      </x:c>
      <x:c r="M1954" s="9" t="n">
        <x:v>0.6554320669</x:v>
      </x:c>
      <x:c r="N1954" s="10" t="n">
        <x:v>38517.7851961146</x:v>
      </x:c>
      <x:c r="O1954" s="9" t="n">
        <x:v>0.0570784506</x:v>
      </x:c>
      <x:c r="P1954" s="9" t="n">
        <x:v>0.6047269764</x:v>
      </x:c>
      <x:c r="Q1954" s="9" t="n">
        <x:v>0.6022819886</x:v>
      </x:c>
      <x:c r="R1954" s="3" t="b">
        <x:v>0</x:v>
      </x:c>
      <x:c r="S1954" s="3" t="b">
        <x:v>0</x:v>
      </x:c>
      <x:c r="T1954" s="3" t="b">
        <x:v>0</x:v>
      </x:c>
      <x:c r="U1954" s="2" t="str">
        <x:f>IF(T1954=TRUE,"Priority review",IF(R1954=TRUE,"High cost",IF(S1954=TRUE,"Low quality","Benchmark")))</x:f>
        <x:v>Benchmark</x:v>
      </x:c>
    </x:row>
    <x:row r="1955">
      <x:c r="A1955" s="2" t="str">
        <x:v>421301</x:v>
      </x:c>
      <x:c r="B1955" s="2" t="str">
        <x:v>ABBEVILLE AREA MEDICAL CENTER</x:v>
      </x:c>
      <x:c r="C1955" s="2" t="str">
        <x:v>ABBEVILLE</x:v>
      </x:c>
      <x:c r="D1955" s="2" t="str">
        <x:v>SC</x:v>
      </x:c>
      <x:c r="E1955" s="2" t="str">
        <x:v>Critical Access Hospitals</x:v>
      </x:c>
      <x:c r="F1955" s="2" t="str">
        <x:v>Voluntary non-profit</x:v>
      </x:c>
      <x:c r="G1955" s="2" t="str">
        <x:v>Small (&lt;100 beds)</x:v>
      </x:c>
      <x:c r="H1955" s="7"/>
      <x:c r="I1955" s="7"/>
      <x:c r="J1955" s="7"/>
      <x:c r="K1955" s="8" t="n">
        <x:v>25</x:v>
      </x:c>
      <x:c r="L1955" s="8" t="n">
        <x:v>355</x:v>
      </x:c>
      <x:c r="M1955" s="9" t="n">
        <x:v>0.3381420765</x:v>
      </x:c>
      <x:c r="N1955" s="10" t="n">
        <x:v>158608.1154929578</x:v>
      </x:c>
      <x:c r="O1955" s="9" t="n">
        <x:v>-0.2575723915</x:v>
      </x:c>
      <x:c r="P1955" s="9" t="n">
        <x:v>0.6044609665</x:v>
      </x:c>
      <x:c r="Q1955" s="9" t="n">
        <x:v>0.292936803</x:v>
      </x:c>
      <x:c r="R1955" s="3" t="b">
        <x:v>0</x:v>
      </x:c>
      <x:c r="S1955" s="3" t="b">
        <x:v>0</x:v>
      </x:c>
      <x:c r="T1955" s="3" t="b">
        <x:v>0</x:v>
      </x:c>
      <x:c r="U1955" s="2" t="str">
        <x:f>IF(T1955=TRUE,"Priority review",IF(R1955=TRUE,"High cost",IF(S1955=TRUE,"Low quality","Benchmark")))</x:f>
        <x:v>Benchmark</x:v>
      </x:c>
    </x:row>
    <x:row r="1956">
      <x:c r="A1956" s="2" t="str">
        <x:v>060008</x:v>
      </x:c>
      <x:c r="B1956" s="2" t="str">
        <x:v>SAN LUIS VALLEY REGIONAL  MEDICAL CENTER</x:v>
      </x:c>
      <x:c r="C1956" s="2" t="str">
        <x:v>ALAMOSA</x:v>
      </x:c>
      <x:c r="D1956" s="2" t="str">
        <x:v>CO</x:v>
      </x:c>
      <x:c r="E1956" s="2" t="str">
        <x:v>Acute Care Hospitals</x:v>
      </x:c>
      <x:c r="F1956" s="2" t="str">
        <x:v>Voluntary non-profit</x:v>
      </x:c>
      <x:c r="G1956" s="2" t="str">
        <x:v>Small (&lt;100 beds)</x:v>
      </x:c>
      <x:c r="H1956" s="7" t="n">
        <x:v>3</x:v>
      </x:c>
      <x:c r="I1956" s="7" t="n">
        <x:v>3</x:v>
      </x:c>
      <x:c r="J1956" s="7" t="n">
        <x:v>1.11</x:v>
      </x:c>
      <x:c r="K1956" s="8" t="n">
        <x:v>49</x:v>
      </x:c>
      <x:c r="L1956" s="8" t="n">
        <x:v>1928</x:v>
      </x:c>
      <x:c r="M1956" s="9" t="n">
        <x:v>0.2668157674</x:v>
      </x:c>
      <x:c r="N1956" s="10" t="n">
        <x:v>62490.2837136929</x:v>
      </x:c>
      <x:c r="O1956" s="9" t="n">
        <x:v>-0.0658294008</x:v>
      </x:c>
      <x:c r="P1956" s="9" t="n">
        <x:v>0.6041292639</x:v>
      </x:c>
      <x:c r="Q1956" s="9" t="n">
        <x:v>0.1687612208</x:v>
      </x:c>
      <x:c r="R1956" s="3" t="b">
        <x:v>0</x:v>
      </x:c>
      <x:c r="S1956" s="3" t="b">
        <x:v>0</x:v>
      </x:c>
      <x:c r="T1956" s="3" t="b">
        <x:v>0</x:v>
      </x:c>
      <x:c r="U1956" s="2" t="str">
        <x:f>IF(T1956=TRUE,"Priority review",IF(R1956=TRUE,"High cost",IF(S1956=TRUE,"Low quality","Benchmark")))</x:f>
        <x:v>Benchmark</x:v>
      </x:c>
    </x:row>
    <x:row r="1957">
      <x:c r="A1957" s="2" t="str">
        <x:v>230017</x:v>
      </x:c>
      <x:c r="B1957" s="2" t="str">
        <x:v>BRONSON METHODIST HOSPITAL</x:v>
      </x:c>
      <x:c r="C1957" s="2" t="str">
        <x:v>KALAMAZOO</x:v>
      </x:c>
      <x:c r="D1957" s="2" t="str">
        <x:v>MI</x:v>
      </x:c>
      <x:c r="E1957" s="2" t="str">
        <x:v>Acute Care Hospitals</x:v>
      </x:c>
      <x:c r="F1957" s="2" t="str">
        <x:v>Voluntary non-profit</x:v>
      </x:c>
      <x:c r="G1957" s="2" t="str">
        <x:v>Large (300+ beds)</x:v>
      </x:c>
      <x:c r="H1957" s="7" t="n">
        <x:v>4</x:v>
      </x:c>
      <x:c r="I1957" s="7" t="n">
        <x:v>3</x:v>
      </x:c>
      <x:c r="J1957" s="7" t="n">
        <x:v>0.95</x:v>
      </x:c>
      <x:c r="K1957" s="8" t="n">
        <x:v>415</x:v>
      </x:c>
      <x:c r="L1957" s="8" t="n">
        <x:v>28852</x:v>
      </x:c>
      <x:c r="M1957" s="9" t="n">
        <x:v>0.8201527421</x:v>
      </x:c>
      <x:c r="N1957" s="10" t="n">
        <x:v>43650.5717107999</x:v>
      </x:c>
      <x:c r="O1957" s="9" t="n">
        <x:v>-0.0386545893</x:v>
      </x:c>
      <x:c r="P1957" s="9" t="n">
        <x:v>0.6041009464</x:v>
      </x:c>
      <x:c r="Q1957" s="9" t="n">
        <x:v>0.5899053628</x:v>
      </x:c>
      <x:c r="R1957" s="3" t="b">
        <x:v>0</x:v>
      </x:c>
      <x:c r="S1957" s="3" t="b">
        <x:v>0</x:v>
      </x:c>
      <x:c r="T1957" s="3" t="b">
        <x:v>0</x:v>
      </x:c>
      <x:c r="U1957" s="2" t="str">
        <x:f>IF(T1957=TRUE,"Priority review",IF(R1957=TRUE,"High cost",IF(S1957=TRUE,"Low quality","Benchmark")))</x:f>
        <x:v>Benchmark</x:v>
      </x:c>
    </x:row>
    <x:row r="1958">
      <x:c r="A1958" s="2" t="str">
        <x:v>330221</x:v>
      </x:c>
      <x:c r="B1958" s="2" t="str">
        <x:v>WYCKOFF HEIGHTS MEDICAL CENTER</x:v>
      </x:c>
      <x:c r="C1958" s="2" t="str">
        <x:v>BROOKLYN</x:v>
      </x:c>
      <x:c r="D1958" s="2" t="str">
        <x:v>NY</x:v>
      </x:c>
      <x:c r="E1958" s="2" t="str">
        <x:v>Acute Care Hospitals</x:v>
      </x:c>
      <x:c r="F1958" s="2" t="str">
        <x:v>Voluntary non-profit</x:v>
      </x:c>
      <x:c r="G1958" s="2" t="str">
        <x:v>Medium (100-299 beds)</x:v>
      </x:c>
      <x:c r="H1958" s="7" t="n">
        <x:v>2</x:v>
      </x:c>
      <x:c r="I1958" s="7" t="n">
        <x:v>2</x:v>
      </x:c>
      <x:c r="J1958" s="7" t="n">
        <x:v>1.02</x:v>
      </x:c>
      <x:c r="K1958" s="8" t="n">
        <x:v>240</x:v>
      </x:c>
      <x:c r="L1958" s="8" t="n">
        <x:v>11735</x:v>
      </x:c>
      <x:c r="M1958" s="9" t="n">
        <x:v>0.6179530965</x:v>
      </x:c>
      <x:c r="N1958" s="10" t="n">
        <x:v>38497.3987217725</x:v>
      </x:c>
      <x:c r="O1958" s="9" t="n">
        <x:v>-0.3590014858</x:v>
      </x:c>
      <x:c r="P1958" s="9" t="n">
        <x:v>0.6039119804</x:v>
      </x:c>
      <x:c r="Q1958" s="9" t="n">
        <x:v>0.0782396088</x:v>
      </x:c>
      <x:c r="R1958" s="3" t="b">
        <x:v>0</x:v>
      </x:c>
      <x:c r="S1958" s="3" t="b">
        <x:v>1</x:v>
      </x:c>
      <x:c r="T1958" s="3" t="b">
        <x:v>0</x:v>
      </x:c>
      <x:c r="U1958" s="2" t="str">
        <x:f>IF(T1958=TRUE,"Priority review",IF(R1958=TRUE,"High cost",IF(S1958=TRUE,"Low quality","Benchmark")))</x:f>
        <x:v>Low quality</x:v>
      </x:c>
    </x:row>
    <x:row r="1959">
      <x:c r="A1959" s="2" t="str">
        <x:v>371336</x:v>
      </x:c>
      <x:c r="B1959" s="2" t="str">
        <x:v>NEWMAN MEMORIAL HOSPITAL</x:v>
      </x:c>
      <x:c r="C1959" s="2" t="str">
        <x:v>SHATTUCK</x:v>
      </x:c>
      <x:c r="D1959" s="2" t="str">
        <x:v>OK</x:v>
      </x:c>
      <x:c r="E1959" s="2" t="str">
        <x:v>Critical Access Hospitals</x:v>
      </x:c>
      <x:c r="F1959" s="2" t="str">
        <x:v>Government</x:v>
      </x:c>
      <x:c r="G1959" s="2" t="str">
        <x:v>Small (&lt;100 beds)</x:v>
      </x:c>
      <x:c r="H1959" s="7"/>
      <x:c r="I1959" s="7"/>
      <x:c r="J1959" s="7"/>
      <x:c r="K1959" s="8" t="n">
        <x:v>25</x:v>
      </x:c>
      <x:c r="L1959" s="8" t="n">
        <x:v>114</x:v>
      </x:c>
      <x:c r="M1959" s="9" t="n">
        <x:v>0.3550819672</x:v>
      </x:c>
      <x:c r="N1959" s="10" t="n">
        <x:v>158539.4736842105</x:v>
      </x:c>
      <x:c r="O1959" s="9" t="n">
        <x:v>-0.0216787991</x:v>
      </x:c>
      <x:c r="P1959" s="9" t="n">
        <x:v>0.6037174721</x:v>
      </x:c>
      <x:c r="Q1959" s="9" t="n">
        <x:v>0.292936803</x:v>
      </x:c>
      <x:c r="R1959" s="3" t="b">
        <x:v>0</x:v>
      </x:c>
      <x:c r="S1959" s="3" t="b">
        <x:v>0</x:v>
      </x:c>
      <x:c r="T1959" s="3" t="b">
        <x:v>0</x:v>
      </x:c>
      <x:c r="U1959" s="2" t="str">
        <x:f>IF(T1959=TRUE,"Priority review",IF(R1959=TRUE,"High cost",IF(S1959=TRUE,"Low quality","Benchmark")))</x:f>
        <x:v>Benchmark</x:v>
      </x:c>
    </x:row>
    <x:row r="1960">
      <x:c r="A1960" s="2" t="str">
        <x:v>230037</x:v>
      </x:c>
      <x:c r="B1960" s="2" t="str">
        <x:v>HILLSDALE HOSPITAL</x:v>
      </x:c>
      <x:c r="C1960" s="2" t="str">
        <x:v>HILLSDALE</x:v>
      </x:c>
      <x:c r="D1960" s="2" t="str">
        <x:v>MI</x:v>
      </x:c>
      <x:c r="E1960" s="2" t="str">
        <x:v>Acute Care Hospitals</x:v>
      </x:c>
      <x:c r="F1960" s="2" t="str">
        <x:v>Voluntary non-profit</x:v>
      </x:c>
      <x:c r="G1960" s="2" t="str">
        <x:v>Small (&lt;100 beds)</x:v>
      </x:c>
      <x:c r="H1960" s="7" t="n">
        <x:v>3</x:v>
      </x:c>
      <x:c r="I1960" s="7" t="n">
        <x:v>4</x:v>
      </x:c>
      <x:c r="J1960" s="7" t="n">
        <x:v>0.87</x:v>
      </x:c>
      <x:c r="K1960" s="8" t="n">
        <x:v>44</x:v>
      </x:c>
      <x:c r="L1960" s="8" t="n">
        <x:v>1494</x:v>
      </x:c>
      <x:c r="M1960" s="9" t="n">
        <x:v>0.2589041096</x:v>
      </x:c>
      <x:c r="N1960" s="10" t="n">
        <x:v>62409.3199464525</x:v>
      </x:c>
      <x:c r="O1960" s="9" t="n">
        <x:v>0.0096567037</x:v>
      </x:c>
      <x:c r="P1960" s="9" t="n">
        <x:v>0.6032315978</x:v>
      </x:c>
      <x:c r="Q1960" s="9" t="n">
        <x:v>0.1687612208</x:v>
      </x:c>
      <x:c r="R1960" s="3" t="b">
        <x:v>0</x:v>
      </x:c>
      <x:c r="S1960" s="3" t="b">
        <x:v>0</x:v>
      </x:c>
      <x:c r="T1960" s="3" t="b">
        <x:v>0</x:v>
      </x:c>
      <x:c r="U1960" s="2" t="str">
        <x:f>IF(T1960=TRUE,"Priority review",IF(R1960=TRUE,"High cost",IF(S1960=TRUE,"Low quality","Benchmark")))</x:f>
        <x:v>Benchmark</x:v>
      </x:c>
    </x:row>
    <x:row r="1961">
      <x:c r="A1961" s="2" t="str">
        <x:v>210056</x:v>
      </x:c>
      <x:c r="B1961" s="2" t="str">
        <x:v>MEDSTAR GOOD SAMARITAN HOSPITAL</x:v>
      </x:c>
      <x:c r="C1961" s="2" t="str">
        <x:v>BALTIMORE</x:v>
      </x:c>
      <x:c r="D1961" s="2" t="str">
        <x:v>MD</x:v>
      </x:c>
      <x:c r="E1961" s="2" t="str">
        <x:v>Acute Care Hospitals</x:v>
      </x:c>
      <x:c r="F1961" s="2" t="str">
        <x:v>Voluntary non-profit</x:v>
      </x:c>
      <x:c r="G1961" s="2" t="str">
        <x:v>Medium (100-299 beds)</x:v>
      </x:c>
      <x:c r="H1961" s="7" t="n">
        <x:v>3</x:v>
      </x:c>
      <x:c r="I1961" s="7" t="n">
        <x:v>2</x:v>
      </x:c>
      <x:c r="J1961" s="7"/>
      <x:c r="K1961" s="8" t="n">
        <x:v>200</x:v>
      </x:c>
      <x:c r="L1961" s="8" t="n">
        <x:v>7628</x:v>
      </x:c>
      <x:c r="M1961" s="9" t="n">
        <x:v>0.4971780822</x:v>
      </x:c>
      <x:c r="N1961" s="10" t="n">
        <x:v>38437.1048767698</x:v>
      </x:c>
      <x:c r="O1961" s="9" t="n">
        <x:v>-0.068085883</x:v>
      </x:c>
      <x:c r="P1961" s="9" t="n">
        <x:v>0.6030969845</x:v>
      </x:c>
      <x:c r="Q1961" s="9" t="n">
        <x:v>0.3023634882</x:v>
      </x:c>
      <x:c r="R1961" s="3" t="b">
        <x:v>0</x:v>
      </x:c>
      <x:c r="S1961" s="3" t="b">
        <x:v>0</x:v>
      </x:c>
      <x:c r="T1961" s="3" t="b">
        <x:v>0</x:v>
      </x:c>
      <x:c r="U1961" s="2" t="str">
        <x:f>IF(T1961=TRUE,"Priority review",IF(R1961=TRUE,"High cost",IF(S1961=TRUE,"Low quality","Benchmark")))</x:f>
        <x:v>Benchmark</x:v>
      </x:c>
    </x:row>
    <x:row r="1962">
      <x:c r="A1962" s="2" t="str">
        <x:v>431315</x:v>
      </x:c>
      <x:c r="B1962" s="2" t="str">
        <x:v>WAGNER COMMUNITY MEMORIAL HOSPITAL - CAH</x:v>
      </x:c>
      <x:c r="C1962" s="2" t="str">
        <x:v>WAGNER</x:v>
      </x:c>
      <x:c r="D1962" s="2" t="str">
        <x:v>SD</x:v>
      </x:c>
      <x:c r="E1962" s="2" t="str">
        <x:v>Critical Access Hospitals</x:v>
      </x:c>
      <x:c r="F1962" s="2" t="str">
        <x:v>Voluntary non-profit</x:v>
      </x:c>
      <x:c r="G1962" s="2" t="str">
        <x:v>Small (&lt;100 beds)</x:v>
      </x:c>
      <x:c r="H1962" s="7"/>
      <x:c r="I1962" s="7"/>
      <x:c r="J1962" s="7"/>
      <x:c r="K1962" s="8" t="n">
        <x:v>15</x:v>
      </x:c>
      <x:c r="L1962" s="8" t="n">
        <x:v>122</x:v>
      </x:c>
      <x:c r="M1962" s="9" t="n">
        <x:v>0.260456621</x:v>
      </x:c>
      <x:c r="N1962" s="10" t="n">
        <x:v>158452.0737704918</x:v>
      </x:c>
      <x:c r="O1962" s="9" t="n">
        <x:v>0.0571480063</x:v>
      </x:c>
      <x:c r="P1962" s="9" t="n">
        <x:v>0.6029739777</x:v>
      </x:c>
      <x:c r="Q1962" s="9" t="n">
        <x:v>0.292936803</x:v>
      </x:c>
      <x:c r="R1962" s="3" t="b">
        <x:v>0</x:v>
      </x:c>
      <x:c r="S1962" s="3" t="b">
        <x:v>0</x:v>
      </x:c>
      <x:c r="T1962" s="3" t="b">
        <x:v>0</x:v>
      </x:c>
      <x:c r="U1962" s="2" t="str">
        <x:f>IF(T1962=TRUE,"Priority review",IF(R1962=TRUE,"High cost",IF(S1962=TRUE,"Low quality","Benchmark")))</x:f>
        <x:v>Benchmark</x:v>
      </x:c>
    </x:row>
    <x:row r="1963">
      <x:c r="A1963" s="2" t="str">
        <x:v>100088</x:v>
      </x:c>
      <x:c r="B1963" s="2" t="str">
        <x:v>BAPTIST HEALTH MEDICAL CENTER - JACKSONVILLE</x:v>
      </x:c>
      <x:c r="C1963" s="2" t="str">
        <x:v>JACKSONVILLE</x:v>
      </x:c>
      <x:c r="D1963" s="2" t="str">
        <x:v>FL</x:v>
      </x:c>
      <x:c r="E1963" s="2" t="str">
        <x:v>Acute Care Hospitals</x:v>
      </x:c>
      <x:c r="F1963" s="2" t="str">
        <x:v>Voluntary non-profit</x:v>
      </x:c>
      <x:c r="G1963" s="2" t="str">
        <x:v>Large (300+ beds)</x:v>
      </x:c>
      <x:c r="H1963" s="7" t="n">
        <x:v>4</x:v>
      </x:c>
      <x:c r="I1963" s="7" t="n">
        <x:v>3</x:v>
      </x:c>
      <x:c r="J1963" s="7" t="n">
        <x:v>0.98</x:v>
      </x:c>
      <x:c r="K1963" s="8" t="n">
        <x:v>1051</x:v>
      </x:c>
      <x:c r="L1963" s="8" t="n">
        <x:v>48879</x:v>
      </x:c>
      <x:c r="M1963" s="9" t="n">
        <x:v>0.8435083943</x:v>
      </x:c>
      <x:c r="N1963" s="10" t="n">
        <x:v>43626.8686143334</x:v>
      </x:c>
      <x:c r="O1963" s="9" t="n">
        <x:v>0.1384824522</x:v>
      </x:c>
      <x:c r="P1963" s="9" t="n">
        <x:v>0.6025236593</x:v>
      </x:c>
      <x:c r="Q1963" s="9" t="n">
        <x:v>0.5899053628</x:v>
      </x:c>
      <x:c r="R1963" s="3" t="b">
        <x:v>0</x:v>
      </x:c>
      <x:c r="S1963" s="3" t="b">
        <x:v>0</x:v>
      </x:c>
      <x:c r="T1963" s="3" t="b">
        <x:v>0</x:v>
      </x:c>
      <x:c r="U1963" s="2" t="str">
        <x:f>IF(T1963=TRUE,"Priority review",IF(R1963=TRUE,"High cost",IF(S1963=TRUE,"Low quality","Benchmark")))</x:f>
        <x:v>Benchmark</x:v>
      </x:c>
    </x:row>
    <x:row r="1964">
      <x:c r="A1964" s="2" t="str">
        <x:v>050234</x:v>
      </x:c>
      <x:c r="B1964" s="2" t="str">
        <x:v>SHARP CORONADO HOSPITAL AND HLTHCR CTR</x:v>
      </x:c>
      <x:c r="C1964" s="2" t="str">
        <x:v>CORONADO</x:v>
      </x:c>
      <x:c r="D1964" s="2" t="str">
        <x:v>CA</x:v>
      </x:c>
      <x:c r="E1964" s="2" t="str">
        <x:v>Acute Care Hospitals</x:v>
      </x:c>
      <x:c r="F1964" s="2" t="str">
        <x:v>Proprietary</x:v>
      </x:c>
      <x:c r="G1964" s="2" t="str">
        <x:v>Small (&lt;100 beds)</x:v>
      </x:c>
      <x:c r="H1964" s="7" t="n">
        <x:v>4</x:v>
      </x:c>
      <x:c r="I1964" s="7" t="n">
        <x:v>4</x:v>
      </x:c>
      <x:c r="J1964" s="7" t="n">
        <x:v>0.85</x:v>
      </x:c>
      <x:c r="K1964" s="8" t="n">
        <x:v>59</x:v>
      </x:c>
      <x:c r="L1964" s="8" t="n">
        <x:v>2775</x:v>
      </x:c>
      <x:c r="M1964" s="9" t="n">
        <x:v>0.5298694082</x:v>
      </x:c>
      <x:c r="N1964" s="10" t="n">
        <x:v>62356.4389189189</x:v>
      </x:c>
      <x:c r="O1964" s="9" t="n">
        <x:v>0.0215149678</x:v>
      </x:c>
      <x:c r="P1964" s="9" t="n">
        <x:v>0.6023339318</x:v>
      </x:c>
      <x:c r="Q1964" s="9" t="n">
        <x:v>0.3913824057</x:v>
      </x:c>
      <x:c r="R1964" s="3" t="b">
        <x:v>0</x:v>
      </x:c>
      <x:c r="S1964" s="3" t="b">
        <x:v>0</x:v>
      </x:c>
      <x:c r="T1964" s="3" t="b">
        <x:v>0</x:v>
      </x:c>
      <x:c r="U1964" s="2" t="str">
        <x:f>IF(T1964=TRUE,"Priority review",IF(R1964=TRUE,"High cost",IF(S1964=TRUE,"Low quality","Benchmark")))</x:f>
        <x:v>Benchmark</x:v>
      </x:c>
    </x:row>
    <x:row r="1965">
      <x:c r="A1965" s="2" t="str">
        <x:v>390030</x:v>
      </x:c>
      <x:c r="B1965" s="2" t="str">
        <x:v>SCHUYLKILL MEDICAL CENTER - SOUTH JACKSON STREET</x:v>
      </x:c>
      <x:c r="C1965" s="2" t="str">
        <x:v>POTTSVILLE</x:v>
      </x:c>
      <x:c r="D1965" s="2" t="str">
        <x:v>PA</x:v>
      </x:c>
      <x:c r="E1965" s="2" t="str">
        <x:v>Acute Care Hospitals</x:v>
      </x:c>
      <x:c r="F1965" s="2" t="str">
        <x:v>Voluntary non-profit</x:v>
      </x:c>
      <x:c r="G1965" s="2" t="str">
        <x:v>Medium (100-299 beds)</x:v>
      </x:c>
      <x:c r="H1965" s="7" t="n">
        <x:v>4</x:v>
      </x:c>
      <x:c r="I1965" s="7" t="n">
        <x:v>3</x:v>
      </x:c>
      <x:c r="J1965" s="7" t="n">
        <x:v>1.07</x:v>
      </x:c>
      <x:c r="K1965" s="8" t="n">
        <x:v>118</x:v>
      </x:c>
      <x:c r="L1965" s="8" t="n">
        <x:v>4554</x:v>
      </x:c>
      <x:c r="M1965" s="9" t="n">
        <x:v>0.4704202461</x:v>
      </x:c>
      <x:c r="N1965" s="10" t="n">
        <x:v>38431.8348704436</x:v>
      </x:c>
      <x:c r="O1965" s="9" t="n">
        <x:v>-0.0346370294</x:v>
      </x:c>
      <x:c r="P1965" s="9" t="n">
        <x:v>0.6022819886</x:v>
      </x:c>
      <x:c r="Q1965" s="9" t="n">
        <x:v>0.6022819886</x:v>
      </x:c>
      <x:c r="R1965" s="3" t="b">
        <x:v>0</x:v>
      </x:c>
      <x:c r="S1965" s="3" t="b">
        <x:v>0</x:v>
      </x:c>
      <x:c r="T1965" s="3" t="b">
        <x:v>0</x:v>
      </x:c>
      <x:c r="U1965" s="2" t="str">
        <x:f>IF(T1965=TRUE,"Priority review",IF(R1965=TRUE,"High cost",IF(S1965=TRUE,"Low quality","Benchmark")))</x:f>
        <x:v>Benchmark</x:v>
      </x:c>
    </x:row>
    <x:row r="1966">
      <x:c r="A1966" s="2" t="str">
        <x:v>181323</x:v>
      </x:c>
      <x:c r="B1966" s="2" t="str">
        <x:v>OHIO COUNTY HOSPITAL</x:v>
      </x:c>
      <x:c r="C1966" s="2" t="str">
        <x:v>HARTFORD</x:v>
      </x:c>
      <x:c r="D1966" s="2" t="str">
        <x:v>KY</x:v>
      </x:c>
      <x:c r="E1966" s="2" t="str">
        <x:v>Critical Access Hospitals</x:v>
      </x:c>
      <x:c r="F1966" s="2" t="str">
        <x:v>Proprietary</x:v>
      </x:c>
      <x:c r="G1966" s="2" t="str">
        <x:v>Small (&lt;100 beds)</x:v>
      </x:c>
      <x:c r="H1966" s="7" t="n">
        <x:v>2</x:v>
      </x:c>
      <x:c r="I1966" s="7"/>
      <x:c r="J1966" s="7"/>
      <x:c r="K1966" s="8" t="n">
        <x:v>25</x:v>
      </x:c>
      <x:c r="L1966" s="8" t="n">
        <x:v>629</x:v>
      </x:c>
      <x:c r="M1966" s="9" t="n">
        <x:v>0.2715846995</x:v>
      </x:c>
      <x:c r="N1966" s="10" t="n">
        <x:v>158095.7567567567</x:v>
      </x:c>
      <x:c r="O1966" s="9" t="n">
        <x:v>0.0128564522</x:v>
      </x:c>
      <x:c r="P1966" s="9" t="n">
        <x:v>0.6022304833</x:v>
      </x:c>
      <x:c r="Q1966" s="9" t="n">
        <x:v>0.0171003717</x:v>
      </x:c>
      <x:c r="R1966" s="3" t="b">
        <x:v>0</x:v>
      </x:c>
      <x:c r="S1966" s="3" t="b">
        <x:v>1</x:v>
      </x:c>
      <x:c r="T1966" s="3" t="b">
        <x:v>0</x:v>
      </x:c>
      <x:c r="U1966" s="2" t="str">
        <x:f>IF(T1966=TRUE,"Priority review",IF(R1966=TRUE,"High cost",IF(S1966=TRUE,"Low quality","Benchmark")))</x:f>
        <x:v>Low quality</x:v>
      </x:c>
    </x:row>
    <x:row r="1967">
      <x:c r="A1967" s="2" t="str">
        <x:v>394056</x:v>
      </x:c>
      <x:c r="B1967" s="2" t="str">
        <x:v>TOWER BEHAVIORAL HEALTH</x:v>
      </x:c>
      <x:c r="C1967" s="2" t="str">
        <x:v>READING</x:v>
      </x:c>
      <x:c r="D1967" s="2" t="str">
        <x:v>PA</x:v>
      </x:c>
      <x:c r="E1967" s="2" t="str">
        <x:v>Psychiatric</x:v>
      </x:c>
      <x:c r="F1967" s="2" t="str">
        <x:v>Proprietary</x:v>
      </x:c>
      <x:c r="G1967" s="2" t="str">
        <x:v>Medium (100-299 beds)</x:v>
      </x:c>
      <x:c r="H1967" s="7"/>
      <x:c r="I1967" s="7"/>
      <x:c r="J1967" s="7"/>
      <x:c r="K1967" s="8" t="n">
        <x:v>144</x:v>
      </x:c>
      <x:c r="L1967" s="8" t="n">
        <x:v>2823</x:v>
      </x:c>
      <x:c r="M1967" s="9" t="n">
        <x:v>0.941914003</x:v>
      </x:c>
      <x:c r="N1967" s="10" t="n">
        <x:v>16009.5069075452</x:v>
      </x:c>
      <x:c r="O1967" s="9" t="n">
        <x:v>0.2548028659</x:v>
      </x:c>
      <x:c r="P1967" s="9" t="n">
        <x:v>0.6019900498</x:v>
      </x:c>
      <x:c r="Q1967" s="9" t="n">
        <x:v>0</x:v>
      </x:c>
      <x:c r="R1967" s="3" t="b">
        <x:v>0</x:v>
      </x:c>
      <x:c r="S1967" s="3" t="b">
        <x:v>0</x:v>
      </x:c>
      <x:c r="T1967" s="3" t="b">
        <x:v>0</x:v>
      </x:c>
      <x:c r="U1967" s="2" t="str">
        <x:f>IF(T1967=TRUE,"Priority review",IF(R1967=TRUE,"High cost",IF(S1967=TRUE,"Low quality","Benchmark")))</x:f>
        <x:v>Benchmark</x:v>
      </x:c>
    </x:row>
    <x:row r="1968">
      <x:c r="A1968" s="2" t="str">
        <x:v>104085</x:v>
      </x:c>
      <x:c r="B1968" s="2" t="str">
        <x:v>NEUROBEHAVIORAL HOSPITAL OF THE PALM BEACHES-SOUTH</x:v>
      </x:c>
      <x:c r="C1968" s="2" t="str">
        <x:v>BOYNTON BEACH</x:v>
      </x:c>
      <x:c r="D1968" s="2" t="str">
        <x:v>FL</x:v>
      </x:c>
      <x:c r="E1968" s="2" t="str">
        <x:v>Psychiatric</x:v>
      </x:c>
      <x:c r="F1968" s="2" t="str">
        <x:v>Voluntary non-profit</x:v>
      </x:c>
      <x:c r="G1968" s="2" t="str">
        <x:v>Small (&lt;100 beds)</x:v>
      </x:c>
      <x:c r="H1968" s="7"/>
      <x:c r="I1968" s="7"/>
      <x:c r="J1968" s="7"/>
      <x:c r="K1968" s="8" t="n">
        <x:v>71</x:v>
      </x:c>
      <x:c r="L1968" s="8" t="n">
        <x:v>773</x:v>
      </x:c>
      <x:c r="M1968" s="9" t="n">
        <x:v>0.2857692604</x:v>
      </x:c>
      <x:c r="N1968" s="10" t="n">
        <x:v>15496.509702458</x:v>
      </x:c>
      <x:c r="O1968" s="9" t="n">
        <x:v>-1.2440328141</x:v>
      </x:c>
      <x:c r="P1968" s="9" t="n">
        <x:v>0.6019417476</x:v>
      </x:c>
      <x:c r="Q1968" s="9" t="n">
        <x:v>0</x:v>
      </x:c>
      <x:c r="R1968" s="3" t="b">
        <x:v>0</x:v>
      </x:c>
      <x:c r="S1968" s="3" t="b">
        <x:v>0</x:v>
      </x:c>
      <x:c r="T1968" s="3" t="b">
        <x:v>0</x:v>
      </x:c>
      <x:c r="U1968" s="2" t="str">
        <x:f>IF(T1968=TRUE,"Priority review",IF(R1968=TRUE,"High cost",IF(S1968=TRUE,"Low quality","Benchmark")))</x:f>
        <x:v>Benchmark</x:v>
      </x:c>
    </x:row>
    <x:row r="1969">
      <x:c r="A1969" s="2" t="str">
        <x:v>331313</x:v>
      </x:c>
      <x:c r="B1969" s="2" t="str">
        <x:v>SCHUYLER HOSPITAL</x:v>
      </x:c>
      <x:c r="C1969" s="2" t="str">
        <x:v>MONTOUR FALLS</x:v>
      </x:c>
      <x:c r="D1969" s="2" t="str">
        <x:v>NY</x:v>
      </x:c>
      <x:c r="E1969" s="2" t="str">
        <x:v>Critical Access Hospitals</x:v>
      </x:c>
      <x:c r="F1969" s="2" t="str">
        <x:v>Voluntary non-profit</x:v>
      </x:c>
      <x:c r="G1969" s="2" t="str">
        <x:v>Small (&lt;100 beds)</x:v>
      </x:c>
      <x:c r="H1969" s="7"/>
      <x:c r="I1969" s="7"/>
      <x:c r="J1969" s="7"/>
      <x:c r="K1969" s="8" t="n">
        <x:v>25</x:v>
      </x:c>
      <x:c r="L1969" s="8" t="n">
        <x:v>325</x:v>
      </x:c>
      <x:c r="M1969" s="9" t="n">
        <x:v>0.3444808743</x:v>
      </x:c>
      <x:c r="N1969" s="10" t="n">
        <x:v>157884.9415384615</x:v>
      </x:c>
      <x:c r="O1969" s="9" t="n">
        <x:v>-0.0736951437</x:v>
      </x:c>
      <x:c r="P1969" s="9" t="n">
        <x:v>0.6014869888</x:v>
      </x:c>
      <x:c r="Q1969" s="9" t="n">
        <x:v>0.292936803</x:v>
      </x:c>
      <x:c r="R1969" s="3" t="b">
        <x:v>0</x:v>
      </x:c>
      <x:c r="S1969" s="3" t="b">
        <x:v>0</x:v>
      </x:c>
      <x:c r="T1969" s="3" t="b">
        <x:v>0</x:v>
      </x:c>
      <x:c r="U1969" s="2" t="str">
        <x:f>IF(T1969=TRUE,"Priority review",IF(R1969=TRUE,"High cost",IF(S1969=TRUE,"Low quality","Benchmark")))</x:f>
        <x:v>Benchmark</x:v>
      </x:c>
    </x:row>
    <x:row r="1970">
      <x:c r="A1970" s="2" t="str">
        <x:v>340039</x:v>
      </x:c>
      <x:c r="B1970" s="2" t="str">
        <x:v>IREDELL MEMORIAL HOSPITAL INC</x:v>
      </x:c>
      <x:c r="C1970" s="2" t="str">
        <x:v>STATESVILLE</x:v>
      </x:c>
      <x:c r="D1970" s="2" t="str">
        <x:v>NC</x:v>
      </x:c>
      <x:c r="E1970" s="2" t="str">
        <x:v>Acute Care Hospitals</x:v>
      </x:c>
      <x:c r="F1970" s="2" t="str">
        <x:v>Voluntary non-profit</x:v>
      </x:c>
      <x:c r="G1970" s="2" t="str">
        <x:v>Medium (100-299 beds)</x:v>
      </x:c>
      <x:c r="H1970" s="7" t="n">
        <x:v>3</x:v>
      </x:c>
      <x:c r="I1970" s="7" t="n">
        <x:v>3</x:v>
      </x:c>
      <x:c r="J1970" s="7" t="n">
        <x:v>0.93</x:v>
      </x:c>
      <x:c r="K1970" s="8" t="n">
        <x:v>155</x:v>
      </x:c>
      <x:c r="L1970" s="8" t="n">
        <x:v>6608</x:v>
      </x:c>
      <x:c r="M1970" s="9" t="n">
        <x:v>0.5747576238</x:v>
      </x:c>
      <x:c r="N1970" s="10" t="n">
        <x:v>38412.3541162228</x:v>
      </x:c>
      <x:c r="O1970" s="9" t="n">
        <x:v>0.0310271285</x:v>
      </x:c>
      <x:c r="P1970" s="9" t="n">
        <x:v>0.6014669927</x:v>
      </x:c>
      <x:c r="Q1970" s="9" t="n">
        <x:v>0.3023634882</x:v>
      </x:c>
      <x:c r="R1970" s="3" t="b">
        <x:v>0</x:v>
      </x:c>
      <x:c r="S1970" s="3" t="b">
        <x:v>0</x:v>
      </x:c>
      <x:c r="T1970" s="3" t="b">
        <x:v>0</x:v>
      </x:c>
      <x:c r="U1970" s="2" t="str">
        <x:f>IF(T1970=TRUE,"Priority review",IF(R1970=TRUE,"High cost",IF(S1970=TRUE,"Low quality","Benchmark")))</x:f>
        <x:v>Benchmark</x:v>
      </x:c>
    </x:row>
    <x:row r="1971">
      <x:c r="A1971" s="2" t="str">
        <x:v>330273</x:v>
      </x:c>
      <x:c r="B1971" s="2" t="str">
        <x:v>PUTNAM HOSPITAL CENTER</x:v>
      </x:c>
      <x:c r="C1971" s="2" t="str">
        <x:v>CARMEL</x:v>
      </x:c>
      <x:c r="D1971" s="2" t="str">
        <x:v>NY</x:v>
      </x:c>
      <x:c r="E1971" s="2" t="str">
        <x:v>Acute Care Hospitals</x:v>
      </x:c>
      <x:c r="F1971" s="2" t="str">
        <x:v>Voluntary non-profit</x:v>
      </x:c>
      <x:c r="G1971" s="2" t="str">
        <x:v>Small (&lt;100 beds)</x:v>
      </x:c>
      <x:c r="H1971" s="7" t="n">
        <x:v>3</x:v>
      </x:c>
      <x:c r="I1971" s="7" t="n">
        <x:v>4</x:v>
      </x:c>
      <x:c r="J1971" s="7" t="n">
        <x:v>1</x:v>
      </x:c>
      <x:c r="K1971" s="8" t="n">
        <x:v>86</x:v>
      </x:c>
      <x:c r="L1971" s="8" t="n">
        <x:v>2549</x:v>
      </x:c>
      <x:c r="M1971" s="9" t="n">
        <x:v>0.3440769013</x:v>
      </x:c>
      <x:c r="N1971" s="10" t="n">
        <x:v>62304.6496665359</x:v>
      </x:c>
      <x:c r="O1971" s="9" t="n">
        <x:v>-0.3806378948</x:v>
      </x:c>
      <x:c r="P1971" s="9" t="n">
        <x:v>0.6014362657</x:v>
      </x:c>
      <x:c r="Q1971" s="9" t="n">
        <x:v>0.1687612208</x:v>
      </x:c>
      <x:c r="R1971" s="3" t="b">
        <x:v>0</x:v>
      </x:c>
      <x:c r="S1971" s="3" t="b">
        <x:v>0</x:v>
      </x:c>
      <x:c r="T1971" s="3" t="b">
        <x:v>0</x:v>
      </x:c>
      <x:c r="U1971" s="2" t="str">
        <x:f>IF(T1971=TRUE,"Priority review",IF(R1971=TRUE,"High cost",IF(S1971=TRUE,"Low quality","Benchmark")))</x:f>
        <x:v>Benchmark</x:v>
      </x:c>
    </x:row>
    <x:row r="1972">
      <x:c r="A1972" s="2" t="str">
        <x:v>320021</x:v>
      </x:c>
      <x:c r="B1972" s="2" t="str">
        <x:v>PRESBYTERIAN HOSPITAL</x:v>
      </x:c>
      <x:c r="C1972" s="2" t="str">
        <x:v>ALBUQUERQUE</x:v>
      </x:c>
      <x:c r="D1972" s="2" t="str">
        <x:v>NM</x:v>
      </x:c>
      <x:c r="E1972" s="2" t="str">
        <x:v>Acute Care Hospitals</x:v>
      </x:c>
      <x:c r="F1972" s="2" t="str">
        <x:v>Voluntary non-profit</x:v>
      </x:c>
      <x:c r="G1972" s="2" t="str">
        <x:v>Large (300+ beds)</x:v>
      </x:c>
      <x:c r="H1972" s="7" t="n">
        <x:v>2</x:v>
      </x:c>
      <x:c r="I1972" s="7" t="n">
        <x:v>2</x:v>
      </x:c>
      <x:c r="J1972" s="7" t="n">
        <x:v>0.95</x:v>
      </x:c>
      <x:c r="K1972" s="8" t="n">
        <x:v>772</x:v>
      </x:c>
      <x:c r="L1972" s="8" t="n">
        <x:v>42768</x:v>
      </x:c>
      <x:c r="M1972" s="9" t="n">
        <x:v>0.7381443568</x:v>
      </x:c>
      <x:c r="N1972" s="10" t="n">
        <x:v>43570.8464739992</x:v>
      </x:c>
      <x:c r="O1972" s="9" t="n">
        <x:v>-0.0235988804</x:v>
      </x:c>
      <x:c r="P1972" s="9" t="n">
        <x:v>0.6009463722</x:v>
      </x:c>
      <x:c r="Q1972" s="9" t="n">
        <x:v>0.0536277603</x:v>
      </x:c>
      <x:c r="R1972" s="3" t="b">
        <x:v>0</x:v>
      </x:c>
      <x:c r="S1972" s="3" t="b">
        <x:v>1</x:v>
      </x:c>
      <x:c r="T1972" s="3" t="b">
        <x:v>0</x:v>
      </x:c>
      <x:c r="U1972" s="2" t="str">
        <x:f>IF(T1972=TRUE,"Priority review",IF(R1972=TRUE,"High cost",IF(S1972=TRUE,"Low quality","Benchmark")))</x:f>
        <x:v>Low quality</x:v>
      </x:c>
    </x:row>
    <x:row r="1973">
      <x:c r="A1973" s="2" t="str">
        <x:v>161364</x:v>
      </x:c>
      <x:c r="B1973" s="2" t="str">
        <x:v>JEFFERSON COUNTY HEALTH CENTER</x:v>
      </x:c>
      <x:c r="C1973" s="2" t="str">
        <x:v>FAIRFIELD</x:v>
      </x:c>
      <x:c r="D1973" s="2" t="str">
        <x:v>IA</x:v>
      </x:c>
      <x:c r="E1973" s="2" t="str">
        <x:v>Critical Access Hospitals</x:v>
      </x:c>
      <x:c r="F1973" s="2" t="str">
        <x:v>Government</x:v>
      </x:c>
      <x:c r="G1973" s="2" t="str">
        <x:v>Small (&lt;100 beds)</x:v>
      </x:c>
      <x:c r="H1973" s="7" t="n">
        <x:v>2</x:v>
      </x:c>
      <x:c r="I1973" s="7" t="n">
        <x:v>4</x:v>
      </x:c>
      <x:c r="J1973" s="7"/>
      <x:c r="K1973" s="8" t="n">
        <x:v>25</x:v>
      </x:c>
      <x:c r="L1973" s="8" t="n">
        <x:v>425</x:v>
      </x:c>
      <x:c r="M1973" s="9" t="n">
        <x:v>0.2862465753</x:v>
      </x:c>
      <x:c r="N1973" s="10" t="n">
        <x:v>157707.9129411765</x:v>
      </x:c>
      <x:c r="O1973" s="9" t="n">
        <x:v>0.1035779505</x:v>
      </x:c>
      <x:c r="P1973" s="9" t="n">
        <x:v>0.6007434944</x:v>
      </x:c>
      <x:c r="Q1973" s="9" t="n">
        <x:v>0.0171003717</x:v>
      </x:c>
      <x:c r="R1973" s="3" t="b">
        <x:v>0</x:v>
      </x:c>
      <x:c r="S1973" s="3" t="b">
        <x:v>1</x:v>
      </x:c>
      <x:c r="T1973" s="3" t="b">
        <x:v>0</x:v>
      </x:c>
      <x:c r="U1973" s="2" t="str">
        <x:f>IF(T1973=TRUE,"Priority review",IF(R1973=TRUE,"High cost",IF(S1973=TRUE,"Low quality","Benchmark")))</x:f>
        <x:v>Low quality</x:v>
      </x:c>
    </x:row>
    <x:row r="1974">
      <x:c r="A1974" s="2" t="str">
        <x:v>460006</x:v>
      </x:c>
      <x:c r="B1974" s="2" t="str">
        <x:v>LDS HOSPITAL</x:v>
      </x:c>
      <x:c r="C1974" s="2" t="str">
        <x:v>SALT LAKE CITY</x:v>
      </x:c>
      <x:c r="D1974" s="2" t="str">
        <x:v>UT</x:v>
      </x:c>
      <x:c r="E1974" s="2" t="str">
        <x:v>Acute Care Hospitals</x:v>
      </x:c>
      <x:c r="F1974" s="2" t="str">
        <x:v>Voluntary non-profit</x:v>
      </x:c>
      <x:c r="G1974" s="2" t="str">
        <x:v>Medium (100-299 beds)</x:v>
      </x:c>
      <x:c r="H1974" s="7" t="n">
        <x:v>5</x:v>
      </x:c>
      <x:c r="I1974" s="7" t="n">
        <x:v>4</x:v>
      </x:c>
      <x:c r="J1974" s="7" t="n">
        <x:v>1</x:v>
      </x:c>
      <x:c r="K1974" s="8" t="n">
        <x:v>256</x:v>
      </x:c>
      <x:c r="L1974" s="8" t="n">
        <x:v>9744</x:v>
      </x:c>
      <x:c r="M1974" s="9" t="n">
        <x:v>0.4924329747</x:v>
      </x:c>
      <x:c r="N1974" s="10" t="n">
        <x:v>38266.7076149425</x:v>
      </x:c>
      <x:c r="O1974" s="9" t="n">
        <x:v>-0.0184342625</x:v>
      </x:c>
      <x:c r="P1974" s="9" t="n">
        <x:v>0.6006519967</x:v>
      </x:c>
      <x:c r="Q1974" s="9" t="n">
        <x:v>0.8744906275</x:v>
      </x:c>
      <x:c r="R1974" s="3" t="b">
        <x:v>0</x:v>
      </x:c>
      <x:c r="S1974" s="3" t="b">
        <x:v>0</x:v>
      </x:c>
      <x:c r="T1974" s="3" t="b">
        <x:v>0</x:v>
      </x:c>
      <x:c r="U1974" s="2" t="str">
        <x:f>IF(T1974=TRUE,"Priority review",IF(R1974=TRUE,"High cost",IF(S1974=TRUE,"Low quality","Benchmark")))</x:f>
        <x:v>Benchmark</x:v>
      </x:c>
    </x:row>
    <x:row r="1975">
      <x:c r="A1975" s="2" t="str">
        <x:v>240187</x:v>
      </x:c>
      <x:c r="B1975" s="2" t="str">
        <x:v>HUTCHINSON HEALTH</x:v>
      </x:c>
      <x:c r="C1975" s="2" t="str">
        <x:v>HUTCHINSON</x:v>
      </x:c>
      <x:c r="D1975" s="2" t="str">
        <x:v>MN</x:v>
      </x:c>
      <x:c r="E1975" s="2" t="str">
        <x:v>Acute Care Hospitals</x:v>
      </x:c>
      <x:c r="F1975" s="2" t="str">
        <x:v>Voluntary non-profit</x:v>
      </x:c>
      <x:c r="G1975" s="2" t="str">
        <x:v>Small (&lt;100 beds)</x:v>
      </x:c>
      <x:c r="H1975" s="7" t="n">
        <x:v>3</x:v>
      </x:c>
      <x:c r="I1975" s="7" t="n">
        <x:v>4</x:v>
      </x:c>
      <x:c r="J1975" s="7" t="n">
        <x:v>0.9</x:v>
      </x:c>
      <x:c r="K1975" s="8" t="n">
        <x:v>37</x:v>
      </x:c>
      <x:c r="L1975" s="8" t="n">
        <x:v>1612</x:v>
      </x:c>
      <x:c r="M1975" s="9" t="n">
        <x:v>0.4670654261</x:v>
      </x:c>
      <x:c r="N1975" s="10" t="n">
        <x:v>62169.658808933</x:v>
      </x:c>
      <x:c r="O1975" s="9" t="n">
        <x:v>-0.0546847868</x:v>
      </x:c>
      <x:c r="P1975" s="9" t="n">
        <x:v>0.6005385996</x:v>
      </x:c>
      <x:c r="Q1975" s="9" t="n">
        <x:v>0.1687612208</x:v>
      </x:c>
      <x:c r="R1975" s="3" t="b">
        <x:v>0</x:v>
      </x:c>
      <x:c r="S1975" s="3" t="b">
        <x:v>0</x:v>
      </x:c>
      <x:c r="T1975" s="3" t="b">
        <x:v>0</x:v>
      </x:c>
      <x:c r="U1975" s="2" t="str">
        <x:f>IF(T1975=TRUE,"Priority review",IF(R1975=TRUE,"High cost",IF(S1975=TRUE,"Low quality","Benchmark")))</x:f>
        <x:v>Benchmark</x:v>
      </x:c>
    </x:row>
    <x:row r="1976">
      <x:c r="A1976" s="2" t="str">
        <x:v>384008</x:v>
      </x:c>
      <x:c r="B1976" s="2" t="str">
        <x:v>OREGON STATE HOSPITAL DISTINCT PART</x:v>
      </x:c>
      <x:c r="C1976" s="2" t="str">
        <x:v>SALEM</x:v>
      </x:c>
      <x:c r="D1976" s="2" t="str">
        <x:v>OR</x:v>
      </x:c>
      <x:c r="E1976" s="2" t="str">
        <x:v>Psychiatric</x:v>
      </x:c>
      <x:c r="F1976" s="2" t="str">
        <x:v>Government</x:v>
      </x:c>
      <x:c r="G1976" s="2" t="str">
        <x:v>Large (300+ beds)</x:v>
      </x:c>
      <x:c r="H1976" s="7"/>
      <x:c r="I1976" s="7"/>
      <x:c r="J1976" s="7"/>
      <x:c r="K1976" s="8" t="n">
        <x:v>577</x:v>
      </x:c>
      <x:c r="L1976" s="8" t="n">
        <x:v>1162</x:v>
      </x:c>
      <x:c r="M1976" s="9" t="n">
        <x:v>0.9231737138</x:v>
      </x:c>
      <x:c r="N1976" s="10" t="n">
        <x:v>428214.1833046472</x:v>
      </x:c>
      <x:c r="O1976" s="9" t="n">
        <x:v>-2.0974672008</x:v>
      </x:c>
      <x:c r="P1976" s="9" t="n">
        <x:v>0.6</x:v>
      </x:c>
      <x:c r="Q1976" s="9" t="n">
        <x:v>0</x:v>
      </x:c>
      <x:c r="R1976" s="3" t="b">
        <x:v>0</x:v>
      </x:c>
      <x:c r="S1976" s="3" t="b">
        <x:v>0</x:v>
      </x:c>
      <x:c r="T1976" s="3" t="b">
        <x:v>0</x:v>
      </x:c>
      <x:c r="U1976" s="2" t="str">
        <x:f>IF(T1976=TRUE,"Priority review",IF(R1976=TRUE,"High cost",IF(S1976=TRUE,"Low quality","Benchmark")))</x:f>
        <x:v>Benchmark</x:v>
      </x:c>
    </x:row>
    <x:row r="1977">
      <x:c r="A1977" s="2" t="str">
        <x:v>031309</x:v>
      </x:c>
      <x:c r="B1977" s="2" t="str">
        <x:v>SAGE MEMORIAL HOSPITAL</x:v>
      </x:c>
      <x:c r="C1977" s="2" t="str">
        <x:v>GANADO</x:v>
      </x:c>
      <x:c r="D1977" s="2" t="str">
        <x:v>AZ</x:v>
      </x:c>
      <x:c r="E1977" s="2" t="str">
        <x:v>Critical Access Hospitals</x:v>
      </x:c>
      <x:c r="F1977" s="2" t="str">
        <x:v>Voluntary non-profit</x:v>
      </x:c>
      <x:c r="G1977" s="2" t="str">
        <x:v>Small (&lt;100 beds)</x:v>
      </x:c>
      <x:c r="H1977" s="7"/>
      <x:c r="I1977" s="7"/>
      <x:c r="J1977" s="7"/>
      <x:c r="K1977" s="8" t="n">
        <x:v>25</x:v>
      </x:c>
      <x:c r="L1977" s="8" t="n">
        <x:v>399</x:v>
      </x:c>
      <x:c r="M1977" s="9" t="n">
        <x:v>0.2618579235</x:v>
      </x:c>
      <x:c r="N1977" s="10" t="n">
        <x:v>157118.2030075188</x:v>
      </x:c>
      <x:c r="O1977" s="9" t="n">
        <x:v>-0.7554723537</x:v>
      </x:c>
      <x:c r="P1977" s="9" t="n">
        <x:v>0.6</x:v>
      </x:c>
      <x:c r="Q1977" s="9" t="n">
        <x:v>0.292936803</x:v>
      </x:c>
      <x:c r="R1977" s="3" t="b">
        <x:v>0</x:v>
      </x:c>
      <x:c r="S1977" s="3" t="b">
        <x:v>0</x:v>
      </x:c>
      <x:c r="T1977" s="3" t="b">
        <x:v>0</x:v>
      </x:c>
      <x:c r="U1977" s="2" t="str">
        <x:f>IF(T1977=TRUE,"Priority review",IF(R1977=TRUE,"High cost",IF(S1977=TRUE,"Low quality","Benchmark")))</x:f>
        <x:v>Benchmark</x:v>
      </x:c>
    </x:row>
    <x:row r="1978">
      <x:c r="A1978" s="2" t="str">
        <x:v>140063</x:v>
      </x:c>
      <x:c r="B1978" s="2" t="str">
        <x:v>RUSH OAK PARK HOSPITAL</x:v>
      </x:c>
      <x:c r="C1978" s="2" t="str">
        <x:v>OAK PARK</x:v>
      </x:c>
      <x:c r="D1978" s="2" t="str">
        <x:v>IL</x:v>
      </x:c>
      <x:c r="E1978" s="2" t="str">
        <x:v>Acute Care Hospitals</x:v>
      </x:c>
      <x:c r="F1978" s="2" t="str">
        <x:v>Voluntary non-profit</x:v>
      </x:c>
      <x:c r="G1978" s="2" t="str">
        <x:v>Medium (100-299 beds)</x:v>
      </x:c>
      <x:c r="H1978" s="7" t="n">
        <x:v>4</x:v>
      </x:c>
      <x:c r="I1978" s="7" t="n">
        <x:v>2</x:v>
      </x:c>
      <x:c r="J1978" s="7" t="n">
        <x:v>0.9</x:v>
      </x:c>
      <x:c r="K1978" s="8" t="n">
        <x:v>185</x:v>
      </x:c>
      <x:c r="L1978" s="8" t="n">
        <x:v>4805</x:v>
      </x:c>
      <x:c r="M1978" s="9" t="n">
        <x:v>0.2985560903</x:v>
      </x:c>
      <x:c r="N1978" s="10" t="n">
        <x:v>38179.7460978148</x:v>
      </x:c>
      <x:c r="O1978" s="9" t="n">
        <x:v>0.0429922154</x:v>
      </x:c>
      <x:c r="P1978" s="9" t="n">
        <x:v>0.5998370008</x:v>
      </x:c>
      <x:c r="Q1978" s="9" t="n">
        <x:v>0.6022819886</x:v>
      </x:c>
      <x:c r="R1978" s="3" t="b">
        <x:v>0</x:v>
      </x:c>
      <x:c r="S1978" s="3" t="b">
        <x:v>0</x:v>
      </x:c>
      <x:c r="T1978" s="3" t="b">
        <x:v>0</x:v>
      </x:c>
      <x:c r="U1978" s="2" t="str">
        <x:f>IF(T1978=TRUE,"Priority review",IF(R1978=TRUE,"High cost",IF(S1978=TRUE,"Low quality","Benchmark")))</x:f>
        <x:v>Benchmark</x:v>
      </x:c>
    </x:row>
    <x:row r="1979">
      <x:c r="A1979" s="2" t="str">
        <x:v>370235</x:v>
      </x:c>
      <x:c r="B1979" s="2" t="str">
        <x:v>ASCENSION ST JOHN BROKEN ARROW</x:v>
      </x:c>
      <x:c r="C1979" s="2" t="str">
        <x:v>BROKEN ARROW</x:v>
      </x:c>
      <x:c r="D1979" s="2" t="str">
        <x:v>OK</x:v>
      </x:c>
      <x:c r="E1979" s="2" t="str">
        <x:v>Acute Care Hospitals</x:v>
      </x:c>
      <x:c r="F1979" s="2" t="str">
        <x:v>Voluntary non-profit</x:v>
      </x:c>
      <x:c r="G1979" s="2" t="str">
        <x:v>Small (&lt;100 beds)</x:v>
      </x:c>
      <x:c r="H1979" s="7" t="n">
        <x:v>4</x:v>
      </x:c>
      <x:c r="I1979" s="7" t="n">
        <x:v>4</x:v>
      </x:c>
      <x:c r="J1979" s="7" t="n">
        <x:v>0.98</x:v>
      </x:c>
      <x:c r="K1979" s="8" t="n">
        <x:v>67</x:v>
      </x:c>
      <x:c r="L1979" s="8" t="n">
        <x:v>1781</x:v>
      </x:c>
      <x:c r="M1979" s="9" t="n">
        <x:v>0.2311941084</x:v>
      </x:c>
      <x:c r="N1979" s="10" t="n">
        <x:v>62160.636159461</x:v>
      </x:c>
      <x:c r="O1979" s="9" t="n">
        <x:v>0.0276897151</x:v>
      </x:c>
      <x:c r="P1979" s="9" t="n">
        <x:v>0.5996409336</x:v>
      </x:c>
      <x:c r="Q1979" s="9" t="n">
        <x:v>0.3913824057</x:v>
      </x:c>
      <x:c r="R1979" s="3" t="b">
        <x:v>0</x:v>
      </x:c>
      <x:c r="S1979" s="3" t="b">
        <x:v>0</x:v>
      </x:c>
      <x:c r="T1979" s="3" t="b">
        <x:v>0</x:v>
      </x:c>
      <x:c r="U1979" s="2" t="str">
        <x:f>IF(T1979=TRUE,"Priority review",IF(R1979=TRUE,"High cost",IF(S1979=TRUE,"Low quality","Benchmark")))</x:f>
        <x:v>Benchmark</x:v>
      </x:c>
    </x:row>
    <x:row r="1980">
      <x:c r="A1980" s="2" t="str">
        <x:v>140091</x:v>
      </x:c>
      <x:c r="B1980" s="2" t="str">
        <x:v>CARLE FOUNDATION HOSPITAL</x:v>
      </x:c>
      <x:c r="C1980" s="2" t="str">
        <x:v>URBANA</x:v>
      </x:c>
      <x:c r="D1980" s="2" t="str">
        <x:v>IL</x:v>
      </x:c>
      <x:c r="E1980" s="2" t="str">
        <x:v>Acute Care Hospitals</x:v>
      </x:c>
      <x:c r="F1980" s="2" t="str">
        <x:v>Voluntary non-profit</x:v>
      </x:c>
      <x:c r="G1980" s="2" t="str">
        <x:v>Large (300+ beds)</x:v>
      </x:c>
      <x:c r="H1980" s="7" t="n">
        <x:v>2</x:v>
      </x:c>
      <x:c r="I1980" s="7" t="n">
        <x:v>3</x:v>
      </x:c>
      <x:c r="J1980" s="7" t="n">
        <x:v>0.96</x:v>
      </x:c>
      <x:c r="K1980" s="8" t="n">
        <x:v>469</x:v>
      </x:c>
      <x:c r="L1980" s="8" t="n">
        <x:v>27159</x:v>
      </x:c>
      <x:c r="M1980" s="9" t="n">
        <x:v>0.8577720298</x:v>
      </x:c>
      <x:c r="N1980" s="10" t="n">
        <x:v>43467.4300600169</x:v>
      </x:c>
      <x:c r="O1980" s="9" t="n">
        <x:v>0.2009691065</x:v>
      </x:c>
      <x:c r="P1980" s="9" t="n">
        <x:v>0.5993690852</x:v>
      </x:c>
      <x:c r="Q1980" s="9" t="n">
        <x:v>0.0536277603</x:v>
      </x:c>
      <x:c r="R1980" s="3" t="b">
        <x:v>0</x:v>
      </x:c>
      <x:c r="S1980" s="3" t="b">
        <x:v>1</x:v>
      </x:c>
      <x:c r="T1980" s="3" t="b">
        <x:v>0</x:v>
      </x:c>
      <x:c r="U1980" s="2" t="str">
        <x:f>IF(T1980=TRUE,"Priority review",IF(R1980=TRUE,"High cost",IF(S1980=TRUE,"Low quality","Benchmark")))</x:f>
        <x:v>Low quality</x:v>
      </x:c>
    </x:row>
    <x:row r="1981">
      <x:c r="A1981" s="2" t="str">
        <x:v>511314</x:v>
      </x:c>
      <x:c r="B1981" s="2" t="str">
        <x:v>POCAHONTAS MEMORIAL HOSPITAL</x:v>
      </x:c>
      <x:c r="C1981" s="2" t="str">
        <x:v>BUCKEYE</x:v>
      </x:c>
      <x:c r="D1981" s="2" t="str">
        <x:v>WV</x:v>
      </x:c>
      <x:c r="E1981" s="2" t="str">
        <x:v>Critical Access Hospitals</x:v>
      </x:c>
      <x:c r="F1981" s="2" t="str">
        <x:v>Government</x:v>
      </x:c>
      <x:c r="G1981" s="2" t="str">
        <x:v>Small (&lt;100 beds)</x:v>
      </x:c>
      <x:c r="H1981" s="7"/>
      <x:c r="I1981" s="7"/>
      <x:c r="J1981" s="7"/>
      <x:c r="K1981" s="8" t="n">
        <x:v>25</x:v>
      </x:c>
      <x:c r="L1981" s="8" t="n">
        <x:v>158</x:v>
      </x:c>
      <x:c r="M1981" s="9" t="n">
        <x:v>0.1196712329</x:v>
      </x:c>
      <x:c r="N1981" s="10" t="n">
        <x:v>157027.9746835443</x:v>
      </x:c>
      <x:c r="O1981" s="9" t="n">
        <x:v>0.0056997966</x:v>
      </x:c>
      <x:c r="P1981" s="9" t="n">
        <x:v>0.5992565056</x:v>
      </x:c>
      <x:c r="Q1981" s="9" t="n">
        <x:v>0.292936803</x:v>
      </x:c>
      <x:c r="R1981" s="3" t="b">
        <x:v>0</x:v>
      </x:c>
      <x:c r="S1981" s="3" t="b">
        <x:v>0</x:v>
      </x:c>
      <x:c r="T1981" s="3" t="b">
        <x:v>0</x:v>
      </x:c>
      <x:c r="U1981" s="2" t="str">
        <x:f>IF(T1981=TRUE,"Priority review",IF(R1981=TRUE,"High cost",IF(S1981=TRUE,"Low quality","Benchmark")))</x:f>
        <x:v>Benchmark</x:v>
      </x:c>
    </x:row>
    <x:row r="1982">
      <x:c r="A1982" s="2" t="str">
        <x:v>330164</x:v>
      </x:c>
      <x:c r="B1982" s="2" t="str">
        <x:v>HIGHLAND HOSPITAL</x:v>
      </x:c>
      <x:c r="C1982" s="2" t="str">
        <x:v>ROCHESTER</x:v>
      </x:c>
      <x:c r="D1982" s="2" t="str">
        <x:v>NY</x:v>
      </x:c>
      <x:c r="E1982" s="2" t="str">
        <x:v>Acute Care Hospitals</x:v>
      </x:c>
      <x:c r="F1982" s="2" t="str">
        <x:v>Voluntary non-profit</x:v>
      </x:c>
      <x:c r="G1982" s="2" t="str">
        <x:v>Medium (100-299 beds)</x:v>
      </x:c>
      <x:c r="H1982" s="7" t="n">
        <x:v>3</x:v>
      </x:c>
      <x:c r="I1982" s="7" t="n">
        <x:v>3</x:v>
      </x:c>
      <x:c r="J1982" s="7" t="n">
        <x:v>0.91</x:v>
      </x:c>
      <x:c r="K1982" s="8" t="n">
        <x:v>261</x:v>
      </x:c>
      <x:c r="L1982" s="8" t="n">
        <x:v>15282</x:v>
      </x:c>
      <x:c r="M1982" s="9" t="n">
        <x:v>0.9978481079</x:v>
      </x:c>
      <x:c r="N1982" s="10" t="n">
        <x:v>38035.8717445361</x:v>
      </x:c>
      <x:c r="O1982" s="9" t="n">
        <x:v>-0.0441985474</x:v>
      </x:c>
      <x:c r="P1982" s="9" t="n">
        <x:v>0.5990220049</x:v>
      </x:c>
      <x:c r="Q1982" s="9" t="n">
        <x:v>0.3023634882</x:v>
      </x:c>
      <x:c r="R1982" s="3" t="b">
        <x:v>0</x:v>
      </x:c>
      <x:c r="S1982" s="3" t="b">
        <x:v>0</x:v>
      </x:c>
      <x:c r="T1982" s="3" t="b">
        <x:v>0</x:v>
      </x:c>
      <x:c r="U1982" s="2" t="str">
        <x:f>IF(T1982=TRUE,"Priority review",IF(R1982=TRUE,"High cost",IF(S1982=TRUE,"Low quality","Benchmark")))</x:f>
        <x:v>Benchmark</x:v>
      </x:c>
    </x:row>
    <x:row r="1983">
      <x:c r="A1983" s="2" t="str">
        <x:v>230110</x:v>
      </x:c>
      <x:c r="B1983" s="2" t="str">
        <x:v>COREWELL HEALTH LUDINGTON HOSPITAL</x:v>
      </x:c>
      <x:c r="C1983" s="2" t="str">
        <x:v>LUDINGTON</x:v>
      </x:c>
      <x:c r="D1983" s="2" t="str">
        <x:v>MI</x:v>
      </x:c>
      <x:c r="E1983" s="2" t="str">
        <x:v>Acute Care Hospitals</x:v>
      </x:c>
      <x:c r="F1983" s="2" t="str">
        <x:v>Voluntary non-profit</x:v>
      </x:c>
      <x:c r="G1983" s="2" t="str">
        <x:v>Small (&lt;100 beds)</x:v>
      </x:c>
      <x:c r="H1983" s="7" t="n">
        <x:v>4</x:v>
      </x:c>
      <x:c r="I1983" s="7" t="n">
        <x:v>4</x:v>
      </x:c>
      <x:c r="J1983" s="7" t="n">
        <x:v>0.83</x:v>
      </x:c>
      <x:c r="K1983" s="8" t="n">
        <x:v>39</x:v>
      </x:c>
      <x:c r="L1983" s="8" t="n">
        <x:v>2014</x:v>
      </x:c>
      <x:c r="M1983" s="9" t="n">
        <x:v>0.5280646294</x:v>
      </x:c>
      <x:c r="N1983" s="10" t="n">
        <x:v>62137.1956305859</x:v>
      </x:c>
      <x:c r="O1983" s="9" t="n">
        <x:v>0.0542035241</x:v>
      </x:c>
      <x:c r="P1983" s="9" t="n">
        <x:v>0.5987432675</x:v>
      </x:c>
      <x:c r="Q1983" s="9" t="n">
        <x:v>0.3913824057</x:v>
      </x:c>
      <x:c r="R1983" s="3" t="b">
        <x:v>0</x:v>
      </x:c>
      <x:c r="S1983" s="3" t="b">
        <x:v>0</x:v>
      </x:c>
      <x:c r="T1983" s="3" t="b">
        <x:v>0</x:v>
      </x:c>
      <x:c r="U1983" s="2" t="str">
        <x:f>IF(T1983=TRUE,"Priority review",IF(R1983=TRUE,"High cost",IF(S1983=TRUE,"Low quality","Benchmark")))</x:f>
        <x:v>Benchmark</x:v>
      </x:c>
    </x:row>
    <x:row r="1984">
      <x:c r="A1984" s="2" t="str">
        <x:v>334022</x:v>
      </x:c>
      <x:c r="B1984" s="2" t="str">
        <x:v>BRYLIN HOSP</x:v>
      </x:c>
      <x:c r="C1984" s="2" t="str">
        <x:v>BUFFALO</x:v>
      </x:c>
      <x:c r="D1984" s="2" t="str">
        <x:v>NY</x:v>
      </x:c>
      <x:c r="E1984" s="2" t="str">
        <x:v>Psychiatric</x:v>
      </x:c>
      <x:c r="F1984" s="2" t="str">
        <x:v>Proprietary</x:v>
      </x:c>
      <x:c r="G1984" s="2" t="str">
        <x:v>Small (&lt;100 beds)</x:v>
      </x:c>
      <x:c r="H1984" s="7"/>
      <x:c r="I1984" s="7"/>
      <x:c r="J1984" s="7"/>
      <x:c r="K1984" s="8" t="n">
        <x:v>88</x:v>
      </x:c>
      <x:c r="L1984" s="8" t="n">
        <x:v>1276</x:v>
      </x:c>
      <x:c r="M1984" s="9" t="n">
        <x:v>0.4265399901</x:v>
      </x:c>
      <x:c r="N1984" s="10" t="n">
        <x:v>15295.5611285266</x:v>
      </x:c>
      <x:c r="O1984" s="9" t="n">
        <x:v>0.0599392108</x:v>
      </x:c>
      <x:c r="P1984" s="9" t="n">
        <x:v>0.5987055016</x:v>
      </x:c>
      <x:c r="Q1984" s="9" t="n">
        <x:v>0</x:v>
      </x:c>
      <x:c r="R1984" s="3" t="b">
        <x:v>0</x:v>
      </x:c>
      <x:c r="S1984" s="3" t="b">
        <x:v>0</x:v>
      </x:c>
      <x:c r="T1984" s="3" t="b">
        <x:v>0</x:v>
      </x:c>
      <x:c r="U1984" s="2" t="str">
        <x:f>IF(T1984=TRUE,"Priority review",IF(R1984=TRUE,"High cost",IF(S1984=TRUE,"Low quality","Benchmark")))</x:f>
        <x:v>Benchmark</x:v>
      </x:c>
    </x:row>
    <x:row r="1985">
      <x:c r="A1985" s="2" t="str">
        <x:v>271316</x:v>
      </x:c>
      <x:c r="B1985" s="2" t="str">
        <x:v>FRANCES MAHON DEACONESS HOSPITAL</x:v>
      </x:c>
      <x:c r="C1985" s="2" t="str">
        <x:v>GLASGOW</x:v>
      </x:c>
      <x:c r="D1985" s="2" t="str">
        <x:v>MT</x:v>
      </x:c>
      <x:c r="E1985" s="2" t="str">
        <x:v>Critical Access Hospitals</x:v>
      </x:c>
      <x:c r="F1985" s="2" t="str">
        <x:v>Voluntary non-profit</x:v>
      </x:c>
      <x:c r="G1985" s="2" t="str">
        <x:v>Small (&lt;100 beds)</x:v>
      </x:c>
      <x:c r="H1985" s="7"/>
      <x:c r="I1985" s="7"/>
      <x:c r="J1985" s="7"/>
      <x:c r="K1985" s="8" t="n">
        <x:v>25</x:v>
      </x:c>
      <x:c r="L1985" s="8" t="n">
        <x:v>390</x:v>
      </x:c>
      <x:c r="M1985" s="9" t="n">
        <x:v>0.175890411</x:v>
      </x:c>
      <x:c r="N1985" s="10" t="n">
        <x:v>156946.8717948718</x:v>
      </x:c>
      <x:c r="O1985" s="9" t="n">
        <x:v>0.0403285618</x:v>
      </x:c>
      <x:c r="P1985" s="9" t="n">
        <x:v>0.5985130112</x:v>
      </x:c>
      <x:c r="Q1985" s="9" t="n">
        <x:v>0.292936803</x:v>
      </x:c>
      <x:c r="R1985" s="3" t="b">
        <x:v>0</x:v>
      </x:c>
      <x:c r="S1985" s="3" t="b">
        <x:v>0</x:v>
      </x:c>
      <x:c r="T1985" s="3" t="b">
        <x:v>0</x:v>
      </x:c>
      <x:c r="U1985" s="2" t="str">
        <x:f>IF(T1985=TRUE,"Priority review",IF(R1985=TRUE,"High cost",IF(S1985=TRUE,"Low quality","Benchmark")))</x:f>
        <x:v>Benchmark</x:v>
      </x:c>
    </x:row>
    <x:row r="1986">
      <x:c r="A1986" s="2" t="str">
        <x:v>150158</x:v>
      </x:c>
      <x:c r="B1986" s="2" t="str">
        <x:v>IU HEALTH WEST HOSPITAL</x:v>
      </x:c>
      <x:c r="C1986" s="2" t="str">
        <x:v>AVON</x:v>
      </x:c>
      <x:c r="D1986" s="2" t="str">
        <x:v>IN</x:v>
      </x:c>
      <x:c r="E1986" s="2" t="str">
        <x:v>Acute Care Hospitals</x:v>
      </x:c>
      <x:c r="F1986" s="2" t="str">
        <x:v>Proprietary</x:v>
      </x:c>
      <x:c r="G1986" s="2" t="str">
        <x:v>Medium (100-299 beds)</x:v>
      </x:c>
      <x:c r="H1986" s="7" t="n">
        <x:v>4</x:v>
      </x:c>
      <x:c r="I1986" s="7" t="n">
        <x:v>3</x:v>
      </x:c>
      <x:c r="J1986" s="7" t="n">
        <x:v>0.97</x:v>
      </x:c>
      <x:c r="K1986" s="8" t="n">
        <x:v>173</x:v>
      </x:c>
      <x:c r="L1986" s="8" t="n">
        <x:v>7951</x:v>
      </x:c>
      <x:c r="M1986" s="9" t="n">
        <x:v>0.6815913326</x:v>
      </x:c>
      <x:c r="N1986" s="10" t="n">
        <x:v>38030.3750471639</x:v>
      </x:c>
      <x:c r="O1986" s="9" t="n">
        <x:v>0.1414643851</x:v>
      </x:c>
      <x:c r="P1986" s="9" t="n">
        <x:v>0.598207009</x:v>
      </x:c>
      <x:c r="Q1986" s="9" t="n">
        <x:v>0.6022819886</x:v>
      </x:c>
      <x:c r="R1986" s="3" t="b">
        <x:v>0</x:v>
      </x:c>
      <x:c r="S1986" s="3" t="b">
        <x:v>0</x:v>
      </x:c>
      <x:c r="T1986" s="3" t="b">
        <x:v>0</x:v>
      </x:c>
      <x:c r="U1986" s="2" t="str">
        <x:f>IF(T1986=TRUE,"Priority review",IF(R1986=TRUE,"High cost",IF(S1986=TRUE,"Low quality","Benchmark")))</x:f>
        <x:v>Benchmark</x:v>
      </x:c>
    </x:row>
    <x:row r="1987">
      <x:c r="A1987" s="2" t="str">
        <x:v>030112</x:v>
      </x:c>
      <x:c r="B1987" s="2" t="str">
        <x:v>ARIZONA ORTHOPEDIC AND SURGICAL SPECIALTY HOSPITAL</x:v>
      </x:c>
      <x:c r="C1987" s="2" t="str">
        <x:v>PHOENIX</x:v>
      </x:c>
      <x:c r="D1987" s="2" t="str">
        <x:v>AZ</x:v>
      </x:c>
      <x:c r="E1987" s="2" t="str">
        <x:v>Acute Care Hospitals</x:v>
      </x:c>
      <x:c r="F1987" s="2" t="str">
        <x:v>Proprietary</x:v>
      </x:c>
      <x:c r="G1987" s="2" t="str">
        <x:v>Small (&lt;100 beds)</x:v>
      </x:c>
      <x:c r="H1987" s="7"/>
      <x:c r="I1987" s="7" t="n">
        <x:v>4</x:v>
      </x:c>
      <x:c r="J1987" s="7" t="n">
        <x:v>0.95</x:v>
      </x:c>
      <x:c r="K1987" s="8" t="n">
        <x:v>20</x:v>
      </x:c>
      <x:c r="L1987" s="8" t="n">
        <x:v>1061</x:v>
      </x:c>
      <x:c r="M1987" s="9" t="n">
        <x:v>0.337295082</x:v>
      </x:c>
      <x:c r="N1987" s="10" t="n">
        <x:v>62007.4948162111</x:v>
      </x:c>
      <x:c r="O1987" s="9" t="n">
        <x:v>0.1330369765</x:v>
      </x:c>
      <x:c r="P1987" s="9" t="n">
        <x:v>0.5978456014</x:v>
      </x:c>
      <x:c r="Q1987" s="9" t="n">
        <x:v>0.697486535</x:v>
      </x:c>
      <x:c r="R1987" s="3" t="b">
        <x:v>0</x:v>
      </x:c>
      <x:c r="S1987" s="3" t="b">
        <x:v>0</x:v>
      </x:c>
      <x:c r="T1987" s="3" t="b">
        <x:v>0</x:v>
      </x:c>
      <x:c r="U1987" s="2" t="str">
        <x:f>IF(T1987=TRUE,"Priority review",IF(R1987=TRUE,"High cost",IF(S1987=TRUE,"Low quality","Benchmark")))</x:f>
        <x:v>Benchmark</x:v>
      </x:c>
    </x:row>
    <x:row r="1988">
      <x:c r="A1988" s="2" t="str">
        <x:v>360020</x:v>
      </x:c>
      <x:c r="B1988" s="2" t="str">
        <x:v>SUMMA HEALTH SYSTEM</x:v>
      </x:c>
      <x:c r="C1988" s="2" t="str">
        <x:v>AKRON</x:v>
      </x:c>
      <x:c r="D1988" s="2" t="str">
        <x:v>OH</x:v>
      </x:c>
      <x:c r="E1988" s="2" t="str">
        <x:v>Acute Care Hospitals</x:v>
      </x:c>
      <x:c r="F1988" s="2" t="str">
        <x:v>Voluntary non-profit</x:v>
      </x:c>
      <x:c r="G1988" s="2" t="str">
        <x:v>Large (300+ beds)</x:v>
      </x:c>
      <x:c r="H1988" s="7" t="n">
        <x:v>3</x:v>
      </x:c>
      <x:c r="I1988" s="7" t="n">
        <x:v>3</x:v>
      </x:c>
      <x:c r="J1988" s="7" t="n">
        <x:v>1.02</x:v>
      </x:c>
      <x:c r="K1988" s="8" t="n">
        <x:v>558</x:v>
      </x:c>
      <x:c r="L1988" s="8" t="n">
        <x:v>32127</x:v>
      </x:c>
      <x:c r="M1988" s="9" t="n">
        <x:v>0.8012858377</x:v>
      </x:c>
      <x:c r="N1988" s="10" t="n">
        <x:v>43404.3555265042</x:v>
      </x:c>
      <x:c r="O1988" s="9" t="n">
        <x:v>-0.190081705</x:v>
      </x:c>
      <x:c r="P1988" s="9" t="n">
        <x:v>0.5977917981</x:v>
      </x:c>
      <x:c r="Q1988" s="9" t="n">
        <x:v>0.2570977918</x:v>
      </x:c>
      <x:c r="R1988" s="3" t="b">
        <x:v>0</x:v>
      </x:c>
      <x:c r="S1988" s="3" t="b">
        <x:v>0</x:v>
      </x:c>
      <x:c r="T1988" s="3" t="b">
        <x:v>0</x:v>
      </x:c>
      <x:c r="U1988" s="2" t="str">
        <x:f>IF(T1988=TRUE,"Priority review",IF(R1988=TRUE,"High cost",IF(S1988=TRUE,"Low quality","Benchmark")))</x:f>
        <x:v>Benchmark</x:v>
      </x:c>
    </x:row>
    <x:row r="1989">
      <x:c r="A1989" s="2" t="str">
        <x:v>161370</x:v>
      </x:c>
      <x:c r="B1989" s="2" t="str">
        <x:v>LORING HOSPITAL</x:v>
      </x:c>
      <x:c r="C1989" s="2" t="str">
        <x:v>SAC CITY</x:v>
      </x:c>
      <x:c r="D1989" s="2" t="str">
        <x:v>IA</x:v>
      </x:c>
      <x:c r="E1989" s="2" t="str">
        <x:v>Critical Access Hospitals</x:v>
      </x:c>
      <x:c r="F1989" s="2" t="str">
        <x:v>Voluntary non-profit</x:v>
      </x:c>
      <x:c r="G1989" s="2" t="str">
        <x:v>Small (&lt;100 beds)</x:v>
      </x:c>
      <x:c r="H1989" s="7"/>
      <x:c r="I1989" s="7"/>
      <x:c r="J1989" s="7"/>
      <x:c r="K1989" s="8" t="n">
        <x:v>25</x:v>
      </x:c>
      <x:c r="L1989" s="8" t="n">
        <x:v>121</x:v>
      </x:c>
      <x:c r="M1989" s="9" t="n">
        <x:v>0.0516164384</x:v>
      </x:c>
      <x:c r="N1989" s="10" t="n">
        <x:v>156324.694214876</x:v>
      </x:c>
      <x:c r="O1989" s="9" t="n">
        <x:v>0.1050473426</x:v>
      </x:c>
      <x:c r="P1989" s="9" t="n">
        <x:v>0.5977695167</x:v>
      </x:c>
      <x:c r="Q1989" s="9" t="n">
        <x:v>0.292936803</x:v>
      </x:c>
      <x:c r="R1989" s="3" t="b">
        <x:v>0</x:v>
      </x:c>
      <x:c r="S1989" s="3" t="b">
        <x:v>0</x:v>
      </x:c>
      <x:c r="T1989" s="3" t="b">
        <x:v>0</x:v>
      </x:c>
      <x:c r="U1989" s="2" t="str">
        <x:f>IF(T1989=TRUE,"Priority review",IF(R1989=TRUE,"High cost",IF(S1989=TRUE,"Low quality","Benchmark")))</x:f>
        <x:v>Benchmark</x:v>
      </x:c>
    </x:row>
    <x:row r="1990">
      <x:c r="A1990" s="2" t="str">
        <x:v>360159</x:v>
      </x:c>
      <x:c r="B1990" s="2" t="str">
        <x:v>ADENA REGIONAL MEDICAL CENTER</x:v>
      </x:c>
      <x:c r="C1990" s="2" t="str">
        <x:v>CHILLICOTHE</x:v>
      </x:c>
      <x:c r="D1990" s="2" t="str">
        <x:v>OH</x:v>
      </x:c>
      <x:c r="E1990" s="2" t="str">
        <x:v>Acute Care Hospitals</x:v>
      </x:c>
      <x:c r="F1990" s="2" t="str">
        <x:v>Voluntary non-profit</x:v>
      </x:c>
      <x:c r="G1990" s="2" t="str">
        <x:v>Medium (100-299 beds)</x:v>
      </x:c>
      <x:c r="H1990" s="7" t="n">
        <x:v>3</x:v>
      </x:c>
      <x:c r="I1990" s="7" t="n">
        <x:v>2</x:v>
      </x:c>
      <x:c r="J1990" s="7" t="n">
        <x:v>1.01</x:v>
      </x:c>
      <x:c r="K1990" s="8" t="n">
        <x:v>237</x:v>
      </x:c>
      <x:c r="L1990" s="8" t="n">
        <x:v>12094</x:v>
      </x:c>
      <x:c r="M1990" s="9" t="n">
        <x:v>0.5404071845</x:v>
      </x:c>
      <x:c r="N1990" s="10" t="n">
        <x:v>38012.820241442</x:v>
      </x:c>
      <x:c r="O1990" s="9" t="n">
        <x:v>0.035596006</x:v>
      </x:c>
      <x:c r="P1990" s="9" t="n">
        <x:v>0.597392013</x:v>
      </x:c>
      <x:c r="Q1990" s="9" t="n">
        <x:v>0.3023634882</x:v>
      </x:c>
      <x:c r="R1990" s="3" t="b">
        <x:v>0</x:v>
      </x:c>
      <x:c r="S1990" s="3" t="b">
        <x:v>0</x:v>
      </x:c>
      <x:c r="T1990" s="3" t="b">
        <x:v>0</x:v>
      </x:c>
      <x:c r="U1990" s="2" t="str">
        <x:f>IF(T1990=TRUE,"Priority review",IF(R1990=TRUE,"High cost",IF(S1990=TRUE,"Low quality","Benchmark")))</x:f>
        <x:v>Benchmark</x:v>
      </x:c>
    </x:row>
    <x:row r="1991">
      <x:c r="A1991" s="2" t="str">
        <x:v>261330</x:v>
      </x:c>
      <x:c r="B1991" s="2" t="str">
        <x:v>STE GENEVIEVE COUNTY MEMORIAL HOSPITAL</x:v>
      </x:c>
      <x:c r="C1991" s="2" t="str">
        <x:v>SAINTE GENEVIEVE</x:v>
      </x:c>
      <x:c r="D1991" s="2" t="str">
        <x:v>MO</x:v>
      </x:c>
      <x:c r="E1991" s="2" t="str">
        <x:v>Critical Access Hospitals</x:v>
      </x:c>
      <x:c r="F1991" s="2" t="str">
        <x:v>Government</x:v>
      </x:c>
      <x:c r="G1991" s="2" t="str">
        <x:v>Small (&lt;100 beds)</x:v>
      </x:c>
      <x:c r="H1991" s="7" t="n">
        <x:v>4</x:v>
      </x:c>
      <x:c r="I1991" s="7"/>
      <x:c r="J1991" s="7"/>
      <x:c r="K1991" s="8" t="n">
        <x:v>25</x:v>
      </x:c>
      <x:c r="L1991" s="8" t="n">
        <x:v>540</x:v>
      </x:c>
      <x:c r="M1991" s="9" t="n">
        <x:v>0.421260274</x:v>
      </x:c>
      <x:c r="N1991" s="10" t="n">
        <x:v>156291.8759259259</x:v>
      </x:c>
      <x:c r="O1991" s="9" t="n">
        <x:v>-0.1975616076</x:v>
      </x:c>
      <x:c r="P1991" s="9" t="n">
        <x:v>0.5970260223</x:v>
      </x:c>
      <x:c r="Q1991" s="9" t="n">
        <x:v>0.1657992565</x:v>
      </x:c>
      <x:c r="R1991" s="3" t="b">
        <x:v>0</x:v>
      </x:c>
      <x:c r="S1991" s="3" t="b">
        <x:v>0</x:v>
      </x:c>
      <x:c r="T1991" s="3" t="b">
        <x:v>0</x:v>
      </x:c>
      <x:c r="U1991" s="2" t="str">
        <x:f>IF(T1991=TRUE,"Priority review",IF(R1991=TRUE,"High cost",IF(S1991=TRUE,"Low quality","Benchmark")))</x:f>
        <x:v>Benchmark</x:v>
      </x:c>
    </x:row>
    <x:row r="1992">
      <x:c r="A1992" s="2" t="str">
        <x:v>234038</x:v>
      </x:c>
      <x:c r="B1992" s="2" t="str">
        <x:v>BCA STONECREST CENTER</x:v>
      </x:c>
      <x:c r="C1992" s="2" t="str">
        <x:v>DETROIT</x:v>
      </x:c>
      <x:c r="D1992" s="2" t="str">
        <x:v>MI</x:v>
      </x:c>
      <x:c r="E1992" s="2" t="str">
        <x:v>Psychiatric</x:v>
      </x:c>
      <x:c r="F1992" s="2" t="str">
        <x:v>Proprietary</x:v>
      </x:c>
      <x:c r="G1992" s="2" t="str">
        <x:v>Medium (100-299 beds)</x:v>
      </x:c>
      <x:c r="H1992" s="7"/>
      <x:c r="I1992" s="7"/>
      <x:c r="J1992" s="7"/>
      <x:c r="K1992" s="8" t="n">
        <x:v>182</x:v>
      </x:c>
      <x:c r="L1992" s="8" t="n">
        <x:v>3806</x:v>
      </x:c>
      <x:c r="M1992" s="9" t="n">
        <x:v>0.9278208131</x:v>
      </x:c>
      <x:c r="N1992" s="10" t="n">
        <x:v>15774.3825538623</x:v>
      </x:c>
      <x:c r="O1992" s="9" t="n">
        <x:v>0.2426863471</x:v>
      </x:c>
      <x:c r="P1992" s="9" t="n">
        <x:v>0.5970149254</x:v>
      </x:c>
      <x:c r="Q1992" s="9" t="n">
        <x:v>0</x:v>
      </x:c>
      <x:c r="R1992" s="3" t="b">
        <x:v>0</x:v>
      </x:c>
      <x:c r="S1992" s="3" t="b">
        <x:v>0</x:v>
      </x:c>
      <x:c r="T1992" s="3" t="b">
        <x:v>0</x:v>
      </x:c>
      <x:c r="U1992" s="2" t="str">
        <x:f>IF(T1992=TRUE,"Priority review",IF(R1992=TRUE,"High cost",IF(S1992=TRUE,"Low quality","Benchmark")))</x:f>
        <x:v>Benchmark</x:v>
      </x:c>
    </x:row>
    <x:row r="1993">
      <x:c r="A1993" s="2" t="str">
        <x:v>110032</x:v>
      </x:c>
      <x:c r="B1993" s="2" t="str">
        <x:v>STEPHENS COUNTY HOSPITAL</x:v>
      </x:c>
      <x:c r="C1993" s="2" t="str">
        <x:v>TOCCOA</x:v>
      </x:c>
      <x:c r="D1993" s="2" t="str">
        <x:v>GA</x:v>
      </x:c>
      <x:c r="E1993" s="2" t="str">
        <x:v>Acute Care Hospitals</x:v>
      </x:c>
      <x:c r="F1993" s="2" t="str">
        <x:v>Government</x:v>
      </x:c>
      <x:c r="G1993" s="2" t="str">
        <x:v>Small (&lt;100 beds)</x:v>
      </x:c>
      <x:c r="H1993" s="7" t="n">
        <x:v>2</x:v>
      </x:c>
      <x:c r="I1993" s="7" t="n">
        <x:v>4</x:v>
      </x:c>
      <x:c r="J1993" s="7" t="n">
        <x:v>0.89</x:v>
      </x:c>
      <x:c r="K1993" s="8" t="n">
        <x:v>40</x:v>
      </x:c>
      <x:c r="L1993" s="8" t="n">
        <x:v>845</x:v>
      </x:c>
      <x:c r="M1993" s="9" t="n">
        <x:v>0.2785519126</x:v>
      </x:c>
      <x:c r="N1993" s="10" t="n">
        <x:v>61988.8165680473</x:v>
      </x:c>
      <x:c r="O1993" s="9" t="n">
        <x:v>-0.0009276924</x:v>
      </x:c>
      <x:c r="P1993" s="9" t="n">
        <x:v>0.5969479354</x:v>
      </x:c>
      <x:c r="Q1993" s="9" t="n">
        <x:v>0.0350089767</x:v>
      </x:c>
      <x:c r="R1993" s="3" t="b">
        <x:v>0</x:v>
      </x:c>
      <x:c r="S1993" s="3" t="b">
        <x:v>1</x:v>
      </x:c>
      <x:c r="T1993" s="3" t="b">
        <x:v>0</x:v>
      </x:c>
      <x:c r="U1993" s="2" t="str">
        <x:f>IF(T1993=TRUE,"Priority review",IF(R1993=TRUE,"High cost",IF(S1993=TRUE,"Low quality","Benchmark")))</x:f>
        <x:v>Low quality</x:v>
      </x:c>
    </x:row>
    <x:row r="1994">
      <x:c r="A1994" s="2" t="str">
        <x:v>420010</x:v>
      </x:c>
      <x:c r="B1994" s="2" t="str">
        <x:v>CAROLINA PINES REGIONAL MEDICAL CENTER</x:v>
      </x:c>
      <x:c r="C1994" s="2" t="str">
        <x:v>HARTSVILLE</x:v>
      </x:c>
      <x:c r="D1994" s="2" t="str">
        <x:v>SC</x:v>
      </x:c>
      <x:c r="E1994" s="2" t="str">
        <x:v>Acute Care Hospitals</x:v>
      </x:c>
      <x:c r="F1994" s="2" t="str">
        <x:v>Proprietary</x:v>
      </x:c>
      <x:c r="G1994" s="2" t="str">
        <x:v>Medium (100-299 beds)</x:v>
      </x:c>
      <x:c r="H1994" s="7" t="n">
        <x:v>2</x:v>
      </x:c>
      <x:c r="I1994" s="7" t="n">
        <x:v>4</x:v>
      </x:c>
      <x:c r="J1994" s="7" t="n">
        <x:v>1.01</x:v>
      </x:c>
      <x:c r="K1994" s="8" t="n">
        <x:v>112</x:v>
      </x:c>
      <x:c r="L1994" s="8" t="n">
        <x:v>3369</x:v>
      </x:c>
      <x:c r="M1994" s="9" t="n">
        <x:v>0.2911055816</x:v>
      </x:c>
      <x:c r="N1994" s="10" t="n">
        <x:v>38007.5161769071</x:v>
      </x:c>
      <x:c r="O1994" s="9" t="n">
        <x:v>0.0612267177</x:v>
      </x:c>
      <x:c r="P1994" s="9" t="n">
        <x:v>0.5965770171</x:v>
      </x:c>
      <x:c r="Q1994" s="9" t="n">
        <x:v>0.0782396088</x:v>
      </x:c>
      <x:c r="R1994" s="3" t="b">
        <x:v>0</x:v>
      </x:c>
      <x:c r="S1994" s="3" t="b">
        <x:v>1</x:v>
      </x:c>
      <x:c r="T1994" s="3" t="b">
        <x:v>0</x:v>
      </x:c>
      <x:c r="U1994" s="2" t="str">
        <x:f>IF(T1994=TRUE,"Priority review",IF(R1994=TRUE,"High cost",IF(S1994=TRUE,"Low quality","Benchmark")))</x:f>
        <x:v>Low quality</x:v>
      </x:c>
    </x:row>
    <x:row r="1995">
      <x:c r="A1995" s="2" t="str">
        <x:v>171332</x:v>
      </x:c>
      <x:c r="B1995" s="2" t="str">
        <x:v>KIOWA COUNTY MEMORIAL HOSPITAL</x:v>
      </x:c>
      <x:c r="C1995" s="2" t="str">
        <x:v>GREENSBURG</x:v>
      </x:c>
      <x:c r="D1995" s="2" t="str">
        <x:v>KS</x:v>
      </x:c>
      <x:c r="E1995" s="2" t="str">
        <x:v>Critical Access Hospitals</x:v>
      </x:c>
      <x:c r="F1995" s="2" t="str">
        <x:v>Government</x:v>
      </x:c>
      <x:c r="G1995" s="2" t="str">
        <x:v>Small (&lt;100 beds)</x:v>
      </x:c>
      <x:c r="H1995" s="7"/>
      <x:c r="I1995" s="7"/>
      <x:c r="J1995" s="7"/>
      <x:c r="K1995" s="8" t="n">
        <x:v>15</x:v>
      </x:c>
      <x:c r="L1995" s="8" t="n">
        <x:v>88</x:v>
      </x:c>
      <x:c r="M1995" s="9" t="n">
        <x:v>0.5238615665</x:v>
      </x:c>
      <x:c r="N1995" s="10" t="n">
        <x:v>156261.3522727273</x:v>
      </x:c>
      <x:c r="O1995" s="9" t="n">
        <x:v>-0.3218265874</x:v>
      </x:c>
      <x:c r="P1995" s="9" t="n">
        <x:v>0.5962825279</x:v>
      </x:c>
      <x:c r="Q1995" s="9" t="n">
        <x:v>0.292936803</x:v>
      </x:c>
      <x:c r="R1995" s="3" t="b">
        <x:v>0</x:v>
      </x:c>
      <x:c r="S1995" s="3" t="b">
        <x:v>0</x:v>
      </x:c>
      <x:c r="T1995" s="3" t="b">
        <x:v>0</x:v>
      </x:c>
      <x:c r="U1995" s="2" t="str">
        <x:f>IF(T1995=TRUE,"Priority review",IF(R1995=TRUE,"High cost",IF(S1995=TRUE,"Low quality","Benchmark")))</x:f>
        <x:v>Benchmark</x:v>
      </x:c>
    </x:row>
    <x:row r="1996">
      <x:c r="A1996" s="2" t="str">
        <x:v>100128</x:v>
      </x:c>
      <x:c r="B1996" s="2" t="str">
        <x:v>TAMPA GENERAL HOSPITAL</x:v>
      </x:c>
      <x:c r="C1996" s="2" t="str">
        <x:v>TAMPA</x:v>
      </x:c>
      <x:c r="D1996" s="2" t="str">
        <x:v>FL</x:v>
      </x:c>
      <x:c r="E1996" s="2" t="str">
        <x:v>Acute Care Hospitals</x:v>
      </x:c>
      <x:c r="F1996" s="2" t="str">
        <x:v>Voluntary non-profit</x:v>
      </x:c>
      <x:c r="G1996" s="2" t="str">
        <x:v>Large (300+ beds)</x:v>
      </x:c>
      <x:c r="H1996" s="7" t="n">
        <x:v>3</x:v>
      </x:c>
      <x:c r="I1996" s="7" t="n">
        <x:v>2</x:v>
      </x:c>
      <x:c r="J1996" s="7" t="n">
        <x:v>1</x:v>
      </x:c>
      <x:c r="K1996" s="8" t="n">
        <x:v>946</x:v>
      </x:c>
      <x:c r="L1996" s="8" t="n">
        <x:v>59770</x:v>
      </x:c>
      <x:c r="M1996" s="9" t="n">
        <x:v>0.8830017676</x:v>
      </x:c>
      <x:c r="N1996" s="10" t="n">
        <x:v>43214.8891249791</x:v>
      </x:c>
      <x:c r="O1996" s="9" t="n">
        <x:v>-0.1584768731</x:v>
      </x:c>
      <x:c r="P1996" s="9" t="n">
        <x:v>0.596214511</x:v>
      </x:c>
      <x:c r="Q1996" s="9" t="n">
        <x:v>0.2570977918</x:v>
      </x:c>
      <x:c r="R1996" s="3" t="b">
        <x:v>0</x:v>
      </x:c>
      <x:c r="S1996" s="3" t="b">
        <x:v>0</x:v>
      </x:c>
      <x:c r="T1996" s="3" t="b">
        <x:v>0</x:v>
      </x:c>
      <x:c r="U1996" s="2" t="str">
        <x:f>IF(T1996=TRUE,"Priority review",IF(R1996=TRUE,"High cost",IF(S1996=TRUE,"Low quality","Benchmark")))</x:f>
        <x:v>Benchmark</x:v>
      </x:c>
    </x:row>
    <x:row r="1997">
      <x:c r="A1997" s="2" t="str">
        <x:v>520198</x:v>
      </x:c>
      <x:c r="B1997" s="2" t="str">
        <x:v>AURORA MEDICAL CTR OSHKOSH</x:v>
      </x:c>
      <x:c r="C1997" s="2" t="str">
        <x:v>OSHKOSH</x:v>
      </x:c>
      <x:c r="D1997" s="2" t="str">
        <x:v>WI</x:v>
      </x:c>
      <x:c r="E1997" s="2" t="str">
        <x:v>Acute Care Hospitals</x:v>
      </x:c>
      <x:c r="F1997" s="2" t="str">
        <x:v>Voluntary non-profit</x:v>
      </x:c>
      <x:c r="G1997" s="2" t="str">
        <x:v>Small (&lt;100 beds)</x:v>
      </x:c>
      <x:c r="H1997" s="7" t="n">
        <x:v>4</x:v>
      </x:c>
      <x:c r="I1997" s="7" t="n">
        <x:v>4</x:v>
      </x:c>
      <x:c r="J1997" s="7" t="n">
        <x:v>0.81</x:v>
      </x:c>
      <x:c r="K1997" s="8" t="n">
        <x:v>83</x:v>
      </x:c>
      <x:c r="L1997" s="8" t="n">
        <x:v>3440</x:v>
      </x:c>
      <x:c r="M1997" s="9" t="n">
        <x:v>0.5388768188</x:v>
      </x:c>
      <x:c r="N1997" s="10" t="n">
        <x:v>61882.3360465116</x:v>
      </x:c>
      <x:c r="O1997" s="9" t="n">
        <x:v>0.1549830837</x:v>
      </x:c>
      <x:c r="P1997" s="9" t="n">
        <x:v>0.5960502693</x:v>
      </x:c>
      <x:c r="Q1997" s="9" t="n">
        <x:v>0.3913824057</x:v>
      </x:c>
      <x:c r="R1997" s="3" t="b">
        <x:v>0</x:v>
      </x:c>
      <x:c r="S1997" s="3" t="b">
        <x:v>0</x:v>
      </x:c>
      <x:c r="T1997" s="3" t="b">
        <x:v>0</x:v>
      </x:c>
      <x:c r="U1997" s="2" t="str">
        <x:f>IF(T1997=TRUE,"Priority review",IF(R1997=TRUE,"High cost",IF(S1997=TRUE,"Low quality","Benchmark")))</x:f>
        <x:v>Benchmark</x:v>
      </x:c>
    </x:row>
    <x:row r="1998">
      <x:c r="A1998" s="2" t="str">
        <x:v>280125</x:v>
      </x:c>
      <x:c r="B1998" s="2" t="str">
        <x:v>FAITH HEALTH</x:v>
      </x:c>
      <x:c r="C1998" s="2" t="str">
        <x:v>NORFOLK</x:v>
      </x:c>
      <x:c r="D1998" s="2" t="str">
        <x:v>NE</x:v>
      </x:c>
      <x:c r="E1998" s="2" t="str">
        <x:v>Acute Care Hospitals</x:v>
      </x:c>
      <x:c r="F1998" s="2" t="str">
        <x:v>Voluntary non-profit</x:v>
      </x:c>
      <x:c r="G1998" s="2" t="str">
        <x:v>Medium (100-299 beds)</x:v>
      </x:c>
      <x:c r="H1998" s="7" t="n">
        <x:v>3</x:v>
      </x:c>
      <x:c r="I1998" s="7" t="n">
        <x:v>4</x:v>
      </x:c>
      <x:c r="J1998" s="7" t="n">
        <x:v>0.98</x:v>
      </x:c>
      <x:c r="K1998" s="8" t="n">
        <x:v>122</x:v>
      </x:c>
      <x:c r="L1998" s="8" t="n">
        <x:v>4932</x:v>
      </x:c>
      <x:c r="M1998" s="9" t="n">
        <x:v>0.5151392995</x:v>
      </x:c>
      <x:c r="N1998" s="10" t="n">
        <x:v>37923.8923357664</x:v>
      </x:c>
      <x:c r="O1998" s="9" t="n">
        <x:v>0.1209714922</x:v>
      </x:c>
      <x:c r="P1998" s="9" t="n">
        <x:v>0.5957620212</x:v>
      </x:c>
      <x:c r="Q1998" s="9" t="n">
        <x:v>0.3023634882</x:v>
      </x:c>
      <x:c r="R1998" s="3" t="b">
        <x:v>0</x:v>
      </x:c>
      <x:c r="S1998" s="3" t="b">
        <x:v>0</x:v>
      </x:c>
      <x:c r="T1998" s="3" t="b">
        <x:v>0</x:v>
      </x:c>
      <x:c r="U1998" s="2" t="str">
        <x:f>IF(T1998=TRUE,"Priority review",IF(R1998=TRUE,"High cost",IF(S1998=TRUE,"Low quality","Benchmark")))</x:f>
        <x:v>Benchmark</x:v>
      </x:c>
    </x:row>
    <x:row r="1999">
      <x:c r="A1999" s="2" t="str">
        <x:v>231316</x:v>
      </x:c>
      <x:c r="B1999" s="2" t="str">
        <x:v>HILLS &amp; DALES GENERAL HOSPITAL</x:v>
      </x:c>
      <x:c r="C1999" s="2" t="str">
        <x:v>CASS CITY</x:v>
      </x:c>
      <x:c r="D1999" s="2" t="str">
        <x:v>MI</x:v>
      </x:c>
      <x:c r="E1999" s="2" t="str">
        <x:v>Critical Access Hospitals</x:v>
      </x:c>
      <x:c r="F1999" s="2" t="str">
        <x:v>Voluntary non-profit</x:v>
      </x:c>
      <x:c r="G1999" s="2" t="str">
        <x:v>Small (&lt;100 beds)</x:v>
      </x:c>
      <x:c r="H1999" s="7" t="n">
        <x:v>4</x:v>
      </x:c>
      <x:c r="I1999" s="7" t="n">
        <x:v>5</x:v>
      </x:c>
      <x:c r="J1999" s="7"/>
      <x:c r="K1999" s="8" t="n">
        <x:v>25</x:v>
      </x:c>
      <x:c r="L1999" s="8" t="n">
        <x:v>558</x:v>
      </x:c>
      <x:c r="M1999" s="9" t="n">
        <x:v>0.3373770492</x:v>
      </x:c>
      <x:c r="N1999" s="10" t="n">
        <x:v>156048.1863799283</x:v>
      </x:c>
      <x:c r="O1999" s="9" t="n">
        <x:v>0.0269849627</x:v>
      </x:c>
      <x:c r="P1999" s="9" t="n">
        <x:v>0.5955390335</x:v>
      </x:c>
      <x:c r="Q1999" s="9" t="n">
        <x:v>0.1657992565</x:v>
      </x:c>
      <x:c r="R1999" s="3" t="b">
        <x:v>0</x:v>
      </x:c>
      <x:c r="S1999" s="3" t="b">
        <x:v>0</x:v>
      </x:c>
      <x:c r="T1999" s="3" t="b">
        <x:v>0</x:v>
      </x:c>
      <x:c r="U1999" s="2" t="str">
        <x:f>IF(T1999=TRUE,"Priority review",IF(R1999=TRUE,"High cost",IF(S1999=TRUE,"Low quality","Benchmark")))</x:f>
        <x:v>Benchmark</x:v>
      </x:c>
    </x:row>
    <x:row r="2000">
      <x:c r="A2000" s="2" t="str">
        <x:v>454101</x:v>
      </x:c>
      <x:c r="B2000" s="2" t="str">
        <x:v>ALLEGIANCE BEHAVIORAL HEALTH CENTER OF PLAINVIEW</x:v>
      </x:c>
      <x:c r="C2000" s="2" t="str">
        <x:v>PLAINVIEW</x:v>
      </x:c>
      <x:c r="D2000" s="2" t="str">
        <x:v>TX</x:v>
      </x:c>
      <x:c r="E2000" s="2" t="str">
        <x:v>Psychiatric</x:v>
      </x:c>
      <x:c r="F2000" s="2" t="str">
        <x:v>Proprietary</x:v>
      </x:c>
      <x:c r="G2000" s="2" t="str">
        <x:v>Small (&lt;100 beds)</x:v>
      </x:c>
      <x:c r="H2000" s="7"/>
      <x:c r="I2000" s="7"/>
      <x:c r="J2000" s="7"/>
      <x:c r="K2000" s="8" t="n">
        <x:v>20</x:v>
      </x:c>
      <x:c r="L2000" s="8" t="n">
        <x:v>306</x:v>
      </x:c>
      <x:c r="M2000" s="9" t="n">
        <x:v>0.7606557377</x:v>
      </x:c>
      <x:c r="N2000" s="10" t="n">
        <x:v>15135.6339869281</x:v>
      </x:c>
      <x:c r="O2000" s="9" t="n">
        <x:v>0.1041318413</x:v>
      </x:c>
      <x:c r="P2000" s="9" t="n">
        <x:v>0.5954692557</x:v>
      </x:c>
      <x:c r="Q2000" s="9" t="n">
        <x:v>0</x:v>
      </x:c>
      <x:c r="R2000" s="3" t="b">
        <x:v>0</x:v>
      </x:c>
      <x:c r="S2000" s="3" t="b">
        <x:v>0</x:v>
      </x:c>
      <x:c r="T2000" s="3" t="b">
        <x:v>0</x:v>
      </x:c>
      <x:c r="U2000" s="2" t="str">
        <x:f>IF(T2000=TRUE,"Priority review",IF(R2000=TRUE,"High cost",IF(S2000=TRUE,"Low quality","Benchmark")))</x:f>
        <x:v>Benchmark</x:v>
      </x:c>
    </x:row>
    <x:row r="2001">
      <x:c r="A2001" s="2" t="str">
        <x:v>160013</x:v>
      </x:c>
      <x:c r="B2001" s="2" t="str">
        <x:v>TRINITY MUSCATINE</x:v>
      </x:c>
      <x:c r="C2001" s="2" t="str">
        <x:v>MUSCATINE</x:v>
      </x:c>
      <x:c r="D2001" s="2" t="str">
        <x:v>IA</x:v>
      </x:c>
      <x:c r="E2001" s="2" t="str">
        <x:v>Acute Care Hospitals</x:v>
      </x:c>
      <x:c r="F2001" s="2" t="str">
        <x:v>Voluntary non-profit</x:v>
      </x:c>
      <x:c r="G2001" s="2" t="str">
        <x:v>Small (&lt;100 beds)</x:v>
      </x:c>
      <x:c r="H2001" s="7" t="n">
        <x:v>4</x:v>
      </x:c>
      <x:c r="I2001" s="7" t="n">
        <x:v>2</x:v>
      </x:c>
      <x:c r="J2001" s="7" t="n">
        <x:v>0.93</x:v>
      </x:c>
      <x:c r="K2001" s="8" t="n">
        <x:v>15</x:v>
      </x:c>
      <x:c r="L2001" s="8" t="n">
        <x:v>977</x:v>
      </x:c>
      <x:c r="M2001" s="9" t="n">
        <x:v>0.5304189435</x:v>
      </x:c>
      <x:c r="N2001" s="10" t="n">
        <x:v>61753.0818833163</x:v>
      </x:c>
      <x:c r="O2001" s="9" t="n">
        <x:v>0.1335665086</x:v>
      </x:c>
      <x:c r="P2001" s="9" t="n">
        <x:v>0.5951526032</x:v>
      </x:c>
      <x:c r="Q2001" s="9" t="n">
        <x:v>0.3913824057</x:v>
      </x:c>
      <x:c r="R2001" s="3" t="b">
        <x:v>0</x:v>
      </x:c>
      <x:c r="S2001" s="3" t="b">
        <x:v>0</x:v>
      </x:c>
      <x:c r="T2001" s="3" t="b">
        <x:v>0</x:v>
      </x:c>
      <x:c r="U2001" s="2" t="str">
        <x:f>IF(T2001=TRUE,"Priority review",IF(R2001=TRUE,"High cost",IF(S2001=TRUE,"Low quality","Benchmark")))</x:f>
        <x:v>Benchmark</x:v>
      </x:c>
    </x:row>
    <x:row r="2002">
      <x:c r="A2002" s="2" t="str">
        <x:v>390066</x:v>
      </x:c>
      <x:c r="B2002" s="2" t="str">
        <x:v>WELLSPAN GOOD SAMARITAN HOSPITAL</x:v>
      </x:c>
      <x:c r="C2002" s="2" t="str">
        <x:v>LEBANON</x:v>
      </x:c>
      <x:c r="D2002" s="2" t="str">
        <x:v>PA</x:v>
      </x:c>
      <x:c r="E2002" s="2" t="str">
        <x:v>Acute Care Hospitals</x:v>
      </x:c>
      <x:c r="F2002" s="2" t="str">
        <x:v>Voluntary non-profit</x:v>
      </x:c>
      <x:c r="G2002" s="2" t="str">
        <x:v>Medium (100-299 beds)</x:v>
      </x:c>
      <x:c r="H2002" s="7" t="n">
        <x:v>5</x:v>
      </x:c>
      <x:c r="I2002" s="7" t="n">
        <x:v>3</x:v>
      </x:c>
      <x:c r="J2002" s="7" t="n">
        <x:v>0.96</x:v>
      </x:c>
      <x:c r="K2002" s="8" t="n">
        <x:v>149</x:v>
      </x:c>
      <x:c r="L2002" s="8" t="n">
        <x:v>7758</x:v>
      </x:c>
      <x:c r="M2002" s="9" t="n">
        <x:v>0.6599613864</x:v>
      </x:c>
      <x:c r="N2002" s="10" t="n">
        <x:v>37909.0100541377</x:v>
      </x:c>
      <x:c r="O2002" s="9" t="n">
        <x:v>0.0649135812</x:v>
      </x:c>
      <x:c r="P2002" s="9" t="n">
        <x:v>0.5949470253</x:v>
      </x:c>
      <x:c r="Q2002" s="9" t="n">
        <x:v>0.8744906275</x:v>
      </x:c>
      <x:c r="R2002" s="3" t="b">
        <x:v>0</x:v>
      </x:c>
      <x:c r="S2002" s="3" t="b">
        <x:v>0</x:v>
      </x:c>
      <x:c r="T2002" s="3" t="b">
        <x:v>0</x:v>
      </x:c>
      <x:c r="U2002" s="2" t="str">
        <x:f>IF(T2002=TRUE,"Priority review",IF(R2002=TRUE,"High cost",IF(S2002=TRUE,"Low quality","Benchmark")))</x:f>
        <x:v>Benchmark</x:v>
      </x:c>
    </x:row>
    <x:row r="2003">
      <x:c r="A2003" s="2" t="str">
        <x:v>461309</x:v>
      </x:c>
      <x:c r="B2003" s="2" t="str">
        <x:v>KANE COUNTY HOSPITAL</x:v>
      </x:c>
      <x:c r="C2003" s="2" t="str">
        <x:v>KANAB</x:v>
      </x:c>
      <x:c r="D2003" s="2" t="str">
        <x:v>UT</x:v>
      </x:c>
      <x:c r="E2003" s="2" t="str">
        <x:v>Critical Access Hospitals</x:v>
      </x:c>
      <x:c r="F2003" s="2" t="str">
        <x:v>Government</x:v>
      </x:c>
      <x:c r="G2003" s="2" t="str">
        <x:v>Small (&lt;100 beds)</x:v>
      </x:c>
      <x:c r="H2003" s="7"/>
      <x:c r="I2003" s="7"/>
      <x:c r="J2003" s="7"/>
      <x:c r="K2003" s="8" t="n">
        <x:v>25</x:v>
      </x:c>
      <x:c r="L2003" s="8" t="n">
        <x:v>141</x:v>
      </x:c>
      <x:c r="M2003" s="9" t="n">
        <x:v>0.5949726776</x:v>
      </x:c>
      <x:c r="N2003" s="10" t="n">
        <x:v>156021.9929078014</x:v>
      </x:c>
      <x:c r="O2003" s="9" t="n">
        <x:v>-0.1978462824</x:v>
      </x:c>
      <x:c r="P2003" s="9" t="n">
        <x:v>0.594795539</x:v>
      </x:c>
      <x:c r="Q2003" s="9" t="n">
        <x:v>0.292936803</x:v>
      </x:c>
      <x:c r="R2003" s="3" t="b">
        <x:v>0</x:v>
      </x:c>
      <x:c r="S2003" s="3" t="b">
        <x:v>0</x:v>
      </x:c>
      <x:c r="T2003" s="3" t="b">
        <x:v>0</x:v>
      </x:c>
      <x:c r="U2003" s="2" t="str">
        <x:f>IF(T2003=TRUE,"Priority review",IF(R2003=TRUE,"High cost",IF(S2003=TRUE,"Low quality","Benchmark")))</x:f>
        <x:v>Benchmark</x:v>
      </x:c>
    </x:row>
    <x:row r="2004">
      <x:c r="A2004" s="2" t="str">
        <x:v>330023</x:v>
      </x:c>
      <x:c r="B2004" s="2" t="str">
        <x:v>VASSAR BROTHERS MEDICAL CENTER</x:v>
      </x:c>
      <x:c r="C2004" s="2" t="str">
        <x:v>POUGHKEEPSIE</x:v>
      </x:c>
      <x:c r="D2004" s="2" t="str">
        <x:v>NY</x:v>
      </x:c>
      <x:c r="E2004" s="2" t="str">
        <x:v>Acute Care Hospitals</x:v>
      </x:c>
      <x:c r="F2004" s="2" t="str">
        <x:v>Voluntary non-profit</x:v>
      </x:c>
      <x:c r="G2004" s="2" t="str">
        <x:v>Large (300+ beds)</x:v>
      </x:c>
      <x:c r="H2004" s="7" t="n">
        <x:v>3</x:v>
      </x:c>
      <x:c r="I2004" s="7" t="n">
        <x:v>3</x:v>
      </x:c>
      <x:c r="J2004" s="7" t="n">
        <x:v>0.96</x:v>
      </x:c>
      <x:c r="K2004" s="8" t="n">
        <x:v>346</x:v>
      </x:c>
      <x:c r="L2004" s="8" t="n">
        <x:v>19656</x:v>
      </x:c>
      <x:c r="M2004" s="9" t="n">
        <x:v>0.8613772787</x:v>
      </x:c>
      <x:c r="N2004" s="10" t="n">
        <x:v>43214.160002035</x:v>
      </x:c>
      <x:c r="O2004" s="9" t="n">
        <x:v>0.0431880976</x:v>
      </x:c>
      <x:c r="P2004" s="9" t="n">
        <x:v>0.594637224</x:v>
      </x:c>
      <x:c r="Q2004" s="9" t="n">
        <x:v>0.2570977918</x:v>
      </x:c>
      <x:c r="R2004" s="3" t="b">
        <x:v>0</x:v>
      </x:c>
      <x:c r="S2004" s="3" t="b">
        <x:v>0</x:v>
      </x:c>
      <x:c r="T2004" s="3" t="b">
        <x:v>0</x:v>
      </x:c>
      <x:c r="U2004" s="2" t="str">
        <x:f>IF(T2004=TRUE,"Priority review",IF(R2004=TRUE,"High cost",IF(S2004=TRUE,"Low quality","Benchmark")))</x:f>
        <x:v>Benchmark</x:v>
      </x:c>
    </x:row>
    <x:row r="2005">
      <x:c r="A2005" s="2" t="str">
        <x:v>450698</x:v>
      </x:c>
      <x:c r="B2005" s="2" t="str">
        <x:v>LAMB HEALTHCARE CENTER</x:v>
      </x:c>
      <x:c r="C2005" s="2" t="str">
        <x:v>LITTLEFIELD</x:v>
      </x:c>
      <x:c r="D2005" s="2" t="str">
        <x:v>TX</x:v>
      </x:c>
      <x:c r="E2005" s="2" t="str">
        <x:v>Acute Care Hospitals</x:v>
      </x:c>
      <x:c r="F2005" s="2" t="str">
        <x:v>Government</x:v>
      </x:c>
      <x:c r="G2005" s="2" t="str">
        <x:v>Small (&lt;100 beds)</x:v>
      </x:c>
      <x:c r="H2005" s="7"/>
      <x:c r="I2005" s="7"/>
      <x:c r="J2005" s="7" t="n">
        <x:v>0.84</x:v>
      </x:c>
      <x:c r="K2005" s="8" t="n">
        <x:v>42</x:v>
      </x:c>
      <x:c r="L2005" s="8" t="n">
        <x:v>234</x:v>
      </x:c>
      <x:c r="M2005" s="9" t="n">
        <x:v>0.0744860786</x:v>
      </x:c>
      <x:c r="N2005" s="10" t="n">
        <x:v>61721.4230769231</x:v>
      </x:c>
      <x:c r="O2005" s="9" t="n">
        <x:v>-0.5632832686</x:v>
      </x:c>
      <x:c r="P2005" s="9" t="n">
        <x:v>0.5942549372</x:v>
      </x:c>
      <x:c r="Q2005" s="9" t="n">
        <x:v>0.697486535</x:v>
      </x:c>
      <x:c r="R2005" s="3" t="b">
        <x:v>0</x:v>
      </x:c>
      <x:c r="S2005" s="3" t="b">
        <x:v>0</x:v>
      </x:c>
      <x:c r="T2005" s="3" t="b">
        <x:v>0</x:v>
      </x:c>
      <x:c r="U2005" s="2" t="str">
        <x:f>IF(T2005=TRUE,"Priority review",IF(R2005=TRUE,"High cost",IF(S2005=TRUE,"Low quality","Benchmark")))</x:f>
        <x:v>Benchmark</x:v>
      </x:c>
    </x:row>
    <x:row r="2006">
      <x:c r="A2006" s="2" t="str">
        <x:v>100248</x:v>
      </x:c>
      <x:c r="B2006" s="2" t="str">
        <x:v>HCA FLORIDA LARGO HOSPITAL</x:v>
      </x:c>
      <x:c r="C2006" s="2" t="str">
        <x:v>LARGO</x:v>
      </x:c>
      <x:c r="D2006" s="2" t="str">
        <x:v>FL</x:v>
      </x:c>
      <x:c r="E2006" s="2" t="str">
        <x:v>Acute Care Hospitals</x:v>
      </x:c>
      <x:c r="F2006" s="2" t="str">
        <x:v>Proprietary</x:v>
      </x:c>
      <x:c r="G2006" s="2" t="str">
        <x:v>Medium (100-299 beds)</x:v>
      </x:c>
      <x:c r="H2006" s="7" t="n">
        <x:v>2</x:v>
      </x:c>
      <x:c r="I2006" s="7" t="n">
        <x:v>2</x:v>
      </x:c>
      <x:c r="J2006" s="7" t="n">
        <x:v>1.07</x:v>
      </x:c>
      <x:c r="K2006" s="8" t="n">
        <x:v>252</x:v>
      </x:c>
      <x:c r="L2006" s="8" t="n">
        <x:v>10242</x:v>
      </x:c>
      <x:c r="M2006" s="9" t="n">
        <x:v>0.7005895528</x:v>
      </x:c>
      <x:c r="N2006" s="10" t="n">
        <x:v>37905.7156805311</x:v>
      </x:c>
      <x:c r="O2006" s="9" t="n">
        <x:v>0.0086150797</x:v>
      </x:c>
      <x:c r="P2006" s="9" t="n">
        <x:v>0.5941320293</x:v>
      </x:c>
      <x:c r="Q2006" s="9" t="n">
        <x:v>0.0782396088</x:v>
      </x:c>
      <x:c r="R2006" s="3" t="b">
        <x:v>0</x:v>
      </x:c>
      <x:c r="S2006" s="3" t="b">
        <x:v>1</x:v>
      </x:c>
      <x:c r="T2006" s="3" t="b">
        <x:v>0</x:v>
      </x:c>
      <x:c r="U2006" s="2" t="str">
        <x:f>IF(T2006=TRUE,"Priority review",IF(R2006=TRUE,"High cost",IF(S2006=TRUE,"Low quality","Benchmark")))</x:f>
        <x:v>Low quality</x:v>
      </x:c>
    </x:row>
    <x:row r="2007">
      <x:c r="A2007" s="2" t="str">
        <x:v>271335</x:v>
      </x:c>
      <x:c r="B2007" s="2" t="str">
        <x:v>COMMUNITY HOSPITAL OF ANACONDA</x:v>
      </x:c>
      <x:c r="C2007" s="2" t="str">
        <x:v>ANACONDA</x:v>
      </x:c>
      <x:c r="D2007" s="2" t="str">
        <x:v>MT</x:v>
      </x:c>
      <x:c r="E2007" s="2" t="str">
        <x:v>Critical Access Hospitals</x:v>
      </x:c>
      <x:c r="F2007" s="2" t="str">
        <x:v>Voluntary non-profit</x:v>
      </x:c>
      <x:c r="G2007" s="2" t="str">
        <x:v>Small (&lt;100 beds)</x:v>
      </x:c>
      <x:c r="H2007" s="7" t="n">
        <x:v>5</x:v>
      </x:c>
      <x:c r="I2007" s="7" t="n">
        <x:v>5</x:v>
      </x:c>
      <x:c r="J2007" s="7"/>
      <x:c r="K2007" s="8" t="n">
        <x:v>25</x:v>
      </x:c>
      <x:c r="L2007" s="8" t="n">
        <x:v>667</x:v>
      </x:c>
      <x:c r="M2007" s="9" t="n">
        <x:v>0.4638251366</x:v>
      </x:c>
      <x:c r="N2007" s="10" t="n">
        <x:v>155484.9670164917</x:v>
      </x:c>
      <x:c r="O2007" s="9" t="n">
        <x:v>-0.0249682118</x:v>
      </x:c>
      <x:c r="P2007" s="9" t="n">
        <x:v>0.5940520446</x:v>
      </x:c>
      <x:c r="Q2007" s="9" t="n">
        <x:v>0.2602230483</x:v>
      </x:c>
      <x:c r="R2007" s="3" t="b">
        <x:v>0</x:v>
      </x:c>
      <x:c r="S2007" s="3" t="b">
        <x:v>0</x:v>
      </x:c>
      <x:c r="T2007" s="3" t="b">
        <x:v>0</x:v>
      </x:c>
      <x:c r="U2007" s="2" t="str">
        <x:f>IF(T2007=TRUE,"Priority review",IF(R2007=TRUE,"High cost",IF(S2007=TRUE,"Low quality","Benchmark")))</x:f>
        <x:v>Benchmark</x:v>
      </x:c>
    </x:row>
    <x:row r="2008">
      <x:c r="A2008" s="2" t="str">
        <x:v>230015</x:v>
      </x:c>
      <x:c r="B2008" s="2" t="str">
        <x:v>THREE RIVERS HEALTH</x:v>
      </x:c>
      <x:c r="C2008" s="2" t="str">
        <x:v>THREE RIVERS</x:v>
      </x:c>
      <x:c r="D2008" s="2" t="str">
        <x:v>MI</x:v>
      </x:c>
      <x:c r="E2008" s="2" t="str">
        <x:v>Acute Care Hospitals</x:v>
      </x:c>
      <x:c r="F2008" s="2" t="str">
        <x:v>Government</x:v>
      </x:c>
      <x:c r="G2008" s="2" t="str">
        <x:v>Small (&lt;100 beds)</x:v>
      </x:c>
      <x:c r="H2008" s="7" t="n">
        <x:v>2</x:v>
      </x:c>
      <x:c r="I2008" s="7" t="n">
        <x:v>3</x:v>
      </x:c>
      <x:c r="J2008" s="7" t="n">
        <x:v>0.99</x:v>
      </x:c>
      <x:c r="K2008" s="8" t="n">
        <x:v>48</x:v>
      </x:c>
      <x:c r="L2008" s="8" t="n">
        <x:v>1122</x:v>
      </x:c>
      <x:c r="M2008" s="9" t="n">
        <x:v>0.2056010929</x:v>
      </x:c>
      <x:c r="N2008" s="10" t="n">
        <x:v>61425.3823529412</x:v>
      </x:c>
      <x:c r="O2008" s="9" t="n">
        <x:v>0.0440885084</x:v>
      </x:c>
      <x:c r="P2008" s="9" t="n">
        <x:v>0.5933572711</x:v>
      </x:c>
      <x:c r="Q2008" s="9" t="n">
        <x:v>0.0350089767</x:v>
      </x:c>
      <x:c r="R2008" s="3" t="b">
        <x:v>0</x:v>
      </x:c>
      <x:c r="S2008" s="3" t="b">
        <x:v>1</x:v>
      </x:c>
      <x:c r="T2008" s="3" t="b">
        <x:v>0</x:v>
      </x:c>
      <x:c r="U2008" s="2" t="str">
        <x:f>IF(T2008=TRUE,"Priority review",IF(R2008=TRUE,"High cost",IF(S2008=TRUE,"Low quality","Benchmark")))</x:f>
        <x:v>Low quality</x:v>
      </x:c>
    </x:row>
    <x:row r="2009">
      <x:c r="A2009" s="2" t="str">
        <x:v>220035</x:v>
      </x:c>
      <x:c r="B2009" s="2" t="str">
        <x:v>NORTH SHORE MEDICAL CENTER -</x:v>
      </x:c>
      <x:c r="C2009" s="2" t="str">
        <x:v>SALEM</x:v>
      </x:c>
      <x:c r="D2009" s="2" t="str">
        <x:v>MA</x:v>
      </x:c>
      <x:c r="E2009" s="2" t="str">
        <x:v>Acute Care Hospitals</x:v>
      </x:c>
      <x:c r="F2009" s="2" t="str">
        <x:v>Voluntary non-profit</x:v>
      </x:c>
      <x:c r="G2009" s="2" t="str">
        <x:v>Medium (100-299 beds)</x:v>
      </x:c>
      <x:c r="H2009" s="7" t="n">
        <x:v>5</x:v>
      </x:c>
      <x:c r="I2009" s="7" t="n">
        <x:v>3</x:v>
      </x:c>
      <x:c r="J2009" s="7" t="n">
        <x:v>0.91</x:v>
      </x:c>
      <x:c r="K2009" s="8" t="n">
        <x:v>281</x:v>
      </x:c>
      <x:c r="L2009" s="8" t="n">
        <x:v>17213</x:v>
      </x:c>
      <x:c r="M2009" s="9" t="n">
        <x:v>0.867314365</x:v>
      </x:c>
      <x:c r="N2009" s="10" t="n">
        <x:v>37790.969906466</x:v>
      </x:c>
      <x:c r="O2009" s="9" t="n">
        <x:v>-0.1234813682</x:v>
      </x:c>
      <x:c r="P2009" s="9" t="n">
        <x:v>0.5933170334</x:v>
      </x:c>
      <x:c r="Q2009" s="9" t="n">
        <x:v>0.8744906275</x:v>
      </x:c>
      <x:c r="R2009" s="3" t="b">
        <x:v>0</x:v>
      </x:c>
      <x:c r="S2009" s="3" t="b">
        <x:v>0</x:v>
      </x:c>
      <x:c r="T2009" s="3" t="b">
        <x:v>0</x:v>
      </x:c>
      <x:c r="U2009" s="2" t="str">
        <x:f>IF(T2009=TRUE,"Priority review",IF(R2009=TRUE,"High cost",IF(S2009=TRUE,"Low quality","Benchmark")))</x:f>
        <x:v>Benchmark</x:v>
      </x:c>
    </x:row>
    <x:row r="2010">
      <x:c r="A2010" s="2" t="str">
        <x:v>241363</x:v>
      </x:c>
      <x:c r="B2010" s="2" t="str">
        <x:v>STEVENS COMMUNITY MEDICAL CENTER INC</x:v>
      </x:c>
      <x:c r="C2010" s="2" t="str">
        <x:v>MORRIS</x:v>
      </x:c>
      <x:c r="D2010" s="2" t="str">
        <x:v>MN</x:v>
      </x:c>
      <x:c r="E2010" s="2" t="str">
        <x:v>Critical Access Hospitals</x:v>
      </x:c>
      <x:c r="F2010" s="2" t="str">
        <x:v>Voluntary non-profit</x:v>
      </x:c>
      <x:c r="G2010" s="2" t="str">
        <x:v>Small (&lt;100 beds)</x:v>
      </x:c>
      <x:c r="H2010" s="7"/>
      <x:c r="I2010" s="7"/>
      <x:c r="J2010" s="7"/>
      <x:c r="K2010" s="8" t="n">
        <x:v>25</x:v>
      </x:c>
      <x:c r="L2010" s="8" t="n">
        <x:v>326</x:v>
      </x:c>
      <x:c r="M2010" s="9" t="n">
        <x:v>0.1</x:v>
      </x:c>
      <x:c r="N2010" s="10" t="n">
        <x:v>155436.1871165644</x:v>
      </x:c>
      <x:c r="O2010" s="9" t="n">
        <x:v>0.0284971403</x:v>
      </x:c>
      <x:c r="P2010" s="9" t="n">
        <x:v>0.5933085502</x:v>
      </x:c>
      <x:c r="Q2010" s="9" t="n">
        <x:v>0.292936803</x:v>
      </x:c>
      <x:c r="R2010" s="3" t="b">
        <x:v>0</x:v>
      </x:c>
      <x:c r="S2010" s="3" t="b">
        <x:v>0</x:v>
      </x:c>
      <x:c r="T2010" s="3" t="b">
        <x:v>0</x:v>
      </x:c>
      <x:c r="U2010" s="2" t="str">
        <x:f>IF(T2010=TRUE,"Priority review",IF(R2010=TRUE,"High cost",IF(S2010=TRUE,"Low quality","Benchmark")))</x:f>
        <x:v>Benchmark</x:v>
      </x:c>
    </x:row>
    <x:row r="2011">
      <x:c r="A2011" s="2" t="str">
        <x:v>100022</x:v>
      </x:c>
      <x:c r="B2011" s="2" t="str">
        <x:v>JACKSON HEALTH SYSTEM</x:v>
      </x:c>
      <x:c r="C2011" s="2" t="str">
        <x:v>MIAMI</x:v>
      </x:c>
      <x:c r="D2011" s="2" t="str">
        <x:v>FL</x:v>
      </x:c>
      <x:c r="E2011" s="2" t="str">
        <x:v>Acute Care Hospitals</x:v>
      </x:c>
      <x:c r="F2011" s="2" t="str">
        <x:v>Government</x:v>
      </x:c>
      <x:c r="G2011" s="2" t="str">
        <x:v>Large (300+ beds)</x:v>
      </x:c>
      <x:c r="H2011" s="7" t="n">
        <x:v>1</x:v>
      </x:c>
      <x:c r="I2011" s="7" t="n">
        <x:v>3</x:v>
      </x:c>
      <x:c r="J2011" s="7" t="n">
        <x:v>1.11</x:v>
      </x:c>
      <x:c r="K2011" s="8" t="n">
        <x:v>1595</x:v>
      </x:c>
      <x:c r="L2011" s="8" t="n">
        <x:v>71520</x:v>
      </x:c>
      <x:c r="M2011" s="9" t="n">
        <x:v>0.7253438854</x:v>
      </x:c>
      <x:c r="N2011" s="10" t="n">
        <x:v>43180.2754753915</x:v>
      </x:c>
      <x:c r="O2011" s="9" t="n">
        <x:v>-0.9049418907</x:v>
      </x:c>
      <x:c r="P2011" s="9" t="n">
        <x:v>0.5930599369</x:v>
      </x:c>
      <x:c r="Q2011" s="9" t="n">
        <x:v>0</x:v>
      </x:c>
      <x:c r="R2011" s="3" t="b">
        <x:v>0</x:v>
      </x:c>
      <x:c r="S2011" s="3" t="b">
        <x:v>1</x:v>
      </x:c>
      <x:c r="T2011" s="3" t="b">
        <x:v>0</x:v>
      </x:c>
      <x:c r="U2011" s="2" t="str">
        <x:f>IF(T2011=TRUE,"Priority review",IF(R2011=TRUE,"High cost",IF(S2011=TRUE,"Low quality","Benchmark")))</x:f>
        <x:v>Low quality</x:v>
      </x:c>
    </x:row>
    <x:row r="2012">
      <x:c r="A2012" s="2" t="str">
        <x:v>453304</x:v>
      </x:c>
      <x:c r="B2012" s="2" t="str">
        <x:v>TEXAS CHILDRENS HOSPITAL</x:v>
      </x:c>
      <x:c r="C2012" s="2" t="str">
        <x:v>HOUSTON</x:v>
      </x:c>
      <x:c r="D2012" s="2" t="str">
        <x:v>TX</x:v>
      </x:c>
      <x:c r="E2012" s="2" t="str">
        <x:v>Childrens</x:v>
      </x:c>
      <x:c r="F2012" s="2" t="str">
        <x:v>Voluntary non-profit</x:v>
      </x:c>
      <x:c r="G2012" s="2" t="str">
        <x:v>Large (300+ beds)</x:v>
      </x:c>
      <x:c r="H2012" s="7"/>
      <x:c r="I2012" s="7"/>
      <x:c r="J2012" s="7"/>
      <x:c r="K2012" s="8" t="n">
        <x:v>905</x:v>
      </x:c>
      <x:c r="L2012" s="8" t="n">
        <x:v>34534</x:v>
      </x:c>
      <x:c r="M2012" s="9" t="n">
        <x:v>0.7448419527</x:v>
      </x:c>
      <x:c r="N2012" s="10" t="n">
        <x:v>106988.4598077257</x:v>
      </x:c>
      <x:c r="O2012" s="9" t="n">
        <x:v>-0.2130121078</x:v>
      </x:c>
      <x:c r="P2012" s="9" t="n">
        <x:v>0.5925925926</x:v>
      </x:c>
      <x:c r="Q2012" s="9" t="n">
        <x:v>0</x:v>
      </x:c>
      <x:c r="R2012" s="3" t="b">
        <x:v>0</x:v>
      </x:c>
      <x:c r="S2012" s="3" t="b">
        <x:v>0</x:v>
      </x:c>
      <x:c r="T2012" s="3" t="b">
        <x:v>0</x:v>
      </x:c>
      <x:c r="U2012" s="2" t="str">
        <x:f>IF(T2012=TRUE,"Priority review",IF(R2012=TRUE,"High cost",IF(S2012=TRUE,"Low quality","Benchmark")))</x:f>
        <x:v>Benchmark</x:v>
      </x:c>
    </x:row>
    <x:row r="2013">
      <x:c r="A2013" s="2" t="str">
        <x:v>511318</x:v>
      </x:c>
      <x:c r="B2013" s="2" t="str">
        <x:v>MONTGOMERY GENERAL HOSPITAL</x:v>
      </x:c>
      <x:c r="C2013" s="2" t="str">
        <x:v>MONTGOMERY</x:v>
      </x:c>
      <x:c r="D2013" s="2" t="str">
        <x:v>WV</x:v>
      </x:c>
      <x:c r="E2013" s="2" t="str">
        <x:v>Critical Access Hospitals</x:v>
      </x:c>
      <x:c r="F2013" s="2" t="str">
        <x:v>Voluntary non-profit</x:v>
      </x:c>
      <x:c r="G2013" s="2" t="str">
        <x:v>Small (&lt;100 beds)</x:v>
      </x:c>
      <x:c r="H2013" s="7"/>
      <x:c r="I2013" s="7"/>
      <x:c r="J2013" s="7"/>
      <x:c r="K2013" s="8" t="n">
        <x:v>25</x:v>
      </x:c>
      <x:c r="L2013" s="8" t="n">
        <x:v>214</x:v>
      </x:c>
      <x:c r="M2013" s="9" t="n">
        <x:v>0.4403278689</x:v>
      </x:c>
      <x:c r="N2013" s="10" t="n">
        <x:v>154741.4252336449</x:v>
      </x:c>
      <x:c r="O2013" s="9" t="n">
        <x:v>-0.1387605552</x:v>
      </x:c>
      <x:c r="P2013" s="9" t="n">
        <x:v>0.5925650558</x:v>
      </x:c>
      <x:c r="Q2013" s="9" t="n">
        <x:v>0.292936803</x:v>
      </x:c>
      <x:c r="R2013" s="3" t="b">
        <x:v>0</x:v>
      </x:c>
      <x:c r="S2013" s="3" t="b">
        <x:v>0</x:v>
      </x:c>
      <x:c r="T2013" s="3" t="b">
        <x:v>0</x:v>
      </x:c>
      <x:c r="U2013" s="2" t="str">
        <x:f>IF(T2013=TRUE,"Priority review",IF(R2013=TRUE,"High cost",IF(S2013=TRUE,"Low quality","Benchmark")))</x:f>
        <x:v>Benchmark</x:v>
      </x:c>
    </x:row>
    <x:row r="2014">
      <x:c r="A2014" s="2" t="str">
        <x:v>370097</x:v>
      </x:c>
      <x:c r="B2014" s="2" t="str">
        <x:v>SOUTHWESTERN MEDICAL CENTER</x:v>
      </x:c>
      <x:c r="C2014" s="2" t="str">
        <x:v>LAWTON</x:v>
      </x:c>
      <x:c r="D2014" s="2" t="str">
        <x:v>OK</x:v>
      </x:c>
      <x:c r="E2014" s="2" t="str">
        <x:v>Acute Care Hospitals</x:v>
      </x:c>
      <x:c r="F2014" s="2" t="str">
        <x:v>Proprietary</x:v>
      </x:c>
      <x:c r="G2014" s="2" t="str">
        <x:v>Medium (100-299 beds)</x:v>
      </x:c>
      <x:c r="H2014" s="7" t="n">
        <x:v>2</x:v>
      </x:c>
      <x:c r="I2014" s="7" t="n">
        <x:v>2</x:v>
      </x:c>
      <x:c r="J2014" s="7" t="n">
        <x:v>1.02</x:v>
      </x:c>
      <x:c r="K2014" s="8" t="n">
        <x:v>126</x:v>
      </x:c>
      <x:c r="L2014" s="8" t="n">
        <x:v>2317</x:v>
      </x:c>
      <x:c r="M2014" s="9" t="n">
        <x:v>0.2237835025</x:v>
      </x:c>
      <x:c r="N2014" s="10" t="n">
        <x:v>37718.4540353906</x:v>
      </x:c>
      <x:c r="O2014" s="9" t="n">
        <x:v>-0.1465021636</x:v>
      </x:c>
      <x:c r="P2014" s="9" t="n">
        <x:v>0.5925020375</x:v>
      </x:c>
      <x:c r="Q2014" s="9" t="n">
        <x:v>0.0782396088</x:v>
      </x:c>
      <x:c r="R2014" s="3" t="b">
        <x:v>0</x:v>
      </x:c>
      <x:c r="S2014" s="3" t="b">
        <x:v>1</x:v>
      </x:c>
      <x:c r="T2014" s="3" t="b">
        <x:v>0</x:v>
      </x:c>
      <x:c r="U2014" s="2" t="str">
        <x:f>IF(T2014=TRUE,"Priority review",IF(R2014=TRUE,"High cost",IF(S2014=TRUE,"Low quality","Benchmark")))</x:f>
        <x:v>Low quality</x:v>
      </x:c>
    </x:row>
    <x:row r="2015">
      <x:c r="A2015" s="2" t="str">
        <x:v>450573</x:v>
      </x:c>
      <x:c r="B2015" s="2" t="str">
        <x:v>CHRISTUS JASPER MEMORIAL HOSPITAL</x:v>
      </x:c>
      <x:c r="C2015" s="2" t="str">
        <x:v>JASPER</x:v>
      </x:c>
      <x:c r="D2015" s="2" t="str">
        <x:v>TX</x:v>
      </x:c>
      <x:c r="E2015" s="2" t="str">
        <x:v>Acute Care Hospitals</x:v>
      </x:c>
      <x:c r="F2015" s="2" t="str">
        <x:v>Voluntary non-profit</x:v>
      </x:c>
      <x:c r="G2015" s="2" t="str">
        <x:v>Small (&lt;100 beds)</x:v>
      </x:c>
      <x:c r="H2015" s="7" t="n">
        <x:v>4</x:v>
      </x:c>
      <x:c r="I2015" s="7"/>
      <x:c r="J2015" s="7" t="n">
        <x:v>1.07</x:v>
      </x:c>
      <x:c r="K2015" s="8" t="n">
        <x:v>40</x:v>
      </x:c>
      <x:c r="L2015" s="8" t="n">
        <x:v>522</x:v>
      </x:c>
      <x:c r="M2015" s="9" t="n">
        <x:v>0.1055479452</x:v>
      </x:c>
      <x:c r="N2015" s="10" t="n">
        <x:v>61410.6091954023</x:v>
      </x:c>
      <x:c r="O2015" s="9" t="n">
        <x:v>0.179997816</x:v>
      </x:c>
      <x:c r="P2015" s="9" t="n">
        <x:v>0.592459605</x:v>
      </x:c>
      <x:c r="Q2015" s="9" t="n">
        <x:v>0.3913824057</x:v>
      </x:c>
      <x:c r="R2015" s="3" t="b">
        <x:v>0</x:v>
      </x:c>
      <x:c r="S2015" s="3" t="b">
        <x:v>0</x:v>
      </x:c>
      <x:c r="T2015" s="3" t="b">
        <x:v>0</x:v>
      </x:c>
      <x:c r="U2015" s="2" t="str">
        <x:f>IF(T2015=TRUE,"Priority review",IF(R2015=TRUE,"High cost",IF(S2015=TRUE,"Low quality","Benchmark")))</x:f>
        <x:v>Benchmark</x:v>
      </x:c>
    </x:row>
    <x:row r="2016">
      <x:c r="A2016" s="2" t="str">
        <x:v>524026</x:v>
      </x:c>
      <x:c r="B2016" s="2" t="str">
        <x:v>WAUKESHA COUNTY MENTAL HEALTH CTR</x:v>
      </x:c>
      <x:c r="C2016" s="2" t="str">
        <x:v>WAUKESHA</x:v>
      </x:c>
      <x:c r="D2016" s="2" t="str">
        <x:v>WI</x:v>
      </x:c>
      <x:c r="E2016" s="2" t="str">
        <x:v>Psychiatric</x:v>
      </x:c>
      <x:c r="F2016" s="2" t="str">
        <x:v>Government</x:v>
      </x:c>
      <x:c r="G2016" s="2" t="str">
        <x:v>Small (&lt;100 beds)</x:v>
      </x:c>
      <x:c r="H2016" s="7"/>
      <x:c r="I2016" s="7"/>
      <x:c r="J2016" s="7"/>
      <x:c r="K2016" s="8" t="n">
        <x:v>16</x:v>
      </x:c>
      <x:c r="L2016" s="8" t="n">
        <x:v>487</x:v>
      </x:c>
      <x:c r="M2016" s="9" t="n">
        <x:v>0.5724043716</x:v>
      </x:c>
      <x:c r="N2016" s="10" t="n">
        <x:v>14675.6878850103</x:v>
      </x:c>
      <x:c r="O2016" s="9" t="n">
        <x:v>-1.5923378868</x:v>
      </x:c>
      <x:c r="P2016" s="9" t="n">
        <x:v>0.5922330097</x:v>
      </x:c>
      <x:c r="Q2016" s="9" t="n">
        <x:v>0</x:v>
      </x:c>
      <x:c r="R2016" s="3" t="b">
        <x:v>0</x:v>
      </x:c>
      <x:c r="S2016" s="3" t="b">
        <x:v>0</x:v>
      </x:c>
      <x:c r="T2016" s="3" t="b">
        <x:v>0</x:v>
      </x:c>
      <x:c r="U2016" s="2" t="str">
        <x:f>IF(T2016=TRUE,"Priority review",IF(R2016=TRUE,"High cost",IF(S2016=TRUE,"Low quality","Benchmark")))</x:f>
        <x:v>Benchmark</x:v>
      </x:c>
    </x:row>
    <x:row r="2017">
      <x:c r="A2017" s="2" t="str">
        <x:v>374000</x:v>
      </x:c>
      <x:c r="B2017" s="2" t="str">
        <x:v>GRIFFIN MEMORIAL HOSPITAL</x:v>
      </x:c>
      <x:c r="C2017" s="2" t="str">
        <x:v>NORMAN</x:v>
      </x:c>
      <x:c r="D2017" s="2" t="str">
        <x:v>OK</x:v>
      </x:c>
      <x:c r="E2017" s="2" t="str">
        <x:v>Psychiatric</x:v>
      </x:c>
      <x:c r="F2017" s="2" t="str">
        <x:v>Government</x:v>
      </x:c>
      <x:c r="G2017" s="2" t="str">
        <x:v>Medium (100-299 beds)</x:v>
      </x:c>
      <x:c r="H2017" s="7"/>
      <x:c r="I2017" s="7"/>
      <x:c r="J2017" s="7"/>
      <x:c r="K2017" s="8" t="n">
        <x:v>120</x:v>
      </x:c>
      <x:c r="L2017" s="8" t="n">
        <x:v>2638</x:v>
      </x:c>
      <x:c r="M2017" s="9" t="n">
        <x:v>0.865890411</x:v>
      </x:c>
      <x:c r="N2017" s="10" t="n">
        <x:v>15635.2862016679</x:v>
      </x:c>
      <x:c r="O2017" s="9" t="n">
        <x:v>-7.4828332487</x:v>
      </x:c>
      <x:c r="P2017" s="9" t="n">
        <x:v>0.592039801</x:v>
      </x:c>
      <x:c r="Q2017" s="9" t="n">
        <x:v>0</x:v>
      </x:c>
      <x:c r="R2017" s="3" t="b">
        <x:v>0</x:v>
      </x:c>
      <x:c r="S2017" s="3" t="b">
        <x:v>0</x:v>
      </x:c>
      <x:c r="T2017" s="3" t="b">
        <x:v>0</x:v>
      </x:c>
      <x:c r="U2017" s="2" t="str">
        <x:f>IF(T2017=TRUE,"Priority review",IF(R2017=TRUE,"High cost",IF(S2017=TRUE,"Low quality","Benchmark")))</x:f>
        <x:v>Benchmark</x:v>
      </x:c>
    </x:row>
    <x:row r="2018">
      <x:c r="A2018" s="2" t="str">
        <x:v>231304</x:v>
      </x:c>
      <x:c r="B2018" s="2" t="str">
        <x:v>HELEN NEWBERRY JOY HOSPITAL</x:v>
      </x:c>
      <x:c r="C2018" s="2" t="str">
        <x:v>NEWBERRY</x:v>
      </x:c>
      <x:c r="D2018" s="2" t="str">
        <x:v>MI</x:v>
      </x:c>
      <x:c r="E2018" s="2" t="str">
        <x:v>Critical Access Hospitals</x:v>
      </x:c>
      <x:c r="F2018" s="2" t="str">
        <x:v>Government</x:v>
      </x:c>
      <x:c r="G2018" s="2" t="str">
        <x:v>Small (&lt;100 beds)</x:v>
      </x:c>
      <x:c r="H2018" s="7"/>
      <x:c r="I2018" s="7"/>
      <x:c r="J2018" s="7"/>
      <x:c r="K2018" s="8" t="n">
        <x:v>25</x:v>
      </x:c>
      <x:c r="L2018" s="8" t="n">
        <x:v>254</x:v>
      </x:c>
      <x:c r="M2018" s="9" t="n">
        <x:v>0.1842622951</x:v>
      </x:c>
      <x:c r="N2018" s="10" t="n">
        <x:v>154682.6299212599</x:v>
      </x:c>
      <x:c r="O2018" s="9" t="n">
        <x:v>-0.0013499703</x:v>
      </x:c>
      <x:c r="P2018" s="9" t="n">
        <x:v>0.5918215613</x:v>
      </x:c>
      <x:c r="Q2018" s="9" t="n">
        <x:v>0.292936803</x:v>
      </x:c>
      <x:c r="R2018" s="3" t="b">
        <x:v>0</x:v>
      </x:c>
      <x:c r="S2018" s="3" t="b">
        <x:v>0</x:v>
      </x:c>
      <x:c r="T2018" s="3" t="b">
        <x:v>0</x:v>
      </x:c>
      <x:c r="U2018" s="2" t="str">
        <x:f>IF(T2018=TRUE,"Priority review",IF(R2018=TRUE,"High cost",IF(S2018=TRUE,"Low quality","Benchmark")))</x:f>
        <x:v>Benchmark</x:v>
      </x:c>
    </x:row>
    <x:row r="2019">
      <x:c r="A2019" s="2" t="str">
        <x:v>510046</x:v>
      </x:c>
      <x:c r="B2019" s="2" t="str">
        <x:v>PRINCETON COMMUNITY HOSPITAL ASSN INC</x:v>
      </x:c>
      <x:c r="C2019" s="2" t="str">
        <x:v>PRINCETON</x:v>
      </x:c>
      <x:c r="D2019" s="2" t="str">
        <x:v>WV</x:v>
      </x:c>
      <x:c r="E2019" s="2" t="str">
        <x:v>Acute Care Hospitals</x:v>
      </x:c>
      <x:c r="F2019" s="2" t="str">
        <x:v>Government</x:v>
      </x:c>
      <x:c r="G2019" s="2" t="str">
        <x:v>Medium (100-299 beds)</x:v>
      </x:c>
      <x:c r="H2019" s="7" t="n">
        <x:v>2</x:v>
      </x:c>
      <x:c r="I2019" s="7" t="n">
        <x:v>3</x:v>
      </x:c>
      <x:c r="J2019" s="7" t="n">
        <x:v>1.06</x:v>
      </x:c>
      <x:c r="K2019" s="8" t="n">
        <x:v>125</x:v>
      </x:c>
      <x:c r="L2019" s="8" t="n">
        <x:v>8397</x:v>
      </x:c>
      <x:c r="M2019" s="9" t="n">
        <x:v>0.8182137834</x:v>
      </x:c>
      <x:c r="N2019" s="10" t="n">
        <x:v>37690.6074788615</x:v>
      </x:c>
      <x:c r="O2019" s="9" t="n">
        <x:v>-0.0204660053</x:v>
      </x:c>
      <x:c r="P2019" s="9" t="n">
        <x:v>0.5916870416</x:v>
      </x:c>
      <x:c r="Q2019" s="9" t="n">
        <x:v>0.0782396088</x:v>
      </x:c>
      <x:c r="R2019" s="3" t="b">
        <x:v>0</x:v>
      </x:c>
      <x:c r="S2019" s="3" t="b">
        <x:v>1</x:v>
      </x:c>
      <x:c r="T2019" s="3" t="b">
        <x:v>0</x:v>
      </x:c>
      <x:c r="U2019" s="2" t="str">
        <x:f>IF(T2019=TRUE,"Priority review",IF(R2019=TRUE,"High cost",IF(S2019=TRUE,"Low quality","Benchmark")))</x:f>
        <x:v>Low quality</x:v>
      </x:c>
    </x:row>
    <x:row r="2020">
      <x:c r="A2020" s="2" t="str">
        <x:v>160089</x:v>
      </x:c>
      <x:c r="B2020" s="2" t="str">
        <x:v>OTTUMWA REGIONAL HEALTH CENTER</x:v>
      </x:c>
      <x:c r="C2020" s="2" t="str">
        <x:v>OTTUMWA</x:v>
      </x:c>
      <x:c r="D2020" s="2" t="str">
        <x:v>IA</x:v>
      </x:c>
      <x:c r="E2020" s="2" t="str">
        <x:v>Acute Care Hospitals</x:v>
      </x:c>
      <x:c r="F2020" s="2" t="str">
        <x:v>Proprietary</x:v>
      </x:c>
      <x:c r="G2020" s="2" t="str">
        <x:v>Small (&lt;100 beds)</x:v>
      </x:c>
      <x:c r="H2020" s="7" t="n">
        <x:v>2</x:v>
      </x:c>
      <x:c r="I2020" s="7" t="n">
        <x:v>1</x:v>
      </x:c>
      <x:c r="J2020" s="7" t="n">
        <x:v>1</x:v>
      </x:c>
      <x:c r="K2020" s="8" t="n">
        <x:v>76</x:v>
      </x:c>
      <x:c r="L2020" s="8" t="n">
        <x:v>1643</x:v>
      </x:c>
      <x:c r="M2020" s="9" t="n">
        <x:v>0.1970079308</x:v>
      </x:c>
      <x:c r="N2020" s="10" t="n">
        <x:v>61391.4844796105</x:v>
      </x:c>
      <x:c r="O2020" s="9" t="n">
        <x:v>-0.2367632908</x:v>
      </x:c>
      <x:c r="P2020" s="9" t="n">
        <x:v>0.591561939</x:v>
      </x:c>
      <x:c r="Q2020" s="9" t="n">
        <x:v>0.0350089767</x:v>
      </x:c>
      <x:c r="R2020" s="3" t="b">
        <x:v>0</x:v>
      </x:c>
      <x:c r="S2020" s="3" t="b">
        <x:v>1</x:v>
      </x:c>
      <x:c r="T2020" s="3" t="b">
        <x:v>0</x:v>
      </x:c>
      <x:c r="U2020" s="2" t="str">
        <x:f>IF(T2020=TRUE,"Priority review",IF(R2020=TRUE,"High cost",IF(S2020=TRUE,"Low quality","Benchmark")))</x:f>
        <x:v>Low quality</x:v>
      </x:c>
    </x:row>
    <x:row r="2021">
      <x:c r="A2021" s="2" t="str">
        <x:v>250004</x:v>
      </x:c>
      <x:c r="B2021" s="2" t="str">
        <x:v>NORTH MISSISSIPPI MEDICAL CENTER</x:v>
      </x:c>
      <x:c r="C2021" s="2" t="str">
        <x:v>TUPELO</x:v>
      </x:c>
      <x:c r="D2021" s="2" t="str">
        <x:v>MS</x:v>
      </x:c>
      <x:c r="E2021" s="2" t="str">
        <x:v>Acute Care Hospitals</x:v>
      </x:c>
      <x:c r="F2021" s="2" t="str">
        <x:v>Voluntary non-profit</x:v>
      </x:c>
      <x:c r="G2021" s="2" t="str">
        <x:v>Large (300+ beds)</x:v>
      </x:c>
      <x:c r="H2021" s="7" t="n">
        <x:v>2</x:v>
      </x:c>
      <x:c r="I2021" s="7" t="n">
        <x:v>3</x:v>
      </x:c>
      <x:c r="J2021" s="7" t="n">
        <x:v>1.04</x:v>
      </x:c>
      <x:c r="K2021" s="8" t="n">
        <x:v>469</x:v>
      </x:c>
      <x:c r="L2021" s="8" t="n">
        <x:v>21113</x:v>
      </x:c>
      <x:c r="M2021" s="9" t="n">
        <x:v>0.6856417187</x:v>
      </x:c>
      <x:c r="N2021" s="10" t="n">
        <x:v>42751.9471889357</x:v>
      </x:c>
      <x:c r="O2021" s="9" t="n">
        <x:v>-0.0062037076</x:v>
      </x:c>
      <x:c r="P2021" s="9" t="n">
        <x:v>0.5914826498</x:v>
      </x:c>
      <x:c r="Q2021" s="9" t="n">
        <x:v>0.0536277603</x:v>
      </x:c>
      <x:c r="R2021" s="3" t="b">
        <x:v>0</x:v>
      </x:c>
      <x:c r="S2021" s="3" t="b">
        <x:v>1</x:v>
      </x:c>
      <x:c r="T2021" s="3" t="b">
        <x:v>0</x:v>
      </x:c>
      <x:c r="U2021" s="2" t="str">
        <x:f>IF(T2021=TRUE,"Priority review",IF(R2021=TRUE,"High cost",IF(S2021=TRUE,"Low quality","Benchmark")))</x:f>
        <x:v>Low quality</x:v>
      </x:c>
    </x:row>
    <x:row r="2022">
      <x:c r="A2022" s="2" t="str">
        <x:v>061306</x:v>
      </x:c>
      <x:c r="B2022" s="2" t="str">
        <x:v>LINCOLN HEALTH HOSPITAL</x:v>
      </x:c>
      <x:c r="C2022" s="2" t="str">
        <x:v>HUGO</x:v>
      </x:c>
      <x:c r="D2022" s="2" t="str">
        <x:v>CO</x:v>
      </x:c>
      <x:c r="E2022" s="2" t="str">
        <x:v>Critical Access Hospitals</x:v>
      </x:c>
      <x:c r="F2022" s="2" t="str">
        <x:v>Voluntary non-profit</x:v>
      </x:c>
      <x:c r="G2022" s="2" t="str">
        <x:v>Small (&lt;100 beds)</x:v>
      </x:c>
      <x:c r="H2022" s="7"/>
      <x:c r="I2022" s="7"/>
      <x:c r="J2022" s="7"/>
      <x:c r="K2022" s="8" t="n">
        <x:v>15</x:v>
      </x:c>
      <x:c r="L2022" s="8" t="n">
        <x:v>207</x:v>
      </x:c>
      <x:c r="M2022" s="9" t="n">
        <x:v>0.2094717668</x:v>
      </x:c>
      <x:c r="N2022" s="10" t="n">
        <x:v>153751.4396135266</x:v>
      </x:c>
      <x:c r="O2022" s="9" t="n">
        <x:v>-0.1429472916</x:v>
      </x:c>
      <x:c r="P2022" s="9" t="n">
        <x:v>0.5910780669</x:v>
      </x:c>
      <x:c r="Q2022" s="9" t="n">
        <x:v>0.292936803</x:v>
      </x:c>
      <x:c r="R2022" s="3" t="b">
        <x:v>0</x:v>
      </x:c>
      <x:c r="S2022" s="3" t="b">
        <x:v>0</x:v>
      </x:c>
      <x:c r="T2022" s="3" t="b">
        <x:v>0</x:v>
      </x:c>
      <x:c r="U2022" s="2" t="str">
        <x:f>IF(T2022=TRUE,"Priority review",IF(R2022=TRUE,"High cost",IF(S2022=TRUE,"Low quality","Benchmark")))</x:f>
        <x:v>Benchmark</x:v>
      </x:c>
    </x:row>
    <x:row r="2023">
      <x:c r="A2023" s="2" t="str">
        <x:v>330073</x:v>
      </x:c>
      <x:c r="B2023" s="2" t="str">
        <x:v>UNITED MEMORIAL MEDICAL CENTER</x:v>
      </x:c>
      <x:c r="C2023" s="2" t="str">
        <x:v>BATAVIA</x:v>
      </x:c>
      <x:c r="D2023" s="2" t="str">
        <x:v>NY</x:v>
      </x:c>
      <x:c r="E2023" s="2" t="str">
        <x:v>Acute Care Hospitals</x:v>
      </x:c>
      <x:c r="F2023" s="2" t="str">
        <x:v>Voluntary non-profit</x:v>
      </x:c>
      <x:c r="G2023" s="2" t="str">
        <x:v>Medium (100-299 beds)</x:v>
      </x:c>
      <x:c r="H2023" s="7" t="n">
        <x:v>2</x:v>
      </x:c>
      <x:c r="I2023" s="7" t="n">
        <x:v>3</x:v>
      </x:c>
      <x:c r="J2023" s="7" t="n">
        <x:v>0.94</x:v>
      </x:c>
      <x:c r="K2023" s="8" t="n">
        <x:v>126</x:v>
      </x:c>
      <x:c r="L2023" s="8" t="n">
        <x:v>4548</x:v>
      </x:c>
      <x:c r="M2023" s="9" t="n">
        <x:v>0.5058981698</x:v>
      </x:c>
      <x:c r="N2023" s="10" t="n">
        <x:v>37489.1143359719</x:v>
      </x:c>
      <x:c r="O2023" s="9" t="n">
        <x:v>-0.0547652716</x:v>
      </x:c>
      <x:c r="P2023" s="9" t="n">
        <x:v>0.5908720456</x:v>
      </x:c>
      <x:c r="Q2023" s="9" t="n">
        <x:v>0.0782396088</x:v>
      </x:c>
      <x:c r="R2023" s="3" t="b">
        <x:v>0</x:v>
      </x:c>
      <x:c r="S2023" s="3" t="b">
        <x:v>1</x:v>
      </x:c>
      <x:c r="T2023" s="3" t="b">
        <x:v>0</x:v>
      </x:c>
      <x:c r="U2023" s="2" t="str">
        <x:f>IF(T2023=TRUE,"Priority review",IF(R2023=TRUE,"High cost",IF(S2023=TRUE,"Low quality","Benchmark")))</x:f>
        <x:v>Low quality</x:v>
      </x:c>
    </x:row>
    <x:row r="2024">
      <x:c r="A2024" s="2" t="str">
        <x:v>150001</x:v>
      </x:c>
      <x:c r="B2024" s="2" t="str">
        <x:v>JOHNSON MEMORIAL HOSPITAL</x:v>
      </x:c>
      <x:c r="C2024" s="2" t="str">
        <x:v>FRANKLIN</x:v>
      </x:c>
      <x:c r="D2024" s="2" t="str">
        <x:v>IN</x:v>
      </x:c>
      <x:c r="E2024" s="2" t="str">
        <x:v>Acute Care Hospitals</x:v>
      </x:c>
      <x:c r="F2024" s="2" t="str">
        <x:v>Government</x:v>
      </x:c>
      <x:c r="G2024" s="2" t="str">
        <x:v>Small (&lt;100 beds)</x:v>
      </x:c>
      <x:c r="H2024" s="7" t="n">
        <x:v>5</x:v>
      </x:c>
      <x:c r="I2024" s="7" t="n">
        <x:v>4</x:v>
      </x:c>
      <x:c r="J2024" s="7" t="n">
        <x:v>0.96</x:v>
      </x:c>
      <x:c r="K2024" s="8" t="n">
        <x:v>58</x:v>
      </x:c>
      <x:c r="L2024" s="8" t="n">
        <x:v>1856</x:v>
      </x:c>
      <x:c r="M2024" s="9" t="n">
        <x:v>0.2979084228</x:v>
      </x:c>
      <x:c r="N2024" s="10" t="n">
        <x:v>61195.4811422414</x:v>
      </x:c>
      <x:c r="O2024" s="9" t="n">
        <x:v>-0.0835640486</x:v>
      </x:c>
      <x:c r="P2024" s="9" t="n">
        <x:v>0.5906642729</x:v>
      </x:c>
      <x:c r="Q2024" s="9" t="n">
        <x:v>0.6131059246</x:v>
      </x:c>
      <x:c r="R2024" s="3" t="b">
        <x:v>0</x:v>
      </x:c>
      <x:c r="S2024" s="3" t="b">
        <x:v>0</x:v>
      </x:c>
      <x:c r="T2024" s="3" t="b">
        <x:v>0</x:v>
      </x:c>
      <x:c r="U2024" s="2" t="str">
        <x:f>IF(T2024=TRUE,"Priority review",IF(R2024=TRUE,"High cost",IF(S2024=TRUE,"Low quality","Benchmark")))</x:f>
        <x:v>Benchmark</x:v>
      </x:c>
    </x:row>
    <x:row r="2025">
      <x:c r="A2025" s="2" t="str">
        <x:v>191315</x:v>
      </x:c>
      <x:c r="B2025" s="2" t="str">
        <x:v>HARDTNER MEDICAL CENTER</x:v>
      </x:c>
      <x:c r="C2025" s="2" t="str">
        <x:v>OLLA</x:v>
      </x:c>
      <x:c r="D2025" s="2" t="str">
        <x:v>LA</x:v>
      </x:c>
      <x:c r="E2025" s="2" t="str">
        <x:v>Critical Access Hospitals</x:v>
      </x:c>
      <x:c r="F2025" s="2" t="str">
        <x:v>Government</x:v>
      </x:c>
      <x:c r="G2025" s="2" t="str">
        <x:v>Small (&lt;100 beds)</x:v>
      </x:c>
      <x:c r="H2025" s="7"/>
      <x:c r="I2025" s="7"/>
      <x:c r="J2025" s="7"/>
      <x:c r="K2025" s="8" t="n">
        <x:v>25</x:v>
      </x:c>
      <x:c r="L2025" s="8" t="n">
        <x:v>329</x:v>
      </x:c>
      <x:c r="M2025" s="9" t="n">
        <x:v>0.2080874317</x:v>
      </x:c>
      <x:c r="N2025" s="10" t="n">
        <x:v>153541.8723404255</x:v>
      </x:c>
      <x:c r="O2025" s="9" t="n">
        <x:v>-0.1872735314</x:v>
      </x:c>
      <x:c r="P2025" s="9" t="n">
        <x:v>0.5903345725</x:v>
      </x:c>
      <x:c r="Q2025" s="9" t="n">
        <x:v>0.292936803</x:v>
      </x:c>
      <x:c r="R2025" s="3" t="b">
        <x:v>0</x:v>
      </x:c>
      <x:c r="S2025" s="3" t="b">
        <x:v>0</x:v>
      </x:c>
      <x:c r="T2025" s="3" t="b">
        <x:v>0</x:v>
      </x:c>
      <x:c r="U2025" s="2" t="str">
        <x:f>IF(T2025=TRUE,"Priority review",IF(R2025=TRUE,"High cost",IF(S2025=TRUE,"Low quality","Benchmark")))</x:f>
        <x:v>Benchmark</x:v>
      </x:c>
    </x:row>
    <x:row r="2026">
      <x:c r="A2026" s="2" t="str">
        <x:v>250104</x:v>
      </x:c>
      <x:c r="B2026" s="2" t="str">
        <x:v>ANDERSON REGIONAL MEDICAL CENTER</x:v>
      </x:c>
      <x:c r="C2026" s="2" t="str">
        <x:v>MERIDIAN</x:v>
      </x:c>
      <x:c r="D2026" s="2" t="str">
        <x:v>MS</x:v>
      </x:c>
      <x:c r="E2026" s="2" t="str">
        <x:v>Acute Care Hospitals</x:v>
      </x:c>
      <x:c r="F2026" s="2" t="str">
        <x:v>Voluntary non-profit</x:v>
      </x:c>
      <x:c r="G2026" s="2" t="str">
        <x:v>Medium (100-299 beds)</x:v>
      </x:c>
      <x:c r="H2026" s="7" t="n">
        <x:v>2</x:v>
      </x:c>
      <x:c r="I2026" s="7" t="n">
        <x:v>3</x:v>
      </x:c>
      <x:c r="J2026" s="7" t="n">
        <x:v>1.05</x:v>
      </x:c>
      <x:c r="K2026" s="8" t="n">
        <x:v>270</x:v>
      </x:c>
      <x:c r="L2026" s="8" t="n">
        <x:v>8012</x:v>
      </x:c>
      <x:c r="M2026" s="9" t="n">
        <x:v>0.3835761991</x:v>
      </x:c>
      <x:c r="N2026" s="10" t="n">
        <x:v>37468.7823265102</x:v>
      </x:c>
      <x:c r="O2026" s="9" t="n">
        <x:v>-0.2461500155</x:v>
      </x:c>
      <x:c r="P2026" s="9" t="n">
        <x:v>0.5900570497</x:v>
      </x:c>
      <x:c r="Q2026" s="9" t="n">
        <x:v>0.0782396088</x:v>
      </x:c>
      <x:c r="R2026" s="3" t="b">
        <x:v>0</x:v>
      </x:c>
      <x:c r="S2026" s="3" t="b">
        <x:v>1</x:v>
      </x:c>
      <x:c r="T2026" s="3" t="b">
        <x:v>0</x:v>
      </x:c>
      <x:c r="U2026" s="2" t="str">
        <x:f>IF(T2026=TRUE,"Priority review",IF(R2026=TRUE,"High cost",IF(S2026=TRUE,"Low quality","Benchmark")))</x:f>
        <x:v>Low quality</x:v>
      </x:c>
    </x:row>
    <x:row r="2027">
      <x:c r="A2027" s="2" t="str">
        <x:v>180141</x:v>
      </x:c>
      <x:c r="B2027" s="2" t="str">
        <x:v>UNIVERSITY OF LOUISVILLE HOSPITAL</x:v>
      </x:c>
      <x:c r="C2027" s="2" t="str">
        <x:v>LOUISVILLE</x:v>
      </x:c>
      <x:c r="D2027" s="2" t="str">
        <x:v>KY</x:v>
      </x:c>
      <x:c r="E2027" s="2" t="str">
        <x:v>Acute Care Hospitals</x:v>
      </x:c>
      <x:c r="F2027" s="2" t="str">
        <x:v>Voluntary non-profit</x:v>
      </x:c>
      <x:c r="G2027" s="2" t="str">
        <x:v>Large (300+ beds)</x:v>
      </x:c>
      <x:c r="H2027" s="7" t="n">
        <x:v>1</x:v>
      </x:c>
      <x:c r="I2027" s="7" t="n">
        <x:v>2</x:v>
      </x:c>
      <x:c r="J2027" s="7" t="n">
        <x:v>1.13</x:v>
      </x:c>
      <x:c r="K2027" s="8" t="n">
        <x:v>333</x:v>
      </x:c>
      <x:c r="L2027" s="8" t="n">
        <x:v>22780</x:v>
      </x:c>
      <x:c r="M2027" s="9" t="n">
        <x:v>0.9186474145</x:v>
      </x:c>
      <x:c r="N2027" s="10" t="n">
        <x:v>42595.8310798946</x:v>
      </x:c>
      <x:c r="O2027" s="9" t="n">
        <x:v>-0.0034673161</x:v>
      </x:c>
      <x:c r="P2027" s="9" t="n">
        <x:v>0.5899053628</x:v>
      </x:c>
      <x:c r="Q2027" s="9" t="n">
        <x:v>0</x:v>
      </x:c>
      <x:c r="R2027" s="3" t="b">
        <x:v>0</x:v>
      </x:c>
      <x:c r="S2027" s="3" t="b">
        <x:v>1</x:v>
      </x:c>
      <x:c r="T2027" s="3" t="b">
        <x:v>0</x:v>
      </x:c>
      <x:c r="U2027" s="2" t="str">
        <x:f>IF(T2027=TRUE,"Priority review",IF(R2027=TRUE,"High cost",IF(S2027=TRUE,"Low quality","Benchmark")))</x:f>
        <x:v>Low quality</x:v>
      </x:c>
    </x:row>
    <x:row r="2028">
      <x:c r="A2028" s="2" t="str">
        <x:v>340097</x:v>
      </x:c>
      <x:c r="B2028" s="2" t="str">
        <x:v>HUGH CHATHAM MEMORIAL HOSPITAL</x:v>
      </x:c>
      <x:c r="C2028" s="2" t="str">
        <x:v>ELKIN</x:v>
      </x:c>
      <x:c r="D2028" s="2" t="str">
        <x:v>NC</x:v>
      </x:c>
      <x:c r="E2028" s="2" t="str">
        <x:v>Acute Care Hospitals</x:v>
      </x:c>
      <x:c r="F2028" s="2" t="str">
        <x:v>Voluntary non-profit</x:v>
      </x:c>
      <x:c r="G2028" s="2" t="str">
        <x:v>Small (&lt;100 beds)</x:v>
      </x:c>
      <x:c r="H2028" s="7" t="n">
        <x:v>3</x:v>
      </x:c>
      <x:c r="I2028" s="7" t="n">
        <x:v>4</x:v>
      </x:c>
      <x:c r="J2028" s="7" t="n">
        <x:v>1.04</x:v>
      </x:c>
      <x:c r="K2028" s="8" t="n">
        <x:v>81</x:v>
      </x:c>
      <x:c r="L2028" s="8" t="n">
        <x:v>2566</x:v>
      </x:c>
      <x:c r="M2028" s="9" t="n">
        <x:v>0.3526276732</x:v>
      </x:c>
      <x:c r="N2028" s="10" t="n">
        <x:v>61189.8445050662</x:v>
      </x:c>
      <x:c r="O2028" s="9" t="n">
        <x:v>-0.3330479067</x:v>
      </x:c>
      <x:c r="P2028" s="9" t="n">
        <x:v>0.5897666068</x:v>
      </x:c>
      <x:c r="Q2028" s="9" t="n">
        <x:v>0.1687612208</x:v>
      </x:c>
      <x:c r="R2028" s="3" t="b">
        <x:v>0</x:v>
      </x:c>
      <x:c r="S2028" s="3" t="b">
        <x:v>0</x:v>
      </x:c>
      <x:c r="T2028" s="3" t="b">
        <x:v>0</x:v>
      </x:c>
      <x:c r="U2028" s="2" t="str">
        <x:f>IF(T2028=TRUE,"Priority review",IF(R2028=TRUE,"High cost",IF(S2028=TRUE,"Low quality","Benchmark")))</x:f>
        <x:v>Benchmark</x:v>
      </x:c>
    </x:row>
    <x:row r="2029">
      <x:c r="A2029" s="2" t="str">
        <x:v>371332</x:v>
      </x:c>
      <x:c r="B2029" s="2" t="str">
        <x:v>SEILING MUNICIPAL HOSPITAL</x:v>
      </x:c>
      <x:c r="C2029" s="2" t="str">
        <x:v>SEILING</x:v>
      </x:c>
      <x:c r="D2029" s="2" t="str">
        <x:v>OK</x:v>
      </x:c>
      <x:c r="E2029" s="2" t="str">
        <x:v>Critical Access Hospitals</x:v>
      </x:c>
      <x:c r="F2029" s="2" t="str">
        <x:v>Government</x:v>
      </x:c>
      <x:c r="G2029" s="2" t="str">
        <x:v>Small (&lt;100 beds)</x:v>
      </x:c>
      <x:c r="H2029" s="7"/>
      <x:c r="I2029" s="7"/>
      <x:c r="J2029" s="7"/>
      <x:c r="K2029" s="8" t="n">
        <x:v>18</x:v>
      </x:c>
      <x:c r="L2029" s="8" t="n">
        <x:v>79</x:v>
      </x:c>
      <x:c r="M2029" s="9" t="n">
        <x:v>0.3721461187</x:v>
      </x:c>
      <x:c r="N2029" s="10" t="n">
        <x:v>152580.8101265823</x:v>
      </x:c>
      <x:c r="O2029" s="9" t="n">
        <x:v>0.0323400153</x:v>
      </x:c>
      <x:c r="P2029" s="9" t="n">
        <x:v>0.5895910781</x:v>
      </x:c>
      <x:c r="Q2029" s="9" t="n">
        <x:v>0.292936803</x:v>
      </x:c>
      <x:c r="R2029" s="3" t="b">
        <x:v>0</x:v>
      </x:c>
      <x:c r="S2029" s="3" t="b">
        <x:v>0</x:v>
      </x:c>
      <x:c r="T2029" s="3" t="b">
        <x:v>0</x:v>
      </x:c>
      <x:c r="U2029" s="2" t="str">
        <x:f>IF(T2029=TRUE,"Priority review",IF(R2029=TRUE,"High cost",IF(S2029=TRUE,"Low quality","Benchmark")))</x:f>
        <x:v>Benchmark</x:v>
      </x:c>
    </x:row>
    <x:row r="2030">
      <x:c r="A2030" s="2" t="str">
        <x:v>070027</x:v>
      </x:c>
      <x:c r="B2030" s="2" t="str">
        <x:v>MANCHESTER MEMORIAL HOSPITAL</x:v>
      </x:c>
      <x:c r="C2030" s="2" t="str">
        <x:v>MANCHESTER</x:v>
      </x:c>
      <x:c r="D2030" s="2" t="str">
        <x:v>CT</x:v>
      </x:c>
      <x:c r="E2030" s="2" t="str">
        <x:v>Acute Care Hospitals</x:v>
      </x:c>
      <x:c r="F2030" s="2" t="str">
        <x:v>Proprietary</x:v>
      </x:c>
      <x:c r="G2030" s="2" t="str">
        <x:v>Medium (100-299 beds)</x:v>
      </x:c>
      <x:c r="H2030" s="7" t="n">
        <x:v>4</x:v>
      </x:c>
      <x:c r="I2030" s="7" t="n">
        <x:v>2</x:v>
      </x:c>
      <x:c r="J2030" s="7" t="n">
        <x:v>0.98</x:v>
      </x:c>
      <x:c r="K2030" s="8" t="n">
        <x:v>123</x:v>
      </x:c>
      <x:c r="L2030" s="8" t="n">
        <x:v>6690</x:v>
      </x:c>
      <x:c r="M2030" s="9" t="n">
        <x:v>0.5971389222</x:v>
      </x:c>
      <x:c r="N2030" s="10" t="n">
        <x:v>37459.9582959641</x:v>
      </x:c>
      <x:c r="O2030" s="9" t="n">
        <x:v>-0.1252569709</x:v>
      </x:c>
      <x:c r="P2030" s="9" t="n">
        <x:v>0.5892420538</x:v>
      </x:c>
      <x:c r="Q2030" s="9" t="n">
        <x:v>0.6022819886</x:v>
      </x:c>
      <x:c r="R2030" s="3" t="b">
        <x:v>0</x:v>
      </x:c>
      <x:c r="S2030" s="3" t="b">
        <x:v>0</x:v>
      </x:c>
      <x:c r="T2030" s="3" t="b">
        <x:v>0</x:v>
      </x:c>
      <x:c r="U2030" s="2" t="str">
        <x:f>IF(T2030=TRUE,"Priority review",IF(R2030=TRUE,"High cost",IF(S2030=TRUE,"Low quality","Benchmark")))</x:f>
        <x:v>Benchmark</x:v>
      </x:c>
    </x:row>
    <x:row r="2031">
      <x:c r="A2031" s="2" t="str">
        <x:v>054157</x:v>
      </x:c>
      <x:c r="B2031" s="2" t="str">
        <x:v>GLENDORA  HOSPITAL</x:v>
      </x:c>
      <x:c r="C2031" s="2" t="str">
        <x:v>GLENDORA</x:v>
      </x:c>
      <x:c r="D2031" s="2" t="str">
        <x:v>CA</x:v>
      </x:c>
      <x:c r="E2031" s="2" t="str">
        <x:v>Psychiatric</x:v>
      </x:c>
      <x:c r="F2031" s="2" t="str">
        <x:v>Voluntary non-profit</x:v>
      </x:c>
      <x:c r="G2031" s="2" t="str">
        <x:v>Small (&lt;100 beds)</x:v>
      </x:c>
      <x:c r="H2031" s="7"/>
      <x:c r="I2031" s="7"/>
      <x:c r="J2031" s="7"/>
      <x:c r="K2031" s="8" t="n">
        <x:v>63</x:v>
      </x:c>
      <x:c r="L2031" s="8" t="n">
        <x:v>1632</x:v>
      </x:c>
      <x:c r="M2031" s="9" t="n">
        <x:v>0.9701188308</x:v>
      </x:c>
      <x:c r="N2031" s="10" t="n">
        <x:v>14670.1954656863</x:v>
      </x:c>
      <x:c r="O2031" s="9" t="n">
        <x:v>0.0711826092</x:v>
      </x:c>
      <x:c r="P2031" s="9" t="n">
        <x:v>0.5889967638</x:v>
      </x:c>
      <x:c r="Q2031" s="9" t="n">
        <x:v>0</x:v>
      </x:c>
      <x:c r="R2031" s="3" t="b">
        <x:v>0</x:v>
      </x:c>
      <x:c r="S2031" s="3" t="b">
        <x:v>0</x:v>
      </x:c>
      <x:c r="T2031" s="3" t="b">
        <x:v>0</x:v>
      </x:c>
      <x:c r="U2031" s="2" t="str">
        <x:f>IF(T2031=TRUE,"Priority review",IF(R2031=TRUE,"High cost",IF(S2031=TRUE,"Low quality","Benchmark")))</x:f>
        <x:v>Benchmark</x:v>
      </x:c>
    </x:row>
    <x:row r="2032">
      <x:c r="A2032" s="2" t="str">
        <x:v>140158</x:v>
      </x:c>
      <x:c r="B2032" s="2" t="str">
        <x:v>INSIGHT HOSPITAL AND MEDICAL CENTER CHICAGO</x:v>
      </x:c>
      <x:c r="C2032" s="2" t="str">
        <x:v>CHICAGO</x:v>
      </x:c>
      <x:c r="D2032" s="2" t="str">
        <x:v>IL</x:v>
      </x:c>
      <x:c r="E2032" s="2" t="str">
        <x:v>Acute Care Hospitals</x:v>
      </x:c>
      <x:c r="F2032" s="2" t="str">
        <x:v>Voluntary non-profit</x:v>
      </x:c>
      <x:c r="G2032" s="2" t="str">
        <x:v>Small (&lt;100 beds)</x:v>
      </x:c>
      <x:c r="H2032" s="7" t="n">
        <x:v>1</x:v>
      </x:c>
      <x:c r="I2032" s="7" t="n">
        <x:v>2</x:v>
      </x:c>
      <x:c r="J2032" s="7" t="n">
        <x:v>1.07</x:v>
      </x:c>
      <x:c r="K2032" s="8" t="n">
        <x:v>72</x:v>
      </x:c>
      <x:c r="L2032" s="8" t="n">
        <x:v>2663</x:v>
      </x:c>
      <x:c r="M2032" s="9" t="n">
        <x:v>0.4211065574</x:v>
      </x:c>
      <x:c r="N2032" s="10" t="n">
        <x:v>61038.7619226436</x:v>
      </x:c>
      <x:c r="O2032" s="9" t="n">
        <x:v>-0.440059865</x:v>
      </x:c>
      <x:c r="P2032" s="9" t="n">
        <x:v>0.5888689408</x:v>
      </x:c>
      <x:c r="Q2032" s="9" t="n">
        <x:v>0</x:v>
      </x:c>
      <x:c r="R2032" s="3" t="b">
        <x:v>0</x:v>
      </x:c>
      <x:c r="S2032" s="3" t="b">
        <x:v>1</x:v>
      </x:c>
      <x:c r="T2032" s="3" t="b">
        <x:v>0</x:v>
      </x:c>
      <x:c r="U2032" s="2" t="str">
        <x:f>IF(T2032=TRUE,"Priority review",IF(R2032=TRUE,"High cost",IF(S2032=TRUE,"Low quality","Benchmark")))</x:f>
        <x:v>Low quality</x:v>
      </x:c>
    </x:row>
    <x:row r="2033">
      <x:c r="A2033" s="2" t="str">
        <x:v>111334</x:v>
      </x:c>
      <x:c r="B2033" s="2" t="str">
        <x:v>CANDLER COUNTY HOSPITAL</x:v>
      </x:c>
      <x:c r="C2033" s="2" t="str">
        <x:v>METTER</x:v>
      </x:c>
      <x:c r="D2033" s="2" t="str">
        <x:v>GA</x:v>
      </x:c>
      <x:c r="E2033" s="2" t="str">
        <x:v>Critical Access Hospitals</x:v>
      </x:c>
      <x:c r="F2033" s="2" t="str">
        <x:v>Proprietary</x:v>
      </x:c>
      <x:c r="G2033" s="2" t="str">
        <x:v>Small (&lt;100 beds)</x:v>
      </x:c>
      <x:c r="H2033" s="7"/>
      <x:c r="I2033" s="7"/>
      <x:c r="J2033" s="7"/>
      <x:c r="K2033" s="8" t="n">
        <x:v>25</x:v>
      </x:c>
      <x:c r="L2033" s="8" t="n">
        <x:v>204</x:v>
      </x:c>
      <x:c r="M2033" s="9" t="n">
        <x:v>0.6773770492</x:v>
      </x:c>
      <x:c r="N2033" s="10" t="n">
        <x:v>152558.5</x:v>
      </x:c>
      <x:c r="O2033" s="9" t="n">
        <x:v>0.0588819632</x:v>
      </x:c>
      <x:c r="P2033" s="9" t="n">
        <x:v>0.5888475836</x:v>
      </x:c>
      <x:c r="Q2033" s="9" t="n">
        <x:v>0.292936803</x:v>
      </x:c>
      <x:c r="R2033" s="3" t="b">
        <x:v>0</x:v>
      </x:c>
      <x:c r="S2033" s="3" t="b">
        <x:v>0</x:v>
      </x:c>
      <x:c r="T2033" s="3" t="b">
        <x:v>0</x:v>
      </x:c>
      <x:c r="U2033" s="2" t="str">
        <x:f>IF(T2033=TRUE,"Priority review",IF(R2033=TRUE,"High cost",IF(S2033=TRUE,"Low quality","Benchmark")))</x:f>
        <x:v>Benchmark</x:v>
      </x:c>
    </x:row>
    <x:row r="2034">
      <x:c r="A2034" s="2" t="str">
        <x:v>390201</x:v>
      </x:c>
      <x:c r="B2034" s="2" t="str">
        <x:v>LEHIGH VALLEY HOSPITAL - POCONO</x:v>
      </x:c>
      <x:c r="C2034" s="2" t="str">
        <x:v>EAST STROUDSBURG</x:v>
      </x:c>
      <x:c r="D2034" s="2" t="str">
        <x:v>PA</x:v>
      </x:c>
      <x:c r="E2034" s="2" t="str">
        <x:v>Acute Care Hospitals</x:v>
      </x:c>
      <x:c r="F2034" s="2" t="str">
        <x:v>Voluntary non-profit</x:v>
      </x:c>
      <x:c r="G2034" s="2" t="str">
        <x:v>Medium (100-299 beds)</x:v>
      </x:c>
      <x:c r="H2034" s="7" t="n">
        <x:v>3</x:v>
      </x:c>
      <x:c r="I2034" s="7" t="n">
        <x:v>3</x:v>
      </x:c>
      <x:c r="J2034" s="7" t="n">
        <x:v>0.99</x:v>
      </x:c>
      <x:c r="K2034" s="8" t="n">
        <x:v>237</x:v>
      </x:c>
      <x:c r="L2034" s="8" t="n">
        <x:v>8291</x:v>
      </x:c>
      <x:c r="M2034" s="9" t="n">
        <x:v>0.435928559</x:v>
      </x:c>
      <x:c r="N2034" s="10" t="n">
        <x:v>37420.3513448317</x:v>
      </x:c>
      <x:c r="O2034" s="9" t="n">
        <x:v>0.1036844697</x:v>
      </x:c>
      <x:c r="P2034" s="9" t="n">
        <x:v>0.5884270579</x:v>
      </x:c>
      <x:c r="Q2034" s="9" t="n">
        <x:v>0.3023634882</x:v>
      </x:c>
      <x:c r="R2034" s="3" t="b">
        <x:v>0</x:v>
      </x:c>
      <x:c r="S2034" s="3" t="b">
        <x:v>0</x:v>
      </x:c>
      <x:c r="T2034" s="3" t="b">
        <x:v>0</x:v>
      </x:c>
      <x:c r="U2034" s="2" t="str">
        <x:f>IF(T2034=TRUE,"Priority review",IF(R2034=TRUE,"High cost",IF(S2034=TRUE,"Low quality","Benchmark")))</x:f>
        <x:v>Benchmark</x:v>
      </x:c>
    </x:row>
    <x:row r="2035">
      <x:c r="A2035" s="2" t="str">
        <x:v>330198</x:v>
      </x:c>
      <x:c r="B2035" s="2" t="str">
        <x:v>MOUNT SINAI SOUTH NASSAU</x:v>
      </x:c>
      <x:c r="C2035" s="2" t="str">
        <x:v>OCEANSIDE</x:v>
      </x:c>
      <x:c r="D2035" s="2" t="str">
        <x:v>NY</x:v>
      </x:c>
      <x:c r="E2035" s="2" t="str">
        <x:v>Acute Care Hospitals</x:v>
      </x:c>
      <x:c r="F2035" s="2" t="str">
        <x:v>Voluntary non-profit</x:v>
      </x:c>
      <x:c r="G2035" s="2" t="str">
        <x:v>Large (300+ beds)</x:v>
      </x:c>
      <x:c r="H2035" s="7" t="n">
        <x:v>3</x:v>
      </x:c>
      <x:c r="I2035" s="7" t="n">
        <x:v>2</x:v>
      </x:c>
      <x:c r="J2035" s="7" t="n">
        <x:v>1.03</x:v>
      </x:c>
      <x:c r="K2035" s="8" t="n">
        <x:v>312</x:v>
      </x:c>
      <x:c r="L2035" s="8" t="n">
        <x:v>18763</x:v>
      </x:c>
      <x:c r="M2035" s="9" t="n">
        <x:v>0.8439995797</x:v>
      </x:c>
      <x:c r="N2035" s="10" t="n">
        <x:v>42553.1197036721</x:v>
      </x:c>
      <x:c r="O2035" s="9" t="n">
        <x:v>-0.2042884671</x:v>
      </x:c>
      <x:c r="P2035" s="9" t="n">
        <x:v>0.5883280757</x:v>
      </x:c>
      <x:c r="Q2035" s="9" t="n">
        <x:v>0.2570977918</x:v>
      </x:c>
      <x:c r="R2035" s="3" t="b">
        <x:v>0</x:v>
      </x:c>
      <x:c r="S2035" s="3" t="b">
        <x:v>0</x:v>
      </x:c>
      <x:c r="T2035" s="3" t="b">
        <x:v>0</x:v>
      </x:c>
      <x:c r="U2035" s="2" t="str">
        <x:f>IF(T2035=TRUE,"Priority review",IF(R2035=TRUE,"High cost",IF(S2035=TRUE,"Low quality","Benchmark")))</x:f>
        <x:v>Benchmark</x:v>
      </x:c>
    </x:row>
    <x:row r="2036">
      <x:c r="A2036" s="2" t="str">
        <x:v>501334</x:v>
      </x:c>
      <x:c r="B2036" s="2" t="str">
        <x:v>LAKE CHELAN COMMUNITY HOSPITAL</x:v>
      </x:c>
      <x:c r="C2036" s="2" t="str">
        <x:v>CHELAN</x:v>
      </x:c>
      <x:c r="D2036" s="2" t="str">
        <x:v>WA</x:v>
      </x:c>
      <x:c r="E2036" s="2" t="str">
        <x:v>Critical Access Hospitals</x:v>
      </x:c>
      <x:c r="F2036" s="2" t="str">
        <x:v>Government</x:v>
      </x:c>
      <x:c r="G2036" s="2" t="str">
        <x:v>Small (&lt;100 beds)</x:v>
      </x:c>
      <x:c r="H2036" s="7"/>
      <x:c r="I2036" s="7"/>
      <x:c r="J2036" s="7"/>
      <x:c r="K2036" s="8" t="n">
        <x:v>22</x:v>
      </x:c>
      <x:c r="L2036" s="8" t="n">
        <x:v>287</x:v>
      </x:c>
      <x:c r="M2036" s="9" t="n">
        <x:v>0.1952309985</x:v>
      </x:c>
      <x:c r="N2036" s="10" t="n">
        <x:v>152455.2926829268</x:v>
      </x:c>
      <x:c r="O2036" s="9" t="n">
        <x:v>-0.0913785728</x:v>
      </x:c>
      <x:c r="P2036" s="9" t="n">
        <x:v>0.5881040892</x:v>
      </x:c>
      <x:c r="Q2036" s="9" t="n">
        <x:v>0.292936803</x:v>
      </x:c>
      <x:c r="R2036" s="3" t="b">
        <x:v>0</x:v>
      </x:c>
      <x:c r="S2036" s="3" t="b">
        <x:v>0</x:v>
      </x:c>
      <x:c r="T2036" s="3" t="b">
        <x:v>0</x:v>
      </x:c>
      <x:c r="U2036" s="2" t="str">
        <x:f>IF(T2036=TRUE,"Priority review",IF(R2036=TRUE,"High cost",IF(S2036=TRUE,"Low quality","Benchmark")))</x:f>
        <x:v>Benchmark</x:v>
      </x:c>
    </x:row>
    <x:row r="2037">
      <x:c r="A2037" s="2" t="str">
        <x:v>470024</x:v>
      </x:c>
      <x:c r="B2037" s="2" t="str">
        <x:v>NORTHWESTERN MEDICAL CENTER INC</x:v>
      </x:c>
      <x:c r="C2037" s="2" t="str">
        <x:v>SAINT ALBANS</x:v>
      </x:c>
      <x:c r="D2037" s="2" t="str">
        <x:v>VT</x:v>
      </x:c>
      <x:c r="E2037" s="2" t="str">
        <x:v>Acute Care Hospitals</x:v>
      </x:c>
      <x:c r="F2037" s="2" t="str">
        <x:v>Voluntary non-profit</x:v>
      </x:c>
      <x:c r="G2037" s="2" t="str">
        <x:v>Small (&lt;100 beds)</x:v>
      </x:c>
      <x:c r="H2037" s="7" t="n">
        <x:v>4</x:v>
      </x:c>
      <x:c r="I2037" s="7" t="n">
        <x:v>3</x:v>
      </x:c>
      <x:c r="J2037" s="7" t="n">
        <x:v>0.88</x:v>
      </x:c>
      <x:c r="K2037" s="8" t="n">
        <x:v>53</x:v>
      </x:c>
      <x:c r="L2037" s="8" t="n">
        <x:v>2237</x:v>
      </x:c>
      <x:c r="M2037" s="9" t="n">
        <x:v>0.4805650067</x:v>
      </x:c>
      <x:c r="N2037" s="10" t="n">
        <x:v>60948.2963790791</x:v>
      </x:c>
      <x:c r="O2037" s="9" t="n">
        <x:v>-0.2492571235</x:v>
      </x:c>
      <x:c r="P2037" s="9" t="n">
        <x:v>0.5879712747</x:v>
      </x:c>
      <x:c r="Q2037" s="9" t="n">
        <x:v>0.3913824057</x:v>
      </x:c>
      <x:c r="R2037" s="3" t="b">
        <x:v>0</x:v>
      </x:c>
      <x:c r="S2037" s="3" t="b">
        <x:v>0</x:v>
      </x:c>
      <x:c r="T2037" s="3" t="b">
        <x:v>0</x:v>
      </x:c>
      <x:c r="U2037" s="2" t="str">
        <x:f>IF(T2037=TRUE,"Priority review",IF(R2037=TRUE,"High cost",IF(S2037=TRUE,"Low quality","Benchmark")))</x:f>
        <x:v>Benchmark</x:v>
      </x:c>
    </x:row>
    <x:row r="2038">
      <x:c r="A2038" s="2" t="str">
        <x:v>490115</x:v>
      </x:c>
      <x:c r="B2038" s="2" t="str">
        <x:v>TWIN COUNTY REGIONAL HOSPITAL</x:v>
      </x:c>
      <x:c r="C2038" s="2" t="str">
        <x:v>GALAX</x:v>
      </x:c>
      <x:c r="D2038" s="2" t="str">
        <x:v>VA</x:v>
      </x:c>
      <x:c r="E2038" s="2" t="str">
        <x:v>Acute Care Hospitals</x:v>
      </x:c>
      <x:c r="F2038" s="2" t="str">
        <x:v>Proprietary</x:v>
      </x:c>
      <x:c r="G2038" s="2" t="str">
        <x:v>Medium (100-299 beds)</x:v>
      </x:c>
      <x:c r="H2038" s="7" t="n">
        <x:v>2</x:v>
      </x:c>
      <x:c r="I2038" s="7" t="n">
        <x:v>4</x:v>
      </x:c>
      <x:c r="J2038" s="7" t="n">
        <x:v>0.96</x:v>
      </x:c>
      <x:c r="K2038" s="8" t="n">
        <x:v>141</x:v>
      </x:c>
      <x:c r="L2038" s="8" t="n">
        <x:v>1872</x:v>
      </x:c>
      <x:c r="M2038" s="9" t="n">
        <x:v>0.1580436383</x:v>
      </x:c>
      <x:c r="N2038" s="10" t="n">
        <x:v>37418.7681623932</x:v>
      </x:c>
      <x:c r="O2038" s="9" t="n">
        <x:v>0.0007082983</x:v>
      </x:c>
      <x:c r="P2038" s="9" t="n">
        <x:v>0.5876120619</x:v>
      </x:c>
      <x:c r="Q2038" s="9" t="n">
        <x:v>0.0782396088</x:v>
      </x:c>
      <x:c r="R2038" s="3" t="b">
        <x:v>0</x:v>
      </x:c>
      <x:c r="S2038" s="3" t="b">
        <x:v>1</x:v>
      </x:c>
      <x:c r="T2038" s="3" t="b">
        <x:v>0</x:v>
      </x:c>
      <x:c r="U2038" s="2" t="str">
        <x:f>IF(T2038=TRUE,"Priority review",IF(R2038=TRUE,"High cost",IF(S2038=TRUE,"Low quality","Benchmark")))</x:f>
        <x:v>Low quality</x:v>
      </x:c>
    </x:row>
    <x:row r="2039">
      <x:c r="A2039" s="2" t="str">
        <x:v>111336</x:v>
      </x:c>
      <x:c r="B2039" s="2" t="str">
        <x:v>MOUNTAIN LAKES MEDICAL CENTER</x:v>
      </x:c>
      <x:c r="C2039" s="2" t="str">
        <x:v>CLAYTON</x:v>
      </x:c>
      <x:c r="D2039" s="2" t="str">
        <x:v>GA</x:v>
      </x:c>
      <x:c r="E2039" s="2" t="str">
        <x:v>Critical Access Hospitals</x:v>
      </x:c>
      <x:c r="F2039" s="2" t="str">
        <x:v>Proprietary</x:v>
      </x:c>
      <x:c r="G2039" s="2" t="str">
        <x:v>Small (&lt;100 beds)</x:v>
      </x:c>
      <x:c r="H2039" s="7"/>
      <x:c r="I2039" s="7"/>
      <x:c r="J2039" s="7"/>
      <x:c r="K2039" s="8" t="n">
        <x:v>25</x:v>
      </x:c>
      <x:c r="L2039" s="8" t="n">
        <x:v>150</x:v>
      </x:c>
      <x:c r="M2039" s="9" t="n">
        <x:v>0.1433879781</x:v>
      </x:c>
      <x:c r="N2039" s="10" t="n">
        <x:v>152442.7866666667</x:v>
      </x:c>
      <x:c r="O2039" s="9" t="n">
        <x:v>-0.007207751</x:v>
      </x:c>
      <x:c r="P2039" s="9" t="n">
        <x:v>0.5873605948</x:v>
      </x:c>
      <x:c r="Q2039" s="9" t="n">
        <x:v>0.292936803</x:v>
      </x:c>
      <x:c r="R2039" s="3" t="b">
        <x:v>0</x:v>
      </x:c>
      <x:c r="S2039" s="3" t="b">
        <x:v>0</x:v>
      </x:c>
      <x:c r="T2039" s="3" t="b">
        <x:v>0</x:v>
      </x:c>
      <x:c r="U2039" s="2" t="str">
        <x:f>IF(T2039=TRUE,"Priority review",IF(R2039=TRUE,"High cost",IF(S2039=TRUE,"Low quality","Benchmark")))</x:f>
        <x:v>Benchmark</x:v>
      </x:c>
    </x:row>
    <x:row r="2040">
      <x:c r="A2040" s="2" t="str">
        <x:v>340023</x:v>
      </x:c>
      <x:c r="B2040" s="2" t="str">
        <x:v>ADVENTHEALTH HENDERSONVILLE</x:v>
      </x:c>
      <x:c r="C2040" s="2" t="str">
        <x:v>HENDERSONVILLE</x:v>
      </x:c>
      <x:c r="D2040" s="2" t="str">
        <x:v>NC</x:v>
      </x:c>
      <x:c r="E2040" s="2" t="str">
        <x:v>Acute Care Hospitals</x:v>
      </x:c>
      <x:c r="F2040" s="2" t="str">
        <x:v>Voluntary non-profit</x:v>
      </x:c>
      <x:c r="G2040" s="2" t="str">
        <x:v>Small (&lt;100 beds)</x:v>
      </x:c>
      <x:c r="H2040" s="7" t="n">
        <x:v>5</x:v>
      </x:c>
      <x:c r="I2040" s="7" t="n">
        <x:v>4</x:v>
      </x:c>
      <x:c r="J2040" s="7" t="n">
        <x:v>0.93</x:v>
      </x:c>
      <x:c r="K2040" s="8" t="n">
        <x:v>98</x:v>
      </x:c>
      <x:c r="L2040" s="8" t="n">
        <x:v>4776</x:v>
      </x:c>
      <x:c r="M2040" s="9" t="n">
        <x:v>0.6211386194</x:v>
      </x:c>
      <x:c r="N2040" s="10" t="n">
        <x:v>60576.3444304858</x:v>
      </x:c>
      <x:c r="O2040" s="9" t="n">
        <x:v>-0.0020300215</x:v>
      </x:c>
      <x:c r="P2040" s="9" t="n">
        <x:v>0.5870736086</x:v>
      </x:c>
      <x:c r="Q2040" s="9" t="n">
        <x:v>0.6131059246</x:v>
      </x:c>
      <x:c r="R2040" s="3" t="b">
        <x:v>0</x:v>
      </x:c>
      <x:c r="S2040" s="3" t="b">
        <x:v>0</x:v>
      </x:c>
      <x:c r="T2040" s="3" t="b">
        <x:v>0</x:v>
      </x:c>
      <x:c r="U2040" s="2" t="str">
        <x:f>IF(T2040=TRUE,"Priority review",IF(R2040=TRUE,"High cost",IF(S2040=TRUE,"Low quality","Benchmark")))</x:f>
        <x:v>Benchmark</x:v>
      </x:c>
    </x:row>
    <x:row r="2041">
      <x:c r="A2041" s="2" t="str">
        <x:v>054095</x:v>
      </x:c>
      <x:c r="B2041" s="2" t="str">
        <x:v>AURORA SAN DIEGO</x:v>
      </x:c>
      <x:c r="C2041" s="2" t="str">
        <x:v>SAN DIEGO</x:v>
      </x:c>
      <x:c r="D2041" s="2" t="str">
        <x:v>CA</x:v>
      </x:c>
      <x:c r="E2041" s="2" t="str">
        <x:v>Psychiatric</x:v>
      </x:c>
      <x:c r="F2041" s="2" t="str">
        <x:v>Proprietary</x:v>
      </x:c>
      <x:c r="G2041" s="2" t="str">
        <x:v>Medium (100-299 beds)</x:v>
      </x:c>
      <x:c r="H2041" s="7"/>
      <x:c r="I2041" s="7"/>
      <x:c r="J2041" s="7"/>
      <x:c r="K2041" s="8" t="n">
        <x:v>101</x:v>
      </x:c>
      <x:c r="L2041" s="8" t="n">
        <x:v>2489</x:v>
      </x:c>
      <x:c r="M2041" s="9" t="n">
        <x:v>0.846642861</x:v>
      </x:c>
      <x:c r="N2041" s="10" t="n">
        <x:v>15542.1060666935</x:v>
      </x:c>
      <x:c r="O2041" s="9" t="n">
        <x:v>0.0809849226</x:v>
      </x:c>
      <x:c r="P2041" s="9" t="n">
        <x:v>0.5870646766</x:v>
      </x:c>
      <x:c r="Q2041" s="9" t="n">
        <x:v>0</x:v>
      </x:c>
      <x:c r="R2041" s="3" t="b">
        <x:v>0</x:v>
      </x:c>
      <x:c r="S2041" s="3" t="b">
        <x:v>0</x:v>
      </x:c>
      <x:c r="T2041" s="3" t="b">
        <x:v>0</x:v>
      </x:c>
      <x:c r="U2041" s="2" t="str">
        <x:f>IF(T2041=TRUE,"Priority review",IF(R2041=TRUE,"High cost",IF(S2041=TRUE,"Low quality","Benchmark")))</x:f>
        <x:v>Benchmark</x:v>
      </x:c>
    </x:row>
    <x:row r="2042">
      <x:c r="A2042" s="2" t="str">
        <x:v>050394</x:v>
      </x:c>
      <x:c r="B2042" s="2" t="str">
        <x:v>COMMUNITY MEMORIAL HOSPITAL - VENTURA</x:v>
      </x:c>
      <x:c r="C2042" s="2" t="str">
        <x:v>VENTURA</x:v>
      </x:c>
      <x:c r="D2042" s="2" t="str">
        <x:v>CA</x:v>
      </x:c>
      <x:c r="E2042" s="2" t="str">
        <x:v>Acute Care Hospitals</x:v>
      </x:c>
      <x:c r="F2042" s="2" t="str">
        <x:v>Voluntary non-profit</x:v>
      </x:c>
      <x:c r="G2042" s="2" t="str">
        <x:v>Medium (100-299 beds)</x:v>
      </x:c>
      <x:c r="H2042" s="7" t="n">
        <x:v>4</x:v>
      </x:c>
      <x:c r="I2042" s="7" t="n">
        <x:v>4</x:v>
      </x:c>
      <x:c r="J2042" s="7" t="n">
        <x:v>1.01</x:v>
      </x:c>
      <x:c r="K2042" s="8" t="n">
        <x:v>177</x:v>
      </x:c>
      <x:c r="L2042" s="8" t="n">
        <x:v>15869</x:v>
      </x:c>
      <x:c r="M2042" s="9" t="n">
        <x:v>0.8916828749</x:v>
      </x:c>
      <x:c r="N2042" s="10" t="n">
        <x:v>37396.0123511248</x:v>
      </x:c>
      <x:c r="O2042" s="9" t="n">
        <x:v>-0.0059735902</x:v>
      </x:c>
      <x:c r="P2042" s="9" t="n">
        <x:v>0.586797066</x:v>
      </x:c>
      <x:c r="Q2042" s="9" t="n">
        <x:v>0.6022819886</x:v>
      </x:c>
      <x:c r="R2042" s="3" t="b">
        <x:v>0</x:v>
      </x:c>
      <x:c r="S2042" s="3" t="b">
        <x:v>0</x:v>
      </x:c>
      <x:c r="T2042" s="3" t="b">
        <x:v>0</x:v>
      </x:c>
      <x:c r="U2042" s="2" t="str">
        <x:f>IF(T2042=TRUE,"Priority review",IF(R2042=TRUE,"High cost",IF(S2042=TRUE,"Low quality","Benchmark")))</x:f>
        <x:v>Benchmark</x:v>
      </x:c>
    </x:row>
    <x:row r="2043">
      <x:c r="A2043" s="2" t="str">
        <x:v>050609</x:v>
      </x:c>
      <x:c r="B2043" s="2" t="str">
        <x:v>KAISER FOUNDATION HOSPITAL - ORANGE COUNTY - ANAHEIM</x:v>
      </x:c>
      <x:c r="C2043" s="2" t="str">
        <x:v>ANAHEIM</x:v>
      </x:c>
      <x:c r="D2043" s="2" t="str">
        <x:v>CA</x:v>
      </x:c>
      <x:c r="E2043" s="2" t="str">
        <x:v>Acute Care Hospitals</x:v>
      </x:c>
      <x:c r="F2043" s="2" t="str">
        <x:v>Voluntary non-profit</x:v>
      </x:c>
      <x:c r="G2043" s="2" t="str">
        <x:v>Large (300+ beds)</x:v>
      </x:c>
      <x:c r="H2043" s="7" t="n">
        <x:v>4</x:v>
      </x:c>
      <x:c r="I2043" s="7" t="n">
        <x:v>4</x:v>
      </x:c>
      <x:c r="J2043" s="7" t="n">
        <x:v>0.84</x:v>
      </x:c>
      <x:c r="K2043" s="8" t="n">
        <x:v>531</x:v>
      </x:c>
      <x:c r="L2043" s="8" t="n">
        <x:v>26244</x:v>
      </x:c>
      <x:c r="M2043" s="9" t="n">
        <x:v>0.5776538503</x:v>
      </x:c>
      <x:c r="N2043" s="10" t="n">
        <x:v>42544.1262383783</x:v>
      </x:c>
      <x:c r="O2043" s="9" t="n">
        <x:v>0.1588444019</x:v>
      </x:c>
      <x:c r="P2043" s="9" t="n">
        <x:v>0.5867507886</x:v>
      </x:c>
      <x:c r="Q2043" s="9" t="n">
        <x:v>0.5899053628</x:v>
      </x:c>
      <x:c r="R2043" s="3" t="b">
        <x:v>0</x:v>
      </x:c>
      <x:c r="S2043" s="3" t="b">
        <x:v>0</x:v>
      </x:c>
      <x:c r="T2043" s="3" t="b">
        <x:v>0</x:v>
      </x:c>
      <x:c r="U2043" s="2" t="str">
        <x:f>IF(T2043=TRUE,"Priority review",IF(R2043=TRUE,"High cost",IF(S2043=TRUE,"Low quality","Benchmark")))</x:f>
        <x:v>Benchmark</x:v>
      </x:c>
    </x:row>
    <x:row r="2044">
      <x:c r="A2044" s="2" t="str">
        <x:v>141344</x:v>
      </x:c>
      <x:c r="B2044" s="2" t="str">
        <x:v>LAWRENCE COUNTY MEMORIAL HOSPITAL</x:v>
      </x:c>
      <x:c r="C2044" s="2" t="str">
        <x:v>LAWRENCEVILLE</x:v>
      </x:c>
      <x:c r="D2044" s="2" t="str">
        <x:v>IL</x:v>
      </x:c>
      <x:c r="E2044" s="2" t="str">
        <x:v>Critical Access Hospitals</x:v>
      </x:c>
      <x:c r="F2044" s="2" t="str">
        <x:v>Voluntary non-profit</x:v>
      </x:c>
      <x:c r="G2044" s="2" t="str">
        <x:v>Small (&lt;100 beds)</x:v>
      </x:c>
      <x:c r="H2044" s="7"/>
      <x:c r="I2044" s="7"/>
      <x:c r="J2044" s="7"/>
      <x:c r="K2044" s="8" t="n">
        <x:v>25</x:v>
      </x:c>
      <x:c r="L2044" s="8" t="n">
        <x:v>233</x:v>
      </x:c>
      <x:c r="M2044" s="9" t="n">
        <x:v>0.1720547945</x:v>
      </x:c>
      <x:c r="N2044" s="10" t="n">
        <x:v>152438.6223175966</x:v>
      </x:c>
      <x:c r="O2044" s="9" t="n">
        <x:v>-0.0641694668</x:v>
      </x:c>
      <x:c r="P2044" s="9" t="n">
        <x:v>0.5866171004</x:v>
      </x:c>
      <x:c r="Q2044" s="9" t="n">
        <x:v>0.292936803</x:v>
      </x:c>
      <x:c r="R2044" s="3" t="b">
        <x:v>0</x:v>
      </x:c>
      <x:c r="S2044" s="3" t="b">
        <x:v>0</x:v>
      </x:c>
      <x:c r="T2044" s="3" t="b">
        <x:v>0</x:v>
      </x:c>
      <x:c r="U2044" s="2" t="str">
        <x:f>IF(T2044=TRUE,"Priority review",IF(R2044=TRUE,"High cost",IF(S2044=TRUE,"Low quality","Benchmark")))</x:f>
        <x:v>Benchmark</x:v>
      </x:c>
    </x:row>
    <x:row r="2045">
      <x:c r="A2045" s="2" t="str">
        <x:v>420108</x:v>
      </x:c>
      <x:c r="B2045" s="2" t="str">
        <x:v>UNION MEDICAL CENTER</x:v>
      </x:c>
      <x:c r="C2045" s="2" t="str">
        <x:v>UNION</x:v>
      </x:c>
      <x:c r="D2045" s="2" t="str">
        <x:v>SC</x:v>
      </x:c>
      <x:c r="E2045" s="2" t="str">
        <x:v>Acute Care Hospitals</x:v>
      </x:c>
      <x:c r="F2045" s="2" t="str">
        <x:v>Voluntary non-profit</x:v>
      </x:c>
      <x:c r="G2045" s="2" t="str">
        <x:v>Small (&lt;100 beds)</x:v>
      </x:c>
      <x:c r="H2045" s="7"/>
      <x:c r="I2045" s="7"/>
      <x:c r="J2045" s="7" t="n">
        <x:v>0.84</x:v>
      </x:c>
      <x:c r="K2045" s="8" t="n">
        <x:v>15</x:v>
      </x:c>
      <x:c r="L2045" s="8" t="n">
        <x:v>528</x:v>
      </x:c>
      <x:c r="M2045" s="9" t="n">
        <x:v>0.358287796</x:v>
      </x:c>
      <x:c r="N2045" s="10" t="n">
        <x:v>60560.3712121212</x:v>
      </x:c>
      <x:c r="O2045" s="9" t="n">
        <x:v>0.0787329683</x:v>
      </x:c>
      <x:c r="P2045" s="9" t="n">
        <x:v>0.5861759425</x:v>
      </x:c>
      <x:c r="Q2045" s="9" t="n">
        <x:v>0.697486535</x:v>
      </x:c>
      <x:c r="R2045" s="3" t="b">
        <x:v>0</x:v>
      </x:c>
      <x:c r="S2045" s="3" t="b">
        <x:v>0</x:v>
      </x:c>
      <x:c r="T2045" s="3" t="b">
        <x:v>0</x:v>
      </x:c>
      <x:c r="U2045" s="2" t="str">
        <x:f>IF(T2045=TRUE,"Priority review",IF(R2045=TRUE,"High cost",IF(S2045=TRUE,"Low quality","Benchmark")))</x:f>
        <x:v>Benchmark</x:v>
      </x:c>
    </x:row>
    <x:row r="2046">
      <x:c r="A2046" s="2" t="str">
        <x:v>390110</x:v>
      </x:c>
      <x:c r="B2046" s="2" t="str">
        <x:v>CONEMAUGH MEMORIAL MEDICAL CENTER</x:v>
      </x:c>
      <x:c r="C2046" s="2" t="str">
        <x:v>JOHNSTOWN</x:v>
      </x:c>
      <x:c r="D2046" s="2" t="str">
        <x:v>PA</x:v>
      </x:c>
      <x:c r="E2046" s="2" t="str">
        <x:v>Acute Care Hospitals</x:v>
      </x:c>
      <x:c r="F2046" s="2" t="str">
        <x:v>Proprietary</x:v>
      </x:c>
      <x:c r="G2046" s="2" t="str">
        <x:v>Medium (100-299 beds)</x:v>
      </x:c>
      <x:c r="H2046" s="7" t="n">
        <x:v>2</x:v>
      </x:c>
      <x:c r="I2046" s="7" t="n">
        <x:v>2</x:v>
      </x:c>
      <x:c r="J2046" s="7" t="n">
        <x:v>1.03</x:v>
      </x:c>
      <x:c r="K2046" s="8" t="n">
        <x:v>260</x:v>
      </x:c>
      <x:c r="L2046" s="8" t="n">
        <x:v>15886</x:v>
      </x:c>
      <x:c r="M2046" s="9" t="n">
        <x:v>0.8375333031</x:v>
      </x:c>
      <x:c r="N2046" s="10" t="n">
        <x:v>37372.8382852826</x:v>
      </x:c>
      <x:c r="O2046" s="9" t="n">
        <x:v>-0.0999286086</x:v>
      </x:c>
      <x:c r="P2046" s="9" t="n">
        <x:v>0.5859820701</x:v>
      </x:c>
      <x:c r="Q2046" s="9" t="n">
        <x:v>0.0782396088</x:v>
      </x:c>
      <x:c r="R2046" s="3" t="b">
        <x:v>0</x:v>
      </x:c>
      <x:c r="S2046" s="3" t="b">
        <x:v>1</x:v>
      </x:c>
      <x:c r="T2046" s="3" t="b">
        <x:v>0</x:v>
      </x:c>
      <x:c r="U2046" s="2" t="str">
        <x:f>IF(T2046=TRUE,"Priority review",IF(R2046=TRUE,"High cost",IF(S2046=TRUE,"Low quality","Benchmark")))</x:f>
        <x:v>Low quality</x:v>
      </x:c>
    </x:row>
    <x:row r="2047">
      <x:c r="A2047" s="2" t="str">
        <x:v>141331</x:v>
      </x:c>
      <x:c r="B2047" s="2" t="str">
        <x:v>MARSHALL BROWNING HOSPITAL</x:v>
      </x:c>
      <x:c r="C2047" s="2" t="str">
        <x:v>DU QUOIN</x:v>
      </x:c>
      <x:c r="D2047" s="2" t="str">
        <x:v>IL</x:v>
      </x:c>
      <x:c r="E2047" s="2" t="str">
        <x:v>Critical Access Hospitals</x:v>
      </x:c>
      <x:c r="F2047" s="2" t="str">
        <x:v>Voluntary non-profit</x:v>
      </x:c>
      <x:c r="G2047" s="2" t="str">
        <x:v>Small (&lt;100 beds)</x:v>
      </x:c>
      <x:c r="H2047" s="7"/>
      <x:c r="I2047" s="7"/>
      <x:c r="J2047" s="7"/>
      <x:c r="K2047" s="8" t="n">
        <x:v>25</x:v>
      </x:c>
      <x:c r="L2047" s="8" t="n">
        <x:v>251</x:v>
      </x:c>
      <x:c r="M2047" s="9" t="n">
        <x:v>0.3781917808</x:v>
      </x:c>
      <x:c r="N2047" s="10" t="n">
        <x:v>152397.1394422311</x:v>
      </x:c>
      <x:c r="O2047" s="9" t="n">
        <x:v>-0.0643061681</x:v>
      </x:c>
      <x:c r="P2047" s="9" t="n">
        <x:v>0.5858736059</x:v>
      </x:c>
      <x:c r="Q2047" s="9" t="n">
        <x:v>0.292936803</x:v>
      </x:c>
      <x:c r="R2047" s="3" t="b">
        <x:v>0</x:v>
      </x:c>
      <x:c r="S2047" s="3" t="b">
        <x:v>0</x:v>
      </x:c>
      <x:c r="T2047" s="3" t="b">
        <x:v>0</x:v>
      </x:c>
      <x:c r="U2047" s="2" t="str">
        <x:f>IF(T2047=TRUE,"Priority review",IF(R2047=TRUE,"High cost",IF(S2047=TRUE,"Low quality","Benchmark")))</x:f>
        <x:v>Benchmark</x:v>
      </x:c>
    </x:row>
    <x:row r="2048">
      <x:c r="A2048" s="2" t="str">
        <x:v>464012</x:v>
      </x:c>
      <x:c r="B2048" s="2" t="str">
        <x:v>MARIAN CENTER</x:v>
      </x:c>
      <x:c r="C2048" s="2" t="str">
        <x:v>SALT LAKE CITY</x:v>
      </x:c>
      <x:c r="D2048" s="2" t="str">
        <x:v>UT</x:v>
      </x:c>
      <x:c r="E2048" s="2" t="str">
        <x:v>Psychiatric</x:v>
      </x:c>
      <x:c r="F2048" s="2" t="str">
        <x:v>Proprietary</x:v>
      </x:c>
      <x:c r="G2048" s="2" t="str">
        <x:v>Small (&lt;100 beds)</x:v>
      </x:c>
      <x:c r="H2048" s="7"/>
      <x:c r="I2048" s="7"/>
      <x:c r="J2048" s="7"/>
      <x:c r="K2048" s="8" t="n">
        <x:v>12</x:v>
      </x:c>
      <x:c r="L2048" s="8" t="n">
        <x:v>249</x:v>
      </x:c>
      <x:c r="M2048" s="9" t="n">
        <x:v>0.9089253188</x:v>
      </x:c>
      <x:c r="N2048" s="10" t="n">
        <x:v>14634.3614457831</x:v>
      </x:c>
      <x:c r="O2048" s="9" t="n">
        <x:v>0.0962204495</x:v>
      </x:c>
      <x:c r="P2048" s="9" t="n">
        <x:v>0.5857605178</x:v>
      </x:c>
      <x:c r="Q2048" s="9" t="n">
        <x:v>0</x:v>
      </x:c>
      <x:c r="R2048" s="3" t="b">
        <x:v>0</x:v>
      </x:c>
      <x:c r="S2048" s="3" t="b">
        <x:v>0</x:v>
      </x:c>
      <x:c r="T2048" s="3" t="b">
        <x:v>0</x:v>
      </x:c>
      <x:c r="U2048" s="2" t="str">
        <x:f>IF(T2048=TRUE,"Priority review",IF(R2048=TRUE,"High cost",IF(S2048=TRUE,"Low quality","Benchmark")))</x:f>
        <x:v>Benchmark</x:v>
      </x:c>
    </x:row>
    <x:row r="2049">
      <x:c r="A2049" s="2" t="str">
        <x:v>460030</x:v>
      </x:c>
      <x:c r="B2049" s="2" t="str">
        <x:v>ASHLEY REGIONAL MEDICAL CENTER</x:v>
      </x:c>
      <x:c r="C2049" s="2" t="str">
        <x:v>VERNAL</x:v>
      </x:c>
      <x:c r="D2049" s="2" t="str">
        <x:v>UT</x:v>
      </x:c>
      <x:c r="E2049" s="2" t="str">
        <x:v>Acute Care Hospitals</x:v>
      </x:c>
      <x:c r="F2049" s="2" t="str">
        <x:v>Proprietary</x:v>
      </x:c>
      <x:c r="G2049" s="2" t="str">
        <x:v>Small (&lt;100 beds)</x:v>
      </x:c>
      <x:c r="H2049" s="7" t="n">
        <x:v>4</x:v>
      </x:c>
      <x:c r="I2049" s="7" t="n">
        <x:v>3</x:v>
      </x:c>
      <x:c r="J2049" s="7" t="n">
        <x:v>0.81</x:v>
      </x:c>
      <x:c r="K2049" s="8" t="n">
        <x:v>39</x:v>
      </x:c>
      <x:c r="L2049" s="8" t="n">
        <x:v>1056</x:v>
      </x:c>
      <x:c r="M2049" s="9" t="n">
        <x:v>0.236443884</x:v>
      </x:c>
      <x:c r="N2049" s="10" t="n">
        <x:v>60441.5587121212</x:v>
      </x:c>
      <x:c r="O2049" s="9" t="n">
        <x:v>0.1540005326</x:v>
      </x:c>
      <x:c r="P2049" s="9" t="n">
        <x:v>0.5852782765</x:v>
      </x:c>
      <x:c r="Q2049" s="9" t="n">
        <x:v>0.3913824057</x:v>
      </x:c>
      <x:c r="R2049" s="3" t="b">
        <x:v>0</x:v>
      </x:c>
      <x:c r="S2049" s="3" t="b">
        <x:v>0</x:v>
      </x:c>
      <x:c r="T2049" s="3" t="b">
        <x:v>0</x:v>
      </x:c>
      <x:c r="U2049" s="2" t="str">
        <x:f>IF(T2049=TRUE,"Priority review",IF(R2049=TRUE,"High cost",IF(S2049=TRUE,"Low quality","Benchmark")))</x:f>
        <x:v>Benchmark</x:v>
      </x:c>
    </x:row>
    <x:row r="2050">
      <x:c r="A2050" s="2" t="str">
        <x:v>260091</x:v>
      </x:c>
      <x:c r="B2050" s="2" t="str">
        <x:v>SSM HEALTH ST MARY'S HOSPITAL - ST LOUIS</x:v>
      </x:c>
      <x:c r="C2050" s="2" t="str">
        <x:v>SAINT LOUIS</x:v>
      </x:c>
      <x:c r="D2050" s="2" t="str">
        <x:v>MO</x:v>
      </x:c>
      <x:c r="E2050" s="2" t="str">
        <x:v>Acute Care Hospitals</x:v>
      </x:c>
      <x:c r="F2050" s="2" t="str">
        <x:v>Voluntary non-profit</x:v>
      </x:c>
      <x:c r="G2050" s="2" t="str">
        <x:v>Large (300+ beds)</x:v>
      </x:c>
      <x:c r="H2050" s="7" t="n">
        <x:v>3</x:v>
      </x:c>
      <x:c r="I2050" s="7" t="n">
        <x:v>2</x:v>
      </x:c>
      <x:c r="J2050" s="7" t="n">
        <x:v>1.06</x:v>
      </x:c>
      <x:c r="K2050" s="8" t="n">
        <x:v>488</x:v>
      </x:c>
      <x:c r="L2050" s="8" t="n">
        <x:v>21532</x:v>
      </x:c>
      <x:c r="M2050" s="9" t="n">
        <x:v>0.6114507749</x:v>
      </x:c>
      <x:c r="N2050" s="10" t="n">
        <x:v>42487.1706762029</x:v>
      </x:c>
      <x:c r="O2050" s="9" t="n">
        <x:v>-0.0858466994</x:v>
      </x:c>
      <x:c r="P2050" s="9" t="n">
        <x:v>0.5851735016</x:v>
      </x:c>
      <x:c r="Q2050" s="9" t="n">
        <x:v>0.2570977918</x:v>
      </x:c>
      <x:c r="R2050" s="3" t="b">
        <x:v>0</x:v>
      </x:c>
      <x:c r="S2050" s="3" t="b">
        <x:v>0</x:v>
      </x:c>
      <x:c r="T2050" s="3" t="b">
        <x:v>0</x:v>
      </x:c>
      <x:c r="U2050" s="2" t="str">
        <x:f>IF(T2050=TRUE,"Priority review",IF(R2050=TRUE,"High cost",IF(S2050=TRUE,"Low quality","Benchmark")))</x:f>
        <x:v>Benchmark</x:v>
      </x:c>
    </x:row>
    <x:row r="2051">
      <x:c r="A2051" s="2" t="str">
        <x:v>220024</x:v>
      </x:c>
      <x:c r="B2051" s="2" t="str">
        <x:v>HOLYOKE MEDICAL CENTER</x:v>
      </x:c>
      <x:c r="C2051" s="2" t="str">
        <x:v>HOLYOKE</x:v>
      </x:c>
      <x:c r="D2051" s="2" t="str">
        <x:v>MA</x:v>
      </x:c>
      <x:c r="E2051" s="2" t="str">
        <x:v>Acute Care Hospitals</x:v>
      </x:c>
      <x:c r="F2051" s="2" t="str">
        <x:v>Voluntary non-profit</x:v>
      </x:c>
      <x:c r="G2051" s="2" t="str">
        <x:v>Medium (100-299 beds)</x:v>
      </x:c>
      <x:c r="H2051" s="7" t="n">
        <x:v>4</x:v>
      </x:c>
      <x:c r="I2051" s="7" t="n">
        <x:v>3</x:v>
      </x:c>
      <x:c r="J2051" s="7" t="n">
        <x:v>0.97</x:v>
      </x:c>
      <x:c r="K2051" s="8" t="n">
        <x:v>201</x:v>
      </x:c>
      <x:c r="L2051" s="8" t="n">
        <x:v>6866</x:v>
      </x:c>
      <x:c r="M2051" s="9" t="n">
        <x:v>0.492224669</x:v>
      </x:c>
      <x:c r="N2051" s="10" t="n">
        <x:v>37364.3996504515</x:v>
      </x:c>
      <x:c r="O2051" s="9" t="n">
        <x:v>-0.1776278642</x:v>
      </x:c>
      <x:c r="P2051" s="9" t="n">
        <x:v>0.5851670742</x:v>
      </x:c>
      <x:c r="Q2051" s="9" t="n">
        <x:v>0.6022819886</x:v>
      </x:c>
      <x:c r="R2051" s="3" t="b">
        <x:v>0</x:v>
      </x:c>
      <x:c r="S2051" s="3" t="b">
        <x:v>0</x:v>
      </x:c>
      <x:c r="T2051" s="3" t="b">
        <x:v>0</x:v>
      </x:c>
      <x:c r="U2051" s="2" t="str">
        <x:f>IF(T2051=TRUE,"Priority review",IF(R2051=TRUE,"High cost",IF(S2051=TRUE,"Low quality","Benchmark")))</x:f>
        <x:v>Benchmark</x:v>
      </x:c>
    </x:row>
    <x:row r="2052">
      <x:c r="A2052" s="2" t="str">
        <x:v>241304</x:v>
      </x:c>
      <x:c r="B2052" s="2" t="str">
        <x:v>SANFORD WHEATON MEDICAL CENTER</x:v>
      </x:c>
      <x:c r="C2052" s="2" t="str">
        <x:v>WHEATON</x:v>
      </x:c>
      <x:c r="D2052" s="2" t="str">
        <x:v>MN</x:v>
      </x:c>
      <x:c r="E2052" s="2" t="str">
        <x:v>Critical Access Hospitals</x:v>
      </x:c>
      <x:c r="F2052" s="2" t="str">
        <x:v>Voluntary non-profit</x:v>
      </x:c>
      <x:c r="G2052" s="2" t="str">
        <x:v>Small (&lt;100 beds)</x:v>
      </x:c>
      <x:c r="H2052" s="7"/>
      <x:c r="I2052" s="7"/>
      <x:c r="J2052" s="7"/>
      <x:c r="K2052" s="8" t="n">
        <x:v>15</x:v>
      </x:c>
      <x:c r="L2052" s="8" t="n">
        <x:v>71</x:v>
      </x:c>
      <x:c r="M2052" s="9" t="n">
        <x:v>0.1280510018</x:v>
      </x:c>
      <x:c r="N2052" s="10" t="n">
        <x:v>152123.2535211268</x:v>
      </x:c>
      <x:c r="O2052" s="9" t="n">
        <x:v>0.0554522893</x:v>
      </x:c>
      <x:c r="P2052" s="9" t="n">
        <x:v>0.5851301115</x:v>
      </x:c>
      <x:c r="Q2052" s="9" t="n">
        <x:v>0.292936803</x:v>
      </x:c>
      <x:c r="R2052" s="3" t="b">
        <x:v>0</x:v>
      </x:c>
      <x:c r="S2052" s="3" t="b">
        <x:v>0</x:v>
      </x:c>
      <x:c r="T2052" s="3" t="b">
        <x:v>0</x:v>
      </x:c>
      <x:c r="U2052" s="2" t="str">
        <x:f>IF(T2052=TRUE,"Priority review",IF(R2052=TRUE,"High cost",IF(S2052=TRUE,"Low quality","Benchmark")))</x:f>
        <x:v>Benchmark</x:v>
      </x:c>
    </x:row>
    <x:row r="2053">
      <x:c r="A2053" s="2" t="str">
        <x:v>381301</x:v>
      </x:c>
      <x:c r="B2053" s="2" t="str">
        <x:v>PEACEHEALTH COTTAGE GROVE COMMUNITY MEDICAL CENTER</x:v>
      </x:c>
      <x:c r="C2053" s="2" t="str">
        <x:v>COTTAGE GROVE</x:v>
      </x:c>
      <x:c r="D2053" s="2" t="str">
        <x:v>OR</x:v>
      </x:c>
      <x:c r="E2053" s="2" t="str">
        <x:v>Critical Access Hospitals</x:v>
      </x:c>
      <x:c r="F2053" s="2" t="str">
        <x:v>Voluntary non-profit</x:v>
      </x:c>
      <x:c r="G2053" s="2" t="str">
        <x:v>Small (&lt;100 beds)</x:v>
      </x:c>
      <x:c r="H2053" s="7"/>
      <x:c r="I2053" s="7"/>
      <x:c r="J2053" s="7"/>
      <x:c r="K2053" s="8" t="n">
        <x:v>14</x:v>
      </x:c>
      <x:c r="L2053" s="8" t="n">
        <x:v>305</x:v>
      </x:c>
      <x:c r="M2053" s="9" t="n">
        <x:v>0.356555773</x:v>
      </x:c>
      <x:c r="N2053" s="10" t="n">
        <x:v>151770.8163934426</x:v>
      </x:c>
      <x:c r="O2053" s="9" t="n">
        <x:v>0.1584087819</x:v>
      </x:c>
      <x:c r="P2053" s="9" t="n">
        <x:v>0.5843866171</x:v>
      </x:c>
      <x:c r="Q2053" s="9" t="n">
        <x:v>0.292936803</x:v>
      </x:c>
      <x:c r="R2053" s="3" t="b">
        <x:v>0</x:v>
      </x:c>
      <x:c r="S2053" s="3" t="b">
        <x:v>0</x:v>
      </x:c>
      <x:c r="T2053" s="3" t="b">
        <x:v>0</x:v>
      </x:c>
      <x:c r="U2053" s="2" t="str">
        <x:f>IF(T2053=TRUE,"Priority review",IF(R2053=TRUE,"High cost",IF(S2053=TRUE,"Low quality","Benchmark")))</x:f>
        <x:v>Benchmark</x:v>
      </x:c>
    </x:row>
    <x:row r="2054">
      <x:c r="A2054" s="2" t="str">
        <x:v>330151</x:v>
      </x:c>
      <x:c r="B2054" s="2" t="str">
        <x:v>ST JAMES HOSPITAL</x:v>
      </x:c>
      <x:c r="C2054" s="2" t="str">
        <x:v>HORNELL</x:v>
      </x:c>
      <x:c r="D2054" s="2" t="str">
        <x:v>NY</x:v>
      </x:c>
      <x:c r="E2054" s="2" t="str">
        <x:v>Acute Care Hospitals</x:v>
      </x:c>
      <x:c r="F2054" s="2" t="str">
        <x:v>Voluntary non-profit</x:v>
      </x:c>
      <x:c r="G2054" s="2" t="str">
        <x:v>Small (&lt;100 beds)</x:v>
      </x:c>
      <x:c r="H2054" s="7" t="n">
        <x:v>3</x:v>
      </x:c>
      <x:c r="I2054" s="7" t="n">
        <x:v>4</x:v>
      </x:c>
      <x:c r="J2054" s="7" t="n">
        <x:v>0.95</x:v>
      </x:c>
      <x:c r="K2054" s="8" t="n">
        <x:v>15</x:v>
      </x:c>
      <x:c r="L2054" s="8" t="n">
        <x:v>990</x:v>
      </x:c>
      <x:c r="M2054" s="9" t="n">
        <x:v>0.7247245312</x:v>
      </x:c>
      <x:c r="N2054" s="10" t="n">
        <x:v>60295.1373737374</x:v>
      </x:c>
      <x:c r="O2054" s="9" t="n">
        <x:v>0.0388385963</x:v>
      </x:c>
      <x:c r="P2054" s="9" t="n">
        <x:v>0.5843806104</x:v>
      </x:c>
      <x:c r="Q2054" s="9" t="n">
        <x:v>0.1687612208</x:v>
      </x:c>
      <x:c r="R2054" s="3" t="b">
        <x:v>0</x:v>
      </x:c>
      <x:c r="S2054" s="3" t="b">
        <x:v>0</x:v>
      </x:c>
      <x:c r="T2054" s="3" t="b">
        <x:v>0</x:v>
      </x:c>
      <x:c r="U2054" s="2" t="str">
        <x:f>IF(T2054=TRUE,"Priority review",IF(R2054=TRUE,"High cost",IF(S2054=TRUE,"Low quality","Benchmark")))</x:f>
        <x:v>Benchmark</x:v>
      </x:c>
    </x:row>
    <x:row r="2055">
      <x:c r="A2055" s="2" t="str">
        <x:v>330331</x:v>
      </x:c>
      <x:c r="B2055" s="2" t="str">
        <x:v>PLAINVIEW HOSPITAL</x:v>
      </x:c>
      <x:c r="C2055" s="2" t="str">
        <x:v>PLAINVIEW</x:v>
      </x:c>
      <x:c r="D2055" s="2" t="str">
        <x:v>NY</x:v>
      </x:c>
      <x:c r="E2055" s="2" t="str">
        <x:v>Acute Care Hospitals</x:v>
      </x:c>
      <x:c r="F2055" s="2" t="str">
        <x:v>Voluntary non-profit</x:v>
      </x:c>
      <x:c r="G2055" s="2" t="str">
        <x:v>Medium (100-299 beds)</x:v>
      </x:c>
      <x:c r="H2055" s="7" t="n">
        <x:v>4</x:v>
      </x:c>
      <x:c r="I2055" s="7" t="n">
        <x:v>3</x:v>
      </x:c>
      <x:c r="J2055" s="7" t="n">
        <x:v>1.09</x:v>
      </x:c>
      <x:c r="K2055" s="8" t="n">
        <x:v>156</x:v>
      </x:c>
      <x:c r="L2055" s="8" t="n">
        <x:v>9080</x:v>
      </x:c>
      <x:c r="M2055" s="9" t="n">
        <x:v>0.7707720331</x:v>
      </x:c>
      <x:c r="N2055" s="10" t="n">
        <x:v>37299.2551762115</x:v>
      </x:c>
      <x:c r="O2055" s="9" t="n">
        <x:v>-0.2362730592</x:v>
      </x:c>
      <x:c r="P2055" s="9" t="n">
        <x:v>0.5843520782</x:v>
      </x:c>
      <x:c r="Q2055" s="9" t="n">
        <x:v>0.6022819886</x:v>
      </x:c>
      <x:c r="R2055" s="3" t="b">
        <x:v>0</x:v>
      </x:c>
      <x:c r="S2055" s="3" t="b">
        <x:v>0</x:v>
      </x:c>
      <x:c r="T2055" s="3" t="b">
        <x:v>0</x:v>
      </x:c>
      <x:c r="U2055" s="2" t="str">
        <x:f>IF(T2055=TRUE,"Priority review",IF(R2055=TRUE,"High cost",IF(S2055=TRUE,"Low quality","Benchmark")))</x:f>
        <x:v>Benchmark</x:v>
      </x:c>
    </x:row>
    <x:row r="2056">
      <x:c r="A2056" s="2" t="str">
        <x:v>451355</x:v>
      </x:c>
      <x:c r="B2056" s="2" t="str">
        <x:v>COLLINGSWORTH GENERAL HOSPITAL</x:v>
      </x:c>
      <x:c r="C2056" s="2" t="str">
        <x:v>WELLINGTON</x:v>
      </x:c>
      <x:c r="D2056" s="2" t="str">
        <x:v>TX</x:v>
      </x:c>
      <x:c r="E2056" s="2" t="str">
        <x:v>Critical Access Hospitals</x:v>
      </x:c>
      <x:c r="F2056" s="2" t="str">
        <x:v>Proprietary</x:v>
      </x:c>
      <x:c r="G2056" s="2" t="str">
        <x:v>Small (&lt;100 beds)</x:v>
      </x:c>
      <x:c r="H2056" s="7"/>
      <x:c r="I2056" s="7"/>
      <x:c r="J2056" s="7"/>
      <x:c r="K2056" s="8" t="n">
        <x:v>13</x:v>
      </x:c>
      <x:c r="L2056" s="8" t="n">
        <x:v>58</x:v>
      </x:c>
      <x:c r="M2056" s="9" t="n">
        <x:v>0.1584699454</x:v>
      </x:c>
      <x:c r="N2056" s="10" t="n">
        <x:v>151445.5689655172</x:v>
      </x:c>
      <x:c r="O2056" s="9" t="n">
        <x:v>-0.3140752935</x:v>
      </x:c>
      <x:c r="P2056" s="9" t="n">
        <x:v>0.5836431227</x:v>
      </x:c>
      <x:c r="Q2056" s="9" t="n">
        <x:v>0.292936803</x:v>
      </x:c>
      <x:c r="R2056" s="3" t="b">
        <x:v>0</x:v>
      </x:c>
      <x:c r="S2056" s="3" t="b">
        <x:v>0</x:v>
      </x:c>
      <x:c r="T2056" s="3" t="b">
        <x:v>0</x:v>
      </x:c>
      <x:c r="U2056" s="2" t="str">
        <x:f>IF(T2056=TRUE,"Priority review",IF(R2056=TRUE,"High cost",IF(S2056=TRUE,"Low quality","Benchmark")))</x:f>
        <x:v>Benchmark</x:v>
      </x:c>
    </x:row>
    <x:row r="2057">
      <x:c r="A2057" s="2" t="str">
        <x:v>050126</x:v>
      </x:c>
      <x:c r="B2057" s="2" t="str">
        <x:v>VALLEY PRESBYTERIAN HOSPITAL</x:v>
      </x:c>
      <x:c r="C2057" s="2" t="str">
        <x:v>VAN NUYS</x:v>
      </x:c>
      <x:c r="D2057" s="2" t="str">
        <x:v>CA</x:v>
      </x:c>
      <x:c r="E2057" s="2" t="str">
        <x:v>Acute Care Hospitals</x:v>
      </x:c>
      <x:c r="F2057" s="2" t="str">
        <x:v>Voluntary non-profit</x:v>
      </x:c>
      <x:c r="G2057" s="2" t="str">
        <x:v>Large (300+ beds)</x:v>
      </x:c>
      <x:c r="H2057" s="7" t="n">
        <x:v>1</x:v>
      </x:c>
      <x:c r="I2057" s="7" t="n">
        <x:v>2</x:v>
      </x:c>
      <x:c r="J2057" s="7" t="n">
        <x:v>1.16</x:v>
      </x:c>
      <x:c r="K2057" s="8" t="n">
        <x:v>333</x:v>
      </x:c>
      <x:c r="L2057" s="8" t="n">
        <x:v>13306</x:v>
      </x:c>
      <x:c r="M2057" s="9" t="n">
        <x:v>0.6009780272</x:v>
      </x:c>
      <x:c r="N2057" s="10" t="n">
        <x:v>42347.5708702841</x:v>
      </x:c>
      <x:c r="O2057" s="9" t="n">
        <x:v>-0.0731232819</x:v>
      </x:c>
      <x:c r="P2057" s="9" t="n">
        <x:v>0.5835962145</x:v>
      </x:c>
      <x:c r="Q2057" s="9" t="n">
        <x:v>0</x:v>
      </x:c>
      <x:c r="R2057" s="3" t="b">
        <x:v>0</x:v>
      </x:c>
      <x:c r="S2057" s="3" t="b">
        <x:v>1</x:v>
      </x:c>
      <x:c r="T2057" s="3" t="b">
        <x:v>0</x:v>
      </x:c>
      <x:c r="U2057" s="2" t="str">
        <x:f>IF(T2057=TRUE,"Priority review",IF(R2057=TRUE,"High cost",IF(S2057=TRUE,"Low quality","Benchmark")))</x:f>
        <x:v>Low quality</x:v>
      </x:c>
    </x:row>
    <x:row r="2058">
      <x:c r="A2058" s="2" t="str">
        <x:v>220001</x:v>
      </x:c>
      <x:c r="B2058" s="2" t="str">
        <x:v>UMASS MEMORIAL HEALTHALLIANCE HOSPITALS</x:v>
      </x:c>
      <x:c r="C2058" s="2" t="str">
        <x:v>LEOMINSTER</x:v>
      </x:c>
      <x:c r="D2058" s="2" t="str">
        <x:v>MA</x:v>
      </x:c>
      <x:c r="E2058" s="2" t="str">
        <x:v>Acute Care Hospitals</x:v>
      </x:c>
      <x:c r="F2058" s="2" t="str">
        <x:v>Voluntary non-profit</x:v>
      </x:c>
      <x:c r="G2058" s="2" t="str">
        <x:v>Medium (100-299 beds)</x:v>
      </x:c>
      <x:c r="H2058" s="7" t="n">
        <x:v>3</x:v>
      </x:c>
      <x:c r="I2058" s="7" t="n">
        <x:v>2</x:v>
      </x:c>
      <x:c r="J2058" s="7" t="n">
        <x:v>1.04</x:v>
      </x:c>
      <x:c r="K2058" s="8" t="n">
        <x:v>125</x:v>
      </x:c>
      <x:c r="L2058" s="8" t="n">
        <x:v>7576</x:v>
      </x:c>
      <x:c r="M2058" s="9" t="n">
        <x:v>0.8344262295</x:v>
      </x:c>
      <x:c r="N2058" s="10" t="n">
        <x:v>37261.641499472</x:v>
      </x:c>
      <x:c r="O2058" s="9" t="n">
        <x:v>-0.0492796378</x:v>
      </x:c>
      <x:c r="P2058" s="9" t="n">
        <x:v>0.5835370823</x:v>
      </x:c>
      <x:c r="Q2058" s="9" t="n">
        <x:v>0.3023634882</x:v>
      </x:c>
      <x:c r="R2058" s="3" t="b">
        <x:v>0</x:v>
      </x:c>
      <x:c r="S2058" s="3" t="b">
        <x:v>0</x:v>
      </x:c>
      <x:c r="T2058" s="3" t="b">
        <x:v>0</x:v>
      </x:c>
      <x:c r="U2058" s="2" t="str">
        <x:f>IF(T2058=TRUE,"Priority review",IF(R2058=TRUE,"High cost",IF(S2058=TRUE,"Low quality","Benchmark")))</x:f>
        <x:v>Benchmark</x:v>
      </x:c>
    </x:row>
    <x:row r="2059">
      <x:c r="A2059" s="2" t="str">
        <x:v>190256</x:v>
      </x:c>
      <x:c r="B2059" s="2" t="str">
        <x:v>STERLING SURGICAL HOSPITAL</x:v>
      </x:c>
      <x:c r="C2059" s="2" t="str">
        <x:v>SLIDELL</x:v>
      </x:c>
      <x:c r="D2059" s="2" t="str">
        <x:v>LA</x:v>
      </x:c>
      <x:c r="E2059" s="2" t="str">
        <x:v>Acute Care Hospitals</x:v>
      </x:c>
      <x:c r="F2059" s="2" t="str">
        <x:v>Proprietary</x:v>
      </x:c>
      <x:c r="G2059" s="2" t="str">
        <x:v>Small (&lt;100 beds)</x:v>
      </x:c>
      <x:c r="H2059" s="7"/>
      <x:c r="I2059" s="7"/>
      <x:c r="J2059" s="7" t="n">
        <x:v>0.9</x:v>
      </x:c>
      <x:c r="K2059" s="8" t="n">
        <x:v>10</x:v>
      </x:c>
      <x:c r="L2059" s="8" t="n">
        <x:v>316</x:v>
      </x:c>
      <x:c r="M2059" s="9" t="n">
        <x:v>0.2229508197</x:v>
      </x:c>
      <x:c r="N2059" s="10" t="n">
        <x:v>60167.5727848101</x:v>
      </x:c>
      <x:c r="O2059" s="9" t="n">
        <x:v>0.2427039626</x:v>
      </x:c>
      <x:c r="P2059" s="9" t="n">
        <x:v>0.5834829443</x:v>
      </x:c>
      <x:c r="Q2059" s="9" t="n">
        <x:v>0.697486535</x:v>
      </x:c>
      <x:c r="R2059" s="3" t="b">
        <x:v>0</x:v>
      </x:c>
      <x:c r="S2059" s="3" t="b">
        <x:v>0</x:v>
      </x:c>
      <x:c r="T2059" s="3" t="b">
        <x:v>0</x:v>
      </x:c>
      <x:c r="U2059" s="2" t="str">
        <x:f>IF(T2059=TRUE,"Priority review",IF(R2059=TRUE,"High cost",IF(S2059=TRUE,"Low quality","Benchmark")))</x:f>
        <x:v>Benchmark</x:v>
      </x:c>
    </x:row>
    <x:row r="2060">
      <x:c r="A2060" s="2" t="str">
        <x:v>083300</x:v>
      </x:c>
      <x:c r="B2060" s="2" t="str">
        <x:v>NEMOURS CHILDREN'S HOSPITAL, DELAWARE</x:v>
      </x:c>
      <x:c r="C2060" s="2" t="str">
        <x:v>WILMINGTON</x:v>
      </x:c>
      <x:c r="D2060" s="2" t="str">
        <x:v>DE</x:v>
      </x:c>
      <x:c r="E2060" s="2" t="str">
        <x:v>Childrens</x:v>
      </x:c>
      <x:c r="F2060" s="2" t="str">
        <x:v>Voluntary non-profit</x:v>
      </x:c>
      <x:c r="G2060" s="2" t="str">
        <x:v>Medium (100-299 beds)</x:v>
      </x:c>
      <x:c r="H2060" s="7"/>
      <x:c r="I2060" s="7"/>
      <x:c r="J2060" s="7"/>
      <x:c r="K2060" s="8" t="n">
        <x:v>224</x:v>
      </x:c>
      <x:c r="L2060" s="8" t="n">
        <x:v>7682</x:v>
      </x:c>
      <x:c r="M2060" s="9" t="n">
        <x:v>0.6991498354</x:v>
      </x:c>
      <x:c r="N2060" s="10" t="n">
        <x:v>89165.5766727415</x:v>
      </x:c>
      <x:c r="O2060" s="9" t="n">
        <x:v>0.201710194</x:v>
      </x:c>
      <x:c r="P2060" s="9" t="n">
        <x:v>0.5833333333</x:v>
      </x:c>
      <x:c r="Q2060" s="9" t="n">
        <x:v>0</x:v>
      </x:c>
      <x:c r="R2060" s="3" t="b">
        <x:v>0</x:v>
      </x:c>
      <x:c r="S2060" s="3" t="b">
        <x:v>0</x:v>
      </x:c>
      <x:c r="T2060" s="3" t="b">
        <x:v>0</x:v>
      </x:c>
      <x:c r="U2060" s="2" t="str">
        <x:f>IF(T2060=TRUE,"Priority review",IF(R2060=TRUE,"High cost",IF(S2060=TRUE,"Low quality","Benchmark")))</x:f>
        <x:v>Benchmark</x:v>
      </x:c>
    </x:row>
    <x:row r="2061">
      <x:c r="A2061" s="2" t="str">
        <x:v>501323</x:v>
      </x:c>
      <x:c r="B2061" s="2" t="str">
        <x:v>JEFFERSON HEALTHCARE</x:v>
      </x:c>
      <x:c r="C2061" s="2" t="str">
        <x:v>PORT TOWNSEND</x:v>
      </x:c>
      <x:c r="D2061" s="2" t="str">
        <x:v>WA</x:v>
      </x:c>
      <x:c r="E2061" s="2" t="str">
        <x:v>Critical Access Hospitals</x:v>
      </x:c>
      <x:c r="F2061" s="2" t="str">
        <x:v>Government</x:v>
      </x:c>
      <x:c r="G2061" s="2" t="str">
        <x:v>Small (&lt;100 beds)</x:v>
      </x:c>
      <x:c r="H2061" s="7" t="n">
        <x:v>3</x:v>
      </x:c>
      <x:c r="I2061" s="7" t="n">
        <x:v>4</x:v>
      </x:c>
      <x:c r="J2061" s="7"/>
      <x:c r="K2061" s="8" t="n">
        <x:v>25</x:v>
      </x:c>
      <x:c r="L2061" s="8" t="n">
        <x:v>1265</x:v>
      </x:c>
      <x:c r="M2061" s="9" t="n">
        <x:v>0.5092896175</x:v>
      </x:c>
      <x:c r="N2061" s="10" t="n">
        <x:v>151297.1992094862</x:v>
      </x:c>
      <x:c r="O2061" s="9" t="n">
        <x:v>-0.0466104962</x:v>
      </x:c>
      <x:c r="P2061" s="9" t="n">
        <x:v>0.5828996283</x:v>
      </x:c>
      <x:c r="Q2061" s="9" t="n">
        <x:v>0.0765799257</x:v>
      </x:c>
      <x:c r="R2061" s="3" t="b">
        <x:v>0</x:v>
      </x:c>
      <x:c r="S2061" s="3" t="b">
        <x:v>1</x:v>
      </x:c>
      <x:c r="T2061" s="3" t="b">
        <x:v>0</x:v>
      </x:c>
      <x:c r="U2061" s="2" t="str">
        <x:f>IF(T2061=TRUE,"Priority review",IF(R2061=TRUE,"High cost",IF(S2061=TRUE,"Low quality","Benchmark")))</x:f>
        <x:v>Low quality</x:v>
      </x:c>
    </x:row>
    <x:row r="2062">
      <x:c r="A2062" s="2" t="str">
        <x:v>190045</x:v>
      </x:c>
      <x:c r="B2062" s="2" t="str">
        <x:v>ST TAMMANY PARISH HOSPITAL</x:v>
      </x:c>
      <x:c r="C2062" s="2" t="str">
        <x:v>COVINGTON</x:v>
      </x:c>
      <x:c r="D2062" s="2" t="str">
        <x:v>LA</x:v>
      </x:c>
      <x:c r="E2062" s="2" t="str">
        <x:v>Acute Care Hospitals</x:v>
      </x:c>
      <x:c r="F2062" s="2" t="str">
        <x:v>Government</x:v>
      </x:c>
      <x:c r="G2062" s="2" t="str">
        <x:v>Medium (100-299 beds)</x:v>
      </x:c>
      <x:c r="H2062" s="7" t="n">
        <x:v>4</x:v>
      </x:c>
      <x:c r="I2062" s="7" t="n">
        <x:v>4</x:v>
      </x:c>
      <x:c r="J2062" s="7" t="n">
        <x:v>1.01</x:v>
      </x:c>
      <x:c r="K2062" s="8" t="n">
        <x:v>262</x:v>
      </x:c>
      <x:c r="L2062" s="8" t="n">
        <x:v>13215</x:v>
      </x:c>
      <x:c r="M2062" s="9" t="n">
        <x:v>0.6415029408</x:v>
      </x:c>
      <x:c r="N2062" s="10" t="n">
        <x:v>37168.034127885</x:v>
      </x:c>
      <x:c r="O2062" s="9" t="n">
        <x:v>0.0181489481</x:v>
      </x:c>
      <x:c r="P2062" s="9" t="n">
        <x:v>0.5827220864</x:v>
      </x:c>
      <x:c r="Q2062" s="9" t="n">
        <x:v>0.6022819886</x:v>
      </x:c>
      <x:c r="R2062" s="3" t="b">
        <x:v>0</x:v>
      </x:c>
      <x:c r="S2062" s="3" t="b">
        <x:v>0</x:v>
      </x:c>
      <x:c r="T2062" s="3" t="b">
        <x:v>0</x:v>
      </x:c>
      <x:c r="U2062" s="2" t="str">
        <x:f>IF(T2062=TRUE,"Priority review",IF(R2062=TRUE,"High cost",IF(S2062=TRUE,"Low quality","Benchmark")))</x:f>
        <x:v>Benchmark</x:v>
      </x:c>
    </x:row>
    <x:row r="2063">
      <x:c r="A2063" s="2" t="str">
        <x:v>230174</x:v>
      </x:c>
      <x:c r="B2063" s="2" t="str">
        <x:v>TRINITY HEALTH GRAND HAVEN HOSPITAL</x:v>
      </x:c>
      <x:c r="C2063" s="2" t="str">
        <x:v>GRAND HAVEN</x:v>
      </x:c>
      <x:c r="D2063" s="2" t="str">
        <x:v>MI</x:v>
      </x:c>
      <x:c r="E2063" s="2" t="str">
        <x:v>Acute Care Hospitals</x:v>
      </x:c>
      <x:c r="F2063" s="2" t="str">
        <x:v>Government</x:v>
      </x:c>
      <x:c r="G2063" s="2" t="str">
        <x:v>Small (&lt;100 beds)</x:v>
      </x:c>
      <x:c r="H2063" s="7" t="n">
        <x:v>4</x:v>
      </x:c>
      <x:c r="I2063" s="7" t="n">
        <x:v>4</x:v>
      </x:c>
      <x:c r="J2063" s="7" t="n">
        <x:v>0.84</x:v>
      </x:c>
      <x:c r="K2063" s="8" t="n">
        <x:v>36</x:v>
      </x:c>
      <x:c r="L2063" s="8" t="n">
        <x:v>933</x:v>
      </x:c>
      <x:c r="M2063" s="9" t="n">
        <x:v>0.2219178082</x:v>
      </x:c>
      <x:c r="N2063" s="10" t="n">
        <x:v>60017.1693461951</x:v>
      </x:c>
      <x:c r="O2063" s="9" t="n">
        <x:v>-0.0795160586</x:v>
      </x:c>
      <x:c r="P2063" s="9" t="n">
        <x:v>0.5825852783</x:v>
      </x:c>
      <x:c r="Q2063" s="9" t="n">
        <x:v>0.3913824057</x:v>
      </x:c>
      <x:c r="R2063" s="3" t="b">
        <x:v>0</x:v>
      </x:c>
      <x:c r="S2063" s="3" t="b">
        <x:v>0</x:v>
      </x:c>
      <x:c r="T2063" s="3" t="b">
        <x:v>0</x:v>
      </x:c>
      <x:c r="U2063" s="2" t="str">
        <x:f>IF(T2063=TRUE,"Priority review",IF(R2063=TRUE,"High cost",IF(S2063=TRUE,"Low quality","Benchmark")))</x:f>
        <x:v>Benchmark</x:v>
      </x:c>
    </x:row>
    <x:row r="2064">
      <x:c r="A2064" s="2" t="str">
        <x:v>064028</x:v>
      </x:c>
      <x:c r="B2064" s="2" t="str">
        <x:v>DENVER SPRINGS</x:v>
      </x:c>
      <x:c r="C2064" s="2" t="str">
        <x:v>ENGLEWOOD</x:v>
      </x:c>
      <x:c r="D2064" s="2" t="str">
        <x:v>CO</x:v>
      </x:c>
      <x:c r="E2064" s="2" t="str">
        <x:v>Psychiatric</x:v>
      </x:c>
      <x:c r="F2064" s="2" t="str">
        <x:v>Proprietary</x:v>
      </x:c>
      <x:c r="G2064" s="2" t="str">
        <x:v>Small (&lt;100 beds)</x:v>
      </x:c>
      <x:c r="H2064" s="7"/>
      <x:c r="I2064" s="7"/>
      <x:c r="J2064" s="7"/>
      <x:c r="K2064" s="8" t="n">
        <x:v>96</x:v>
      </x:c>
      <x:c r="L2064" s="8" t="n">
        <x:v>2305</x:v>
      </x:c>
      <x:c r="M2064" s="9" t="n">
        <x:v>0.4072488584</x:v>
      </x:c>
      <x:c r="N2064" s="10" t="n">
        <x:v>14611.4924078091</x:v>
      </x:c>
      <x:c r="O2064" s="9" t="n">
        <x:v>-1.455666635</x:v>
      </x:c>
      <x:c r="P2064" s="9" t="n">
        <x:v>0.5825242718</x:v>
      </x:c>
      <x:c r="Q2064" s="9" t="n">
        <x:v>0</x:v>
      </x:c>
      <x:c r="R2064" s="3" t="b">
        <x:v>0</x:v>
      </x:c>
      <x:c r="S2064" s="3" t="b">
        <x:v>0</x:v>
      </x:c>
      <x:c r="T2064" s="3" t="b">
        <x:v>0</x:v>
      </x:c>
      <x:c r="U2064" s="2" t="str">
        <x:f>IF(T2064=TRUE,"Priority review",IF(R2064=TRUE,"High cost",IF(S2064=TRUE,"Low quality","Benchmark")))</x:f>
        <x:v>Benchmark</x:v>
      </x:c>
    </x:row>
    <x:row r="2065">
      <x:c r="A2065" s="2" t="str">
        <x:v>161339</x:v>
      </x:c>
      <x:c r="B2065" s="2" t="str">
        <x:v>WAVERLY HEALTH CENTER</x:v>
      </x:c>
      <x:c r="C2065" s="2" t="str">
        <x:v>WAVERLY</x:v>
      </x:c>
      <x:c r="D2065" s="2" t="str">
        <x:v>IA</x:v>
      </x:c>
      <x:c r="E2065" s="2" t="str">
        <x:v>Critical Access Hospitals</x:v>
      </x:c>
      <x:c r="F2065" s="2" t="str">
        <x:v>Government</x:v>
      </x:c>
      <x:c r="G2065" s="2" t="str">
        <x:v>Small (&lt;100 beds)</x:v>
      </x:c>
      <x:c r="H2065" s="7" t="n">
        <x:v>5</x:v>
      </x:c>
      <x:c r="I2065" s="7" t="n">
        <x:v>5</x:v>
      </x:c>
      <x:c r="J2065" s="7"/>
      <x:c r="K2065" s="8" t="n">
        <x:v>21</x:v>
      </x:c>
      <x:c r="L2065" s="8" t="n">
        <x:v>549</x:v>
      </x:c>
      <x:c r="M2065" s="9" t="n">
        <x:v>0.3722113503</x:v>
      </x:c>
      <x:c r="N2065" s="10" t="n">
        <x:v>151293.3825136612</x:v>
      </x:c>
      <x:c r="O2065" s="9" t="n">
        <x:v>0.0376504866</x:v>
      </x:c>
      <x:c r="P2065" s="9" t="n">
        <x:v>0.5821561338</x:v>
      </x:c>
      <x:c r="Q2065" s="9" t="n">
        <x:v>0.2602230483</x:v>
      </x:c>
      <x:c r="R2065" s="3" t="b">
        <x:v>0</x:v>
      </x:c>
      <x:c r="S2065" s="3" t="b">
        <x:v>0</x:v>
      </x:c>
      <x:c r="T2065" s="3" t="b">
        <x:v>0</x:v>
      </x:c>
      <x:c r="U2065" s="2" t="str">
        <x:f>IF(T2065=TRUE,"Priority review",IF(R2065=TRUE,"High cost",IF(S2065=TRUE,"Low quality","Benchmark")))</x:f>
        <x:v>Benchmark</x:v>
      </x:c>
    </x:row>
    <x:row r="2066">
      <x:c r="A2066" s="2" t="str">
        <x:v>394049</x:v>
      </x:c>
      <x:c r="B2066" s="2" t="str">
        <x:v>BROOKE GLEN BEHAVIORAL HOSPITAL</x:v>
      </x:c>
      <x:c r="C2066" s="2" t="str">
        <x:v>FORT WASHINGTON</x:v>
      </x:c>
      <x:c r="D2066" s="2" t="str">
        <x:v>PA</x:v>
      </x:c>
      <x:c r="E2066" s="2" t="str">
        <x:v>Psychiatric</x:v>
      </x:c>
      <x:c r="F2066" s="2" t="str">
        <x:v>Voluntary non-profit</x:v>
      </x:c>
      <x:c r="G2066" s="2" t="str">
        <x:v>Medium (100-299 beds)</x:v>
      </x:c>
      <x:c r="H2066" s="7"/>
      <x:c r="I2066" s="7"/>
      <x:c r="J2066" s="7"/>
      <x:c r="K2066" s="8" t="n">
        <x:v>146</x:v>
      </x:c>
      <x:c r="L2066" s="8" t="n">
        <x:v>2589</x:v>
      </x:c>
      <x:c r="M2066" s="9" t="n">
        <x:v>0.8688309251</x:v>
      </x:c>
      <x:c r="N2066" s="10" t="n">
        <x:v>15271.371185786</x:v>
      </x:c>
      <x:c r="O2066" s="9" t="n">
        <x:v>0.143359799</x:v>
      </x:c>
      <x:c r="P2066" s="9" t="n">
        <x:v>0.5820895522</x:v>
      </x:c>
      <x:c r="Q2066" s="9" t="n">
        <x:v>0</x:v>
      </x:c>
      <x:c r="R2066" s="3" t="b">
        <x:v>0</x:v>
      </x:c>
      <x:c r="S2066" s="3" t="b">
        <x:v>0</x:v>
      </x:c>
      <x:c r="T2066" s="3" t="b">
        <x:v>0</x:v>
      </x:c>
      <x:c r="U2066" s="2" t="str">
        <x:f>IF(T2066=TRUE,"Priority review",IF(R2066=TRUE,"High cost",IF(S2066=TRUE,"Low quality","Benchmark")))</x:f>
        <x:v>Benchmark</x:v>
      </x:c>
    </x:row>
    <x:row r="2067">
      <x:c r="A2067" s="2" t="str">
        <x:v>310015</x:v>
      </x:c>
      <x:c r="B2067" s="2" t="str">
        <x:v>MORRISTOWN MEDICAL CENTER</x:v>
      </x:c>
      <x:c r="C2067" s="2" t="str">
        <x:v>MORRISTOWN</x:v>
      </x:c>
      <x:c r="D2067" s="2" t="str">
        <x:v>NJ</x:v>
      </x:c>
      <x:c r="E2067" s="2" t="str">
        <x:v>Acute Care Hospitals</x:v>
      </x:c>
      <x:c r="F2067" s="2" t="str">
        <x:v>Voluntary non-profit</x:v>
      </x:c>
      <x:c r="G2067" s="2" t="str">
        <x:v>Large (300+ beds)</x:v>
      </x:c>
      <x:c r="H2067" s="7" t="n">
        <x:v>5</x:v>
      </x:c>
      <x:c r="I2067" s="7" t="n">
        <x:v>3</x:v>
      </x:c>
      <x:c r="J2067" s="7" t="n">
        <x:v>1.04</x:v>
      </x:c>
      <x:c r="K2067" s="8" t="n">
        <x:v>713</x:v>
      </x:c>
      <x:c r="L2067" s="8" t="n">
        <x:v>43101</x:v>
      </x:c>
      <x:c r="M2067" s="9" t="n">
        <x:v>0.8912038367</x:v>
      </x:c>
      <x:c r="N2067" s="10" t="n">
        <x:v>42292.7074081808</x:v>
      </x:c>
      <x:c r="O2067" s="9" t="n">
        <x:v>0.1017251341</x:v>
      </x:c>
      <x:c r="P2067" s="9" t="n">
        <x:v>0.5820189274</x:v>
      </x:c>
      <x:c r="Q2067" s="9" t="n">
        <x:v>0.8722397476</x:v>
      </x:c>
      <x:c r="R2067" s="3" t="b">
        <x:v>0</x:v>
      </x:c>
      <x:c r="S2067" s="3" t="b">
        <x:v>0</x:v>
      </x:c>
      <x:c r="T2067" s="3" t="b">
        <x:v>0</x:v>
      </x:c>
      <x:c r="U2067" s="2" t="str">
        <x:f>IF(T2067=TRUE,"Priority review",IF(R2067=TRUE,"High cost",IF(S2067=TRUE,"Low quality","Benchmark")))</x:f>
        <x:v>Benchmark</x:v>
      </x:c>
    </x:row>
    <x:row r="2068">
      <x:c r="A2068" s="2" t="str">
        <x:v>040084</x:v>
      </x:c>
      <x:c r="B2068" s="2" t="str">
        <x:v>SALINE MEMORIAL HOSPITAL</x:v>
      </x:c>
      <x:c r="C2068" s="2" t="str">
        <x:v>BENTON</x:v>
      </x:c>
      <x:c r="D2068" s="2" t="str">
        <x:v>AR</x:v>
      </x:c>
      <x:c r="E2068" s="2" t="str">
        <x:v>Acute Care Hospitals</x:v>
      </x:c>
      <x:c r="F2068" s="2" t="str">
        <x:v>Proprietary</x:v>
      </x:c>
      <x:c r="G2068" s="2" t="str">
        <x:v>Medium (100-299 beds)</x:v>
      </x:c>
      <x:c r="H2068" s="7" t="n">
        <x:v>3</x:v>
      </x:c>
      <x:c r="I2068" s="7" t="n">
        <x:v>3</x:v>
      </x:c>
      <x:c r="J2068" s="7" t="n">
        <x:v>1.01</x:v>
      </x:c>
      <x:c r="K2068" s="8" t="n">
        <x:v>131</x:v>
      </x:c>
      <x:c r="L2068" s="8" t="n">
        <x:v>3694</x:v>
      </x:c>
      <x:c r="M2068" s="9" t="n">
        <x:v>0.3086269999</x:v>
      </x:c>
      <x:c r="N2068" s="10" t="n">
        <x:v>37152.7720628045</x:v>
      </x:c>
      <x:c r="O2068" s="9" t="n">
        <x:v>-0.3564438405</x:v>
      </x:c>
      <x:c r="P2068" s="9" t="n">
        <x:v>0.5819070905</x:v>
      </x:c>
      <x:c r="Q2068" s="9" t="n">
        <x:v>0.3023634882</x:v>
      </x:c>
      <x:c r="R2068" s="3" t="b">
        <x:v>0</x:v>
      </x:c>
      <x:c r="S2068" s="3" t="b">
        <x:v>0</x:v>
      </x:c>
      <x:c r="T2068" s="3" t="b">
        <x:v>0</x:v>
      </x:c>
      <x:c r="U2068" s="2" t="str">
        <x:f>IF(T2068=TRUE,"Priority review",IF(R2068=TRUE,"High cost",IF(S2068=TRUE,"Low quality","Benchmark")))</x:f>
        <x:v>Benchmark</x:v>
      </x:c>
    </x:row>
    <x:row r="2069">
      <x:c r="A2069" s="2" t="str">
        <x:v>060013</x:v>
      </x:c>
      <x:c r="B2069" s="2" t="str">
        <x:v>MERCY REGIONAL MEDICAL CENTER</x:v>
      </x:c>
      <x:c r="C2069" s="2" t="str">
        <x:v>DURANGO</x:v>
      </x:c>
      <x:c r="D2069" s="2" t="str">
        <x:v>CO</x:v>
      </x:c>
      <x:c r="E2069" s="2" t="str">
        <x:v>Acute Care Hospitals</x:v>
      </x:c>
      <x:c r="F2069" s="2" t="str">
        <x:v>Voluntary non-profit</x:v>
      </x:c>
      <x:c r="G2069" s="2" t="str">
        <x:v>Small (&lt;100 beds)</x:v>
      </x:c>
      <x:c r="H2069" s="7" t="n">
        <x:v>5</x:v>
      </x:c>
      <x:c r="I2069" s="7" t="n">
        <x:v>4</x:v>
      </x:c>
      <x:c r="J2069" s="7" t="n">
        <x:v>0.9</x:v>
      </x:c>
      <x:c r="K2069" s="8" t="n">
        <x:v>82</x:v>
      </x:c>
      <x:c r="L2069" s="8" t="n">
        <x:v>4759</x:v>
      </x:c>
      <x:c r="M2069" s="9" t="n">
        <x:v>0.6132976946</x:v>
      </x:c>
      <x:c r="N2069" s="10" t="n">
        <x:v>59998.8865307838</x:v>
      </x:c>
      <x:c r="O2069" s="9" t="n">
        <x:v>0.0249943715</x:v>
      </x:c>
      <x:c r="P2069" s="9" t="n">
        <x:v>0.5816876122</x:v>
      </x:c>
      <x:c r="Q2069" s="9" t="n">
        <x:v>0.6131059246</x:v>
      </x:c>
      <x:c r="R2069" s="3" t="b">
        <x:v>0</x:v>
      </x:c>
      <x:c r="S2069" s="3" t="b">
        <x:v>0</x:v>
      </x:c>
      <x:c r="T2069" s="3" t="b">
        <x:v>0</x:v>
      </x:c>
      <x:c r="U2069" s="2" t="str">
        <x:f>IF(T2069=TRUE,"Priority review",IF(R2069=TRUE,"High cost",IF(S2069=TRUE,"Low quality","Benchmark")))</x:f>
        <x:v>Benchmark</x:v>
      </x:c>
    </x:row>
    <x:row r="2070">
      <x:c r="A2070" s="2" t="str">
        <x:v>111302</x:v>
      </x:c>
      <x:c r="B2070" s="2" t="str">
        <x:v>BLECKLEY MEMORIAL HOSPITAL</x:v>
      </x:c>
      <x:c r="C2070" s="2" t="str">
        <x:v>COCHRAN</x:v>
      </x:c>
      <x:c r="D2070" s="2" t="str">
        <x:v>GA</x:v>
      </x:c>
      <x:c r="E2070" s="2" t="str">
        <x:v>Critical Access Hospitals</x:v>
      </x:c>
      <x:c r="F2070" s="2" t="str">
        <x:v>Government</x:v>
      </x:c>
      <x:c r="G2070" s="2" t="str">
        <x:v>Small (&lt;100 beds)</x:v>
      </x:c>
      <x:c r="H2070" s="7"/>
      <x:c r="I2070" s="7"/>
      <x:c r="J2070" s="7"/>
      <x:c r="K2070" s="8" t="n">
        <x:v>25</x:v>
      </x:c>
      <x:c r="L2070" s="8" t="n">
        <x:v>86</x:v>
      </x:c>
      <x:c r="M2070" s="9" t="n">
        <x:v>0.5661369863</x:v>
      </x:c>
      <x:c r="N2070" s="10" t="n">
        <x:v>151161.7093023256</x:v>
      </x:c>
      <x:c r="O2070" s="9" t="n">
        <x:v>0.009939366</x:v>
      </x:c>
      <x:c r="P2070" s="9" t="n">
        <x:v>0.5814126394</x:v>
      </x:c>
      <x:c r="Q2070" s="9" t="n">
        <x:v>0.292936803</x:v>
      </x:c>
      <x:c r="R2070" s="3" t="b">
        <x:v>0</x:v>
      </x:c>
      <x:c r="S2070" s="3" t="b">
        <x:v>0</x:v>
      </x:c>
      <x:c r="T2070" s="3" t="b">
        <x:v>0</x:v>
      </x:c>
      <x:c r="U2070" s="2" t="str">
        <x:f>IF(T2070=TRUE,"Priority review",IF(R2070=TRUE,"High cost",IF(S2070=TRUE,"Low quality","Benchmark")))</x:f>
        <x:v>Benchmark</x:v>
      </x:c>
    </x:row>
    <x:row r="2071">
      <x:c r="A2071" s="2" t="str">
        <x:v>490041</x:v>
      </x:c>
      <x:c r="B2071" s="2" t="str">
        <x:v>MARY IMMACULATE HOSPITAL</x:v>
      </x:c>
      <x:c r="C2071" s="2" t="str">
        <x:v>NEWPORT NEWS</x:v>
      </x:c>
      <x:c r="D2071" s="2" t="str">
        <x:v>VA</x:v>
      </x:c>
      <x:c r="E2071" s="2" t="str">
        <x:v>Acute Care Hospitals</x:v>
      </x:c>
      <x:c r="F2071" s="2" t="str">
        <x:v>Voluntary non-profit</x:v>
      </x:c>
      <x:c r="G2071" s="2" t="str">
        <x:v>Medium (100-299 beds)</x:v>
      </x:c>
      <x:c r="H2071" s="7" t="n">
        <x:v>4</x:v>
      </x:c>
      <x:c r="I2071" s="7" t="n">
        <x:v>3</x:v>
      </x:c>
      <x:c r="J2071" s="7" t="n">
        <x:v>1</x:v>
      </x:c>
      <x:c r="K2071" s="8" t="n">
        <x:v>114</x:v>
      </x:c>
      <x:c r="L2071" s="8" t="n">
        <x:v>1216</x:v>
      </x:c>
      <x:c r="M2071" s="9" t="n">
        <x:v>0.4439946019</x:v>
      </x:c>
      <x:c r="N2071" s="10" t="n">
        <x:v>37145.6003289474</x:v>
      </x:c>
      <x:c r="O2071" s="9" t="n">
        <x:v>0.0373081316</x:v>
      </x:c>
      <x:c r="P2071" s="9" t="n">
        <x:v>0.5810920945</x:v>
      </x:c>
      <x:c r="Q2071" s="9" t="n">
        <x:v>0.6022819886</x:v>
      </x:c>
      <x:c r="R2071" s="3" t="b">
        <x:v>0</x:v>
      </x:c>
      <x:c r="S2071" s="3" t="b">
        <x:v>0</x:v>
      </x:c>
      <x:c r="T2071" s="3" t="b">
        <x:v>0</x:v>
      </x:c>
      <x:c r="U2071" s="2" t="str">
        <x:f>IF(T2071=TRUE,"Priority review",IF(R2071=TRUE,"High cost",IF(S2071=TRUE,"Low quality","Benchmark")))</x:f>
        <x:v>Benchmark</x:v>
      </x:c>
    </x:row>
    <x:row r="2072">
      <x:c r="A2072" s="2" t="str">
        <x:v>150057</x:v>
      </x:c>
      <x:c r="B2072" s="2" t="str">
        <x:v>FRANCISCAN HEALTH MOORESVILLE</x:v>
      </x:c>
      <x:c r="C2072" s="2" t="str">
        <x:v>MOORESVILLE</x:v>
      </x:c>
      <x:c r="D2072" s="2" t="str">
        <x:v>IN</x:v>
      </x:c>
      <x:c r="E2072" s="2" t="str">
        <x:v>Acute Care Hospitals</x:v>
      </x:c>
      <x:c r="F2072" s="2" t="str">
        <x:v>Voluntary non-profit</x:v>
      </x:c>
      <x:c r="G2072" s="2" t="str">
        <x:v>Small (&lt;100 beds)</x:v>
      </x:c>
      <x:c r="H2072" s="7" t="n">
        <x:v>5</x:v>
      </x:c>
      <x:c r="I2072" s="7" t="n">
        <x:v>4</x:v>
      </x:c>
      <x:c r="J2072" s="7" t="n">
        <x:v>0.93</x:v>
      </x:c>
      <x:c r="K2072" s="8" t="n">
        <x:v>80</x:v>
      </x:c>
      <x:c r="L2072" s="8" t="n">
        <x:v>2307</x:v>
      </x:c>
      <x:c r="M2072" s="9" t="n">
        <x:v>0.2667349727</x:v>
      </x:c>
      <x:c r="N2072" s="10" t="n">
        <x:v>59942.2826181188</x:v>
      </x:c>
      <x:c r="O2072" s="9" t="n">
        <x:v>-0.0503721242</x:v>
      </x:c>
      <x:c r="P2072" s="9" t="n">
        <x:v>0.5807899461</x:v>
      </x:c>
      <x:c r="Q2072" s="9" t="n">
        <x:v>0.6131059246</x:v>
      </x:c>
      <x:c r="R2072" s="3" t="b">
        <x:v>0</x:v>
      </x:c>
      <x:c r="S2072" s="3" t="b">
        <x:v>0</x:v>
      </x:c>
      <x:c r="T2072" s="3" t="b">
        <x:v>0</x:v>
      </x:c>
      <x:c r="U2072" s="2" t="str">
        <x:f>IF(T2072=TRUE,"Priority review",IF(R2072=TRUE,"High cost",IF(S2072=TRUE,"Low quality","Benchmark")))</x:f>
        <x:v>Benchmark</x:v>
      </x:c>
    </x:row>
    <x:row r="2073">
      <x:c r="A2073" s="2" t="str">
        <x:v>171306</x:v>
      </x:c>
      <x:c r="B2073" s="2" t="str">
        <x:v>WICHITA COUNTY HEALTH CENTER</x:v>
      </x:c>
      <x:c r="C2073" s="2" t="str">
        <x:v>LEOTI</x:v>
      </x:c>
      <x:c r="D2073" s="2" t="str">
        <x:v>KS</x:v>
      </x:c>
      <x:c r="E2073" s="2" t="str">
        <x:v>Critical Access Hospitals</x:v>
      </x:c>
      <x:c r="F2073" s="2" t="str">
        <x:v>Government</x:v>
      </x:c>
      <x:c r="G2073" s="2" t="str">
        <x:v>Small (&lt;100 beds)</x:v>
      </x:c>
      <x:c r="H2073" s="7"/>
      <x:c r="I2073" s="7"/>
      <x:c r="J2073" s="7"/>
      <x:c r="K2073" s="8" t="n">
        <x:v>25</x:v>
      </x:c>
      <x:c r="L2073" s="8" t="n">
        <x:v>82</x:v>
      </x:c>
      <x:c r="M2073" s="9" t="n">
        <x:v>0.6308196721</x:v>
      </x:c>
      <x:c r="N2073" s="10" t="n">
        <x:v>151103.3902439025</x:v>
      </x:c>
      <x:c r="O2073" s="9" t="n">
        <x:v>-0.2998686543</x:v>
      </x:c>
      <x:c r="P2073" s="9" t="n">
        <x:v>0.580669145</x:v>
      </x:c>
      <x:c r="Q2073" s="9" t="n">
        <x:v>0.292936803</x:v>
      </x:c>
      <x:c r="R2073" s="3" t="b">
        <x:v>0</x:v>
      </x:c>
      <x:c r="S2073" s="3" t="b">
        <x:v>0</x:v>
      </x:c>
      <x:c r="T2073" s="3" t="b">
        <x:v>0</x:v>
      </x:c>
      <x:c r="U2073" s="2" t="str">
        <x:f>IF(T2073=TRUE,"Priority review",IF(R2073=TRUE,"High cost",IF(S2073=TRUE,"Low quality","Benchmark")))</x:f>
        <x:v>Benchmark</x:v>
      </x:c>
    </x:row>
    <x:row r="2074">
      <x:c r="A2074" s="2" t="str">
        <x:v>330140</x:v>
      </x:c>
      <x:c r="B2074" s="2" t="str">
        <x:v>ST JOSEPH'S HOSPITAL HEALTH CENTER</x:v>
      </x:c>
      <x:c r="C2074" s="2" t="str">
        <x:v>SYRACUSE</x:v>
      </x:c>
      <x:c r="D2074" s="2" t="str">
        <x:v>NY</x:v>
      </x:c>
      <x:c r="E2074" s="2" t="str">
        <x:v>Acute Care Hospitals</x:v>
      </x:c>
      <x:c r="F2074" s="2" t="str">
        <x:v>Voluntary non-profit</x:v>
      </x:c>
      <x:c r="G2074" s="2" t="str">
        <x:v>Large (300+ beds)</x:v>
      </x:c>
      <x:c r="H2074" s="7" t="n">
        <x:v>2</x:v>
      </x:c>
      <x:c r="I2074" s="7" t="n">
        <x:v>3</x:v>
      </x:c>
      <x:c r="J2074" s="7" t="n">
        <x:v>0.94</x:v>
      </x:c>
      <x:c r="K2074" s="8" t="n">
        <x:v>318</x:v>
      </x:c>
      <x:c r="L2074" s="8" t="n">
        <x:v>15959</x:v>
      </x:c>
      <x:c r="M2074" s="9" t="n">
        <x:v>0.757172396</x:v>
      </x:c>
      <x:c r="N2074" s="10" t="n">
        <x:v>42232.5026630741</x:v>
      </x:c>
      <x:c r="O2074" s="9" t="n">
        <x:v>-0.0672336062</x:v>
      </x:c>
      <x:c r="P2074" s="9" t="n">
        <x:v>0.5804416404</x:v>
      </x:c>
      <x:c r="Q2074" s="9" t="n">
        <x:v>0.0536277603</x:v>
      </x:c>
      <x:c r="R2074" s="3" t="b">
        <x:v>0</x:v>
      </x:c>
      <x:c r="S2074" s="3" t="b">
        <x:v>1</x:v>
      </x:c>
      <x:c r="T2074" s="3" t="b">
        <x:v>0</x:v>
      </x:c>
      <x:c r="U2074" s="2" t="str">
        <x:f>IF(T2074=TRUE,"Priority review",IF(R2074=TRUE,"High cost",IF(S2074=TRUE,"Low quality","Benchmark")))</x:f>
        <x:v>Low quality</x:v>
      </x:c>
    </x:row>
    <x:row r="2075">
      <x:c r="A2075" s="2" t="str">
        <x:v>070029</x:v>
      </x:c>
      <x:c r="B2075" s="2" t="str">
        <x:v>BRISTOL HOSPITAL</x:v>
      </x:c>
      <x:c r="C2075" s="2" t="str">
        <x:v>BRISTOL</x:v>
      </x:c>
      <x:c r="D2075" s="2" t="str">
        <x:v>CT</x:v>
      </x:c>
      <x:c r="E2075" s="2" t="str">
        <x:v>Acute Care Hospitals</x:v>
      </x:c>
      <x:c r="F2075" s="2" t="str">
        <x:v>Voluntary non-profit</x:v>
      </x:c>
      <x:c r="G2075" s="2" t="str">
        <x:v>Medium (100-299 beds)</x:v>
      </x:c>
      <x:c r="H2075" s="7" t="n">
        <x:v>2</x:v>
      </x:c>
      <x:c r="I2075" s="7" t="n">
        <x:v>3</x:v>
      </x:c>
      <x:c r="J2075" s="7" t="n">
        <x:v>1.06</x:v>
      </x:c>
      <x:c r="K2075" s="8" t="n">
        <x:v>123</x:v>
      </x:c>
      <x:c r="L2075" s="8" t="n">
        <x:v>4511</x:v>
      </x:c>
      <x:c r="M2075" s="9" t="n">
        <x:v>0.4697010085</x:v>
      </x:c>
      <x:c r="N2075" s="10" t="n">
        <x:v>37087.8674351585</x:v>
      </x:c>
      <x:c r="O2075" s="9" t="n">
        <x:v>-0.0156840064</x:v>
      </x:c>
      <x:c r="P2075" s="9" t="n">
        <x:v>0.5802770986</x:v>
      </x:c>
      <x:c r="Q2075" s="9" t="n">
        <x:v>0.0782396088</x:v>
      </x:c>
      <x:c r="R2075" s="3" t="b">
        <x:v>0</x:v>
      </x:c>
      <x:c r="S2075" s="3" t="b">
        <x:v>1</x:v>
      </x:c>
      <x:c r="T2075" s="3" t="b">
        <x:v>0</x:v>
      </x:c>
      <x:c r="U2075" s="2" t="str">
        <x:f>IF(T2075=TRUE,"Priority review",IF(R2075=TRUE,"High cost",IF(S2075=TRUE,"Low quality","Benchmark")))</x:f>
        <x:v>Low quality</x:v>
      </x:c>
    </x:row>
    <x:row r="2076">
      <x:c r="A2076" s="2" t="str">
        <x:v>151325</x:v>
      </x:c>
      <x:c r="B2076" s="2" t="str">
        <x:v>ASCENSION ST VINCENT WARRICK</x:v>
      </x:c>
      <x:c r="C2076" s="2" t="str">
        <x:v>BOONVILLE</x:v>
      </x:c>
      <x:c r="D2076" s="2" t="str">
        <x:v>IN</x:v>
      </x:c>
      <x:c r="E2076" s="2" t="str">
        <x:v>Critical Access Hospitals</x:v>
      </x:c>
      <x:c r="F2076" s="2" t="str">
        <x:v>Voluntary non-profit</x:v>
      </x:c>
      <x:c r="G2076" s="2" t="str">
        <x:v>Small (&lt;100 beds)</x:v>
      </x:c>
      <x:c r="H2076" s="7"/>
      <x:c r="I2076" s="7"/>
      <x:c r="J2076" s="7"/>
      <x:c r="K2076" s="8" t="n">
        <x:v>25</x:v>
      </x:c>
      <x:c r="L2076" s="8" t="n">
        <x:v>148</x:v>
      </x:c>
      <x:c r="M2076" s="9" t="n">
        <x:v>0.1910136986</x:v>
      </x:c>
      <x:c r="N2076" s="10" t="n">
        <x:v>150758.4256756757</x:v>
      </x:c>
      <x:c r="O2076" s="9" t="n">
        <x:v>-0.1856157264</x:v>
      </x:c>
      <x:c r="P2076" s="9" t="n">
        <x:v>0.5799256506</x:v>
      </x:c>
      <x:c r="Q2076" s="9" t="n">
        <x:v>0.292936803</x:v>
      </x:c>
      <x:c r="R2076" s="3" t="b">
        <x:v>0</x:v>
      </x:c>
      <x:c r="S2076" s="3" t="b">
        <x:v>0</x:v>
      </x:c>
      <x:c r="T2076" s="3" t="b">
        <x:v>0</x:v>
      </x:c>
      <x:c r="U2076" s="2" t="str">
        <x:f>IF(T2076=TRUE,"Priority review",IF(R2076=TRUE,"High cost",IF(S2076=TRUE,"Low quality","Benchmark")))</x:f>
        <x:v>Benchmark</x:v>
      </x:c>
    </x:row>
    <x:row r="2077">
      <x:c r="A2077" s="2" t="str">
        <x:v>060076</x:v>
      </x:c>
      <x:c r="B2077" s="2" t="str">
        <x:v>STERLING REGIONAL MEDCENTER</x:v>
      </x:c>
      <x:c r="C2077" s="2" t="str">
        <x:v>STERLING</x:v>
      </x:c>
      <x:c r="D2077" s="2" t="str">
        <x:v>CO</x:v>
      </x:c>
      <x:c r="E2077" s="2" t="str">
        <x:v>Acute Care Hospitals</x:v>
      </x:c>
      <x:c r="F2077" s="2" t="str">
        <x:v>Voluntary non-profit</x:v>
      </x:c>
      <x:c r="G2077" s="2" t="str">
        <x:v>Small (&lt;100 beds)</x:v>
      </x:c>
      <x:c r="H2077" s="7" t="n">
        <x:v>3</x:v>
      </x:c>
      <x:c r="I2077" s="7" t="n">
        <x:v>3</x:v>
      </x:c>
      <x:c r="J2077" s="7" t="n">
        <x:v>0.91</x:v>
      </x:c>
      <x:c r="K2077" s="8" t="n">
        <x:v>25</x:v>
      </x:c>
      <x:c r="L2077" s="8" t="n">
        <x:v>964</x:v>
      </x:c>
      <x:c r="M2077" s="9" t="n">
        <x:v>0.3371584699</x:v>
      </x:c>
      <x:c r="N2077" s="10" t="n">
        <x:v>59935.3578838174</x:v>
      </x:c>
      <x:c r="O2077" s="9" t="n">
        <x:v>0.0763225395</x:v>
      </x:c>
      <x:c r="P2077" s="9" t="n">
        <x:v>0.5798922801</x:v>
      </x:c>
      <x:c r="Q2077" s="9" t="n">
        <x:v>0.1687612208</x:v>
      </x:c>
      <x:c r="R2077" s="3" t="b">
        <x:v>0</x:v>
      </x:c>
      <x:c r="S2077" s="3" t="b">
        <x:v>0</x:v>
      </x:c>
      <x:c r="T2077" s="3" t="b">
        <x:v>0</x:v>
      </x:c>
      <x:c r="U2077" s="2" t="str">
        <x:f>IF(T2077=TRUE,"Priority review",IF(R2077=TRUE,"High cost",IF(S2077=TRUE,"Low quality","Benchmark")))</x:f>
        <x:v>Benchmark</x:v>
      </x:c>
    </x:row>
    <x:row r="2078">
      <x:c r="A2078" s="2" t="str">
        <x:v>190039</x:v>
      </x:c>
      <x:c r="B2078" s="2" t="str">
        <x:v>WEST JEFFERSON MEDICAL CENTER</x:v>
      </x:c>
      <x:c r="C2078" s="2" t="str">
        <x:v>MARRERO</x:v>
      </x:c>
      <x:c r="D2078" s="2" t="str">
        <x:v>LA</x:v>
      </x:c>
      <x:c r="E2078" s="2" t="str">
        <x:v>Acute Care Hospitals</x:v>
      </x:c>
      <x:c r="F2078" s="2" t="str">
        <x:v>Voluntary non-profit</x:v>
      </x:c>
      <x:c r="G2078" s="2" t="str">
        <x:v>Medium (100-299 beds)</x:v>
      </x:c>
      <x:c r="H2078" s="7" t="n">
        <x:v>3</x:v>
      </x:c>
      <x:c r="I2078" s="7" t="n">
        <x:v>3</x:v>
      </x:c>
      <x:c r="J2078" s="7" t="n">
        <x:v>1.1</x:v>
      </x:c>
      <x:c r="K2078" s="8" t="n">
        <x:v>181</x:v>
      </x:c>
      <x:c r="L2078" s="8" t="n">
        <x:v>10934</x:v>
      </x:c>
      <x:c r="M2078" s="9" t="n">
        <x:v>0.7155052999</x:v>
      </x:c>
      <x:c r="N2078" s="10" t="n">
        <x:v>37048.9516188037</x:v>
      </x:c>
      <x:c r="O2078" s="9" t="n">
        <x:v>-0.0647618442</x:v>
      </x:c>
      <x:c r="P2078" s="9" t="n">
        <x:v>0.5794621027</x:v>
      </x:c>
      <x:c r="Q2078" s="9" t="n">
        <x:v>0.3023634882</x:v>
      </x:c>
      <x:c r="R2078" s="3" t="b">
        <x:v>0</x:v>
      </x:c>
      <x:c r="S2078" s="3" t="b">
        <x:v>0</x:v>
      </x:c>
      <x:c r="T2078" s="3" t="b">
        <x:v>0</x:v>
      </x:c>
      <x:c r="U2078" s="2" t="str">
        <x:f>IF(T2078=TRUE,"Priority review",IF(R2078=TRUE,"High cost",IF(S2078=TRUE,"Low quality","Benchmark")))</x:f>
        <x:v>Benchmark</x:v>
      </x:c>
    </x:row>
    <x:row r="2079">
      <x:c r="A2079" s="2" t="str">
        <x:v>254007</x:v>
      </x:c>
      <x:c r="B2079" s="2" t="str">
        <x:v>BRENTWOOD BEHAVIORAL HEALTHCARE OF MS</x:v>
      </x:c>
      <x:c r="C2079" s="2" t="str">
        <x:v>FLOWOOD</x:v>
      </x:c>
      <x:c r="D2079" s="2" t="str">
        <x:v>MS</x:v>
      </x:c>
      <x:c r="E2079" s="2" t="str">
        <x:v>Psychiatric</x:v>
      </x:c>
      <x:c r="F2079" s="2" t="str">
        <x:v>Proprietary</x:v>
      </x:c>
      <x:c r="G2079" s="2" t="str">
        <x:v>Small (&lt;100 beds)</x:v>
      </x:c>
      <x:c r="H2079" s="7"/>
      <x:c r="I2079" s="7"/>
      <x:c r="J2079" s="7"/>
      <x:c r="K2079" s="8" t="n">
        <x:v>93</x:v>
      </x:c>
      <x:c r="L2079" s="8" t="n">
        <x:v>2161</x:v>
      </x:c>
      <x:c r="M2079" s="9" t="n">
        <x:v>0.5267054469</x:v>
      </x:c>
      <x:c r="N2079" s="10" t="n">
        <x:v>14167.8662656178</x:v>
      </x:c>
      <x:c r="O2079" s="9" t="n">
        <x:v>0.2338851629</x:v>
      </x:c>
      <x:c r="P2079" s="9" t="n">
        <x:v>0.5792880259</x:v>
      </x:c>
      <x:c r="Q2079" s="9" t="n">
        <x:v>0</x:v>
      </x:c>
      <x:c r="R2079" s="3" t="b">
        <x:v>0</x:v>
      </x:c>
      <x:c r="S2079" s="3" t="b">
        <x:v>0</x:v>
      </x:c>
      <x:c r="T2079" s="3" t="b">
        <x:v>0</x:v>
      </x:c>
      <x:c r="U2079" s="2" t="str">
        <x:f>IF(T2079=TRUE,"Priority review",IF(R2079=TRUE,"High cost",IF(S2079=TRUE,"Low quality","Benchmark")))</x:f>
        <x:v>Benchmark</x:v>
      </x:c>
    </x:row>
    <x:row r="2080">
      <x:c r="A2080" s="2" t="str">
        <x:v>271345</x:v>
      </x:c>
      <x:c r="B2080" s="2" t="str">
        <x:v>CENTRAL MONTANA MEDICAL CENTER</x:v>
      </x:c>
      <x:c r="C2080" s="2" t="str">
        <x:v>LEWISTOWN</x:v>
      </x:c>
      <x:c r="D2080" s="2" t="str">
        <x:v>MT</x:v>
      </x:c>
      <x:c r="E2080" s="2" t="str">
        <x:v>Critical Access Hospitals</x:v>
      </x:c>
      <x:c r="F2080" s="2" t="str">
        <x:v>Voluntary non-profit</x:v>
      </x:c>
      <x:c r="G2080" s="2" t="str">
        <x:v>Small (&lt;100 beds)</x:v>
      </x:c>
      <x:c r="H2080" s="7"/>
      <x:c r="I2080" s="7" t="n">
        <x:v>4</x:v>
      </x:c>
      <x:c r="J2080" s="7"/>
      <x:c r="K2080" s="8" t="n">
        <x:v>25</x:v>
      </x:c>
      <x:c r="L2080" s="8" t="n">
        <x:v>374</x:v>
      </x:c>
      <x:c r="M2080" s="9" t="n">
        <x:v>0.2337534247</x:v>
      </x:c>
      <x:c r="N2080" s="10" t="n">
        <x:v>150172.6657754011</x:v>
      </x:c>
      <x:c r="O2080" s="9" t="n">
        <x:v>0.0046290547</x:v>
      </x:c>
      <x:c r="P2080" s="9" t="n">
        <x:v>0.5791821561</x:v>
      </x:c>
      <x:c r="Q2080" s="9" t="n">
        <x:v>0.292936803</x:v>
      </x:c>
      <x:c r="R2080" s="3" t="b">
        <x:v>0</x:v>
      </x:c>
      <x:c r="S2080" s="3" t="b">
        <x:v>0</x:v>
      </x:c>
      <x:c r="T2080" s="3" t="b">
        <x:v>0</x:v>
      </x:c>
      <x:c r="U2080" s="2" t="str">
        <x:f>IF(T2080=TRUE,"Priority review",IF(R2080=TRUE,"High cost",IF(S2080=TRUE,"Low quality","Benchmark")))</x:f>
        <x:v>Benchmark</x:v>
      </x:c>
    </x:row>
    <x:row r="2081">
      <x:c r="A2081" s="2" t="str">
        <x:v>330265</x:v>
      </x:c>
      <x:c r="B2081" s="2" t="str">
        <x:v>CLIFTON SPRINGS HOSPITAL AND CLINIC</x:v>
      </x:c>
      <x:c r="C2081" s="2" t="str">
        <x:v>CLIFTON SPRINGS</x:v>
      </x:c>
      <x:c r="D2081" s="2" t="str">
        <x:v>NY</x:v>
      </x:c>
      <x:c r="E2081" s="2" t="str">
        <x:v>Acute Care Hospitals</x:v>
      </x:c>
      <x:c r="F2081" s="2" t="str">
        <x:v>Voluntary non-profit</x:v>
      </x:c>
      <x:c r="G2081" s="2" t="str">
        <x:v>Small (&lt;100 beds)</x:v>
      </x:c>
      <x:c r="H2081" s="7" t="n">
        <x:v>2</x:v>
      </x:c>
      <x:c r="I2081" s="7" t="n">
        <x:v>3</x:v>
      </x:c>
      <x:c r="J2081" s="7" t="n">
        <x:v>0.84</x:v>
      </x:c>
      <x:c r="K2081" s="8" t="n">
        <x:v>77</x:v>
      </x:c>
      <x:c r="L2081" s="8" t="n">
        <x:v>2193</x:v>
      </x:c>
      <x:c r="M2081" s="9" t="n">
        <x:v>0.6139379746</x:v>
      </x:c>
      <x:c r="N2081" s="10" t="n">
        <x:v>59677.2690378477</x:v>
      </x:c>
      <x:c r="O2081" s="9" t="n">
        <x:v>-0.0294087836</x:v>
      </x:c>
      <x:c r="P2081" s="9" t="n">
        <x:v>0.578994614</x:v>
      </x:c>
      <x:c r="Q2081" s="9" t="n">
        <x:v>0.0350089767</x:v>
      </x:c>
      <x:c r="R2081" s="3" t="b">
        <x:v>0</x:v>
      </x:c>
      <x:c r="S2081" s="3" t="b">
        <x:v>1</x:v>
      </x:c>
      <x:c r="T2081" s="3" t="b">
        <x:v>0</x:v>
      </x:c>
      <x:c r="U2081" s="2" t="str">
        <x:f>IF(T2081=TRUE,"Priority review",IF(R2081=TRUE,"High cost",IF(S2081=TRUE,"Low quality","Benchmark")))</x:f>
        <x:v>Low quality</x:v>
      </x:c>
    </x:row>
    <x:row r="2082">
      <x:c r="A2082" s="2" t="str">
        <x:v>380102</x:v>
      </x:c>
      <x:c r="B2082" s="2" t="str">
        <x:v>SACRED HEART MEDICAL CENTER - RIVERBEND</x:v>
      </x:c>
      <x:c r="C2082" s="2" t="str">
        <x:v>SPRINGFIELD</x:v>
      </x:c>
      <x:c r="D2082" s="2" t="str">
        <x:v>OR</x:v>
      </x:c>
      <x:c r="E2082" s="2" t="str">
        <x:v>Acute Care Hospitals</x:v>
      </x:c>
      <x:c r="F2082" s="2" t="str">
        <x:v>Voluntary non-profit</x:v>
      </x:c>
      <x:c r="G2082" s="2" t="str">
        <x:v>Large (300+ beds)</x:v>
      </x:c>
      <x:c r="H2082" s="7" t="n">
        <x:v>4</x:v>
      </x:c>
      <x:c r="I2082" s="7" t="n">
        <x:v>3</x:v>
      </x:c>
      <x:c r="J2082" s="7" t="n">
        <x:v>0.89</x:v>
      </x:c>
      <x:c r="K2082" s="8" t="n">
        <x:v>354</x:v>
      </x:c>
      <x:c r="L2082" s="8" t="n">
        <x:v>24884</x:v>
      </x:c>
      <x:c r="M2082" s="9" t="n">
        <x:v>0.8280551041</x:v>
      </x:c>
      <x:c r="N2082" s="10" t="n">
        <x:v>42158.7491962707</x:v>
      </x:c>
      <x:c r="O2082" s="9" t="n">
        <x:v>-0.0234062511</x:v>
      </x:c>
      <x:c r="P2082" s="9" t="n">
        <x:v>0.5788643533</x:v>
      </x:c>
      <x:c r="Q2082" s="9" t="n">
        <x:v>0.5899053628</x:v>
      </x:c>
      <x:c r="R2082" s="3" t="b">
        <x:v>0</x:v>
      </x:c>
      <x:c r="S2082" s="3" t="b">
        <x:v>0</x:v>
      </x:c>
      <x:c r="T2082" s="3" t="b">
        <x:v>0</x:v>
      </x:c>
      <x:c r="U2082" s="2" t="str">
        <x:f>IF(T2082=TRUE,"Priority review",IF(R2082=TRUE,"High cost",IF(S2082=TRUE,"Low quality","Benchmark")))</x:f>
        <x:v>Benchmark</x:v>
      </x:c>
    </x:row>
    <x:row r="2083">
      <x:c r="A2083" s="2" t="str">
        <x:v>340015</x:v>
      </x:c>
      <x:c r="B2083" s="2" t="str">
        <x:v>NOVANT HEALTH ROWAN MEDICAL CENTER</x:v>
      </x:c>
      <x:c r="C2083" s="2" t="str">
        <x:v>SALISBURY</x:v>
      </x:c>
      <x:c r="D2083" s="2" t="str">
        <x:v>NC</x:v>
      </x:c>
      <x:c r="E2083" s="2" t="str">
        <x:v>Acute Care Hospitals</x:v>
      </x:c>
      <x:c r="F2083" s="2" t="str">
        <x:v>Voluntary non-profit</x:v>
      </x:c>
      <x:c r="G2083" s="2" t="str">
        <x:v>Medium (100-299 beds)</x:v>
      </x:c>
      <x:c r="H2083" s="7" t="n">
        <x:v>4</x:v>
      </x:c>
      <x:c r="I2083" s="7" t="n">
        <x:v>3</x:v>
      </x:c>
      <x:c r="J2083" s="7" t="n">
        <x:v>0.97</x:v>
      </x:c>
      <x:c r="K2083" s="8" t="n">
        <x:v>189</x:v>
      </x:c>
      <x:c r="L2083" s="8" t="n">
        <x:v>9224</x:v>
      </x:c>
      <x:c r="M2083" s="9" t="n">
        <x:v>0.6858935438</x:v>
      </x:c>
      <x:c r="N2083" s="10" t="n">
        <x:v>36979.5232003469</x:v>
      </x:c>
      <x:c r="O2083" s="9" t="n">
        <x:v>0.0142992773</x:v>
      </x:c>
      <x:c r="P2083" s="9" t="n">
        <x:v>0.5786471068</x:v>
      </x:c>
      <x:c r="Q2083" s="9" t="n">
        <x:v>0.6022819886</x:v>
      </x:c>
      <x:c r="R2083" s="3" t="b">
        <x:v>0</x:v>
      </x:c>
      <x:c r="S2083" s="3" t="b">
        <x:v>0</x:v>
      </x:c>
      <x:c r="T2083" s="3" t="b">
        <x:v>0</x:v>
      </x:c>
      <x:c r="U2083" s="2" t="str">
        <x:f>IF(T2083=TRUE,"Priority review",IF(R2083=TRUE,"High cost",IF(S2083=TRUE,"Low quality","Benchmark")))</x:f>
        <x:v>Benchmark</x:v>
      </x:c>
    </x:row>
    <x:row r="2084">
      <x:c r="A2084" s="2" t="str">
        <x:v>131303</x:v>
      </x:c>
      <x:c r="B2084" s="2" t="str">
        <x:v>NELL J REDFIELD MEMORIAL HOSPITAL</x:v>
      </x:c>
      <x:c r="C2084" s="2" t="str">
        <x:v>MALAD CITY</x:v>
      </x:c>
      <x:c r="D2084" s="2" t="str">
        <x:v>ID</x:v>
      </x:c>
      <x:c r="E2084" s="2" t="str">
        <x:v>Critical Access Hospitals</x:v>
      </x:c>
      <x:c r="F2084" s="2" t="str">
        <x:v>Government</x:v>
      </x:c>
      <x:c r="G2084" s="2" t="str">
        <x:v>Small (&lt;100 beds)</x:v>
      </x:c>
      <x:c r="H2084" s="7"/>
      <x:c r="I2084" s="7"/>
      <x:c r="J2084" s="7"/>
      <x:c r="K2084" s="8" t="n">
        <x:v>11</x:v>
      </x:c>
      <x:c r="L2084" s="8" t="n">
        <x:v>114</x:v>
      </x:c>
      <x:c r="M2084" s="9" t="n">
        <x:v>0.2301369863</x:v>
      </x:c>
      <x:c r="N2084" s="10" t="n">
        <x:v>149846.649122807</x:v>
      </x:c>
      <x:c r="O2084" s="9" t="n">
        <x:v>-0.0677351862</x:v>
      </x:c>
      <x:c r="P2084" s="9" t="n">
        <x:v>0.5784386617</x:v>
      </x:c>
      <x:c r="Q2084" s="9" t="n">
        <x:v>0.292936803</x:v>
      </x:c>
      <x:c r="R2084" s="3" t="b">
        <x:v>0</x:v>
      </x:c>
      <x:c r="S2084" s="3" t="b">
        <x:v>0</x:v>
      </x:c>
      <x:c r="T2084" s="3" t="b">
        <x:v>0</x:v>
      </x:c>
      <x:c r="U2084" s="2" t="str">
        <x:f>IF(T2084=TRUE,"Priority review",IF(R2084=TRUE,"High cost",IF(S2084=TRUE,"Low quality","Benchmark")))</x:f>
        <x:v>Benchmark</x:v>
      </x:c>
    </x:row>
    <x:row r="2085">
      <x:c r="A2085" s="2" t="str">
        <x:v>430095</x:v>
      </x:c>
      <x:c r="B2085" s="2" t="str">
        <x:v>AVERA HEART HOSPITAL OF SOUTH DAKOTA</x:v>
      </x:c>
      <x:c r="C2085" s="2" t="str">
        <x:v>SIOUX FALLS</x:v>
      </x:c>
      <x:c r="D2085" s="2" t="str">
        <x:v>SD</x:v>
      </x:c>
      <x:c r="E2085" s="2" t="str">
        <x:v>Acute Care Hospitals</x:v>
      </x:c>
      <x:c r="F2085" s="2" t="str">
        <x:v>Proprietary</x:v>
      </x:c>
      <x:c r="G2085" s="2" t="str">
        <x:v>Small (&lt;100 beds)</x:v>
      </x:c>
      <x:c r="H2085" s="7" t="n">
        <x:v>5</x:v>
      </x:c>
      <x:c r="I2085" s="7" t="n">
        <x:v>4</x:v>
      </x:c>
      <x:c r="J2085" s="7" t="n">
        <x:v>1.02</x:v>
      </x:c>
      <x:c r="K2085" s="8" t="n">
        <x:v>53</x:v>
      </x:c>
      <x:c r="L2085" s="8" t="n">
        <x:v>3059</x:v>
      </x:c>
      <x:c r="M2085" s="9" t="n">
        <x:v>0.5461359524</x:v>
      </x:c>
      <x:c r="N2085" s="10" t="n">
        <x:v>59602.7607061131</x:v>
      </x:c>
      <x:c r="O2085" s="9" t="n">
        <x:v>0.0628144515</x:v>
      </x:c>
      <x:c r="P2085" s="9" t="n">
        <x:v>0.5780969479</x:v>
      </x:c>
      <x:c r="Q2085" s="9" t="n">
        <x:v>0.6131059246</x:v>
      </x:c>
      <x:c r="R2085" s="3" t="b">
        <x:v>0</x:v>
      </x:c>
      <x:c r="S2085" s="3" t="b">
        <x:v>0</x:v>
      </x:c>
      <x:c r="T2085" s="3" t="b">
        <x:v>0</x:v>
      </x:c>
      <x:c r="U2085" s="2" t="str">
        <x:f>IF(T2085=TRUE,"Priority review",IF(R2085=TRUE,"High cost",IF(S2085=TRUE,"Low quality","Benchmark")))</x:f>
        <x:v>Benchmark</x:v>
      </x:c>
    </x:row>
    <x:row r="2086">
      <x:c r="A2086" s="2" t="str">
        <x:v>150008</x:v>
      </x:c>
      <x:c r="B2086" s="2" t="str">
        <x:v>ST CATHERINE HOSPITAL INC</x:v>
      </x:c>
      <x:c r="C2086" s="2" t="str">
        <x:v>EAST CHICAGO</x:v>
      </x:c>
      <x:c r="D2086" s="2" t="str">
        <x:v>IN</x:v>
      </x:c>
      <x:c r="E2086" s="2" t="str">
        <x:v>Acute Care Hospitals</x:v>
      </x:c>
      <x:c r="F2086" s="2" t="str">
        <x:v>Voluntary non-profit</x:v>
      </x:c>
      <x:c r="G2086" s="2" t="str">
        <x:v>Medium (100-299 beds)</x:v>
      </x:c>
      <x:c r="H2086" s="7" t="n">
        <x:v>4</x:v>
      </x:c>
      <x:c r="I2086" s="7" t="n">
        <x:v>3</x:v>
      </x:c>
      <x:c r="J2086" s="7" t="n">
        <x:v>1.1</x:v>
      </x:c>
      <x:c r="K2086" s="8" t="n">
        <x:v>128</x:v>
      </x:c>
      <x:c r="L2086" s="8" t="n">
        <x:v>5111</x:v>
      </x:c>
      <x:c r="M2086" s="9" t="n">
        <x:v>0.5643621575</x:v>
      </x:c>
      <x:c r="N2086" s="10" t="n">
        <x:v>36967.8254744668</x:v>
      </x:c>
      <x:c r="O2086" s="9" t="n">
        <x:v>-0.1330830565</x:v>
      </x:c>
      <x:c r="P2086" s="9" t="n">
        <x:v>0.5778321108</x:v>
      </x:c>
      <x:c r="Q2086" s="9" t="n">
        <x:v>0.6022819886</x:v>
      </x:c>
      <x:c r="R2086" s="3" t="b">
        <x:v>0</x:v>
      </x:c>
      <x:c r="S2086" s="3" t="b">
        <x:v>0</x:v>
      </x:c>
      <x:c r="T2086" s="3" t="b">
        <x:v>0</x:v>
      </x:c>
      <x:c r="U2086" s="2" t="str">
        <x:f>IF(T2086=TRUE,"Priority review",IF(R2086=TRUE,"High cost",IF(S2086=TRUE,"Low quality","Benchmark")))</x:f>
        <x:v>Benchmark</x:v>
      </x:c>
    </x:row>
    <x:row r="2087">
      <x:c r="A2087" s="2" t="str">
        <x:v>201306</x:v>
      </x:c>
      <x:c r="B2087" s="2" t="str">
        <x:v>RUMFORD  HOSPITAL</x:v>
      </x:c>
      <x:c r="C2087" s="2" t="str">
        <x:v>RUMFORD</x:v>
      </x:c>
      <x:c r="D2087" s="2" t="str">
        <x:v>ME</x:v>
      </x:c>
      <x:c r="E2087" s="2" t="str">
        <x:v>Critical Access Hospitals</x:v>
      </x:c>
      <x:c r="F2087" s="2" t="str">
        <x:v>Proprietary</x:v>
      </x:c>
      <x:c r="G2087" s="2" t="str">
        <x:v>Small (&lt;100 beds)</x:v>
      </x:c>
      <x:c r="H2087" s="7"/>
      <x:c r="I2087" s="7"/>
      <x:c r="J2087" s="7"/>
      <x:c r="K2087" s="8" t="n">
        <x:v>25</x:v>
      </x:c>
      <x:c r="L2087" s="8" t="n">
        <x:v>312</x:v>
      </x:c>
      <x:c r="M2087" s="9" t="n">
        <x:v>0.5861917808</x:v>
      </x:c>
      <x:c r="N2087" s="10" t="n">
        <x:v>149736.1314102564</x:v>
      </x:c>
      <x:c r="O2087" s="9" t="n">
        <x:v>-0.0003425573</x:v>
      </x:c>
      <x:c r="P2087" s="9" t="n">
        <x:v>0.5776951673</x:v>
      </x:c>
      <x:c r="Q2087" s="9" t="n">
        <x:v>0.292936803</x:v>
      </x:c>
      <x:c r="R2087" s="3" t="b">
        <x:v>0</x:v>
      </x:c>
      <x:c r="S2087" s="3" t="b">
        <x:v>0</x:v>
      </x:c>
      <x:c r="T2087" s="3" t="b">
        <x:v>0</x:v>
      </x:c>
      <x:c r="U2087" s="2" t="str">
        <x:f>IF(T2087=TRUE,"Priority review",IF(R2087=TRUE,"High cost",IF(S2087=TRUE,"Low quality","Benchmark")))</x:f>
        <x:v>Benchmark</x:v>
      </x:c>
    </x:row>
    <x:row r="2088">
      <x:c r="A2088" s="2" t="str">
        <x:v>330191</x:v>
      </x:c>
      <x:c r="B2088" s="2" t="str">
        <x:v>GLENS FALLS HOSPITAL</x:v>
      </x:c>
      <x:c r="C2088" s="2" t="str">
        <x:v>GLENS FALLS</x:v>
      </x:c>
      <x:c r="D2088" s="2" t="str">
        <x:v>NY</x:v>
      </x:c>
      <x:c r="E2088" s="2" t="str">
        <x:v>Acute Care Hospitals</x:v>
      </x:c>
      <x:c r="F2088" s="2" t="str">
        <x:v>Voluntary non-profit</x:v>
      </x:c>
      <x:c r="G2088" s="2" t="str">
        <x:v>Large (300+ beds)</x:v>
      </x:c>
      <x:c r="H2088" s="7" t="n">
        <x:v>3</x:v>
      </x:c>
      <x:c r="I2088" s="7" t="n">
        <x:v>3</x:v>
      </x:c>
      <x:c r="J2088" s="7" t="n">
        <x:v>0.93</x:v>
      </x:c>
      <x:c r="K2088" s="8" t="n">
        <x:v>391</x:v>
      </x:c>
      <x:c r="L2088" s="8" t="n">
        <x:v>11454</x:v>
      </x:c>
      <x:c r="M2088" s="9" t="n">
        <x:v>0.3970972566</x:v>
      </x:c>
      <x:c r="N2088" s="10" t="n">
        <x:v>42140.4501484198</x:v>
      </x:c>
      <x:c r="O2088" s="9" t="n">
        <x:v>-0.1344715229</x:v>
      </x:c>
      <x:c r="P2088" s="9" t="n">
        <x:v>0.5772870662</x:v>
      </x:c>
      <x:c r="Q2088" s="9" t="n">
        <x:v>0.2570977918</x:v>
      </x:c>
      <x:c r="R2088" s="3" t="b">
        <x:v>0</x:v>
      </x:c>
      <x:c r="S2088" s="3" t="b">
        <x:v>0</x:v>
      </x:c>
      <x:c r="T2088" s="3" t="b">
        <x:v>0</x:v>
      </x:c>
      <x:c r="U2088" s="2" t="str">
        <x:f>IF(T2088=TRUE,"Priority review",IF(R2088=TRUE,"High cost",IF(S2088=TRUE,"Low quality","Benchmark")))</x:f>
        <x:v>Benchmark</x:v>
      </x:c>
    </x:row>
    <x:row r="2089">
      <x:c r="A2089" s="2" t="str">
        <x:v>520213</x:v>
      </x:c>
      <x:c r="B2089" s="2" t="str">
        <x:v>FROEDTERT COMMUNITY HOSPITAL</x:v>
      </x:c>
      <x:c r="C2089" s="2" t="str">
        <x:v>NEW BERLIN</x:v>
      </x:c>
      <x:c r="D2089" s="2" t="str">
        <x:v>WI</x:v>
      </x:c>
      <x:c r="E2089" s="2" t="str">
        <x:v>Acute Care Hospitals</x:v>
      </x:c>
      <x:c r="F2089" s="2" t="str">
        <x:v>Voluntary non-profit</x:v>
      </x:c>
      <x:c r="G2089" s="2" t="str">
        <x:v>Small (&lt;100 beds)</x:v>
      </x:c>
      <x:c r="H2089" s="7"/>
      <x:c r="I2089" s="7" t="n">
        <x:v>5</x:v>
      </x:c>
      <x:c r="J2089" s="7" t="n">
        <x:v>0.71</x:v>
      </x:c>
      <x:c r="K2089" s="8" t="n">
        <x:v>16</x:v>
      </x:c>
      <x:c r="L2089" s="8" t="n">
        <x:v>500</x:v>
      </x:c>
      <x:c r="M2089" s="9" t="n">
        <x:v>0.1837328767</x:v>
      </x:c>
      <x:c r="N2089" s="10" t="n">
        <x:v>59244.822</x:v>
      </x:c>
      <x:c r="O2089" s="9" t="n">
        <x:v>0.3266042813</x:v>
      </x:c>
      <x:c r="P2089" s="9" t="n">
        <x:v>0.5771992819</x:v>
      </x:c>
      <x:c r="Q2089" s="9" t="n">
        <x:v>0.697486535</x:v>
      </x:c>
      <x:c r="R2089" s="3" t="b">
        <x:v>0</x:v>
      </x:c>
      <x:c r="S2089" s="3" t="b">
        <x:v>0</x:v>
      </x:c>
      <x:c r="T2089" s="3" t="b">
        <x:v>0</x:v>
      </x:c>
      <x:c r="U2089" s="2" t="str">
        <x:f>IF(T2089=TRUE,"Priority review",IF(R2089=TRUE,"High cost",IF(S2089=TRUE,"Low quality","Benchmark")))</x:f>
        <x:v>Benchmark</x:v>
      </x:c>
    </x:row>
    <x:row r="2090">
      <x:c r="A2090" s="2" t="str">
        <x:v>394050</x:v>
      </x:c>
      <x:c r="B2090" s="2" t="str">
        <x:v>ROXBURY TREATMENT CENTER</x:v>
      </x:c>
      <x:c r="C2090" s="2" t="str">
        <x:v>SHIPPENSBURG</x:v>
      </x:c>
      <x:c r="D2090" s="2" t="str">
        <x:v>PA</x:v>
      </x:c>
      <x:c r="E2090" s="2" t="str">
        <x:v>Psychiatric</x:v>
      </x:c>
      <x:c r="F2090" s="2" t="str">
        <x:v>Proprietary</x:v>
      </x:c>
      <x:c r="G2090" s="2" t="str">
        <x:v>Medium (100-299 beds)</x:v>
      </x:c>
      <x:c r="H2090" s="7"/>
      <x:c r="I2090" s="7"/>
      <x:c r="J2090" s="7"/>
      <x:c r="K2090" s="8" t="n">
        <x:v>112</x:v>
      </x:c>
      <x:c r="L2090" s="8" t="n">
        <x:v>959</x:v>
      </x:c>
      <x:c r="M2090" s="9" t="n">
        <x:v>0.8098653396</x:v>
      </x:c>
      <x:c r="N2090" s="10" t="n">
        <x:v>15184.3576642336</x:v>
      </x:c>
      <x:c r="O2090" s="9" t="n">
        <x:v>0.2559200319</x:v>
      </x:c>
      <x:c r="P2090" s="9" t="n">
        <x:v>0.5771144279</x:v>
      </x:c>
      <x:c r="Q2090" s="9" t="n">
        <x:v>0</x:v>
      </x:c>
      <x:c r="R2090" s="3" t="b">
        <x:v>0</x:v>
      </x:c>
      <x:c r="S2090" s="3" t="b">
        <x:v>0</x:v>
      </x:c>
      <x:c r="T2090" s="3" t="b">
        <x:v>0</x:v>
      </x:c>
      <x:c r="U2090" s="2" t="str">
        <x:f>IF(T2090=TRUE,"Priority review",IF(R2090=TRUE,"High cost",IF(S2090=TRUE,"Low quality","Benchmark")))</x:f>
        <x:v>Benchmark</x:v>
      </x:c>
    </x:row>
    <x:row r="2091">
      <x:c r="A2091" s="2" t="str">
        <x:v>160029</x:v>
      </x:c>
      <x:c r="B2091" s="2" t="str">
        <x:v>UNIVERSITY OF IOWA HEALTH CARE MEDICAL CENTER DOWN</x:v>
      </x:c>
      <x:c r="C2091" s="2" t="str">
        <x:v>IOWA CITY</x:v>
      </x:c>
      <x:c r="D2091" s="2" t="str">
        <x:v>IA</x:v>
      </x:c>
      <x:c r="E2091" s="2" t="str">
        <x:v>Acute Care Hospitals</x:v>
      </x:c>
      <x:c r="F2091" s="2" t="str">
        <x:v>Voluntary non-profit</x:v>
      </x:c>
      <x:c r="G2091" s="2" t="str">
        <x:v>Medium (100-299 beds)</x:v>
      </x:c>
      <x:c r="H2091" s="7" t="n">
        <x:v>4</x:v>
      </x:c>
      <x:c r="I2091" s="7" t="n">
        <x:v>3</x:v>
      </x:c>
      <x:c r="J2091" s="7" t="n">
        <x:v>0.99</x:v>
      </x:c>
      <x:c r="K2091" s="8" t="n">
        <x:v>171</x:v>
      </x:c>
      <x:c r="L2091" s="8" t="n">
        <x:v>5141</x:v>
      </x:c>
      <x:c r="M2091" s="9" t="n">
        <x:v>0.2797722802</x:v>
      </x:c>
      <x:c r="N2091" s="10" t="n">
        <x:v>36938.4596382027</x:v>
      </x:c>
      <x:c r="O2091" s="9" t="n">
        <x:v>-0.276344985</x:v>
      </x:c>
      <x:c r="P2091" s="9" t="n">
        <x:v>0.5770171149</x:v>
      </x:c>
      <x:c r="Q2091" s="9" t="n">
        <x:v>0.6022819886</x:v>
      </x:c>
      <x:c r="R2091" s="3" t="b">
        <x:v>0</x:v>
      </x:c>
      <x:c r="S2091" s="3" t="b">
        <x:v>0</x:v>
      </x:c>
      <x:c r="T2091" s="3" t="b">
        <x:v>0</x:v>
      </x:c>
      <x:c r="U2091" s="2" t="str">
        <x:f>IF(T2091=TRUE,"Priority review",IF(R2091=TRUE,"High cost",IF(S2091=TRUE,"Low quality","Benchmark")))</x:f>
        <x:v>Benchmark</x:v>
      </x:c>
    </x:row>
    <x:row r="2092">
      <x:c r="A2092" s="2" t="str">
        <x:v>241305</x:v>
      </x:c>
      <x:c r="B2092" s="2" t="str">
        <x:v>RIVERWOOD HEALTHCARE CENTER</x:v>
      </x:c>
      <x:c r="C2092" s="2" t="str">
        <x:v>AITKIN</x:v>
      </x:c>
      <x:c r="D2092" s="2" t="str">
        <x:v>MN</x:v>
      </x:c>
      <x:c r="E2092" s="2" t="str">
        <x:v>Critical Access Hospitals</x:v>
      </x:c>
      <x:c r="F2092" s="2" t="str">
        <x:v>Voluntary non-profit</x:v>
      </x:c>
      <x:c r="G2092" s="2" t="str">
        <x:v>Small (&lt;100 beds)</x:v>
      </x:c>
      <x:c r="H2092" s="7"/>
      <x:c r="I2092" s="7" t="n">
        <x:v>5</x:v>
      </x:c>
      <x:c r="J2092" s="7"/>
      <x:c r="K2092" s="8" t="n">
        <x:v>25</x:v>
      </x:c>
      <x:c r="L2092" s="8" t="n">
        <x:v>720</x:v>
      </x:c>
      <x:c r="M2092" s="9" t="n">
        <x:v>0.3109289617</x:v>
      </x:c>
      <x:c r="N2092" s="10" t="n">
        <x:v>149648.4180555556</x:v>
      </x:c>
      <x:c r="O2092" s="9" t="n">
        <x:v>-0.0817399576</x:v>
      </x:c>
      <x:c r="P2092" s="9" t="n">
        <x:v>0.5769516729</x:v>
      </x:c>
      <x:c r="Q2092" s="9" t="n">
        <x:v>0.292936803</x:v>
      </x:c>
      <x:c r="R2092" s="3" t="b">
        <x:v>0</x:v>
      </x:c>
      <x:c r="S2092" s="3" t="b">
        <x:v>0</x:v>
      </x:c>
      <x:c r="T2092" s="3" t="b">
        <x:v>0</x:v>
      </x:c>
      <x:c r="U2092" s="2" t="str">
        <x:f>IF(T2092=TRUE,"Priority review",IF(R2092=TRUE,"High cost",IF(S2092=TRUE,"Low quality","Benchmark")))</x:f>
        <x:v>Benchmark</x:v>
      </x:c>
    </x:row>
    <x:row r="2093">
      <x:c r="A2093" s="2" t="str">
        <x:v>360121</x:v>
      </x:c>
      <x:c r="B2093" s="2" t="str">
        <x:v>COMMUNITY HOSPITALS AND WELLNESS CENTERS</x:v>
      </x:c>
      <x:c r="C2093" s="2" t="str">
        <x:v>BRYAN</x:v>
      </x:c>
      <x:c r="D2093" s="2" t="str">
        <x:v>OH</x:v>
      </x:c>
      <x:c r="E2093" s="2" t="str">
        <x:v>Acute Care Hospitals</x:v>
      </x:c>
      <x:c r="F2093" s="2" t="str">
        <x:v>Voluntary non-profit</x:v>
      </x:c>
      <x:c r="G2093" s="2" t="str">
        <x:v>Small (&lt;100 beds)</x:v>
      </x:c>
      <x:c r="H2093" s="7" t="n">
        <x:v>3</x:v>
      </x:c>
      <x:c r="I2093" s="7" t="n">
        <x:v>4</x:v>
      </x:c>
      <x:c r="J2093" s="7" t="n">
        <x:v>1.03</x:v>
      </x:c>
      <x:c r="K2093" s="8" t="n">
        <x:v>55</x:v>
      </x:c>
      <x:c r="L2093" s="8" t="n">
        <x:v>1713</x:v>
      </x:c>
      <x:c r="M2093" s="9" t="n">
        <x:v>0.1648816029</x:v>
      </x:c>
      <x:c r="N2093" s="10" t="n">
        <x:v>59103.4956217163</x:v>
      </x:c>
      <x:c r="O2093" s="9" t="n">
        <x:v>-0.152563703</x:v>
      </x:c>
      <x:c r="P2093" s="9" t="n">
        <x:v>0.5763016158</x:v>
      </x:c>
      <x:c r="Q2093" s="9" t="n">
        <x:v>0.1687612208</x:v>
      </x:c>
      <x:c r="R2093" s="3" t="b">
        <x:v>0</x:v>
      </x:c>
      <x:c r="S2093" s="3" t="b">
        <x:v>0</x:v>
      </x:c>
      <x:c r="T2093" s="3" t="b">
        <x:v>0</x:v>
      </x:c>
      <x:c r="U2093" s="2" t="str">
        <x:f>IF(T2093=TRUE,"Priority review",IF(R2093=TRUE,"High cost",IF(S2093=TRUE,"Low quality","Benchmark")))</x:f>
        <x:v>Benchmark</x:v>
      </x:c>
    </x:row>
    <x:row r="2094">
      <x:c r="A2094" s="2" t="str">
        <x:v>031302</x:v>
      </x:c>
      <x:c r="B2094" s="2" t="str">
        <x:v>NORTHERN COCHISE COMMUNITY HOSPITAL, INC.</x:v>
      </x:c>
      <x:c r="C2094" s="2" t="str">
        <x:v>WILLCOX</x:v>
      </x:c>
      <x:c r="D2094" s="2" t="str">
        <x:v>AZ</x:v>
      </x:c>
      <x:c r="E2094" s="2" t="str">
        <x:v>Critical Access Hospitals</x:v>
      </x:c>
      <x:c r="F2094" s="2" t="str">
        <x:v>Voluntary non-profit</x:v>
      </x:c>
      <x:c r="G2094" s="2" t="str">
        <x:v>Small (&lt;100 beds)</x:v>
      </x:c>
      <x:c r="H2094" s="7"/>
      <x:c r="I2094" s="7"/>
      <x:c r="J2094" s="7"/>
      <x:c r="K2094" s="8" t="n">
        <x:v>24</x:v>
      </x:c>
      <x:c r="L2094" s="8" t="n">
        <x:v>136</x:v>
      </x:c>
      <x:c r="M2094" s="9" t="n">
        <x:v>0.1331967213</x:v>
      </x:c>
      <x:c r="N2094" s="10" t="n">
        <x:v>149456.0367647059</x:v>
      </x:c>
      <x:c r="O2094" s="9" t="n">
        <x:v>0.0867215945</x:v>
      </x:c>
      <x:c r="P2094" s="9" t="n">
        <x:v>0.5762081784</x:v>
      </x:c>
      <x:c r="Q2094" s="9" t="n">
        <x:v>0.292936803</x:v>
      </x:c>
      <x:c r="R2094" s="3" t="b">
        <x:v>0</x:v>
      </x:c>
      <x:c r="S2094" s="3" t="b">
        <x:v>0</x:v>
      </x:c>
      <x:c r="T2094" s="3" t="b">
        <x:v>0</x:v>
      </x:c>
      <x:c r="U2094" s="2" t="str">
        <x:f>IF(T2094=TRUE,"Priority review",IF(R2094=TRUE,"High cost",IF(S2094=TRUE,"Low quality","Benchmark")))</x:f>
        <x:v>Benchmark</x:v>
      </x:c>
    </x:row>
    <x:row r="2095">
      <x:c r="A2095" s="2" t="str">
        <x:v>400015</x:v>
      </x:c>
      <x:c r="B2095" s="2" t="str">
        <x:v>SAN JUAN MUNICIPALITY HOSPITAL</x:v>
      </x:c>
      <x:c r="C2095" s="2" t="str">
        <x:v>RIO PIEDRAS</x:v>
      </x:c>
      <x:c r="D2095" s="2" t="str">
        <x:v>PR</x:v>
      </x:c>
      <x:c r="E2095" s="2" t="str">
        <x:v>Acute Care Hospitals</x:v>
      </x:c>
      <x:c r="F2095" s="2" t="str">
        <x:v>Government</x:v>
      </x:c>
      <x:c r="G2095" s="2" t="str">
        <x:v>Medium (100-299 beds)</x:v>
      </x:c>
      <x:c r="H2095" s="7"/>
      <x:c r="I2095" s="7"/>
      <x:c r="J2095" s="7"/>
      <x:c r="K2095" s="8" t="n">
        <x:v>136</x:v>
      </x:c>
      <x:c r="L2095" s="8" t="n">
        <x:v>3743</x:v>
      </x:c>
      <x:c r="M2095" s="9" t="n">
        <x:v>0.5412369057</x:v>
      </x:c>
      <x:c r="N2095" s="10" t="n">
        <x:v>36921.9585893668</x:v>
      </x:c>
      <x:c r="O2095" s="9" t="n">
        <x:v>-1.9210467695</x:v>
      </x:c>
      <x:c r="P2095" s="9" t="n">
        <x:v>0.576202119</x:v>
      </x:c>
      <x:c r="Q2095" s="9" t="n">
        <x:v>0.9616951915</x:v>
      </x:c>
      <x:c r="R2095" s="3" t="b">
        <x:v>0</x:v>
      </x:c>
      <x:c r="S2095" s="3" t="b">
        <x:v>0</x:v>
      </x:c>
      <x:c r="T2095" s="3" t="b">
        <x:v>0</x:v>
      </x:c>
      <x:c r="U2095" s="2" t="str">
        <x:f>IF(T2095=TRUE,"Priority review",IF(R2095=TRUE,"High cost",IF(S2095=TRUE,"Low quality","Benchmark")))</x:f>
        <x:v>Benchmark</x:v>
      </x:c>
    </x:row>
    <x:row r="2096">
      <x:c r="A2096" s="2" t="str">
        <x:v>364059</x:v>
      </x:c>
      <x:c r="B2096" s="2" t="str">
        <x:v>ASSURANCE HEALTH HUDSON LLC</x:v>
      </x:c>
      <x:c r="C2096" s="2" t="str">
        <x:v>HUDSON</x:v>
      </x:c>
      <x:c r="D2096" s="2" t="str">
        <x:v>OH</x:v>
      </x:c>
      <x:c r="E2096" s="2" t="str">
        <x:v>Psychiatric</x:v>
      </x:c>
      <x:c r="F2096" s="2" t="str">
        <x:v>Proprietary</x:v>
      </x:c>
      <x:c r="G2096" s="2" t="str">
        <x:v>Small (&lt;100 beds)</x:v>
      </x:c>
      <x:c r="H2096" s="7"/>
      <x:c r="I2096" s="7"/>
      <x:c r="J2096" s="7"/>
      <x:c r="K2096" s="8" t="n">
        <x:v>23</x:v>
      </x:c>
      <x:c r="L2096" s="8" t="n">
        <x:v>473</x:v>
      </x:c>
      <x:c r="M2096" s="9" t="n">
        <x:v>0.9095984794</x:v>
      </x:c>
      <x:c r="N2096" s="10" t="n">
        <x:v>14089.7653276956</x:v>
      </x:c>
      <x:c r="O2096" s="9" t="n">
        <x:v>0.0442999011</x:v>
      </x:c>
      <x:c r="P2096" s="9" t="n">
        <x:v>0.5760517799</x:v>
      </x:c>
      <x:c r="Q2096" s="9" t="n">
        <x:v>0</x:v>
      </x:c>
      <x:c r="R2096" s="3" t="b">
        <x:v>0</x:v>
      </x:c>
      <x:c r="S2096" s="3" t="b">
        <x:v>0</x:v>
      </x:c>
      <x:c r="T2096" s="3" t="b">
        <x:v>0</x:v>
      </x:c>
      <x:c r="U2096" s="2" t="str">
        <x:f>IF(T2096=TRUE,"Priority review",IF(R2096=TRUE,"High cost",IF(S2096=TRUE,"Low quality","Benchmark")))</x:f>
        <x:v>Benchmark</x:v>
      </x:c>
    </x:row>
    <x:row r="2097">
      <x:c r="A2097" s="2" t="str">
        <x:v>520030</x:v>
      </x:c>
      <x:c r="B2097" s="2" t="str">
        <x:v>ASPIRUS WAUSAU HOSPITAL</x:v>
      </x:c>
      <x:c r="C2097" s="2" t="str">
        <x:v>WAUSAU</x:v>
      </x:c>
      <x:c r="D2097" s="2" t="str">
        <x:v>WI</x:v>
      </x:c>
      <x:c r="E2097" s="2" t="str">
        <x:v>Acute Care Hospitals</x:v>
      </x:c>
      <x:c r="F2097" s="2" t="str">
        <x:v>Proprietary</x:v>
      </x:c>
      <x:c r="G2097" s="2" t="str">
        <x:v>Large (300+ beds)</x:v>
      </x:c>
      <x:c r="H2097" s="7" t="n">
        <x:v>4</x:v>
      </x:c>
      <x:c r="I2097" s="7" t="n">
        <x:v>4</x:v>
      </x:c>
      <x:c r="J2097" s="7" t="n">
        <x:v>0.95</x:v>
      </x:c>
      <x:c r="K2097" s="8" t="n">
        <x:v>345</x:v>
      </x:c>
      <x:c r="L2097" s="8" t="n">
        <x:v>16663</x:v>
      </x:c>
      <x:c r="M2097" s="9" t="n">
        <x:v>0.7294103633</x:v>
      </x:c>
      <x:c r="N2097" s="10" t="n">
        <x:v>42081.1856808498</x:v>
      </x:c>
      <x:c r="O2097" s="9" t="n">
        <x:v>0.0452813277</x:v>
      </x:c>
      <x:c r="P2097" s="9" t="n">
        <x:v>0.5757097792</x:v>
      </x:c>
      <x:c r="Q2097" s="9" t="n">
        <x:v>0.5899053628</x:v>
      </x:c>
      <x:c r="R2097" s="3" t="b">
        <x:v>0</x:v>
      </x:c>
      <x:c r="S2097" s="3" t="b">
        <x:v>0</x:v>
      </x:c>
      <x:c r="T2097" s="3" t="b">
        <x:v>0</x:v>
      </x:c>
      <x:c r="U2097" s="2" t="str">
        <x:f>IF(T2097=TRUE,"Priority review",IF(R2097=TRUE,"High cost",IF(S2097=TRUE,"Low quality","Benchmark")))</x:f>
        <x:v>Benchmark</x:v>
      </x:c>
    </x:row>
    <x:row r="2098">
      <x:c r="A2098" s="2" t="str">
        <x:v>241322</x:v>
      </x:c>
      <x:c r="B2098" s="2" t="str">
        <x:v>RAINY LAKE MEDICAL CENTER</x:v>
      </x:c>
      <x:c r="C2098" s="2" t="str">
        <x:v>INTERNATIONAL FALLS</x:v>
      </x:c>
      <x:c r="D2098" s="2" t="str">
        <x:v>MN</x:v>
      </x:c>
      <x:c r="E2098" s="2" t="str">
        <x:v>Critical Access Hospitals</x:v>
      </x:c>
      <x:c r="F2098" s="2" t="str">
        <x:v>Voluntary non-profit</x:v>
      </x:c>
      <x:c r="G2098" s="2" t="str">
        <x:v>Small (&lt;100 beds)</x:v>
      </x:c>
      <x:c r="H2098" s="7"/>
      <x:c r="I2098" s="7"/>
      <x:c r="J2098" s="7"/>
      <x:c r="K2098" s="8" t="n">
        <x:v>14</x:v>
      </x:c>
      <x:c r="L2098" s="8" t="n">
        <x:v>253</x:v>
      </x:c>
      <x:c r="M2098" s="9" t="n">
        <x:v>0.2954722873</x:v>
      </x:c>
      <x:c r="N2098" s="10" t="n">
        <x:v>149390.7272727273</x:v>
      </x:c>
      <x:c r="O2098" s="9" t="n">
        <x:v>-0.0835137285</x:v>
      </x:c>
      <x:c r="P2098" s="9" t="n">
        <x:v>0.575464684</x:v>
      </x:c>
      <x:c r="Q2098" s="9" t="n">
        <x:v>0.292936803</x:v>
      </x:c>
      <x:c r="R2098" s="3" t="b">
        <x:v>0</x:v>
      </x:c>
      <x:c r="S2098" s="3" t="b">
        <x:v>0</x:v>
      </x:c>
      <x:c r="T2098" s="3" t="b">
        <x:v>0</x:v>
      </x:c>
      <x:c r="U2098" s="2" t="str">
        <x:f>IF(T2098=TRUE,"Priority review",IF(R2098=TRUE,"High cost",IF(S2098=TRUE,"Low quality","Benchmark")))</x:f>
        <x:v>Benchmark</x:v>
      </x:c>
    </x:row>
    <x:row r="2099">
      <x:c r="A2099" s="2" t="str">
        <x:v>190319</x:v>
      </x:c>
      <x:c r="B2099" s="2" t="str">
        <x:v>ALEXANDRIA HOSPITAL</x:v>
      </x:c>
      <x:c r="C2099" s="2" t="str">
        <x:v>ALEXANDRIA</x:v>
      </x:c>
      <x:c r="D2099" s="2" t="str">
        <x:v>LA</x:v>
      </x:c>
      <x:c r="E2099" s="2" t="str">
        <x:v>Acute Care Hospitals</x:v>
      </x:c>
      <x:c r="F2099" s="2" t="str">
        <x:v>Proprietary</x:v>
      </x:c>
      <x:c r="G2099" s="2" t="str">
        <x:v>Small (&lt;100 beds)</x:v>
      </x:c>
      <x:c r="H2099" s="7"/>
      <x:c r="I2099" s="7"/>
      <x:c r="J2099" s="7"/>
      <x:c r="K2099" s="8" t="n">
        <x:v>10</x:v>
      </x:c>
      <x:c r="L2099" s="8" t="n">
        <x:v>153</x:v>
      </x:c>
      <x:c r="M2099" s="9" t="n">
        <x:v>0.169</x:v>
      </x:c>
      <x:c r="N2099" s="10" t="n">
        <x:v>59095.7189542484</x:v>
      </x:c>
      <x:c r="O2099" s="9" t="n">
        <x:v>0.3529519951</x:v>
      </x:c>
      <x:c r="P2099" s="9" t="n">
        <x:v>0.5754039497</x:v>
      </x:c>
      <x:c r="Q2099" s="9" t="n">
        <x:v>0.697486535</x:v>
      </x:c>
      <x:c r="R2099" s="3" t="b">
        <x:v>0</x:v>
      </x:c>
      <x:c r="S2099" s="3" t="b">
        <x:v>0</x:v>
      </x:c>
      <x:c r="T2099" s="3" t="b">
        <x:v>0</x:v>
      </x:c>
      <x:c r="U2099" s="2" t="str">
        <x:f>IF(T2099=TRUE,"Priority review",IF(R2099=TRUE,"High cost",IF(S2099=TRUE,"Low quality","Benchmark")))</x:f>
        <x:v>Benchmark</x:v>
      </x:c>
    </x:row>
    <x:row r="2100">
      <x:c r="A2100" s="2" t="str">
        <x:v>140209</x:v>
      </x:c>
      <x:c r="B2100" s="2" t="str">
        <x:v>CARLE HEALTH METHODIST HOSPITAL</x:v>
      </x:c>
      <x:c r="C2100" s="2" t="str">
        <x:v>PEORIA</x:v>
      </x:c>
      <x:c r="D2100" s="2" t="str">
        <x:v>IL</x:v>
      </x:c>
      <x:c r="E2100" s="2" t="str">
        <x:v>Acute Care Hospitals</x:v>
      </x:c>
      <x:c r="F2100" s="2" t="str">
        <x:v>Voluntary non-profit</x:v>
      </x:c>
      <x:c r="G2100" s="2" t="str">
        <x:v>Medium (100-299 beds)</x:v>
      </x:c>
      <x:c r="H2100" s="7" t="n">
        <x:v>2</x:v>
      </x:c>
      <x:c r="I2100" s="7" t="n">
        <x:v>2</x:v>
      </x:c>
      <x:c r="J2100" s="7" t="n">
        <x:v>0.97</x:v>
      </x:c>
      <x:c r="K2100" s="8" t="n">
        <x:v>215</x:v>
      </x:c>
      <x:c r="L2100" s="8" t="n">
        <x:v>12433</x:v>
      </x:c>
      <x:c r="M2100" s="9" t="n">
        <x:v>0.7880670987</x:v>
      </x:c>
      <x:c r="N2100" s="10" t="n">
        <x:v>36851.267996461</x:v>
      </x:c>
      <x:c r="O2100" s="9" t="n">
        <x:v>-0.0066261961</x:v>
      </x:c>
      <x:c r="P2100" s="9" t="n">
        <x:v>0.5753871231</x:v>
      </x:c>
      <x:c r="Q2100" s="9" t="n">
        <x:v>0.0782396088</x:v>
      </x:c>
      <x:c r="R2100" s="3" t="b">
        <x:v>0</x:v>
      </x:c>
      <x:c r="S2100" s="3" t="b">
        <x:v>1</x:v>
      </x:c>
      <x:c r="T2100" s="3" t="b">
        <x:v>0</x:v>
      </x:c>
      <x:c r="U2100" s="2" t="str">
        <x:f>IF(T2100=TRUE,"Priority review",IF(R2100=TRUE,"High cost",IF(S2100=TRUE,"Low quality","Benchmark")))</x:f>
        <x:v>Low quality</x:v>
      </x:c>
    </x:row>
    <x:row r="2101">
      <x:c r="A2101" s="2" t="str">
        <x:v>161350</x:v>
      </x:c>
      <x:c r="B2101" s="2" t="str">
        <x:v>STEWART MEMORIAL COMMUNITY HOSPITAL</x:v>
      </x:c>
      <x:c r="C2101" s="2" t="str">
        <x:v>LAKE CITY</x:v>
      </x:c>
      <x:c r="D2101" s="2" t="str">
        <x:v>IA</x:v>
      </x:c>
      <x:c r="E2101" s="2" t="str">
        <x:v>Critical Access Hospitals</x:v>
      </x:c>
      <x:c r="F2101" s="2" t="str">
        <x:v>Voluntary non-profit</x:v>
      </x:c>
      <x:c r="G2101" s="2" t="str">
        <x:v>Small (&lt;100 beds)</x:v>
      </x:c>
      <x:c r="H2101" s="7"/>
      <x:c r="I2101" s="7"/>
      <x:c r="J2101" s="7"/>
      <x:c r="K2101" s="8" t="n">
        <x:v>20</x:v>
      </x:c>
      <x:c r="L2101" s="8" t="n">
        <x:v>271</x:v>
      </x:c>
      <x:c r="M2101" s="9" t="n">
        <x:v>0.1479508197</x:v>
      </x:c>
      <x:c r="N2101" s="10" t="n">
        <x:v>148994.0184501845</x:v>
      </x:c>
      <x:c r="O2101" s="9" t="n">
        <x:v>0.0545664152</x:v>
      </x:c>
      <x:c r="P2101" s="9" t="n">
        <x:v>0.5747211896</x:v>
      </x:c>
      <x:c r="Q2101" s="9" t="n">
        <x:v>0.292936803</x:v>
      </x:c>
      <x:c r="R2101" s="3" t="b">
        <x:v>0</x:v>
      </x:c>
      <x:c r="S2101" s="3" t="b">
        <x:v>0</x:v>
      </x:c>
      <x:c r="T2101" s="3" t="b">
        <x:v>0</x:v>
      </x:c>
      <x:c r="U2101" s="2" t="str">
        <x:f>IF(T2101=TRUE,"Priority review",IF(R2101=TRUE,"High cost",IF(S2101=TRUE,"Low quality","Benchmark")))</x:f>
        <x:v>Benchmark</x:v>
      </x:c>
    </x:row>
    <x:row r="2102">
      <x:c r="A2102" s="2" t="str">
        <x:v>070031</x:v>
      </x:c>
      <x:c r="B2102" s="2" t="str">
        <x:v>GRIFFIN HOSPITAL</x:v>
      </x:c>
      <x:c r="C2102" s="2" t="str">
        <x:v>DERBY</x:v>
      </x:c>
      <x:c r="D2102" s="2" t="str">
        <x:v>CT</x:v>
      </x:c>
      <x:c r="E2102" s="2" t="str">
        <x:v>Acute Care Hospitals</x:v>
      </x:c>
      <x:c r="F2102" s="2" t="str">
        <x:v>Voluntary non-profit</x:v>
      </x:c>
      <x:c r="G2102" s="2" t="str">
        <x:v>Medium (100-299 beds)</x:v>
      </x:c>
      <x:c r="H2102" s="7" t="n">
        <x:v>4</x:v>
      </x:c>
      <x:c r="I2102" s="7" t="n">
        <x:v>4</x:v>
      </x:c>
      <x:c r="J2102" s="7" t="n">
        <x:v>0.94</x:v>
      </x:c>
      <x:c r="K2102" s="8" t="n">
        <x:v>117</x:v>
      </x:c>
      <x:c r="L2102" s="8" t="n">
        <x:v>6883</x:v>
      </x:c>
      <x:c r="M2102" s="9" t="n">
        <x:v>0.7238335435</x:v>
      </x:c>
      <x:c r="N2102" s="10" t="n">
        <x:v>36825.9567049252</x:v>
      </x:c>
      <x:c r="O2102" s="9" t="n">
        <x:v>-0.0542455418</x:v>
      </x:c>
      <x:c r="P2102" s="9" t="n">
        <x:v>0.5745721271</x:v>
      </x:c>
      <x:c r="Q2102" s="9" t="n">
        <x:v>0.6022819886</x:v>
      </x:c>
      <x:c r="R2102" s="3" t="b">
        <x:v>0</x:v>
      </x:c>
      <x:c r="S2102" s="3" t="b">
        <x:v>0</x:v>
      </x:c>
      <x:c r="T2102" s="3" t="b">
        <x:v>0</x:v>
      </x:c>
      <x:c r="U2102" s="2" t="str">
        <x:f>IF(T2102=TRUE,"Priority review",IF(R2102=TRUE,"High cost",IF(S2102=TRUE,"Low quality","Benchmark")))</x:f>
        <x:v>Benchmark</x:v>
      </x:c>
    </x:row>
    <x:row r="2103">
      <x:c r="A2103" s="2" t="str">
        <x:v>360210</x:v>
      </x:c>
      <x:c r="B2103" s="2" t="str">
        <x:v>GRADY MEMORIAL HOSPITAL</x:v>
      </x:c>
      <x:c r="C2103" s="2" t="str">
        <x:v>DELAWARE</x:v>
      </x:c>
      <x:c r="D2103" s="2" t="str">
        <x:v>OH</x:v>
      </x:c>
      <x:c r="E2103" s="2" t="str">
        <x:v>Acute Care Hospitals</x:v>
      </x:c>
      <x:c r="F2103" s="2" t="str">
        <x:v>Voluntary non-profit</x:v>
      </x:c>
      <x:c r="G2103" s="2" t="str">
        <x:v>Small (&lt;100 beds)</x:v>
      </x:c>
      <x:c r="H2103" s="7" t="n">
        <x:v>4</x:v>
      </x:c>
      <x:c r="I2103" s="7" t="n">
        <x:v>4</x:v>
      </x:c>
      <x:c r="J2103" s="7" t="n">
        <x:v>0.92</x:v>
      </x:c>
      <x:c r="K2103" s="8" t="n">
        <x:v>60</x:v>
      </x:c>
      <x:c r="L2103" s="8" t="n">
        <x:v>2391</x:v>
      </x:c>
      <x:c r="M2103" s="9" t="n">
        <x:v>0.3806849315</x:v>
      </x:c>
      <x:c r="N2103" s="10" t="n">
        <x:v>58895.8979506483</x:v>
      </x:c>
      <x:c r="O2103" s="9" t="n">
        <x:v>0.1223683306</x:v>
      </x:c>
      <x:c r="P2103" s="9" t="n">
        <x:v>0.5745062837</x:v>
      </x:c>
      <x:c r="Q2103" s="9" t="n">
        <x:v>0.3913824057</x:v>
      </x:c>
      <x:c r="R2103" s="3" t="b">
        <x:v>0</x:v>
      </x:c>
      <x:c r="S2103" s="3" t="b">
        <x:v>0</x:v>
      </x:c>
      <x:c r="T2103" s="3" t="b">
        <x:v>0</x:v>
      </x:c>
      <x:c r="U2103" s="2" t="str">
        <x:f>IF(T2103=TRUE,"Priority review",IF(R2103=TRUE,"High cost",IF(S2103=TRUE,"Low quality","Benchmark")))</x:f>
        <x:v>Benchmark</x:v>
      </x:c>
    </x:row>
    <x:row r="2104">
      <x:c r="A2104" s="2" t="str">
        <x:v>050063</x:v>
      </x:c>
      <x:c r="B2104" s="2" t="str">
        <x:v>HOLLYWOOD PRESBYTERIAN MEDICAL CENTER</x:v>
      </x:c>
      <x:c r="C2104" s="2" t="str">
        <x:v>LOS ANGELES</x:v>
      </x:c>
      <x:c r="D2104" s="2" t="str">
        <x:v>CA</x:v>
      </x:c>
      <x:c r="E2104" s="2" t="str">
        <x:v>Acute Care Hospitals</x:v>
      </x:c>
      <x:c r="F2104" s="2" t="str">
        <x:v>Proprietary</x:v>
      </x:c>
      <x:c r="G2104" s="2" t="str">
        <x:v>Large (300+ beds)</x:v>
      </x:c>
      <x:c r="H2104" s="7" t="n">
        <x:v>3</x:v>
      </x:c>
      <x:c r="I2104" s="7" t="n">
        <x:v>2</x:v>
      </x:c>
      <x:c r="J2104" s="7" t="n">
        <x:v>1.18</x:v>
      </x:c>
      <x:c r="K2104" s="8" t="n">
        <x:v>317</x:v>
      </x:c>
      <x:c r="L2104" s="8" t="n">
        <x:v>12444</x:v>
      </x:c>
      <x:c r="M2104" s="9" t="n">
        <x:v>0.5388460809</x:v>
      </x:c>
      <x:c r="N2104" s="10" t="n">
        <x:v>42076.6403085824</x:v>
      </x:c>
      <x:c r="O2104" s="9" t="n">
        <x:v>-0.0462138668</x:v>
      </x:c>
      <x:c r="P2104" s="9" t="n">
        <x:v>0.5741324921</x:v>
      </x:c>
      <x:c r="Q2104" s="9" t="n">
        <x:v>0.2570977918</x:v>
      </x:c>
      <x:c r="R2104" s="3" t="b">
        <x:v>0</x:v>
      </x:c>
      <x:c r="S2104" s="3" t="b">
        <x:v>0</x:v>
      </x:c>
      <x:c r="T2104" s="3" t="b">
        <x:v>0</x:v>
      </x:c>
      <x:c r="U2104" s="2" t="str">
        <x:f>IF(T2104=TRUE,"Priority review",IF(R2104=TRUE,"High cost",IF(S2104=TRUE,"Low quality","Benchmark")))</x:f>
        <x:v>Benchmark</x:v>
      </x:c>
    </x:row>
    <x:row r="2105">
      <x:c r="A2105" s="2" t="str">
        <x:v>241344</x:v>
      </x:c>
      <x:c r="B2105" s="2" t="str">
        <x:v>LIFECARE MEDICAL CENTER</x:v>
      </x:c>
      <x:c r="C2105" s="2" t="str">
        <x:v>ROSEAU</x:v>
      </x:c>
      <x:c r="D2105" s="2" t="str">
        <x:v>MN</x:v>
      </x:c>
      <x:c r="E2105" s="2" t="str">
        <x:v>Critical Access Hospitals</x:v>
      </x:c>
      <x:c r="F2105" s="2" t="str">
        <x:v>Voluntary non-profit</x:v>
      </x:c>
      <x:c r="G2105" s="2" t="str">
        <x:v>Small (&lt;100 beds)</x:v>
      </x:c>
      <x:c r="H2105" s="7"/>
      <x:c r="I2105" s="7"/>
      <x:c r="J2105" s="7"/>
      <x:c r="K2105" s="8" t="n">
        <x:v>25</x:v>
      </x:c>
      <x:c r="L2105" s="8" t="n">
        <x:v>439</x:v>
      </x:c>
      <x:c r="M2105" s="9" t="n">
        <x:v>0.3048087432</x:v>
      </x:c>
      <x:c r="N2105" s="10" t="n">
        <x:v>148877.118451025</x:v>
      </x:c>
      <x:c r="O2105" s="9" t="n">
        <x:v>-0.0239428395</x:v>
      </x:c>
      <x:c r="P2105" s="9" t="n">
        <x:v>0.5739776952</x:v>
      </x:c>
      <x:c r="Q2105" s="9" t="n">
        <x:v>0.292936803</x:v>
      </x:c>
      <x:c r="R2105" s="3" t="b">
        <x:v>0</x:v>
      </x:c>
      <x:c r="S2105" s="3" t="b">
        <x:v>0</x:v>
      </x:c>
      <x:c r="T2105" s="3" t="b">
        <x:v>0</x:v>
      </x:c>
      <x:c r="U2105" s="2" t="str">
        <x:f>IF(T2105=TRUE,"Priority review",IF(R2105=TRUE,"High cost",IF(S2105=TRUE,"Low quality","Benchmark")))</x:f>
        <x:v>Benchmark</x:v>
      </x:c>
    </x:row>
    <x:row r="2106">
      <x:c r="A2106" s="2" t="str">
        <x:v>420026</x:v>
      </x:c>
      <x:c r="B2106" s="2" t="str">
        <x:v>MUSC HEALTH COLUMBIA MEDICAL CENTER DOWNTOWN</x:v>
      </x:c>
      <x:c r="C2106" s="2" t="str">
        <x:v>COLUMBIA</x:v>
      </x:c>
      <x:c r="D2106" s="2" t="str">
        <x:v>SC</x:v>
      </x:c>
      <x:c r="E2106" s="2" t="str">
        <x:v>Acute Care Hospitals</x:v>
      </x:c>
      <x:c r="F2106" s="2" t="str">
        <x:v>Voluntary non-profit</x:v>
      </x:c>
      <x:c r="G2106" s="2" t="str">
        <x:v>Medium (100-299 beds)</x:v>
      </x:c>
      <x:c r="H2106" s="7" t="n">
        <x:v>3</x:v>
      </x:c>
      <x:c r="I2106" s="7" t="n">
        <x:v>3</x:v>
      </x:c>
      <x:c r="J2106" s="7" t="n">
        <x:v>1.02</x:v>
      </x:c>
      <x:c r="K2106" s="8" t="n">
        <x:v>180</x:v>
      </x:c>
      <x:c r="L2106" s="8" t="n">
        <x:v>9689</x:v>
      </x:c>
      <x:c r="M2106" s="9" t="n">
        <x:v>0.7294977169</x:v>
      </x:c>
      <x:c r="N2106" s="10" t="n">
        <x:v>36785.4090205388</x:v>
      </x:c>
      <x:c r="O2106" s="9" t="n">
        <x:v>-0.0945179947</x:v>
      </x:c>
      <x:c r="P2106" s="9" t="n">
        <x:v>0.5737571312</x:v>
      </x:c>
      <x:c r="Q2106" s="9" t="n">
        <x:v>0.3023634882</x:v>
      </x:c>
      <x:c r="R2106" s="3" t="b">
        <x:v>0</x:v>
      </x:c>
      <x:c r="S2106" s="3" t="b">
        <x:v>0</x:v>
      </x:c>
      <x:c r="T2106" s="3" t="b">
        <x:v>0</x:v>
      </x:c>
      <x:c r="U2106" s="2" t="str">
        <x:f>IF(T2106=TRUE,"Priority review",IF(R2106=TRUE,"High cost",IF(S2106=TRUE,"Low quality","Benchmark")))</x:f>
        <x:v>Benchmark</x:v>
      </x:c>
    </x:row>
    <x:row r="2107">
      <x:c r="A2107" s="2" t="str">
        <x:v>050417</x:v>
      </x:c>
      <x:c r="B2107" s="2" t="str">
        <x:v>SUTTER COAST HOSPITAL</x:v>
      </x:c>
      <x:c r="C2107" s="2" t="str">
        <x:v>CRESCENT CITY</x:v>
      </x:c>
      <x:c r="D2107" s="2" t="str">
        <x:v>CA</x:v>
      </x:c>
      <x:c r="E2107" s="2" t="str">
        <x:v>Acute Care Hospitals</x:v>
      </x:c>
      <x:c r="F2107" s="2" t="str">
        <x:v>Government</x:v>
      </x:c>
      <x:c r="G2107" s="2" t="str">
        <x:v>Small (&lt;100 beds)</x:v>
      </x:c>
      <x:c r="H2107" s="7" t="n">
        <x:v>2</x:v>
      </x:c>
      <x:c r="I2107" s="7" t="n">
        <x:v>4</x:v>
      </x:c>
      <x:c r="J2107" s="7" t="n">
        <x:v>0.92</x:v>
      </x:c>
      <x:c r="K2107" s="8" t="n">
        <x:v>39</x:v>
      </x:c>
      <x:c r="L2107" s="8" t="n">
        <x:v>1942</x:v>
      </x:c>
      <x:c r="M2107" s="9" t="n">
        <x:v>0.5418943534</x:v>
      </x:c>
      <x:c r="N2107" s="10" t="n">
        <x:v>58814.9603501545</x:v>
      </x:c>
      <x:c r="O2107" s="9" t="n">
        <x:v>0.0592649326</x:v>
      </x:c>
      <x:c r="P2107" s="9" t="n">
        <x:v>0.5736086176</x:v>
      </x:c>
      <x:c r="Q2107" s="9" t="n">
        <x:v>0.0350089767</x:v>
      </x:c>
      <x:c r="R2107" s="3" t="b">
        <x:v>0</x:v>
      </x:c>
      <x:c r="S2107" s="3" t="b">
        <x:v>1</x:v>
      </x:c>
      <x:c r="T2107" s="3" t="b">
        <x:v>0</x:v>
      </x:c>
      <x:c r="U2107" s="2" t="str">
        <x:f>IF(T2107=TRUE,"Priority review",IF(R2107=TRUE,"High cost",IF(S2107=TRUE,"Low quality","Benchmark")))</x:f>
        <x:v>Low quality</x:v>
      </x:c>
    </x:row>
    <x:row r="2108">
      <x:c r="A2108" s="2" t="str">
        <x:v>191304</x:v>
      </x:c>
      <x:c r="B2108" s="2" t="str">
        <x:v>NORTH CADDO MEDICAL CENTER</x:v>
      </x:c>
      <x:c r="C2108" s="2" t="str">
        <x:v>VIVIAN</x:v>
      </x:c>
      <x:c r="D2108" s="2" t="str">
        <x:v>LA</x:v>
      </x:c>
      <x:c r="E2108" s="2" t="str">
        <x:v>Critical Access Hospitals</x:v>
      </x:c>
      <x:c r="F2108" s="2" t="str">
        <x:v>Government</x:v>
      </x:c>
      <x:c r="G2108" s="2" t="str">
        <x:v>Small (&lt;100 beds)</x:v>
      </x:c>
      <x:c r="H2108" s="7"/>
      <x:c r="I2108" s="7"/>
      <x:c r="J2108" s="7"/>
      <x:c r="K2108" s="8" t="n">
        <x:v>25</x:v>
      </x:c>
      <x:c r="L2108" s="8" t="n">
        <x:v>267</x:v>
      </x:c>
      <x:c r="M2108" s="9" t="n">
        <x:v>0.226739726</x:v>
      </x:c>
      <x:c r="N2108" s="10" t="n">
        <x:v>148735.9850187266</x:v>
      </x:c>
      <x:c r="O2108" s="9" t="n">
        <x:v>-0.4600453545</x:v>
      </x:c>
      <x:c r="P2108" s="9" t="n">
        <x:v>0.5732342007</x:v>
      </x:c>
      <x:c r="Q2108" s="9" t="n">
        <x:v>0.292936803</x:v>
      </x:c>
      <x:c r="R2108" s="3" t="b">
        <x:v>0</x:v>
      </x:c>
      <x:c r="S2108" s="3" t="b">
        <x:v>0</x:v>
      </x:c>
      <x:c r="T2108" s="3" t="b">
        <x:v>0</x:v>
      </x:c>
      <x:c r="U2108" s="2" t="str">
        <x:f>IF(T2108=TRUE,"Priority review",IF(R2108=TRUE,"High cost",IF(S2108=TRUE,"Low quality","Benchmark")))</x:f>
        <x:v>Benchmark</x:v>
      </x:c>
    </x:row>
    <x:row r="2109">
      <x:c r="A2109" s="2" t="str">
        <x:v>330193</x:v>
      </x:c>
      <x:c r="B2109" s="2" t="str">
        <x:v>FLUSHING HOSPITAL MEDICAL CENTER</x:v>
      </x:c>
      <x:c r="C2109" s="2" t="str">
        <x:v>FLUSHING</x:v>
      </x:c>
      <x:c r="D2109" s="2" t="str">
        <x:v>NY</x:v>
      </x:c>
      <x:c r="E2109" s="2" t="str">
        <x:v>Acute Care Hospitals</x:v>
      </x:c>
      <x:c r="F2109" s="2" t="str">
        <x:v>Voluntary non-profit</x:v>
      </x:c>
      <x:c r="G2109" s="2" t="str">
        <x:v>Medium (100-299 beds)</x:v>
      </x:c>
      <x:c r="H2109" s="7" t="n">
        <x:v>2</x:v>
      </x:c>
      <x:c r="I2109" s="7" t="n">
        <x:v>2</x:v>
      </x:c>
      <x:c r="J2109" s="7" t="n">
        <x:v>1.25</x:v>
      </x:c>
      <x:c r="K2109" s="8" t="n">
        <x:v>247</x:v>
      </x:c>
      <x:c r="L2109" s="8" t="n">
        <x:v>10851</x:v>
      </x:c>
      <x:c r="M2109" s="9" t="n">
        <x:v>0.619411075</x:v>
      </x:c>
      <x:c r="N2109" s="10" t="n">
        <x:v>36695.7826928394</x:v>
      </x:c>
      <x:c r="O2109" s="9" t="n">
        <x:v>-0.0203867872</x:v>
      </x:c>
      <x:c r="P2109" s="9" t="n">
        <x:v>0.5729421353</x:v>
      </x:c>
      <x:c r="Q2109" s="9" t="n">
        <x:v>0.0782396088</x:v>
      </x:c>
      <x:c r="R2109" s="3" t="b">
        <x:v>0</x:v>
      </x:c>
      <x:c r="S2109" s="3" t="b">
        <x:v>1</x:v>
      </x:c>
      <x:c r="T2109" s="3" t="b">
        <x:v>0</x:v>
      </x:c>
      <x:c r="U2109" s="2" t="str">
        <x:f>IF(T2109=TRUE,"Priority review",IF(R2109=TRUE,"High cost",IF(S2109=TRUE,"Low quality","Benchmark")))</x:f>
        <x:v>Low quality</x:v>
      </x:c>
    </x:row>
    <x:row r="2110">
      <x:c r="A2110" s="2" t="str">
        <x:v>364056</x:v>
      </x:c>
      <x:c r="B2110" s="2" t="str">
        <x:v>ASSURANCE HEALTH CINCINNATI LLC</x:v>
      </x:c>
      <x:c r="C2110" s="2" t="str">
        <x:v>CINCINNATI</x:v>
      </x:c>
      <x:c r="D2110" s="2" t="str">
        <x:v>OH</x:v>
      </x:c>
      <x:c r="E2110" s="2" t="str">
        <x:v>Psychiatric</x:v>
      </x:c>
      <x:c r="F2110" s="2" t="str">
        <x:v>Voluntary non-profit</x:v>
      </x:c>
      <x:c r="G2110" s="2" t="str">
        <x:v>Small (&lt;100 beds)</x:v>
      </x:c>
      <x:c r="H2110" s="7"/>
      <x:c r="I2110" s="7"/>
      <x:c r="J2110" s="7"/>
      <x:c r="K2110" s="8" t="n">
        <x:v>28</x:v>
      </x:c>
      <x:c r="L2110" s="8" t="n">
        <x:v>510</x:v>
      </x:c>
      <x:c r="M2110" s="9" t="n">
        <x:v>0.6961358314</x:v>
      </x:c>
      <x:c r="N2110" s="10" t="n">
        <x:v>14026.9215686275</x:v>
      </x:c>
      <x:c r="O2110" s="9" t="n">
        <x:v>0.0639833526</x:v>
      </x:c>
      <x:c r="P2110" s="9" t="n">
        <x:v>0.572815534</x:v>
      </x:c>
      <x:c r="Q2110" s="9" t="n">
        <x:v>0</x:v>
      </x:c>
      <x:c r="R2110" s="3" t="b">
        <x:v>0</x:v>
      </x:c>
      <x:c r="S2110" s="3" t="b">
        <x:v>0</x:v>
      </x:c>
      <x:c r="T2110" s="3" t="b">
        <x:v>0</x:v>
      </x:c>
      <x:c r="U2110" s="2" t="str">
        <x:f>IF(T2110=TRUE,"Priority review",IF(R2110=TRUE,"High cost",IF(S2110=TRUE,"Low quality","Benchmark")))</x:f>
        <x:v>Benchmark</x:v>
      </x:c>
    </x:row>
    <x:row r="2111">
      <x:c r="A2111" s="2" t="str">
        <x:v>120014</x:v>
      </x:c>
      <x:c r="B2111" s="2" t="str">
        <x:v>WILCOX MEMORIAL HOSPITAL</x:v>
      </x:c>
      <x:c r="C2111" s="2" t="str">
        <x:v>LIHUE</x:v>
      </x:c>
      <x:c r="D2111" s="2" t="str">
        <x:v>HI</x:v>
      </x:c>
      <x:c r="E2111" s="2" t="str">
        <x:v>Acute Care Hospitals</x:v>
      </x:c>
      <x:c r="F2111" s="2" t="str">
        <x:v>Government</x:v>
      </x:c>
      <x:c r="G2111" s="2" t="str">
        <x:v>Small (&lt;100 beds)</x:v>
      </x:c>
      <x:c r="H2111" s="7" t="n">
        <x:v>2</x:v>
      </x:c>
      <x:c r="I2111" s="7" t="n">
        <x:v>4</x:v>
      </x:c>
      <x:c r="J2111" s="7" t="n">
        <x:v>0.82</x:v>
      </x:c>
      <x:c r="K2111" s="8" t="n">
        <x:v>72</x:v>
      </x:c>
      <x:c r="L2111" s="8" t="n">
        <x:v>2907</x:v>
      </x:c>
      <x:c r="M2111" s="9" t="n">
        <x:v>0.5638127854</x:v>
      </x:c>
      <x:c r="N2111" s="10" t="n">
        <x:v>58692.5404196766</x:v>
      </x:c>
      <x:c r="O2111" s="9" t="n">
        <x:v>-0.0914399091</x:v>
      </x:c>
      <x:c r="P2111" s="9" t="n">
        <x:v>0.5727109515</x:v>
      </x:c>
      <x:c r="Q2111" s="9" t="n">
        <x:v>0.0350089767</x:v>
      </x:c>
      <x:c r="R2111" s="3" t="b">
        <x:v>0</x:v>
      </x:c>
      <x:c r="S2111" s="3" t="b">
        <x:v>1</x:v>
      </x:c>
      <x:c r="T2111" s="3" t="b">
        <x:v>0</x:v>
      </x:c>
      <x:c r="U2111" s="2" t="str">
        <x:f>IF(T2111=TRUE,"Priority review",IF(R2111=TRUE,"High cost",IF(S2111=TRUE,"Low quality","Benchmark")))</x:f>
        <x:v>Low quality</x:v>
      </x:c>
    </x:row>
    <x:row r="2112">
      <x:c r="A2112" s="2" t="str">
        <x:v>100168</x:v>
      </x:c>
      <x:c r="B2112" s="2" t="str">
        <x:v>BOCA RATON REGIONAL HOSPITAL</x:v>
      </x:c>
      <x:c r="C2112" s="2" t="str">
        <x:v>BOCA RATON</x:v>
      </x:c>
      <x:c r="D2112" s="2" t="str">
        <x:v>FL</x:v>
      </x:c>
      <x:c r="E2112" s="2" t="str">
        <x:v>Acute Care Hospitals</x:v>
      </x:c>
      <x:c r="F2112" s="2" t="str">
        <x:v>Voluntary non-profit</x:v>
      </x:c>
      <x:c r="G2112" s="2" t="str">
        <x:v>Large (300+ beds)</x:v>
      </x:c>
      <x:c r="H2112" s="7" t="n">
        <x:v>2</x:v>
      </x:c>
      <x:c r="I2112" s="7" t="n">
        <x:v>2</x:v>
      </x:c>
      <x:c r="J2112" s="7" t="n">
        <x:v>1.05</x:v>
      </x:c>
      <x:c r="K2112" s="8" t="n">
        <x:v>361</x:v>
      </x:c>
      <x:c r="L2112" s="8" t="n">
        <x:v>18446</x:v>
      </x:c>
      <x:c r="M2112" s="9" t="n">
        <x:v>0.6210511179</x:v>
      </x:c>
      <x:c r="N2112" s="10" t="n">
        <x:v>42030.7909031768</x:v>
      </x:c>
      <x:c r="O2112" s="9" t="n">
        <x:v>-0.0605915875</x:v>
      </x:c>
      <x:c r="P2112" s="9" t="n">
        <x:v>0.572555205</x:v>
      </x:c>
      <x:c r="Q2112" s="9" t="n">
        <x:v>0.0536277603</x:v>
      </x:c>
      <x:c r="R2112" s="3" t="b">
        <x:v>0</x:v>
      </x:c>
      <x:c r="S2112" s="3" t="b">
        <x:v>1</x:v>
      </x:c>
      <x:c r="T2112" s="3" t="b">
        <x:v>0</x:v>
      </x:c>
      <x:c r="U2112" s="2" t="str">
        <x:f>IF(T2112=TRUE,"Priority review",IF(R2112=TRUE,"High cost",IF(S2112=TRUE,"Low quality","Benchmark")))</x:f>
        <x:v>Low quality</x:v>
      </x:c>
    </x:row>
    <x:row r="2113">
      <x:c r="A2113" s="2" t="str">
        <x:v>041313</x:v>
      </x:c>
      <x:c r="B2113" s="2" t="str">
        <x:v>OZARK HEALTH</x:v>
      </x:c>
      <x:c r="C2113" s="2" t="str">
        <x:v>CLINTON</x:v>
      </x:c>
      <x:c r="D2113" s="2" t="str">
        <x:v>AR</x:v>
      </x:c>
      <x:c r="E2113" s="2" t="str">
        <x:v>Critical Access Hospitals</x:v>
      </x:c>
      <x:c r="F2113" s="2" t="str">
        <x:v>Voluntary non-profit</x:v>
      </x:c>
      <x:c r="G2113" s="2" t="str">
        <x:v>Small (&lt;100 beds)</x:v>
      </x:c>
      <x:c r="H2113" s="7" t="n">
        <x:v>4</x:v>
      </x:c>
      <x:c r="I2113" s="7"/>
      <x:c r="J2113" s="7"/>
      <x:c r="K2113" s="8" t="n">
        <x:v>25</x:v>
      </x:c>
      <x:c r="L2113" s="8" t="n">
        <x:v>277</x:v>
      </x:c>
      <x:c r="M2113" s="9" t="n">
        <x:v>0.3099178082</x:v>
      </x:c>
      <x:c r="N2113" s="10" t="n">
        <x:v>148421.0397111913</x:v>
      </x:c>
      <x:c r="O2113" s="9" t="n">
        <x:v>-0.0321474422</x:v>
      </x:c>
      <x:c r="P2113" s="9" t="n">
        <x:v>0.5724907063</x:v>
      </x:c>
      <x:c r="Q2113" s="9" t="n">
        <x:v>0.1657992565</x:v>
      </x:c>
      <x:c r="R2113" s="3" t="b">
        <x:v>0</x:v>
      </x:c>
      <x:c r="S2113" s="3" t="b">
        <x:v>0</x:v>
      </x:c>
      <x:c r="T2113" s="3" t="b">
        <x:v>0</x:v>
      </x:c>
      <x:c r="U2113" s="2" t="str">
        <x:f>IF(T2113=TRUE,"Priority review",IF(R2113=TRUE,"High cost",IF(S2113=TRUE,"Low quality","Benchmark")))</x:f>
        <x:v>Benchmark</x:v>
      </x:c>
    </x:row>
    <x:row r="2114">
      <x:c r="A2114" s="2" t="str">
        <x:v>234011</x:v>
      </x:c>
      <x:c r="B2114" s="2" t="str">
        <x:v>HENRY FORD HEALTH BEHAVIORAL HEALTH HOSPITAL</x:v>
      </x:c>
      <x:c r="C2114" s="2" t="str">
        <x:v>FERNDALE</x:v>
      </x:c>
      <x:c r="D2114" s="2" t="str">
        <x:v>MI</x:v>
      </x:c>
      <x:c r="E2114" s="2" t="str">
        <x:v>Psychiatric</x:v>
      </x:c>
      <x:c r="F2114" s="2" t="str">
        <x:v>Voluntary non-profit</x:v>
      </x:c>
      <x:c r="G2114" s="2" t="str">
        <x:v>Medium (100-299 beds)</x:v>
      </x:c>
      <x:c r="H2114" s="7"/>
      <x:c r="I2114" s="7"/>
      <x:c r="J2114" s="7"/>
      <x:c r="K2114" s="8" t="n">
        <x:v>206</x:v>
      </x:c>
      <x:c r="L2114" s="8" t="n">
        <x:v>2329</x:v>
      </x:c>
      <x:c r="M2114" s="9" t="n">
        <x:v>0.3297706879</x:v>
      </x:c>
      <x:c r="N2114" s="10" t="n">
        <x:v>14401.1069128381</x:v>
      </x:c>
      <x:c r="O2114" s="9" t="n">
        <x:v>0.0266175164</x:v>
      </x:c>
      <x:c r="P2114" s="9" t="n">
        <x:v>0.5721393035</x:v>
      </x:c>
      <x:c r="Q2114" s="9" t="n">
        <x:v>0</x:v>
      </x:c>
      <x:c r="R2114" s="3" t="b">
        <x:v>0</x:v>
      </x:c>
      <x:c r="S2114" s="3" t="b">
        <x:v>0</x:v>
      </x:c>
      <x:c r="T2114" s="3" t="b">
        <x:v>0</x:v>
      </x:c>
      <x:c r="U2114" s="2" t="str">
        <x:f>IF(T2114=TRUE,"Priority review",IF(R2114=TRUE,"High cost",IF(S2114=TRUE,"Low quality","Benchmark")))</x:f>
        <x:v>Benchmark</x:v>
      </x:c>
    </x:row>
    <x:row r="2115">
      <x:c r="A2115" s="2" t="str">
        <x:v>370056</x:v>
      </x:c>
      <x:c r="B2115" s="2" t="str">
        <x:v>MEMORIAL HEALTH</x:v>
      </x:c>
      <x:c r="C2115" s="2" t="str">
        <x:v>LAWTON</x:v>
      </x:c>
      <x:c r="D2115" s="2" t="str">
        <x:v>OK</x:v>
      </x:c>
      <x:c r="E2115" s="2" t="str">
        <x:v>Acute Care Hospitals</x:v>
      </x:c>
      <x:c r="F2115" s="2" t="str">
        <x:v>Government</x:v>
      </x:c>
      <x:c r="G2115" s="2" t="str">
        <x:v>Medium (100-299 beds)</x:v>
      </x:c>
      <x:c r="H2115" s="7" t="n">
        <x:v>2</x:v>
      </x:c>
      <x:c r="I2115" s="7" t="n">
        <x:v>2</x:v>
      </x:c>
      <x:c r="J2115" s="7" t="n">
        <x:v>0.97</x:v>
      </x:c>
      <x:c r="K2115" s="8" t="n">
        <x:v>183</x:v>
      </x:c>
      <x:c r="L2115" s="8" t="n">
        <x:v>10453</x:v>
      </x:c>
      <x:c r="M2115" s="9" t="n">
        <x:v>0.7322554083</x:v>
      </x:c>
      <x:c r="N2115" s="10" t="n">
        <x:v>36641.7678178513</x:v>
      </x:c>
      <x:c r="O2115" s="9" t="n">
        <x:v>-0.1058881582</x:v>
      </x:c>
      <x:c r="P2115" s="9" t="n">
        <x:v>0.5721271394</x:v>
      </x:c>
      <x:c r="Q2115" s="9" t="n">
        <x:v>0.0782396088</x:v>
      </x:c>
      <x:c r="R2115" s="3" t="b">
        <x:v>0</x:v>
      </x:c>
      <x:c r="S2115" s="3" t="b">
        <x:v>1</x:v>
      </x:c>
      <x:c r="T2115" s="3" t="b">
        <x:v>0</x:v>
      </x:c>
      <x:c r="U2115" s="2" t="str">
        <x:f>IF(T2115=TRUE,"Priority review",IF(R2115=TRUE,"High cost",IF(S2115=TRUE,"Low quality","Benchmark")))</x:f>
        <x:v>Low quality</x:v>
      </x:c>
    </x:row>
    <x:row r="2116">
      <x:c r="A2116" s="2" t="str">
        <x:v>250134</x:v>
      </x:c>
      <x:c r="B2116" s="2" t="str">
        <x:v>WHITFIELD MEDICAL SURGICAL HOSPITAL</x:v>
      </x:c>
      <x:c r="C2116" s="2" t="str">
        <x:v>WHITFIELD</x:v>
      </x:c>
      <x:c r="D2116" s="2" t="str">
        <x:v>MS</x:v>
      </x:c>
      <x:c r="E2116" s="2" t="str">
        <x:v>Acute Care Hospitals</x:v>
      </x:c>
      <x:c r="F2116" s="2" t="str">
        <x:v>Government</x:v>
      </x:c>
      <x:c r="G2116" s="2" t="str">
        <x:v>Small (&lt;100 beds)</x:v>
      </x:c>
      <x:c r="H2116" s="7"/>
      <x:c r="I2116" s="7"/>
      <x:c r="J2116" s="7" t="n">
        <x:v>0.54</x:v>
      </x:c>
      <x:c r="K2116" s="8" t="n">
        <x:v>11</x:v>
      </x:c>
      <x:c r="L2116" s="8" t="n">
        <x:v>93</x:v>
      </x:c>
      <x:c r="M2116" s="9" t="n">
        <x:v>0.1419676214</x:v>
      </x:c>
      <x:c r="N2116" s="10" t="n">
        <x:v>58667.9462365591</x:v>
      </x:c>
      <x:c r="O2116" s="9"/>
      <x:c r="P2116" s="9" t="n">
        <x:v>0.5718132855</x:v>
      </x:c>
      <x:c r="Q2116" s="9" t="n">
        <x:v>0.697486535</x:v>
      </x:c>
      <x:c r="R2116" s="3" t="b">
        <x:v>0</x:v>
      </x:c>
      <x:c r="S2116" s="3" t="b">
        <x:v>0</x:v>
      </x:c>
      <x:c r="T2116" s="3" t="b">
        <x:v>0</x:v>
      </x:c>
      <x:c r="U2116" s="2" t="str">
        <x:f>IF(T2116=TRUE,"Priority review",IF(R2116=TRUE,"High cost",IF(S2116=TRUE,"Low quality","Benchmark")))</x:f>
        <x:v>Benchmark</x:v>
      </x:c>
    </x:row>
    <x:row r="2117">
      <x:c r="A2117" s="2" t="str">
        <x:v>111337</x:v>
      </x:c>
      <x:c r="B2117" s="2" t="str">
        <x:v>ELBERT MEMORIAL HOSPITAL</x:v>
      </x:c>
      <x:c r="C2117" s="2" t="str">
        <x:v>ELBERTON</x:v>
      </x:c>
      <x:c r="D2117" s="2" t="str">
        <x:v>GA</x:v>
      </x:c>
      <x:c r="E2117" s="2" t="str">
        <x:v>Critical Access Hospitals</x:v>
      </x:c>
      <x:c r="F2117" s="2" t="str">
        <x:v>Government</x:v>
      </x:c>
      <x:c r="G2117" s="2" t="str">
        <x:v>Small (&lt;100 beds)</x:v>
      </x:c>
      <x:c r="H2117" s="7"/>
      <x:c r="I2117" s="7"/>
      <x:c r="J2117" s="7"/>
      <x:c r="K2117" s="8" t="n">
        <x:v>25</x:v>
      </x:c>
      <x:c r="L2117" s="8" t="n">
        <x:v>141</x:v>
      </x:c>
      <x:c r="M2117" s="9" t="n">
        <x:v>0.3303013699</x:v>
      </x:c>
      <x:c r="N2117" s="10" t="n">
        <x:v>147809.219858156</x:v>
      </x:c>
      <x:c r="O2117" s="9" t="n">
        <x:v>-0.3037208318</x:v>
      </x:c>
      <x:c r="P2117" s="9" t="n">
        <x:v>0.5717472119</x:v>
      </x:c>
      <x:c r="Q2117" s="9" t="n">
        <x:v>0.292936803</x:v>
      </x:c>
      <x:c r="R2117" s="3" t="b">
        <x:v>0</x:v>
      </x:c>
      <x:c r="S2117" s="3" t="b">
        <x:v>0</x:v>
      </x:c>
      <x:c r="T2117" s="3" t="b">
        <x:v>0</x:v>
      </x:c>
      <x:c r="U2117" s="2" t="str">
        <x:f>IF(T2117=TRUE,"Priority review",IF(R2117=TRUE,"High cost",IF(S2117=TRUE,"Low quality","Benchmark")))</x:f>
        <x:v>Benchmark</x:v>
      </x:c>
    </x:row>
    <x:row r="2118">
      <x:c r="A2118" s="2" t="str">
        <x:v>313302</x:v>
      </x:c>
      <x:c r="B2118" s="2" t="str">
        <x:v>WEISMAN CHILDRENS REHABILITATION HOSPITAL</x:v>
      </x:c>
      <x:c r="C2118" s="2" t="str">
        <x:v>MARLTON</x:v>
      </x:c>
      <x:c r="D2118" s="2" t="str">
        <x:v>NJ</x:v>
      </x:c>
      <x:c r="E2118" s="2" t="str">
        <x:v>Childrens</x:v>
      </x:c>
      <x:c r="F2118" s="2" t="str">
        <x:v>Proprietary</x:v>
      </x:c>
      <x:c r="G2118" s="2" t="str">
        <x:v>Small (&lt;100 beds)</x:v>
      </x:c>
      <x:c r="H2118" s="7"/>
      <x:c r="I2118" s="7"/>
      <x:c r="J2118" s="7"/>
      <x:c r="K2118" s="8" t="n">
        <x:v>18</x:v>
      </x:c>
      <x:c r="L2118" s="8" t="n">
        <x:v>118</x:v>
      </x:c>
      <x:c r="M2118" s="9" t="n">
        <x:v>0.601369863</x:v>
      </x:c>
      <x:c r="N2118" s="10" t="n">
        <x:v>198517.5762711864</x:v>
      </x:c>
      <x:c r="O2118" s="9"/>
      <x:c r="P2118" s="9" t="n">
        <x:v>0.5714285714</x:v>
      </x:c>
      <x:c r="Q2118" s="9" t="n">
        <x:v>0</x:v>
      </x:c>
      <x:c r="R2118" s="3" t="b">
        <x:v>0</x:v>
      </x:c>
      <x:c r="S2118" s="3" t="b">
        <x:v>0</x:v>
      </x:c>
      <x:c r="T2118" s="3" t="b">
        <x:v>0</x:v>
      </x:c>
      <x:c r="U2118" s="2" t="str">
        <x:f>IF(T2118=TRUE,"Priority review",IF(R2118=TRUE,"High cost",IF(S2118=TRUE,"Low quality","Benchmark")))</x:f>
        <x:v>Benchmark</x:v>
      </x:c>
    </x:row>
    <x:row r="2119">
      <x:c r="A2119" s="2" t="str">
        <x:v>220029</x:v>
      </x:c>
      <x:c r="B2119" s="2" t="str">
        <x:v>ANNA JAQUES HOSPITAL</x:v>
      </x:c>
      <x:c r="C2119" s="2" t="str">
        <x:v>NEWBURYPORT</x:v>
      </x:c>
      <x:c r="D2119" s="2" t="str">
        <x:v>MA</x:v>
      </x:c>
      <x:c r="E2119" s="2" t="str">
        <x:v>Acute Care Hospitals</x:v>
      </x:c>
      <x:c r="F2119" s="2" t="str">
        <x:v>Voluntary non-profit</x:v>
      </x:c>
      <x:c r="G2119" s="2" t="str">
        <x:v>Medium (100-299 beds)</x:v>
      </x:c>
      <x:c r="H2119" s="7" t="n">
        <x:v>3</x:v>
      </x:c>
      <x:c r="I2119" s="7" t="n">
        <x:v>2</x:v>
      </x:c>
      <x:c r="J2119" s="7" t="n">
        <x:v>0.97</x:v>
      </x:c>
      <x:c r="K2119" s="8" t="n">
        <x:v>116</x:v>
      </x:c>
      <x:c r="L2119" s="8" t="n">
        <x:v>4766</x:v>
      </x:c>
      <x:c r="M2119" s="9" t="n">
        <x:v>0.5365220346</x:v>
      </x:c>
      <x:c r="N2119" s="10" t="n">
        <x:v>36628.555182543</x:v>
      </x:c>
      <x:c r="O2119" s="9" t="n">
        <x:v>-0.2735901914</x:v>
      </x:c>
      <x:c r="P2119" s="9" t="n">
        <x:v>0.5713121434</x:v>
      </x:c>
      <x:c r="Q2119" s="9" t="n">
        <x:v>0.3023634882</x:v>
      </x:c>
      <x:c r="R2119" s="3" t="b">
        <x:v>0</x:v>
      </x:c>
      <x:c r="S2119" s="3" t="b">
        <x:v>0</x:v>
      </x:c>
      <x:c r="T2119" s="3" t="b">
        <x:v>0</x:v>
      </x:c>
      <x:c r="U2119" s="2" t="str">
        <x:f>IF(T2119=TRUE,"Priority review",IF(R2119=TRUE,"High cost",IF(S2119=TRUE,"Low quality","Benchmark")))</x:f>
        <x:v>Benchmark</x:v>
      </x:c>
    </x:row>
    <x:row r="2120">
      <x:c r="A2120" s="2" t="str">
        <x:v>521318</x:v>
      </x:c>
      <x:c r="B2120" s="2" t="str">
        <x:v>LADD MEMORIAL HOSPITAL</x:v>
      </x:c>
      <x:c r="C2120" s="2" t="str">
        <x:v>OSCEOLA</x:v>
      </x:c>
      <x:c r="D2120" s="2" t="str">
        <x:v>WI</x:v>
      </x:c>
      <x:c r="E2120" s="2" t="str">
        <x:v>Critical Access Hospitals</x:v>
      </x:c>
      <x:c r="F2120" s="2" t="str">
        <x:v>Voluntary non-profit</x:v>
      </x:c>
      <x:c r="G2120" s="2" t="str">
        <x:v>Small (&lt;100 beds)</x:v>
      </x:c>
      <x:c r="H2120" s="7"/>
      <x:c r="I2120" s="7" t="n">
        <x:v>4</x:v>
      </x:c>
      <x:c r="J2120" s="7"/>
      <x:c r="K2120" s="8" t="n">
        <x:v>25</x:v>
      </x:c>
      <x:c r="L2120" s="8" t="n">
        <x:v>404</x:v>
      </x:c>
      <x:c r="M2120" s="9" t="n">
        <x:v>0.3086338798</x:v>
      </x:c>
      <x:c r="N2120" s="10" t="n">
        <x:v>147491.0594059406</x:v>
      </x:c>
      <x:c r="O2120" s="9" t="n">
        <x:v>0.001711919</x:v>
      </x:c>
      <x:c r="P2120" s="9" t="n">
        <x:v>0.5710037175</x:v>
      </x:c>
      <x:c r="Q2120" s="9" t="n">
        <x:v>0.292936803</x:v>
      </x:c>
      <x:c r="R2120" s="3" t="b">
        <x:v>0</x:v>
      </x:c>
      <x:c r="S2120" s="3" t="b">
        <x:v>0</x:v>
      </x:c>
      <x:c r="T2120" s="3" t="b">
        <x:v>0</x:v>
      </x:c>
      <x:c r="U2120" s="2" t="str">
        <x:f>IF(T2120=TRUE,"Priority review",IF(R2120=TRUE,"High cost",IF(S2120=TRUE,"Low quality","Benchmark")))</x:f>
        <x:v>Benchmark</x:v>
      </x:c>
    </x:row>
    <x:row r="2121">
      <x:c r="A2121" s="2" t="str">
        <x:v>370037</x:v>
      </x:c>
      <x:c r="B2121" s="2" t="str">
        <x:v>SSM HEALTH ST ANTHONY HOSPITAL - OKLAHOMA CITY</x:v>
      </x:c>
      <x:c r="C2121" s="2" t="str">
        <x:v>OKLAHOMA CITY</x:v>
      </x:c>
      <x:c r="D2121" s="2" t="str">
        <x:v>OK</x:v>
      </x:c>
      <x:c r="E2121" s="2" t="str">
        <x:v>Acute Care Hospitals</x:v>
      </x:c>
      <x:c r="F2121" s="2" t="str">
        <x:v>Voluntary non-profit</x:v>
      </x:c>
      <x:c r="G2121" s="2" t="str">
        <x:v>Large (300+ beds)</x:v>
      </x:c>
      <x:c r="H2121" s="7" t="n">
        <x:v>4</x:v>
      </x:c>
      <x:c r="I2121" s="7" t="n">
        <x:v>3</x:v>
      </x:c>
      <x:c r="J2121" s="7" t="n">
        <x:v>1</x:v>
      </x:c>
      <x:c r="K2121" s="8" t="n">
        <x:v>461</x:v>
      </x:c>
      <x:c r="L2121" s="8" t="n">
        <x:v>20175</x:v>
      </x:c>
      <x:c r="M2121" s="9" t="n">
        <x:v>0.6830008416</x:v>
      </x:c>
      <x:c r="N2121" s="10" t="n">
        <x:v>41966.2162081784</x:v>
      </x:c>
      <x:c r="O2121" s="9" t="n">
        <x:v>-0.1106062947</x:v>
      </x:c>
      <x:c r="P2121" s="9" t="n">
        <x:v>0.570977918</x:v>
      </x:c>
      <x:c r="Q2121" s="9" t="n">
        <x:v>0.5899053628</x:v>
      </x:c>
      <x:c r="R2121" s="3" t="b">
        <x:v>0</x:v>
      </x:c>
      <x:c r="S2121" s="3" t="b">
        <x:v>0</x:v>
      </x:c>
      <x:c r="T2121" s="3" t="b">
        <x:v>0</x:v>
      </x:c>
      <x:c r="U2121" s="2" t="str">
        <x:f>IF(T2121=TRUE,"Priority review",IF(R2121=TRUE,"High cost",IF(S2121=TRUE,"Low quality","Benchmark")))</x:f>
        <x:v>Benchmark</x:v>
      </x:c>
    </x:row>
    <x:row r="2122">
      <x:c r="A2122" s="2" t="str">
        <x:v>390199</x:v>
      </x:c>
      <x:c r="B2122" s="2" t="str">
        <x:v>PUNXSUTAWNEY AREA HOSPITAL</x:v>
      </x:c>
      <x:c r="C2122" s="2" t="str">
        <x:v>PUNXSUTAWNEY</x:v>
      </x:c>
      <x:c r="D2122" s="2" t="str">
        <x:v>PA</x:v>
      </x:c>
      <x:c r="E2122" s="2" t="str">
        <x:v>Acute Care Hospitals</x:v>
      </x:c>
      <x:c r="F2122" s="2" t="str">
        <x:v>Voluntary non-profit</x:v>
      </x:c>
      <x:c r="G2122" s="2" t="str">
        <x:v>Small (&lt;100 beds)</x:v>
      </x:c>
      <x:c r="H2122" s="7" t="n">
        <x:v>2</x:v>
      </x:c>
      <x:c r="I2122" s="7" t="n">
        <x:v>4</x:v>
      </x:c>
      <x:c r="J2122" s="7" t="n">
        <x:v>0.95</x:v>
      </x:c>
      <x:c r="K2122" s="8" t="n">
        <x:v>44</x:v>
      </x:c>
      <x:c r="L2122" s="8" t="n">
        <x:v>1079</x:v>
      </x:c>
      <x:c r="M2122" s="9" t="n">
        <x:v>0.3551058531</x:v>
      </x:c>
      <x:c r="N2122" s="10" t="n">
        <x:v>58570.8619091752</x:v>
      </x:c>
      <x:c r="O2122" s="9" t="n">
        <x:v>0.0221210477</x:v>
      </x:c>
      <x:c r="P2122" s="9" t="n">
        <x:v>0.5709156194</x:v>
      </x:c>
      <x:c r="Q2122" s="9" t="n">
        <x:v>0.0350089767</x:v>
      </x:c>
      <x:c r="R2122" s="3" t="b">
        <x:v>0</x:v>
      </x:c>
      <x:c r="S2122" s="3" t="b">
        <x:v>1</x:v>
      </x:c>
      <x:c r="T2122" s="3" t="b">
        <x:v>0</x:v>
      </x:c>
      <x:c r="U2122" s="2" t="str">
        <x:f>IF(T2122=TRUE,"Priority review",IF(R2122=TRUE,"High cost",IF(S2122=TRUE,"Low quality","Benchmark")))</x:f>
        <x:v>Low quality</x:v>
      </x:c>
    </x:row>
    <x:row r="2123">
      <x:c r="A2123" s="2" t="str">
        <x:v>150010</x:v>
      </x:c>
      <x:c r="B2123" s="2" t="str">
        <x:v>ASCENSION ST VINCENT KOKOMO</x:v>
      </x:c>
      <x:c r="C2123" s="2" t="str">
        <x:v>KOKOMO</x:v>
      </x:c>
      <x:c r="D2123" s="2" t="str">
        <x:v>IN</x:v>
      </x:c>
      <x:c r="E2123" s="2" t="str">
        <x:v>Acute Care Hospitals</x:v>
      </x:c>
      <x:c r="F2123" s="2" t="str">
        <x:v>Voluntary non-profit</x:v>
      </x:c>
      <x:c r="G2123" s="2" t="str">
        <x:v>Medium (100-299 beds)</x:v>
      </x:c>
      <x:c r="H2123" s="7" t="n">
        <x:v>4</x:v>
      </x:c>
      <x:c r="I2123" s="7" t="n">
        <x:v>3</x:v>
      </x:c>
      <x:c r="J2123" s="7" t="n">
        <x:v>0.96</x:v>
      </x:c>
      <x:c r="K2123" s="8" t="n">
        <x:v>111</x:v>
      </x:c>
      <x:c r="L2123" s="8" t="n">
        <x:v>4315</x:v>
      </x:c>
      <x:c r="M2123" s="9" t="n">
        <x:v>0.4248303098</x:v>
      </x:c>
      <x:c r="N2123" s="10" t="n">
        <x:v>36623.5809965238</x:v>
      </x:c>
      <x:c r="O2123" s="9" t="n">
        <x:v>0.007288932</x:v>
      </x:c>
      <x:c r="P2123" s="9" t="n">
        <x:v>0.5704971475</x:v>
      </x:c>
      <x:c r="Q2123" s="9" t="n">
        <x:v>0.6022819886</x:v>
      </x:c>
      <x:c r="R2123" s="3" t="b">
        <x:v>0</x:v>
      </x:c>
      <x:c r="S2123" s="3" t="b">
        <x:v>0</x:v>
      </x:c>
      <x:c r="T2123" s="3" t="b">
        <x:v>0</x:v>
      </x:c>
      <x:c r="U2123" s="2" t="str">
        <x:f>IF(T2123=TRUE,"Priority review",IF(R2123=TRUE,"High cost",IF(S2123=TRUE,"Low quality","Benchmark")))</x:f>
        <x:v>Benchmark</x:v>
      </x:c>
    </x:row>
    <x:row r="2124">
      <x:c r="A2124" s="2" t="str">
        <x:v>131309</x:v>
      </x:c>
      <x:c r="B2124" s="2" t="str">
        <x:v>CARIBOU MEDICAL CENTER</x:v>
      </x:c>
      <x:c r="C2124" s="2" t="str">
        <x:v>SODA SPRINGS</x:v>
      </x:c>
      <x:c r="D2124" s="2" t="str">
        <x:v>ID</x:v>
      </x:c>
      <x:c r="E2124" s="2" t="str">
        <x:v>Critical Access Hospitals</x:v>
      </x:c>
      <x:c r="F2124" s="2" t="str">
        <x:v>Government</x:v>
      </x:c>
      <x:c r="G2124" s="2" t="str">
        <x:v>Small (&lt;100 beds)</x:v>
      </x:c>
      <x:c r="H2124" s="7"/>
      <x:c r="I2124" s="7"/>
      <x:c r="J2124" s="7"/>
      <x:c r="K2124" s="8" t="n">
        <x:v>25</x:v>
      </x:c>
      <x:c r="L2124" s="8" t="n">
        <x:v>216</x:v>
      </x:c>
      <x:c r="M2124" s="9" t="n">
        <x:v>0.133989071</x:v>
      </x:c>
      <x:c r="N2124" s="10" t="n">
        <x:v>147284.1898148148</x:v>
      </x:c>
      <x:c r="O2124" s="9" t="n">
        <x:v>0.0372501573</x:v>
      </x:c>
      <x:c r="P2124" s="9" t="n">
        <x:v>0.570260223</x:v>
      </x:c>
      <x:c r="Q2124" s="9" t="n">
        <x:v>0.292936803</x:v>
      </x:c>
      <x:c r="R2124" s="3" t="b">
        <x:v>0</x:v>
      </x:c>
      <x:c r="S2124" s="3" t="b">
        <x:v>0</x:v>
      </x:c>
      <x:c r="T2124" s="3" t="b">
        <x:v>0</x:v>
      </x:c>
      <x:c r="U2124" s="2" t="str">
        <x:f>IF(T2124=TRUE,"Priority review",IF(R2124=TRUE,"High cost",IF(S2124=TRUE,"Low quality","Benchmark")))</x:f>
        <x:v>Benchmark</x:v>
      </x:c>
    </x:row>
    <x:row r="2125">
      <x:c r="A2125" s="2" t="str">
        <x:v>510030</x:v>
      </x:c>
      <x:c r="B2125" s="2" t="str">
        <x:v>DAVIS MEDICAL CENTER</x:v>
      </x:c>
      <x:c r="C2125" s="2" t="str">
        <x:v>ELKINS</x:v>
      </x:c>
      <x:c r="D2125" s="2" t="str">
        <x:v>WV</x:v>
      </x:c>
      <x:c r="E2125" s="2" t="str">
        <x:v>Acute Care Hospitals</x:v>
      </x:c>
      <x:c r="F2125" s="2" t="str">
        <x:v>Voluntary non-profit</x:v>
      </x:c>
      <x:c r="G2125" s="2" t="str">
        <x:v>Small (&lt;100 beds)</x:v>
      </x:c>
      <x:c r="H2125" s="7" t="n">
        <x:v>2</x:v>
      </x:c>
      <x:c r="I2125" s="7" t="n">
        <x:v>3</x:v>
      </x:c>
      <x:c r="J2125" s="7" t="n">
        <x:v>0.95</x:v>
      </x:c>
      <x:c r="K2125" s="8" t="n">
        <x:v>90</x:v>
      </x:c>
      <x:c r="L2125" s="8" t="n">
        <x:v>2388</x:v>
      </x:c>
      <x:c r="M2125" s="9" t="n">
        <x:v>0.2660291439</x:v>
      </x:c>
      <x:c r="N2125" s="10" t="n">
        <x:v>58517.4912060302</x:v>
      </x:c>
      <x:c r="O2125" s="9" t="n">
        <x:v>0.0143841052</x:v>
      </x:c>
      <x:c r="P2125" s="9" t="n">
        <x:v>0.5700179533</x:v>
      </x:c>
      <x:c r="Q2125" s="9" t="n">
        <x:v>0.0350089767</x:v>
      </x:c>
      <x:c r="R2125" s="3" t="b">
        <x:v>0</x:v>
      </x:c>
      <x:c r="S2125" s="3" t="b">
        <x:v>1</x:v>
      </x:c>
      <x:c r="T2125" s="3" t="b">
        <x:v>0</x:v>
      </x:c>
      <x:c r="U2125" s="2" t="str">
        <x:f>IF(T2125=TRUE,"Priority review",IF(R2125=TRUE,"High cost",IF(S2125=TRUE,"Low quality","Benchmark")))</x:f>
        <x:v>Low quality</x:v>
      </x:c>
    </x:row>
    <x:row r="2126">
      <x:c r="A2126" s="2" t="str">
        <x:v>380020</x:v>
      </x:c>
      <x:c r="B2126" s="2" t="str">
        <x:v>MCKENZIE-WILLAMETTE MEDICAL CENTER</x:v>
      </x:c>
      <x:c r="C2126" s="2" t="str">
        <x:v>SPRINGFIELD</x:v>
      </x:c>
      <x:c r="D2126" s="2" t="str">
        <x:v>OR</x:v>
      </x:c>
      <x:c r="E2126" s="2" t="str">
        <x:v>Acute Care Hospitals</x:v>
      </x:c>
      <x:c r="F2126" s="2" t="str">
        <x:v>Voluntary non-profit</x:v>
      </x:c>
      <x:c r="G2126" s="2" t="str">
        <x:v>Medium (100-299 beds)</x:v>
      </x:c>
      <x:c r="H2126" s="7" t="n">
        <x:v>4</x:v>
      </x:c>
      <x:c r="I2126" s="7" t="n">
        <x:v>4</x:v>
      </x:c>
      <x:c r="J2126" s="7" t="n">
        <x:v>0.85</x:v>
      </x:c>
      <x:c r="K2126" s="8" t="n">
        <x:v>113</x:v>
      </x:c>
      <x:c r="L2126" s="8" t="n">
        <x:v>7580</x:v>
      </x:c>
      <x:c r="M2126" s="9" t="n">
        <x:v>0.6975434015</x:v>
      </x:c>
      <x:c r="N2126" s="10" t="n">
        <x:v>36619.1102902375</x:v>
      </x:c>
      <x:c r="O2126" s="9" t="n">
        <x:v>-0.0158959082</x:v>
      </x:c>
      <x:c r="P2126" s="9" t="n">
        <x:v>0.5696821516</x:v>
      </x:c>
      <x:c r="Q2126" s="9" t="n">
        <x:v>0.6022819886</x:v>
      </x:c>
      <x:c r="R2126" s="3" t="b">
        <x:v>0</x:v>
      </x:c>
      <x:c r="S2126" s="3" t="b">
        <x:v>0</x:v>
      </x:c>
      <x:c r="T2126" s="3" t="b">
        <x:v>0</x:v>
      </x:c>
      <x:c r="U2126" s="2" t="str">
        <x:f>IF(T2126=TRUE,"Priority review",IF(R2126=TRUE,"High cost",IF(S2126=TRUE,"Low quality","Benchmark")))</x:f>
        <x:v>Benchmark</x:v>
      </x:c>
    </x:row>
    <x:row r="2127">
      <x:c r="A2127" s="2" t="str">
        <x:v>014016</x:v>
      </x:c>
      <x:c r="B2127" s="2" t="str">
        <x:v>SANCTUARY AT THE WOODLANDS, THE</x:v>
      </x:c>
      <x:c r="C2127" s="2" t="str">
        <x:v>CULLMAN</x:v>
      </x:c>
      <x:c r="D2127" s="2" t="str">
        <x:v>AL</x:v>
      </x:c>
      <x:c r="E2127" s="2" t="str">
        <x:v>Psychiatric</x:v>
      </x:c>
      <x:c r="F2127" s="2" t="str">
        <x:v>Proprietary</x:v>
      </x:c>
      <x:c r="G2127" s="2" t="str">
        <x:v>Small (&lt;100 beds)</x:v>
      </x:c>
      <x:c r="H2127" s="7"/>
      <x:c r="I2127" s="7"/>
      <x:c r="J2127" s="7"/>
      <x:c r="K2127" s="8" t="n">
        <x:v>40</x:v>
      </x:c>
      <x:c r="L2127" s="8" t="n">
        <x:v>463</x:v>
      </x:c>
      <x:c r="M2127" s="9" t="n">
        <x:v>0.7094262295</x:v>
      </x:c>
      <x:c r="N2127" s="10" t="n">
        <x:v>13953.7149028078</x:v>
      </x:c>
      <x:c r="O2127" s="9" t="n">
        <x:v>0.2505653904</x:v>
      </x:c>
      <x:c r="P2127" s="9" t="n">
        <x:v>0.569579288</x:v>
      </x:c>
      <x:c r="Q2127" s="9" t="n">
        <x:v>0</x:v>
      </x:c>
      <x:c r="R2127" s="3" t="b">
        <x:v>0</x:v>
      </x:c>
      <x:c r="S2127" s="3" t="b">
        <x:v>0</x:v>
      </x:c>
      <x:c r="T2127" s="3" t="b">
        <x:v>0</x:v>
      </x:c>
      <x:c r="U2127" s="2" t="str">
        <x:f>IF(T2127=TRUE,"Priority review",IF(R2127=TRUE,"High cost",IF(S2127=TRUE,"Low quality","Benchmark")))</x:f>
        <x:v>Benchmark</x:v>
      </x:c>
    </x:row>
    <x:row r="2128">
      <x:c r="A2128" s="2" t="str">
        <x:v>381317</x:v>
      </x:c>
      <x:c r="B2128" s="2" t="str">
        <x:v>ADVENTIST HEALTH TILLAMOOK</x:v>
      </x:c>
      <x:c r="C2128" s="2" t="str">
        <x:v>TILLAMOOK</x:v>
      </x:c>
      <x:c r="D2128" s="2" t="str">
        <x:v>OR</x:v>
      </x:c>
      <x:c r="E2128" s="2" t="str">
        <x:v>Critical Access Hospitals</x:v>
      </x:c>
      <x:c r="F2128" s="2" t="str">
        <x:v>Voluntary non-profit</x:v>
      </x:c>
      <x:c r="G2128" s="2" t="str">
        <x:v>Small (&lt;100 beds)</x:v>
      </x:c>
      <x:c r="H2128" s="7" t="n">
        <x:v>4</x:v>
      </x:c>
      <x:c r="I2128" s="7" t="n">
        <x:v>4</x:v>
      </x:c>
      <x:c r="J2128" s="7"/>
      <x:c r="K2128" s="8" t="n">
        <x:v>25</x:v>
      </x:c>
      <x:c r="L2128" s="8" t="n">
        <x:v>831</x:v>
      </x:c>
      <x:c r="M2128" s="9" t="n">
        <x:v>0.392568306</x:v>
      </x:c>
      <x:c r="N2128" s="10" t="n">
        <x:v>146994.963898917</x:v>
      </x:c>
      <x:c r="O2128" s="9" t="n">
        <x:v>-0.0088742132</x:v>
      </x:c>
      <x:c r="P2128" s="9" t="n">
        <x:v>0.5695167286</x:v>
      </x:c>
      <x:c r="Q2128" s="9" t="n">
        <x:v>0.1657992565</x:v>
      </x:c>
      <x:c r="R2128" s="3" t="b">
        <x:v>0</x:v>
      </x:c>
      <x:c r="S2128" s="3" t="b">
        <x:v>0</x:v>
      </x:c>
      <x:c r="T2128" s="3" t="b">
        <x:v>0</x:v>
      </x:c>
      <x:c r="U2128" s="2" t="str">
        <x:f>IF(T2128=TRUE,"Priority review",IF(R2128=TRUE,"High cost",IF(S2128=TRUE,"Low quality","Benchmark")))</x:f>
        <x:v>Benchmark</x:v>
      </x:c>
    </x:row>
    <x:row r="2129">
      <x:c r="A2129" s="2" t="str">
        <x:v>110029</x:v>
      </x:c>
      <x:c r="B2129" s="2" t="str">
        <x:v>NORTHEAST GEORGIA MEDICAL CENTER, INC</x:v>
      </x:c>
      <x:c r="C2129" s="2" t="str">
        <x:v>GAINESVILLE</x:v>
      </x:c>
      <x:c r="D2129" s="2" t="str">
        <x:v>GA</x:v>
      </x:c>
      <x:c r="E2129" s="2" t="str">
        <x:v>Acute Care Hospitals</x:v>
      </x:c>
      <x:c r="F2129" s="2" t="str">
        <x:v>Government</x:v>
      </x:c>
      <x:c r="G2129" s="2" t="str">
        <x:v>Large (300+ beds)</x:v>
      </x:c>
      <x:c r="H2129" s="7" t="n">
        <x:v>3</x:v>
      </x:c>
      <x:c r="I2129" s="7" t="n">
        <x:v>3</x:v>
      </x:c>
      <x:c r="J2129" s="7" t="n">
        <x:v>0.96</x:v>
      </x:c>
      <x:c r="K2129" s="8" t="n">
        <x:v>715</x:v>
      </x:c>
      <x:c r="L2129" s="8" t="n">
        <x:v>38709</x:v>
      </x:c>
      <x:c r="M2129" s="9" t="n">
        <x:v>0.8900416523</x:v>
      </x:c>
      <x:c r="N2129" s="10" t="n">
        <x:v>41950.3139579943</x:v>
      </x:c>
      <x:c r="O2129" s="9" t="n">
        <x:v>0.1004859275</x:v>
      </x:c>
      <x:c r="P2129" s="9" t="n">
        <x:v>0.5694006309</x:v>
      </x:c>
      <x:c r="Q2129" s="9" t="n">
        <x:v>0.2570977918</x:v>
      </x:c>
      <x:c r="R2129" s="3" t="b">
        <x:v>0</x:v>
      </x:c>
      <x:c r="S2129" s="3" t="b">
        <x:v>0</x:v>
      </x:c>
      <x:c r="T2129" s="3" t="b">
        <x:v>0</x:v>
      </x:c>
      <x:c r="U2129" s="2" t="str">
        <x:f>IF(T2129=TRUE,"Priority review",IF(R2129=TRUE,"High cost",IF(S2129=TRUE,"Low quality","Benchmark")))</x:f>
        <x:v>Benchmark</x:v>
      </x:c>
    </x:row>
    <x:row r="2130">
      <x:c r="A2130" s="2" t="str">
        <x:v>360058</x:v>
      </x:c>
      <x:c r="B2130" s="2" t="str">
        <x:v>MERCER COUNTY JOINT TOWNSHIP COMMUNITY HOSPITAL</x:v>
      </x:c>
      <x:c r="C2130" s="2" t="str">
        <x:v>COLDWATER</x:v>
      </x:c>
      <x:c r="D2130" s="2" t="str">
        <x:v>OH</x:v>
      </x:c>
      <x:c r="E2130" s="2" t="str">
        <x:v>Acute Care Hospitals</x:v>
      </x:c>
      <x:c r="F2130" s="2" t="str">
        <x:v>Government</x:v>
      </x:c>
      <x:c r="G2130" s="2" t="str">
        <x:v>Small (&lt;100 beds)</x:v>
      </x:c>
      <x:c r="H2130" s="7" t="n">
        <x:v>3</x:v>
      </x:c>
      <x:c r="I2130" s="7" t="n">
        <x:v>4</x:v>
      </x:c>
      <x:c r="J2130" s="7" t="n">
        <x:v>0.93</x:v>
      </x:c>
      <x:c r="K2130" s="8" t="n">
        <x:v>88</x:v>
      </x:c>
      <x:c r="L2130" s="8" t="n">
        <x:v>1677</x:v>
      </x:c>
      <x:c r="M2130" s="9" t="n">
        <x:v>0.1639476961</x:v>
      </x:c>
      <x:c r="N2130" s="10" t="n">
        <x:v>58513.3172331544</x:v>
      </x:c>
      <x:c r="O2130" s="9" t="n">
        <x:v>-0.025253103</x:v>
      </x:c>
      <x:c r="P2130" s="9" t="n">
        <x:v>0.5691202873</x:v>
      </x:c>
      <x:c r="Q2130" s="9" t="n">
        <x:v>0.1687612208</x:v>
      </x:c>
      <x:c r="R2130" s="3" t="b">
        <x:v>0</x:v>
      </x:c>
      <x:c r="S2130" s="3" t="b">
        <x:v>0</x:v>
      </x:c>
      <x:c r="T2130" s="3" t="b">
        <x:v>0</x:v>
      </x:c>
      <x:c r="U2130" s="2" t="str">
        <x:f>IF(T2130=TRUE,"Priority review",IF(R2130=TRUE,"High cost",IF(S2130=TRUE,"Low quality","Benchmark")))</x:f>
        <x:v>Benchmark</x:v>
      </x:c>
    </x:row>
    <x:row r="2131">
      <x:c r="A2131" s="2" t="str">
        <x:v>180080</x:v>
      </x:c>
      <x:c r="B2131" s="2" t="str">
        <x:v>BAPTIST HEALTH CORBIN</x:v>
      </x:c>
      <x:c r="C2131" s="2" t="str">
        <x:v>CORBIN</x:v>
      </x:c>
      <x:c r="D2131" s="2" t="str">
        <x:v>KY</x:v>
      </x:c>
      <x:c r="E2131" s="2" t="str">
        <x:v>Acute Care Hospitals</x:v>
      </x:c>
      <x:c r="F2131" s="2" t="str">
        <x:v>Voluntary non-profit</x:v>
      </x:c>
      <x:c r="G2131" s="2" t="str">
        <x:v>Medium (100-299 beds)</x:v>
      </x:c>
      <x:c r="H2131" s="7" t="n">
        <x:v>3</x:v>
      </x:c>
      <x:c r="I2131" s="7" t="n">
        <x:v>4</x:v>
      </x:c>
      <x:c r="J2131" s="7" t="n">
        <x:v>1</x:v>
      </x:c>
      <x:c r="K2131" s="8" t="n">
        <x:v>205</x:v>
      </x:c>
      <x:c r="L2131" s="8" t="n">
        <x:v>8591</x:v>
      </x:c>
      <x:c r="M2131" s="9" t="n">
        <x:v>0.5565653191</x:v>
      </x:c>
      <x:c r="N2131" s="10" t="n">
        <x:v>36572.0335234548</x:v>
      </x:c>
      <x:c r="O2131" s="9" t="n">
        <x:v>0.0573832555</x:v>
      </x:c>
      <x:c r="P2131" s="9" t="n">
        <x:v>0.5688671557</x:v>
      </x:c>
      <x:c r="Q2131" s="9" t="n">
        <x:v>0.3023634882</x:v>
      </x:c>
      <x:c r="R2131" s="3" t="b">
        <x:v>0</x:v>
      </x:c>
      <x:c r="S2131" s="3" t="b">
        <x:v>0</x:v>
      </x:c>
      <x:c r="T2131" s="3" t="b">
        <x:v>0</x:v>
      </x:c>
      <x:c r="U2131" s="2" t="str">
        <x:f>IF(T2131=TRUE,"Priority review",IF(R2131=TRUE,"High cost",IF(S2131=TRUE,"Low quality","Benchmark")))</x:f>
        <x:v>Benchmark</x:v>
      </x:c>
    </x:row>
    <x:row r="2132">
      <x:c r="A2132" s="2" t="str">
        <x:v>531312</x:v>
      </x:c>
      <x:c r="B2132" s="2" t="str">
        <x:v>CODY REGIONAL HEALTH</x:v>
      </x:c>
      <x:c r="C2132" s="2" t="str">
        <x:v>CODY</x:v>
      </x:c>
      <x:c r="D2132" s="2" t="str">
        <x:v>WY</x:v>
      </x:c>
      <x:c r="E2132" s="2" t="str">
        <x:v>Critical Access Hospitals</x:v>
      </x:c>
      <x:c r="F2132" s="2" t="str">
        <x:v>Government</x:v>
      </x:c>
      <x:c r="G2132" s="2" t="str">
        <x:v>Small (&lt;100 beds)</x:v>
      </x:c>
      <x:c r="H2132" s="7" t="n">
        <x:v>3</x:v>
      </x:c>
      <x:c r="I2132" s="7" t="n">
        <x:v>3</x:v>
      </x:c>
      <x:c r="J2132" s="7"/>
      <x:c r="K2132" s="8" t="n">
        <x:v>25</x:v>
      </x:c>
      <x:c r="L2132" s="8" t="n">
        <x:v>905</x:v>
      </x:c>
      <x:c r="M2132" s="9" t="n">
        <x:v>0.4676164384</x:v>
      </x:c>
      <x:c r="N2132" s="10" t="n">
        <x:v>146784.7524861878</x:v>
      </x:c>
      <x:c r="O2132" s="9" t="n">
        <x:v>-0.0217387198</x:v>
      </x:c>
      <x:c r="P2132" s="9" t="n">
        <x:v>0.5687732342</x:v>
      </x:c>
      <x:c r="Q2132" s="9" t="n">
        <x:v>0.0765799257</x:v>
      </x:c>
      <x:c r="R2132" s="3" t="b">
        <x:v>0</x:v>
      </x:c>
      <x:c r="S2132" s="3" t="b">
        <x:v>1</x:v>
      </x:c>
      <x:c r="T2132" s="3" t="b">
        <x:v>0</x:v>
      </x:c>
      <x:c r="U2132" s="2" t="str">
        <x:f>IF(T2132=TRUE,"Priority review",IF(R2132=TRUE,"High cost",IF(S2132=TRUE,"Low quality","Benchmark")))</x:f>
        <x:v>Low quality</x:v>
      </x:c>
    </x:row>
    <x:row r="2133">
      <x:c r="A2133" s="2" t="str">
        <x:v>520041</x:v>
      </x:c>
      <x:c r="B2133" s="2" t="str">
        <x:v>ASPIRUS DIVINE SAVIOR HOSPITAL</x:v>
      </x:c>
      <x:c r="C2133" s="2" t="str">
        <x:v>PORTAGE</x:v>
      </x:c>
      <x:c r="D2133" s="2" t="str">
        <x:v>WI</x:v>
      </x:c>
      <x:c r="E2133" s="2" t="str">
        <x:v>Acute Care Hospitals</x:v>
      </x:c>
      <x:c r="F2133" s="2" t="str">
        <x:v>Voluntary non-profit</x:v>
      </x:c>
      <x:c r="G2133" s="2" t="str">
        <x:v>Small (&lt;100 beds)</x:v>
      </x:c>
      <x:c r="H2133" s="7" t="n">
        <x:v>3</x:v>
      </x:c>
      <x:c r="I2133" s="7" t="n">
        <x:v>3</x:v>
      </x:c>
      <x:c r="J2133" s="7" t="n">
        <x:v>0.81</x:v>
      </x:c>
      <x:c r="K2133" s="8" t="n">
        <x:v>42</x:v>
      </x:c>
      <x:c r="L2133" s="8" t="n">
        <x:v>1391</x:v>
      </x:c>
      <x:c r="M2133" s="9" t="n">
        <x:v>0.3191780822</x:v>
      </x:c>
      <x:c r="N2133" s="10" t="n">
        <x:v>58418.7785765636</x:v>
      </x:c>
      <x:c r="O2133" s="9" t="n">
        <x:v>-0.1551634744</x:v>
      </x:c>
      <x:c r="P2133" s="9" t="n">
        <x:v>0.5682226212</x:v>
      </x:c>
      <x:c r="Q2133" s="9" t="n">
        <x:v>0.1687612208</x:v>
      </x:c>
      <x:c r="R2133" s="3" t="b">
        <x:v>0</x:v>
      </x:c>
      <x:c r="S2133" s="3" t="b">
        <x:v>0</x:v>
      </x:c>
      <x:c r="T2133" s="3" t="b">
        <x:v>0</x:v>
      </x:c>
      <x:c r="U2133" s="2" t="str">
        <x:f>IF(T2133=TRUE,"Priority review",IF(R2133=TRUE,"High cost",IF(S2133=TRUE,"Low quality","Benchmark")))</x:f>
        <x:v>Benchmark</x:v>
      </x:c>
    </x:row>
    <x:row r="2134">
      <x:c r="A2134" s="2" t="str">
        <x:v>220020</x:v>
      </x:c>
      <x:c r="B2134" s="2" t="str">
        <x:v>SAINT ANNE'S HOSPITAL</x:v>
      </x:c>
      <x:c r="C2134" s="2" t="str">
        <x:v>FALL RIVER</x:v>
      </x:c>
      <x:c r="D2134" s="2" t="str">
        <x:v>MA</x:v>
      </x:c>
      <x:c r="E2134" s="2" t="str">
        <x:v>Acute Care Hospitals</x:v>
      </x:c>
      <x:c r="F2134" s="2" t="str">
        <x:v>Proprietary</x:v>
      </x:c>
      <x:c r="G2134" s="2" t="str">
        <x:v>Medium (100-299 beds)</x:v>
      </x:c>
      <x:c r="H2134" s="7" t="n">
        <x:v>3</x:v>
      </x:c>
      <x:c r="I2134" s="7" t="n">
        <x:v>4</x:v>
      </x:c>
      <x:c r="J2134" s="7" t="n">
        <x:v>0.98</x:v>
      </x:c>
      <x:c r="K2134" s="8" t="n">
        <x:v>154</x:v>
      </x:c>
      <x:c r="L2134" s="8" t="n">
        <x:v>6552</x:v>
      </x:c>
      <x:c r="M2134" s="9" t="n">
        <x:v>0.6905867855</x:v>
      </x:c>
      <x:c r="N2134" s="10" t="n">
        <x:v>36547.7844932845</x:v>
      </x:c>
      <x:c r="O2134" s="9" t="n">
        <x:v>-0.0898746899</x:v>
      </x:c>
      <x:c r="P2134" s="9" t="n">
        <x:v>0.5680521597</x:v>
      </x:c>
      <x:c r="Q2134" s="9" t="n">
        <x:v>0.3023634882</x:v>
      </x:c>
      <x:c r="R2134" s="3" t="b">
        <x:v>0</x:v>
      </x:c>
      <x:c r="S2134" s="3" t="b">
        <x:v>0</x:v>
      </x:c>
      <x:c r="T2134" s="3" t="b">
        <x:v>0</x:v>
      </x:c>
      <x:c r="U2134" s="2" t="str">
        <x:f>IF(T2134=TRUE,"Priority review",IF(R2134=TRUE,"High cost",IF(S2134=TRUE,"Low quality","Benchmark")))</x:f>
        <x:v>Benchmark</x:v>
      </x:c>
    </x:row>
    <x:row r="2135">
      <x:c r="A2135" s="2" t="str">
        <x:v>261312</x:v>
      </x:c>
      <x:c r="B2135" s="2" t="str">
        <x:v>HARRISON COUNTY COMMUNITY HOSPITAL</x:v>
      </x:c>
      <x:c r="C2135" s="2" t="str">
        <x:v>BETHANY</x:v>
      </x:c>
      <x:c r="D2135" s="2" t="str">
        <x:v>MO</x:v>
      </x:c>
      <x:c r="E2135" s="2" t="str">
        <x:v>Critical Access Hospitals</x:v>
      </x:c>
      <x:c r="F2135" s="2" t="str">
        <x:v>Government</x:v>
      </x:c>
      <x:c r="G2135" s="2" t="str">
        <x:v>Small (&lt;100 beds)</x:v>
      </x:c>
      <x:c r="H2135" s="7" t="n">
        <x:v>3</x:v>
      </x:c>
      <x:c r="I2135" s="7"/>
      <x:c r="J2135" s="7"/>
      <x:c r="K2135" s="8" t="n">
        <x:v>15</x:v>
      </x:c>
      <x:c r="L2135" s="8" t="n">
        <x:v>246</x:v>
      </x:c>
      <x:c r="M2135" s="9" t="n">
        <x:v>0.3647488584</x:v>
      </x:c>
      <x:c r="N2135" s="10" t="n">
        <x:v>146536.8861788618</x:v>
      </x:c>
      <x:c r="O2135" s="9" t="n">
        <x:v>-0.1136127323</x:v>
      </x:c>
      <x:c r="P2135" s="9" t="n">
        <x:v>0.5680297398</x:v>
      </x:c>
      <x:c r="Q2135" s="9" t="n">
        <x:v>0.0765799257</x:v>
      </x:c>
      <x:c r="R2135" s="3" t="b">
        <x:v>0</x:v>
      </x:c>
      <x:c r="S2135" s="3" t="b">
        <x:v>1</x:v>
      </x:c>
      <x:c r="T2135" s="3" t="b">
        <x:v>0</x:v>
      </x:c>
      <x:c r="U2135" s="2" t="str">
        <x:f>IF(T2135=TRUE,"Priority review",IF(R2135=TRUE,"High cost",IF(S2135=TRUE,"Low quality","Benchmark")))</x:f>
        <x:v>Low quality</x:v>
      </x:c>
    </x:row>
    <x:row r="2136">
      <x:c r="A2136" s="2" t="str">
        <x:v>450686</x:v>
      </x:c>
      <x:c r="B2136" s="2" t="str">
        <x:v>UNIVERSITY MEDICAL CENTER</x:v>
      </x:c>
      <x:c r="C2136" s="2" t="str">
        <x:v>LUBBOCK</x:v>
      </x:c>
      <x:c r="D2136" s="2" t="str">
        <x:v>TX</x:v>
      </x:c>
      <x:c r="E2136" s="2" t="str">
        <x:v>Acute Care Hospitals</x:v>
      </x:c>
      <x:c r="F2136" s="2" t="str">
        <x:v>Government</x:v>
      </x:c>
      <x:c r="G2136" s="2" t="str">
        <x:v>Large (300+ beds)</x:v>
      </x:c>
      <x:c r="H2136" s="7" t="n">
        <x:v>2</x:v>
      </x:c>
      <x:c r="I2136" s="7" t="n">
        <x:v>3</x:v>
      </x:c>
      <x:c r="J2136" s="7" t="n">
        <x:v>1.16</x:v>
      </x:c>
      <x:c r="K2136" s="8" t="n">
        <x:v>422</x:v>
      </x:c>
      <x:c r="L2136" s="8" t="n">
        <x:v>24026</x:v>
      </x:c>
      <x:c r="M2136" s="9" t="n">
        <x:v>0.7057544896</x:v>
      </x:c>
      <x:c r="N2136" s="10" t="n">
        <x:v>41923.5848247732</x:v>
      </x:c>
      <x:c r="O2136" s="9" t="n">
        <x:v>-0.3411600344</x:v>
      </x:c>
      <x:c r="P2136" s="9" t="n">
        <x:v>0.5678233438</x:v>
      </x:c>
      <x:c r="Q2136" s="9" t="n">
        <x:v>0.0536277603</x:v>
      </x:c>
      <x:c r="R2136" s="3" t="b">
        <x:v>0</x:v>
      </x:c>
      <x:c r="S2136" s="3" t="b">
        <x:v>1</x:v>
      </x:c>
      <x:c r="T2136" s="3" t="b">
        <x:v>0</x:v>
      </x:c>
      <x:c r="U2136" s="2" t="str">
        <x:f>IF(T2136=TRUE,"Priority review",IF(R2136=TRUE,"High cost",IF(S2136=TRUE,"Low quality","Benchmark")))</x:f>
        <x:v>Low quality</x:v>
      </x:c>
    </x:row>
    <x:row r="2137">
      <x:c r="A2137" s="2" t="str">
        <x:v>180043</x:v>
      </x:c>
      <x:c r="B2137" s="2" t="str">
        <x:v>AdventHealthManchester</x:v>
      </x:c>
      <x:c r="C2137" s="2" t="str">
        <x:v>MANCHESTER</x:v>
      </x:c>
      <x:c r="D2137" s="2" t="str">
        <x:v>KY</x:v>
      </x:c>
      <x:c r="E2137" s="2" t="str">
        <x:v>Acute Care Hospitals</x:v>
      </x:c>
      <x:c r="F2137" s="2" t="str">
        <x:v>Voluntary non-profit</x:v>
      </x:c>
      <x:c r="G2137" s="2" t="str">
        <x:v>Small (&lt;100 beds)</x:v>
      </x:c>
      <x:c r="H2137" s="7" t="n">
        <x:v>3</x:v>
      </x:c>
      <x:c r="I2137" s="7" t="n">
        <x:v>4</x:v>
      </x:c>
      <x:c r="J2137" s="7" t="n">
        <x:v>0.97</x:v>
      </x:c>
      <x:c r="K2137" s="8" t="n">
        <x:v>49</x:v>
      </x:c>
      <x:c r="L2137" s="8" t="n">
        <x:v>1548</x:v>
      </x:c>
      <x:c r="M2137" s="9" t="n">
        <x:v>0.3692985391</x:v>
      </x:c>
      <x:c r="N2137" s="10" t="n">
        <x:v>58392.3178294574</x:v>
      </x:c>
      <x:c r="O2137" s="9" t="n">
        <x:v>0.0110576574</x:v>
      </x:c>
      <x:c r="P2137" s="9" t="n">
        <x:v>0.5673249551</x:v>
      </x:c>
      <x:c r="Q2137" s="9" t="n">
        <x:v>0.1687612208</x:v>
      </x:c>
      <x:c r="R2137" s="3" t="b">
        <x:v>0</x:v>
      </x:c>
      <x:c r="S2137" s="3" t="b">
        <x:v>0</x:v>
      </x:c>
      <x:c r="T2137" s="3" t="b">
        <x:v>0</x:v>
      </x:c>
      <x:c r="U2137" s="2" t="str">
        <x:f>IF(T2137=TRUE,"Priority review",IF(R2137=TRUE,"High cost",IF(S2137=TRUE,"Low quality","Benchmark")))</x:f>
        <x:v>Benchmark</x:v>
      </x:c>
    </x:row>
    <x:row r="2138">
      <x:c r="A2138" s="2" t="str">
        <x:v>331303</x:v>
      </x:c>
      <x:c r="B2138" s="2" t="str">
        <x:v>GARNET HEALTH MEDICAL CENTER CATSKILLS</x:v>
      </x:c>
      <x:c r="C2138" s="2" t="str">
        <x:v>CALLICOON</x:v>
      </x:c>
      <x:c r="D2138" s="2" t="str">
        <x:v>NY</x:v>
      </x:c>
      <x:c r="E2138" s="2" t="str">
        <x:v>Critical Access Hospitals</x:v>
      </x:c>
      <x:c r="F2138" s="2" t="str">
        <x:v>Voluntary non-profit</x:v>
      </x:c>
      <x:c r="G2138" s="2" t="str">
        <x:v>Small (&lt;100 beds)</x:v>
      </x:c>
      <x:c r="H2138" s="7"/>
      <x:c r="I2138" s="7"/>
      <x:c r="J2138" s="7"/>
      <x:c r="K2138" s="8" t="n">
        <x:v>15</x:v>
      </x:c>
      <x:c r="L2138" s="8" t="n">
        <x:v>38</x:v>
      </x:c>
      <x:c r="M2138" s="9" t="n">
        <x:v>0.2548269581</x:v>
      </x:c>
      <x:c r="N2138" s="10" t="n">
        <x:v>146224.5789473684</x:v>
      </x:c>
      <x:c r="O2138" s="9" t="n">
        <x:v>0.5865591665</x:v>
      </x:c>
      <x:c r="P2138" s="9" t="n">
        <x:v>0.5672862454</x:v>
      </x:c>
      <x:c r="Q2138" s="9" t="n">
        <x:v>0.292936803</x:v>
      </x:c>
      <x:c r="R2138" s="3" t="b">
        <x:v>0</x:v>
      </x:c>
      <x:c r="S2138" s="3" t="b">
        <x:v>0</x:v>
      </x:c>
      <x:c r="T2138" s="3" t="b">
        <x:v>0</x:v>
      </x:c>
      <x:c r="U2138" s="2" t="str">
        <x:f>IF(T2138=TRUE,"Priority review",IF(R2138=TRUE,"High cost",IF(S2138=TRUE,"Low quality","Benchmark")))</x:f>
        <x:v>Benchmark</x:v>
      </x:c>
    </x:row>
    <x:row r="2139">
      <x:c r="A2139" s="2" t="str">
        <x:v>230104</x:v>
      </x:c>
      <x:c r="B2139" s="2" t="str">
        <x:v>HARPER UNIVERSITY HOSPITAL</x:v>
      </x:c>
      <x:c r="C2139" s="2" t="str">
        <x:v>DETROIT</x:v>
      </x:c>
      <x:c r="D2139" s="2" t="str">
        <x:v>MI</x:v>
      </x:c>
      <x:c r="E2139" s="2" t="str">
        <x:v>Acute Care Hospitals</x:v>
      </x:c>
      <x:c r="F2139" s="2" t="str">
        <x:v>Proprietary</x:v>
      </x:c>
      <x:c r="G2139" s="2" t="str">
        <x:v>Medium (100-299 beds)</x:v>
      </x:c>
      <x:c r="H2139" s="7" t="n">
        <x:v>1</x:v>
      </x:c>
      <x:c r="I2139" s="7" t="n">
        <x:v>1</x:v>
      </x:c>
      <x:c r="J2139" s="7" t="n">
        <x:v>0.95</x:v>
      </x:c>
      <x:c r="K2139" s="8" t="n">
        <x:v>251</x:v>
      </x:c>
      <x:c r="L2139" s="8" t="n">
        <x:v>12103</x:v>
      </x:c>
      <x:c r="M2139" s="9" t="n">
        <x:v>0.7186353991</x:v>
      </x:c>
      <x:c r="N2139" s="10" t="n">
        <x:v>36544.0785755598</x:v>
      </x:c>
      <x:c r="O2139" s="9" t="n">
        <x:v>0.0113408249</x:v>
      </x:c>
      <x:c r="P2139" s="9" t="n">
        <x:v>0.5672371638</x:v>
      </x:c>
      <x:c r="Q2139" s="9" t="n">
        <x:v>0</x:v>
      </x:c>
      <x:c r="R2139" s="3" t="b">
        <x:v>0</x:v>
      </x:c>
      <x:c r="S2139" s="3" t="b">
        <x:v>1</x:v>
      </x:c>
      <x:c r="T2139" s="3" t="b">
        <x:v>0</x:v>
      </x:c>
      <x:c r="U2139" s="2" t="str">
        <x:f>IF(T2139=TRUE,"Priority review",IF(R2139=TRUE,"High cost",IF(S2139=TRUE,"Low quality","Benchmark")))</x:f>
        <x:v>Low quality</x:v>
      </x:c>
    </x:row>
    <x:row r="2140">
      <x:c r="A2140" s="2" t="str">
        <x:v>394027</x:v>
      </x:c>
      <x:c r="B2140" s="2" t="str">
        <x:v>FAIRMOUNT BEHAVIORAL HEALTH SYSTEM</x:v>
      </x:c>
      <x:c r="C2140" s="2" t="str">
        <x:v>PHILADELPHIA</x:v>
      </x:c>
      <x:c r="D2140" s="2" t="str">
        <x:v>PA</x:v>
      </x:c>
      <x:c r="E2140" s="2" t="str">
        <x:v>Psychiatric</x:v>
      </x:c>
      <x:c r="F2140" s="2" t="str">
        <x:v>Proprietary</x:v>
      </x:c>
      <x:c r="G2140" s="2" t="str">
        <x:v>Medium (100-299 beds)</x:v>
      </x:c>
      <x:c r="H2140" s="7"/>
      <x:c r="I2140" s="7"/>
      <x:c r="J2140" s="7"/>
      <x:c r="K2140" s="8" t="n">
        <x:v>169</x:v>
      </x:c>
      <x:c r="L2140" s="8" t="n">
        <x:v>3476</x:v>
      </x:c>
      <x:c r="M2140" s="9" t="n">
        <x:v>0.8439653076</x:v>
      </x:c>
      <x:c r="N2140" s="10" t="n">
        <x:v>14260.4053509781</x:v>
      </x:c>
      <x:c r="O2140" s="9" t="n">
        <x:v>-0.1100136713</x:v>
      </x:c>
      <x:c r="P2140" s="9" t="n">
        <x:v>0.5671641791</x:v>
      </x:c>
      <x:c r="Q2140" s="9" t="n">
        <x:v>0</x:v>
      </x:c>
      <x:c r="R2140" s="3" t="b">
        <x:v>0</x:v>
      </x:c>
      <x:c r="S2140" s="3" t="b">
        <x:v>0</x:v>
      </x:c>
      <x:c r="T2140" s="3" t="b">
        <x:v>0</x:v>
      </x:c>
      <x:c r="U2140" s="2" t="str">
        <x:f>IF(T2140=TRUE,"Priority review",IF(R2140=TRUE,"High cost",IF(S2140=TRUE,"Low quality","Benchmark")))</x:f>
        <x:v>Benchmark</x:v>
      </x:c>
    </x:row>
    <x:row r="2141">
      <x:c r="A2141" s="2" t="str">
        <x:v>181308</x:v>
      </x:c>
      <x:c r="B2141" s="2" t="str">
        <x:v>BLUEGRASS COMMUNITY HOSPITAL</x:v>
      </x:c>
      <x:c r="C2141" s="2" t="str">
        <x:v>VERSAILLES</x:v>
      </x:c>
      <x:c r="D2141" s="2" t="str">
        <x:v>KY</x:v>
      </x:c>
      <x:c r="E2141" s="2" t="str">
        <x:v>Critical Access Hospitals</x:v>
      </x:c>
      <x:c r="F2141" s="2" t="str">
        <x:v>Proprietary</x:v>
      </x:c>
      <x:c r="G2141" s="2" t="str">
        <x:v>Small (&lt;100 beds)</x:v>
      </x:c>
      <x:c r="H2141" s="7"/>
      <x:c r="I2141" s="7"/>
      <x:c r="J2141" s="7"/>
      <x:c r="K2141" s="8" t="n">
        <x:v>25</x:v>
      </x:c>
      <x:c r="L2141" s="8" t="n">
        <x:v>186</x:v>
      </x:c>
      <x:c r="M2141" s="9" t="n">
        <x:v>0.4172054795</x:v>
      </x:c>
      <x:c r="N2141" s="10" t="n">
        <x:v>146211.0967741935</x:v>
      </x:c>
      <x:c r="O2141" s="9" t="n">
        <x:v>0.0993405627</x:v>
      </x:c>
      <x:c r="P2141" s="9" t="n">
        <x:v>0.5665427509</x:v>
      </x:c>
      <x:c r="Q2141" s="9" t="n">
        <x:v>0.292936803</x:v>
      </x:c>
      <x:c r="R2141" s="3" t="b">
        <x:v>0</x:v>
      </x:c>
      <x:c r="S2141" s="3" t="b">
        <x:v>0</x:v>
      </x:c>
      <x:c r="T2141" s="3" t="b">
        <x:v>0</x:v>
      </x:c>
      <x:c r="U2141" s="2" t="str">
        <x:f>IF(T2141=TRUE,"Priority review",IF(R2141=TRUE,"High cost",IF(S2141=TRUE,"Low quality","Benchmark")))</x:f>
        <x:v>Benchmark</x:v>
      </x:c>
    </x:row>
    <x:row r="2142">
      <x:c r="A2142" s="2" t="str">
        <x:v>330229</x:v>
      </x:c>
      <x:c r="B2142" s="2" t="str">
        <x:v>BROOKS-TLC HOSPITAL SYSTEM, INC</x:v>
      </x:c>
      <x:c r="C2142" s="2" t="str">
        <x:v>DUNKIRK</x:v>
      </x:c>
      <x:c r="D2142" s="2" t="str">
        <x:v>NY</x:v>
      </x:c>
      <x:c r="E2142" s="2" t="str">
        <x:v>Acute Care Hospitals</x:v>
      </x:c>
      <x:c r="F2142" s="2" t="str">
        <x:v>Voluntary non-profit</x:v>
      </x:c>
      <x:c r="G2142" s="2" t="str">
        <x:v>Small (&lt;100 beds)</x:v>
      </x:c>
      <x:c r="H2142" s="7" t="n">
        <x:v>1</x:v>
      </x:c>
      <x:c r="I2142" s="7" t="n">
        <x:v>4</x:v>
      </x:c>
      <x:c r="J2142" s="7" t="n">
        <x:v>0.98</x:v>
      </x:c>
      <x:c r="K2142" s="8" t="n">
        <x:v>65</x:v>
      </x:c>
      <x:c r="L2142" s="8" t="n">
        <x:v>1107</x:v>
      </x:c>
      <x:c r="M2142" s="9" t="n">
        <x:v>0.1881883144</x:v>
      </x:c>
      <x:c r="N2142" s="10" t="n">
        <x:v>58379.9674796748</x:v>
      </x:c>
      <x:c r="O2142" s="9" t="n">
        <x:v>-0.3787775823</x:v>
      </x:c>
      <x:c r="P2142" s="9" t="n">
        <x:v>0.566427289</x:v>
      </x:c>
      <x:c r="Q2142" s="9" t="n">
        <x:v>0</x:v>
      </x:c>
      <x:c r="R2142" s="3" t="b">
        <x:v>0</x:v>
      </x:c>
      <x:c r="S2142" s="3" t="b">
        <x:v>1</x:v>
      </x:c>
      <x:c r="T2142" s="3" t="b">
        <x:v>0</x:v>
      </x:c>
      <x:c r="U2142" s="2" t="str">
        <x:f>IF(T2142=TRUE,"Priority review",IF(R2142=TRUE,"High cost",IF(S2142=TRUE,"Low quality","Benchmark")))</x:f>
        <x:v>Low quality</x:v>
      </x:c>
    </x:row>
    <x:row r="2143">
      <x:c r="A2143" s="2" t="str">
        <x:v>050236</x:v>
      </x:c>
      <x:c r="B2143" s="2" t="str">
        <x:v>ADVENTIST HEALTH SIMI VALLEY</x:v>
      </x:c>
      <x:c r="C2143" s="2" t="str">
        <x:v>SIMI VALLEY</x:v>
      </x:c>
      <x:c r="D2143" s="2" t="str">
        <x:v>CA</x:v>
      </x:c>
      <x:c r="E2143" s="2" t="str">
        <x:v>Acute Care Hospitals</x:v>
      </x:c>
      <x:c r="F2143" s="2" t="str">
        <x:v>Voluntary non-profit</x:v>
      </x:c>
      <x:c r="G2143" s="2" t="str">
        <x:v>Medium (100-299 beds)</x:v>
      </x:c>
      <x:c r="H2143" s="7" t="n">
        <x:v>2</x:v>
      </x:c>
      <x:c r="I2143" s="7" t="n">
        <x:v>3</x:v>
      </x:c>
      <x:c r="J2143" s="7" t="n">
        <x:v>1</x:v>
      </x:c>
      <x:c r="K2143" s="8" t="n">
        <x:v>136</x:v>
      </x:c>
      <x:c r="L2143" s="8" t="n">
        <x:v>6673</x:v>
      </x:c>
      <x:c r="M2143" s="9" t="n">
        <x:v>0.5721062992</x:v>
      </x:c>
      <x:c r="N2143" s="10" t="n">
        <x:v>36498.2213397273</x:v>
      </x:c>
      <x:c r="O2143" s="9" t="n">
        <x:v>-0.1380830633</x:v>
      </x:c>
      <x:c r="P2143" s="9" t="n">
        <x:v>0.5664221679</x:v>
      </x:c>
      <x:c r="Q2143" s="9" t="n">
        <x:v>0.0782396088</x:v>
      </x:c>
      <x:c r="R2143" s="3" t="b">
        <x:v>0</x:v>
      </x:c>
      <x:c r="S2143" s="3" t="b">
        <x:v>1</x:v>
      </x:c>
      <x:c r="T2143" s="3" t="b">
        <x:v>0</x:v>
      </x:c>
      <x:c r="U2143" s="2" t="str">
        <x:f>IF(T2143=TRUE,"Priority review",IF(R2143=TRUE,"High cost",IF(S2143=TRUE,"Low quality","Benchmark")))</x:f>
        <x:v>Low quality</x:v>
      </x:c>
    </x:row>
    <x:row r="2144">
      <x:c r="A2144" s="2" t="str">
        <x:v>394059</x:v>
      </x:c>
      <x:c r="B2144" s="2" t="str">
        <x:v>GEISINGER BEHAVIORAL HEALTH CENTER NORTHEAST</x:v>
      </x:c>
      <x:c r="C2144" s="2" t="str">
        <x:v>MOOSIC</x:v>
      </x:c>
      <x:c r="D2144" s="2" t="str">
        <x:v>PA</x:v>
      </x:c>
      <x:c r="E2144" s="2" t="str">
        <x:v>Psychiatric</x:v>
      </x:c>
      <x:c r="F2144" s="2" t="str">
        <x:v>Proprietary</x:v>
      </x:c>
      <x:c r="G2144" s="2" t="str">
        <x:v>Small (&lt;100 beds)</x:v>
      </x:c>
      <x:c r="H2144" s="7"/>
      <x:c r="I2144" s="7"/>
      <x:c r="J2144" s="7"/>
      <x:c r="K2144" s="8" t="n">
        <x:v>96</x:v>
      </x:c>
      <x:c r="L2144" s="8" t="n">
        <x:v>2030</x:v>
      </x:c>
      <x:c r="M2144" s="9" t="n">
        <x:v>0.7225456621</x:v>
      </x:c>
      <x:c r="N2144" s="10" t="n">
        <x:v>13829.1960591133</x:v>
      </x:c>
      <x:c r="O2144" s="9" t="n">
        <x:v>-0.022020578</x:v>
      </x:c>
      <x:c r="P2144" s="9" t="n">
        <x:v>0.5663430421</x:v>
      </x:c>
      <x:c r="Q2144" s="9" t="n">
        <x:v>0</x:v>
      </x:c>
      <x:c r="R2144" s="3" t="b">
        <x:v>0</x:v>
      </x:c>
      <x:c r="S2144" s="3" t="b">
        <x:v>0</x:v>
      </x:c>
      <x:c r="T2144" s="3" t="b">
        <x:v>0</x:v>
      </x:c>
      <x:c r="U2144" s="2" t="str">
        <x:f>IF(T2144=TRUE,"Priority review",IF(R2144=TRUE,"High cost",IF(S2144=TRUE,"Low quality","Benchmark")))</x:f>
        <x:v>Benchmark</x:v>
      </x:c>
    </x:row>
    <x:row r="2145">
      <x:c r="A2145" s="2" t="str">
        <x:v>260027</x:v>
      </x:c>
      <x:c r="B2145" s="2" t="str">
        <x:v>RESEARCH MEDICAL CENTER</x:v>
      </x:c>
      <x:c r="C2145" s="2" t="str">
        <x:v>KANSAS CITY</x:v>
      </x:c>
      <x:c r="D2145" s="2" t="str">
        <x:v>MO</x:v>
      </x:c>
      <x:c r="E2145" s="2" t="str">
        <x:v>Acute Care Hospitals</x:v>
      </x:c>
      <x:c r="F2145" s="2" t="str">
        <x:v>Proprietary</x:v>
      </x:c>
      <x:c r="G2145" s="2" t="str">
        <x:v>Large (300+ beds)</x:v>
      </x:c>
      <x:c r="H2145" s="7" t="n">
        <x:v>2</x:v>
      </x:c>
      <x:c r="I2145" s="7" t="n">
        <x:v>2</x:v>
      </x:c>
      <x:c r="J2145" s="7" t="n">
        <x:v>1.09</x:v>
      </x:c>
      <x:c r="K2145" s="8" t="n">
        <x:v>300</x:v>
      </x:c>
      <x:c r="L2145" s="8" t="n">
        <x:v>14614</x:v>
      </x:c>
      <x:c r="M2145" s="9" t="n">
        <x:v>0.7536065574</x:v>
      </x:c>
      <x:c r="N2145" s="10" t="n">
        <x:v>41715.570822499</x:v>
      </x:c>
      <x:c r="O2145" s="9" t="n">
        <x:v>-0.0403777894</x:v>
      </x:c>
      <x:c r="P2145" s="9" t="n">
        <x:v>0.5662460568</x:v>
      </x:c>
      <x:c r="Q2145" s="9" t="n">
        <x:v>0.0536277603</x:v>
      </x:c>
      <x:c r="R2145" s="3" t="b">
        <x:v>0</x:v>
      </x:c>
      <x:c r="S2145" s="3" t="b">
        <x:v>1</x:v>
      </x:c>
      <x:c r="T2145" s="3" t="b">
        <x:v>0</x:v>
      </x:c>
      <x:c r="U2145" s="2" t="str">
        <x:f>IF(T2145=TRUE,"Priority review",IF(R2145=TRUE,"High cost",IF(S2145=TRUE,"Low quality","Benchmark")))</x:f>
        <x:v>Low quality</x:v>
      </x:c>
    </x:row>
    <x:row r="2146">
      <x:c r="A2146" s="2" t="str">
        <x:v>241342</x:v>
      </x:c>
      <x:c r="B2146" s="2" t="str">
        <x:v>ORTONVILLE AREA HEALTH SERVICES</x:v>
      </x:c>
      <x:c r="C2146" s="2" t="str">
        <x:v>ORTONVILLE</x:v>
      </x:c>
      <x:c r="D2146" s="2" t="str">
        <x:v>MN</x:v>
      </x:c>
      <x:c r="E2146" s="2" t="str">
        <x:v>Critical Access Hospitals</x:v>
      </x:c>
      <x:c r="F2146" s="2" t="str">
        <x:v>Government</x:v>
      </x:c>
      <x:c r="G2146" s="2" t="str">
        <x:v>Small (&lt;100 beds)</x:v>
      </x:c>
      <x:c r="H2146" s="7"/>
      <x:c r="I2146" s="7"/>
      <x:c r="J2146" s="7"/>
      <x:c r="K2146" s="8" t="n">
        <x:v>25</x:v>
      </x:c>
      <x:c r="L2146" s="8" t="n">
        <x:v>255</x:v>
      </x:c>
      <x:c r="M2146" s="9" t="n">
        <x:v>0.1213114754</x:v>
      </x:c>
      <x:c r="N2146" s="10" t="n">
        <x:v>145965.5294117647</x:v>
      </x:c>
      <x:c r="O2146" s="9" t="n">
        <x:v>0.0233065028</x:v>
      </x:c>
      <x:c r="P2146" s="9" t="n">
        <x:v>0.5657992565</x:v>
      </x:c>
      <x:c r="Q2146" s="9" t="n">
        <x:v>0.292936803</x:v>
      </x:c>
      <x:c r="R2146" s="3" t="b">
        <x:v>0</x:v>
      </x:c>
      <x:c r="S2146" s="3" t="b">
        <x:v>0</x:v>
      </x:c>
      <x:c r="T2146" s="3" t="b">
        <x:v>0</x:v>
      </x:c>
      <x:c r="U2146" s="2" t="str">
        <x:f>IF(T2146=TRUE,"Priority review",IF(R2146=TRUE,"High cost",IF(S2146=TRUE,"Low quality","Benchmark")))</x:f>
        <x:v>Benchmark</x:v>
      </x:c>
    </x:row>
    <x:row r="2147">
      <x:c r="A2147" s="2" t="str">
        <x:v>140029</x:v>
      </x:c>
      <x:c r="B2147" s="2" t="str">
        <x:v>COPLEY MEMORIAL HOSPITAL</x:v>
      </x:c>
      <x:c r="C2147" s="2" t="str">
        <x:v>AURORA</x:v>
      </x:c>
      <x:c r="D2147" s="2" t="str">
        <x:v>IL</x:v>
      </x:c>
      <x:c r="E2147" s="2" t="str">
        <x:v>Acute Care Hospitals</x:v>
      </x:c>
      <x:c r="F2147" s="2" t="str">
        <x:v>Voluntary non-profit</x:v>
      </x:c>
      <x:c r="G2147" s="2" t="str">
        <x:v>Medium (100-299 beds)</x:v>
      </x:c>
      <x:c r="H2147" s="7" t="n">
        <x:v>4</x:v>
      </x:c>
      <x:c r="I2147" s="7" t="n">
        <x:v>3</x:v>
      </x:c>
      <x:c r="J2147" s="7" t="n">
        <x:v>0.96</x:v>
      </x:c>
      <x:c r="K2147" s="8" t="n">
        <x:v>192</x:v>
      </x:c>
      <x:c r="L2147" s="8" t="n">
        <x:v>11559</x:v>
      </x:c>
      <x:c r="M2147" s="9" t="n">
        <x:v>0.8053224886</x:v>
      </x:c>
      <x:c r="N2147" s="10" t="n">
        <x:v>36445.6828445367</x:v>
      </x:c>
      <x:c r="O2147" s="9" t="n">
        <x:v>-0.1312330037</x:v>
      </x:c>
      <x:c r="P2147" s="9" t="n">
        <x:v>0.565607172</x:v>
      </x:c>
      <x:c r="Q2147" s="9" t="n">
        <x:v>0.6022819886</x:v>
      </x:c>
      <x:c r="R2147" s="3" t="b">
        <x:v>0</x:v>
      </x:c>
      <x:c r="S2147" s="3" t="b">
        <x:v>0</x:v>
      </x:c>
      <x:c r="T2147" s="3" t="b">
        <x:v>0</x:v>
      </x:c>
      <x:c r="U2147" s="2" t="str">
        <x:f>IF(T2147=TRUE,"Priority review",IF(R2147=TRUE,"High cost",IF(S2147=TRUE,"Low quality","Benchmark")))</x:f>
        <x:v>Benchmark</x:v>
      </x:c>
    </x:row>
    <x:row r="2148">
      <x:c r="A2148" s="2" t="str">
        <x:v>330096</x:v>
      </x:c>
      <x:c r="B2148" s="2" t="str">
        <x:v>JONES MEMORIAL HOSPITAL</x:v>
      </x:c>
      <x:c r="C2148" s="2" t="str">
        <x:v>WELLSVILLE</x:v>
      </x:c>
      <x:c r="D2148" s="2" t="str">
        <x:v>NY</x:v>
      </x:c>
      <x:c r="E2148" s="2" t="str">
        <x:v>Acute Care Hospitals</x:v>
      </x:c>
      <x:c r="F2148" s="2" t="str">
        <x:v>Voluntary non-profit</x:v>
      </x:c>
      <x:c r="G2148" s="2" t="str">
        <x:v>Small (&lt;100 beds)</x:v>
      </x:c>
      <x:c r="H2148" s="7" t="n">
        <x:v>4</x:v>
      </x:c>
      <x:c r="I2148" s="7" t="n">
        <x:v>4</x:v>
      </x:c>
      <x:c r="J2148" s="7" t="n">
        <x:v>0.93</x:v>
      </x:c>
      <x:c r="K2148" s="8" t="n">
        <x:v>49</x:v>
      </x:c>
      <x:c r="L2148" s="8" t="n">
        <x:v>1655</x:v>
      </x:c>
      <x:c r="M2148" s="9" t="n">
        <x:v>0.2896840928</x:v>
      </x:c>
      <x:c r="N2148" s="10" t="n">
        <x:v>58378.7776435045</x:v>
      </x:c>
      <x:c r="O2148" s="9" t="n">
        <x:v>-0.0329709497</x:v>
      </x:c>
      <x:c r="P2148" s="9" t="n">
        <x:v>0.565529623</x:v>
      </x:c>
      <x:c r="Q2148" s="9" t="n">
        <x:v>0.3913824057</x:v>
      </x:c>
      <x:c r="R2148" s="3" t="b">
        <x:v>0</x:v>
      </x:c>
      <x:c r="S2148" s="3" t="b">
        <x:v>0</x:v>
      </x:c>
      <x:c r="T2148" s="3" t="b">
        <x:v>0</x:v>
      </x:c>
      <x:c r="U2148" s="2" t="str">
        <x:f>IF(T2148=TRUE,"Priority review",IF(R2148=TRUE,"High cost",IF(S2148=TRUE,"Low quality","Benchmark")))</x:f>
        <x:v>Benchmark</x:v>
      </x:c>
    </x:row>
    <x:row r="2149">
      <x:c r="A2149" s="2" t="str">
        <x:v>241348</x:v>
      </x:c>
      <x:c r="B2149" s="2" t="str">
        <x:v>AVERA TYLER HOSPITAL</x:v>
      </x:c>
      <x:c r="C2149" s="2" t="str">
        <x:v>TYLER</x:v>
      </x:c>
      <x:c r="D2149" s="2" t="str">
        <x:v>MN</x:v>
      </x:c>
      <x:c r="E2149" s="2" t="str">
        <x:v>Critical Access Hospitals</x:v>
      </x:c>
      <x:c r="F2149" s="2" t="str">
        <x:v>Voluntary non-profit</x:v>
      </x:c>
      <x:c r="G2149" s="2" t="str">
        <x:v>Small (&lt;100 beds)</x:v>
      </x:c>
      <x:c r="H2149" s="7"/>
      <x:c r="I2149" s="7"/>
      <x:c r="J2149" s="7"/>
      <x:c r="K2149" s="8" t="n">
        <x:v>20</x:v>
      </x:c>
      <x:c r="L2149" s="8" t="n">
        <x:v>99</x:v>
      </x:c>
      <x:c r="M2149" s="9" t="n">
        <x:v>0.084109589</x:v>
      </x:c>
      <x:c r="N2149" s="10" t="n">
        <x:v>145872.2424242424</x:v>
      </x:c>
      <x:c r="O2149" s="9" t="n">
        <x:v>-0.0056232334</x:v>
      </x:c>
      <x:c r="P2149" s="9" t="n">
        <x:v>0.5650557621</x:v>
      </x:c>
      <x:c r="Q2149" s="9" t="n">
        <x:v>0.292936803</x:v>
      </x:c>
      <x:c r="R2149" s="3" t="b">
        <x:v>0</x:v>
      </x:c>
      <x:c r="S2149" s="3" t="b">
        <x:v>0</x:v>
      </x:c>
      <x:c r="T2149" s="3" t="b">
        <x:v>0</x:v>
      </x:c>
      <x:c r="U2149" s="2" t="str">
        <x:f>IF(T2149=TRUE,"Priority review",IF(R2149=TRUE,"High cost",IF(S2149=TRUE,"Low quality","Benchmark")))</x:f>
        <x:v>Benchmark</x:v>
      </x:c>
    </x:row>
    <x:row r="2150">
      <x:c r="A2150" s="2" t="str">
        <x:v>210040</x:v>
      </x:c>
      <x:c r="B2150" s="2" t="str">
        <x:v>NORTHWEST HOSPITAL CENTER</x:v>
      </x:c>
      <x:c r="C2150" s="2" t="str">
        <x:v>RANDALLSTOWN</x:v>
      </x:c>
      <x:c r="D2150" s="2" t="str">
        <x:v>MD</x:v>
      </x:c>
      <x:c r="E2150" s="2" t="str">
        <x:v>Acute Care Hospitals</x:v>
      </x:c>
      <x:c r="F2150" s="2" t="str">
        <x:v>Voluntary non-profit</x:v>
      </x:c>
      <x:c r="G2150" s="2" t="str">
        <x:v>Medium (100-299 beds)</x:v>
      </x:c>
      <x:c r="H2150" s="7" t="n">
        <x:v>2</x:v>
      </x:c>
      <x:c r="I2150" s="7" t="n">
        <x:v>2</x:v>
      </x:c>
      <x:c r="J2150" s="7"/>
      <x:c r="K2150" s="8" t="n">
        <x:v>199</x:v>
      </x:c>
      <x:c r="L2150" s="8" t="n">
        <x:v>8106</x:v>
      </x:c>
      <x:c r="M2150" s="9" t="n">
        <x:v>0.7662008674</x:v>
      </x:c>
      <x:c r="N2150" s="10" t="n">
        <x:v>36412.8392548729</x:v>
      </x:c>
      <x:c r="O2150" s="9" t="n">
        <x:v>-0.0646112049</x:v>
      </x:c>
      <x:c r="P2150" s="9" t="n">
        <x:v>0.564792176</x:v>
      </x:c>
      <x:c r="Q2150" s="9" t="n">
        <x:v>0.0782396088</x:v>
      </x:c>
      <x:c r="R2150" s="3" t="b">
        <x:v>0</x:v>
      </x:c>
      <x:c r="S2150" s="3" t="b">
        <x:v>1</x:v>
      </x:c>
      <x:c r="T2150" s="3" t="b">
        <x:v>0</x:v>
      </x:c>
      <x:c r="U2150" s="2" t="str">
        <x:f>IF(T2150=TRUE,"Priority review",IF(R2150=TRUE,"High cost",IF(S2150=TRUE,"Low quality","Benchmark")))</x:f>
        <x:v>Low quality</x:v>
      </x:c>
    </x:row>
    <x:row r="2151">
      <x:c r="A2151" s="2" t="str">
        <x:v>450102</x:v>
      </x:c>
      <x:c r="B2151" s="2" t="str">
        <x:v>CHRISTUS MOTHER FRANCES HOSPITAL</x:v>
      </x:c>
      <x:c r="C2151" s="2" t="str">
        <x:v>TYLER</x:v>
      </x:c>
      <x:c r="D2151" s="2" t="str">
        <x:v>TX</x:v>
      </x:c>
      <x:c r="E2151" s="2" t="str">
        <x:v>Acute Care Hospitals</x:v>
      </x:c>
      <x:c r="F2151" s="2" t="str">
        <x:v>Voluntary non-profit</x:v>
      </x:c>
      <x:c r="G2151" s="2" t="str">
        <x:v>Large (300+ beds)</x:v>
      </x:c>
      <x:c r="H2151" s="7" t="n">
        <x:v>4</x:v>
      </x:c>
      <x:c r="I2151" s="7" t="n">
        <x:v>3</x:v>
      </x:c>
      <x:c r="J2151" s="7" t="n">
        <x:v>1.1</x:v>
      </x:c>
      <x:c r="K2151" s="8" t="n">
        <x:v>518</x:v>
      </x:c>
      <x:c r="L2151" s="8" t="n">
        <x:v>33564</x:v>
      </x:c>
      <x:c r="M2151" s="9" t="n">
        <x:v>0.7667689216</x:v>
      </x:c>
      <x:c r="N2151" s="10" t="n">
        <x:v>41628.3740614945</x:v>
      </x:c>
      <x:c r="O2151" s="9" t="n">
        <x:v>-0.383262544</x:v>
      </x:c>
      <x:c r="P2151" s="9" t="n">
        <x:v>0.5646687697</x:v>
      </x:c>
      <x:c r="Q2151" s="9" t="n">
        <x:v>0.5899053628</x:v>
      </x:c>
      <x:c r="R2151" s="3" t="b">
        <x:v>0</x:v>
      </x:c>
      <x:c r="S2151" s="3" t="b">
        <x:v>0</x:v>
      </x:c>
      <x:c r="T2151" s="3" t="b">
        <x:v>0</x:v>
      </x:c>
      <x:c r="U2151" s="2" t="str">
        <x:f>IF(T2151=TRUE,"Priority review",IF(R2151=TRUE,"High cost",IF(S2151=TRUE,"Low quality","Benchmark")))</x:f>
        <x:v>Benchmark</x:v>
      </x:c>
    </x:row>
    <x:row r="2152">
      <x:c r="A2152" s="2" t="str">
        <x:v>050042</x:v>
      </x:c>
      <x:c r="B2152" s="2" t="str">
        <x:v>ST ELIZABETH COMMUNITY HOSPITAL</x:v>
      </x:c>
      <x:c r="C2152" s="2" t="str">
        <x:v>RED BLUFF</x:v>
      </x:c>
      <x:c r="D2152" s="2" t="str">
        <x:v>CA</x:v>
      </x:c>
      <x:c r="E2152" s="2" t="str">
        <x:v>Acute Care Hospitals</x:v>
      </x:c>
      <x:c r="F2152" s="2" t="str">
        <x:v>Voluntary non-profit</x:v>
      </x:c>
      <x:c r="G2152" s="2" t="str">
        <x:v>Small (&lt;100 beds)</x:v>
      </x:c>
      <x:c r="H2152" s="7" t="n">
        <x:v>4</x:v>
      </x:c>
      <x:c r="I2152" s="7" t="n">
        <x:v>4</x:v>
      </x:c>
      <x:c r="J2152" s="7" t="n">
        <x:v>0.95</x:v>
      </x:c>
      <x:c r="K2152" s="8" t="n">
        <x:v>49</x:v>
      </x:c>
      <x:c r="L2152" s="8" t="n">
        <x:v>2841</x:v>
      </x:c>
      <x:c r="M2152" s="9" t="n">
        <x:v>0.5501817165</x:v>
      </x:c>
      <x:c r="N2152" s="10" t="n">
        <x:v>58351.4223864836</x:v>
      </x:c>
      <x:c r="O2152" s="9" t="n">
        <x:v>0.1054963058</x:v>
      </x:c>
      <x:c r="P2152" s="9" t="n">
        <x:v>0.5646319569</x:v>
      </x:c>
      <x:c r="Q2152" s="9" t="n">
        <x:v>0.3913824057</x:v>
      </x:c>
      <x:c r="R2152" s="3" t="b">
        <x:v>0</x:v>
      </x:c>
      <x:c r="S2152" s="3" t="b">
        <x:v>0</x:v>
      </x:c>
      <x:c r="T2152" s="3" t="b">
        <x:v>0</x:v>
      </x:c>
      <x:c r="U2152" s="2" t="str">
        <x:f>IF(T2152=TRUE,"Priority review",IF(R2152=TRUE,"High cost",IF(S2152=TRUE,"Low quality","Benchmark")))</x:f>
        <x:v>Benchmark</x:v>
      </x:c>
    </x:row>
    <x:row r="2153">
      <x:c r="A2153" s="2" t="str">
        <x:v>281343</x:v>
      </x:c>
      <x:c r="B2153" s="2" t="str">
        <x:v>WEST HOLT MEMORIAL HOSPITAL</x:v>
      </x:c>
      <x:c r="C2153" s="2" t="str">
        <x:v>ATKINSON</x:v>
      </x:c>
      <x:c r="D2153" s="2" t="str">
        <x:v>NE</x:v>
      </x:c>
      <x:c r="E2153" s="2" t="str">
        <x:v>Critical Access Hospitals</x:v>
      </x:c>
      <x:c r="F2153" s="2" t="str">
        <x:v>Voluntary non-profit</x:v>
      </x:c>
      <x:c r="G2153" s="2" t="str">
        <x:v>Small (&lt;100 beds)</x:v>
      </x:c>
      <x:c r="H2153" s="7"/>
      <x:c r="I2153" s="7"/>
      <x:c r="J2153" s="7"/>
      <x:c r="K2153" s="8" t="n">
        <x:v>15</x:v>
      </x:c>
      <x:c r="L2153" s="8" t="n">
        <x:v>122</x:v>
      </x:c>
      <x:c r="M2153" s="9" t="n">
        <x:v>0.0814611872</x:v>
      </x:c>
      <x:c r="N2153" s="10" t="n">
        <x:v>145824.0245901639</x:v>
      </x:c>
      <x:c r="O2153" s="9" t="n">
        <x:v>-0.2831085496</x:v>
      </x:c>
      <x:c r="P2153" s="9" t="n">
        <x:v>0.5643122677</x:v>
      </x:c>
      <x:c r="Q2153" s="9" t="n">
        <x:v>0.292936803</x:v>
      </x:c>
      <x:c r="R2153" s="3" t="b">
        <x:v>0</x:v>
      </x:c>
      <x:c r="S2153" s="3" t="b">
        <x:v>0</x:v>
      </x:c>
      <x:c r="T2153" s="3" t="b">
        <x:v>0</x:v>
      </x:c>
      <x:c r="U2153" s="2" t="str">
        <x:f>IF(T2153=TRUE,"Priority review",IF(R2153=TRUE,"High cost",IF(S2153=TRUE,"Low quality","Benchmark")))</x:f>
        <x:v>Benchmark</x:v>
      </x:c>
    </x:row>
    <x:row r="2154">
      <x:c r="A2154" s="2" t="str">
        <x:v>520136</x:v>
      </x:c>
      <x:c r="B2154" s="2" t="str">
        <x:v>ASCENSION SE WISCONSIN HOSPITAL</x:v>
      </x:c>
      <x:c r="C2154" s="2" t="str">
        <x:v>MILWAUKEE</x:v>
      </x:c>
      <x:c r="D2154" s="2" t="str">
        <x:v>WI</x:v>
      </x:c>
      <x:c r="E2154" s="2" t="str">
        <x:v>Acute Care Hospitals</x:v>
      </x:c>
      <x:c r="F2154" s="2" t="str">
        <x:v>Voluntary non-profit</x:v>
      </x:c>
      <x:c r="G2154" s="2" t="str">
        <x:v>Medium (100-299 beds)</x:v>
      </x:c>
      <x:c r="H2154" s="7" t="n">
        <x:v>5</x:v>
      </x:c>
      <x:c r="I2154" s="7" t="n">
        <x:v>3</x:v>
      </x:c>
      <x:c r="J2154" s="7"/>
      <x:c r="K2154" s="8" t="n">
        <x:v>298</x:v>
      </x:c>
      <x:c r="L2154" s="8" t="n">
        <x:v>11329</x:v>
      </x:c>
      <x:c r="M2154" s="9" t="n">
        <x:v>0.4177622506</x:v>
      </x:c>
      <x:c r="N2154" s="10" t="n">
        <x:v>36362.4138935475</x:v>
      </x:c>
      <x:c r="O2154" s="9" t="n">
        <x:v>-0.0669906164</x:v>
      </x:c>
      <x:c r="P2154" s="9" t="n">
        <x:v>0.5639771801</x:v>
      </x:c>
      <x:c r="Q2154" s="9" t="n">
        <x:v>0.8744906275</x:v>
      </x:c>
      <x:c r="R2154" s="3" t="b">
        <x:v>0</x:v>
      </x:c>
      <x:c r="S2154" s="3" t="b">
        <x:v>0</x:v>
      </x:c>
      <x:c r="T2154" s="3" t="b">
        <x:v>0</x:v>
      </x:c>
      <x:c r="U2154" s="2" t="str">
        <x:f>IF(T2154=TRUE,"Priority review",IF(R2154=TRUE,"High cost",IF(S2154=TRUE,"Low quality","Benchmark")))</x:f>
        <x:v>Benchmark</x:v>
      </x:c>
    </x:row>
    <x:row r="2155">
      <x:c r="A2155" s="2" t="str">
        <x:v>180101</x:v>
      </x:c>
      <x:c r="B2155" s="2" t="str">
        <x:v>GEORGETOWN COMMUNITY HOSPITAL</x:v>
      </x:c>
      <x:c r="C2155" s="2" t="str">
        <x:v>GEORGETOWN</x:v>
      </x:c>
      <x:c r="D2155" s="2" t="str">
        <x:v>KY</x:v>
      </x:c>
      <x:c r="E2155" s="2" t="str">
        <x:v>Acute Care Hospitals</x:v>
      </x:c>
      <x:c r="F2155" s="2" t="str">
        <x:v>Proprietary</x:v>
      </x:c>
      <x:c r="G2155" s="2" t="str">
        <x:v>Small (&lt;100 beds)</x:v>
      </x:c>
      <x:c r="H2155" s="7" t="n">
        <x:v>3</x:v>
      </x:c>
      <x:c r="I2155" s="7" t="n">
        <x:v>3</x:v>
      </x:c>
      <x:c r="J2155" s="7" t="n">
        <x:v>0.96</x:v>
      </x:c>
      <x:c r="K2155" s="8" t="n">
        <x:v>75</x:v>
      </x:c>
      <x:c r="L2155" s="8" t="n">
        <x:v>2381</x:v>
      </x:c>
      <x:c r="M2155" s="9" t="n">
        <x:v>0.240109589</x:v>
      </x:c>
      <x:c r="N2155" s="10" t="n">
        <x:v>58345.3271734565</x:v>
      </x:c>
      <x:c r="O2155" s="9" t="n">
        <x:v>0.168316223</x:v>
      </x:c>
      <x:c r="P2155" s="9" t="n">
        <x:v>0.5637342908</x:v>
      </x:c>
      <x:c r="Q2155" s="9" t="n">
        <x:v>0.1687612208</x:v>
      </x:c>
      <x:c r="R2155" s="3" t="b">
        <x:v>0</x:v>
      </x:c>
      <x:c r="S2155" s="3" t="b">
        <x:v>0</x:v>
      </x:c>
      <x:c r="T2155" s="3" t="b">
        <x:v>0</x:v>
      </x:c>
      <x:c r="U2155" s="2" t="str">
        <x:f>IF(T2155=TRUE,"Priority review",IF(R2155=TRUE,"High cost",IF(S2155=TRUE,"Low quality","Benchmark")))</x:f>
        <x:v>Benchmark</x:v>
      </x:c>
    </x:row>
    <x:row r="2156">
      <x:c r="A2156" s="2" t="str">
        <x:v>161365</x:v>
      </x:c>
      <x:c r="B2156" s="2" t="str">
        <x:v>GREATER REGIONAL MEDICAL CENTER</x:v>
      </x:c>
      <x:c r="C2156" s="2" t="str">
        <x:v>CRESTON</x:v>
      </x:c>
      <x:c r="D2156" s="2" t="str">
        <x:v>IA</x:v>
      </x:c>
      <x:c r="E2156" s="2" t="str">
        <x:v>Critical Access Hospitals</x:v>
      </x:c>
      <x:c r="F2156" s="2" t="str">
        <x:v>Government</x:v>
      </x:c>
      <x:c r="G2156" s="2" t="str">
        <x:v>Small (&lt;100 beds)</x:v>
      </x:c>
      <x:c r="H2156" s="7" t="n">
        <x:v>3</x:v>
      </x:c>
      <x:c r="I2156" s="7" t="n">
        <x:v>4</x:v>
      </x:c>
      <x:c r="J2156" s="7"/>
      <x:c r="K2156" s="8" t="n">
        <x:v>25</x:v>
      </x:c>
      <x:c r="L2156" s="8" t="n">
        <x:v>792</x:v>
      </x:c>
      <x:c r="M2156" s="9" t="n">
        <x:v>0.3426849315</x:v>
      </x:c>
      <x:c r="N2156" s="10" t="n">
        <x:v>145563.351010101</x:v>
      </x:c>
      <x:c r="O2156" s="9" t="n">
        <x:v>0.0085170515</x:v>
      </x:c>
      <x:c r="P2156" s="9" t="n">
        <x:v>0.5635687732</x:v>
      </x:c>
      <x:c r="Q2156" s="9" t="n">
        <x:v>0.0765799257</x:v>
      </x:c>
      <x:c r="R2156" s="3" t="b">
        <x:v>0</x:v>
      </x:c>
      <x:c r="S2156" s="3" t="b">
        <x:v>1</x:v>
      </x:c>
      <x:c r="T2156" s="3" t="b">
        <x:v>0</x:v>
      </x:c>
      <x:c r="U2156" s="2" t="str">
        <x:f>IF(T2156=TRUE,"Priority review",IF(R2156=TRUE,"High cost",IF(S2156=TRUE,"Low quality","Benchmark")))</x:f>
        <x:v>Low quality</x:v>
      </x:c>
    </x:row>
    <x:row r="2157">
      <x:c r="A2157" s="2" t="str">
        <x:v>260163</x:v>
      </x:c>
      <x:c r="B2157" s="2" t="str">
        <x:v>PARKLAND HEALTH CENTER</x:v>
      </x:c>
      <x:c r="C2157" s="2" t="str">
        <x:v>FARMINGTON</x:v>
      </x:c>
      <x:c r="D2157" s="2" t="str">
        <x:v>MO</x:v>
      </x:c>
      <x:c r="E2157" s="2" t="str">
        <x:v>Acute Care Hospitals</x:v>
      </x:c>
      <x:c r="F2157" s="2" t="str">
        <x:v>Voluntary non-profit</x:v>
      </x:c>
      <x:c r="G2157" s="2" t="str">
        <x:v>Medium (100-299 beds)</x:v>
      </x:c>
      <x:c r="H2157" s="7" t="n">
        <x:v>4</x:v>
      </x:c>
      <x:c r="I2157" s="7" t="n">
        <x:v>4</x:v>
      </x:c>
      <x:c r="J2157" s="7" t="n">
        <x:v>0.96</x:v>
      </x:c>
      <x:c r="K2157" s="8" t="n">
        <x:v>108</x:v>
      </x:c>
      <x:c r="L2157" s="8" t="n">
        <x:v>4217</x:v>
      </x:c>
      <x:c r="M2157" s="9" t="n">
        <x:v>0.4261283141</x:v>
      </x:c>
      <x:c r="N2157" s="10" t="n">
        <x:v>36356.7540905857</x:v>
      </x:c>
      <x:c r="O2157" s="9" t="n">
        <x:v>-0.020719857</x:v>
      </x:c>
      <x:c r="P2157" s="9" t="n">
        <x:v>0.5631621842</x:v>
      </x:c>
      <x:c r="Q2157" s="9" t="n">
        <x:v>0.6022819886</x:v>
      </x:c>
      <x:c r="R2157" s="3" t="b">
        <x:v>0</x:v>
      </x:c>
      <x:c r="S2157" s="3" t="b">
        <x:v>0</x:v>
      </x:c>
      <x:c r="T2157" s="3" t="b">
        <x:v>0</x:v>
      </x:c>
      <x:c r="U2157" s="2" t="str">
        <x:f>IF(T2157=TRUE,"Priority review",IF(R2157=TRUE,"High cost",IF(S2157=TRUE,"Low quality","Benchmark")))</x:f>
        <x:v>Benchmark</x:v>
      </x:c>
    </x:row>
    <x:row r="2158">
      <x:c r="A2158" s="2" t="str">
        <x:v>054146</x:v>
      </x:c>
      <x:c r="B2158" s="2" t="str">
        <x:v>TELECARE HERITAGE PSYCHIATRIC HEALTH FACILITY</x:v>
      </x:c>
      <x:c r="C2158" s="2" t="str">
        <x:v>OAKLAND</x:v>
      </x:c>
      <x:c r="D2158" s="2" t="str">
        <x:v>CA</x:v>
      </x:c>
      <x:c r="E2158" s="2" t="str">
        <x:v>Psychiatric</x:v>
      </x:c>
      <x:c r="F2158" s="2" t="str">
        <x:v>Proprietary</x:v>
      </x:c>
      <x:c r="G2158" s="2" t="str">
        <x:v>Small (&lt;100 beds)</x:v>
      </x:c>
      <x:c r="H2158" s="7"/>
      <x:c r="I2158" s="7"/>
      <x:c r="J2158" s="7"/>
      <x:c r="K2158" s="8" t="n">
        <x:v>26</x:v>
      </x:c>
      <x:c r="L2158" s="8" t="n">
        <x:v>993</x:v>
      </x:c>
      <x:c r="M2158" s="9" t="n">
        <x:v>0.585142255</x:v>
      </x:c>
      <x:c r="N2158" s="10" t="n">
        <x:v>13409.3997985901</x:v>
      </x:c>
      <x:c r="O2158" s="9" t="n">
        <x:v>-0.0434653478</x:v>
      </x:c>
      <x:c r="P2158" s="9" t="n">
        <x:v>0.5631067961</x:v>
      </x:c>
      <x:c r="Q2158" s="9" t="n">
        <x:v>0</x:v>
      </x:c>
      <x:c r="R2158" s="3" t="b">
        <x:v>0</x:v>
      </x:c>
      <x:c r="S2158" s="3" t="b">
        <x:v>0</x:v>
      </x:c>
      <x:c r="T2158" s="3" t="b">
        <x:v>0</x:v>
      </x:c>
      <x:c r="U2158" s="2" t="str">
        <x:f>IF(T2158=TRUE,"Priority review",IF(R2158=TRUE,"High cost",IF(S2158=TRUE,"Low quality","Benchmark")))</x:f>
        <x:v>Benchmark</x:v>
      </x:c>
    </x:row>
    <x:row r="2159">
      <x:c r="A2159" s="2" t="str">
        <x:v>250001</x:v>
      </x:c>
      <x:c r="B2159" s="2" t="str">
        <x:v>UNIVERSITY OF MISSISSIPPI MED CENTER</x:v>
      </x:c>
      <x:c r="C2159" s="2" t="str">
        <x:v>JACKSON</x:v>
      </x:c>
      <x:c r="D2159" s="2" t="str">
        <x:v>MS</x:v>
      </x:c>
      <x:c r="E2159" s="2" t="str">
        <x:v>Acute Care Hospitals</x:v>
      </x:c>
      <x:c r="F2159" s="2" t="str">
        <x:v>Government</x:v>
      </x:c>
      <x:c r="G2159" s="2" t="str">
        <x:v>Large (300+ beds)</x:v>
      </x:c>
      <x:c r="H2159" s="7" t="n">
        <x:v>2</x:v>
      </x:c>
      <x:c r="I2159" s="7" t="n">
        <x:v>3</x:v>
      </x:c>
      <x:c r="J2159" s="7" t="n">
        <x:v>1.01</x:v>
      </x:c>
      <x:c r="K2159" s="8" t="n">
        <x:v>793</x:v>
      </x:c>
      <x:c r="L2159" s="8" t="n">
        <x:v>30375</x:v>
      </x:c>
      <x:c r="M2159" s="9" t="n">
        <x:v>0.841538124</x:v>
      </x:c>
      <x:c r="N2159" s="10" t="n">
        <x:v>41497.7873909465</x:v>
      </x:c>
      <x:c r="O2159" s="9" t="n">
        <x:v>0.1089730843</x:v>
      </x:c>
      <x:c r="P2159" s="9" t="n">
        <x:v>0.5630914826</x:v>
      </x:c>
      <x:c r="Q2159" s="9" t="n">
        <x:v>0.0536277603</x:v>
      </x:c>
      <x:c r="R2159" s="3" t="b">
        <x:v>0</x:v>
      </x:c>
      <x:c r="S2159" s="3" t="b">
        <x:v>1</x:v>
      </x:c>
      <x:c r="T2159" s="3" t="b">
        <x:v>0</x:v>
      </x:c>
      <x:c r="U2159" s="2" t="str">
        <x:f>IF(T2159=TRUE,"Priority review",IF(R2159=TRUE,"High cost",IF(S2159=TRUE,"Low quality","Benchmark")))</x:f>
        <x:v>Low quality</x:v>
      </x:c>
    </x:row>
    <x:row r="2160">
      <x:c r="A2160" s="2" t="str">
        <x:v>520202</x:v>
      </x:c>
      <x:c r="B2160" s="2" t="str">
        <x:v>MARSHFIELD MEDICAL CENTER - WESTON</x:v>
      </x:c>
      <x:c r="C2160" s="2" t="str">
        <x:v>WESTON</x:v>
      </x:c>
      <x:c r="D2160" s="2" t="str">
        <x:v>WI</x:v>
      </x:c>
      <x:c r="E2160" s="2" t="str">
        <x:v>Acute Care Hospitals</x:v>
      </x:c>
      <x:c r="F2160" s="2" t="str">
        <x:v>Voluntary non-profit</x:v>
      </x:c>
      <x:c r="G2160" s="2" t="str">
        <x:v>Small (&lt;100 beds)</x:v>
      </x:c>
      <x:c r="H2160" s="7" t="n">
        <x:v>3</x:v>
      </x:c>
      <x:c r="I2160" s="7" t="n">
        <x:v>4</x:v>
      </x:c>
      <x:c r="J2160" s="7" t="n">
        <x:v>0.93</x:v>
      </x:c>
      <x:c r="K2160" s="8" t="n">
        <x:v>99</x:v>
      </x:c>
      <x:c r="L2160" s="8" t="n">
        <x:v>3958</x:v>
      </x:c>
      <x:c r="M2160" s="9" t="n">
        <x:v>0.4522547883</x:v>
      </x:c>
      <x:c r="N2160" s="10" t="n">
        <x:v>58312.2516422436</x:v>
      </x:c>
      <x:c r="O2160" s="9" t="n">
        <x:v>-1.4902499547</x:v>
      </x:c>
      <x:c r="P2160" s="9" t="n">
        <x:v>0.5628366248</x:v>
      </x:c>
      <x:c r="Q2160" s="9" t="n">
        <x:v>0.1687612208</x:v>
      </x:c>
      <x:c r="R2160" s="3" t="b">
        <x:v>0</x:v>
      </x:c>
      <x:c r="S2160" s="3" t="b">
        <x:v>0</x:v>
      </x:c>
      <x:c r="T2160" s="3" t="b">
        <x:v>0</x:v>
      </x:c>
      <x:c r="U2160" s="2" t="str">
        <x:f>IF(T2160=TRUE,"Priority review",IF(R2160=TRUE,"High cost",IF(S2160=TRUE,"Low quality","Benchmark")))</x:f>
        <x:v>Benchmark</x:v>
      </x:c>
    </x:row>
    <x:row r="2161">
      <x:c r="A2161" s="2" t="str">
        <x:v>171360</x:v>
      </x:c>
      <x:c r="B2161" s="2" t="str">
        <x:v>LINCOLN COUNTY HOSPITAL</x:v>
      </x:c>
      <x:c r="C2161" s="2" t="str">
        <x:v>LINCOLN</x:v>
      </x:c>
      <x:c r="D2161" s="2" t="str">
        <x:v>KS</x:v>
      </x:c>
      <x:c r="E2161" s="2" t="str">
        <x:v>Critical Access Hospitals</x:v>
      </x:c>
      <x:c r="F2161" s="2" t="str">
        <x:v>Government</x:v>
      </x:c>
      <x:c r="G2161" s="2" t="str">
        <x:v>Small (&lt;100 beds)</x:v>
      </x:c>
      <x:c r="H2161" s="7"/>
      <x:c r="I2161" s="7"/>
      <x:c r="J2161" s="7"/>
      <x:c r="K2161" s="8" t="n">
        <x:v>13</x:v>
      </x:c>
      <x:c r="L2161" s="8" t="n">
        <x:v>57</x:v>
      </x:c>
      <x:c r="M2161" s="9" t="n">
        <x:v>0.1380400421</x:v>
      </x:c>
      <x:c r="N2161" s="10" t="n">
        <x:v>145529.5087719298</x:v>
      </x:c>
      <x:c r="O2161" s="9" t="n">
        <x:v>-0.1775544172</x:v>
      </x:c>
      <x:c r="P2161" s="9" t="n">
        <x:v>0.5628252788</x:v>
      </x:c>
      <x:c r="Q2161" s="9" t="n">
        <x:v>0.292936803</x:v>
      </x:c>
      <x:c r="R2161" s="3" t="b">
        <x:v>0</x:v>
      </x:c>
      <x:c r="S2161" s="3" t="b">
        <x:v>0</x:v>
      </x:c>
      <x:c r="T2161" s="3" t="b">
        <x:v>0</x:v>
      </x:c>
      <x:c r="U2161" s="2" t="str">
        <x:f>IF(T2161=TRUE,"Priority review",IF(R2161=TRUE,"High cost",IF(S2161=TRUE,"Low quality","Benchmark")))</x:f>
        <x:v>Benchmark</x:v>
      </x:c>
    </x:row>
    <x:row r="2162">
      <x:c r="A2162" s="2" t="str">
        <x:v>210019</x:v>
      </x:c>
      <x:c r="B2162" s="2" t="str">
        <x:v>TIDALHEALTH PENINSULA REGIONAL, INC</x:v>
      </x:c>
      <x:c r="C2162" s="2" t="str">
        <x:v>SALISBURY</x:v>
      </x:c>
      <x:c r="D2162" s="2" t="str">
        <x:v>MD</x:v>
      </x:c>
      <x:c r="E2162" s="2" t="str">
        <x:v>Acute Care Hospitals</x:v>
      </x:c>
      <x:c r="F2162" s="2" t="str">
        <x:v>Voluntary non-profit</x:v>
      </x:c>
      <x:c r="G2162" s="2" t="str">
        <x:v>Medium (100-299 beds)</x:v>
      </x:c>
      <x:c r="H2162" s="7" t="n">
        <x:v>4</x:v>
      </x:c>
      <x:c r="I2162" s="7" t="n">
        <x:v>3</x:v>
      </x:c>
      <x:c r="J2162" s="7"/>
      <x:c r="K2162" s="8" t="n">
        <x:v>275</x:v>
      </x:c>
      <x:c r="L2162" s="8" t="n">
        <x:v>15984</x:v>
      </x:c>
      <x:c r="M2162" s="9" t="n">
        <x:v>0.805120797</x:v>
      </x:c>
      <x:c r="N2162" s="10" t="n">
        <x:v>36351.4635885886</x:v>
      </x:c>
      <x:c r="O2162" s="9" t="n">
        <x:v>-0.0244604788</x:v>
      </x:c>
      <x:c r="P2162" s="9" t="n">
        <x:v>0.5623471883</x:v>
      </x:c>
      <x:c r="Q2162" s="9" t="n">
        <x:v>0.6022819886</x:v>
      </x:c>
      <x:c r="R2162" s="3" t="b">
        <x:v>0</x:v>
      </x:c>
      <x:c r="S2162" s="3" t="b">
        <x:v>0</x:v>
      </x:c>
      <x:c r="T2162" s="3" t="b">
        <x:v>0</x:v>
      </x:c>
      <x:c r="U2162" s="2" t="str">
        <x:f>IF(T2162=TRUE,"Priority review",IF(R2162=TRUE,"High cost",IF(S2162=TRUE,"Low quality","Benchmark")))</x:f>
        <x:v>Benchmark</x:v>
      </x:c>
    </x:row>
    <x:row r="2163">
      <x:c r="A2163" s="2" t="str">
        <x:v>224045</x:v>
      </x:c>
      <x:c r="B2163" s="2" t="str">
        <x:v>HOSPITAL FOR BEHAVIORAL MEDICINE</x:v>
      </x:c>
      <x:c r="C2163" s="2" t="str">
        <x:v>WORCESTER</x:v>
      </x:c>
      <x:c r="D2163" s="2" t="str">
        <x:v>MA</x:v>
      </x:c>
      <x:c r="E2163" s="2" t="str">
        <x:v>Psychiatric</x:v>
      </x:c>
      <x:c r="F2163" s="2" t="str">
        <x:v>Proprietary</x:v>
      </x:c>
      <x:c r="G2163" s="2" t="str">
        <x:v>Medium (100-299 beds)</x:v>
      </x:c>
      <x:c r="H2163" s="7"/>
      <x:c r="I2163" s="7"/>
      <x:c r="J2163" s="7"/>
      <x:c r="K2163" s="8" t="n">
        <x:v>120</x:v>
      </x:c>
      <x:c r="L2163" s="8" t="n">
        <x:v>2449</x:v>
      </x:c>
      <x:c r="M2163" s="9" t="n">
        <x:v>0.8283925319</x:v>
      </x:c>
      <x:c r="N2163" s="10" t="n">
        <x:v>13845.3907717436</x:v>
      </x:c>
      <x:c r="O2163" s="9" t="n">
        <x:v>0.1375706285</x:v>
      </x:c>
      <x:c r="P2163" s="9" t="n">
        <x:v>0.5621890547</x:v>
      </x:c>
      <x:c r="Q2163" s="9" t="n">
        <x:v>0</x:v>
      </x:c>
      <x:c r="R2163" s="3" t="b">
        <x:v>0</x:v>
      </x:c>
      <x:c r="S2163" s="3" t="b">
        <x:v>0</x:v>
      </x:c>
      <x:c r="T2163" s="3" t="b">
        <x:v>0</x:v>
      </x:c>
      <x:c r="U2163" s="2" t="str">
        <x:f>IF(T2163=TRUE,"Priority review",IF(R2163=TRUE,"High cost",IF(S2163=TRUE,"Low quality","Benchmark")))</x:f>
        <x:v>Benchmark</x:v>
      </x:c>
    </x:row>
    <x:row r="2164">
      <x:c r="A2164" s="2" t="str">
        <x:v>161379</x:v>
      </x:c>
      <x:c r="B2164" s="2" t="str">
        <x:v>MAHASKA  HEALTH PARTNERSHIP</x:v>
      </x:c>
      <x:c r="C2164" s="2" t="str">
        <x:v>OSKALOOSA</x:v>
      </x:c>
      <x:c r="D2164" s="2" t="str">
        <x:v>IA</x:v>
      </x:c>
      <x:c r="E2164" s="2" t="str">
        <x:v>Critical Access Hospitals</x:v>
      </x:c>
      <x:c r="F2164" s="2" t="str">
        <x:v>Government</x:v>
      </x:c>
      <x:c r="G2164" s="2" t="str">
        <x:v>Small (&lt;100 beds)</x:v>
      </x:c>
      <x:c r="H2164" s="7" t="n">
        <x:v>4</x:v>
      </x:c>
      <x:c r="I2164" s="7" t="n">
        <x:v>4</x:v>
      </x:c>
      <x:c r="J2164" s="7"/>
      <x:c r="K2164" s="8" t="n">
        <x:v>25</x:v>
      </x:c>
      <x:c r="L2164" s="8" t="n">
        <x:v>758</x:v>
      </x:c>
      <x:c r="M2164" s="9" t="n">
        <x:v>0.621369863</x:v>
      </x:c>
      <x:c r="N2164" s="10" t="n">
        <x:v>145459.9379947229</x:v>
      </x:c>
      <x:c r="O2164" s="9" t="n">
        <x:v>0.1150131769</x:v>
      </x:c>
      <x:c r="P2164" s="9" t="n">
        <x:v>0.5620817844</x:v>
      </x:c>
      <x:c r="Q2164" s="9" t="n">
        <x:v>0.1657992565</x:v>
      </x:c>
      <x:c r="R2164" s="3" t="b">
        <x:v>0</x:v>
      </x:c>
      <x:c r="S2164" s="3" t="b">
        <x:v>0</x:v>
      </x:c>
      <x:c r="T2164" s="3" t="b">
        <x:v>0</x:v>
      </x:c>
      <x:c r="U2164" s="2" t="str">
        <x:f>IF(T2164=TRUE,"Priority review",IF(R2164=TRUE,"High cost",IF(S2164=TRUE,"Low quality","Benchmark")))</x:f>
        <x:v>Benchmark</x:v>
      </x:c>
    </x:row>
    <x:row r="2165">
      <x:c r="A2165" s="2" t="str">
        <x:v>420053</x:v>
      </x:c>
      <x:c r="B2165" s="2" t="str">
        <x:v>NEWBERRY COUNTY MEMORIAL HOSPITAL</x:v>
      </x:c>
      <x:c r="C2165" s="2" t="str">
        <x:v>NEWBERRY</x:v>
      </x:c>
      <x:c r="D2165" s="2" t="str">
        <x:v>SC</x:v>
      </x:c>
      <x:c r="E2165" s="2" t="str">
        <x:v>Acute Care Hospitals</x:v>
      </x:c>
      <x:c r="F2165" s="2" t="str">
        <x:v>Voluntary non-profit</x:v>
      </x:c>
      <x:c r="G2165" s="2" t="str">
        <x:v>Small (&lt;100 beds)</x:v>
      </x:c>
      <x:c r="H2165" s="7" t="n">
        <x:v>3</x:v>
      </x:c>
      <x:c r="I2165" s="7" t="n">
        <x:v>4</x:v>
      </x:c>
      <x:c r="J2165" s="7" t="n">
        <x:v>1.01</x:v>
      </x:c>
      <x:c r="K2165" s="8" t="n">
        <x:v>48</x:v>
      </x:c>
      <x:c r="L2165" s="8" t="n">
        <x:v>1191</x:v>
      </x:c>
      <x:c r="M2165" s="9" t="n">
        <x:v>0.2832191781</x:v>
      </x:c>
      <x:c r="N2165" s="10" t="n">
        <x:v>58189.201511335</x:v>
      </x:c>
      <x:c r="O2165" s="9" t="n">
        <x:v>-0.2636279538</x:v>
      </x:c>
      <x:c r="P2165" s="9" t="n">
        <x:v>0.5619389587</x:v>
      </x:c>
      <x:c r="Q2165" s="9" t="n">
        <x:v>0.1687612208</x:v>
      </x:c>
      <x:c r="R2165" s="3" t="b">
        <x:v>0</x:v>
      </x:c>
      <x:c r="S2165" s="3" t="b">
        <x:v>0</x:v>
      </x:c>
      <x:c r="T2165" s="3" t="b">
        <x:v>0</x:v>
      </x:c>
      <x:c r="U2165" s="2" t="str">
        <x:f>IF(T2165=TRUE,"Priority review",IF(R2165=TRUE,"High cost",IF(S2165=TRUE,"Low quality","Benchmark")))</x:f>
        <x:v>Benchmark</x:v>
      </x:c>
    </x:row>
    <x:row r="2166">
      <x:c r="A2166" s="2" t="str">
        <x:v>050455</x:v>
      </x:c>
      <x:c r="B2166" s="2" t="str">
        <x:v>ADVENTIST HEALTH BAKERSFIELD</x:v>
      </x:c>
      <x:c r="C2166" s="2" t="str">
        <x:v>BAKERSFIELD</x:v>
      </x:c>
      <x:c r="D2166" s="2" t="str">
        <x:v>CA</x:v>
      </x:c>
      <x:c r="E2166" s="2" t="str">
        <x:v>Acute Care Hospitals</x:v>
      </x:c>
      <x:c r="F2166" s="2" t="str">
        <x:v>Voluntary non-profit</x:v>
      </x:c>
      <x:c r="G2166" s="2" t="str">
        <x:v>Medium (100-299 beds)</x:v>
      </x:c>
      <x:c r="H2166" s="7" t="n">
        <x:v>2</x:v>
      </x:c>
      <x:c r="I2166" s="7" t="n">
        <x:v>3</x:v>
      </x:c>
      <x:c r="J2166" s="7" t="n">
        <x:v>1.09</x:v>
      </x:c>
      <x:c r="K2166" s="8" t="n">
        <x:v>254</x:v>
      </x:c>
      <x:c r="L2166" s="8" t="n">
        <x:v>20274</x:v>
      </x:c>
      <x:c r="M2166" s="9" t="n">
        <x:v>0.8036982058</x:v>
      </x:c>
      <x:c r="N2166" s="10" t="n">
        <x:v>36224.4995067574</x:v>
      </x:c>
      <x:c r="O2166" s="9" t="n">
        <x:v>-0.0545305279</x:v>
      </x:c>
      <x:c r="P2166" s="9" t="n">
        <x:v>0.5615321923</x:v>
      </x:c>
      <x:c r="Q2166" s="9" t="n">
        <x:v>0.0782396088</x:v>
      </x:c>
      <x:c r="R2166" s="3" t="b">
        <x:v>0</x:v>
      </x:c>
      <x:c r="S2166" s="3" t="b">
        <x:v>1</x:v>
      </x:c>
      <x:c r="T2166" s="3" t="b">
        <x:v>0</x:v>
      </x:c>
      <x:c r="U2166" s="2" t="str">
        <x:f>IF(T2166=TRUE,"Priority review",IF(R2166=TRUE,"High cost",IF(S2166=TRUE,"Low quality","Benchmark")))</x:f>
        <x:v>Low quality</x:v>
      </x:c>
    </x:row>
    <x:row r="2167">
      <x:c r="A2167" s="2" t="str">
        <x:v>330009</x:v>
      </x:c>
      <x:c r="B2167" s="2" t="str">
        <x:v>BRONXCARE HOSPITAL CENTER</x:v>
      </x:c>
      <x:c r="C2167" s="2" t="str">
        <x:v>BRONX</x:v>
      </x:c>
      <x:c r="D2167" s="2" t="str">
        <x:v>NY</x:v>
      </x:c>
      <x:c r="E2167" s="2" t="str">
        <x:v>Acute Care Hospitals</x:v>
      </x:c>
      <x:c r="F2167" s="2" t="str">
        <x:v>Voluntary non-profit</x:v>
      </x:c>
      <x:c r="G2167" s="2" t="str">
        <x:v>Large (300+ beds)</x:v>
      </x:c>
      <x:c r="H2167" s="7" t="n">
        <x:v>1</x:v>
      </x:c>
      <x:c r="I2167" s="7" t="n">
        <x:v>2</x:v>
      </x:c>
      <x:c r="J2167" s="7" t="n">
        <x:v>0.96</x:v>
      </x:c>
      <x:c r="K2167" s="8" t="n">
        <x:v>454</x:v>
      </x:c>
      <x:c r="L2167" s="8" t="n">
        <x:v>23905</x:v>
      </x:c>
      <x:c r="M2167" s="9" t="n">
        <x:v>0.7939686093</x:v>
      </x:c>
      <x:c r="N2167" s="10" t="n">
        <x:v>41345.7439029492</x:v>
      </x:c>
      <x:c r="O2167" s="9" t="n">
        <x:v>-0.0024474751</x:v>
      </x:c>
      <x:c r="P2167" s="9" t="n">
        <x:v>0.5615141956</x:v>
      </x:c>
      <x:c r="Q2167" s="9" t="n">
        <x:v>0</x:v>
      </x:c>
      <x:c r="R2167" s="3" t="b">
        <x:v>0</x:v>
      </x:c>
      <x:c r="S2167" s="3" t="b">
        <x:v>1</x:v>
      </x:c>
      <x:c r="T2167" s="3" t="b">
        <x:v>0</x:v>
      </x:c>
      <x:c r="U2167" s="2" t="str">
        <x:f>IF(T2167=TRUE,"Priority review",IF(R2167=TRUE,"High cost",IF(S2167=TRUE,"Low quality","Benchmark")))</x:f>
        <x:v>Low quality</x:v>
      </x:c>
    </x:row>
    <x:row r="2168">
      <x:c r="A2168" s="2" t="str">
        <x:v>671300</x:v>
      </x:c>
      <x:c r="B2168" s="2" t="str">
        <x:v>GRAHAM REGIONAL MEDICAL CENTER</x:v>
      </x:c>
      <x:c r="C2168" s="2" t="str">
        <x:v>GRAHAM</x:v>
      </x:c>
      <x:c r="D2168" s="2" t="str">
        <x:v>TX</x:v>
      </x:c>
      <x:c r="E2168" s="2" t="str">
        <x:v>Critical Access Hospitals</x:v>
      </x:c>
      <x:c r="F2168" s="2" t="str">
        <x:v>Government</x:v>
      </x:c>
      <x:c r="G2168" s="2" t="str">
        <x:v>Small (&lt;100 beds)</x:v>
      </x:c>
      <x:c r="H2168" s="7"/>
      <x:c r="I2168" s="7"/>
      <x:c r="J2168" s="7"/>
      <x:c r="K2168" s="8" t="n">
        <x:v>25</x:v>
      </x:c>
      <x:c r="L2168" s="8" t="n">
        <x:v>185</x:v>
      </x:c>
      <x:c r="M2168" s="9" t="n">
        <x:v>0.0946448087</x:v>
      </x:c>
      <x:c r="N2168" s="10" t="n">
        <x:v>145276.3837837838</x:v>
      </x:c>
      <x:c r="O2168" s="9" t="n">
        <x:v>-0.2731062495</x:v>
      </x:c>
      <x:c r="P2168" s="9" t="n">
        <x:v>0.56133829</x:v>
      </x:c>
      <x:c r="Q2168" s="9" t="n">
        <x:v>0.292936803</x:v>
      </x:c>
      <x:c r="R2168" s="3" t="b">
        <x:v>0</x:v>
      </x:c>
      <x:c r="S2168" s="3" t="b">
        <x:v>0</x:v>
      </x:c>
      <x:c r="T2168" s="3" t="b">
        <x:v>0</x:v>
      </x:c>
      <x:c r="U2168" s="2" t="str">
        <x:f>IF(T2168=TRUE,"Priority review",IF(R2168=TRUE,"High cost",IF(S2168=TRUE,"Low quality","Benchmark")))</x:f>
        <x:v>Benchmark</x:v>
      </x:c>
    </x:row>
    <x:row r="2169">
      <x:c r="A2169" s="2" t="str">
        <x:v>010045</x:v>
      </x:c>
      <x:c r="B2169" s="2" t="str">
        <x:v>FAYETTE MEDICAL CENTER</x:v>
      </x:c>
      <x:c r="C2169" s="2" t="str">
        <x:v>FAYETTE</x:v>
      </x:c>
      <x:c r="D2169" s="2" t="str">
        <x:v>AL</x:v>
      </x:c>
      <x:c r="E2169" s="2" t="str">
        <x:v>Acute Care Hospitals</x:v>
      </x:c>
      <x:c r="F2169" s="2" t="str">
        <x:v>Voluntary non-profit</x:v>
      </x:c>
      <x:c r="G2169" s="2" t="str">
        <x:v>Small (&lt;100 beds)</x:v>
      </x:c>
      <x:c r="H2169" s="7" t="n">
        <x:v>4</x:v>
      </x:c>
      <x:c r="I2169" s="7" t="n">
        <x:v>5</x:v>
      </x:c>
      <x:c r="J2169" s="7" t="n">
        <x:v>0.93</x:v>
      </x:c>
      <x:c r="K2169" s="8" t="n">
        <x:v>34</x:v>
      </x:c>
      <x:c r="L2169" s="8" t="n">
        <x:v>539</x:v>
      </x:c>
      <x:c r="M2169" s="9" t="n">
        <x:v>0.2517679203</x:v>
      </x:c>
      <x:c r="N2169" s="10" t="n">
        <x:v>58179.3506493507</x:v>
      </x:c>
      <x:c r="O2169" s="9" t="n">
        <x:v>-0.1574656731</x:v>
      </x:c>
      <x:c r="P2169" s="9" t="n">
        <x:v>0.5610412926</x:v>
      </x:c>
      <x:c r="Q2169" s="9" t="n">
        <x:v>0.3913824057</x:v>
      </x:c>
      <x:c r="R2169" s="3" t="b">
        <x:v>0</x:v>
      </x:c>
      <x:c r="S2169" s="3" t="b">
        <x:v>0</x:v>
      </x:c>
      <x:c r="T2169" s="3" t="b">
        <x:v>0</x:v>
      </x:c>
      <x:c r="U2169" s="2" t="str">
        <x:f>IF(T2169=TRUE,"Priority review",IF(R2169=TRUE,"High cost",IF(S2169=TRUE,"Low quality","Benchmark")))</x:f>
        <x:v>Benchmark</x:v>
      </x:c>
    </x:row>
    <x:row r="2170">
      <x:c r="A2170" s="2" t="str">
        <x:v>210022</x:v>
      </x:c>
      <x:c r="B2170" s="2" t="str">
        <x:v>SUBURBAN HOSPITAL</x:v>
      </x:c>
      <x:c r="C2170" s="2" t="str">
        <x:v>BETHESDA</x:v>
      </x:c>
      <x:c r="D2170" s="2" t="str">
        <x:v>MD</x:v>
      </x:c>
      <x:c r="E2170" s="2" t="str">
        <x:v>Acute Care Hospitals</x:v>
      </x:c>
      <x:c r="F2170" s="2" t="str">
        <x:v>Voluntary non-profit</x:v>
      </x:c>
      <x:c r="G2170" s="2" t="str">
        <x:v>Medium (100-299 beds)</x:v>
      </x:c>
      <x:c r="H2170" s="7" t="n">
        <x:v>4</x:v>
      </x:c>
      <x:c r="I2170" s="7" t="n">
        <x:v>3</x:v>
      </x:c>
      <x:c r="J2170" s="7"/>
      <x:c r="K2170" s="8" t="n">
        <x:v>253</x:v>
      </x:c>
      <x:c r="L2170" s="8" t="n">
        <x:v>11534</x:v>
      </x:c>
      <x:c r="M2170" s="9" t="n">
        <x:v>0.6797119498</x:v>
      </x:c>
      <x:c r="N2170" s="10" t="n">
        <x:v>36223.5316455696</x:v>
      </x:c>
      <x:c r="O2170" s="9" t="n">
        <x:v>-0.070435283</x:v>
      </x:c>
      <x:c r="P2170" s="9" t="n">
        <x:v>0.5607171964</x:v>
      </x:c>
      <x:c r="Q2170" s="9" t="n">
        <x:v>0.6022819886</x:v>
      </x:c>
      <x:c r="R2170" s="3" t="b">
        <x:v>0</x:v>
      </x:c>
      <x:c r="S2170" s="3" t="b">
        <x:v>0</x:v>
      </x:c>
      <x:c r="T2170" s="3" t="b">
        <x:v>0</x:v>
      </x:c>
      <x:c r="U2170" s="2" t="str">
        <x:f>IF(T2170=TRUE,"Priority review",IF(R2170=TRUE,"High cost",IF(S2170=TRUE,"Low quality","Benchmark")))</x:f>
        <x:v>Benchmark</x:v>
      </x:c>
    </x:row>
    <x:row r="2171">
      <x:c r="A2171" s="2" t="str">
        <x:v>241359</x:v>
      </x:c>
      <x:c r="B2171" s="2" t="str">
        <x:v>AVERA MARSHALL REGIONAL MEDICAL CTR</x:v>
      </x:c>
      <x:c r="C2171" s="2" t="str">
        <x:v>MARSHALL</x:v>
      </x:c>
      <x:c r="D2171" s="2" t="str">
        <x:v>MN</x:v>
      </x:c>
      <x:c r="E2171" s="2" t="str">
        <x:v>Critical Access Hospitals</x:v>
      </x:c>
      <x:c r="F2171" s="2" t="str">
        <x:v>Voluntary non-profit</x:v>
      </x:c>
      <x:c r="G2171" s="2" t="str">
        <x:v>Small (&lt;100 beds)</x:v>
      </x:c>
      <x:c r="H2171" s="7"/>
      <x:c r="I2171" s="7" t="n">
        <x:v>4</x:v>
      </x:c>
      <x:c r="J2171" s="7"/>
      <x:c r="K2171" s="8" t="n">
        <x:v>25</x:v>
      </x:c>
      <x:c r="L2171" s="8" t="n">
        <x:v>1097</x:v>
      </x:c>
      <x:c r="M2171" s="9" t="n">
        <x:v>0.399890411</x:v>
      </x:c>
      <x:c r="N2171" s="10" t="n">
        <x:v>144448.22698268</x:v>
      </x:c>
      <x:c r="O2171" s="9" t="n">
        <x:v>-0.0224633539</x:v>
      </x:c>
      <x:c r="P2171" s="9" t="n">
        <x:v>0.5605947955</x:v>
      </x:c>
      <x:c r="Q2171" s="9" t="n">
        <x:v>0.292936803</x:v>
      </x:c>
      <x:c r="R2171" s="3" t="b">
        <x:v>0</x:v>
      </x:c>
      <x:c r="S2171" s="3" t="b">
        <x:v>0</x:v>
      </x:c>
      <x:c r="T2171" s="3" t="b">
        <x:v>0</x:v>
      </x:c>
      <x:c r="U2171" s="2" t="str">
        <x:f>IF(T2171=TRUE,"Priority review",IF(R2171=TRUE,"High cost",IF(S2171=TRUE,"Low quality","Benchmark")))</x:f>
        <x:v>Benchmark</x:v>
      </x:c>
    </x:row>
    <x:row r="2172">
      <x:c r="A2172" s="2" t="str">
        <x:v>360029</x:v>
      </x:c>
      <x:c r="B2172" s="2" t="str">
        <x:v>WOOD COUNTY HOSPITAL</x:v>
      </x:c>
      <x:c r="C2172" s="2" t="str">
        <x:v>BOWLING GREEN</x:v>
      </x:c>
      <x:c r="D2172" s="2" t="str">
        <x:v>OH</x:v>
      </x:c>
      <x:c r="E2172" s="2" t="str">
        <x:v>Acute Care Hospitals</x:v>
      </x:c>
      <x:c r="F2172" s="2" t="str">
        <x:v>Voluntary non-profit</x:v>
      </x:c>
      <x:c r="G2172" s="2" t="str">
        <x:v>Small (&lt;100 beds)</x:v>
      </x:c>
      <x:c r="H2172" s="7" t="n">
        <x:v>4</x:v>
      </x:c>
      <x:c r="I2172" s="7" t="n">
        <x:v>4</x:v>
      </x:c>
      <x:c r="J2172" s="7" t="n">
        <x:v>0.97</x:v>
      </x:c>
      <x:c r="K2172" s="8" t="n">
        <x:v>99</x:v>
      </x:c>
      <x:c r="L2172" s="8" t="n">
        <x:v>2000</x:v>
      </x:c>
      <x:c r="M2172" s="9" t="n">
        <x:v>0.1845302338</x:v>
      </x:c>
      <x:c r="N2172" s="10" t="n">
        <x:v>57975.008</x:v>
      </x:c>
      <x:c r="O2172" s="9" t="n">
        <x:v>-0.0302118765</x:v>
      </x:c>
      <x:c r="P2172" s="9" t="n">
        <x:v>0.5601436266</x:v>
      </x:c>
      <x:c r="Q2172" s="9" t="n">
        <x:v>0.3913824057</x:v>
      </x:c>
      <x:c r="R2172" s="3" t="b">
        <x:v>0</x:v>
      </x:c>
      <x:c r="S2172" s="3" t="b">
        <x:v>0</x:v>
      </x:c>
      <x:c r="T2172" s="3" t="b">
        <x:v>0</x:v>
      </x:c>
      <x:c r="U2172" s="2" t="str">
        <x:f>IF(T2172=TRUE,"Priority review",IF(R2172=TRUE,"High cost",IF(S2172=TRUE,"Low quality","Benchmark")))</x:f>
        <x:v>Benchmark</x:v>
      </x:c>
    </x:row>
    <x:row r="2173">
      <x:c r="A2173" s="2" t="str">
        <x:v>214004</x:v>
      </x:c>
      <x:c r="B2173" s="2" t="str">
        <x:v>SPRINGFIELD HOSPITAL CENTER</x:v>
      </x:c>
      <x:c r="C2173" s="2" t="str">
        <x:v>SYKESVILLE</x:v>
      </x:c>
      <x:c r="D2173" s="2" t="str">
        <x:v>MD</x:v>
      </x:c>
      <x:c r="E2173" s="2" t="str">
        <x:v>Psychiatric</x:v>
      </x:c>
      <x:c r="F2173" s="2" t="str">
        <x:v>Government</x:v>
      </x:c>
      <x:c r="G2173" s="2" t="str">
        <x:v>Large (300+ beds)</x:v>
      </x:c>
      <x:c r="H2173" s="7"/>
      <x:c r="I2173" s="7"/>
      <x:c r="J2173" s="7"/>
      <x:c r="K2173" s="8" t="n">
        <x:v>522</x:v>
      </x:c>
      <x:c r="L2173" s="8" t="n">
        <x:v>289</x:v>
      </x:c>
      <x:c r="M2173" s="9" t="n">
        <x:v>0.4106649871</x:v>
      </x:c>
      <x:c r="N2173" s="10" t="n">
        <x:v>394361.2422145329</x:v>
      </x:c>
      <x:c r="O2173" s="9"/>
      <x:c r="P2173" s="9" t="n">
        <x:v>0.56</x:v>
      </x:c>
      <x:c r="Q2173" s="9" t="n">
        <x:v>0</x:v>
      </x:c>
      <x:c r="R2173" s="3" t="b">
        <x:v>0</x:v>
      </x:c>
      <x:c r="S2173" s="3" t="b">
        <x:v>0</x:v>
      </x:c>
      <x:c r="T2173" s="3" t="b">
        <x:v>0</x:v>
      </x:c>
      <x:c r="U2173" s="2" t="str">
        <x:f>IF(T2173=TRUE,"Priority review",IF(R2173=TRUE,"High cost",IF(S2173=TRUE,"Low quality","Benchmark")))</x:f>
        <x:v>Benchmark</x:v>
      </x:c>
    </x:row>
    <x:row r="2174">
      <x:c r="A2174" s="2" t="str">
        <x:v>440015</x:v>
      </x:c>
      <x:c r="B2174" s="2" t="str">
        <x:v>UNIVERSITY HEALTH SYSTEM, INC</x:v>
      </x:c>
      <x:c r="C2174" s="2" t="str">
        <x:v>KNOXVILLE</x:v>
      </x:c>
      <x:c r="D2174" s="2" t="str">
        <x:v>TN</x:v>
      </x:c>
      <x:c r="E2174" s="2" t="str">
        <x:v>Acute Care Hospitals</x:v>
      </x:c>
      <x:c r="F2174" s="2" t="str">
        <x:v>Voluntary non-profit</x:v>
      </x:c>
      <x:c r="G2174" s="2" t="str">
        <x:v>Large (300+ beds)</x:v>
      </x:c>
      <x:c r="H2174" s="7" t="n">
        <x:v>4</x:v>
      </x:c>
      <x:c r="I2174" s="7" t="n">
        <x:v>3</x:v>
      </x:c>
      <x:c r="J2174" s="7" t="n">
        <x:v>0.99</x:v>
      </x:c>
      <x:c r="K2174" s="8" t="n">
        <x:v>698</x:v>
      </x:c>
      <x:c r="L2174" s="8" t="n">
        <x:v>37460</x:v>
      </x:c>
      <x:c r="M2174" s="9" t="n">
        <x:v>0.7746410509</x:v>
      </x:c>
      <x:c r="N2174" s="10" t="n">
        <x:v>41304.6615323011</x:v>
      </x:c>
      <x:c r="O2174" s="9" t="n">
        <x:v>-0.1968828061</x:v>
      </x:c>
      <x:c r="P2174" s="9" t="n">
        <x:v>0.5599369085</x:v>
      </x:c>
      <x:c r="Q2174" s="9" t="n">
        <x:v>0.5899053628</x:v>
      </x:c>
      <x:c r="R2174" s="3" t="b">
        <x:v>0</x:v>
      </x:c>
      <x:c r="S2174" s="3" t="b">
        <x:v>0</x:v>
      </x:c>
      <x:c r="T2174" s="3" t="b">
        <x:v>0</x:v>
      </x:c>
      <x:c r="U2174" s="2" t="str">
        <x:f>IF(T2174=TRUE,"Priority review",IF(R2174=TRUE,"High cost",IF(S2174=TRUE,"Low quality","Benchmark")))</x:f>
        <x:v>Benchmark</x:v>
      </x:c>
    </x:row>
    <x:row r="2175">
      <x:c r="A2175" s="2" t="str">
        <x:v>050444</x:v>
      </x:c>
      <x:c r="B2175" s="2" t="str">
        <x:v>MERCY MEDICAL CENTER</x:v>
      </x:c>
      <x:c r="C2175" s="2" t="str">
        <x:v>MERCED</x:v>
      </x:c>
      <x:c r="D2175" s="2" t="str">
        <x:v>CA</x:v>
      </x:c>
      <x:c r="E2175" s="2" t="str">
        <x:v>Acute Care Hospitals</x:v>
      </x:c>
      <x:c r="F2175" s="2" t="str">
        <x:v>Voluntary non-profit</x:v>
      </x:c>
      <x:c r="G2175" s="2" t="str">
        <x:v>Medium (100-299 beds)</x:v>
      </x:c>
      <x:c r="H2175" s="7" t="n">
        <x:v>3</x:v>
      </x:c>
      <x:c r="I2175" s="7" t="n">
        <x:v>3</x:v>
      </x:c>
      <x:c r="J2175" s="7" t="n">
        <x:v>0.95</x:v>
      </x:c>
      <x:c r="K2175" s="8" t="n">
        <x:v>186</x:v>
      </x:c>
      <x:c r="L2175" s="8" t="n">
        <x:v>10960</x:v>
      </x:c>
      <x:c r="M2175" s="9" t="n">
        <x:v>0.7898954191</x:v>
      </x:c>
      <x:c r="N2175" s="10" t="n">
        <x:v>36165.661770073</x:v>
      </x:c>
      <x:c r="O2175" s="9" t="n">
        <x:v>0.0812979248</x:v>
      </x:c>
      <x:c r="P2175" s="9" t="n">
        <x:v>0.5599022005</x:v>
      </x:c>
      <x:c r="Q2175" s="9" t="n">
        <x:v>0.3023634882</x:v>
      </x:c>
      <x:c r="R2175" s="3" t="b">
        <x:v>0</x:v>
      </x:c>
      <x:c r="S2175" s="3" t="b">
        <x:v>0</x:v>
      </x:c>
      <x:c r="T2175" s="3" t="b">
        <x:v>0</x:v>
      </x:c>
      <x:c r="U2175" s="2" t="str">
        <x:f>IF(T2175=TRUE,"Priority review",IF(R2175=TRUE,"High cost",IF(S2175=TRUE,"Low quality","Benchmark")))</x:f>
        <x:v>Benchmark</x:v>
      </x:c>
    </x:row>
    <x:row r="2176">
      <x:c r="A2176" s="2" t="str">
        <x:v>154066</x:v>
      </x:c>
      <x:c r="B2176" s="2" t="str">
        <x:v>BRIGHTWELL BEHAVIORAL HEALTH</x:v>
      </x:c>
      <x:c r="C2176" s="2" t="str">
        <x:v>CLARKSVILLE</x:v>
      </x:c>
      <x:c r="D2176" s="2" t="str">
        <x:v>IN</x:v>
      </x:c>
      <x:c r="E2176" s="2" t="str">
        <x:v>Psychiatric</x:v>
      </x:c>
      <x:c r="F2176" s="2" t="str">
        <x:v>Proprietary</x:v>
      </x:c>
      <x:c r="G2176" s="2" t="str">
        <x:v>Small (&lt;100 beds)</x:v>
      </x:c>
      <x:c r="H2176" s="7"/>
      <x:c r="I2176" s="7"/>
      <x:c r="J2176" s="7"/>
      <x:c r="K2176" s="8" t="n">
        <x:v>22</x:v>
      </x:c>
      <x:c r="L2176" s="8" t="n">
        <x:v>474</x:v>
      </x:c>
      <x:c r="M2176" s="9" t="n">
        <x:v>0.8097367114</x:v>
      </x:c>
      <x:c r="N2176" s="10" t="n">
        <x:v>13353.5611814346</x:v>
      </x:c>
      <x:c r="O2176" s="9" t="n">
        <x:v>-0.0235244845</x:v>
      </x:c>
      <x:c r="P2176" s="9" t="n">
        <x:v>0.5598705502</x:v>
      </x:c>
      <x:c r="Q2176" s="9" t="n">
        <x:v>0</x:v>
      </x:c>
      <x:c r="R2176" s="3" t="b">
        <x:v>0</x:v>
      </x:c>
      <x:c r="S2176" s="3" t="b">
        <x:v>0</x:v>
      </x:c>
      <x:c r="T2176" s="3" t="b">
        <x:v>0</x:v>
      </x:c>
      <x:c r="U2176" s="2" t="str">
        <x:f>IF(T2176=TRUE,"Priority review",IF(R2176=TRUE,"High cost",IF(S2176=TRUE,"Low quality","Benchmark")))</x:f>
        <x:v>Benchmark</x:v>
      </x:c>
    </x:row>
    <x:row r="2177">
      <x:c r="A2177" s="2" t="str">
        <x:v>371313</x:v>
      </x:c>
      <x:c r="B2177" s="2" t="str">
        <x:v>MERCY HOSPITAL KINGFISHER, INC</x:v>
      </x:c>
      <x:c r="C2177" s="2" t="str">
        <x:v>KINGFISHER</x:v>
      </x:c>
      <x:c r="D2177" s="2" t="str">
        <x:v>OK</x:v>
      </x:c>
      <x:c r="E2177" s="2" t="str">
        <x:v>Critical Access Hospitals</x:v>
      </x:c>
      <x:c r="F2177" s="2" t="str">
        <x:v>Voluntary non-profit</x:v>
      </x:c>
      <x:c r="G2177" s="2" t="str">
        <x:v>Small (&lt;100 beds)</x:v>
      </x:c>
      <x:c r="H2177" s="7"/>
      <x:c r="I2177" s="7"/>
      <x:c r="J2177" s="7"/>
      <x:c r="K2177" s="8" t="n">
        <x:v>25</x:v>
      </x:c>
      <x:c r="L2177" s="8" t="n">
        <x:v>128</x:v>
      </x:c>
      <x:c r="M2177" s="9" t="n">
        <x:v>0.5694246575</x:v>
      </x:c>
      <x:c r="N2177" s="10" t="n">
        <x:v>144133.796875</x:v>
      </x:c>
      <x:c r="O2177" s="9" t="n">
        <x:v>0.1374490294</x:v>
      </x:c>
      <x:c r="P2177" s="9" t="n">
        <x:v>0.5598513011</x:v>
      </x:c>
      <x:c r="Q2177" s="9" t="n">
        <x:v>0.292936803</x:v>
      </x:c>
      <x:c r="R2177" s="3" t="b">
        <x:v>0</x:v>
      </x:c>
      <x:c r="S2177" s="3" t="b">
        <x:v>0</x:v>
      </x:c>
      <x:c r="T2177" s="3" t="b">
        <x:v>0</x:v>
      </x:c>
      <x:c r="U2177" s="2" t="str">
        <x:f>IF(T2177=TRUE,"Priority review",IF(R2177=TRUE,"High cost",IF(S2177=TRUE,"Low quality","Benchmark")))</x:f>
        <x:v>Benchmark</x:v>
      </x:c>
    </x:row>
    <x:row r="2178">
      <x:c r="A2178" s="2" t="str">
        <x:v>050131</x:v>
      </x:c>
      <x:c r="B2178" s="2" t="str">
        <x:v>NOVATO COMMUNITY HOSPITAL</x:v>
      </x:c>
      <x:c r="C2178" s="2" t="str">
        <x:v>NOVATO</x:v>
      </x:c>
      <x:c r="D2178" s="2" t="str">
        <x:v>CA</x:v>
      </x:c>
      <x:c r="E2178" s="2" t="str">
        <x:v>Acute Care Hospitals</x:v>
      </x:c>
      <x:c r="F2178" s="2" t="str">
        <x:v>Voluntary non-profit</x:v>
      </x:c>
      <x:c r="G2178" s="2" t="str">
        <x:v>Small (&lt;100 beds)</x:v>
      </x:c>
      <x:c r="H2178" s="7" t="n">
        <x:v>5</x:v>
      </x:c>
      <x:c r="I2178" s="7" t="n">
        <x:v>4</x:v>
      </x:c>
      <x:c r="J2178" s="7" t="n">
        <x:v>0.93</x:v>
      </x:c>
      <x:c r="K2178" s="8" t="n">
        <x:v>47</x:v>
      </x:c>
      <x:c r="L2178" s="8" t="n">
        <x:v>1913</x:v>
      </x:c>
      <x:c r="M2178" s="9" t="n">
        <x:v>0.3695500523</x:v>
      </x:c>
      <x:c r="N2178" s="10" t="n">
        <x:v>57853.4296915839</x:v>
      </x:c>
      <x:c r="O2178" s="9" t="n">
        <x:v>0.0369164081</x:v>
      </x:c>
      <x:c r="P2178" s="9" t="n">
        <x:v>0.5592459605</x:v>
      </x:c>
      <x:c r="Q2178" s="9" t="n">
        <x:v>0.6131059246</x:v>
      </x:c>
      <x:c r="R2178" s="3" t="b">
        <x:v>0</x:v>
      </x:c>
      <x:c r="S2178" s="3" t="b">
        <x:v>0</x:v>
      </x:c>
      <x:c r="T2178" s="3" t="b">
        <x:v>0</x:v>
      </x:c>
      <x:c r="U2178" s="2" t="str">
        <x:f>IF(T2178=TRUE,"Priority review",IF(R2178=TRUE,"High cost",IF(S2178=TRUE,"Low quality","Benchmark")))</x:f>
        <x:v>Benchmark</x:v>
      </x:c>
    </x:row>
    <x:row r="2179">
      <x:c r="A2179" s="2" t="str">
        <x:v>161372</x:v>
      </x:c>
      <x:c r="B2179" s="2" t="str">
        <x:v>BOONE COUNTY HOSPITAL</x:v>
      </x:c>
      <x:c r="C2179" s="2" t="str">
        <x:v>BOONE</x:v>
      </x:c>
      <x:c r="D2179" s="2" t="str">
        <x:v>IA</x:v>
      </x:c>
      <x:c r="E2179" s="2" t="str">
        <x:v>Critical Access Hospitals</x:v>
      </x:c>
      <x:c r="F2179" s="2" t="str">
        <x:v>Voluntary non-profit</x:v>
      </x:c>
      <x:c r="G2179" s="2" t="str">
        <x:v>Small (&lt;100 beds)</x:v>
      </x:c>
      <x:c r="H2179" s="7"/>
      <x:c r="I2179" s="7"/>
      <x:c r="J2179" s="7"/>
      <x:c r="K2179" s="8" t="n">
        <x:v>25</x:v>
      </x:c>
      <x:c r="L2179" s="8" t="n">
        <x:v>403</x:v>
      </x:c>
      <x:c r="M2179" s="9" t="n">
        <x:v>0.279890411</x:v>
      </x:c>
      <x:c r="N2179" s="10" t="n">
        <x:v>143875.2282878412</x:v>
      </x:c>
      <x:c r="O2179" s="9" t="n">
        <x:v>0.0031076571</x:v>
      </x:c>
      <x:c r="P2179" s="9" t="n">
        <x:v>0.5591078067</x:v>
      </x:c>
      <x:c r="Q2179" s="9" t="n">
        <x:v>0.292936803</x:v>
      </x:c>
      <x:c r="R2179" s="3" t="b">
        <x:v>0</x:v>
      </x:c>
      <x:c r="S2179" s="3" t="b">
        <x:v>0</x:v>
      </x:c>
      <x:c r="T2179" s="3" t="b">
        <x:v>0</x:v>
      </x:c>
      <x:c r="U2179" s="2" t="str">
        <x:f>IF(T2179=TRUE,"Priority review",IF(R2179=TRUE,"High cost",IF(S2179=TRUE,"Low quality","Benchmark")))</x:f>
        <x:v>Benchmark</x:v>
      </x:c>
    </x:row>
    <x:row r="2180">
      <x:c r="A2180" s="2" t="str">
        <x:v>360218</x:v>
      </x:c>
      <x:c r="B2180" s="2" t="str">
        <x:v>LICKING MEMORIAL HOSPITAL</x:v>
      </x:c>
      <x:c r="C2180" s="2" t="str">
        <x:v>NEWARK</x:v>
      </x:c>
      <x:c r="D2180" s="2" t="str">
        <x:v>OH</x:v>
      </x:c>
      <x:c r="E2180" s="2" t="str">
        <x:v>Acute Care Hospitals</x:v>
      </x:c>
      <x:c r="F2180" s="2" t="str">
        <x:v>Voluntary non-profit</x:v>
      </x:c>
      <x:c r="G2180" s="2" t="str">
        <x:v>Medium (100-299 beds)</x:v>
      </x:c>
      <x:c r="H2180" s="7" t="n">
        <x:v>2</x:v>
      </x:c>
      <x:c r="I2180" s="7" t="n">
        <x:v>3</x:v>
      </x:c>
      <x:c r="J2180" s="7" t="n">
        <x:v>1</x:v>
      </x:c>
      <x:c r="K2180" s="8" t="n">
        <x:v>219</x:v>
      </x:c>
      <x:c r="L2180" s="8" t="n">
        <x:v>8039</x:v>
      </x:c>
      <x:c r="M2180" s="9" t="n">
        <x:v>0.3415051027</x:v>
      </x:c>
      <x:c r="N2180" s="10" t="n">
        <x:v>36153.196666252</x:v>
      </x:c>
      <x:c r="O2180" s="9" t="n">
        <x:v>0.1893604529</x:v>
      </x:c>
      <x:c r="P2180" s="9" t="n">
        <x:v>0.5590872046</x:v>
      </x:c>
      <x:c r="Q2180" s="9" t="n">
        <x:v>0.0782396088</x:v>
      </x:c>
      <x:c r="R2180" s="3" t="b">
        <x:v>0</x:v>
      </x:c>
      <x:c r="S2180" s="3" t="b">
        <x:v>1</x:v>
      </x:c>
      <x:c r="T2180" s="3" t="b">
        <x:v>0</x:v>
      </x:c>
      <x:c r="U2180" s="2" t="str">
        <x:f>IF(T2180=TRUE,"Priority review",IF(R2180=TRUE,"High cost",IF(S2180=TRUE,"Low quality","Benchmark")))</x:f>
        <x:v>Low quality</x:v>
      </x:c>
    </x:row>
    <x:row r="2181">
      <x:c r="A2181" s="2" t="str">
        <x:v>241354</x:v>
      </x:c>
      <x:c r="B2181" s="2" t="str">
        <x:v>ASTERA HEALTH</x:v>
      </x:c>
      <x:c r="C2181" s="2" t="str">
        <x:v>WADENA</x:v>
      </x:c>
      <x:c r="D2181" s="2" t="str">
        <x:v>MN</x:v>
      </x:c>
      <x:c r="E2181" s="2" t="str">
        <x:v>Critical Access Hospitals</x:v>
      </x:c>
      <x:c r="F2181" s="2" t="str">
        <x:v>Voluntary non-profit</x:v>
      </x:c>
      <x:c r="G2181" s="2" t="str">
        <x:v>Small (&lt;100 beds)</x:v>
      </x:c>
      <x:c r="H2181" s="7" t="n">
        <x:v>3</x:v>
      </x:c>
      <x:c r="I2181" s="7" t="n">
        <x:v>4</x:v>
      </x:c>
      <x:c r="J2181" s="7"/>
      <x:c r="K2181" s="8" t="n">
        <x:v>18</x:v>
      </x:c>
      <x:c r="L2181" s="8" t="n">
        <x:v>685</x:v>
      </x:c>
      <x:c r="M2181" s="9" t="n">
        <x:v>0.3705221615</x:v>
      </x:c>
      <x:c r="N2181" s="10" t="n">
        <x:v>143864.4189781022</x:v>
      </x:c>
      <x:c r="O2181" s="9" t="n">
        <x:v>-0.0844865991</x:v>
      </x:c>
      <x:c r="P2181" s="9" t="n">
        <x:v>0.5583643123</x:v>
      </x:c>
      <x:c r="Q2181" s="9" t="n">
        <x:v>0.0765799257</x:v>
      </x:c>
      <x:c r="R2181" s="3" t="b">
        <x:v>0</x:v>
      </x:c>
      <x:c r="S2181" s="3" t="b">
        <x:v>1</x:v>
      </x:c>
      <x:c r="T2181" s="3" t="b">
        <x:v>0</x:v>
      </x:c>
      <x:c r="U2181" s="2" t="str">
        <x:f>IF(T2181=TRUE,"Priority review",IF(R2181=TRUE,"High cost",IF(S2181=TRUE,"Low quality","Benchmark")))</x:f>
        <x:v>Low quality</x:v>
      </x:c>
    </x:row>
    <x:row r="2182">
      <x:c r="A2182" s="2" t="str">
        <x:v>330013</x:v>
      </x:c>
      <x:c r="B2182" s="2" t="str">
        <x:v>ALBANY MEDICAL CENTER HOSPITAL</x:v>
      </x:c>
      <x:c r="C2182" s="2" t="str">
        <x:v>ALBANY</x:v>
      </x:c>
      <x:c r="D2182" s="2" t="str">
        <x:v>NY</x:v>
      </x:c>
      <x:c r="E2182" s="2" t="str">
        <x:v>Acute Care Hospitals</x:v>
      </x:c>
      <x:c r="F2182" s="2" t="str">
        <x:v>Voluntary non-profit</x:v>
      </x:c>
      <x:c r="G2182" s="2" t="str">
        <x:v>Large (300+ beds)</x:v>
      </x:c>
      <x:c r="H2182" s="7" t="n">
        <x:v>1</x:v>
      </x:c>
      <x:c r="I2182" s="7" t="n">
        <x:v>2</x:v>
      </x:c>
      <x:c r="J2182" s="7" t="n">
        <x:v>1</x:v>
      </x:c>
      <x:c r="K2182" s="8" t="n">
        <x:v>719</x:v>
      </x:c>
      <x:c r="L2182" s="8" t="n">
        <x:v>34542</x:v>
      </x:c>
      <x:c r="M2182" s="9" t="n">
        <x:v>0.8803248288</x:v>
      </x:c>
      <x:c r="N2182" s="10" t="n">
        <x:v>41304.0252446297</x:v>
      </x:c>
      <x:c r="O2182" s="9" t="n">
        <x:v>-0.130999923</x:v>
      </x:c>
      <x:c r="P2182" s="9" t="n">
        <x:v>0.5583596215</x:v>
      </x:c>
      <x:c r="Q2182" s="9" t="n">
        <x:v>0</x:v>
      </x:c>
      <x:c r="R2182" s="3" t="b">
        <x:v>0</x:v>
      </x:c>
      <x:c r="S2182" s="3" t="b">
        <x:v>1</x:v>
      </x:c>
      <x:c r="T2182" s="3" t="b">
        <x:v>0</x:v>
      </x:c>
      <x:c r="U2182" s="2" t="str">
        <x:f>IF(T2182=TRUE,"Priority review",IF(R2182=TRUE,"High cost",IF(S2182=TRUE,"Low quality","Benchmark")))</x:f>
        <x:v>Low quality</x:v>
      </x:c>
    </x:row>
    <x:row r="2183">
      <x:c r="A2183" s="2" t="str">
        <x:v>200021</x:v>
      </x:c>
      <x:c r="B2183" s="2" t="str">
        <x:v>MAINEHEALTH MID COAST HOSPITAL</x:v>
      </x:c>
      <x:c r="C2183" s="2" t="str">
        <x:v>BRUNSWICK</x:v>
      </x:c>
      <x:c r="D2183" s="2" t="str">
        <x:v>ME</x:v>
      </x:c>
      <x:c r="E2183" s="2" t="str">
        <x:v>Acute Care Hospitals</x:v>
      </x:c>
      <x:c r="F2183" s="2" t="str">
        <x:v>Voluntary non-profit</x:v>
      </x:c>
      <x:c r="G2183" s="2" t="str">
        <x:v>Small (&lt;100 beds)</x:v>
      </x:c>
      <x:c r="H2183" s="7" t="n">
        <x:v>3</x:v>
      </x:c>
      <x:c r="I2183" s="7" t="n">
        <x:v>3</x:v>
      </x:c>
      <x:c r="J2183" s="7" t="n">
        <x:v>0.9</x:v>
      </x:c>
      <x:c r="K2183" s="8" t="n">
        <x:v>93</x:v>
      </x:c>
      <x:c r="L2183" s="8" t="n">
        <x:v>4676</x:v>
      </x:c>
      <x:c r="M2183" s="9" t="n">
        <x:v>0.737704918</x:v>
      </x:c>
      <x:c r="N2183" s="10" t="n">
        <x:v>57681.2683917879</x:v>
      </x:c>
      <x:c r="O2183" s="9" t="n">
        <x:v>-0.0209798454</x:v>
      </x:c>
      <x:c r="P2183" s="9" t="n">
        <x:v>0.5583482944</x:v>
      </x:c>
      <x:c r="Q2183" s="9" t="n">
        <x:v>0.1687612208</x:v>
      </x:c>
      <x:c r="R2183" s="3" t="b">
        <x:v>0</x:v>
      </x:c>
      <x:c r="S2183" s="3" t="b">
        <x:v>0</x:v>
      </x:c>
      <x:c r="T2183" s="3" t="b">
        <x:v>0</x:v>
      </x:c>
      <x:c r="U2183" s="2" t="str">
        <x:f>IF(T2183=TRUE,"Priority review",IF(R2183=TRUE,"High cost",IF(S2183=TRUE,"Low quality","Benchmark")))</x:f>
        <x:v>Benchmark</x:v>
      </x:c>
    </x:row>
    <x:row r="2184">
      <x:c r="A2184" s="2" t="str">
        <x:v>140174</x:v>
      </x:c>
      <x:c r="B2184" s="2" t="str">
        <x:v>PRESENCE MERCY MEDICAL CENTER</x:v>
      </x:c>
      <x:c r="C2184" s="2" t="str">
        <x:v>AURORA</x:v>
      </x:c>
      <x:c r="D2184" s="2" t="str">
        <x:v>IL</x:v>
      </x:c>
      <x:c r="E2184" s="2" t="str">
        <x:v>Acute Care Hospitals</x:v>
      </x:c>
      <x:c r="F2184" s="2" t="str">
        <x:v>Voluntary non-profit</x:v>
      </x:c>
      <x:c r="G2184" s="2" t="str">
        <x:v>Medium (100-299 beds)</x:v>
      </x:c>
      <x:c r="H2184" s="7" t="n">
        <x:v>3</x:v>
      </x:c>
      <x:c r="I2184" s="7" t="n">
        <x:v>2</x:v>
      </x:c>
      <x:c r="J2184" s="7" t="n">
        <x:v>0.93</x:v>
      </x:c>
      <x:c r="K2184" s="8" t="n">
        <x:v>190</x:v>
      </x:c>
      <x:c r="L2184" s="8" t="n">
        <x:v>3407</x:v>
      </x:c>
      <x:c r="M2184" s="9" t="n">
        <x:v>0.3437296946</x:v>
      </x:c>
      <x:c r="N2184" s="10" t="n">
        <x:v>36105.6545347813</x:v>
      </x:c>
      <x:c r="O2184" s="9" t="n">
        <x:v>-0.1029347908</x:v>
      </x:c>
      <x:c r="P2184" s="9" t="n">
        <x:v>0.5582722086</x:v>
      </x:c>
      <x:c r="Q2184" s="9" t="n">
        <x:v>0.3023634882</x:v>
      </x:c>
      <x:c r="R2184" s="3" t="b">
        <x:v>0</x:v>
      </x:c>
      <x:c r="S2184" s="3" t="b">
        <x:v>0</x:v>
      </x:c>
      <x:c r="T2184" s="3" t="b">
        <x:v>0</x:v>
      </x:c>
      <x:c r="U2184" s="2" t="str">
        <x:f>IF(T2184=TRUE,"Priority review",IF(R2184=TRUE,"High cost",IF(S2184=TRUE,"Low quality","Benchmark")))</x:f>
        <x:v>Benchmark</x:v>
      </x:c>
    </x:row>
    <x:row r="2185">
      <x:c r="A2185" s="2" t="str">
        <x:v>531308</x:v>
      </x:c>
      <x:c r="B2185" s="2" t="str">
        <x:v>JOHNSON COUNTY HEALTHCARE CENTER</x:v>
      </x:c>
      <x:c r="C2185" s="2" t="str">
        <x:v>BUFFALO</x:v>
      </x:c>
      <x:c r="D2185" s="2" t="str">
        <x:v>WY</x:v>
      </x:c>
      <x:c r="E2185" s="2" t="str">
        <x:v>Critical Access Hospitals</x:v>
      </x:c>
      <x:c r="F2185" s="2" t="str">
        <x:v>Government</x:v>
      </x:c>
      <x:c r="G2185" s="2" t="str">
        <x:v>Small (&lt;100 beds)</x:v>
      </x:c>
      <x:c r="H2185" s="7"/>
      <x:c r="I2185" s="7"/>
      <x:c r="J2185" s="7"/>
      <x:c r="K2185" s="8" t="n">
        <x:v>25</x:v>
      </x:c>
      <x:c r="L2185" s="8" t="n">
        <x:v>268</x:v>
      </x:c>
      <x:c r="M2185" s="9" t="n">
        <x:v>0.3343083486</x:v>
      </x:c>
      <x:c r="N2185" s="10" t="n">
        <x:v>143466.6567164179</x:v>
      </x:c>
      <x:c r="O2185" s="9" t="n">
        <x:v>-0.2033185988</x:v>
      </x:c>
      <x:c r="P2185" s="9" t="n">
        <x:v>0.5576208178</x:v>
      </x:c>
      <x:c r="Q2185" s="9" t="n">
        <x:v>0.292936803</x:v>
      </x:c>
      <x:c r="R2185" s="3" t="b">
        <x:v>0</x:v>
      </x:c>
      <x:c r="S2185" s="3" t="b">
        <x:v>0</x:v>
      </x:c>
      <x:c r="T2185" s="3" t="b">
        <x:v>0</x:v>
      </x:c>
      <x:c r="U2185" s="2" t="str">
        <x:f>IF(T2185=TRUE,"Priority review",IF(R2185=TRUE,"High cost",IF(S2185=TRUE,"Low quality","Benchmark")))</x:f>
        <x:v>Benchmark</x:v>
      </x:c>
    </x:row>
    <x:row r="2186">
      <x:c r="A2186" s="2" t="str">
        <x:v>520009</x:v>
      </x:c>
      <x:c r="B2186" s="2" t="str">
        <x:v>ASCENSION NE WISCONSIN - ST ELIZABETH CAMPUS</x:v>
      </x:c>
      <x:c r="C2186" s="2" t="str">
        <x:v>APPLETON</x:v>
      </x:c>
      <x:c r="D2186" s="2" t="str">
        <x:v>WI</x:v>
      </x:c>
      <x:c r="E2186" s="2" t="str">
        <x:v>Acute Care Hospitals</x:v>
      </x:c>
      <x:c r="F2186" s="2" t="str">
        <x:v>Voluntary non-profit</x:v>
      </x:c>
      <x:c r="G2186" s="2" t="str">
        <x:v>Medium (100-299 beds)</x:v>
      </x:c>
      <x:c r="H2186" s="7" t="n">
        <x:v>4</x:v>
      </x:c>
      <x:c r="I2186" s="7" t="n">
        <x:v>3</x:v>
      </x:c>
      <x:c r="J2186" s="7" t="n">
        <x:v>0.85</x:v>
      </x:c>
      <x:c r="K2186" s="8" t="n">
        <x:v>244</x:v>
      </x:c>
      <x:c r="L2186" s="8" t="n">
        <x:v>10713</x:v>
      </x:c>
      <x:c r="M2186" s="9" t="n">
        <x:v>0.5452391646</x:v>
      </x:c>
      <x:c r="N2186" s="10" t="n">
        <x:v>36092.7813870998</x:v>
      </x:c>
      <x:c r="O2186" s="9" t="n">
        <x:v>0.0171192922</x:v>
      </x:c>
      <x:c r="P2186" s="9" t="n">
        <x:v>0.5574572127</x:v>
      </x:c>
      <x:c r="Q2186" s="9" t="n">
        <x:v>0.6022819886</x:v>
      </x:c>
      <x:c r="R2186" s="3" t="b">
        <x:v>0</x:v>
      </x:c>
      <x:c r="S2186" s="3" t="b">
        <x:v>0</x:v>
      </x:c>
      <x:c r="T2186" s="3" t="b">
        <x:v>0</x:v>
      </x:c>
      <x:c r="U2186" s="2" t="str">
        <x:f>IF(T2186=TRUE,"Priority review",IF(R2186=TRUE,"High cost",IF(S2186=TRUE,"Low quality","Benchmark")))</x:f>
        <x:v>Benchmark</x:v>
      </x:c>
    </x:row>
    <x:row r="2187">
      <x:c r="A2187" s="2" t="str">
        <x:v>120028</x:v>
      </x:c>
      <x:c r="B2187" s="2" t="str">
        <x:v>NORTH HAWAII COMMUNITY HOSPITAL, INC</x:v>
      </x:c>
      <x:c r="C2187" s="2" t="str">
        <x:v>KAMUELA</x:v>
      </x:c>
      <x:c r="D2187" s="2" t="str">
        <x:v>HI</x:v>
      </x:c>
      <x:c r="E2187" s="2" t="str">
        <x:v>Acute Care Hospitals</x:v>
      </x:c>
      <x:c r="F2187" s="2" t="str">
        <x:v>Voluntary non-profit</x:v>
      </x:c>
      <x:c r="G2187" s="2" t="str">
        <x:v>Small (&lt;100 beds)</x:v>
      </x:c>
      <x:c r="H2187" s="7" t="n">
        <x:v>3</x:v>
      </x:c>
      <x:c r="I2187" s="7" t="n">
        <x:v>3</x:v>
      </x:c>
      <x:c r="J2187" s="7" t="n">
        <x:v>0.85</x:v>
      </x:c>
      <x:c r="K2187" s="8" t="n">
        <x:v>33</x:v>
      </x:c>
      <x:c r="L2187" s="8" t="n">
        <x:v>1899</x:v>
      </x:c>
      <x:c r="M2187" s="9" t="n">
        <x:v>0.5679535077</x:v>
      </x:c>
      <x:c r="N2187" s="10" t="n">
        <x:v>57626.4844655082</x:v>
      </x:c>
      <x:c r="O2187" s="9" t="n">
        <x:v>0.0008144673</x:v>
      </x:c>
      <x:c r="P2187" s="9" t="n">
        <x:v>0.5574506284</x:v>
      </x:c>
      <x:c r="Q2187" s="9" t="n">
        <x:v>0.1687612208</x:v>
      </x:c>
      <x:c r="R2187" s="3" t="b">
        <x:v>0</x:v>
      </x:c>
      <x:c r="S2187" s="3" t="b">
        <x:v>0</x:v>
      </x:c>
      <x:c r="T2187" s="3" t="b">
        <x:v>0</x:v>
      </x:c>
      <x:c r="U2187" s="2" t="str">
        <x:f>IF(T2187=TRUE,"Priority review",IF(R2187=TRUE,"High cost",IF(S2187=TRUE,"Low quality","Benchmark")))</x:f>
        <x:v>Benchmark</x:v>
      </x:c>
    </x:row>
    <x:row r="2188">
      <x:c r="A2188" s="2" t="str">
        <x:v>054154</x:v>
      </x:c>
      <x:c r="B2188" s="2" t="str">
        <x:v>SAN JOSE BEHAVIORAL HEALTH</x:v>
      </x:c>
      <x:c r="C2188" s="2" t="str">
        <x:v>SAN JOSE</x:v>
      </x:c>
      <x:c r="D2188" s="2" t="str">
        <x:v>CA</x:v>
      </x:c>
      <x:c r="E2188" s="2" t="str">
        <x:v>Psychiatric</x:v>
      </x:c>
      <x:c r="F2188" s="2" t="str">
        <x:v>Proprietary</x:v>
      </x:c>
      <x:c r="G2188" s="2" t="str">
        <x:v>Medium (100-299 beds)</x:v>
      </x:c>
      <x:c r="H2188" s="7"/>
      <x:c r="I2188" s="7"/>
      <x:c r="J2188" s="7"/>
      <x:c r="K2188" s="8" t="n">
        <x:v>133</x:v>
      </x:c>
      <x:c r="L2188" s="8" t="n">
        <x:v>4296</x:v>
      </x:c>
      <x:c r="M2188" s="9" t="n">
        <x:v>0.8837257077</x:v>
      </x:c>
      <x:c r="N2188" s="10" t="n">
        <x:v>13734.9094506518</x:v>
      </x:c>
      <x:c r="O2188" s="9" t="n">
        <x:v>0.3154382809</x:v>
      </x:c>
      <x:c r="P2188" s="9" t="n">
        <x:v>0.5572139303</x:v>
      </x:c>
      <x:c r="Q2188" s="9" t="n">
        <x:v>0</x:v>
      </x:c>
      <x:c r="R2188" s="3" t="b">
        <x:v>0</x:v>
      </x:c>
      <x:c r="S2188" s="3" t="b">
        <x:v>0</x:v>
      </x:c>
      <x:c r="T2188" s="3" t="b">
        <x:v>0</x:v>
      </x:c>
      <x:c r="U2188" s="2" t="str">
        <x:f>IF(T2188=TRUE,"Priority review",IF(R2188=TRUE,"High cost",IF(S2188=TRUE,"Low quality","Benchmark")))</x:f>
        <x:v>Benchmark</x:v>
      </x:c>
    </x:row>
    <x:row r="2189">
      <x:c r="A2189" s="2" t="str">
        <x:v>051334</x:v>
      </x:c>
      <x:c r="B2189" s="2" t="str">
        <x:v>COMMUNITY MEMORIAL HOSPITAL - OJAI</x:v>
      </x:c>
      <x:c r="C2189" s="2" t="str">
        <x:v>OJAI</x:v>
      </x:c>
      <x:c r="D2189" s="2" t="str">
        <x:v>CA</x:v>
      </x:c>
      <x:c r="E2189" s="2" t="str">
        <x:v>Critical Access Hospitals</x:v>
      </x:c>
      <x:c r="F2189" s="2" t="str">
        <x:v>Voluntary non-profit</x:v>
      </x:c>
      <x:c r="G2189" s="2" t="str">
        <x:v>Small (&lt;100 beds)</x:v>
      </x:c>
      <x:c r="H2189" s="7"/>
      <x:c r="I2189" s="7"/>
      <x:c r="J2189" s="7"/>
      <x:c r="K2189" s="8" t="n">
        <x:v>25</x:v>
      </x:c>
      <x:c r="L2189" s="8" t="n">
        <x:v>378</x:v>
      </x:c>
      <x:c r="M2189" s="9" t="n">
        <x:v>0.4103433195</x:v>
      </x:c>
      <x:c r="N2189" s="10" t="n">
        <x:v>143131.2857142857</x:v>
      </x:c>
      <x:c r="O2189" s="9" t="n">
        <x:v>-0.2150136791</x:v>
      </x:c>
      <x:c r="P2189" s="9" t="n">
        <x:v>0.5568773234</x:v>
      </x:c>
      <x:c r="Q2189" s="9" t="n">
        <x:v>0.292936803</x:v>
      </x:c>
      <x:c r="R2189" s="3" t="b">
        <x:v>0</x:v>
      </x:c>
      <x:c r="S2189" s="3" t="b">
        <x:v>0</x:v>
      </x:c>
      <x:c r="T2189" s="3" t="b">
        <x:v>0</x:v>
      </x:c>
      <x:c r="U2189" s="2" t="str">
        <x:f>IF(T2189=TRUE,"Priority review",IF(R2189=TRUE,"High cost",IF(S2189=TRUE,"Low quality","Benchmark")))</x:f>
        <x:v>Benchmark</x:v>
      </x:c>
    </x:row>
    <x:row r="2190">
      <x:c r="A2190" s="2" t="str">
        <x:v>060022</x:v>
      </x:c>
      <x:c r="B2190" s="2" t="str">
        <x:v>UCH-MEMORIAL HEALTH SYSTEM</x:v>
      </x:c>
      <x:c r="C2190" s="2" t="str">
        <x:v>COLORADO SPRINGS</x:v>
      </x:c>
      <x:c r="D2190" s="2" t="str">
        <x:v>CO</x:v>
      </x:c>
      <x:c r="E2190" s="2" t="str">
        <x:v>Acute Care Hospitals</x:v>
      </x:c>
      <x:c r="F2190" s="2" t="str">
        <x:v>Government</x:v>
      </x:c>
      <x:c r="G2190" s="2" t="str">
        <x:v>Large (300+ beds)</x:v>
      </x:c>
      <x:c r="H2190" s="7" t="n">
        <x:v>4</x:v>
      </x:c>
      <x:c r="I2190" s="7" t="n">
        <x:v>3</x:v>
      </x:c>
      <x:c r="J2190" s="7" t="n">
        <x:v>1</x:v>
      </x:c>
      <x:c r="K2190" s="8" t="n">
        <x:v>526</x:v>
      </x:c>
      <x:c r="L2190" s="8" t="n">
        <x:v>28928</x:v>
      </x:c>
      <x:c r="M2190" s="9" t="n">
        <x:v>0.69360308</x:v>
      </x:c>
      <x:c r="N2190" s="10" t="n">
        <x:v>41284.2289477323</x:v>
      </x:c>
      <x:c r="O2190" s="9" t="n">
        <x:v>0.0530268679</x:v>
      </x:c>
      <x:c r="P2190" s="9" t="n">
        <x:v>0.5567823344</x:v>
      </x:c>
      <x:c r="Q2190" s="9" t="n">
        <x:v>0.5899053628</x:v>
      </x:c>
      <x:c r="R2190" s="3" t="b">
        <x:v>0</x:v>
      </x:c>
      <x:c r="S2190" s="3" t="b">
        <x:v>0</x:v>
      </x:c>
      <x:c r="T2190" s="3" t="b">
        <x:v>0</x:v>
      </x:c>
      <x:c r="U2190" s="2" t="str">
        <x:f>IF(T2190=TRUE,"Priority review",IF(R2190=TRUE,"High cost",IF(S2190=TRUE,"Low quality","Benchmark")))</x:f>
        <x:v>Benchmark</x:v>
      </x:c>
    </x:row>
    <x:row r="2191">
      <x:c r="A2191" s="2" t="str">
        <x:v>260017</x:v>
      </x:c>
      <x:c r="B2191" s="2" t="str">
        <x:v>PHELPS COUNTY REGIONAL MEDICAL CENTER</x:v>
      </x:c>
      <x:c r="C2191" s="2" t="str">
        <x:v>ROLLA</x:v>
      </x:c>
      <x:c r="D2191" s="2" t="str">
        <x:v>MO</x:v>
      </x:c>
      <x:c r="E2191" s="2" t="str">
        <x:v>Acute Care Hospitals</x:v>
      </x:c>
      <x:c r="F2191" s="2" t="str">
        <x:v>Government</x:v>
      </x:c>
      <x:c r="G2191" s="2" t="str">
        <x:v>Medium (100-299 beds)</x:v>
      </x:c>
      <x:c r="H2191" s="7" t="n">
        <x:v>2</x:v>
      </x:c>
      <x:c r="I2191" s="7" t="n">
        <x:v>3</x:v>
      </x:c>
      <x:c r="J2191" s="7" t="n">
        <x:v>0.98</x:v>
      </x:c>
      <x:c r="K2191" s="8" t="n">
        <x:v>202</x:v>
      </x:c>
      <x:c r="L2191" s="8" t="n">
        <x:v>5824</x:v>
      </x:c>
      <x:c r="M2191" s="9" t="n">
        <x:v>0.348982678</x:v>
      </x:c>
      <x:c r="N2191" s="10" t="n">
        <x:v>36070.582760989</x:v>
      </x:c>
      <x:c r="O2191" s="9" t="n">
        <x:v>0.3514444074</x:v>
      </x:c>
      <x:c r="P2191" s="9" t="n">
        <x:v>0.5566422168</x:v>
      </x:c>
      <x:c r="Q2191" s="9" t="n">
        <x:v>0.0782396088</x:v>
      </x:c>
      <x:c r="R2191" s="3" t="b">
        <x:v>0</x:v>
      </x:c>
      <x:c r="S2191" s="3" t="b">
        <x:v>1</x:v>
      </x:c>
      <x:c r="T2191" s="3" t="b">
        <x:v>0</x:v>
      </x:c>
      <x:c r="U2191" s="2" t="str">
        <x:f>IF(T2191=TRUE,"Priority review",IF(R2191=TRUE,"High cost",IF(S2191=TRUE,"Low quality","Benchmark")))</x:f>
        <x:v>Low quality</x:v>
      </x:c>
    </x:row>
    <x:row r="2192">
      <x:c r="A2192" s="2" t="str">
        <x:v>344033</x:v>
      </x:c>
      <x:c r="B2192" s="2" t="str">
        <x:v>WALTER B JONES CENTER LAKESIDE PSYCHIATRIC HOSPITA</x:v>
      </x:c>
      <x:c r="C2192" s="2" t="str">
        <x:v>GREENVILLE</x:v>
      </x:c>
      <x:c r="D2192" s="2" t="str">
        <x:v>NC</x:v>
      </x:c>
      <x:c r="E2192" s="2" t="str">
        <x:v>Psychiatric</x:v>
      </x:c>
      <x:c r="F2192" s="2" t="str">
        <x:v>Government</x:v>
      </x:c>
      <x:c r="G2192" s="2" t="str">
        <x:v>Small (&lt;100 beds)</x:v>
      </x:c>
      <x:c r="H2192" s="7"/>
      <x:c r="I2192" s="7"/>
      <x:c r="J2192" s="7"/>
      <x:c r="K2192" s="8" t="n">
        <x:v>51</x:v>
      </x:c>
      <x:c r="L2192" s="8" t="n">
        <x:v>1136</x:v>
      </x:c>
      <x:c r="M2192" s="9" t="n">
        <x:v>0.3471394037</x:v>
      </x:c>
      <x:c r="N2192" s="10" t="n">
        <x:v>13347.7051056338</x:v>
      </x:c>
      <x:c r="O2192" s="9" t="n">
        <x:v>-10.6692175856</x:v>
      </x:c>
      <x:c r="P2192" s="9" t="n">
        <x:v>0.5566343042</x:v>
      </x:c>
      <x:c r="Q2192" s="9" t="n">
        <x:v>0</x:v>
      </x:c>
      <x:c r="R2192" s="3" t="b">
        <x:v>0</x:v>
      </x:c>
      <x:c r="S2192" s="3" t="b">
        <x:v>0</x:v>
      </x:c>
      <x:c r="T2192" s="3" t="b">
        <x:v>0</x:v>
      </x:c>
      <x:c r="U2192" s="2" t="str">
        <x:f>IF(T2192=TRUE,"Priority review",IF(R2192=TRUE,"High cost",IF(S2192=TRUE,"Low quality","Benchmark")))</x:f>
        <x:v>Benchmark</x:v>
      </x:c>
    </x:row>
    <x:row r="2193">
      <x:c r="A2193" s="2" t="str">
        <x:v>180027</x:v>
      </x:c>
      <x:c r="B2193" s="2" t="str">
        <x:v>MURRAY-CALLOWAY COUNTY HOSPITAL</x:v>
      </x:c>
      <x:c r="C2193" s="2" t="str">
        <x:v>MURRAY</x:v>
      </x:c>
      <x:c r="D2193" s="2" t="str">
        <x:v>KY</x:v>
      </x:c>
      <x:c r="E2193" s="2" t="str">
        <x:v>Acute Care Hospitals</x:v>
      </x:c>
      <x:c r="F2193" s="2" t="str">
        <x:v>Voluntary non-profit</x:v>
      </x:c>
      <x:c r="G2193" s="2" t="str">
        <x:v>Small (&lt;100 beds)</x:v>
      </x:c>
      <x:c r="H2193" s="7" t="n">
        <x:v>3</x:v>
      </x:c>
      <x:c r="I2193" s="7" t="n">
        <x:v>4</x:v>
      </x:c>
      <x:c r="J2193" s="7" t="n">
        <x:v>1.02</x:v>
      </x:c>
      <x:c r="K2193" s="8" t="n">
        <x:v>99</x:v>
      </x:c>
      <x:c r="L2193" s="8" t="n">
        <x:v>3285</x:v>
      </x:c>
      <x:c r="M2193" s="9" t="n">
        <x:v>0.4034332395</x:v>
      </x:c>
      <x:c r="N2193" s="10" t="n">
        <x:v>57458.7799086758</x:v>
      </x:c>
      <x:c r="O2193" s="9" t="n">
        <x:v>0.0276530301</x:v>
      </x:c>
      <x:c r="P2193" s="9" t="n">
        <x:v>0.5565529623</x:v>
      </x:c>
      <x:c r="Q2193" s="9" t="n">
        <x:v>0.1687612208</x:v>
      </x:c>
      <x:c r="R2193" s="3" t="b">
        <x:v>0</x:v>
      </x:c>
      <x:c r="S2193" s="3" t="b">
        <x:v>0</x:v>
      </x:c>
      <x:c r="T2193" s="3" t="b">
        <x:v>0</x:v>
      </x:c>
      <x:c r="U2193" s="2" t="str">
        <x:f>IF(T2193=TRUE,"Priority review",IF(R2193=TRUE,"High cost",IF(S2193=TRUE,"Low quality","Benchmark")))</x:f>
        <x:v>Benchmark</x:v>
      </x:c>
    </x:row>
    <x:row r="2194">
      <x:c r="A2194" s="2" t="str">
        <x:v>131307</x:v>
      </x:c>
      <x:c r="B2194" s="2" t="str">
        <x:v>WEISER MEMORIAL HOSPITAL</x:v>
      </x:c>
      <x:c r="C2194" s="2" t="str">
        <x:v>WEISER</x:v>
      </x:c>
      <x:c r="D2194" s="2" t="str">
        <x:v>ID</x:v>
      </x:c>
      <x:c r="E2194" s="2" t="str">
        <x:v>Critical Access Hospitals</x:v>
      </x:c>
      <x:c r="F2194" s="2" t="str">
        <x:v>Government</x:v>
      </x:c>
      <x:c r="G2194" s="2" t="str">
        <x:v>Small (&lt;100 beds)</x:v>
      </x:c>
      <x:c r="H2194" s="7"/>
      <x:c r="I2194" s="7"/>
      <x:c r="J2194" s="7"/>
      <x:c r="K2194" s="8" t="n">
        <x:v>24</x:v>
      </x:c>
      <x:c r="L2194" s="8" t="n">
        <x:v>196</x:v>
      </x:c>
      <x:c r="M2194" s="9" t="n">
        <x:v>0.0905251142</x:v>
      </x:c>
      <x:c r="N2194" s="10" t="n">
        <x:v>142949.081632653</x:v>
      </x:c>
      <x:c r="O2194" s="9" t="n">
        <x:v>-0.0669646864</x:v>
      </x:c>
      <x:c r="P2194" s="9" t="n">
        <x:v>0.556133829</x:v>
      </x:c>
      <x:c r="Q2194" s="9" t="n">
        <x:v>0.292936803</x:v>
      </x:c>
      <x:c r="R2194" s="3" t="b">
        <x:v>0</x:v>
      </x:c>
      <x:c r="S2194" s="3" t="b">
        <x:v>0</x:v>
      </x:c>
      <x:c r="T2194" s="3" t="b">
        <x:v>0</x:v>
      </x:c>
      <x:c r="U2194" s="2" t="str">
        <x:f>IF(T2194=TRUE,"Priority review",IF(R2194=TRUE,"High cost",IF(S2194=TRUE,"Low quality","Benchmark")))</x:f>
        <x:v>Benchmark</x:v>
      </x:c>
    </x:row>
    <x:row r="2195">
      <x:c r="A2195" s="2" t="str">
        <x:v>210018</x:v>
      </x:c>
      <x:c r="B2195" s="2" t="str">
        <x:v>MEDSTAR MONTGOMERY MEDICAL CENTER</x:v>
      </x:c>
      <x:c r="C2195" s="2" t="str">
        <x:v>OLNEY</x:v>
      </x:c>
      <x:c r="D2195" s="2" t="str">
        <x:v>MD</x:v>
      </x:c>
      <x:c r="E2195" s="2" t="str">
        <x:v>Acute Care Hospitals</x:v>
      </x:c>
      <x:c r="F2195" s="2" t="str">
        <x:v>Voluntary non-profit</x:v>
      </x:c>
      <x:c r="G2195" s="2" t="str">
        <x:v>Medium (100-299 beds)</x:v>
      </x:c>
      <x:c r="H2195" s="7" t="n">
        <x:v>3</x:v>
      </x:c>
      <x:c r="I2195" s="7" t="n">
        <x:v>2</x:v>
      </x:c>
      <x:c r="J2195" s="7"/>
      <x:c r="K2195" s="8" t="n">
        <x:v>100</x:v>
      </x:c>
      <x:c r="L2195" s="8" t="n">
        <x:v>5979</x:v>
      </x:c>
      <x:c r="M2195" s="9" t="n">
        <x:v>0.7709589041</x:v>
      </x:c>
      <x:c r="N2195" s="10" t="n">
        <x:v>36064.2513798294</x:v>
      </x:c>
      <x:c r="O2195" s="9" t="n">
        <x:v>-0.0550767487</x:v>
      </x:c>
      <x:c r="P2195" s="9" t="n">
        <x:v>0.5558272209</x:v>
      </x:c>
      <x:c r="Q2195" s="9" t="n">
        <x:v>0.3023634882</x:v>
      </x:c>
      <x:c r="R2195" s="3" t="b">
        <x:v>0</x:v>
      </x:c>
      <x:c r="S2195" s="3" t="b">
        <x:v>0</x:v>
      </x:c>
      <x:c r="T2195" s="3" t="b">
        <x:v>0</x:v>
      </x:c>
      <x:c r="U2195" s="2" t="str">
        <x:f>IF(T2195=TRUE,"Priority review",IF(R2195=TRUE,"High cost",IF(S2195=TRUE,"Low quality","Benchmark")))</x:f>
        <x:v>Benchmark</x:v>
      </x:c>
    </x:row>
    <x:row r="2196">
      <x:c r="A2196" s="2" t="str">
        <x:v>260025</x:v>
      </x:c>
      <x:c r="B2196" s="2" t="str">
        <x:v>HANNIBAL REGIONAL HOSPITAL</x:v>
      </x:c>
      <x:c r="C2196" s="2" t="str">
        <x:v>HANNIBAL</x:v>
      </x:c>
      <x:c r="D2196" s="2" t="str">
        <x:v>MO</x:v>
      </x:c>
      <x:c r="E2196" s="2" t="str">
        <x:v>Acute Care Hospitals</x:v>
      </x:c>
      <x:c r="F2196" s="2" t="str">
        <x:v>Voluntary non-profit</x:v>
      </x:c>
      <x:c r="G2196" s="2" t="str">
        <x:v>Small (&lt;100 beds)</x:v>
      </x:c>
      <x:c r="H2196" s="7" t="n">
        <x:v>2</x:v>
      </x:c>
      <x:c r="I2196" s="7" t="n">
        <x:v>4</x:v>
      </x:c>
      <x:c r="J2196" s="7" t="n">
        <x:v>0.98</x:v>
      </x:c>
      <x:c r="K2196" s="8" t="n">
        <x:v>86</x:v>
      </x:c>
      <x:c r="L2196" s="8" t="n">
        <x:v>5121</x:v>
      </x:c>
      <x:c r="M2196" s="9" t="n">
        <x:v>0.679406532</x:v>
      </x:c>
      <x:c r="N2196" s="10" t="n">
        <x:v>57394.5944151533</x:v>
      </x:c>
      <x:c r="O2196" s="9" t="n">
        <x:v>-0.0714190121</x:v>
      </x:c>
      <x:c r="P2196" s="9" t="n">
        <x:v>0.5556552962</x:v>
      </x:c>
      <x:c r="Q2196" s="9" t="n">
        <x:v>0.0350089767</x:v>
      </x:c>
      <x:c r="R2196" s="3" t="b">
        <x:v>0</x:v>
      </x:c>
      <x:c r="S2196" s="3" t="b">
        <x:v>1</x:v>
      </x:c>
      <x:c r="T2196" s="3" t="b">
        <x:v>0</x:v>
      </x:c>
      <x:c r="U2196" s="2" t="str">
        <x:f>IF(T2196=TRUE,"Priority review",IF(R2196=TRUE,"High cost",IF(S2196=TRUE,"Low quality","Benchmark")))</x:f>
        <x:v>Low quality</x:v>
      </x:c>
    </x:row>
    <x:row r="2197">
      <x:c r="A2197" s="2" t="str">
        <x:v>033302</x:v>
      </x:c>
      <x:c r="B2197" s="2" t="str">
        <x:v>PHOENIX CHILDREN'S HOSPITAL</x:v>
      </x:c>
      <x:c r="C2197" s="2" t="str">
        <x:v>PHOENIX</x:v>
      </x:c>
      <x:c r="D2197" s="2" t="str">
        <x:v>AZ</x:v>
      </x:c>
      <x:c r="E2197" s="2" t="str">
        <x:v>Childrens</x:v>
      </x:c>
      <x:c r="F2197" s="2" t="str">
        <x:v>Voluntary non-profit</x:v>
      </x:c>
      <x:c r="G2197" s="2" t="str">
        <x:v>Large (300+ beds)</x:v>
      </x:c>
      <x:c r="H2197" s="7"/>
      <x:c r="I2197" s="7"/>
      <x:c r="J2197" s="7"/>
      <x:c r="K2197" s="8" t="n">
        <x:v>411</x:v>
      </x:c>
      <x:c r="L2197" s="8" t="n">
        <x:v>14542</x:v>
      </x:c>
      <x:c r="M2197" s="9" t="n">
        <x:v>0.684169915</x:v>
      </x:c>
      <x:c r="N2197" s="10" t="n">
        <x:v>105761.3625361023</x:v>
      </x:c>
      <x:c r="O2197" s="9" t="n">
        <x:v>-0.0104339775</x:v>
      </x:c>
      <x:c r="P2197" s="9" t="n">
        <x:v>0.5555555556</x:v>
      </x:c>
      <x:c r="Q2197" s="9" t="n">
        <x:v>0</x:v>
      </x:c>
      <x:c r="R2197" s="3" t="b">
        <x:v>0</x:v>
      </x:c>
      <x:c r="S2197" s="3" t="b">
        <x:v>0</x:v>
      </x:c>
      <x:c r="T2197" s="3" t="b">
        <x:v>0</x:v>
      </x:c>
      <x:c r="U2197" s="2" t="str">
        <x:f>IF(T2197=TRUE,"Priority review",IF(R2197=TRUE,"High cost",IF(S2197=TRUE,"Low quality","Benchmark")))</x:f>
        <x:v>Benchmark</x:v>
      </x:c>
    </x:row>
    <x:row r="2198">
      <x:c r="A2198" s="2" t="str">
        <x:v>461302</x:v>
      </x:c>
      <x:c r="B2198" s="2" t="str">
        <x:v>MOAB REGIONAL HOSPITAL</x:v>
      </x:c>
      <x:c r="C2198" s="2" t="str">
        <x:v>MOAB</x:v>
      </x:c>
      <x:c r="D2198" s="2" t="str">
        <x:v>UT</x:v>
      </x:c>
      <x:c r="E2198" s="2" t="str">
        <x:v>Critical Access Hospitals</x:v>
      </x:c>
      <x:c r="F2198" s="2" t="str">
        <x:v>Voluntary non-profit</x:v>
      </x:c>
      <x:c r="G2198" s="2" t="str">
        <x:v>Small (&lt;100 beds)</x:v>
      </x:c>
      <x:c r="H2198" s="7"/>
      <x:c r="I2198" s="7"/>
      <x:c r="J2198" s="7"/>
      <x:c r="K2198" s="8" t="n">
        <x:v>17</x:v>
      </x:c>
      <x:c r="L2198" s="8" t="n">
        <x:v>377</x:v>
      </x:c>
      <x:c r="M2198" s="9" t="n">
        <x:v>0.2730633237</x:v>
      </x:c>
      <x:c r="N2198" s="10" t="n">
        <x:v>142811.3819628647</x:v>
      </x:c>
      <x:c r="O2198" s="9" t="n">
        <x:v>0.0516102454</x:v>
      </x:c>
      <x:c r="P2198" s="9" t="n">
        <x:v>0.5553903346</x:v>
      </x:c>
      <x:c r="Q2198" s="9" t="n">
        <x:v>0.292936803</x:v>
      </x:c>
      <x:c r="R2198" s="3" t="b">
        <x:v>0</x:v>
      </x:c>
      <x:c r="S2198" s="3" t="b">
        <x:v>0</x:v>
      </x:c>
      <x:c r="T2198" s="3" t="b">
        <x:v>0</x:v>
      </x:c>
      <x:c r="U2198" s="2" t="str">
        <x:f>IF(T2198=TRUE,"Priority review",IF(R2198=TRUE,"High cost",IF(S2198=TRUE,"Low quality","Benchmark")))</x:f>
        <x:v>Benchmark</x:v>
      </x:c>
    </x:row>
    <x:row r="2199">
      <x:c r="A2199" s="2" t="str">
        <x:v>190064</x:v>
      </x:c>
      <x:c r="B2199" s="2" t="str">
        <x:v>OUR LADY OF THE LAKE REGIONAL MEDICAL CENTER</x:v>
      </x:c>
      <x:c r="C2199" s="2" t="str">
        <x:v>BATON ROUGE</x:v>
      </x:c>
      <x:c r="D2199" s="2" t="str">
        <x:v>LA</x:v>
      </x:c>
      <x:c r="E2199" s="2" t="str">
        <x:v>Acute Care Hospitals</x:v>
      </x:c>
      <x:c r="F2199" s="2" t="str">
        <x:v>Voluntary non-profit</x:v>
      </x:c>
      <x:c r="G2199" s="2" t="str">
        <x:v>Large (300+ beds)</x:v>
      </x:c>
      <x:c r="H2199" s="7" t="n">
        <x:v>3</x:v>
      </x:c>
      <x:c r="I2199" s="7" t="n">
        <x:v>3</x:v>
      </x:c>
      <x:c r="J2199" s="7" t="n">
        <x:v>1.02</x:v>
      </x:c>
      <x:c r="K2199" s="8" t="n">
        <x:v>647</x:v>
      </x:c>
      <x:c r="L2199" s="8" t="n">
        <x:v>35603</x:v>
      </x:c>
      <x:c r="M2199" s="9" t="n">
        <x:v>0.7898583557</x:v>
      </x:c>
      <x:c r="N2199" s="10" t="n">
        <x:v>41270.2039715754</x:v>
      </x:c>
      <x:c r="O2199" s="9" t="n">
        <x:v>0.0737311659</x:v>
      </x:c>
      <x:c r="P2199" s="9" t="n">
        <x:v>0.5552050473</x:v>
      </x:c>
      <x:c r="Q2199" s="9" t="n">
        <x:v>0.2570977918</x:v>
      </x:c>
      <x:c r="R2199" s="3" t="b">
        <x:v>0</x:v>
      </x:c>
      <x:c r="S2199" s="3" t="b">
        <x:v>0</x:v>
      </x:c>
      <x:c r="T2199" s="3" t="b">
        <x:v>0</x:v>
      </x:c>
      <x:c r="U2199" s="2" t="str">
        <x:f>IF(T2199=TRUE,"Priority review",IF(R2199=TRUE,"High cost",IF(S2199=TRUE,"Low quality","Benchmark")))</x:f>
        <x:v>Benchmark</x:v>
      </x:c>
    </x:row>
    <x:row r="2200">
      <x:c r="A2200" s="2" t="str">
        <x:v>050747</x:v>
      </x:c>
      <x:c r="B2200" s="2" t="str">
        <x:v>COASTAL COMMUNITIES HOSPITAL</x:v>
      </x:c>
      <x:c r="C2200" s="2" t="str">
        <x:v>SANTA ANA</x:v>
      </x:c>
      <x:c r="D2200" s="2" t="str">
        <x:v>CA</x:v>
      </x:c>
      <x:c r="E2200" s="2" t="str">
        <x:v>Acute Care Hospitals</x:v>
      </x:c>
      <x:c r="F2200" s="2" t="str">
        <x:v>Proprietary</x:v>
      </x:c>
      <x:c r="G2200" s="2" t="str">
        <x:v>Medium (100-299 beds)</x:v>
      </x:c>
      <x:c r="H2200" s="7" t="n">
        <x:v>1</x:v>
      </x:c>
      <x:c r="I2200" s="7"/>
      <x:c r="J2200" s="7" t="n">
        <x:v>1.4</x:v>
      </x:c>
      <x:c r="K2200" s="8" t="n">
        <x:v>109</x:v>
      </x:c>
      <x:c r="L2200" s="8" t="n">
        <x:v>2009</x:v>
      </x:c>
      <x:c r="M2200" s="9" t="n">
        <x:v>0.1795006768</x:v>
      </x:c>
      <x:c r="N2200" s="10" t="n">
        <x:v>36061.9537083126</x:v>
      </x:c>
      <x:c r="O2200" s="9" t="n">
        <x:v>-0.4762039641</x:v>
      </x:c>
      <x:c r="P2200" s="9" t="n">
        <x:v>0.5550122249</x:v>
      </x:c>
      <x:c r="Q2200" s="9" t="n">
        <x:v>0</x:v>
      </x:c>
      <x:c r="R2200" s="3" t="b">
        <x:v>0</x:v>
      </x:c>
      <x:c r="S2200" s="3" t="b">
        <x:v>1</x:v>
      </x:c>
      <x:c r="T2200" s="3" t="b">
        <x:v>0</x:v>
      </x:c>
      <x:c r="U2200" s="2" t="str">
        <x:f>IF(T2200=TRUE,"Priority review",IF(R2200=TRUE,"High cost",IF(S2200=TRUE,"Low quality","Benchmark")))</x:f>
        <x:v>Low quality</x:v>
      </x:c>
    </x:row>
    <x:row r="2201">
      <x:c r="A2201" s="2" t="str">
        <x:v>360270</x:v>
      </x:c>
      <x:c r="B2201" s="2" t="str">
        <x:v>MERCY HEALTH - DEFIANCE HOSPITAL</x:v>
      </x:c>
      <x:c r="C2201" s="2" t="str">
        <x:v>DEFIANCE</x:v>
      </x:c>
      <x:c r="D2201" s="2" t="str">
        <x:v>OH</x:v>
      </x:c>
      <x:c r="E2201" s="2" t="str">
        <x:v>Acute Care Hospitals</x:v>
      </x:c>
      <x:c r="F2201" s="2" t="str">
        <x:v>Proprietary</x:v>
      </x:c>
      <x:c r="G2201" s="2" t="str">
        <x:v>Small (&lt;100 beds)</x:v>
      </x:c>
      <x:c r="H2201" s="7" t="n">
        <x:v>4</x:v>
      </x:c>
      <x:c r="I2201" s="7" t="n">
        <x:v>4</x:v>
      </x:c>
      <x:c r="J2201" s="7" t="n">
        <x:v>0.91</x:v>
      </x:c>
      <x:c r="K2201" s="8" t="n">
        <x:v>23</x:v>
      </x:c>
      <x:c r="L2201" s="8" t="n">
        <x:v>1034</x:v>
      </x:c>
      <x:c r="M2201" s="9" t="n">
        <x:v>0.311712996</x:v>
      </x:c>
      <x:c r="N2201" s="10" t="n">
        <x:v>57218.1779497099</x:v>
      </x:c>
      <x:c r="O2201" s="9" t="n">
        <x:v>-0.0270072071</x:v>
      </x:c>
      <x:c r="P2201" s="9" t="n">
        <x:v>0.5547576302</x:v>
      </x:c>
      <x:c r="Q2201" s="9" t="n">
        <x:v>0.3913824057</x:v>
      </x:c>
      <x:c r="R2201" s="3" t="b">
        <x:v>0</x:v>
      </x:c>
      <x:c r="S2201" s="3" t="b">
        <x:v>0</x:v>
      </x:c>
      <x:c r="T2201" s="3" t="b">
        <x:v>0</x:v>
      </x:c>
      <x:c r="U2201" s="2" t="str">
        <x:f>IF(T2201=TRUE,"Priority review",IF(R2201=TRUE,"High cost",IF(S2201=TRUE,"Low quality","Benchmark")))</x:f>
        <x:v>Benchmark</x:v>
      </x:c>
    </x:row>
    <x:row r="2202">
      <x:c r="A2202" s="2" t="str">
        <x:v>371334</x:v>
      </x:c>
      <x:c r="B2202" s="2" t="str">
        <x:v>CARNEGIE TRI-COUNTY MUNICIPAL HOSPITAL</x:v>
      </x:c>
      <x:c r="C2202" s="2" t="str">
        <x:v>CARNEGIE</x:v>
      </x:c>
      <x:c r="D2202" s="2" t="str">
        <x:v>OK</x:v>
      </x:c>
      <x:c r="E2202" s="2" t="str">
        <x:v>Critical Access Hospitals</x:v>
      </x:c>
      <x:c r="F2202" s="2" t="str">
        <x:v>Government</x:v>
      </x:c>
      <x:c r="G2202" s="2" t="str">
        <x:v>Small (&lt;100 beds)</x:v>
      </x:c>
      <x:c r="H2202" s="7"/>
      <x:c r="I2202" s="7"/>
      <x:c r="J2202" s="7"/>
      <x:c r="K2202" s="8" t="n">
        <x:v>17</x:v>
      </x:c>
      <x:c r="L2202" s="8" t="n">
        <x:v>165</x:v>
      </x:c>
      <x:c r="M2202" s="9" t="n">
        <x:v>0.5331184529</x:v>
      </x:c>
      <x:c r="N2202" s="10" t="n">
        <x:v>142505.703030303</x:v>
      </x:c>
      <x:c r="O2202" s="9" t="n">
        <x:v>-0.1034077264</x:v>
      </x:c>
      <x:c r="P2202" s="9" t="n">
        <x:v>0.5546468401</x:v>
      </x:c>
      <x:c r="Q2202" s="9" t="n">
        <x:v>0.292936803</x:v>
      </x:c>
      <x:c r="R2202" s="3" t="b">
        <x:v>0</x:v>
      </x:c>
      <x:c r="S2202" s="3" t="b">
        <x:v>0</x:v>
      </x:c>
      <x:c r="T2202" s="3" t="b">
        <x:v>0</x:v>
      </x:c>
      <x:c r="U2202" s="2" t="str">
        <x:f>IF(T2202=TRUE,"Priority review",IF(R2202=TRUE,"High cost",IF(S2202=TRUE,"Low quality","Benchmark")))</x:f>
        <x:v>Benchmark</x:v>
      </x:c>
    </x:row>
    <x:row r="2203">
      <x:c r="A2203" s="2" t="str">
        <x:v>050132</x:v>
      </x:c>
      <x:c r="B2203" s="2" t="str">
        <x:v>SAN GABRIEL VALLEY MEDICAL CENTER</x:v>
      </x:c>
      <x:c r="C2203" s="2" t="str">
        <x:v>SAN GABRIEL</x:v>
      </x:c>
      <x:c r="D2203" s="2" t="str">
        <x:v>CA</x:v>
      </x:c>
      <x:c r="E2203" s="2" t="str">
        <x:v>Acute Care Hospitals</x:v>
      </x:c>
      <x:c r="F2203" s="2" t="str">
        <x:v>Proprietary</x:v>
      </x:c>
      <x:c r="G2203" s="2" t="str">
        <x:v>Medium (100-299 beds)</x:v>
      </x:c>
      <x:c r="H2203" s="7" t="n">
        <x:v>4</x:v>
      </x:c>
      <x:c r="I2203" s="7" t="n">
        <x:v>3</x:v>
      </x:c>
      <x:c r="J2203" s="7" t="n">
        <x:v>1.21</x:v>
      </x:c>
      <x:c r="K2203" s="8" t="n">
        <x:v>175</x:v>
      </x:c>
      <x:c r="L2203" s="8" t="n">
        <x:v>5401</x:v>
      </x:c>
      <x:c r="M2203" s="9" t="n">
        <x:v>0.4018786693</x:v>
      </x:c>
      <x:c r="N2203" s="10" t="n">
        <x:v>36041.9298278097</x:v>
      </x:c>
      <x:c r="O2203" s="9" t="n">
        <x:v>-0.2566716941</x:v>
      </x:c>
      <x:c r="P2203" s="9" t="n">
        <x:v>0.554197229</x:v>
      </x:c>
      <x:c r="Q2203" s="9" t="n">
        <x:v>0.6022819886</x:v>
      </x:c>
      <x:c r="R2203" s="3" t="b">
        <x:v>0</x:v>
      </x:c>
      <x:c r="S2203" s="3" t="b">
        <x:v>0</x:v>
      </x:c>
      <x:c r="T2203" s="3" t="b">
        <x:v>0</x:v>
      </x:c>
      <x:c r="U2203" s="2" t="str">
        <x:f>IF(T2203=TRUE,"Priority review",IF(R2203=TRUE,"High cost",IF(S2203=TRUE,"Low quality","Benchmark")))</x:f>
        <x:v>Benchmark</x:v>
      </x:c>
    </x:row>
    <x:row r="2204">
      <x:c r="A2204" s="2" t="str">
        <x:v>241320</x:v>
      </x:c>
      <x:c r="B2204" s="2" t="str">
        <x:v>RIVERVIEW HOSPITAL</x:v>
      </x:c>
      <x:c r="C2204" s="2" t="str">
        <x:v>CROOKSTON</x:v>
      </x:c>
      <x:c r="D2204" s="2" t="str">
        <x:v>MN</x:v>
      </x:c>
      <x:c r="E2204" s="2" t="str">
        <x:v>Critical Access Hospitals</x:v>
      </x:c>
      <x:c r="F2204" s="2" t="str">
        <x:v>Voluntary non-profit</x:v>
      </x:c>
      <x:c r="G2204" s="2" t="str">
        <x:v>Small (&lt;100 beds)</x:v>
      </x:c>
      <x:c r="H2204" s="7"/>
      <x:c r="I2204" s="7" t="n">
        <x:v>4</x:v>
      </x:c>
      <x:c r="J2204" s="7"/>
      <x:c r="K2204" s="8" t="n">
        <x:v>21</x:v>
      </x:c>
      <x:c r="L2204" s="8" t="n">
        <x:v>478</x:v>
      </x:c>
      <x:c r="M2204" s="9" t="n">
        <x:v>0.2285974499</x:v>
      </x:c>
      <x:c r="N2204" s="10" t="n">
        <x:v>142380.6736401674</x:v>
      </x:c>
      <x:c r="O2204" s="9" t="n">
        <x:v>-0.1556320453</x:v>
      </x:c>
      <x:c r="P2204" s="9" t="n">
        <x:v>0.5539033457</x:v>
      </x:c>
      <x:c r="Q2204" s="9" t="n">
        <x:v>0.292936803</x:v>
      </x:c>
      <x:c r="R2204" s="3" t="b">
        <x:v>0</x:v>
      </x:c>
      <x:c r="S2204" s="3" t="b">
        <x:v>0</x:v>
      </x:c>
      <x:c r="T2204" s="3" t="b">
        <x:v>0</x:v>
      </x:c>
      <x:c r="U2204" s="2" t="str">
        <x:f>IF(T2204=TRUE,"Priority review",IF(R2204=TRUE,"High cost",IF(S2204=TRUE,"Low quality","Benchmark")))</x:f>
        <x:v>Benchmark</x:v>
      </x:c>
    </x:row>
    <x:row r="2205">
      <x:c r="A2205" s="2" t="str">
        <x:v>250049</x:v>
      </x:c>
      <x:c r="B2205" s="2" t="str">
        <x:v>BEACHAM MEMORIAL HOSPITAL</x:v>
      </x:c>
      <x:c r="C2205" s="2" t="str">
        <x:v>MAGNOLIA</x:v>
      </x:c>
      <x:c r="D2205" s="2" t="str">
        <x:v>MS</x:v>
      </x:c>
      <x:c r="E2205" s="2" t="str">
        <x:v>Acute Care Hospitals</x:v>
      </x:c>
      <x:c r="F2205" s="2" t="str">
        <x:v>Proprietary</x:v>
      </x:c>
      <x:c r="G2205" s="2" t="str">
        <x:v>Small (&lt;100 beds)</x:v>
      </x:c>
      <x:c r="H2205" s="7"/>
      <x:c r="I2205" s="7"/>
      <x:c r="J2205" s="7" t="n">
        <x:v>1.15</x:v>
      </x:c>
      <x:c r="K2205" s="8" t="n">
        <x:v>17</x:v>
      </x:c>
      <x:c r="L2205" s="8" t="n">
        <x:v>146</x:v>
      </x:c>
      <x:c r="M2205" s="9" t="n">
        <x:v>0.0962127317</x:v>
      </x:c>
      <x:c r="N2205" s="10" t="n">
        <x:v>57088.3493150685</x:v>
      </x:c>
      <x:c r="O2205" s="9" t="n">
        <x:v>-0.087996415</x:v>
      </x:c>
      <x:c r="P2205" s="9" t="n">
        <x:v>0.5538599641</x:v>
      </x:c>
      <x:c r="Q2205" s="9" t="n">
        <x:v>0.697486535</x:v>
      </x:c>
      <x:c r="R2205" s="3" t="b">
        <x:v>0</x:v>
      </x:c>
      <x:c r="S2205" s="3" t="b">
        <x:v>0</x:v>
      </x:c>
      <x:c r="T2205" s="3" t="b">
        <x:v>0</x:v>
      </x:c>
      <x:c r="U2205" s="2" t="str">
        <x:f>IF(T2205=TRUE,"Priority review",IF(R2205=TRUE,"High cost",IF(S2205=TRUE,"Low quality","Benchmark")))</x:f>
        <x:v>Benchmark</x:v>
      </x:c>
    </x:row>
    <x:row r="2206">
      <x:c r="A2206" s="2" t="str">
        <x:v>310019</x:v>
      </x:c>
      <x:c r="B2206" s="2" t="str">
        <x:v>ST JOSEPH'S UNIVERSITY MEDICAL CENTER INC</x:v>
      </x:c>
      <x:c r="C2206" s="2" t="str">
        <x:v>PATERSON</x:v>
      </x:c>
      <x:c r="D2206" s="2" t="str">
        <x:v>NJ</x:v>
      </x:c>
      <x:c r="E2206" s="2" t="str">
        <x:v>Acute Care Hospitals</x:v>
      </x:c>
      <x:c r="F2206" s="2" t="str">
        <x:v>Voluntary non-profit</x:v>
      </x:c>
      <x:c r="G2206" s="2" t="str">
        <x:v>Large (300+ beds)</x:v>
      </x:c>
      <x:c r="H2206" s="7" t="n">
        <x:v>3</x:v>
      </x:c>
      <x:c r="I2206" s="7" t="n">
        <x:v>2</x:v>
      </x:c>
      <x:c r="J2206" s="7" t="n">
        <x:v>1.1</x:v>
      </x:c>
      <x:c r="K2206" s="8" t="n">
        <x:v>643</x:v>
      </x:c>
      <x:c r="L2206" s="8" t="n">
        <x:v>25518</x:v>
      </x:c>
      <x:c r="M2206" s="9" t="n">
        <x:v>0.6860346672</x:v>
      </x:c>
      <x:c r="N2206" s="10" t="n">
        <x:v>41208.8934869504</x:v>
      </x:c>
      <x:c r="O2206" s="9" t="n">
        <x:v>-0.123509076</x:v>
      </x:c>
      <x:c r="P2206" s="9" t="n">
        <x:v>0.5536277603</x:v>
      </x:c>
      <x:c r="Q2206" s="9" t="n">
        <x:v>0.2570977918</x:v>
      </x:c>
      <x:c r="R2206" s="3" t="b">
        <x:v>0</x:v>
      </x:c>
      <x:c r="S2206" s="3" t="b">
        <x:v>0</x:v>
      </x:c>
      <x:c r="T2206" s="3" t="b">
        <x:v>0</x:v>
      </x:c>
      <x:c r="U2206" s="2" t="str">
        <x:f>IF(T2206=TRUE,"Priority review",IF(R2206=TRUE,"High cost",IF(S2206=TRUE,"Low quality","Benchmark")))</x:f>
        <x:v>Benchmark</x:v>
      </x:c>
    </x:row>
    <x:row r="2207">
      <x:c r="A2207" s="2" t="str">
        <x:v>364055</x:v>
      </x:c>
      <x:c r="B2207" s="2" t="str">
        <x:v>SOJOURN AT SENECA SENIOR BEHAVIORAL HEALTH HOSPITA</x:v>
      </x:c>
      <x:c r="C2207" s="2" t="str">
        <x:v>TIFFIN</x:v>
      </x:c>
      <x:c r="D2207" s="2" t="str">
        <x:v>OH</x:v>
      </x:c>
      <x:c r="E2207" s="2" t="str">
        <x:v>Psychiatric</x:v>
      </x:c>
      <x:c r="F2207" s="2" t="str">
        <x:v>Voluntary non-profit</x:v>
      </x:c>
      <x:c r="G2207" s="2" t="str">
        <x:v>Small (&lt;100 beds)</x:v>
      </x:c>
      <x:c r="H2207" s="7"/>
      <x:c r="I2207" s="7"/>
      <x:c r="J2207" s="7"/>
      <x:c r="K2207" s="8" t="n">
        <x:v>24</x:v>
      </x:c>
      <x:c r="L2207" s="8" t="n">
        <x:v>234</x:v>
      </x:c>
      <x:c r="M2207" s="9" t="n">
        <x:v>0.811965812</x:v>
      </x:c>
      <x:c r="N2207" s="10" t="n">
        <x:v>13313.5769230769</x:v>
      </x:c>
      <x:c r="O2207" s="9" t="n">
        <x:v>0.1121044141</x:v>
      </x:c>
      <x:c r="P2207" s="9" t="n">
        <x:v>0.5533980583</x:v>
      </x:c>
      <x:c r="Q2207" s="9" t="n">
        <x:v>0</x:v>
      </x:c>
      <x:c r="R2207" s="3" t="b">
        <x:v>0</x:v>
      </x:c>
      <x:c r="S2207" s="3" t="b">
        <x:v>0</x:v>
      </x:c>
      <x:c r="T2207" s="3" t="b">
        <x:v>0</x:v>
      </x:c>
      <x:c r="U2207" s="2" t="str">
        <x:f>IF(T2207=TRUE,"Priority review",IF(R2207=TRUE,"High cost",IF(S2207=TRUE,"Low quality","Benchmark")))</x:f>
        <x:v>Benchmark</x:v>
      </x:c>
    </x:row>
    <x:row r="2208">
      <x:c r="A2208" s="2" t="str">
        <x:v>230105</x:v>
      </x:c>
      <x:c r="B2208" s="2" t="str">
        <x:v>MCLAREN NORTHERN MICHIGAN</x:v>
      </x:c>
      <x:c r="C2208" s="2" t="str">
        <x:v>PETOSKEY</x:v>
      </x:c>
      <x:c r="D2208" s="2" t="str">
        <x:v>MI</x:v>
      </x:c>
      <x:c r="E2208" s="2" t="str">
        <x:v>Acute Care Hospitals</x:v>
      </x:c>
      <x:c r="F2208" s="2" t="str">
        <x:v>Voluntary non-profit</x:v>
      </x:c>
      <x:c r="G2208" s="2" t="str">
        <x:v>Medium (100-299 beds)</x:v>
      </x:c>
      <x:c r="H2208" s="7" t="n">
        <x:v>3</x:v>
      </x:c>
      <x:c r="I2208" s="7" t="n">
        <x:v>3</x:v>
      </x:c>
      <x:c r="J2208" s="7" t="n">
        <x:v>0.93</x:v>
      </x:c>
      <x:c r="K2208" s="8" t="n">
        <x:v>159</x:v>
      </x:c>
      <x:c r="L2208" s="8" t="n">
        <x:v>7948</x:v>
      </x:c>
      <x:c r="M2208" s="9" t="n">
        <x:v>0.5459846419</x:v>
      </x:c>
      <x:c r="N2208" s="10" t="n">
        <x:v>36022.1820583795</x:v>
      </x:c>
      <x:c r="O2208" s="9" t="n">
        <x:v>-0.0244298333</x:v>
      </x:c>
      <x:c r="P2208" s="9" t="n">
        <x:v>0.5533822331</x:v>
      </x:c>
      <x:c r="Q2208" s="9" t="n">
        <x:v>0.3023634882</x:v>
      </x:c>
      <x:c r="R2208" s="3" t="b">
        <x:v>0</x:v>
      </x:c>
      <x:c r="S2208" s="3" t="b">
        <x:v>0</x:v>
      </x:c>
      <x:c r="T2208" s="3" t="b">
        <x:v>0</x:v>
      </x:c>
      <x:c r="U2208" s="2" t="str">
        <x:f>IF(T2208=TRUE,"Priority review",IF(R2208=TRUE,"High cost",IF(S2208=TRUE,"Low quality","Benchmark")))</x:f>
        <x:v>Benchmark</x:v>
      </x:c>
    </x:row>
    <x:row r="2209">
      <x:c r="A2209" s="2" t="str">
        <x:v>341327</x:v>
      </x:c>
      <x:c r="B2209" s="2" t="str">
        <x:v>J ARTHUR DOSHER MEMORIAL HOSPITAL</x:v>
      </x:c>
      <x:c r="C2209" s="2" t="str">
        <x:v>SOUTHPORT</x:v>
      </x:c>
      <x:c r="D2209" s="2" t="str">
        <x:v>NC</x:v>
      </x:c>
      <x:c r="E2209" s="2" t="str">
        <x:v>Critical Access Hospitals</x:v>
      </x:c>
      <x:c r="F2209" s="2" t="str">
        <x:v>Voluntary non-profit</x:v>
      </x:c>
      <x:c r="G2209" s="2" t="str">
        <x:v>Small (&lt;100 beds)</x:v>
      </x:c>
      <x:c r="H2209" s="7" t="n">
        <x:v>3</x:v>
      </x:c>
      <x:c r="I2209" s="7" t="n">
        <x:v>4</x:v>
      </x:c>
      <x:c r="J2209" s="7"/>
      <x:c r="K2209" s="8" t="n">
        <x:v>25</x:v>
      </x:c>
      <x:c r="L2209" s="8" t="n">
        <x:v>439</x:v>
      </x:c>
      <x:c r="M2209" s="9" t="n">
        <x:v>0.268852459</x:v>
      </x:c>
      <x:c r="N2209" s="10" t="n">
        <x:v>142147.4715261959</x:v>
      </x:c>
      <x:c r="O2209" s="9" t="n">
        <x:v>-0.0618542053</x:v>
      </x:c>
      <x:c r="P2209" s="9" t="n">
        <x:v>0.5531598513</x:v>
      </x:c>
      <x:c r="Q2209" s="9" t="n">
        <x:v>0.0765799257</x:v>
      </x:c>
      <x:c r="R2209" s="3" t="b">
        <x:v>0</x:v>
      </x:c>
      <x:c r="S2209" s="3" t="b">
        <x:v>1</x:v>
      </x:c>
      <x:c r="T2209" s="3" t="b">
        <x:v>0</x:v>
      </x:c>
      <x:c r="U2209" s="2" t="str">
        <x:f>IF(T2209=TRUE,"Priority review",IF(R2209=TRUE,"High cost",IF(S2209=TRUE,"Low quality","Benchmark")))</x:f>
        <x:v>Low quality</x:v>
      </x:c>
    </x:row>
    <x:row r="2210">
      <x:c r="A2210" s="2" t="str">
        <x:v>250050</x:v>
      </x:c>
      <x:c r="B2210" s="2" t="str">
        <x:v>BAPTIST MEMORIAL HOSPITAL-OKTIBBEHA COUNTY</x:v>
      </x:c>
      <x:c r="C2210" s="2" t="str">
        <x:v>STARKVILLE</x:v>
      </x:c>
      <x:c r="D2210" s="2" t="str">
        <x:v>MS</x:v>
      </x:c>
      <x:c r="E2210" s="2" t="str">
        <x:v>Acute Care Hospitals</x:v>
      </x:c>
      <x:c r="F2210" s="2" t="str">
        <x:v>Government</x:v>
      </x:c>
      <x:c r="G2210" s="2" t="str">
        <x:v>Small (&lt;100 beds)</x:v>
      </x:c>
      <x:c r="H2210" s="7" t="n">
        <x:v>2</x:v>
      </x:c>
      <x:c r="I2210" s="7" t="n">
        <x:v>3</x:v>
      </x:c>
      <x:c r="J2210" s="7" t="n">
        <x:v>1.06</x:v>
      </x:c>
      <x:c r="K2210" s="8" t="n">
        <x:v>88</x:v>
      </x:c>
      <x:c r="L2210" s="8" t="n">
        <x:v>1287</x:v>
      </x:c>
      <x:c r="M2210" s="9" t="n">
        <x:v>0.2239195231</x:v>
      </x:c>
      <x:c r="N2210" s="10" t="n">
        <x:v>57013.128982129</x:v>
      </x:c>
      <x:c r="O2210" s="9" t="n">
        <x:v>0.0535718234</x:v>
      </x:c>
      <x:c r="P2210" s="9" t="n">
        <x:v>0.552962298</x:v>
      </x:c>
      <x:c r="Q2210" s="9" t="n">
        <x:v>0.0350089767</x:v>
      </x:c>
      <x:c r="R2210" s="3" t="b">
        <x:v>0</x:v>
      </x:c>
      <x:c r="S2210" s="3" t="b">
        <x:v>1</x:v>
      </x:c>
      <x:c r="T2210" s="3" t="b">
        <x:v>0</x:v>
      </x:c>
      <x:c r="U2210" s="2" t="str">
        <x:f>IF(T2210=TRUE,"Priority review",IF(R2210=TRUE,"High cost",IF(S2210=TRUE,"Low quality","Benchmark")))</x:f>
        <x:v>Low quality</x:v>
      </x:c>
    </x:row>
    <x:row r="2211">
      <x:c r="A2211" s="2" t="str">
        <x:v>110198</x:v>
      </x:c>
      <x:c r="B2211" s="2" t="str">
        <x:v>WELLSTAR NORTH FULTON MEDICAL CENTER</x:v>
      </x:c>
      <x:c r="C2211" s="2" t="str">
        <x:v>ROSWELL</x:v>
      </x:c>
      <x:c r="D2211" s="2" t="str">
        <x:v>GA</x:v>
      </x:c>
      <x:c r="E2211" s="2" t="str">
        <x:v>Acute Care Hospitals</x:v>
      </x:c>
      <x:c r="F2211" s="2" t="str">
        <x:v>Proprietary</x:v>
      </x:c>
      <x:c r="G2211" s="2" t="str">
        <x:v>Medium (100-299 beds)</x:v>
      </x:c>
      <x:c r="H2211" s="7" t="n">
        <x:v>2</x:v>
      </x:c>
      <x:c r="I2211" s="7" t="n">
        <x:v>2</x:v>
      </x:c>
      <x:c r="J2211" s="7" t="n">
        <x:v>0.95</x:v>
      </x:c>
      <x:c r="K2211" s="8" t="n">
        <x:v>178</x:v>
      </x:c>
      <x:c r="L2211" s="8" t="n">
        <x:v>10504</x:v>
      </x:c>
      <x:c r="M2211" s="9" t="n">
        <x:v>0.8418346929</x:v>
      </x:c>
      <x:c r="N2211" s="10" t="n">
        <x:v>36004.5970106626</x:v>
      </x:c>
      <x:c r="O2211" s="9" t="n">
        <x:v>0.0516743839</x:v>
      </x:c>
      <x:c r="P2211" s="9" t="n">
        <x:v>0.5525672372</x:v>
      </x:c>
      <x:c r="Q2211" s="9" t="n">
        <x:v>0.0782396088</x:v>
      </x:c>
      <x:c r="R2211" s="3" t="b">
        <x:v>0</x:v>
      </x:c>
      <x:c r="S2211" s="3" t="b">
        <x:v>1</x:v>
      </x:c>
      <x:c r="T2211" s="3" t="b">
        <x:v>0</x:v>
      </x:c>
      <x:c r="U2211" s="2" t="str">
        <x:f>IF(T2211=TRUE,"Priority review",IF(R2211=TRUE,"High cost",IF(S2211=TRUE,"Low quality","Benchmark")))</x:f>
        <x:v>Low quality</x:v>
      </x:c>
    </x:row>
    <x:row r="2212">
      <x:c r="A2212" s="2" t="str">
        <x:v>351319</x:v>
      </x:c>
      <x:c r="B2212" s="2" t="str">
        <x:v>PEMBINA COUNTY MEMORIAL HOSPITAL</x:v>
      </x:c>
      <x:c r="C2212" s="2" t="str">
        <x:v>CAVALIER</x:v>
      </x:c>
      <x:c r="D2212" s="2" t="str">
        <x:v>ND</x:v>
      </x:c>
      <x:c r="E2212" s="2" t="str">
        <x:v>Critical Access Hospitals</x:v>
      </x:c>
      <x:c r="F2212" s="2" t="str">
        <x:v>Voluntary non-profit</x:v>
      </x:c>
      <x:c r="G2212" s="2" t="str">
        <x:v>Small (&lt;100 beds)</x:v>
      </x:c>
      <x:c r="H2212" s="7"/>
      <x:c r="I2212" s="7"/>
      <x:c r="J2212" s="7"/>
      <x:c r="K2212" s="8" t="n">
        <x:v>20</x:v>
      </x:c>
      <x:c r="L2212" s="8" t="n">
        <x:v>139</x:v>
      </x:c>
      <x:c r="M2212" s="9" t="n">
        <x:v>0.0909836066</x:v>
      </x:c>
      <x:c r="N2212" s="10" t="n">
        <x:v>141875.4460431655</x:v>
      </x:c>
      <x:c r="O2212" s="9" t="n">
        <x:v>-0.0286426308</x:v>
      </x:c>
      <x:c r="P2212" s="9" t="n">
        <x:v>0.5524163569</x:v>
      </x:c>
      <x:c r="Q2212" s="9" t="n">
        <x:v>0.292936803</x:v>
      </x:c>
      <x:c r="R2212" s="3" t="b">
        <x:v>0</x:v>
      </x:c>
      <x:c r="S2212" s="3" t="b">
        <x:v>0</x:v>
      </x:c>
      <x:c r="T2212" s="3" t="b">
        <x:v>0</x:v>
      </x:c>
      <x:c r="U2212" s="2" t="str">
        <x:f>IF(T2212=TRUE,"Priority review",IF(R2212=TRUE,"High cost",IF(S2212=TRUE,"Low quality","Benchmark")))</x:f>
        <x:v>Benchmark</x:v>
      </x:c>
    </x:row>
    <x:row r="2213">
      <x:c r="A2213" s="2" t="str">
        <x:v>224022</x:v>
      </x:c>
      <x:c r="B2213" s="2" t="str">
        <x:v>BOURNEWOOD HOSPITAL</x:v>
      </x:c>
      <x:c r="C2213" s="2" t="str">
        <x:v>BROOKLINE</x:v>
      </x:c>
      <x:c r="D2213" s="2" t="str">
        <x:v>MA</x:v>
      </x:c>
      <x:c r="E2213" s="2" t="str">
        <x:v>Psychiatric</x:v>
      </x:c>
      <x:c r="F2213" s="2" t="str">
        <x:v>Proprietary</x:v>
      </x:c>
      <x:c r="G2213" s="2" t="str">
        <x:v>Medium (100-299 beds)</x:v>
      </x:c>
      <x:c r="H2213" s="7"/>
      <x:c r="I2213" s="7"/>
      <x:c r="J2213" s="7"/>
      <x:c r="K2213" s="8" t="n">
        <x:v>102</x:v>
      </x:c>
      <x:c r="L2213" s="8" t="n">
        <x:v>3093</x:v>
      </x:c>
      <x:c r="M2213" s="9" t="n">
        <x:v>0.9107200257</x:v>
      </x:c>
      <x:c r="N2213" s="10" t="n">
        <x:v>13597.2848367281</x:v>
      </x:c>
      <x:c r="O2213" s="9" t="n">
        <x:v>-0.0506491436</x:v>
      </x:c>
      <x:c r="P2213" s="9" t="n">
        <x:v>0.552238806</x:v>
      </x:c>
      <x:c r="Q2213" s="9" t="n">
        <x:v>0</x:v>
      </x:c>
      <x:c r="R2213" s="3" t="b">
        <x:v>0</x:v>
      </x:c>
      <x:c r="S2213" s="3" t="b">
        <x:v>0</x:v>
      </x:c>
      <x:c r="T2213" s="3" t="b">
        <x:v>0</x:v>
      </x:c>
      <x:c r="U2213" s="2" t="str">
        <x:f>IF(T2213=TRUE,"Priority review",IF(R2213=TRUE,"High cost",IF(S2213=TRUE,"Low quality","Benchmark")))</x:f>
        <x:v>Benchmark</x:v>
      </x:c>
    </x:row>
    <x:row r="2214">
      <x:c r="A2214" s="2" t="str">
        <x:v>200031</x:v>
      </x:c>
      <x:c r="B2214" s="2" t="str">
        <x:v>CARY MEDICAL CENTER</x:v>
      </x:c>
      <x:c r="C2214" s="2" t="str">
        <x:v>CARIBOU</x:v>
      </x:c>
      <x:c r="D2214" s="2" t="str">
        <x:v>ME</x:v>
      </x:c>
      <x:c r="E2214" s="2" t="str">
        <x:v>Acute Care Hospitals</x:v>
      </x:c>
      <x:c r="F2214" s="2" t="str">
        <x:v>Government</x:v>
      </x:c>
      <x:c r="G2214" s="2" t="str">
        <x:v>Small (&lt;100 beds)</x:v>
      </x:c>
      <x:c r="H2214" s="7" t="n">
        <x:v>1</x:v>
      </x:c>
      <x:c r="I2214" s="7" t="n">
        <x:v>4</x:v>
      </x:c>
      <x:c r="J2214" s="7" t="n">
        <x:v>0.84</x:v>
      </x:c>
      <x:c r="K2214" s="8" t="n">
        <x:v>49</x:v>
      </x:c>
      <x:c r="L2214" s="8" t="n">
        <x:v>1286</x:v>
      </x:c>
      <x:c r="M2214" s="9" t="n">
        <x:v>0.5368573659</x:v>
      </x:c>
      <x:c r="N2214" s="10" t="n">
        <x:v>56915.7021772939</x:v>
      </x:c>
      <x:c r="O2214" s="9" t="n">
        <x:v>-0.0584400121</x:v>
      </x:c>
      <x:c r="P2214" s="9" t="n">
        <x:v>0.552064632</x:v>
      </x:c>
      <x:c r="Q2214" s="9" t="n">
        <x:v>0</x:v>
      </x:c>
      <x:c r="R2214" s="3" t="b">
        <x:v>0</x:v>
      </x:c>
      <x:c r="S2214" s="3" t="b">
        <x:v>1</x:v>
      </x:c>
      <x:c r="T2214" s="3" t="b">
        <x:v>0</x:v>
      </x:c>
      <x:c r="U2214" s="2" t="str">
        <x:f>IF(T2214=TRUE,"Priority review",IF(R2214=TRUE,"High cost",IF(S2214=TRUE,"Low quality","Benchmark")))</x:f>
        <x:v>Low quality</x:v>
      </x:c>
    </x:row>
    <x:row r="2215">
      <x:c r="A2215" s="2" t="str">
        <x:v>410009</x:v>
      </x:c>
      <x:c r="B2215" s="2" t="str">
        <x:v>KENT COUNTY MEMORIAL HOSPITAL</x:v>
      </x:c>
      <x:c r="C2215" s="2" t="str">
        <x:v>WARWICK</x:v>
      </x:c>
      <x:c r="D2215" s="2" t="str">
        <x:v>RI</x:v>
      </x:c>
      <x:c r="E2215" s="2" t="str">
        <x:v>Acute Care Hospitals</x:v>
      </x:c>
      <x:c r="F2215" s="2" t="str">
        <x:v>Proprietary</x:v>
      </x:c>
      <x:c r="G2215" s="2" t="str">
        <x:v>Large (300+ beds)</x:v>
      </x:c>
      <x:c r="H2215" s="7" t="n">
        <x:v>3</x:v>
      </x:c>
      <x:c r="I2215" s="7" t="n">
        <x:v>3</x:v>
      </x:c>
      <x:c r="J2215" s="7" t="n">
        <x:v>1.03</x:v>
      </x:c>
      <x:c r="K2215" s="8" t="n">
        <x:v>323</x:v>
      </x:c>
      <x:c r="L2215" s="8" t="n">
        <x:v>11696</x:v>
      </x:c>
      <x:c r="M2215" s="9" t="n">
        <x:v>0.5181106092</x:v>
      </x:c>
      <x:c r="N2215" s="10" t="n">
        <x:v>41188.6930574555</x:v>
      </x:c>
      <x:c r="O2215" s="9" t="n">
        <x:v>-0.1988688734</x:v>
      </x:c>
      <x:c r="P2215" s="9" t="n">
        <x:v>0.5520504732</x:v>
      </x:c>
      <x:c r="Q2215" s="9" t="n">
        <x:v>0.2570977918</x:v>
      </x:c>
      <x:c r="R2215" s="3" t="b">
        <x:v>0</x:v>
      </x:c>
      <x:c r="S2215" s="3" t="b">
        <x:v>0</x:v>
      </x:c>
      <x:c r="T2215" s="3" t="b">
        <x:v>0</x:v>
      </x:c>
      <x:c r="U2215" s="2" t="str">
        <x:f>IF(T2215=TRUE,"Priority review",IF(R2215=TRUE,"High cost",IF(S2215=TRUE,"Low quality","Benchmark")))</x:f>
        <x:v>Benchmark</x:v>
      </x:c>
    </x:row>
    <x:row r="2216">
      <x:c r="A2216" s="2" t="str">
        <x:v>140217</x:v>
      </x:c>
      <x:c r="B2216" s="2" t="str">
        <x:v>SAINT JOSEPH HOSPITAL-ELGIN</x:v>
      </x:c>
      <x:c r="C2216" s="2" t="str">
        <x:v>ELGIN</x:v>
      </x:c>
      <x:c r="D2216" s="2" t="str">
        <x:v>IL</x:v>
      </x:c>
      <x:c r="E2216" s="2" t="str">
        <x:v>Acute Care Hospitals</x:v>
      </x:c>
      <x:c r="F2216" s="2" t="str">
        <x:v>Voluntary non-profit</x:v>
      </x:c>
      <x:c r="G2216" s="2" t="str">
        <x:v>Medium (100-299 beds)</x:v>
      </x:c>
      <x:c r="H2216" s="7" t="n">
        <x:v>4</x:v>
      </x:c>
      <x:c r="I2216" s="7" t="n">
        <x:v>2</x:v>
      </x:c>
      <x:c r="J2216" s="7"/>
      <x:c r="K2216" s="8" t="n">
        <x:v>144</x:v>
      </x:c>
      <x:c r="L2216" s="8" t="n">
        <x:v>2895</x:v>
      </x:c>
      <x:c r="M2216" s="9" t="n">
        <x:v>0.3638831733</x:v>
      </x:c>
      <x:c r="N2216" s="10" t="n">
        <x:v>35976.9813471503</x:v>
      </x:c>
      <x:c r="O2216" s="9" t="n">
        <x:v>-0.2895428016</x:v>
      </x:c>
      <x:c r="P2216" s="9" t="n">
        <x:v>0.5517522412</x:v>
      </x:c>
      <x:c r="Q2216" s="9" t="n">
        <x:v>0.6022819886</x:v>
      </x:c>
      <x:c r="R2216" s="3" t="b">
        <x:v>0</x:v>
      </x:c>
      <x:c r="S2216" s="3" t="b">
        <x:v>0</x:v>
      </x:c>
      <x:c r="T2216" s="3" t="b">
        <x:v>0</x:v>
      </x:c>
      <x:c r="U2216" s="2" t="str">
        <x:f>IF(T2216=TRUE,"Priority review",IF(R2216=TRUE,"High cost",IF(S2216=TRUE,"Low quality","Benchmark")))</x:f>
        <x:v>Benchmark</x:v>
      </x:c>
    </x:row>
    <x:row r="2217">
      <x:c r="A2217" s="2" t="str">
        <x:v>501333</x:v>
      </x:c>
      <x:c r="B2217" s="2" t="str">
        <x:v>KITTITAS VALLEY COMMUNITY HOSPITAL</x:v>
      </x:c>
      <x:c r="C2217" s="2" t="str">
        <x:v>ELLENSBURG</x:v>
      </x:c>
      <x:c r="D2217" s="2" t="str">
        <x:v>WA</x:v>
      </x:c>
      <x:c r="E2217" s="2" t="str">
        <x:v>Critical Access Hospitals</x:v>
      </x:c>
      <x:c r="F2217" s="2" t="str">
        <x:v>Government</x:v>
      </x:c>
      <x:c r="G2217" s="2" t="str">
        <x:v>Small (&lt;100 beds)</x:v>
      </x:c>
      <x:c r="H2217" s="7"/>
      <x:c r="I2217" s="7" t="n">
        <x:v>4</x:v>
      </x:c>
      <x:c r="J2217" s="7"/>
      <x:c r="K2217" s="8" t="n">
        <x:v>25</x:v>
      </x:c>
      <x:c r="L2217" s="8" t="n">
        <x:v>969</x:v>
      </x:c>
      <x:c r="M2217" s="9" t="n">
        <x:v>0.4084153005</x:v>
      </x:c>
      <x:c r="N2217" s="10" t="n">
        <x:v>141536.0412796698</x:v>
      </x:c>
      <x:c r="O2217" s="9" t="n">
        <x:v>0.0027051035</x:v>
      </x:c>
      <x:c r="P2217" s="9" t="n">
        <x:v>0.5516728625</x:v>
      </x:c>
      <x:c r="Q2217" s="9" t="n">
        <x:v>0.292936803</x:v>
      </x:c>
      <x:c r="R2217" s="3" t="b">
        <x:v>0</x:v>
      </x:c>
      <x:c r="S2217" s="3" t="b">
        <x:v>0</x:v>
      </x:c>
      <x:c r="T2217" s="3" t="b">
        <x:v>0</x:v>
      </x:c>
      <x:c r="U2217" s="2" t="str">
        <x:f>IF(T2217=TRUE,"Priority review",IF(R2217=TRUE,"High cost",IF(S2217=TRUE,"Low quality","Benchmark")))</x:f>
        <x:v>Benchmark</x:v>
      </x:c>
    </x:row>
    <x:row r="2218">
      <x:c r="A2218" s="2" t="str">
        <x:v>190184</x:v>
      </x:c>
      <x:c r="B2218" s="2" t="str">
        <x:v>CITIZENS MEDICAL CENTER</x:v>
      </x:c>
      <x:c r="C2218" s="2" t="str">
        <x:v>COLUMBIA</x:v>
      </x:c>
      <x:c r="D2218" s="2" t="str">
        <x:v>LA</x:v>
      </x:c>
      <x:c r="E2218" s="2" t="str">
        <x:v>Acute Care Hospitals</x:v>
      </x:c>
      <x:c r="F2218" s="2" t="str">
        <x:v>Government</x:v>
      </x:c>
      <x:c r="G2218" s="2" t="str">
        <x:v>Small (&lt;100 beds)</x:v>
      </x:c>
      <x:c r="H2218" s="7" t="n">
        <x:v>3</x:v>
      </x:c>
      <x:c r="I2218" s="7" t="n">
        <x:v>5</x:v>
      </x:c>
      <x:c r="J2218" s="7" t="n">
        <x:v>0.96</x:v>
      </x:c>
      <x:c r="K2218" s="8" t="n">
        <x:v>40</x:v>
      </x:c>
      <x:c r="L2218" s="8" t="n">
        <x:v>399</x:v>
      </x:c>
      <x:c r="M2218" s="9" t="n">
        <x:v>0.1092465753</x:v>
      </x:c>
      <x:c r="N2218" s="10" t="n">
        <x:v>56681.0050125313</x:v>
      </x:c>
      <x:c r="O2218" s="9" t="n">
        <x:v>-0.3900726957</x:v>
      </x:c>
      <x:c r="P2218" s="9" t="n">
        <x:v>0.5511669659</x:v>
      </x:c>
      <x:c r="Q2218" s="9" t="n">
        <x:v>0.1687612208</x:v>
      </x:c>
      <x:c r="R2218" s="3" t="b">
        <x:v>0</x:v>
      </x:c>
      <x:c r="S2218" s="3" t="b">
        <x:v>0</x:v>
      </x:c>
      <x:c r="T2218" s="3" t="b">
        <x:v>0</x:v>
      </x:c>
      <x:c r="U2218" s="2" t="str">
        <x:f>IF(T2218=TRUE,"Priority review",IF(R2218=TRUE,"High cost",IF(S2218=TRUE,"Low quality","Benchmark")))</x:f>
        <x:v>Benchmark</x:v>
      </x:c>
    </x:row>
    <x:row r="2219">
      <x:c r="A2219" s="2" t="str">
        <x:v>140008</x:v>
      </x:c>
      <x:c r="B2219" s="2" t="str">
        <x:v>LOYOLA GOTTLIEB MEMORIAL HOSPITAL</x:v>
      </x:c>
      <x:c r="C2219" s="2" t="str">
        <x:v>MELROSE PARK</x:v>
      </x:c>
      <x:c r="D2219" s="2" t="str">
        <x:v>IL</x:v>
      </x:c>
      <x:c r="E2219" s="2" t="str">
        <x:v>Acute Care Hospitals</x:v>
      </x:c>
      <x:c r="F2219" s="2" t="str">
        <x:v>Voluntary non-profit</x:v>
      </x:c>
      <x:c r="G2219" s="2" t="str">
        <x:v>Medium (100-299 beds)</x:v>
      </x:c>
      <x:c r="H2219" s="7" t="n">
        <x:v>3</x:v>
      </x:c>
      <x:c r="I2219" s="7" t="n">
        <x:v>3</x:v>
      </x:c>
      <x:c r="J2219" s="7" t="n">
        <x:v>1.01</x:v>
      </x:c>
      <x:c r="K2219" s="8" t="n">
        <x:v>135</x:v>
      </x:c>
      <x:c r="L2219" s="8" t="n">
        <x:v>4274</x:v>
      </x:c>
      <x:c r="M2219" s="9" t="n">
        <x:v>0.4691831558</x:v>
      </x:c>
      <x:c r="N2219" s="10" t="n">
        <x:v>35972.3963500234</x:v>
      </x:c>
      <x:c r="O2219" s="9" t="n">
        <x:v>-0.0638616224</x:v>
      </x:c>
      <x:c r="P2219" s="9" t="n">
        <x:v>0.5509372453</x:v>
      </x:c>
      <x:c r="Q2219" s="9" t="n">
        <x:v>0.3023634882</x:v>
      </x:c>
      <x:c r="R2219" s="3" t="b">
        <x:v>0</x:v>
      </x:c>
      <x:c r="S2219" s="3" t="b">
        <x:v>0</x:v>
      </x:c>
      <x:c r="T2219" s="3" t="b">
        <x:v>0</x:v>
      </x:c>
      <x:c r="U2219" s="2" t="str">
        <x:f>IF(T2219=TRUE,"Priority review",IF(R2219=TRUE,"High cost",IF(S2219=TRUE,"Low quality","Benchmark")))</x:f>
        <x:v>Benchmark</x:v>
      </x:c>
    </x:row>
    <x:row r="2220">
      <x:c r="A2220" s="2" t="str">
        <x:v>101313</x:v>
      </x:c>
      <x:c r="B2220" s="2" t="str">
        <x:v>MARINERS HOSPITAL</x:v>
      </x:c>
      <x:c r="C2220" s="2" t="str">
        <x:v>TAVERNIER</x:v>
      </x:c>
      <x:c r="D2220" s="2" t="str">
        <x:v>FL</x:v>
      </x:c>
      <x:c r="E2220" s="2" t="str">
        <x:v>Critical Access Hospitals</x:v>
      </x:c>
      <x:c r="F2220" s="2" t="str">
        <x:v>Voluntary non-profit</x:v>
      </x:c>
      <x:c r="G2220" s="2" t="str">
        <x:v>Small (&lt;100 beds)</x:v>
      </x:c>
      <x:c r="H2220" s="7" t="n">
        <x:v>5</x:v>
      </x:c>
      <x:c r="I2220" s="7"/>
      <x:c r="J2220" s="7"/>
      <x:c r="K2220" s="8" t="n">
        <x:v>19</x:v>
      </x:c>
      <x:c r="L2220" s="8" t="n">
        <x:v>484</x:v>
      </x:c>
      <x:c r="M2220" s="9" t="n">
        <x:v>0.2083692839</x:v>
      </x:c>
      <x:c r="N2220" s="10" t="n">
        <x:v>141385.1012396694</x:v>
      </x:c>
      <x:c r="O2220" s="9" t="n">
        <x:v>0.1821579625</x:v>
      </x:c>
      <x:c r="P2220" s="9" t="n">
        <x:v>0.550929368</x:v>
      </x:c>
      <x:c r="Q2220" s="9" t="n">
        <x:v>0.2602230483</x:v>
      </x:c>
      <x:c r="R2220" s="3" t="b">
        <x:v>0</x:v>
      </x:c>
      <x:c r="S2220" s="3" t="b">
        <x:v>0</x:v>
      </x:c>
      <x:c r="T2220" s="3" t="b">
        <x:v>0</x:v>
      </x:c>
      <x:c r="U2220" s="2" t="str">
        <x:f>IF(T2220=TRUE,"Priority review",IF(R2220=TRUE,"High cost",IF(S2220=TRUE,"Low quality","Benchmark")))</x:f>
        <x:v>Benchmark</x:v>
      </x:c>
    </x:row>
    <x:row r="2221">
      <x:c r="A2221" s="2" t="str">
        <x:v>240038</x:v>
      </x:c>
      <x:c r="B2221" s="2" t="str">
        <x:v>ALLINA UNITED HOSPITAL</x:v>
      </x:c>
      <x:c r="C2221" s="2" t="str">
        <x:v>SAINT PAUL</x:v>
      </x:c>
      <x:c r="D2221" s="2" t="str">
        <x:v>MN</x:v>
      </x:c>
      <x:c r="E2221" s="2" t="str">
        <x:v>Acute Care Hospitals</x:v>
      </x:c>
      <x:c r="F2221" s="2" t="str">
        <x:v>Voluntary non-profit</x:v>
      </x:c>
      <x:c r="G2221" s="2" t="str">
        <x:v>Large (300+ beds)</x:v>
      </x:c>
      <x:c r="H2221" s="7" t="n">
        <x:v>3</x:v>
      </x:c>
      <x:c r="I2221" s="7" t="n">
        <x:v>3</x:v>
      </x:c>
      <x:c r="J2221" s="7" t="n">
        <x:v>0.94</x:v>
      </x:c>
      <x:c r="K2221" s="8" t="n">
        <x:v>423</x:v>
      </x:c>
      <x:c r="L2221" s="8" t="n">
        <x:v>22563</x:v>
      </x:c>
      <x:c r="M2221" s="9" t="n">
        <x:v>0.7557712927</x:v>
      </x:c>
      <x:c r="N2221" s="10" t="n">
        <x:v>41149.5579488543</x:v>
      </x:c>
      <x:c r="O2221" s="9" t="n">
        <x:v>-0.0585029451</x:v>
      </x:c>
      <x:c r="P2221" s="9" t="n">
        <x:v>0.5504731861</x:v>
      </x:c>
      <x:c r="Q2221" s="9" t="n">
        <x:v>0.2570977918</x:v>
      </x:c>
      <x:c r="R2221" s="3" t="b">
        <x:v>0</x:v>
      </x:c>
      <x:c r="S2221" s="3" t="b">
        <x:v>0</x:v>
      </x:c>
      <x:c r="T2221" s="3" t="b">
        <x:v>0</x:v>
      </x:c>
      <x:c r="U2221" s="2" t="str">
        <x:f>IF(T2221=TRUE,"Priority review",IF(R2221=TRUE,"High cost",IF(S2221=TRUE,"Low quality","Benchmark")))</x:f>
        <x:v>Benchmark</x:v>
      </x:c>
    </x:row>
    <x:row r="2222">
      <x:c r="A2222" s="2" t="str">
        <x:v>460011</x:v>
      </x:c>
      <x:c r="B2222" s="2" t="str">
        <x:v>CASTLEVIEW HOSPITAL</x:v>
      </x:c>
      <x:c r="C2222" s="2" t="str">
        <x:v>PRICE</x:v>
      </x:c>
      <x:c r="D2222" s="2" t="str">
        <x:v>UT</x:v>
      </x:c>
      <x:c r="E2222" s="2" t="str">
        <x:v>Acute Care Hospitals</x:v>
      </x:c>
      <x:c r="F2222" s="2" t="str">
        <x:v>Proprietary</x:v>
      </x:c>
      <x:c r="G2222" s="2" t="str">
        <x:v>Small (&lt;100 beds)</x:v>
      </x:c>
      <x:c r="H2222" s="7" t="n">
        <x:v>2</x:v>
      </x:c>
      <x:c r="I2222" s="7" t="n">
        <x:v>3</x:v>
      </x:c>
      <x:c r="J2222" s="7" t="n">
        <x:v>1.01</x:v>
      </x:c>
      <x:c r="K2222" s="8" t="n">
        <x:v>39</x:v>
      </x:c>
      <x:c r="L2222" s="8" t="n">
        <x:v>1312</x:v>
      </x:c>
      <x:c r="M2222" s="9" t="n">
        <x:v>0.2855541544</x:v>
      </x:c>
      <x:c r="N2222" s="10" t="n">
        <x:v>56510.6333841463</x:v>
      </x:c>
      <x:c r="O2222" s="9" t="n">
        <x:v>0.2370105572</x:v>
      </x:c>
      <x:c r="P2222" s="9" t="n">
        <x:v>0.5502692998</x:v>
      </x:c>
      <x:c r="Q2222" s="9" t="n">
        <x:v>0.0350089767</x:v>
      </x:c>
      <x:c r="R2222" s="3" t="b">
        <x:v>0</x:v>
      </x:c>
      <x:c r="S2222" s="3" t="b">
        <x:v>1</x:v>
      </x:c>
      <x:c r="T2222" s="3" t="b">
        <x:v>0</x:v>
      </x:c>
      <x:c r="U2222" s="2" t="str">
        <x:f>IF(T2222=TRUE,"Priority review",IF(R2222=TRUE,"High cost",IF(S2222=TRUE,"Low quality","Benchmark")))</x:f>
        <x:v>Low quality</x:v>
      </x:c>
    </x:row>
    <x:row r="2223">
      <x:c r="A2223" s="2" t="str">
        <x:v>241329</x:v>
      </x:c>
      <x:c r="B2223" s="2" t="str">
        <x:v>LAKEWOOD HEALTH SYSTEM</x:v>
      </x:c>
      <x:c r="C2223" s="2" t="str">
        <x:v>STAPLES</x:v>
      </x:c>
      <x:c r="D2223" s="2" t="str">
        <x:v>MN</x:v>
      </x:c>
      <x:c r="E2223" s="2" t="str">
        <x:v>Critical Access Hospitals</x:v>
      </x:c>
      <x:c r="F2223" s="2" t="str">
        <x:v>Voluntary non-profit</x:v>
      </x:c>
      <x:c r="G2223" s="2" t="str">
        <x:v>Small (&lt;100 beds)</x:v>
      </x:c>
      <x:c r="H2223" s="7"/>
      <x:c r="I2223" s="7" t="n">
        <x:v>4</x:v>
      </x:c>
      <x:c r="J2223" s="7"/>
      <x:c r="K2223" s="8" t="n">
        <x:v>25</x:v>
      </x:c>
      <x:c r="L2223" s="8" t="n">
        <x:v>1124</x:v>
      </x:c>
      <x:c r="M2223" s="9" t="n">
        <x:v>0.5250273224</x:v>
      </x:c>
      <x:c r="N2223" s="10" t="n">
        <x:v>141203.5524911032</x:v>
      </x:c>
      <x:c r="O2223" s="9" t="n">
        <x:v>-0.0747991879</x:v>
      </x:c>
      <x:c r="P2223" s="9" t="n">
        <x:v>0.5501858736</x:v>
      </x:c>
      <x:c r="Q2223" s="9" t="n">
        <x:v>0.292936803</x:v>
      </x:c>
      <x:c r="R2223" s="3" t="b">
        <x:v>0</x:v>
      </x:c>
      <x:c r="S2223" s="3" t="b">
        <x:v>0</x:v>
      </x:c>
      <x:c r="T2223" s="3" t="b">
        <x:v>0</x:v>
      </x:c>
      <x:c r="U2223" s="2" t="str">
        <x:f>IF(T2223=TRUE,"Priority review",IF(R2223=TRUE,"High cost",IF(S2223=TRUE,"Low quality","Benchmark")))</x:f>
        <x:v>Benchmark</x:v>
      </x:c>
    </x:row>
    <x:row r="2224">
      <x:c r="A2224" s="2" t="str">
        <x:v>444005</x:v>
      </x:c>
      <x:c r="B2224" s="2" t="str">
        <x:v>UNITY PSYCHIATRIC CARE-MARTIN</x:v>
      </x:c>
      <x:c r="C2224" s="2" t="str">
        <x:v>MARTIN</x:v>
      </x:c>
      <x:c r="D2224" s="2" t="str">
        <x:v>TN</x:v>
      </x:c>
      <x:c r="E2224" s="2" t="str">
        <x:v>Psychiatric</x:v>
      </x:c>
      <x:c r="F2224" s="2" t="str">
        <x:v>Proprietary</x:v>
      </x:c>
      <x:c r="G2224" s="2" t="str">
        <x:v>Small (&lt;100 beds)</x:v>
      </x:c>
      <x:c r="H2224" s="7"/>
      <x:c r="I2224" s="7"/>
      <x:c r="J2224" s="7"/>
      <x:c r="K2224" s="8" t="n">
        <x:v>16</x:v>
      </x:c>
      <x:c r="L2224" s="8" t="n">
        <x:v>312</x:v>
      </x:c>
      <x:c r="M2224" s="9" t="n">
        <x:v>0.8495560109</x:v>
      </x:c>
      <x:c r="N2224" s="10" t="n">
        <x:v>13311.9487179487</x:v>
      </x:c>
      <x:c r="O2224" s="9" t="n">
        <x:v>0.1957998236</x:v>
      </x:c>
      <x:c r="P2224" s="9" t="n">
        <x:v>0.5501618123</x:v>
      </x:c>
      <x:c r="Q2224" s="9" t="n">
        <x:v>0</x:v>
      </x:c>
      <x:c r="R2224" s="3" t="b">
        <x:v>0</x:v>
      </x:c>
      <x:c r="S2224" s="3" t="b">
        <x:v>0</x:v>
      </x:c>
      <x:c r="T2224" s="3" t="b">
        <x:v>0</x:v>
      </x:c>
      <x:c r="U2224" s="2" t="str">
        <x:f>IF(T2224=TRUE,"Priority review",IF(R2224=TRUE,"High cost",IF(S2224=TRUE,"Low quality","Benchmark")))</x:f>
        <x:v>Benchmark</x:v>
      </x:c>
    </x:row>
    <x:row r="2225">
      <x:c r="A2225" s="2" t="str">
        <x:v>320005</x:v>
      </x:c>
      <x:c r="B2225" s="2" t="str">
        <x:v>SAN JUAN REGIONAL MEDICAL CENTER INC</x:v>
      </x:c>
      <x:c r="C2225" s="2" t="str">
        <x:v>FARMINGTON</x:v>
      </x:c>
      <x:c r="D2225" s="2" t="str">
        <x:v>NM</x:v>
      </x:c>
      <x:c r="E2225" s="2" t="str">
        <x:v>Acute Care Hospitals</x:v>
      </x:c>
      <x:c r="F2225" s="2" t="str">
        <x:v>Voluntary non-profit</x:v>
      </x:c>
      <x:c r="G2225" s="2" t="str">
        <x:v>Medium (100-299 beds)</x:v>
      </x:c>
      <x:c r="H2225" s="7" t="n">
        <x:v>2</x:v>
      </x:c>
      <x:c r="I2225" s="7" t="n">
        <x:v>2</x:v>
      </x:c>
      <x:c r="J2225" s="7" t="n">
        <x:v>0.98</x:v>
      </x:c>
      <x:c r="K2225" s="8" t="n">
        <x:v>166</x:v>
      </x:c>
      <x:c r="L2225" s="8" t="n">
        <x:v>11263</x:v>
      </x:c>
      <x:c r="M2225" s="9" t="n">
        <x:v>0.5416570391</x:v>
      </x:c>
      <x:c r="N2225" s="10" t="n">
        <x:v>35959.1058332593</x:v>
      </x:c>
      <x:c r="O2225" s="9" t="n">
        <x:v>-0.1007473166</x:v>
      </x:c>
      <x:c r="P2225" s="9" t="n">
        <x:v>0.5501222494</x:v>
      </x:c>
      <x:c r="Q2225" s="9" t="n">
        <x:v>0.0782396088</x:v>
      </x:c>
      <x:c r="R2225" s="3" t="b">
        <x:v>0</x:v>
      </x:c>
      <x:c r="S2225" s="3" t="b">
        <x:v>1</x:v>
      </x:c>
      <x:c r="T2225" s="3" t="b">
        <x:v>0</x:v>
      </x:c>
      <x:c r="U2225" s="2" t="str">
        <x:f>IF(T2225=TRUE,"Priority review",IF(R2225=TRUE,"High cost",IF(S2225=TRUE,"Low quality","Benchmark")))</x:f>
        <x:v>Low quality</x:v>
      </x:c>
    </x:row>
    <x:row r="2226">
      <x:c r="A2226" s="2" t="str">
        <x:v>281359</x:v>
      </x:c>
      <x:c r="B2226" s="2" t="str">
        <x:v>MEMORIAL COMMUNITY HOSPITAL &amp; HEALTH SYSTEM</x:v>
      </x:c>
      <x:c r="C2226" s="2" t="str">
        <x:v>BLAIR</x:v>
      </x:c>
      <x:c r="D2226" s="2" t="str">
        <x:v>NE</x:v>
      </x:c>
      <x:c r="E2226" s="2" t="str">
        <x:v>Critical Access Hospitals</x:v>
      </x:c>
      <x:c r="F2226" s="2" t="str">
        <x:v>Voluntary non-profit</x:v>
      </x:c>
      <x:c r="G2226" s="2" t="str">
        <x:v>Small (&lt;100 beds)</x:v>
      </x:c>
      <x:c r="H2226" s="7"/>
      <x:c r="I2226" s="7" t="n">
        <x:v>3</x:v>
      </x:c>
      <x:c r="J2226" s="7"/>
      <x:c r="K2226" s="8" t="n">
        <x:v>21</x:v>
      </x:c>
      <x:c r="L2226" s="8" t="n">
        <x:v>356</x:v>
      </x:c>
      <x:c r="M2226" s="9" t="n">
        <x:v>0.4644808743</x:v>
      </x:c>
      <x:c r="N2226" s="10" t="n">
        <x:v>140245.3988764045</x:v>
      </x:c>
      <x:c r="O2226" s="9" t="n">
        <x:v>0.0156331162</x:v>
      </x:c>
      <x:c r="P2226" s="9" t="n">
        <x:v>0.5494423792</x:v>
      </x:c>
      <x:c r="Q2226" s="9" t="n">
        <x:v>0.292936803</x:v>
      </x:c>
      <x:c r="R2226" s="3" t="b">
        <x:v>0</x:v>
      </x:c>
      <x:c r="S2226" s="3" t="b">
        <x:v>0</x:v>
      </x:c>
      <x:c r="T2226" s="3" t="b">
        <x:v>0</x:v>
      </x:c>
      <x:c r="U2226" s="2" t="str">
        <x:f>IF(T2226=TRUE,"Priority review",IF(R2226=TRUE,"High cost",IF(S2226=TRUE,"Low quality","Benchmark")))</x:f>
        <x:v>Benchmark</x:v>
      </x:c>
    </x:row>
    <x:row r="2227">
      <x:c r="A2227" s="2" t="str">
        <x:v>170105</x:v>
      </x:c>
      <x:c r="B2227" s="2" t="str">
        <x:v>MCPHERSON HOSPITAL</x:v>
      </x:c>
      <x:c r="C2227" s="2" t="str">
        <x:v>MCPHERSON</x:v>
      </x:c>
      <x:c r="D2227" s="2" t="str">
        <x:v>KS</x:v>
      </x:c>
      <x:c r="E2227" s="2" t="str">
        <x:v>Acute Care Hospitals</x:v>
      </x:c>
      <x:c r="F2227" s="2" t="str">
        <x:v>Voluntary non-profit</x:v>
      </x:c>
      <x:c r="G2227" s="2" t="str">
        <x:v>Small (&lt;100 beds)</x:v>
      </x:c>
      <x:c r="H2227" s="7" t="n">
        <x:v>2</x:v>
      </x:c>
      <x:c r="I2227" s="7" t="n">
        <x:v>4</x:v>
      </x:c>
      <x:c r="J2227" s="7" t="n">
        <x:v>0.92</x:v>
      </x:c>
      <x:c r="K2227" s="8" t="n">
        <x:v>37</x:v>
      </x:c>
      <x:c r="L2227" s="8" t="n">
        <x:v>832</x:v>
      </x:c>
      <x:c r="M2227" s="9" t="n">
        <x:v>0.2113291374</x:v>
      </x:c>
      <x:c r="N2227" s="10" t="n">
        <x:v>56417.2728365385</x:v>
      </x:c>
      <x:c r="O2227" s="9" t="n">
        <x:v>-0.0811028725</x:v>
      </x:c>
      <x:c r="P2227" s="9" t="n">
        <x:v>0.5493716338</x:v>
      </x:c>
      <x:c r="Q2227" s="9" t="n">
        <x:v>0.0350089767</x:v>
      </x:c>
      <x:c r="R2227" s="3" t="b">
        <x:v>0</x:v>
      </x:c>
      <x:c r="S2227" s="3" t="b">
        <x:v>1</x:v>
      </x:c>
      <x:c r="T2227" s="3" t="b">
        <x:v>0</x:v>
      </x:c>
      <x:c r="U2227" s="2" t="str">
        <x:f>IF(T2227=TRUE,"Priority review",IF(R2227=TRUE,"High cost",IF(S2227=TRUE,"Low quality","Benchmark")))</x:f>
        <x:v>Low quality</x:v>
      </x:c>
    </x:row>
    <x:row r="2228">
      <x:c r="A2228" s="2" t="str">
        <x:v>520189</x:v>
      </x:c>
      <x:c r="B2228" s="2" t="str">
        <x:v>AURORA MEDICAL CENTER KENOSHA</x:v>
      </x:c>
      <x:c r="C2228" s="2" t="str">
        <x:v>KENOSHA</x:v>
      </x:c>
      <x:c r="D2228" s="2" t="str">
        <x:v>WI</x:v>
      </x:c>
      <x:c r="E2228" s="2" t="str">
        <x:v>Acute Care Hospitals</x:v>
      </x:c>
      <x:c r="F2228" s="2" t="str">
        <x:v>Voluntary non-profit</x:v>
      </x:c>
      <x:c r="G2228" s="2" t="str">
        <x:v>Medium (100-299 beds)</x:v>
      </x:c>
      <x:c r="H2228" s="7" t="n">
        <x:v>4</x:v>
      </x:c>
      <x:c r="I2228" s="7" t="n">
        <x:v>4</x:v>
      </x:c>
      <x:c r="J2228" s="7" t="n">
        <x:v>0.94</x:v>
      </x:c>
      <x:c r="K2228" s="8" t="n">
        <x:v>133</x:v>
      </x:c>
      <x:c r="L2228" s="8" t="n">
        <x:v>8239</x:v>
      </x:c>
      <x:c r="M2228" s="9" t="n">
        <x:v>0.7663420847</x:v>
      </x:c>
      <x:c r="N2228" s="10" t="n">
        <x:v>35958.5325889064</x:v>
      </x:c>
      <x:c r="O2228" s="9" t="n">
        <x:v>0.2438083432</x:v>
      </x:c>
      <x:c r="P2228" s="9" t="n">
        <x:v>0.5493072535</x:v>
      </x:c>
      <x:c r="Q2228" s="9" t="n">
        <x:v>0.6022819886</x:v>
      </x:c>
      <x:c r="R2228" s="3" t="b">
        <x:v>0</x:v>
      </x:c>
      <x:c r="S2228" s="3" t="b">
        <x:v>0</x:v>
      </x:c>
      <x:c r="T2228" s="3" t="b">
        <x:v>0</x:v>
      </x:c>
      <x:c r="U2228" s="2" t="str">
        <x:f>IF(T2228=TRUE,"Priority review",IF(R2228=TRUE,"High cost",IF(S2228=TRUE,"Low quality","Benchmark")))</x:f>
        <x:v>Benchmark</x:v>
      </x:c>
    </x:row>
    <x:row r="2229">
      <x:c r="A2229" s="2" t="str">
        <x:v>240036</x:v>
      </x:c>
      <x:c r="B2229" s="2" t="str">
        <x:v>CENTRACARE - ST. CLOUD HOSPITAL</x:v>
      </x:c>
      <x:c r="C2229" s="2" t="str">
        <x:v>SAINT CLOUD</x:v>
      </x:c>
      <x:c r="D2229" s="2" t="str">
        <x:v>MN</x:v>
      </x:c>
      <x:c r="E2229" s="2" t="str">
        <x:v>Acute Care Hospitals</x:v>
      </x:c>
      <x:c r="F2229" s="2" t="str">
        <x:v>Voluntary non-profit</x:v>
      </x:c>
      <x:c r="G2229" s="2" t="str">
        <x:v>Large (300+ beds)</x:v>
      </x:c>
      <x:c r="H2229" s="7" t="n">
        <x:v>4</x:v>
      </x:c>
      <x:c r="I2229" s="7" t="n">
        <x:v>4</x:v>
      </x:c>
      <x:c r="J2229" s="7" t="n">
        <x:v>0.94</x:v>
      </x:c>
      <x:c r="K2229" s="8" t="n">
        <x:v>466</x:v>
      </x:c>
      <x:c r="L2229" s="8" t="n">
        <x:v>26036</x:v>
      </x:c>
      <x:c r="M2229" s="9" t="n">
        <x:v>0.7014345347</x:v>
      </x:c>
      <x:c r="N2229" s="10" t="n">
        <x:v>41128.1403825472</x:v>
      </x:c>
      <x:c r="O2229" s="9" t="n">
        <x:v>0.0297883741</x:v>
      </x:c>
      <x:c r="P2229" s="9" t="n">
        <x:v>0.5488958991</x:v>
      </x:c>
      <x:c r="Q2229" s="9" t="n">
        <x:v>0.5899053628</x:v>
      </x:c>
      <x:c r="R2229" s="3" t="b">
        <x:v>0</x:v>
      </x:c>
      <x:c r="S2229" s="3" t="b">
        <x:v>0</x:v>
      </x:c>
      <x:c r="T2229" s="3" t="b">
        <x:v>0</x:v>
      </x:c>
      <x:c r="U2229" s="2" t="str">
        <x:f>IF(T2229=TRUE,"Priority review",IF(R2229=TRUE,"High cost",IF(S2229=TRUE,"Low quality","Benchmark")))</x:f>
        <x:v>Benchmark</x:v>
      </x:c>
    </x:row>
    <x:row r="2230">
      <x:c r="A2230" s="2" t="str">
        <x:v>301312</x:v>
      </x:c>
      <x:c r="B2230" s="2" t="str">
        <x:v>HUGGINS HOSPITAL</x:v>
      </x:c>
      <x:c r="C2230" s="2" t="str">
        <x:v>WOLFEBORO</x:v>
      </x:c>
      <x:c r="D2230" s="2" t="str">
        <x:v>NH</x:v>
      </x:c>
      <x:c r="E2230" s="2" t="str">
        <x:v>Critical Access Hospitals</x:v>
      </x:c>
      <x:c r="F2230" s="2" t="str">
        <x:v>Voluntary non-profit</x:v>
      </x:c>
      <x:c r="G2230" s="2" t="str">
        <x:v>Small (&lt;100 beds)</x:v>
      </x:c>
      <x:c r="H2230" s="7" t="n">
        <x:v>4</x:v>
      </x:c>
      <x:c r="I2230" s="7" t="n">
        <x:v>4</x:v>
      </x:c>
      <x:c r="J2230" s="7"/>
      <x:c r="K2230" s="8" t="n">
        <x:v>25</x:v>
      </x:c>
      <x:c r="L2230" s="8" t="n">
        <x:v>714</x:v>
      </x:c>
      <x:c r="M2230" s="9" t="n">
        <x:v>0.3507103825</x:v>
      </x:c>
      <x:c r="N2230" s="10" t="n">
        <x:v>140243.1708683473</x:v>
      </x:c>
      <x:c r="O2230" s="9" t="n">
        <x:v>0.0025155661</x:v>
      </x:c>
      <x:c r="P2230" s="9" t="n">
        <x:v>0.5486988848</x:v>
      </x:c>
      <x:c r="Q2230" s="9" t="n">
        <x:v>0.1657992565</x:v>
      </x:c>
      <x:c r="R2230" s="3" t="b">
        <x:v>0</x:v>
      </x:c>
      <x:c r="S2230" s="3" t="b">
        <x:v>0</x:v>
      </x:c>
      <x:c r="T2230" s="3" t="b">
        <x:v>0</x:v>
      </x:c>
      <x:c r="U2230" s="2" t="str">
        <x:f>IF(T2230=TRUE,"Priority review",IF(R2230=TRUE,"High cost",IF(S2230=TRUE,"Low quality","Benchmark")))</x:f>
        <x:v>Benchmark</x:v>
      </x:c>
    </x:row>
    <x:row r="2231">
      <x:c r="A2231" s="2" t="str">
        <x:v>140122</x:v>
      </x:c>
      <x:c r="B2231" s="2" t="str">
        <x:v>UCHICAGO MEDICINE ADVENTHEALTH HINSDALE</x:v>
      </x:c>
      <x:c r="C2231" s="2" t="str">
        <x:v>HINSDALE</x:v>
      </x:c>
      <x:c r="D2231" s="2" t="str">
        <x:v>IL</x:v>
      </x:c>
      <x:c r="E2231" s="2" t="str">
        <x:v>Acute Care Hospitals</x:v>
      </x:c>
      <x:c r="F2231" s="2" t="str">
        <x:v>Voluntary non-profit</x:v>
      </x:c>
      <x:c r="G2231" s="2" t="str">
        <x:v>Medium (100-299 beds)</x:v>
      </x:c>
      <x:c r="H2231" s="7" t="n">
        <x:v>5</x:v>
      </x:c>
      <x:c r="I2231" s="7" t="n">
        <x:v>4</x:v>
      </x:c>
      <x:c r="J2231" s="7" t="n">
        <x:v>1.02</x:v>
      </x:c>
      <x:c r="K2231" s="8" t="n">
        <x:v>224</x:v>
      </x:c>
      <x:c r="L2231" s="8" t="n">
        <x:v>10284</x:v>
      </x:c>
      <x:c r="M2231" s="9" t="n">
        <x:v>0.5462773224</x:v>
      </x:c>
      <x:c r="N2231" s="10" t="n">
        <x:v>35921.2436795021</x:v>
      </x:c>
      <x:c r="O2231" s="9" t="n">
        <x:v>-0.0502405778</x:v>
      </x:c>
      <x:c r="P2231" s="9" t="n">
        <x:v>0.5484922575</x:v>
      </x:c>
      <x:c r="Q2231" s="9" t="n">
        <x:v>0.8744906275</x:v>
      </x:c>
      <x:c r="R2231" s="3" t="b">
        <x:v>0</x:v>
      </x:c>
      <x:c r="S2231" s="3" t="b">
        <x:v>0</x:v>
      </x:c>
      <x:c r="T2231" s="3" t="b">
        <x:v>0</x:v>
      </x:c>
      <x:c r="U2231" s="2" t="str">
        <x:f>IF(T2231=TRUE,"Priority review",IF(R2231=TRUE,"High cost",IF(S2231=TRUE,"Low quality","Benchmark")))</x:f>
        <x:v>Benchmark</x:v>
      </x:c>
    </x:row>
    <x:row r="2232">
      <x:c r="A2232" s="2" t="str">
        <x:v>150076</x:v>
      </x:c>
      <x:c r="B2232" s="2" t="str">
        <x:v>SAINT JOSEPH REGIONAL MEDICAL CENTER - PLYMOUTH</x:v>
      </x:c>
      <x:c r="C2232" s="2" t="str">
        <x:v>PLYMOUTH</x:v>
      </x:c>
      <x:c r="D2232" s="2" t="str">
        <x:v>IN</x:v>
      </x:c>
      <x:c r="E2232" s="2" t="str">
        <x:v>Acute Care Hospitals</x:v>
      </x:c>
      <x:c r="F2232" s="2" t="str">
        <x:v>Voluntary non-profit</x:v>
      </x:c>
      <x:c r="G2232" s="2" t="str">
        <x:v>Small (&lt;100 beds)</x:v>
      </x:c>
      <x:c r="H2232" s="7" t="n">
        <x:v>4</x:v>
      </x:c>
      <x:c r="I2232" s="7" t="n">
        <x:v>3</x:v>
      </x:c>
      <x:c r="J2232" s="7" t="n">
        <x:v>0.95</x:v>
      </x:c>
      <x:c r="K2232" s="8" t="n">
        <x:v>30</x:v>
      </x:c>
      <x:c r="L2232" s="8" t="n">
        <x:v>978</x:v>
      </x:c>
      <x:c r="M2232" s="9" t="n">
        <x:v>0.1800913242</x:v>
      </x:c>
      <x:c r="N2232" s="10" t="n">
        <x:v>56386.0858895706</x:v>
      </x:c>
      <x:c r="O2232" s="9" t="n">
        <x:v>-0.0381757671</x:v>
      </x:c>
      <x:c r="P2232" s="9" t="n">
        <x:v>0.5484739677</x:v>
      </x:c>
      <x:c r="Q2232" s="9" t="n">
        <x:v>0.3913824057</x:v>
      </x:c>
      <x:c r="R2232" s="3" t="b">
        <x:v>0</x:v>
      </x:c>
      <x:c r="S2232" s="3" t="b">
        <x:v>0</x:v>
      </x:c>
      <x:c r="T2232" s="3" t="b">
        <x:v>0</x:v>
      </x:c>
      <x:c r="U2232" s="2" t="str">
        <x:f>IF(T2232=TRUE,"Priority review",IF(R2232=TRUE,"High cost",IF(S2232=TRUE,"Low quality","Benchmark")))</x:f>
        <x:v>Benchmark</x:v>
      </x:c>
    </x:row>
    <x:row r="2233">
      <x:c r="A2233" s="2" t="str">
        <x:v>301300</x:v>
      </x:c>
      <x:c r="B2233" s="2" t="str">
        <x:v>UPPER CONNECTICUT VALLEY HOSPITAL</x:v>
      </x:c>
      <x:c r="C2233" s="2" t="str">
        <x:v>COLEBROOK</x:v>
      </x:c>
      <x:c r="D2233" s="2" t="str">
        <x:v>NH</x:v>
      </x:c>
      <x:c r="E2233" s="2" t="str">
        <x:v>Critical Access Hospitals</x:v>
      </x:c>
      <x:c r="F2233" s="2" t="str">
        <x:v>Voluntary non-profit</x:v>
      </x:c>
      <x:c r="G2233" s="2" t="str">
        <x:v>Small (&lt;100 beds)</x:v>
      </x:c>
      <x:c r="H2233" s="7"/>
      <x:c r="I2233" s="7"/>
      <x:c r="J2233" s="7"/>
      <x:c r="K2233" s="8" t="n">
        <x:v>16</x:v>
      </x:c>
      <x:c r="L2233" s="8" t="n">
        <x:v>220</x:v>
      </x:c>
      <x:c r="M2233" s="9" t="n">
        <x:v>0.137295082</x:v>
      </x:c>
      <x:c r="N2233" s="10" t="n">
        <x:v>139995.15</x:v>
      </x:c>
      <x:c r="O2233" s="9" t="n">
        <x:v>-0.0014650185</x:v>
      </x:c>
      <x:c r="P2233" s="9" t="n">
        <x:v>0.5479553903</x:v>
      </x:c>
      <x:c r="Q2233" s="9" t="n">
        <x:v>0.292936803</x:v>
      </x:c>
      <x:c r="R2233" s="3" t="b">
        <x:v>0</x:v>
      </x:c>
      <x:c r="S2233" s="3" t="b">
        <x:v>0</x:v>
      </x:c>
      <x:c r="T2233" s="3" t="b">
        <x:v>0</x:v>
      </x:c>
      <x:c r="U2233" s="2" t="str">
        <x:f>IF(T2233=TRUE,"Priority review",IF(R2233=TRUE,"High cost",IF(S2233=TRUE,"Low quality","Benchmark")))</x:f>
        <x:v>Benchmark</x:v>
      </x:c>
    </x:row>
    <x:row r="2234">
      <x:c r="A2234" s="2" t="str">
        <x:v>390198</x:v>
      </x:c>
      <x:c r="B2234" s="2" t="str">
        <x:v>LECOM MEDICAL CENTER AND BEHAVIORAL HEALTH PAV</x:v>
      </x:c>
      <x:c r="C2234" s="2" t="str">
        <x:v>ERIE</x:v>
      </x:c>
      <x:c r="D2234" s="2" t="str">
        <x:v>PA</x:v>
      </x:c>
      <x:c r="E2234" s="2" t="str">
        <x:v>Acute Care Hospitals</x:v>
      </x:c>
      <x:c r="F2234" s="2" t="str">
        <x:v>Voluntary non-profit</x:v>
      </x:c>
      <x:c r="G2234" s="2" t="str">
        <x:v>Medium (100-299 beds)</x:v>
      </x:c>
      <x:c r="H2234" s="7" t="n">
        <x:v>1</x:v>
      </x:c>
      <x:c r="I2234" s="7" t="n">
        <x:v>4</x:v>
      </x:c>
      <x:c r="J2234" s="7" t="n">
        <x:v>1.15</x:v>
      </x:c>
      <x:c r="K2234" s="8" t="n">
        <x:v>138</x:v>
      </x:c>
      <x:c r="L2234" s="8" t="n">
        <x:v>2643</x:v>
      </x:c>
      <x:c r="M2234" s="9" t="n">
        <x:v>0.4247188581</x:v>
      </x:c>
      <x:c r="N2234" s="10" t="n">
        <x:v>35891.3098751419</x:v>
      </x:c>
      <x:c r="O2234" s="9" t="n">
        <x:v>-0.1947218789</x:v>
      </x:c>
      <x:c r="P2234" s="9" t="n">
        <x:v>0.5476772616</x:v>
      </x:c>
      <x:c r="Q2234" s="9" t="n">
        <x:v>0</x:v>
      </x:c>
      <x:c r="R2234" s="3" t="b">
        <x:v>0</x:v>
      </x:c>
      <x:c r="S2234" s="3" t="b">
        <x:v>1</x:v>
      </x:c>
      <x:c r="T2234" s="3" t="b">
        <x:v>0</x:v>
      </x:c>
      <x:c r="U2234" s="2" t="str">
        <x:f>IF(T2234=TRUE,"Priority review",IF(R2234=TRUE,"High cost",IF(S2234=TRUE,"Low quality","Benchmark")))</x:f>
        <x:v>Low quality</x:v>
      </x:c>
    </x:row>
    <x:row r="2235">
      <x:c r="A2235" s="2" t="str">
        <x:v>050078</x:v>
      </x:c>
      <x:c r="B2235" s="2" t="str">
        <x:v>PROVIDENCE LITTLE CO OF MARY MED CTR SAN PEDRO</x:v>
      </x:c>
      <x:c r="C2235" s="2" t="str">
        <x:v>SAN PEDRO</x:v>
      </x:c>
      <x:c r="D2235" s="2" t="str">
        <x:v>CA</x:v>
      </x:c>
      <x:c r="E2235" s="2" t="str">
        <x:v>Acute Care Hospitals</x:v>
      </x:c>
      <x:c r="F2235" s="2" t="str">
        <x:v>Voluntary non-profit</x:v>
      </x:c>
      <x:c r="G2235" s="2" t="str">
        <x:v>Small (&lt;100 beds)</x:v>
      </x:c>
      <x:c r="H2235" s="7" t="n">
        <x:v>4</x:v>
      </x:c>
      <x:c r="I2235" s="7" t="n">
        <x:v>3</x:v>
      </x:c>
      <x:c r="J2235" s="7" t="n">
        <x:v>0.98</x:v>
      </x:c>
      <x:c r="K2235" s="8" t="n">
        <x:v>97</x:v>
      </x:c>
      <x:c r="L2235" s="8" t="n">
        <x:v>4246</x:v>
      </x:c>
      <x:c r="M2235" s="9" t="n">
        <x:v>0.5633767112</x:v>
      </x:c>
      <x:c r="N2235" s="10" t="n">
        <x:v>56376.9399434762</x:v>
      </x:c>
      <x:c r="O2235" s="9" t="n">
        <x:v>-0.1389079163</x:v>
      </x:c>
      <x:c r="P2235" s="9" t="n">
        <x:v>0.5475763016</x:v>
      </x:c>
      <x:c r="Q2235" s="9" t="n">
        <x:v>0.3913824057</x:v>
      </x:c>
      <x:c r="R2235" s="3" t="b">
        <x:v>0</x:v>
      </x:c>
      <x:c r="S2235" s="3" t="b">
        <x:v>0</x:v>
      </x:c>
      <x:c r="T2235" s="3" t="b">
        <x:v>0</x:v>
      </x:c>
      <x:c r="U2235" s="2" t="str">
        <x:f>IF(T2235=TRUE,"Priority review",IF(R2235=TRUE,"High cost",IF(S2235=TRUE,"Low quality","Benchmark")))</x:f>
        <x:v>Benchmark</x:v>
      </x:c>
    </x:row>
    <x:row r="2236">
      <x:c r="A2236" s="2" t="str">
        <x:v>040007</x:v>
      </x:c>
      <x:c r="B2236" s="2" t="str">
        <x:v>CHI-ST VINCENT INFIRMARY</x:v>
      </x:c>
      <x:c r="C2236" s="2" t="str">
        <x:v>LITTLE ROCK</x:v>
      </x:c>
      <x:c r="D2236" s="2" t="str">
        <x:v>AR</x:v>
      </x:c>
      <x:c r="E2236" s="2" t="str">
        <x:v>Acute Care Hospitals</x:v>
      </x:c>
      <x:c r="F2236" s="2" t="str">
        <x:v>Voluntary non-profit</x:v>
      </x:c>
      <x:c r="G2236" s="2" t="str">
        <x:v>Large (300+ beds)</x:v>
      </x:c>
      <x:c r="H2236" s="7" t="n">
        <x:v>3</x:v>
      </x:c>
      <x:c r="I2236" s="7" t="n">
        <x:v>2</x:v>
      </x:c>
      <x:c r="J2236" s="7" t="n">
        <x:v>1.06</x:v>
      </x:c>
      <x:c r="K2236" s="8" t="n">
        <x:v>338</x:v>
      </x:c>
      <x:c r="L2236" s="8" t="n">
        <x:v>13380</x:v>
      </x:c>
      <x:c r="M2236" s="9" t="n">
        <x:v>0.6422874281</x:v>
      </x:c>
      <x:c r="N2236" s="10" t="n">
        <x:v>40968.2657698057</x:v>
      </x:c>
      <x:c r="O2236" s="9" t="n">
        <x:v>-0.3306882187</x:v>
      </x:c>
      <x:c r="P2236" s="9" t="n">
        <x:v>0.547318612</x:v>
      </x:c>
      <x:c r="Q2236" s="9" t="n">
        <x:v>0.2570977918</x:v>
      </x:c>
      <x:c r="R2236" s="3" t="b">
        <x:v>0</x:v>
      </x:c>
      <x:c r="S2236" s="3" t="b">
        <x:v>0</x:v>
      </x:c>
      <x:c r="T2236" s="3" t="b">
        <x:v>0</x:v>
      </x:c>
      <x:c r="U2236" s="2" t="str">
        <x:f>IF(T2236=TRUE,"Priority review",IF(R2236=TRUE,"High cost",IF(S2236=TRUE,"Low quality","Benchmark")))</x:f>
        <x:v>Benchmark</x:v>
      </x:c>
    </x:row>
    <x:row r="2237">
      <x:c r="A2237" s="2" t="str">
        <x:v>054104</x:v>
      </x:c>
      <x:c r="B2237" s="2" t="str">
        <x:v>HERITAGE OAKS HOSPITAL</x:v>
      </x:c>
      <x:c r="C2237" s="2" t="str">
        <x:v>SACRAMENTO</x:v>
      </x:c>
      <x:c r="D2237" s="2" t="str">
        <x:v>CA</x:v>
      </x:c>
      <x:c r="E2237" s="2" t="str">
        <x:v>Psychiatric</x:v>
      </x:c>
      <x:c r="F2237" s="2" t="str">
        <x:v>Proprietary</x:v>
      </x:c>
      <x:c r="G2237" s="2" t="str">
        <x:v>Medium (100-299 beds)</x:v>
      </x:c>
      <x:c r="H2237" s="7"/>
      <x:c r="I2237" s="7"/>
      <x:c r="J2237" s="7"/>
      <x:c r="K2237" s="8" t="n">
        <x:v>125</x:v>
      </x:c>
      <x:c r="L2237" s="8" t="n">
        <x:v>3628</x:v>
      </x:c>
      <x:c r="M2237" s="9" t="n">
        <x:v>0.9430819672</x:v>
      </x:c>
      <x:c r="N2237" s="10" t="n">
        <x:v>13519.0824145535</x:v>
      </x:c>
      <x:c r="O2237" s="9" t="n">
        <x:v>0.1837486243</x:v>
      </x:c>
      <x:c r="P2237" s="9" t="n">
        <x:v>0.5472636816</x:v>
      </x:c>
      <x:c r="Q2237" s="9" t="n">
        <x:v>0</x:v>
      </x:c>
      <x:c r="R2237" s="3" t="b">
        <x:v>0</x:v>
      </x:c>
      <x:c r="S2237" s="3" t="b">
        <x:v>0</x:v>
      </x:c>
      <x:c r="T2237" s="3" t="b">
        <x:v>0</x:v>
      </x:c>
      <x:c r="U2237" s="2" t="str">
        <x:f>IF(T2237=TRUE,"Priority review",IF(R2237=TRUE,"High cost",IF(S2237=TRUE,"Low quality","Benchmark")))</x:f>
        <x:v>Benchmark</x:v>
      </x:c>
    </x:row>
    <x:row r="2238">
      <x:c r="A2238" s="2" t="str">
        <x:v>161347</x:v>
      </x:c>
      <x:c r="B2238" s="2" t="str">
        <x:v>FLOYD COUNTY MEDICAL CENTER</x:v>
      </x:c>
      <x:c r="C2238" s="2" t="str">
        <x:v>CHARLES CITY</x:v>
      </x:c>
      <x:c r="D2238" s="2" t="str">
        <x:v>IA</x:v>
      </x:c>
      <x:c r="E2238" s="2" t="str">
        <x:v>Critical Access Hospitals</x:v>
      </x:c>
      <x:c r="F2238" s="2" t="str">
        <x:v>Government</x:v>
      </x:c>
      <x:c r="G2238" s="2" t="str">
        <x:v>Small (&lt;100 beds)</x:v>
      </x:c>
      <x:c r="H2238" s="7" t="n">
        <x:v>3</x:v>
      </x:c>
      <x:c r="I2238" s="7" t="n">
        <x:v>5</x:v>
      </x:c>
      <x:c r="J2238" s="7"/>
      <x:c r="K2238" s="8" t="n">
        <x:v>25</x:v>
      </x:c>
      <x:c r="L2238" s="8" t="n">
        <x:v>387</x:v>
      </x:c>
      <x:c r="M2238" s="9" t="n">
        <x:v>0.3232876712</x:v>
      </x:c>
      <x:c r="N2238" s="10" t="n">
        <x:v>139874.2558139535</x:v>
      </x:c>
      <x:c r="O2238" s="9" t="n">
        <x:v>0.0298669752</x:v>
      </x:c>
      <x:c r="P2238" s="9" t="n">
        <x:v>0.5472118959</x:v>
      </x:c>
      <x:c r="Q2238" s="9" t="n">
        <x:v>0.0765799257</x:v>
      </x:c>
      <x:c r="R2238" s="3" t="b">
        <x:v>0</x:v>
      </x:c>
      <x:c r="S2238" s="3" t="b">
        <x:v>1</x:v>
      </x:c>
      <x:c r="T2238" s="3" t="b">
        <x:v>0</x:v>
      </x:c>
      <x:c r="U2238" s="2" t="str">
        <x:f>IF(T2238=TRUE,"Priority review",IF(R2238=TRUE,"High cost",IF(S2238=TRUE,"Low quality","Benchmark")))</x:f>
        <x:v>Low quality</x:v>
      </x:c>
    </x:row>
    <x:row r="2239">
      <x:c r="A2239" s="2" t="str">
        <x:v>454131</x:v>
      </x:c>
      <x:c r="B2239" s="2" t="str">
        <x:v>WESTPARK SPRINGS LLC</x:v>
      </x:c>
      <x:c r="C2239" s="2" t="str">
        <x:v>RICHMOND</x:v>
      </x:c>
      <x:c r="D2239" s="2" t="str">
        <x:v>TX</x:v>
      </x:c>
      <x:c r="E2239" s="2" t="str">
        <x:v>Psychiatric</x:v>
      </x:c>
      <x:c r="F2239" s="2" t="str">
        <x:v>Proprietary</x:v>
      </x:c>
      <x:c r="G2239" s="2" t="str">
        <x:v>Small (&lt;100 beds)</x:v>
      </x:c>
      <x:c r="H2239" s="7"/>
      <x:c r="I2239" s="7"/>
      <x:c r="J2239" s="7"/>
      <x:c r="K2239" s="8" t="n">
        <x:v>72</x:v>
      </x:c>
      <x:c r="L2239" s="8" t="n">
        <x:v>1978</x:v>
      </x:c>
      <x:c r="M2239" s="9" t="n">
        <x:v>0.2751997717</x:v>
      </x:c>
      <x:c r="N2239" s="10" t="n">
        <x:v>13115.2406471183</x:v>
      </x:c>
      <x:c r="O2239" s="9" t="n">
        <x:v>-0.31084962</x:v>
      </x:c>
      <x:c r="P2239" s="9" t="n">
        <x:v>0.5469255663</x:v>
      </x:c>
      <x:c r="Q2239" s="9" t="n">
        <x:v>0</x:v>
      </x:c>
      <x:c r="R2239" s="3" t="b">
        <x:v>0</x:v>
      </x:c>
      <x:c r="S2239" s="3" t="b">
        <x:v>0</x:v>
      </x:c>
      <x:c r="T2239" s="3" t="b">
        <x:v>0</x:v>
      </x:c>
      <x:c r="U2239" s="2" t="str">
        <x:f>IF(T2239=TRUE,"Priority review",IF(R2239=TRUE,"High cost",IF(S2239=TRUE,"Low quality","Benchmark")))</x:f>
        <x:v>Benchmark</x:v>
      </x:c>
    </x:row>
    <x:row r="2240">
      <x:c r="A2240" s="2" t="str">
        <x:v>360152</x:v>
      </x:c>
      <x:c r="B2240" s="2" t="str">
        <x:v>DOCTORS HOSPITAL</x:v>
      </x:c>
      <x:c r="C2240" s="2" t="str">
        <x:v>COLUMBUS</x:v>
      </x:c>
      <x:c r="D2240" s="2" t="str">
        <x:v>OH</x:v>
      </x:c>
      <x:c r="E2240" s="2" t="str">
        <x:v>Acute Care Hospitals</x:v>
      </x:c>
      <x:c r="F2240" s="2" t="str">
        <x:v>Voluntary non-profit</x:v>
      </x:c>
      <x:c r="G2240" s="2" t="str">
        <x:v>Medium (100-299 beds)</x:v>
      </x:c>
      <x:c r="H2240" s="7" t="n">
        <x:v>4</x:v>
      </x:c>
      <x:c r="I2240" s="7" t="n">
        <x:v>3</x:v>
      </x:c>
      <x:c r="J2240" s="7" t="n">
        <x:v>0.96</x:v>
      </x:c>
      <x:c r="K2240" s="8" t="n">
        <x:v>174</x:v>
      </x:c>
      <x:c r="L2240" s="8" t="n">
        <x:v>9162</x:v>
      </x:c>
      <x:c r="M2240" s="9" t="n">
        <x:v>0.7480554243</x:v>
      </x:c>
      <x:c r="N2240" s="10" t="n">
        <x:v>35841.2348832133</x:v>
      </x:c>
      <x:c r="O2240" s="9" t="n">
        <x:v>-0.0029298104</x:v>
      </x:c>
      <x:c r="P2240" s="9" t="n">
        <x:v>0.5468622657</x:v>
      </x:c>
      <x:c r="Q2240" s="9" t="n">
        <x:v>0.6022819886</x:v>
      </x:c>
      <x:c r="R2240" s="3" t="b">
        <x:v>0</x:v>
      </x:c>
      <x:c r="S2240" s="3" t="b">
        <x:v>0</x:v>
      </x:c>
      <x:c r="T2240" s="3" t="b">
        <x:v>0</x:v>
      </x:c>
      <x:c r="U2240" s="2" t="str">
        <x:f>IF(T2240=TRUE,"Priority review",IF(R2240=TRUE,"High cost",IF(S2240=TRUE,"Low quality","Benchmark")))</x:f>
        <x:v>Benchmark</x:v>
      </x:c>
    </x:row>
    <x:row r="2241">
      <x:c r="A2241" s="2" t="str">
        <x:v>110109</x:v>
      </x:c>
      <x:c r="B2241" s="2" t="str">
        <x:v>EMANUEL MEDICAL CENTER</x:v>
      </x:c>
      <x:c r="C2241" s="2" t="str">
        <x:v>SWAINSBORO</x:v>
      </x:c>
      <x:c r="D2241" s="2" t="str">
        <x:v>GA</x:v>
      </x:c>
      <x:c r="E2241" s="2" t="str">
        <x:v>Acute Care Hospitals</x:v>
      </x:c>
      <x:c r="F2241" s="2" t="str">
        <x:v>Government</x:v>
      </x:c>
      <x:c r="G2241" s="2" t="str">
        <x:v>Small (&lt;100 beds)</x:v>
      </x:c>
      <x:c r="H2241" s="7" t="n">
        <x:v>4</x:v>
      </x:c>
      <x:c r="I2241" s="7"/>
      <x:c r="J2241" s="7" t="n">
        <x:v>0.91</x:v>
      </x:c>
      <x:c r="K2241" s="8" t="n">
        <x:v>24</x:v>
      </x:c>
      <x:c r="L2241" s="8" t="n">
        <x:v>823</x:v>
      </x:c>
      <x:c r="M2241" s="9" t="n">
        <x:v>0.2960045662</x:v>
      </x:c>
      <x:c r="N2241" s="10" t="n">
        <x:v>56319.6804374241</x:v>
      </x:c>
      <x:c r="O2241" s="9" t="n">
        <x:v>-0.1754166823</x:v>
      </x:c>
      <x:c r="P2241" s="9" t="n">
        <x:v>0.5466786355</x:v>
      </x:c>
      <x:c r="Q2241" s="9" t="n">
        <x:v>0.3913824057</x:v>
      </x:c>
      <x:c r="R2241" s="3" t="b">
        <x:v>0</x:v>
      </x:c>
      <x:c r="S2241" s="3" t="b">
        <x:v>0</x:v>
      </x:c>
      <x:c r="T2241" s="3" t="b">
        <x:v>0</x:v>
      </x:c>
      <x:c r="U2241" s="2" t="str">
        <x:f>IF(T2241=TRUE,"Priority review",IF(R2241=TRUE,"High cost",IF(S2241=TRUE,"Low quality","Benchmark")))</x:f>
        <x:v>Benchmark</x:v>
      </x:c>
    </x:row>
    <x:row r="2242">
      <x:c r="A2242" s="2" t="str">
        <x:v>171368</x:v>
      </x:c>
      <x:c r="B2242" s="2" t="str">
        <x:v>MINNEOLA DISTRICT HOSPITAL</x:v>
      </x:c>
      <x:c r="C2242" s="2" t="str">
        <x:v>MINNEOLA</x:v>
      </x:c>
      <x:c r="D2242" s="2" t="str">
        <x:v>KS</x:v>
      </x:c>
      <x:c r="E2242" s="2" t="str">
        <x:v>Critical Access Hospitals</x:v>
      </x:c>
      <x:c r="F2242" s="2" t="str">
        <x:v>Government</x:v>
      </x:c>
      <x:c r="G2242" s="2" t="str">
        <x:v>Small (&lt;100 beds)</x:v>
      </x:c>
      <x:c r="H2242" s="7"/>
      <x:c r="I2242" s="7"/>
      <x:c r="J2242" s="7"/>
      <x:c r="K2242" s="8" t="n">
        <x:v>25</x:v>
      </x:c>
      <x:c r="L2242" s="8" t="n">
        <x:v>163</x:v>
      </x:c>
      <x:c r="M2242" s="9" t="n">
        <x:v>0.388759357</x:v>
      </x:c>
      <x:c r="N2242" s="10" t="n">
        <x:v>139692.9693251534</x:v>
      </x:c>
      <x:c r="O2242" s="9" t="n">
        <x:v>-0.1326426173</x:v>
      </x:c>
      <x:c r="P2242" s="9" t="n">
        <x:v>0.5464684015</x:v>
      </x:c>
      <x:c r="Q2242" s="9" t="n">
        <x:v>0.292936803</x:v>
      </x:c>
      <x:c r="R2242" s="3" t="b">
        <x:v>0</x:v>
      </x:c>
      <x:c r="S2242" s="3" t="b">
        <x:v>0</x:v>
      </x:c>
      <x:c r="T2242" s="3" t="b">
        <x:v>0</x:v>
      </x:c>
      <x:c r="U2242" s="2" t="str">
        <x:f>IF(T2242=TRUE,"Priority review",IF(R2242=TRUE,"High cost",IF(S2242=TRUE,"Low quality","Benchmark")))</x:f>
        <x:v>Benchmark</x:v>
      </x:c>
    </x:row>
    <x:row r="2243">
      <x:c r="A2243" s="2" t="str">
        <x:v>050633</x:v>
      </x:c>
      <x:c r="B2243" s="2" t="str">
        <x:v>ADVENTIST HEALTH TWIN CITIES</x:v>
      </x:c>
      <x:c r="C2243" s="2" t="str">
        <x:v>TEMPLETON</x:v>
      </x:c>
      <x:c r="D2243" s="2" t="str">
        <x:v>CA</x:v>
      </x:c>
      <x:c r="E2243" s="2" t="str">
        <x:v>Acute Care Hospitals</x:v>
      </x:c>
      <x:c r="F2243" s="2" t="str">
        <x:v>Proprietary</x:v>
      </x:c>
      <x:c r="G2243" s="2" t="str">
        <x:v>Medium (100-299 beds)</x:v>
      </x:c>
      <x:c r="H2243" s="7" t="n">
        <x:v>2</x:v>
      </x:c>
      <x:c r="I2243" s="7" t="n">
        <x:v>3</x:v>
      </x:c>
      <x:c r="J2243" s="7" t="n">
        <x:v>0.96</x:v>
      </x:c>
      <x:c r="K2243" s="8" t="n">
        <x:v>122</x:v>
      </x:c>
      <x:c r="L2243" s="8" t="n">
        <x:v>3977</x:v>
      </x:c>
      <x:c r="M2243" s="9" t="n">
        <x:v>0.4037727375</x:v>
      </x:c>
      <x:c r="N2243" s="10" t="n">
        <x:v>35840.3097812421</x:v>
      </x:c>
      <x:c r="O2243" s="9" t="n">
        <x:v>0.0656662896</x:v>
      </x:c>
      <x:c r="P2243" s="9" t="n">
        <x:v>0.5460472698</x:v>
      </x:c>
      <x:c r="Q2243" s="9" t="n">
        <x:v>0.0782396088</x:v>
      </x:c>
      <x:c r="R2243" s="3" t="b">
        <x:v>0</x:v>
      </x:c>
      <x:c r="S2243" s="3" t="b">
        <x:v>1</x:v>
      </x:c>
      <x:c r="T2243" s="3" t="b">
        <x:v>0</x:v>
      </x:c>
      <x:c r="U2243" s="2" t="str">
        <x:f>IF(T2243=TRUE,"Priority review",IF(R2243=TRUE,"High cost",IF(S2243=TRUE,"Low quality","Benchmark")))</x:f>
        <x:v>Low quality</x:v>
      </x:c>
    </x:row>
    <x:row r="2244">
      <x:c r="A2244" s="2" t="str">
        <x:v>150181</x:v>
      </x:c>
      <x:c r="B2244" s="2" t="str">
        <x:v>ASCENSION ST VINCENT FISHERS</x:v>
      </x:c>
      <x:c r="C2244" s="2" t="str">
        <x:v>FISHERS</x:v>
      </x:c>
      <x:c r="D2244" s="2" t="str">
        <x:v>IN</x:v>
      </x:c>
      <x:c r="E2244" s="2" t="str">
        <x:v>Acute Care Hospitals</x:v>
      </x:c>
      <x:c r="F2244" s="2" t="str">
        <x:v>Voluntary non-profit</x:v>
      </x:c>
      <x:c r="G2244" s="2" t="str">
        <x:v>Small (&lt;100 beds)</x:v>
      </x:c>
      <x:c r="H2244" s="7" t="n">
        <x:v>4</x:v>
      </x:c>
      <x:c r="I2244" s="7" t="n">
        <x:v>3</x:v>
      </x:c>
      <x:c r="J2244" s="7" t="n">
        <x:v>1</x:v>
      </x:c>
      <x:c r="K2244" s="8" t="n">
        <x:v>46</x:v>
      </x:c>
      <x:c r="L2244" s="8" t="n">
        <x:v>1376</x:v>
      </x:c>
      <x:c r="M2244" s="9" t="n">
        <x:v>0.2263251936</x:v>
      </x:c>
      <x:c r="N2244" s="10" t="n">
        <x:v>56246.394622093</x:v>
      </x:c>
      <x:c r="O2244" s="9" t="n">
        <x:v>0.2306878468</x:v>
      </x:c>
      <x:c r="P2244" s="9" t="n">
        <x:v>0.5457809695</x:v>
      </x:c>
      <x:c r="Q2244" s="9" t="n">
        <x:v>0.3913824057</x:v>
      </x:c>
      <x:c r="R2244" s="3" t="b">
        <x:v>0</x:v>
      </x:c>
      <x:c r="S2244" s="3" t="b">
        <x:v>0</x:v>
      </x:c>
      <x:c r="T2244" s="3" t="b">
        <x:v>0</x:v>
      </x:c>
      <x:c r="U2244" s="2" t="str">
        <x:f>IF(T2244=TRUE,"Priority review",IF(R2244=TRUE,"High cost",IF(S2244=TRUE,"Low quality","Benchmark")))</x:f>
        <x:v>Benchmark</x:v>
      </x:c>
    </x:row>
    <x:row r="2245">
      <x:c r="A2245" s="2" t="str">
        <x:v>260137</x:v>
      </x:c>
      <x:c r="B2245" s="2" t="str">
        <x:v>FREEMAN HEALTH SYSTEM - FREEMAN WEST</x:v>
      </x:c>
      <x:c r="C2245" s="2" t="str">
        <x:v>JOPLIN</x:v>
      </x:c>
      <x:c r="D2245" s="2" t="str">
        <x:v>MO</x:v>
      </x:c>
      <x:c r="E2245" s="2" t="str">
        <x:v>Acute Care Hospitals</x:v>
      </x:c>
      <x:c r="F2245" s="2" t="str">
        <x:v>Voluntary non-profit</x:v>
      </x:c>
      <x:c r="G2245" s="2" t="str">
        <x:v>Large (300+ beds)</x:v>
      </x:c>
      <x:c r="H2245" s="7" t="n">
        <x:v>2</x:v>
      </x:c>
      <x:c r="I2245" s="7" t="n">
        <x:v>3</x:v>
      </x:c>
      <x:c r="J2245" s="7" t="n">
        <x:v>0.98</x:v>
      </x:c>
      <x:c r="K2245" s="8" t="n">
        <x:v>347</x:v>
      </x:c>
      <x:c r="L2245" s="8" t="n">
        <x:v>15458</x:v>
      </x:c>
      <x:c r="M2245" s="9" t="n">
        <x:v>0.6182858948</x:v>
      </x:c>
      <x:c r="N2245" s="10" t="n">
        <x:v>40848.2451804891</x:v>
      </x:c>
      <x:c r="O2245" s="9" t="n">
        <x:v>-0.0287796227</x:v>
      </x:c>
      <x:c r="P2245" s="9" t="n">
        <x:v>0.5457413249</x:v>
      </x:c>
      <x:c r="Q2245" s="9" t="n">
        <x:v>0.0536277603</x:v>
      </x:c>
      <x:c r="R2245" s="3" t="b">
        <x:v>0</x:v>
      </x:c>
      <x:c r="S2245" s="3" t="b">
        <x:v>1</x:v>
      </x:c>
      <x:c r="T2245" s="3" t="b">
        <x:v>0</x:v>
      </x:c>
      <x:c r="U2245" s="2" t="str">
        <x:f>IF(T2245=TRUE,"Priority review",IF(R2245=TRUE,"High cost",IF(S2245=TRUE,"Low quality","Benchmark")))</x:f>
        <x:v>Low quality</x:v>
      </x:c>
    </x:row>
    <x:row r="2246">
      <x:c r="A2246" s="2" t="str">
        <x:v>371304</x:v>
      </x:c>
      <x:c r="B2246" s="2" t="str">
        <x:v>MERCY HOSPITAL TISHOMINGO INC</x:v>
      </x:c>
      <x:c r="C2246" s="2" t="str">
        <x:v>TISHOMINGO</x:v>
      </x:c>
      <x:c r="D2246" s="2" t="str">
        <x:v>OK</x:v>
      </x:c>
      <x:c r="E2246" s="2" t="str">
        <x:v>Critical Access Hospitals</x:v>
      </x:c>
      <x:c r="F2246" s="2" t="str">
        <x:v>Voluntary non-profit</x:v>
      </x:c>
      <x:c r="G2246" s="2" t="str">
        <x:v>Small (&lt;100 beds)</x:v>
      </x:c>
      <x:c r="H2246" s="7"/>
      <x:c r="I2246" s="7"/>
      <x:c r="J2246" s="7"/>
      <x:c r="K2246" s="8" t="n">
        <x:v>25</x:v>
      </x:c>
      <x:c r="L2246" s="8" t="n">
        <x:v>74</x:v>
      </x:c>
      <x:c r="M2246" s="9" t="n">
        <x:v>0.3187945205</x:v>
      </x:c>
      <x:c r="N2246" s="10" t="n">
        <x:v>139261.5</x:v>
      </x:c>
      <x:c r="O2246" s="9" t="n">
        <x:v>0.1910684597</x:v>
      </x:c>
      <x:c r="P2246" s="9" t="n">
        <x:v>0.5457249071</x:v>
      </x:c>
      <x:c r="Q2246" s="9" t="n">
        <x:v>0.292936803</x:v>
      </x:c>
      <x:c r="R2246" s="3" t="b">
        <x:v>0</x:v>
      </x:c>
      <x:c r="S2246" s="3" t="b">
        <x:v>0</x:v>
      </x:c>
      <x:c r="T2246" s="3" t="b">
        <x:v>0</x:v>
      </x:c>
      <x:c r="U2246" s="2" t="str">
        <x:f>IF(T2246=TRUE,"Priority review",IF(R2246=TRUE,"High cost",IF(S2246=TRUE,"Low quality","Benchmark")))</x:f>
        <x:v>Benchmark</x:v>
      </x:c>
    </x:row>
    <x:row r="2247">
      <x:c r="A2247" s="2" t="str">
        <x:v>190317</x:v>
      </x:c>
      <x:c r="B2247" s="2" t="str">
        <x:v>OCHSNER LSU HEALTH SHREVEPORT-ST MARY MEDICAL CENT</x:v>
      </x:c>
      <x:c r="C2247" s="2" t="str">
        <x:v>SHREVEPORT</x:v>
      </x:c>
      <x:c r="D2247" s="2" t="str">
        <x:v>LA</x:v>
      </x:c>
      <x:c r="E2247" s="2" t="str">
        <x:v>Acute Care Hospitals</x:v>
      </x:c>
      <x:c r="F2247" s="2" t="str">
        <x:v>Voluntary non-profit</x:v>
      </x:c>
      <x:c r="G2247" s="2" t="str">
        <x:v>Medium (100-299 beds)</x:v>
      </x:c>
      <x:c r="H2247" s="7" t="n">
        <x:v>2</x:v>
      </x:c>
      <x:c r="I2247" s="7" t="n">
        <x:v>4</x:v>
      </x:c>
      <x:c r="J2247" s="7"/>
      <x:c r="K2247" s="8" t="n">
        <x:v>109</x:v>
      </x:c>
      <x:c r="L2247" s="8" t="n">
        <x:v>4793</x:v>
      </x:c>
      <x:c r="M2247" s="9" t="n">
        <x:v>0.5749559083</x:v>
      </x:c>
      <x:c r="N2247" s="10" t="n">
        <x:v>35805.2998122262</x:v>
      </x:c>
      <x:c r="O2247" s="9" t="n">
        <x:v>0.0533444794</x:v>
      </x:c>
      <x:c r="P2247" s="9" t="n">
        <x:v>0.5452322738</x:v>
      </x:c>
      <x:c r="Q2247" s="9" t="n">
        <x:v>0.0782396088</x:v>
      </x:c>
      <x:c r="R2247" s="3" t="b">
        <x:v>0</x:v>
      </x:c>
      <x:c r="S2247" s="3" t="b">
        <x:v>1</x:v>
      </x:c>
      <x:c r="T2247" s="3" t="b">
        <x:v>0</x:v>
      </x:c>
      <x:c r="U2247" s="2" t="str">
        <x:f>IF(T2247=TRUE,"Priority review",IF(R2247=TRUE,"High cost",IF(S2247=TRUE,"Low quality","Benchmark")))</x:f>
        <x:v>Low quality</x:v>
      </x:c>
    </x:row>
    <x:row r="2248">
      <x:c r="A2248" s="2" t="str">
        <x:v>141355</x:v>
      </x:c>
      <x:c r="B2248" s="2" t="str">
        <x:v>CARLE RICHLAND MEMORIAL HOSPITAL</x:v>
      </x:c>
      <x:c r="C2248" s="2" t="str">
        <x:v>OLNEY</x:v>
      </x:c>
      <x:c r="D2248" s="2" t="str">
        <x:v>IL</x:v>
      </x:c>
      <x:c r="E2248" s="2" t="str">
        <x:v>Critical Access Hospitals</x:v>
      </x:c>
      <x:c r="F2248" s="2" t="str">
        <x:v>Voluntary non-profit</x:v>
      </x:c>
      <x:c r="G2248" s="2" t="str">
        <x:v>Small (&lt;100 beds)</x:v>
      </x:c>
      <x:c r="H2248" s="7" t="n">
        <x:v>2</x:v>
      </x:c>
      <x:c r="I2248" s="7" t="n">
        <x:v>4</x:v>
      </x:c>
      <x:c r="J2248" s="7"/>
      <x:c r="K2248" s="8" t="n">
        <x:v>25</x:v>
      </x:c>
      <x:c r="L2248" s="8" t="n">
        <x:v>579</x:v>
      </x:c>
      <x:c r="M2248" s="9" t="n">
        <x:v>0.6047520661</x:v>
      </x:c>
      <x:c r="N2248" s="10" t="n">
        <x:v>139135.1347150259</x:v>
      </x:c>
      <x:c r="O2248" s="9" t="n">
        <x:v>-0.067871479</x:v>
      </x:c>
      <x:c r="P2248" s="9" t="n">
        <x:v>0.5449814126</x:v>
      </x:c>
      <x:c r="Q2248" s="9" t="n">
        <x:v>0.0171003717</x:v>
      </x:c>
      <x:c r="R2248" s="3" t="b">
        <x:v>0</x:v>
      </x:c>
      <x:c r="S2248" s="3" t="b">
        <x:v>1</x:v>
      </x:c>
      <x:c r="T2248" s="3" t="b">
        <x:v>0</x:v>
      </x:c>
      <x:c r="U2248" s="2" t="str">
        <x:f>IF(T2248=TRUE,"Priority review",IF(R2248=TRUE,"High cost",IF(S2248=TRUE,"Low quality","Benchmark")))</x:f>
        <x:v>Low quality</x:v>
      </x:c>
    </x:row>
    <x:row r="2249">
      <x:c r="A2249" s="2" t="str">
        <x:v>100175</x:v>
      </x:c>
      <x:c r="B2249" s="2" t="str">
        <x:v>DESOTO MEMORIAL HOSPITAL</x:v>
      </x:c>
      <x:c r="C2249" s="2" t="str">
        <x:v>ARCADIA</x:v>
      </x:c>
      <x:c r="D2249" s="2" t="str">
        <x:v>FL</x:v>
      </x:c>
      <x:c r="E2249" s="2" t="str">
        <x:v>Acute Care Hospitals</x:v>
      </x:c>
      <x:c r="F2249" s="2" t="str">
        <x:v>Voluntary non-profit</x:v>
      </x:c>
      <x:c r="G2249" s="2" t="str">
        <x:v>Small (&lt;100 beds)</x:v>
      </x:c>
      <x:c r="H2249" s="7" t="n">
        <x:v>2</x:v>
      </x:c>
      <x:c r="I2249" s="7" t="n">
        <x:v>4</x:v>
      </x:c>
      <x:c r="J2249" s="7" t="n">
        <x:v>1.09</x:v>
      </x:c>
      <x:c r="K2249" s="8" t="n">
        <x:v>49</x:v>
      </x:c>
      <x:c r="L2249" s="8" t="n">
        <x:v>820</x:v>
      </x:c>
      <x:c r="M2249" s="9" t="n">
        <x:v>0.1442511431</x:v>
      </x:c>
      <x:c r="N2249" s="10" t="n">
        <x:v>56231.143902439</x:v>
      </x:c>
      <x:c r="O2249" s="9" t="n">
        <x:v>-0.0446836116</x:v>
      </x:c>
      <x:c r="P2249" s="9" t="n">
        <x:v>0.5448833034</x:v>
      </x:c>
      <x:c r="Q2249" s="9" t="n">
        <x:v>0.0350089767</x:v>
      </x:c>
      <x:c r="R2249" s="3" t="b">
        <x:v>0</x:v>
      </x:c>
      <x:c r="S2249" s="3" t="b">
        <x:v>1</x:v>
      </x:c>
      <x:c r="T2249" s="3" t="b">
        <x:v>0</x:v>
      </x:c>
      <x:c r="U2249" s="2" t="str">
        <x:f>IF(T2249=TRUE,"Priority review",IF(R2249=TRUE,"High cost",IF(S2249=TRUE,"Low quality","Benchmark")))</x:f>
        <x:v>Low quality</x:v>
      </x:c>
    </x:row>
    <x:row r="2250">
      <x:c r="A2250" s="2" t="str">
        <x:v>050770</x:v>
      </x:c>
      <x:c r="B2250" s="2" t="str">
        <x:v>LOMA LINDA UNIVERSITY MEDICAL CENTER-MURRIETA</x:v>
      </x:c>
      <x:c r="C2250" s="2" t="str">
        <x:v>MURRIETA</x:v>
      </x:c>
      <x:c r="D2250" s="2" t="str">
        <x:v>CA</x:v>
      </x:c>
      <x:c r="E2250" s="2" t="str">
        <x:v>Acute Care Hospitals</x:v>
      </x:c>
      <x:c r="F2250" s="2" t="str">
        <x:v>Voluntary non-profit</x:v>
      </x:c>
      <x:c r="G2250" s="2" t="str">
        <x:v>Medium (100-299 beds)</x:v>
      </x:c>
      <x:c r="H2250" s="7" t="n">
        <x:v>2</x:v>
      </x:c>
      <x:c r="I2250" s="7" t="n">
        <x:v>2</x:v>
      </x:c>
      <x:c r="J2250" s="7" t="n">
        <x:v>1.07</x:v>
      </x:c>
      <x:c r="K2250" s="8" t="n">
        <x:v>111</x:v>
      </x:c>
      <x:c r="L2250" s="8" t="n">
        <x:v>10506</x:v>
      </x:c>
      <x:c r="M2250" s="9" t="n">
        <x:v>1.190768851</x:v>
      </x:c>
      <x:c r="N2250" s="10" t="n">
        <x:v>35764.3648391395</x:v>
      </x:c>
      <x:c r="O2250" s="9" t="n">
        <x:v>-0.2844155253</x:v>
      </x:c>
      <x:c r="P2250" s="9" t="n">
        <x:v>0.5444172779</x:v>
      </x:c>
      <x:c r="Q2250" s="9" t="n">
        <x:v>0.0782396088</x:v>
      </x:c>
      <x:c r="R2250" s="3" t="b">
        <x:v>0</x:v>
      </x:c>
      <x:c r="S2250" s="3" t="b">
        <x:v>1</x:v>
      </x:c>
      <x:c r="T2250" s="3" t="b">
        <x:v>0</x:v>
      </x:c>
      <x:c r="U2250" s="2" t="str">
        <x:f>IF(T2250=TRUE,"Priority review",IF(R2250=TRUE,"High cost",IF(S2250=TRUE,"Low quality","Benchmark")))</x:f>
        <x:v>Low quality</x:v>
      </x:c>
    </x:row>
    <x:row r="2251">
      <x:c r="A2251" s="2" t="str">
        <x:v>361329</x:v>
      </x:c>
      <x:c r="B2251" s="2" t="str">
        <x:v>WYANDOT MEMORIAL HOSPITAL</x:v>
      </x:c>
      <x:c r="C2251" s="2" t="str">
        <x:v>UPPER SANDUSKY</x:v>
      </x:c>
      <x:c r="D2251" s="2" t="str">
        <x:v>OH</x:v>
      </x:c>
      <x:c r="E2251" s="2" t="str">
        <x:v>Critical Access Hospitals</x:v>
      </x:c>
      <x:c r="F2251" s="2" t="str">
        <x:v>Government</x:v>
      </x:c>
      <x:c r="G2251" s="2" t="str">
        <x:v>Small (&lt;100 beds)</x:v>
      </x:c>
      <x:c r="H2251" s="7" t="n">
        <x:v>5</x:v>
      </x:c>
      <x:c r="I2251" s="7" t="n">
        <x:v>4</x:v>
      </x:c>
      <x:c r="J2251" s="7"/>
      <x:c r="K2251" s="8" t="n">
        <x:v>24</x:v>
      </x:c>
      <x:c r="L2251" s="8" t="n">
        <x:v>637</x:v>
      </x:c>
      <x:c r="M2251" s="9" t="n">
        <x:v>0.3561020036</x:v>
      </x:c>
      <x:c r="N2251" s="10" t="n">
        <x:v>138889.9277864992</x:v>
      </x:c>
      <x:c r="O2251" s="9" t="n">
        <x:v>-0.0934430249</x:v>
      </x:c>
      <x:c r="P2251" s="9" t="n">
        <x:v>0.5442379182</x:v>
      </x:c>
      <x:c r="Q2251" s="9" t="n">
        <x:v>0.2602230483</x:v>
      </x:c>
      <x:c r="R2251" s="3" t="b">
        <x:v>0</x:v>
      </x:c>
      <x:c r="S2251" s="3" t="b">
        <x:v>0</x:v>
      </x:c>
      <x:c r="T2251" s="3" t="b">
        <x:v>0</x:v>
      </x:c>
      <x:c r="U2251" s="2" t="str">
        <x:f>IF(T2251=TRUE,"Priority review",IF(R2251=TRUE,"High cost",IF(S2251=TRUE,"Low quality","Benchmark")))</x:f>
        <x:v>Benchmark</x:v>
      </x:c>
    </x:row>
    <x:row r="2252">
      <x:c r="A2252" s="2" t="str">
        <x:v>390009</x:v>
      </x:c>
      <x:c r="B2252" s="2" t="str">
        <x:v>SAINT VINCENT HOSPITAL</x:v>
      </x:c>
      <x:c r="C2252" s="2" t="str">
        <x:v>ERIE</x:v>
      </x:c>
      <x:c r="D2252" s="2" t="str">
        <x:v>PA</x:v>
      </x:c>
      <x:c r="E2252" s="2" t="str">
        <x:v>Acute Care Hospitals</x:v>
      </x:c>
      <x:c r="F2252" s="2" t="str">
        <x:v>Voluntary non-profit</x:v>
      </x:c>
      <x:c r="G2252" s="2" t="str">
        <x:v>Large (300+ beds)</x:v>
      </x:c>
      <x:c r="H2252" s="7" t="n">
        <x:v>4</x:v>
      </x:c>
      <x:c r="I2252" s="7" t="n">
        <x:v>3</x:v>
      </x:c>
      <x:c r="J2252" s="7" t="n">
        <x:v>0.99</x:v>
      </x:c>
      <x:c r="K2252" s="8" t="n">
        <x:v>316</x:v>
      </x:c>
      <x:c r="L2252" s="8" t="n">
        <x:v>12242</x:v>
      </x:c>
      <x:c r="M2252" s="9" t="n">
        <x:v>0.5798963876</x:v>
      </x:c>
      <x:c r="N2252" s="10" t="n">
        <x:v>40741.413821271</x:v>
      </x:c>
      <x:c r="O2252" s="9" t="n">
        <x:v>-0.0155610135</x:v>
      </x:c>
      <x:c r="P2252" s="9" t="n">
        <x:v>0.5441640379</x:v>
      </x:c>
      <x:c r="Q2252" s="9" t="n">
        <x:v>0.5899053628</x:v>
      </x:c>
      <x:c r="R2252" s="3" t="b">
        <x:v>0</x:v>
      </x:c>
      <x:c r="S2252" s="3" t="b">
        <x:v>0</x:v>
      </x:c>
      <x:c r="T2252" s="3" t="b">
        <x:v>0</x:v>
      </x:c>
      <x:c r="U2252" s="2" t="str">
        <x:f>IF(T2252=TRUE,"Priority review",IF(R2252=TRUE,"High cost",IF(S2252=TRUE,"Low quality","Benchmark")))</x:f>
        <x:v>Benchmark</x:v>
      </x:c>
    </x:row>
    <x:row r="2253">
      <x:c r="A2253" s="2" t="str">
        <x:v>150011</x:v>
      </x:c>
      <x:c r="B2253" s="2" t="str">
        <x:v>MARION GENERAL HOSPITAL</x:v>
      </x:c>
      <x:c r="C2253" s="2" t="str">
        <x:v>MARION</x:v>
      </x:c>
      <x:c r="D2253" s="2" t="str">
        <x:v>IN</x:v>
      </x:c>
      <x:c r="E2253" s="2" t="str">
        <x:v>Acute Care Hospitals</x:v>
      </x:c>
      <x:c r="F2253" s="2" t="str">
        <x:v>Voluntary non-profit</x:v>
      </x:c>
      <x:c r="G2253" s="2" t="str">
        <x:v>Small (&lt;100 beds)</x:v>
      </x:c>
      <x:c r="H2253" s="7" t="n">
        <x:v>3</x:v>
      </x:c>
      <x:c r="I2253" s="7" t="n">
        <x:v>3</x:v>
      </x:c>
      <x:c r="J2253" s="7" t="n">
        <x:v>0.98</x:v>
      </x:c>
      <x:c r="K2253" s="8" t="n">
        <x:v>82</x:v>
      </x:c>
      <x:c r="L2253" s="8" t="n">
        <x:v>4157</x:v>
      </x:c>
      <x:c r="M2253" s="9" t="n">
        <x:v>0.5571333111</x:v>
      </x:c>
      <x:c r="N2253" s="10" t="n">
        <x:v>56146.3382246813</x:v>
      </x:c>
      <x:c r="O2253" s="9" t="n">
        <x:v>-0.0338471743</x:v>
      </x:c>
      <x:c r="P2253" s="9" t="n">
        <x:v>0.5439856373</x:v>
      </x:c>
      <x:c r="Q2253" s="9" t="n">
        <x:v>0.1687612208</x:v>
      </x:c>
      <x:c r="R2253" s="3" t="b">
        <x:v>0</x:v>
      </x:c>
      <x:c r="S2253" s="3" t="b">
        <x:v>0</x:v>
      </x:c>
      <x:c r="T2253" s="3" t="b">
        <x:v>0</x:v>
      </x:c>
      <x:c r="U2253" s="2" t="str">
        <x:f>IF(T2253=TRUE,"Priority review",IF(R2253=TRUE,"High cost",IF(S2253=TRUE,"Low quality","Benchmark")))</x:f>
        <x:v>Benchmark</x:v>
      </x:c>
    </x:row>
    <x:row r="2254">
      <x:c r="A2254" s="2" t="str">
        <x:v>154071</x:v>
      </x:c>
      <x:c r="B2254" s="2" t="str">
        <x:v>ETHAN CROSSING ADDICTION CAMPUS OF INDIANAPOLIS</x:v>
      </x:c>
      <x:c r="C2254" s="2" t="str">
        <x:v>INDIANAPOLIS</x:v>
      </x:c>
      <x:c r="D2254" s="2" t="str">
        <x:v>IN</x:v>
      </x:c>
      <x:c r="E2254" s="2" t="str">
        <x:v>Psychiatric</x:v>
      </x:c>
      <x:c r="F2254" s="2" t="str">
        <x:v>Proprietary</x:v>
      </x:c>
      <x:c r="G2254" s="2" t="str">
        <x:v>Small (&lt;100 beds)</x:v>
      </x:c>
      <x:c r="H2254" s="7"/>
      <x:c r="I2254" s="7"/>
      <x:c r="J2254" s="7"/>
      <x:c r="K2254" s="8" t="n">
        <x:v>41</x:v>
      </x:c>
      <x:c r="L2254" s="8" t="n">
        <x:v>1375</x:v>
      </x:c>
      <x:c r="M2254" s="9" t="n">
        <x:v>0.4574006014</x:v>
      </x:c>
      <x:c r="N2254" s="10" t="n">
        <x:v>12999.6269090909</x:v>
      </x:c>
      <x:c r="O2254" s="9" t="n">
        <x:v>-0.2222652867</x:v>
      </x:c>
      <x:c r="P2254" s="9" t="n">
        <x:v>0.5436893204</x:v>
      </x:c>
      <x:c r="Q2254" s="9" t="n">
        <x:v>0</x:v>
      </x:c>
      <x:c r="R2254" s="3" t="b">
        <x:v>0</x:v>
      </x:c>
      <x:c r="S2254" s="3" t="b">
        <x:v>0</x:v>
      </x:c>
      <x:c r="T2254" s="3" t="b">
        <x:v>0</x:v>
      </x:c>
      <x:c r="U2254" s="2" t="str">
        <x:f>IF(T2254=TRUE,"Priority review",IF(R2254=TRUE,"High cost",IF(S2254=TRUE,"Low quality","Benchmark")))</x:f>
        <x:v>Benchmark</x:v>
      </x:c>
    </x:row>
    <x:row r="2255">
      <x:c r="A2255" s="2" t="str">
        <x:v>210062</x:v>
      </x:c>
      <x:c r="B2255" s="2" t="str">
        <x:v>MEDSTAR SOUTHERN MARYLAND HOSPITAL CENTER</x:v>
      </x:c>
      <x:c r="C2255" s="2" t="str">
        <x:v>CLINTON</x:v>
      </x:c>
      <x:c r="D2255" s="2" t="str">
        <x:v>MD</x:v>
      </x:c>
      <x:c r="E2255" s="2" t="str">
        <x:v>Acute Care Hospitals</x:v>
      </x:c>
      <x:c r="F2255" s="2" t="str">
        <x:v>Voluntary non-profit</x:v>
      </x:c>
      <x:c r="G2255" s="2" t="str">
        <x:v>Medium (100-299 beds)</x:v>
      </x:c>
      <x:c r="H2255" s="7" t="n">
        <x:v>2</x:v>
      </x:c>
      <x:c r="I2255" s="7" t="n">
        <x:v>2</x:v>
      </x:c>
      <x:c r="J2255" s="7"/>
      <x:c r="K2255" s="8" t="n">
        <x:v>190</x:v>
      </x:c>
      <x:c r="L2255" s="8" t="n">
        <x:v>8983</x:v>
      </x:c>
      <x:c r="M2255" s="9" t="n">
        <x:v>0.682408075</x:v>
      </x:c>
      <x:c r="N2255" s="10" t="n">
        <x:v>35746.4903707002</x:v>
      </x:c>
      <x:c r="O2255" s="9" t="n">
        <x:v>-0.0080100566</x:v>
      </x:c>
      <x:c r="P2255" s="9" t="n">
        <x:v>0.543602282</x:v>
      </x:c>
      <x:c r="Q2255" s="9" t="n">
        <x:v>0.0782396088</x:v>
      </x:c>
      <x:c r="R2255" s="3" t="b">
        <x:v>0</x:v>
      </x:c>
      <x:c r="S2255" s="3" t="b">
        <x:v>1</x:v>
      </x:c>
      <x:c r="T2255" s="3" t="b">
        <x:v>0</x:v>
      </x:c>
      <x:c r="U2255" s="2" t="str">
        <x:f>IF(T2255=TRUE,"Priority review",IF(R2255=TRUE,"High cost",IF(S2255=TRUE,"Low quality","Benchmark")))</x:f>
        <x:v>Low quality</x:v>
      </x:c>
    </x:row>
    <x:row r="2256">
      <x:c r="A2256" s="2" t="str">
        <x:v>171345</x:v>
      </x:c>
      <x:c r="B2256" s="2" t="str">
        <x:v>PAWNEE VALLEY COMMUNITY HOSPITAL</x:v>
      </x:c>
      <x:c r="C2256" s="2" t="str">
        <x:v>LARNED</x:v>
      </x:c>
      <x:c r="D2256" s="2" t="str">
        <x:v>KS</x:v>
      </x:c>
      <x:c r="E2256" s="2" t="str">
        <x:v>Critical Access Hospitals</x:v>
      </x:c>
      <x:c r="F2256" s="2" t="str">
        <x:v>Voluntary non-profit</x:v>
      </x:c>
      <x:c r="G2256" s="2" t="str">
        <x:v>Small (&lt;100 beds)</x:v>
      </x:c>
      <x:c r="H2256" s="7"/>
      <x:c r="I2256" s="7"/>
      <x:c r="J2256" s="7"/>
      <x:c r="K2256" s="8" t="n">
        <x:v>16</x:v>
      </x:c>
      <x:c r="L2256" s="8" t="n">
        <x:v>144</x:v>
      </x:c>
      <x:c r="M2256" s="9" t="n">
        <x:v>0.4344178082</x:v>
      </x:c>
      <x:c r="N2256" s="10" t="n">
        <x:v>138884.5</x:v>
      </x:c>
      <x:c r="O2256" s="9" t="n">
        <x:v>0.0426358829</x:v>
      </x:c>
      <x:c r="P2256" s="9" t="n">
        <x:v>0.5434944238</x:v>
      </x:c>
      <x:c r="Q2256" s="9" t="n">
        <x:v>0.292936803</x:v>
      </x:c>
      <x:c r="R2256" s="3" t="b">
        <x:v>0</x:v>
      </x:c>
      <x:c r="S2256" s="3" t="b">
        <x:v>0</x:v>
      </x:c>
      <x:c r="T2256" s="3" t="b">
        <x:v>0</x:v>
      </x:c>
      <x:c r="U2256" s="2" t="str">
        <x:f>IF(T2256=TRUE,"Priority review",IF(R2256=TRUE,"High cost",IF(S2256=TRUE,"Low quality","Benchmark")))</x:f>
        <x:v>Benchmark</x:v>
      </x:c>
    </x:row>
    <x:row r="2257">
      <x:c r="A2257" s="2" t="str">
        <x:v>670071</x:v>
      </x:c>
      <x:c r="B2257" s="2" t="str">
        <x:v>TEXAS HEALTH HEART &amp; VASCULAR HOSPITAL ARLINGTON</x:v>
      </x:c>
      <x:c r="C2257" s="2" t="str">
        <x:v>ARLINGTON</x:v>
      </x:c>
      <x:c r="D2257" s="2" t="str">
        <x:v>TX</x:v>
      </x:c>
      <x:c r="E2257" s="2" t="str">
        <x:v>Acute Care Hospitals</x:v>
      </x:c>
      <x:c r="F2257" s="2" t="str">
        <x:v>Other / unknown</x:v>
      </x:c>
      <x:c r="G2257" s="2" t="str">
        <x:v>Small (&lt;100 beds)</x:v>
      </x:c>
      <x:c r="H2257" s="7" t="n">
        <x:v>4</x:v>
      </x:c>
      <x:c r="I2257" s="7" t="n">
        <x:v>4</x:v>
      </x:c>
      <x:c r="J2257" s="7" t="n">
        <x:v>0.98</x:v>
      </x:c>
      <x:c r="K2257" s="8" t="n">
        <x:v>47</x:v>
      </x:c>
      <x:c r="L2257" s="8" t="n">
        <x:v>1079</x:v>
      </x:c>
      <x:c r="M2257" s="9" t="n">
        <x:v>0.2238111847</x:v>
      </x:c>
      <x:c r="N2257" s="10" t="n">
        <x:v>56072.3651529194</x:v>
      </x:c>
      <x:c r="O2257" s="9" t="n">
        <x:v>0.0097243361</x:v>
      </x:c>
      <x:c r="P2257" s="9" t="n">
        <x:v>0.5430879713</x:v>
      </x:c>
      <x:c r="Q2257" s="9" t="n">
        <x:v>0.3913824057</x:v>
      </x:c>
      <x:c r="R2257" s="3" t="b">
        <x:v>0</x:v>
      </x:c>
      <x:c r="S2257" s="3" t="b">
        <x:v>0</x:v>
      </x:c>
      <x:c r="T2257" s="3" t="b">
        <x:v>0</x:v>
      </x:c>
      <x:c r="U2257" s="2" t="str">
        <x:f>IF(T2257=TRUE,"Priority review",IF(R2257=TRUE,"High cost",IF(S2257=TRUE,"Low quality","Benchmark")))</x:f>
        <x:v>Benchmark</x:v>
      </x:c>
    </x:row>
    <x:row r="2258">
      <x:c r="A2258" s="2" t="str">
        <x:v>450639</x:v>
      </x:c>
      <x:c r="B2258" s="2" t="str">
        <x:v>TEXAS HEALTH HARRIS METHODIST HURST-EULESS-BEDFORD</x:v>
      </x:c>
      <x:c r="C2258" s="2" t="str">
        <x:v>BEDFORD</x:v>
      </x:c>
      <x:c r="D2258" s="2" t="str">
        <x:v>TX</x:v>
      </x:c>
      <x:c r="E2258" s="2" t="str">
        <x:v>Acute Care Hospitals</x:v>
      </x:c>
      <x:c r="F2258" s="2" t="str">
        <x:v>Voluntary non-profit</x:v>
      </x:c>
      <x:c r="G2258" s="2" t="str">
        <x:v>Medium (100-299 beds)</x:v>
      </x:c>
      <x:c r="H2258" s="7" t="n">
        <x:v>4</x:v>
      </x:c>
      <x:c r="I2258" s="7" t="n">
        <x:v>3</x:v>
      </x:c>
      <x:c r="J2258" s="7" t="n">
        <x:v>1.1</x:v>
      </x:c>
      <x:c r="K2258" s="8" t="n">
        <x:v>195</x:v>
      </x:c>
      <x:c r="L2258" s="8" t="n">
        <x:v>9107</x:v>
      </x:c>
      <x:c r="M2258" s="9" t="n">
        <x:v>0.7569286815</x:v>
      </x:c>
      <x:c r="N2258" s="10" t="n">
        <x:v>35744.9701328648</x:v>
      </x:c>
      <x:c r="O2258" s="9" t="n">
        <x:v>0.0745706861</x:v>
      </x:c>
      <x:c r="P2258" s="9" t="n">
        <x:v>0.5427872861</x:v>
      </x:c>
      <x:c r="Q2258" s="9" t="n">
        <x:v>0.6022819886</x:v>
      </x:c>
      <x:c r="R2258" s="3" t="b">
        <x:v>0</x:v>
      </x:c>
      <x:c r="S2258" s="3" t="b">
        <x:v>0</x:v>
      </x:c>
      <x:c r="T2258" s="3" t="b">
        <x:v>0</x:v>
      </x:c>
      <x:c r="U2258" s="2" t="str">
        <x:f>IF(T2258=TRUE,"Priority review",IF(R2258=TRUE,"High cost",IF(S2258=TRUE,"Low quality","Benchmark")))</x:f>
        <x:v>Benchmark</x:v>
      </x:c>
    </x:row>
    <x:row r="2259">
      <x:c r="A2259" s="2" t="str">
        <x:v>061309</x:v>
      </x:c>
      <x:c r="B2259" s="2" t="str">
        <x:v>WRAY COMMUNITY DISTRICT HOSPITAL</x:v>
      </x:c>
      <x:c r="C2259" s="2" t="str">
        <x:v>WRAY</x:v>
      </x:c>
      <x:c r="D2259" s="2" t="str">
        <x:v>CO</x:v>
      </x:c>
      <x:c r="E2259" s="2" t="str">
        <x:v>Critical Access Hospitals</x:v>
      </x:c>
      <x:c r="F2259" s="2" t="str">
        <x:v>Government</x:v>
      </x:c>
      <x:c r="G2259" s="2" t="str">
        <x:v>Small (&lt;100 beds)</x:v>
      </x:c>
      <x:c r="H2259" s="7"/>
      <x:c r="I2259" s="7"/>
      <x:c r="J2259" s="7"/>
      <x:c r="K2259" s="8" t="n">
        <x:v>16</x:v>
      </x:c>
      <x:c r="L2259" s="8" t="n">
        <x:v>297</x:v>
      </x:c>
      <x:c r="M2259" s="9" t="n">
        <x:v>0.1828893443</x:v>
      </x:c>
      <x:c r="N2259" s="10" t="n">
        <x:v>138672.4915824916</x:v>
      </x:c>
      <x:c r="O2259" s="9" t="n">
        <x:v>-0.0351609165</x:v>
      </x:c>
      <x:c r="P2259" s="9" t="n">
        <x:v>0.5427509294</x:v>
      </x:c>
      <x:c r="Q2259" s="9" t="n">
        <x:v>0.292936803</x:v>
      </x:c>
      <x:c r="R2259" s="3" t="b">
        <x:v>0</x:v>
      </x:c>
      <x:c r="S2259" s="3" t="b">
        <x:v>0</x:v>
      </x:c>
      <x:c r="T2259" s="3" t="b">
        <x:v>0</x:v>
      </x:c>
      <x:c r="U2259" s="2" t="str">
        <x:f>IF(T2259=TRUE,"Priority review",IF(R2259=TRUE,"High cost",IF(S2259=TRUE,"Low quality","Benchmark")))</x:f>
        <x:v>Benchmark</x:v>
      </x:c>
    </x:row>
    <x:row r="2260">
      <x:c r="A2260" s="2" t="str">
        <x:v>310012</x:v>
      </x:c>
      <x:c r="B2260" s="2" t="str">
        <x:v>VALLEY HOSPITAL</x:v>
      </x:c>
      <x:c r="C2260" s="2" t="str">
        <x:v>PARAMUS</x:v>
      </x:c>
      <x:c r="D2260" s="2" t="str">
        <x:v>NJ</x:v>
      </x:c>
      <x:c r="E2260" s="2" t="str">
        <x:v>Acute Care Hospitals</x:v>
      </x:c>
      <x:c r="F2260" s="2" t="str">
        <x:v>Voluntary non-profit</x:v>
      </x:c>
      <x:c r="G2260" s="2" t="str">
        <x:v>Large (300+ beds)</x:v>
      </x:c>
      <x:c r="H2260" s="7" t="n">
        <x:v>4</x:v>
      </x:c>
      <x:c r="I2260" s="7" t="n">
        <x:v>4</x:v>
      </x:c>
      <x:c r="J2260" s="7" t="n">
        <x:v>1.03</x:v>
      </x:c>
      <x:c r="K2260" s="8" t="n">
        <x:v>375</x:v>
      </x:c>
      <x:c r="L2260" s="8" t="n">
        <x:v>24183</x:v>
      </x:c>
      <x:c r="M2260" s="9" t="n">
        <x:v>0.8661414973</x:v>
      </x:c>
      <x:c r="N2260" s="10" t="n">
        <x:v>40728.1621800438</x:v>
      </x:c>
      <x:c r="O2260" s="9" t="n">
        <x:v>0.0984722244</x:v>
      </x:c>
      <x:c r="P2260" s="9" t="n">
        <x:v>0.5425867508</x:v>
      </x:c>
      <x:c r="Q2260" s="9" t="n">
        <x:v>0.5899053628</x:v>
      </x:c>
      <x:c r="R2260" s="3" t="b">
        <x:v>0</x:v>
      </x:c>
      <x:c r="S2260" s="3" t="b">
        <x:v>0</x:v>
      </x:c>
      <x:c r="T2260" s="3" t="b">
        <x:v>0</x:v>
      </x:c>
      <x:c r="U2260" s="2" t="str">
        <x:f>IF(T2260=TRUE,"Priority review",IF(R2260=TRUE,"High cost",IF(S2260=TRUE,"Low quality","Benchmark")))</x:f>
        <x:v>Benchmark</x:v>
      </x:c>
    </x:row>
    <x:row r="2261">
      <x:c r="A2261" s="2" t="str">
        <x:v>234023</x:v>
      </x:c>
      <x:c r="B2261" s="2" t="str">
        <x:v>HAVENWYCK HOSPITAL</x:v>
      </x:c>
      <x:c r="C2261" s="2" t="str">
        <x:v>AUBURN HILLS</x:v>
      </x:c>
      <x:c r="D2261" s="2" t="str">
        <x:v>MI</x:v>
      </x:c>
      <x:c r="E2261" s="2" t="str">
        <x:v>Psychiatric</x:v>
      </x:c>
      <x:c r="F2261" s="2" t="str">
        <x:v>Proprietary</x:v>
      </x:c>
      <x:c r="G2261" s="2" t="str">
        <x:v>Medium (100-299 beds)</x:v>
      </x:c>
      <x:c r="H2261" s="7"/>
      <x:c r="I2261" s="7"/>
      <x:c r="J2261" s="7"/>
      <x:c r="K2261" s="8" t="n">
        <x:v>215</x:v>
      </x:c>
      <x:c r="L2261" s="8" t="n">
        <x:v>5371</x:v>
      </x:c>
      <x:c r="M2261" s="9" t="n">
        <x:v>0.8615610067</x:v>
      </x:c>
      <x:c r="N2261" s="10" t="n">
        <x:v>12804.6455036306</x:v>
      </x:c>
      <x:c r="O2261" s="9" t="n">
        <x:v>0.3192860556</x:v>
      </x:c>
      <x:c r="P2261" s="9" t="n">
        <x:v>0.5422885572</x:v>
      </x:c>
      <x:c r="Q2261" s="9" t="n">
        <x:v>0</x:v>
      </x:c>
      <x:c r="R2261" s="3" t="b">
        <x:v>0</x:v>
      </x:c>
      <x:c r="S2261" s="3" t="b">
        <x:v>0</x:v>
      </x:c>
      <x:c r="T2261" s="3" t="b">
        <x:v>0</x:v>
      </x:c>
      <x:c r="U2261" s="2" t="str">
        <x:f>IF(T2261=TRUE,"Priority review",IF(R2261=TRUE,"High cost",IF(S2261=TRUE,"Low quality","Benchmark")))</x:f>
        <x:v>Benchmark</x:v>
      </x:c>
    </x:row>
    <x:row r="2262">
      <x:c r="A2262" s="2" t="str">
        <x:v>300023</x:v>
      </x:c>
      <x:c r="B2262" s="2" t="str">
        <x:v>EXETER HOSPITAL INC</x:v>
      </x:c>
      <x:c r="C2262" s="2" t="str">
        <x:v>EXETER</x:v>
      </x:c>
      <x:c r="D2262" s="2" t="str">
        <x:v>NH</x:v>
      </x:c>
      <x:c r="E2262" s="2" t="str">
        <x:v>Acute Care Hospitals</x:v>
      </x:c>
      <x:c r="F2262" s="2" t="str">
        <x:v>Voluntary non-profit</x:v>
      </x:c>
      <x:c r="G2262" s="2" t="str">
        <x:v>Small (&lt;100 beds)</x:v>
      </x:c>
      <x:c r="H2262" s="7" t="n">
        <x:v>4</x:v>
      </x:c>
      <x:c r="I2262" s="7" t="n">
        <x:v>3</x:v>
      </x:c>
      <x:c r="J2262" s="7" t="n">
        <x:v>0.97</x:v>
      </x:c>
      <x:c r="K2262" s="8" t="n">
        <x:v>98</x:v>
      </x:c>
      <x:c r="L2262" s="8" t="n">
        <x:v>5297</x:v>
      </x:c>
      <x:c r="M2262" s="9" t="n">
        <x:v>0.7051131928</x:v>
      </x:c>
      <x:c r="N2262" s="10" t="n">
        <x:v>55970.4751746272</x:v>
      </x:c>
      <x:c r="O2262" s="9" t="n">
        <x:v>0.0304104869</x:v>
      </x:c>
      <x:c r="P2262" s="9" t="n">
        <x:v>0.5421903052</x:v>
      </x:c>
      <x:c r="Q2262" s="9" t="n">
        <x:v>0.3913824057</x:v>
      </x:c>
      <x:c r="R2262" s="3" t="b">
        <x:v>0</x:v>
      </x:c>
      <x:c r="S2262" s="3" t="b">
        <x:v>0</x:v>
      </x:c>
      <x:c r="T2262" s="3" t="b">
        <x:v>0</x:v>
      </x:c>
      <x:c r="U2262" s="2" t="str">
        <x:f>IF(T2262=TRUE,"Priority review",IF(R2262=TRUE,"High cost",IF(S2262=TRUE,"Low quality","Benchmark")))</x:f>
        <x:v>Benchmark</x:v>
      </x:c>
    </x:row>
    <x:row r="2263">
      <x:c r="A2263" s="2" t="str">
        <x:v>281354</x:v>
      </x:c>
      <x:c r="B2263" s="2" t="str">
        <x:v>CRETE AREA MEDICAL CENTER</x:v>
      </x:c>
      <x:c r="C2263" s="2" t="str">
        <x:v>CRETE</x:v>
      </x:c>
      <x:c r="D2263" s="2" t="str">
        <x:v>NE</x:v>
      </x:c>
      <x:c r="E2263" s="2" t="str">
        <x:v>Critical Access Hospitals</x:v>
      </x:c>
      <x:c r="F2263" s="2" t="str">
        <x:v>Voluntary non-profit</x:v>
      </x:c>
      <x:c r="G2263" s="2" t="str">
        <x:v>Small (&lt;100 beds)</x:v>
      </x:c>
      <x:c r="H2263" s="7"/>
      <x:c r="I2263" s="7"/>
      <x:c r="J2263" s="7"/>
      <x:c r="K2263" s="8" t="n">
        <x:v>15</x:v>
      </x:c>
      <x:c r="L2263" s="8" t="n">
        <x:v>230</x:v>
      </x:c>
      <x:c r="M2263" s="9" t="n">
        <x:v>0.1335154827</x:v>
      </x:c>
      <x:c r="N2263" s="10" t="n">
        <x:v>138523.8565217391</x:v>
      </x:c>
      <x:c r="O2263" s="9" t="n">
        <x:v>0.0606288749</x:v>
      </x:c>
      <x:c r="P2263" s="9" t="n">
        <x:v>0.5420074349</x:v>
      </x:c>
      <x:c r="Q2263" s="9" t="n">
        <x:v>0.292936803</x:v>
      </x:c>
      <x:c r="R2263" s="3" t="b">
        <x:v>0</x:v>
      </x:c>
      <x:c r="S2263" s="3" t="b">
        <x:v>0</x:v>
      </x:c>
      <x:c r="T2263" s="3" t="b">
        <x:v>0</x:v>
      </x:c>
      <x:c r="U2263" s="2" t="str">
        <x:f>IF(T2263=TRUE,"Priority review",IF(R2263=TRUE,"High cost",IF(S2263=TRUE,"Low quality","Benchmark")))</x:f>
        <x:v>Benchmark</x:v>
      </x:c>
    </x:row>
    <x:row r="2264">
      <x:c r="A2264" s="2" t="str">
        <x:v>100050</x:v>
      </x:c>
      <x:c r="B2264" s="2" t="str">
        <x:v>LARKIN COMMUNITY HOSPITAL PALM SPRINGS CAMPUS</x:v>
      </x:c>
      <x:c r="C2264" s="2" t="str">
        <x:v>HIALEAH</x:v>
      </x:c>
      <x:c r="D2264" s="2" t="str">
        <x:v>FL</x:v>
      </x:c>
      <x:c r="E2264" s="2" t="str">
        <x:v>Acute Care Hospitals</x:v>
      </x:c>
      <x:c r="F2264" s="2" t="str">
        <x:v>Voluntary non-profit</x:v>
      </x:c>
      <x:c r="G2264" s="2" t="str">
        <x:v>Medium (100-299 beds)</x:v>
      </x:c>
      <x:c r="H2264" s="7" t="n">
        <x:v>4</x:v>
      </x:c>
      <x:c r="I2264" s="7" t="n">
        <x:v>3</x:v>
      </x:c>
      <x:c r="J2264" s="7" t="n">
        <x:v>1.26</x:v>
      </x:c>
      <x:c r="K2264" s="8" t="n">
        <x:v>119</x:v>
      </x:c>
      <x:c r="L2264" s="8" t="n">
        <x:v>3007</x:v>
      </x:c>
      <x:c r="M2264" s="9" t="n">
        <x:v>0.481012077</x:v>
      </x:c>
      <x:c r="N2264" s="10" t="n">
        <x:v>35741.5157964749</x:v>
      </x:c>
      <x:c r="O2264" s="9" t="n">
        <x:v>0.0072630924</x:v>
      </x:c>
      <x:c r="P2264" s="9" t="n">
        <x:v>0.5419722901</x:v>
      </x:c>
      <x:c r="Q2264" s="9" t="n">
        <x:v>0.6022819886</x:v>
      </x:c>
      <x:c r="R2264" s="3" t="b">
        <x:v>0</x:v>
      </x:c>
      <x:c r="S2264" s="3" t="b">
        <x:v>0</x:v>
      </x:c>
      <x:c r="T2264" s="3" t="b">
        <x:v>0</x:v>
      </x:c>
      <x:c r="U2264" s="2" t="str">
        <x:f>IF(T2264=TRUE,"Priority review",IF(R2264=TRUE,"High cost",IF(S2264=TRUE,"Low quality","Benchmark")))</x:f>
        <x:v>Benchmark</x:v>
      </x:c>
    </x:row>
    <x:row r="2265">
      <x:c r="A2265" s="2" t="str">
        <x:v>503301</x:v>
      </x:c>
      <x:c r="B2265" s="2" t="str">
        <x:v>MARY BRIDGE CHILDREN'S HOSPITAL</x:v>
      </x:c>
      <x:c r="C2265" s="2" t="str">
        <x:v>TACOMA</x:v>
      </x:c>
      <x:c r="D2265" s="2" t="str">
        <x:v>WA</x:v>
      </x:c>
      <x:c r="E2265" s="2" t="str">
        <x:v>Childrens</x:v>
      </x:c>
      <x:c r="F2265" s="2" t="str">
        <x:v>Voluntary non-profit</x:v>
      </x:c>
      <x:c r="G2265" s="2" t="str">
        <x:v>Medium (100-299 beds)</x:v>
      </x:c>
      <x:c r="H2265" s="7"/>
      <x:c r="I2265" s="7"/>
      <x:c r="J2265" s="7"/>
      <x:c r="K2265" s="8" t="n">
        <x:v>161</x:v>
      </x:c>
      <x:c r="L2265" s="8" t="n">
        <x:v>5608</x:v>
      </x:c>
      <x:c r="M2265" s="9" t="n">
        <x:v>0.5332790279</x:v>
      </x:c>
      <x:c r="N2265" s="10" t="n">
        <x:v>84947.4639800285</x:v>
      </x:c>
      <x:c r="O2265" s="9" t="n">
        <x:v>0.0875864522</x:v>
      </x:c>
      <x:c r="P2265" s="9" t="n">
        <x:v>0.5416666667</x:v>
      </x:c>
      <x:c r="Q2265" s="9" t="n">
        <x:v>0</x:v>
      </x:c>
      <x:c r="R2265" s="3" t="b">
        <x:v>0</x:v>
      </x:c>
      <x:c r="S2265" s="3" t="b">
        <x:v>0</x:v>
      </x:c>
      <x:c r="T2265" s="3" t="b">
        <x:v>0</x:v>
      </x:c>
      <x:c r="U2265" s="2" t="str">
        <x:f>IF(T2265=TRUE,"Priority review",IF(R2265=TRUE,"High cost",IF(S2265=TRUE,"Low quality","Benchmark")))</x:f>
        <x:v>Benchmark</x:v>
      </x:c>
    </x:row>
    <x:row r="2266">
      <x:c r="A2266" s="2" t="str">
        <x:v>190312</x:v>
      </x:c>
      <x:c r="B2266" s="2" t="str">
        <x:v>OUR LADY OF THE ANGELS HOSPITAL</x:v>
      </x:c>
      <x:c r="C2266" s="2" t="str">
        <x:v>BOGALUSA</x:v>
      </x:c>
      <x:c r="D2266" s="2" t="str">
        <x:v>LA</x:v>
      </x:c>
      <x:c r="E2266" s="2" t="str">
        <x:v>Acute Care Hospitals</x:v>
      </x:c>
      <x:c r="F2266" s="2" t="str">
        <x:v>Voluntary non-profit</x:v>
      </x:c>
      <x:c r="G2266" s="2" t="str">
        <x:v>Small (&lt;100 beds)</x:v>
      </x:c>
      <x:c r="H2266" s="7" t="n">
        <x:v>4</x:v>
      </x:c>
      <x:c r="I2266" s="7" t="n">
        <x:v>4</x:v>
      </x:c>
      <x:c r="J2266" s="7" t="n">
        <x:v>1.22</x:v>
      </x:c>
      <x:c r="K2266" s="8" t="n">
        <x:v>46</x:v>
      </x:c>
      <x:c r="L2266" s="8" t="n">
        <x:v>1527</x:v>
      </x:c>
      <x:c r="M2266" s="9" t="n">
        <x:v>0.3197736748</x:v>
      </x:c>
      <x:c r="N2266" s="10" t="n">
        <x:v>55931.1185330714</x:v>
      </x:c>
      <x:c r="O2266" s="9" t="n">
        <x:v>-0.8797095152</x:v>
      </x:c>
      <x:c r="P2266" s="9" t="n">
        <x:v>0.5412926391</x:v>
      </x:c>
      <x:c r="Q2266" s="9" t="n">
        <x:v>0.3913824057</x:v>
      </x:c>
      <x:c r="R2266" s="3" t="b">
        <x:v>0</x:v>
      </x:c>
      <x:c r="S2266" s="3" t="b">
        <x:v>0</x:v>
      </x:c>
      <x:c r="T2266" s="3" t="b">
        <x:v>0</x:v>
      </x:c>
      <x:c r="U2266" s="2" t="str">
        <x:f>IF(T2266=TRUE,"Priority review",IF(R2266=TRUE,"High cost",IF(S2266=TRUE,"Low quality","Benchmark")))</x:f>
        <x:v>Benchmark</x:v>
      </x:c>
    </x:row>
    <x:row r="2267">
      <x:c r="A2267" s="2" t="str">
        <x:v>241306</x:v>
      </x:c>
      <x:c r="B2267" s="2" t="str">
        <x:v>OLIVIA HOSPITAL &amp; CLINIC</x:v>
      </x:c>
      <x:c r="C2267" s="2" t="str">
        <x:v>OLIVIA</x:v>
      </x:c>
      <x:c r="D2267" s="2" t="str">
        <x:v>MN</x:v>
      </x:c>
      <x:c r="E2267" s="2" t="str">
        <x:v>Critical Access Hospitals</x:v>
      </x:c>
      <x:c r="F2267" s="2" t="str">
        <x:v>Voluntary non-profit</x:v>
      </x:c>
      <x:c r="G2267" s="2" t="str">
        <x:v>Small (&lt;100 beds)</x:v>
      </x:c>
      <x:c r="H2267" s="7" t="n">
        <x:v>2</x:v>
      </x:c>
      <x:c r="I2267" s="7"/>
      <x:c r="J2267" s="7"/>
      <x:c r="K2267" s="8" t="n">
        <x:v>16</x:v>
      </x:c>
      <x:c r="L2267" s="8" t="n">
        <x:v>245</x:v>
      </x:c>
      <x:c r="M2267" s="9" t="n">
        <x:v>0.4407445355</x:v>
      </x:c>
      <x:c r="N2267" s="10" t="n">
        <x:v>138377.8489795918</x:v>
      </x:c>
      <x:c r="O2267" s="9" t="n">
        <x:v>0.1390991369</x:v>
      </x:c>
      <x:c r="P2267" s="9" t="n">
        <x:v>0.5412639405</x:v>
      </x:c>
      <x:c r="Q2267" s="9" t="n">
        <x:v>0.0171003717</x:v>
      </x:c>
      <x:c r="R2267" s="3" t="b">
        <x:v>0</x:v>
      </x:c>
      <x:c r="S2267" s="3" t="b">
        <x:v>1</x:v>
      </x:c>
      <x:c r="T2267" s="3" t="b">
        <x:v>0</x:v>
      </x:c>
      <x:c r="U2267" s="2" t="str">
        <x:f>IF(T2267=TRUE,"Priority review",IF(R2267=TRUE,"High cost",IF(S2267=TRUE,"Low quality","Benchmark")))</x:f>
        <x:v>Low quality</x:v>
      </x:c>
    </x:row>
    <x:row r="2268">
      <x:c r="A2268" s="2" t="str">
        <x:v>140251</x:v>
      </x:c>
      <x:c r="B2268" s="2" t="str">
        <x:v>COMMUNITY FIRST MEDICAL CENTER</x:v>
      </x:c>
      <x:c r="C2268" s="2" t="str">
        <x:v>CHICAGO</x:v>
      </x:c>
      <x:c r="D2268" s="2" t="str">
        <x:v>IL</x:v>
      </x:c>
      <x:c r="E2268" s="2" t="str">
        <x:v>Acute Care Hospitals</x:v>
      </x:c>
      <x:c r="F2268" s="2" t="str">
        <x:v>Proprietary</x:v>
      </x:c>
      <x:c r="G2268" s="2" t="str">
        <x:v>Medium (100-299 beds)</x:v>
      </x:c>
      <x:c r="H2268" s="7" t="n">
        <x:v>2</x:v>
      </x:c>
      <x:c r="I2268" s="7"/>
      <x:c r="J2268" s="7" t="n">
        <x:v>1.18</x:v>
      </x:c>
      <x:c r="K2268" s="8" t="n">
        <x:v>213</x:v>
      </x:c>
      <x:c r="L2268" s="8" t="n">
        <x:v>2956</x:v>
      </x:c>
      <x:c r="M2268" s="9" t="n">
        <x:v>0.2124862105</x:v>
      </x:c>
      <x:c r="N2268" s="10" t="n">
        <x:v>35736.8680649526</x:v>
      </x:c>
      <x:c r="O2268" s="9" t="n">
        <x:v>-0.152382257</x:v>
      </x:c>
      <x:c r="P2268" s="9" t="n">
        <x:v>0.5411572942</x:v>
      </x:c>
      <x:c r="Q2268" s="9" t="n">
        <x:v>0.0782396088</x:v>
      </x:c>
      <x:c r="R2268" s="3" t="b">
        <x:v>0</x:v>
      </x:c>
      <x:c r="S2268" s="3" t="b">
        <x:v>1</x:v>
      </x:c>
      <x:c r="T2268" s="3" t="b">
        <x:v>0</x:v>
      </x:c>
      <x:c r="U2268" s="2" t="str">
        <x:f>IF(T2268=TRUE,"Priority review",IF(R2268=TRUE,"High cost",IF(S2268=TRUE,"Low quality","Benchmark")))</x:f>
        <x:v>Low quality</x:v>
      </x:c>
    </x:row>
    <x:row r="2269">
      <x:c r="A2269" s="2" t="str">
        <x:v>330044</x:v>
      </x:c>
      <x:c r="B2269" s="2" t="str">
        <x:v>WYNN HOSPITAL</x:v>
      </x:c>
      <x:c r="C2269" s="2" t="str">
        <x:v>UTICA</x:v>
      </x:c>
      <x:c r="D2269" s="2" t="str">
        <x:v>NY</x:v>
      </x:c>
      <x:c r="E2269" s="2" t="str">
        <x:v>Acute Care Hospitals</x:v>
      </x:c>
      <x:c r="F2269" s="2" t="str">
        <x:v>Voluntary non-profit</x:v>
      </x:c>
      <x:c r="G2269" s="2" t="str">
        <x:v>Large (300+ beds)</x:v>
      </x:c>
      <x:c r="H2269" s="7" t="n">
        <x:v>1</x:v>
      </x:c>
      <x:c r="I2269" s="7" t="n">
        <x:v>2</x:v>
      </x:c>
      <x:c r="J2269" s="7" t="n">
        <x:v>1.08</x:v>
      </x:c>
      <x:c r="K2269" s="8" t="n">
        <x:v>354</x:v>
      </x:c>
      <x:c r="L2269" s="8" t="n">
        <x:v>17994</x:v>
      </x:c>
      <x:c r="M2269" s="9" t="n">
        <x:v>0.7560587818</x:v>
      </x:c>
      <x:c r="N2269" s="10" t="n">
        <x:v>40665.6610536846</x:v>
      </x:c>
      <x:c r="O2269" s="9" t="n">
        <x:v>-0.1761842001</x:v>
      </x:c>
      <x:c r="P2269" s="9" t="n">
        <x:v>0.5410094637</x:v>
      </x:c>
      <x:c r="Q2269" s="9" t="n">
        <x:v>0</x:v>
      </x:c>
      <x:c r="R2269" s="3" t="b">
        <x:v>0</x:v>
      </x:c>
      <x:c r="S2269" s="3" t="b">
        <x:v>1</x:v>
      </x:c>
      <x:c r="T2269" s="3" t="b">
        <x:v>0</x:v>
      </x:c>
      <x:c r="U2269" s="2" t="str">
        <x:f>IF(T2269=TRUE,"Priority review",IF(R2269=TRUE,"High cost",IF(S2269=TRUE,"Low quality","Benchmark")))</x:f>
        <x:v>Low quality</x:v>
      </x:c>
    </x:row>
    <x:row r="2270">
      <x:c r="A2270" s="2" t="str">
        <x:v>511310</x:v>
      </x:c>
      <x:c r="B2270" s="2" t="str">
        <x:v>SUMMERS COUNTY ARH HOSPITAL</x:v>
      </x:c>
      <x:c r="C2270" s="2" t="str">
        <x:v>HINTON</x:v>
      </x:c>
      <x:c r="D2270" s="2" t="str">
        <x:v>WV</x:v>
      </x:c>
      <x:c r="E2270" s="2" t="str">
        <x:v>Critical Access Hospitals</x:v>
      </x:c>
      <x:c r="F2270" s="2" t="str">
        <x:v>Voluntary non-profit</x:v>
      </x:c>
      <x:c r="G2270" s="2" t="str">
        <x:v>Small (&lt;100 beds)</x:v>
      </x:c>
      <x:c r="H2270" s="7"/>
      <x:c r="I2270" s="7"/>
      <x:c r="J2270" s="7"/>
      <x:c r="K2270" s="8" t="n">
        <x:v>25</x:v>
      </x:c>
      <x:c r="L2270" s="8" t="n">
        <x:v>174</x:v>
      </x:c>
      <x:c r="M2270" s="9" t="n">
        <x:v>0.4038356164</x:v>
      </x:c>
      <x:c r="N2270" s="10" t="n">
        <x:v>138367.7873563218</x:v>
      </x:c>
      <x:c r="O2270" s="9" t="n">
        <x:v>-0.1900236789</x:v>
      </x:c>
      <x:c r="P2270" s="9" t="n">
        <x:v>0.5405204461</x:v>
      </x:c>
      <x:c r="Q2270" s="9" t="n">
        <x:v>0.292936803</x:v>
      </x:c>
      <x:c r="R2270" s="3" t="b">
        <x:v>0</x:v>
      </x:c>
      <x:c r="S2270" s="3" t="b">
        <x:v>0</x:v>
      </x:c>
      <x:c r="T2270" s="3" t="b">
        <x:v>0</x:v>
      </x:c>
      <x:c r="U2270" s="2" t="str">
        <x:f>IF(T2270=TRUE,"Priority review",IF(R2270=TRUE,"High cost",IF(S2270=TRUE,"Low quality","Benchmark")))</x:f>
        <x:v>Benchmark</x:v>
      </x:c>
    </x:row>
    <x:row r="2271">
      <x:c r="A2271" s="2" t="str">
        <x:v>444024</x:v>
      </x:c>
      <x:c r="B2271" s="2" t="str">
        <x:v>UNITY PSYCHIATRIC CARE-MEMPHIS</x:v>
      </x:c>
      <x:c r="C2271" s="2" t="str">
        <x:v>MEMPHIS</x:v>
      </x:c>
      <x:c r="D2271" s="2" t="str">
        <x:v>TN</x:v>
      </x:c>
      <x:c r="E2271" s="2" t="str">
        <x:v>Psychiatric</x:v>
      </x:c>
      <x:c r="F2271" s="2" t="str">
        <x:v>Proprietary</x:v>
      </x:c>
      <x:c r="G2271" s="2" t="str">
        <x:v>Small (&lt;100 beds)</x:v>
      </x:c>
      <x:c r="H2271" s="7"/>
      <x:c r="I2271" s="7"/>
      <x:c r="J2271" s="7"/>
      <x:c r="K2271" s="8" t="n">
        <x:v>16</x:v>
      </x:c>
      <x:c r="L2271" s="8" t="n">
        <x:v>338</x:v>
      </x:c>
      <x:c r="M2271" s="9" t="n">
        <x:v>0.949965847</x:v>
      </x:c>
      <x:c r="N2271" s="10" t="n">
        <x:v>12990.2573964497</x:v>
      </x:c>
      <x:c r="O2271" s="9" t="n">
        <x:v>0.1236115522</x:v>
      </x:c>
      <x:c r="P2271" s="9" t="n">
        <x:v>0.5404530744</x:v>
      </x:c>
      <x:c r="Q2271" s="9" t="n">
        <x:v>0</x:v>
      </x:c>
      <x:c r="R2271" s="3" t="b">
        <x:v>0</x:v>
      </x:c>
      <x:c r="S2271" s="3" t="b">
        <x:v>0</x:v>
      </x:c>
      <x:c r="T2271" s="3" t="b">
        <x:v>0</x:v>
      </x:c>
      <x:c r="U2271" s="2" t="str">
        <x:f>IF(T2271=TRUE,"Priority review",IF(R2271=TRUE,"High cost",IF(S2271=TRUE,"Low quality","Benchmark")))</x:f>
        <x:v>Benchmark</x:v>
      </x:c>
    </x:row>
    <x:row r="2272">
      <x:c r="A2272" s="2" t="str">
        <x:v>230069</x:v>
      </x:c>
      <x:c r="B2272" s="2" t="str">
        <x:v>TRINITY HEALTH LIVINGSTON HOSPITAL</x:v>
      </x:c>
      <x:c r="C2272" s="2" t="str">
        <x:v>HOWELL</x:v>
      </x:c>
      <x:c r="D2272" s="2" t="str">
        <x:v>MI</x:v>
      </x:c>
      <x:c r="E2272" s="2" t="str">
        <x:v>Acute Care Hospitals</x:v>
      </x:c>
      <x:c r="F2272" s="2" t="str">
        <x:v>Voluntary non-profit</x:v>
      </x:c>
      <x:c r="G2272" s="2" t="str">
        <x:v>Small (&lt;100 beds)</x:v>
      </x:c>
      <x:c r="H2272" s="7" t="n">
        <x:v>4</x:v>
      </x:c>
      <x:c r="I2272" s="7" t="n">
        <x:v>4</x:v>
      </x:c>
      <x:c r="J2272" s="7" t="n">
        <x:v>0.88</x:v>
      </x:c>
      <x:c r="K2272" s="8" t="n">
        <x:v>46</x:v>
      </x:c>
      <x:c r="L2272" s="8" t="n">
        <x:v>3622</x:v>
      </x:c>
      <x:c r="M2272" s="9" t="n">
        <x:v>0.7515187612</x:v>
      </x:c>
      <x:c r="N2272" s="10" t="n">
        <x:v>55904.9828823854</x:v>
      </x:c>
      <x:c r="O2272" s="9" t="n">
        <x:v>0.1685769207</x:v>
      </x:c>
      <x:c r="P2272" s="9" t="n">
        <x:v>0.5403949731</x:v>
      </x:c>
      <x:c r="Q2272" s="9" t="n">
        <x:v>0.3913824057</x:v>
      </x:c>
      <x:c r="R2272" s="3" t="b">
        <x:v>0</x:v>
      </x:c>
      <x:c r="S2272" s="3" t="b">
        <x:v>0</x:v>
      </x:c>
      <x:c r="T2272" s="3" t="b">
        <x:v>0</x:v>
      </x:c>
      <x:c r="U2272" s="2" t="str">
        <x:f>IF(T2272=TRUE,"Priority review",IF(R2272=TRUE,"High cost",IF(S2272=TRUE,"Low quality","Benchmark")))</x:f>
        <x:v>Benchmark</x:v>
      </x:c>
    </x:row>
    <x:row r="2273">
      <x:c r="A2273" s="2" t="str">
        <x:v>420087</x:v>
      </x:c>
      <x:c r="B2273" s="2" t="str">
        <x:v>ROPER HOSPITAL</x:v>
      </x:c>
      <x:c r="C2273" s="2" t="str">
        <x:v>CHARLESTON</x:v>
      </x:c>
      <x:c r="D2273" s="2" t="str">
        <x:v>SC</x:v>
      </x:c>
      <x:c r="E2273" s="2" t="str">
        <x:v>Acute Care Hospitals</x:v>
      </x:c>
      <x:c r="F2273" s="2" t="str">
        <x:v>Voluntary non-profit</x:v>
      </x:c>
      <x:c r="G2273" s="2" t="str">
        <x:v>Medium (100-299 beds)</x:v>
      </x:c>
      <x:c r="H2273" s="7" t="n">
        <x:v>4</x:v>
      </x:c>
      <x:c r="I2273" s="7" t="n">
        <x:v>4</x:v>
      </x:c>
      <x:c r="J2273" s="7" t="n">
        <x:v>1.02</x:v>
      </x:c>
      <x:c r="K2273" s="8" t="n">
        <x:v>248</x:v>
      </x:c>
      <x:c r="L2273" s="8" t="n">
        <x:v>12987</x:v>
      </x:c>
      <x:c r="M2273" s="9" t="n">
        <x:v>0.7242420236</x:v>
      </x:c>
      <x:c r="N2273" s="10" t="n">
        <x:v>35682.7976437976</x:v>
      </x:c>
      <x:c r="O2273" s="9" t="n">
        <x:v>0.067804149</x:v>
      </x:c>
      <x:c r="P2273" s="9" t="n">
        <x:v>0.5403422983</x:v>
      </x:c>
      <x:c r="Q2273" s="9" t="n">
        <x:v>0.6022819886</x:v>
      </x:c>
      <x:c r="R2273" s="3" t="b">
        <x:v>0</x:v>
      </x:c>
      <x:c r="S2273" s="3" t="b">
        <x:v>0</x:v>
      </x:c>
      <x:c r="T2273" s="3" t="b">
        <x:v>0</x:v>
      </x:c>
      <x:c r="U2273" s="2" t="str">
        <x:f>IF(T2273=TRUE,"Priority review",IF(R2273=TRUE,"High cost",IF(S2273=TRUE,"Low quality","Benchmark")))</x:f>
        <x:v>Benchmark</x:v>
      </x:c>
    </x:row>
    <x:row r="2274">
      <x:c r="A2274" s="2" t="str">
        <x:v>231325</x:v>
      </x:c>
      <x:c r="B2274" s="2" t="str">
        <x:v>MYMICHIGAN MEDICAL CENTER GLADWIN</x:v>
      </x:c>
      <x:c r="C2274" s="2" t="str">
        <x:v>GLADWIN</x:v>
      </x:c>
      <x:c r="D2274" s="2" t="str">
        <x:v>MI</x:v>
      </x:c>
      <x:c r="E2274" s="2" t="str">
        <x:v>Critical Access Hospitals</x:v>
      </x:c>
      <x:c r="F2274" s="2" t="str">
        <x:v>Voluntary non-profit</x:v>
      </x:c>
      <x:c r="G2274" s="2" t="str">
        <x:v>Small (&lt;100 beds)</x:v>
      </x:c>
      <x:c r="H2274" s="7"/>
      <x:c r="I2274" s="7" t="n">
        <x:v>5</x:v>
      </x:c>
      <x:c r="J2274" s="7"/>
      <x:c r="K2274" s="8" t="n">
        <x:v>25</x:v>
      </x:c>
      <x:c r="L2274" s="8" t="n">
        <x:v>368</x:v>
      </x:c>
      <x:c r="M2274" s="9" t="n">
        <x:v>0.1712876712</x:v>
      </x:c>
      <x:c r="N2274" s="10" t="n">
        <x:v>138336.4809782609</x:v>
      </x:c>
      <x:c r="O2274" s="9" t="n">
        <x:v>0.1442911629</x:v>
      </x:c>
      <x:c r="P2274" s="9" t="n">
        <x:v>0.5397769517</x:v>
      </x:c>
      <x:c r="Q2274" s="9" t="n">
        <x:v>0.292936803</x:v>
      </x:c>
      <x:c r="R2274" s="3" t="b">
        <x:v>0</x:v>
      </x:c>
      <x:c r="S2274" s="3" t="b">
        <x:v>0</x:v>
      </x:c>
      <x:c r="T2274" s="3" t="b">
        <x:v>0</x:v>
      </x:c>
      <x:c r="U2274" s="2" t="str">
        <x:f>IF(T2274=TRUE,"Priority review",IF(R2274=TRUE,"High cost",IF(S2274=TRUE,"Low quality","Benchmark")))</x:f>
        <x:v>Benchmark</x:v>
      </x:c>
    </x:row>
    <x:row r="2275">
      <x:c r="A2275" s="2" t="str">
        <x:v>050030</x:v>
      </x:c>
      <x:c r="B2275" s="2" t="str">
        <x:v>OROVILLE HOSPITAL</x:v>
      </x:c>
      <x:c r="C2275" s="2" t="str">
        <x:v>OROVILLE</x:v>
      </x:c>
      <x:c r="D2275" s="2" t="str">
        <x:v>CA</x:v>
      </x:c>
      <x:c r="E2275" s="2" t="str">
        <x:v>Acute Care Hospitals</x:v>
      </x:c>
      <x:c r="F2275" s="2" t="str">
        <x:v>Voluntary non-profit</x:v>
      </x:c>
      <x:c r="G2275" s="2" t="str">
        <x:v>Medium (100-299 beds)</x:v>
      </x:c>
      <x:c r="H2275" s="7" t="n">
        <x:v>1</x:v>
      </x:c>
      <x:c r="I2275" s="7" t="n">
        <x:v>4</x:v>
      </x:c>
      <x:c r="J2275" s="7" t="n">
        <x:v>0.88</x:v>
      </x:c>
      <x:c r="K2275" s="8" t="n">
        <x:v>153</x:v>
      </x:c>
      <x:c r="L2275" s="8" t="n">
        <x:v>11475</x:v>
      </x:c>
      <x:c r="M2275" s="9" t="n">
        <x:v>0.821351779</x:v>
      </x:c>
      <x:c r="N2275" s="10" t="n">
        <x:v>35657.1010021786</x:v>
      </x:c>
      <x:c r="O2275" s="9" t="n">
        <x:v>-0.0100124909</x:v>
      </x:c>
      <x:c r="P2275" s="9" t="n">
        <x:v>0.5395273024</x:v>
      </x:c>
      <x:c r="Q2275" s="9" t="n">
        <x:v>0</x:v>
      </x:c>
      <x:c r="R2275" s="3" t="b">
        <x:v>0</x:v>
      </x:c>
      <x:c r="S2275" s="3" t="b">
        <x:v>1</x:v>
      </x:c>
      <x:c r="T2275" s="3" t="b">
        <x:v>0</x:v>
      </x:c>
      <x:c r="U2275" s="2" t="str">
        <x:f>IF(T2275=TRUE,"Priority review",IF(R2275=TRUE,"High cost",IF(S2275=TRUE,"Low quality","Benchmark")))</x:f>
        <x:v>Low quality</x:v>
      </x:c>
    </x:row>
    <x:row r="2276">
      <x:c r="A2276" s="2" t="str">
        <x:v>170204</x:v>
      </x:c>
      <x:c r="B2276" s="2" t="str">
        <x:v>ROCK REGIONAL HOSPITAL, LLC</x:v>
      </x:c>
      <x:c r="C2276" s="2" t="str">
        <x:v>DERBY</x:v>
      </x:c>
      <x:c r="D2276" s="2" t="str">
        <x:v>KS</x:v>
      </x:c>
      <x:c r="E2276" s="2" t="str">
        <x:v>Acute Care Hospitals</x:v>
      </x:c>
      <x:c r="F2276" s="2" t="str">
        <x:v>Proprietary</x:v>
      </x:c>
      <x:c r="G2276" s="2" t="str">
        <x:v>Small (&lt;100 beds)</x:v>
      </x:c>
      <x:c r="H2276" s="7" t="n">
        <x:v>4</x:v>
      </x:c>
      <x:c r="I2276" s="7" t="n">
        <x:v>4</x:v>
      </x:c>
      <x:c r="J2276" s="7" t="n">
        <x:v>0.98</x:v>
      </x:c>
      <x:c r="K2276" s="8" t="n">
        <x:v>31</x:v>
      </x:c>
      <x:c r="L2276" s="8" t="n">
        <x:v>659</x:v>
      </x:c>
      <x:c r="M2276" s="9" t="n">
        <x:v>0.1718667372</x:v>
      </x:c>
      <x:c r="N2276" s="10" t="n">
        <x:v>55828.746585736</x:v>
      </x:c>
      <x:c r="O2276" s="9" t="n">
        <x:v>-0.830407724</x:v>
      </x:c>
      <x:c r="P2276" s="9" t="n">
        <x:v>0.539497307</x:v>
      </x:c>
      <x:c r="Q2276" s="9" t="n">
        <x:v>0.3913824057</x:v>
      </x:c>
      <x:c r="R2276" s="3" t="b">
        <x:v>0</x:v>
      </x:c>
      <x:c r="S2276" s="3" t="b">
        <x:v>0</x:v>
      </x:c>
      <x:c r="T2276" s="3" t="b">
        <x:v>0</x:v>
      </x:c>
      <x:c r="U2276" s="2" t="str">
        <x:f>IF(T2276=TRUE,"Priority review",IF(R2276=TRUE,"High cost",IF(S2276=TRUE,"Low quality","Benchmark")))</x:f>
        <x:v>Benchmark</x:v>
      </x:c>
    </x:row>
    <x:row r="2277">
      <x:c r="A2277" s="2" t="str">
        <x:v>050169</x:v>
      </x:c>
      <x:c r="B2277" s="2" t="str">
        <x:v>PIH HEALTH HOSPITAL-WHITTIER</x:v>
      </x:c>
      <x:c r="C2277" s="2" t="str">
        <x:v>WHITTIER</x:v>
      </x:c>
      <x:c r="D2277" s="2" t="str">
        <x:v>CA</x:v>
      </x:c>
      <x:c r="E2277" s="2" t="str">
        <x:v>Acute Care Hospitals</x:v>
      </x:c>
      <x:c r="F2277" s="2" t="str">
        <x:v>Voluntary non-profit</x:v>
      </x:c>
      <x:c r="G2277" s="2" t="str">
        <x:v>Large (300+ beds)</x:v>
      </x:c>
      <x:c r="H2277" s="7" t="n">
        <x:v>4</x:v>
      </x:c>
      <x:c r="I2277" s="7" t="n">
        <x:v>4</x:v>
      </x:c>
      <x:c r="J2277" s="7" t="n">
        <x:v>0.96</x:v>
      </x:c>
      <x:c r="K2277" s="8" t="n">
        <x:v>405</x:v>
      </x:c>
      <x:c r="L2277" s="8" t="n">
        <x:v>21548</x:v>
      </x:c>
      <x:c r="M2277" s="9" t="n">
        <x:v>0.6273966134</x:v>
      </x:c>
      <x:c r="N2277" s="10" t="n">
        <x:v>40626.9948951179</x:v>
      </x:c>
      <x:c r="O2277" s="9" t="n">
        <x:v>-0.0468009131</x:v>
      </x:c>
      <x:c r="P2277" s="9" t="n">
        <x:v>0.5394321767</x:v>
      </x:c>
      <x:c r="Q2277" s="9" t="n">
        <x:v>0.5899053628</x:v>
      </x:c>
      <x:c r="R2277" s="3" t="b">
        <x:v>0</x:v>
      </x:c>
      <x:c r="S2277" s="3" t="b">
        <x:v>0</x:v>
      </x:c>
      <x:c r="T2277" s="3" t="b">
        <x:v>0</x:v>
      </x:c>
      <x:c r="U2277" s="2" t="str">
        <x:f>IF(T2277=TRUE,"Priority review",IF(R2277=TRUE,"High cost",IF(S2277=TRUE,"Low quality","Benchmark")))</x:f>
        <x:v>Benchmark</x:v>
      </x:c>
    </x:row>
    <x:row r="2278">
      <x:c r="A2278" s="2" t="str">
        <x:v>521333</x:v>
      </x:c>
      <x:c r="B2278" s="2" t="str">
        <x:v>BLACK RIVER MEMORIAL HOSPITAL</x:v>
      </x:c>
      <x:c r="C2278" s="2" t="str">
        <x:v>BLACK RIVER FALLS</x:v>
      </x:c>
      <x:c r="D2278" s="2" t="str">
        <x:v>WI</x:v>
      </x:c>
      <x:c r="E2278" s="2" t="str">
        <x:v>Critical Access Hospitals</x:v>
      </x:c>
      <x:c r="F2278" s="2" t="str">
        <x:v>Voluntary non-profit</x:v>
      </x:c>
      <x:c r="G2278" s="2" t="str">
        <x:v>Small (&lt;100 beds)</x:v>
      </x:c>
      <x:c r="H2278" s="7"/>
      <x:c r="I2278" s="7"/>
      <x:c r="J2278" s="7"/>
      <x:c r="K2278" s="8" t="n">
        <x:v>25</x:v>
      </x:c>
      <x:c r="L2278" s="8" t="n">
        <x:v>451</x:v>
      </x:c>
      <x:c r="M2278" s="9" t="n">
        <x:v>0.341420765</x:v>
      </x:c>
      <x:c r="N2278" s="10" t="n">
        <x:v>138153.6718403548</x:v>
      </x:c>
      <x:c r="O2278" s="9" t="n">
        <x:v>0.0614393795</x:v>
      </x:c>
      <x:c r="P2278" s="9" t="n">
        <x:v>0.5390334572</x:v>
      </x:c>
      <x:c r="Q2278" s="9" t="n">
        <x:v>0.292936803</x:v>
      </x:c>
      <x:c r="R2278" s="3" t="b">
        <x:v>0</x:v>
      </x:c>
      <x:c r="S2278" s="3" t="b">
        <x:v>0</x:v>
      </x:c>
      <x:c r="T2278" s="3" t="b">
        <x:v>0</x:v>
      </x:c>
      <x:c r="U2278" s="2" t="str">
        <x:f>IF(T2278=TRUE,"Priority review",IF(R2278=TRUE,"High cost",IF(S2278=TRUE,"Low quality","Benchmark")))</x:f>
        <x:v>Benchmark</x:v>
      </x:c>
    </x:row>
    <x:row r="2279">
      <x:c r="A2279" s="2" t="str">
        <x:v>260068</x:v>
      </x:c>
      <x:c r="B2279" s="2" t="str">
        <x:v>BOONE HOSPITAL CENTER</x:v>
      </x:c>
      <x:c r="C2279" s="2" t="str">
        <x:v>COLUMBIA</x:v>
      </x:c>
      <x:c r="D2279" s="2" t="str">
        <x:v>MO</x:v>
      </x:c>
      <x:c r="E2279" s="2" t="str">
        <x:v>Acute Care Hospitals</x:v>
      </x:c>
      <x:c r="F2279" s="2" t="str">
        <x:v>Voluntary non-profit</x:v>
      </x:c>
      <x:c r="G2279" s="2" t="str">
        <x:v>Medium (100-299 beds)</x:v>
      </x:c>
      <x:c r="H2279" s="7" t="n">
        <x:v>4</x:v>
      </x:c>
      <x:c r="I2279" s="7" t="n">
        <x:v>3</x:v>
      </x:c>
      <x:c r="J2279" s="7" t="n">
        <x:v>1</x:v>
      </x:c>
      <x:c r="K2279" s="8" t="n">
        <x:v>270</x:v>
      </x:c>
      <x:c r="L2279" s="8" t="n">
        <x:v>13105</x:v>
      </x:c>
      <x:c r="M2279" s="9" t="n">
        <x:v>0.5783141065</x:v>
      </x:c>
      <x:c r="N2279" s="10" t="n">
        <x:v>35584.1559710034</x:v>
      </x:c>
      <x:c r="O2279" s="9" t="n">
        <x:v>-0.0915085757</x:v>
      </x:c>
      <x:c r="P2279" s="9" t="n">
        <x:v>0.5387123064</x:v>
      </x:c>
      <x:c r="Q2279" s="9" t="n">
        <x:v>0.6022819886</x:v>
      </x:c>
      <x:c r="R2279" s="3" t="b">
        <x:v>0</x:v>
      </x:c>
      <x:c r="S2279" s="3" t="b">
        <x:v>0</x:v>
      </x:c>
      <x:c r="T2279" s="3" t="b">
        <x:v>0</x:v>
      </x:c>
      <x:c r="U2279" s="2" t="str">
        <x:f>IF(T2279=TRUE,"Priority review",IF(R2279=TRUE,"High cost",IF(S2279=TRUE,"Low quality","Benchmark")))</x:f>
        <x:v>Benchmark</x:v>
      </x:c>
    </x:row>
    <x:row r="2280">
      <x:c r="A2280" s="2" t="str">
        <x:v>180024</x:v>
      </x:c>
      <x:c r="B2280" s="2" t="str">
        <x:v>SPRING VIEW HOSPITAL</x:v>
      </x:c>
      <x:c r="C2280" s="2" t="str">
        <x:v>LEBANON</x:v>
      </x:c>
      <x:c r="D2280" s="2" t="str">
        <x:v>KY</x:v>
      </x:c>
      <x:c r="E2280" s="2" t="str">
        <x:v>Acute Care Hospitals</x:v>
      </x:c>
      <x:c r="F2280" s="2" t="str">
        <x:v>Proprietary</x:v>
      </x:c>
      <x:c r="G2280" s="2" t="str">
        <x:v>Small (&lt;100 beds)</x:v>
      </x:c>
      <x:c r="H2280" s="7" t="n">
        <x:v>5</x:v>
      </x:c>
      <x:c r="I2280" s="7" t="n">
        <x:v>4</x:v>
      </x:c>
      <x:c r="J2280" s="7" t="n">
        <x:v>0.83</x:v>
      </x:c>
      <x:c r="K2280" s="8" t="n">
        <x:v>63</x:v>
      </x:c>
      <x:c r="L2280" s="8" t="n">
        <x:v>966</x:v>
      </x:c>
      <x:c r="M2280" s="9" t="n">
        <x:v>0.1337063058</x:v>
      </x:c>
      <x:c r="N2280" s="10" t="n">
        <x:v>55815.5227743271</x:v>
      </x:c>
      <x:c r="O2280" s="9" t="n">
        <x:v>0.0476028179</x:v>
      </x:c>
      <x:c r="P2280" s="9" t="n">
        <x:v>0.5385996409</x:v>
      </x:c>
      <x:c r="Q2280" s="9" t="n">
        <x:v>0.6131059246</x:v>
      </x:c>
      <x:c r="R2280" s="3" t="b">
        <x:v>0</x:v>
      </x:c>
      <x:c r="S2280" s="3" t="b">
        <x:v>0</x:v>
      </x:c>
      <x:c r="T2280" s="3" t="b">
        <x:v>0</x:v>
      </x:c>
      <x:c r="U2280" s="2" t="str">
        <x:f>IF(T2280=TRUE,"Priority review",IF(R2280=TRUE,"High cost",IF(S2280=TRUE,"Low quality","Benchmark")))</x:f>
        <x:v>Benchmark</x:v>
      </x:c>
    </x:row>
    <x:row r="2281">
      <x:c r="A2281" s="2" t="str">
        <x:v>301303</x:v>
      </x:c>
      <x:c r="B2281" s="2" t="str">
        <x:v>WEEKS MEDICAL CENTER</x:v>
      </x:c>
      <x:c r="C2281" s="2" t="str">
        <x:v>LANCASTER</x:v>
      </x:c>
      <x:c r="D2281" s="2" t="str">
        <x:v>NH</x:v>
      </x:c>
      <x:c r="E2281" s="2" t="str">
        <x:v>Critical Access Hospitals</x:v>
      </x:c>
      <x:c r="F2281" s="2" t="str">
        <x:v>Voluntary non-profit</x:v>
      </x:c>
      <x:c r="G2281" s="2" t="str">
        <x:v>Small (&lt;100 beds)</x:v>
      </x:c>
      <x:c r="H2281" s="7"/>
      <x:c r="I2281" s="7"/>
      <x:c r="J2281" s="7"/>
      <x:c r="K2281" s="8" t="n">
        <x:v>25</x:v>
      </x:c>
      <x:c r="L2281" s="8" t="n">
        <x:v>602</x:v>
      </x:c>
      <x:c r="M2281" s="9" t="n">
        <x:v>0.3324590164</x:v>
      </x:c>
      <x:c r="N2281" s="10" t="n">
        <x:v>137914.1594684385</x:v>
      </x:c>
      <x:c r="O2281" s="9" t="n">
        <x:v>-0.07635067</x:v>
      </x:c>
      <x:c r="P2281" s="9" t="n">
        <x:v>0.5382899628</x:v>
      </x:c>
      <x:c r="Q2281" s="9" t="n">
        <x:v>0.292936803</x:v>
      </x:c>
      <x:c r="R2281" s="3" t="b">
        <x:v>0</x:v>
      </x:c>
      <x:c r="S2281" s="3" t="b">
        <x:v>0</x:v>
      </x:c>
      <x:c r="T2281" s="3" t="b">
        <x:v>0</x:v>
      </x:c>
      <x:c r="U2281" s="2" t="str">
        <x:f>IF(T2281=TRUE,"Priority review",IF(R2281=TRUE,"High cost",IF(S2281=TRUE,"Low quality","Benchmark")))</x:f>
        <x:v>Benchmark</x:v>
      </x:c>
    </x:row>
    <x:row r="2282">
      <x:c r="A2282" s="2" t="str">
        <x:v>310083</x:v>
      </x:c>
      <x:c r="B2282" s="2" t="str">
        <x:v>CAREWELL HEALTH MEDICAL CENTER</x:v>
      </x:c>
      <x:c r="C2282" s="2" t="str">
        <x:v>EAST ORANGE</x:v>
      </x:c>
      <x:c r="D2282" s="2" t="str">
        <x:v>NJ</x:v>
      </x:c>
      <x:c r="E2282" s="2" t="str">
        <x:v>Acute Care Hospitals</x:v>
      </x:c>
      <x:c r="F2282" s="2" t="str">
        <x:v>Proprietary</x:v>
      </x:c>
      <x:c r="G2282" s="2" t="str">
        <x:v>Medium (100-299 beds)</x:v>
      </x:c>
      <x:c r="H2282" s="7" t="n">
        <x:v>1</x:v>
      </x:c>
      <x:c r="I2282" s="7" t="n">
        <x:v>1</x:v>
      </x:c>
      <x:c r="J2282" s="7" t="n">
        <x:v>1.29</x:v>
      </x:c>
      <x:c r="K2282" s="8" t="n">
        <x:v>157</x:v>
      </x:c>
      <x:c r="L2282" s="8" t="n">
        <x:v>3273</x:v>
      </x:c>
      <x:c r="M2282" s="9" t="n">
        <x:v>0.2568131983</x:v>
      </x:c>
      <x:c r="N2282" s="10" t="n">
        <x:v>35581.3348609838</x:v>
      </x:c>
      <x:c r="O2282" s="9" t="n">
        <x:v>-0.2897991636</x:v>
      </x:c>
      <x:c r="P2282" s="9" t="n">
        <x:v>0.5378973105</x:v>
      </x:c>
      <x:c r="Q2282" s="9" t="n">
        <x:v>0</x:v>
      </x:c>
      <x:c r="R2282" s="3" t="b">
        <x:v>0</x:v>
      </x:c>
      <x:c r="S2282" s="3" t="b">
        <x:v>1</x:v>
      </x:c>
      <x:c r="T2282" s="3" t="b">
        <x:v>0</x:v>
      </x:c>
      <x:c r="U2282" s="2" t="str">
        <x:f>IF(T2282=TRUE,"Priority review",IF(R2282=TRUE,"High cost",IF(S2282=TRUE,"Low quality","Benchmark")))</x:f>
        <x:v>Low quality</x:v>
      </x:c>
    </x:row>
    <x:row r="2283">
      <x:c r="A2283" s="2" t="str">
        <x:v>500108</x:v>
      </x:c>
      <x:c r="B2283" s="2" t="str">
        <x:v>ST JOSEPH MEDICAL CENTER</x:v>
      </x:c>
      <x:c r="C2283" s="2" t="str">
        <x:v>TACOMA</x:v>
      </x:c>
      <x:c r="D2283" s="2" t="str">
        <x:v>WA</x:v>
      </x:c>
      <x:c r="E2283" s="2" t="str">
        <x:v>Acute Care Hospitals</x:v>
      </x:c>
      <x:c r="F2283" s="2" t="str">
        <x:v>Voluntary non-profit</x:v>
      </x:c>
      <x:c r="G2283" s="2" t="str">
        <x:v>Large (300+ beds)</x:v>
      </x:c>
      <x:c r="H2283" s="7" t="n">
        <x:v>3</x:v>
      </x:c>
      <x:c r="I2283" s="7" t="n">
        <x:v>3</x:v>
      </x:c>
      <x:c r="J2283" s="7" t="n">
        <x:v>0.97</x:v>
      </x:c>
      <x:c r="K2283" s="8" t="n">
        <x:v>360</x:v>
      </x:c>
      <x:c r="L2283" s="8" t="n">
        <x:v>22336</x:v>
      </x:c>
      <x:c r="M2283" s="9" t="n">
        <x:v>1.0111719939</x:v>
      </x:c>
      <x:c r="N2283" s="10" t="n">
        <x:v>40617.9676755014</x:v>
      </x:c>
      <x:c r="O2283" s="9" t="n">
        <x:v>-0.0432500603</x:v>
      </x:c>
      <x:c r="P2283" s="9" t="n">
        <x:v>0.5378548896</x:v>
      </x:c>
      <x:c r="Q2283" s="9" t="n">
        <x:v>0.2570977918</x:v>
      </x:c>
      <x:c r="R2283" s="3" t="b">
        <x:v>0</x:v>
      </x:c>
      <x:c r="S2283" s="3" t="b">
        <x:v>0</x:v>
      </x:c>
      <x:c r="T2283" s="3" t="b">
        <x:v>0</x:v>
      </x:c>
      <x:c r="U2283" s="2" t="str">
        <x:f>IF(T2283=TRUE,"Priority review",IF(R2283=TRUE,"High cost",IF(S2283=TRUE,"Low quality","Benchmark")))</x:f>
        <x:v>Benchmark</x:v>
      </x:c>
    </x:row>
    <x:row r="2284">
      <x:c r="A2284" s="2" t="str">
        <x:v>190167</x:v>
      </x:c>
      <x:c r="B2284" s="2" t="str">
        <x:v>MERCY REGIONAL MEDICAL CENTER</x:v>
      </x:c>
      <x:c r="C2284" s="2" t="str">
        <x:v>VILLE PLATTE</x:v>
      </x:c>
      <x:c r="D2284" s="2" t="str">
        <x:v>LA</x:v>
      </x:c>
      <x:c r="E2284" s="2" t="str">
        <x:v>Acute Care Hospitals</x:v>
      </x:c>
      <x:c r="F2284" s="2" t="str">
        <x:v>Proprietary</x:v>
      </x:c>
      <x:c r="G2284" s="2" t="str">
        <x:v>Small (&lt;100 beds)</x:v>
      </x:c>
      <x:c r="H2284" s="7" t="n">
        <x:v>3</x:v>
      </x:c>
      <x:c r="I2284" s="7"/>
      <x:c r="J2284" s="7" t="n">
        <x:v>1.18</x:v>
      </x:c>
      <x:c r="K2284" s="8" t="n">
        <x:v>27</x:v>
      </x:c>
      <x:c r="L2284" s="8" t="n">
        <x:v>860</x:v>
      </x:c>
      <x:c r="M2284" s="9" t="n">
        <x:v>0.3548876746</x:v>
      </x:c>
      <x:c r="N2284" s="10" t="n">
        <x:v>55770.7651162791</x:v>
      </x:c>
      <x:c r="O2284" s="9" t="n">
        <x:v>-0.3866298856</x:v>
      </x:c>
      <x:c r="P2284" s="9" t="n">
        <x:v>0.5377019749</x:v>
      </x:c>
      <x:c r="Q2284" s="9" t="n">
        <x:v>0.1687612208</x:v>
      </x:c>
      <x:c r="R2284" s="3" t="b">
        <x:v>0</x:v>
      </x:c>
      <x:c r="S2284" s="3" t="b">
        <x:v>0</x:v>
      </x:c>
      <x:c r="T2284" s="3" t="b">
        <x:v>0</x:v>
      </x:c>
      <x:c r="U2284" s="2" t="str">
        <x:f>IF(T2284=TRUE,"Priority review",IF(R2284=TRUE,"High cost",IF(S2284=TRUE,"Low quality","Benchmark")))</x:f>
        <x:v>Benchmark</x:v>
      </x:c>
    </x:row>
    <x:row r="2285">
      <x:c r="A2285" s="2" t="str">
        <x:v>061323</x:v>
      </x:c>
      <x:c r="B2285" s="2" t="str">
        <x:v>PROWERS MEDICAL CENTER</x:v>
      </x:c>
      <x:c r="C2285" s="2" t="str">
        <x:v>LAMAR</x:v>
      </x:c>
      <x:c r="D2285" s="2" t="str">
        <x:v>CO</x:v>
      </x:c>
      <x:c r="E2285" s="2" t="str">
        <x:v>Critical Access Hospitals</x:v>
      </x:c>
      <x:c r="F2285" s="2" t="str">
        <x:v>Government</x:v>
      </x:c>
      <x:c r="G2285" s="2" t="str">
        <x:v>Small (&lt;100 beds)</x:v>
      </x:c>
      <x:c r="H2285" s="7"/>
      <x:c r="I2285" s="7"/>
      <x:c r="J2285" s="7"/>
      <x:c r="K2285" s="8" t="n">
        <x:v>23</x:v>
      </x:c>
      <x:c r="L2285" s="8" t="n">
        <x:v>355</x:v>
      </x:c>
      <x:c r="M2285" s="9" t="n">
        <x:v>0.1966025184</x:v>
      </x:c>
      <x:c r="N2285" s="10" t="n">
        <x:v>137889.9830985916</x:v>
      </x:c>
      <x:c r="O2285" s="9" t="n">
        <x:v>-0.0533829554</x:v>
      </x:c>
      <x:c r="P2285" s="9" t="n">
        <x:v>0.5375464684</x:v>
      </x:c>
      <x:c r="Q2285" s="9" t="n">
        <x:v>0.292936803</x:v>
      </x:c>
      <x:c r="R2285" s="3" t="b">
        <x:v>0</x:v>
      </x:c>
      <x:c r="S2285" s="3" t="b">
        <x:v>0</x:v>
      </x:c>
      <x:c r="T2285" s="3" t="b">
        <x:v>0</x:v>
      </x:c>
      <x:c r="U2285" s="2" t="str">
        <x:f>IF(T2285=TRUE,"Priority review",IF(R2285=TRUE,"High cost",IF(S2285=TRUE,"Low quality","Benchmark")))</x:f>
        <x:v>Benchmark</x:v>
      </x:c>
    </x:row>
    <x:row r="2286">
      <x:c r="A2286" s="2" t="str">
        <x:v>144026</x:v>
      </x:c>
      <x:c r="B2286" s="2" t="str">
        <x:v>HARTGROVE HOSPITAL</x:v>
      </x:c>
      <x:c r="C2286" s="2" t="str">
        <x:v>CHICAGO</x:v>
      </x:c>
      <x:c r="D2286" s="2" t="str">
        <x:v>IL</x:v>
      </x:c>
      <x:c r="E2286" s="2" t="str">
        <x:v>Psychiatric</x:v>
      </x:c>
      <x:c r="F2286" s="2" t="str">
        <x:v>Proprietary</x:v>
      </x:c>
      <x:c r="G2286" s="2" t="str">
        <x:v>Medium (100-299 beds)</x:v>
      </x:c>
      <x:c r="H2286" s="7"/>
      <x:c r="I2286" s="7"/>
      <x:c r="J2286" s="7"/>
      <x:c r="K2286" s="8" t="n">
        <x:v>160</x:v>
      </x:c>
      <x:c r="L2286" s="8" t="n">
        <x:v>3996</x:v>
      </x:c>
      <x:c r="M2286" s="9" t="n">
        <x:v>0.8633709016</x:v>
      </x:c>
      <x:c r="N2286" s="10" t="n">
        <x:v>12779.002002002</x:v>
      </x:c>
      <x:c r="O2286" s="9" t="n">
        <x:v>0.3122709161</x:v>
      </x:c>
      <x:c r="P2286" s="9" t="n">
        <x:v>0.5373134328</x:v>
      </x:c>
      <x:c r="Q2286" s="9" t="n">
        <x:v>0</x:v>
      </x:c>
      <x:c r="R2286" s="3" t="b">
        <x:v>0</x:v>
      </x:c>
      <x:c r="S2286" s="3" t="b">
        <x:v>0</x:v>
      </x:c>
      <x:c r="T2286" s="3" t="b">
        <x:v>0</x:v>
      </x:c>
      <x:c r="U2286" s="2" t="str">
        <x:f>IF(T2286=TRUE,"Priority review",IF(R2286=TRUE,"High cost",IF(S2286=TRUE,"Low quality","Benchmark")))</x:f>
        <x:v>Benchmark</x:v>
      </x:c>
    </x:row>
    <x:row r="2287">
      <x:c r="A2287" s="2" t="str">
        <x:v>454114</x:v>
      </x:c>
      <x:c r="B2287" s="2" t="str">
        <x:v>CEDAR CREST HOSPITAL &amp; RTC</x:v>
      </x:c>
      <x:c r="C2287" s="2" t="str">
        <x:v>BELTON</x:v>
      </x:c>
      <x:c r="D2287" s="2" t="str">
        <x:v>TX</x:v>
      </x:c>
      <x:c r="E2287" s="2" t="str">
        <x:v>Psychiatric</x:v>
      </x:c>
      <x:c r="F2287" s="2" t="str">
        <x:v>Proprietary</x:v>
      </x:c>
      <x:c r="G2287" s="2" t="str">
        <x:v>Small (&lt;100 beds)</x:v>
      </x:c>
      <x:c r="H2287" s="7"/>
      <x:c r="I2287" s="7"/>
      <x:c r="J2287" s="7"/>
      <x:c r="K2287" s="8" t="n">
        <x:v>68</x:v>
      </x:c>
      <x:c r="L2287" s="8" t="n">
        <x:v>2396</x:v>
      </x:c>
      <x:c r="M2287" s="9" t="n">
        <x:v>0.743611379</x:v>
      </x:c>
      <x:c r="N2287" s="10" t="n">
        <x:v>12883.4294657763</x:v>
      </x:c>
      <x:c r="O2287" s="9" t="n">
        <x:v>0.1532550912</x:v>
      </x:c>
      <x:c r="P2287" s="9" t="n">
        <x:v>0.5372168285</x:v>
      </x:c>
      <x:c r="Q2287" s="9" t="n">
        <x:v>0</x:v>
      </x:c>
      <x:c r="R2287" s="3" t="b">
        <x:v>0</x:v>
      </x:c>
      <x:c r="S2287" s="3" t="b">
        <x:v>0</x:v>
      </x:c>
      <x:c r="T2287" s="3" t="b">
        <x:v>0</x:v>
      </x:c>
      <x:c r="U2287" s="2" t="str">
        <x:f>IF(T2287=TRUE,"Priority review",IF(R2287=TRUE,"High cost",IF(S2287=TRUE,"Low quality","Benchmark")))</x:f>
        <x:v>Benchmark</x:v>
      </x:c>
    </x:row>
    <x:row r="2288">
      <x:c r="A2288" s="2" t="str">
        <x:v>140155</x:v>
      </x:c>
      <x:c r="B2288" s="2" t="str">
        <x:v>PRESENCE ST MARYS HOSPITAL</x:v>
      </x:c>
      <x:c r="C2288" s="2" t="str">
        <x:v>KANKAKEE</x:v>
      </x:c>
      <x:c r="D2288" s="2" t="str">
        <x:v>IL</x:v>
      </x:c>
      <x:c r="E2288" s="2" t="str">
        <x:v>Acute Care Hospitals</x:v>
      </x:c>
      <x:c r="F2288" s="2" t="str">
        <x:v>Voluntary non-profit</x:v>
      </x:c>
      <x:c r="G2288" s="2" t="str">
        <x:v>Medium (100-299 beds)</x:v>
      </x:c>
      <x:c r="H2288" s="7" t="n">
        <x:v>4</x:v>
      </x:c>
      <x:c r="I2288" s="7" t="n">
        <x:v>3</x:v>
      </x:c>
      <x:c r="J2288" s="7" t="n">
        <x:v>0.97</x:v>
      </x:c>
      <x:c r="K2288" s="8" t="n">
        <x:v>169</x:v>
      </x:c>
      <x:c r="L2288" s="8" t="n">
        <x:v>3222</x:v>
      </x:c>
      <x:c r="M2288" s="9" t="n">
        <x:v>0.3216451165</x:v>
      </x:c>
      <x:c r="N2288" s="10" t="n">
        <x:v>35566.1145251397</x:v>
      </x:c>
      <x:c r="O2288" s="9" t="n">
        <x:v>-0.1165841519</x:v>
      </x:c>
      <x:c r="P2288" s="9" t="n">
        <x:v>0.5370823146</x:v>
      </x:c>
      <x:c r="Q2288" s="9" t="n">
        <x:v>0.6022819886</x:v>
      </x:c>
      <x:c r="R2288" s="3" t="b">
        <x:v>0</x:v>
      </x:c>
      <x:c r="S2288" s="3" t="b">
        <x:v>0</x:v>
      </x:c>
      <x:c r="T2288" s="3" t="b">
        <x:v>0</x:v>
      </x:c>
      <x:c r="U2288" s="2" t="str">
        <x:f>IF(T2288=TRUE,"Priority review",IF(R2288=TRUE,"High cost",IF(S2288=TRUE,"Low quality","Benchmark")))</x:f>
        <x:v>Benchmark</x:v>
      </x:c>
    </x:row>
    <x:row r="2289">
      <x:c r="A2289" s="2" t="str">
        <x:v>110050</x:v>
      </x:c>
      <x:c r="B2289" s="2" t="str">
        <x:v>ADVENTHEALTH MURRAY</x:v>
      </x:c>
      <x:c r="C2289" s="2" t="str">
        <x:v>CHATSWORTH</x:v>
      </x:c>
      <x:c r="D2289" s="2" t="str">
        <x:v>GA</x:v>
      </x:c>
      <x:c r="E2289" s="2" t="str">
        <x:v>Acute Care Hospitals</x:v>
      </x:c>
      <x:c r="F2289" s="2" t="str">
        <x:v>Voluntary non-profit</x:v>
      </x:c>
      <x:c r="G2289" s="2" t="str">
        <x:v>Small (&lt;100 beds)</x:v>
      </x:c>
      <x:c r="H2289" s="7" t="n">
        <x:v>5</x:v>
      </x:c>
      <x:c r="I2289" s="7" t="n">
        <x:v>5</x:v>
      </x:c>
      <x:c r="J2289" s="7" t="n">
        <x:v>0.78</x:v>
      </x:c>
      <x:c r="K2289" s="8" t="n">
        <x:v>29</x:v>
      </x:c>
      <x:c r="L2289" s="8" t="n">
        <x:v>771</x:v>
      </x:c>
      <x:c r="M2289" s="9" t="n">
        <x:v>0.1994535519</x:v>
      </x:c>
      <x:c r="N2289" s="10" t="n">
        <x:v>55715.8054474708</x:v>
      </x:c>
      <x:c r="O2289" s="9" t="n">
        <x:v>0.1269868003</x:v>
      </x:c>
      <x:c r="P2289" s="9" t="n">
        <x:v>0.5368043088</x:v>
      </x:c>
      <x:c r="Q2289" s="9" t="n">
        <x:v>0.6131059246</x:v>
      </x:c>
      <x:c r="R2289" s="3" t="b">
        <x:v>0</x:v>
      </x:c>
      <x:c r="S2289" s="3" t="b">
        <x:v>0</x:v>
      </x:c>
      <x:c r="T2289" s="3" t="b">
        <x:v>0</x:v>
      </x:c>
      <x:c r="U2289" s="2" t="str">
        <x:f>IF(T2289=TRUE,"Priority review",IF(R2289=TRUE,"High cost",IF(S2289=TRUE,"Low quality","Benchmark")))</x:f>
        <x:v>Benchmark</x:v>
      </x:c>
    </x:row>
    <x:row r="2290">
      <x:c r="A2290" s="2" t="str">
        <x:v>131325</x:v>
      </x:c>
      <x:c r="B2290" s="2" t="str">
        <x:v>BINGHAM MEMORIAL HOSPITAL</x:v>
      </x:c>
      <x:c r="C2290" s="2" t="str">
        <x:v>BLACKFOOT</x:v>
      </x:c>
      <x:c r="D2290" s="2" t="str">
        <x:v>ID</x:v>
      </x:c>
      <x:c r="E2290" s="2" t="str">
        <x:v>Critical Access Hospitals</x:v>
      </x:c>
      <x:c r="F2290" s="2" t="str">
        <x:v>Voluntary non-profit</x:v>
      </x:c>
      <x:c r="G2290" s="2" t="str">
        <x:v>Small (&lt;100 beds)</x:v>
      </x:c>
      <x:c r="H2290" s="7"/>
      <x:c r="I2290" s="7" t="n">
        <x:v>3</x:v>
      </x:c>
      <x:c r="J2290" s="7"/>
      <x:c r="K2290" s="8" t="n">
        <x:v>25</x:v>
      </x:c>
      <x:c r="L2290" s="8" t="n">
        <x:v>1340</x:v>
      </x:c>
      <x:c r="M2290" s="9" t="n">
        <x:v>0.4448087432</x:v>
      </x:c>
      <x:c r="N2290" s="10" t="n">
        <x:v>137848.7574626866</x:v>
      </x:c>
      <x:c r="O2290" s="9" t="n">
        <x:v>-0.02958493</x:v>
      </x:c>
      <x:c r="P2290" s="9" t="n">
        <x:v>0.536802974</x:v>
      </x:c>
      <x:c r="Q2290" s="9" t="n">
        <x:v>0.292936803</x:v>
      </x:c>
      <x:c r="R2290" s="3" t="b">
        <x:v>0</x:v>
      </x:c>
      <x:c r="S2290" s="3" t="b">
        <x:v>0</x:v>
      </x:c>
      <x:c r="T2290" s="3" t="b">
        <x:v>0</x:v>
      </x:c>
      <x:c r="U2290" s="2" t="str">
        <x:f>IF(T2290=TRUE,"Priority review",IF(R2290=TRUE,"High cost",IF(S2290=TRUE,"Low quality","Benchmark")))</x:f>
        <x:v>Benchmark</x:v>
      </x:c>
    </x:row>
    <x:row r="2291">
      <x:c r="A2291" s="2" t="str">
        <x:v>150002</x:v>
      </x:c>
      <x:c r="B2291" s="2" t="str">
        <x:v>METHODIST HOSPITALS INC</x:v>
      </x:c>
      <x:c r="C2291" s="2" t="str">
        <x:v>GARY</x:v>
      </x:c>
      <x:c r="D2291" s="2" t="str">
        <x:v>IN</x:v>
      </x:c>
      <x:c r="E2291" s="2" t="str">
        <x:v>Acute Care Hospitals</x:v>
      </x:c>
      <x:c r="F2291" s="2" t="str">
        <x:v>Voluntary non-profit</x:v>
      </x:c>
      <x:c r="G2291" s="2" t="str">
        <x:v>Large (300+ beds)</x:v>
      </x:c>
      <x:c r="H2291" s="7" t="n">
        <x:v>1</x:v>
      </x:c>
      <x:c r="I2291" s="7" t="n">
        <x:v>2</x:v>
      </x:c>
      <x:c r="J2291" s="7" t="n">
        <x:v>1.07</x:v>
      </x:c>
      <x:c r="K2291" s="8" t="n">
        <x:v>405</x:v>
      </x:c>
      <x:c r="L2291" s="8" t="n">
        <x:v>11936</x:v>
      </x:c>
      <x:c r="M2291" s="9" t="n">
        <x:v>0.4958375498</x:v>
      </x:c>
      <x:c r="N2291" s="10" t="n">
        <x:v>40562.9634718499</x:v>
      </x:c>
      <x:c r="O2291" s="9" t="n">
        <x:v>-0.1608953166</x:v>
      </x:c>
      <x:c r="P2291" s="9" t="n">
        <x:v>0.5362776025</x:v>
      </x:c>
      <x:c r="Q2291" s="9" t="n">
        <x:v>0</x:v>
      </x:c>
      <x:c r="R2291" s="3" t="b">
        <x:v>0</x:v>
      </x:c>
      <x:c r="S2291" s="3" t="b">
        <x:v>1</x:v>
      </x:c>
      <x:c r="T2291" s="3" t="b">
        <x:v>0</x:v>
      </x:c>
      <x:c r="U2291" s="2" t="str">
        <x:f>IF(T2291=TRUE,"Priority review",IF(R2291=TRUE,"High cost",IF(S2291=TRUE,"Low quality","Benchmark")))</x:f>
        <x:v>Low quality</x:v>
      </x:c>
    </x:row>
    <x:row r="2292">
      <x:c r="A2292" s="2" t="str">
        <x:v>490127</x:v>
      </x:c>
      <x:c r="B2292" s="2" t="str">
        <x:v>BUCHANAN GENERAL HOSPITAL</x:v>
      </x:c>
      <x:c r="C2292" s="2" t="str">
        <x:v>GRUNDY</x:v>
      </x:c>
      <x:c r="D2292" s="2" t="str">
        <x:v>VA</x:v>
      </x:c>
      <x:c r="E2292" s="2" t="str">
        <x:v>Acute Care Hospitals</x:v>
      </x:c>
      <x:c r="F2292" s="2" t="str">
        <x:v>Voluntary non-profit</x:v>
      </x:c>
      <x:c r="G2292" s="2" t="str">
        <x:v>Medium (100-299 beds)</x:v>
      </x:c>
      <x:c r="H2292" s="7" t="n">
        <x:v>4</x:v>
      </x:c>
      <x:c r="I2292" s="7" t="n">
        <x:v>4</x:v>
      </x:c>
      <x:c r="J2292" s="7" t="n">
        <x:v>0.88</x:v>
      </x:c>
      <x:c r="K2292" s="8" t="n">
        <x:v>111</x:v>
      </x:c>
      <x:c r="L2292" s="8" t="n">
        <x:v>914</x:v>
      </x:c>
      <x:c r="M2292" s="9" t="n">
        <x:v>0.0912748365</x:v>
      </x:c>
      <x:c r="N2292" s="10" t="n">
        <x:v>35543.5995623632</x:v>
      </x:c>
      <x:c r="O2292" s="9" t="n">
        <x:v>-0.1532993097</x:v>
      </x:c>
      <x:c r="P2292" s="9" t="n">
        <x:v>0.5362673187</x:v>
      </x:c>
      <x:c r="Q2292" s="9" t="n">
        <x:v>0.6022819886</x:v>
      </x:c>
      <x:c r="R2292" s="3" t="b">
        <x:v>0</x:v>
      </x:c>
      <x:c r="S2292" s="3" t="b">
        <x:v>0</x:v>
      </x:c>
      <x:c r="T2292" s="3" t="b">
        <x:v>0</x:v>
      </x:c>
      <x:c r="U2292" s="2" t="str">
        <x:f>IF(T2292=TRUE,"Priority review",IF(R2292=TRUE,"High cost",IF(S2292=TRUE,"Low quality","Benchmark")))</x:f>
        <x:v>Benchmark</x:v>
      </x:c>
    </x:row>
    <x:row r="2293">
      <x:c r="A2293" s="2" t="str">
        <x:v>281360</x:v>
      </x:c>
      <x:c r="B2293" s="2" t="str">
        <x:v>BOX BUTTE GENERAL HOSPITAL</x:v>
      </x:c>
      <x:c r="C2293" s="2" t="str">
        <x:v>ALLIANCE</x:v>
      </x:c>
      <x:c r="D2293" s="2" t="str">
        <x:v>NE</x:v>
      </x:c>
      <x:c r="E2293" s="2" t="str">
        <x:v>Critical Access Hospitals</x:v>
      </x:c>
      <x:c r="F2293" s="2" t="str">
        <x:v>Government</x:v>
      </x:c>
      <x:c r="G2293" s="2" t="str">
        <x:v>Small (&lt;100 beds)</x:v>
      </x:c>
      <x:c r="H2293" s="7" t="n">
        <x:v>4</x:v>
      </x:c>
      <x:c r="I2293" s="7" t="n">
        <x:v>4</x:v>
      </x:c>
      <x:c r="J2293" s="7"/>
      <x:c r="K2293" s="8" t="n">
        <x:v>25</x:v>
      </x:c>
      <x:c r="L2293" s="8" t="n">
        <x:v>542</x:v>
      </x:c>
      <x:c r="M2293" s="9" t="n">
        <x:v>0.3525479452</x:v>
      </x:c>
      <x:c r="N2293" s="10" t="n">
        <x:v>137532.8560885609</x:v>
      </x:c>
      <x:c r="O2293" s="9" t="n">
        <x:v>-0.0537279516</x:v>
      </x:c>
      <x:c r="P2293" s="9" t="n">
        <x:v>0.5360594796</x:v>
      </x:c>
      <x:c r="Q2293" s="9" t="n">
        <x:v>0.1657992565</x:v>
      </x:c>
      <x:c r="R2293" s="3" t="b">
        <x:v>0</x:v>
      </x:c>
      <x:c r="S2293" s="3" t="b">
        <x:v>0</x:v>
      </x:c>
      <x:c r="T2293" s="3" t="b">
        <x:v>0</x:v>
      </x:c>
      <x:c r="U2293" s="2" t="str">
        <x:f>IF(T2293=TRUE,"Priority review",IF(R2293=TRUE,"High cost",IF(S2293=TRUE,"Low quality","Benchmark")))</x:f>
        <x:v>Benchmark</x:v>
      </x:c>
    </x:row>
    <x:row r="2294">
      <x:c r="A2294" s="2" t="str">
        <x:v>110104</x:v>
      </x:c>
      <x:c r="B2294" s="2" t="str">
        <x:v>CRISP REGIONAL HOSPITAL</x:v>
      </x:c>
      <x:c r="C2294" s="2" t="str">
        <x:v>CORDELE</x:v>
      </x:c>
      <x:c r="D2294" s="2" t="str">
        <x:v>GA</x:v>
      </x:c>
      <x:c r="E2294" s="2" t="str">
        <x:v>Acute Care Hospitals</x:v>
      </x:c>
      <x:c r="F2294" s="2" t="str">
        <x:v>Proprietary</x:v>
      </x:c>
      <x:c r="G2294" s="2" t="str">
        <x:v>Small (&lt;100 beds)</x:v>
      </x:c>
      <x:c r="H2294" s="7" t="n">
        <x:v>2</x:v>
      </x:c>
      <x:c r="I2294" s="7" t="n">
        <x:v>3</x:v>
      </x:c>
      <x:c r="J2294" s="7" t="n">
        <x:v>0.87</x:v>
      </x:c>
      <x:c r="K2294" s="8" t="n">
        <x:v>68</x:v>
      </x:c>
      <x:c r="L2294" s="8" t="n">
        <x:v>2502</x:v>
      </x:c>
      <x:c r="M2294" s="9" t="n">
        <x:v>0.4306204674</x:v>
      </x:c>
      <x:c r="N2294" s="10" t="n">
        <x:v>55708.2849720224</x:v>
      </x:c>
      <x:c r="O2294" s="9" t="n">
        <x:v>-0.0454660683</x:v>
      </x:c>
      <x:c r="P2294" s="9" t="n">
        <x:v>0.5359066427</x:v>
      </x:c>
      <x:c r="Q2294" s="9" t="n">
        <x:v>0.0350089767</x:v>
      </x:c>
      <x:c r="R2294" s="3" t="b">
        <x:v>0</x:v>
      </x:c>
      <x:c r="S2294" s="3" t="b">
        <x:v>1</x:v>
      </x:c>
      <x:c r="T2294" s="3" t="b">
        <x:v>0</x:v>
      </x:c>
      <x:c r="U2294" s="2" t="str">
        <x:f>IF(T2294=TRUE,"Priority review",IF(R2294=TRUE,"High cost",IF(S2294=TRUE,"Low quality","Benchmark")))</x:f>
        <x:v>Low quality</x:v>
      </x:c>
    </x:row>
    <x:row r="2295">
      <x:c r="A2295" s="2" t="str">
        <x:v>290019</x:v>
      </x:c>
      <x:c r="B2295" s="2" t="str">
        <x:v>CARSON TAHOE REGIONAL MEDICAL CENTER</x:v>
      </x:c>
      <x:c r="C2295" s="2" t="str">
        <x:v>CARSON CITY</x:v>
      </x:c>
      <x:c r="D2295" s="2" t="str">
        <x:v>NV</x:v>
      </x:c>
      <x:c r="E2295" s="2" t="str">
        <x:v>Acute Care Hospitals</x:v>
      </x:c>
      <x:c r="F2295" s="2" t="str">
        <x:v>Voluntary non-profit</x:v>
      </x:c>
      <x:c r="G2295" s="2" t="str">
        <x:v>Medium (100-299 beds)</x:v>
      </x:c>
      <x:c r="H2295" s="7" t="n">
        <x:v>2</x:v>
      </x:c>
      <x:c r="I2295" s="7" t="n">
        <x:v>4</x:v>
      </x:c>
      <x:c r="J2295" s="7" t="n">
        <x:v>0.95</x:v>
      </x:c>
      <x:c r="K2295" s="8" t="n">
        <x:v>175</x:v>
      </x:c>
      <x:c r="L2295" s="8" t="n">
        <x:v>10995</x:v>
      </x:c>
      <x:c r="M2295" s="9" t="n">
        <x:v>0.7544886807</x:v>
      </x:c>
      <x:c r="N2295" s="10" t="n">
        <x:v>35535.5961800819</x:v>
      </x:c>
      <x:c r="O2295" s="9" t="n">
        <x:v>0.0719179376</x:v>
      </x:c>
      <x:c r="P2295" s="9" t="n">
        <x:v>0.5354523227</x:v>
      </x:c>
      <x:c r="Q2295" s="9" t="n">
        <x:v>0.0782396088</x:v>
      </x:c>
      <x:c r="R2295" s="3" t="b">
        <x:v>0</x:v>
      </x:c>
      <x:c r="S2295" s="3" t="b">
        <x:v>1</x:v>
      </x:c>
      <x:c r="T2295" s="3" t="b">
        <x:v>0</x:v>
      </x:c>
      <x:c r="U2295" s="2" t="str">
        <x:f>IF(T2295=TRUE,"Priority review",IF(R2295=TRUE,"High cost",IF(S2295=TRUE,"Low quality","Benchmark")))</x:f>
        <x:v>Low quality</x:v>
      </x:c>
    </x:row>
    <x:row r="2296">
      <x:c r="A2296" s="2" t="str">
        <x:v>171326</x:v>
      </x:c>
      <x:c r="B2296" s="2" t="str">
        <x:v>LOGAN COUNTY HOSPITAL</x:v>
      </x:c>
      <x:c r="C2296" s="2" t="str">
        <x:v>OAKLEY</x:v>
      </x:c>
      <x:c r="D2296" s="2" t="str">
        <x:v>KS</x:v>
      </x:c>
      <x:c r="E2296" s="2" t="str">
        <x:v>Critical Access Hospitals</x:v>
      </x:c>
      <x:c r="F2296" s="2" t="str">
        <x:v>Government</x:v>
      </x:c>
      <x:c r="G2296" s="2" t="str">
        <x:v>Small (&lt;100 beds)</x:v>
      </x:c>
      <x:c r="H2296" s="7"/>
      <x:c r="I2296" s="7"/>
      <x:c r="J2296" s="7"/>
      <x:c r="K2296" s="8" t="n">
        <x:v>25</x:v>
      </x:c>
      <x:c r="L2296" s="8" t="n">
        <x:v>120</x:v>
      </x:c>
      <x:c r="M2296" s="9" t="n">
        <x:v>0.1603278689</x:v>
      </x:c>
      <x:c r="N2296" s="10" t="n">
        <x:v>137504.5083333333</x:v>
      </x:c>
      <x:c r="O2296" s="9" t="n">
        <x:v>-0.3309935234</x:v>
      </x:c>
      <x:c r="P2296" s="9" t="n">
        <x:v>0.5353159851</x:v>
      </x:c>
      <x:c r="Q2296" s="9" t="n">
        <x:v>0.292936803</x:v>
      </x:c>
      <x:c r="R2296" s="3" t="b">
        <x:v>0</x:v>
      </x:c>
      <x:c r="S2296" s="3" t="b">
        <x:v>0</x:v>
      </x:c>
      <x:c r="T2296" s="3" t="b">
        <x:v>0</x:v>
      </x:c>
      <x:c r="U2296" s="2" t="str">
        <x:f>IF(T2296=TRUE,"Priority review",IF(R2296=TRUE,"High cost",IF(S2296=TRUE,"Low quality","Benchmark")))</x:f>
        <x:v>Benchmark</x:v>
      </x:c>
    </x:row>
    <x:row r="2297">
      <x:c r="A2297" s="2" t="str">
        <x:v>040147</x:v>
      </x:c>
      <x:c r="B2297" s="2" t="str">
        <x:v>ARKANSAS SURGICAL HOSPITAL</x:v>
      </x:c>
      <x:c r="C2297" s="2" t="str">
        <x:v>NO LITTLE ROCK</x:v>
      </x:c>
      <x:c r="D2297" s="2" t="str">
        <x:v>AR</x:v>
      </x:c>
      <x:c r="E2297" s="2" t="str">
        <x:v>Acute Care Hospitals</x:v>
      </x:c>
      <x:c r="F2297" s="2" t="str">
        <x:v>Other / unknown</x:v>
      </x:c>
      <x:c r="G2297" s="2" t="str">
        <x:v>Small (&lt;100 beds)</x:v>
      </x:c>
      <x:c r="H2297" s="7"/>
      <x:c r="I2297" s="7" t="n">
        <x:v>4</x:v>
      </x:c>
      <x:c r="J2297" s="7" t="n">
        <x:v>0.91</x:v>
      </x:c>
      <x:c r="K2297" s="8" t="n">
        <x:v>47</x:v>
      </x:c>
      <x:c r="L2297" s="8" t="n">
        <x:v>1359</x:v>
      </x:c>
      <x:c r="M2297" s="9" t="n">
        <x:v>0.1798046739</x:v>
      </x:c>
      <x:c r="N2297" s="10" t="n">
        <x:v>55653.2545989698</x:v>
      </x:c>
      <x:c r="O2297" s="9" t="n">
        <x:v>0.1767633758</x:v>
      </x:c>
      <x:c r="P2297" s="9" t="n">
        <x:v>0.5350089767</x:v>
      </x:c>
      <x:c r="Q2297" s="9" t="n">
        <x:v>0.697486535</x:v>
      </x:c>
      <x:c r="R2297" s="3" t="b">
        <x:v>0</x:v>
      </x:c>
      <x:c r="S2297" s="3" t="b">
        <x:v>0</x:v>
      </x:c>
      <x:c r="T2297" s="3" t="b">
        <x:v>0</x:v>
      </x:c>
      <x:c r="U2297" s="2" t="str">
        <x:f>IF(T2297=TRUE,"Priority review",IF(R2297=TRUE,"High cost",IF(S2297=TRUE,"Low quality","Benchmark")))</x:f>
        <x:v>Benchmark</x:v>
      </x:c>
    </x:row>
    <x:row r="2298">
      <x:c r="A2298" s="2" t="str">
        <x:v>390226</x:v>
      </x:c>
      <x:c r="B2298" s="2" t="str">
        <x:v>PENNSYLVANIA HOSPITAL</x:v>
      </x:c>
      <x:c r="C2298" s="2" t="str">
        <x:v>PHILADELPHIA</x:v>
      </x:c>
      <x:c r="D2298" s="2" t="str">
        <x:v>PA</x:v>
      </x:c>
      <x:c r="E2298" s="2" t="str">
        <x:v>Acute Care Hospitals</x:v>
      </x:c>
      <x:c r="F2298" s="2" t="str">
        <x:v>Voluntary non-profit</x:v>
      </x:c>
      <x:c r="G2298" s="2" t="str">
        <x:v>Large (300+ beds)</x:v>
      </x:c>
      <x:c r="H2298" s="7" t="n">
        <x:v>4</x:v>
      </x:c>
      <x:c r="I2298" s="7" t="n">
        <x:v>3</x:v>
      </x:c>
      <x:c r="J2298" s="7" t="n">
        <x:v>1.01</x:v>
      </x:c>
      <x:c r="K2298" s="8" t="n">
        <x:v>420</x:v>
      </x:c>
      <x:c r="L2298" s="8" t="n">
        <x:v>23451</x:v>
      </x:c>
      <x:c r="M2298" s="9" t="n">
        <x:v>0.6261513372</x:v>
      </x:c>
      <x:c r="N2298" s="10" t="n">
        <x:v>40528.4615155004</x:v>
      </x:c>
      <x:c r="O2298" s="9" t="n">
        <x:v>-0.1258324578</x:v>
      </x:c>
      <x:c r="P2298" s="9" t="n">
        <x:v>0.5347003155</x:v>
      </x:c>
      <x:c r="Q2298" s="9" t="n">
        <x:v>0.5899053628</x:v>
      </x:c>
      <x:c r="R2298" s="3" t="b">
        <x:v>0</x:v>
      </x:c>
      <x:c r="S2298" s="3" t="b">
        <x:v>0</x:v>
      </x:c>
      <x:c r="T2298" s="3" t="b">
        <x:v>0</x:v>
      </x:c>
      <x:c r="U2298" s="2" t="str">
        <x:f>IF(T2298=TRUE,"Priority review",IF(R2298=TRUE,"High cost",IF(S2298=TRUE,"Low quality","Benchmark")))</x:f>
        <x:v>Benchmark</x:v>
      </x:c>
    </x:row>
    <x:row r="2299">
      <x:c r="A2299" s="2" t="str">
        <x:v>240210</x:v>
      </x:c>
      <x:c r="B2299" s="2" t="str">
        <x:v>M HEALTH FAIRVIEW ST JOHN'S HOSPITAL</x:v>
      </x:c>
      <x:c r="C2299" s="2" t="str">
        <x:v>MAPLEWOOD</x:v>
      </x:c>
      <x:c r="D2299" s="2" t="str">
        <x:v>MN</x:v>
      </x:c>
      <x:c r="E2299" s="2" t="str">
        <x:v>Acute Care Hospitals</x:v>
      </x:c>
      <x:c r="F2299" s="2" t="str">
        <x:v>Voluntary non-profit</x:v>
      </x:c>
      <x:c r="G2299" s="2" t="str">
        <x:v>Medium (100-299 beds)</x:v>
      </x:c>
      <x:c r="H2299" s="7" t="n">
        <x:v>5</x:v>
      </x:c>
      <x:c r="I2299" s="7" t="n">
        <x:v>3</x:v>
      </x:c>
      <x:c r="J2299" s="7" t="n">
        <x:v>0.92</x:v>
      </x:c>
      <x:c r="K2299" s="8" t="n">
        <x:v>184</x:v>
      </x:c>
      <x:c r="L2299" s="8" t="n">
        <x:v>14347</x:v>
      </x:c>
      <x:c r="M2299" s="9" t="n">
        <x:v>0.9899768354</x:v>
      </x:c>
      <x:c r="N2299" s="10" t="n">
        <x:v>35515.7998884784</x:v>
      </x:c>
      <x:c r="O2299" s="9" t="n">
        <x:v>-0.0167629205</x:v>
      </x:c>
      <x:c r="P2299" s="9" t="n">
        <x:v>0.5346373268</x:v>
      </x:c>
      <x:c r="Q2299" s="9" t="n">
        <x:v>0.8744906275</x:v>
      </x:c>
      <x:c r="R2299" s="3" t="b">
        <x:v>0</x:v>
      </x:c>
      <x:c r="S2299" s="3" t="b">
        <x:v>0</x:v>
      </x:c>
      <x:c r="T2299" s="3" t="b">
        <x:v>0</x:v>
      </x:c>
      <x:c r="U2299" s="2" t="str">
        <x:f>IF(T2299=TRUE,"Priority review",IF(R2299=TRUE,"High cost",IF(S2299=TRUE,"Low quality","Benchmark")))</x:f>
        <x:v>Benchmark</x:v>
      </x:c>
    </x:row>
    <x:row r="2300">
      <x:c r="A2300" s="2" t="str">
        <x:v>451348</x:v>
      </x:c>
      <x:c r="B2300" s="2" t="str">
        <x:v>HEART OF TEXAS MEMORIAL HOSPITAL</x:v>
      </x:c>
      <x:c r="C2300" s="2" t="str">
        <x:v>BRADY</x:v>
      </x:c>
      <x:c r="D2300" s="2" t="str">
        <x:v>TX</x:v>
      </x:c>
      <x:c r="E2300" s="2" t="str">
        <x:v>Critical Access Hospitals</x:v>
      </x:c>
      <x:c r="F2300" s="2" t="str">
        <x:v>Voluntary non-profit</x:v>
      </x:c>
      <x:c r="G2300" s="2" t="str">
        <x:v>Small (&lt;100 beds)</x:v>
      </x:c>
      <x:c r="H2300" s="7"/>
      <x:c r="I2300" s="7"/>
      <x:c r="J2300" s="7"/>
      <x:c r="K2300" s="8" t="n">
        <x:v>14</x:v>
      </x:c>
      <x:c r="L2300" s="8" t="n">
        <x:v>133</x:v>
      </x:c>
      <x:c r="M2300" s="9" t="n">
        <x:v>0.1618395303</x:v>
      </x:c>
      <x:c r="N2300" s="10" t="n">
        <x:v>136585.6691729323</x:v>
      </x:c>
      <x:c r="O2300" s="9" t="n">
        <x:v>-0.3711368055</x:v>
      </x:c>
      <x:c r="P2300" s="9" t="n">
        <x:v>0.5345724907</x:v>
      </x:c>
      <x:c r="Q2300" s="9" t="n">
        <x:v>0.292936803</x:v>
      </x:c>
      <x:c r="R2300" s="3" t="b">
        <x:v>0</x:v>
      </x:c>
      <x:c r="S2300" s="3" t="b">
        <x:v>0</x:v>
      </x:c>
      <x:c r="T2300" s="3" t="b">
        <x:v>0</x:v>
      </x:c>
      <x:c r="U2300" s="2" t="str">
        <x:f>IF(T2300=TRUE,"Priority review",IF(R2300=TRUE,"High cost",IF(S2300=TRUE,"Low quality","Benchmark")))</x:f>
        <x:v>Benchmark</x:v>
      </x:c>
    </x:row>
    <x:row r="2301">
      <x:c r="A2301" s="2" t="str">
        <x:v>180004</x:v>
      </x:c>
      <x:c r="B2301" s="2" t="str">
        <x:v>OWENSBORO HEALTH MUHLENBERG COMMUNITY HOSPITAL</x:v>
      </x:c>
      <x:c r="C2301" s="2" t="str">
        <x:v>GREENVILLE</x:v>
      </x:c>
      <x:c r="D2301" s="2" t="str">
        <x:v>KY</x:v>
      </x:c>
      <x:c r="E2301" s="2" t="str">
        <x:v>Acute Care Hospitals</x:v>
      </x:c>
      <x:c r="F2301" s="2" t="str">
        <x:v>Voluntary non-profit</x:v>
      </x:c>
      <x:c r="G2301" s="2" t="str">
        <x:v>Small (&lt;100 beds)</x:v>
      </x:c>
      <x:c r="H2301" s="7" t="n">
        <x:v>4</x:v>
      </x:c>
      <x:c r="I2301" s="7" t="n">
        <x:v>4</x:v>
      </x:c>
      <x:c r="J2301" s="7" t="n">
        <x:v>0.92</x:v>
      </x:c>
      <x:c r="K2301" s="8" t="n">
        <x:v>47</x:v>
      </x:c>
      <x:c r="L2301" s="8" t="n">
        <x:v>1087</x:v>
      </x:c>
      <x:c r="M2301" s="9" t="n">
        <x:v>0.2321772078</x:v>
      </x:c>
      <x:c r="N2301" s="10" t="n">
        <x:v>55647.5087396504</x:v>
      </x:c>
      <x:c r="O2301" s="9" t="n">
        <x:v>0.0448826433</x:v>
      </x:c>
      <x:c r="P2301" s="9" t="n">
        <x:v>0.5341113106</x:v>
      </x:c>
      <x:c r="Q2301" s="9" t="n">
        <x:v>0.3913824057</x:v>
      </x:c>
      <x:c r="R2301" s="3" t="b">
        <x:v>0</x:v>
      </x:c>
      <x:c r="S2301" s="3" t="b">
        <x:v>0</x:v>
      </x:c>
      <x:c r="T2301" s="3" t="b">
        <x:v>0</x:v>
      </x:c>
      <x:c r="U2301" s="2" t="str">
        <x:f>IF(T2301=TRUE,"Priority review",IF(R2301=TRUE,"High cost",IF(S2301=TRUE,"Low quality","Benchmark")))</x:f>
        <x:v>Benchmark</x:v>
      </x:c>
    </x:row>
    <x:row r="2302">
      <x:c r="A2302" s="2" t="str">
        <x:v>104073</x:v>
      </x:c>
      <x:c r="B2302" s="2" t="str">
        <x:v>EMERALD COAST BEHAVIORAL HOSPITAL</x:v>
      </x:c>
      <x:c r="C2302" s="2" t="str">
        <x:v>PANAMA CITY</x:v>
      </x:c>
      <x:c r="D2302" s="2" t="str">
        <x:v>FL</x:v>
      </x:c>
      <x:c r="E2302" s="2" t="str">
        <x:v>Psychiatric</x:v>
      </x:c>
      <x:c r="F2302" s="2" t="str">
        <x:v>Proprietary</x:v>
      </x:c>
      <x:c r="G2302" s="2" t="str">
        <x:v>Small (&lt;100 beds)</x:v>
      </x:c>
      <x:c r="H2302" s="7"/>
      <x:c r="I2302" s="7"/>
      <x:c r="J2302" s="7"/>
      <x:c r="K2302" s="8" t="n">
        <x:v>86</x:v>
      </x:c>
      <x:c r="L2302" s="8" t="n">
        <x:v>2137</x:v>
      </x:c>
      <x:c r="M2302" s="9" t="n">
        <x:v>0.7089846232</x:v>
      </x:c>
      <x:c r="N2302" s="10" t="n">
        <x:v>12690.0060832943</x:v>
      </x:c>
      <x:c r="O2302" s="9" t="n">
        <x:v>-0.0316740179</x:v>
      </x:c>
      <x:c r="P2302" s="9" t="n">
        <x:v>0.5339805825</x:v>
      </x:c>
      <x:c r="Q2302" s="9" t="n">
        <x:v>0</x:v>
      </x:c>
      <x:c r="R2302" s="3" t="b">
        <x:v>0</x:v>
      </x:c>
      <x:c r="S2302" s="3" t="b">
        <x:v>0</x:v>
      </x:c>
      <x:c r="T2302" s="3" t="b">
        <x:v>0</x:v>
      </x:c>
      <x:c r="U2302" s="2" t="str">
        <x:f>IF(T2302=TRUE,"Priority review",IF(R2302=TRUE,"High cost",IF(S2302=TRUE,"Low quality","Benchmark")))</x:f>
        <x:v>Benchmark</x:v>
      </x:c>
    </x:row>
    <x:row r="2303">
      <x:c r="A2303" s="2" t="str">
        <x:v>381305</x:v>
      </x:c>
      <x:c r="B2303" s="2" t="str">
        <x:v>BLUE MOUNTAIN HOSPITAL</x:v>
      </x:c>
      <x:c r="C2303" s="2" t="str">
        <x:v>JOHN DAY</x:v>
      </x:c>
      <x:c r="D2303" s="2" t="str">
        <x:v>OR</x:v>
      </x:c>
      <x:c r="E2303" s="2" t="str">
        <x:v>Critical Access Hospitals</x:v>
      </x:c>
      <x:c r="F2303" s="2" t="str">
        <x:v>Government</x:v>
      </x:c>
      <x:c r="G2303" s="2" t="str">
        <x:v>Small (&lt;100 beds)</x:v>
      </x:c>
      <x:c r="H2303" s="7"/>
      <x:c r="I2303" s="7"/>
      <x:c r="J2303" s="7"/>
      <x:c r="K2303" s="8" t="n">
        <x:v>16</x:v>
      </x:c>
      <x:c r="L2303" s="8" t="n">
        <x:v>217</x:v>
      </x:c>
      <x:c r="M2303" s="9" t="n">
        <x:v>0.1924657534</x:v>
      </x:c>
      <x:c r="N2303" s="10" t="n">
        <x:v>136428.4700460829</x:v>
      </x:c>
      <x:c r="O2303" s="9" t="n">
        <x:v>-0.1570913395</x:v>
      </x:c>
      <x:c r="P2303" s="9" t="n">
        <x:v>0.5338289963</x:v>
      </x:c>
      <x:c r="Q2303" s="9" t="n">
        <x:v>0.292936803</x:v>
      </x:c>
      <x:c r="R2303" s="3" t="b">
        <x:v>0</x:v>
      </x:c>
      <x:c r="S2303" s="3" t="b">
        <x:v>0</x:v>
      </x:c>
      <x:c r="T2303" s="3" t="b">
        <x:v>0</x:v>
      </x:c>
      <x:c r="U2303" s="2" t="str">
        <x:f>IF(T2303=TRUE,"Priority review",IF(R2303=TRUE,"High cost",IF(S2303=TRUE,"Low quality","Benchmark")))</x:f>
        <x:v>Benchmark</x:v>
      </x:c>
    </x:row>
    <x:row r="2304">
      <x:c r="A2304" s="2" t="str">
        <x:v>080003</x:v>
      </x:c>
      <x:c r="B2304" s="2" t="str">
        <x:v>ST FRANCIS HOSPITAL</x:v>
      </x:c>
      <x:c r="C2304" s="2" t="str">
        <x:v>WILMINGTON</x:v>
      </x:c>
      <x:c r="D2304" s="2" t="str">
        <x:v>DE</x:v>
      </x:c>
      <x:c r="E2304" s="2" t="str">
        <x:v>Acute Care Hospitals</x:v>
      </x:c>
      <x:c r="F2304" s="2" t="str">
        <x:v>Voluntary non-profit</x:v>
      </x:c>
      <x:c r="G2304" s="2" t="str">
        <x:v>Medium (100-299 beds)</x:v>
      </x:c>
      <x:c r="H2304" s="7" t="n">
        <x:v>3</x:v>
      </x:c>
      <x:c r="I2304" s="7" t="n">
        <x:v>2</x:v>
      </x:c>
      <x:c r="J2304" s="7" t="n">
        <x:v>0.98</x:v>
      </x:c>
      <x:c r="K2304" s="8" t="n">
        <x:v>146</x:v>
      </x:c>
      <x:c r="L2304" s="8" t="n">
        <x:v>3497</x:v>
      </x:c>
      <x:c r="M2304" s="9" t="n">
        <x:v>0.2735222368</x:v>
      </x:c>
      <x:c r="N2304" s="10" t="n">
        <x:v>35505.3545896483</x:v>
      </x:c>
      <x:c r="O2304" s="9" t="n">
        <x:v>-0.0689145329</x:v>
      </x:c>
      <x:c r="P2304" s="9" t="n">
        <x:v>0.5338223309</x:v>
      </x:c>
      <x:c r="Q2304" s="9" t="n">
        <x:v>0.3023634882</x:v>
      </x:c>
      <x:c r="R2304" s="3" t="b">
        <x:v>0</x:v>
      </x:c>
      <x:c r="S2304" s="3" t="b">
        <x:v>0</x:v>
      </x:c>
      <x:c r="T2304" s="3" t="b">
        <x:v>0</x:v>
      </x:c>
      <x:c r="U2304" s="2" t="str">
        <x:f>IF(T2304=TRUE,"Priority review",IF(R2304=TRUE,"High cost",IF(S2304=TRUE,"Low quality","Benchmark")))</x:f>
        <x:v>Benchmark</x:v>
      </x:c>
    </x:row>
    <x:row r="2305">
      <x:c r="A2305" s="2" t="str">
        <x:v>250085</x:v>
      </x:c>
      <x:c r="B2305" s="2" t="str">
        <x:v>MARION GENERAL HOSPITAL</x:v>
      </x:c>
      <x:c r="C2305" s="2" t="str">
        <x:v>COLUMBIA</x:v>
      </x:c>
      <x:c r="D2305" s="2" t="str">
        <x:v>MS</x:v>
      </x:c>
      <x:c r="E2305" s="2" t="str">
        <x:v>Acute Care Hospitals</x:v>
      </x:c>
      <x:c r="F2305" s="2" t="str">
        <x:v>Government</x:v>
      </x:c>
      <x:c r="G2305" s="2" t="str">
        <x:v>Small (&lt;100 beds)</x:v>
      </x:c>
      <x:c r="H2305" s="7" t="n">
        <x:v>1</x:v>
      </x:c>
      <x:c r="I2305" s="7"/>
      <x:c r="J2305" s="7" t="n">
        <x:v>1.04</x:v>
      </x:c>
      <x:c r="K2305" s="8" t="n">
        <x:v>49</x:v>
      </x:c>
      <x:c r="L2305" s="8" t="n">
        <x:v>322</x:v>
      </x:c>
      <x:c r="M2305" s="9" t="n">
        <x:v>0.1785993086</x:v>
      </x:c>
      <x:c r="N2305" s="10" t="n">
        <x:v>55523.0776397516</x:v>
      </x:c>
      <x:c r="O2305" s="9" t="n">
        <x:v>-0.2257573555</x:v>
      </x:c>
      <x:c r="P2305" s="9" t="n">
        <x:v>0.5332136445</x:v>
      </x:c>
      <x:c r="Q2305" s="9" t="n">
        <x:v>0</x:v>
      </x:c>
      <x:c r="R2305" s="3" t="b">
        <x:v>0</x:v>
      </x:c>
      <x:c r="S2305" s="3" t="b">
        <x:v>1</x:v>
      </x:c>
      <x:c r="T2305" s="3" t="b">
        <x:v>0</x:v>
      </x:c>
      <x:c r="U2305" s="2" t="str">
        <x:f>IF(T2305=TRUE,"Priority review",IF(R2305=TRUE,"High cost",IF(S2305=TRUE,"Low quality","Benchmark")))</x:f>
        <x:v>Low quality</x:v>
      </x:c>
    </x:row>
    <x:row r="2306">
      <x:c r="A2306" s="2" t="str">
        <x:v>050324</x:v>
      </x:c>
      <x:c r="B2306" s="2" t="str">
        <x:v>SCRIPPS MEMORIAL HOSPITAL LA JOLLA</x:v>
      </x:c>
      <x:c r="C2306" s="2" t="str">
        <x:v>LA JOLLA</x:v>
      </x:c>
      <x:c r="D2306" s="2" t="str">
        <x:v>CA</x:v>
      </x:c>
      <x:c r="E2306" s="2" t="str">
        <x:v>Acute Care Hospitals</x:v>
      </x:c>
      <x:c r="F2306" s="2" t="str">
        <x:v>Other / unknown</x:v>
      </x:c>
      <x:c r="G2306" s="2" t="str">
        <x:v>Large (300+ beds)</x:v>
      </x:c>
      <x:c r="H2306" s="7" t="n">
        <x:v>5</x:v>
      </x:c>
      <x:c r="I2306" s="7" t="n">
        <x:v>4</x:v>
      </x:c>
      <x:c r="J2306" s="7" t="n">
        <x:v>0.97</x:v>
      </x:c>
      <x:c r="K2306" s="8" t="n">
        <x:v>372</x:v>
      </x:c>
      <x:c r="L2306" s="8" t="n">
        <x:v>22727</x:v>
      </x:c>
      <x:c r="M2306" s="9" t="n">
        <x:v>0.8496680181</x:v>
      </x:c>
      <x:c r="N2306" s="10" t="n">
        <x:v>40423.5936551239</x:v>
      </x:c>
      <x:c r="O2306" s="9" t="n">
        <x:v>0.1757632919</x:v>
      </x:c>
      <x:c r="P2306" s="9" t="n">
        <x:v>0.5331230284</x:v>
      </x:c>
      <x:c r="Q2306" s="9" t="n">
        <x:v>0.8722397476</x:v>
      </x:c>
      <x:c r="R2306" s="3" t="b">
        <x:v>0</x:v>
      </x:c>
      <x:c r="S2306" s="3" t="b">
        <x:v>0</x:v>
      </x:c>
      <x:c r="T2306" s="3" t="b">
        <x:v>0</x:v>
      </x:c>
      <x:c r="U2306" s="2" t="str">
        <x:f>IF(T2306=TRUE,"Priority review",IF(R2306=TRUE,"High cost",IF(S2306=TRUE,"Low quality","Benchmark")))</x:f>
        <x:v>Benchmark</x:v>
      </x:c>
    </x:row>
    <x:row r="2307">
      <x:c r="A2307" s="2" t="str">
        <x:v>381307</x:v>
      </x:c>
      <x:c r="B2307" s="2" t="str">
        <x:v>HARNEY DISTRICT HOSPITAL</x:v>
      </x:c>
      <x:c r="C2307" s="2" t="str">
        <x:v>BURNS</x:v>
      </x:c>
      <x:c r="D2307" s="2" t="str">
        <x:v>OR</x:v>
      </x:c>
      <x:c r="E2307" s="2" t="str">
        <x:v>Critical Access Hospitals</x:v>
      </x:c>
      <x:c r="F2307" s="2" t="str">
        <x:v>Government</x:v>
      </x:c>
      <x:c r="G2307" s="2" t="str">
        <x:v>Small (&lt;100 beds)</x:v>
      </x:c>
      <x:c r="H2307" s="7"/>
      <x:c r="I2307" s="7"/>
      <x:c r="J2307" s="7"/>
      <x:c r="K2307" s="8" t="n">
        <x:v>24</x:v>
      </x:c>
      <x:c r="L2307" s="8" t="n">
        <x:v>312</x:v>
      </x:c>
      <x:c r="M2307" s="9" t="n">
        <x:v>0.2203196347</x:v>
      </x:c>
      <x:c r="N2307" s="10" t="n">
        <x:v>136039.391025641</x:v>
      </x:c>
      <x:c r="O2307" s="9" t="n">
        <x:v>-0.0853956643</x:v>
      </x:c>
      <x:c r="P2307" s="9" t="n">
        <x:v>0.5330855019</x:v>
      </x:c>
      <x:c r="Q2307" s="9" t="n">
        <x:v>0.292936803</x:v>
      </x:c>
      <x:c r="R2307" s="3" t="b">
        <x:v>0</x:v>
      </x:c>
      <x:c r="S2307" s="3" t="b">
        <x:v>0</x:v>
      </x:c>
      <x:c r="T2307" s="3" t="b">
        <x:v>0</x:v>
      </x:c>
      <x:c r="U2307" s="2" t="str">
        <x:f>IF(T2307=TRUE,"Priority review",IF(R2307=TRUE,"High cost",IF(S2307=TRUE,"Low quality","Benchmark")))</x:f>
        <x:v>Benchmark</x:v>
      </x:c>
    </x:row>
    <x:row r="2308">
      <x:c r="A2308" s="2" t="str">
        <x:v>050551</x:v>
      </x:c>
      <x:c r="B2308" s="2" t="str">
        <x:v>UCI HEALTH - LOS ALAMITOS</x:v>
      </x:c>
      <x:c r="C2308" s="2" t="str">
        <x:v>LOS ALAMITOS</x:v>
      </x:c>
      <x:c r="D2308" s="2" t="str">
        <x:v>CA</x:v>
      </x:c>
      <x:c r="E2308" s="2" t="str">
        <x:v>Acute Care Hospitals</x:v>
      </x:c>
      <x:c r="F2308" s="2" t="str">
        <x:v>Proprietary</x:v>
      </x:c>
      <x:c r="G2308" s="2" t="str">
        <x:v>Medium (100-299 beds)</x:v>
      </x:c>
      <x:c r="H2308" s="7" t="n">
        <x:v>1</x:v>
      </x:c>
      <x:c r="I2308" s="7"/>
      <x:c r="J2308" s="7" t="n">
        <x:v>1.03</x:v>
      </x:c>
      <x:c r="K2308" s="8" t="n">
        <x:v>172</x:v>
      </x:c>
      <x:c r="L2308" s="8" t="n">
        <x:v>8660</x:v>
      </x:c>
      <x:c r="M2308" s="9" t="n">
        <x:v>0.9359031539</x:v>
      </x:c>
      <x:c r="N2308" s="10" t="n">
        <x:v>35375.4526558891</x:v>
      </x:c>
      <x:c r="O2308" s="9" t="n">
        <x:v>-0.0835931218</x:v>
      </x:c>
      <x:c r="P2308" s="9" t="n">
        <x:v>0.533007335</x:v>
      </x:c>
      <x:c r="Q2308" s="9" t="n">
        <x:v>0</x:v>
      </x:c>
      <x:c r="R2308" s="3" t="b">
        <x:v>0</x:v>
      </x:c>
      <x:c r="S2308" s="3" t="b">
        <x:v>1</x:v>
      </x:c>
      <x:c r="T2308" s="3" t="b">
        <x:v>0</x:v>
      </x:c>
      <x:c r="U2308" s="2" t="str">
        <x:f>IF(T2308=TRUE,"Priority review",IF(R2308=TRUE,"High cost",IF(S2308=TRUE,"Low quality","Benchmark")))</x:f>
        <x:v>Low quality</x:v>
      </x:c>
    </x:row>
    <x:row r="2309">
      <x:c r="A2309" s="2" t="str">
        <x:v>511307</x:v>
      </x:c>
      <x:c r="B2309" s="2" t="str">
        <x:v>GRAFTON CITY HOSPITAL, INC</x:v>
      </x:c>
      <x:c r="C2309" s="2" t="str">
        <x:v>GRAFTON</x:v>
      </x:c>
      <x:c r="D2309" s="2" t="str">
        <x:v>WV</x:v>
      </x:c>
      <x:c r="E2309" s="2" t="str">
        <x:v>Critical Access Hospitals</x:v>
      </x:c>
      <x:c r="F2309" s="2" t="str">
        <x:v>Government</x:v>
      </x:c>
      <x:c r="G2309" s="2" t="str">
        <x:v>Small (&lt;100 beds)</x:v>
      </x:c>
      <x:c r="H2309" s="7"/>
      <x:c r="I2309" s="7"/>
      <x:c r="J2309" s="7"/>
      <x:c r="K2309" s="8" t="n">
        <x:v>25</x:v>
      </x:c>
      <x:c r="L2309" s="8" t="n">
        <x:v>131</x:v>
      </x:c>
      <x:c r="M2309" s="9" t="n">
        <x:v>0.1037808219</x:v>
      </x:c>
      <x:c r="N2309" s="10" t="n">
        <x:v>136036.0229007633</x:v>
      </x:c>
      <x:c r="O2309" s="9" t="n">
        <x:v>-0.1488080212</x:v>
      </x:c>
      <x:c r="P2309" s="9" t="n">
        <x:v>0.5323420074</x:v>
      </x:c>
      <x:c r="Q2309" s="9" t="n">
        <x:v>0.292936803</x:v>
      </x:c>
      <x:c r="R2309" s="3" t="b">
        <x:v>0</x:v>
      </x:c>
      <x:c r="S2309" s="3" t="b">
        <x:v>0</x:v>
      </x:c>
      <x:c r="T2309" s="3" t="b">
        <x:v>0</x:v>
      </x:c>
      <x:c r="U2309" s="2" t="str">
        <x:f>IF(T2309=TRUE,"Priority review",IF(R2309=TRUE,"High cost",IF(S2309=TRUE,"Low quality","Benchmark")))</x:f>
        <x:v>Benchmark</x:v>
      </x:c>
    </x:row>
    <x:row r="2310">
      <x:c r="A2310" s="2" t="str">
        <x:v>394055</x:v>
      </x:c>
      <x:c r="B2310" s="2" t="str">
        <x:v>LANCASTER BEHAVIORAL HEALTH HOSPITAL</x:v>
      </x:c>
      <x:c r="C2310" s="2" t="str">
        <x:v>LANCASTER</x:v>
      </x:c>
      <x:c r="D2310" s="2" t="str">
        <x:v>PA</x:v>
      </x:c>
      <x:c r="E2310" s="2" t="str">
        <x:v>Psychiatric</x:v>
      </x:c>
      <x:c r="F2310" s="2" t="str">
        <x:v>Voluntary non-profit</x:v>
      </x:c>
      <x:c r="G2310" s="2" t="str">
        <x:v>Medium (100-299 beds)</x:v>
      </x:c>
      <x:c r="H2310" s="7"/>
      <x:c r="I2310" s="7"/>
      <x:c r="J2310" s="7"/>
      <x:c r="K2310" s="8" t="n">
        <x:v>126</x:v>
      </x:c>
      <x:c r="L2310" s="8" t="n">
        <x:v>3001</x:v>
      </x:c>
      <x:c r="M2310" s="9" t="n">
        <x:v>0.8907806045</x:v>
      </x:c>
      <x:c r="N2310" s="10" t="n">
        <x:v>12719.5708097301</x:v>
      </x:c>
      <x:c r="O2310" s="9" t="n">
        <x:v>0.1509087894</x:v>
      </x:c>
      <x:c r="P2310" s="9" t="n">
        <x:v>0.5323383085</x:v>
      </x:c>
      <x:c r="Q2310" s="9" t="n">
        <x:v>0</x:v>
      </x:c>
      <x:c r="R2310" s="3" t="b">
        <x:v>0</x:v>
      </x:c>
      <x:c r="S2310" s="3" t="b">
        <x:v>0</x:v>
      </x:c>
      <x:c r="T2310" s="3" t="b">
        <x:v>0</x:v>
      </x:c>
      <x:c r="U2310" s="2" t="str">
        <x:f>IF(T2310=TRUE,"Priority review",IF(R2310=TRUE,"High cost",IF(S2310=TRUE,"Low quality","Benchmark")))</x:f>
        <x:v>Benchmark</x:v>
      </x:c>
    </x:row>
    <x:row r="2311">
      <x:c r="A2311" s="2" t="str">
        <x:v>230217</x:v>
      </x:c>
      <x:c r="B2311" s="2" t="str">
        <x:v>OAKLAWN HOSPITAL</x:v>
      </x:c>
      <x:c r="C2311" s="2" t="str">
        <x:v>MARSHALL</x:v>
      </x:c>
      <x:c r="D2311" s="2" t="str">
        <x:v>MI</x:v>
      </x:c>
      <x:c r="E2311" s="2" t="str">
        <x:v>Acute Care Hospitals</x:v>
      </x:c>
      <x:c r="F2311" s="2" t="str">
        <x:v>Voluntary non-profit</x:v>
      </x:c>
      <x:c r="G2311" s="2" t="str">
        <x:v>Small (&lt;100 beds)</x:v>
      </x:c>
      <x:c r="H2311" s="7" t="n">
        <x:v>4</x:v>
      </x:c>
      <x:c r="I2311" s="7" t="n">
        <x:v>4</x:v>
      </x:c>
      <x:c r="J2311" s="7" t="n">
        <x:v>0.87</x:v>
      </x:c>
      <x:c r="K2311" s="8" t="n">
        <x:v>71</x:v>
      </x:c>
      <x:c r="L2311" s="8" t="n">
        <x:v>3519</x:v>
      </x:c>
      <x:c r="M2311" s="9" t="n">
        <x:v>0.4171715223</x:v>
      </x:c>
      <x:c r="N2311" s="10" t="n">
        <x:v>55343.5478829213</x:v>
      </x:c>
      <x:c r="O2311" s="9" t="n">
        <x:v>-0.0528179782</x:v>
      </x:c>
      <x:c r="P2311" s="9" t="n">
        <x:v>0.5323159785</x:v>
      </x:c>
      <x:c r="Q2311" s="9" t="n">
        <x:v>0.3913824057</x:v>
      </x:c>
      <x:c r="R2311" s="3" t="b">
        <x:v>0</x:v>
      </x:c>
      <x:c r="S2311" s="3" t="b">
        <x:v>0</x:v>
      </x:c>
      <x:c r="T2311" s="3" t="b">
        <x:v>0</x:v>
      </x:c>
      <x:c r="U2311" s="2" t="str">
        <x:f>IF(T2311=TRUE,"Priority review",IF(R2311=TRUE,"High cost",IF(S2311=TRUE,"Low quality","Benchmark")))</x:f>
        <x:v>Benchmark</x:v>
      </x:c>
    </x:row>
    <x:row r="2312">
      <x:c r="A2312" s="2" t="str">
        <x:v>260062</x:v>
      </x:c>
      <x:c r="B2312" s="2" t="str">
        <x:v>SAINT LUKES NORTH HOSPITAL</x:v>
      </x:c>
      <x:c r="C2312" s="2" t="str">
        <x:v>KANSAS CITY</x:v>
      </x:c>
      <x:c r="D2312" s="2" t="str">
        <x:v>MO</x:v>
      </x:c>
      <x:c r="E2312" s="2" t="str">
        <x:v>Acute Care Hospitals</x:v>
      </x:c>
      <x:c r="F2312" s="2" t="str">
        <x:v>Voluntary non-profit</x:v>
      </x:c>
      <x:c r="G2312" s="2" t="str">
        <x:v>Medium (100-299 beds)</x:v>
      </x:c>
      <x:c r="H2312" s="7" t="n">
        <x:v>5</x:v>
      </x:c>
      <x:c r="I2312" s="7" t="n">
        <x:v>4</x:v>
      </x:c>
      <x:c r="J2312" s="7" t="n">
        <x:v>1</x:v>
      </x:c>
      <x:c r="K2312" s="8" t="n">
        <x:v>122</x:v>
      </x:c>
      <x:c r="L2312" s="8" t="n">
        <x:v>6434</x:v>
      </x:c>
      <x:c r="M2312" s="9" t="n">
        <x:v>0.696318194</x:v>
      </x:c>
      <x:c r="N2312" s="10" t="n">
        <x:v>35374.6165682313</x:v>
      </x:c>
      <x:c r="O2312" s="9" t="n">
        <x:v>-0.0292470031</x:v>
      </x:c>
      <x:c r="P2312" s="9" t="n">
        <x:v>0.532192339</x:v>
      </x:c>
      <x:c r="Q2312" s="9" t="n">
        <x:v>0.8744906275</x:v>
      </x:c>
      <x:c r="R2312" s="3" t="b">
        <x:v>0</x:v>
      </x:c>
      <x:c r="S2312" s="3" t="b">
        <x:v>0</x:v>
      </x:c>
      <x:c r="T2312" s="3" t="b">
        <x:v>0</x:v>
      </x:c>
      <x:c r="U2312" s="2" t="str">
        <x:f>IF(T2312=TRUE,"Priority review",IF(R2312=TRUE,"High cost",IF(S2312=TRUE,"Low quality","Benchmark")))</x:f>
        <x:v>Benchmark</x:v>
      </x:c>
    </x:row>
    <x:row r="2313">
      <x:c r="A2313" s="2" t="str">
        <x:v>281301</x:v>
      </x:c>
      <x:c r="B2313" s="2" t="str">
        <x:v>FILLMORE COUNTY HOSPITAL</x:v>
      </x:c>
      <x:c r="C2313" s="2" t="str">
        <x:v>GENEVA</x:v>
      </x:c>
      <x:c r="D2313" s="2" t="str">
        <x:v>NE</x:v>
      </x:c>
      <x:c r="E2313" s="2" t="str">
        <x:v>Critical Access Hospitals</x:v>
      </x:c>
      <x:c r="F2313" s="2" t="str">
        <x:v>Government</x:v>
      </x:c>
      <x:c r="G2313" s="2" t="str">
        <x:v>Small (&lt;100 beds)</x:v>
      </x:c>
      <x:c r="H2313" s="7" t="n">
        <x:v>4</x:v>
      </x:c>
      <x:c r="I2313" s="7"/>
      <x:c r="J2313" s="7"/>
      <x:c r="K2313" s="8" t="n">
        <x:v>20</x:v>
      </x:c>
      <x:c r="L2313" s="8" t="n">
        <x:v>243</x:v>
      </x:c>
      <x:c r="M2313" s="9" t="n">
        <x:v>0.1497260274</x:v>
      </x:c>
      <x:c r="N2313" s="10" t="n">
        <x:v>135778.304526749</x:v>
      </x:c>
      <x:c r="O2313" s="9" t="n">
        <x:v>-0.0063785866</x:v>
      </x:c>
      <x:c r="P2313" s="9" t="n">
        <x:v>0.531598513</x:v>
      </x:c>
      <x:c r="Q2313" s="9" t="n">
        <x:v>0.1657992565</x:v>
      </x:c>
      <x:c r="R2313" s="3" t="b">
        <x:v>0</x:v>
      </x:c>
      <x:c r="S2313" s="3" t="b">
        <x:v>0</x:v>
      </x:c>
      <x:c r="T2313" s="3" t="b">
        <x:v>0</x:v>
      </x:c>
      <x:c r="U2313" s="2" t="str">
        <x:f>IF(T2313=TRUE,"Priority review",IF(R2313=TRUE,"High cost",IF(S2313=TRUE,"Low quality","Benchmark")))</x:f>
        <x:v>Benchmark</x:v>
      </x:c>
    </x:row>
    <x:row r="2314">
      <x:c r="A2314" s="2" t="str">
        <x:v>440104</x:v>
      </x:c>
      <x:c r="B2314" s="2" t="str">
        <x:v>ERLANGER MEDICAL CENTER</x:v>
      </x:c>
      <x:c r="C2314" s="2" t="str">
        <x:v>CHATTANOOGA</x:v>
      </x:c>
      <x:c r="D2314" s="2" t="str">
        <x:v>TN</x:v>
      </x:c>
      <x:c r="E2314" s="2" t="str">
        <x:v>Acute Care Hospitals</x:v>
      </x:c>
      <x:c r="F2314" s="2" t="str">
        <x:v>Government</x:v>
      </x:c>
      <x:c r="G2314" s="2" t="str">
        <x:v>Large (300+ beds)</x:v>
      </x:c>
      <x:c r="H2314" s="7" t="n">
        <x:v>4</x:v>
      </x:c>
      <x:c r="I2314" s="7" t="n">
        <x:v>3</x:v>
      </x:c>
      <x:c r="J2314" s="7" t="n">
        <x:v>1.06</x:v>
      </x:c>
      <x:c r="K2314" s="8" t="n">
        <x:v>662</x:v>
      </x:c>
      <x:c r="L2314" s="8" t="n">
        <x:v>34146</x:v>
      </x:c>
      <x:c r="M2314" s="9" t="n">
        <x:v>0.7568927699</x:v>
      </x:c>
      <x:c r="N2314" s="10" t="n">
        <x:v>40208.1036138933</x:v>
      </x:c>
      <x:c r="O2314" s="9" t="n">
        <x:v>-0.0255633921</x:v>
      </x:c>
      <x:c r="P2314" s="9" t="n">
        <x:v>0.5315457413</x:v>
      </x:c>
      <x:c r="Q2314" s="9" t="n">
        <x:v>0.5899053628</x:v>
      </x:c>
      <x:c r="R2314" s="3" t="b">
        <x:v>0</x:v>
      </x:c>
      <x:c r="S2314" s="3" t="b">
        <x:v>0</x:v>
      </x:c>
      <x:c r="T2314" s="3" t="b">
        <x:v>0</x:v>
      </x:c>
      <x:c r="U2314" s="2" t="str">
        <x:f>IF(T2314=TRUE,"Priority review",IF(R2314=TRUE,"High cost",IF(S2314=TRUE,"Low quality","Benchmark")))</x:f>
        <x:v>Benchmark</x:v>
      </x:c>
    </x:row>
    <x:row r="2315">
      <x:c r="A2315" s="2" t="str">
        <x:v>130025</x:v>
      </x:c>
      <x:c r="B2315" s="2" t="str">
        <x:v>MADISON MEMORIAL HOSPITAL</x:v>
      </x:c>
      <x:c r="C2315" s="2" t="str">
        <x:v>REXBURG</x:v>
      </x:c>
      <x:c r="D2315" s="2" t="str">
        <x:v>ID</x:v>
      </x:c>
      <x:c r="E2315" s="2" t="str">
        <x:v>Acute Care Hospitals</x:v>
      </x:c>
      <x:c r="F2315" s="2" t="str">
        <x:v>Government</x:v>
      </x:c>
      <x:c r="G2315" s="2" t="str">
        <x:v>Small (&lt;100 beds)</x:v>
      </x:c>
      <x:c r="H2315" s="7"/>
      <x:c r="I2315" s="7" t="n">
        <x:v>3</x:v>
      </x:c>
      <x:c r="J2315" s="7" t="n">
        <x:v>1.01</x:v>
      </x:c>
      <x:c r="K2315" s="8" t="n">
        <x:v>53</x:v>
      </x:c>
      <x:c r="L2315" s="8" t="n">
        <x:v>1893</x:v>
      </x:c>
      <x:c r="M2315" s="9" t="n">
        <x:v>0.3916898649</x:v>
      </x:c>
      <x:c r="N2315" s="10" t="n">
        <x:v>55238.2208135235</x:v>
      </x:c>
      <x:c r="O2315" s="9" t="n">
        <x:v>-0.0542898736</x:v>
      </x:c>
      <x:c r="P2315" s="9" t="n">
        <x:v>0.5314183124</x:v>
      </x:c>
      <x:c r="Q2315" s="9" t="n">
        <x:v>0.697486535</x:v>
      </x:c>
      <x:c r="R2315" s="3" t="b">
        <x:v>0</x:v>
      </x:c>
      <x:c r="S2315" s="3" t="b">
        <x:v>0</x:v>
      </x:c>
      <x:c r="T2315" s="3" t="b">
        <x:v>0</x:v>
      </x:c>
      <x:c r="U2315" s="2" t="str">
        <x:f>IF(T2315=TRUE,"Priority review",IF(R2315=TRUE,"High cost",IF(S2315=TRUE,"Low quality","Benchmark")))</x:f>
        <x:v>Benchmark</x:v>
      </x:c>
    </x:row>
    <x:row r="2316">
      <x:c r="A2316" s="2" t="str">
        <x:v>230041</x:v>
      </x:c>
      <x:c r="B2316" s="2" t="str">
        <x:v>MCLAREN BAY REGION</x:v>
      </x:c>
      <x:c r="C2316" s="2" t="str">
        <x:v>BAY CITY</x:v>
      </x:c>
      <x:c r="D2316" s="2" t="str">
        <x:v>MI</x:v>
      </x:c>
      <x:c r="E2316" s="2" t="str">
        <x:v>Acute Care Hospitals</x:v>
      </x:c>
      <x:c r="F2316" s="2" t="str">
        <x:v>Voluntary non-profit</x:v>
      </x:c>
      <x:c r="G2316" s="2" t="str">
        <x:v>Medium (100-299 beds)</x:v>
      </x:c>
      <x:c r="H2316" s="7" t="n">
        <x:v>1</x:v>
      </x:c>
      <x:c r="I2316" s="7" t="n">
        <x:v>2</x:v>
      </x:c>
      <x:c r="J2316" s="7" t="n">
        <x:v>1.01</x:v>
      </x:c>
      <x:c r="K2316" s="8" t="n">
        <x:v>216</x:v>
      </x:c>
      <x:c r="L2316" s="8" t="n">
        <x:v>9605</x:v>
      </x:c>
      <x:c r="M2316" s="9" t="n">
        <x:v>0.5309136075</x:v>
      </x:c>
      <x:c r="N2316" s="10" t="n">
        <x:v>35374.4805830297</x:v>
      </x:c>
      <x:c r="O2316" s="9" t="n">
        <x:v>-0.1183237419</x:v>
      </x:c>
      <x:c r="P2316" s="9" t="n">
        <x:v>0.5313773431</x:v>
      </x:c>
      <x:c r="Q2316" s="9" t="n">
        <x:v>0</x:v>
      </x:c>
      <x:c r="R2316" s="3" t="b">
        <x:v>0</x:v>
      </x:c>
      <x:c r="S2316" s="3" t="b">
        <x:v>1</x:v>
      </x:c>
      <x:c r="T2316" s="3" t="b">
        <x:v>0</x:v>
      </x:c>
      <x:c r="U2316" s="2" t="str">
        <x:f>IF(T2316=TRUE,"Priority review",IF(R2316=TRUE,"High cost",IF(S2316=TRUE,"Low quality","Benchmark")))</x:f>
        <x:v>Low quality</x:v>
      </x:c>
    </x:row>
    <x:row r="2317">
      <x:c r="A2317" s="2" t="str">
        <x:v>241337</x:v>
      </x:c>
      <x:c r="B2317" s="2" t="str">
        <x:v>NORTH VALLEY HEALTH CENTER</x:v>
      </x:c>
      <x:c r="C2317" s="2" t="str">
        <x:v>WARREN</x:v>
      </x:c>
      <x:c r="D2317" s="2" t="str">
        <x:v>MN</x:v>
      </x:c>
      <x:c r="E2317" s="2" t="str">
        <x:v>Critical Access Hospitals</x:v>
      </x:c>
      <x:c r="F2317" s="2" t="str">
        <x:v>Voluntary non-profit</x:v>
      </x:c>
      <x:c r="G2317" s="2" t="str">
        <x:v>Small (&lt;100 beds)</x:v>
      </x:c>
      <x:c r="H2317" s="7"/>
      <x:c r="I2317" s="7"/>
      <x:c r="J2317" s="7"/>
      <x:c r="K2317" s="8" t="n">
        <x:v>12</x:v>
      </x:c>
      <x:c r="L2317" s="8" t="n">
        <x:v>131</x:v>
      </x:c>
      <x:c r="M2317" s="9" t="n">
        <x:v>0.1482240437</x:v>
      </x:c>
      <x:c r="N2317" s="10" t="n">
        <x:v>135680.7022900763</x:v>
      </x:c>
      <x:c r="O2317" s="9" t="n">
        <x:v>-0.1621050204</x:v>
      </x:c>
      <x:c r="P2317" s="9" t="n">
        <x:v>0.5308550186</x:v>
      </x:c>
      <x:c r="Q2317" s="9" t="n">
        <x:v>0.292936803</x:v>
      </x:c>
      <x:c r="R2317" s="3" t="b">
        <x:v>0</x:v>
      </x:c>
      <x:c r="S2317" s="3" t="b">
        <x:v>0</x:v>
      </x:c>
      <x:c r="T2317" s="3" t="b">
        <x:v>0</x:v>
      </x:c>
      <x:c r="U2317" s="2" t="str">
        <x:f>IF(T2317=TRUE,"Priority review",IF(R2317=TRUE,"High cost",IF(S2317=TRUE,"Low quality","Benchmark")))</x:f>
        <x:v>Benchmark</x:v>
      </x:c>
    </x:row>
    <x:row r="2318">
      <x:c r="A2318" s="2" t="str">
        <x:v>454154</x:v>
      </x:c>
      <x:c r="B2318" s="2" t="str">
        <x:v>OCEANS BEHAVIORAL HOSPITAL OF AMARILLO</x:v>
      </x:c>
      <x:c r="C2318" s="2" t="str">
        <x:v>AMARILLO</x:v>
      </x:c>
      <x:c r="D2318" s="2" t="str">
        <x:v>TX</x:v>
      </x:c>
      <x:c r="E2318" s="2" t="str">
        <x:v>Psychiatric</x:v>
      </x:c>
      <x:c r="F2318" s="2" t="str">
        <x:v>Proprietary</x:v>
      </x:c>
      <x:c r="G2318" s="2" t="str">
        <x:v>Small (&lt;100 beds)</x:v>
      </x:c>
      <x:c r="H2318" s="7"/>
      <x:c r="I2318" s="7"/>
      <x:c r="J2318" s="7"/>
      <x:c r="K2318" s="8" t="n">
        <x:v>28</x:v>
      </x:c>
      <x:c r="L2318" s="8" t="n">
        <x:v>731</x:v>
      </x:c>
      <x:c r="M2318" s="9" t="n">
        <x:v>0.8653395785</x:v>
      </x:c>
      <x:c r="N2318" s="10" t="n">
        <x:v>12681.4582763338</x:v>
      </x:c>
      <x:c r="O2318" s="9" t="n">
        <x:v>-0.0901747286</x:v>
      </x:c>
      <x:c r="P2318" s="9" t="n">
        <x:v>0.5307443366</x:v>
      </x:c>
      <x:c r="Q2318" s="9" t="n">
        <x:v>0</x:v>
      </x:c>
      <x:c r="R2318" s="3" t="b">
        <x:v>0</x:v>
      </x:c>
      <x:c r="S2318" s="3" t="b">
        <x:v>0</x:v>
      </x:c>
      <x:c r="T2318" s="3" t="b">
        <x:v>0</x:v>
      </x:c>
      <x:c r="U2318" s="2" t="str">
        <x:f>IF(T2318=TRUE,"Priority review",IF(R2318=TRUE,"High cost",IF(S2318=TRUE,"Low quality","Benchmark")))</x:f>
        <x:v>Benchmark</x:v>
      </x:c>
    </x:row>
    <x:row r="2319">
      <x:c r="A2319" s="2" t="str">
        <x:v>450352</x:v>
      </x:c>
      <x:c r="B2319" s="2" t="str">
        <x:v>HUNT REGIONAL MEDICAL CENTER</x:v>
      </x:c>
      <x:c r="C2319" s="2" t="str">
        <x:v>GREENVILLE</x:v>
      </x:c>
      <x:c r="D2319" s="2" t="str">
        <x:v>TX</x:v>
      </x:c>
      <x:c r="E2319" s="2" t="str">
        <x:v>Acute Care Hospitals</x:v>
      </x:c>
      <x:c r="F2319" s="2" t="str">
        <x:v>Government</x:v>
      </x:c>
      <x:c r="G2319" s="2" t="str">
        <x:v>Medium (100-299 beds)</x:v>
      </x:c>
      <x:c r="H2319" s="7" t="n">
        <x:v>2</x:v>
      </x:c>
      <x:c r="I2319" s="7" t="n">
        <x:v>3</x:v>
      </x:c>
      <x:c r="J2319" s="7" t="n">
        <x:v>1.05</x:v>
      </x:c>
      <x:c r="K2319" s="8" t="n">
        <x:v>150</x:v>
      </x:c>
      <x:c r="L2319" s="8" t="n">
        <x:v>7404</x:v>
      </x:c>
      <x:c r="M2319" s="9" t="n">
        <x:v>0.6923315118</x:v>
      </x:c>
      <x:c r="N2319" s="10" t="n">
        <x:v>35339.904376013</x:v>
      </x:c>
      <x:c r="O2319" s="9" t="n">
        <x:v>-0.4083891905</x:v>
      </x:c>
      <x:c r="P2319" s="9" t="n">
        <x:v>0.5305623472</x:v>
      </x:c>
      <x:c r="Q2319" s="9" t="n">
        <x:v>0.0782396088</x:v>
      </x:c>
      <x:c r="R2319" s="3" t="b">
        <x:v>0</x:v>
      </x:c>
      <x:c r="S2319" s="3" t="b">
        <x:v>1</x:v>
      </x:c>
      <x:c r="T2319" s="3" t="b">
        <x:v>0</x:v>
      </x:c>
      <x:c r="U2319" s="2" t="str">
        <x:f>IF(T2319=TRUE,"Priority review",IF(R2319=TRUE,"High cost",IF(S2319=TRUE,"Low quality","Benchmark")))</x:f>
        <x:v>Low quality</x:v>
      </x:c>
    </x:row>
    <x:row r="2320">
      <x:c r="A2320" s="2" t="str">
        <x:v>240141</x:v>
      </x:c>
      <x:c r="B2320" s="2" t="str">
        <x:v>FAIRVIEW NORTHLAND REGIONAL HOSPITAL</x:v>
      </x:c>
      <x:c r="C2320" s="2" t="str">
        <x:v>PRINCETON</x:v>
      </x:c>
      <x:c r="D2320" s="2" t="str">
        <x:v>MN</x:v>
      </x:c>
      <x:c r="E2320" s="2" t="str">
        <x:v>Acute Care Hospitals</x:v>
      </x:c>
      <x:c r="F2320" s="2" t="str">
        <x:v>Voluntary non-profit</x:v>
      </x:c>
      <x:c r="G2320" s="2" t="str">
        <x:v>Small (&lt;100 beds)</x:v>
      </x:c>
      <x:c r="H2320" s="7" t="n">
        <x:v>4</x:v>
      </x:c>
      <x:c r="I2320" s="7" t="n">
        <x:v>4</x:v>
      </x:c>
      <x:c r="J2320" s="7" t="n">
        <x:v>0.85</x:v>
      </x:c>
      <x:c r="K2320" s="8" t="n">
        <x:v>34</x:v>
      </x:c>
      <x:c r="L2320" s="8" t="n">
        <x:v>1671</x:v>
      </x:c>
      <x:c r="M2320" s="9" t="n">
        <x:v>0.4837672774</x:v>
      </x:c>
      <x:c r="N2320" s="10" t="n">
        <x:v>55146.7265110712</x:v>
      </x:c>
      <x:c r="O2320" s="9" t="n">
        <x:v>0.0324178043</x:v>
      </x:c>
      <x:c r="P2320" s="9" t="n">
        <x:v>0.5305206463</x:v>
      </x:c>
      <x:c r="Q2320" s="9" t="n">
        <x:v>0.3913824057</x:v>
      </x:c>
      <x:c r="R2320" s="3" t="b">
        <x:v>0</x:v>
      </x:c>
      <x:c r="S2320" s="3" t="b">
        <x:v>0</x:v>
      </x:c>
      <x:c r="T2320" s="3" t="b">
        <x:v>0</x:v>
      </x:c>
      <x:c r="U2320" s="2" t="str">
        <x:f>IF(T2320=TRUE,"Priority review",IF(R2320=TRUE,"High cost",IF(S2320=TRUE,"Low quality","Benchmark")))</x:f>
        <x:v>Benchmark</x:v>
      </x:c>
    </x:row>
    <x:row r="2321">
      <x:c r="A2321" s="2" t="str">
        <x:v>281340</x:v>
      </x:c>
      <x:c r="B2321" s="2" t="str">
        <x:v>DUNDY COUNTY HOSPITAL</x:v>
      </x:c>
      <x:c r="C2321" s="2" t="str">
        <x:v>BENKELMAN</x:v>
      </x:c>
      <x:c r="D2321" s="2" t="str">
        <x:v>NE</x:v>
      </x:c>
      <x:c r="E2321" s="2" t="str">
        <x:v>Critical Access Hospitals</x:v>
      </x:c>
      <x:c r="F2321" s="2" t="str">
        <x:v>Government</x:v>
      </x:c>
      <x:c r="G2321" s="2" t="str">
        <x:v>Small (&lt;100 beds)</x:v>
      </x:c>
      <x:c r="H2321" s="7"/>
      <x:c r="I2321" s="7"/>
      <x:c r="J2321" s="7"/>
      <x:c r="K2321" s="8" t="n">
        <x:v>12</x:v>
      </x:c>
      <x:c r="L2321" s="8" t="n">
        <x:v>113</x:v>
      </x:c>
      <x:c r="M2321" s="9" t="n">
        <x:v>0.1892694064</x:v>
      </x:c>
      <x:c r="N2321" s="10" t="n">
        <x:v>135678.7522123894</x:v>
      </x:c>
      <x:c r="O2321" s="9" t="n">
        <x:v>-0.2473124534</x:v>
      </x:c>
      <x:c r="P2321" s="9" t="n">
        <x:v>0.5301115242</x:v>
      </x:c>
      <x:c r="Q2321" s="9" t="n">
        <x:v>0.292936803</x:v>
      </x:c>
      <x:c r="R2321" s="3" t="b">
        <x:v>0</x:v>
      </x:c>
      <x:c r="S2321" s="3" t="b">
        <x:v>0</x:v>
      </x:c>
      <x:c r="T2321" s="3" t="b">
        <x:v>0</x:v>
      </x:c>
      <x:c r="U2321" s="2" t="str">
        <x:f>IF(T2321=TRUE,"Priority review",IF(R2321=TRUE,"High cost",IF(S2321=TRUE,"Low quality","Benchmark")))</x:f>
        <x:v>Benchmark</x:v>
      </x:c>
    </x:row>
    <x:row r="2322">
      <x:c r="A2322" s="2" t="str">
        <x:v>140148</x:v>
      </x:c>
      <x:c r="B2322" s="2" t="str">
        <x:v>MEMORIAL MEDICAL CENTER</x:v>
      </x:c>
      <x:c r="C2322" s="2" t="str">
        <x:v>SPRINGFIELD</x:v>
      </x:c>
      <x:c r="D2322" s="2" t="str">
        <x:v>IL</x:v>
      </x:c>
      <x:c r="E2322" s="2" t="str">
        <x:v>Acute Care Hospitals</x:v>
      </x:c>
      <x:c r="F2322" s="2" t="str">
        <x:v>Voluntary non-profit</x:v>
      </x:c>
      <x:c r="G2322" s="2" t="str">
        <x:v>Large (300+ beds)</x:v>
      </x:c>
      <x:c r="H2322" s="7" t="n">
        <x:v>3</x:v>
      </x:c>
      <x:c r="I2322" s="7" t="n">
        <x:v>3</x:v>
      </x:c>
      <x:c r="J2322" s="7" t="n">
        <x:v>1.03</x:v>
      </x:c>
      <x:c r="K2322" s="8" t="n">
        <x:v>407</x:v>
      </x:c>
      <x:c r="L2322" s="8" t="n">
        <x:v>19924</x:v>
      </x:c>
      <x:c r="M2322" s="9" t="n">
        <x:v>0.7621809589</x:v>
      </x:c>
      <x:c r="N2322" s="10" t="n">
        <x:v>40193.3043063642</x:v>
      </x:c>
      <x:c r="O2322" s="9" t="n">
        <x:v>0.017946146</x:v>
      </x:c>
      <x:c r="P2322" s="9" t="n">
        <x:v>0.5299684543</x:v>
      </x:c>
      <x:c r="Q2322" s="9" t="n">
        <x:v>0.2570977918</x:v>
      </x:c>
      <x:c r="R2322" s="3" t="b">
        <x:v>0</x:v>
      </x:c>
      <x:c r="S2322" s="3" t="b">
        <x:v>0</x:v>
      </x:c>
      <x:c r="T2322" s="3" t="b">
        <x:v>0</x:v>
      </x:c>
      <x:c r="U2322" s="2" t="str">
        <x:f>IF(T2322=TRUE,"Priority review",IF(R2322=TRUE,"High cost",IF(S2322=TRUE,"Low quality","Benchmark")))</x:f>
        <x:v>Benchmark</x:v>
      </x:c>
    </x:row>
    <x:row r="2323">
      <x:c r="A2323" s="2" t="str">
        <x:v>140258</x:v>
      </x:c>
      <x:c r="B2323" s="2" t="str">
        <x:v>ALEXIAN BROTHERS MEDICAL CENTER 1</x:v>
      </x:c>
      <x:c r="C2323" s="2" t="str">
        <x:v>ELK GROVE VILLAGE</x:v>
      </x:c>
      <x:c r="D2323" s="2" t="str">
        <x:v>IL</x:v>
      </x:c>
      <x:c r="E2323" s="2" t="str">
        <x:v>Acute Care Hospitals</x:v>
      </x:c>
      <x:c r="F2323" s="2" t="str">
        <x:v>Voluntary non-profit</x:v>
      </x:c>
      <x:c r="G2323" s="2" t="str">
        <x:v>Medium (100-299 beds)</x:v>
      </x:c>
      <x:c r="H2323" s="7" t="n">
        <x:v>3</x:v>
      </x:c>
      <x:c r="I2323" s="7" t="n">
        <x:v>2</x:v>
      </x:c>
      <x:c r="J2323" s="7" t="n">
        <x:v>1.09</x:v>
      </x:c>
      <x:c r="K2323" s="8" t="n">
        <x:v>282</x:v>
      </x:c>
      <x:c r="L2323" s="8" t="n">
        <x:v>14613</x:v>
      </x:c>
      <x:c r="M2323" s="9" t="n">
        <x:v>0.6464781891</x:v>
      </x:c>
      <x:c r="N2323" s="10" t="n">
        <x:v>35318.4272907685</x:v>
      </x:c>
      <x:c r="O2323" s="9" t="n">
        <x:v>-0.1099958163</x:v>
      </x:c>
      <x:c r="P2323" s="9" t="n">
        <x:v>0.5297473513</x:v>
      </x:c>
      <x:c r="Q2323" s="9" t="n">
        <x:v>0.3023634882</x:v>
      </x:c>
      <x:c r="R2323" s="3" t="b">
        <x:v>0</x:v>
      </x:c>
      <x:c r="S2323" s="3" t="b">
        <x:v>0</x:v>
      </x:c>
      <x:c r="T2323" s="3" t="b">
        <x:v>0</x:v>
      </x:c>
      <x:c r="U2323" s="2" t="str">
        <x:f>IF(T2323=TRUE,"Priority review",IF(R2323=TRUE,"High cost",IF(S2323=TRUE,"Low quality","Benchmark")))</x:f>
        <x:v>Benchmark</x:v>
      </x:c>
    </x:row>
    <x:row r="2324">
      <x:c r="A2324" s="2" t="str">
        <x:v>250124</x:v>
      </x:c>
      <x:c r="B2324" s="2" t="str">
        <x:v>MAGEE GENERAL HOSPITAL</x:v>
      </x:c>
      <x:c r="C2324" s="2" t="str">
        <x:v>MAGEE</x:v>
      </x:c>
      <x:c r="D2324" s="2" t="str">
        <x:v>MS</x:v>
      </x:c>
      <x:c r="E2324" s="2" t="str">
        <x:v>Acute Care Hospitals</x:v>
      </x:c>
      <x:c r="F2324" s="2" t="str">
        <x:v>Voluntary non-profit</x:v>
      </x:c>
      <x:c r="G2324" s="2" t="str">
        <x:v>Small (&lt;100 beds)</x:v>
      </x:c>
      <x:c r="H2324" s="7" t="n">
        <x:v>2</x:v>
      </x:c>
      <x:c r="I2324" s="7"/>
      <x:c r="J2324" s="7" t="n">
        <x:v>1.1</x:v>
      </x:c>
      <x:c r="K2324" s="8" t="n">
        <x:v>44</x:v>
      </x:c>
      <x:c r="L2324" s="8" t="n">
        <x:v>322</x:v>
      </x:c>
      <x:c r="M2324" s="9" t="n">
        <x:v>0.1752359662</x:v>
      </x:c>
      <x:c r="N2324" s="10" t="n">
        <x:v>55127.5900621118</x:v>
      </x:c>
      <x:c r="O2324" s="9" t="n">
        <x:v>-0.0638549688</x:v>
      </x:c>
      <x:c r="P2324" s="9" t="n">
        <x:v>0.5296229803</x:v>
      </x:c>
      <x:c r="Q2324" s="9" t="n">
        <x:v>0.0350089767</x:v>
      </x:c>
      <x:c r="R2324" s="3" t="b">
        <x:v>0</x:v>
      </x:c>
      <x:c r="S2324" s="3" t="b">
        <x:v>1</x:v>
      </x:c>
      <x:c r="T2324" s="3" t="b">
        <x:v>0</x:v>
      </x:c>
      <x:c r="U2324" s="2" t="str">
        <x:f>IF(T2324=TRUE,"Priority review",IF(R2324=TRUE,"High cost",IF(S2324=TRUE,"Low quality","Benchmark")))</x:f>
        <x:v>Low quality</x:v>
      </x:c>
    </x:row>
    <x:row r="2325">
      <x:c r="A2325" s="2" t="str">
        <x:v>161360</x:v>
      </x:c>
      <x:c r="B2325" s="2" t="str">
        <x:v>ORANGE CITY AREA HEALTH SYSTEM</x:v>
      </x:c>
      <x:c r="C2325" s="2" t="str">
        <x:v>ORANGE CITY</x:v>
      </x:c>
      <x:c r="D2325" s="2" t="str">
        <x:v>IA</x:v>
      </x:c>
      <x:c r="E2325" s="2" t="str">
        <x:v>Critical Access Hospitals</x:v>
      </x:c>
      <x:c r="F2325" s="2" t="str">
        <x:v>Voluntary non-profit</x:v>
      </x:c>
      <x:c r="G2325" s="2" t="str">
        <x:v>Small (&lt;100 beds)</x:v>
      </x:c>
      <x:c r="H2325" s="7" t="n">
        <x:v>3</x:v>
      </x:c>
      <x:c r="I2325" s="7" t="n">
        <x:v>4</x:v>
      </x:c>
      <x:c r="J2325" s="7"/>
      <x:c r="K2325" s="8" t="n">
        <x:v>25</x:v>
      </x:c>
      <x:c r="L2325" s="8" t="n">
        <x:v>570</x:v>
      </x:c>
      <x:c r="M2325" s="9" t="n">
        <x:v>0.3321643836</x:v>
      </x:c>
      <x:c r="N2325" s="10" t="n">
        <x:v>135512.2543859649</x:v>
      </x:c>
      <x:c r="O2325" s="9" t="n">
        <x:v>-0.3543571657</x:v>
      </x:c>
      <x:c r="P2325" s="9" t="n">
        <x:v>0.5293680297</x:v>
      </x:c>
      <x:c r="Q2325" s="9" t="n">
        <x:v>0.0765799257</x:v>
      </x:c>
      <x:c r="R2325" s="3" t="b">
        <x:v>0</x:v>
      </x:c>
      <x:c r="S2325" s="3" t="b">
        <x:v>1</x:v>
      </x:c>
      <x:c r="T2325" s="3" t="b">
        <x:v>0</x:v>
      </x:c>
      <x:c r="U2325" s="2" t="str">
        <x:f>IF(T2325=TRUE,"Priority review",IF(R2325=TRUE,"High cost",IF(S2325=TRUE,"Low quality","Benchmark")))</x:f>
        <x:v>Low quality</x:v>
      </x:c>
    </x:row>
    <x:row r="2326">
      <x:c r="A2326" s="2" t="str">
        <x:v>330401</x:v>
      </x:c>
      <x:c r="B2326" s="2" t="str">
        <x:v>ST CATHERINE OF SIENA HOSPITAL</x:v>
      </x:c>
      <x:c r="C2326" s="2" t="str">
        <x:v>SMITHTOWN</x:v>
      </x:c>
      <x:c r="D2326" s="2" t="str">
        <x:v>NY</x:v>
      </x:c>
      <x:c r="E2326" s="2" t="str">
        <x:v>Acute Care Hospitals</x:v>
      </x:c>
      <x:c r="F2326" s="2" t="str">
        <x:v>Voluntary non-profit</x:v>
      </x:c>
      <x:c r="G2326" s="2" t="str">
        <x:v>Medium (100-299 beds)</x:v>
      </x:c>
      <x:c r="H2326" s="7" t="n">
        <x:v>5</x:v>
      </x:c>
      <x:c r="I2326" s="7" t="n">
        <x:v>3</x:v>
      </x:c>
      <x:c r="J2326" s="7" t="n">
        <x:v>1.01</x:v>
      </x:c>
      <x:c r="K2326" s="8" t="n">
        <x:v>163</x:v>
      </x:c>
      <x:c r="L2326" s="8" t="n">
        <x:v>8786</x:v>
      </x:c>
      <x:c r="M2326" s="9" t="n">
        <x:v>0.7458106638</x:v>
      </x:c>
      <x:c r="N2326" s="10" t="n">
        <x:v>35311.9496926929</x:v>
      </x:c>
      <x:c r="O2326" s="9" t="n">
        <x:v>-0.1855027215</x:v>
      </x:c>
      <x:c r="P2326" s="9" t="n">
        <x:v>0.5289323553</x:v>
      </x:c>
      <x:c r="Q2326" s="9" t="n">
        <x:v>0.8744906275</x:v>
      </x:c>
      <x:c r="R2326" s="3" t="b">
        <x:v>0</x:v>
      </x:c>
      <x:c r="S2326" s="3" t="b">
        <x:v>0</x:v>
      </x:c>
      <x:c r="T2326" s="3" t="b">
        <x:v>0</x:v>
      </x:c>
      <x:c r="U2326" s="2" t="str">
        <x:f>IF(T2326=TRUE,"Priority review",IF(R2326=TRUE,"High cost",IF(S2326=TRUE,"Low quality","Benchmark")))</x:f>
        <x:v>Benchmark</x:v>
      </x:c>
    </x:row>
    <x:row r="2327">
      <x:c r="A2327" s="2" t="str">
        <x:v>450876</x:v>
      </x:c>
      <x:c r="B2327" s="2" t="str">
        <x:v>LUBBOCK HEART HOSPITAL LP</x:v>
      </x:c>
      <x:c r="C2327" s="2" t="str">
        <x:v>LUBBOCK</x:v>
      </x:c>
      <x:c r="D2327" s="2" t="str">
        <x:v>TX</x:v>
      </x:c>
      <x:c r="E2327" s="2" t="str">
        <x:v>Acute Care Hospitals</x:v>
      </x:c>
      <x:c r="F2327" s="2" t="str">
        <x:v>Government</x:v>
      </x:c>
      <x:c r="G2327" s="2" t="str">
        <x:v>Small (&lt;100 beds)</x:v>
      </x:c>
      <x:c r="H2327" s="7" t="n">
        <x:v>2</x:v>
      </x:c>
      <x:c r="I2327" s="7" t="n">
        <x:v>4</x:v>
      </x:c>
      <x:c r="J2327" s="7" t="n">
        <x:v>1.09</x:v>
      </x:c>
      <x:c r="K2327" s="8" t="n">
        <x:v>73</x:v>
      </x:c>
      <x:c r="L2327" s="8" t="n">
        <x:v>1678</x:v>
      </x:c>
      <x:c r="M2327" s="9" t="n">
        <x:v>0.2239688599</x:v>
      </x:c>
      <x:c r="N2327" s="10" t="n">
        <x:v>55032.5297973778</x:v>
      </x:c>
      <x:c r="O2327" s="9" t="n">
        <x:v>-0.0357135535</x:v>
      </x:c>
      <x:c r="P2327" s="9" t="n">
        <x:v>0.5287253142</x:v>
      </x:c>
      <x:c r="Q2327" s="9" t="n">
        <x:v>0.0350089767</x:v>
      </x:c>
      <x:c r="R2327" s="3" t="b">
        <x:v>0</x:v>
      </x:c>
      <x:c r="S2327" s="3" t="b">
        <x:v>1</x:v>
      </x:c>
      <x:c r="T2327" s="3" t="b">
        <x:v>0</x:v>
      </x:c>
      <x:c r="U2327" s="2" t="str">
        <x:f>IF(T2327=TRUE,"Priority review",IF(R2327=TRUE,"High cost",IF(S2327=TRUE,"Low quality","Benchmark")))</x:f>
        <x:v>Low quality</x:v>
      </x:c>
    </x:row>
    <x:row r="2328">
      <x:c r="A2328" s="2" t="str">
        <x:v>501308</x:v>
      </x:c>
      <x:c r="B2328" s="2" t="str">
        <x:v>COULEE MEDICAL CENTER</x:v>
      </x:c>
      <x:c r="C2328" s="2" t="str">
        <x:v>GRAND COULEE</x:v>
      </x:c>
      <x:c r="D2328" s="2" t="str">
        <x:v>WA</x:v>
      </x:c>
      <x:c r="E2328" s="2" t="str">
        <x:v>Critical Access Hospitals</x:v>
      </x:c>
      <x:c r="F2328" s="2" t="str">
        <x:v>Government</x:v>
      </x:c>
      <x:c r="G2328" s="2" t="str">
        <x:v>Small (&lt;100 beds)</x:v>
      </x:c>
      <x:c r="H2328" s="7"/>
      <x:c r="I2328" s="7"/>
      <x:c r="J2328" s="7"/>
      <x:c r="K2328" s="8" t="n">
        <x:v>25</x:v>
      </x:c>
      <x:c r="L2328" s="8" t="n">
        <x:v>303</x:v>
      </x:c>
      <x:c r="M2328" s="9" t="n">
        <x:v>0.3632786885</x:v>
      </x:c>
      <x:c r="N2328" s="10" t="n">
        <x:v>135118.198019802</x:v>
      </x:c>
      <x:c r="O2328" s="9" t="n">
        <x:v>-0.0372063395</x:v>
      </x:c>
      <x:c r="P2328" s="9" t="n">
        <x:v>0.5286245353</x:v>
      </x:c>
      <x:c r="Q2328" s="9" t="n">
        <x:v>0.292936803</x:v>
      </x:c>
      <x:c r="R2328" s="3" t="b">
        <x:v>0</x:v>
      </x:c>
      <x:c r="S2328" s="3" t="b">
        <x:v>0</x:v>
      </x:c>
      <x:c r="T2328" s="3" t="b">
        <x:v>0</x:v>
      </x:c>
      <x:c r="U2328" s="2" t="str">
        <x:f>IF(T2328=TRUE,"Priority review",IF(R2328=TRUE,"High cost",IF(S2328=TRUE,"Low quality","Benchmark")))</x:f>
        <x:v>Benchmark</x:v>
      </x:c>
    </x:row>
    <x:row r="2329">
      <x:c r="A2329" s="2" t="str">
        <x:v>500079</x:v>
      </x:c>
      <x:c r="B2329" s="2" t="str">
        <x:v>MULTICARE GOOD SAMARITAN HOSPITAL</x:v>
      </x:c>
      <x:c r="C2329" s="2" t="str">
        <x:v>PUYALLUP</x:v>
      </x:c>
      <x:c r="D2329" s="2" t="str">
        <x:v>WA</x:v>
      </x:c>
      <x:c r="E2329" s="2" t="str">
        <x:v>Acute Care Hospitals</x:v>
      </x:c>
      <x:c r="F2329" s="2" t="str">
        <x:v>Voluntary non-profit</x:v>
      </x:c>
      <x:c r="G2329" s="2" t="str">
        <x:v>Large (300+ beds)</x:v>
      </x:c>
      <x:c r="H2329" s="7" t="n">
        <x:v>2</x:v>
      </x:c>
      <x:c r="I2329" s="7" t="n">
        <x:v>2</x:v>
      </x:c>
      <x:c r="J2329" s="7" t="n">
        <x:v>0.91</x:v>
      </x:c>
      <x:c r="K2329" s="8" t="n">
        <x:v>314</x:v>
      </x:c>
      <x:c r="L2329" s="8" t="n">
        <x:v>19968</x:v>
      </x:c>
      <x:c r="M2329" s="9" t="n">
        <x:v>0.9703456197</x:v>
      </x:c>
      <x:c r="N2329" s="10" t="n">
        <x:v>40051.8331830929</x:v>
      </x:c>
      <x:c r="O2329" s="9" t="n">
        <x:v>-0.0856394717</x:v>
      </x:c>
      <x:c r="P2329" s="9" t="n">
        <x:v>0.5283911672</x:v>
      </x:c>
      <x:c r="Q2329" s="9" t="n">
        <x:v>0.0536277603</x:v>
      </x:c>
      <x:c r="R2329" s="3" t="b">
        <x:v>0</x:v>
      </x:c>
      <x:c r="S2329" s="3" t="b">
        <x:v>1</x:v>
      </x:c>
      <x:c r="T2329" s="3" t="b">
        <x:v>0</x:v>
      </x:c>
      <x:c r="U2329" s="2" t="str">
        <x:f>IF(T2329=TRUE,"Priority review",IF(R2329=TRUE,"High cost",IF(S2329=TRUE,"Low quality","Benchmark")))</x:f>
        <x:v>Low quality</x:v>
      </x:c>
    </x:row>
    <x:row r="2330">
      <x:c r="A2330" s="2" t="str">
        <x:v>330102</x:v>
      </x:c>
      <x:c r="B2330" s="2" t="str">
        <x:v>KENMORE MERCY HOSPITAL</x:v>
      </x:c>
      <x:c r="C2330" s="2" t="str">
        <x:v>KENMORE</x:v>
      </x:c>
      <x:c r="D2330" s="2" t="str">
        <x:v>NY</x:v>
      </x:c>
      <x:c r="E2330" s="2" t="str">
        <x:v>Acute Care Hospitals</x:v>
      </x:c>
      <x:c r="F2330" s="2" t="str">
        <x:v>Voluntary non-profit</x:v>
      </x:c>
      <x:c r="G2330" s="2" t="str">
        <x:v>Medium (100-299 beds)</x:v>
      </x:c>
      <x:c r="H2330" s="7" t="n">
        <x:v>3</x:v>
      </x:c>
      <x:c r="I2330" s="7" t="n">
        <x:v>3</x:v>
      </x:c>
      <x:c r="J2330" s="7" t="n">
        <x:v>1.02</x:v>
      </x:c>
      <x:c r="K2330" s="8" t="n">
        <x:v>164</x:v>
      </x:c>
      <x:c r="L2330" s="8" t="n">
        <x:v>6044</x:v>
      </x:c>
      <x:c r="M2330" s="9" t="n">
        <x:v>0.4924363588</x:v>
      </x:c>
      <x:c r="N2330" s="10" t="n">
        <x:v>35287.3287557909</x:v>
      </x:c>
      <x:c r="O2330" s="9" t="n">
        <x:v>-0.028032542</x:v>
      </x:c>
      <x:c r="P2330" s="9" t="n">
        <x:v>0.5281173594</x:v>
      </x:c>
      <x:c r="Q2330" s="9" t="n">
        <x:v>0.3023634882</x:v>
      </x:c>
      <x:c r="R2330" s="3" t="b">
        <x:v>0</x:v>
      </x:c>
      <x:c r="S2330" s="3" t="b">
        <x:v>0</x:v>
      </x:c>
      <x:c r="T2330" s="3" t="b">
        <x:v>0</x:v>
      </x:c>
      <x:c r="U2330" s="2" t="str">
        <x:f>IF(T2330=TRUE,"Priority review",IF(R2330=TRUE,"High cost",IF(S2330=TRUE,"Low quality","Benchmark")))</x:f>
        <x:v>Benchmark</x:v>
      </x:c>
    </x:row>
    <x:row r="2331">
      <x:c r="A2331" s="2" t="str">
        <x:v>451399</x:v>
      </x:c>
      <x:c r="B2331" s="2" t="str">
        <x:v>SEYMOUR HOSPITAL</x:v>
      </x:c>
      <x:c r="C2331" s="2" t="str">
        <x:v>SEYMOUR</x:v>
      </x:c>
      <x:c r="D2331" s="2" t="str">
        <x:v>TX</x:v>
      </x:c>
      <x:c r="E2331" s="2" t="str">
        <x:v>Critical Access Hospitals</x:v>
      </x:c>
      <x:c r="F2331" s="2" t="str">
        <x:v>Government</x:v>
      </x:c>
      <x:c r="G2331" s="2" t="str">
        <x:v>Small (&lt;100 beds)</x:v>
      </x:c>
      <x:c r="H2331" s="7"/>
      <x:c r="I2331" s="7"/>
      <x:c r="J2331" s="7"/>
      <x:c r="K2331" s="8" t="n">
        <x:v>25</x:v>
      </x:c>
      <x:c r="L2331" s="8" t="n">
        <x:v>155</x:v>
      </x:c>
      <x:c r="M2331" s="9" t="n">
        <x:v>0.1871780822</x:v>
      </x:c>
      <x:c r="N2331" s="10" t="n">
        <x:v>134970.5935483871</x:v>
      </x:c>
      <x:c r="O2331" s="9" t="n">
        <x:v>-0.2942961167</x:v>
      </x:c>
      <x:c r="P2331" s="9" t="n">
        <x:v>0.5278810409</x:v>
      </x:c>
      <x:c r="Q2331" s="9" t="n">
        <x:v>0.292936803</x:v>
      </x:c>
      <x:c r="R2331" s="3" t="b">
        <x:v>0</x:v>
      </x:c>
      <x:c r="S2331" s="3" t="b">
        <x:v>0</x:v>
      </x:c>
      <x:c r="T2331" s="3" t="b">
        <x:v>0</x:v>
      </x:c>
      <x:c r="U2331" s="2" t="str">
        <x:f>IF(T2331=TRUE,"Priority review",IF(R2331=TRUE,"High cost",IF(S2331=TRUE,"Low quality","Benchmark")))</x:f>
        <x:v>Benchmark</x:v>
      </x:c>
    </x:row>
    <x:row r="2332">
      <x:c r="A2332" s="2" t="str">
        <x:v>390065</x:v>
      </x:c>
      <x:c r="B2332" s="2" t="str">
        <x:v>GETTYSBURG HOSPITAL</x:v>
      </x:c>
      <x:c r="C2332" s="2" t="str">
        <x:v>GETTYSBURG</x:v>
      </x:c>
      <x:c r="D2332" s="2" t="str">
        <x:v>PA</x:v>
      </x:c>
      <x:c r="E2332" s="2" t="str">
        <x:v>Acute Care Hospitals</x:v>
      </x:c>
      <x:c r="F2332" s="2" t="str">
        <x:v>Voluntary non-profit</x:v>
      </x:c>
      <x:c r="G2332" s="2" t="str">
        <x:v>Small (&lt;100 beds)</x:v>
      </x:c>
      <x:c r="H2332" s="7" t="n">
        <x:v>4</x:v>
      </x:c>
      <x:c r="I2332" s="7" t="n">
        <x:v>3</x:v>
      </x:c>
      <x:c r="J2332" s="7" t="n">
        <x:v>0.97</x:v>
      </x:c>
      <x:c r="K2332" s="8" t="n">
        <x:v>76</x:v>
      </x:c>
      <x:c r="L2332" s="8" t="n">
        <x:v>5005</x:v>
      </x:c>
      <x:c r="M2332" s="9" t="n">
        <x:v>0.7656813266</x:v>
      </x:c>
      <x:c r="N2332" s="10" t="n">
        <x:v>54977.3148851149</x:v>
      </x:c>
      <x:c r="O2332" s="9" t="n">
        <x:v>0.1433849675</x:v>
      </x:c>
      <x:c r="P2332" s="9" t="n">
        <x:v>0.5278276481</x:v>
      </x:c>
      <x:c r="Q2332" s="9" t="n">
        <x:v>0.3913824057</x:v>
      </x:c>
      <x:c r="R2332" s="3" t="b">
        <x:v>0</x:v>
      </x:c>
      <x:c r="S2332" s="3" t="b">
        <x:v>0</x:v>
      </x:c>
      <x:c r="T2332" s="3" t="b">
        <x:v>0</x:v>
      </x:c>
      <x:c r="U2332" s="2" t="str">
        <x:f>IF(T2332=TRUE,"Priority review",IF(R2332=TRUE,"High cost",IF(S2332=TRUE,"Low quality","Benchmark")))</x:f>
        <x:v>Benchmark</x:v>
      </x:c>
    </x:row>
    <x:row r="2333">
      <x:c r="A2333" s="2" t="str">
        <x:v>344036</x:v>
      </x:c>
      <x:c r="B2333" s="2" t="str">
        <x:v>IREDELL DAVIS BEHAVIORAL HEALTH HOSPITAL</x:v>
      </x:c>
      <x:c r="C2333" s="2" t="str">
        <x:v>STATESVILLE</x:v>
      </x:c>
      <x:c r="D2333" s="2" t="str">
        <x:v>NC</x:v>
      </x:c>
      <x:c r="E2333" s="2" t="str">
        <x:v>Psychiatric</x:v>
      </x:c>
      <x:c r="F2333" s="2" t="str">
        <x:v>Proprietary</x:v>
      </x:c>
      <x:c r="G2333" s="2" t="str">
        <x:v>Small (&lt;100 beds)</x:v>
      </x:c>
      <x:c r="H2333" s="7"/>
      <x:c r="I2333" s="7"/>
      <x:c r="J2333" s="7"/>
      <x:c r="K2333" s="8" t="n">
        <x:v>42</x:v>
      </x:c>
      <x:c r="L2333" s="8" t="n">
        <x:v>1359</x:v>
      </x:c>
      <x:c r="M2333" s="9" t="n">
        <x:v>0.8647540984</x:v>
      </x:c>
      <x:c r="N2333" s="10" t="n">
        <x:v>12680.2582781457</x:v>
      </x:c>
      <x:c r="O2333" s="9" t="n">
        <x:v>-0.7527663139</x:v>
      </x:c>
      <x:c r="P2333" s="9" t="n">
        <x:v>0.5275080906</x:v>
      </x:c>
      <x:c r="Q2333" s="9" t="n">
        <x:v>0</x:v>
      </x:c>
      <x:c r="R2333" s="3" t="b">
        <x:v>0</x:v>
      </x:c>
      <x:c r="S2333" s="3" t="b">
        <x:v>0</x:v>
      </x:c>
      <x:c r="T2333" s="3" t="b">
        <x:v>0</x:v>
      </x:c>
      <x:c r="U2333" s="2" t="str">
        <x:f>IF(T2333=TRUE,"Priority review",IF(R2333=TRUE,"High cost",IF(S2333=TRUE,"Low quality","Benchmark")))</x:f>
        <x:v>Benchmark</x:v>
      </x:c>
    </x:row>
    <x:row r="2334">
      <x:c r="A2334" s="2" t="str">
        <x:v>504014</x:v>
      </x:c>
      <x:c r="B2334" s="2" t="str">
        <x:v>INLAND NORTHWEST BEHAVIORAL HEALTH</x:v>
      </x:c>
      <x:c r="C2334" s="2" t="str">
        <x:v>SPOKANE</x:v>
      </x:c>
      <x:c r="D2334" s="2" t="str">
        <x:v>WA</x:v>
      </x:c>
      <x:c r="E2334" s="2" t="str">
        <x:v>Psychiatric</x:v>
      </x:c>
      <x:c r="F2334" s="2" t="str">
        <x:v>Proprietary</x:v>
      </x:c>
      <x:c r="G2334" s="2" t="str">
        <x:v>Medium (100-299 beds)</x:v>
      </x:c>
      <x:c r="H2334" s="7"/>
      <x:c r="I2334" s="7"/>
      <x:c r="J2334" s="7"/>
      <x:c r="K2334" s="8" t="n">
        <x:v>100</x:v>
      </x:c>
      <x:c r="L2334" s="8" t="n">
        <x:v>2691</x:v>
      </x:c>
      <x:c r="M2334" s="9" t="n">
        <x:v>0.7336164384</x:v>
      </x:c>
      <x:c r="N2334" s="10" t="n">
        <x:v>12525.6700111483</x:v>
      </x:c>
      <x:c r="O2334" s="9" t="n">
        <x:v>0.3540487605</x:v>
      </x:c>
      <x:c r="P2334" s="9" t="n">
        <x:v>0.5273631841</x:v>
      </x:c>
      <x:c r="Q2334" s="9" t="n">
        <x:v>0</x:v>
      </x:c>
      <x:c r="R2334" s="3" t="b">
        <x:v>0</x:v>
      </x:c>
      <x:c r="S2334" s="3" t="b">
        <x:v>0</x:v>
      </x:c>
      <x:c r="T2334" s="3" t="b">
        <x:v>0</x:v>
      </x:c>
      <x:c r="U2334" s="2" t="str">
        <x:f>IF(T2334=TRUE,"Priority review",IF(R2334=TRUE,"High cost",IF(S2334=TRUE,"Low quality","Benchmark")))</x:f>
        <x:v>Benchmark</x:v>
      </x:c>
    </x:row>
    <x:row r="2335">
      <x:c r="A2335" s="2" t="str">
        <x:v>150113</x:v>
      </x:c>
      <x:c r="B2335" s="2" t="str">
        <x:v>COMMUNITY HOSPITAL OF ANDERSON AND MADISON COUNTY</x:v>
      </x:c>
      <x:c r="C2335" s="2" t="str">
        <x:v>ANDERSON</x:v>
      </x:c>
      <x:c r="D2335" s="2" t="str">
        <x:v>IN</x:v>
      </x:c>
      <x:c r="E2335" s="2" t="str">
        <x:v>Acute Care Hospitals</x:v>
      </x:c>
      <x:c r="F2335" s="2" t="str">
        <x:v>Voluntary non-profit</x:v>
      </x:c>
      <x:c r="G2335" s="2" t="str">
        <x:v>Medium (100-299 beds)</x:v>
      </x:c>
      <x:c r="H2335" s="7" t="n">
        <x:v>3</x:v>
      </x:c>
      <x:c r="I2335" s="7" t="n">
        <x:v>3</x:v>
      </x:c>
      <x:c r="J2335" s="7" t="n">
        <x:v>1.01</x:v>
      </x:c>
      <x:c r="K2335" s="8" t="n">
        <x:v>117</x:v>
      </x:c>
      <x:c r="L2335" s="8" t="n">
        <x:v>6493</x:v>
      </x:c>
      <x:c r="M2335" s="9" t="n">
        <x:v>0.6183970856</x:v>
      </x:c>
      <x:c r="N2335" s="10" t="n">
        <x:v>35269.0552903126</x:v>
      </x:c>
      <x:c r="O2335" s="9" t="n">
        <x:v>0.0107876948</x:v>
      </x:c>
      <x:c r="P2335" s="9" t="n">
        <x:v>0.5273023635</x:v>
      </x:c>
      <x:c r="Q2335" s="9" t="n">
        <x:v>0.3023634882</x:v>
      </x:c>
      <x:c r="R2335" s="3" t="b">
        <x:v>0</x:v>
      </x:c>
      <x:c r="S2335" s="3" t="b">
        <x:v>0</x:v>
      </x:c>
      <x:c r="T2335" s="3" t="b">
        <x:v>0</x:v>
      </x:c>
      <x:c r="U2335" s="2" t="str">
        <x:f>IF(T2335=TRUE,"Priority review",IF(R2335=TRUE,"High cost",IF(S2335=TRUE,"Low quality","Benchmark")))</x:f>
        <x:v>Benchmark</x:v>
      </x:c>
    </x:row>
    <x:row r="2336">
      <x:c r="A2336" s="2" t="str">
        <x:v>501331</x:v>
      </x:c>
      <x:c r="B2336" s="2" t="str">
        <x:v>PULLMAN REGIONAL HOSPITAL</x:v>
      </x:c>
      <x:c r="C2336" s="2" t="str">
        <x:v>PULLMAN</x:v>
      </x:c>
      <x:c r="D2336" s="2" t="str">
        <x:v>WA</x:v>
      </x:c>
      <x:c r="E2336" s="2" t="str">
        <x:v>Critical Access Hospitals</x:v>
      </x:c>
      <x:c r="F2336" s="2" t="str">
        <x:v>Government</x:v>
      </x:c>
      <x:c r="G2336" s="2" t="str">
        <x:v>Small (&lt;100 beds)</x:v>
      </x:c>
      <x:c r="H2336" s="7" t="n">
        <x:v>2</x:v>
      </x:c>
      <x:c r="I2336" s="7" t="n">
        <x:v>4</x:v>
      </x:c>
      <x:c r="J2336" s="7"/>
      <x:c r="K2336" s="8" t="n">
        <x:v>25</x:v>
      </x:c>
      <x:c r="L2336" s="8" t="n">
        <x:v>949</x:v>
      </x:c>
      <x:c r="M2336" s="9" t="n">
        <x:v>0.3723497268</x:v>
      </x:c>
      <x:c r="N2336" s="10" t="n">
        <x:v>134913.0179135933</x:v>
      </x:c>
      <x:c r="O2336" s="9" t="n">
        <x:v>-0.0387020022</x:v>
      </x:c>
      <x:c r="P2336" s="9" t="n">
        <x:v>0.5271375465</x:v>
      </x:c>
      <x:c r="Q2336" s="9" t="n">
        <x:v>0.0171003717</x:v>
      </x:c>
      <x:c r="R2336" s="3" t="b">
        <x:v>0</x:v>
      </x:c>
      <x:c r="S2336" s="3" t="b">
        <x:v>1</x:v>
      </x:c>
      <x:c r="T2336" s="3" t="b">
        <x:v>0</x:v>
      </x:c>
      <x:c r="U2336" s="2" t="str">
        <x:f>IF(T2336=TRUE,"Priority review",IF(R2336=TRUE,"High cost",IF(S2336=TRUE,"Low quality","Benchmark")))</x:f>
        <x:v>Low quality</x:v>
      </x:c>
    </x:row>
    <x:row r="2337">
      <x:c r="A2337" s="2" t="str">
        <x:v>250095</x:v>
      </x:c>
      <x:c r="B2337" s="2" t="str">
        <x:v>SOUTH SUNFLOWER COUNTY HOSPITAL</x:v>
      </x:c>
      <x:c r="C2337" s="2" t="str">
        <x:v>INDIANOLA</x:v>
      </x:c>
      <x:c r="D2337" s="2" t="str">
        <x:v>MS</x:v>
      </x:c>
      <x:c r="E2337" s="2" t="str">
        <x:v>Acute Care Hospitals</x:v>
      </x:c>
      <x:c r="F2337" s="2" t="str">
        <x:v>Government</x:v>
      </x:c>
      <x:c r="G2337" s="2" t="str">
        <x:v>Small (&lt;100 beds)</x:v>
      </x:c>
      <x:c r="H2337" s="7" t="n">
        <x:v>2</x:v>
      </x:c>
      <x:c r="I2337" s="7"/>
      <x:c r="J2337" s="7" t="n">
        <x:v>0.95</x:v>
      </x:c>
      <x:c r="K2337" s="8" t="n">
        <x:v>46</x:v>
      </x:c>
      <x:c r="L2337" s="8" t="n">
        <x:v>608</x:v>
      </x:c>
      <x:c r="M2337" s="9" t="n">
        <x:v>0.2302803516</x:v>
      </x:c>
      <x:c r="N2337" s="10" t="n">
        <x:v>54956.7121710526</x:v>
      </x:c>
      <x:c r="O2337" s="9" t="n">
        <x:v>-0.2826947873</x:v>
      </x:c>
      <x:c r="P2337" s="9" t="n">
        <x:v>0.526929982</x:v>
      </x:c>
      <x:c r="Q2337" s="9" t="n">
        <x:v>0.0350089767</x:v>
      </x:c>
      <x:c r="R2337" s="3" t="b">
        <x:v>0</x:v>
      </x:c>
      <x:c r="S2337" s="3" t="b">
        <x:v>1</x:v>
      </x:c>
      <x:c r="T2337" s="3" t="b">
        <x:v>0</x:v>
      </x:c>
      <x:c r="U2337" s="2" t="str">
        <x:f>IF(T2337=TRUE,"Priority review",IF(R2337=TRUE,"High cost",IF(S2337=TRUE,"Low quality","Benchmark")))</x:f>
        <x:v>Low quality</x:v>
      </x:c>
    </x:row>
    <x:row r="2338">
      <x:c r="A2338" s="2" t="str">
        <x:v>060028</x:v>
      </x:c>
      <x:c r="B2338" s="2" t="str">
        <x:v>SAINT JOSEPH HOSPITAL</x:v>
      </x:c>
      <x:c r="C2338" s="2" t="str">
        <x:v>DENVER</x:v>
      </x:c>
      <x:c r="D2338" s="2" t="str">
        <x:v>CO</x:v>
      </x:c>
      <x:c r="E2338" s="2" t="str">
        <x:v>Acute Care Hospitals</x:v>
      </x:c>
      <x:c r="F2338" s="2" t="str">
        <x:v>Voluntary non-profit</x:v>
      </x:c>
      <x:c r="G2338" s="2" t="str">
        <x:v>Large (300+ beds)</x:v>
      </x:c>
      <x:c r="H2338" s="7" t="n">
        <x:v>5</x:v>
      </x:c>
      <x:c r="I2338" s="7" t="n">
        <x:v>4</x:v>
      </x:c>
      <x:c r="J2338" s="7" t="n">
        <x:v>0.96</x:v>
      </x:c>
      <x:c r="K2338" s="8" t="n">
        <x:v>352</x:v>
      </x:c>
      <x:c r="L2338" s="8" t="n">
        <x:v>15746</x:v>
      </x:c>
      <x:c r="M2338" s="9" t="n">
        <x:v>0.5963425236</x:v>
      </x:c>
      <x:c r="N2338" s="10" t="n">
        <x:v>39918.1171091071</x:v>
      </x:c>
      <x:c r="O2338" s="9" t="n">
        <x:v>-0.0292937254</x:v>
      </x:c>
      <x:c r="P2338" s="9" t="n">
        <x:v>0.5268138801</x:v>
      </x:c>
      <x:c r="Q2338" s="9" t="n">
        <x:v>0.8722397476</x:v>
      </x:c>
      <x:c r="R2338" s="3" t="b">
        <x:v>0</x:v>
      </x:c>
      <x:c r="S2338" s="3" t="b">
        <x:v>0</x:v>
      </x:c>
      <x:c r="T2338" s="3" t="b">
        <x:v>0</x:v>
      </x:c>
      <x:c r="U2338" s="2" t="str">
        <x:f>IF(T2338=TRUE,"Priority review",IF(R2338=TRUE,"High cost",IF(S2338=TRUE,"Low quality","Benchmark")))</x:f>
        <x:v>Benchmark</x:v>
      </x:c>
    </x:row>
    <x:row r="2339">
      <x:c r="A2339" s="2" t="str">
        <x:v>110168</x:v>
      </x:c>
      <x:c r="B2339" s="2" t="str">
        <x:v>ADVENTHEALTH REDMOND</x:v>
      </x:c>
      <x:c r="C2339" s="2" t="str">
        <x:v>ROME</x:v>
      </x:c>
      <x:c r="D2339" s="2" t="str">
        <x:v>GA</x:v>
      </x:c>
      <x:c r="E2339" s="2" t="str">
        <x:v>Acute Care Hospitals</x:v>
      </x:c>
      <x:c r="F2339" s="2" t="str">
        <x:v>Proprietary</x:v>
      </x:c>
      <x:c r="G2339" s="2" t="str">
        <x:v>Medium (100-299 beds)</x:v>
      </x:c>
      <x:c r="H2339" s="7" t="n">
        <x:v>4</x:v>
      </x:c>
      <x:c r="I2339" s="7" t="n">
        <x:v>3</x:v>
      </x:c>
      <x:c r="J2339" s="7" t="n">
        <x:v>0.97</x:v>
      </x:c>
      <x:c r="K2339" s="8" t="n">
        <x:v>210</x:v>
      </x:c>
      <x:c r="L2339" s="8" t="n">
        <x:v>12070</x:v>
      </x:c>
      <x:c r="M2339" s="9" t="n">
        <x:v>0.7423352903</x:v>
      </x:c>
      <x:c r="N2339" s="10" t="n">
        <x:v>35193.8870753935</x:v>
      </x:c>
      <x:c r="O2339" s="9" t="n">
        <x:v>-0.1337396012</x:v>
      </x:c>
      <x:c r="P2339" s="9" t="n">
        <x:v>0.5264873676</x:v>
      </x:c>
      <x:c r="Q2339" s="9" t="n">
        <x:v>0.6022819886</x:v>
      </x:c>
      <x:c r="R2339" s="3" t="b">
        <x:v>0</x:v>
      </x:c>
      <x:c r="S2339" s="3" t="b">
        <x:v>0</x:v>
      </x:c>
      <x:c r="T2339" s="3" t="b">
        <x:v>0</x:v>
      </x:c>
      <x:c r="U2339" s="2" t="str">
        <x:f>IF(T2339=TRUE,"Priority review",IF(R2339=TRUE,"High cost",IF(S2339=TRUE,"Low quality","Benchmark")))</x:f>
        <x:v>Benchmark</x:v>
      </x:c>
    </x:row>
    <x:row r="2340">
      <x:c r="A2340" s="2" t="str">
        <x:v>521358</x:v>
      </x:c>
      <x:c r="B2340" s="2" t="str">
        <x:v>DOOR COUNTY MEDICAL CENTER</x:v>
      </x:c>
      <x:c r="C2340" s="2" t="str">
        <x:v>STURGEON BAY</x:v>
      </x:c>
      <x:c r="D2340" s="2" t="str">
        <x:v>WI</x:v>
      </x:c>
      <x:c r="E2340" s="2" t="str">
        <x:v>Critical Access Hospitals</x:v>
      </x:c>
      <x:c r="F2340" s="2" t="str">
        <x:v>Voluntary non-profit</x:v>
      </x:c>
      <x:c r="G2340" s="2" t="str">
        <x:v>Small (&lt;100 beds)</x:v>
      </x:c>
      <x:c r="H2340" s="7" t="n">
        <x:v>4</x:v>
      </x:c>
      <x:c r="I2340" s="7" t="n">
        <x:v>5</x:v>
      </x:c>
      <x:c r="J2340" s="7"/>
      <x:c r="K2340" s="8" t="n">
        <x:v>25</x:v>
      </x:c>
      <x:c r="L2340" s="8" t="n">
        <x:v>864</x:v>
      </x:c>
      <x:c r="M2340" s="9" t="n">
        <x:v>0.3762191781</x:v>
      </x:c>
      <x:c r="N2340" s="10" t="n">
        <x:v>134672.7569444444</x:v>
      </x:c>
      <x:c r="O2340" s="9" t="n">
        <x:v>0.0089627022</x:v>
      </x:c>
      <x:c r="P2340" s="9" t="n">
        <x:v>0.526394052</x:v>
      </x:c>
      <x:c r="Q2340" s="9" t="n">
        <x:v>0.1657992565</x:v>
      </x:c>
      <x:c r="R2340" s="3" t="b">
        <x:v>0</x:v>
      </x:c>
      <x:c r="S2340" s="3" t="b">
        <x:v>0</x:v>
      </x:c>
      <x:c r="T2340" s="3" t="b">
        <x:v>0</x:v>
      </x:c>
      <x:c r="U2340" s="2" t="str">
        <x:f>IF(T2340=TRUE,"Priority review",IF(R2340=TRUE,"High cost",IF(S2340=TRUE,"Low quality","Benchmark")))</x:f>
        <x:v>Benchmark</x:v>
      </x:c>
    </x:row>
    <x:row r="2341">
      <x:c r="A2341" s="2" t="str">
        <x:v>250006</x:v>
      </x:c>
      <x:c r="B2341" s="2" t="str">
        <x:v>BAPTIST MEMORIAL HOSPITAL UNION COUNTY</x:v>
      </x:c>
      <x:c r="C2341" s="2" t="str">
        <x:v>NEW ALBANY</x:v>
      </x:c>
      <x:c r="D2341" s="2" t="str">
        <x:v>MS</x:v>
      </x:c>
      <x:c r="E2341" s="2" t="str">
        <x:v>Acute Care Hospitals</x:v>
      </x:c>
      <x:c r="F2341" s="2" t="str">
        <x:v>Voluntary non-profit</x:v>
      </x:c>
      <x:c r="G2341" s="2" t="str">
        <x:v>Small (&lt;100 beds)</x:v>
      </x:c>
      <x:c r="H2341" s="7" t="n">
        <x:v>4</x:v>
      </x:c>
      <x:c r="I2341" s="7" t="n">
        <x:v>4</x:v>
      </x:c>
      <x:c r="J2341" s="7" t="n">
        <x:v>0.98</x:v>
      </x:c>
      <x:c r="K2341" s="8" t="n">
        <x:v>83</x:v>
      </x:c>
      <x:c r="L2341" s="8" t="n">
        <x:v>2988</x:v>
      </x:c>
      <x:c r="M2341" s="9" t="n">
        <x:v>0.3949568767</x:v>
      </x:c>
      <x:c r="N2341" s="10" t="n">
        <x:v>54855.5478580991</x:v>
      </x:c>
      <x:c r="O2341" s="9" t="n">
        <x:v>0.2152364837</x:v>
      </x:c>
      <x:c r="P2341" s="9" t="n">
        <x:v>0.526032316</x:v>
      </x:c>
      <x:c r="Q2341" s="9" t="n">
        <x:v>0.3913824057</x:v>
      </x:c>
      <x:c r="R2341" s="3" t="b">
        <x:v>0</x:v>
      </x:c>
      <x:c r="S2341" s="3" t="b">
        <x:v>0</x:v>
      </x:c>
      <x:c r="T2341" s="3" t="b">
        <x:v>0</x:v>
      </x:c>
      <x:c r="U2341" s="2" t="str">
        <x:f>IF(T2341=TRUE,"Priority review",IF(R2341=TRUE,"High cost",IF(S2341=TRUE,"Low quality","Benchmark")))</x:f>
        <x:v>Benchmark</x:v>
      </x:c>
    </x:row>
    <x:row r="2342">
      <x:c r="A2342" s="2" t="str">
        <x:v>050179</x:v>
      </x:c>
      <x:c r="B2342" s="2" t="str">
        <x:v>EMANUEL MEDICAL CENTER</x:v>
      </x:c>
      <x:c r="C2342" s="2" t="str">
        <x:v>TURLOCK</x:v>
      </x:c>
      <x:c r="D2342" s="2" t="str">
        <x:v>CA</x:v>
      </x:c>
      <x:c r="E2342" s="2" t="str">
        <x:v>Acute Care Hospitals</x:v>
      </x:c>
      <x:c r="F2342" s="2" t="str">
        <x:v>Proprietary</x:v>
      </x:c>
      <x:c r="G2342" s="2" t="str">
        <x:v>Medium (100-299 beds)</x:v>
      </x:c>
      <x:c r="H2342" s="7" t="n">
        <x:v>2</x:v>
      </x:c>
      <x:c r="I2342" s="7" t="n">
        <x:v>2</x:v>
      </x:c>
      <x:c r="J2342" s="7" t="n">
        <x:v>0.95</x:v>
      </x:c>
      <x:c r="K2342" s="8" t="n">
        <x:v>209</x:v>
      </x:c>
      <x:c r="L2342" s="8" t="n">
        <x:v>8172</x:v>
      </x:c>
      <x:c r="M2342" s="9" t="n">
        <x:v>0.432373781</x:v>
      </x:c>
      <x:c r="N2342" s="10" t="n">
        <x:v>35157.5258198727</x:v>
      </x:c>
      <x:c r="O2342" s="9" t="n">
        <x:v>0.1439394367</x:v>
      </x:c>
      <x:c r="P2342" s="9" t="n">
        <x:v>0.5256723716</x:v>
      </x:c>
      <x:c r="Q2342" s="9" t="n">
        <x:v>0.0782396088</x:v>
      </x:c>
      <x:c r="R2342" s="3" t="b">
        <x:v>0</x:v>
      </x:c>
      <x:c r="S2342" s="3" t="b">
        <x:v>1</x:v>
      </x:c>
      <x:c r="T2342" s="3" t="b">
        <x:v>0</x:v>
      </x:c>
      <x:c r="U2342" s="2" t="str">
        <x:f>IF(T2342=TRUE,"Priority review",IF(R2342=TRUE,"High cost",IF(S2342=TRUE,"Low quality","Benchmark")))</x:f>
        <x:v>Low quality</x:v>
      </x:c>
    </x:row>
    <x:row r="2343">
      <x:c r="A2343" s="2" t="str">
        <x:v>281363</x:v>
      </x:c>
      <x:c r="B2343" s="2" t="str">
        <x:v>COMMUNITY HOSPITAL</x:v>
      </x:c>
      <x:c r="C2343" s="2" t="str">
        <x:v>MCCOOK</x:v>
      </x:c>
      <x:c r="D2343" s="2" t="str">
        <x:v>NE</x:v>
      </x:c>
      <x:c r="E2343" s="2" t="str">
        <x:v>Critical Access Hospitals</x:v>
      </x:c>
      <x:c r="F2343" s="2" t="str">
        <x:v>Voluntary non-profit</x:v>
      </x:c>
      <x:c r="G2343" s="2" t="str">
        <x:v>Small (&lt;100 beds)</x:v>
      </x:c>
      <x:c r="H2343" s="7" t="n">
        <x:v>3</x:v>
      </x:c>
      <x:c r="I2343" s="7"/>
      <x:c r="J2343" s="7"/>
      <x:c r="K2343" s="8" t="n">
        <x:v>25</x:v>
      </x:c>
      <x:c r="L2343" s="8" t="n">
        <x:v>600</x:v>
      </x:c>
      <x:c r="M2343" s="9" t="n">
        <x:v>0.1686575342</x:v>
      </x:c>
      <x:c r="N2343" s="10" t="n">
        <x:v>134660.0833333333</x:v>
      </x:c>
      <x:c r="O2343" s="9" t="n">
        <x:v>-0.0371071194</x:v>
      </x:c>
      <x:c r="P2343" s="9" t="n">
        <x:v>0.5256505576</x:v>
      </x:c>
      <x:c r="Q2343" s="9" t="n">
        <x:v>0.0765799257</x:v>
      </x:c>
      <x:c r="R2343" s="3" t="b">
        <x:v>0</x:v>
      </x:c>
      <x:c r="S2343" s="3" t="b">
        <x:v>1</x:v>
      </x:c>
      <x:c r="T2343" s="3" t="b">
        <x:v>0</x:v>
      </x:c>
      <x:c r="U2343" s="2" t="str">
        <x:f>IF(T2343=TRUE,"Priority review",IF(R2343=TRUE,"High cost",IF(S2343=TRUE,"Low quality","Benchmark")))</x:f>
        <x:v>Low quality</x:v>
      </x:c>
    </x:row>
    <x:row r="2344">
      <x:c r="A2344" s="2" t="str">
        <x:v>520089</x:v>
      </x:c>
      <x:c r="B2344" s="2" t="str">
        <x:v>UNITYPOINT HEALTH - MERITER</x:v>
      </x:c>
      <x:c r="C2344" s="2" t="str">
        <x:v>MADISON</x:v>
      </x:c>
      <x:c r="D2344" s="2" t="str">
        <x:v>WI</x:v>
      </x:c>
      <x:c r="E2344" s="2" t="str">
        <x:v>Acute Care Hospitals</x:v>
      </x:c>
      <x:c r="F2344" s="2" t="str">
        <x:v>Voluntary non-profit</x:v>
      </x:c>
      <x:c r="G2344" s="2" t="str">
        <x:v>Large (300+ beds)</x:v>
      </x:c>
      <x:c r="H2344" s="7" t="n">
        <x:v>5</x:v>
      </x:c>
      <x:c r="I2344" s="7" t="n">
        <x:v>4</x:v>
      </x:c>
      <x:c r="J2344" s="7" t="n">
        <x:v>0.93</x:v>
      </x:c>
      <x:c r="K2344" s="8" t="n">
        <x:v>332</x:v>
      </x:c>
      <x:c r="L2344" s="8" t="n">
        <x:v>15969</x:v>
      </x:c>
      <x:c r="M2344" s="9" t="n">
        <x:v>0.6793238528</x:v>
      </x:c>
      <x:c r="N2344" s="10" t="n">
        <x:v>39850.4798046215</x:v>
      </x:c>
      <x:c r="O2344" s="9" t="n">
        <x:v>-0.0721606858</x:v>
      </x:c>
      <x:c r="P2344" s="9" t="n">
        <x:v>0.5252365931</x:v>
      </x:c>
      <x:c r="Q2344" s="9" t="n">
        <x:v>0.8722397476</x:v>
      </x:c>
      <x:c r="R2344" s="3" t="b">
        <x:v>0</x:v>
      </x:c>
      <x:c r="S2344" s="3" t="b">
        <x:v>0</x:v>
      </x:c>
      <x:c r="T2344" s="3" t="b">
        <x:v>0</x:v>
      </x:c>
      <x:c r="U2344" s="2" t="str">
        <x:f>IF(T2344=TRUE,"Priority review",IF(R2344=TRUE,"High cost",IF(S2344=TRUE,"Low quality","Benchmark")))</x:f>
        <x:v>Benchmark</x:v>
      </x:c>
    </x:row>
    <x:row r="2345">
      <x:c r="A2345" s="2" t="str">
        <x:v>150075</x:v>
      </x:c>
      <x:c r="B2345" s="2" t="str">
        <x:v>BLUFFTON REGIONAL MEDICAL CENTER</x:v>
      </x:c>
      <x:c r="C2345" s="2" t="str">
        <x:v>BLUFFTON</x:v>
      </x:c>
      <x:c r="D2345" s="2" t="str">
        <x:v>IN</x:v>
      </x:c>
      <x:c r="E2345" s="2" t="str">
        <x:v>Acute Care Hospitals</x:v>
      </x:c>
      <x:c r="F2345" s="2" t="str">
        <x:v>Proprietary</x:v>
      </x:c>
      <x:c r="G2345" s="2" t="str">
        <x:v>Small (&lt;100 beds)</x:v>
      </x:c>
      <x:c r="H2345" s="7" t="n">
        <x:v>4</x:v>
      </x:c>
      <x:c r="I2345" s="7"/>
      <x:c r="J2345" s="7" t="n">
        <x:v>0.95</x:v>
      </x:c>
      <x:c r="K2345" s="8" t="n">
        <x:v>45</x:v>
      </x:c>
      <x:c r="L2345" s="8" t="n">
        <x:v>729</x:v>
      </x:c>
      <x:c r="M2345" s="9" t="n">
        <x:v>0.2369763206</x:v>
      </x:c>
      <x:c r="N2345" s="10" t="n">
        <x:v>54842.4842249657</x:v>
      </x:c>
      <x:c r="O2345" s="9" t="n">
        <x:v>-0.261442971</x:v>
      </x:c>
      <x:c r="P2345" s="9" t="n">
        <x:v>0.5251346499</x:v>
      </x:c>
      <x:c r="Q2345" s="9" t="n">
        <x:v>0.3913824057</x:v>
      </x:c>
      <x:c r="R2345" s="3" t="b">
        <x:v>0</x:v>
      </x:c>
      <x:c r="S2345" s="3" t="b">
        <x:v>0</x:v>
      </x:c>
      <x:c r="T2345" s="3" t="b">
        <x:v>0</x:v>
      </x:c>
      <x:c r="U2345" s="2" t="str">
        <x:f>IF(T2345=TRUE,"Priority review",IF(R2345=TRUE,"High cost",IF(S2345=TRUE,"Low quality","Benchmark")))</x:f>
        <x:v>Benchmark</x:v>
      </x:c>
    </x:row>
    <x:row r="2346">
      <x:c r="A2346" s="2" t="str">
        <x:v>431332</x:v>
      </x:c>
      <x:c r="B2346" s="2" t="str">
        <x:v>AVERA DE SMET MEMORIAL HOSPITAL - CAH</x:v>
      </x:c>
      <x:c r="C2346" s="2" t="str">
        <x:v>DE SMET</x:v>
      </x:c>
      <x:c r="D2346" s="2" t="str">
        <x:v>SD</x:v>
      </x:c>
      <x:c r="E2346" s="2" t="str">
        <x:v>Critical Access Hospitals</x:v>
      </x:c>
      <x:c r="F2346" s="2" t="str">
        <x:v>Voluntary non-profit</x:v>
      </x:c>
      <x:c r="G2346" s="2" t="str">
        <x:v>Small (&lt;100 beds)</x:v>
      </x:c>
      <x:c r="H2346" s="7"/>
      <x:c r="I2346" s="7"/>
      <x:c r="J2346" s="7"/>
      <x:c r="K2346" s="8" t="n">
        <x:v>6</x:v>
      </x:c>
      <x:c r="L2346" s="8" t="n">
        <x:v>59</x:v>
      </x:c>
      <x:c r="M2346" s="9" t="n">
        <x:v>0.104109589</x:v>
      </x:c>
      <x:c r="N2346" s="10" t="n">
        <x:v>134624.813559322</x:v>
      </x:c>
      <x:c r="O2346" s="9" t="n">
        <x:v>0.1225195951</x:v>
      </x:c>
      <x:c r="P2346" s="9" t="n">
        <x:v>0.5249070632</x:v>
      </x:c>
      <x:c r="Q2346" s="9" t="n">
        <x:v>0.292936803</x:v>
      </x:c>
      <x:c r="R2346" s="3" t="b">
        <x:v>0</x:v>
      </x:c>
      <x:c r="S2346" s="3" t="b">
        <x:v>0</x:v>
      </x:c>
      <x:c r="T2346" s="3" t="b">
        <x:v>0</x:v>
      </x:c>
      <x:c r="U2346" s="2" t="str">
        <x:f>IF(T2346=TRUE,"Priority review",IF(R2346=TRUE,"High cost",IF(S2346=TRUE,"Low quality","Benchmark")))</x:f>
        <x:v>Benchmark</x:v>
      </x:c>
    </x:row>
    <x:row r="2347">
      <x:c r="A2347" s="2" t="str">
        <x:v>310111</x:v>
      </x:c>
      <x:c r="B2347" s="2" t="str">
        <x:v>CENTRASTATE MEDICAL CENTER</x:v>
      </x:c>
      <x:c r="C2347" s="2" t="str">
        <x:v>FREEHOLD</x:v>
      </x:c>
      <x:c r="D2347" s="2" t="str">
        <x:v>NJ</x:v>
      </x:c>
      <x:c r="E2347" s="2" t="str">
        <x:v>Acute Care Hospitals</x:v>
      </x:c>
      <x:c r="F2347" s="2" t="str">
        <x:v>Voluntary non-profit</x:v>
      </x:c>
      <x:c r="G2347" s="2" t="str">
        <x:v>Medium (100-299 beds)</x:v>
      </x:c>
      <x:c r="H2347" s="7" t="n">
        <x:v>4</x:v>
      </x:c>
      <x:c r="I2347" s="7" t="n">
        <x:v>3</x:v>
      </x:c>
      <x:c r="J2347" s="7" t="n">
        <x:v>1.07</x:v>
      </x:c>
      <x:c r="K2347" s="8" t="n">
        <x:v>241</x:v>
      </x:c>
      <x:c r="L2347" s="8" t="n">
        <x:v>11530</x:v>
      </x:c>
      <x:c r="M2347" s="9" t="n">
        <x:v>0.6993855293</x:v>
      </x:c>
      <x:c r="N2347" s="10" t="n">
        <x:v>35122.2324371206</x:v>
      </x:c>
      <x:c r="O2347" s="9" t="n">
        <x:v>-0.0619060647</x:v>
      </x:c>
      <x:c r="P2347" s="9" t="n">
        <x:v>0.5248573757</x:v>
      </x:c>
      <x:c r="Q2347" s="9" t="n">
        <x:v>0.6022819886</x:v>
      </x:c>
      <x:c r="R2347" s="3" t="b">
        <x:v>0</x:v>
      </x:c>
      <x:c r="S2347" s="3" t="b">
        <x:v>0</x:v>
      </x:c>
      <x:c r="T2347" s="3" t="b">
        <x:v>0</x:v>
      </x:c>
      <x:c r="U2347" s="2" t="str">
        <x:f>IF(T2347=TRUE,"Priority review",IF(R2347=TRUE,"High cost",IF(S2347=TRUE,"Low quality","Benchmark")))</x:f>
        <x:v>Benchmark</x:v>
      </x:c>
    </x:row>
    <x:row r="2348">
      <x:c r="A2348" s="2" t="str">
        <x:v>014018</x:v>
      </x:c>
      <x:c r="B2348" s="2" t="str">
        <x:v>UNITY PSYCHIATRIC CARE - HUNTSVILLE</x:v>
      </x:c>
      <x:c r="C2348" s="2" t="str">
        <x:v>HUNTSVILLE</x:v>
      </x:c>
      <x:c r="D2348" s="2" t="str">
        <x:v>AL</x:v>
      </x:c>
      <x:c r="E2348" s="2" t="str">
        <x:v>Psychiatric</x:v>
      </x:c>
      <x:c r="F2348" s="2" t="str">
        <x:v>Proprietary</x:v>
      </x:c>
      <x:c r="G2348" s="2" t="str">
        <x:v>Small (&lt;100 beds)</x:v>
      </x:c>
      <x:c r="H2348" s="7"/>
      <x:c r="I2348" s="7"/>
      <x:c r="J2348" s="7"/>
      <x:c r="K2348" s="8" t="n">
        <x:v>20</x:v>
      </x:c>
      <x:c r="L2348" s="8" t="n">
        <x:v>381</x:v>
      </x:c>
      <x:c r="M2348" s="9" t="n">
        <x:v>0.8424863388</x:v>
      </x:c>
      <x:c r="N2348" s="10" t="n">
        <x:v>12641.6955380577</x:v>
      </x:c>
      <x:c r="O2348" s="9" t="n">
        <x:v>0.1186266309</x:v>
      </x:c>
      <x:c r="P2348" s="9" t="n">
        <x:v>0.5242718447</x:v>
      </x:c>
      <x:c r="Q2348" s="9" t="n">
        <x:v>0</x:v>
      </x:c>
      <x:c r="R2348" s="3" t="b">
        <x:v>0</x:v>
      </x:c>
      <x:c r="S2348" s="3" t="b">
        <x:v>0</x:v>
      </x:c>
      <x:c r="T2348" s="3" t="b">
        <x:v>0</x:v>
      </x:c>
      <x:c r="U2348" s="2" t="str">
        <x:f>IF(T2348=TRUE,"Priority review",IF(R2348=TRUE,"High cost",IF(S2348=TRUE,"Low quality","Benchmark")))</x:f>
        <x:v>Benchmark</x:v>
      </x:c>
    </x:row>
    <x:row r="2349">
      <x:c r="A2349" s="2" t="str">
        <x:v>390160</x:v>
      </x:c>
      <x:c r="B2349" s="2" t="str">
        <x:v>CANONSBURG GENERAL HOSPITAL</x:v>
      </x:c>
      <x:c r="C2349" s="2" t="str">
        <x:v>CANONSBURG</x:v>
      </x:c>
      <x:c r="D2349" s="2" t="str">
        <x:v>PA</x:v>
      </x:c>
      <x:c r="E2349" s="2" t="str">
        <x:v>Acute Care Hospitals</x:v>
      </x:c>
      <x:c r="F2349" s="2" t="str">
        <x:v>Voluntary non-profit</x:v>
      </x:c>
      <x:c r="G2349" s="2" t="str">
        <x:v>Small (&lt;100 beds)</x:v>
      </x:c>
      <x:c r="H2349" s="7" t="n">
        <x:v>3</x:v>
      </x:c>
      <x:c r="I2349" s="7" t="n">
        <x:v>4</x:v>
      </x:c>
      <x:c r="J2349" s="7" t="n">
        <x:v>1.04</x:v>
      </x:c>
      <x:c r="K2349" s="8" t="n">
        <x:v>88</x:v>
      </x:c>
      <x:c r="L2349" s="8" t="n">
        <x:v>1214</x:v>
      </x:c>
      <x:c r="M2349" s="9" t="n">
        <x:v>0.1476961395</x:v>
      </x:c>
      <x:c r="N2349" s="10" t="n">
        <x:v>54560.3286655684</x:v>
      </x:c>
      <x:c r="O2349" s="9" t="n">
        <x:v>0.0886775236</x:v>
      </x:c>
      <x:c r="P2349" s="9" t="n">
        <x:v>0.5242369838</x:v>
      </x:c>
      <x:c r="Q2349" s="9" t="n">
        <x:v>0.1687612208</x:v>
      </x:c>
      <x:c r="R2349" s="3" t="b">
        <x:v>0</x:v>
      </x:c>
      <x:c r="S2349" s="3" t="b">
        <x:v>0</x:v>
      </x:c>
      <x:c r="T2349" s="3" t="b">
        <x:v>0</x:v>
      </x:c>
      <x:c r="U2349" s="2" t="str">
        <x:f>IF(T2349=TRUE,"Priority review",IF(R2349=TRUE,"High cost",IF(S2349=TRUE,"Low quality","Benchmark")))</x:f>
        <x:v>Benchmark</x:v>
      </x:c>
    </x:row>
    <x:row r="2350">
      <x:c r="A2350" s="2" t="str">
        <x:v>431338</x:v>
      </x:c>
      <x:c r="B2350" s="2" t="str">
        <x:v>AVERA GREGORY HOSPITAL</x:v>
      </x:c>
      <x:c r="C2350" s="2" t="str">
        <x:v>GREGORY</x:v>
      </x:c>
      <x:c r="D2350" s="2" t="str">
        <x:v>SD</x:v>
      </x:c>
      <x:c r="E2350" s="2" t="str">
        <x:v>Critical Access Hospitals</x:v>
      </x:c>
      <x:c r="F2350" s="2" t="str">
        <x:v>Voluntary non-profit</x:v>
      </x:c>
      <x:c r="G2350" s="2" t="str">
        <x:v>Small (&lt;100 beds)</x:v>
      </x:c>
      <x:c r="H2350" s="7"/>
      <x:c r="I2350" s="7"/>
      <x:c r="J2350" s="7"/>
      <x:c r="K2350" s="8" t="n">
        <x:v>13</x:v>
      </x:c>
      <x:c r="L2350" s="8" t="n">
        <x:v>204</x:v>
      </x:c>
      <x:c r="M2350" s="9" t="n">
        <x:v>0.2948366702</x:v>
      </x:c>
      <x:c r="N2350" s="10" t="n">
        <x:v>134382.6519607843</x:v>
      </x:c>
      <x:c r="O2350" s="9" t="n">
        <x:v>-0.1806416968</x:v>
      </x:c>
      <x:c r="P2350" s="9" t="n">
        <x:v>0.5241635688</x:v>
      </x:c>
      <x:c r="Q2350" s="9" t="n">
        <x:v>0.292936803</x:v>
      </x:c>
      <x:c r="R2350" s="3" t="b">
        <x:v>0</x:v>
      </x:c>
      <x:c r="S2350" s="3" t="b">
        <x:v>0</x:v>
      </x:c>
      <x:c r="T2350" s="3" t="b">
        <x:v>0</x:v>
      </x:c>
      <x:c r="U2350" s="2" t="str">
        <x:f>IF(T2350=TRUE,"Priority review",IF(R2350=TRUE,"High cost",IF(S2350=TRUE,"Low quality","Benchmark")))</x:f>
        <x:v>Benchmark</x:v>
      </x:c>
    </x:row>
    <x:row r="2351">
      <x:c r="A2351" s="2" t="str">
        <x:v>330239</x:v>
      </x:c>
      <x:c r="B2351" s="2" t="str">
        <x:v>UPMC CHAUTAUQUA AT WCA</x:v>
      </x:c>
      <x:c r="C2351" s="2" t="str">
        <x:v>JAMESTOWN</x:v>
      </x:c>
      <x:c r="D2351" s="2" t="str">
        <x:v>NY</x:v>
      </x:c>
      <x:c r="E2351" s="2" t="str">
        <x:v>Acute Care Hospitals</x:v>
      </x:c>
      <x:c r="F2351" s="2" t="str">
        <x:v>Voluntary non-profit</x:v>
      </x:c>
      <x:c r="G2351" s="2" t="str">
        <x:v>Medium (100-299 beds)</x:v>
      </x:c>
      <x:c r="H2351" s="7" t="n">
        <x:v>2</x:v>
      </x:c>
      <x:c r="I2351" s="7" t="n">
        <x:v>3</x:v>
      </x:c>
      <x:c r="J2351" s="7" t="n">
        <x:v>0.96</x:v>
      </x:c>
      <x:c r="K2351" s="8" t="n">
        <x:v>257</x:v>
      </x:c>
      <x:c r="L2351" s="8" t="n">
        <x:v>4620</x:v>
      </x:c>
      <x:c r="M2351" s="9" t="n">
        <x:v>0.2515574834</x:v>
      </x:c>
      <x:c r="N2351" s="10" t="n">
        <x:v>35119.5666666667</x:v>
      </x:c>
      <x:c r="O2351" s="9" t="n">
        <x:v>0.0078712285</x:v>
      </x:c>
      <x:c r="P2351" s="9" t="n">
        <x:v>0.5240423798</x:v>
      </x:c>
      <x:c r="Q2351" s="9" t="n">
        <x:v>0.0782396088</x:v>
      </x:c>
      <x:c r="R2351" s="3" t="b">
        <x:v>0</x:v>
      </x:c>
      <x:c r="S2351" s="3" t="b">
        <x:v>1</x:v>
      </x:c>
      <x:c r="T2351" s="3" t="b">
        <x:v>0</x:v>
      </x:c>
      <x:c r="U2351" s="2" t="str">
        <x:f>IF(T2351=TRUE,"Priority review",IF(R2351=TRUE,"High cost",IF(S2351=TRUE,"Low quality","Benchmark")))</x:f>
        <x:v>Low quality</x:v>
      </x:c>
    </x:row>
    <x:row r="2352">
      <x:c r="A2352" s="2" t="str">
        <x:v>030002</x:v>
      </x:c>
      <x:c r="B2352" s="2" t="str">
        <x:v>BANNER - UNIVERSITY MEDICAL CENTER PHOENIX</x:v>
      </x:c>
      <x:c r="C2352" s="2" t="str">
        <x:v>PHOENIX</x:v>
      </x:c>
      <x:c r="D2352" s="2" t="str">
        <x:v>AZ</x:v>
      </x:c>
      <x:c r="E2352" s="2" t="str">
        <x:v>Acute Care Hospitals</x:v>
      </x:c>
      <x:c r="F2352" s="2" t="str">
        <x:v>Voluntary non-profit</x:v>
      </x:c>
      <x:c r="G2352" s="2" t="str">
        <x:v>Large (300+ beds)</x:v>
      </x:c>
      <x:c r="H2352" s="7" t="n">
        <x:v>3</x:v>
      </x:c>
      <x:c r="I2352" s="7" t="n">
        <x:v>2</x:v>
      </x:c>
      <x:c r="J2352" s="7" t="n">
        <x:v>1</x:v>
      </x:c>
      <x:c r="K2352" s="8" t="n">
        <x:v>656</x:v>
      </x:c>
      <x:c r="L2352" s="8" t="n">
        <x:v>34658</x:v>
      </x:c>
      <x:c r="M2352" s="9" t="n">
        <x:v>0.8960066486</x:v>
      </x:c>
      <x:c r="N2352" s="10" t="n">
        <x:v>39726.4040914075</x:v>
      </x:c>
      <x:c r="O2352" s="9" t="n">
        <x:v>0.0552633793</x:v>
      </x:c>
      <x:c r="P2352" s="9" t="n">
        <x:v>0.523659306</x:v>
      </x:c>
      <x:c r="Q2352" s="9" t="n">
        <x:v>0.2570977918</x:v>
      </x:c>
      <x:c r="R2352" s="3" t="b">
        <x:v>0</x:v>
      </x:c>
      <x:c r="S2352" s="3" t="b">
        <x:v>0</x:v>
      </x:c>
      <x:c r="T2352" s="3" t="b">
        <x:v>0</x:v>
      </x:c>
      <x:c r="U2352" s="2" t="str">
        <x:f>IF(T2352=TRUE,"Priority review",IF(R2352=TRUE,"High cost",IF(S2352=TRUE,"Low quality","Benchmark")))</x:f>
        <x:v>Benchmark</x:v>
      </x:c>
    </x:row>
    <x:row r="2353">
      <x:c r="A2353" s="2" t="str">
        <x:v>161369</x:v>
      </x:c>
      <x:c r="B2353" s="2" t="str">
        <x:v>CRAWFORD COUNTY MEMORIAL HOSPITAL</x:v>
      </x:c>
      <x:c r="C2353" s="2" t="str">
        <x:v>DENISON</x:v>
      </x:c>
      <x:c r="D2353" s="2" t="str">
        <x:v>IA</x:v>
      </x:c>
      <x:c r="E2353" s="2" t="str">
        <x:v>Critical Access Hospitals</x:v>
      </x:c>
      <x:c r="F2353" s="2" t="str">
        <x:v>Government</x:v>
      </x:c>
      <x:c r="G2353" s="2" t="str">
        <x:v>Small (&lt;100 beds)</x:v>
      </x:c>
      <x:c r="H2353" s="7" t="n">
        <x:v>2</x:v>
      </x:c>
      <x:c r="I2353" s="7"/>
      <x:c r="J2353" s="7"/>
      <x:c r="K2353" s="8" t="n">
        <x:v>25</x:v>
      </x:c>
      <x:c r="L2353" s="8" t="n">
        <x:v>339</x:v>
      </x:c>
      <x:c r="M2353" s="9" t="n">
        <x:v>0.2089863014</x:v>
      </x:c>
      <x:c r="N2353" s="10" t="n">
        <x:v>134056.1710914454</x:v>
      </x:c>
      <x:c r="O2353" s="9" t="n">
        <x:v>0.0379622559</x:v>
      </x:c>
      <x:c r="P2353" s="9" t="n">
        <x:v>0.5234200743</x:v>
      </x:c>
      <x:c r="Q2353" s="9" t="n">
        <x:v>0.0171003717</x:v>
      </x:c>
      <x:c r="R2353" s="3" t="b">
        <x:v>0</x:v>
      </x:c>
      <x:c r="S2353" s="3" t="b">
        <x:v>1</x:v>
      </x:c>
      <x:c r="T2353" s="3" t="b">
        <x:v>0</x:v>
      </x:c>
      <x:c r="U2353" s="2" t="str">
        <x:f>IF(T2353=TRUE,"Priority review",IF(R2353=TRUE,"High cost",IF(S2353=TRUE,"Low quality","Benchmark")))</x:f>
        <x:v>Low quality</x:v>
      </x:c>
    </x:row>
    <x:row r="2354">
      <x:c r="A2354" s="2" t="str">
        <x:v>430097</x:v>
      </x:c>
      <x:c r="B2354" s="2" t="str">
        <x:v>SANFORD MEDICAL CENTER ABERDEEN</x:v>
      </x:c>
      <x:c r="C2354" s="2" t="str">
        <x:v>ABERDEEN</x:v>
      </x:c>
      <x:c r="D2354" s="2" t="str">
        <x:v>SD</x:v>
      </x:c>
      <x:c r="E2354" s="2" t="str">
        <x:v>Acute Care Hospitals</x:v>
      </x:c>
      <x:c r="F2354" s="2" t="str">
        <x:v>Voluntary non-profit</x:v>
      </x:c>
      <x:c r="G2354" s="2" t="str">
        <x:v>Small (&lt;100 beds)</x:v>
      </x:c>
      <x:c r="H2354" s="7" t="n">
        <x:v>4</x:v>
      </x:c>
      <x:c r="I2354" s="7" t="n">
        <x:v>4</x:v>
      </x:c>
      <x:c r="J2354" s="7" t="n">
        <x:v>0.91</x:v>
      </x:c>
      <x:c r="K2354" s="8" t="n">
        <x:v>48</x:v>
      </x:c>
      <x:c r="L2354" s="8" t="n">
        <x:v>1598</x:v>
      </x:c>
      <x:c r="M2354" s="9" t="n">
        <x:v>0.2350865209</x:v>
      </x:c>
      <x:c r="N2354" s="10" t="n">
        <x:v>54531.8191489362</x:v>
      </x:c>
      <x:c r="O2354" s="9" t="n">
        <x:v>-0.12170295</x:v>
      </x:c>
      <x:c r="P2354" s="9" t="n">
        <x:v>0.5233393178</x:v>
      </x:c>
      <x:c r="Q2354" s="9" t="n">
        <x:v>0.3913824057</x:v>
      </x:c>
      <x:c r="R2354" s="3" t="b">
        <x:v>0</x:v>
      </x:c>
      <x:c r="S2354" s="3" t="b">
        <x:v>0</x:v>
      </x:c>
      <x:c r="T2354" s="3" t="b">
        <x:v>0</x:v>
      </x:c>
      <x:c r="U2354" s="2" t="str">
        <x:f>IF(T2354=TRUE,"Priority review",IF(R2354=TRUE,"High cost",IF(S2354=TRUE,"Low quality","Benchmark")))</x:f>
        <x:v>Benchmark</x:v>
      </x:c>
    </x:row>
    <x:row r="2355">
      <x:c r="A2355" s="2" t="str">
        <x:v>150023</x:v>
      </x:c>
      <x:c r="B2355" s="2" t="str">
        <x:v>UNION HOSPITAL INC</x:v>
      </x:c>
      <x:c r="C2355" s="2" t="str">
        <x:v>TERRE HAUTE</x:v>
      </x:c>
      <x:c r="D2355" s="2" t="str">
        <x:v>IN</x:v>
      </x:c>
      <x:c r="E2355" s="2" t="str">
        <x:v>Acute Care Hospitals</x:v>
      </x:c>
      <x:c r="F2355" s="2" t="str">
        <x:v>Voluntary non-profit</x:v>
      </x:c>
      <x:c r="G2355" s="2" t="str">
        <x:v>Medium (100-299 beds)</x:v>
      </x:c>
      <x:c r="H2355" s="7" t="n">
        <x:v>3</x:v>
      </x:c>
      <x:c r="I2355" s="7" t="n">
        <x:v>3</x:v>
      </x:c>
      <x:c r="J2355" s="7" t="n">
        <x:v>1.01</x:v>
      </x:c>
      <x:c r="K2355" s="8" t="n">
        <x:v>261</x:v>
      </x:c>
      <x:c r="L2355" s="8" t="n">
        <x:v>17951</x:v>
      </x:c>
      <x:c r="M2355" s="9" t="n">
        <x:v>0.7498377405</x:v>
      </x:c>
      <x:c r="N2355" s="10" t="n">
        <x:v>35033.4380257367</x:v>
      </x:c>
      <x:c r="O2355" s="9" t="n">
        <x:v>0.0708257325</x:v>
      </x:c>
      <x:c r="P2355" s="9" t="n">
        <x:v>0.5232273839</x:v>
      </x:c>
      <x:c r="Q2355" s="9" t="n">
        <x:v>0.3023634882</x:v>
      </x:c>
      <x:c r="R2355" s="3" t="b">
        <x:v>0</x:v>
      </x:c>
      <x:c r="S2355" s="3" t="b">
        <x:v>0</x:v>
      </x:c>
      <x:c r="T2355" s="3" t="b">
        <x:v>0</x:v>
      </x:c>
      <x:c r="U2355" s="2" t="str">
        <x:f>IF(T2355=TRUE,"Priority review",IF(R2355=TRUE,"High cost",IF(S2355=TRUE,"Low quality","Benchmark")))</x:f>
        <x:v>Benchmark</x:v>
      </x:c>
    </x:row>
    <x:row r="2356">
      <x:c r="A2356" s="2" t="str">
        <x:v>431305</x:v>
      </x:c>
      <x:c r="B2356" s="2" t="str">
        <x:v>DOUGLAS COUNTY MEMORIAL HOSPITAL-CAH</x:v>
      </x:c>
      <x:c r="C2356" s="2" t="str">
        <x:v>ARMOUR</x:v>
      </x:c>
      <x:c r="D2356" s="2" t="str">
        <x:v>SD</x:v>
      </x:c>
      <x:c r="E2356" s="2" t="str">
        <x:v>Critical Access Hospitals</x:v>
      </x:c>
      <x:c r="F2356" s="2" t="str">
        <x:v>Voluntary non-profit</x:v>
      </x:c>
      <x:c r="G2356" s="2" t="str">
        <x:v>Small (&lt;100 beds)</x:v>
      </x:c>
      <x:c r="H2356" s="7"/>
      <x:c r="I2356" s="7"/>
      <x:c r="J2356" s="7"/>
      <x:c r="K2356" s="8" t="n">
        <x:v>11</x:v>
      </x:c>
      <x:c r="L2356" s="8" t="n">
        <x:v>94</x:v>
      </x:c>
      <x:c r="M2356" s="9" t="n">
        <x:v>0.1444582814</x:v>
      </x:c>
      <x:c r="N2356" s="10" t="n">
        <x:v>133859.2553191489</x:v>
      </x:c>
      <x:c r="O2356" s="9" t="n">
        <x:v>0.0112989622</x:v>
      </x:c>
      <x:c r="P2356" s="9" t="n">
        <x:v>0.5226765799</x:v>
      </x:c>
      <x:c r="Q2356" s="9" t="n">
        <x:v>0.292936803</x:v>
      </x:c>
      <x:c r="R2356" s="3" t="b">
        <x:v>0</x:v>
      </x:c>
      <x:c r="S2356" s="3" t="b">
        <x:v>0</x:v>
      </x:c>
      <x:c r="T2356" s="3" t="b">
        <x:v>0</x:v>
      </x:c>
      <x:c r="U2356" s="2" t="str">
        <x:f>IF(T2356=TRUE,"Priority review",IF(R2356=TRUE,"High cost",IF(S2356=TRUE,"Low quality","Benchmark")))</x:f>
        <x:v>Benchmark</x:v>
      </x:c>
    </x:row>
    <x:row r="2357">
      <x:c r="A2357" s="2" t="str">
        <x:v>390093</x:v>
      </x:c>
      <x:c r="B2357" s="2" t="str">
        <x:v>INDEPENDENCE HEALTH SYSTEM CLARION HOSPITAL</x:v>
      </x:c>
      <x:c r="C2357" s="2" t="str">
        <x:v>CLARION</x:v>
      </x:c>
      <x:c r="D2357" s="2" t="str">
        <x:v>PA</x:v>
      </x:c>
      <x:c r="E2357" s="2" t="str">
        <x:v>Acute Care Hospitals</x:v>
      </x:c>
      <x:c r="F2357" s="2" t="str">
        <x:v>Voluntary non-profit</x:v>
      </x:c>
      <x:c r="G2357" s="2" t="str">
        <x:v>Small (&lt;100 beds)</x:v>
      </x:c>
      <x:c r="H2357" s="7" t="n">
        <x:v>2</x:v>
      </x:c>
      <x:c r="I2357" s="7" t="n">
        <x:v>4</x:v>
      </x:c>
      <x:c r="J2357" s="7" t="n">
        <x:v>0.95</x:v>
      </x:c>
      <x:c r="K2357" s="8" t="n">
        <x:v>59</x:v>
      </x:c>
      <x:c r="L2357" s="8" t="n">
        <x:v>1068</x:v>
      </x:c>
      <x:c r="M2357" s="9" t="n">
        <x:v>0.2316229394</x:v>
      </x:c>
      <x:c r="N2357" s="10" t="n">
        <x:v>54336.9007490637</x:v>
      </x:c>
      <x:c r="O2357" s="9" t="n">
        <x:v>0.0826851143</x:v>
      </x:c>
      <x:c r="P2357" s="9" t="n">
        <x:v>0.5224416517</x:v>
      </x:c>
      <x:c r="Q2357" s="9" t="n">
        <x:v>0.0350089767</x:v>
      </x:c>
      <x:c r="R2357" s="3" t="b">
        <x:v>0</x:v>
      </x:c>
      <x:c r="S2357" s="3" t="b">
        <x:v>1</x:v>
      </x:c>
      <x:c r="T2357" s="3" t="b">
        <x:v>0</x:v>
      </x:c>
      <x:c r="U2357" s="2" t="str">
        <x:f>IF(T2357=TRUE,"Priority review",IF(R2357=TRUE,"High cost",IF(S2357=TRUE,"Low quality","Benchmark")))</x:f>
        <x:v>Low quality</x:v>
      </x:c>
    </x:row>
    <x:row r="2358">
      <x:c r="A2358" s="2" t="str">
        <x:v>450007</x:v>
      </x:c>
      <x:c r="B2358" s="2" t="str">
        <x:v>PETERSON REGIONAL MEDICAL CENTER</x:v>
      </x:c>
      <x:c r="C2358" s="2" t="str">
        <x:v>KERRVILLE</x:v>
      </x:c>
      <x:c r="D2358" s="2" t="str">
        <x:v>TX</x:v>
      </x:c>
      <x:c r="E2358" s="2" t="str">
        <x:v>Acute Care Hospitals</x:v>
      </x:c>
      <x:c r="F2358" s="2" t="str">
        <x:v>Voluntary non-profit</x:v>
      </x:c>
      <x:c r="G2358" s="2" t="str">
        <x:v>Medium (100-299 beds)</x:v>
      </x:c>
      <x:c r="H2358" s="7" t="n">
        <x:v>4</x:v>
      </x:c>
      <x:c r="I2358" s="7" t="n">
        <x:v>4</x:v>
      </x:c>
      <x:c r="J2358" s="7" t="n">
        <x:v>0.97</x:v>
      </x:c>
      <x:c r="K2358" s="8" t="n">
        <x:v>108</x:v>
      </x:c>
      <x:c r="L2358" s="8" t="n">
        <x:v>5671</x:v>
      </x:c>
      <x:c r="M2358" s="9" t="n">
        <x:v>0.5640461792</x:v>
      </x:c>
      <x:c r="N2358" s="10" t="n">
        <x:v>34997.4815729148</x:v>
      </x:c>
      <x:c r="O2358" s="9" t="n">
        <x:v>0.0444840072</x:v>
      </x:c>
      <x:c r="P2358" s="9" t="n">
        <x:v>0.5224123879</x:v>
      </x:c>
      <x:c r="Q2358" s="9" t="n">
        <x:v>0.6022819886</x:v>
      </x:c>
      <x:c r="R2358" s="3" t="b">
        <x:v>0</x:v>
      </x:c>
      <x:c r="S2358" s="3" t="b">
        <x:v>0</x:v>
      </x:c>
      <x:c r="T2358" s="3" t="b">
        <x:v>0</x:v>
      </x:c>
      <x:c r="U2358" s="2" t="str">
        <x:f>IF(T2358=TRUE,"Priority review",IF(R2358=TRUE,"High cost",IF(S2358=TRUE,"Low quality","Benchmark")))</x:f>
        <x:v>Benchmark</x:v>
      </x:c>
    </x:row>
    <x:row r="2359">
      <x:c r="A2359" s="2" t="str">
        <x:v>144034</x:v>
      </x:c>
      <x:c r="B2359" s="2" t="str">
        <x:v>BHC STREAMWOOD HOSPITAL INC</x:v>
      </x:c>
      <x:c r="C2359" s="2" t="str">
        <x:v>STREAMWOOD</x:v>
      </x:c>
      <x:c r="D2359" s="2" t="str">
        <x:v>IL</x:v>
      </x:c>
      <x:c r="E2359" s="2" t="str">
        <x:v>Psychiatric</x:v>
      </x:c>
      <x:c r="F2359" s="2" t="str">
        <x:v>Proprietary</x:v>
      </x:c>
      <x:c r="G2359" s="2" t="str">
        <x:v>Medium (100-299 beds)</x:v>
      </x:c>
      <x:c r="H2359" s="7"/>
      <x:c r="I2359" s="7"/>
      <x:c r="J2359" s="7"/>
      <x:c r="K2359" s="8" t="n">
        <x:v>178</x:v>
      </x:c>
      <x:c r="L2359" s="8" t="n">
        <x:v>3798</x:v>
      </x:c>
      <x:c r="M2359" s="9" t="n">
        <x:v>0.732892104</x:v>
      </x:c>
      <x:c r="N2359" s="10" t="n">
        <x:v>12360.200895208</x:v>
      </x:c>
      <x:c r="O2359" s="9" t="n">
        <x:v>0.2878678978</x:v>
      </x:c>
      <x:c r="P2359" s="9" t="n">
        <x:v>0.5223880597</x:v>
      </x:c>
      <x:c r="Q2359" s="9" t="n">
        <x:v>0</x:v>
      </x:c>
      <x:c r="R2359" s="3" t="b">
        <x:v>0</x:v>
      </x:c>
      <x:c r="S2359" s="3" t="b">
        <x:v>0</x:v>
      </x:c>
      <x:c r="T2359" s="3" t="b">
        <x:v>0</x:v>
      </x:c>
      <x:c r="U2359" s="2" t="str">
        <x:f>IF(T2359=TRUE,"Priority review",IF(R2359=TRUE,"High cost",IF(S2359=TRUE,"Low quality","Benchmark")))</x:f>
        <x:v>Benchmark</x:v>
      </x:c>
    </x:row>
    <x:row r="2360">
      <x:c r="A2360" s="2" t="str">
        <x:v>050231</x:v>
      </x:c>
      <x:c r="B2360" s="2" t="str">
        <x:v>POMONA VALLEY HOSPITAL MEDICAL CENTER</x:v>
      </x:c>
      <x:c r="C2360" s="2" t="str">
        <x:v>POMONA</x:v>
      </x:c>
      <x:c r="D2360" s="2" t="str">
        <x:v>CA</x:v>
      </x:c>
      <x:c r="E2360" s="2" t="str">
        <x:v>Acute Care Hospitals</x:v>
      </x:c>
      <x:c r="F2360" s="2" t="str">
        <x:v>Voluntary non-profit</x:v>
      </x:c>
      <x:c r="G2360" s="2" t="str">
        <x:v>Large (300+ beds)</x:v>
      </x:c>
      <x:c r="H2360" s="7" t="n">
        <x:v>3</x:v>
      </x:c>
      <x:c r="I2360" s="7" t="n">
        <x:v>2</x:v>
      </x:c>
      <x:c r="J2360" s="7" t="n">
        <x:v>0.99</x:v>
      </x:c>
      <x:c r="K2360" s="8" t="n">
        <x:v>427</x:v>
      </x:c>
      <x:c r="L2360" s="8" t="n">
        <x:v>21286</x:v>
      </x:c>
      <x:c r="M2360" s="9" t="n">
        <x:v>0.7379473723</x:v>
      </x:c>
      <x:c r="N2360" s="10" t="n">
        <x:v>39666.0264493094</x:v>
      </x:c>
      <x:c r="O2360" s="9" t="n">
        <x:v>-0.0131445203</x:v>
      </x:c>
      <x:c r="P2360" s="9" t="n">
        <x:v>0.5220820189</x:v>
      </x:c>
      <x:c r="Q2360" s="9" t="n">
        <x:v>0.2570977918</x:v>
      </x:c>
      <x:c r="R2360" s="3" t="b">
        <x:v>0</x:v>
      </x:c>
      <x:c r="S2360" s="3" t="b">
        <x:v>0</x:v>
      </x:c>
      <x:c r="T2360" s="3" t="b">
        <x:v>0</x:v>
      </x:c>
      <x:c r="U2360" s="2" t="str">
        <x:f>IF(T2360=TRUE,"Priority review",IF(R2360=TRUE,"High cost",IF(S2360=TRUE,"Low quality","Benchmark")))</x:f>
        <x:v>Benchmark</x:v>
      </x:c>
    </x:row>
    <x:row r="2361">
      <x:c r="A2361" s="2" t="str">
        <x:v>501314</x:v>
      </x:c>
      <x:c r="B2361" s="2" t="str">
        <x:v>OCEAN BEACH HOSPITAL</x:v>
      </x:c>
      <x:c r="C2361" s="2" t="str">
        <x:v>ILWACO</x:v>
      </x:c>
      <x:c r="D2361" s="2" t="str">
        <x:v>WA</x:v>
      </x:c>
      <x:c r="E2361" s="2" t="str">
        <x:v>Critical Access Hospitals</x:v>
      </x:c>
      <x:c r="F2361" s="2" t="str">
        <x:v>Government</x:v>
      </x:c>
      <x:c r="G2361" s="2" t="str">
        <x:v>Small (&lt;100 beds)</x:v>
      </x:c>
      <x:c r="H2361" s="7" t="n">
        <x:v>2</x:v>
      </x:c>
      <x:c r="I2361" s="7"/>
      <x:c r="J2361" s="7"/>
      <x:c r="K2361" s="8" t="n">
        <x:v>25</x:v>
      </x:c>
      <x:c r="L2361" s="8" t="n">
        <x:v>302</x:v>
      </x:c>
      <x:c r="M2361" s="9" t="n">
        <x:v>0.2076502732</x:v>
      </x:c>
      <x:c r="N2361" s="10" t="n">
        <x:v>133465.7516556291</x:v>
      </x:c>
      <x:c r="O2361" s="9" t="n">
        <x:v>-0.1087227934</x:v>
      </x:c>
      <x:c r="P2361" s="9" t="n">
        <x:v>0.5219330855</x:v>
      </x:c>
      <x:c r="Q2361" s="9" t="n">
        <x:v>0.0171003717</x:v>
      </x:c>
      <x:c r="R2361" s="3" t="b">
        <x:v>0</x:v>
      </x:c>
      <x:c r="S2361" s="3" t="b">
        <x:v>1</x:v>
      </x:c>
      <x:c r="T2361" s="3" t="b">
        <x:v>0</x:v>
      </x:c>
      <x:c r="U2361" s="2" t="str">
        <x:f>IF(T2361=TRUE,"Priority review",IF(R2361=TRUE,"High cost",IF(S2361=TRUE,"Low quality","Benchmark")))</x:f>
        <x:v>Low quality</x:v>
      </x:c>
    </x:row>
    <x:row r="2362">
      <x:c r="A2362" s="2" t="str">
        <x:v>460004</x:v>
      </x:c>
      <x:c r="B2362" s="2" t="str">
        <x:v>INTERMOUNTAIN HEALTH MCKAY-DEE HOSPITAL</x:v>
      </x:c>
      <x:c r="C2362" s="2" t="str">
        <x:v>OGDEN</x:v>
      </x:c>
      <x:c r="D2362" s="2" t="str">
        <x:v>UT</x:v>
      </x:c>
      <x:c r="E2362" s="2" t="str">
        <x:v>Acute Care Hospitals</x:v>
      </x:c>
      <x:c r="F2362" s="2" t="str">
        <x:v>Voluntary non-profit</x:v>
      </x:c>
      <x:c r="G2362" s="2" t="str">
        <x:v>Medium (100-299 beds)</x:v>
      </x:c>
      <x:c r="H2362" s="7" t="n">
        <x:v>5</x:v>
      </x:c>
      <x:c r="I2362" s="7" t="n">
        <x:v>4</x:v>
      </x:c>
      <x:c r="J2362" s="7" t="n">
        <x:v>0.96</x:v>
      </x:c>
      <x:c r="K2362" s="8" t="n">
        <x:v>287</x:v>
      </x:c>
      <x:c r="L2362" s="8" t="n">
        <x:v>17596</x:v>
      </x:c>
      <x:c r="M2362" s="9" t="n">
        <x:v>0.700215152</x:v>
      </x:c>
      <x:c r="N2362" s="10" t="n">
        <x:v>34997.2506819732</x:v>
      </x:c>
      <x:c r="O2362" s="9" t="n">
        <x:v>0.1181765505</x:v>
      </x:c>
      <x:c r="P2362" s="9" t="n">
        <x:v>0.521597392</x:v>
      </x:c>
      <x:c r="Q2362" s="9" t="n">
        <x:v>0.8744906275</x:v>
      </x:c>
      <x:c r="R2362" s="3" t="b">
        <x:v>0</x:v>
      </x:c>
      <x:c r="S2362" s="3" t="b">
        <x:v>0</x:v>
      </x:c>
      <x:c r="T2362" s="3" t="b">
        <x:v>0</x:v>
      </x:c>
      <x:c r="U2362" s="2" t="str">
        <x:f>IF(T2362=TRUE,"Priority review",IF(R2362=TRUE,"High cost",IF(S2362=TRUE,"Low quality","Benchmark")))</x:f>
        <x:v>Benchmark</x:v>
      </x:c>
    </x:row>
    <x:row r="2363">
      <x:c r="A2363" s="2" t="str">
        <x:v>110121</x:v>
      </x:c>
      <x:c r="B2363" s="2" t="str">
        <x:v>GRADY GENERAL HOSPITAL</x:v>
      </x:c>
      <x:c r="C2363" s="2" t="str">
        <x:v>CAIRO</x:v>
      </x:c>
      <x:c r="D2363" s="2" t="str">
        <x:v>GA</x:v>
      </x:c>
      <x:c r="E2363" s="2" t="str">
        <x:v>Acute Care Hospitals</x:v>
      </x:c>
      <x:c r="F2363" s="2" t="str">
        <x:v>Voluntary non-profit</x:v>
      </x:c>
      <x:c r="G2363" s="2" t="str">
        <x:v>Small (&lt;100 beds)</x:v>
      </x:c>
      <x:c r="H2363" s="7"/>
      <x:c r="I2363" s="7"/>
      <x:c r="J2363" s="7" t="n">
        <x:v>0.97</x:v>
      </x:c>
      <x:c r="K2363" s="8" t="n">
        <x:v>44</x:v>
      </x:c>
      <x:c r="L2363" s="8" t="n">
        <x:v>710</x:v>
      </x:c>
      <x:c r="M2363" s="9" t="n">
        <x:v>0.2599975161</x:v>
      </x:c>
      <x:c r="N2363" s="10" t="n">
        <x:v>54323.5605633803</x:v>
      </x:c>
      <x:c r="O2363" s="9" t="n">
        <x:v>-0.0084741976</x:v>
      </x:c>
      <x:c r="P2363" s="9" t="n">
        <x:v>0.5215439856</x:v>
      </x:c>
      <x:c r="Q2363" s="9" t="n">
        <x:v>0.697486535</x:v>
      </x:c>
      <x:c r="R2363" s="3" t="b">
        <x:v>0</x:v>
      </x:c>
      <x:c r="S2363" s="3" t="b">
        <x:v>0</x:v>
      </x:c>
      <x:c r="T2363" s="3" t="b">
        <x:v>0</x:v>
      </x:c>
      <x:c r="U2363" s="2" t="str">
        <x:f>IF(T2363=TRUE,"Priority review",IF(R2363=TRUE,"High cost",IF(S2363=TRUE,"Low quality","Benchmark")))</x:f>
        <x:v>Benchmark</x:v>
      </x:c>
    </x:row>
    <x:row r="2364">
      <x:c r="A2364" s="2" t="str">
        <x:v>291302</x:v>
      </x:c>
      <x:c r="B2364" s="2" t="str">
        <x:v>WILLIAM BEE RIRIE HOSPITAL</x:v>
      </x:c>
      <x:c r="C2364" s="2" t="str">
        <x:v>ELY</x:v>
      </x:c>
      <x:c r="D2364" s="2" t="str">
        <x:v>NV</x:v>
      </x:c>
      <x:c r="E2364" s="2" t="str">
        <x:v>Critical Access Hospitals</x:v>
      </x:c>
      <x:c r="F2364" s="2" t="str">
        <x:v>Government</x:v>
      </x:c>
      <x:c r="G2364" s="2" t="str">
        <x:v>Small (&lt;100 beds)</x:v>
      </x:c>
      <x:c r="H2364" s="7"/>
      <x:c r="I2364" s="7"/>
      <x:c r="J2364" s="7"/>
      <x:c r="K2364" s="8" t="n">
        <x:v>25</x:v>
      </x:c>
      <x:c r="L2364" s="8" t="n">
        <x:v>294</x:v>
      </x:c>
      <x:c r="M2364" s="9" t="n">
        <x:v>0.1366575342</x:v>
      </x:c>
      <x:c r="N2364" s="10" t="n">
        <x:v>133368.7448979592</x:v>
      </x:c>
      <x:c r="O2364" s="9" t="n">
        <x:v>0.0112497468</x:v>
      </x:c>
      <x:c r="P2364" s="9" t="n">
        <x:v>0.5211895911</x:v>
      </x:c>
      <x:c r="Q2364" s="9" t="n">
        <x:v>0.292936803</x:v>
      </x:c>
      <x:c r="R2364" s="3" t="b">
        <x:v>0</x:v>
      </x:c>
      <x:c r="S2364" s="3" t="b">
        <x:v>0</x:v>
      </x:c>
      <x:c r="T2364" s="3" t="b">
        <x:v>0</x:v>
      </x:c>
      <x:c r="U2364" s="2" t="str">
        <x:f>IF(T2364=TRUE,"Priority review",IF(R2364=TRUE,"High cost",IF(S2364=TRUE,"Low quality","Benchmark")))</x:f>
        <x:v>Benchmark</x:v>
      </x:c>
    </x:row>
    <x:row r="2365">
      <x:c r="A2365" s="2" t="str">
        <x:v>154064</x:v>
      </x:c>
      <x:c r="B2365" s="2" t="str">
        <x:v>ASSURANCE HEALTH PSYCHIATRIC HOSPITAL</x:v>
      </x:c>
      <x:c r="C2365" s="2" t="str">
        <x:v>INDIANAPOLIS</x:v>
      </x:c>
      <x:c r="D2365" s="2" t="str">
        <x:v>IN</x:v>
      </x:c>
      <x:c r="E2365" s="2" t="str">
        <x:v>Psychiatric</x:v>
      </x:c>
      <x:c r="F2365" s="2" t="str">
        <x:v>Proprietary</x:v>
      </x:c>
      <x:c r="G2365" s="2" t="str">
        <x:v>Small (&lt;100 beds)</x:v>
      </x:c>
      <x:c r="H2365" s="7"/>
      <x:c r="I2365" s="7"/>
      <x:c r="J2365" s="7"/>
      <x:c r="K2365" s="8" t="n">
        <x:v>43</x:v>
      </x:c>
      <x:c r="L2365" s="8" t="n">
        <x:v>904</x:v>
      </x:c>
      <x:c r="M2365" s="9" t="n">
        <x:v>0.7685220485</x:v>
      </x:c>
      <x:c r="N2365" s="10" t="n">
        <x:v>12604.4347345133</x:v>
      </x:c>
      <x:c r="O2365" s="9" t="n">
        <x:v>0.1408219492</x:v>
      </x:c>
      <x:c r="P2365" s="9" t="n">
        <x:v>0.5210355987</x:v>
      </x:c>
      <x:c r="Q2365" s="9" t="n">
        <x:v>0</x:v>
      </x:c>
      <x:c r="R2365" s="3" t="b">
        <x:v>0</x:v>
      </x:c>
      <x:c r="S2365" s="3" t="b">
        <x:v>0</x:v>
      </x:c>
      <x:c r="T2365" s="3" t="b">
        <x:v>0</x:v>
      </x:c>
      <x:c r="U2365" s="2" t="str">
        <x:f>IF(T2365=TRUE,"Priority review",IF(R2365=TRUE,"High cost",IF(S2365=TRUE,"Low quality","Benchmark")))</x:f>
        <x:v>Benchmark</x:v>
      </x:c>
    </x:row>
    <x:row r="2366">
      <x:c r="A2366" s="2" t="str">
        <x:v>180143</x:v>
      </x:c>
      <x:c r="B2366" s="2" t="str">
        <x:v>SAINT JOSEPH EAST</x:v>
      </x:c>
      <x:c r="C2366" s="2" t="str">
        <x:v>LEXINGTON</x:v>
      </x:c>
      <x:c r="D2366" s="2" t="str">
        <x:v>KY</x:v>
      </x:c>
      <x:c r="E2366" s="2" t="str">
        <x:v>Acute Care Hospitals</x:v>
      </x:c>
      <x:c r="F2366" s="2" t="str">
        <x:v>Voluntary non-profit</x:v>
      </x:c>
      <x:c r="G2366" s="2" t="str">
        <x:v>Medium (100-299 beds)</x:v>
      </x:c>
      <x:c r="H2366" s="7" t="n">
        <x:v>2</x:v>
      </x:c>
      <x:c r="I2366" s="7" t="n">
        <x:v>3</x:v>
      </x:c>
      <x:c r="J2366" s="7" t="n">
        <x:v>0.94</x:v>
      </x:c>
      <x:c r="K2366" s="8" t="n">
        <x:v>108</x:v>
      </x:c>
      <x:c r="L2366" s="8" t="n">
        <x:v>5411</x:v>
      </x:c>
      <x:c r="M2366" s="9" t="n">
        <x:v>0.3865296804</x:v>
      </x:c>
      <x:c r="N2366" s="10" t="n">
        <x:v>34951.9425244872</x:v>
      </x:c>
      <x:c r="O2366" s="9" t="n">
        <x:v>0.057317115</x:v>
      </x:c>
      <x:c r="P2366" s="9" t="n">
        <x:v>0.5207823961</x:v>
      </x:c>
      <x:c r="Q2366" s="9" t="n">
        <x:v>0.0782396088</x:v>
      </x:c>
      <x:c r="R2366" s="3" t="b">
        <x:v>0</x:v>
      </x:c>
      <x:c r="S2366" s="3" t="b">
        <x:v>1</x:v>
      </x:c>
      <x:c r="T2366" s="3" t="b">
        <x:v>0</x:v>
      </x:c>
      <x:c r="U2366" s="2" t="str">
        <x:f>IF(T2366=TRUE,"Priority review",IF(R2366=TRUE,"High cost",IF(S2366=TRUE,"Low quality","Benchmark")))</x:f>
        <x:v>Low quality</x:v>
      </x:c>
    </x:row>
    <x:row r="2367">
      <x:c r="A2367" s="2" t="str">
        <x:v>160032</x:v>
      </x:c>
      <x:c r="B2367" s="2" t="str">
        <x:v>MERCYONE NEWTON MEDICAL CENTER</x:v>
      </x:c>
      <x:c r="C2367" s="2" t="str">
        <x:v>NEWTON</x:v>
      </x:c>
      <x:c r="D2367" s="2" t="str">
        <x:v>IA</x:v>
      </x:c>
      <x:c r="E2367" s="2" t="str">
        <x:v>Acute Care Hospitals</x:v>
      </x:c>
      <x:c r="F2367" s="2" t="str">
        <x:v>Voluntary non-profit</x:v>
      </x:c>
      <x:c r="G2367" s="2" t="str">
        <x:v>Small (&lt;100 beds)</x:v>
      </x:c>
      <x:c r="H2367" s="7" t="n">
        <x:v>4</x:v>
      </x:c>
      <x:c r="I2367" s="7"/>
      <x:c r="J2367" s="7" t="n">
        <x:v>0.99</x:v>
      </x:c>
      <x:c r="K2367" s="8" t="n">
        <x:v>48</x:v>
      </x:c>
      <x:c r="L2367" s="8" t="n">
        <x:v>610</x:v>
      </x:c>
      <x:c r="M2367" s="9" t="n">
        <x:v>0.1429794521</x:v>
      </x:c>
      <x:c r="N2367" s="10" t="n">
        <x:v>54262.2557377049</x:v>
      </x:c>
      <x:c r="O2367" s="9" t="n">
        <x:v>-0.0726263167</x:v>
      </x:c>
      <x:c r="P2367" s="9" t="n">
        <x:v>0.5206463196</x:v>
      </x:c>
      <x:c r="Q2367" s="9" t="n">
        <x:v>0.3913824057</x:v>
      </x:c>
      <x:c r="R2367" s="3" t="b">
        <x:v>0</x:v>
      </x:c>
      <x:c r="S2367" s="3" t="b">
        <x:v>0</x:v>
      </x:c>
      <x:c r="T2367" s="3" t="b">
        <x:v>0</x:v>
      </x:c>
      <x:c r="U2367" s="2" t="str">
        <x:f>IF(T2367=TRUE,"Priority review",IF(R2367=TRUE,"High cost",IF(S2367=TRUE,"Low quality","Benchmark")))</x:f>
        <x:v>Benchmark</x:v>
      </x:c>
    </x:row>
    <x:row r="2368">
      <x:c r="A2368" s="2" t="str">
        <x:v>340014</x:v>
      </x:c>
      <x:c r="B2368" s="2" t="str">
        <x:v>NOVANT HEALTH FORSYTH MEDICAL CENTER</x:v>
      </x:c>
      <x:c r="C2368" s="2" t="str">
        <x:v>WINSTON-SALEM</x:v>
      </x:c>
      <x:c r="D2368" s="2" t="str">
        <x:v>NC</x:v>
      </x:c>
      <x:c r="E2368" s="2" t="str">
        <x:v>Acute Care Hospitals</x:v>
      </x:c>
      <x:c r="F2368" s="2" t="str">
        <x:v>Voluntary non-profit</x:v>
      </x:c>
      <x:c r="G2368" s="2" t="str">
        <x:v>Large (300+ beds)</x:v>
      </x:c>
      <x:c r="H2368" s="7" t="n">
        <x:v>4</x:v>
      </x:c>
      <x:c r="I2368" s="7" t="n">
        <x:v>3</x:v>
      </x:c>
      <x:c r="J2368" s="7" t="n">
        <x:v>0.95</x:v>
      </x:c>
      <x:c r="K2368" s="8" t="n">
        <x:v>917</x:v>
      </x:c>
      <x:c r="L2368" s="8" t="n">
        <x:v>43144</x:v>
      </x:c>
      <x:c r="M2368" s="9" t="n">
        <x:v>0.7815399467</x:v>
      </x:c>
      <x:c r="N2368" s="10" t="n">
        <x:v>39619.1748562952</x:v>
      </x:c>
      <x:c r="O2368" s="9" t="n">
        <x:v>-0.0239490945</x:v>
      </x:c>
      <x:c r="P2368" s="9" t="n">
        <x:v>0.5205047319</x:v>
      </x:c>
      <x:c r="Q2368" s="9" t="n">
        <x:v>0.5899053628</x:v>
      </x:c>
      <x:c r="R2368" s="3" t="b">
        <x:v>0</x:v>
      </x:c>
      <x:c r="S2368" s="3" t="b">
        <x:v>0</x:v>
      </x:c>
      <x:c r="T2368" s="3" t="b">
        <x:v>0</x:v>
      </x:c>
      <x:c r="U2368" s="2" t="str">
        <x:f>IF(T2368=TRUE,"Priority review",IF(R2368=TRUE,"High cost",IF(S2368=TRUE,"Low quality","Benchmark")))</x:f>
        <x:v>Benchmark</x:v>
      </x:c>
    </x:row>
    <x:row r="2369">
      <x:c r="A2369" s="2" t="str">
        <x:v>051332</x:v>
      </x:c>
      <x:c r="B2369" s="2" t="str">
        <x:v>MARK TWAIN MEDICAL CENTER</x:v>
      </x:c>
      <x:c r="C2369" s="2" t="str">
        <x:v>SAN ANDREAS</x:v>
      </x:c>
      <x:c r="D2369" s="2" t="str">
        <x:v>CA</x:v>
      </x:c>
      <x:c r="E2369" s="2" t="str">
        <x:v>Critical Access Hospitals</x:v>
      </x:c>
      <x:c r="F2369" s="2" t="str">
        <x:v>Voluntary non-profit</x:v>
      </x:c>
      <x:c r="G2369" s="2" t="str">
        <x:v>Small (&lt;100 beds)</x:v>
      </x:c>
      <x:c r="H2369" s="7" t="n">
        <x:v>3</x:v>
      </x:c>
      <x:c r="I2369" s="7" t="n">
        <x:v>4</x:v>
      </x:c>
      <x:c r="J2369" s="7"/>
      <x:c r="K2369" s="8" t="n">
        <x:v>25</x:v>
      </x:c>
      <x:c r="L2369" s="8" t="n">
        <x:v>667</x:v>
      </x:c>
      <x:c r="M2369" s="9" t="n">
        <x:v>0.2993442623</x:v>
      </x:c>
      <x:c r="N2369" s="10" t="n">
        <x:v>133349.3703148426</x:v>
      </x:c>
      <x:c r="O2369" s="9" t="n">
        <x:v>-0.0245361371</x:v>
      </x:c>
      <x:c r="P2369" s="9" t="n">
        <x:v>0.5204460967</x:v>
      </x:c>
      <x:c r="Q2369" s="9" t="n">
        <x:v>0.0765799257</x:v>
      </x:c>
      <x:c r="R2369" s="3" t="b">
        <x:v>0</x:v>
      </x:c>
      <x:c r="S2369" s="3" t="b">
        <x:v>1</x:v>
      </x:c>
      <x:c r="T2369" s="3" t="b">
        <x:v>0</x:v>
      </x:c>
      <x:c r="U2369" s="2" t="str">
        <x:f>IF(T2369=TRUE,"Priority review",IF(R2369=TRUE,"High cost",IF(S2369=TRUE,"Low quality","Benchmark")))</x:f>
        <x:v>Low quality</x:v>
      </x:c>
    </x:row>
    <x:row r="2370">
      <x:c r="A2370" s="2" t="str">
        <x:v>214018</x:v>
      </x:c>
      <x:c r="B2370" s="2" t="str">
        <x:v>SPRING GROVE HOSPITAL CENTER</x:v>
      </x:c>
      <x:c r="C2370" s="2" t="str">
        <x:v>CATONSVILLE</x:v>
      </x:c>
      <x:c r="D2370" s="2" t="str">
        <x:v>MD</x:v>
      </x:c>
      <x:c r="E2370" s="2" t="str">
        <x:v>Psychiatric</x:v>
      </x:c>
      <x:c r="F2370" s="2" t="str">
        <x:v>Government</x:v>
      </x:c>
      <x:c r="G2370" s="2" t="str">
        <x:v>Large (300+ beds)</x:v>
      </x:c>
      <x:c r="H2370" s="7"/>
      <x:c r="I2370" s="7"/>
      <x:c r="J2370" s="7"/>
      <x:c r="K2370" s="8" t="n">
        <x:v>639</x:v>
      </x:c>
      <x:c r="L2370" s="8" t="n">
        <x:v>372</x:v>
      </x:c>
      <x:c r="M2370" s="9" t="n">
        <x:v>0.6183591656</x:v>
      </x:c>
      <x:c r="N2370" s="10" t="n">
        <x:v>371805.2204301076</x:v>
      </x:c>
      <x:c r="O2370" s="9"/>
      <x:c r="P2370" s="9" t="n">
        <x:v>0.52</x:v>
      </x:c>
      <x:c r="Q2370" s="9" t="n">
        <x:v>0</x:v>
      </x:c>
      <x:c r="R2370" s="3" t="b">
        <x:v>0</x:v>
      </x:c>
      <x:c r="S2370" s="3" t="b">
        <x:v>0</x:v>
      </x:c>
      <x:c r="T2370" s="3" t="b">
        <x:v>0</x:v>
      </x:c>
      <x:c r="U2370" s="2" t="str">
        <x:f>IF(T2370=TRUE,"Priority review",IF(R2370=TRUE,"High cost",IF(S2370=TRUE,"Low quality","Benchmark")))</x:f>
        <x:v>Benchmark</x:v>
      </x:c>
    </x:row>
    <x:row r="2371">
      <x:c r="A2371" s="2" t="str">
        <x:v>220175</x:v>
      </x:c>
      <x:c r="B2371" s="2" t="str">
        <x:v>METROWEST MEDICAL CENTER</x:v>
      </x:c>
      <x:c r="C2371" s="2" t="str">
        <x:v>FRAMINGHAM</x:v>
      </x:c>
      <x:c r="D2371" s="2" t="str">
        <x:v>MA</x:v>
      </x:c>
      <x:c r="E2371" s="2" t="str">
        <x:v>Acute Care Hospitals</x:v>
      </x:c>
      <x:c r="F2371" s="2" t="str">
        <x:v>Voluntary non-profit</x:v>
      </x:c>
      <x:c r="G2371" s="2" t="str">
        <x:v>Medium (100-299 beds)</x:v>
      </x:c>
      <x:c r="H2371" s="7" t="n">
        <x:v>1</x:v>
      </x:c>
      <x:c r="I2371" s="7" t="n">
        <x:v>1</x:v>
      </x:c>
      <x:c r="J2371" s="7" t="n">
        <x:v>1.04</x:v>
      </x:c>
      <x:c r="K2371" s="8" t="n">
        <x:v>123</x:v>
      </x:c>
      <x:c r="L2371" s="8" t="n">
        <x:v>6288</x:v>
      </x:c>
      <x:c r="M2371" s="9" t="n">
        <x:v>0.6131922006</x:v>
      </x:c>
      <x:c r="N2371" s="10" t="n">
        <x:v>34923.18543257</x:v>
      </x:c>
      <x:c r="O2371" s="9" t="n">
        <x:v>-0.1845218459</x:v>
      </x:c>
      <x:c r="P2371" s="9" t="n">
        <x:v>0.5199674002</x:v>
      </x:c>
      <x:c r="Q2371" s="9" t="n">
        <x:v>0</x:v>
      </x:c>
      <x:c r="R2371" s="3" t="b">
        <x:v>0</x:v>
      </x:c>
      <x:c r="S2371" s="3" t="b">
        <x:v>1</x:v>
      </x:c>
      <x:c r="T2371" s="3" t="b">
        <x:v>0</x:v>
      </x:c>
      <x:c r="U2371" s="2" t="str">
        <x:f>IF(T2371=TRUE,"Priority review",IF(R2371=TRUE,"High cost",IF(S2371=TRUE,"Low quality","Benchmark")))</x:f>
        <x:v>Low quality</x:v>
      </x:c>
    </x:row>
    <x:row r="2372">
      <x:c r="A2372" s="2" t="str">
        <x:v>260074</x:v>
      </x:c>
      <x:c r="B2372" s="2" t="str">
        <x:v>MOBERLY REGIONAL MEDICAL CENTER</x:v>
      </x:c>
      <x:c r="C2372" s="2" t="str">
        <x:v>MOBERLY</x:v>
      </x:c>
      <x:c r="D2372" s="2" t="str">
        <x:v>MO</x:v>
      </x:c>
      <x:c r="E2372" s="2" t="str">
        <x:v>Acute Care Hospitals</x:v>
      </x:c>
      <x:c r="F2372" s="2" t="str">
        <x:v>Proprietary</x:v>
      </x:c>
      <x:c r="G2372" s="2" t="str">
        <x:v>Small (&lt;100 beds)</x:v>
      </x:c>
      <x:c r="H2372" s="7" t="n">
        <x:v>2</x:v>
      </x:c>
      <x:c r="I2372" s="7" t="n">
        <x:v>3</x:v>
      </x:c>
      <x:c r="J2372" s="7" t="n">
        <x:v>0.94</x:v>
      </x:c>
      <x:c r="K2372" s="8" t="n">
        <x:v>39</x:v>
      </x:c>
      <x:c r="L2372" s="8" t="n">
        <x:v>731</x:v>
      </x:c>
      <x:c r="M2372" s="9" t="n">
        <x:v>0.1711503433</x:v>
      </x:c>
      <x:c r="N2372" s="10" t="n">
        <x:v>54212.8974008208</x:v>
      </x:c>
      <x:c r="O2372" s="9" t="n">
        <x:v>0.3103330465</x:v>
      </x:c>
      <x:c r="P2372" s="9" t="n">
        <x:v>0.5197486535</x:v>
      </x:c>
      <x:c r="Q2372" s="9" t="n">
        <x:v>0.0350089767</x:v>
      </x:c>
      <x:c r="R2372" s="3" t="b">
        <x:v>0</x:v>
      </x:c>
      <x:c r="S2372" s="3" t="b">
        <x:v>1</x:v>
      </x:c>
      <x:c r="T2372" s="3" t="b">
        <x:v>0</x:v>
      </x:c>
      <x:c r="U2372" s="2" t="str">
        <x:f>IF(T2372=TRUE,"Priority review",IF(R2372=TRUE,"High cost",IF(S2372=TRUE,"Low quality","Benchmark")))</x:f>
        <x:v>Low quality</x:v>
      </x:c>
    </x:row>
    <x:row r="2373">
      <x:c r="A2373" s="2" t="str">
        <x:v>441306</x:v>
      </x:c>
      <x:c r="B2373" s="2" t="str">
        <x:v>ERLANGER BLEDSOE HOSPITAL</x:v>
      </x:c>
      <x:c r="C2373" s="2" t="str">
        <x:v>PIKEVILLE</x:v>
      </x:c>
      <x:c r="D2373" s="2" t="str">
        <x:v>TN</x:v>
      </x:c>
      <x:c r="E2373" s="2" t="str">
        <x:v>Critical Access Hospitals</x:v>
      </x:c>
      <x:c r="F2373" s="2" t="str">
        <x:v>Government</x:v>
      </x:c>
      <x:c r="G2373" s="2" t="str">
        <x:v>Small (&lt;100 beds)</x:v>
      </x:c>
      <x:c r="H2373" s="7"/>
      <x:c r="I2373" s="7"/>
      <x:c r="J2373" s="7"/>
      <x:c r="K2373" s="8" t="n">
        <x:v>25</x:v>
      </x:c>
      <x:c r="L2373" s="8" t="n">
        <x:v>146</x:v>
      </x:c>
      <x:c r="M2373" s="9" t="n">
        <x:v>0.1715068493</x:v>
      </x:c>
      <x:c r="N2373" s="10" t="n">
        <x:v>133305.0821917808</x:v>
      </x:c>
      <x:c r="O2373" s="9" t="n">
        <x:v>0.3845247222</x:v>
      </x:c>
      <x:c r="P2373" s="9" t="n">
        <x:v>0.5197026022</x:v>
      </x:c>
      <x:c r="Q2373" s="9" t="n">
        <x:v>0.292936803</x:v>
      </x:c>
      <x:c r="R2373" s="3" t="b">
        <x:v>0</x:v>
      </x:c>
      <x:c r="S2373" s="3" t="b">
        <x:v>0</x:v>
      </x:c>
      <x:c r="T2373" s="3" t="b">
        <x:v>0</x:v>
      </x:c>
      <x:c r="U2373" s="2" t="str">
        <x:f>IF(T2373=TRUE,"Priority review",IF(R2373=TRUE,"High cost",IF(S2373=TRUE,"Low quality","Benchmark")))</x:f>
        <x:v>Benchmark</x:v>
      </x:c>
    </x:row>
    <x:row r="2374">
      <x:c r="A2374" s="2" t="str">
        <x:v>500019</x:v>
      </x:c>
      <x:c r="B2374" s="2" t="str">
        <x:v>PROVIDENCE CENTRALIA HOSPITAL</x:v>
      </x:c>
      <x:c r="C2374" s="2" t="str">
        <x:v>CENTRALIA</x:v>
      </x:c>
      <x:c r="D2374" s="2" t="str">
        <x:v>WA</x:v>
      </x:c>
      <x:c r="E2374" s="2" t="str">
        <x:v>Acute Care Hospitals</x:v>
      </x:c>
      <x:c r="F2374" s="2" t="str">
        <x:v>Voluntary non-profit</x:v>
      </x:c>
      <x:c r="G2374" s="2" t="str">
        <x:v>Medium (100-299 beds)</x:v>
      </x:c>
      <x:c r="H2374" s="7" t="n">
        <x:v>3</x:v>
      </x:c>
      <x:c r="I2374" s="7" t="n">
        <x:v>3</x:v>
      </x:c>
      <x:c r="J2374" s="7" t="n">
        <x:v>0.91</x:v>
      </x:c>
      <x:c r="K2374" s="8" t="n">
        <x:v>114</x:v>
      </x:c>
      <x:c r="L2374" s="8" t="n">
        <x:v>7832</x:v>
      </x:c>
      <x:c r="M2374" s="9" t="n">
        <x:v>0.4980826383</x:v>
      </x:c>
      <x:c r="N2374" s="10" t="n">
        <x:v>34902.5176200204</x:v>
      </x:c>
      <x:c r="O2374" s="9" t="n">
        <x:v>-0.2065803127</x:v>
      </x:c>
      <x:c r="P2374" s="9" t="n">
        <x:v>0.5191524042</x:v>
      </x:c>
      <x:c r="Q2374" s="9" t="n">
        <x:v>0.3023634882</x:v>
      </x:c>
      <x:c r="R2374" s="3" t="b">
        <x:v>0</x:v>
      </x:c>
      <x:c r="S2374" s="3" t="b">
        <x:v>0</x:v>
      </x:c>
      <x:c r="T2374" s="3" t="b">
        <x:v>0</x:v>
      </x:c>
      <x:c r="U2374" s="2" t="str">
        <x:f>IF(T2374=TRUE,"Priority review",IF(R2374=TRUE,"High cost",IF(S2374=TRUE,"Low quality","Benchmark")))</x:f>
        <x:v>Benchmark</x:v>
      </x:c>
    </x:row>
    <x:row r="2375">
      <x:c r="A2375" s="2" t="str">
        <x:v>351328</x:v>
      </x:c>
      <x:c r="B2375" s="2" t="str">
        <x:v>LINTON HOSPITAL - CAH</x:v>
      </x:c>
      <x:c r="C2375" s="2" t="str">
        <x:v>LINTON</x:v>
      </x:c>
      <x:c r="D2375" s="2" t="str">
        <x:v>ND</x:v>
      </x:c>
      <x:c r="E2375" s="2" t="str">
        <x:v>Critical Access Hospitals</x:v>
      </x:c>
      <x:c r="F2375" s="2" t="str">
        <x:v>Voluntary non-profit</x:v>
      </x:c>
      <x:c r="G2375" s="2" t="str">
        <x:v>Small (&lt;100 beds)</x:v>
      </x:c>
      <x:c r="H2375" s="7"/>
      <x:c r="I2375" s="7"/>
      <x:c r="J2375" s="7"/>
      <x:c r="K2375" s="8" t="n">
        <x:v>14</x:v>
      </x:c>
      <x:c r="L2375" s="8" t="n">
        <x:v>89</x:v>
      </x:c>
      <x:c r="M2375" s="9" t="n">
        <x:v>0.1094847775</x:v>
      </x:c>
      <x:c r="N2375" s="10" t="n">
        <x:v>133176.8651685393</x:v>
      </x:c>
      <x:c r="O2375" s="9" t="n">
        <x:v>-0.2138340369</x:v>
      </x:c>
      <x:c r="P2375" s="9" t="n">
        <x:v>0.5189591078</x:v>
      </x:c>
      <x:c r="Q2375" s="9" t="n">
        <x:v>0.292936803</x:v>
      </x:c>
      <x:c r="R2375" s="3" t="b">
        <x:v>0</x:v>
      </x:c>
      <x:c r="S2375" s="3" t="b">
        <x:v>0</x:v>
      </x:c>
      <x:c r="T2375" s="3" t="b">
        <x:v>0</x:v>
      </x:c>
      <x:c r="U2375" s="2" t="str">
        <x:f>IF(T2375=TRUE,"Priority review",IF(R2375=TRUE,"High cost",IF(S2375=TRUE,"Low quality","Benchmark")))</x:f>
        <x:v>Benchmark</x:v>
      </x:c>
    </x:row>
    <x:row r="2376">
      <x:c r="A2376" s="2" t="str">
        <x:v>240106</x:v>
      </x:c>
      <x:c r="B2376" s="2" t="str">
        <x:v>REGIONS HOSPITAL</x:v>
      </x:c>
      <x:c r="C2376" s="2" t="str">
        <x:v>SAINT PAUL</x:v>
      </x:c>
      <x:c r="D2376" s="2" t="str">
        <x:v>MN</x:v>
      </x:c>
      <x:c r="E2376" s="2" t="str">
        <x:v>Acute Care Hospitals</x:v>
      </x:c>
      <x:c r="F2376" s="2" t="str">
        <x:v>Voluntary non-profit</x:v>
      </x:c>
      <x:c r="G2376" s="2" t="str">
        <x:v>Large (300+ beds)</x:v>
      </x:c>
      <x:c r="H2376" s="7" t="n">
        <x:v>3</x:v>
      </x:c>
      <x:c r="I2376" s="7" t="n">
        <x:v>3</x:v>
      </x:c>
      <x:c r="J2376" s="7" t="n">
        <x:v>0.95</x:v>
      </x:c>
      <x:c r="K2376" s="8" t="n">
        <x:v>433</x:v>
      </x:c>
      <x:c r="L2376" s="8" t="n">
        <x:v>27432</x:v>
      </x:c>
      <x:c r="M2376" s="9" t="n">
        <x:v>0.894974979</x:v>
      </x:c>
      <x:c r="N2376" s="10" t="n">
        <x:v>39615.8706620006</x:v>
      </x:c>
      <x:c r="O2376" s="9" t="n">
        <x:v>-0.106532825</x:v>
      </x:c>
      <x:c r="P2376" s="9" t="n">
        <x:v>0.5189274448</x:v>
      </x:c>
      <x:c r="Q2376" s="9" t="n">
        <x:v>0.2570977918</x:v>
      </x:c>
      <x:c r="R2376" s="3" t="b">
        <x:v>0</x:v>
      </x:c>
      <x:c r="S2376" s="3" t="b">
        <x:v>0</x:v>
      </x:c>
      <x:c r="T2376" s="3" t="b">
        <x:v>0</x:v>
      </x:c>
      <x:c r="U2376" s="2" t="str">
        <x:f>IF(T2376=TRUE,"Priority review",IF(R2376=TRUE,"High cost",IF(S2376=TRUE,"Low quality","Benchmark")))</x:f>
        <x:v>Benchmark</x:v>
      </x:c>
    </x:row>
    <x:row r="2377">
      <x:c r="A2377" s="2" t="str">
        <x:v>260142</x:v>
      </x:c>
      <x:c r="B2377" s="2" t="str">
        <x:v>FITZGIBBON HOSPITAL</x:v>
      </x:c>
      <x:c r="C2377" s="2" t="str">
        <x:v>MARSHALL</x:v>
      </x:c>
      <x:c r="D2377" s="2" t="str">
        <x:v>MO</x:v>
      </x:c>
      <x:c r="E2377" s="2" t="str">
        <x:v>Acute Care Hospitals</x:v>
      </x:c>
      <x:c r="F2377" s="2" t="str">
        <x:v>Voluntary non-profit</x:v>
      </x:c>
      <x:c r="G2377" s="2" t="str">
        <x:v>Small (&lt;100 beds)</x:v>
      </x:c>
      <x:c r="H2377" s="7" t="n">
        <x:v>2</x:v>
      </x:c>
      <x:c r="I2377" s="7" t="n">
        <x:v>3</x:v>
      </x:c>
      <x:c r="J2377" s="7" t="n">
        <x:v>0.83</x:v>
      </x:c>
      <x:c r="K2377" s="8" t="n">
        <x:v>42</x:v>
      </x:c>
      <x:c r="L2377" s="8" t="n">
        <x:v>1262</x:v>
      </x:c>
      <x:c r="M2377" s="9" t="n">
        <x:v>0.2924983692</x:v>
      </x:c>
      <x:c r="N2377" s="10" t="n">
        <x:v>54137.3771790808</x:v>
      </x:c>
      <x:c r="O2377" s="9" t="n">
        <x:v>-0.1479192683</x:v>
      </x:c>
      <x:c r="P2377" s="9" t="n">
        <x:v>0.5188509874</x:v>
      </x:c>
      <x:c r="Q2377" s="9" t="n">
        <x:v>0.0350089767</x:v>
      </x:c>
      <x:c r="R2377" s="3" t="b">
        <x:v>0</x:v>
      </x:c>
      <x:c r="S2377" s="3" t="b">
        <x:v>1</x:v>
      </x:c>
      <x:c r="T2377" s="3" t="b">
        <x:v>0</x:v>
      </x:c>
      <x:c r="U2377" s="2" t="str">
        <x:f>IF(T2377=TRUE,"Priority review",IF(R2377=TRUE,"High cost",IF(S2377=TRUE,"Low quality","Benchmark")))</x:f>
        <x:v>Low quality</x:v>
      </x:c>
    </x:row>
    <x:row r="2378">
      <x:c r="A2378" s="2" t="str">
        <x:v>053302</x:v>
      </x:c>
      <x:c r="B2378" s="2" t="str">
        <x:v>CHILDREN'S HOSP OF LOS ANGELES</x:v>
      </x:c>
      <x:c r="C2378" s="2" t="str">
        <x:v>LOS ANGELES</x:v>
      </x:c>
      <x:c r="D2378" s="2" t="str">
        <x:v>CA</x:v>
      </x:c>
      <x:c r="E2378" s="2" t="str">
        <x:v>Childrens</x:v>
      </x:c>
      <x:c r="F2378" s="2" t="str">
        <x:v>Voluntary non-profit</x:v>
      </x:c>
      <x:c r="G2378" s="2" t="str">
        <x:v>Large (300+ beds)</x:v>
      </x:c>
      <x:c r="H2378" s="7"/>
      <x:c r="I2378" s="7"/>
      <x:c r="J2378" s="7"/>
      <x:c r="K2378" s="8" t="n">
        <x:v>386</x:v>
      </x:c>
      <x:c r="L2378" s="8" t="n">
        <x:v>18559</x:v>
      </x:c>
      <x:c r="M2378" s="9" t="n">
        <x:v>0.8521967492</x:v>
      </x:c>
      <x:c r="N2378" s="10" t="n">
        <x:v>104142.2069076998</x:v>
      </x:c>
      <x:c r="O2378" s="9" t="n">
        <x:v>-0.351958956</x:v>
      </x:c>
      <x:c r="P2378" s="9" t="n">
        <x:v>0.5185185185</x:v>
      </x:c>
      <x:c r="Q2378" s="9" t="n">
        <x:v>0</x:v>
      </x:c>
      <x:c r="R2378" s="3" t="b">
        <x:v>0</x:v>
      </x:c>
      <x:c r="S2378" s="3" t="b">
        <x:v>0</x:v>
      </x:c>
      <x:c r="T2378" s="3" t="b">
        <x:v>0</x:v>
      </x:c>
      <x:c r="U2378" s="2" t="str">
        <x:f>IF(T2378=TRUE,"Priority review",IF(R2378=TRUE,"High cost",IF(S2378=TRUE,"Low quality","Benchmark")))</x:f>
        <x:v>Benchmark</x:v>
      </x:c>
    </x:row>
    <x:row r="2379">
      <x:c r="A2379" s="2" t="str">
        <x:v>510023</x:v>
      </x:c>
      <x:c r="B2379" s="2" t="str">
        <x:v>WEIRTON MEDICAL CENTER, INC</x:v>
      </x:c>
      <x:c r="C2379" s="2" t="str">
        <x:v>WEIRTON</x:v>
      </x:c>
      <x:c r="D2379" s="2" t="str">
        <x:v>WV</x:v>
      </x:c>
      <x:c r="E2379" s="2" t="str">
        <x:v>Acute Care Hospitals</x:v>
      </x:c>
      <x:c r="F2379" s="2" t="str">
        <x:v>Government</x:v>
      </x:c>
      <x:c r="G2379" s="2" t="str">
        <x:v>Medium (100-299 beds)</x:v>
      </x:c>
      <x:c r="H2379" s="7" t="n">
        <x:v>1</x:v>
      </x:c>
      <x:c r="I2379" s="7" t="n">
        <x:v>2</x:v>
      </x:c>
      <x:c r="J2379" s="7" t="n">
        <x:v>1</x:v>
      </x:c>
      <x:c r="K2379" s="8" t="n">
        <x:v>127</x:v>
      </x:c>
      <x:c r="L2379" s="8" t="n">
        <x:v>5345</x:v>
      </x:c>
      <x:c r="M2379" s="9" t="n">
        <x:v>0.5689569626</x:v>
      </x:c>
      <x:c r="N2379" s="10" t="n">
        <x:v>34856.2593077643</x:v>
      </x:c>
      <x:c r="O2379" s="9" t="n">
        <x:v>0.0614850402</x:v>
      </x:c>
      <x:c r="P2379" s="9" t="n">
        <x:v>0.5183374083</x:v>
      </x:c>
      <x:c r="Q2379" s="9" t="n">
        <x:v>0</x:v>
      </x:c>
      <x:c r="R2379" s="3" t="b">
        <x:v>0</x:v>
      </x:c>
      <x:c r="S2379" s="3" t="b">
        <x:v>1</x:v>
      </x:c>
      <x:c r="T2379" s="3" t="b">
        <x:v>0</x:v>
      </x:c>
      <x:c r="U2379" s="2" t="str">
        <x:f>IF(T2379=TRUE,"Priority review",IF(R2379=TRUE,"High cost",IF(S2379=TRUE,"Low quality","Benchmark")))</x:f>
        <x:v>Low quality</x:v>
      </x:c>
    </x:row>
    <x:row r="2380">
      <x:c r="A2380" s="2" t="str">
        <x:v>011300</x:v>
      </x:c>
      <x:c r="B2380" s="2" t="str">
        <x:v>WASHINGTON COUNTY HOSPITAL</x:v>
      </x:c>
      <x:c r="C2380" s="2" t="str">
        <x:v>CHATOM</x:v>
      </x:c>
      <x:c r="D2380" s="2" t="str">
        <x:v>AL</x:v>
      </x:c>
      <x:c r="E2380" s="2" t="str">
        <x:v>Critical Access Hospitals</x:v>
      </x:c>
      <x:c r="F2380" s="2" t="str">
        <x:v>Government</x:v>
      </x:c>
      <x:c r="G2380" s="2" t="str">
        <x:v>Small (&lt;100 beds)</x:v>
      </x:c>
      <x:c r="H2380" s="7"/>
      <x:c r="I2380" s="7"/>
      <x:c r="J2380" s="7"/>
      <x:c r="K2380" s="8" t="n">
        <x:v>15</x:v>
      </x:c>
      <x:c r="L2380" s="8" t="n">
        <x:v>155</x:v>
      </x:c>
      <x:c r="M2380" s="9" t="n">
        <x:v>0.5355191257</x:v>
      </x:c>
      <x:c r="N2380" s="10" t="n">
        <x:v>133036.3741935484</x:v>
      </x:c>
      <x:c r="O2380" s="9" t="n">
        <x:v>-0.0277566963</x:v>
      </x:c>
      <x:c r="P2380" s="9" t="n">
        <x:v>0.5182156134</x:v>
      </x:c>
      <x:c r="Q2380" s="9" t="n">
        <x:v>0.292936803</x:v>
      </x:c>
      <x:c r="R2380" s="3" t="b">
        <x:v>0</x:v>
      </x:c>
      <x:c r="S2380" s="3" t="b">
        <x:v>0</x:v>
      </x:c>
      <x:c r="T2380" s="3" t="b">
        <x:v>0</x:v>
      </x:c>
      <x:c r="U2380" s="2" t="str">
        <x:f>IF(T2380=TRUE,"Priority review",IF(R2380=TRUE,"High cost",IF(S2380=TRUE,"Low quality","Benchmark")))</x:f>
        <x:v>Benchmark</x:v>
      </x:c>
    </x:row>
    <x:row r="2381">
      <x:c r="A2381" s="2" t="str">
        <x:v>500002</x:v>
      </x:c>
      <x:c r="B2381" s="2" t="str">
        <x:v>PROVIDENCE ST MARY MEDICAL CENTER</x:v>
      </x:c>
      <x:c r="C2381" s="2" t="str">
        <x:v>WALLA WALLA</x:v>
      </x:c>
      <x:c r="D2381" s="2" t="str">
        <x:v>WA</x:v>
      </x:c>
      <x:c r="E2381" s="2" t="str">
        <x:v>Acute Care Hospitals</x:v>
      </x:c>
      <x:c r="F2381" s="2" t="str">
        <x:v>Voluntary non-profit</x:v>
      </x:c>
      <x:c r="G2381" s="2" t="str">
        <x:v>Small (&lt;100 beds)</x:v>
      </x:c>
      <x:c r="H2381" s="7" t="n">
        <x:v>3</x:v>
      </x:c>
      <x:c r="I2381" s="7" t="n">
        <x:v>4</x:v>
      </x:c>
      <x:c r="J2381" s="7" t="n">
        <x:v>0.96</x:v>
      </x:c>
      <x:c r="K2381" s="8" t="n">
        <x:v>85</x:v>
      </x:c>
      <x:c r="L2381" s="8" t="n">
        <x:v>4662</x:v>
      </x:c>
      <x:c r="M2381" s="9" t="n">
        <x:v>0.6328511733</x:v>
      </x:c>
      <x:c r="N2381" s="10" t="n">
        <x:v>53907.3288288288</x:v>
      </x:c>
      <x:c r="O2381" s="9" t="n">
        <x:v>-0.0202161063</x:v>
      </x:c>
      <x:c r="P2381" s="9" t="n">
        <x:v>0.5179533214</x:v>
      </x:c>
      <x:c r="Q2381" s="9" t="n">
        <x:v>0.1687612208</x:v>
      </x:c>
      <x:c r="R2381" s="3" t="b">
        <x:v>0</x:v>
      </x:c>
      <x:c r="S2381" s="3" t="b">
        <x:v>0</x:v>
      </x:c>
      <x:c r="T2381" s="3" t="b">
        <x:v>0</x:v>
      </x:c>
      <x:c r="U2381" s="2" t="str">
        <x:f>IF(T2381=TRUE,"Priority review",IF(R2381=TRUE,"High cost",IF(S2381=TRUE,"Low quality","Benchmark")))</x:f>
        <x:v>Benchmark</x:v>
      </x:c>
    </x:row>
    <x:row r="2382">
      <x:c r="A2382" s="2" t="str">
        <x:v>044020</x:v>
      </x:c>
      <x:c r="B2382" s="2" t="str">
        <x:v>RIVERVIEW BEHAVIORAL HEALTH</x:v>
      </x:c>
      <x:c r="C2382" s="2" t="str">
        <x:v>TEXARKANA</x:v>
      </x:c>
      <x:c r="D2382" s="2" t="str">
        <x:v>AR</x:v>
      </x:c>
      <x:c r="E2382" s="2" t="str">
        <x:v>Psychiatric</x:v>
      </x:c>
      <x:c r="F2382" s="2" t="str">
        <x:v>Proprietary</x:v>
      </x:c>
      <x:c r="G2382" s="2" t="str">
        <x:v>Small (&lt;100 beds)</x:v>
      </x:c>
      <x:c r="H2382" s="7"/>
      <x:c r="I2382" s="7"/>
      <x:c r="J2382" s="7"/>
      <x:c r="K2382" s="8" t="n">
        <x:v>40</x:v>
      </x:c>
      <x:c r="L2382" s="8" t="n">
        <x:v>1138</x:v>
      </x:c>
      <x:c r="M2382" s="9" t="n">
        <x:v>0.7907103825</x:v>
      </x:c>
      <x:c r="N2382" s="10" t="n">
        <x:v>12600.7170474517</x:v>
      </x:c>
      <x:c r="O2382" s="9" t="n">
        <x:v>-0.1264626437</x:v>
      </x:c>
      <x:c r="P2382" s="9" t="n">
        <x:v>0.5177993528</x:v>
      </x:c>
      <x:c r="Q2382" s="9" t="n">
        <x:v>0</x:v>
      </x:c>
      <x:c r="R2382" s="3" t="b">
        <x:v>0</x:v>
      </x:c>
      <x:c r="S2382" s="3" t="b">
        <x:v>0</x:v>
      </x:c>
      <x:c r="T2382" s="3" t="b">
        <x:v>0</x:v>
      </x:c>
      <x:c r="U2382" s="2" t="str">
        <x:f>IF(T2382=TRUE,"Priority review",IF(R2382=TRUE,"High cost",IF(S2382=TRUE,"Low quality","Benchmark")))</x:f>
        <x:v>Benchmark</x:v>
      </x:c>
    </x:row>
    <x:row r="2383">
      <x:c r="A2383" s="2" t="str">
        <x:v>520103</x:v>
      </x:c>
      <x:c r="B2383" s="2" t="str">
        <x:v>COMMUNITY MEMORIAL HOSPITAL</x:v>
      </x:c>
      <x:c r="C2383" s="2" t="str">
        <x:v>MENOMONEE FALLS</x:v>
      </x:c>
      <x:c r="D2383" s="2" t="str">
        <x:v>WI</x:v>
      </x:c>
      <x:c r="E2383" s="2" t="str">
        <x:v>Acute Care Hospitals</x:v>
      </x:c>
      <x:c r="F2383" s="2" t="str">
        <x:v>Voluntary non-profit</x:v>
      </x:c>
      <x:c r="G2383" s="2" t="str">
        <x:v>Medium (100-299 beds)</x:v>
      </x:c>
      <x:c r="H2383" s="7" t="n">
        <x:v>4</x:v>
      </x:c>
      <x:c r="I2383" s="7" t="n">
        <x:v>3</x:v>
      </x:c>
      <x:c r="J2383" s="7" t="n">
        <x:v>0.91</x:v>
      </x:c>
      <x:c r="K2383" s="8" t="n">
        <x:v>130</x:v>
      </x:c>
      <x:c r="L2383" s="8" t="n">
        <x:v>8594</x:v>
      </x:c>
      <x:c r="M2383" s="9" t="n">
        <x:v>0.745267666</x:v>
      </x:c>
      <x:c r="N2383" s="10" t="n">
        <x:v>34778.656039097</x:v>
      </x:c>
      <x:c r="O2383" s="9" t="n">
        <x:v>-0.0035573046</x:v>
      </x:c>
      <x:c r="P2383" s="9" t="n">
        <x:v>0.5175224124</x:v>
      </x:c>
      <x:c r="Q2383" s="9" t="n">
        <x:v>0.6022819886</x:v>
      </x:c>
      <x:c r="R2383" s="3" t="b">
        <x:v>0</x:v>
      </x:c>
      <x:c r="S2383" s="3" t="b">
        <x:v>0</x:v>
      </x:c>
      <x:c r="T2383" s="3" t="b">
        <x:v>0</x:v>
      </x:c>
      <x:c r="U2383" s="2" t="str">
        <x:f>IF(T2383=TRUE,"Priority review",IF(R2383=TRUE,"High cost",IF(S2383=TRUE,"Low quality","Benchmark")))</x:f>
        <x:v>Benchmark</x:v>
      </x:c>
    </x:row>
    <x:row r="2384">
      <x:c r="A2384" s="2" t="str">
        <x:v>281349</x:v>
      </x:c>
      <x:c r="B2384" s="2" t="str">
        <x:v>PENDER COMMUNITY HOSPITAL</x:v>
      </x:c>
      <x:c r="C2384" s="2" t="str">
        <x:v>PENDER</x:v>
      </x:c>
      <x:c r="D2384" s="2" t="str">
        <x:v>NE</x:v>
      </x:c>
      <x:c r="E2384" s="2" t="str">
        <x:v>Critical Access Hospitals</x:v>
      </x:c>
      <x:c r="F2384" s="2" t="str">
        <x:v>Government</x:v>
      </x:c>
      <x:c r="G2384" s="2" t="str">
        <x:v>Small (&lt;100 beds)</x:v>
      </x:c>
      <x:c r="H2384" s="7"/>
      <x:c r="I2384" s="7"/>
      <x:c r="J2384" s="7"/>
      <x:c r="K2384" s="8" t="n">
        <x:v>21</x:v>
      </x:c>
      <x:c r="L2384" s="8" t="n">
        <x:v>295</x:v>
      </x:c>
      <x:c r="M2384" s="9" t="n">
        <x:v>0.2283105023</x:v>
      </x:c>
      <x:c r="N2384" s="10" t="n">
        <x:v>133029.2644067797</x:v>
      </x:c>
      <x:c r="O2384" s="9" t="n">
        <x:v>0.0353420508</x:v>
      </x:c>
      <x:c r="P2384" s="9" t="n">
        <x:v>0.517472119</x:v>
      </x:c>
      <x:c r="Q2384" s="9" t="n">
        <x:v>0.292936803</x:v>
      </x:c>
      <x:c r="R2384" s="3" t="b">
        <x:v>0</x:v>
      </x:c>
      <x:c r="S2384" s="3" t="b">
        <x:v>0</x:v>
      </x:c>
      <x:c r="T2384" s="3" t="b">
        <x:v>0</x:v>
      </x:c>
      <x:c r="U2384" s="2" t="str">
        <x:f>IF(T2384=TRUE,"Priority review",IF(R2384=TRUE,"High cost",IF(S2384=TRUE,"Low quality","Benchmark")))</x:f>
        <x:v>Benchmark</x:v>
      </x:c>
    </x:row>
    <x:row r="2385">
      <x:c r="A2385" s="2" t="str">
        <x:v>234030</x:v>
      </x:c>
      <x:c r="B2385" s="2" t="str">
        <x:v>FOREST VIEW PSYCHIATRIC HOSPITAL</x:v>
      </x:c>
      <x:c r="C2385" s="2" t="str">
        <x:v>GRAND RAPIDS</x:v>
      </x:c>
      <x:c r="D2385" s="2" t="str">
        <x:v>MI</x:v>
      </x:c>
      <x:c r="E2385" s="2" t="str">
        <x:v>Psychiatric</x:v>
      </x:c>
      <x:c r="F2385" s="2" t="str">
        <x:v>Proprietary</x:v>
      </x:c>
      <x:c r="G2385" s="2" t="str">
        <x:v>Medium (100-299 beds)</x:v>
      </x:c>
      <x:c r="H2385" s="7"/>
      <x:c r="I2385" s="7"/>
      <x:c r="J2385" s="7"/>
      <x:c r="K2385" s="8" t="n">
        <x:v>108</x:v>
      </x:c>
      <x:c r="L2385" s="8" t="n">
        <x:v>3413</x:v>
      </x:c>
      <x:c r="M2385" s="9" t="n">
        <x:v>0.8566079741</x:v>
      </x:c>
      <x:c r="N2385" s="10" t="n">
        <x:v>12074.4878406094</x:v>
      </x:c>
      <x:c r="O2385" s="9" t="n">
        <x:v>0.2424291774</x:v>
      </x:c>
      <x:c r="P2385" s="9" t="n">
        <x:v>0.5174129353</x:v>
      </x:c>
      <x:c r="Q2385" s="9" t="n">
        <x:v>0</x:v>
      </x:c>
      <x:c r="R2385" s="3" t="b">
        <x:v>0</x:v>
      </x:c>
      <x:c r="S2385" s="3" t="b">
        <x:v>0</x:v>
      </x:c>
      <x:c r="T2385" s="3" t="b">
        <x:v>0</x:v>
      </x:c>
      <x:c r="U2385" s="2" t="str">
        <x:f>IF(T2385=TRUE,"Priority review",IF(R2385=TRUE,"High cost",IF(S2385=TRUE,"Low quality","Benchmark")))</x:f>
        <x:v>Benchmark</x:v>
      </x:c>
    </x:row>
    <x:row r="2386">
      <x:c r="A2386" s="2" t="str">
        <x:v>340115</x:v>
      </x:c>
      <x:c r="B2386" s="2" t="str">
        <x:v>FIRSTHEALTH MOORE REGIONAL HOSPITAL</x:v>
      </x:c>
      <x:c r="C2386" s="2" t="str">
        <x:v>PINEHURST</x:v>
      </x:c>
      <x:c r="D2386" s="2" t="str">
        <x:v>NC</x:v>
      </x:c>
      <x:c r="E2386" s="2" t="str">
        <x:v>Acute Care Hospitals</x:v>
      </x:c>
      <x:c r="F2386" s="2" t="str">
        <x:v>Voluntary non-profit</x:v>
      </x:c>
      <x:c r="G2386" s="2" t="str">
        <x:v>Large (300+ beds)</x:v>
      </x:c>
      <x:c r="H2386" s="7" t="n">
        <x:v>4</x:v>
      </x:c>
      <x:c r="I2386" s="7" t="n">
        <x:v>4</x:v>
      </x:c>
      <x:c r="J2386" s="7" t="n">
        <x:v>0.92</x:v>
      </x:c>
      <x:c r="K2386" s="8" t="n">
        <x:v>412</x:v>
      </x:c>
      <x:c r="L2386" s="8" t="n">
        <x:v>20751</x:v>
      </x:c>
      <x:c r="M2386" s="9" t="n">
        <x:v>0.6660233965</x:v>
      </x:c>
      <x:c r="N2386" s="10" t="n">
        <x:v>39524.1705459978</x:v>
      </x:c>
      <x:c r="O2386" s="9" t="n">
        <x:v>0.0927024507</x:v>
      </x:c>
      <x:c r="P2386" s="9" t="n">
        <x:v>0.5173501577</x:v>
      </x:c>
      <x:c r="Q2386" s="9" t="n">
        <x:v>0.5899053628</x:v>
      </x:c>
      <x:c r="R2386" s="3" t="b">
        <x:v>0</x:v>
      </x:c>
      <x:c r="S2386" s="3" t="b">
        <x:v>0</x:v>
      </x:c>
      <x:c r="T2386" s="3" t="b">
        <x:v>0</x:v>
      </x:c>
      <x:c r="U2386" s="2" t="str">
        <x:f>IF(T2386=TRUE,"Priority review",IF(R2386=TRUE,"High cost",IF(S2386=TRUE,"Low quality","Benchmark")))</x:f>
        <x:v>Benchmark</x:v>
      </x:c>
    </x:row>
    <x:row r="2387">
      <x:c r="A2387" s="2" t="str">
        <x:v>430008</x:v>
      </x:c>
      <x:c r="B2387" s="2" t="str">
        <x:v>BROOKINGS HEALTH SYSTEM</x:v>
      </x:c>
      <x:c r="C2387" s="2" t="str">
        <x:v>BROOKINGS</x:v>
      </x:c>
      <x:c r="D2387" s="2" t="str">
        <x:v>SD</x:v>
      </x:c>
      <x:c r="E2387" s="2" t="str">
        <x:v>Acute Care Hospitals</x:v>
      </x:c>
      <x:c r="F2387" s="2" t="str">
        <x:v>Government</x:v>
      </x:c>
      <x:c r="G2387" s="2" t="str">
        <x:v>Small (&lt;100 beds)</x:v>
      </x:c>
      <x:c r="H2387" s="7" t="n">
        <x:v>4</x:v>
      </x:c>
      <x:c r="I2387" s="7" t="n">
        <x:v>4</x:v>
      </x:c>
      <x:c r="J2387" s="7" t="n">
        <x:v>0.91</x:v>
      </x:c>
      <x:c r="K2387" s="8" t="n">
        <x:v>49</x:v>
      </x:c>
      <x:c r="L2387" s="8" t="n">
        <x:v>1359</x:v>
      </x:c>
      <x:c r="M2387" s="9" t="n">
        <x:v>0.2725747833</x:v>
      </x:c>
      <x:c r="N2387" s="10" t="n">
        <x:v>53830.8050036792</x:v>
      </x:c>
      <x:c r="O2387" s="9" t="n">
        <x:v>0.133779266</x:v>
      </x:c>
      <x:c r="P2387" s="9" t="n">
        <x:v>0.5170556553</x:v>
      </x:c>
      <x:c r="Q2387" s="9" t="n">
        <x:v>0.3913824057</x:v>
      </x:c>
      <x:c r="R2387" s="3" t="b">
        <x:v>0</x:v>
      </x:c>
      <x:c r="S2387" s="3" t="b">
        <x:v>0</x:v>
      </x:c>
      <x:c r="T2387" s="3" t="b">
        <x:v>0</x:v>
      </x:c>
      <x:c r="U2387" s="2" t="str">
        <x:f>IF(T2387=TRUE,"Priority review",IF(R2387=TRUE,"High cost",IF(S2387=TRUE,"Low quality","Benchmark")))</x:f>
        <x:v>Benchmark</x:v>
      </x:c>
    </x:row>
    <x:row r="2388">
      <x:c r="A2388" s="2" t="str">
        <x:v>201311</x:v>
      </x:c>
      <x:c r="B2388" s="2" t="str">
        <x:v>DOWN EAST COMMUNITY HOSPITAL</x:v>
      </x:c>
      <x:c r="C2388" s="2" t="str">
        <x:v>MACHIAS</x:v>
      </x:c>
      <x:c r="D2388" s="2" t="str">
        <x:v>ME</x:v>
      </x:c>
      <x:c r="E2388" s="2" t="str">
        <x:v>Critical Access Hospitals</x:v>
      </x:c>
      <x:c r="F2388" s="2" t="str">
        <x:v>Voluntary non-profit</x:v>
      </x:c>
      <x:c r="G2388" s="2" t="str">
        <x:v>Small (&lt;100 beds)</x:v>
      </x:c>
      <x:c r="H2388" s="7" t="n">
        <x:v>4</x:v>
      </x:c>
      <x:c r="I2388" s="7"/>
      <x:c r="J2388" s="7"/>
      <x:c r="K2388" s="8" t="n">
        <x:v>25</x:v>
      </x:c>
      <x:c r="L2388" s="8" t="n">
        <x:v>455</x:v>
      </x:c>
      <x:c r="M2388" s="9" t="n">
        <x:v>0.2808743169</x:v>
      </x:c>
      <x:c r="N2388" s="10" t="n">
        <x:v>132935.9054945055</x:v>
      </x:c>
      <x:c r="O2388" s="9" t="n">
        <x:v>0.0288135792</x:v>
      </x:c>
      <x:c r="P2388" s="9" t="n">
        <x:v>0.5167286245</x:v>
      </x:c>
      <x:c r="Q2388" s="9" t="n">
        <x:v>0.1657992565</x:v>
      </x:c>
      <x:c r="R2388" s="3" t="b">
        <x:v>0</x:v>
      </x:c>
      <x:c r="S2388" s="3" t="b">
        <x:v>0</x:v>
      </x:c>
      <x:c r="T2388" s="3" t="b">
        <x:v>0</x:v>
      </x:c>
      <x:c r="U2388" s="2" t="str">
        <x:f>IF(T2388=TRUE,"Priority review",IF(R2388=TRUE,"High cost",IF(S2388=TRUE,"Low quality","Benchmark")))</x:f>
        <x:v>Benchmark</x:v>
      </x:c>
    </x:row>
    <x:row r="2389">
      <x:c r="A2389" s="2" t="str">
        <x:v>180132</x:v>
      </x:c>
      <x:c r="B2389" s="2" t="str">
        <x:v>LAKE CUMBERLAND REGIONAL HOSPITAL</x:v>
      </x:c>
      <x:c r="C2389" s="2" t="str">
        <x:v>SOMERSET</x:v>
      </x:c>
      <x:c r="D2389" s="2" t="str">
        <x:v>KY</x:v>
      </x:c>
      <x:c r="E2389" s="2" t="str">
        <x:v>Acute Care Hospitals</x:v>
      </x:c>
      <x:c r="F2389" s="2" t="str">
        <x:v>Proprietary</x:v>
      </x:c>
      <x:c r="G2389" s="2" t="str">
        <x:v>Medium (100-299 beds)</x:v>
      </x:c>
      <x:c r="H2389" s="7" t="n">
        <x:v>2</x:v>
      </x:c>
      <x:c r="I2389" s="7" t="n">
        <x:v>3</x:v>
      </x:c>
      <x:c r="J2389" s="7" t="n">
        <x:v>1.03</x:v>
      </x:c>
      <x:c r="K2389" s="8" t="n">
        <x:v>182</x:v>
      </x:c>
      <x:c r="L2389" s="8" t="n">
        <x:v>8725</x:v>
      </x:c>
      <x:c r="M2389" s="9" t="n">
        <x:v>0.5676154447</x:v>
      </x:c>
      <x:c r="N2389" s="10" t="n">
        <x:v>34732.3636676218</x:v>
      </x:c>
      <x:c r="O2389" s="9" t="n">
        <x:v>0.1221161995</x:v>
      </x:c>
      <x:c r="P2389" s="9" t="n">
        <x:v>0.5167074165</x:v>
      </x:c>
      <x:c r="Q2389" s="9" t="n">
        <x:v>0.0782396088</x:v>
      </x:c>
      <x:c r="R2389" s="3" t="b">
        <x:v>0</x:v>
      </x:c>
      <x:c r="S2389" s="3" t="b">
        <x:v>1</x:v>
      </x:c>
      <x:c r="T2389" s="3" t="b">
        <x:v>0</x:v>
      </x:c>
      <x:c r="U2389" s="2" t="str">
        <x:f>IF(T2389=TRUE,"Priority review",IF(R2389=TRUE,"High cost",IF(S2389=TRUE,"Low quality","Benchmark")))</x:f>
        <x:v>Low quality</x:v>
      </x:c>
    </x:row>
    <x:row r="2390">
      <x:c r="A2390" s="2" t="str">
        <x:v>390338</x:v>
      </x:c>
      <x:c r="B2390" s="2" t="str">
        <x:v>LEHIGH VALLEY HOSPITAL - DICKSON CITY</x:v>
      </x:c>
      <x:c r="C2390" s="2" t="str">
        <x:v>DICKSON CITY</x:v>
      </x:c>
      <x:c r="D2390" s="2" t="str">
        <x:v>PA</x:v>
      </x:c>
      <x:c r="E2390" s="2" t="str">
        <x:v>Acute Care Hospitals</x:v>
      </x:c>
      <x:c r="F2390" s="2" t="str">
        <x:v>Voluntary non-profit</x:v>
      </x:c>
      <x:c r="G2390" s="2" t="str">
        <x:v>Small (&lt;100 beds)</x:v>
      </x:c>
      <x:c r="H2390" s="7" t="n">
        <x:v>3</x:v>
      </x:c>
      <x:c r="I2390" s="7" t="n">
        <x:v>4</x:v>
      </x:c>
      <x:c r="J2390" s="7" t="n">
        <x:v>1.01</x:v>
      </x:c>
      <x:c r="K2390" s="8" t="n">
        <x:v>40</x:v>
      </x:c>
      <x:c r="L2390" s="8" t="n">
        <x:v>2435</x:v>
      </x:c>
      <x:c r="M2390" s="9" t="n">
        <x:v>0.602739726</x:v>
      </x:c>
      <x:c r="N2390" s="10" t="n">
        <x:v>53826.4057494867</x:v>
      </x:c>
      <x:c r="O2390" s="9" t="n">
        <x:v>0.0120150328</x:v>
      </x:c>
      <x:c r="P2390" s="9" t="n">
        <x:v>0.5161579892</x:v>
      </x:c>
      <x:c r="Q2390" s="9" t="n">
        <x:v>0.1687612208</x:v>
      </x:c>
      <x:c r="R2390" s="3" t="b">
        <x:v>0</x:v>
      </x:c>
      <x:c r="S2390" s="3" t="b">
        <x:v>0</x:v>
      </x:c>
      <x:c r="T2390" s="3" t="b">
        <x:v>0</x:v>
      </x:c>
      <x:c r="U2390" s="2" t="str">
        <x:f>IF(T2390=TRUE,"Priority review",IF(R2390=TRUE,"High cost",IF(S2390=TRUE,"Low quality","Benchmark")))</x:f>
        <x:v>Benchmark</x:v>
      </x:c>
    </x:row>
    <x:row r="2391">
      <x:c r="A2391" s="2" t="str">
        <x:v>501305</x:v>
      </x:c>
      <x:c r="B2391" s="2" t="str">
        <x:v>LINCOLN HOSPITAL</x:v>
      </x:c>
      <x:c r="C2391" s="2" t="str">
        <x:v>DAVENPORT</x:v>
      </x:c>
      <x:c r="D2391" s="2" t="str">
        <x:v>WA</x:v>
      </x:c>
      <x:c r="E2391" s="2" t="str">
        <x:v>Critical Access Hospitals</x:v>
      </x:c>
      <x:c r="F2391" s="2" t="str">
        <x:v>Government</x:v>
      </x:c>
      <x:c r="G2391" s="2" t="str">
        <x:v>Small (&lt;100 beds)</x:v>
      </x:c>
      <x:c r="H2391" s="7"/>
      <x:c r="I2391" s="7"/>
      <x:c r="J2391" s="7"/>
      <x:c r="K2391" s="8" t="n">
        <x:v>25</x:v>
      </x:c>
      <x:c r="L2391" s="8" t="n">
        <x:v>249</x:v>
      </x:c>
      <x:c r="M2391" s="9" t="n">
        <x:v>0.5452459016</x:v>
      </x:c>
      <x:c r="N2391" s="10" t="n">
        <x:v>132829.7951807229</x:v>
      </x:c>
      <x:c r="O2391" s="9" t="n">
        <x:v>-0.0148728219</x:v>
      </x:c>
      <x:c r="P2391" s="9" t="n">
        <x:v>0.5159851301</x:v>
      </x:c>
      <x:c r="Q2391" s="9" t="n">
        <x:v>0.292936803</x:v>
      </x:c>
      <x:c r="R2391" s="3" t="b">
        <x:v>0</x:v>
      </x:c>
      <x:c r="S2391" s="3" t="b">
        <x:v>0</x:v>
      </x:c>
      <x:c r="T2391" s="3" t="b">
        <x:v>0</x:v>
      </x:c>
      <x:c r="U2391" s="2" t="str">
        <x:f>IF(T2391=TRUE,"Priority review",IF(R2391=TRUE,"High cost",IF(S2391=TRUE,"Low quality","Benchmark")))</x:f>
        <x:v>Benchmark</x:v>
      </x:c>
    </x:row>
    <x:row r="2392">
      <x:c r="A2392" s="2" t="str">
        <x:v>280023</x:v>
      </x:c>
      <x:c r="B2392" s="2" t="str">
        <x:v>CHI HEALTH ST. FRANCIS</x:v>
      </x:c>
      <x:c r="C2392" s="2" t="str">
        <x:v>GRAND ISLAND</x:v>
      </x:c>
      <x:c r="D2392" s="2" t="str">
        <x:v>NE</x:v>
      </x:c>
      <x:c r="E2392" s="2" t="str">
        <x:v>Acute Care Hospitals</x:v>
      </x:c>
      <x:c r="F2392" s="2" t="str">
        <x:v>Voluntary non-profit</x:v>
      </x:c>
      <x:c r="G2392" s="2" t="str">
        <x:v>Medium (100-299 beds)</x:v>
      </x:c>
      <x:c r="H2392" s="7" t="n">
        <x:v>4</x:v>
      </x:c>
      <x:c r="I2392" s="7" t="n">
        <x:v>4</x:v>
      </x:c>
      <x:c r="J2392" s="7" t="n">
        <x:v>1.03</x:v>
      </x:c>
      <x:c r="K2392" s="8" t="n">
        <x:v>140</x:v>
      </x:c>
      <x:c r="L2392" s="8" t="n">
        <x:v>4455</x:v>
      </x:c>
      <x:c r="M2392" s="9" t="n">
        <x:v>0.3603522505</x:v>
      </x:c>
      <x:c r="N2392" s="10" t="n">
        <x:v>34690.9261503928</x:v>
      </x:c>
      <x:c r="O2392" s="9" t="n">
        <x:v>-0.0977106776</x:v>
      </x:c>
      <x:c r="P2392" s="9" t="n">
        <x:v>0.5158924205</x:v>
      </x:c>
      <x:c r="Q2392" s="9" t="n">
        <x:v>0.6022819886</x:v>
      </x:c>
      <x:c r="R2392" s="3" t="b">
        <x:v>0</x:v>
      </x:c>
      <x:c r="S2392" s="3" t="b">
        <x:v>0</x:v>
      </x:c>
      <x:c r="T2392" s="3" t="b">
        <x:v>0</x:v>
      </x:c>
      <x:c r="U2392" s="2" t="str">
        <x:f>IF(T2392=TRUE,"Priority review",IF(R2392=TRUE,"High cost",IF(S2392=TRUE,"Low quality","Benchmark")))</x:f>
        <x:v>Benchmark</x:v>
      </x:c>
    </x:row>
    <x:row r="2393">
      <x:c r="A2393" s="2" t="str">
        <x:v>050624</x:v>
      </x:c>
      <x:c r="B2393" s="2" t="str">
        <x:v>HENRY MAYO NEWHALL  HOSPITAL</x:v>
      </x:c>
      <x:c r="C2393" s="2" t="str">
        <x:v>VALENCIA</x:v>
      </x:c>
      <x:c r="D2393" s="2" t="str">
        <x:v>CA</x:v>
      </x:c>
      <x:c r="E2393" s="2" t="str">
        <x:v>Acute Care Hospitals</x:v>
      </x:c>
      <x:c r="F2393" s="2" t="str">
        <x:v>Voluntary non-profit</x:v>
      </x:c>
      <x:c r="G2393" s="2" t="str">
        <x:v>Large (300+ beds)</x:v>
      </x:c>
      <x:c r="H2393" s="7" t="n">
        <x:v>2</x:v>
      </x:c>
      <x:c r="I2393" s="7" t="n">
        <x:v>3</x:v>
      </x:c>
      <x:c r="J2393" s="7" t="n">
        <x:v>1.02</x:v>
      </x:c>
      <x:c r="K2393" s="8" t="n">
        <x:v>315</x:v>
      </x:c>
      <x:c r="L2393" s="8" t="n">
        <x:v>10901</x:v>
      </x:c>
      <x:c r="M2393" s="9" t="n">
        <x:v>0.4871888282</x:v>
      </x:c>
      <x:c r="N2393" s="10" t="n">
        <x:v>39427.2744702321</x:v>
      </x:c>
      <x:c r="O2393" s="9" t="n">
        <x:v>-0.0056161141</x:v>
      </x:c>
      <x:c r="P2393" s="9" t="n">
        <x:v>0.5157728707</x:v>
      </x:c>
      <x:c r="Q2393" s="9" t="n">
        <x:v>0.0536277603</x:v>
      </x:c>
      <x:c r="R2393" s="3" t="b">
        <x:v>0</x:v>
      </x:c>
      <x:c r="S2393" s="3" t="b">
        <x:v>1</x:v>
      </x:c>
      <x:c r="T2393" s="3" t="b">
        <x:v>0</x:v>
      </x:c>
      <x:c r="U2393" s="2" t="str">
        <x:f>IF(T2393=TRUE,"Priority review",IF(R2393=TRUE,"High cost",IF(S2393=TRUE,"Low quality","Benchmark")))</x:f>
        <x:v>Low quality</x:v>
      </x:c>
    </x:row>
    <x:row r="2394">
      <x:c r="A2394" s="2" t="str">
        <x:v>370022</x:v>
      </x:c>
      <x:c r="B2394" s="2" t="str">
        <x:v>JACKSON COUNTY MEMORIAL HOSPITAL AUTHORITY</x:v>
      </x:c>
      <x:c r="C2394" s="2" t="str">
        <x:v>ALTUS</x:v>
      </x:c>
      <x:c r="D2394" s="2" t="str">
        <x:v>OK</x:v>
      </x:c>
      <x:c r="E2394" s="2" t="str">
        <x:v>Acute Care Hospitals</x:v>
      </x:c>
      <x:c r="F2394" s="2" t="str">
        <x:v>Voluntary non-profit</x:v>
      </x:c>
      <x:c r="G2394" s="2" t="str">
        <x:v>Small (&lt;100 beds)</x:v>
      </x:c>
      <x:c r="H2394" s="7" t="n">
        <x:v>3</x:v>
      </x:c>
      <x:c r="I2394" s="7" t="n">
        <x:v>4</x:v>
      </x:c>
      <x:c r="J2394" s="7" t="n">
        <x:v>1.02</x:v>
      </x:c>
      <x:c r="K2394" s="8" t="n">
        <x:v>49</x:v>
      </x:c>
      <x:c r="L2394" s="8" t="n">
        <x:v>1672</x:v>
      </x:c>
      <x:c r="M2394" s="9" t="n">
        <x:v>0.3149566676</x:v>
      </x:c>
      <x:c r="N2394" s="10" t="n">
        <x:v>53740.2314593301</x:v>
      </x:c>
      <x:c r="O2394" s="9" t="n">
        <x:v>-0.0689654311</x:v>
      </x:c>
      <x:c r="P2394" s="9" t="n">
        <x:v>0.5152603232</x:v>
      </x:c>
      <x:c r="Q2394" s="9" t="n">
        <x:v>0.1687612208</x:v>
      </x:c>
      <x:c r="R2394" s="3" t="b">
        <x:v>0</x:v>
      </x:c>
      <x:c r="S2394" s="3" t="b">
        <x:v>0</x:v>
      </x:c>
      <x:c r="T2394" s="3" t="b">
        <x:v>0</x:v>
      </x:c>
      <x:c r="U2394" s="2" t="str">
        <x:f>IF(T2394=TRUE,"Priority review",IF(R2394=TRUE,"High cost",IF(S2394=TRUE,"Low quality","Benchmark")))</x:f>
        <x:v>Benchmark</x:v>
      </x:c>
    </x:row>
    <x:row r="2395">
      <x:c r="A2395" s="2" t="str">
        <x:v>171331</x:v>
      </x:c>
      <x:c r="B2395" s="2" t="str">
        <x:v>KIOWA DISTRICT HOSPITAL</x:v>
      </x:c>
      <x:c r="C2395" s="2" t="str">
        <x:v>KIOWA</x:v>
      </x:c>
      <x:c r="D2395" s="2" t="str">
        <x:v>KS</x:v>
      </x:c>
      <x:c r="E2395" s="2" t="str">
        <x:v>Critical Access Hospitals</x:v>
      </x:c>
      <x:c r="F2395" s="2" t="str">
        <x:v>Government</x:v>
      </x:c>
      <x:c r="G2395" s="2" t="str">
        <x:v>Small (&lt;100 beds)</x:v>
      </x:c>
      <x:c r="H2395" s="7"/>
      <x:c r="I2395" s="7"/>
      <x:c r="J2395" s="7"/>
      <x:c r="K2395" s="8" t="n">
        <x:v>10</x:v>
      </x:c>
      <x:c r="L2395" s="8" t="n">
        <x:v>77</x:v>
      </x:c>
      <x:c r="M2395" s="9" t="n">
        <x:v>0.1980874317</x:v>
      </x:c>
      <x:c r="N2395" s="10" t="n">
        <x:v>132723.4155844156</x:v>
      </x:c>
      <x:c r="O2395" s="9" t="n">
        <x:v>-0.2710507418</x:v>
      </x:c>
      <x:c r="P2395" s="9" t="n">
        <x:v>0.5152416357</x:v>
      </x:c>
      <x:c r="Q2395" s="9" t="n">
        <x:v>0.292936803</x:v>
      </x:c>
      <x:c r="R2395" s="3" t="b">
        <x:v>0</x:v>
      </x:c>
      <x:c r="S2395" s="3" t="b">
        <x:v>0</x:v>
      </x:c>
      <x:c r="T2395" s="3" t="b">
        <x:v>0</x:v>
      </x:c>
      <x:c r="U2395" s="2" t="str">
        <x:f>IF(T2395=TRUE,"Priority review",IF(R2395=TRUE,"High cost",IF(S2395=TRUE,"Low quality","Benchmark")))</x:f>
        <x:v>Benchmark</x:v>
      </x:c>
    </x:row>
    <x:row r="2396">
      <x:c r="A2396" s="2" t="str">
        <x:v>390151</x:v>
      </x:c>
      <x:c r="B2396" s="2" t="str">
        <x:v>WELLSPAN CHAMBERSBURG HOSPITAL</x:v>
      </x:c>
      <x:c r="C2396" s="2" t="str">
        <x:v>CHAMBERSBURG</x:v>
      </x:c>
      <x:c r="D2396" s="2" t="str">
        <x:v>PA</x:v>
      </x:c>
      <x:c r="E2396" s="2" t="str">
        <x:v>Acute Care Hospitals</x:v>
      </x:c>
      <x:c r="F2396" s="2" t="str">
        <x:v>Voluntary non-profit</x:v>
      </x:c>
      <x:c r="G2396" s="2" t="str">
        <x:v>Medium (100-299 beds)</x:v>
      </x:c>
      <x:c r="H2396" s="7" t="n">
        <x:v>4</x:v>
      </x:c>
      <x:c r="I2396" s="7" t="n">
        <x:v>3</x:v>
      </x:c>
      <x:c r="J2396" s="7" t="n">
        <x:v>0.94</x:v>
      </x:c>
      <x:c r="K2396" s="8" t="n">
        <x:v>231</x:v>
      </x:c>
      <x:c r="L2396" s="8" t="n">
        <x:v>13318</x:v>
      </x:c>
      <x:c r="M2396" s="9" t="n">
        <x:v>0.6843029117</x:v>
      </x:c>
      <x:c r="N2396" s="10" t="n">
        <x:v>34687.4023126596</x:v>
      </x:c>
      <x:c r="O2396" s="9" t="n">
        <x:v>0.0919111405</x:v>
      </x:c>
      <x:c r="P2396" s="9" t="n">
        <x:v>0.5150774246</x:v>
      </x:c>
      <x:c r="Q2396" s="9" t="n">
        <x:v>0.6022819886</x:v>
      </x:c>
      <x:c r="R2396" s="3" t="b">
        <x:v>0</x:v>
      </x:c>
      <x:c r="S2396" s="3" t="b">
        <x:v>0</x:v>
      </x:c>
      <x:c r="T2396" s="3" t="b">
        <x:v>0</x:v>
      </x:c>
      <x:c r="U2396" s="2" t="str">
        <x:f>IF(T2396=TRUE,"Priority review",IF(R2396=TRUE,"High cost",IF(S2396=TRUE,"Low quality","Benchmark")))</x:f>
        <x:v>Benchmark</x:v>
      </x:c>
    </x:row>
    <x:row r="2397">
      <x:c r="A2397" s="2" t="str">
        <x:v>194079</x:v>
      </x:c>
      <x:c r="B2397" s="2" t="str">
        <x:v>RED RIVER BEHAVIORAL CENTER, LLC</x:v>
      </x:c>
      <x:c r="C2397" s="2" t="str">
        <x:v>BOSSIER CITY</x:v>
      </x:c>
      <x:c r="D2397" s="2" t="str">
        <x:v>LA</x:v>
      </x:c>
      <x:c r="E2397" s="2" t="str">
        <x:v>Psychiatric</x:v>
      </x:c>
      <x:c r="F2397" s="2" t="str">
        <x:v>Proprietary</x:v>
      </x:c>
      <x:c r="G2397" s="2" t="str">
        <x:v>Small (&lt;100 beds)</x:v>
      </x:c>
      <x:c r="H2397" s="7"/>
      <x:c r="I2397" s="7"/>
      <x:c r="J2397" s="7"/>
      <x:c r="K2397" s="8" t="n">
        <x:v>20</x:v>
      </x:c>
      <x:c r="L2397" s="8" t="n">
        <x:v>355</x:v>
      </x:c>
      <x:c r="M2397" s="9" t="n">
        <x:v>0.7265753425</x:v>
      </x:c>
      <x:c r="N2397" s="10" t="n">
        <x:v>12421.9690140845</x:v>
      </x:c>
      <x:c r="O2397" s="9" t="n">
        <x:v>0.0475563198</x:v>
      </x:c>
      <x:c r="P2397" s="9" t="n">
        <x:v>0.5145631068</x:v>
      </x:c>
      <x:c r="Q2397" s="9" t="n">
        <x:v>0</x:v>
      </x:c>
      <x:c r="R2397" s="3" t="b">
        <x:v>0</x:v>
      </x:c>
      <x:c r="S2397" s="3" t="b">
        <x:v>0</x:v>
      </x:c>
      <x:c r="T2397" s="3" t="b">
        <x:v>0</x:v>
      </x:c>
      <x:c r="U2397" s="2" t="str">
        <x:f>IF(T2397=TRUE,"Priority review",IF(R2397=TRUE,"High cost",IF(S2397=TRUE,"Low quality","Benchmark")))</x:f>
        <x:v>Benchmark</x:v>
      </x:c>
    </x:row>
    <x:row r="2398">
      <x:c r="A2398" s="2" t="str">
        <x:v>241353</x:v>
      </x:c>
      <x:c r="B2398" s="2" t="str">
        <x:v>CUYUNA REGIONAL MEDICAL CENTER</x:v>
      </x:c>
      <x:c r="C2398" s="2" t="str">
        <x:v>CROSBY</x:v>
      </x:c>
      <x:c r="D2398" s="2" t="str">
        <x:v>MN</x:v>
      </x:c>
      <x:c r="E2398" s="2" t="str">
        <x:v>Critical Access Hospitals</x:v>
      </x:c>
      <x:c r="F2398" s="2" t="str">
        <x:v>Government</x:v>
      </x:c>
      <x:c r="G2398" s="2" t="str">
        <x:v>Small (&lt;100 beds)</x:v>
      </x:c>
      <x:c r="H2398" s="7" t="n">
        <x:v>3</x:v>
      </x:c>
      <x:c r="I2398" s="7" t="n">
        <x:v>4</x:v>
      </x:c>
      <x:c r="J2398" s="7"/>
      <x:c r="K2398" s="8" t="n">
        <x:v>25</x:v>
      </x:c>
      <x:c r="L2398" s="8" t="n">
        <x:v>1540</x:v>
      </x:c>
      <x:c r="M2398" s="9" t="n">
        <x:v>0.5659178082</x:v>
      </x:c>
      <x:c r="N2398" s="10" t="n">
        <x:v>132605.8577922078</x:v>
      </x:c>
      <x:c r="O2398" s="9" t="n">
        <x:v>-0.0556925872</x:v>
      </x:c>
      <x:c r="P2398" s="9" t="n">
        <x:v>0.5144981413</x:v>
      </x:c>
      <x:c r="Q2398" s="9" t="n">
        <x:v>0.0765799257</x:v>
      </x:c>
      <x:c r="R2398" s="3" t="b">
        <x:v>0</x:v>
      </x:c>
      <x:c r="S2398" s="3" t="b">
        <x:v>1</x:v>
      </x:c>
      <x:c r="T2398" s="3" t="b">
        <x:v>0</x:v>
      </x:c>
      <x:c r="U2398" s="2" t="str">
        <x:f>IF(T2398=TRUE,"Priority review",IF(R2398=TRUE,"High cost",IF(S2398=TRUE,"Low quality","Benchmark")))</x:f>
        <x:v>Low quality</x:v>
      </x:c>
    </x:row>
    <x:row r="2399">
      <x:c r="A2399" s="2" t="str">
        <x:v>380071</x:v>
      </x:c>
      <x:c r="B2399" s="2" t="str">
        <x:v>WILLAMETTE VALLEY MEDICAL CENTER</x:v>
      </x:c>
      <x:c r="C2399" s="2" t="str">
        <x:v>MCMINNVILLE</x:v>
      </x:c>
      <x:c r="D2399" s="2" t="str">
        <x:v>OR</x:v>
      </x:c>
      <x:c r="E2399" s="2" t="str">
        <x:v>Acute Care Hospitals</x:v>
      </x:c>
      <x:c r="F2399" s="2" t="str">
        <x:v>Voluntary non-profit</x:v>
      </x:c>
      <x:c r="G2399" s="2" t="str">
        <x:v>Small (&lt;100 beds)</x:v>
      </x:c>
      <x:c r="H2399" s="7" t="n">
        <x:v>2</x:v>
      </x:c>
      <x:c r="I2399" s="7" t="n">
        <x:v>3</x:v>
      </x:c>
      <x:c r="J2399" s="7" t="n">
        <x:v>0.84</x:v>
      </x:c>
      <x:c r="K2399" s="8" t="n">
        <x:v>50</x:v>
      </x:c>
      <x:c r="L2399" s="8" t="n">
        <x:v>2406</x:v>
      </x:c>
      <x:c r="M2399" s="9" t="n">
        <x:v>0.414863388</x:v>
      </x:c>
      <x:c r="N2399" s="10" t="n">
        <x:v>53502.1990856193</x:v>
      </x:c>
      <x:c r="O2399" s="9" t="n">
        <x:v>-0.1686064128</x:v>
      </x:c>
      <x:c r="P2399" s="9" t="n">
        <x:v>0.5143626571</x:v>
      </x:c>
      <x:c r="Q2399" s="9" t="n">
        <x:v>0.0350089767</x:v>
      </x:c>
      <x:c r="R2399" s="3" t="b">
        <x:v>0</x:v>
      </x:c>
      <x:c r="S2399" s="3" t="b">
        <x:v>1</x:v>
      </x:c>
      <x:c r="T2399" s="3" t="b">
        <x:v>0</x:v>
      </x:c>
      <x:c r="U2399" s="2" t="str">
        <x:f>IF(T2399=TRUE,"Priority review",IF(R2399=TRUE,"High cost",IF(S2399=TRUE,"Low quality","Benchmark")))</x:f>
        <x:v>Low quality</x:v>
      </x:c>
    </x:row>
    <x:row r="2400">
      <x:c r="A2400" s="2" t="str">
        <x:v>050295</x:v>
      </x:c>
      <x:c r="B2400" s="2" t="str">
        <x:v>MERCY HOSPITAL</x:v>
      </x:c>
      <x:c r="C2400" s="2" t="str">
        <x:v>BAKERSFIELD</x:v>
      </x:c>
      <x:c r="D2400" s="2" t="str">
        <x:v>CA</x:v>
      </x:c>
      <x:c r="E2400" s="2" t="str">
        <x:v>Acute Care Hospitals</x:v>
      </x:c>
      <x:c r="F2400" s="2" t="str">
        <x:v>Voluntary non-profit</x:v>
      </x:c>
      <x:c r="G2400" s="2" t="str">
        <x:v>Medium (100-299 beds)</x:v>
      </x:c>
      <x:c r="H2400" s="7" t="n">
        <x:v>3</x:v>
      </x:c>
      <x:c r="I2400" s="7" t="n">
        <x:v>2</x:v>
      </x:c>
      <x:c r="J2400" s="7" t="n">
        <x:v>1.04</x:v>
      </x:c>
      <x:c r="K2400" s="8" t="n">
        <x:v>229</x:v>
      </x:c>
      <x:c r="L2400" s="8" t="n">
        <x:v>11654</x:v>
      </x:c>
      <x:c r="M2400" s="9" t="n">
        <x:v>0.5733564635</x:v>
      </x:c>
      <x:c r="N2400" s="10" t="n">
        <x:v>34683.9163377381</x:v>
      </x:c>
      <x:c r="O2400" s="9" t="n">
        <x:v>0.0304100319</x:v>
      </x:c>
      <x:c r="P2400" s="9" t="n">
        <x:v>0.5142624287</x:v>
      </x:c>
      <x:c r="Q2400" s="9" t="n">
        <x:v>0.3023634882</x:v>
      </x:c>
      <x:c r="R2400" s="3" t="b">
        <x:v>0</x:v>
      </x:c>
      <x:c r="S2400" s="3" t="b">
        <x:v>0</x:v>
      </x:c>
      <x:c r="T2400" s="3" t="b">
        <x:v>0</x:v>
      </x:c>
      <x:c r="U2400" s="2" t="str">
        <x:f>IF(T2400=TRUE,"Priority review",IF(R2400=TRUE,"High cost",IF(S2400=TRUE,"Low quality","Benchmark")))</x:f>
        <x:v>Benchmark</x:v>
      </x:c>
    </x:row>
    <x:row r="2401">
      <x:c r="A2401" s="2" t="str">
        <x:v>360068</x:v>
      </x:c>
      <x:c r="B2401" s="2" t="str">
        <x:v>PROMEDICA TOLEDO HOSPITAL</x:v>
      </x:c>
      <x:c r="C2401" s="2" t="str">
        <x:v>TOLEDO</x:v>
      </x:c>
      <x:c r="D2401" s="2" t="str">
        <x:v>OH</x:v>
      </x:c>
      <x:c r="E2401" s="2" t="str">
        <x:v>Acute Care Hospitals</x:v>
      </x:c>
      <x:c r="F2401" s="2" t="str">
        <x:v>Voluntary non-profit</x:v>
      </x:c>
      <x:c r="G2401" s="2" t="str">
        <x:v>Large (300+ beds)</x:v>
      </x:c>
      <x:c r="H2401" s="7" t="n">
        <x:v>4</x:v>
      </x:c>
      <x:c r="I2401" s="7" t="n">
        <x:v>3</x:v>
      </x:c>
      <x:c r="J2401" s="7" t="n">
        <x:v>1.03</x:v>
      </x:c>
      <x:c r="K2401" s="8" t="n">
        <x:v>721</x:v>
      </x:c>
      <x:c r="L2401" s="8" t="n">
        <x:v>32948</x:v>
      </x:c>
      <x:c r="M2401" s="9" t="n">
        <x:v>0.7010192225</x:v>
      </x:c>
      <x:c r="N2401" s="10" t="n">
        <x:v>39300.2042005585</x:v>
      </x:c>
      <x:c r="O2401" s="9" t="n">
        <x:v>0.1616292928</x:v>
      </x:c>
      <x:c r="P2401" s="9" t="n">
        <x:v>0.5141955836</x:v>
      </x:c>
      <x:c r="Q2401" s="9" t="n">
        <x:v>0.5899053628</x:v>
      </x:c>
      <x:c r="R2401" s="3" t="b">
        <x:v>0</x:v>
      </x:c>
      <x:c r="S2401" s="3" t="b">
        <x:v>0</x:v>
      </x:c>
      <x:c r="T2401" s="3" t="b">
        <x:v>0</x:v>
      </x:c>
      <x:c r="U2401" s="2" t="str">
        <x:f>IF(T2401=TRUE,"Priority review",IF(R2401=TRUE,"High cost",IF(S2401=TRUE,"Low quality","Benchmark")))</x:f>
        <x:v>Benchmark</x:v>
      </x:c>
    </x:row>
    <x:row r="2402">
      <x:c r="A2402" s="2" t="str">
        <x:v>161367</x:v>
      </x:c>
      <x:c r="B2402" s="2" t="str">
        <x:v>PELLA REGIONAL HEALTH CENTER</x:v>
      </x:c>
      <x:c r="C2402" s="2" t="str">
        <x:v>PELLA</x:v>
      </x:c>
      <x:c r="D2402" s="2" t="str">
        <x:v>IA</x:v>
      </x:c>
      <x:c r="E2402" s="2" t="str">
        <x:v>Critical Access Hospitals</x:v>
      </x:c>
      <x:c r="F2402" s="2" t="str">
        <x:v>Voluntary non-profit</x:v>
      </x:c>
      <x:c r="G2402" s="2" t="str">
        <x:v>Small (&lt;100 beds)</x:v>
      </x:c>
      <x:c r="H2402" s="7" t="n">
        <x:v>4</x:v>
      </x:c>
      <x:c r="I2402" s="7" t="n">
        <x:v>4</x:v>
      </x:c>
      <x:c r="J2402" s="7"/>
      <x:c r="K2402" s="8" t="n">
        <x:v>25</x:v>
      </x:c>
      <x:c r="L2402" s="8" t="n">
        <x:v>1121</x:v>
      </x:c>
      <x:c r="M2402" s="9" t="n">
        <x:v>0.6257923497</x:v>
      </x:c>
      <x:c r="N2402" s="10" t="n">
        <x:v>132548.1177520072</x:v>
      </x:c>
      <x:c r="O2402" s="9" t="n">
        <x:v>-0.1212526323</x:v>
      </x:c>
      <x:c r="P2402" s="9" t="n">
        <x:v>0.5137546468</x:v>
      </x:c>
      <x:c r="Q2402" s="9" t="n">
        <x:v>0.1657992565</x:v>
      </x:c>
      <x:c r="R2402" s="3" t="b">
        <x:v>0</x:v>
      </x:c>
      <x:c r="S2402" s="3" t="b">
        <x:v>0</x:v>
      </x:c>
      <x:c r="T2402" s="3" t="b">
        <x:v>0</x:v>
      </x:c>
      <x:c r="U2402" s="2" t="str">
        <x:f>IF(T2402=TRUE,"Priority review",IF(R2402=TRUE,"High cost",IF(S2402=TRUE,"Low quality","Benchmark")))</x:f>
        <x:v>Benchmark</x:v>
      </x:c>
    </x:row>
    <x:row r="2403">
      <x:c r="A2403" s="2" t="str">
        <x:v>230259</x:v>
      </x:c>
      <x:c r="B2403" s="2" t="str">
        <x:v>CHELSEA HOSPITAL</x:v>
      </x:c>
      <x:c r="C2403" s="2" t="str">
        <x:v>CHELSEA</x:v>
      </x:c>
      <x:c r="D2403" s="2" t="str">
        <x:v>MI</x:v>
      </x:c>
      <x:c r="E2403" s="2" t="str">
        <x:v>Acute Care Hospitals</x:v>
      </x:c>
      <x:c r="F2403" s="2" t="str">
        <x:v>Voluntary non-profit</x:v>
      </x:c>
      <x:c r="G2403" s="2" t="str">
        <x:v>Small (&lt;100 beds)</x:v>
      </x:c>
      <x:c r="H2403" s="7" t="n">
        <x:v>4</x:v>
      </x:c>
      <x:c r="I2403" s="7" t="n">
        <x:v>4</x:v>
      </x:c>
      <x:c r="J2403" s="7" t="n">
        <x:v>0.84</x:v>
      </x:c>
      <x:c r="K2403" s="8" t="n">
        <x:v>63</x:v>
      </x:c>
      <x:c r="L2403" s="8" t="n">
        <x:v>4072</x:v>
      </x:c>
      <x:c r="M2403" s="9" t="n">
        <x:v>0.6393998695</x:v>
      </x:c>
      <x:c r="N2403" s="10" t="n">
        <x:v>53457.4226424361</x:v>
      </x:c>
      <x:c r="O2403" s="9" t="n">
        <x:v>-0.034811334</x:v>
      </x:c>
      <x:c r="P2403" s="9" t="n">
        <x:v>0.513464991</x:v>
      </x:c>
      <x:c r="Q2403" s="9" t="n">
        <x:v>0.3913824057</x:v>
      </x:c>
      <x:c r="R2403" s="3" t="b">
        <x:v>0</x:v>
      </x:c>
      <x:c r="S2403" s="3" t="b">
        <x:v>0</x:v>
      </x:c>
      <x:c r="T2403" s="3" t="b">
        <x:v>0</x:v>
      </x:c>
      <x:c r="U2403" s="2" t="str">
        <x:f>IF(T2403=TRUE,"Priority review",IF(R2403=TRUE,"High cost",IF(S2403=TRUE,"Low quality","Benchmark")))</x:f>
        <x:v>Benchmark</x:v>
      </x:c>
    </x:row>
    <x:row r="2404">
      <x:c r="A2404" s="2" t="str">
        <x:v>360211</x:v>
      </x:c>
      <x:c r="B2404" s="2" t="str">
        <x:v>TRINITY MEDICAL CTR EAST &amp;TRINITY MEDICAL CTR WEST</x:v>
      </x:c>
      <x:c r="C2404" s="2" t="str">
        <x:v>STEUBENVILLE</x:v>
      </x:c>
      <x:c r="D2404" s="2" t="str">
        <x:v>OH</x:v>
      </x:c>
      <x:c r="E2404" s="2" t="str">
        <x:v>Acute Care Hospitals</x:v>
      </x:c>
      <x:c r="F2404" s="2" t="str">
        <x:v>Voluntary non-profit</x:v>
      </x:c>
      <x:c r="G2404" s="2" t="str">
        <x:v>Medium (100-299 beds)</x:v>
      </x:c>
      <x:c r="H2404" s="7" t="n">
        <x:v>2</x:v>
      </x:c>
      <x:c r="I2404" s="7" t="n">
        <x:v>3</x:v>
      </x:c>
      <x:c r="J2404" s="7" t="n">
        <x:v>1.03</x:v>
      </x:c>
      <x:c r="K2404" s="8" t="n">
        <x:v>165</x:v>
      </x:c>
      <x:c r="L2404" s="8" t="n">
        <x:v>8590</x:v>
      </x:c>
      <x:c r="M2404" s="9" t="n">
        <x:v>0.4966874222</x:v>
      </x:c>
      <x:c r="N2404" s="10" t="n">
        <x:v>34613.3271245634</x:v>
      </x:c>
      <x:c r="O2404" s="9" t="n">
        <x:v>-0.0904006181</x:v>
      </x:c>
      <x:c r="P2404" s="9" t="n">
        <x:v>0.5134474328</x:v>
      </x:c>
      <x:c r="Q2404" s="9" t="n">
        <x:v>0.0782396088</x:v>
      </x:c>
      <x:c r="R2404" s="3" t="b">
        <x:v>0</x:v>
      </x:c>
      <x:c r="S2404" s="3" t="b">
        <x:v>1</x:v>
      </x:c>
      <x:c r="T2404" s="3" t="b">
        <x:v>0</x:v>
      </x:c>
      <x:c r="U2404" s="2" t="str">
        <x:f>IF(T2404=TRUE,"Priority review",IF(R2404=TRUE,"High cost",IF(S2404=TRUE,"Low quality","Benchmark")))</x:f>
        <x:v>Low quality</x:v>
      </x:c>
    </x:row>
    <x:row r="2405">
      <x:c r="A2405" s="2" t="str">
        <x:v>151324</x:v>
      </x:c>
      <x:c r="B2405" s="2" t="str">
        <x:v>FRANCISCAN HEALTH RENSSELAER, INC</x:v>
      </x:c>
      <x:c r="C2405" s="2" t="str">
        <x:v>RENSSELAER</x:v>
      </x:c>
      <x:c r="D2405" s="2" t="str">
        <x:v>IN</x:v>
      </x:c>
      <x:c r="E2405" s="2" t="str">
        <x:v>Critical Access Hospitals</x:v>
      </x:c>
      <x:c r="F2405" s="2" t="str">
        <x:v>Voluntary non-profit</x:v>
      </x:c>
      <x:c r="G2405" s="2" t="str">
        <x:v>Small (&lt;100 beds)</x:v>
      </x:c>
      <x:c r="H2405" s="7"/>
      <x:c r="I2405" s="7"/>
      <x:c r="J2405" s="7"/>
      <x:c r="K2405" s="8" t="n">
        <x:v>25</x:v>
      </x:c>
      <x:c r="L2405" s="8" t="n">
        <x:v>297</x:v>
      </x:c>
      <x:c r="M2405" s="9" t="n">
        <x:v>0.1499453552</x:v>
      </x:c>
      <x:c r="N2405" s="10" t="n">
        <x:v>132382.0336700337</x:v>
      </x:c>
      <x:c r="O2405" s="9" t="n">
        <x:v>0.0378301995</x:v>
      </x:c>
      <x:c r="P2405" s="9" t="n">
        <x:v>0.5130111524</x:v>
      </x:c>
      <x:c r="Q2405" s="9" t="n">
        <x:v>0.292936803</x:v>
      </x:c>
      <x:c r="R2405" s="3" t="b">
        <x:v>0</x:v>
      </x:c>
      <x:c r="S2405" s="3" t="b">
        <x:v>0</x:v>
      </x:c>
      <x:c r="T2405" s="3" t="b">
        <x:v>0</x:v>
      </x:c>
      <x:c r="U2405" s="2" t="str">
        <x:f>IF(T2405=TRUE,"Priority review",IF(R2405=TRUE,"High cost",IF(S2405=TRUE,"Low quality","Benchmark")))</x:f>
        <x:v>Benchmark</x:v>
      </x:c>
    </x:row>
    <x:row r="2406">
      <x:c r="A2406" s="2" t="str">
        <x:v>360087</x:v>
      </x:c>
      <x:c r="B2406" s="2" t="str">
        <x:v>LUTHERAN HOSPITAL</x:v>
      </x:c>
      <x:c r="C2406" s="2" t="str">
        <x:v>CLEVELAND</x:v>
      </x:c>
      <x:c r="D2406" s="2" t="str">
        <x:v>OH</x:v>
      </x:c>
      <x:c r="E2406" s="2" t="str">
        <x:v>Acute Care Hospitals</x:v>
      </x:c>
      <x:c r="F2406" s="2" t="str">
        <x:v>Voluntary non-profit</x:v>
      </x:c>
      <x:c r="G2406" s="2" t="str">
        <x:v>Medium (100-299 beds)</x:v>
      </x:c>
      <x:c r="H2406" s="7" t="n">
        <x:v>3</x:v>
      </x:c>
      <x:c r="I2406" s="7" t="n">
        <x:v>2</x:v>
      </x:c>
      <x:c r="J2406" s="7" t="n">
        <x:v>0.97</x:v>
      </x:c>
      <x:c r="K2406" s="8" t="n">
        <x:v>114</x:v>
      </x:c>
      <x:c r="L2406" s="8" t="n">
        <x:v>4510</x:v>
      </x:c>
      <x:c r="M2406" s="9" t="n">
        <x:v>0.4083854757</x:v>
      </x:c>
      <x:c r="N2406" s="10" t="n">
        <x:v>34599.1596452328</x:v>
      </x:c>
      <x:c r="O2406" s="9" t="n">
        <x:v>0.0669445375</x:v>
      </x:c>
      <x:c r="P2406" s="9" t="n">
        <x:v>0.5126324368</x:v>
      </x:c>
      <x:c r="Q2406" s="9" t="n">
        <x:v>0.3023634882</x:v>
      </x:c>
      <x:c r="R2406" s="3" t="b">
        <x:v>0</x:v>
      </x:c>
      <x:c r="S2406" s="3" t="b">
        <x:v>0</x:v>
      </x:c>
      <x:c r="T2406" s="3" t="b">
        <x:v>0</x:v>
      </x:c>
      <x:c r="U2406" s="2" t="str">
        <x:f>IF(T2406=TRUE,"Priority review",IF(R2406=TRUE,"High cost",IF(S2406=TRUE,"Low quality","Benchmark")))</x:f>
        <x:v>Benchmark</x:v>
      </x:c>
    </x:row>
    <x:row r="2407">
      <x:c r="A2407" s="2" t="str">
        <x:v>180088</x:v>
      </x:c>
      <x:c r="B2407" s="2" t="str">
        <x:v>NORTON HOSPITALS, INC</x:v>
      </x:c>
      <x:c r="C2407" s="2" t="str">
        <x:v>LOUISVILLE</x:v>
      </x:c>
      <x:c r="D2407" s="2" t="str">
        <x:v>KY</x:v>
      </x:c>
      <x:c r="E2407" s="2" t="str">
        <x:v>Acute Care Hospitals</x:v>
      </x:c>
      <x:c r="F2407" s="2" t="str">
        <x:v>Voluntary non-profit</x:v>
      </x:c>
      <x:c r="G2407" s="2" t="str">
        <x:v>Large (300+ beds)</x:v>
      </x:c>
      <x:c r="H2407" s="7" t="n">
        <x:v>2</x:v>
      </x:c>
      <x:c r="I2407" s="7" t="n">
        <x:v>3</x:v>
      </x:c>
      <x:c r="J2407" s="7" t="n">
        <x:v>1</x:v>
      </x:c>
      <x:c r="K2407" s="8" t="n">
        <x:v>1541</x:v>
      </x:c>
      <x:c r="L2407" s="8" t="n">
        <x:v>78723</x:v>
      </x:c>
      <x:c r="M2407" s="9" t="n">
        <x:v>0.6883845207</x:v>
      </x:c>
      <x:c r="N2407" s="10" t="n">
        <x:v>39266.5668991273</x:v>
      </x:c>
      <x:c r="O2407" s="9" t="n">
        <x:v>0.0670179051</x:v>
      </x:c>
      <x:c r="P2407" s="9" t="n">
        <x:v>0.5126182965</x:v>
      </x:c>
      <x:c r="Q2407" s="9" t="n">
        <x:v>0.0536277603</x:v>
      </x:c>
      <x:c r="R2407" s="3" t="b">
        <x:v>0</x:v>
      </x:c>
      <x:c r="S2407" s="3" t="b">
        <x:v>1</x:v>
      </x:c>
      <x:c r="T2407" s="3" t="b">
        <x:v>0</x:v>
      </x:c>
      <x:c r="U2407" s="2" t="str">
        <x:f>IF(T2407=TRUE,"Priority review",IF(R2407=TRUE,"High cost",IF(S2407=TRUE,"Low quality","Benchmark")))</x:f>
        <x:v>Low quality</x:v>
      </x:c>
    </x:row>
    <x:row r="2408">
      <x:c r="A2408" s="2" t="str">
        <x:v>170017</x:v>
      </x:c>
      <x:c r="B2408" s="2" t="str">
        <x:v>SUSAN B ALLEN MEMORIAL HOSPITAL</x:v>
      </x:c>
      <x:c r="C2408" s="2" t="str">
        <x:v>EL DORADO</x:v>
      </x:c>
      <x:c r="D2408" s="2" t="str">
        <x:v>KS</x:v>
      </x:c>
      <x:c r="E2408" s="2" t="str">
        <x:v>Acute Care Hospitals</x:v>
      </x:c>
      <x:c r="F2408" s="2" t="str">
        <x:v>Voluntary non-profit</x:v>
      </x:c>
      <x:c r="G2408" s="2" t="str">
        <x:v>Small (&lt;100 beds)</x:v>
      </x:c>
      <x:c r="H2408" s="7"/>
      <x:c r="I2408" s="7"/>
      <x:c r="J2408" s="7" t="n">
        <x:v>0.84</x:v>
      </x:c>
      <x:c r="K2408" s="8" t="n">
        <x:v>20</x:v>
      </x:c>
      <x:c r="L2408" s="8" t="n">
        <x:v>700</x:v>
      </x:c>
      <x:c r="M2408" s="9" t="n">
        <x:v>0.3269125683</x:v>
      </x:c>
      <x:c r="N2408" s="10" t="n">
        <x:v>53434.8114285714</x:v>
      </x:c>
      <x:c r="O2408" s="9" t="n">
        <x:v>-0.1950087566</x:v>
      </x:c>
      <x:c r="P2408" s="9" t="n">
        <x:v>0.512567325</x:v>
      </x:c>
      <x:c r="Q2408" s="9" t="n">
        <x:v>0.697486535</x:v>
      </x:c>
      <x:c r="R2408" s="3" t="b">
        <x:v>0</x:v>
      </x:c>
      <x:c r="S2408" s="3" t="b">
        <x:v>0</x:v>
      </x:c>
      <x:c r="T2408" s="3" t="b">
        <x:v>0</x:v>
      </x:c>
      <x:c r="U2408" s="2" t="str">
        <x:f>IF(T2408=TRUE,"Priority review",IF(R2408=TRUE,"High cost",IF(S2408=TRUE,"Low quality","Benchmark")))</x:f>
        <x:v>Benchmark</x:v>
      </x:c>
    </x:row>
    <x:row r="2409">
      <x:c r="A2409" s="2" t="str">
        <x:v>494023</x:v>
      </x:c>
      <x:c r="B2409" s="2" t="str">
        <x:v>DOMINION HOSPITAL</x:v>
      </x:c>
      <x:c r="C2409" s="2" t="str">
        <x:v>FALLS CHURCH</x:v>
      </x:c>
      <x:c r="D2409" s="2" t="str">
        <x:v>VA</x:v>
      </x:c>
      <x:c r="E2409" s="2" t="str">
        <x:v>Psychiatric</x:v>
      </x:c>
      <x:c r="F2409" s="2" t="str">
        <x:v>Proprietary</x:v>
      </x:c>
      <x:c r="G2409" s="2" t="str">
        <x:v>Medium (100-299 beds)</x:v>
      </x:c>
      <x:c r="H2409" s="7"/>
      <x:c r="I2409" s="7"/>
      <x:c r="J2409" s="7"/>
      <x:c r="K2409" s="8" t="n">
        <x:v>116</x:v>
      </x:c>
      <x:c r="L2409" s="8" t="n">
        <x:v>2645</x:v>
      </x:c>
      <x:c r="M2409" s="9" t="n">
        <x:v>0.7324288675</x:v>
      </x:c>
      <x:c r="N2409" s="10" t="n">
        <x:v>11804.8703213611</x:v>
      </x:c>
      <x:c r="O2409" s="9" t="n">
        <x:v>0.2990317199</x:v>
      </x:c>
      <x:c r="P2409" s="9" t="n">
        <x:v>0.5124378109</x:v>
      </x:c>
      <x:c r="Q2409" s="9" t="n">
        <x:v>0</x:v>
      </x:c>
      <x:c r="R2409" s="3" t="b">
        <x:v>0</x:v>
      </x:c>
      <x:c r="S2409" s="3" t="b">
        <x:v>0</x:v>
      </x:c>
      <x:c r="T2409" s="3" t="b">
        <x:v>0</x:v>
      </x:c>
      <x:c r="U2409" s="2" t="str">
        <x:f>IF(T2409=TRUE,"Priority review",IF(R2409=TRUE,"High cost",IF(S2409=TRUE,"Low quality","Benchmark")))</x:f>
        <x:v>Benchmark</x:v>
      </x:c>
    </x:row>
    <x:row r="2410">
      <x:c r="A2410" s="2" t="str">
        <x:v>241345</x:v>
      </x:c>
      <x:c r="B2410" s="2" t="str">
        <x:v>MAYO CLINIC HEALTH SYSTEM - WASECA</x:v>
      </x:c>
      <x:c r="C2410" s="2" t="str">
        <x:v>WASECA</x:v>
      </x:c>
      <x:c r="D2410" s="2" t="str">
        <x:v>MN</x:v>
      </x:c>
      <x:c r="E2410" s="2" t="str">
        <x:v>Critical Access Hospitals</x:v>
      </x:c>
      <x:c r="F2410" s="2" t="str">
        <x:v>Voluntary non-profit</x:v>
      </x:c>
      <x:c r="G2410" s="2" t="str">
        <x:v>Small (&lt;100 beds)</x:v>
      </x:c>
      <x:c r="H2410" s="7"/>
      <x:c r="I2410" s="7" t="n">
        <x:v>5</x:v>
      </x:c>
      <x:c r="J2410" s="7"/>
      <x:c r="K2410" s="8" t="n">
        <x:v>15</x:v>
      </x:c>
      <x:c r="L2410" s="8" t="n">
        <x:v>206</x:v>
      </x:c>
      <x:c r="M2410" s="9" t="n">
        <x:v>0.6433515483</x:v>
      </x:c>
      <x:c r="N2410" s="10" t="n">
        <x:v>132208.4660194175</x:v>
      </x:c>
      <x:c r="O2410" s="9" t="n">
        <x:v>0.1428204717</x:v>
      </x:c>
      <x:c r="P2410" s="9" t="n">
        <x:v>0.512267658</x:v>
      </x:c>
      <x:c r="Q2410" s="9" t="n">
        <x:v>0.292936803</x:v>
      </x:c>
      <x:c r="R2410" s="3" t="b">
        <x:v>0</x:v>
      </x:c>
      <x:c r="S2410" s="3" t="b">
        <x:v>0</x:v>
      </x:c>
      <x:c r="T2410" s="3" t="b">
        <x:v>0</x:v>
      </x:c>
      <x:c r="U2410" s="2" t="str">
        <x:f>IF(T2410=TRUE,"Priority review",IF(R2410=TRUE,"High cost",IF(S2410=TRUE,"Low quality","Benchmark")))</x:f>
        <x:v>Benchmark</x:v>
      </x:c>
    </x:row>
    <x:row r="2411">
      <x:c r="A2411" s="2" t="str">
        <x:v>390048</x:v>
      </x:c>
      <x:c r="B2411" s="2" t="str">
        <x:v>GEISINGER-LEWISTOWN HOSPITAL</x:v>
      </x:c>
      <x:c r="C2411" s="2" t="str">
        <x:v>LEWISTOWN</x:v>
      </x:c>
      <x:c r="D2411" s="2" t="str">
        <x:v>PA</x:v>
      </x:c>
      <x:c r="E2411" s="2" t="str">
        <x:v>Acute Care Hospitals</x:v>
      </x:c>
      <x:c r="F2411" s="2" t="str">
        <x:v>Voluntary non-profit</x:v>
      </x:c>
      <x:c r="G2411" s="2" t="str">
        <x:v>Medium (100-299 beds)</x:v>
      </x:c>
      <x:c r="H2411" s="7" t="n">
        <x:v>5</x:v>
      </x:c>
      <x:c r="I2411" s="7" t="n">
        <x:v>4</x:v>
      </x:c>
      <x:c r="J2411" s="7" t="n">
        <x:v>0.94</x:v>
      </x:c>
      <x:c r="K2411" s="8" t="n">
        <x:v>133</x:v>
      </x:c>
      <x:c r="L2411" s="8" t="n">
        <x:v>7351</x:v>
      </x:c>
      <x:c r="M2411" s="9" t="n">
        <x:v>0.5460088578</x:v>
      </x:c>
      <x:c r="N2411" s="10" t="n">
        <x:v>34582.0372738403</x:v>
      </x:c>
      <x:c r="O2411" s="9" t="n">
        <x:v>0.177700159</x:v>
      </x:c>
      <x:c r="P2411" s="9" t="n">
        <x:v>0.5118174409</x:v>
      </x:c>
      <x:c r="Q2411" s="9" t="n">
        <x:v>0.8744906275</x:v>
      </x:c>
      <x:c r="R2411" s="3" t="b">
        <x:v>0</x:v>
      </x:c>
      <x:c r="S2411" s="3" t="b">
        <x:v>0</x:v>
      </x:c>
      <x:c r="T2411" s="3" t="b">
        <x:v>0</x:v>
      </x:c>
      <x:c r="U2411" s="2" t="str">
        <x:f>IF(T2411=TRUE,"Priority review",IF(R2411=TRUE,"High cost",IF(S2411=TRUE,"Low quality","Benchmark")))</x:f>
        <x:v>Benchmark</x:v>
      </x:c>
    </x:row>
    <x:row r="2412">
      <x:c r="A2412" s="2" t="str">
        <x:v>150165</x:v>
      </x:c>
      <x:c r="B2412" s="2" t="str">
        <x:v>FRANCISCAN HEALTH MUNSTER</x:v>
      </x:c>
      <x:c r="C2412" s="2" t="str">
        <x:v>MUNSTER</x:v>
      </x:c>
      <x:c r="D2412" s="2" t="str">
        <x:v>IN</x:v>
      </x:c>
      <x:c r="E2412" s="2" t="str">
        <x:v>Acute Care Hospitals</x:v>
      </x:c>
      <x:c r="F2412" s="2" t="str">
        <x:v>Voluntary non-profit</x:v>
      </x:c>
      <x:c r="G2412" s="2" t="str">
        <x:v>Small (&lt;100 beds)</x:v>
      </x:c>
      <x:c r="H2412" s="7" t="n">
        <x:v>3</x:v>
      </x:c>
      <x:c r="I2412" s="7" t="n">
        <x:v>4</x:v>
      </x:c>
      <x:c r="J2412" s="7" t="n">
        <x:v>0.99</x:v>
      </x:c>
      <x:c r="K2412" s="8" t="n">
        <x:v>78</x:v>
      </x:c>
      <x:c r="L2412" s="8" t="n">
        <x:v>2931</x:v>
      </x:c>
      <x:c r="M2412" s="9" t="n">
        <x:v>0.6287655878</x:v>
      </x:c>
      <x:c r="N2412" s="10" t="n">
        <x:v>53373.3241214603</x:v>
      </x:c>
      <x:c r="O2412" s="9" t="n">
        <x:v>-0.0189895578</x:v>
      </x:c>
      <x:c r="P2412" s="9" t="n">
        <x:v>0.5116696589</x:v>
      </x:c>
      <x:c r="Q2412" s="9" t="n">
        <x:v>0.1687612208</x:v>
      </x:c>
      <x:c r="R2412" s="3" t="b">
        <x:v>0</x:v>
      </x:c>
      <x:c r="S2412" s="3" t="b">
        <x:v>0</x:v>
      </x:c>
      <x:c r="T2412" s="3" t="b">
        <x:v>0</x:v>
      </x:c>
      <x:c r="U2412" s="2" t="str">
        <x:f>IF(T2412=TRUE,"Priority review",IF(R2412=TRUE,"High cost",IF(S2412=TRUE,"Low quality","Benchmark")))</x:f>
        <x:v>Benchmark</x:v>
      </x:c>
    </x:row>
    <x:row r="2413">
      <x:c r="A2413" s="2" t="str">
        <x:v>361304</x:v>
      </x:c>
      <x:c r="B2413" s="2" t="str">
        <x:v>GREENFIELD AREA MEDICAL CENTER</x:v>
      </x:c>
      <x:c r="C2413" s="2" t="str">
        <x:v>GREENFIELD</x:v>
      </x:c>
      <x:c r="D2413" s="2" t="str">
        <x:v>OH</x:v>
      </x:c>
      <x:c r="E2413" s="2" t="str">
        <x:v>Critical Access Hospitals</x:v>
      </x:c>
      <x:c r="F2413" s="2" t="str">
        <x:v>Voluntary non-profit</x:v>
      </x:c>
      <x:c r="G2413" s="2" t="str">
        <x:v>Small (&lt;100 beds)</x:v>
      </x:c>
      <x:c r="H2413" s="7"/>
      <x:c r="I2413" s="7"/>
      <x:c r="J2413" s="7"/>
      <x:c r="K2413" s="8" t="n">
        <x:v>25</x:v>
      </x:c>
      <x:c r="L2413" s="8" t="n">
        <x:v>181</x:v>
      </x:c>
      <x:c r="M2413" s="9" t="n">
        <x:v>0.4092896175</x:v>
      </x:c>
      <x:c r="N2413" s="10" t="n">
        <x:v>132008.4254143646</x:v>
      </x:c>
      <x:c r="O2413" s="9" t="n">
        <x:v>0.0471864244</x:v>
      </x:c>
      <x:c r="P2413" s="9" t="n">
        <x:v>0.5115241636</x:v>
      </x:c>
      <x:c r="Q2413" s="9" t="n">
        <x:v>0.292936803</x:v>
      </x:c>
      <x:c r="R2413" s="3" t="b">
        <x:v>0</x:v>
      </x:c>
      <x:c r="S2413" s="3" t="b">
        <x:v>0</x:v>
      </x:c>
      <x:c r="T2413" s="3" t="b">
        <x:v>0</x:v>
      </x:c>
      <x:c r="U2413" s="2" t="str">
        <x:f>IF(T2413=TRUE,"Priority review",IF(R2413=TRUE,"High cost",IF(S2413=TRUE,"Low quality","Benchmark")))</x:f>
        <x:v>Benchmark</x:v>
      </x:c>
    </x:row>
    <x:row r="2414">
      <x:c r="A2414" s="2" t="str">
        <x:v>184012</x:v>
      </x:c>
      <x:c r="B2414" s="2" t="str">
        <x:v>LINCOLN TRAIL BEHAVIORAL HEALTH SYSTEM</x:v>
      </x:c>
      <x:c r="C2414" s="2" t="str">
        <x:v>RADCLIFF</x:v>
      </x:c>
      <x:c r="D2414" s="2" t="str">
        <x:v>KY</x:v>
      </x:c>
      <x:c r="E2414" s="2" t="str">
        <x:v>Psychiatric</x:v>
      </x:c>
      <x:c r="F2414" s="2" t="str">
        <x:v>Proprietary</x:v>
      </x:c>
      <x:c r="G2414" s="2" t="str">
        <x:v>Small (&lt;100 beds)</x:v>
      </x:c>
      <x:c r="H2414" s="7"/>
      <x:c r="I2414" s="7"/>
      <x:c r="J2414" s="7"/>
      <x:c r="K2414" s="8" t="n">
        <x:v>90</x:v>
      </x:c>
      <x:c r="L2414" s="8" t="n">
        <x:v>1950</x:v>
      </x:c>
      <x:c r="M2414" s="9" t="n">
        <x:v>0.5768340944</x:v>
      </x:c>
      <x:c r="N2414" s="10" t="n">
        <x:v>12397.4938461538</x:v>
      </x:c>
      <x:c r="O2414" s="9" t="n">
        <x:v>0.4531103657</x:v>
      </x:c>
      <x:c r="P2414" s="9" t="n">
        <x:v>0.5113268608</x:v>
      </x:c>
      <x:c r="Q2414" s="9" t="n">
        <x:v>0</x:v>
      </x:c>
      <x:c r="R2414" s="3" t="b">
        <x:v>0</x:v>
      </x:c>
      <x:c r="S2414" s="3" t="b">
        <x:v>0</x:v>
      </x:c>
      <x:c r="T2414" s="3" t="b">
        <x:v>0</x:v>
      </x:c>
      <x:c r="U2414" s="2" t="str">
        <x:f>IF(T2414=TRUE,"Priority review",IF(R2414=TRUE,"High cost",IF(S2414=TRUE,"Low quality","Benchmark")))</x:f>
        <x:v>Benchmark</x:v>
      </x:c>
    </x:row>
    <x:row r="2415">
      <x:c r="A2415" s="2" t="str">
        <x:v>170104</x:v>
      </x:c>
      <x:c r="B2415" s="2" t="str">
        <x:v>ADVENTHEALTH SHAWNEE MISSION</x:v>
      </x:c>
      <x:c r="C2415" s="2" t="str">
        <x:v>SHAWNEE MISSION</x:v>
      </x:c>
      <x:c r="D2415" s="2" t="str">
        <x:v>KS</x:v>
      </x:c>
      <x:c r="E2415" s="2" t="str">
        <x:v>Acute Care Hospitals</x:v>
      </x:c>
      <x:c r="F2415" s="2" t="str">
        <x:v>Voluntary non-profit</x:v>
      </x:c>
      <x:c r="G2415" s="2" t="str">
        <x:v>Large (300+ beds)</x:v>
      </x:c>
      <x:c r="H2415" s="7" t="n">
        <x:v>3</x:v>
      </x:c>
      <x:c r="I2415" s="7" t="n">
        <x:v>3</x:v>
      </x:c>
      <x:c r="J2415" s="7" t="n">
        <x:v>0.99</x:v>
      </x:c>
      <x:c r="K2415" s="8" t="n">
        <x:v>314</x:v>
      </x:c>
      <x:c r="L2415" s="8" t="n">
        <x:v>16928</x:v>
      </x:c>
      <x:c r="M2415" s="9" t="n">
        <x:v>0.668380843</x:v>
      </x:c>
      <x:c r="N2415" s="10" t="n">
        <x:v>39217.8814981096</x:v>
      </x:c>
      <x:c r="O2415" s="9" t="n">
        <x:v>0.0473702739</x:v>
      </x:c>
      <x:c r="P2415" s="9" t="n">
        <x:v>0.5110410095</x:v>
      </x:c>
      <x:c r="Q2415" s="9" t="n">
        <x:v>0.2570977918</x:v>
      </x:c>
      <x:c r="R2415" s="3" t="b">
        <x:v>0</x:v>
      </x:c>
      <x:c r="S2415" s="3" t="b">
        <x:v>0</x:v>
      </x:c>
      <x:c r="T2415" s="3" t="b">
        <x:v>0</x:v>
      </x:c>
      <x:c r="U2415" s="2" t="str">
        <x:f>IF(T2415=TRUE,"Priority review",IF(R2415=TRUE,"High cost",IF(S2415=TRUE,"Low quality","Benchmark")))</x:f>
        <x:v>Benchmark</x:v>
      </x:c>
    </x:row>
    <x:row r="2416">
      <x:c r="A2416" s="2" t="str">
        <x:v>390185</x:v>
      </x:c>
      <x:c r="B2416" s="2" t="str">
        <x:v>LEHIGH VALLEY HOSPITAL - HAZLETON</x:v>
      </x:c>
      <x:c r="C2416" s="2" t="str">
        <x:v>HAZLETON</x:v>
      </x:c>
      <x:c r="D2416" s="2" t="str">
        <x:v>PA</x:v>
      </x:c>
      <x:c r="E2416" s="2" t="str">
        <x:v>Acute Care Hospitals</x:v>
      </x:c>
      <x:c r="F2416" s="2" t="str">
        <x:v>Voluntary non-profit</x:v>
      </x:c>
      <x:c r="G2416" s="2" t="str">
        <x:v>Medium (100-299 beds)</x:v>
      </x:c>
      <x:c r="H2416" s="7" t="n">
        <x:v>2</x:v>
      </x:c>
      <x:c r="I2416" s="7" t="n">
        <x:v>2</x:v>
      </x:c>
      <x:c r="J2416" s="7" t="n">
        <x:v>1</x:v>
      </x:c>
      <x:c r="K2416" s="8" t="n">
        <x:v>134</x:v>
      </x:c>
      <x:c r="L2416" s="8" t="n">
        <x:v>5259</x:v>
      </x:c>
      <x:c r="M2416" s="9" t="n">
        <x:v>0.4122265385</x:v>
      </x:c>
      <x:c r="N2416" s="10" t="n">
        <x:v>34522.9543639475</x:v>
      </x:c>
      <x:c r="O2416" s="9" t="n">
        <x:v>0.052585996</x:v>
      </x:c>
      <x:c r="P2416" s="9" t="n">
        <x:v>0.511002445</x:v>
      </x:c>
      <x:c r="Q2416" s="9" t="n">
        <x:v>0.0782396088</x:v>
      </x:c>
      <x:c r="R2416" s="3" t="b">
        <x:v>0</x:v>
      </x:c>
      <x:c r="S2416" s="3" t="b">
        <x:v>1</x:v>
      </x:c>
      <x:c r="T2416" s="3" t="b">
        <x:v>0</x:v>
      </x:c>
      <x:c r="U2416" s="2" t="str">
        <x:f>IF(T2416=TRUE,"Priority review",IF(R2416=TRUE,"High cost",IF(S2416=TRUE,"Low quality","Benchmark")))</x:f>
        <x:v>Low quality</x:v>
      </x:c>
    </x:row>
    <x:row r="2417">
      <x:c r="A2417" s="2" t="str">
        <x:v>451308</x:v>
      </x:c>
      <x:c r="B2417" s="2" t="str">
        <x:v>YOAKUM COUNTY HOSPITAL</x:v>
      </x:c>
      <x:c r="C2417" s="2" t="str">
        <x:v>DENVER CITY</x:v>
      </x:c>
      <x:c r="D2417" s="2" t="str">
        <x:v>TX</x:v>
      </x:c>
      <x:c r="E2417" s="2" t="str">
        <x:v>Critical Access Hospitals</x:v>
      </x:c>
      <x:c r="F2417" s="2" t="str">
        <x:v>Voluntary non-profit</x:v>
      </x:c>
      <x:c r="G2417" s="2" t="str">
        <x:v>Small (&lt;100 beds)</x:v>
      </x:c>
      <x:c r="H2417" s="7"/>
      <x:c r="I2417" s="7"/>
      <x:c r="J2417" s="7"/>
      <x:c r="K2417" s="8" t="n">
        <x:v>24</x:v>
      </x:c>
      <x:c r="L2417" s="8" t="n">
        <x:v>258</x:v>
      </x:c>
      <x:c r="M2417" s="9" t="n">
        <x:v>0.1937214612</x:v>
      </x:c>
      <x:c r="N2417" s="10" t="n">
        <x:v>131854.0736434108</x:v>
      </x:c>
      <x:c r="O2417" s="9" t="n">
        <x:v>-1.6746183944</x:v>
      </x:c>
      <x:c r="P2417" s="9" t="n">
        <x:v>0.5107806691</x:v>
      </x:c>
      <x:c r="Q2417" s="9" t="n">
        <x:v>0.292936803</x:v>
      </x:c>
      <x:c r="R2417" s="3" t="b">
        <x:v>0</x:v>
      </x:c>
      <x:c r="S2417" s="3" t="b">
        <x:v>0</x:v>
      </x:c>
      <x:c r="T2417" s="3" t="b">
        <x:v>0</x:v>
      </x:c>
      <x:c r="U2417" s="2" t="str">
        <x:f>IF(T2417=TRUE,"Priority review",IF(R2417=TRUE,"High cost",IF(S2417=TRUE,"Low quality","Benchmark")))</x:f>
        <x:v>Benchmark</x:v>
      </x:c>
    </x:row>
    <x:row r="2418">
      <x:c r="A2418" s="2" t="str">
        <x:v>360156</x:v>
      </x:c>
      <x:c r="B2418" s="2" t="str">
        <x:v>MEMORIAL HOSPITAL</x:v>
      </x:c>
      <x:c r="C2418" s="2" t="str">
        <x:v>FREMONT</x:v>
      </x:c>
      <x:c r="D2418" s="2" t="str">
        <x:v>OH</x:v>
      </x:c>
      <x:c r="E2418" s="2" t="str">
        <x:v>Acute Care Hospitals</x:v>
      </x:c>
      <x:c r="F2418" s="2" t="str">
        <x:v>Voluntary non-profit</x:v>
      </x:c>
      <x:c r="G2418" s="2" t="str">
        <x:v>Small (&lt;100 beds)</x:v>
      </x:c>
      <x:c r="H2418" s="7" t="n">
        <x:v>4</x:v>
      </x:c>
      <x:c r="I2418" s="7" t="n">
        <x:v>3</x:v>
      </x:c>
      <x:c r="J2418" s="7" t="n">
        <x:v>0.95</x:v>
      </x:c>
      <x:c r="K2418" s="8" t="n">
        <x:v>31</x:v>
      </x:c>
      <x:c r="L2418" s="8" t="n">
        <x:v>1363</x:v>
      </x:c>
      <x:c r="M2418" s="9" t="n">
        <x:v>0.4205887537</x:v>
      </x:c>
      <x:c r="N2418" s="10" t="n">
        <x:v>53309.3184152605</x:v>
      </x:c>
      <x:c r="O2418" s="9" t="n">
        <x:v>0.1766188312</x:v>
      </x:c>
      <x:c r="P2418" s="9" t="n">
        <x:v>0.5107719928</x:v>
      </x:c>
      <x:c r="Q2418" s="9" t="n">
        <x:v>0.3913824057</x:v>
      </x:c>
      <x:c r="R2418" s="3" t="b">
        <x:v>0</x:v>
      </x:c>
      <x:c r="S2418" s="3" t="b">
        <x:v>0</x:v>
      </x:c>
      <x:c r="T2418" s="3" t="b">
        <x:v>0</x:v>
      </x:c>
      <x:c r="U2418" s="2" t="str">
        <x:f>IF(T2418=TRUE,"Priority review",IF(R2418=TRUE,"High cost",IF(S2418=TRUE,"Low quality","Benchmark")))</x:f>
        <x:v>Benchmark</x:v>
      </x:c>
    </x:row>
    <x:row r="2419">
      <x:c r="A2419" s="2" t="str">
        <x:v>100093</x:v>
      </x:c>
      <x:c r="B2419" s="2" t="str">
        <x:v>BAPTIST HOSPITAL</x:v>
      </x:c>
      <x:c r="C2419" s="2" t="str">
        <x:v>PENSACOLA</x:v>
      </x:c>
      <x:c r="D2419" s="2" t="str">
        <x:v>FL</x:v>
      </x:c>
      <x:c r="E2419" s="2" t="str">
        <x:v>Acute Care Hospitals</x:v>
      </x:c>
      <x:c r="F2419" s="2" t="str">
        <x:v>Voluntary non-profit</x:v>
      </x:c>
      <x:c r="G2419" s="2" t="str">
        <x:v>Medium (100-299 beds)</x:v>
      </x:c>
      <x:c r="H2419" s="7" t="n">
        <x:v>4</x:v>
      </x:c>
      <x:c r="I2419" s="7" t="n">
        <x:v>3</x:v>
      </x:c>
      <x:c r="J2419" s="7" t="n">
        <x:v>1.05</x:v>
      </x:c>
      <x:c r="K2419" s="8" t="n">
        <x:v>278</x:v>
      </x:c>
      <x:c r="L2419" s="8" t="n">
        <x:v>18396</x:v>
      </x:c>
      <x:c r="M2419" s="9" t="n">
        <x:v>0.8123304635</x:v>
      </x:c>
      <x:c r="N2419" s="10" t="n">
        <x:v>34478.1985757773</x:v>
      </x:c>
      <x:c r="O2419" s="9" t="n">
        <x:v>-0.107068268</x:v>
      </x:c>
      <x:c r="P2419" s="9" t="n">
        <x:v>0.5101874491</x:v>
      </x:c>
      <x:c r="Q2419" s="9" t="n">
        <x:v>0.6022819886</x:v>
      </x:c>
      <x:c r="R2419" s="3" t="b">
        <x:v>0</x:v>
      </x:c>
      <x:c r="S2419" s="3" t="b">
        <x:v>0</x:v>
      </x:c>
      <x:c r="T2419" s="3" t="b">
        <x:v>0</x:v>
      </x:c>
      <x:c r="U2419" s="2" t="str">
        <x:f>IF(T2419=TRUE,"Priority review",IF(R2419=TRUE,"High cost",IF(S2419=TRUE,"Low quality","Benchmark")))</x:f>
        <x:v>Benchmark</x:v>
      </x:c>
    </x:row>
    <x:row r="2420">
      <x:c r="A2420" s="2" t="str">
        <x:v>241377</x:v>
      </x:c>
      <x:c r="B2420" s="2" t="str">
        <x:v>ST FRANCIS MEDICAL CENTER</x:v>
      </x:c>
      <x:c r="C2420" s="2" t="str">
        <x:v>BRECKENRIDGE</x:v>
      </x:c>
      <x:c r="D2420" s="2" t="str">
        <x:v>MN</x:v>
      </x:c>
      <x:c r="E2420" s="2" t="str">
        <x:v>Critical Access Hospitals</x:v>
      </x:c>
      <x:c r="F2420" s="2" t="str">
        <x:v>Voluntary non-profit</x:v>
      </x:c>
      <x:c r="G2420" s="2" t="str">
        <x:v>Small (&lt;100 beds)</x:v>
      </x:c>
      <x:c r="H2420" s="7"/>
      <x:c r="I2420" s="7"/>
      <x:c r="J2420" s="7"/>
      <x:c r="K2420" s="8" t="n">
        <x:v>25</x:v>
      </x:c>
      <x:c r="L2420" s="8" t="n">
        <x:v>240</x:v>
      </x:c>
      <x:c r="M2420" s="9" t="n">
        <x:v>0.1859726027</x:v>
      </x:c>
      <x:c r="N2420" s="10" t="n">
        <x:v>131637.0875</x:v>
      </x:c>
      <x:c r="O2420" s="9" t="n">
        <x:v>-0.2032828896</x:v>
      </x:c>
      <x:c r="P2420" s="9" t="n">
        <x:v>0.5100371747</x:v>
      </x:c>
      <x:c r="Q2420" s="9" t="n">
        <x:v>0.292936803</x:v>
      </x:c>
      <x:c r="R2420" s="3" t="b">
        <x:v>0</x:v>
      </x:c>
      <x:c r="S2420" s="3" t="b">
        <x:v>0</x:v>
      </x:c>
      <x:c r="T2420" s="3" t="b">
        <x:v>0</x:v>
      </x:c>
      <x:c r="U2420" s="2" t="str">
        <x:f>IF(T2420=TRUE,"Priority review",IF(R2420=TRUE,"High cost",IF(S2420=TRUE,"Low quality","Benchmark")))</x:f>
        <x:v>Benchmark</x:v>
      </x:c>
    </x:row>
    <x:row r="2421">
      <x:c r="A2421" s="2" t="str">
        <x:v>240022</x:v>
      </x:c>
      <x:c r="B2421" s="2" t="str">
        <x:v>SANFORD WORTHINGTON MEDICAL CENTER</x:v>
      </x:c>
      <x:c r="C2421" s="2" t="str">
        <x:v>WORTHINGTON</x:v>
      </x:c>
      <x:c r="D2421" s="2" t="str">
        <x:v>MN</x:v>
      </x:c>
      <x:c r="E2421" s="2" t="str">
        <x:v>Acute Care Hospitals</x:v>
      </x:c>
      <x:c r="F2421" s="2" t="str">
        <x:v>Voluntary non-profit</x:v>
      </x:c>
      <x:c r="G2421" s="2" t="str">
        <x:v>Small (&lt;100 beds)</x:v>
      </x:c>
      <x:c r="H2421" s="7" t="n">
        <x:v>4</x:v>
      </x:c>
      <x:c r="I2421" s="7" t="n">
        <x:v>4</x:v>
      </x:c>
      <x:c r="J2421" s="7" t="n">
        <x:v>0.95</x:v>
      </x:c>
      <x:c r="K2421" s="8" t="n">
        <x:v>48</x:v>
      </x:c>
      <x:c r="L2421" s="8" t="n">
        <x:v>1264</x:v>
      </x:c>
      <x:c r="M2421" s="9" t="n">
        <x:v>0.1844262295</x:v>
      </x:c>
      <x:c r="N2421" s="10" t="n">
        <x:v>53141.3164556962</x:v>
      </x:c>
      <x:c r="O2421" s="9" t="n">
        <x:v>-0.032853858</x:v>
      </x:c>
      <x:c r="P2421" s="9" t="n">
        <x:v>0.5098743268</x:v>
      </x:c>
      <x:c r="Q2421" s="9" t="n">
        <x:v>0.3913824057</x:v>
      </x:c>
      <x:c r="R2421" s="3" t="b">
        <x:v>0</x:v>
      </x:c>
      <x:c r="S2421" s="3" t="b">
        <x:v>0</x:v>
      </x:c>
      <x:c r="T2421" s="3" t="b">
        <x:v>0</x:v>
      </x:c>
      <x:c r="U2421" s="2" t="str">
        <x:f>IF(T2421=TRUE,"Priority review",IF(R2421=TRUE,"High cost",IF(S2421=TRUE,"Low quality","Benchmark")))</x:f>
        <x:v>Benchmark</x:v>
      </x:c>
    </x:row>
    <x:row r="2422">
      <x:c r="A2422" s="2" t="str">
        <x:v>050516</x:v>
      </x:c>
      <x:c r="B2422" s="2" t="str">
        <x:v>MERCY SAN JUAN MEDICAL CENTER</x:v>
      </x:c>
      <x:c r="C2422" s="2" t="str">
        <x:v>CARMICHAEL</x:v>
      </x:c>
      <x:c r="D2422" s="2" t="str">
        <x:v>CA</x:v>
      </x:c>
      <x:c r="E2422" s="2" t="str">
        <x:v>Acute Care Hospitals</x:v>
      </x:c>
      <x:c r="F2422" s="2" t="str">
        <x:v>Voluntary non-profit</x:v>
      </x:c>
      <x:c r="G2422" s="2" t="str">
        <x:v>Large (300+ beds)</x:v>
      </x:c>
      <x:c r="H2422" s="7" t="n">
        <x:v>3</x:v>
      </x:c>
      <x:c r="I2422" s="7" t="n">
        <x:v>3</x:v>
      </x:c>
      <x:c r="J2422" s="7" t="n">
        <x:v>0.99</x:v>
      </x:c>
      <x:c r="K2422" s="8" t="n">
        <x:v>384</x:v>
      </x:c>
      <x:c r="L2422" s="8" t="n">
        <x:v>20635</x:v>
      </x:c>
      <x:c r="M2422" s="9" t="n">
        <x:v>0.7532243642</x:v>
      </x:c>
      <x:c r="N2422" s="10" t="n">
        <x:v>39158.4280591229</x:v>
      </x:c>
      <x:c r="O2422" s="9" t="n">
        <x:v>-0.030229828</x:v>
      </x:c>
      <x:c r="P2422" s="9" t="n">
        <x:v>0.5094637224</x:v>
      </x:c>
      <x:c r="Q2422" s="9" t="n">
        <x:v>0.2570977918</x:v>
      </x:c>
      <x:c r="R2422" s="3" t="b">
        <x:v>0</x:v>
      </x:c>
      <x:c r="S2422" s="3" t="b">
        <x:v>0</x:v>
      </x:c>
      <x:c r="T2422" s="3" t="b">
        <x:v>0</x:v>
      </x:c>
      <x:c r="U2422" s="2" t="str">
        <x:f>IF(T2422=TRUE,"Priority review",IF(R2422=TRUE,"High cost",IF(S2422=TRUE,"Low quality","Benchmark")))</x:f>
        <x:v>Benchmark</x:v>
      </x:c>
    </x:row>
    <x:row r="2423">
      <x:c r="A2423" s="2" t="str">
        <x:v>010005</x:v>
      </x:c>
      <x:c r="B2423" s="2" t="str">
        <x:v>MARSHALL MEDICAL CENTERS</x:v>
      </x:c>
      <x:c r="C2423" s="2" t="str">
        <x:v>BOAZ</x:v>
      </x:c>
      <x:c r="D2423" s="2" t="str">
        <x:v>AL</x:v>
      </x:c>
      <x:c r="E2423" s="2" t="str">
        <x:v>Acute Care Hospitals</x:v>
      </x:c>
      <x:c r="F2423" s="2" t="str">
        <x:v>Government</x:v>
      </x:c>
      <x:c r="G2423" s="2" t="str">
        <x:v>Medium (100-299 beds)</x:v>
      </x:c>
      <x:c r="H2423" s="7" t="n">
        <x:v>3</x:v>
      </x:c>
      <x:c r="I2423" s="7" t="n">
        <x:v>3</x:v>
      </x:c>
      <x:c r="J2423" s="7" t="n">
        <x:v>1</x:v>
      </x:c>
      <x:c r="K2423" s="8" t="n">
        <x:v>155</x:v>
      </x:c>
      <x:c r="L2423" s="8" t="n">
        <x:v>6497</x:v>
      </x:c>
      <x:c r="M2423" s="9" t="n">
        <x:v>0.5529878371</x:v>
      </x:c>
      <x:c r="N2423" s="10" t="n">
        <x:v>34422.4118824073</x:v>
      </x:c>
      <x:c r="O2423" s="9" t="n">
        <x:v>-0.0938400949</x:v>
      </x:c>
      <x:c r="P2423" s="9" t="n">
        <x:v>0.5093724531</x:v>
      </x:c>
      <x:c r="Q2423" s="9" t="n">
        <x:v>0.3023634882</x:v>
      </x:c>
      <x:c r="R2423" s="3" t="b">
        <x:v>0</x:v>
      </x:c>
      <x:c r="S2423" s="3" t="b">
        <x:v>0</x:v>
      </x:c>
      <x:c r="T2423" s="3" t="b">
        <x:v>0</x:v>
      </x:c>
      <x:c r="U2423" s="2" t="str">
        <x:f>IF(T2423=TRUE,"Priority review",IF(R2423=TRUE,"High cost",IF(S2423=TRUE,"Low quality","Benchmark")))</x:f>
        <x:v>Benchmark</x:v>
      </x:c>
    </x:row>
    <x:row r="2424">
      <x:c r="A2424" s="2" t="str">
        <x:v>521331</x:v>
      </x:c>
      <x:c r="B2424" s="2" t="str">
        <x:v>BURNETT MEDICAL CENTER</x:v>
      </x:c>
      <x:c r="C2424" s="2" t="str">
        <x:v>GRANTSBURG</x:v>
      </x:c>
      <x:c r="D2424" s="2" t="str">
        <x:v>WI</x:v>
      </x:c>
      <x:c r="E2424" s="2" t="str">
        <x:v>Critical Access Hospitals</x:v>
      </x:c>
      <x:c r="F2424" s="2" t="str">
        <x:v>Voluntary non-profit</x:v>
      </x:c>
      <x:c r="G2424" s="2" t="str">
        <x:v>Small (&lt;100 beds)</x:v>
      </x:c>
      <x:c r="H2424" s="7"/>
      <x:c r="I2424" s="7"/>
      <x:c r="J2424" s="7"/>
      <x:c r="K2424" s="8" t="n">
        <x:v>25</x:v>
      </x:c>
      <x:c r="L2424" s="8" t="n">
        <x:v>211</x:v>
      </x:c>
      <x:c r="M2424" s="9" t="n">
        <x:v>0.1272131148</x:v>
      </x:c>
      <x:c r="N2424" s="10" t="n">
        <x:v>131521.5165876777</x:v>
      </x:c>
      <x:c r="O2424" s="9" t="n">
        <x:v>-0.071003811</x:v>
      </x:c>
      <x:c r="P2424" s="9" t="n">
        <x:v>0.5092936803</x:v>
      </x:c>
      <x:c r="Q2424" s="9" t="n">
        <x:v>0.292936803</x:v>
      </x:c>
      <x:c r="R2424" s="3" t="b">
        <x:v>0</x:v>
      </x:c>
      <x:c r="S2424" s="3" t="b">
        <x:v>0</x:v>
      </x:c>
      <x:c r="T2424" s="3" t="b">
        <x:v>0</x:v>
      </x:c>
      <x:c r="U2424" s="2" t="str">
        <x:f>IF(T2424=TRUE,"Priority review",IF(R2424=TRUE,"High cost",IF(S2424=TRUE,"Low quality","Benchmark")))</x:f>
        <x:v>Benchmark</x:v>
      </x:c>
    </x:row>
    <x:row r="2425">
      <x:c r="A2425" s="2" t="str">
        <x:v>160147</x:v>
      </x:c>
      <x:c r="B2425" s="2" t="str">
        <x:v>GRINNELL REGIONAL MEDICAL CENTER</x:v>
      </x:c>
      <x:c r="C2425" s="2" t="str">
        <x:v>GRINNELL</x:v>
      </x:c>
      <x:c r="D2425" s="2" t="str">
        <x:v>IA</x:v>
      </x:c>
      <x:c r="E2425" s="2" t="str">
        <x:v>Acute Care Hospitals</x:v>
      </x:c>
      <x:c r="F2425" s="2" t="str">
        <x:v>Voluntary non-profit</x:v>
      </x:c>
      <x:c r="G2425" s="2" t="str">
        <x:v>Small (&lt;100 beds)</x:v>
      </x:c>
      <x:c r="H2425" s="7" t="n">
        <x:v>2</x:v>
      </x:c>
      <x:c r="I2425" s="7" t="n">
        <x:v>4</x:v>
      </x:c>
      <x:c r="J2425" s="7" t="n">
        <x:v>0.89</x:v>
      </x:c>
      <x:c r="K2425" s="8" t="n">
        <x:v>21</x:v>
      </x:c>
      <x:c r="L2425" s="8" t="n">
        <x:v>1328</x:v>
      </x:c>
      <x:c r="M2425" s="9" t="n">
        <x:v>0.635701275</x:v>
      </x:c>
      <x:c r="N2425" s="10" t="n">
        <x:v>53068.2793674699</x:v>
      </x:c>
      <x:c r="O2425" s="9" t="n">
        <x:v>-0.001649236</x:v>
      </x:c>
      <x:c r="P2425" s="9" t="n">
        <x:v>0.5089766607</x:v>
      </x:c>
      <x:c r="Q2425" s="9" t="n">
        <x:v>0.0350089767</x:v>
      </x:c>
      <x:c r="R2425" s="3" t="b">
        <x:v>0</x:v>
      </x:c>
      <x:c r="S2425" s="3" t="b">
        <x:v>1</x:v>
      </x:c>
      <x:c r="T2425" s="3" t="b">
        <x:v>0</x:v>
      </x:c>
      <x:c r="U2425" s="2" t="str">
        <x:f>IF(T2425=TRUE,"Priority review",IF(R2425=TRUE,"High cost",IF(S2425=TRUE,"Low quality","Benchmark")))</x:f>
        <x:v>Low quality</x:v>
      </x:c>
    </x:row>
    <x:row r="2426">
      <x:c r="A2426" s="2" t="str">
        <x:v>490113</x:v>
      </x:c>
      <x:c r="B2426" s="2" t="str">
        <x:v>SENTARA NORTHERN VIRGINIA MEDICAL CENTER</x:v>
      </x:c>
      <x:c r="C2426" s="2" t="str">
        <x:v>WOODBRIDGE</x:v>
      </x:c>
      <x:c r="D2426" s="2" t="str">
        <x:v>VA</x:v>
      </x:c>
      <x:c r="E2426" s="2" t="str">
        <x:v>Acute Care Hospitals</x:v>
      </x:c>
      <x:c r="F2426" s="2" t="str">
        <x:v>Voluntary non-profit</x:v>
      </x:c>
      <x:c r="G2426" s="2" t="str">
        <x:v>Medium (100-299 beds)</x:v>
      </x:c>
      <x:c r="H2426" s="7" t="n">
        <x:v>3</x:v>
      </x:c>
      <x:c r="I2426" s="7" t="n">
        <x:v>3</x:v>
      </x:c>
      <x:c r="J2426" s="7" t="n">
        <x:v>0.95</x:v>
      </x:c>
      <x:c r="K2426" s="8" t="n">
        <x:v>147</x:v>
      </x:c>
      <x:c r="L2426" s="8" t="n">
        <x:v>9725</x:v>
      </x:c>
      <x:c r="M2426" s="9" t="n">
        <x:v>0.858109364</x:v>
      </x:c>
      <x:c r="N2426" s="10" t="n">
        <x:v>34410.127403599</x:v>
      </x:c>
      <x:c r="O2426" s="9" t="n">
        <x:v>-0.0337834634</x:v>
      </x:c>
      <x:c r="P2426" s="9" t="n">
        <x:v>0.5085574572</x:v>
      </x:c>
      <x:c r="Q2426" s="9" t="n">
        <x:v>0.3023634882</x:v>
      </x:c>
      <x:c r="R2426" s="3" t="b">
        <x:v>0</x:v>
      </x:c>
      <x:c r="S2426" s="3" t="b">
        <x:v>0</x:v>
      </x:c>
      <x:c r="T2426" s="3" t="b">
        <x:v>0</x:v>
      </x:c>
      <x:c r="U2426" s="2" t="str">
        <x:f>IF(T2426=TRUE,"Priority review",IF(R2426=TRUE,"High cost",IF(S2426=TRUE,"Low quality","Benchmark")))</x:f>
        <x:v>Benchmark</x:v>
      </x:c>
    </x:row>
    <x:row r="2427">
      <x:c r="A2427" s="2" t="str">
        <x:v>451318</x:v>
      </x:c>
      <x:c r="B2427" s="2" t="str">
        <x:v>STONEWALL MEMORIAL HOSPITAL DISTRICT</x:v>
      </x:c>
      <x:c r="C2427" s="2" t="str">
        <x:v>ASPERMONT</x:v>
      </x:c>
      <x:c r="D2427" s="2" t="str">
        <x:v>TX</x:v>
      </x:c>
      <x:c r="E2427" s="2" t="str">
        <x:v>Critical Access Hospitals</x:v>
      </x:c>
      <x:c r="F2427" s="2" t="str">
        <x:v>Government</x:v>
      </x:c>
      <x:c r="G2427" s="2" t="str">
        <x:v>Small (&lt;100 beds)</x:v>
      </x:c>
      <x:c r="H2427" s="7"/>
      <x:c r="I2427" s="7"/>
      <x:c r="J2427" s="7"/>
      <x:c r="K2427" s="8" t="n">
        <x:v>20</x:v>
      </x:c>
      <x:c r="L2427" s="8" t="n">
        <x:v>91</x:v>
      </x:c>
      <x:c r="M2427" s="9" t="n">
        <x:v>0.1170765027</x:v>
      </x:c>
      <x:c r="N2427" s="10" t="n">
        <x:v>131313.3406593407</x:v>
      </x:c>
      <x:c r="O2427" s="9" t="n">
        <x:v>-0.3948841971</x:v>
      </x:c>
      <x:c r="P2427" s="9" t="n">
        <x:v>0.5085501859</x:v>
      </x:c>
      <x:c r="Q2427" s="9" t="n">
        <x:v>0.292936803</x:v>
      </x:c>
      <x:c r="R2427" s="3" t="b">
        <x:v>0</x:v>
      </x:c>
      <x:c r="S2427" s="3" t="b">
        <x:v>0</x:v>
      </x:c>
      <x:c r="T2427" s="3" t="b">
        <x:v>0</x:v>
      </x:c>
      <x:c r="U2427" s="2" t="str">
        <x:f>IF(T2427=TRUE,"Priority review",IF(R2427=TRUE,"High cost",IF(S2427=TRUE,"Low quality","Benchmark")))</x:f>
        <x:v>Benchmark</x:v>
      </x:c>
    </x:row>
    <x:row r="2428">
      <x:c r="A2428" s="2" t="str">
        <x:v>254013</x:v>
      </x:c>
      <x:c r="B2428" s="2" t="str">
        <x:v>OCEANS BEHAVIORAL HOSPITAL OF TUPELO</x:v>
      </x:c>
      <x:c r="C2428" s="2" t="str">
        <x:v>TUPELO</x:v>
      </x:c>
      <x:c r="D2428" s="2" t="str">
        <x:v>MS</x:v>
      </x:c>
      <x:c r="E2428" s="2" t="str">
        <x:v>Psychiatric</x:v>
      </x:c>
      <x:c r="F2428" s="2" t="str">
        <x:v>Proprietary</x:v>
      </x:c>
      <x:c r="G2428" s="2" t="str">
        <x:v>Small (&lt;100 beds)</x:v>
      </x:c>
      <x:c r="H2428" s="7"/>
      <x:c r="I2428" s="7"/>
      <x:c r="J2428" s="7"/>
      <x:c r="K2428" s="8" t="n">
        <x:v>34</x:v>
      </x:c>
      <x:c r="L2428" s="8" t="n">
        <x:v>842</x:v>
      </x:c>
      <x:c r="M2428" s="9" t="n">
        <x:v>0.7708936033</x:v>
      </x:c>
      <x:c r="N2428" s="10" t="n">
        <x:v>12380.7695961995</x:v>
      </x:c>
      <x:c r="O2428" s="9" t="n">
        <x:v>0.1304589214</x:v>
      </x:c>
      <x:c r="P2428" s="9" t="n">
        <x:v>0.5080906149</x:v>
      </x:c>
      <x:c r="Q2428" s="9" t="n">
        <x:v>0</x:v>
      </x:c>
      <x:c r="R2428" s="3" t="b">
        <x:v>0</x:v>
      </x:c>
      <x:c r="S2428" s="3" t="b">
        <x:v>0</x:v>
      </x:c>
      <x:c r="T2428" s="3" t="b">
        <x:v>0</x:v>
      </x:c>
      <x:c r="U2428" s="2" t="str">
        <x:f>IF(T2428=TRUE,"Priority review",IF(R2428=TRUE,"High cost",IF(S2428=TRUE,"Low quality","Benchmark")))</x:f>
        <x:v>Benchmark</x:v>
      </x:c>
    </x:row>
    <x:row r="2429">
      <x:c r="A2429" s="2" t="str">
        <x:v>230058</x:v>
      </x:c>
      <x:c r="B2429" s="2" t="str">
        <x:v>MUNSON HEALTHCARE GRAYLING HOSPITAL</x:v>
      </x:c>
      <x:c r="C2429" s="2" t="str">
        <x:v>GRAYLING</x:v>
      </x:c>
      <x:c r="D2429" s="2" t="str">
        <x:v>MI</x:v>
      </x:c>
      <x:c r="E2429" s="2" t="str">
        <x:v>Acute Care Hospitals</x:v>
      </x:c>
      <x:c r="F2429" s="2" t="str">
        <x:v>Voluntary non-profit</x:v>
      </x:c>
      <x:c r="G2429" s="2" t="str">
        <x:v>Small (&lt;100 beds)</x:v>
      </x:c>
      <x:c r="H2429" s="7" t="n">
        <x:v>3</x:v>
      </x:c>
      <x:c r="I2429" s="7" t="n">
        <x:v>4</x:v>
      </x:c>
      <x:c r="J2429" s="7" t="n">
        <x:v>0.86</x:v>
      </x:c>
      <x:c r="K2429" s="8" t="n">
        <x:v>42</x:v>
      </x:c>
      <x:c r="L2429" s="8" t="n">
        <x:v>1876</x:v>
      </x:c>
      <x:c r="M2429" s="9" t="n">
        <x:v>0.416764514</x:v>
      </x:c>
      <x:c r="N2429" s="10" t="n">
        <x:v>53046.5607675906</x:v>
      </x:c>
      <x:c r="O2429" s="9" t="n">
        <x:v>-0.0299718856</x:v>
      </x:c>
      <x:c r="P2429" s="9" t="n">
        <x:v>0.5080789946</x:v>
      </x:c>
      <x:c r="Q2429" s="9" t="n">
        <x:v>0.1687612208</x:v>
      </x:c>
      <x:c r="R2429" s="3" t="b">
        <x:v>0</x:v>
      </x:c>
      <x:c r="S2429" s="3" t="b">
        <x:v>0</x:v>
      </x:c>
      <x:c r="T2429" s="3" t="b">
        <x:v>0</x:v>
      </x:c>
      <x:c r="U2429" s="2" t="str">
        <x:f>IF(T2429=TRUE,"Priority review",IF(R2429=TRUE,"High cost",IF(S2429=TRUE,"Low quality","Benchmark")))</x:f>
        <x:v>Benchmark</x:v>
      </x:c>
    </x:row>
    <x:row r="2430">
      <x:c r="A2430" s="2" t="str">
        <x:v>050557</x:v>
      </x:c>
      <x:c r="B2430" s="2" t="str">
        <x:v>MEMORIAL MEDICAL CENTER</x:v>
      </x:c>
      <x:c r="C2430" s="2" t="str">
        <x:v>MODESTO</x:v>
      </x:c>
      <x:c r="D2430" s="2" t="str">
        <x:v>CA</x:v>
      </x:c>
      <x:c r="E2430" s="2" t="str">
        <x:v>Acute Care Hospitals</x:v>
      </x:c>
      <x:c r="F2430" s="2" t="str">
        <x:v>Voluntary non-profit</x:v>
      </x:c>
      <x:c r="G2430" s="2" t="str">
        <x:v>Large (300+ beds)</x:v>
      </x:c>
      <x:c r="H2430" s="7" t="n">
        <x:v>3</x:v>
      </x:c>
      <x:c r="I2430" s="7" t="n">
        <x:v>3</x:v>
      </x:c>
      <x:c r="J2430" s="7" t="n">
        <x:v>0.96</x:v>
      </x:c>
      <x:c r="K2430" s="8" t="n">
        <x:v>403</x:v>
      </x:c>
      <x:c r="L2430" s="8" t="n">
        <x:v>22142</x:v>
      </x:c>
      <x:c r="M2430" s="9" t="n">
        <x:v>0.7369320262</x:v>
      </x:c>
      <x:c r="N2430" s="10" t="n">
        <x:v>39144.0077680426</x:v>
      </x:c>
      <x:c r="O2430" s="9" t="n">
        <x:v>0.0925630782</x:v>
      </x:c>
      <x:c r="P2430" s="9" t="n">
        <x:v>0.5078864353</x:v>
      </x:c>
      <x:c r="Q2430" s="9" t="n">
        <x:v>0.2570977918</x:v>
      </x:c>
      <x:c r="R2430" s="3" t="b">
        <x:v>0</x:v>
      </x:c>
      <x:c r="S2430" s="3" t="b">
        <x:v>0</x:v>
      </x:c>
      <x:c r="T2430" s="3" t="b">
        <x:v>0</x:v>
      </x:c>
      <x:c r="U2430" s="2" t="str">
        <x:f>IF(T2430=TRUE,"Priority review",IF(R2430=TRUE,"High cost",IF(S2430=TRUE,"Low quality","Benchmark")))</x:f>
        <x:v>Benchmark</x:v>
      </x:c>
    </x:row>
    <x:row r="2431">
      <x:c r="A2431" s="2" t="str">
        <x:v>361333</x:v>
      </x:c>
      <x:c r="B2431" s="2" t="str">
        <x:v>FULTON COUNTY HEALTH CENTER</x:v>
      </x:c>
      <x:c r="C2431" s="2" t="str">
        <x:v>WAUSEON</x:v>
      </x:c>
      <x:c r="D2431" s="2" t="str">
        <x:v>OH</x:v>
      </x:c>
      <x:c r="E2431" s="2" t="str">
        <x:v>Critical Access Hospitals</x:v>
      </x:c>
      <x:c r="F2431" s="2" t="str">
        <x:v>Voluntary non-profit</x:v>
      </x:c>
      <x:c r="G2431" s="2" t="str">
        <x:v>Small (&lt;100 beds)</x:v>
      </x:c>
      <x:c r="H2431" s="7" t="n">
        <x:v>3</x:v>
      </x:c>
      <x:c r="I2431" s="7" t="n">
        <x:v>4</x:v>
      </x:c>
      <x:c r="J2431" s="7"/>
      <x:c r="K2431" s="8" t="n">
        <x:v>25</x:v>
      </x:c>
      <x:c r="L2431" s="8" t="n">
        <x:v>1100</x:v>
      </x:c>
      <x:c r="M2431" s="9" t="n">
        <x:v>0.369726776</x:v>
      </x:c>
      <x:c r="N2431" s="10" t="n">
        <x:v>131099.1745454546</x:v>
      </x:c>
      <x:c r="O2431" s="9" t="n">
        <x:v>-0.0781280532</x:v>
      </x:c>
      <x:c r="P2431" s="9" t="n">
        <x:v>0.5078066914</x:v>
      </x:c>
      <x:c r="Q2431" s="9" t="n">
        <x:v>0.0765799257</x:v>
      </x:c>
      <x:c r="R2431" s="3" t="b">
        <x:v>0</x:v>
      </x:c>
      <x:c r="S2431" s="3" t="b">
        <x:v>1</x:v>
      </x:c>
      <x:c r="T2431" s="3" t="b">
        <x:v>0</x:v>
      </x:c>
      <x:c r="U2431" s="2" t="str">
        <x:f>IF(T2431=TRUE,"Priority review",IF(R2431=TRUE,"High cost",IF(S2431=TRUE,"Low quality","Benchmark")))</x:f>
        <x:v>Low quality</x:v>
      </x:c>
    </x:row>
    <x:row r="2432">
      <x:c r="A2432" s="2" t="str">
        <x:v>450469</x:v>
      </x:c>
      <x:c r="B2432" s="2" t="str">
        <x:v>WILSON N JONES REGIONAL MEDICAL CENTER</x:v>
      </x:c>
      <x:c r="C2432" s="2" t="str">
        <x:v>SHERMAN</x:v>
      </x:c>
      <x:c r="D2432" s="2" t="str">
        <x:v>TX</x:v>
      </x:c>
      <x:c r="E2432" s="2" t="str">
        <x:v>Acute Care Hospitals</x:v>
      </x:c>
      <x:c r="F2432" s="2" t="str">
        <x:v>Proprietary</x:v>
      </x:c>
      <x:c r="G2432" s="2" t="str">
        <x:v>Medium (100-299 beds)</x:v>
      </x:c>
      <x:c r="H2432" s="7" t="n">
        <x:v>2</x:v>
      </x:c>
      <x:c r="I2432" s="7" t="n">
        <x:v>3</x:v>
      </x:c>
      <x:c r="J2432" s="7" t="n">
        <x:v>1.15</x:v>
      </x:c>
      <x:c r="K2432" s="8" t="n">
        <x:v>214</x:v>
      </x:c>
      <x:c r="L2432" s="8" t="n">
        <x:v>1123</x:v>
      </x:c>
      <x:c r="M2432" s="9" t="n">
        <x:v>0.0698636433</x:v>
      </x:c>
      <x:c r="N2432" s="10" t="n">
        <x:v>34390.4158504007</x:v>
      </x:c>
      <x:c r="O2432" s="9" t="n">
        <x:v>0.1902007558</x:v>
      </x:c>
      <x:c r="P2432" s="9" t="n">
        <x:v>0.5077424613</x:v>
      </x:c>
      <x:c r="Q2432" s="9" t="n">
        <x:v>0.0782396088</x:v>
      </x:c>
      <x:c r="R2432" s="3" t="b">
        <x:v>0</x:v>
      </x:c>
      <x:c r="S2432" s="3" t="b">
        <x:v>1</x:v>
      </x:c>
      <x:c r="T2432" s="3" t="b">
        <x:v>0</x:v>
      </x:c>
      <x:c r="U2432" s="2" t="str">
        <x:f>IF(T2432=TRUE,"Priority review",IF(R2432=TRUE,"High cost",IF(S2432=TRUE,"Low quality","Benchmark")))</x:f>
        <x:v>Low quality</x:v>
      </x:c>
    </x:row>
    <x:row r="2433">
      <x:c r="A2433" s="2" t="str">
        <x:v>224041</x:v>
      </x:c>
      <x:c r="B2433" s="2" t="str">
        <x:v>SOUTHCOAST BEHAVIORAL HEALTH</x:v>
      </x:c>
      <x:c r="C2433" s="2" t="str">
        <x:v>DARTMOUTH</x:v>
      </x:c>
      <x:c r="D2433" s="2" t="str">
        <x:v>MA</x:v>
      </x:c>
      <x:c r="E2433" s="2" t="str">
        <x:v>Psychiatric</x:v>
      </x:c>
      <x:c r="F2433" s="2" t="str">
        <x:v>Proprietary</x:v>
      </x:c>
      <x:c r="G2433" s="2" t="str">
        <x:v>Medium (100-299 beds)</x:v>
      </x:c>
      <x:c r="H2433" s="7"/>
      <x:c r="I2433" s="7"/>
      <x:c r="J2433" s="7"/>
      <x:c r="K2433" s="8" t="n">
        <x:v>192</x:v>
      </x:c>
      <x:c r="L2433" s="8" t="n">
        <x:v>4038</x:v>
      </x:c>
      <x:c r="M2433" s="9" t="n">
        <x:v>0.8684824681</x:v>
      </x:c>
      <x:c r="N2433" s="10" t="n">
        <x:v>11780.6461119366</x:v>
      </x:c>
      <x:c r="O2433" s="9" t="n">
        <x:v>0.297560301</x:v>
      </x:c>
      <x:c r="P2433" s="9" t="n">
        <x:v>0.5074626866</x:v>
      </x:c>
      <x:c r="Q2433" s="9" t="n">
        <x:v>0</x:v>
      </x:c>
      <x:c r="R2433" s="3" t="b">
        <x:v>0</x:v>
      </x:c>
      <x:c r="S2433" s="3" t="b">
        <x:v>0</x:v>
      </x:c>
      <x:c r="T2433" s="3" t="b">
        <x:v>0</x:v>
      </x:c>
      <x:c r="U2433" s="2" t="str">
        <x:f>IF(T2433=TRUE,"Priority review",IF(R2433=TRUE,"High cost",IF(S2433=TRUE,"Low quality","Benchmark")))</x:f>
        <x:v>Benchmark</x:v>
      </x:c>
    </x:row>
    <x:row r="2434">
      <x:c r="A2434" s="2" t="str">
        <x:v>490038</x:v>
      </x:c>
      <x:c r="B2434" s="2" t="str">
        <x:v>SMYTH COUNTY COMMUNITY HOSPITAL</x:v>
      </x:c>
      <x:c r="C2434" s="2" t="str">
        <x:v>MARION</x:v>
      </x:c>
      <x:c r="D2434" s="2" t="str">
        <x:v>VA</x:v>
      </x:c>
      <x:c r="E2434" s="2" t="str">
        <x:v>Acute Care Hospitals</x:v>
      </x:c>
      <x:c r="F2434" s="2" t="str">
        <x:v>Voluntary non-profit</x:v>
      </x:c>
      <x:c r="G2434" s="2" t="str">
        <x:v>Small (&lt;100 beds)</x:v>
      </x:c>
      <x:c r="H2434" s="7" t="n">
        <x:v>3</x:v>
      </x:c>
      <x:c r="I2434" s="7" t="n">
        <x:v>3</x:v>
      </x:c>
      <x:c r="J2434" s="7" t="n">
        <x:v>0.97</x:v>
      </x:c>
      <x:c r="K2434" s="8" t="n">
        <x:v>17</x:v>
      </x:c>
      <x:c r="L2434" s="8" t="n">
        <x:v>938</x:v>
      </x:c>
      <x:c r="M2434" s="9" t="n">
        <x:v>0.500886382</x:v>
      </x:c>
      <x:c r="N2434" s="10" t="n">
        <x:v>52962.6908315565</x:v>
      </x:c>
      <x:c r="O2434" s="9" t="n">
        <x:v>0.0160779025</x:v>
      </x:c>
      <x:c r="P2434" s="9" t="n">
        <x:v>0.5071813285</x:v>
      </x:c>
      <x:c r="Q2434" s="9" t="n">
        <x:v>0.1687612208</x:v>
      </x:c>
      <x:c r="R2434" s="3" t="b">
        <x:v>0</x:v>
      </x:c>
      <x:c r="S2434" s="3" t="b">
        <x:v>0</x:v>
      </x:c>
      <x:c r="T2434" s="3" t="b">
        <x:v>0</x:v>
      </x:c>
      <x:c r="U2434" s="2" t="str">
        <x:f>IF(T2434=TRUE,"Priority review",IF(R2434=TRUE,"High cost",IF(S2434=TRUE,"Low quality","Benchmark")))</x:f>
        <x:v>Benchmark</x:v>
      </x:c>
    </x:row>
    <x:row r="2435">
      <x:c r="A2435" s="2" t="str">
        <x:v>261302</x:v>
      </x:c>
      <x:c r="B2435" s="2" t="str">
        <x:v>MADISON MEDICAL CENTER</x:v>
      </x:c>
      <x:c r="C2435" s="2" t="str">
        <x:v>FREDERICKTOWN</x:v>
      </x:c>
      <x:c r="D2435" s="2" t="str">
        <x:v>MO</x:v>
      </x:c>
      <x:c r="E2435" s="2" t="str">
        <x:v>Critical Access Hospitals</x:v>
      </x:c>
      <x:c r="F2435" s="2" t="str">
        <x:v>Voluntary non-profit</x:v>
      </x:c>
      <x:c r="G2435" s="2" t="str">
        <x:v>Small (&lt;100 beds)</x:v>
      </x:c>
      <x:c r="H2435" s="7"/>
      <x:c r="I2435" s="7"/>
      <x:c r="J2435" s="7"/>
      <x:c r="K2435" s="8" t="n">
        <x:v>25</x:v>
      </x:c>
      <x:c r="L2435" s="8" t="n">
        <x:v>185</x:v>
      </x:c>
      <x:c r="M2435" s="9" t="n">
        <x:v>0.2415300546</x:v>
      </x:c>
      <x:c r="N2435" s="10" t="n">
        <x:v>131072.172972973</x:v>
      </x:c>
      <x:c r="O2435" s="9" t="n">
        <x:v>-0.1531800113</x:v>
      </x:c>
      <x:c r="P2435" s="9" t="n">
        <x:v>0.507063197</x:v>
      </x:c>
      <x:c r="Q2435" s="9" t="n">
        <x:v>0.292936803</x:v>
      </x:c>
      <x:c r="R2435" s="3" t="b">
        <x:v>0</x:v>
      </x:c>
      <x:c r="S2435" s="3" t="b">
        <x:v>0</x:v>
      </x:c>
      <x:c r="T2435" s="3" t="b">
        <x:v>0</x:v>
      </x:c>
      <x:c r="U2435" s="2" t="str">
        <x:f>IF(T2435=TRUE,"Priority review",IF(R2435=TRUE,"High cost",IF(S2435=TRUE,"Low quality","Benchmark")))</x:f>
        <x:v>Benchmark</x:v>
      </x:c>
    </x:row>
    <x:row r="2436">
      <x:c r="A2436" s="2" t="str">
        <x:v>250040</x:v>
      </x:c>
      <x:c r="B2436" s="2" t="str">
        <x:v>SINGING RIVER HEALTH SYSTEM</x:v>
      </x:c>
      <x:c r="C2436" s="2" t="str">
        <x:v>PASCAGOULA</x:v>
      </x:c>
      <x:c r="D2436" s="2" t="str">
        <x:v>MS</x:v>
      </x:c>
      <x:c r="E2436" s="2" t="str">
        <x:v>Acute Care Hospitals</x:v>
      </x:c>
      <x:c r="F2436" s="2" t="str">
        <x:v>Government</x:v>
      </x:c>
      <x:c r="G2436" s="2" t="str">
        <x:v>Medium (100-299 beds)</x:v>
      </x:c>
      <x:c r="H2436" s="7" t="n">
        <x:v>1</x:v>
      </x:c>
      <x:c r="I2436" s="7" t="n">
        <x:v>3</x:v>
      </x:c>
      <x:c r="J2436" s="7" t="n">
        <x:v>1.01</x:v>
      </x:c>
      <x:c r="K2436" s="8" t="n">
        <x:v>156</x:v>
      </x:c>
      <x:c r="L2436" s="8" t="n">
        <x:v>12608</x:v>
      </x:c>
      <x:c r="M2436" s="9" t="n">
        <x:v>0.4997579027</x:v>
      </x:c>
      <x:c r="N2436" s="10" t="n">
        <x:v>34372.0302982233</x:v>
      </x:c>
      <x:c r="O2436" s="9" t="n">
        <x:v>0.0911776531</x:v>
      </x:c>
      <x:c r="P2436" s="9" t="n">
        <x:v>0.5069274654</x:v>
      </x:c>
      <x:c r="Q2436" s="9" t="n">
        <x:v>0</x:v>
      </x:c>
      <x:c r="R2436" s="3" t="b">
        <x:v>0</x:v>
      </x:c>
      <x:c r="S2436" s="3" t="b">
        <x:v>1</x:v>
      </x:c>
      <x:c r="T2436" s="3" t="b">
        <x:v>0</x:v>
      </x:c>
      <x:c r="U2436" s="2" t="str">
        <x:f>IF(T2436=TRUE,"Priority review",IF(R2436=TRUE,"High cost",IF(S2436=TRUE,"Low quality","Benchmark")))</x:f>
        <x:v>Low quality</x:v>
      </x:c>
    </x:row>
    <x:row r="2437">
      <x:c r="A2437" s="2" t="str">
        <x:v>161317</x:v>
      </x:c>
      <x:c r="B2437" s="2" t="str">
        <x:v>COMPASS MEMORIAL HEALTHCARE</x:v>
      </x:c>
      <x:c r="C2437" s="2" t="str">
        <x:v>MARENGO</x:v>
      </x:c>
      <x:c r="D2437" s="2" t="str">
        <x:v>IA</x:v>
      </x:c>
      <x:c r="E2437" s="2" t="str">
        <x:v>Critical Access Hospitals</x:v>
      </x:c>
      <x:c r="F2437" s="2" t="str">
        <x:v>Voluntary non-profit</x:v>
      </x:c>
      <x:c r="G2437" s="2" t="str">
        <x:v>Small (&lt;100 beds)</x:v>
      </x:c>
      <x:c r="H2437" s="7" t="n">
        <x:v>4</x:v>
      </x:c>
      <x:c r="I2437" s="7" t="n">
        <x:v>5</x:v>
      </x:c>
      <x:c r="J2437" s="7"/>
      <x:c r="K2437" s="8" t="n">
        <x:v>25</x:v>
      </x:c>
      <x:c r="L2437" s="8" t="n">
        <x:v>378</x:v>
      </x:c>
      <x:c r="M2437" s="9" t="n">
        <x:v>0.1930958904</x:v>
      </x:c>
      <x:c r="N2437" s="10" t="n">
        <x:v>130999.0608465609</x:v>
      </x:c>
      <x:c r="O2437" s="9" t="n">
        <x:v>0.037643195</x:v>
      </x:c>
      <x:c r="P2437" s="9" t="n">
        <x:v>0.5063197026</x:v>
      </x:c>
      <x:c r="Q2437" s="9" t="n">
        <x:v>0.1657992565</x:v>
      </x:c>
      <x:c r="R2437" s="3" t="b">
        <x:v>0</x:v>
      </x:c>
      <x:c r="S2437" s="3" t="b">
        <x:v>0</x:v>
      </x:c>
      <x:c r="T2437" s="3" t="b">
        <x:v>0</x:v>
      </x:c>
      <x:c r="U2437" s="2" t="str">
        <x:f>IF(T2437=TRUE,"Priority review",IF(R2437=TRUE,"High cost",IF(S2437=TRUE,"Low quality","Benchmark")))</x:f>
        <x:v>Benchmark</x:v>
      </x:c>
    </x:row>
    <x:row r="2438">
      <x:c r="A2438" s="2" t="str">
        <x:v>050036</x:v>
      </x:c>
      <x:c r="B2438" s="2" t="str">
        <x:v>BAKERSFIELD MEMORIAL HOSPITAL</x:v>
      </x:c>
      <x:c r="C2438" s="2" t="str">
        <x:v>BAKERSFIELD</x:v>
      </x:c>
      <x:c r="D2438" s="2" t="str">
        <x:v>CA</x:v>
      </x:c>
      <x:c r="E2438" s="2" t="str">
        <x:v>Acute Care Hospitals</x:v>
      </x:c>
      <x:c r="F2438" s="2" t="str">
        <x:v>Voluntary non-profit</x:v>
      </x:c>
      <x:c r="G2438" s="2" t="str">
        <x:v>Large (300+ beds)</x:v>
      </x:c>
      <x:c r="H2438" s="7" t="n">
        <x:v>3</x:v>
      </x:c>
      <x:c r="I2438" s="7" t="n">
        <x:v>3</x:v>
      </x:c>
      <x:c r="J2438" s="7" t="n">
        <x:v>1.05</x:v>
      </x:c>
      <x:c r="K2438" s="8" t="n">
        <x:v>385</x:v>
      </x:c>
      <x:c r="L2438" s="8" t="n">
        <x:v>16204</x:v>
      </x:c>
      <x:c r="M2438" s="9" t="n">
        <x:v>0.5463984103</x:v>
      </x:c>
      <x:c r="N2438" s="10" t="n">
        <x:v>39077.1940878795</x:v>
      </x:c>
      <x:c r="O2438" s="9" t="n">
        <x:v>0.08772524</x:v>
      </x:c>
      <x:c r="P2438" s="9" t="n">
        <x:v>0.5063091483</x:v>
      </x:c>
      <x:c r="Q2438" s="9" t="n">
        <x:v>0.2570977918</x:v>
      </x:c>
      <x:c r="R2438" s="3" t="b">
        <x:v>0</x:v>
      </x:c>
      <x:c r="S2438" s="3" t="b">
        <x:v>0</x:v>
      </x:c>
      <x:c r="T2438" s="3" t="b">
        <x:v>0</x:v>
      </x:c>
      <x:c r="U2438" s="2" t="str">
        <x:f>IF(T2438=TRUE,"Priority review",IF(R2438=TRUE,"High cost",IF(S2438=TRUE,"Low quality","Benchmark")))</x:f>
        <x:v>Benchmark</x:v>
      </x:c>
    </x:row>
    <x:row r="2439">
      <x:c r="A2439" s="2" t="str">
        <x:v>010065</x:v>
      </x:c>
      <x:c r="B2439" s="2" t="str">
        <x:v>RUSSELL MEDICAL CENTER</x:v>
      </x:c>
      <x:c r="C2439" s="2" t="str">
        <x:v>ALEXANDER CITY</x:v>
      </x:c>
      <x:c r="D2439" s="2" t="str">
        <x:v>AL</x:v>
      </x:c>
      <x:c r="E2439" s="2" t="str">
        <x:v>Acute Care Hospitals</x:v>
      </x:c>
      <x:c r="F2439" s="2" t="str">
        <x:v>Voluntary non-profit</x:v>
      </x:c>
      <x:c r="G2439" s="2" t="str">
        <x:v>Small (&lt;100 beds)</x:v>
      </x:c>
      <x:c r="H2439" s="7" t="n">
        <x:v>3</x:v>
      </x:c>
      <x:c r="I2439" s="7" t="n">
        <x:v>3</x:v>
      </x:c>
      <x:c r="J2439" s="7" t="n">
        <x:v>0.95</x:v>
      </x:c>
      <x:c r="K2439" s="8" t="n">
        <x:v>45</x:v>
      </x:c>
      <x:c r="L2439" s="8" t="n">
        <x:v>1647</x:v>
      </x:c>
      <x:c r="M2439" s="9" t="n">
        <x:v>0.4241651488</x:v>
      </x:c>
      <x:c r="N2439" s="10" t="n">
        <x:v>52856.050394657</x:v>
      </x:c>
      <x:c r="O2439" s="9" t="n">
        <x:v>-0.1933553371</x:v>
      </x:c>
      <x:c r="P2439" s="9" t="n">
        <x:v>0.5062836625</x:v>
      </x:c>
      <x:c r="Q2439" s="9" t="n">
        <x:v>0.1687612208</x:v>
      </x:c>
      <x:c r="R2439" s="3" t="b">
        <x:v>0</x:v>
      </x:c>
      <x:c r="S2439" s="3" t="b">
        <x:v>0</x:v>
      </x:c>
      <x:c r="T2439" s="3" t="b">
        <x:v>0</x:v>
      </x:c>
      <x:c r="U2439" s="2" t="str">
        <x:f>IF(T2439=TRUE,"Priority review",IF(R2439=TRUE,"High cost",IF(S2439=TRUE,"Low quality","Benchmark")))</x:f>
        <x:v>Benchmark</x:v>
      </x:c>
    </x:row>
    <x:row r="2440">
      <x:c r="A2440" s="2" t="str">
        <x:v>050704</x:v>
      </x:c>
      <x:c r="B2440" s="2" t="str">
        <x:v>MISSION COMMUNITY HOSPITAL</x:v>
      </x:c>
      <x:c r="C2440" s="2" t="str">
        <x:v>PANORAMA CITY</x:v>
      </x:c>
      <x:c r="D2440" s="2" t="str">
        <x:v>CA</x:v>
      </x:c>
      <x:c r="E2440" s="2" t="str">
        <x:v>Acute Care Hospitals</x:v>
      </x:c>
      <x:c r="F2440" s="2" t="str">
        <x:v>Voluntary non-profit</x:v>
      </x:c>
      <x:c r="G2440" s="2" t="str">
        <x:v>Medium (100-299 beds)</x:v>
      </x:c>
      <x:c r="H2440" s="7" t="n">
        <x:v>3</x:v>
      </x:c>
      <x:c r="I2440" s="7" t="n">
        <x:v>1</x:v>
      </x:c>
      <x:c r="J2440" s="7" t="n">
        <x:v>1.31</x:v>
      </x:c>
      <x:c r="K2440" s="8" t="n">
        <x:v>145</x:v>
      </x:c>
      <x:c r="L2440" s="8" t="n">
        <x:v>5653</x:v>
      </x:c>
      <x:c r="M2440" s="9" t="n">
        <x:v>0.7777652158</x:v>
      </x:c>
      <x:c r="N2440" s="10" t="n">
        <x:v>34353.6508048824</x:v>
      </x:c>
      <x:c r="O2440" s="9" t="n">
        <x:v>-0.1056240926</x:v>
      </x:c>
      <x:c r="P2440" s="9" t="n">
        <x:v>0.5061124694</x:v>
      </x:c>
      <x:c r="Q2440" s="9" t="n">
        <x:v>0.3023634882</x:v>
      </x:c>
      <x:c r="R2440" s="3" t="b">
        <x:v>0</x:v>
      </x:c>
      <x:c r="S2440" s="3" t="b">
        <x:v>0</x:v>
      </x:c>
      <x:c r="T2440" s="3" t="b">
        <x:v>0</x:v>
      </x:c>
      <x:c r="U2440" s="2" t="str">
        <x:f>IF(T2440=TRUE,"Priority review",IF(R2440=TRUE,"High cost",IF(S2440=TRUE,"Low quality","Benchmark")))</x:f>
        <x:v>Benchmark</x:v>
      </x:c>
    </x:row>
    <x:row r="2441">
      <x:c r="A2441" s="2" t="str">
        <x:v>141339</x:v>
      </x:c>
      <x:c r="B2441" s="2" t="str">
        <x:v>TAYLORVILLE MEMORIAL HOSPITAL</x:v>
      </x:c>
      <x:c r="C2441" s="2" t="str">
        <x:v>TAYLORVILLE</x:v>
      </x:c>
      <x:c r="D2441" s="2" t="str">
        <x:v>IL</x:v>
      </x:c>
      <x:c r="E2441" s="2" t="str">
        <x:v>Critical Access Hospitals</x:v>
      </x:c>
      <x:c r="F2441" s="2" t="str">
        <x:v>Voluntary non-profit</x:v>
      </x:c>
      <x:c r="G2441" s="2" t="str">
        <x:v>Small (&lt;100 beds)</x:v>
      </x:c>
      <x:c r="H2441" s="7" t="n">
        <x:v>2</x:v>
      </x:c>
      <x:c r="I2441" s="7" t="n">
        <x:v>4</x:v>
      </x:c>
      <x:c r="J2441" s="7"/>
      <x:c r="K2441" s="8" t="n">
        <x:v>25</x:v>
      </x:c>
      <x:c r="L2441" s="8" t="n">
        <x:v>413</x:v>
      </x:c>
      <x:c r="M2441" s="9" t="n">
        <x:v>0.6479781421</x:v>
      </x:c>
      <x:c r="N2441" s="10" t="n">
        <x:v>130946.0338983051</x:v>
      </x:c>
      <x:c r="O2441" s="9" t="n">
        <x:v>0.2258922909</x:v>
      </x:c>
      <x:c r="P2441" s="9" t="n">
        <x:v>0.5055762082</x:v>
      </x:c>
      <x:c r="Q2441" s="9" t="n">
        <x:v>0.0171003717</x:v>
      </x:c>
      <x:c r="R2441" s="3" t="b">
        <x:v>0</x:v>
      </x:c>
      <x:c r="S2441" s="3" t="b">
        <x:v>1</x:v>
      </x:c>
      <x:c r="T2441" s="3" t="b">
        <x:v>0</x:v>
      </x:c>
      <x:c r="U2441" s="2" t="str">
        <x:f>IF(T2441=TRUE,"Priority review",IF(R2441=TRUE,"High cost",IF(S2441=TRUE,"Low quality","Benchmark")))</x:f>
        <x:v>Low quality</x:v>
      </x:c>
    </x:row>
    <x:row r="2442">
      <x:c r="A2442" s="2" t="str">
        <x:v>390125</x:v>
      </x:c>
      <x:c r="B2442" s="2" t="str">
        <x:v>WAYNE MEMORIAL HOSPITAL</x:v>
      </x:c>
      <x:c r="C2442" s="2" t="str">
        <x:v>HONESDALE</x:v>
      </x:c>
      <x:c r="D2442" s="2" t="str">
        <x:v>PA</x:v>
      </x:c>
      <x:c r="E2442" s="2" t="str">
        <x:v>Acute Care Hospitals</x:v>
      </x:c>
      <x:c r="F2442" s="2" t="str">
        <x:v>Voluntary non-profit</x:v>
      </x:c>
      <x:c r="G2442" s="2" t="str">
        <x:v>Small (&lt;100 beds)</x:v>
      </x:c>
      <x:c r="H2442" s="7" t="n">
        <x:v>2</x:v>
      </x:c>
      <x:c r="I2442" s="7" t="n">
        <x:v>3</x:v>
      </x:c>
      <x:c r="J2442" s="7" t="n">
        <x:v>1.02</x:v>
      </x:c>
      <x:c r="K2442" s="8" t="n">
        <x:v>58</x:v>
      </x:c>
      <x:c r="L2442" s="8" t="n">
        <x:v>2945</x:v>
      </x:c>
      <x:c r="M2442" s="9" t="n">
        <x:v>0.7211147851</x:v>
      </x:c>
      <x:c r="N2442" s="10" t="n">
        <x:v>52726.3867572156</x:v>
      </x:c>
      <x:c r="O2442" s="9" t="n">
        <x:v>-0.1328371722</x:v>
      </x:c>
      <x:c r="P2442" s="9" t="n">
        <x:v>0.5053859964</x:v>
      </x:c>
      <x:c r="Q2442" s="9" t="n">
        <x:v>0.0350089767</x:v>
      </x:c>
      <x:c r="R2442" s="3" t="b">
        <x:v>0</x:v>
      </x:c>
      <x:c r="S2442" s="3" t="b">
        <x:v>1</x:v>
      </x:c>
      <x:c r="T2442" s="3" t="b">
        <x:v>0</x:v>
      </x:c>
      <x:c r="U2442" s="2" t="str">
        <x:f>IF(T2442=TRUE,"Priority review",IF(R2442=TRUE,"High cost",IF(S2442=TRUE,"Low quality","Benchmark")))</x:f>
        <x:v>Low quality</x:v>
      </x:c>
    </x:row>
    <x:row r="2443">
      <x:c r="A2443" s="2" t="str">
        <x:v>050738</x:v>
      </x:c>
      <x:c r="B2443" s="2" t="str">
        <x:v>GREATER EL MONTE COMMUNITY HOSPITAL</x:v>
      </x:c>
      <x:c r="C2443" s="2" t="str">
        <x:v>SOUTH EL MONTE</x:v>
      </x:c>
      <x:c r="D2443" s="2" t="str">
        <x:v>CA</x:v>
      </x:c>
      <x:c r="E2443" s="2" t="str">
        <x:v>Acute Care Hospitals</x:v>
      </x:c>
      <x:c r="F2443" s="2" t="str">
        <x:v>Voluntary non-profit</x:v>
      </x:c>
      <x:c r="G2443" s="2" t="str">
        <x:v>Medium (100-299 beds)</x:v>
      </x:c>
      <x:c r="H2443" s="7" t="n">
        <x:v>2</x:v>
      </x:c>
      <x:c r="I2443" s="7" t="n">
        <x:v>3</x:v>
      </x:c>
      <x:c r="J2443" s="7" t="n">
        <x:v>1.43</x:v>
      </x:c>
      <x:c r="K2443" s="8" t="n">
        <x:v>104</x:v>
      </x:c>
      <x:c r="L2443" s="8" t="n">
        <x:v>2045</x:v>
      </x:c>
      <x:c r="M2443" s="9" t="n">
        <x:v>0.2930453109</x:v>
      </x:c>
      <x:c r="N2443" s="10" t="n">
        <x:v>34320.8640586797</x:v>
      </x:c>
      <x:c r="O2443" s="9" t="n">
        <x:v>-0.198595021</x:v>
      </x:c>
      <x:c r="P2443" s="9" t="n">
        <x:v>0.5052974735</x:v>
      </x:c>
      <x:c r="Q2443" s="9" t="n">
        <x:v>0.0782396088</x:v>
      </x:c>
      <x:c r="R2443" s="3" t="b">
        <x:v>0</x:v>
      </x:c>
      <x:c r="S2443" s="3" t="b">
        <x:v>1</x:v>
      </x:c>
      <x:c r="T2443" s="3" t="b">
        <x:v>0</x:v>
      </x:c>
      <x:c r="U2443" s="2" t="str">
        <x:f>IF(T2443=TRUE,"Priority review",IF(R2443=TRUE,"High cost",IF(S2443=TRUE,"Low quality","Benchmark")))</x:f>
        <x:v>Low quality</x:v>
      </x:c>
    </x:row>
    <x:row r="2444">
      <x:c r="A2444" s="2" t="str">
        <x:v>214020</x:v>
      </x:c>
      <x:c r="B2444" s="2" t="str">
        <x:v>LUMINIS HEALTH J KENT MCNEW FAMILY MEDICAL CENTER</x:v>
      </x:c>
      <x:c r="C2444" s="2" t="str">
        <x:v>ANNAPOLIS</x:v>
      </x:c>
      <x:c r="D2444" s="2" t="str">
        <x:v>MD</x:v>
      </x:c>
      <x:c r="E2444" s="2" t="str">
        <x:v>Psychiatric</x:v>
      </x:c>
      <x:c r="F2444" s="2" t="str">
        <x:v>Voluntary non-profit</x:v>
      </x:c>
      <x:c r="G2444" s="2" t="str">
        <x:v>Small (&lt;100 beds)</x:v>
      </x:c>
      <x:c r="H2444" s="7"/>
      <x:c r="I2444" s="7"/>
      <x:c r="J2444" s="7"/>
      <x:c r="K2444" s="8" t="n">
        <x:v>16</x:v>
      </x:c>
      <x:c r="L2444" s="8" t="n">
        <x:v>712</x:v>
      </x:c>
      <x:c r="M2444" s="9" t="n">
        <x:v>0.886130137</x:v>
      </x:c>
      <x:c r="N2444" s="10" t="n">
        <x:v>12279.9550561798</x:v>
      </x:c>
      <x:c r="O2444" s="9" t="n">
        <x:v>-0.1316155545</x:v>
      </x:c>
      <x:c r="P2444" s="9" t="n">
        <x:v>0.5048543689</x:v>
      </x:c>
      <x:c r="Q2444" s="9" t="n">
        <x:v>0</x:v>
      </x:c>
      <x:c r="R2444" s="3" t="b">
        <x:v>0</x:v>
      </x:c>
      <x:c r="S2444" s="3" t="b">
        <x:v>0</x:v>
      </x:c>
      <x:c r="T2444" s="3" t="b">
        <x:v>0</x:v>
      </x:c>
      <x:c r="U2444" s="2" t="str">
        <x:f>IF(T2444=TRUE,"Priority review",IF(R2444=TRUE,"High cost",IF(S2444=TRUE,"Low quality","Benchmark")))</x:f>
        <x:v>Benchmark</x:v>
      </x:c>
    </x:row>
    <x:row r="2445">
      <x:c r="A2445" s="2" t="str">
        <x:v>281335</x:v>
      </x:c>
      <x:c r="B2445" s="2" t="str">
        <x:v>CALLAWAY DISTRICT HOSPITAL</x:v>
      </x:c>
      <x:c r="C2445" s="2" t="str">
        <x:v>CALLAWAY</x:v>
      </x:c>
      <x:c r="D2445" s="2" t="str">
        <x:v>NE</x:v>
      </x:c>
      <x:c r="E2445" s="2" t="str">
        <x:v>Critical Access Hospitals</x:v>
      </x:c>
      <x:c r="F2445" s="2" t="str">
        <x:v>Government</x:v>
      </x:c>
      <x:c r="G2445" s="2" t="str">
        <x:v>Small (&lt;100 beds)</x:v>
      </x:c>
      <x:c r="H2445" s="7"/>
      <x:c r="I2445" s="7"/>
      <x:c r="J2445" s="7"/>
      <x:c r="K2445" s="8" t="n">
        <x:v>12</x:v>
      </x:c>
      <x:c r="L2445" s="8" t="n">
        <x:v>103</x:v>
      </x:c>
      <x:c r="M2445" s="9" t="n">
        <x:v>0.1164383562</x:v>
      </x:c>
      <x:c r="N2445" s="10" t="n">
        <x:v>130713.9223300971</x:v>
      </x:c>
      <x:c r="O2445" s="9" t="n">
        <x:v>-0.0029884339</x:v>
      </x:c>
      <x:c r="P2445" s="9" t="n">
        <x:v>0.5048327138</x:v>
      </x:c>
      <x:c r="Q2445" s="9" t="n">
        <x:v>0.292936803</x:v>
      </x:c>
      <x:c r="R2445" s="3" t="b">
        <x:v>0</x:v>
      </x:c>
      <x:c r="S2445" s="3" t="b">
        <x:v>0</x:v>
      </x:c>
      <x:c r="T2445" s="3" t="b">
        <x:v>0</x:v>
      </x:c>
      <x:c r="U2445" s="2" t="str">
        <x:f>IF(T2445=TRUE,"Priority review",IF(R2445=TRUE,"High cost",IF(S2445=TRUE,"Low quality","Benchmark")))</x:f>
        <x:v>Benchmark</x:v>
      </x:c>
    </x:row>
    <x:row r="2446">
      <x:c r="A2446" s="2" t="str">
        <x:v>390049</x:v>
      </x:c>
      <x:c r="B2446" s="2" t="str">
        <x:v>ST LUKES HOSPITAL</x:v>
      </x:c>
      <x:c r="C2446" s="2" t="str">
        <x:v>BETHLEHEM</x:v>
      </x:c>
      <x:c r="D2446" s="2" t="str">
        <x:v>PA</x:v>
      </x:c>
      <x:c r="E2446" s="2" t="str">
        <x:v>Acute Care Hospitals</x:v>
      </x:c>
      <x:c r="F2446" s="2" t="str">
        <x:v>Voluntary non-profit</x:v>
      </x:c>
      <x:c r="G2446" s="2" t="str">
        <x:v>Large (300+ beds)</x:v>
      </x:c>
      <x:c r="H2446" s="7" t="n">
        <x:v>5</x:v>
      </x:c>
      <x:c r="I2446" s="7" t="n">
        <x:v>4</x:v>
      </x:c>
      <x:c r="J2446" s="7" t="n">
        <x:v>0.97</x:v>
      </x:c>
      <x:c r="K2446" s="8" t="n">
        <x:v>807</x:v>
      </x:c>
      <x:c r="L2446" s="8" t="n">
        <x:v>31251</x:v>
      </x:c>
      <x:c r="M2446" s="9" t="n">
        <x:v>0.7056736393</x:v>
      </x:c>
      <x:c r="N2446" s="10" t="n">
        <x:v>38958.8596204921</x:v>
      </x:c>
      <x:c r="O2446" s="9" t="n">
        <x:v>0.1537578917</x:v>
      </x:c>
      <x:c r="P2446" s="9" t="n">
        <x:v>0.5047318612</x:v>
      </x:c>
      <x:c r="Q2446" s="9" t="n">
        <x:v>0.8722397476</x:v>
      </x:c>
      <x:c r="R2446" s="3" t="b">
        <x:v>0</x:v>
      </x:c>
      <x:c r="S2446" s="3" t="b">
        <x:v>0</x:v>
      </x:c>
      <x:c r="T2446" s="3" t="b">
        <x:v>0</x:v>
      </x:c>
      <x:c r="U2446" s="2" t="str">
        <x:f>IF(T2446=TRUE,"Priority review",IF(R2446=TRUE,"High cost",IF(S2446=TRUE,"Low quality","Benchmark")))</x:f>
        <x:v>Benchmark</x:v>
      </x:c>
    </x:row>
    <x:row r="2447">
      <x:c r="A2447" s="2" t="str">
        <x:v>120019</x:v>
      </x:c>
      <x:c r="B2447" s="2" t="str">
        <x:v>KONA COMMUNITY HOSPITAL</x:v>
      </x:c>
      <x:c r="C2447" s="2" t="str">
        <x:v>KEALAKEKUA</x:v>
      </x:c>
      <x:c r="D2447" s="2" t="str">
        <x:v>HI</x:v>
      </x:c>
      <x:c r="E2447" s="2" t="str">
        <x:v>Acute Care Hospitals</x:v>
      </x:c>
      <x:c r="F2447" s="2" t="str">
        <x:v>Government</x:v>
      </x:c>
      <x:c r="G2447" s="2" t="str">
        <x:v>Small (&lt;100 beds)</x:v>
      </x:c>
      <x:c r="H2447" s="7" t="n">
        <x:v>2</x:v>
      </x:c>
      <x:c r="I2447" s="7" t="n">
        <x:v>3</x:v>
      </x:c>
      <x:c r="J2447" s="7" t="n">
        <x:v>0.85</x:v>
      </x:c>
      <x:c r="K2447" s="8" t="n">
        <x:v>83</x:v>
      </x:c>
      <x:c r="L2447" s="8" t="n">
        <x:v>3112</x:v>
      </x:c>
      <x:c r="M2447" s="9" t="n">
        <x:v>0.7745172471</x:v>
      </x:c>
      <x:c r="N2447" s="10" t="n">
        <x:v>52522.2461439589</x:v>
      </x:c>
      <x:c r="O2447" s="9" t="n">
        <x:v>-0.3813676468</x:v>
      </x:c>
      <x:c r="P2447" s="9" t="n">
        <x:v>0.5044883303</x:v>
      </x:c>
      <x:c r="Q2447" s="9" t="n">
        <x:v>0.0350089767</x:v>
      </x:c>
      <x:c r="R2447" s="3" t="b">
        <x:v>0</x:v>
      </x:c>
      <x:c r="S2447" s="3" t="b">
        <x:v>1</x:v>
      </x:c>
      <x:c r="T2447" s="3" t="b">
        <x:v>0</x:v>
      </x:c>
      <x:c r="U2447" s="2" t="str">
        <x:f>IF(T2447=TRUE,"Priority review",IF(R2447=TRUE,"High cost",IF(S2447=TRUE,"Low quality","Benchmark")))</x:f>
        <x:v>Low quality</x:v>
      </x:c>
    </x:row>
    <x:row r="2448">
      <x:c r="A2448" s="2" t="str">
        <x:v>050261</x:v>
      </x:c>
      <x:c r="B2448" s="2" t="str">
        <x:v>SIERRA VIEW MEDICAL CENTER</x:v>
      </x:c>
      <x:c r="C2448" s="2" t="str">
        <x:v>PORTERVILLE</x:v>
      </x:c>
      <x:c r="D2448" s="2" t="str">
        <x:v>CA</x:v>
      </x:c>
      <x:c r="E2448" s="2" t="str">
        <x:v>Acute Care Hospitals</x:v>
      </x:c>
      <x:c r="F2448" s="2" t="str">
        <x:v>Voluntary non-profit</x:v>
      </x:c>
      <x:c r="G2448" s="2" t="str">
        <x:v>Medium (100-299 beds)</x:v>
      </x:c>
      <x:c r="H2448" s="7" t="n">
        <x:v>3</x:v>
      </x:c>
      <x:c r="I2448" s="7" t="n">
        <x:v>2</x:v>
      </x:c>
      <x:c r="J2448" s="7" t="n">
        <x:v>1.02</x:v>
      </x:c>
      <x:c r="K2448" s="8" t="n">
        <x:v>128</x:v>
      </x:c>
      <x:c r="L2448" s="8" t="n">
        <x:v>5306</x:v>
      </x:c>
      <x:c r="M2448" s="9" t="n">
        <x:v>0.4717037671</x:v>
      </x:c>
      <x:c r="N2448" s="10" t="n">
        <x:v>34312.1775348662</x:v>
      </x:c>
      <x:c r="O2448" s="9" t="n">
        <x:v>-0.0735170532</x:v>
      </x:c>
      <x:c r="P2448" s="9" t="n">
        <x:v>0.5044824776</x:v>
      </x:c>
      <x:c r="Q2448" s="9" t="n">
        <x:v>0.3023634882</x:v>
      </x:c>
      <x:c r="R2448" s="3" t="b">
        <x:v>0</x:v>
      </x:c>
      <x:c r="S2448" s="3" t="b">
        <x:v>0</x:v>
      </x:c>
      <x:c r="T2448" s="3" t="b">
        <x:v>0</x:v>
      </x:c>
      <x:c r="U2448" s="2" t="str">
        <x:f>IF(T2448=TRUE,"Priority review",IF(R2448=TRUE,"High cost",IF(S2448=TRUE,"Low quality","Benchmark")))</x:f>
        <x:v>Benchmark</x:v>
      </x:c>
    </x:row>
    <x:row r="2449">
      <x:c r="A2449" s="2" t="str">
        <x:v>161346</x:v>
      </x:c>
      <x:c r="B2449" s="2" t="str">
        <x:v>SIOUX CENTER HEALTH</x:v>
      </x:c>
      <x:c r="C2449" s="2" t="str">
        <x:v>SIOUX CENTER</x:v>
      </x:c>
      <x:c r="D2449" s="2" t="str">
        <x:v>IA</x:v>
      </x:c>
      <x:c r="E2449" s="2" t="str">
        <x:v>Critical Access Hospitals</x:v>
      </x:c>
      <x:c r="F2449" s="2" t="str">
        <x:v>Voluntary non-profit</x:v>
      </x:c>
      <x:c r="G2449" s="2" t="str">
        <x:v>Small (&lt;100 beds)</x:v>
      </x:c>
      <x:c r="H2449" s="7"/>
      <x:c r="I2449" s="7" t="n">
        <x:v>5</x:v>
      </x:c>
      <x:c r="J2449" s="7"/>
      <x:c r="K2449" s="8" t="n">
        <x:v>19</x:v>
      </x:c>
      <x:c r="L2449" s="8" t="n">
        <x:v>564</x:v>
      </x:c>
      <x:c r="M2449" s="9" t="n">
        <x:v>0.4044700793</x:v>
      </x:c>
      <x:c r="N2449" s="10" t="n">
        <x:v>130705.3120567376</x:v>
      </x:c>
      <x:c r="O2449" s="9" t="n">
        <x:v>-0.0603634394</x:v>
      </x:c>
      <x:c r="P2449" s="9" t="n">
        <x:v>0.5040892193</x:v>
      </x:c>
      <x:c r="Q2449" s="9" t="n">
        <x:v>0.292936803</x:v>
      </x:c>
      <x:c r="R2449" s="3" t="b">
        <x:v>0</x:v>
      </x:c>
      <x:c r="S2449" s="3" t="b">
        <x:v>0</x:v>
      </x:c>
      <x:c r="T2449" s="3" t="b">
        <x:v>0</x:v>
      </x:c>
      <x:c r="U2449" s="2" t="str">
        <x:f>IF(T2449=TRUE,"Priority review",IF(R2449=TRUE,"High cost",IF(S2449=TRUE,"Low quality","Benchmark")))</x:f>
        <x:v>Benchmark</x:v>
      </x:c>
    </x:row>
    <x:row r="2450">
      <x:c r="A2450" s="2" t="str">
        <x:v>520206</x:v>
      </x:c>
      <x:c r="B2450" s="2" t="str">
        <x:v>AURORA MEDICAL CENTER - SUMMIT</x:v>
      </x:c>
      <x:c r="C2450" s="2" t="str">
        <x:v>SUMMIT</x:v>
      </x:c>
      <x:c r="D2450" s="2" t="str">
        <x:v>WI</x:v>
      </x:c>
      <x:c r="E2450" s="2" t="str">
        <x:v>Acute Care Hospitals</x:v>
      </x:c>
      <x:c r="F2450" s="2" t="str">
        <x:v>Voluntary non-profit</x:v>
      </x:c>
      <x:c r="G2450" s="2" t="str">
        <x:v>Medium (100-299 beds)</x:v>
      </x:c>
      <x:c r="H2450" s="7" t="n">
        <x:v>5</x:v>
      </x:c>
      <x:c r="I2450" s="7" t="n">
        <x:v>4</x:v>
      </x:c>
      <x:c r="J2450" s="7" t="n">
        <x:v>0.9</x:v>
      </x:c>
      <x:c r="K2450" s="8" t="n">
        <x:v>109</x:v>
      </x:c>
      <x:c r="L2450" s="8" t="n">
        <x:v>5324</x:v>
      </x:c>
      <x:c r="M2450" s="9" t="n">
        <x:v>0.5400561488</x:v>
      </x:c>
      <x:c r="N2450" s="10" t="n">
        <x:v>34240.8386551465</x:v>
      </x:c>
      <x:c r="O2450" s="9" t="n">
        <x:v>0.2282563338</x:v>
      </x:c>
      <x:c r="P2450" s="9" t="n">
        <x:v>0.5036674817</x:v>
      </x:c>
      <x:c r="Q2450" s="9" t="n">
        <x:v>0.8744906275</x:v>
      </x:c>
      <x:c r="R2450" s="3" t="b">
        <x:v>0</x:v>
      </x:c>
      <x:c r="S2450" s="3" t="b">
        <x:v>0</x:v>
      </x:c>
      <x:c r="T2450" s="3" t="b">
        <x:v>0</x:v>
      </x:c>
      <x:c r="U2450" s="2" t="str">
        <x:f>IF(T2450=TRUE,"Priority review",IF(R2450=TRUE,"High cost",IF(S2450=TRUE,"Low quality","Benchmark")))</x:f>
        <x:v>Benchmark</x:v>
      </x:c>
    </x:row>
    <x:row r="2451">
      <x:c r="A2451" s="2" t="str">
        <x:v>190270</x:v>
      </x:c>
      <x:c r="B2451" s="2" t="str">
        <x:v>OUR LADY OF THE LAKE SURGICAL HOSPITAL</x:v>
      </x:c>
      <x:c r="C2451" s="2" t="str">
        <x:v>SLIDELL</x:v>
      </x:c>
      <x:c r="D2451" s="2" t="str">
        <x:v>LA</x:v>
      </x:c>
      <x:c r="E2451" s="2" t="str">
        <x:v>Acute Care Hospitals</x:v>
      </x:c>
      <x:c r="F2451" s="2" t="str">
        <x:v>Other / unknown</x:v>
      </x:c>
      <x:c r="G2451" s="2" t="str">
        <x:v>Small (&lt;100 beds)</x:v>
      </x:c>
      <x:c r="H2451" s="7"/>
      <x:c r="I2451" s="7" t="n">
        <x:v>4</x:v>
      </x:c>
      <x:c r="J2451" s="7" t="n">
        <x:v>0.9</x:v>
      </x:c>
      <x:c r="K2451" s="8" t="n">
        <x:v>37</x:v>
      </x:c>
      <x:c r="L2451" s="8" t="n">
        <x:v>618</x:v>
      </x:c>
      <x:c r="M2451" s="9" t="n">
        <x:v>0.1400827057</x:v>
      </x:c>
      <x:c r="N2451" s="10" t="n">
        <x:v>52482.8155339806</x:v>
      </x:c>
      <x:c r="O2451" s="9" t="n">
        <x:v>-0.0017201131</x:v>
      </x:c>
      <x:c r="P2451" s="9" t="n">
        <x:v>0.5035906643</x:v>
      </x:c>
      <x:c r="Q2451" s="9" t="n">
        <x:v>0.697486535</x:v>
      </x:c>
      <x:c r="R2451" s="3" t="b">
        <x:v>0</x:v>
      </x:c>
      <x:c r="S2451" s="3" t="b">
        <x:v>0</x:v>
      </x:c>
      <x:c r="T2451" s="3" t="b">
        <x:v>0</x:v>
      </x:c>
      <x:c r="U2451" s="2" t="str">
        <x:f>IF(T2451=TRUE,"Priority review",IF(R2451=TRUE,"High cost",IF(S2451=TRUE,"Low quality","Benchmark")))</x:f>
        <x:v>Benchmark</x:v>
      </x:c>
    </x:row>
    <x:row r="2452">
      <x:c r="A2452" s="2" t="str">
        <x:v>381325</x:v>
      </x:c>
      <x:c r="B2452" s="2" t="str">
        <x:v>GOOD SHEPHERD MEDICAL CENTER</x:v>
      </x:c>
      <x:c r="C2452" s="2" t="str">
        <x:v>HERMISTON</x:v>
      </x:c>
      <x:c r="D2452" s="2" t="str">
        <x:v>OR</x:v>
      </x:c>
      <x:c r="E2452" s="2" t="str">
        <x:v>Critical Access Hospitals</x:v>
      </x:c>
      <x:c r="F2452" s="2" t="str">
        <x:v>Voluntary non-profit</x:v>
      </x:c>
      <x:c r="G2452" s="2" t="str">
        <x:v>Small (&lt;100 beds)</x:v>
      </x:c>
      <x:c r="H2452" s="7"/>
      <x:c r="I2452" s="7" t="n">
        <x:v>4</x:v>
      </x:c>
      <x:c r="J2452" s="7"/>
      <x:c r="K2452" s="8" t="n">
        <x:v>25</x:v>
      </x:c>
      <x:c r="L2452" s="8" t="n">
        <x:v>1752</x:v>
      </x:c>
      <x:c r="M2452" s="9" t="n">
        <x:v>0.7189041096</x:v>
      </x:c>
      <x:c r="N2452" s="10" t="n">
        <x:v>130667.0479452055</x:v>
      </x:c>
      <x:c r="O2452" s="9" t="n">
        <x:v>0.0187251335</x:v>
      </x:c>
      <x:c r="P2452" s="9" t="n">
        <x:v>0.5033457249</x:v>
      </x:c>
      <x:c r="Q2452" s="9" t="n">
        <x:v>0.292936803</x:v>
      </x:c>
      <x:c r="R2452" s="3" t="b">
        <x:v>0</x:v>
      </x:c>
      <x:c r="S2452" s="3" t="b">
        <x:v>0</x:v>
      </x:c>
      <x:c r="T2452" s="3" t="b">
        <x:v>0</x:v>
      </x:c>
      <x:c r="U2452" s="2" t="str">
        <x:f>IF(T2452=TRUE,"Priority review",IF(R2452=TRUE,"High cost",IF(S2452=TRUE,"Low quality","Benchmark")))</x:f>
        <x:v>Benchmark</x:v>
      </x:c>
    </x:row>
    <x:row r="2453">
      <x:c r="A2453" s="2" t="str">
        <x:v>460001</x:v>
      </x:c>
      <x:c r="B2453" s="2" t="str">
        <x:v>INTERMOUNTAIN HEALTH UTAH VALLEY HOSPITAL</x:v>
      </x:c>
      <x:c r="C2453" s="2" t="str">
        <x:v>PROVO</x:v>
      </x:c>
      <x:c r="D2453" s="2" t="str">
        <x:v>UT</x:v>
      </x:c>
      <x:c r="E2453" s="2" t="str">
        <x:v>Acute Care Hospitals</x:v>
      </x:c>
      <x:c r="F2453" s="2" t="str">
        <x:v>Voluntary non-profit</x:v>
      </x:c>
      <x:c r="G2453" s="2" t="str">
        <x:v>Large (300+ beds)</x:v>
      </x:c>
      <x:c r="H2453" s="7" t="n">
        <x:v>5</x:v>
      </x:c>
      <x:c r="I2453" s="7" t="n">
        <x:v>4</x:v>
      </x:c>
      <x:c r="J2453" s="7" t="n">
        <x:v>0.98</x:v>
      </x:c>
      <x:c r="K2453" s="8" t="n">
        <x:v>307</x:v>
      </x:c>
      <x:c r="L2453" s="8" t="n">
        <x:v>17725</x:v>
      </x:c>
      <x:c r="M2453" s="9" t="n">
        <x:v>0.7213035234</x:v>
      </x:c>
      <x:c r="N2453" s="10" t="n">
        <x:v>38956.1808744711</x:v>
      </x:c>
      <x:c r="O2453" s="9" t="n">
        <x:v>0.0864317396</x:v>
      </x:c>
      <x:c r="P2453" s="9" t="n">
        <x:v>0.5031545741</x:v>
      </x:c>
      <x:c r="Q2453" s="9" t="n">
        <x:v>0.8722397476</x:v>
      </x:c>
      <x:c r="R2453" s="3" t="b">
        <x:v>0</x:v>
      </x:c>
      <x:c r="S2453" s="3" t="b">
        <x:v>0</x:v>
      </x:c>
      <x:c r="T2453" s="3" t="b">
        <x:v>0</x:v>
      </x:c>
      <x:c r="U2453" s="2" t="str">
        <x:f>IF(T2453=TRUE,"Priority review",IF(R2453=TRUE,"High cost",IF(S2453=TRUE,"Low quality","Benchmark")))</x:f>
        <x:v>Benchmark</x:v>
      </x:c>
    </x:row>
    <x:row r="2454">
      <x:c r="A2454" s="2" t="str">
        <x:v>150173</x:v>
      </x:c>
      <x:c r="B2454" s="2" t="str">
        <x:v>INDIANA UNIVERSITY HEALTH ARNETT HOSPITAL</x:v>
      </x:c>
      <x:c r="C2454" s="2" t="str">
        <x:v>LAFAYETTE</x:v>
      </x:c>
      <x:c r="D2454" s="2" t="str">
        <x:v>IN</x:v>
      </x:c>
      <x:c r="E2454" s="2" t="str">
        <x:v>Acute Care Hospitals</x:v>
      </x:c>
      <x:c r="F2454" s="2" t="str">
        <x:v>Voluntary non-profit</x:v>
      </x:c>
      <x:c r="G2454" s="2" t="str">
        <x:v>Medium (100-299 beds)</x:v>
      </x:c>
      <x:c r="H2454" s="7" t="n">
        <x:v>4</x:v>
      </x:c>
      <x:c r="I2454" s="7" t="n">
        <x:v>3</x:v>
      </x:c>
      <x:c r="J2454" s="7" t="n">
        <x:v>0.99</x:v>
      </x:c>
      <x:c r="K2454" s="8" t="n">
        <x:v>185</x:v>
      </x:c>
      <x:c r="L2454" s="8" t="n">
        <x:v>11593</x:v>
      </x:c>
      <x:c r="M2454" s="9" t="n">
        <x:v>0.6919361985</x:v>
      </x:c>
      <x:c r="N2454" s="10" t="n">
        <x:v>34234.3845423963</x:v>
      </x:c>
      <x:c r="O2454" s="9"/>
      <x:c r="P2454" s="9" t="n">
        <x:v>0.5028524857</x:v>
      </x:c>
      <x:c r="Q2454" s="9" t="n">
        <x:v>0.6022819886</x:v>
      </x:c>
      <x:c r="R2454" s="3" t="b">
        <x:v>0</x:v>
      </x:c>
      <x:c r="S2454" s="3" t="b">
        <x:v>0</x:v>
      </x:c>
      <x:c r="T2454" s="3" t="b">
        <x:v>0</x:v>
      </x:c>
      <x:c r="U2454" s="2" t="str">
        <x:f>IF(T2454=TRUE,"Priority review",IF(R2454=TRUE,"High cost",IF(S2454=TRUE,"Low quality","Benchmark")))</x:f>
        <x:v>Benchmark</x:v>
      </x:c>
    </x:row>
    <x:row r="2455">
      <x:c r="A2455" s="2" t="str">
        <x:v>320090</x:v>
      </x:c>
      <x:c r="B2455" s="2" t="str">
        <x:v>PRESBYTERIAN SANTA FE MEDICAL CENTER</x:v>
      </x:c>
      <x:c r="C2455" s="2" t="str">
        <x:v>SANTA FE</x:v>
      </x:c>
      <x:c r="D2455" s="2" t="str">
        <x:v>NM</x:v>
      </x:c>
      <x:c r="E2455" s="2" t="str">
        <x:v>Acute Care Hospitals</x:v>
      </x:c>
      <x:c r="F2455" s="2" t="str">
        <x:v>Voluntary non-profit</x:v>
      </x:c>
      <x:c r="G2455" s="2" t="str">
        <x:v>Small (&lt;100 beds)</x:v>
      </x:c>
      <x:c r="H2455" s="7" t="n">
        <x:v>5</x:v>
      </x:c>
      <x:c r="I2455" s="7" t="n">
        <x:v>3</x:v>
      </x:c>
      <x:c r="J2455" s="7" t="n">
        <x:v>0.81</x:v>
      </x:c>
      <x:c r="K2455" s="8" t="n">
        <x:v>36</x:v>
      </x:c>
      <x:c r="L2455" s="8" t="n">
        <x:v>2324</x:v>
      </x:c>
      <x:c r="M2455" s="9" t="n">
        <x:v>0.5705069824</x:v>
      </x:c>
      <x:c r="N2455" s="10" t="n">
        <x:v>52415.843373494</x:v>
      </x:c>
      <x:c r="O2455" s="9" t="n">
        <x:v>-0.0131348698</x:v>
      </x:c>
      <x:c r="P2455" s="9" t="n">
        <x:v>0.5026929982</x:v>
      </x:c>
      <x:c r="Q2455" s="9" t="n">
        <x:v>0.6131059246</x:v>
      </x:c>
      <x:c r="R2455" s="3" t="b">
        <x:v>0</x:v>
      </x:c>
      <x:c r="S2455" s="3" t="b">
        <x:v>0</x:v>
      </x:c>
      <x:c r="T2455" s="3" t="b">
        <x:v>0</x:v>
      </x:c>
      <x:c r="U2455" s="2" t="str">
        <x:f>IF(T2455=TRUE,"Priority review",IF(R2455=TRUE,"High cost",IF(S2455=TRUE,"Low quality","Benchmark")))</x:f>
        <x:v>Benchmark</x:v>
      </x:c>
    </x:row>
    <x:row r="2456">
      <x:c r="A2456" s="2" t="str">
        <x:v>161371</x:v>
      </x:c>
      <x:c r="B2456" s="2" t="str">
        <x:v>WINNMED</x:v>
      </x:c>
      <x:c r="C2456" s="2" t="str">
        <x:v>DECORAH</x:v>
      </x:c>
      <x:c r="D2456" s="2" t="str">
        <x:v>IA</x:v>
      </x:c>
      <x:c r="E2456" s="2" t="str">
        <x:v>Critical Access Hospitals</x:v>
      </x:c>
      <x:c r="F2456" s="2" t="str">
        <x:v>Government</x:v>
      </x:c>
      <x:c r="G2456" s="2" t="str">
        <x:v>Small (&lt;100 beds)</x:v>
      </x:c>
      <x:c r="H2456" s="7" t="n">
        <x:v>4</x:v>
      </x:c>
      <x:c r="I2456" s="7" t="n">
        <x:v>5</x:v>
      </x:c>
      <x:c r="J2456" s="7"/>
      <x:c r="K2456" s="8" t="n">
        <x:v>25</x:v>
      </x:c>
      <x:c r="L2456" s="8" t="n">
        <x:v>789</x:v>
      </x:c>
      <x:c r="M2456" s="9" t="n">
        <x:v>0.3510136986</x:v>
      </x:c>
      <x:c r="N2456" s="10" t="n">
        <x:v>130632.1926489227</x:v>
      </x:c>
      <x:c r="O2456" s="9" t="n">
        <x:v>-0.0527411802</x:v>
      </x:c>
      <x:c r="P2456" s="9" t="n">
        <x:v>0.5026022305</x:v>
      </x:c>
      <x:c r="Q2456" s="9" t="n">
        <x:v>0.1657992565</x:v>
      </x:c>
      <x:c r="R2456" s="3" t="b">
        <x:v>0</x:v>
      </x:c>
      <x:c r="S2456" s="3" t="b">
        <x:v>0</x:v>
      </x:c>
      <x:c r="T2456" s="3" t="b">
        <x:v>0</x:v>
      </x:c>
      <x:c r="U2456" s="2" t="str">
        <x:f>IF(T2456=TRUE,"Priority review",IF(R2456=TRUE,"High cost",IF(S2456=TRUE,"Low quality","Benchmark")))</x:f>
        <x:v>Benchmark</x:v>
      </x:c>
    </x:row>
    <x:row r="2457">
      <x:c r="A2457" s="2" t="str">
        <x:v>314001</x:v>
      </x:c>
      <x:c r="B2457" s="2" t="str">
        <x:v>SUMMIT OAKS HOSPITAL</x:v>
      </x:c>
      <x:c r="C2457" s="2" t="str">
        <x:v>SUMMIT</x:v>
      </x:c>
      <x:c r="D2457" s="2" t="str">
        <x:v>NJ</x:v>
      </x:c>
      <x:c r="E2457" s="2" t="str">
        <x:v>Psychiatric</x:v>
      </x:c>
      <x:c r="F2457" s="2" t="str">
        <x:v>Voluntary non-profit</x:v>
      </x:c>
      <x:c r="G2457" s="2" t="str">
        <x:v>Medium (100-299 beds)</x:v>
      </x:c>
      <x:c r="H2457" s="7"/>
      <x:c r="I2457" s="7"/>
      <x:c r="J2457" s="7"/>
      <x:c r="K2457" s="8" t="n">
        <x:v>124</x:v>
      </x:c>
      <x:c r="L2457" s="8" t="n">
        <x:v>3375</x:v>
      </x:c>
      <x:c r="M2457" s="9" t="n">
        <x:v>0.7958020327</x:v>
      </x:c>
      <x:c r="N2457" s="10" t="n">
        <x:v>11276.2106666667</x:v>
      </x:c>
      <x:c r="O2457" s="9" t="n">
        <x:v>-0.1573471598</x:v>
      </x:c>
      <x:c r="P2457" s="9" t="n">
        <x:v>0.5024875622</x:v>
      </x:c>
      <x:c r="Q2457" s="9" t="n">
        <x:v>0</x:v>
      </x:c>
      <x:c r="R2457" s="3" t="b">
        <x:v>0</x:v>
      </x:c>
      <x:c r="S2457" s="3" t="b">
        <x:v>0</x:v>
      </x:c>
      <x:c r="T2457" s="3" t="b">
        <x:v>0</x:v>
      </x:c>
      <x:c r="U2457" s="2" t="str">
        <x:f>IF(T2457=TRUE,"Priority review",IF(R2457=TRUE,"High cost",IF(S2457=TRUE,"Low quality","Benchmark")))</x:f>
        <x:v>Benchmark</x:v>
      </x:c>
    </x:row>
    <x:row r="2458">
      <x:c r="A2458" s="2" t="str">
        <x:v>150161</x:v>
      </x:c>
      <x:c r="B2458" s="2" t="str">
        <x:v>INDIANA UNIVERSITY HEALTH NORTH HOSPITAL</x:v>
      </x:c>
      <x:c r="C2458" s="2" t="str">
        <x:v>CARMEL</x:v>
      </x:c>
      <x:c r="D2458" s="2" t="str">
        <x:v>IN</x:v>
      </x:c>
      <x:c r="E2458" s="2" t="str">
        <x:v>Acute Care Hospitals</x:v>
      </x:c>
      <x:c r="F2458" s="2" t="str">
        <x:v>Voluntary non-profit</x:v>
      </x:c>
      <x:c r="G2458" s="2" t="str">
        <x:v>Medium (100-299 beds)</x:v>
      </x:c>
      <x:c r="H2458" s="7" t="n">
        <x:v>4</x:v>
      </x:c>
      <x:c r="I2458" s="7" t="n">
        <x:v>3</x:v>
      </x:c>
      <x:c r="J2458" s="7" t="n">
        <x:v>1.03</x:v>
      </x:c>
      <x:c r="K2458" s="8" t="n">
        <x:v>153</x:v>
      </x:c>
      <x:c r="L2458" s="8" t="n">
        <x:v>10516</x:v>
      </x:c>
      <x:c r="M2458" s="9" t="n">
        <x:v>0.6915782707</x:v>
      </x:c>
      <x:c r="N2458" s="10" t="n">
        <x:v>34222.0841574743</x:v>
      </x:c>
      <x:c r="O2458" s="9" t="n">
        <x:v>0.2402025557</x:v>
      </x:c>
      <x:c r="P2458" s="9" t="n">
        <x:v>0.5020374898</x:v>
      </x:c>
      <x:c r="Q2458" s="9" t="n">
        <x:v>0.6022819886</x:v>
      </x:c>
      <x:c r="R2458" s="3" t="b">
        <x:v>0</x:v>
      </x:c>
      <x:c r="S2458" s="3" t="b">
        <x:v>0</x:v>
      </x:c>
      <x:c r="T2458" s="3" t="b">
        <x:v>0</x:v>
      </x:c>
      <x:c r="U2458" s="2" t="str">
        <x:f>IF(T2458=TRUE,"Priority review",IF(R2458=TRUE,"High cost",IF(S2458=TRUE,"Low quality","Benchmark")))</x:f>
        <x:v>Benchmark</x:v>
      </x:c>
    </x:row>
    <x:row r="2459">
      <x:c r="A2459" s="2" t="str">
        <x:v>161345</x:v>
      </x:c>
      <x:c r="B2459" s="2" t="str">
        <x:v>OSCEOLA COMMUNITY HOSPITAL</x:v>
      </x:c>
      <x:c r="C2459" s="2" t="str">
        <x:v>SIBLEY</x:v>
      </x:c>
      <x:c r="D2459" s="2" t="str">
        <x:v>IA</x:v>
      </x:c>
      <x:c r="E2459" s="2" t="str">
        <x:v>Critical Access Hospitals</x:v>
      </x:c>
      <x:c r="F2459" s="2" t="str">
        <x:v>Voluntary non-profit</x:v>
      </x:c>
      <x:c r="G2459" s="2" t="str">
        <x:v>Small (&lt;100 beds)</x:v>
      </x:c>
      <x:c r="H2459" s="7"/>
      <x:c r="I2459" s="7"/>
      <x:c r="J2459" s="7"/>
      <x:c r="K2459" s="8" t="n">
        <x:v>25</x:v>
      </x:c>
      <x:c r="L2459" s="8" t="n">
        <x:v>127</x:v>
      </x:c>
      <x:c r="M2459" s="9" t="n">
        <x:v>0.1148493151</x:v>
      </x:c>
      <x:c r="N2459" s="10" t="n">
        <x:v>130588.2598425197</x:v>
      </x:c>
      <x:c r="O2459" s="9" t="n">
        <x:v>-0.0134897641</x:v>
      </x:c>
      <x:c r="P2459" s="9" t="n">
        <x:v>0.5018587361</x:v>
      </x:c>
      <x:c r="Q2459" s="9" t="n">
        <x:v>0.292936803</x:v>
      </x:c>
      <x:c r="R2459" s="3" t="b">
        <x:v>0</x:v>
      </x:c>
      <x:c r="S2459" s="3" t="b">
        <x:v>0</x:v>
      </x:c>
      <x:c r="T2459" s="3" t="b">
        <x:v>0</x:v>
      </x:c>
      <x:c r="U2459" s="2" t="str">
        <x:f>IF(T2459=TRUE,"Priority review",IF(R2459=TRUE,"High cost",IF(S2459=TRUE,"Low quality","Benchmark")))</x:f>
        <x:v>Benchmark</x:v>
      </x:c>
    </x:row>
    <x:row r="2460">
      <x:c r="A2460" s="2" t="str">
        <x:v>510038</x:v>
      </x:c>
      <x:c r="B2460" s="2" t="str">
        <x:v>STONEWALL JACKSON MEMORIAL HOSPITAL COMPANY</x:v>
      </x:c>
      <x:c r="C2460" s="2" t="str">
        <x:v>WESTON</x:v>
      </x:c>
      <x:c r="D2460" s="2" t="str">
        <x:v>WV</x:v>
      </x:c>
      <x:c r="E2460" s="2" t="str">
        <x:v>Acute Care Hospitals</x:v>
      </x:c>
      <x:c r="F2460" s="2" t="str">
        <x:v>Voluntary non-profit</x:v>
      </x:c>
      <x:c r="G2460" s="2" t="str">
        <x:v>Small (&lt;100 beds)</x:v>
      </x:c>
      <x:c r="H2460" s="7" t="n">
        <x:v>1</x:v>
      </x:c>
      <x:c r="I2460" s="7" t="n">
        <x:v>3</x:v>
      </x:c>
      <x:c r="J2460" s="7" t="n">
        <x:v>1.05</x:v>
      </x:c>
      <x:c r="K2460" s="8" t="n">
        <x:v>49</x:v>
      </x:c>
      <x:c r="L2460" s="8" t="n">
        <x:v>1130</x:v>
      </x:c>
      <x:c r="M2460" s="9" t="n">
        <x:v>0.2396565183</x:v>
      </x:c>
      <x:c r="N2460" s="10" t="n">
        <x:v>52382.2654867257</x:v>
      </x:c>
      <x:c r="O2460" s="9" t="n">
        <x:v>-0.121877608</x:v>
      </x:c>
      <x:c r="P2460" s="9" t="n">
        <x:v>0.5017953321</x:v>
      </x:c>
      <x:c r="Q2460" s="9" t="n">
        <x:v>0</x:v>
      </x:c>
      <x:c r="R2460" s="3" t="b">
        <x:v>0</x:v>
      </x:c>
      <x:c r="S2460" s="3" t="b">
        <x:v>1</x:v>
      </x:c>
      <x:c r="T2460" s="3" t="b">
        <x:v>0</x:v>
      </x:c>
      <x:c r="U2460" s="2" t="str">
        <x:f>IF(T2460=TRUE,"Priority review",IF(R2460=TRUE,"High cost",IF(S2460=TRUE,"Low quality","Benchmark")))</x:f>
        <x:v>Low quality</x:v>
      </x:c>
    </x:row>
    <x:row r="2461">
      <x:c r="A2461" s="2" t="str">
        <x:v>314022</x:v>
      </x:c>
      <x:c r="B2461" s="2" t="str">
        <x:v>SAINT BARNABAS BEHAVIORAL HEALTH CENTER</x:v>
      </x:c>
      <x:c r="C2461" s="2" t="str">
        <x:v>TOMS RIVER</x:v>
      </x:c>
      <x:c r="D2461" s="2" t="str">
        <x:v>NJ</x:v>
      </x:c>
      <x:c r="E2461" s="2" t="str">
        <x:v>Psychiatric</x:v>
      </x:c>
      <x:c r="F2461" s="2" t="str">
        <x:v>Voluntary non-profit</x:v>
      </x:c>
      <x:c r="G2461" s="2" t="str">
        <x:v>Small (&lt;100 beds)</x:v>
      </x:c>
      <x:c r="H2461" s="7"/>
      <x:c r="I2461" s="7"/>
      <x:c r="J2461" s="7"/>
      <x:c r="K2461" s="8" t="n">
        <x:v>40</x:v>
      </x:c>
      <x:c r="L2461" s="8" t="n">
        <x:v>1067</x:v>
      </x:c>
      <x:c r="M2461" s="9" t="n">
        <x:v>0.7004781421</x:v>
      </x:c>
      <x:c r="N2461" s="10" t="n">
        <x:v>12267.5501405811</x:v>
      </x:c>
      <x:c r="O2461" s="9" t="n">
        <x:v>-0.018677963</x:v>
      </x:c>
      <x:c r="P2461" s="9" t="n">
        <x:v>0.501618123</x:v>
      </x:c>
      <x:c r="Q2461" s="9" t="n">
        <x:v>0</x:v>
      </x:c>
      <x:c r="R2461" s="3" t="b">
        <x:v>0</x:v>
      </x:c>
      <x:c r="S2461" s="3" t="b">
        <x:v>0</x:v>
      </x:c>
      <x:c r="T2461" s="3" t="b">
        <x:v>0</x:v>
      </x:c>
      <x:c r="U2461" s="2" t="str">
        <x:f>IF(T2461=TRUE,"Priority review",IF(R2461=TRUE,"High cost",IF(S2461=TRUE,"Low quality","Benchmark")))</x:f>
        <x:v>Benchmark</x:v>
      </x:c>
    </x:row>
    <x:row r="2462">
      <x:c r="A2462" s="2" t="str">
        <x:v>050116</x:v>
      </x:c>
      <x:c r="B2462" s="2" t="str">
        <x:v>NORTHRIDGE HOSPITAL MEDICAL CENTER</x:v>
      </x:c>
      <x:c r="C2462" s="2" t="str">
        <x:v>NORTHRIDGE</x:v>
      </x:c>
      <x:c r="D2462" s="2" t="str">
        <x:v>CA</x:v>
      </x:c>
      <x:c r="E2462" s="2" t="str">
        <x:v>Acute Care Hospitals</x:v>
      </x:c>
      <x:c r="F2462" s="2" t="str">
        <x:v>Voluntary non-profit</x:v>
      </x:c>
      <x:c r="G2462" s="2" t="str">
        <x:v>Large (300+ beds)</x:v>
      </x:c>
      <x:c r="H2462" s="7" t="n">
        <x:v>4</x:v>
      </x:c>
      <x:c r="I2462" s="7" t="n">
        <x:v>3</x:v>
      </x:c>
      <x:c r="J2462" s="7" t="n">
        <x:v>1.09</x:v>
      </x:c>
      <x:c r="K2462" s="8" t="n">
        <x:v>319</x:v>
      </x:c>
      <x:c r="L2462" s="8" t="n">
        <x:v>14160</x:v>
      </x:c>
      <x:c r="M2462" s="9" t="n">
        <x:v>0.6009044658</x:v>
      </x:c>
      <x:c r="N2462" s="10" t="n">
        <x:v>38945.2706920904</x:v>
      </x:c>
      <x:c r="O2462" s="9" t="n">
        <x:v>0.0381094938</x:v>
      </x:c>
      <x:c r="P2462" s="9" t="n">
        <x:v>0.5015772871</x:v>
      </x:c>
      <x:c r="Q2462" s="9" t="n">
        <x:v>0.5899053628</x:v>
      </x:c>
      <x:c r="R2462" s="3" t="b">
        <x:v>0</x:v>
      </x:c>
      <x:c r="S2462" s="3" t="b">
        <x:v>0</x:v>
      </x:c>
      <x:c r="T2462" s="3" t="b">
        <x:v>0</x:v>
      </x:c>
      <x:c r="U2462" s="2" t="str">
        <x:f>IF(T2462=TRUE,"Priority review",IF(R2462=TRUE,"High cost",IF(S2462=TRUE,"Low quality","Benchmark")))</x:f>
        <x:v>Benchmark</x:v>
      </x:c>
    </x:row>
    <x:row r="2463">
      <x:c r="A2463" s="2" t="str">
        <x:v>220070</x:v>
      </x:c>
      <x:c r="B2463" s="2" t="str">
        <x:v>MELROSEWAKEFIELD HEALTHCARE</x:v>
      </x:c>
      <x:c r="C2463" s="2" t="str">
        <x:v>MELROSE</x:v>
      </x:c>
      <x:c r="D2463" s="2" t="str">
        <x:v>MA</x:v>
      </x:c>
      <x:c r="E2463" s="2" t="str">
        <x:v>Acute Care Hospitals</x:v>
      </x:c>
      <x:c r="F2463" s="2" t="str">
        <x:v>Voluntary non-profit</x:v>
      </x:c>
      <x:c r="G2463" s="2" t="str">
        <x:v>Medium (100-299 beds)</x:v>
      </x:c>
      <x:c r="H2463" s="7" t="n">
        <x:v>3</x:v>
      </x:c>
      <x:c r="I2463" s="7" t="n">
        <x:v>3</x:v>
      </x:c>
      <x:c r="J2463" s="7" t="n">
        <x:v>1</x:v>
      </x:c>
      <x:c r="K2463" s="8" t="n">
        <x:v>160</x:v>
      </x:c>
      <x:c r="L2463" s="8" t="n">
        <x:v>8205</x:v>
      </x:c>
      <x:c r="M2463" s="9" t="n">
        <x:v>0.5928449454</x:v>
      </x:c>
      <x:c r="N2463" s="10" t="n">
        <x:v>34211.5149299208</x:v>
      </x:c>
      <x:c r="O2463" s="9" t="n">
        <x:v>-0.1979405197</x:v>
      </x:c>
      <x:c r="P2463" s="9" t="n">
        <x:v>0.5012224939</x:v>
      </x:c>
      <x:c r="Q2463" s="9" t="n">
        <x:v>0.3023634882</x:v>
      </x:c>
      <x:c r="R2463" s="3" t="b">
        <x:v>0</x:v>
      </x:c>
      <x:c r="S2463" s="3" t="b">
        <x:v>0</x:v>
      </x:c>
      <x:c r="T2463" s="3" t="b">
        <x:v>0</x:v>
      </x:c>
      <x:c r="U2463" s="2" t="str">
        <x:f>IF(T2463=TRUE,"Priority review",IF(R2463=TRUE,"High cost",IF(S2463=TRUE,"Low quality","Benchmark")))</x:f>
        <x:v>Benchmark</x:v>
      </x:c>
    </x:row>
    <x:row r="2464">
      <x:c r="A2464" s="2" t="str">
        <x:v>391313</x:v>
      </x:c>
      <x:c r="B2464" s="2" t="str">
        <x:v>UPMC COLE</x:v>
      </x:c>
      <x:c r="C2464" s="2" t="str">
        <x:v>COUDERSPORT</x:v>
      </x:c>
      <x:c r="D2464" s="2" t="str">
        <x:v>PA</x:v>
      </x:c>
      <x:c r="E2464" s="2" t="str">
        <x:v>Critical Access Hospitals</x:v>
      </x:c>
      <x:c r="F2464" s="2" t="str">
        <x:v>Voluntary non-profit</x:v>
      </x:c>
      <x:c r="G2464" s="2" t="str">
        <x:v>Small (&lt;100 beds)</x:v>
      </x:c>
      <x:c r="H2464" s="7" t="n">
        <x:v>4</x:v>
      </x:c>
      <x:c r="I2464" s="7" t="n">
        <x:v>4</x:v>
      </x:c>
      <x:c r="J2464" s="7"/>
      <x:c r="K2464" s="8" t="n">
        <x:v>25</x:v>
      </x:c>
      <x:c r="L2464" s="8" t="n">
        <x:v>808</x:v>
      </x:c>
      <x:c r="M2464" s="9" t="n">
        <x:v>0.3484931507</x:v>
      </x:c>
      <x:c r="N2464" s="10" t="n">
        <x:v>130030.7017326733</x:v>
      </x:c>
      <x:c r="O2464" s="9" t="n">
        <x:v>-0.244394877</x:v>
      </x:c>
      <x:c r="P2464" s="9" t="n">
        <x:v>0.5011152416</x:v>
      </x:c>
      <x:c r="Q2464" s="9" t="n">
        <x:v>0.1657992565</x:v>
      </x:c>
      <x:c r="R2464" s="3" t="b">
        <x:v>0</x:v>
      </x:c>
      <x:c r="S2464" s="3" t="b">
        <x:v>0</x:v>
      </x:c>
      <x:c r="T2464" s="3" t="b">
        <x:v>0</x:v>
      </x:c>
      <x:c r="U2464" s="2" t="str">
        <x:f>IF(T2464=TRUE,"Priority review",IF(R2464=TRUE,"High cost",IF(S2464=TRUE,"Low quality","Benchmark")))</x:f>
        <x:v>Benchmark</x:v>
      </x:c>
    </x:row>
    <x:row r="2465">
      <x:c r="A2465" s="2" t="str">
        <x:v>370054</x:v>
      </x:c>
      <x:c r="B2465" s="2" t="str">
        <x:v>GRADY MEMORIAL HOSPITAL</x:v>
      </x:c>
      <x:c r="C2465" s="2" t="str">
        <x:v>CHICKASHA</x:v>
      </x:c>
      <x:c r="D2465" s="2" t="str">
        <x:v>OK</x:v>
      </x:c>
      <x:c r="E2465" s="2" t="str">
        <x:v>Acute Care Hospitals</x:v>
      </x:c>
      <x:c r="F2465" s="2" t="str">
        <x:v>Government</x:v>
      </x:c>
      <x:c r="G2465" s="2" t="str">
        <x:v>Small (&lt;100 beds)</x:v>
      </x:c>
      <x:c r="H2465" s="7" t="n">
        <x:v>2</x:v>
      </x:c>
      <x:c r="I2465" s="7" t="n">
        <x:v>3</x:v>
      </x:c>
      <x:c r="J2465" s="7" t="n">
        <x:v>1.02</x:v>
      </x:c>
      <x:c r="K2465" s="8" t="n">
        <x:v>48</x:v>
      </x:c>
      <x:c r="L2465" s="8" t="n">
        <x:v>1046</x:v>
      </x:c>
      <x:c r="M2465" s="9" t="n">
        <x:v>0.2093010018</x:v>
      </x:c>
      <x:c r="N2465" s="10" t="n">
        <x:v>52339.7887189293</x:v>
      </x:c>
      <x:c r="O2465" s="9" t="n">
        <x:v>-0.0681789815</x:v>
      </x:c>
      <x:c r="P2465" s="9" t="n">
        <x:v>0.5008976661</x:v>
      </x:c>
      <x:c r="Q2465" s="9" t="n">
        <x:v>0.0350089767</x:v>
      </x:c>
      <x:c r="R2465" s="3" t="b">
        <x:v>0</x:v>
      </x:c>
      <x:c r="S2465" s="3" t="b">
        <x:v>1</x:v>
      </x:c>
      <x:c r="T2465" s="3" t="b">
        <x:v>0</x:v>
      </x:c>
      <x:c r="U2465" s="2" t="str">
        <x:f>IF(T2465=TRUE,"Priority review",IF(R2465=TRUE,"High cost",IF(S2465=TRUE,"Low quality","Benchmark")))</x:f>
        <x:v>Low quality</x:v>
      </x:c>
    </x:row>
    <x:row r="2466">
      <x:c r="A2466" s="2" t="str">
        <x:v>060104</x:v>
      </x:c>
      <x:c r="B2466" s="2" t="str">
        <x:v>CENTURA HEALTH-ST ANTHONY NORTH HEALTH CAMPUS</x:v>
      </x:c>
      <x:c r="C2466" s="2" t="str">
        <x:v>WESTMINSTER</x:v>
      </x:c>
      <x:c r="D2466" s="2" t="str">
        <x:v>CO</x:v>
      </x:c>
      <x:c r="E2466" s="2" t="str">
        <x:v>Acute Care Hospitals</x:v>
      </x:c>
      <x:c r="F2466" s="2" t="str">
        <x:v>Voluntary non-profit</x:v>
      </x:c>
      <x:c r="G2466" s="2" t="str">
        <x:v>Medium (100-299 beds)</x:v>
      </x:c>
      <x:c r="H2466" s="7" t="n">
        <x:v>5</x:v>
      </x:c>
      <x:c r="I2466" s="7" t="n">
        <x:v>3</x:v>
      </x:c>
      <x:c r="J2466" s="7" t="n">
        <x:v>0.98</x:v>
      </x:c>
      <x:c r="K2466" s="8" t="n">
        <x:v>148</x:v>
      </x:c>
      <x:c r="L2466" s="8" t="n">
        <x:v>9788</x:v>
      </x:c>
      <x:c r="M2466" s="9" t="n">
        <x:v>0.6335801555</x:v>
      </x:c>
      <x:c r="N2466" s="10" t="n">
        <x:v>34176.9392112791</x:v>
      </x:c>
      <x:c r="O2466" s="9" t="n">
        <x:v>0.0432123474</x:v>
      </x:c>
      <x:c r="P2466" s="9" t="n">
        <x:v>0.500407498</x:v>
      </x:c>
      <x:c r="Q2466" s="9" t="n">
        <x:v>0.8744906275</x:v>
      </x:c>
      <x:c r="R2466" s="3" t="b">
        <x:v>0</x:v>
      </x:c>
      <x:c r="S2466" s="3" t="b">
        <x:v>0</x:v>
      </x:c>
      <x:c r="T2466" s="3" t="b">
        <x:v>0</x:v>
      </x:c>
      <x:c r="U2466" s="2" t="str">
        <x:f>IF(T2466=TRUE,"Priority review",IF(R2466=TRUE,"High cost",IF(S2466=TRUE,"Low quality","Benchmark")))</x:f>
        <x:v>Benchmark</x:v>
      </x:c>
    </x:row>
    <x:row r="2467">
      <x:c r="A2467" s="2" t="str">
        <x:v>301308</x:v>
      </x:c>
      <x:c r="B2467" s="2" t="str">
        <x:v>VALLEY REGIONAL HOSPITAL</x:v>
      </x:c>
      <x:c r="C2467" s="2" t="str">
        <x:v>CLAREMONT</x:v>
      </x:c>
      <x:c r="D2467" s="2" t="str">
        <x:v>NH</x:v>
      </x:c>
      <x:c r="E2467" s="2" t="str">
        <x:v>Critical Access Hospitals</x:v>
      </x:c>
      <x:c r="F2467" s="2" t="str">
        <x:v>Voluntary non-profit</x:v>
      </x:c>
      <x:c r="G2467" s="2" t="str">
        <x:v>Small (&lt;100 beds)</x:v>
      </x:c>
      <x:c r="H2467" s="7" t="n">
        <x:v>3</x:v>
      </x:c>
      <x:c r="I2467" s="7"/>
      <x:c r="J2467" s="7"/>
      <x:c r="K2467" s="8" t="n">
        <x:v>25</x:v>
      </x:c>
      <x:c r="L2467" s="8" t="n">
        <x:v>496</x:v>
      </x:c>
      <x:c r="M2467" s="9" t="n">
        <x:v>0.3669945355</x:v>
      </x:c>
      <x:c r="N2467" s="10" t="n">
        <x:v>129825.3991935484</x:v>
      </x:c>
      <x:c r="O2467" s="9" t="n">
        <x:v>-0.0109807693</x:v>
      </x:c>
      <x:c r="P2467" s="9" t="n">
        <x:v>0.5003717472</x:v>
      </x:c>
      <x:c r="Q2467" s="9" t="n">
        <x:v>0.0765799257</x:v>
      </x:c>
      <x:c r="R2467" s="3" t="b">
        <x:v>0</x:v>
      </x:c>
      <x:c r="S2467" s="3" t="b">
        <x:v>1</x:v>
      </x:c>
      <x:c r="T2467" s="3" t="b">
        <x:v>0</x:v>
      </x:c>
      <x:c r="U2467" s="2" t="str">
        <x:f>IF(T2467=TRUE,"Priority review",IF(R2467=TRUE,"High cost",IF(S2467=TRUE,"Low quality","Benchmark")))</x:f>
        <x:v>Low quality</x:v>
      </x:c>
    </x:row>
    <x:row r="2468">
      <x:c r="A2468" s="2" t="str">
        <x:v>420007</x:v>
      </x:c>
      <x:c r="B2468" s="2" t="str">
        <x:v>SPARTANBURG MEDICAL CENTER</x:v>
      </x:c>
      <x:c r="C2468" s="2" t="str">
        <x:v>SPARTANBURG</x:v>
      </x:c>
      <x:c r="D2468" s="2" t="str">
        <x:v>SC</x:v>
      </x:c>
      <x:c r="E2468" s="2" t="str">
        <x:v>Acute Care Hospitals</x:v>
      </x:c>
      <x:c r="F2468" s="2" t="str">
        <x:v>Government</x:v>
      </x:c>
      <x:c r="G2468" s="2" t="str">
        <x:v>Large (300+ beds)</x:v>
      </x:c>
      <x:c r="H2468" s="7" t="n">
        <x:v>2</x:v>
      </x:c>
      <x:c r="I2468" s="7" t="n">
        <x:v>3</x:v>
      </x:c>
      <x:c r="J2468" s="7" t="n">
        <x:v>1.03</x:v>
      </x:c>
      <x:c r="K2468" s="8" t="n">
        <x:v>676</x:v>
      </x:c>
      <x:c r="L2468" s="8" t="n">
        <x:v>32112</x:v>
      </x:c>
      <x:c r="M2468" s="9" t="n">
        <x:v>0.7892732723</x:v>
      </x:c>
      <x:c r="N2468" s="10" t="n">
        <x:v>38903.0151968112</x:v>
      </x:c>
      <x:c r="O2468" s="9" t="n">
        <x:v>0.1190167543</x:v>
      </x:c>
      <x:c r="P2468" s="9" t="n">
        <x:v>0.5</x:v>
      </x:c>
      <x:c r="Q2468" s="9" t="n">
        <x:v>0.0536277603</x:v>
      </x:c>
      <x:c r="R2468" s="3" t="b">
        <x:v>0</x:v>
      </x:c>
      <x:c r="S2468" s="3" t="b">
        <x:v>1</x:v>
      </x:c>
      <x:c r="T2468" s="3" t="b">
        <x:v>0</x:v>
      </x:c>
      <x:c r="U2468" s="2" t="str">
        <x:f>IF(T2468=TRUE,"Priority review",IF(R2468=TRUE,"High cost",IF(S2468=TRUE,"Low quality","Benchmark")))</x:f>
        <x:v>Low quality</x:v>
      </x:c>
    </x:row>
    <x:row r="2469">
      <x:c r="A2469" s="2" t="str">
        <x:v>523300</x:v>
      </x:c>
      <x:c r="B2469" s="2" t="str">
        <x:v>CHILDRENS HOSPITAL OF WISCONSIN</x:v>
      </x:c>
      <x:c r="C2469" s="2" t="str">
        <x:v>MILWAUKEE</x:v>
      </x:c>
      <x:c r="D2469" s="2" t="str">
        <x:v>WI</x:v>
      </x:c>
      <x:c r="E2469" s="2" t="str">
        <x:v>Childrens</x:v>
      </x:c>
      <x:c r="F2469" s="2" t="str">
        <x:v>Voluntary non-profit</x:v>
      </x:c>
      <x:c r="G2469" s="2" t="str">
        <x:v>Medium (100-299 beds)</x:v>
      </x:c>
      <x:c r="H2469" s="7"/>
      <x:c r="I2469" s="7"/>
      <x:c r="J2469" s="7"/>
      <x:c r="K2469" s="8" t="n">
        <x:v>298</x:v>
      </x:c>
      <x:c r="L2469" s="8" t="n">
        <x:v>10276</x:v>
      </x:c>
      <x:c r="M2469" s="9" t="n">
        <x:v>0.6317893424</x:v>
      </x:c>
      <x:c r="N2469" s="10" t="n">
        <x:v>83881.8478007007</x:v>
      </x:c>
      <x:c r="O2469" s="9" t="n">
        <x:v>0.0433952735</x:v>
      </x:c>
      <x:c r="P2469" s="9" t="n">
        <x:v>0.5</x:v>
      </x:c>
      <x:c r="Q2469" s="9" t="n">
        <x:v>0</x:v>
      </x:c>
      <x:c r="R2469" s="3" t="b">
        <x:v>0</x:v>
      </x:c>
      <x:c r="S2469" s="3" t="b">
        <x:v>0</x:v>
      </x:c>
      <x:c r="T2469" s="3" t="b">
        <x:v>0</x:v>
      </x:c>
      <x:c r="U2469" s="2" t="str">
        <x:f>IF(T2469=TRUE,"Priority review",IF(R2469=TRUE,"High cost",IF(S2469=TRUE,"Low quality","Benchmark")))</x:f>
        <x:v>Benchmark</x:v>
      </x:c>
    </x:row>
    <x:row r="2470">
      <x:c r="A2470" s="2" t="str">
        <x:v>010021</x:v>
      </x:c>
      <x:c r="B2470" s="2" t="str">
        <x:v>96th Medical Group (Eglin AFB)</x:v>
      </x:c>
      <x:c r="C2470" s="2" t="str">
        <x:v>Eglin AFB</x:v>
      </x:c>
      <x:c r="D2470" s="2" t="str">
        <x:v>FL</x:v>
      </x:c>
      <x:c r="E2470" s="2" t="str">
        <x:v>Acute Care - Department of Defense</x:v>
      </x:c>
      <x:c r="F2470" s="2" t="str">
        <x:v>Other / unknown</x:v>
      </x:c>
      <x:c r="G2470" s="2" t="str">
        <x:v>Small (&lt;100 beds)</x:v>
      </x:c>
      <x:c r="H2470" s="7"/>
      <x:c r="I2470" s="7" t="n">
        <x:v>5</x:v>
      </x:c>
      <x:c r="J2470" s="7" t="n">
        <x:v>0.99</x:v>
      </x:c>
      <x:c r="K2470" s="8" t="n">
        <x:v>77</x:v>
      </x:c>
      <x:c r="L2470" s="8" t="n">
        <x:v>1236</x:v>
      </x:c>
      <x:c r="M2470" s="9" t="n">
        <x:v>0.1969342133</x:v>
      </x:c>
      <x:c r="N2470" s="10" t="n">
        <x:v>34064.1917475728</x:v>
      </x:c>
      <x:c r="O2470" s="9" t="n">
        <x:v>-0.2020310886</x:v>
      </x:c>
      <x:c r="P2470" s="9" t="n">
        <x:v>0.5</x:v>
      </x:c>
      <x:c r="Q2470" s="9" t="n">
        <x:v>0</x:v>
      </x:c>
      <x:c r="R2470" s="3" t="b">
        <x:v>0</x:v>
      </x:c>
      <x:c r="S2470" s="3" t="b">
        <x:v>0</x:v>
      </x:c>
      <x:c r="T2470" s="3" t="b">
        <x:v>0</x:v>
      </x:c>
      <x:c r="U2470" s="2" t="str">
        <x:f>IF(T2470=TRUE,"Priority review",IF(R2470=TRUE,"High cost",IF(S2470=TRUE,"Low quality","Benchmark")))</x:f>
        <x:v>Benchmark</x:v>
      </x:c>
    </x:row>
    <x:row r="2471">
      <x:c r="A2471" s="2" t="str">
        <x:v>032005</x:v>
      </x:c>
      <x:c r="B2471" s="2" t="str">
        <x:v>VA NEW MEXICO HEALTHCARE SYSTEM</x:v>
      </x:c>
      <x:c r="C2471" s="2" t="str">
        <x:v>ALBUQUERQUE</x:v>
      </x:c>
      <x:c r="D2471" s="2" t="str">
        <x:v>NM</x:v>
      </x:c>
      <x:c r="E2471" s="2" t="str">
        <x:v>Acute Care - Veterans Administration</x:v>
      </x:c>
      <x:c r="F2471" s="2" t="str">
        <x:v>Other / unknown</x:v>
      </x:c>
      <x:c r="G2471" s="2" t="str">
        <x:v>Small (&lt;100 beds)</x:v>
      </x:c>
      <x:c r="H2471" s="7" t="n">
        <x:v>3</x:v>
      </x:c>
      <x:c r="I2471" s="7" t="n">
        <x:v>4</x:v>
      </x:c>
      <x:c r="J2471" s="7"/>
      <x:c r="K2471" s="8" t="n">
        <x:v>32</x:v>
      </x:c>
      <x:c r="L2471" s="8" t="n">
        <x:v>299</x:v>
      </x:c>
      <x:c r="M2471" s="9" t="n">
        <x:v>0.7170376712</x:v>
      </x:c>
      <x:c r="N2471" s="10" t="n">
        <x:v>56343.7525083612</x:v>
      </x:c>
      <x:c r="O2471" s="9" t="n">
        <x:v>0.0540175491</x:v>
      </x:c>
      <x:c r="P2471" s="9" t="n">
        <x:v>0.5</x:v>
      </x:c>
      <x:c r="Q2471" s="9" t="n">
        <x:v>0</x:v>
      </x:c>
      <x:c r="R2471" s="3" t="b">
        <x:v>0</x:v>
      </x:c>
      <x:c r="S2471" s="3" t="b">
        <x:v>0</x:v>
      </x:c>
      <x:c r="T2471" s="3" t="b">
        <x:v>0</x:v>
      </x:c>
      <x:c r="U2471" s="2" t="str">
        <x:f>IF(T2471=TRUE,"Priority review",IF(R2471=TRUE,"High cost",IF(S2471=TRUE,"Low quality","Benchmark")))</x:f>
        <x:v>Benchmark</x:v>
      </x:c>
    </x:row>
    <x:row r="2472">
      <x:c r="A2472" s="2" t="str">
        <x:v>252013</x:v>
      </x:c>
      <x:c r="B2472" s="2" t="str">
        <x:v>ALLEGIANCE SPECIALTY HOSPITAL OF GREENVILLE</x:v>
      </x:c>
      <x:c r="C2472" s="2" t="str">
        <x:v>GREENVILLE</x:v>
      </x:c>
      <x:c r="D2472" s="2" t="str">
        <x:v>MS</x:v>
      </x:c>
      <x:c r="E2472" s="2" t="str">
        <x:v>Long-term</x:v>
      </x:c>
      <x:c r="F2472" s="2" t="str">
        <x:v>Proprietary</x:v>
      </x:c>
      <x:c r="G2472" s="2" t="str">
        <x:v>Small (&lt;100 beds)</x:v>
      </x:c>
      <x:c r="H2472" s="7"/>
      <x:c r="I2472" s="7"/>
      <x:c r="J2472" s="7"/>
      <x:c r="K2472" s="8" t="n">
        <x:v>31</x:v>
      </x:c>
      <x:c r="L2472" s="8" t="n">
        <x:v>84</x:v>
      </x:c>
      <x:c r="M2472" s="9" t="n">
        <x:v>0.1920500617</x:v>
      </x:c>
      <x:c r="N2472" s="10" t="n">
        <x:v>119526.3333333333</x:v>
      </x:c>
      <x:c r="O2472" s="9" t="n">
        <x:v>-0.2171542879</x:v>
      </x:c>
      <x:c r="P2472" s="9" t="n">
        <x:v>0.5</x:v>
      </x:c>
      <x:c r="Q2472" s="9" t="n">
        <x:v>0</x:v>
      </x:c>
      <x:c r="R2472" s="3" t="b">
        <x:v>0</x:v>
      </x:c>
      <x:c r="S2472" s="3" t="b">
        <x:v>0</x:v>
      </x:c>
      <x:c r="T2472" s="3" t="b">
        <x:v>0</x:v>
      </x:c>
      <x:c r="U2472" s="2" t="str">
        <x:f>IF(T2472=TRUE,"Priority review",IF(R2472=TRUE,"High cost",IF(S2472=TRUE,"Low quality","Benchmark")))</x:f>
        <x:v>Benchmark</x:v>
      </x:c>
    </x:row>
    <x:row r="2473">
      <x:c r="A2473" s="2" t="str">
        <x:v>453318</x:v>
      </x:c>
      <x:c r="B2473" s="2" t="str">
        <x:v>NEXUS CHILDRENS HOSPITAL DALLAS</x:v>
      </x:c>
      <x:c r="C2473" s="2" t="str">
        <x:v>DALLAS</x:v>
      </x:c>
      <x:c r="D2473" s="2" t="str">
        <x:v>TX</x:v>
      </x:c>
      <x:c r="E2473" s="2" t="str">
        <x:v>Childrens</x:v>
      </x:c>
      <x:c r="F2473" s="2" t="str">
        <x:v>Proprietary</x:v>
      </x:c>
      <x:c r="G2473" s="2" t="str">
        <x:v>Small (&lt;100 beds)</x:v>
      </x:c>
      <x:c r="H2473" s="7"/>
      <x:c r="I2473" s="7"/>
      <x:c r="J2473" s="7"/>
      <x:c r="K2473" s="8" t="n">
        <x:v>60</x:v>
      </x:c>
      <x:c r="L2473" s="8" t="n">
        <x:v>96</x:v>
      </x:c>
      <x:c r="M2473" s="9" t="n">
        <x:v>0.2956739526</x:v>
      </x:c>
      <x:c r="N2473" s="10" t="n">
        <x:v>184902.75</x:v>
      </x:c>
      <x:c r="O2473" s="9" t="n">
        <x:v>-0.1821139202</x:v>
      </x:c>
      <x:c r="P2473" s="9" t="n">
        <x:v>0.5</x:v>
      </x:c>
      <x:c r="Q2473" s="9" t="n">
        <x:v>0</x:v>
      </x:c>
      <x:c r="R2473" s="3" t="b">
        <x:v>0</x:v>
      </x:c>
      <x:c r="S2473" s="3" t="b">
        <x:v>0</x:v>
      </x:c>
      <x:c r="T2473" s="3" t="b">
        <x:v>0</x:v>
      </x:c>
      <x:c r="U2473" s="2" t="str">
        <x:f>IF(T2473=TRUE,"Priority review",IF(R2473=TRUE,"High cost",IF(S2473=TRUE,"Low quality","Benchmark")))</x:f>
        <x:v>Benchmark</x:v>
      </x:c>
    </x:row>
    <x:row r="2474">
      <x:c r="A2474" s="2" t="str">
        <x:v>450833</x:v>
      </x:c>
      <x:c r="B2474" s="2" t="str">
        <x:v>ENNIS REGIONAL MEDICAL CENTER</x:v>
      </x:c>
      <x:c r="C2474" s="2" t="str">
        <x:v>ENNIS</x:v>
      </x:c>
      <x:c r="D2474" s="2" t="str">
        <x:v>TX</x:v>
      </x:c>
      <x:c r="E2474" s="2" t="str">
        <x:v>Acute Care Hospitals</x:v>
      </x:c>
      <x:c r="F2474" s="2" t="str">
        <x:v>Proprietary</x:v>
      </x:c>
      <x:c r="G2474" s="2" t="str">
        <x:v>Small (&lt;100 beds)</x:v>
      </x:c>
      <x:c r="H2474" s="7"/>
      <x:c r="I2474" s="7"/>
      <x:c r="J2474" s="7" t="n">
        <x:v>0.98</x:v>
      </x:c>
      <x:c r="K2474" s="8" t="n">
        <x:v>59</x:v>
      </x:c>
      <x:c r="L2474" s="8" t="n">
        <x:v>463</x:v>
      </x:c>
      <x:c r="M2474" s="9" t="n">
        <x:v>0.067517994</x:v>
      </x:c>
      <x:c r="N2474" s="10" t="n">
        <x:v>52335.9956803456</x:v>
      </x:c>
      <x:c r="O2474" s="9" t="n">
        <x:v>-0.2911184253</x:v>
      </x:c>
      <x:c r="P2474" s="9" t="n">
        <x:v>0.5</x:v>
      </x:c>
      <x:c r="Q2474" s="9" t="n">
        <x:v>0.697486535</x:v>
      </x:c>
      <x:c r="R2474" s="3" t="b">
        <x:v>0</x:v>
      </x:c>
      <x:c r="S2474" s="3" t="b">
        <x:v>0</x:v>
      </x:c>
      <x:c r="T2474" s="3" t="b">
        <x:v>0</x:v>
      </x:c>
      <x:c r="U2474" s="2" t="str">
        <x:f>IF(T2474=TRUE,"Priority review",IF(R2474=TRUE,"High cost",IF(S2474=TRUE,"Low quality","Benchmark")))</x:f>
        <x:v>Benchmark</x:v>
      </x:c>
    </x:row>
    <x:row r="2475">
      <x:c r="A2475" s="2" t="str">
        <x:v>161323</x:v>
      </x:c>
      <x:c r="B2475" s="2" t="str">
        <x:v>MITCHELL COUNTY REGIONAL HEALTH</x:v>
      </x:c>
      <x:c r="C2475" s="2" t="str">
        <x:v>OSAGE</x:v>
      </x:c>
      <x:c r="D2475" s="2" t="str">
        <x:v>IA</x:v>
      </x:c>
      <x:c r="E2475" s="2" t="str">
        <x:v>Critical Access Hospitals</x:v>
      </x:c>
      <x:c r="F2475" s="2" t="str">
        <x:v>Government</x:v>
      </x:c>
      <x:c r="G2475" s="2" t="str">
        <x:v>Small (&lt;100 beds)</x:v>
      </x:c>
      <x:c r="H2475" s="7" t="n">
        <x:v>3</x:v>
      </x:c>
      <x:c r="I2475" s="7"/>
      <x:c r="J2475" s="7"/>
      <x:c r="K2475" s="8" t="n">
        <x:v>25</x:v>
      </x:c>
      <x:c r="L2475" s="8" t="n">
        <x:v>304</x:v>
      </x:c>
      <x:c r="M2475" s="9" t="n">
        <x:v>0.1670136986</x:v>
      </x:c>
      <x:c r="N2475" s="10" t="n">
        <x:v>129673.4111842105</x:v>
      </x:c>
      <x:c r="O2475" s="9" t="n">
        <x:v>-0.0144113528</x:v>
      </x:c>
      <x:c r="P2475" s="9" t="n">
        <x:v>0.4996282528</x:v>
      </x:c>
      <x:c r="Q2475" s="9" t="n">
        <x:v>0.0765799257</x:v>
      </x:c>
      <x:c r="R2475" s="3" t="b">
        <x:v>0</x:v>
      </x:c>
      <x:c r="S2475" s="3" t="b">
        <x:v>1</x:v>
      </x:c>
      <x:c r="T2475" s="3" t="b">
        <x:v>0</x:v>
      </x:c>
      <x:c r="U2475" s="2" t="str">
        <x:f>IF(T2475=TRUE,"Priority review",IF(R2475=TRUE,"High cost",IF(S2475=TRUE,"Low quality","Benchmark")))</x:f>
        <x:v>Low quality</x:v>
      </x:c>
    </x:row>
    <x:row r="2476">
      <x:c r="A2476" s="2" t="str">
        <x:v>340050</x:v>
      </x:c>
      <x:c r="B2476" s="2" t="str">
        <x:v>SOUTHEASTERN REGIONAL MEDICAL CENTER</x:v>
      </x:c>
      <x:c r="C2476" s="2" t="str">
        <x:v>LUMBERTON</x:v>
      </x:c>
      <x:c r="D2476" s="2" t="str">
        <x:v>NC</x:v>
      </x:c>
      <x:c r="E2476" s="2" t="str">
        <x:v>Acute Care Hospitals</x:v>
      </x:c>
      <x:c r="F2476" s="2" t="str">
        <x:v>Voluntary non-profit</x:v>
      </x:c>
      <x:c r="G2476" s="2" t="str">
        <x:v>Medium (100-299 beds)</x:v>
      </x:c>
      <x:c r="H2476" s="7" t="n">
        <x:v>2</x:v>
      </x:c>
      <x:c r="I2476" s="7" t="n">
        <x:v>3</x:v>
      </x:c>
      <x:c r="J2476" s="7" t="n">
        <x:v>0.89</x:v>
      </x:c>
      <x:c r="K2476" s="8" t="n">
        <x:v>189</x:v>
      </x:c>
      <x:c r="L2476" s="8" t="n">
        <x:v>9374</x:v>
      </x:c>
      <x:c r="M2476" s="9" t="n">
        <x:v>0.6479802023</x:v>
      </x:c>
      <x:c r="N2476" s="10" t="n">
        <x:v>34174.6896735652</x:v>
      </x:c>
      <x:c r="O2476" s="9" t="n">
        <x:v>0.0728797591</x:v>
      </x:c>
      <x:c r="P2476" s="9" t="n">
        <x:v>0.499592502</x:v>
      </x:c>
      <x:c r="Q2476" s="9" t="n">
        <x:v>0.0782396088</x:v>
      </x:c>
      <x:c r="R2476" s="3" t="b">
        <x:v>0</x:v>
      </x:c>
      <x:c r="S2476" s="3" t="b">
        <x:v>1</x:v>
      </x:c>
      <x:c r="T2476" s="3" t="b">
        <x:v>0</x:v>
      </x:c>
      <x:c r="U2476" s="2" t="str">
        <x:f>IF(T2476=TRUE,"Priority review",IF(R2476=TRUE,"High cost",IF(S2476=TRUE,"Low quality","Benchmark")))</x:f>
        <x:v>Low quality</x:v>
      </x:c>
    </x:row>
    <x:row r="2477">
      <x:c r="A2477" s="2" t="str">
        <x:v>460007</x:v>
      </x:c>
      <x:c r="B2477" s="2" t="str">
        <x:v>INTERMOUNTAIN HEALTH CEDAR CITY HOSPITAL</x:v>
      </x:c>
      <x:c r="C2477" s="2" t="str">
        <x:v>CEDAR CITY</x:v>
      </x:c>
      <x:c r="D2477" s="2" t="str">
        <x:v>UT</x:v>
      </x:c>
      <x:c r="E2477" s="2" t="str">
        <x:v>Acute Care Hospitals</x:v>
      </x:c>
      <x:c r="F2477" s="2" t="str">
        <x:v>Voluntary non-profit</x:v>
      </x:c>
      <x:c r="G2477" s="2" t="str">
        <x:v>Small (&lt;100 beds)</x:v>
      </x:c>
      <x:c r="H2477" s="7" t="n">
        <x:v>3</x:v>
      </x:c>
      <x:c r="I2477" s="7" t="n">
        <x:v>5</x:v>
      </x:c>
      <x:c r="J2477" s="7" t="n">
        <x:v>0.97</x:v>
      </x:c>
      <x:c r="K2477" s="8" t="n">
        <x:v>48</x:v>
      </x:c>
      <x:c r="L2477" s="8" t="n">
        <x:v>2199</x:v>
      </x:c>
      <x:c r="M2477" s="9" t="n">
        <x:v>0.3128415301</x:v>
      </x:c>
      <x:c r="N2477" s="10" t="n">
        <x:v>52283.6948613006</x:v>
      </x:c>
      <x:c r="O2477" s="9" t="n">
        <x:v>0.2910035142</x:v>
      </x:c>
      <x:c r="P2477" s="9" t="n">
        <x:v>0.4991023339</x:v>
      </x:c>
      <x:c r="Q2477" s="9" t="n">
        <x:v>0.1687612208</x:v>
      </x:c>
      <x:c r="R2477" s="3" t="b">
        <x:v>0</x:v>
      </x:c>
      <x:c r="S2477" s="3" t="b">
        <x:v>0</x:v>
      </x:c>
      <x:c r="T2477" s="3" t="b">
        <x:v>0</x:v>
      </x:c>
      <x:c r="U2477" s="2" t="str">
        <x:f>IF(T2477=TRUE,"Priority review",IF(R2477=TRUE,"High cost",IF(S2477=TRUE,"Low quality","Benchmark")))</x:f>
        <x:v>Benchmark</x:v>
      </x:c>
    </x:row>
    <x:row r="2478">
      <x:c r="A2478" s="2" t="str">
        <x:v>131310</x:v>
      </x:c>
      <x:c r="B2478" s="2" t="str">
        <x:v>ST LUKE'S JEROME</x:v>
      </x:c>
      <x:c r="C2478" s="2" t="str">
        <x:v>JEROME</x:v>
      </x:c>
      <x:c r="D2478" s="2" t="str">
        <x:v>ID</x:v>
      </x:c>
      <x:c r="E2478" s="2" t="str">
        <x:v>Critical Access Hospitals</x:v>
      </x:c>
      <x:c r="F2478" s="2" t="str">
        <x:v>Voluntary non-profit</x:v>
      </x:c>
      <x:c r="G2478" s="2" t="str">
        <x:v>Small (&lt;100 beds)</x:v>
      </x:c>
      <x:c r="H2478" s="7"/>
      <x:c r="I2478" s="7"/>
      <x:c r="J2478" s="7"/>
      <x:c r="K2478" s="8" t="n">
        <x:v>16</x:v>
      </x:c>
      <x:c r="L2478" s="8" t="n">
        <x:v>179</x:v>
      </x:c>
      <x:c r="M2478" s="9" t="n">
        <x:v>0.431523224</x:v>
      </x:c>
      <x:c r="N2478" s="10" t="n">
        <x:v>129403.4357541899</x:v>
      </x:c>
      <x:c r="O2478" s="9" t="n">
        <x:v>-0.1051369953</x:v>
      </x:c>
      <x:c r="P2478" s="9" t="n">
        <x:v>0.4988847584</x:v>
      </x:c>
      <x:c r="Q2478" s="9" t="n">
        <x:v>0.292936803</x:v>
      </x:c>
      <x:c r="R2478" s="3" t="b">
        <x:v>0</x:v>
      </x:c>
      <x:c r="S2478" s="3" t="b">
        <x:v>0</x:v>
      </x:c>
      <x:c r="T2478" s="3" t="b">
        <x:v>0</x:v>
      </x:c>
      <x:c r="U2478" s="2" t="str">
        <x:f>IF(T2478=TRUE,"Priority review",IF(R2478=TRUE,"High cost",IF(S2478=TRUE,"Low quality","Benchmark")))</x:f>
        <x:v>Benchmark</x:v>
      </x:c>
    </x:row>
    <x:row r="2479">
      <x:c r="A2479" s="2" t="str">
        <x:v>230227</x:v>
      </x:c>
      <x:c r="B2479" s="2" t="str">
        <x:v>MCLAREN MACOMB</x:v>
      </x:c>
      <x:c r="C2479" s="2" t="str">
        <x:v>MOUNT CLEMENS</x:v>
      </x:c>
      <x:c r="D2479" s="2" t="str">
        <x:v>MI</x:v>
      </x:c>
      <x:c r="E2479" s="2" t="str">
        <x:v>Acute Care Hospitals</x:v>
      </x:c>
      <x:c r="F2479" s="2" t="str">
        <x:v>Voluntary non-profit</x:v>
      </x:c>
      <x:c r="G2479" s="2" t="str">
        <x:v>Medium (100-299 beds)</x:v>
      </x:c>
      <x:c r="H2479" s="7" t="n">
        <x:v>1</x:v>
      </x:c>
      <x:c r="I2479" s="7" t="n">
        <x:v>2</x:v>
      </x:c>
      <x:c r="J2479" s="7" t="n">
        <x:v>1.02</x:v>
      </x:c>
      <x:c r="K2479" s="8" t="n">
        <x:v>270</x:v>
      </x:c>
      <x:c r="L2479" s="8" t="n">
        <x:v>11327</x:v>
      </x:c>
      <x:c r="M2479" s="9" t="n">
        <x:v>0.6190024905</x:v>
      </x:c>
      <x:c r="N2479" s="10" t="n">
        <x:v>34146.5421559107</x:v>
      </x:c>
      <x:c r="O2479" s="9" t="n">
        <x:v>-0.0013770395</x:v>
      </x:c>
      <x:c r="P2479" s="9" t="n">
        <x:v>0.4987775061</x:v>
      </x:c>
      <x:c r="Q2479" s="9" t="n">
        <x:v>0</x:v>
      </x:c>
      <x:c r="R2479" s="3" t="b">
        <x:v>0</x:v>
      </x:c>
      <x:c r="S2479" s="3" t="b">
        <x:v>1</x:v>
      </x:c>
      <x:c r="T2479" s="3" t="b">
        <x:v>0</x:v>
      </x:c>
      <x:c r="U2479" s="2" t="str">
        <x:f>IF(T2479=TRUE,"Priority review",IF(R2479=TRUE,"High cost",IF(S2479=TRUE,"Low quality","Benchmark")))</x:f>
        <x:v>Low quality</x:v>
      </x:c>
    </x:row>
    <x:row r="2480">
      <x:c r="A2480" s="2" t="str">
        <x:v>450051</x:v>
      </x:c>
      <x:c r="B2480" s="2" t="str">
        <x:v>METHODIST DALLAS MEDICAL CENTER</x:v>
      </x:c>
      <x:c r="C2480" s="2" t="str">
        <x:v>DALLAS</x:v>
      </x:c>
      <x:c r="D2480" s="2" t="str">
        <x:v>TX</x:v>
      </x:c>
      <x:c r="E2480" s="2" t="str">
        <x:v>Acute Care Hospitals</x:v>
      </x:c>
      <x:c r="F2480" s="2" t="str">
        <x:v>Voluntary non-profit</x:v>
      </x:c>
      <x:c r="G2480" s="2" t="str">
        <x:v>Large (300+ beds)</x:v>
      </x:c>
      <x:c r="H2480" s="7" t="n">
        <x:v>3</x:v>
      </x:c>
      <x:c r="I2480" s="7" t="n">
        <x:v>3</x:v>
      </x:c>
      <x:c r="J2480" s="7" t="n">
        <x:v>1.01</x:v>
      </x:c>
      <x:c r="K2480" s="8" t="n">
        <x:v>403</x:v>
      </x:c>
      <x:c r="L2480" s="8" t="n">
        <x:v>18336</x:v>
      </x:c>
      <x:c r="M2480" s="9" t="n">
        <x:v>0.704979775</x:v>
      </x:c>
      <x:c r="N2480" s="10" t="n">
        <x:v>38751.8893433682</x:v>
      </x:c>
      <x:c r="O2480" s="9" t="n">
        <x:v>-0.0808286841</x:v>
      </x:c>
      <x:c r="P2480" s="9" t="n">
        <x:v>0.4984227129</x:v>
      </x:c>
      <x:c r="Q2480" s="9" t="n">
        <x:v>0.2570977918</x:v>
      </x:c>
      <x:c r="R2480" s="3" t="b">
        <x:v>0</x:v>
      </x:c>
      <x:c r="S2480" s="3" t="b">
        <x:v>0</x:v>
      </x:c>
      <x:c r="T2480" s="3" t="b">
        <x:v>0</x:v>
      </x:c>
      <x:c r="U2480" s="2" t="str">
        <x:f>IF(T2480=TRUE,"Priority review",IF(R2480=TRUE,"High cost",IF(S2480=TRUE,"Low quality","Benchmark")))</x:f>
        <x:v>Benchmark</x:v>
      </x:c>
    </x:row>
    <x:row r="2481">
      <x:c r="A2481" s="2" t="str">
        <x:v>364054</x:v>
      </x:c>
      <x:c r="B2481" s="2" t="str">
        <x:v>GENERATIONS BEHAVIORAL HEALTH - GENEVA</x:v>
      </x:c>
      <x:c r="C2481" s="2" t="str">
        <x:v>GENEVA</x:v>
      </x:c>
      <x:c r="D2481" s="2" t="str">
        <x:v>OH</x:v>
      </x:c>
      <x:c r="E2481" s="2" t="str">
        <x:v>Psychiatric</x:v>
      </x:c>
      <x:c r="F2481" s="2" t="str">
        <x:v>Proprietary</x:v>
      </x:c>
      <x:c r="G2481" s="2" t="str">
        <x:v>Small (&lt;100 beds)</x:v>
      </x:c>
      <x:c r="H2481" s="7"/>
      <x:c r="I2481" s="7"/>
      <x:c r="J2481" s="7"/>
      <x:c r="K2481" s="8" t="n">
        <x:v>28</x:v>
      </x:c>
      <x:c r="L2481" s="8" t="n">
        <x:v>464</x:v>
      </x:c>
      <x:c r="M2481" s="9" t="n">
        <x:v>0.6345628415</x:v>
      </x:c>
      <x:c r="N2481" s="10" t="n">
        <x:v>12169.8879310345</x:v>
      </x:c>
      <x:c r="O2481" s="9" t="n">
        <x:v>0.1596130501</x:v>
      </x:c>
      <x:c r="P2481" s="9" t="n">
        <x:v>0.498381877</x:v>
      </x:c>
      <x:c r="Q2481" s="9" t="n">
        <x:v>0</x:v>
      </x:c>
      <x:c r="R2481" s="3" t="b">
        <x:v>0</x:v>
      </x:c>
      <x:c r="S2481" s="3" t="b">
        <x:v>0</x:v>
      </x:c>
      <x:c r="T2481" s="3" t="b">
        <x:v>0</x:v>
      </x:c>
      <x:c r="U2481" s="2" t="str">
        <x:f>IF(T2481=TRUE,"Priority review",IF(R2481=TRUE,"High cost",IF(S2481=TRUE,"Low quality","Benchmark")))</x:f>
        <x:v>Benchmark</x:v>
      </x:c>
    </x:row>
    <x:row r="2482">
      <x:c r="A2482" s="2" t="str">
        <x:v>450584</x:v>
      </x:c>
      <x:c r="B2482" s="2" t="str">
        <x:v>WILBARGER GENERAL HOSPITAL</x:v>
      </x:c>
      <x:c r="C2482" s="2" t="str">
        <x:v>VERNON</x:v>
      </x:c>
      <x:c r="D2482" s="2" t="str">
        <x:v>TX</x:v>
      </x:c>
      <x:c r="E2482" s="2" t="str">
        <x:v>Acute Care Hospitals</x:v>
      </x:c>
      <x:c r="F2482" s="2" t="str">
        <x:v>Government</x:v>
      </x:c>
      <x:c r="G2482" s="2" t="str">
        <x:v>Small (&lt;100 beds)</x:v>
      </x:c>
      <x:c r="H2482" s="7"/>
      <x:c r="I2482" s="7"/>
      <x:c r="J2482" s="7" t="n">
        <x:v>1.03</x:v>
      </x:c>
      <x:c r="K2482" s="8" t="n">
        <x:v>27</x:v>
      </x:c>
      <x:c r="L2482" s="8" t="n">
        <x:v>609</x:v>
      </x:c>
      <x:c r="M2482" s="9" t="n">
        <x:v>0.2670512042</x:v>
      </x:c>
      <x:c r="N2482" s="10" t="n">
        <x:v>52139.2939244663</x:v>
      </x:c>
      <x:c r="O2482" s="9" t="n">
        <x:v>-0.4687479676</x:v>
      </x:c>
      <x:c r="P2482" s="9" t="n">
        <x:v>0.4982046679</x:v>
      </x:c>
      <x:c r="Q2482" s="9" t="n">
        <x:v>0.697486535</x:v>
      </x:c>
      <x:c r="R2482" s="3" t="b">
        <x:v>0</x:v>
      </x:c>
      <x:c r="S2482" s="3" t="b">
        <x:v>0</x:v>
      </x:c>
      <x:c r="T2482" s="3" t="b">
        <x:v>0</x:v>
      </x:c>
      <x:c r="U2482" s="2" t="str">
        <x:f>IF(T2482=TRUE,"Priority review",IF(R2482=TRUE,"High cost",IF(S2482=TRUE,"Low quality","Benchmark")))</x:f>
        <x:v>Benchmark</x:v>
      </x:c>
    </x:row>
    <x:row r="2483">
      <x:c r="A2483" s="2" t="str">
        <x:v>241351</x:v>
      </x:c>
      <x:c r="B2483" s="2" t="str">
        <x:v>CENTRACARE - REDWOOD</x:v>
      </x:c>
      <x:c r="C2483" s="2" t="str">
        <x:v>REDWOOD FALLS</x:v>
      </x:c>
      <x:c r="D2483" s="2" t="str">
        <x:v>MN</x:v>
      </x:c>
      <x:c r="E2483" s="2" t="str">
        <x:v>Critical Access Hospitals</x:v>
      </x:c>
      <x:c r="F2483" s="2" t="str">
        <x:v>Government</x:v>
      </x:c>
      <x:c r="G2483" s="2" t="str">
        <x:v>Small (&lt;100 beds)</x:v>
      </x:c>
      <x:c r="H2483" s="7"/>
      <x:c r="I2483" s="7"/>
      <x:c r="J2483" s="7"/>
      <x:c r="K2483" s="8" t="n">
        <x:v>14</x:v>
      </x:c>
      <x:c r="L2483" s="8" t="n">
        <x:v>444</x:v>
      </x:c>
      <x:c r="M2483" s="9" t="n">
        <x:v>0.3585127202</x:v>
      </x:c>
      <x:c r="N2483" s="10" t="n">
        <x:v>129353.6914414414</x:v>
      </x:c>
      <x:c r="O2483" s="9" t="n">
        <x:v>0.0333076645</x:v>
      </x:c>
      <x:c r="P2483" s="9" t="n">
        <x:v>0.4981412639</x:v>
      </x:c>
      <x:c r="Q2483" s="9" t="n">
        <x:v>0.292936803</x:v>
      </x:c>
      <x:c r="R2483" s="3" t="b">
        <x:v>0</x:v>
      </x:c>
      <x:c r="S2483" s="3" t="b">
        <x:v>0</x:v>
      </x:c>
      <x:c r="T2483" s="3" t="b">
        <x:v>0</x:v>
      </x:c>
      <x:c r="U2483" s="2" t="str">
        <x:f>IF(T2483=TRUE,"Priority review",IF(R2483=TRUE,"High cost",IF(S2483=TRUE,"Low quality","Benchmark")))</x:f>
        <x:v>Benchmark</x:v>
      </x:c>
    </x:row>
    <x:row r="2484">
      <x:c r="A2484" s="2" t="str">
        <x:v>050737</x:v>
      </x:c>
      <x:c r="B2484" s="2" t="str">
        <x:v>GARFIELD MEDICAL CENTER</x:v>
      </x:c>
      <x:c r="C2484" s="2" t="str">
        <x:v>MONTEREY PARK</x:v>
      </x:c>
      <x:c r="D2484" s="2" t="str">
        <x:v>CA</x:v>
      </x:c>
      <x:c r="E2484" s="2" t="str">
        <x:v>Acute Care Hospitals</x:v>
      </x:c>
      <x:c r="F2484" s="2" t="str">
        <x:v>Proprietary</x:v>
      </x:c>
      <x:c r="G2484" s="2" t="str">
        <x:v>Medium (100-299 beds)</x:v>
      </x:c>
      <x:c r="H2484" s="7" t="n">
        <x:v>1</x:v>
      </x:c>
      <x:c r="I2484" s="7" t="n">
        <x:v>3</x:v>
      </x:c>
      <x:c r="J2484" s="7" t="n">
        <x:v>1.16</x:v>
      </x:c>
      <x:c r="K2484" s="8" t="n">
        <x:v>182</x:v>
      </x:c>
      <x:c r="L2484" s="8" t="n">
        <x:v>8962</x:v>
      </x:c>
      <x:c r="M2484" s="9" t="n">
        <x:v>0.6853981635</x:v>
      </x:c>
      <x:c r="N2484" s="10" t="n">
        <x:v>34143.4484490069</x:v>
      </x:c>
      <x:c r="O2484" s="9" t="n">
        <x:v>-0.5442098404</x:v>
      </x:c>
      <x:c r="P2484" s="9" t="n">
        <x:v>0.4979625102</x:v>
      </x:c>
      <x:c r="Q2484" s="9" t="n">
        <x:v>0</x:v>
      </x:c>
      <x:c r="R2484" s="3" t="b">
        <x:v>0</x:v>
      </x:c>
      <x:c r="S2484" s="3" t="b">
        <x:v>1</x:v>
      </x:c>
      <x:c r="T2484" s="3" t="b">
        <x:v>0</x:v>
      </x:c>
      <x:c r="U2484" s="2" t="str">
        <x:f>IF(T2484=TRUE,"Priority review",IF(R2484=TRUE,"High cost",IF(S2484=TRUE,"Low quality","Benchmark")))</x:f>
        <x:v>Low quality</x:v>
      </x:c>
    </x:row>
    <x:row r="2485">
      <x:c r="A2485" s="2" t="str">
        <x:v>394008</x:v>
      </x:c>
      <x:c r="B2485" s="2" t="str">
        <x:v>FRIENDS HOSPITAL</x:v>
      </x:c>
      <x:c r="C2485" s="2" t="str">
        <x:v>PHILADELPHIA</x:v>
      </x:c>
      <x:c r="D2485" s="2" t="str">
        <x:v>PA</x:v>
      </x:c>
      <x:c r="E2485" s="2" t="str">
        <x:v>Psychiatric</x:v>
      </x:c>
      <x:c r="F2485" s="2" t="str">
        <x:v>Proprietary</x:v>
      </x:c>
      <x:c r="G2485" s="2" t="str">
        <x:v>Medium (100-299 beds)</x:v>
      </x:c>
      <x:c r="H2485" s="7"/>
      <x:c r="I2485" s="7"/>
      <x:c r="J2485" s="7"/>
      <x:c r="K2485" s="8" t="n">
        <x:v>192</x:v>
      </x:c>
      <x:c r="L2485" s="8" t="n">
        <x:v>4757</x:v>
      </x:c>
      <x:c r="M2485" s="9" t="n">
        <x:v>0.9209642532</x:v>
      </x:c>
      <x:c r="N2485" s="10" t="n">
        <x:v>11116.5286945554</x:v>
      </x:c>
      <x:c r="O2485" s="9" t="n">
        <x:v>0.1140578948</x:v>
      </x:c>
      <x:c r="P2485" s="9" t="n">
        <x:v>0.4975124378</x:v>
      </x:c>
      <x:c r="Q2485" s="9" t="n">
        <x:v>0</x:v>
      </x:c>
      <x:c r="R2485" s="3" t="b">
        <x:v>0</x:v>
      </x:c>
      <x:c r="S2485" s="3" t="b">
        <x:v>0</x:v>
      </x:c>
      <x:c r="T2485" s="3" t="b">
        <x:v>0</x:v>
      </x:c>
      <x:c r="U2485" s="2" t="str">
        <x:f>IF(T2485=TRUE,"Priority review",IF(R2485=TRUE,"High cost",IF(S2485=TRUE,"Low quality","Benchmark")))</x:f>
        <x:v>Benchmark</x:v>
      </x:c>
    </x:row>
    <x:row r="2486">
      <x:c r="A2486" s="2" t="str">
        <x:v>371317</x:v>
      </x:c>
      <x:c r="B2486" s="2" t="str">
        <x:v>MERCY HOSPITAL LOGAN COUNTY</x:v>
      </x:c>
      <x:c r="C2486" s="2" t="str">
        <x:v>GUTHRIE</x:v>
      </x:c>
      <x:c r="D2486" s="2" t="str">
        <x:v>OK</x:v>
      </x:c>
      <x:c r="E2486" s="2" t="str">
        <x:v>Critical Access Hospitals</x:v>
      </x:c>
      <x:c r="F2486" s="2" t="str">
        <x:v>Voluntary non-profit</x:v>
      </x:c>
      <x:c r="G2486" s="2" t="str">
        <x:v>Small (&lt;100 beds)</x:v>
      </x:c>
      <x:c r="H2486" s="7"/>
      <x:c r="I2486" s="7"/>
      <x:c r="J2486" s="7"/>
      <x:c r="K2486" s="8" t="n">
        <x:v>25</x:v>
      </x:c>
      <x:c r="L2486" s="8" t="n">
        <x:v>200</x:v>
      </x:c>
      <x:c r="M2486" s="9" t="n">
        <x:v>0.6113972603</x:v>
      </x:c>
      <x:c r="N2486" s="10" t="n">
        <x:v>128927.335</x:v>
      </x:c>
      <x:c r="O2486" s="9" t="n">
        <x:v>0.1608358971</x:v>
      </x:c>
      <x:c r="P2486" s="9" t="n">
        <x:v>0.4973977695</x:v>
      </x:c>
      <x:c r="Q2486" s="9" t="n">
        <x:v>0.292936803</x:v>
      </x:c>
      <x:c r="R2486" s="3" t="b">
        <x:v>0</x:v>
      </x:c>
      <x:c r="S2486" s="3" t="b">
        <x:v>0</x:v>
      </x:c>
      <x:c r="T2486" s="3" t="b">
        <x:v>0</x:v>
      </x:c>
      <x:c r="U2486" s="2" t="str">
        <x:f>IF(T2486=TRUE,"Priority review",IF(R2486=TRUE,"High cost",IF(S2486=TRUE,"Low quality","Benchmark")))</x:f>
        <x:v>Benchmark</x:v>
      </x:c>
    </x:row>
    <x:row r="2487">
      <x:c r="A2487" s="2" t="str">
        <x:v>250044</x:v>
      </x:c>
      <x:c r="B2487" s="2" t="str">
        <x:v>BAPTIST MEMORIAL HOSPITAL BOONEVILLE</x:v>
      </x:c>
      <x:c r="C2487" s="2" t="str">
        <x:v>BOONEVILLE</x:v>
      </x:c>
      <x:c r="D2487" s="2" t="str">
        <x:v>MS</x:v>
      </x:c>
      <x:c r="E2487" s="2" t="str">
        <x:v>Acute Care Hospitals</x:v>
      </x:c>
      <x:c r="F2487" s="2" t="str">
        <x:v>Voluntary non-profit</x:v>
      </x:c>
      <x:c r="G2487" s="2" t="str">
        <x:v>Small (&lt;100 beds)</x:v>
      </x:c>
      <x:c r="H2487" s="7" t="n">
        <x:v>3</x:v>
      </x:c>
      <x:c r="I2487" s="7"/>
      <x:c r="J2487" s="7" t="n">
        <x:v>0.93</x:v>
      </x:c>
      <x:c r="K2487" s="8" t="n">
        <x:v>20</x:v>
      </x:c>
      <x:c r="L2487" s="8" t="n">
        <x:v>534</x:v>
      </x:c>
      <x:c r="M2487" s="9" t="n">
        <x:v>0.2842896175</x:v>
      </x:c>
      <x:c r="N2487" s="10" t="n">
        <x:v>52052.6029962547</x:v>
      </x:c>
      <x:c r="O2487" s="9" t="n">
        <x:v>-0.0557766647</x:v>
      </x:c>
      <x:c r="P2487" s="9" t="n">
        <x:v>0.4973070018</x:v>
      </x:c>
      <x:c r="Q2487" s="9" t="n">
        <x:v>0.1687612208</x:v>
      </x:c>
      <x:c r="R2487" s="3" t="b">
        <x:v>0</x:v>
      </x:c>
      <x:c r="S2487" s="3" t="b">
        <x:v>0</x:v>
      </x:c>
      <x:c r="T2487" s="3" t="b">
        <x:v>0</x:v>
      </x:c>
      <x:c r="U2487" s="2" t="str">
        <x:f>IF(T2487=TRUE,"Priority review",IF(R2487=TRUE,"High cost",IF(S2487=TRUE,"Low quality","Benchmark")))</x:f>
        <x:v>Benchmark</x:v>
      </x:c>
    </x:row>
    <x:row r="2488">
      <x:c r="A2488" s="2" t="str">
        <x:v>330246</x:v>
      </x:c>
      <x:c r="B2488" s="2" t="str">
        <x:v>ST CHARLES HOSPITAL</x:v>
      </x:c>
      <x:c r="C2488" s="2" t="str">
        <x:v>PORT JEFFERSON</x:v>
      </x:c>
      <x:c r="D2488" s="2" t="str">
        <x:v>NY</x:v>
      </x:c>
      <x:c r="E2488" s="2" t="str">
        <x:v>Acute Care Hospitals</x:v>
      </x:c>
      <x:c r="F2488" s="2" t="str">
        <x:v>Voluntary non-profit</x:v>
      </x:c>
      <x:c r="G2488" s="2" t="str">
        <x:v>Medium (100-299 beds)</x:v>
      </x:c>
      <x:c r="H2488" s="7" t="n">
        <x:v>5</x:v>
      </x:c>
      <x:c r="I2488" s="7" t="n">
        <x:v>4</x:v>
      </x:c>
      <x:c r="J2488" s="7" t="n">
        <x:v>1.07</x:v>
      </x:c>
      <x:c r="K2488" s="8" t="n">
        <x:v>140</x:v>
      </x:c>
      <x:c r="L2488" s="8" t="n">
        <x:v>8358</x:v>
      </x:c>
      <x:c r="M2488" s="9" t="n">
        <x:v>0.9192818111</x:v>
      </x:c>
      <x:c r="N2488" s="10" t="n">
        <x:v>34086.8849006939</x:v>
      </x:c>
      <x:c r="O2488" s="9" t="n">
        <x:v>-0.1275758579</x:v>
      </x:c>
      <x:c r="P2488" s="9" t="n">
        <x:v>0.4971475143</x:v>
      </x:c>
      <x:c r="Q2488" s="9" t="n">
        <x:v>0.8744906275</x:v>
      </x:c>
      <x:c r="R2488" s="3" t="b">
        <x:v>0</x:v>
      </x:c>
      <x:c r="S2488" s="3" t="b">
        <x:v>0</x:v>
      </x:c>
      <x:c r="T2488" s="3" t="b">
        <x:v>0</x:v>
      </x:c>
      <x:c r="U2488" s="2" t="str">
        <x:f>IF(T2488=TRUE,"Priority review",IF(R2488=TRUE,"High cost",IF(S2488=TRUE,"Low quality","Benchmark")))</x:f>
        <x:v>Benchmark</x:v>
      </x:c>
    </x:row>
    <x:row r="2489">
      <x:c r="A2489" s="2" t="str">
        <x:v>490021</x:v>
      </x:c>
      <x:c r="B2489" s="2" t="str">
        <x:v>CENTRA HEALTH -  LYNCHBURG GEN HOSPITAL</x:v>
      </x:c>
      <x:c r="C2489" s="2" t="str">
        <x:v>LYNCHBURG</x:v>
      </x:c>
      <x:c r="D2489" s="2" t="str">
        <x:v>VA</x:v>
      </x:c>
      <x:c r="E2489" s="2" t="str">
        <x:v>Acute Care Hospitals</x:v>
      </x:c>
      <x:c r="F2489" s="2" t="str">
        <x:v>Voluntary non-profit</x:v>
      </x:c>
      <x:c r="G2489" s="2" t="str">
        <x:v>Large (300+ beds)</x:v>
      </x:c>
      <x:c r="H2489" s="7" t="n">
        <x:v>3</x:v>
      </x:c>
      <x:c r="I2489" s="7" t="n">
        <x:v>3</x:v>
      </x:c>
      <x:c r="J2489" s="7" t="n">
        <x:v>0.98</x:v>
      </x:c>
      <x:c r="K2489" s="8" t="n">
        <x:v>452</x:v>
      </x:c>
      <x:c r="L2489" s="8" t="n">
        <x:v>22432</x:v>
      </x:c>
      <x:c r="M2489" s="9" t="n">
        <x:v>0.7225869239</x:v>
      </x:c>
      <x:c r="N2489" s="10" t="n">
        <x:v>38712.6245987874</x:v>
      </x:c>
      <x:c r="O2489" s="9" t="n">
        <x:v>0.0680204728</x:v>
      </x:c>
      <x:c r="P2489" s="9" t="n">
        <x:v>0.4968454259</x:v>
      </x:c>
      <x:c r="Q2489" s="9" t="n">
        <x:v>0.2570977918</x:v>
      </x:c>
      <x:c r="R2489" s="3" t="b">
        <x:v>0</x:v>
      </x:c>
      <x:c r="S2489" s="3" t="b">
        <x:v>0</x:v>
      </x:c>
      <x:c r="T2489" s="3" t="b">
        <x:v>0</x:v>
      </x:c>
      <x:c r="U2489" s="2" t="str">
        <x:f>IF(T2489=TRUE,"Priority review",IF(R2489=TRUE,"High cost",IF(S2489=TRUE,"Low quality","Benchmark")))</x:f>
        <x:v>Benchmark</x:v>
      </x:c>
    </x:row>
    <x:row r="2490">
      <x:c r="A2490" s="2" t="str">
        <x:v>501339</x:v>
      </x:c>
      <x:c r="B2490" s="2" t="str">
        <x:v>WHIDBEYHEALTH MEDICAL CENTER</x:v>
      </x:c>
      <x:c r="C2490" s="2" t="str">
        <x:v>COUPEVILLE</x:v>
      </x:c>
      <x:c r="D2490" s="2" t="str">
        <x:v>WA</x:v>
      </x:c>
      <x:c r="E2490" s="2" t="str">
        <x:v>Critical Access Hospitals</x:v>
      </x:c>
      <x:c r="F2490" s="2" t="str">
        <x:v>Government</x:v>
      </x:c>
      <x:c r="G2490" s="2" t="str">
        <x:v>Small (&lt;100 beds)</x:v>
      </x:c>
      <x:c r="H2490" s="7" t="n">
        <x:v>2</x:v>
      </x:c>
      <x:c r="I2490" s="7" t="n">
        <x:v>4</x:v>
      </x:c>
      <x:c r="J2490" s="7"/>
      <x:c r="K2490" s="8" t="n">
        <x:v>25</x:v>
      </x:c>
      <x:c r="L2490" s="8" t="n">
        <x:v>1163</x:v>
      </x:c>
      <x:c r="M2490" s="9" t="n">
        <x:v>0.5160655738</x:v>
      </x:c>
      <x:c r="N2490" s="10" t="n">
        <x:v>128862.0954428203</x:v>
      </x:c>
      <x:c r="O2490" s="9" t="n">
        <x:v>-0.1720939536</x:v>
      </x:c>
      <x:c r="P2490" s="9" t="n">
        <x:v>0.4966542751</x:v>
      </x:c>
      <x:c r="Q2490" s="9" t="n">
        <x:v>0.0171003717</x:v>
      </x:c>
      <x:c r="R2490" s="3" t="b">
        <x:v>0</x:v>
      </x:c>
      <x:c r="S2490" s="3" t="b">
        <x:v>1</x:v>
      </x:c>
      <x:c r="T2490" s="3" t="b">
        <x:v>0</x:v>
      </x:c>
      <x:c r="U2490" s="2" t="str">
        <x:f>IF(T2490=TRUE,"Priority review",IF(R2490=TRUE,"High cost",IF(S2490=TRUE,"Low quality","Benchmark")))</x:f>
        <x:v>Low quality</x:v>
      </x:c>
    </x:row>
    <x:row r="2491">
      <x:c r="A2491" s="2" t="str">
        <x:v>510093</x:v>
      </x:c>
      <x:c r="B2491" s="2" t="str">
        <x:v>MON HEALTH MARION</x:v>
      </x:c>
      <x:c r="C2491" s="2" t="str">
        <x:v>WHITEHALL</x:v>
      </x:c>
      <x:c r="D2491" s="2" t="str">
        <x:v>WV</x:v>
      </x:c>
      <x:c r="E2491" s="2" t="str">
        <x:v>Acute Care Hospitals</x:v>
      </x:c>
      <x:c r="F2491" s="2" t="str">
        <x:v>Voluntary non-profit</x:v>
      </x:c>
      <x:c r="G2491" s="2" t="str">
        <x:v>Small (&lt;100 beds)</x:v>
      </x:c>
      <x:c r="H2491" s="7"/>
      <x:c r="I2491" s="7"/>
      <x:c r="J2491" s="7" t="n">
        <x:v>1.13</x:v>
      </x:c>
      <x:c r="K2491" s="8" t="n">
        <x:v>10</x:v>
      </x:c>
      <x:c r="L2491" s="8" t="n">
        <x:v>201</x:v>
      </x:c>
      <x:c r="M2491" s="9" t="n">
        <x:v>0.1592896175</x:v>
      </x:c>
      <x:c r="N2491" s="10" t="n">
        <x:v>51890.3034825871</x:v>
      </x:c>
      <x:c r="O2491" s="9" t="n">
        <x:v>-0.0179818605</x:v>
      </x:c>
      <x:c r="P2491" s="9" t="n">
        <x:v>0.4964093357</x:v>
      </x:c>
      <x:c r="Q2491" s="9" t="n">
        <x:v>0.697486535</x:v>
      </x:c>
      <x:c r="R2491" s="3" t="b">
        <x:v>0</x:v>
      </x:c>
      <x:c r="S2491" s="3" t="b">
        <x:v>0</x:v>
      </x:c>
      <x:c r="T2491" s="3" t="b">
        <x:v>0</x:v>
      </x:c>
      <x:c r="U2491" s="2" t="str">
        <x:f>IF(T2491=TRUE,"Priority review",IF(R2491=TRUE,"High cost",IF(S2491=TRUE,"Low quality","Benchmark")))</x:f>
        <x:v>Benchmark</x:v>
      </x:c>
    </x:row>
    <x:row r="2492">
      <x:c r="A2492" s="2" t="str">
        <x:v>360036</x:v>
      </x:c>
      <x:c r="B2492" s="2" t="str">
        <x:v>WOOSTER COMMUNITY HOSPITAL</x:v>
      </x:c>
      <x:c r="C2492" s="2" t="str">
        <x:v>WOOSTER</x:v>
      </x:c>
      <x:c r="D2492" s="2" t="str">
        <x:v>OH</x:v>
      </x:c>
      <x:c r="E2492" s="2" t="str">
        <x:v>Acute Care Hospitals</x:v>
      </x:c>
      <x:c r="F2492" s="2" t="str">
        <x:v>Government</x:v>
      </x:c>
      <x:c r="G2492" s="2" t="str">
        <x:v>Medium (100-299 beds)</x:v>
      </x:c>
      <x:c r="H2492" s="7" t="n">
        <x:v>4</x:v>
      </x:c>
      <x:c r="I2492" s="7" t="n">
        <x:v>4</x:v>
      </x:c>
      <x:c r="J2492" s="7" t="n">
        <x:v>0.97</x:v>
      </x:c>
      <x:c r="K2492" s="8" t="n">
        <x:v>104</x:v>
      </x:c>
      <x:c r="L2492" s="8" t="n">
        <x:v>5446</x:v>
      </x:c>
      <x:c r="M2492" s="9" t="n">
        <x:v>0.4819514502</x:v>
      </x:c>
      <x:c r="N2492" s="10" t="n">
        <x:v>34071.6303709144</x:v>
      </x:c>
      <x:c r="O2492" s="9" t="n">
        <x:v>-0.0789367583</x:v>
      </x:c>
      <x:c r="P2492" s="9" t="n">
        <x:v>0.4963325183</x:v>
      </x:c>
      <x:c r="Q2492" s="9" t="n">
        <x:v>0.6022819886</x:v>
      </x:c>
      <x:c r="R2492" s="3" t="b">
        <x:v>0</x:v>
      </x:c>
      <x:c r="S2492" s="3" t="b">
        <x:v>0</x:v>
      </x:c>
      <x:c r="T2492" s="3" t="b">
        <x:v>0</x:v>
      </x:c>
      <x:c r="U2492" s="2" t="str">
        <x:f>IF(T2492=TRUE,"Priority review",IF(R2492=TRUE,"High cost",IF(S2492=TRUE,"Low quality","Benchmark")))</x:f>
        <x:v>Benchmark</x:v>
      </x:c>
    </x:row>
    <x:row r="2493">
      <x:c r="A2493" s="2" t="str">
        <x:v>141305</x:v>
      </x:c>
      <x:c r="B2493" s="2" t="str">
        <x:v>MEMORIAL HOSPITAL</x:v>
      </x:c>
      <x:c r="C2493" s="2" t="str">
        <x:v>CARTHAGE</x:v>
      </x:c>
      <x:c r="D2493" s="2" t="str">
        <x:v>IL</x:v>
      </x:c>
      <x:c r="E2493" s="2" t="str">
        <x:v>Critical Access Hospitals</x:v>
      </x:c>
      <x:c r="F2493" s="2" t="str">
        <x:v>Voluntary non-profit</x:v>
      </x:c>
      <x:c r="G2493" s="2" t="str">
        <x:v>Small (&lt;100 beds)</x:v>
      </x:c>
      <x:c r="H2493" s="7" t="n">
        <x:v>4</x:v>
      </x:c>
      <x:c r="I2493" s="7" t="n">
        <x:v>5</x:v>
      </x:c>
      <x:c r="J2493" s="7"/>
      <x:c r="K2493" s="8" t="n">
        <x:v>18</x:v>
      </x:c>
      <x:c r="L2493" s="8" t="n">
        <x:v>419</x:v>
      </x:c>
      <x:c r="M2493" s="9" t="n">
        <x:v>0.3793260474</x:v>
      </x:c>
      <x:c r="N2493" s="10" t="n">
        <x:v>128852.4701670644</x:v>
      </x:c>
      <x:c r="O2493" s="9" t="n">
        <x:v>-0.0523535983</x:v>
      </x:c>
      <x:c r="P2493" s="9" t="n">
        <x:v>0.4959107807</x:v>
      </x:c>
      <x:c r="Q2493" s="9" t="n">
        <x:v>0.1657992565</x:v>
      </x:c>
      <x:c r="R2493" s="3" t="b">
        <x:v>0</x:v>
      </x:c>
      <x:c r="S2493" s="3" t="b">
        <x:v>0</x:v>
      </x:c>
      <x:c r="T2493" s="3" t="b">
        <x:v>0</x:v>
      </x:c>
      <x:c r="U2493" s="2" t="str">
        <x:f>IF(T2493=TRUE,"Priority review",IF(R2493=TRUE,"High cost",IF(S2493=TRUE,"Low quality","Benchmark")))</x:f>
        <x:v>Benchmark</x:v>
      </x:c>
    </x:row>
    <x:row r="2494">
      <x:c r="A2494" s="2" t="str">
        <x:v>140280</x:v>
      </x:c>
      <x:c r="B2494" s="2" t="str">
        <x:v>TRINITY ROCK ISLAND</x:v>
      </x:c>
      <x:c r="C2494" s="2" t="str">
        <x:v>ROCK ISLAND</x:v>
      </x:c>
      <x:c r="D2494" s="2" t="str">
        <x:v>IL</x:v>
      </x:c>
      <x:c r="E2494" s="2" t="str">
        <x:v>Acute Care Hospitals</x:v>
      </x:c>
      <x:c r="F2494" s="2" t="str">
        <x:v>Voluntary non-profit</x:v>
      </x:c>
      <x:c r="G2494" s="2" t="str">
        <x:v>Medium (100-299 beds)</x:v>
      </x:c>
      <x:c r="H2494" s="7" t="n">
        <x:v>3</x:v>
      </x:c>
      <x:c r="I2494" s="7" t="n">
        <x:v>2</x:v>
      </x:c>
      <x:c r="J2494" s="7" t="n">
        <x:v>1.03</x:v>
      </x:c>
      <x:c r="K2494" s="8" t="n">
        <x:v>249</x:v>
      </x:c>
      <x:c r="L2494" s="8" t="n">
        <x:v>10704</x:v>
      </x:c>
      <x:c r="M2494" s="9" t="n">
        <x:v>0.5179515878</x:v>
      </x:c>
      <x:c r="N2494" s="10" t="n">
        <x:v>34071.0899663677</x:v>
      </x:c>
      <x:c r="O2494" s="9" t="n">
        <x:v>-0.0075139734</x:v>
      </x:c>
      <x:c r="P2494" s="9" t="n">
        <x:v>0.4955175224</x:v>
      </x:c>
      <x:c r="Q2494" s="9" t="n">
        <x:v>0.3023634882</x:v>
      </x:c>
      <x:c r="R2494" s="3" t="b">
        <x:v>0</x:v>
      </x:c>
      <x:c r="S2494" s="3" t="b">
        <x:v>0</x:v>
      </x:c>
      <x:c r="T2494" s="3" t="b">
        <x:v>0</x:v>
      </x:c>
      <x:c r="U2494" s="2" t="str">
        <x:f>IF(T2494=TRUE,"Priority review",IF(R2494=TRUE,"High cost",IF(S2494=TRUE,"Low quality","Benchmark")))</x:f>
        <x:v>Benchmark</x:v>
      </x:c>
    </x:row>
    <x:row r="2495">
      <x:c r="A2495" s="2" t="str">
        <x:v>360002</x:v>
      </x:c>
      <x:c r="B2495" s="2" t="str">
        <x:v>UNIVERSITY HOSPITALS SAMARITAN MEDICAL CENTER</x:v>
      </x:c>
      <x:c r="C2495" s="2" t="str">
        <x:v>ASHLAND</x:v>
      </x:c>
      <x:c r="D2495" s="2" t="str">
        <x:v>OH</x:v>
      </x:c>
      <x:c r="E2495" s="2" t="str">
        <x:v>Acute Care Hospitals</x:v>
      </x:c>
      <x:c r="F2495" s="2" t="str">
        <x:v>Voluntary non-profit</x:v>
      </x:c>
      <x:c r="G2495" s="2" t="str">
        <x:v>Small (&lt;100 beds)</x:v>
      </x:c>
      <x:c r="H2495" s="7" t="n">
        <x:v>4</x:v>
      </x:c>
      <x:c r="I2495" s="7" t="n">
        <x:v>4</x:v>
      </x:c>
      <x:c r="J2495" s="7" t="n">
        <x:v>0.96</x:v>
      </x:c>
      <x:c r="K2495" s="8" t="n">
        <x:v>28</x:v>
      </x:c>
      <x:c r="L2495" s="8" t="n">
        <x:v>1793</x:v>
      </x:c>
      <x:c r="M2495" s="9" t="n">
        <x:v>0.600312256</x:v>
      </x:c>
      <x:c r="N2495" s="10" t="n">
        <x:v>51859.0808700502</x:v>
      </x:c>
      <x:c r="O2495" s="9" t="n">
        <x:v>-0.0335059561</x:v>
      </x:c>
      <x:c r="P2495" s="9" t="n">
        <x:v>0.4955116697</x:v>
      </x:c>
      <x:c r="Q2495" s="9" t="n">
        <x:v>0.3913824057</x:v>
      </x:c>
      <x:c r="R2495" s="3" t="b">
        <x:v>0</x:v>
      </x:c>
      <x:c r="S2495" s="3" t="b">
        <x:v>0</x:v>
      </x:c>
      <x:c r="T2495" s="3" t="b">
        <x:v>0</x:v>
      </x:c>
      <x:c r="U2495" s="2" t="str">
        <x:f>IF(T2495=TRUE,"Priority review",IF(R2495=TRUE,"High cost",IF(S2495=TRUE,"Low quality","Benchmark")))</x:f>
        <x:v>Benchmark</x:v>
      </x:c>
    </x:row>
    <x:row r="2496">
      <x:c r="A2496" s="2" t="str">
        <x:v>310070</x:v>
      </x:c>
      <x:c r="B2496" s="2" t="str">
        <x:v>SAINT PETER'S UNIVERSITY HOSPITAL</x:v>
      </x:c>
      <x:c r="C2496" s="2" t="str">
        <x:v>NEW BRUNSWICK</x:v>
      </x:c>
      <x:c r="D2496" s="2" t="str">
        <x:v>NJ</x:v>
      </x:c>
      <x:c r="E2496" s="2" t="str">
        <x:v>Acute Care Hospitals</x:v>
      </x:c>
      <x:c r="F2496" s="2" t="str">
        <x:v>Voluntary non-profit</x:v>
      </x:c>
      <x:c r="G2496" s="2" t="str">
        <x:v>Large (300+ beds)</x:v>
      </x:c>
      <x:c r="H2496" s="7" t="n">
        <x:v>3</x:v>
      </x:c>
      <x:c r="I2496" s="7" t="n">
        <x:v>3</x:v>
      </x:c>
      <x:c r="J2496" s="7" t="n">
        <x:v>1.09</x:v>
      </x:c>
      <x:c r="K2496" s="8" t="n">
        <x:v>337</x:v>
      </x:c>
      <x:c r="L2496" s="8" t="n">
        <x:v>15738</x:v>
      </x:c>
      <x:c r="M2496" s="9" t="n">
        <x:v>0.7134877009</x:v>
      </x:c>
      <x:c r="N2496" s="10" t="n">
        <x:v>38691.4233701868</x:v>
      </x:c>
      <x:c r="O2496" s="9" t="n">
        <x:v>-0.0308976117</x:v>
      </x:c>
      <x:c r="P2496" s="9" t="n">
        <x:v>0.4952681388</x:v>
      </x:c>
      <x:c r="Q2496" s="9" t="n">
        <x:v>0.2570977918</x:v>
      </x:c>
      <x:c r="R2496" s="3" t="b">
        <x:v>0</x:v>
      </x:c>
      <x:c r="S2496" s="3" t="b">
        <x:v>0</x:v>
      </x:c>
      <x:c r="T2496" s="3" t="b">
        <x:v>0</x:v>
      </x:c>
      <x:c r="U2496" s="2" t="str">
        <x:f>IF(T2496=TRUE,"Priority review",IF(R2496=TRUE,"High cost",IF(S2496=TRUE,"Low quality","Benchmark")))</x:f>
        <x:v>Benchmark</x:v>
      </x:c>
    </x:row>
    <x:row r="2497">
      <x:c r="A2497" s="2" t="str">
        <x:v>261301</x:v>
      </x:c>
      <x:c r="B2497" s="2" t="str">
        <x:v>ELLETT MEMORIAL HOSPITAL</x:v>
      </x:c>
      <x:c r="C2497" s="2" t="str">
        <x:v>APPLETON CITY</x:v>
      </x:c>
      <x:c r="D2497" s="2" t="str">
        <x:v>MO</x:v>
      </x:c>
      <x:c r="E2497" s="2" t="str">
        <x:v>Critical Access Hospitals</x:v>
      </x:c>
      <x:c r="F2497" s="2" t="str">
        <x:v>Government</x:v>
      </x:c>
      <x:c r="G2497" s="2" t="str">
        <x:v>Small (&lt;100 beds)</x:v>
      </x:c>
      <x:c r="H2497" s="7"/>
      <x:c r="I2497" s="7"/>
      <x:c r="J2497" s="7"/>
      <x:c r="K2497" s="8" t="n">
        <x:v>12</x:v>
      </x:c>
      <x:c r="L2497" s="8" t="n">
        <x:v>85</x:v>
      </x:c>
      <x:c r="M2497" s="9" t="n">
        <x:v>0.2052511416</x:v>
      </x:c>
      <x:c r="N2497" s="10" t="n">
        <x:v>128751.2</x:v>
      </x:c>
      <x:c r="O2497" s="9" t="n">
        <x:v>-0.0587920011</x:v>
      </x:c>
      <x:c r="P2497" s="9" t="n">
        <x:v>0.4951672862</x:v>
      </x:c>
      <x:c r="Q2497" s="9" t="n">
        <x:v>0.292936803</x:v>
      </x:c>
      <x:c r="R2497" s="3" t="b">
        <x:v>0</x:v>
      </x:c>
      <x:c r="S2497" s="3" t="b">
        <x:v>0</x:v>
      </x:c>
      <x:c r="T2497" s="3" t="b">
        <x:v>0</x:v>
      </x:c>
      <x:c r="U2497" s="2" t="str">
        <x:f>IF(T2497=TRUE,"Priority review",IF(R2497=TRUE,"High cost",IF(S2497=TRUE,"Low quality","Benchmark")))</x:f>
        <x:v>Benchmark</x:v>
      </x:c>
    </x:row>
    <x:row r="2498">
      <x:c r="A2498" s="2" t="str">
        <x:v>234046</x:v>
      </x:c>
      <x:c r="B2498" s="2" t="str">
        <x:v>BRONSON BEHAVIORAL HEALTH HOSPITAL</x:v>
      </x:c>
      <x:c r="C2498" s="2" t="str">
        <x:v>BATTLE CREEK</x:v>
      </x:c>
      <x:c r="D2498" s="2" t="str">
        <x:v>MI</x:v>
      </x:c>
      <x:c r="E2498" s="2" t="str">
        <x:v>Psychiatric</x:v>
      </x:c>
      <x:c r="F2498" s="2" t="str">
        <x:v>Proprietary</x:v>
      </x:c>
      <x:c r="G2498" s="2" t="str">
        <x:v>Small (&lt;100 beds)</x:v>
      </x:c>
      <x:c r="H2498" s="7"/>
      <x:c r="I2498" s="7"/>
      <x:c r="J2498" s="7"/>
      <x:c r="K2498" s="8" t="n">
        <x:v>69</x:v>
      </x:c>
      <x:c r="L2498" s="8" t="n">
        <x:v>1302</x:v>
      </x:c>
      <x:c r="M2498" s="9" t="n">
        <x:v>0.7430124224</x:v>
      </x:c>
      <x:c r="N2498" s="10" t="n">
        <x:v>12150.4831029186</x:v>
      </x:c>
      <x:c r="O2498" s="9" t="n">
        <x:v>-0.0365426835</x:v>
      </x:c>
      <x:c r="P2498" s="9" t="n">
        <x:v>0.4951456311</x:v>
      </x:c>
      <x:c r="Q2498" s="9" t="n">
        <x:v>0</x:v>
      </x:c>
      <x:c r="R2498" s="3" t="b">
        <x:v>0</x:v>
      </x:c>
      <x:c r="S2498" s="3" t="b">
        <x:v>0</x:v>
      </x:c>
      <x:c r="T2498" s="3" t="b">
        <x:v>0</x:v>
      </x:c>
      <x:c r="U2498" s="2" t="str">
        <x:f>IF(T2498=TRUE,"Priority review",IF(R2498=TRUE,"High cost",IF(S2498=TRUE,"Low quality","Benchmark")))</x:f>
        <x:v>Benchmark</x:v>
      </x:c>
    </x:row>
    <x:row r="2499">
      <x:c r="A2499" s="2" t="str">
        <x:v>360072</x:v>
      </x:c>
      <x:c r="B2499" s="2" t="str">
        <x:v>FAIRFIELD MEDICAL CENTER</x:v>
      </x:c>
      <x:c r="C2499" s="2" t="str">
        <x:v>LANCASTER</x:v>
      </x:c>
      <x:c r="D2499" s="2" t="str">
        <x:v>OH</x:v>
      </x:c>
      <x:c r="E2499" s="2" t="str">
        <x:v>Acute Care Hospitals</x:v>
      </x:c>
      <x:c r="F2499" s="2" t="str">
        <x:v>Voluntary non-profit</x:v>
      </x:c>
      <x:c r="G2499" s="2" t="str">
        <x:v>Medium (100-299 beds)</x:v>
      </x:c>
      <x:c r="H2499" s="7" t="n">
        <x:v>2</x:v>
      </x:c>
      <x:c r="I2499" s="7" t="n">
        <x:v>3</x:v>
      </x:c>
      <x:c r="J2499" s="7" t="n">
        <x:v>0.95</x:v>
      </x:c>
      <x:c r="K2499" s="8" t="n">
        <x:v>185</x:v>
      </x:c>
      <x:c r="L2499" s="8" t="n">
        <x:v>9881</x:v>
      </x:c>
      <x:c r="M2499" s="9" t="n">
        <x:v>0.5528430069</x:v>
      </x:c>
      <x:c r="N2499" s="10" t="n">
        <x:v>34052.1232668758</x:v>
      </x:c>
      <x:c r="O2499" s="9" t="n">
        <x:v>-0.0243340889</x:v>
      </x:c>
      <x:c r="P2499" s="9" t="n">
        <x:v>0.4947025265</x:v>
      </x:c>
      <x:c r="Q2499" s="9" t="n">
        <x:v>0.0782396088</x:v>
      </x:c>
      <x:c r="R2499" s="3" t="b">
        <x:v>0</x:v>
      </x:c>
      <x:c r="S2499" s="3" t="b">
        <x:v>1</x:v>
      </x:c>
      <x:c r="T2499" s="3" t="b">
        <x:v>0</x:v>
      </x:c>
      <x:c r="U2499" s="2" t="str">
        <x:f>IF(T2499=TRUE,"Priority review",IF(R2499=TRUE,"High cost",IF(S2499=TRUE,"Low quality","Benchmark")))</x:f>
        <x:v>Low quality</x:v>
      </x:c>
    </x:row>
    <x:row r="2500">
      <x:c r="A2500" s="2" t="str">
        <x:v>180046</x:v>
      </x:c>
      <x:c r="B2500" s="2" t="str">
        <x:v>BOURBON COMMUNITY HOSPITAL</x:v>
      </x:c>
      <x:c r="C2500" s="2" t="str">
        <x:v>PARIS</x:v>
      </x:c>
      <x:c r="D2500" s="2" t="str">
        <x:v>KY</x:v>
      </x:c>
      <x:c r="E2500" s="2" t="str">
        <x:v>Acute Care Hospitals</x:v>
      </x:c>
      <x:c r="F2500" s="2" t="str">
        <x:v>Proprietary</x:v>
      </x:c>
      <x:c r="G2500" s="2" t="str">
        <x:v>Small (&lt;100 beds)</x:v>
      </x:c>
      <x:c r="H2500" s="7" t="n">
        <x:v>2</x:v>
      </x:c>
      <x:c r="I2500" s="7"/>
      <x:c r="J2500" s="7" t="n">
        <x:v>1.22</x:v>
      </x:c>
      <x:c r="K2500" s="8" t="n">
        <x:v>34</x:v>
      </x:c>
      <x:c r="L2500" s="8" t="n">
        <x:v>804</x:v>
      </x:c>
      <x:c r="M2500" s="9" t="n">
        <x:v>0.2897663175</x:v>
      </x:c>
      <x:c r="N2500" s="10" t="n">
        <x:v>51800.2873134328</x:v>
      </x:c>
      <x:c r="O2500" s="9" t="n">
        <x:v>0.1469810206</x:v>
      </x:c>
      <x:c r="P2500" s="9" t="n">
        <x:v>0.4946140036</x:v>
      </x:c>
      <x:c r="Q2500" s="9" t="n">
        <x:v>0.0350089767</x:v>
      </x:c>
      <x:c r="R2500" s="3" t="b">
        <x:v>0</x:v>
      </x:c>
      <x:c r="S2500" s="3" t="b">
        <x:v>1</x:v>
      </x:c>
      <x:c r="T2500" s="3" t="b">
        <x:v>0</x:v>
      </x:c>
      <x:c r="U2500" s="2" t="str">
        <x:f>IF(T2500=TRUE,"Priority review",IF(R2500=TRUE,"High cost",IF(S2500=TRUE,"Low quality","Benchmark")))</x:f>
        <x:v>Low quality</x:v>
      </x:c>
    </x:row>
    <x:row r="2501">
      <x:c r="A2501" s="2" t="str">
        <x:v>201300</x:v>
      </x:c>
      <x:c r="B2501" s="2" t="str">
        <x:v>NORTHERN LIGHT BLUE HILL MEMORIAL HOSPITAL</x:v>
      </x:c>
      <x:c r="C2501" s="2" t="str">
        <x:v>BLUE HILL</x:v>
      </x:c>
      <x:c r="D2501" s="2" t="str">
        <x:v>ME</x:v>
      </x:c>
      <x:c r="E2501" s="2" t="str">
        <x:v>Critical Access Hospitals</x:v>
      </x:c>
      <x:c r="F2501" s="2" t="str">
        <x:v>Voluntary non-profit</x:v>
      </x:c>
      <x:c r="G2501" s="2" t="str">
        <x:v>Small (&lt;100 beds)</x:v>
      </x:c>
      <x:c r="H2501" s="7"/>
      <x:c r="I2501" s="7"/>
      <x:c r="J2501" s="7"/>
      <x:c r="K2501" s="8" t="n">
        <x:v>25</x:v>
      </x:c>
      <x:c r="L2501" s="8" t="n">
        <x:v>320</x:v>
      </x:c>
      <x:c r="M2501" s="9" t="n">
        <x:v>0.3140821918</x:v>
      </x:c>
      <x:c r="N2501" s="10" t="n">
        <x:v>128391.965625</x:v>
      </x:c>
      <x:c r="O2501" s="9" t="n">
        <x:v>0.0013885379</x:v>
      </x:c>
      <x:c r="P2501" s="9" t="n">
        <x:v>0.4944237918</x:v>
      </x:c>
      <x:c r="Q2501" s="9" t="n">
        <x:v>0.292936803</x:v>
      </x:c>
      <x:c r="R2501" s="3" t="b">
        <x:v>0</x:v>
      </x:c>
      <x:c r="S2501" s="3" t="b">
        <x:v>0</x:v>
      </x:c>
      <x:c r="T2501" s="3" t="b">
        <x:v>0</x:v>
      </x:c>
      <x:c r="U2501" s="2" t="str">
        <x:f>IF(T2501=TRUE,"Priority review",IF(R2501=TRUE,"High cost",IF(S2501=TRUE,"Low quality","Benchmark")))</x:f>
        <x:v>Benchmark</x:v>
      </x:c>
    </x:row>
    <x:row r="2502">
      <x:c r="A2502" s="2" t="str">
        <x:v>150126</x:v>
      </x:c>
      <x:c r="B2502" s="2" t="str">
        <x:v>FRANCISCAN HEALTH CROWN POINT</x:v>
      </x:c>
      <x:c r="C2502" s="2" t="str">
        <x:v>CROWN POINT</x:v>
      </x:c>
      <x:c r="D2502" s="2" t="str">
        <x:v>IN</x:v>
      </x:c>
      <x:c r="E2502" s="2" t="str">
        <x:v>Acute Care Hospitals</x:v>
      </x:c>
      <x:c r="F2502" s="2" t="str">
        <x:v>Voluntary non-profit</x:v>
      </x:c>
      <x:c r="G2502" s="2" t="str">
        <x:v>Medium (100-299 beds)</x:v>
      </x:c>
      <x:c r="H2502" s="7" t="n">
        <x:v>3</x:v>
      </x:c>
      <x:c r="I2502" s="7" t="n">
        <x:v>3</x:v>
      </x:c>
      <x:c r="J2502" s="7" t="n">
        <x:v>1.01</x:v>
      </x:c>
      <x:c r="K2502" s="8" t="n">
        <x:v>174</x:v>
      </x:c>
      <x:c r="L2502" s="8" t="n">
        <x:v>9406</x:v>
      </x:c>
      <x:c r="M2502" s="9" t="n">
        <x:v>0.719620293</x:v>
      </x:c>
      <x:c r="N2502" s="10" t="n">
        <x:v>34046.9128216032</x:v>
      </x:c>
      <x:c r="O2502" s="9" t="n">
        <x:v>0.0125069198</x:v>
      </x:c>
      <x:c r="P2502" s="9" t="n">
        <x:v>0.4938875306</x:v>
      </x:c>
      <x:c r="Q2502" s="9" t="n">
        <x:v>0.3023634882</x:v>
      </x:c>
      <x:c r="R2502" s="3" t="b">
        <x:v>0</x:v>
      </x:c>
      <x:c r="S2502" s="3" t="b">
        <x:v>0</x:v>
      </x:c>
      <x:c r="T2502" s="3" t="b">
        <x:v>0</x:v>
      </x:c>
      <x:c r="U2502" s="2" t="str">
        <x:f>IF(T2502=TRUE,"Priority review",IF(R2502=TRUE,"High cost",IF(S2502=TRUE,"Low quality","Benchmark")))</x:f>
        <x:v>Benchmark</x:v>
      </x:c>
    </x:row>
    <x:row r="2503">
      <x:c r="A2503" s="2" t="str">
        <x:v>150045</x:v>
      </x:c>
      <x:c r="B2503" s="2" t="str">
        <x:v>PARKVIEW DEKALB HOSPITAL</x:v>
      </x:c>
      <x:c r="C2503" s="2" t="str">
        <x:v>AUBURN</x:v>
      </x:c>
      <x:c r="D2503" s="2" t="str">
        <x:v>IN</x:v>
      </x:c>
      <x:c r="E2503" s="2" t="str">
        <x:v>Acute Care Hospitals</x:v>
      </x:c>
      <x:c r="F2503" s="2" t="str">
        <x:v>Voluntary non-profit</x:v>
      </x:c>
      <x:c r="G2503" s="2" t="str">
        <x:v>Small (&lt;100 beds)</x:v>
      </x:c>
      <x:c r="H2503" s="7" t="n">
        <x:v>3</x:v>
      </x:c>
      <x:c r="I2503" s="7" t="n">
        <x:v>3</x:v>
      </x:c>
      <x:c r="J2503" s="7" t="n">
        <x:v>0.92</x:v>
      </x:c>
      <x:c r="K2503" s="8" t="n">
        <x:v>48</x:v>
      </x:c>
      <x:c r="L2503" s="8" t="n">
        <x:v>1330</x:v>
      </x:c>
      <x:c r="M2503" s="9" t="n">
        <x:v>0.2113501821</x:v>
      </x:c>
      <x:c r="N2503" s="10" t="n">
        <x:v>51794.4466165414</x:v>
      </x:c>
      <x:c r="O2503" s="9" t="n">
        <x:v>0.0316756039</x:v>
      </x:c>
      <x:c r="P2503" s="9" t="n">
        <x:v>0.4937163375</x:v>
      </x:c>
      <x:c r="Q2503" s="9" t="n">
        <x:v>0.1687612208</x:v>
      </x:c>
      <x:c r="R2503" s="3" t="b">
        <x:v>0</x:v>
      </x:c>
      <x:c r="S2503" s="3" t="b">
        <x:v>0</x:v>
      </x:c>
      <x:c r="T2503" s="3" t="b">
        <x:v>0</x:v>
      </x:c>
      <x:c r="U2503" s="2" t="str">
        <x:f>IF(T2503=TRUE,"Priority review",IF(R2503=TRUE,"High cost",IF(S2503=TRUE,"Low quality","Benchmark")))</x:f>
        <x:v>Benchmark</x:v>
      </x:c>
    </x:row>
    <x:row r="2504">
      <x:c r="A2504" s="2" t="str">
        <x:v>050100</x:v>
      </x:c>
      <x:c r="B2504" s="2" t="str">
        <x:v>SHARP MEMORIAL HOSPITAL</x:v>
      </x:c>
      <x:c r="C2504" s="2" t="str">
        <x:v>SAN DIEGO</x:v>
      </x:c>
      <x:c r="D2504" s="2" t="str">
        <x:v>CA</x:v>
      </x:c>
      <x:c r="E2504" s="2" t="str">
        <x:v>Acute Care Hospitals</x:v>
      </x:c>
      <x:c r="F2504" s="2" t="str">
        <x:v>Voluntary non-profit</x:v>
      </x:c>
      <x:c r="G2504" s="2" t="str">
        <x:v>Large (300+ beds)</x:v>
      </x:c>
      <x:c r="H2504" s="7" t="n">
        <x:v>4</x:v>
      </x:c>
      <x:c r="I2504" s="7" t="n">
        <x:v>4</x:v>
      </x:c>
      <x:c r="J2504" s="7" t="n">
        <x:v>1</x:v>
      </x:c>
      <x:c r="K2504" s="8" t="n">
        <x:v>745</x:v>
      </x:c>
      <x:c r="L2504" s="8" t="n">
        <x:v>37337</x:v>
      </x:c>
      <x:c r="M2504" s="9" t="n">
        <x:v>0.6151611838</x:v>
      </x:c>
      <x:c r="N2504" s="10" t="n">
        <x:v>38688.3693655087</x:v>
      </x:c>
      <x:c r="O2504" s="9" t="n">
        <x:v>0.0496882159</x:v>
      </x:c>
      <x:c r="P2504" s="9" t="n">
        <x:v>0.4936908517</x:v>
      </x:c>
      <x:c r="Q2504" s="9" t="n">
        <x:v>0.5899053628</x:v>
      </x:c>
      <x:c r="R2504" s="3" t="b">
        <x:v>0</x:v>
      </x:c>
      <x:c r="S2504" s="3" t="b">
        <x:v>0</x:v>
      </x:c>
      <x:c r="T2504" s="3" t="b">
        <x:v>0</x:v>
      </x:c>
      <x:c r="U2504" s="2" t="str">
        <x:f>IF(T2504=TRUE,"Priority review",IF(R2504=TRUE,"High cost",IF(S2504=TRUE,"Low quality","Benchmark")))</x:f>
        <x:v>Benchmark</x:v>
      </x:c>
    </x:row>
    <x:row r="2505">
      <x:c r="A2505" s="2" t="str">
        <x:v>161357</x:v>
      </x:c>
      <x:c r="B2505" s="2" t="str">
        <x:v>PALO ALTO COUNTY HOSPITAL</x:v>
      </x:c>
      <x:c r="C2505" s="2" t="str">
        <x:v>EMMETSBURG</x:v>
      </x:c>
      <x:c r="D2505" s="2" t="str">
        <x:v>IA</x:v>
      </x:c>
      <x:c r="E2505" s="2" t="str">
        <x:v>Critical Access Hospitals</x:v>
      </x:c>
      <x:c r="F2505" s="2" t="str">
        <x:v>Government</x:v>
      </x:c>
      <x:c r="G2505" s="2" t="str">
        <x:v>Small (&lt;100 beds)</x:v>
      </x:c>
      <x:c r="H2505" s="7"/>
      <x:c r="I2505" s="7"/>
      <x:c r="J2505" s="7"/>
      <x:c r="K2505" s="8" t="n">
        <x:v>24</x:v>
      </x:c>
      <x:c r="L2505" s="8" t="n">
        <x:v>277</x:v>
      </x:c>
      <x:c r="M2505" s="9" t="n">
        <x:v>0.1534246575</x:v>
      </x:c>
      <x:c r="N2505" s="10" t="n">
        <x:v>127984.3501805054</x:v>
      </x:c>
      <x:c r="O2505" s="9" t="n">
        <x:v>0.0485565738</x:v>
      </x:c>
      <x:c r="P2505" s="9" t="n">
        <x:v>0.4936802974</x:v>
      </x:c>
      <x:c r="Q2505" s="9" t="n">
        <x:v>0.292936803</x:v>
      </x:c>
      <x:c r="R2505" s="3" t="b">
        <x:v>0</x:v>
      </x:c>
      <x:c r="S2505" s="3" t="b">
        <x:v>0</x:v>
      </x:c>
      <x:c r="T2505" s="3" t="b">
        <x:v>0</x:v>
      </x:c>
      <x:c r="U2505" s="2" t="str">
        <x:f>IF(T2505=TRUE,"Priority review",IF(R2505=TRUE,"High cost",IF(S2505=TRUE,"Low quality","Benchmark")))</x:f>
        <x:v>Benchmark</x:v>
      </x:c>
    </x:row>
    <x:row r="2506">
      <x:c r="A2506" s="2" t="str">
        <x:v>060116</x:v>
      </x:c>
      <x:c r="B2506" s="2" t="str">
        <x:v>GOOD SAMARITAN MEDICAL CENTER LLC</x:v>
      </x:c>
      <x:c r="C2506" s="2" t="str">
        <x:v>LAFAYETTE</x:v>
      </x:c>
      <x:c r="D2506" s="2" t="str">
        <x:v>CO</x:v>
      </x:c>
      <x:c r="E2506" s="2" t="str">
        <x:v>Acute Care Hospitals</x:v>
      </x:c>
      <x:c r="F2506" s="2" t="str">
        <x:v>Voluntary non-profit</x:v>
      </x:c>
      <x:c r="G2506" s="2" t="str">
        <x:v>Medium (100-299 beds)</x:v>
      </x:c>
      <x:c r="H2506" s="7" t="n">
        <x:v>4</x:v>
      </x:c>
      <x:c r="I2506" s="7" t="n">
        <x:v>4</x:v>
      </x:c>
      <x:c r="J2506" s="7" t="n">
        <x:v>1</x:v>
      </x:c>
      <x:c r="K2506" s="8" t="n">
        <x:v>183</x:v>
      </x:c>
      <x:c r="L2506" s="8" t="n">
        <x:v>10093</x:v>
      </x:c>
      <x:c r="M2506" s="9" t="n">
        <x:v>0.6563797068</x:v>
      </x:c>
      <x:c r="N2506" s="10" t="n">
        <x:v>33953.6232042009</x:v>
      </x:c>
      <x:c r="O2506" s="9" t="n">
        <x:v>-0.0039067518</x:v>
      </x:c>
      <x:c r="P2506" s="9" t="n">
        <x:v>0.4930725346</x:v>
      </x:c>
      <x:c r="Q2506" s="9" t="n">
        <x:v>0.6022819886</x:v>
      </x:c>
      <x:c r="R2506" s="3" t="b">
        <x:v>0</x:v>
      </x:c>
      <x:c r="S2506" s="3" t="b">
        <x:v>0</x:v>
      </x:c>
      <x:c r="T2506" s="3" t="b">
        <x:v>0</x:v>
      </x:c>
      <x:c r="U2506" s="2" t="str">
        <x:f>IF(T2506=TRUE,"Priority review",IF(R2506=TRUE,"High cost",IF(S2506=TRUE,"Low quality","Benchmark")))</x:f>
        <x:v>Benchmark</x:v>
      </x:c>
    </x:row>
    <x:row r="2507">
      <x:c r="A2507" s="2" t="str">
        <x:v>451337</x:v>
      </x:c>
      <x:c r="B2507" s="2" t="str">
        <x:v>W J MANGOLD MEMORIAL HOSPITAL</x:v>
      </x:c>
      <x:c r="C2507" s="2" t="str">
        <x:v>LOCKNEY</x:v>
      </x:c>
      <x:c r="D2507" s="2" t="str">
        <x:v>TX</x:v>
      </x:c>
      <x:c r="E2507" s="2" t="str">
        <x:v>Critical Access Hospitals</x:v>
      </x:c>
      <x:c r="F2507" s="2" t="str">
        <x:v>Other / unknown</x:v>
      </x:c>
      <x:c r="G2507" s="2" t="str">
        <x:v>Small (&lt;100 beds)</x:v>
      </x:c>
      <x:c r="H2507" s="7"/>
      <x:c r="I2507" s="7"/>
      <x:c r="J2507" s="7"/>
      <x:c r="K2507" s="8" t="n">
        <x:v>25</x:v>
      </x:c>
      <x:c r="L2507" s="8" t="n">
        <x:v>100</x:v>
      </x:c>
      <x:c r="M2507" s="9" t="n">
        <x:v>0.0791256831</x:v>
      </x:c>
      <x:c r="N2507" s="10" t="n">
        <x:v>127739.16</x:v>
      </x:c>
      <x:c r="O2507" s="9" t="n">
        <x:v>-0.2793545136</x:v>
      </x:c>
      <x:c r="P2507" s="9" t="n">
        <x:v>0.492936803</x:v>
      </x:c>
      <x:c r="Q2507" s="9" t="n">
        <x:v>0.292936803</x:v>
      </x:c>
      <x:c r="R2507" s="3" t="b">
        <x:v>0</x:v>
      </x:c>
      <x:c r="S2507" s="3" t="b">
        <x:v>0</x:v>
      </x:c>
      <x:c r="T2507" s="3" t="b">
        <x:v>0</x:v>
      </x:c>
      <x:c r="U2507" s="2" t="str">
        <x:f>IF(T2507=TRUE,"Priority review",IF(R2507=TRUE,"High cost",IF(S2507=TRUE,"Low quality","Benchmark")))</x:f>
        <x:v>Benchmark</x:v>
      </x:c>
    </x:row>
    <x:row r="2508">
      <x:c r="A2508" s="2" t="str">
        <x:v>010126</x:v>
      </x:c>
      <x:c r="B2508" s="2" t="str">
        <x:v>TROY REGIONAL MEDICAL CENTER</x:v>
      </x:c>
      <x:c r="C2508" s="2" t="str">
        <x:v>TROY</x:v>
      </x:c>
      <x:c r="D2508" s="2" t="str">
        <x:v>AL</x:v>
      </x:c>
      <x:c r="E2508" s="2" t="str">
        <x:v>Acute Care Hospitals</x:v>
      </x:c>
      <x:c r="F2508" s="2" t="str">
        <x:v>Government</x:v>
      </x:c>
      <x:c r="G2508" s="2" t="str">
        <x:v>Small (&lt;100 beds)</x:v>
      </x:c>
      <x:c r="H2508" s="7" t="n">
        <x:v>4</x:v>
      </x:c>
      <x:c r="I2508" s="7" t="n">
        <x:v>4</x:v>
      </x:c>
      <x:c r="J2508" s="7" t="n">
        <x:v>1.01</x:v>
      </x:c>
      <x:c r="K2508" s="8" t="n">
        <x:v>40</x:v>
      </x:c>
      <x:c r="L2508" s="8" t="n">
        <x:v>928</x:v>
      </x:c>
      <x:c r="M2508" s="9" t="n">
        <x:v>0.2828767123</x:v>
      </x:c>
      <x:c r="N2508" s="10" t="n">
        <x:v>51776.8405172414</x:v>
      </x:c>
      <x:c r="O2508" s="9" t="n">
        <x:v>-0.0873973934</x:v>
      </x:c>
      <x:c r="P2508" s="9" t="n">
        <x:v>0.4928186715</x:v>
      </x:c>
      <x:c r="Q2508" s="9" t="n">
        <x:v>0.3913824057</x:v>
      </x:c>
      <x:c r="R2508" s="3" t="b">
        <x:v>0</x:v>
      </x:c>
      <x:c r="S2508" s="3" t="b">
        <x:v>0</x:v>
      </x:c>
      <x:c r="T2508" s="3" t="b">
        <x:v>0</x:v>
      </x:c>
      <x:c r="U2508" s="2" t="str">
        <x:f>IF(T2508=TRUE,"Priority review",IF(R2508=TRUE,"High cost",IF(S2508=TRUE,"Low quality","Benchmark")))</x:f>
        <x:v>Benchmark</x:v>
      </x:c>
    </x:row>
    <x:row r="2509">
      <x:c r="A2509" s="2" t="str">
        <x:v>034028</x:v>
      </x:c>
      <x:c r="B2509" s="2" t="str">
        <x:v>AURORA BEHAVIORAL HEALTHCARE-TEMPE</x:v>
      </x:c>
      <x:c r="C2509" s="2" t="str">
        <x:v>TEMPE</x:v>
      </x:c>
      <x:c r="D2509" s="2" t="str">
        <x:v>AZ</x:v>
      </x:c>
      <x:c r="E2509" s="2" t="str">
        <x:v>Psychiatric</x:v>
      </x:c>
      <x:c r="F2509" s="2" t="str">
        <x:v>Proprietary</x:v>
      </x:c>
      <x:c r="G2509" s="2" t="str">
        <x:v>Medium (100-299 beds)</x:v>
      </x:c>
      <x:c r="H2509" s="7"/>
      <x:c r="I2509" s="7"/>
      <x:c r="J2509" s="7"/>
      <x:c r="K2509" s="8" t="n">
        <x:v>138</x:v>
      </x:c>
      <x:c r="L2509" s="8" t="n">
        <x:v>4259</x:v>
      </x:c>
      <x:c r="M2509" s="9" t="n">
        <x:v>0.7982497822</x:v>
      </x:c>
      <x:c r="N2509" s="10" t="n">
        <x:v>10923.6085935666</x:v>
      </x:c>
      <x:c r="O2509" s="9" t="n">
        <x:v>-0.088551466</x:v>
      </x:c>
      <x:c r="P2509" s="9" t="n">
        <x:v>0.4925373134</x:v>
      </x:c>
      <x:c r="Q2509" s="9" t="n">
        <x:v>0</x:v>
      </x:c>
      <x:c r="R2509" s="3" t="b">
        <x:v>0</x:v>
      </x:c>
      <x:c r="S2509" s="3" t="b">
        <x:v>0</x:v>
      </x:c>
      <x:c r="T2509" s="3" t="b">
        <x:v>0</x:v>
      </x:c>
      <x:c r="U2509" s="2" t="str">
        <x:f>IF(T2509=TRUE,"Priority review",IF(R2509=TRUE,"High cost",IF(S2509=TRUE,"Low quality","Benchmark")))</x:f>
        <x:v>Benchmark</x:v>
      </x:c>
    </x:row>
    <x:row r="2510">
      <x:c r="A2510" s="2" t="str">
        <x:v>340107</x:v>
      </x:c>
      <x:c r="B2510" s="2" t="str">
        <x:v>VIDANT EDGECOMBE HOSPITAL</x:v>
      </x:c>
      <x:c r="C2510" s="2" t="str">
        <x:v>TARBORO</x:v>
      </x:c>
      <x:c r="D2510" s="2" t="str">
        <x:v>NC</x:v>
      </x:c>
      <x:c r="E2510" s="2" t="str">
        <x:v>Acute Care Hospitals</x:v>
      </x:c>
      <x:c r="F2510" s="2" t="str">
        <x:v>Government</x:v>
      </x:c>
      <x:c r="G2510" s="2" t="str">
        <x:v>Medium (100-299 beds)</x:v>
      </x:c>
      <x:c r="H2510" s="7" t="n">
        <x:v>3</x:v>
      </x:c>
      <x:c r="I2510" s="7" t="n">
        <x:v>4</x:v>
      </x:c>
      <x:c r="J2510" s="7" t="n">
        <x:v>0.99</x:v>
      </x:c>
      <x:c r="K2510" s="8" t="n">
        <x:v>101</x:v>
      </x:c>
      <x:c r="L2510" s="8" t="n">
        <x:v>3144</x:v>
      </x:c>
      <x:c r="M2510" s="9" t="n">
        <x:v>0.3487258562</x:v>
      </x:c>
      <x:c r="N2510" s="10" t="n">
        <x:v>33883.8772264631</x:v>
      </x:c>
      <x:c r="O2510" s="9" t="n">
        <x:v>0.027208605</x:v>
      </x:c>
      <x:c r="P2510" s="9" t="n">
        <x:v>0.4922575387</x:v>
      </x:c>
      <x:c r="Q2510" s="9" t="n">
        <x:v>0.3023634882</x:v>
      </x:c>
      <x:c r="R2510" s="3" t="b">
        <x:v>0</x:v>
      </x:c>
      <x:c r="S2510" s="3" t="b">
        <x:v>0</x:v>
      </x:c>
      <x:c r="T2510" s="3" t="b">
        <x:v>0</x:v>
      </x:c>
      <x:c r="U2510" s="2" t="str">
        <x:f>IF(T2510=TRUE,"Priority review",IF(R2510=TRUE,"High cost",IF(S2510=TRUE,"Low quality","Benchmark")))</x:f>
        <x:v>Benchmark</x:v>
      </x:c>
    </x:row>
    <x:row r="2511">
      <x:c r="A2511" s="2" t="str">
        <x:v>261333</x:v>
      </x:c>
      <x:c r="B2511" s="2" t="str">
        <x:v>PIKE COUNTY MEMORIAL HOSPITAL</x:v>
      </x:c>
      <x:c r="C2511" s="2" t="str">
        <x:v>LOUISIANA</x:v>
      </x:c>
      <x:c r="D2511" s="2" t="str">
        <x:v>MO</x:v>
      </x:c>
      <x:c r="E2511" s="2" t="str">
        <x:v>Critical Access Hospitals</x:v>
      </x:c>
      <x:c r="F2511" s="2" t="str">
        <x:v>Government</x:v>
      </x:c>
      <x:c r="G2511" s="2" t="str">
        <x:v>Small (&lt;100 beds)</x:v>
      </x:c>
      <x:c r="H2511" s="7"/>
      <x:c r="I2511" s="7"/>
      <x:c r="J2511" s="7"/>
      <x:c r="K2511" s="8" t="n">
        <x:v>25</x:v>
      </x:c>
      <x:c r="L2511" s="8" t="n">
        <x:v>196</x:v>
      </x:c>
      <x:c r="M2511" s="9" t="n">
        <x:v>0.1305205479</x:v>
      </x:c>
      <x:c r="N2511" s="10" t="n">
        <x:v>127677.7551020408</x:v>
      </x:c>
      <x:c r="O2511" s="9" t="n">
        <x:v>-0.219254552</x:v>
      </x:c>
      <x:c r="P2511" s="9" t="n">
        <x:v>0.4921933086</x:v>
      </x:c>
      <x:c r="Q2511" s="9" t="n">
        <x:v>0.292936803</x:v>
      </x:c>
      <x:c r="R2511" s="3" t="b">
        <x:v>0</x:v>
      </x:c>
      <x:c r="S2511" s="3" t="b">
        <x:v>0</x:v>
      </x:c>
      <x:c r="T2511" s="3" t="b">
        <x:v>0</x:v>
      </x:c>
      <x:c r="U2511" s="2" t="str">
        <x:f>IF(T2511=TRUE,"Priority review",IF(R2511=TRUE,"High cost",IF(S2511=TRUE,"Low quality","Benchmark")))</x:f>
        <x:v>Benchmark</x:v>
      </x:c>
    </x:row>
    <x:row r="2512">
      <x:c r="A2512" s="2" t="str">
        <x:v>360006</x:v>
      </x:c>
      <x:c r="B2512" s="2" t="str">
        <x:v>RIVERSIDE METHODIST HOSPITAL</x:v>
      </x:c>
      <x:c r="C2512" s="2" t="str">
        <x:v>COLUMBUS</x:v>
      </x:c>
      <x:c r="D2512" s="2" t="str">
        <x:v>OH</x:v>
      </x:c>
      <x:c r="E2512" s="2" t="str">
        <x:v>Acute Care Hospitals</x:v>
      </x:c>
      <x:c r="F2512" s="2" t="str">
        <x:v>Voluntary non-profit</x:v>
      </x:c>
      <x:c r="G2512" s="2" t="str">
        <x:v>Large (300+ beds)</x:v>
      </x:c>
      <x:c r="H2512" s="7" t="n">
        <x:v>4</x:v>
      </x:c>
      <x:c r="I2512" s="7" t="n">
        <x:v>3</x:v>
      </x:c>
      <x:c r="J2512" s="7" t="n">
        <x:v>0.97</x:v>
      </x:c>
      <x:c r="K2512" s="8" t="n">
        <x:v>766</x:v>
      </x:c>
      <x:c r="L2512" s="8" t="n">
        <x:v>43627</x:v>
      </x:c>
      <x:c r="M2512" s="9" t="n">
        <x:v>0.8323080225</x:v>
      </x:c>
      <x:c r="N2512" s="10" t="n">
        <x:v>38687.0485479176</x:v>
      </x:c>
      <x:c r="O2512" s="9" t="n">
        <x:v>0.0205693532</x:v>
      </x:c>
      <x:c r="P2512" s="9" t="n">
        <x:v>0.4921135647</x:v>
      </x:c>
      <x:c r="Q2512" s="9" t="n">
        <x:v>0.5899053628</x:v>
      </x:c>
      <x:c r="R2512" s="3" t="b">
        <x:v>0</x:v>
      </x:c>
      <x:c r="S2512" s="3" t="b">
        <x:v>0</x:v>
      </x:c>
      <x:c r="T2512" s="3" t="b">
        <x:v>0</x:v>
      </x:c>
      <x:c r="U2512" s="2" t="str">
        <x:f>IF(T2512=TRUE,"Priority review",IF(R2512=TRUE,"High cost",IF(S2512=TRUE,"Low quality","Benchmark")))</x:f>
        <x:v>Benchmark</x:v>
      </x:c>
    </x:row>
    <x:row r="2513">
      <x:c r="A2513" s="2" t="str">
        <x:v>250036</x:v>
      </x:c>
      <x:c r="B2513" s="2" t="str">
        <x:v>GEORGE REGIONAL HEALTH SYSTEM</x:v>
      </x:c>
      <x:c r="C2513" s="2" t="str">
        <x:v>LUCEDALE</x:v>
      </x:c>
      <x:c r="D2513" s="2" t="str">
        <x:v>MS</x:v>
      </x:c>
      <x:c r="E2513" s="2" t="str">
        <x:v>Acute Care Hospitals</x:v>
      </x:c>
      <x:c r="F2513" s="2" t="str">
        <x:v>Government</x:v>
      </x:c>
      <x:c r="G2513" s="2" t="str">
        <x:v>Small (&lt;100 beds)</x:v>
      </x:c>
      <x:c r="H2513" s="7" t="n">
        <x:v>1</x:v>
      </x:c>
      <x:c r="I2513" s="7" t="n">
        <x:v>4</x:v>
      </x:c>
      <x:c r="J2513" s="7" t="n">
        <x:v>0.95</x:v>
      </x:c>
      <x:c r="K2513" s="8" t="n">
        <x:v>39</x:v>
      </x:c>
      <x:c r="L2513" s="8" t="n">
        <x:v>942</x:v>
      </x:c>
      <x:c r="M2513" s="9" t="n">
        <x:v>0.2470225585</x:v>
      </x:c>
      <x:c r="N2513" s="10" t="n">
        <x:v>51755.0626326964</x:v>
      </x:c>
      <x:c r="O2513" s="9" t="n">
        <x:v>0.086662738</x:v>
      </x:c>
      <x:c r="P2513" s="9" t="n">
        <x:v>0.4919210054</x:v>
      </x:c>
      <x:c r="Q2513" s="9" t="n">
        <x:v>0</x:v>
      </x:c>
      <x:c r="R2513" s="3" t="b">
        <x:v>0</x:v>
      </x:c>
      <x:c r="S2513" s="3" t="b">
        <x:v>1</x:v>
      </x:c>
      <x:c r="T2513" s="3" t="b">
        <x:v>0</x:v>
      </x:c>
      <x:c r="U2513" s="2" t="str">
        <x:f>IF(T2513=TRUE,"Priority review",IF(R2513=TRUE,"High cost",IF(S2513=TRUE,"Low quality","Benchmark")))</x:f>
        <x:v>Low quality</x:v>
      </x:c>
    </x:row>
    <x:row r="2514">
      <x:c r="A2514" s="2" t="str">
        <x:v>264033</x:v>
      </x:c>
      <x:c r="B2514" s="2" t="str">
        <x:v>PERIMETER BEHAVIORAL HOSPITAL OF SPRINGFIELD</x:v>
      </x:c>
      <x:c r="C2514" s="2" t="str">
        <x:v>SPRINGFIELD</x:v>
      </x:c>
      <x:c r="D2514" s="2" t="str">
        <x:v>MO</x:v>
      </x:c>
      <x:c r="E2514" s="2" t="str">
        <x:v>Psychiatric</x:v>
      </x:c>
      <x:c r="F2514" s="2" t="str">
        <x:v>Proprietary</x:v>
      </x:c>
      <x:c r="G2514" s="2" t="str">
        <x:v>Small (&lt;100 beds)</x:v>
      </x:c>
      <x:c r="H2514" s="7"/>
      <x:c r="I2514" s="7"/>
      <x:c r="J2514" s="7"/>
      <x:c r="K2514" s="8" t="n">
        <x:v>32</x:v>
      </x:c>
      <x:c r="L2514" s="8" t="n">
        <x:v>976</x:v>
      </x:c>
      <x:c r="M2514" s="9" t="n">
        <x:v>0.7299351093</x:v>
      </x:c>
      <x:c r="N2514" s="10" t="n">
        <x:v>12034.2899590164</x:v>
      </x:c>
      <x:c r="O2514" s="9" t="n">
        <x:v>0.2945123109</x:v>
      </x:c>
      <x:c r="P2514" s="9" t="n">
        <x:v>0.4919093851</x:v>
      </x:c>
      <x:c r="Q2514" s="9" t="n">
        <x:v>0</x:v>
      </x:c>
      <x:c r="R2514" s="3" t="b">
        <x:v>0</x:v>
      </x:c>
      <x:c r="S2514" s="3" t="b">
        <x:v>0</x:v>
      </x:c>
      <x:c r="T2514" s="3" t="b">
        <x:v>0</x:v>
      </x:c>
      <x:c r="U2514" s="2" t="str">
        <x:f>IF(T2514=TRUE,"Priority review",IF(R2514=TRUE,"High cost",IF(S2514=TRUE,"Low quality","Benchmark")))</x:f>
        <x:v>Benchmark</x:v>
      </x:c>
    </x:row>
    <x:row r="2515">
      <x:c r="A2515" s="2" t="str">
        <x:v>181310</x:v>
      </x:c>
      <x:c r="B2515" s="2" t="str">
        <x:v>CARROLL COUNTY MEMORIAL HOSPITAL</x:v>
      </x:c>
      <x:c r="C2515" s="2" t="str">
        <x:v>CARROLLTON</x:v>
      </x:c>
      <x:c r="D2515" s="2" t="str">
        <x:v>KY</x:v>
      </x:c>
      <x:c r="E2515" s="2" t="str">
        <x:v>Critical Access Hospitals</x:v>
      </x:c>
      <x:c r="F2515" s="2" t="str">
        <x:v>Voluntary non-profit</x:v>
      </x:c>
      <x:c r="G2515" s="2" t="str">
        <x:v>Small (&lt;100 beds)</x:v>
      </x:c>
      <x:c r="H2515" s="7"/>
      <x:c r="I2515" s="7"/>
      <x:c r="J2515" s="7"/>
      <x:c r="K2515" s="8" t="n">
        <x:v>25</x:v>
      </x:c>
      <x:c r="L2515" s="8" t="n">
        <x:v>200</x:v>
      </x:c>
      <x:c r="M2515" s="9" t="n">
        <x:v>0.1421857923</x:v>
      </x:c>
      <x:c r="N2515" s="10" t="n">
        <x:v>127641.81</x:v>
      </x:c>
      <x:c r="O2515" s="9" t="n">
        <x:v>0.0233719076</x:v>
      </x:c>
      <x:c r="P2515" s="9" t="n">
        <x:v>0.4914498141</x:v>
      </x:c>
      <x:c r="Q2515" s="9" t="n">
        <x:v>0.292936803</x:v>
      </x:c>
      <x:c r="R2515" s="3" t="b">
        <x:v>0</x:v>
      </x:c>
      <x:c r="S2515" s="3" t="b">
        <x:v>0</x:v>
      </x:c>
      <x:c r="T2515" s="3" t="b">
        <x:v>0</x:v>
      </x:c>
      <x:c r="U2515" s="2" t="str">
        <x:f>IF(T2515=TRUE,"Priority review",IF(R2515=TRUE,"High cost",IF(S2515=TRUE,"Low quality","Benchmark")))</x:f>
        <x:v>Benchmark</x:v>
      </x:c>
    </x:row>
    <x:row r="2516">
      <x:c r="A2516" s="2" t="str">
        <x:v>390091</x:v>
      </x:c>
      <x:c r="B2516" s="2" t="str">
        <x:v>UPMC NORTHWEST</x:v>
      </x:c>
      <x:c r="C2516" s="2" t="str">
        <x:v>SENECA</x:v>
      </x:c>
      <x:c r="D2516" s="2" t="str">
        <x:v>PA</x:v>
      </x:c>
      <x:c r="E2516" s="2" t="str">
        <x:v>Acute Care Hospitals</x:v>
      </x:c>
      <x:c r="F2516" s="2" t="str">
        <x:v>Voluntary non-profit</x:v>
      </x:c>
      <x:c r="G2516" s="2" t="str">
        <x:v>Medium (100-299 beds)</x:v>
      </x:c>
      <x:c r="H2516" s="7" t="n">
        <x:v>4</x:v>
      </x:c>
      <x:c r="I2516" s="7" t="n">
        <x:v>3</x:v>
      </x:c>
      <x:c r="J2516" s="7" t="n">
        <x:v>0.96</x:v>
      </x:c>
      <x:c r="K2516" s="8" t="n">
        <x:v>138</x:v>
      </x:c>
      <x:c r="L2516" s="8" t="n">
        <x:v>5295</x:v>
      </x:c>
      <x:c r="M2516" s="9" t="n">
        <x:v>0.5225548981</x:v>
      </x:c>
      <x:c r="N2516" s="10" t="n">
        <x:v>33875.3592067989</x:v>
      </x:c>
      <x:c r="O2516" s="9" t="n">
        <x:v>-0.0986113039</x:v>
      </x:c>
      <x:c r="P2516" s="9" t="n">
        <x:v>0.4914425428</x:v>
      </x:c>
      <x:c r="Q2516" s="9" t="n">
        <x:v>0.6022819886</x:v>
      </x:c>
      <x:c r="R2516" s="3" t="b">
        <x:v>0</x:v>
      </x:c>
      <x:c r="S2516" s="3" t="b">
        <x:v>0</x:v>
      </x:c>
      <x:c r="T2516" s="3" t="b">
        <x:v>0</x:v>
      </x:c>
      <x:c r="U2516" s="2" t="str">
        <x:f>IF(T2516=TRUE,"Priority review",IF(R2516=TRUE,"High cost",IF(S2516=TRUE,"Low quality","Benchmark")))</x:f>
        <x:v>Benchmark</x:v>
      </x:c>
    </x:row>
    <x:row r="2517">
      <x:c r="A2517" s="2" t="str">
        <x:v>070021</x:v>
      </x:c>
      <x:c r="B2517" s="2" t="str">
        <x:v>WINDHAM COMMUNITY MEMORIAL HOSPITAL</x:v>
      </x:c>
      <x:c r="C2517" s="2" t="str">
        <x:v>WILLIMANTIC</x:v>
      </x:c>
      <x:c r="D2517" s="2" t="str">
        <x:v>CT</x:v>
      </x:c>
      <x:c r="E2517" s="2" t="str">
        <x:v>Acute Care Hospitals</x:v>
      </x:c>
      <x:c r="F2517" s="2" t="str">
        <x:v>Voluntary non-profit</x:v>
      </x:c>
      <x:c r="G2517" s="2" t="str">
        <x:v>Small (&lt;100 beds)</x:v>
      </x:c>
      <x:c r="H2517" s="7" t="n">
        <x:v>3</x:v>
      </x:c>
      <x:c r="I2517" s="7" t="n">
        <x:v>3</x:v>
      </x:c>
      <x:c r="J2517" s="7" t="n">
        <x:v>0.94</x:v>
      </x:c>
      <x:c r="K2517" s="8" t="n">
        <x:v>46</x:v>
      </x:c>
      <x:c r="L2517" s="8" t="n">
        <x:v>2151</x:v>
      </x:c>
      <x:c r="M2517" s="9" t="n">
        <x:v>0.4608576859</x:v>
      </x:c>
      <x:c r="N2517" s="10" t="n">
        <x:v>51629.5964667596</x:v>
      </x:c>
      <x:c r="O2517" s="9" t="n">
        <x:v>-0.0017241648</x:v>
      </x:c>
      <x:c r="P2517" s="9" t="n">
        <x:v>0.4910233393</x:v>
      </x:c>
      <x:c r="Q2517" s="9" t="n">
        <x:v>0.1687612208</x:v>
      </x:c>
      <x:c r="R2517" s="3" t="b">
        <x:v>0</x:v>
      </x:c>
      <x:c r="S2517" s="3" t="b">
        <x:v>0</x:v>
      </x:c>
      <x:c r="T2517" s="3" t="b">
        <x:v>0</x:v>
      </x:c>
      <x:c r="U2517" s="2" t="str">
        <x:f>IF(T2517=TRUE,"Priority review",IF(R2517=TRUE,"High cost",IF(S2517=TRUE,"Low quality","Benchmark")))</x:f>
        <x:v>Benchmark</x:v>
      </x:c>
    </x:row>
    <x:row r="2518">
      <x:c r="A2518" s="2" t="str">
        <x:v>171385</x:v>
      </x:c>
      <x:c r="B2518" s="2" t="str">
        <x:v>COFFEY COUNTY HOSPITAL</x:v>
      </x:c>
      <x:c r="C2518" s="2" t="str">
        <x:v>BURLINGTON</x:v>
      </x:c>
      <x:c r="D2518" s="2" t="str">
        <x:v>KS</x:v>
      </x:c>
      <x:c r="E2518" s="2" t="str">
        <x:v>Critical Access Hospitals</x:v>
      </x:c>
      <x:c r="F2518" s="2" t="str">
        <x:v>Government</x:v>
      </x:c>
      <x:c r="G2518" s="2" t="str">
        <x:v>Small (&lt;100 beds)</x:v>
      </x:c>
      <x:c r="H2518" s="7" t="n">
        <x:v>4</x:v>
      </x:c>
      <x:c r="I2518" s="7"/>
      <x:c r="J2518" s="7"/>
      <x:c r="K2518" s="8" t="n">
        <x:v>25</x:v>
      </x:c>
      <x:c r="L2518" s="8" t="n">
        <x:v>238</x:v>
      </x:c>
      <x:c r="M2518" s="9" t="n">
        <x:v>0.1997814208</x:v>
      </x:c>
      <x:c r="N2518" s="10" t="n">
        <x:v>127248.9621848739</x:v>
      </x:c>
      <x:c r="O2518" s="9" t="n">
        <x:v>-0.2701609046</x:v>
      </x:c>
      <x:c r="P2518" s="9" t="n">
        <x:v>0.4907063197</x:v>
      </x:c>
      <x:c r="Q2518" s="9" t="n">
        <x:v>0.1657992565</x:v>
      </x:c>
      <x:c r="R2518" s="3" t="b">
        <x:v>0</x:v>
      </x:c>
      <x:c r="S2518" s="3" t="b">
        <x:v>0</x:v>
      </x:c>
      <x:c r="T2518" s="3" t="b">
        <x:v>0</x:v>
      </x:c>
      <x:c r="U2518" s="2" t="str">
        <x:f>IF(T2518=TRUE,"Priority review",IF(R2518=TRUE,"High cost",IF(S2518=TRUE,"Low quality","Benchmark")))</x:f>
        <x:v>Benchmark</x:v>
      </x:c>
    </x:row>
    <x:row r="2519">
      <x:c r="A2519" s="2" t="str">
        <x:v>230141</x:v>
      </x:c>
      <x:c r="B2519" s="2" t="str">
        <x:v>MCLAREN FLINT</x:v>
      </x:c>
      <x:c r="C2519" s="2" t="str">
        <x:v>FLINT</x:v>
      </x:c>
      <x:c r="D2519" s="2" t="str">
        <x:v>MI</x:v>
      </x:c>
      <x:c r="E2519" s="2" t="str">
        <x:v>Acute Care Hospitals</x:v>
      </x:c>
      <x:c r="F2519" s="2" t="str">
        <x:v>Voluntary non-profit</x:v>
      </x:c>
      <x:c r="G2519" s="2" t="str">
        <x:v>Medium (100-299 beds)</x:v>
      </x:c>
      <x:c r="H2519" s="7" t="n">
        <x:v>2</x:v>
      </x:c>
      <x:c r="I2519" s="7" t="n">
        <x:v>2</x:v>
      </x:c>
      <x:c r="J2519" s="7" t="n">
        <x:v>1</x:v>
      </x:c>
      <x:c r="K2519" s="8" t="n">
        <x:v>288</x:v>
      </x:c>
      <x:c r="L2519" s="8" t="n">
        <x:v>14510</x:v>
      </x:c>
      <x:c r="M2519" s="9" t="n">
        <x:v>0.7210302556</x:v>
      </x:c>
      <x:c r="N2519" s="10" t="n">
        <x:v>33868.3646450724</x:v>
      </x:c>
      <x:c r="O2519" s="9" t="n">
        <x:v>0.0455213416</x:v>
      </x:c>
      <x:c r="P2519" s="9" t="n">
        <x:v>0.4906275469</x:v>
      </x:c>
      <x:c r="Q2519" s="9" t="n">
        <x:v>0.0782396088</x:v>
      </x:c>
      <x:c r="R2519" s="3" t="b">
        <x:v>0</x:v>
      </x:c>
      <x:c r="S2519" s="3" t="b">
        <x:v>1</x:v>
      </x:c>
      <x:c r="T2519" s="3" t="b">
        <x:v>0</x:v>
      </x:c>
      <x:c r="U2519" s="2" t="str">
        <x:f>IF(T2519=TRUE,"Priority review",IF(R2519=TRUE,"High cost",IF(S2519=TRUE,"Low quality","Benchmark")))</x:f>
        <x:v>Low quality</x:v>
      </x:c>
    </x:row>
    <x:row r="2520">
      <x:c r="A2520" s="2" t="str">
        <x:v>140208</x:v>
      </x:c>
      <x:c r="B2520" s="2" t="str">
        <x:v>ADVOCATE CHRIST HOSPITAL &amp; MEDICAL CENTER</x:v>
      </x:c>
      <x:c r="C2520" s="2" t="str">
        <x:v>OAK LAWN</x:v>
      </x:c>
      <x:c r="D2520" s="2" t="str">
        <x:v>IL</x:v>
      </x:c>
      <x:c r="E2520" s="2" t="str">
        <x:v>Acute Care Hospitals</x:v>
      </x:c>
      <x:c r="F2520" s="2" t="str">
        <x:v>Voluntary non-profit</x:v>
      </x:c>
      <x:c r="G2520" s="2" t="str">
        <x:v>Large (300+ beds)</x:v>
      </x:c>
      <x:c r="H2520" s="7" t="n">
        <x:v>3</x:v>
      </x:c>
      <x:c r="I2520" s="7" t="n">
        <x:v>3</x:v>
      </x:c>
      <x:c r="J2520" s="7" t="n">
        <x:v>0.97</x:v>
      </x:c>
      <x:c r="K2520" s="8" t="n">
        <x:v>735</x:v>
      </x:c>
      <x:c r="L2520" s="8" t="n">
        <x:v>38697</x:v>
      </x:c>
      <x:c r="M2520" s="9" t="n">
        <x:v>0.9135608342</x:v>
      </x:c>
      <x:c r="N2520" s="10" t="n">
        <x:v>38626.7577073158</x:v>
      </x:c>
      <x:c r="O2520" s="9" t="n">
        <x:v>0.0857237018</x:v>
      </x:c>
      <x:c r="P2520" s="9" t="n">
        <x:v>0.4905362776</x:v>
      </x:c>
      <x:c r="Q2520" s="9" t="n">
        <x:v>0.2570977918</x:v>
      </x:c>
      <x:c r="R2520" s="3" t="b">
        <x:v>0</x:v>
      </x:c>
      <x:c r="S2520" s="3" t="b">
        <x:v>0</x:v>
      </x:c>
      <x:c r="T2520" s="3" t="b">
        <x:v>0</x:v>
      </x:c>
      <x:c r="U2520" s="2" t="str">
        <x:f>IF(T2520=TRUE,"Priority review",IF(R2520=TRUE,"High cost",IF(S2520=TRUE,"Low quality","Benchmark")))</x:f>
        <x:v>Benchmark</x:v>
      </x:c>
    </x:row>
    <x:row r="2521">
      <x:c r="A2521" s="2" t="str">
        <x:v>160016</x:v>
      </x:c>
      <x:c r="B2521" s="2" t="str">
        <x:v>TRINITY REGIONAL MEDICAL CENTER</x:v>
      </x:c>
      <x:c r="C2521" s="2" t="str">
        <x:v>FORT DODGE</x:v>
      </x:c>
      <x:c r="D2521" s="2" t="str">
        <x:v>IA</x:v>
      </x:c>
      <x:c r="E2521" s="2" t="str">
        <x:v>Acute Care Hospitals</x:v>
      </x:c>
      <x:c r="F2521" s="2" t="str">
        <x:v>Voluntary non-profit</x:v>
      </x:c>
      <x:c r="G2521" s="2" t="str">
        <x:v>Small (&lt;100 beds)</x:v>
      </x:c>
      <x:c r="H2521" s="7" t="n">
        <x:v>2</x:v>
      </x:c>
      <x:c r="I2521" s="7" t="n">
        <x:v>3</x:v>
      </x:c>
      <x:c r="J2521" s="7" t="n">
        <x:v>0.93</x:v>
      </x:c>
      <x:c r="K2521" s="8" t="n">
        <x:v>44</x:v>
      </x:c>
      <x:c r="L2521" s="8" t="n">
        <x:v>3467</x:v>
      </x:c>
      <x:c r="M2521" s="9" t="n">
        <x:v>0.9492051664</x:v>
      </x:c>
      <x:c r="N2521" s="10" t="n">
        <x:v>51462.5745601384</x:v>
      </x:c>
      <x:c r="O2521" s="9" t="n">
        <x:v>0.0114309618</x:v>
      </x:c>
      <x:c r="P2521" s="9" t="n">
        <x:v>0.4901256732</x:v>
      </x:c>
      <x:c r="Q2521" s="9" t="n">
        <x:v>0.0350089767</x:v>
      </x:c>
      <x:c r="R2521" s="3" t="b">
        <x:v>0</x:v>
      </x:c>
      <x:c r="S2521" s="3" t="b">
        <x:v>1</x:v>
      </x:c>
      <x:c r="T2521" s="3" t="b">
        <x:v>0</x:v>
      </x:c>
      <x:c r="U2521" s="2" t="str">
        <x:f>IF(T2521=TRUE,"Priority review",IF(R2521=TRUE,"High cost",IF(S2521=TRUE,"Low quality","Benchmark")))</x:f>
        <x:v>Low quality</x:v>
      </x:c>
    </x:row>
    <x:row r="2522">
      <x:c r="A2522" s="2" t="str">
        <x:v>331305</x:v>
      </x:c>
      <x:c r="B2522" s="2" t="str">
        <x:v>O'CONNOR HOSPITAL</x:v>
      </x:c>
      <x:c r="C2522" s="2" t="str">
        <x:v>DELHI</x:v>
      </x:c>
      <x:c r="D2522" s="2" t="str">
        <x:v>NY</x:v>
      </x:c>
      <x:c r="E2522" s="2" t="str">
        <x:v>Critical Access Hospitals</x:v>
      </x:c>
      <x:c r="F2522" s="2" t="str">
        <x:v>Voluntary non-profit</x:v>
      </x:c>
      <x:c r="G2522" s="2" t="str">
        <x:v>Small (&lt;100 beds)</x:v>
      </x:c>
      <x:c r="H2522" s="7"/>
      <x:c r="I2522" s="7"/>
      <x:c r="J2522" s="7"/>
      <x:c r="K2522" s="8" t="n">
        <x:v>16</x:v>
      </x:c>
      <x:c r="L2522" s="8" t="n">
        <x:v>185</x:v>
      </x:c>
      <x:c r="M2522" s="9" t="n">
        <x:v>0.5358606557</x:v>
      </x:c>
      <x:c r="N2522" s="10" t="n">
        <x:v>127205.427027027</x:v>
      </x:c>
      <x:c r="O2522" s="9" t="n">
        <x:v>0.0428691875</x:v>
      </x:c>
      <x:c r="P2522" s="9" t="n">
        <x:v>0.4899628253</x:v>
      </x:c>
      <x:c r="Q2522" s="9" t="n">
        <x:v>0.292936803</x:v>
      </x:c>
      <x:c r="R2522" s="3" t="b">
        <x:v>0</x:v>
      </x:c>
      <x:c r="S2522" s="3" t="b">
        <x:v>0</x:v>
      </x:c>
      <x:c r="T2522" s="3" t="b">
        <x:v>0</x:v>
      </x:c>
      <x:c r="U2522" s="2" t="str">
        <x:f>IF(T2522=TRUE,"Priority review",IF(R2522=TRUE,"High cost",IF(S2522=TRUE,"Low quality","Benchmark")))</x:f>
        <x:v>Benchmark</x:v>
      </x:c>
    </x:row>
    <x:row r="2523">
      <x:c r="A2523" s="2" t="str">
        <x:v>250069</x:v>
      </x:c>
      <x:c r="B2523" s="2" t="str">
        <x:v>OCHSNER RUSH HOSPITAL</x:v>
      </x:c>
      <x:c r="C2523" s="2" t="str">
        <x:v>MERIDIAN</x:v>
      </x:c>
      <x:c r="D2523" s="2" t="str">
        <x:v>MS</x:v>
      </x:c>
      <x:c r="E2523" s="2" t="str">
        <x:v>Acute Care Hospitals</x:v>
      </x:c>
      <x:c r="F2523" s="2" t="str">
        <x:v>Voluntary non-profit</x:v>
      </x:c>
      <x:c r="G2523" s="2" t="str">
        <x:v>Medium (100-299 beds)</x:v>
      </x:c>
      <x:c r="H2523" s="7" t="n">
        <x:v>3</x:v>
      </x:c>
      <x:c r="I2523" s="7" t="n">
        <x:v>4</x:v>
      </x:c>
      <x:c r="J2523" s="7" t="n">
        <x:v>1.13</x:v>
      </x:c>
      <x:c r="K2523" s="8" t="n">
        <x:v>191</x:v>
      </x:c>
      <x:c r="L2523" s="8" t="n">
        <x:v>4887</x:v>
      </x:c>
      <x:c r="M2523" s="9" t="n">
        <x:v>0.3222327125</x:v>
      </x:c>
      <x:c r="N2523" s="10" t="n">
        <x:v>33867.2439124207</x:v>
      </x:c>
      <x:c r="O2523" s="9" t="n">
        <x:v>-0.0401544298</x:v>
      </x:c>
      <x:c r="P2523" s="9" t="n">
        <x:v>0.4898125509</x:v>
      </x:c>
      <x:c r="Q2523" s="9" t="n">
        <x:v>0.3023634882</x:v>
      </x:c>
      <x:c r="R2523" s="3" t="b">
        <x:v>0</x:v>
      </x:c>
      <x:c r="S2523" s="3" t="b">
        <x:v>0</x:v>
      </x:c>
      <x:c r="T2523" s="3" t="b">
        <x:v>0</x:v>
      </x:c>
      <x:c r="U2523" s="2" t="str">
        <x:f>IF(T2523=TRUE,"Priority review",IF(R2523=TRUE,"High cost",IF(S2523=TRUE,"Low quality","Benchmark")))</x:f>
        <x:v>Benchmark</x:v>
      </x:c>
    </x:row>
    <x:row r="2524">
      <x:c r="A2524" s="2" t="str">
        <x:v>150102</x:v>
      </x:c>
      <x:c r="B2524" s="2" t="str">
        <x:v>NORTHWEST HEALTH - STARKE</x:v>
      </x:c>
      <x:c r="C2524" s="2" t="str">
        <x:v>KNOX</x:v>
      </x:c>
      <x:c r="D2524" s="2" t="str">
        <x:v>IN</x:v>
      </x:c>
      <x:c r="E2524" s="2" t="str">
        <x:v>Acute Care Hospitals</x:v>
      </x:c>
      <x:c r="F2524" s="2" t="str">
        <x:v>Proprietary</x:v>
      </x:c>
      <x:c r="G2524" s="2" t="str">
        <x:v>Small (&lt;100 beds)</x:v>
      </x:c>
      <x:c r="H2524" s="7" t="n">
        <x:v>1</x:v>
      </x:c>
      <x:c r="I2524" s="7"/>
      <x:c r="J2524" s="7" t="n">
        <x:v>1.08</x:v>
      </x:c>
      <x:c r="K2524" s="8" t="n">
        <x:v>14</x:v>
      </x:c>
      <x:c r="L2524" s="8" t="n">
        <x:v>311</x:v>
      </x:c>
      <x:c r="M2524" s="9" t="n">
        <x:v>0.2033567525</x:v>
      </x:c>
      <x:c r="N2524" s="10" t="n">
        <x:v>51461.5819935691</x:v>
      </x:c>
      <x:c r="O2524" s="9" t="n">
        <x:v>0.0686442106</x:v>
      </x:c>
      <x:c r="P2524" s="9" t="n">
        <x:v>0.4892280072</x:v>
      </x:c>
      <x:c r="Q2524" s="9" t="n">
        <x:v>0</x:v>
      </x:c>
      <x:c r="R2524" s="3" t="b">
        <x:v>0</x:v>
      </x:c>
      <x:c r="S2524" s="3" t="b">
        <x:v>1</x:v>
      </x:c>
      <x:c r="T2524" s="3" t="b">
        <x:v>0</x:v>
      </x:c>
      <x:c r="U2524" s="2" t="str">
        <x:f>IF(T2524=TRUE,"Priority review",IF(R2524=TRUE,"High cost",IF(S2524=TRUE,"Low quality","Benchmark")))</x:f>
        <x:v>Low quality</x:v>
      </x:c>
    </x:row>
    <x:row r="2525">
      <x:c r="A2525" s="2" t="str">
        <x:v>391302</x:v>
      </x:c>
      <x:c r="B2525" s="2" t="str">
        <x:v>CONEMAUGH MEYERSDALE MEDICAL CENTER</x:v>
      </x:c>
      <x:c r="C2525" s="2" t="str">
        <x:v>MEYERSDALE</x:v>
      </x:c>
      <x:c r="D2525" s="2" t="str">
        <x:v>PA</x:v>
      </x:c>
      <x:c r="E2525" s="2" t="str">
        <x:v>Critical Access Hospitals</x:v>
      </x:c>
      <x:c r="F2525" s="2" t="str">
        <x:v>Proprietary</x:v>
      </x:c>
      <x:c r="G2525" s="2" t="str">
        <x:v>Small (&lt;100 beds)</x:v>
      </x:c>
      <x:c r="H2525" s="7"/>
      <x:c r="I2525" s="7"/>
      <x:c r="J2525" s="7"/>
      <x:c r="K2525" s="8" t="n">
        <x:v>20</x:v>
      </x:c>
      <x:c r="L2525" s="8" t="n">
        <x:v>136</x:v>
      </x:c>
      <x:c r="M2525" s="9" t="n">
        <x:v>0.1489071038</x:v>
      </x:c>
      <x:c r="N2525" s="10" t="n">
        <x:v>127156.4779411765</x:v>
      </x:c>
      <x:c r="O2525" s="9" t="n">
        <x:v>-0.1362863771</x:v>
      </x:c>
      <x:c r="P2525" s="9" t="n">
        <x:v>0.4892193309</x:v>
      </x:c>
      <x:c r="Q2525" s="9" t="n">
        <x:v>0.292936803</x:v>
      </x:c>
      <x:c r="R2525" s="3" t="b">
        <x:v>0</x:v>
      </x:c>
      <x:c r="S2525" s="3" t="b">
        <x:v>0</x:v>
      </x:c>
      <x:c r="T2525" s="3" t="b">
        <x:v>0</x:v>
      </x:c>
      <x:c r="U2525" s="2" t="str">
        <x:f>IF(T2525=TRUE,"Priority review",IF(R2525=TRUE,"High cost",IF(S2525=TRUE,"Low quality","Benchmark")))</x:f>
        <x:v>Benchmark</x:v>
      </x:c>
    </x:row>
    <x:row r="2526">
      <x:c r="A2526" s="2" t="str">
        <x:v>670077</x:v>
      </x:c>
      <x:c r="B2526" s="2" t="str">
        <x:v>HOUSTON METHODIST WEST HOSPITAL</x:v>
      </x:c>
      <x:c r="C2526" s="2" t="str">
        <x:v>HOUSTON</x:v>
      </x:c>
      <x:c r="D2526" s="2" t="str">
        <x:v>TX</x:v>
      </x:c>
      <x:c r="E2526" s="2" t="str">
        <x:v>Acute Care Hospitals</x:v>
      </x:c>
      <x:c r="F2526" s="2" t="str">
        <x:v>Voluntary non-profit</x:v>
      </x:c>
      <x:c r="G2526" s="2" t="str">
        <x:v>Medium (100-299 beds)</x:v>
      </x:c>
      <x:c r="H2526" s="7" t="n">
        <x:v>5</x:v>
      </x:c>
      <x:c r="I2526" s="7" t="n">
        <x:v>4</x:v>
      </x:c>
      <x:c r="J2526" s="7" t="n">
        <x:v>1.01</x:v>
      </x:c>
      <x:c r="K2526" s="8" t="n">
        <x:v>270</x:v>
      </x:c>
      <x:c r="L2526" s="8" t="n">
        <x:v>16442</x:v>
      </x:c>
      <x:c r="M2526" s="9" t="n">
        <x:v>0.6981279093</x:v>
      </x:c>
      <x:c r="N2526" s="10" t="n">
        <x:v>33848.7558691157</x:v>
      </x:c>
      <x:c r="O2526" s="9" t="n">
        <x:v>0.170032724</x:v>
      </x:c>
      <x:c r="P2526" s="9" t="n">
        <x:v>0.488997555</x:v>
      </x:c>
      <x:c r="Q2526" s="9" t="n">
        <x:v>0.8744906275</x:v>
      </x:c>
      <x:c r="R2526" s="3" t="b">
        <x:v>0</x:v>
      </x:c>
      <x:c r="S2526" s="3" t="b">
        <x:v>0</x:v>
      </x:c>
      <x:c r="T2526" s="3" t="b">
        <x:v>0</x:v>
      </x:c>
      <x:c r="U2526" s="2" t="str">
        <x:f>IF(T2526=TRUE,"Priority review",IF(R2526=TRUE,"High cost",IF(S2526=TRUE,"Low quality","Benchmark")))</x:f>
        <x:v>Benchmark</x:v>
      </x:c>
    </x:row>
    <x:row r="2527">
      <x:c r="A2527" s="2" t="str">
        <x:v>050057</x:v>
      </x:c>
      <x:c r="B2527" s="2" t="str">
        <x:v>KAWEAH HEALTH MEDICAL CENTER</x:v>
      </x:c>
      <x:c r="C2527" s="2" t="str">
        <x:v>VISALIA</x:v>
      </x:c>
      <x:c r="D2527" s="2" t="str">
        <x:v>CA</x:v>
      </x:c>
      <x:c r="E2527" s="2" t="str">
        <x:v>Acute Care Hospitals</x:v>
      </x:c>
      <x:c r="F2527" s="2" t="str">
        <x:v>Government</x:v>
      </x:c>
      <x:c r="G2527" s="2" t="str">
        <x:v>Large (300+ beds)</x:v>
      </x:c>
      <x:c r="H2527" s="7" t="n">
        <x:v>3</x:v>
      </x:c>
      <x:c r="I2527" s="7" t="n">
        <x:v>3</x:v>
      </x:c>
      <x:c r="J2527" s="7" t="n">
        <x:v>1.02</x:v>
      </x:c>
      <x:c r="K2527" s="8" t="n">
        <x:v>430</x:v>
      </x:c>
      <x:c r="L2527" s="8" t="n">
        <x:v>24211</x:v>
      </x:c>
      <x:c r="M2527" s="9" t="n">
        <x:v>0.6995922268</x:v>
      </x:c>
      <x:c r="N2527" s="10" t="n">
        <x:v>38608.2697121143</x:v>
      </x:c>
      <x:c r="O2527" s="9" t="n">
        <x:v>-0.4403810771</x:v>
      </x:c>
      <x:c r="P2527" s="9" t="n">
        <x:v>0.4889589905</x:v>
      </x:c>
      <x:c r="Q2527" s="9" t="n">
        <x:v>0.2570977918</x:v>
      </x:c>
      <x:c r="R2527" s="3" t="b">
        <x:v>0</x:v>
      </x:c>
      <x:c r="S2527" s="3" t="b">
        <x:v>0</x:v>
      </x:c>
      <x:c r="T2527" s="3" t="b">
        <x:v>0</x:v>
      </x:c>
      <x:c r="U2527" s="2" t="str">
        <x:f>IF(T2527=TRUE,"Priority review",IF(R2527=TRUE,"High cost",IF(S2527=TRUE,"Low quality","Benchmark")))</x:f>
        <x:v>Benchmark</x:v>
      </x:c>
    </x:row>
    <x:row r="2528">
      <x:c r="A2528" s="2" t="str">
        <x:v>454123</x:v>
      </x:c>
      <x:c r="B2528" s="2" t="str">
        <x:v>OCEANS BEHAVIORAL HOSPITAL OF LUFKIN LLC</x:v>
      </x:c>
      <x:c r="C2528" s="2" t="str">
        <x:v>LUFKIN</x:v>
      </x:c>
      <x:c r="D2528" s="2" t="str">
        <x:v>TX</x:v>
      </x:c>
      <x:c r="E2528" s="2" t="str">
        <x:v>Psychiatric</x:v>
      </x:c>
      <x:c r="F2528" s="2" t="str">
        <x:v>Proprietary</x:v>
      </x:c>
      <x:c r="G2528" s="2" t="str">
        <x:v>Small (&lt;100 beds)</x:v>
      </x:c>
      <x:c r="H2528" s="7"/>
      <x:c r="I2528" s="7"/>
      <x:c r="J2528" s="7"/>
      <x:c r="K2528" s="8" t="n">
        <x:v>24</x:v>
      </x:c>
      <x:c r="L2528" s="8" t="n">
        <x:v>620</x:v>
      </x:c>
      <x:c r="M2528" s="9" t="n">
        <x:v>0.9266848816</x:v>
      </x:c>
      <x:c r="N2528" s="10" t="n">
        <x:v>11990.6209677419</x:v>
      </x:c>
      <x:c r="O2528" s="9" t="n">
        <x:v>0.2284159828</x:v>
      </x:c>
      <x:c r="P2528" s="9" t="n">
        <x:v>0.4886731392</x:v>
      </x:c>
      <x:c r="Q2528" s="9" t="n">
        <x:v>0</x:v>
      </x:c>
      <x:c r="R2528" s="3" t="b">
        <x:v>0</x:v>
      </x:c>
      <x:c r="S2528" s="3" t="b">
        <x:v>0</x:v>
      </x:c>
      <x:c r="T2528" s="3" t="b">
        <x:v>0</x:v>
      </x:c>
      <x:c r="U2528" s="2" t="str">
        <x:f>IF(T2528=TRUE,"Priority review",IF(R2528=TRUE,"High cost",IF(S2528=TRUE,"Low quality","Benchmark")))</x:f>
        <x:v>Benchmark</x:v>
      </x:c>
    </x:row>
    <x:row r="2529">
      <x:c r="A2529" s="2" t="str">
        <x:v>171359</x:v>
      </x:c>
      <x:c r="B2529" s="2" t="str">
        <x:v>GREELEY COUNTY HEALTH SERVICES</x:v>
      </x:c>
      <x:c r="C2529" s="2" t="str">
        <x:v>TRIBUNE</x:v>
      </x:c>
      <x:c r="D2529" s="2" t="str">
        <x:v>KS</x:v>
      </x:c>
      <x:c r="E2529" s="2" t="str">
        <x:v>Critical Access Hospitals</x:v>
      </x:c>
      <x:c r="F2529" s="2" t="str">
        <x:v>Government</x:v>
      </x:c>
      <x:c r="G2529" s="2" t="str">
        <x:v>Small (&lt;100 beds)</x:v>
      </x:c>
      <x:c r="H2529" s="7"/>
      <x:c r="I2529" s="7"/>
      <x:c r="J2529" s="7"/>
      <x:c r="K2529" s="8" t="n">
        <x:v>25</x:v>
      </x:c>
      <x:c r="L2529" s="8" t="n">
        <x:v>135</x:v>
      </x:c>
      <x:c r="M2529" s="9" t="n">
        <x:v>0.6510382514</x:v>
      </x:c>
      <x:c r="N2529" s="10" t="n">
        <x:v>126883.2296296296</x:v>
      </x:c>
      <x:c r="O2529" s="9" t="n">
        <x:v>-0.1751194775</x:v>
      </x:c>
      <x:c r="P2529" s="9" t="n">
        <x:v>0.4884758364</x:v>
      </x:c>
      <x:c r="Q2529" s="9" t="n">
        <x:v>0.292936803</x:v>
      </x:c>
      <x:c r="R2529" s="3" t="b">
        <x:v>0</x:v>
      </x:c>
      <x:c r="S2529" s="3" t="b">
        <x:v>0</x:v>
      </x:c>
      <x:c r="T2529" s="3" t="b">
        <x:v>0</x:v>
      </x:c>
      <x:c r="U2529" s="2" t="str">
        <x:f>IF(T2529=TRUE,"Priority review",IF(R2529=TRUE,"High cost",IF(S2529=TRUE,"Low quality","Benchmark")))</x:f>
        <x:v>Benchmark</x:v>
      </x:c>
    </x:row>
    <x:row r="2530">
      <x:c r="A2530" s="2" t="str">
        <x:v>490023</x:v>
      </x:c>
      <x:c r="B2530" s="2" t="str">
        <x:v>FAUQUIER HOSPITAL</x:v>
      </x:c>
      <x:c r="C2530" s="2" t="str">
        <x:v>WARRENTON</x:v>
      </x:c>
      <x:c r="D2530" s="2" t="str">
        <x:v>VA</x:v>
      </x:c>
      <x:c r="E2530" s="2" t="str">
        <x:v>Acute Care Hospitals</x:v>
      </x:c>
      <x:c r="F2530" s="2" t="str">
        <x:v>Proprietary</x:v>
      </x:c>
      <x:c r="G2530" s="2" t="str">
        <x:v>Small (&lt;100 beds)</x:v>
      </x:c>
      <x:c r="H2530" s="7" t="n">
        <x:v>3</x:v>
      </x:c>
      <x:c r="I2530" s="7" t="n">
        <x:v>3</x:v>
      </x:c>
      <x:c r="J2530" s="7" t="n">
        <x:v>1.04</x:v>
      </x:c>
      <x:c r="K2530" s="8" t="n">
        <x:v>82</x:v>
      </x:c>
      <x:c r="L2530" s="8" t="n">
        <x:v>2667</x:v>
      </x:c>
      <x:c r="M2530" s="9" t="n">
        <x:v>0.3168732507</x:v>
      </x:c>
      <x:c r="N2530" s="10" t="n">
        <x:v>51442.7195350581</x:v>
      </x:c>
      <x:c r="O2530" s="9" t="n">
        <x:v>-0.0536375013</x:v>
      </x:c>
      <x:c r="P2530" s="9" t="n">
        <x:v>0.4883303411</x:v>
      </x:c>
      <x:c r="Q2530" s="9" t="n">
        <x:v>0.1687612208</x:v>
      </x:c>
      <x:c r="R2530" s="3" t="b">
        <x:v>0</x:v>
      </x:c>
      <x:c r="S2530" s="3" t="b">
        <x:v>0</x:v>
      </x:c>
      <x:c r="T2530" s="3" t="b">
        <x:v>0</x:v>
      </x:c>
      <x:c r="U2530" s="2" t="str">
        <x:f>IF(T2530=TRUE,"Priority review",IF(R2530=TRUE,"High cost",IF(S2530=TRUE,"Low quality","Benchmark")))</x:f>
        <x:v>Benchmark</x:v>
      </x:c>
    </x:row>
    <x:row r="2531">
      <x:c r="A2531" s="2" t="str">
        <x:v>490057</x:v>
      </x:c>
      <x:c r="B2531" s="2" t="str">
        <x:v>SENTARA VIRGINIA BEACH GENERAL HOSPITAL</x:v>
      </x:c>
      <x:c r="C2531" s="2" t="str">
        <x:v>VIRGINIA BEACH</x:v>
      </x:c>
      <x:c r="D2531" s="2" t="str">
        <x:v>VA</x:v>
      </x:c>
      <x:c r="E2531" s="2" t="str">
        <x:v>Acute Care Hospitals</x:v>
      </x:c>
      <x:c r="F2531" s="2" t="str">
        <x:v>Voluntary non-profit</x:v>
      </x:c>
      <x:c r="G2531" s="2" t="str">
        <x:v>Medium (100-299 beds)</x:v>
      </x:c>
      <x:c r="H2531" s="7" t="n">
        <x:v>4</x:v>
      </x:c>
      <x:c r="I2531" s="7" t="n">
        <x:v>3</x:v>
      </x:c>
      <x:c r="J2531" s="7" t="n">
        <x:v>0.94</x:v>
      </x:c>
      <x:c r="K2531" s="8" t="n">
        <x:v>239</x:v>
      </x:c>
      <x:c r="L2531" s="8" t="n">
        <x:v>13637</x:v>
      </x:c>
      <x:c r="M2531" s="9" t="n">
        <x:v>0.8434048975</x:v>
      </x:c>
      <x:c r="N2531" s="10" t="n">
        <x:v>33814.6219843074</x:v>
      </x:c>
      <x:c r="O2531" s="9" t="n">
        <x:v>0.0929654814</x:v>
      </x:c>
      <x:c r="P2531" s="9" t="n">
        <x:v>0.4881825591</x:v>
      </x:c>
      <x:c r="Q2531" s="9" t="n">
        <x:v>0.6022819886</x:v>
      </x:c>
      <x:c r="R2531" s="3" t="b">
        <x:v>0</x:v>
      </x:c>
      <x:c r="S2531" s="3" t="b">
        <x:v>0</x:v>
      </x:c>
      <x:c r="T2531" s="3" t="b">
        <x:v>0</x:v>
      </x:c>
      <x:c r="U2531" s="2" t="str">
        <x:f>IF(T2531=TRUE,"Priority review",IF(R2531=TRUE,"High cost",IF(S2531=TRUE,"Low quality","Benchmark")))</x:f>
        <x:v>Benchmark</x:v>
      </x:c>
    </x:row>
    <x:row r="2532">
      <x:c r="A2532" s="2" t="str">
        <x:v>171386</x:v>
      </x:c>
      <x:c r="B2532" s="2" t="str">
        <x:v>MORTON COUNTY HOSPITAL</x:v>
      </x:c>
      <x:c r="C2532" s="2" t="str">
        <x:v>ELKHART</x:v>
      </x:c>
      <x:c r="D2532" s="2" t="str">
        <x:v>KS</x:v>
      </x:c>
      <x:c r="E2532" s="2" t="str">
        <x:v>Critical Access Hospitals</x:v>
      </x:c>
      <x:c r="F2532" s="2" t="str">
        <x:v>Government</x:v>
      </x:c>
      <x:c r="G2532" s="2" t="str">
        <x:v>Small (&lt;100 beds)</x:v>
      </x:c>
      <x:c r="H2532" s="7"/>
      <x:c r="I2532" s="7"/>
      <x:c r="J2532" s="7"/>
      <x:c r="K2532" s="8" t="n">
        <x:v>25</x:v>
      </x:c>
      <x:c r="L2532" s="8" t="n">
        <x:v>76</x:v>
      </x:c>
      <x:c r="M2532" s="9" t="n">
        <x:v>0.1163934426</x:v>
      </x:c>
      <x:c r="N2532" s="10" t="n">
        <x:v>126869.25</x:v>
      </x:c>
      <x:c r="O2532" s="9" t="n">
        <x:v>-0.1655187836</x:v>
      </x:c>
      <x:c r="P2532" s="9" t="n">
        <x:v>0.487732342</x:v>
      </x:c>
      <x:c r="Q2532" s="9" t="n">
        <x:v>0.292936803</x:v>
      </x:c>
      <x:c r="R2532" s="3" t="b">
        <x:v>0</x:v>
      </x:c>
      <x:c r="S2532" s="3" t="b">
        <x:v>0</x:v>
      </x:c>
      <x:c r="T2532" s="3" t="b">
        <x:v>0</x:v>
      </x:c>
      <x:c r="U2532" s="2" t="str">
        <x:f>IF(T2532=TRUE,"Priority review",IF(R2532=TRUE,"High cost",IF(S2532=TRUE,"Low quality","Benchmark")))</x:f>
        <x:v>Benchmark</x:v>
      </x:c>
    </x:row>
    <x:row r="2533">
      <x:c r="A2533" s="2" t="str">
        <x:v>034022</x:v>
      </x:c>
      <x:c r="B2533" s="2" t="str">
        <x:v>SONORA BEHAVIORAL HEALTH HOSPITAL</x:v>
      </x:c>
      <x:c r="C2533" s="2" t="str">
        <x:v>TUCSON</x:v>
      </x:c>
      <x:c r="D2533" s="2" t="str">
        <x:v>AZ</x:v>
      </x:c>
      <x:c r="E2533" s="2" t="str">
        <x:v>Psychiatric</x:v>
      </x:c>
      <x:c r="F2533" s="2" t="str">
        <x:v>Proprietary</x:v>
      </x:c>
      <x:c r="G2533" s="2" t="str">
        <x:v>Medium (100-299 beds)</x:v>
      </x:c>
      <x:c r="H2533" s="7"/>
      <x:c r="I2533" s="7"/>
      <x:c r="J2533" s="7"/>
      <x:c r="K2533" s="8" t="n">
        <x:v>140</x:v>
      </x:c>
      <x:c r="L2533" s="8" t="n">
        <x:v>3760</x:v>
      </x:c>
      <x:c r="M2533" s="9" t="n">
        <x:v>0.9456088993</x:v>
      </x:c>
      <x:c r="N2533" s="10" t="n">
        <x:v>10813.5965425532</x:v>
      </x:c>
      <x:c r="O2533" s="9" t="n">
        <x:v>0.2047246905</x:v>
      </x:c>
      <x:c r="P2533" s="9" t="n">
        <x:v>0.4875621891</x:v>
      </x:c>
      <x:c r="Q2533" s="9" t="n">
        <x:v>0</x:v>
      </x:c>
      <x:c r="R2533" s="3" t="b">
        <x:v>0</x:v>
      </x:c>
      <x:c r="S2533" s="3" t="b">
        <x:v>0</x:v>
      </x:c>
      <x:c r="T2533" s="3" t="b">
        <x:v>0</x:v>
      </x:c>
      <x:c r="U2533" s="2" t="str">
        <x:f>IF(T2533=TRUE,"Priority review",IF(R2533=TRUE,"High cost",IF(S2533=TRUE,"Low quality","Benchmark")))</x:f>
        <x:v>Benchmark</x:v>
      </x:c>
    </x:row>
    <x:row r="2534">
      <x:c r="A2534" s="2" t="str">
        <x:v>270017</x:v>
      </x:c>
      <x:c r="B2534" s="2" t="str">
        <x:v>ST JAMES HOSPITAL</x:v>
      </x:c>
      <x:c r="C2534" s="2" t="str">
        <x:v>BUTTE</x:v>
      </x:c>
      <x:c r="D2534" s="2" t="str">
        <x:v>MT</x:v>
      </x:c>
      <x:c r="E2534" s="2" t="str">
        <x:v>Acute Care Hospitals</x:v>
      </x:c>
      <x:c r="F2534" s="2" t="str">
        <x:v>Voluntary non-profit</x:v>
      </x:c>
      <x:c r="G2534" s="2" t="str">
        <x:v>Small (&lt;100 beds)</x:v>
      </x:c>
      <x:c r="H2534" s="7" t="n">
        <x:v>2</x:v>
      </x:c>
      <x:c r="I2534" s="7" t="n">
        <x:v>4</x:v>
      </x:c>
      <x:c r="J2534" s="7" t="n">
        <x:v>0.9</x:v>
      </x:c>
      <x:c r="K2534" s="8" t="n">
        <x:v>69</x:v>
      </x:c>
      <x:c r="L2534" s="8" t="n">
        <x:v>2641</x:v>
      </x:c>
      <x:c r="M2534" s="9" t="n">
        <x:v>0.4186267522</x:v>
      </x:c>
      <x:c r="N2534" s="10" t="n">
        <x:v>51258.7050359712</x:v>
      </x:c>
      <x:c r="O2534" s="9" t="n">
        <x:v>-0.0381174561</x:v>
      </x:c>
      <x:c r="P2534" s="9" t="n">
        <x:v>0.487432675</x:v>
      </x:c>
      <x:c r="Q2534" s="9" t="n">
        <x:v>0.0350089767</x:v>
      </x:c>
      <x:c r="R2534" s="3" t="b">
        <x:v>0</x:v>
      </x:c>
      <x:c r="S2534" s="3" t="b">
        <x:v>1</x:v>
      </x:c>
      <x:c r="T2534" s="3" t="b">
        <x:v>0</x:v>
      </x:c>
      <x:c r="U2534" s="2" t="str">
        <x:f>IF(T2534=TRUE,"Priority review",IF(R2534=TRUE,"High cost",IF(S2534=TRUE,"Low quality","Benchmark")))</x:f>
        <x:v>Low quality</x:v>
      </x:c>
    </x:row>
    <x:row r="2535">
      <x:c r="A2535" s="2" t="str">
        <x:v>050026</x:v>
      </x:c>
      <x:c r="B2535" s="2" t="str">
        <x:v>GROSSMONT HOSPITAL</x:v>
      </x:c>
      <x:c r="C2535" s="2" t="str">
        <x:v>LA MESA</x:v>
      </x:c>
      <x:c r="D2535" s="2" t="str">
        <x:v>CA</x:v>
      </x:c>
      <x:c r="E2535" s="2" t="str">
        <x:v>Acute Care Hospitals</x:v>
      </x:c>
      <x:c r="F2535" s="2" t="str">
        <x:v>Government</x:v>
      </x:c>
      <x:c r="G2535" s="2" t="str">
        <x:v>Large (300+ beds)</x:v>
      </x:c>
      <x:c r="H2535" s="7" t="n">
        <x:v>4</x:v>
      </x:c>
      <x:c r="I2535" s="7" t="n">
        <x:v>3</x:v>
      </x:c>
      <x:c r="J2535" s="7" t="n">
        <x:v>1.08</x:v>
      </x:c>
      <x:c r="K2535" s="8" t="n">
        <x:v>448</x:v>
      </x:c>
      <x:c r="L2535" s="8" t="n">
        <x:v>27164</x:v>
      </x:c>
      <x:c r="M2535" s="9" t="n">
        <x:v>0.7680645004</x:v>
      </x:c>
      <x:c r="N2535" s="10" t="n">
        <x:v>38603.7296789869</x:v>
      </x:c>
      <x:c r="O2535" s="9" t="n">
        <x:v>-0.0509445972</x:v>
      </x:c>
      <x:c r="P2535" s="9" t="n">
        <x:v>0.4873817035</x:v>
      </x:c>
      <x:c r="Q2535" s="9" t="n">
        <x:v>0.5899053628</x:v>
      </x:c>
      <x:c r="R2535" s="3" t="b">
        <x:v>0</x:v>
      </x:c>
      <x:c r="S2535" s="3" t="b">
        <x:v>0</x:v>
      </x:c>
      <x:c r="T2535" s="3" t="b">
        <x:v>0</x:v>
      </x:c>
      <x:c r="U2535" s="2" t="str">
        <x:f>IF(T2535=TRUE,"Priority review",IF(R2535=TRUE,"High cost",IF(S2535=TRUE,"Low quality","Benchmark")))</x:f>
        <x:v>Benchmark</x:v>
      </x:c>
    </x:row>
    <x:row r="2536">
      <x:c r="A2536" s="2" t="str">
        <x:v>140180</x:v>
      </x:c>
      <x:c r="B2536" s="2" t="str">
        <x:v>PRESENCE SAINTS MARY AND ELIZABETH MEDICAL CENTER</x:v>
      </x:c>
      <x:c r="C2536" s="2" t="str">
        <x:v>CHICAGO</x:v>
      </x:c>
      <x:c r="D2536" s="2" t="str">
        <x:v>IL</x:v>
      </x:c>
      <x:c r="E2536" s="2" t="str">
        <x:v>Acute Care Hospitals</x:v>
      </x:c>
      <x:c r="F2536" s="2" t="str">
        <x:v>Voluntary non-profit</x:v>
      </x:c>
      <x:c r="G2536" s="2" t="str">
        <x:v>Medium (100-299 beds)</x:v>
      </x:c>
      <x:c r="H2536" s="7" t="n">
        <x:v>3</x:v>
      </x:c>
      <x:c r="I2536" s="7" t="n">
        <x:v>3</x:v>
      </x:c>
      <x:c r="J2536" s="7" t="n">
        <x:v>1.03</x:v>
      </x:c>
      <x:c r="K2536" s="8" t="n">
        <x:v>296</x:v>
      </x:c>
      <x:c r="L2536" s="8" t="n">
        <x:v>7334</x:v>
      </x:c>
      <x:c r="M2536" s="9" t="n">
        <x:v>0.6084278723</x:v>
      </x:c>
      <x:c r="N2536" s="10" t="n">
        <x:v>33783.9875920371</x:v>
      </x:c>
      <x:c r="O2536" s="9" t="n">
        <x:v>-0.0554704762</x:v>
      </x:c>
      <x:c r="P2536" s="9" t="n">
        <x:v>0.4873675632</x:v>
      </x:c>
      <x:c r="Q2536" s="9" t="n">
        <x:v>0.3023634882</x:v>
      </x:c>
      <x:c r="R2536" s="3" t="b">
        <x:v>0</x:v>
      </x:c>
      <x:c r="S2536" s="3" t="b">
        <x:v>0</x:v>
      </x:c>
      <x:c r="T2536" s="3" t="b">
        <x:v>0</x:v>
      </x:c>
      <x:c r="U2536" s="2" t="str">
        <x:f>IF(T2536=TRUE,"Priority review",IF(R2536=TRUE,"High cost",IF(S2536=TRUE,"Low quality","Benchmark")))</x:f>
        <x:v>Benchmark</x:v>
      </x:c>
    </x:row>
    <x:row r="2537">
      <x:c r="A2537" s="2" t="str">
        <x:v>451392</x:v>
      </x:c>
      <x:c r="B2537" s="2" t="str">
        <x:v>HAMILTON GENERAL HOSPITAL</x:v>
      </x:c>
      <x:c r="C2537" s="2" t="str">
        <x:v>HAMILTON</x:v>
      </x:c>
      <x:c r="D2537" s="2" t="str">
        <x:v>TX</x:v>
      </x:c>
      <x:c r="E2537" s="2" t="str">
        <x:v>Critical Access Hospitals</x:v>
      </x:c>
      <x:c r="F2537" s="2" t="str">
        <x:v>Government</x:v>
      </x:c>
      <x:c r="G2537" s="2" t="str">
        <x:v>Small (&lt;100 beds)</x:v>
      </x:c>
      <x:c r="H2537" s="7"/>
      <x:c r="I2537" s="7"/>
      <x:c r="J2537" s="7"/>
      <x:c r="K2537" s="8" t="n">
        <x:v>25</x:v>
      </x:c>
      <x:c r="L2537" s="8" t="n">
        <x:v>416</x:v>
      </x:c>
      <x:c r="M2537" s="9" t="n">
        <x:v>0.308852459</x:v>
      </x:c>
      <x:c r="N2537" s="10" t="n">
        <x:v>126666.9879807692</x:v>
      </x:c>
      <x:c r="O2537" s="9" t="n">
        <x:v>-0.160254413</x:v>
      </x:c>
      <x:c r="P2537" s="9" t="n">
        <x:v>0.4869888476</x:v>
      </x:c>
      <x:c r="Q2537" s="9" t="n">
        <x:v>0.292936803</x:v>
      </x:c>
      <x:c r="R2537" s="3" t="b">
        <x:v>0</x:v>
      </x:c>
      <x:c r="S2537" s="3" t="b">
        <x:v>0</x:v>
      </x:c>
      <x:c r="T2537" s="3" t="b">
        <x:v>0</x:v>
      </x:c>
      <x:c r="U2537" s="2" t="str">
        <x:f>IF(T2537=TRUE,"Priority review",IF(R2537=TRUE,"High cost",IF(S2537=TRUE,"Low quality","Benchmark")))</x:f>
        <x:v>Benchmark</x:v>
      </x:c>
    </x:row>
    <x:row r="2538">
      <x:c r="A2538" s="2" t="str">
        <x:v>310061</x:v>
      </x:c>
      <x:c r="B2538" s="2" t="str">
        <x:v>VIRTUA WILLINGBORO HOSPITAL</x:v>
      </x:c>
      <x:c r="C2538" s="2" t="str">
        <x:v>WILLINGBORO</x:v>
      </x:c>
      <x:c r="D2538" s="2" t="str">
        <x:v>NJ</x:v>
      </x:c>
      <x:c r="E2538" s="2" t="str">
        <x:v>Acute Care Hospitals</x:v>
      </x:c>
      <x:c r="F2538" s="2" t="str">
        <x:v>Voluntary non-profit</x:v>
      </x:c>
      <x:c r="G2538" s="2" t="str">
        <x:v>Medium (100-299 beds)</x:v>
      </x:c>
      <x:c r="H2538" s="7" t="n">
        <x:v>3</x:v>
      </x:c>
      <x:c r="I2538" s="7" t="n">
        <x:v>2</x:v>
      </x:c>
      <x:c r="J2538" s="7" t="n">
        <x:v>1.07</x:v>
      </x:c>
      <x:c r="K2538" s="8" t="n">
        <x:v>149</x:v>
      </x:c>
      <x:c r="L2538" s="8" t="n">
        <x:v>4403</x:v>
      </x:c>
      <x:c r="M2538" s="9" t="n">
        <x:v>0.4101661349</x:v>
      </x:c>
      <x:c r="N2538" s="10" t="n">
        <x:v>33757.7167840109</x:v>
      </x:c>
      <x:c r="O2538" s="9" t="n">
        <x:v>0.0409572352</x:v>
      </x:c>
      <x:c r="P2538" s="9" t="n">
        <x:v>0.4865525672</x:v>
      </x:c>
      <x:c r="Q2538" s="9" t="n">
        <x:v>0.3023634882</x:v>
      </x:c>
      <x:c r="R2538" s="3" t="b">
        <x:v>0</x:v>
      </x:c>
      <x:c r="S2538" s="3" t="b">
        <x:v>0</x:v>
      </x:c>
      <x:c r="T2538" s="3" t="b">
        <x:v>0</x:v>
      </x:c>
      <x:c r="U2538" s="2" t="str">
        <x:f>IF(T2538=TRUE,"Priority review",IF(R2538=TRUE,"High cost",IF(S2538=TRUE,"Low quality","Benchmark")))</x:f>
        <x:v>Benchmark</x:v>
      </x:c>
    </x:row>
    <x:row r="2539">
      <x:c r="A2539" s="2" t="str">
        <x:v>360150</x:v>
      </x:c>
      <x:c r="B2539" s="2" t="str">
        <x:v>SUMMA WESTERN RESERVE HOSPITAL</x:v>
      </x:c>
      <x:c r="C2539" s="2" t="str">
        <x:v>CUYAHOGA FALLS</x:v>
      </x:c>
      <x:c r="D2539" s="2" t="str">
        <x:v>OH</x:v>
      </x:c>
      <x:c r="E2539" s="2" t="str">
        <x:v>Acute Care Hospitals</x:v>
      </x:c>
      <x:c r="F2539" s="2" t="str">
        <x:v>Voluntary non-profit</x:v>
      </x:c>
      <x:c r="G2539" s="2" t="str">
        <x:v>Small (&lt;100 beds)</x:v>
      </x:c>
      <x:c r="H2539" s="7" t="n">
        <x:v>3</x:v>
      </x:c>
      <x:c r="I2539" s="7" t="n">
        <x:v>4</x:v>
      </x:c>
      <x:c r="J2539" s="7" t="n">
        <x:v>0.97</x:v>
      </x:c>
      <x:c r="K2539" s="8" t="n">
        <x:v>83</x:v>
      </x:c>
      <x:c r="L2539" s="8" t="n">
        <x:v>3400</x:v>
      </x:c>
      <x:c r="M2539" s="9" t="n">
        <x:v>0.4157284877</x:v>
      </x:c>
      <x:c r="N2539" s="10" t="n">
        <x:v>51143.5020588235</x:v>
      </x:c>
      <x:c r="O2539" s="9" t="n">
        <x:v>-0.072944043</x:v>
      </x:c>
      <x:c r="P2539" s="9" t="n">
        <x:v>0.486535009</x:v>
      </x:c>
      <x:c r="Q2539" s="9" t="n">
        <x:v>0.1687612208</x:v>
      </x:c>
      <x:c r="R2539" s="3" t="b">
        <x:v>0</x:v>
      </x:c>
      <x:c r="S2539" s="3" t="b">
        <x:v>0</x:v>
      </x:c>
      <x:c r="T2539" s="3" t="b">
        <x:v>0</x:v>
      </x:c>
      <x:c r="U2539" s="2" t="str">
        <x:f>IF(T2539=TRUE,"Priority review",IF(R2539=TRUE,"High cost",IF(S2539=TRUE,"Low quality","Benchmark")))</x:f>
        <x:v>Benchmark</x:v>
      </x:c>
    </x:row>
    <x:row r="2540">
      <x:c r="A2540" s="2" t="str">
        <x:v>051314</x:v>
      </x:c>
      <x:c r="B2540" s="2" t="str">
        <x:v>KERN VALLEY HEALTHCARE DISTRICT</x:v>
      </x:c>
      <x:c r="C2540" s="2" t="str">
        <x:v>LAKE ISABELLA</x:v>
      </x:c>
      <x:c r="D2540" s="2" t="str">
        <x:v>CA</x:v>
      </x:c>
      <x:c r="E2540" s="2" t="str">
        <x:v>Critical Access Hospitals</x:v>
      </x:c>
      <x:c r="F2540" s="2" t="str">
        <x:v>Government</x:v>
      </x:c>
      <x:c r="G2540" s="2" t="str">
        <x:v>Small (&lt;100 beds)</x:v>
      </x:c>
      <x:c r="H2540" s="7" t="n">
        <x:v>3</x:v>
      </x:c>
      <x:c r="I2540" s="7"/>
      <x:c r="J2540" s="7"/>
      <x:c r="K2540" s="8" t="n">
        <x:v>24</x:v>
      </x:c>
      <x:c r="L2540" s="8" t="n">
        <x:v>329</x:v>
      </x:c>
      <x:c r="M2540" s="9" t="n">
        <x:v>0.1616438356</x:v>
      </x:c>
      <x:c r="N2540" s="10" t="n">
        <x:v>126650.1124620061</x:v>
      </x:c>
      <x:c r="O2540" s="9" t="n">
        <x:v>-0.0186769104</x:v>
      </x:c>
      <x:c r="P2540" s="9" t="n">
        <x:v>0.4862453532</x:v>
      </x:c>
      <x:c r="Q2540" s="9" t="n">
        <x:v>0.0765799257</x:v>
      </x:c>
      <x:c r="R2540" s="3" t="b">
        <x:v>0</x:v>
      </x:c>
      <x:c r="S2540" s="3" t="b">
        <x:v>1</x:v>
      </x:c>
      <x:c r="T2540" s="3" t="b">
        <x:v>0</x:v>
      </x:c>
      <x:c r="U2540" s="2" t="str">
        <x:f>IF(T2540=TRUE,"Priority review",IF(R2540=TRUE,"High cost",IF(S2540=TRUE,"Low quality","Benchmark")))</x:f>
        <x:v>Low quality</x:v>
      </x:c>
    </x:row>
    <x:row r="2541">
      <x:c r="A2541" s="2" t="str">
        <x:v>110107</x:v>
      </x:c>
      <x:c r="B2541" s="2" t="str">
        <x:v>ATRIUM HEALTH NAVICENT THE MEDICAL CENTER</x:v>
      </x:c>
      <x:c r="C2541" s="2" t="str">
        <x:v>MACON</x:v>
      </x:c>
      <x:c r="D2541" s="2" t="str">
        <x:v>GA</x:v>
      </x:c>
      <x:c r="E2541" s="2" t="str">
        <x:v>Acute Care Hospitals</x:v>
      </x:c>
      <x:c r="F2541" s="2" t="str">
        <x:v>Government</x:v>
      </x:c>
      <x:c r="G2541" s="2" t="str">
        <x:v>Large (300+ beds)</x:v>
      </x:c>
      <x:c r="H2541" s="7" t="n">
        <x:v>2</x:v>
      </x:c>
      <x:c r="I2541" s="7" t="n">
        <x:v>2</x:v>
      </x:c>
      <x:c r="J2541" s="7" t="n">
        <x:v>1.01</x:v>
      </x:c>
      <x:c r="K2541" s="8" t="n">
        <x:v>673</x:v>
      </x:c>
      <x:c r="L2541" s="8" t="n">
        <x:v>23038</x:v>
      </x:c>
      <x:c r="M2541" s="9" t="n">
        <x:v>0.7617510698</x:v>
      </x:c>
      <x:c r="N2541" s="10" t="n">
        <x:v>38525.6490146714</x:v>
      </x:c>
      <x:c r="O2541" s="9" t="n">
        <x:v>0.0275260215</x:v>
      </x:c>
      <x:c r="P2541" s="9" t="n">
        <x:v>0.4858044164</x:v>
      </x:c>
      <x:c r="Q2541" s="9" t="n">
        <x:v>0.0536277603</x:v>
      </x:c>
      <x:c r="R2541" s="3" t="b">
        <x:v>0</x:v>
      </x:c>
      <x:c r="S2541" s="3" t="b">
        <x:v>1</x:v>
      </x:c>
      <x:c r="T2541" s="3" t="b">
        <x:v>0</x:v>
      </x:c>
      <x:c r="U2541" s="2" t="str">
        <x:f>IF(T2541=TRUE,"Priority review",IF(R2541=TRUE,"High cost",IF(S2541=TRUE,"Low quality","Benchmark")))</x:f>
        <x:v>Low quality</x:v>
      </x:c>
    </x:row>
    <x:row r="2542">
      <x:c r="A2542" s="2" t="str">
        <x:v>500053</x:v>
      </x:c>
      <x:c r="B2542" s="2" t="str">
        <x:v>TRIOS HEALTH</x:v>
      </x:c>
      <x:c r="C2542" s="2" t="str">
        <x:v>KENNEWICK</x:v>
      </x:c>
      <x:c r="D2542" s="2" t="str">
        <x:v>WA</x:v>
      </x:c>
      <x:c r="E2542" s="2" t="str">
        <x:v>Acute Care Hospitals</x:v>
      </x:c>
      <x:c r="F2542" s="2" t="str">
        <x:v>Government</x:v>
      </x:c>
      <x:c r="G2542" s="2" t="str">
        <x:v>Medium (100-299 beds)</x:v>
      </x:c>
      <x:c r="H2542" s="7" t="n">
        <x:v>2</x:v>
      </x:c>
      <x:c r="I2542" s="7" t="n">
        <x:v>2</x:v>
      </x:c>
      <x:c r="J2542" s="7" t="n">
        <x:v>0.98</x:v>
      </x:c>
      <x:c r="K2542" s="8" t="n">
        <x:v>111</x:v>
      </x:c>
      <x:c r="L2542" s="8" t="n">
        <x:v>5159</x:v>
      </x:c>
      <x:c r="M2542" s="9" t="n">
        <x:v>0.558066263</x:v>
      </x:c>
      <x:c r="N2542" s="10" t="n">
        <x:v>33723.3659623958</x:v>
      </x:c>
      <x:c r="O2542" s="9" t="n">
        <x:v>-0.0605104922</x:v>
      </x:c>
      <x:c r="P2542" s="9" t="n">
        <x:v>0.4857375713</x:v>
      </x:c>
      <x:c r="Q2542" s="9" t="n">
        <x:v>0.0782396088</x:v>
      </x:c>
      <x:c r="R2542" s="3" t="b">
        <x:v>0</x:v>
      </x:c>
      <x:c r="S2542" s="3" t="b">
        <x:v>1</x:v>
      </x:c>
      <x:c r="T2542" s="3" t="b">
        <x:v>0</x:v>
      </x:c>
      <x:c r="U2542" s="2" t="str">
        <x:f>IF(T2542=TRUE,"Priority review",IF(R2542=TRUE,"High cost",IF(S2542=TRUE,"Low quality","Benchmark")))</x:f>
        <x:v>Low quality</x:v>
      </x:c>
    </x:row>
    <x:row r="2543">
      <x:c r="A2543" s="2" t="str">
        <x:v>170014</x:v>
      </x:c>
      <x:c r="B2543" s="2" t="str">
        <x:v>ADVENTHEALTH OTTAWA</x:v>
      </x:c>
      <x:c r="C2543" s="2" t="str">
        <x:v>OTTAWA</x:v>
      </x:c>
      <x:c r="D2543" s="2" t="str">
        <x:v>KS</x:v>
      </x:c>
      <x:c r="E2543" s="2" t="str">
        <x:v>Acute Care Hospitals</x:v>
      </x:c>
      <x:c r="F2543" s="2" t="str">
        <x:v>Government</x:v>
      </x:c>
      <x:c r="G2543" s="2" t="str">
        <x:v>Small (&lt;100 beds)</x:v>
      </x:c>
      <x:c r="H2543" s="7" t="n">
        <x:v>3</x:v>
      </x:c>
      <x:c r="I2543" s="7" t="n">
        <x:v>4</x:v>
      </x:c>
      <x:c r="J2543" s="7" t="n">
        <x:v>0.94</x:v>
      </x:c>
      <x:c r="K2543" s="8" t="n">
        <x:v>36</x:v>
      </x:c>
      <x:c r="L2543" s="8" t="n">
        <x:v>1118</x:v>
      </x:c>
      <x:c r="M2543" s="9" t="n">
        <x:v>0.2162264724</x:v>
      </x:c>
      <x:c r="N2543" s="10" t="n">
        <x:v>51027.0107334526</x:v>
      </x:c>
      <x:c r="O2543" s="9" t="n">
        <x:v>-0.0228767836</x:v>
      </x:c>
      <x:c r="P2543" s="9" t="n">
        <x:v>0.4856373429</x:v>
      </x:c>
      <x:c r="Q2543" s="9" t="n">
        <x:v>0.1687612208</x:v>
      </x:c>
      <x:c r="R2543" s="3" t="b">
        <x:v>0</x:v>
      </x:c>
      <x:c r="S2543" s="3" t="b">
        <x:v>0</x:v>
      </x:c>
      <x:c r="T2543" s="3" t="b">
        <x:v>0</x:v>
      </x:c>
      <x:c r="U2543" s="2" t="str">
        <x:f>IF(T2543=TRUE,"Priority review",IF(R2543=TRUE,"High cost",IF(S2543=TRUE,"Low quality","Benchmark")))</x:f>
        <x:v>Benchmark</x:v>
      </x:c>
    </x:row>
    <x:row r="2544">
      <x:c r="A2544" s="2" t="str">
        <x:v>051325</x:v>
      </x:c>
      <x:c r="B2544" s="2" t="str">
        <x:v>ADVENTIST HEALTH MENDOCINO COAST</x:v>
      </x:c>
      <x:c r="C2544" s="2" t="str">
        <x:v>FORT BRAGG</x:v>
      </x:c>
      <x:c r="D2544" s="2" t="str">
        <x:v>CA</x:v>
      </x:c>
      <x:c r="E2544" s="2" t="str">
        <x:v>Critical Access Hospitals</x:v>
      </x:c>
      <x:c r="F2544" s="2" t="str">
        <x:v>Voluntary non-profit</x:v>
      </x:c>
      <x:c r="G2544" s="2" t="str">
        <x:v>Small (&lt;100 beds)</x:v>
      </x:c>
      <x:c r="H2544" s="7" t="n">
        <x:v>3</x:v>
      </x:c>
      <x:c r="I2544" s="7" t="n">
        <x:v>5</x:v>
      </x:c>
      <x:c r="J2544" s="7"/>
      <x:c r="K2544" s="8" t="n">
        <x:v>25</x:v>
      </x:c>
      <x:c r="L2544" s="8" t="n">
        <x:v>722</x:v>
      </x:c>
      <x:c r="M2544" s="9" t="n">
        <x:v>0.4867759563</x:v>
      </x:c>
      <x:c r="N2544" s="10" t="n">
        <x:v>126603.5900277008</x:v>
      </x:c>
      <x:c r="O2544" s="9" t="n">
        <x:v>-0.1276922684</x:v>
      </x:c>
      <x:c r="P2544" s="9" t="n">
        <x:v>0.4855018587</x:v>
      </x:c>
      <x:c r="Q2544" s="9" t="n">
        <x:v>0.0765799257</x:v>
      </x:c>
      <x:c r="R2544" s="3" t="b">
        <x:v>0</x:v>
      </x:c>
      <x:c r="S2544" s="3" t="b">
        <x:v>1</x:v>
      </x:c>
      <x:c r="T2544" s="3" t="b">
        <x:v>0</x:v>
      </x:c>
      <x:c r="U2544" s="2" t="str">
        <x:f>IF(T2544=TRUE,"Priority review",IF(R2544=TRUE,"High cost",IF(S2544=TRUE,"Low quality","Benchmark")))</x:f>
        <x:v>Low quality</x:v>
      </x:c>
    </x:row>
    <x:row r="2545">
      <x:c r="A2545" s="2" t="str">
        <x:v>394052</x:v>
      </x:c>
      <x:c r="B2545" s="2" t="str">
        <x:v>HAVEN BEHAVIORAL HOSPITAL OF EASTERN PENNSYLVANIA</x:v>
      </x:c>
      <x:c r="C2545" s="2" t="str">
        <x:v>READING</x:v>
      </x:c>
      <x:c r="D2545" s="2" t="str">
        <x:v>PA</x:v>
      </x:c>
      <x:c r="E2545" s="2" t="str">
        <x:v>Psychiatric</x:v>
      </x:c>
      <x:c r="F2545" s="2" t="str">
        <x:v>Proprietary</x:v>
      </x:c>
      <x:c r="G2545" s="2" t="str">
        <x:v>Small (&lt;100 beds)</x:v>
      </x:c>
      <x:c r="H2545" s="7"/>
      <x:c r="I2545" s="7"/>
      <x:c r="J2545" s="7"/>
      <x:c r="K2545" s="8" t="n">
        <x:v>86</x:v>
      </x:c>
      <x:c r="L2545" s="8" t="n">
        <x:v>1903</x:v>
      </x:c>
      <x:c r="M2545" s="9" t="n">
        <x:v>0.9510102936</x:v>
      </x:c>
      <x:c r="N2545" s="10" t="n">
        <x:v>11849.3342091435</x:v>
      </x:c>
      <x:c r="O2545" s="9" t="n">
        <x:v>0.1847337462</x:v>
      </x:c>
      <x:c r="P2545" s="9" t="n">
        <x:v>0.4854368932</x:v>
      </x:c>
      <x:c r="Q2545" s="9" t="n">
        <x:v>0</x:v>
      </x:c>
      <x:c r="R2545" s="3" t="b">
        <x:v>0</x:v>
      </x:c>
      <x:c r="S2545" s="3" t="b">
        <x:v>0</x:v>
      </x:c>
      <x:c r="T2545" s="3" t="b">
        <x:v>0</x:v>
      </x:c>
      <x:c r="U2545" s="2" t="str">
        <x:f>IF(T2545=TRUE,"Priority review",IF(R2545=TRUE,"High cost",IF(S2545=TRUE,"Low quality","Benchmark")))</x:f>
        <x:v>Benchmark</x:v>
      </x:c>
    </x:row>
    <x:row r="2546">
      <x:c r="A2546" s="2" t="str">
        <x:v>050468</x:v>
      </x:c>
      <x:c r="B2546" s="2" t="str">
        <x:v>MEMORIAL HOSPITAL OF GARDENA</x:v>
      </x:c>
      <x:c r="C2546" s="2" t="str">
        <x:v>GARDENA</x:v>
      </x:c>
      <x:c r="D2546" s="2" t="str">
        <x:v>CA</x:v>
      </x:c>
      <x:c r="E2546" s="2" t="str">
        <x:v>Acute Care Hospitals</x:v>
      </x:c>
      <x:c r="F2546" s="2" t="str">
        <x:v>Proprietary</x:v>
      </x:c>
      <x:c r="G2546" s="2" t="str">
        <x:v>Medium (100-299 beds)</x:v>
      </x:c>
      <x:c r="H2546" s="7" t="n">
        <x:v>1</x:v>
      </x:c>
      <x:c r="I2546" s="7" t="n">
        <x:v>1</x:v>
      </x:c>
      <x:c r="J2546" s="7" t="n">
        <x:v>1.1</x:v>
      </x:c>
      <x:c r="K2546" s="8" t="n">
        <x:v>103</x:v>
      </x:c>
      <x:c r="L2546" s="8" t="n">
        <x:v>5544</x:v>
      </x:c>
      <x:c r="M2546" s="9" t="n">
        <x:v>0.6985516473</x:v>
      </x:c>
      <x:c r="N2546" s="10" t="n">
        <x:v>33722.1663059163</x:v>
      </x:c>
      <x:c r="O2546" s="9" t="n">
        <x:v>-0.1981250398</x:v>
      </x:c>
      <x:c r="P2546" s="9" t="n">
        <x:v>0.4849225754</x:v>
      </x:c>
      <x:c r="Q2546" s="9" t="n">
        <x:v>0</x:v>
      </x:c>
      <x:c r="R2546" s="3" t="b">
        <x:v>0</x:v>
      </x:c>
      <x:c r="S2546" s="3" t="b">
        <x:v>1</x:v>
      </x:c>
      <x:c r="T2546" s="3" t="b">
        <x:v>0</x:v>
      </x:c>
      <x:c r="U2546" s="2" t="str">
        <x:f>IF(T2546=TRUE,"Priority review",IF(R2546=TRUE,"High cost",IF(S2546=TRUE,"Low quality","Benchmark")))</x:f>
        <x:v>Low quality</x:v>
      </x:c>
    </x:row>
    <x:row r="2547">
      <x:c r="A2547" s="2" t="str">
        <x:v>031315</x:v>
      </x:c>
      <x:c r="B2547" s="2" t="str">
        <x:v>WHITE MOUNTAIN REGIONAL MEDICAL CENTER</x:v>
      </x:c>
      <x:c r="C2547" s="2" t="str">
        <x:v>SPRINGERVILLE</x:v>
      </x:c>
      <x:c r="D2547" s="2" t="str">
        <x:v>AZ</x:v>
      </x:c>
      <x:c r="E2547" s="2" t="str">
        <x:v>Critical Access Hospitals</x:v>
      </x:c>
      <x:c r="F2547" s="2" t="str">
        <x:v>Voluntary non-profit</x:v>
      </x:c>
      <x:c r="G2547" s="2" t="str">
        <x:v>Small (&lt;100 beds)</x:v>
      </x:c>
      <x:c r="H2547" s="7"/>
      <x:c r="I2547" s="7" t="n">
        <x:v>4</x:v>
      </x:c>
      <x:c r="J2547" s="7"/>
      <x:c r="K2547" s="8" t="n">
        <x:v>21</x:v>
      </x:c>
      <x:c r="L2547" s="8" t="n">
        <x:v>204</x:v>
      </x:c>
      <x:c r="M2547" s="9" t="n">
        <x:v>0.3023679417</x:v>
      </x:c>
      <x:c r="N2547" s="10" t="n">
        <x:v>126599.4509803922</x:v>
      </x:c>
      <x:c r="O2547" s="9" t="n">
        <x:v>0.0644470214</x:v>
      </x:c>
      <x:c r="P2547" s="9" t="n">
        <x:v>0.4847583643</x:v>
      </x:c>
      <x:c r="Q2547" s="9" t="n">
        <x:v>0.292936803</x:v>
      </x:c>
      <x:c r="R2547" s="3" t="b">
        <x:v>0</x:v>
      </x:c>
      <x:c r="S2547" s="3" t="b">
        <x:v>0</x:v>
      </x:c>
      <x:c r="T2547" s="3" t="b">
        <x:v>0</x:v>
      </x:c>
      <x:c r="U2547" s="2" t="str">
        <x:f>IF(T2547=TRUE,"Priority review",IF(R2547=TRUE,"High cost",IF(S2547=TRUE,"Low quality","Benchmark")))</x:f>
        <x:v>Benchmark</x:v>
      </x:c>
    </x:row>
    <x:row r="2548">
      <x:c r="A2548" s="2" t="str">
        <x:v>150022</x:v>
      </x:c>
      <x:c r="B2548" s="2" t="str">
        <x:v>FRANCISCAN HEALTH CRAWFORDSVILLE</x:v>
      </x:c>
      <x:c r="C2548" s="2" t="str">
        <x:v>CRAWFORDSVILLE</x:v>
      </x:c>
      <x:c r="D2548" s="2" t="str">
        <x:v>IN</x:v>
      </x:c>
      <x:c r="E2548" s="2" t="str">
        <x:v>Acute Care Hospitals</x:v>
      </x:c>
      <x:c r="F2548" s="2" t="str">
        <x:v>Voluntary non-profit</x:v>
      </x:c>
      <x:c r="G2548" s="2" t="str">
        <x:v>Small (&lt;100 beds)</x:v>
      </x:c>
      <x:c r="H2548" s="7" t="n">
        <x:v>5</x:v>
      </x:c>
      <x:c r="I2548" s="7" t="n">
        <x:v>5</x:v>
      </x:c>
      <x:c r="J2548" s="7" t="n">
        <x:v>1.03</x:v>
      </x:c>
      <x:c r="K2548" s="8" t="n">
        <x:v>29</x:v>
      </x:c>
      <x:c r="L2548" s="8" t="n">
        <x:v>1030</x:v>
      </x:c>
      <x:c r="M2548" s="9" t="n">
        <x:v>0.3064820049</x:v>
      </x:c>
      <x:c r="N2548" s="10" t="n">
        <x:v>51020.6873786408</x:v>
      </x:c>
      <x:c r="O2548" s="9" t="n">
        <x:v>-0.0239641195</x:v>
      </x:c>
      <x:c r="P2548" s="9" t="n">
        <x:v>0.4847396768</x:v>
      </x:c>
      <x:c r="Q2548" s="9" t="n">
        <x:v>0.6131059246</x:v>
      </x:c>
      <x:c r="R2548" s="3" t="b">
        <x:v>0</x:v>
      </x:c>
      <x:c r="S2548" s="3" t="b">
        <x:v>0</x:v>
      </x:c>
      <x:c r="T2548" s="3" t="b">
        <x:v>0</x:v>
      </x:c>
      <x:c r="U2548" s="2" t="str">
        <x:f>IF(T2548=TRUE,"Priority review",IF(R2548=TRUE,"High cost",IF(S2548=TRUE,"Low quality","Benchmark")))</x:f>
        <x:v>Benchmark</x:v>
      </x:c>
    </x:row>
    <x:row r="2549">
      <x:c r="A2549" s="2" t="str">
        <x:v>360163</x:v>
      </x:c>
      <x:c r="B2549" s="2" t="str">
        <x:v>CHRIST HOSPITAL</x:v>
      </x:c>
      <x:c r="C2549" s="2" t="str">
        <x:v>CINCINNATI</x:v>
      </x:c>
      <x:c r="D2549" s="2" t="str">
        <x:v>OH</x:v>
      </x:c>
      <x:c r="E2549" s="2" t="str">
        <x:v>Acute Care Hospitals</x:v>
      </x:c>
      <x:c r="F2549" s="2" t="str">
        <x:v>Voluntary non-profit</x:v>
      </x:c>
      <x:c r="G2549" s="2" t="str">
        <x:v>Large (300+ beds)</x:v>
      </x:c>
      <x:c r="H2549" s="7" t="n">
        <x:v>5</x:v>
      </x:c>
      <x:c r="I2549" s="7" t="n">
        <x:v>4</x:v>
      </x:c>
      <x:c r="J2549" s="7" t="n">
        <x:v>0.96</x:v>
      </x:c>
      <x:c r="K2549" s="8" t="n">
        <x:v>446</x:v>
      </x:c>
      <x:c r="L2549" s="8" t="n">
        <x:v>26861</x:v>
      </x:c>
      <x:c r="M2549" s="9" t="n">
        <x:v>0.6338450549</x:v>
      </x:c>
      <x:c r="N2549" s="10" t="n">
        <x:v>38456.1265031086</x:v>
      </x:c>
      <x:c r="O2549" s="9" t="n">
        <x:v>0.0304334624</x:v>
      </x:c>
      <x:c r="P2549" s="9" t="n">
        <x:v>0.4842271293</x:v>
      </x:c>
      <x:c r="Q2549" s="9" t="n">
        <x:v>0.8722397476</x:v>
      </x:c>
      <x:c r="R2549" s="3" t="b">
        <x:v>0</x:v>
      </x:c>
      <x:c r="S2549" s="3" t="b">
        <x:v>0</x:v>
      </x:c>
      <x:c r="T2549" s="3" t="b">
        <x:v>0</x:v>
      </x:c>
      <x:c r="U2549" s="2" t="str">
        <x:f>IF(T2549=TRUE,"Priority review",IF(R2549=TRUE,"High cost",IF(S2549=TRUE,"Low quality","Benchmark")))</x:f>
        <x:v>Benchmark</x:v>
      </x:c>
    </x:row>
    <x:row r="2550">
      <x:c r="A2550" s="2" t="str">
        <x:v>110043</x:v>
      </x:c>
      <x:c r="B2550" s="2" t="str">
        <x:v>ST JOSEPH'S HOSPITAL - SAVANNAH</x:v>
      </x:c>
      <x:c r="C2550" s="2" t="str">
        <x:v>SAVANNAH</x:v>
      </x:c>
      <x:c r="D2550" s="2" t="str">
        <x:v>GA</x:v>
      </x:c>
      <x:c r="E2550" s="2" t="str">
        <x:v>Acute Care Hospitals</x:v>
      </x:c>
      <x:c r="F2550" s="2" t="str">
        <x:v>Voluntary non-profit</x:v>
      </x:c>
      <x:c r="G2550" s="2" t="str">
        <x:v>Medium (100-299 beds)</x:v>
      </x:c>
      <x:c r="H2550" s="7" t="n">
        <x:v>2</x:v>
      </x:c>
      <x:c r="I2550" s="7" t="n">
        <x:v>3</x:v>
      </x:c>
      <x:c r="J2550" s="7" t="n">
        <x:v>1.05</x:v>
      </x:c>
      <x:c r="K2550" s="8" t="n">
        <x:v>231</x:v>
      </x:c>
      <x:c r="L2550" s="8" t="n">
        <x:v>10965</x:v>
      </x:c>
      <x:c r="M2550" s="9" t="n">
        <x:v>0.7563422878</x:v>
      </x:c>
      <x:c r="N2550" s="10" t="n">
        <x:v>33715.1063383493</x:v>
      </x:c>
      <x:c r="O2550" s="9" t="n">
        <x:v>-0.068247808</x:v>
      </x:c>
      <x:c r="P2550" s="9" t="n">
        <x:v>0.4841075795</x:v>
      </x:c>
      <x:c r="Q2550" s="9" t="n">
        <x:v>0.0782396088</x:v>
      </x:c>
      <x:c r="R2550" s="3" t="b">
        <x:v>0</x:v>
      </x:c>
      <x:c r="S2550" s="3" t="b">
        <x:v>1</x:v>
      </x:c>
      <x:c r="T2550" s="3" t="b">
        <x:v>0</x:v>
      </x:c>
      <x:c r="U2550" s="2" t="str">
        <x:f>IF(T2550=TRUE,"Priority review",IF(R2550=TRUE,"High cost",IF(S2550=TRUE,"Low quality","Benchmark")))</x:f>
        <x:v>Low quality</x:v>
      </x:c>
    </x:row>
    <x:row r="2551">
      <x:c r="A2551" s="2" t="str">
        <x:v>171327</x:v>
      </x:c>
      <x:c r="B2551" s="2" t="str">
        <x:v>ELLSWORTH COUNTY MEDICAL CENTER</x:v>
      </x:c>
      <x:c r="C2551" s="2" t="str">
        <x:v>ELLSWORTH</x:v>
      </x:c>
      <x:c r="D2551" s="2" t="str">
        <x:v>KS</x:v>
      </x:c>
      <x:c r="E2551" s="2" t="str">
        <x:v>Critical Access Hospitals</x:v>
      </x:c>
      <x:c r="F2551" s="2" t="str">
        <x:v>Proprietary</x:v>
      </x:c>
      <x:c r="G2551" s="2" t="str">
        <x:v>Small (&lt;100 beds)</x:v>
      </x:c>
      <x:c r="H2551" s="7" t="n">
        <x:v>2</x:v>
      </x:c>
      <x:c r="I2551" s="7"/>
      <x:c r="J2551" s="7"/>
      <x:c r="K2551" s="8" t="n">
        <x:v>19</x:v>
      </x:c>
      <x:c r="L2551" s="8" t="n">
        <x:v>195</x:v>
      </x:c>
      <x:c r="M2551" s="9" t="n">
        <x:v>0.152703677</x:v>
      </x:c>
      <x:c r="N2551" s="10" t="n">
        <x:v>126415.9128205128</x:v>
      </x:c>
      <x:c r="O2551" s="9" t="n">
        <x:v>-0.2162696041</x:v>
      </x:c>
      <x:c r="P2551" s="9" t="n">
        <x:v>0.4840148699</x:v>
      </x:c>
      <x:c r="Q2551" s="9" t="n">
        <x:v>0.0171003717</x:v>
      </x:c>
      <x:c r="R2551" s="3" t="b">
        <x:v>0</x:v>
      </x:c>
      <x:c r="S2551" s="3" t="b">
        <x:v>1</x:v>
      </x:c>
      <x:c r="T2551" s="3" t="b">
        <x:v>0</x:v>
      </x:c>
      <x:c r="U2551" s="2" t="str">
        <x:f>IF(T2551=TRUE,"Priority review",IF(R2551=TRUE,"High cost",IF(S2551=TRUE,"Low quality","Benchmark")))</x:f>
        <x:v>Low quality</x:v>
      </x:c>
    </x:row>
    <x:row r="2552">
      <x:c r="A2552" s="2" t="str">
        <x:v>190116</x:v>
      </x:c>
      <x:c r="B2552" s="2" t="str">
        <x:v>MOREHOUSE GENERAL HOSPITAL</x:v>
      </x:c>
      <x:c r="C2552" s="2" t="str">
        <x:v>BASTROP</x:v>
      </x:c>
      <x:c r="D2552" s="2" t="str">
        <x:v>LA</x:v>
      </x:c>
      <x:c r="E2552" s="2" t="str">
        <x:v>Acute Care Hospitals</x:v>
      </x:c>
      <x:c r="F2552" s="2" t="str">
        <x:v>Government</x:v>
      </x:c>
      <x:c r="G2552" s="2" t="str">
        <x:v>Small (&lt;100 beds)</x:v>
      </x:c>
      <x:c r="H2552" s="7" t="n">
        <x:v>2</x:v>
      </x:c>
      <x:c r="I2552" s="7"/>
      <x:c r="J2552" s="7" t="n">
        <x:v>1.16</x:v>
      </x:c>
      <x:c r="K2552" s="8" t="n">
        <x:v>39</x:v>
      </x:c>
      <x:c r="L2552" s="8" t="n">
        <x:v>731</x:v>
      </x:c>
      <x:c r="M2552" s="9" t="n">
        <x:v>0.1988057604</x:v>
      </x:c>
      <x:c r="N2552" s="10" t="n">
        <x:v>50997.2818057456</x:v>
      </x:c>
      <x:c r="O2552" s="9" t="n">
        <x:v>-0.5414414778</x:v>
      </x:c>
      <x:c r="P2552" s="9" t="n">
        <x:v>0.4838420108</x:v>
      </x:c>
      <x:c r="Q2552" s="9" t="n">
        <x:v>0.0350089767</x:v>
      </x:c>
      <x:c r="R2552" s="3" t="b">
        <x:v>0</x:v>
      </x:c>
      <x:c r="S2552" s="3" t="b">
        <x:v>1</x:v>
      </x:c>
      <x:c r="T2552" s="3" t="b">
        <x:v>0</x:v>
      </x:c>
      <x:c r="U2552" s="2" t="str">
        <x:f>IF(T2552=TRUE,"Priority review",IF(R2552=TRUE,"High cost",IF(S2552=TRUE,"Low quality","Benchmark")))</x:f>
        <x:v>Low quality</x:v>
      </x:c>
    </x:row>
    <x:row r="2553">
      <x:c r="A2553" s="2" t="str">
        <x:v>100126</x:v>
      </x:c>
      <x:c r="B2553" s="2" t="str">
        <x:v>HCA FLORIDA PASADENA HOSPITAL A PART OF HCA FLORID</x:v>
      </x:c>
      <x:c r="C2553" s="2" t="str">
        <x:v>SAINT PETERSBURG</x:v>
      </x:c>
      <x:c r="D2553" s="2" t="str">
        <x:v>FL</x:v>
      </x:c>
      <x:c r="E2553" s="2" t="str">
        <x:v>Acute Care Hospitals</x:v>
      </x:c>
      <x:c r="F2553" s="2" t="str">
        <x:v>Proprietary</x:v>
      </x:c>
      <x:c r="G2553" s="2" t="str">
        <x:v>Medium (100-299 beds)</x:v>
      </x:c>
      <x:c r="H2553" s="7"/>
      <x:c r="I2553" s="7"/>
      <x:c r="J2553" s="7"/>
      <x:c r="K2553" s="8" t="n">
        <x:v>123</x:v>
      </x:c>
      <x:c r="L2553" s="8" t="n">
        <x:v>3301</x:v>
      </x:c>
      <x:c r="M2553" s="9" t="n">
        <x:v>0.3079657026</x:v>
      </x:c>
      <x:c r="N2553" s="10" t="n">
        <x:v>33697.0348379279</x:v>
      </x:c>
      <x:c r="O2553" s="9" t="n">
        <x:v>-0.2742044744</x:v>
      </x:c>
      <x:c r="P2553" s="9" t="n">
        <x:v>0.4832925835</x:v>
      </x:c>
      <x:c r="Q2553" s="9" t="n">
        <x:v>0.9616951915</x:v>
      </x:c>
      <x:c r="R2553" s="3" t="b">
        <x:v>0</x:v>
      </x:c>
      <x:c r="S2553" s="3" t="b">
        <x:v>0</x:v>
      </x:c>
      <x:c r="T2553" s="3" t="b">
        <x:v>0</x:v>
      </x:c>
      <x:c r="U2553" s="2" t="str">
        <x:f>IF(T2553=TRUE,"Priority review",IF(R2553=TRUE,"High cost",IF(S2553=TRUE,"Low quality","Benchmark")))</x:f>
        <x:v>Benchmark</x:v>
      </x:c>
    </x:row>
    <x:row r="2554">
      <x:c r="A2554" s="2" t="str">
        <x:v>201314</x:v>
      </x:c>
      <x:c r="B2554" s="2" t="str">
        <x:v>REDINGTON FAIRVIEW GENERAL HOSPITAL</x:v>
      </x:c>
      <x:c r="C2554" s="2" t="str">
        <x:v>SKOWHEGAN</x:v>
      </x:c>
      <x:c r="D2554" s="2" t="str">
        <x:v>ME</x:v>
      </x:c>
      <x:c r="E2554" s="2" t="str">
        <x:v>Critical Access Hospitals</x:v>
      </x:c>
      <x:c r="F2554" s="2" t="str">
        <x:v>Voluntary non-profit</x:v>
      </x:c>
      <x:c r="G2554" s="2" t="str">
        <x:v>Small (&lt;100 beds)</x:v>
      </x:c>
      <x:c r="H2554" s="7" t="n">
        <x:v>2</x:v>
      </x:c>
      <x:c r="I2554" s="7" t="n">
        <x:v>5</x:v>
      </x:c>
      <x:c r="J2554" s="7"/>
      <x:c r="K2554" s="8" t="n">
        <x:v>25</x:v>
      </x:c>
      <x:c r="L2554" s="8" t="n">
        <x:v>1183</x:v>
      </x:c>
      <x:c r="M2554" s="9" t="n">
        <x:v>0.4981917808</x:v>
      </x:c>
      <x:c r="N2554" s="10" t="n">
        <x:v>126371.3761622992</x:v>
      </x:c>
      <x:c r="O2554" s="9" t="n">
        <x:v>0.0227165062</x:v>
      </x:c>
      <x:c r="P2554" s="9" t="n">
        <x:v>0.4832713755</x:v>
      </x:c>
      <x:c r="Q2554" s="9" t="n">
        <x:v>0.0171003717</x:v>
      </x:c>
      <x:c r="R2554" s="3" t="b">
        <x:v>0</x:v>
      </x:c>
      <x:c r="S2554" s="3" t="b">
        <x:v>1</x:v>
      </x:c>
      <x:c r="T2554" s="3" t="b">
        <x:v>0</x:v>
      </x:c>
      <x:c r="U2554" s="2" t="str">
        <x:f>IF(T2554=TRUE,"Priority review",IF(R2554=TRUE,"High cost",IF(S2554=TRUE,"Low quality","Benchmark")))</x:f>
        <x:v>Low quality</x:v>
      </x:c>
    </x:row>
    <x:row r="2555">
      <x:c r="A2555" s="2" t="str">
        <x:v>230035</x:v>
      </x:c>
      <x:c r="B2555" s="2" t="str">
        <x:v>SPECTRUM HEALTH UNITED HOSPITAL</x:v>
      </x:c>
      <x:c r="C2555" s="2" t="str">
        <x:v>GREENVILLE</x:v>
      </x:c>
      <x:c r="D2555" s="2" t="str">
        <x:v>MI</x:v>
      </x:c>
      <x:c r="E2555" s="2" t="str">
        <x:v>Acute Care Hospitals</x:v>
      </x:c>
      <x:c r="F2555" s="2" t="str">
        <x:v>Voluntary non-profit</x:v>
      </x:c>
      <x:c r="G2555" s="2" t="str">
        <x:v>Small (&lt;100 beds)</x:v>
      </x:c>
      <x:c r="H2555" s="7" t="n">
        <x:v>4</x:v>
      </x:c>
      <x:c r="I2555" s="7" t="n">
        <x:v>4</x:v>
      </x:c>
      <x:c r="J2555" s="7" t="n">
        <x:v>0.88</x:v>
      </x:c>
      <x:c r="K2555" s="8" t="n">
        <x:v>45</x:v>
      </x:c>
      <x:c r="L2555" s="8" t="n">
        <x:v>2793</x:v>
      </x:c>
      <x:c r="M2555" s="9" t="n">
        <x:v>0.5357142857</x:v>
      </x:c>
      <x:c r="N2555" s="10" t="n">
        <x:v>50955.7275331185</x:v>
      </x:c>
      <x:c r="O2555" s="9" t="n">
        <x:v>0.0953221105</x:v>
      </x:c>
      <x:c r="P2555" s="9" t="n">
        <x:v>0.4829443447</x:v>
      </x:c>
      <x:c r="Q2555" s="9" t="n">
        <x:v>0.3913824057</x:v>
      </x:c>
      <x:c r="R2555" s="3" t="b">
        <x:v>0</x:v>
      </x:c>
      <x:c r="S2555" s="3" t="b">
        <x:v>0</x:v>
      </x:c>
      <x:c r="T2555" s="3" t="b">
        <x:v>0</x:v>
      </x:c>
      <x:c r="U2555" s="2" t="str">
        <x:f>IF(T2555=TRUE,"Priority review",IF(R2555=TRUE,"High cost",IF(S2555=TRUE,"Low quality","Benchmark")))</x:f>
        <x:v>Benchmark</x:v>
      </x:c>
    </x:row>
    <x:row r="2556">
      <x:c r="A2556" s="2" t="str">
        <x:v>050239</x:v>
      </x:c>
      <x:c r="B2556" s="2" t="str">
        <x:v>GLENDALE ADVENTIST MEDICAL CENTER</x:v>
      </x:c>
      <x:c r="C2556" s="2" t="str">
        <x:v>GLENDALE</x:v>
      </x:c>
      <x:c r="D2556" s="2" t="str">
        <x:v>CA</x:v>
      </x:c>
      <x:c r="E2556" s="2" t="str">
        <x:v>Acute Care Hospitals</x:v>
      </x:c>
      <x:c r="F2556" s="2" t="str">
        <x:v>Voluntary non-profit</x:v>
      </x:c>
      <x:c r="G2556" s="2" t="str">
        <x:v>Large (300+ beds)</x:v>
      </x:c>
      <x:c r="H2556" s="7" t="n">
        <x:v>4</x:v>
      </x:c>
      <x:c r="I2556" s="7" t="n">
        <x:v>3</x:v>
      </x:c>
      <x:c r="J2556" s="7" t="n">
        <x:v>1.09</x:v>
      </x:c>
      <x:c r="K2556" s="8" t="n">
        <x:v>318</x:v>
      </x:c>
      <x:c r="L2556" s="8" t="n">
        <x:v>16907</x:v>
      </x:c>
      <x:c r="M2556" s="9" t="n">
        <x:v>0.7102896328</x:v>
      </x:c>
      <x:c r="N2556" s="10" t="n">
        <x:v>38453.0267344887</x:v>
      </x:c>
      <x:c r="O2556" s="9" t="n">
        <x:v>-0.1601636034</x:v>
      </x:c>
      <x:c r="P2556" s="9" t="n">
        <x:v>0.4826498423</x:v>
      </x:c>
      <x:c r="Q2556" s="9" t="n">
        <x:v>0.5899053628</x:v>
      </x:c>
      <x:c r="R2556" s="3" t="b">
        <x:v>0</x:v>
      </x:c>
      <x:c r="S2556" s="3" t="b">
        <x:v>0</x:v>
      </x:c>
      <x:c r="T2556" s="3" t="b">
        <x:v>0</x:v>
      </x:c>
      <x:c r="U2556" s="2" t="str">
        <x:f>IF(T2556=TRUE,"Priority review",IF(R2556=TRUE,"High cost",IF(S2556=TRUE,"Low quality","Benchmark")))</x:f>
        <x:v>Benchmark</x:v>
      </x:c>
    </x:row>
    <x:row r="2557">
      <x:c r="A2557" s="2" t="str">
        <x:v>234021</x:v>
      </x:c>
      <x:c r="B2557" s="2" t="str">
        <x:v>HARBOR OAKS HOSPITAL</x:v>
      </x:c>
      <x:c r="C2557" s="2" t="str">
        <x:v>NEW BALTIMORE</x:v>
      </x:c>
      <x:c r="D2557" s="2" t="str">
        <x:v>MI</x:v>
      </x:c>
      <x:c r="E2557" s="2" t="str">
        <x:v>Psychiatric</x:v>
      </x:c>
      <x:c r="F2557" s="2" t="str">
        <x:v>Proprietary</x:v>
      </x:c>
      <x:c r="G2557" s="2" t="str">
        <x:v>Medium (100-299 beds)</x:v>
      </x:c>
      <x:c r="H2557" s="7"/>
      <x:c r="I2557" s="7"/>
      <x:c r="J2557" s="7"/>
      <x:c r="K2557" s="8" t="n">
        <x:v>164</x:v>
      </x:c>
      <x:c r="L2557" s="8" t="n">
        <x:v>4705</x:v>
      </x:c>
      <x:c r="M2557" s="9" t="n">
        <x:v>0.8931840962</x:v>
      </x:c>
      <x:c r="N2557" s="10" t="n">
        <x:v>10765.9390010627</x:v>
      </x:c>
      <x:c r="O2557" s="9" t="n">
        <x:v>0.258004978</x:v>
      </x:c>
      <x:c r="P2557" s="9" t="n">
        <x:v>0.4825870647</x:v>
      </x:c>
      <x:c r="Q2557" s="9" t="n">
        <x:v>0</x:v>
      </x:c>
      <x:c r="R2557" s="3" t="b">
        <x:v>0</x:v>
      </x:c>
      <x:c r="S2557" s="3" t="b">
        <x:v>0</x:v>
      </x:c>
      <x:c r="T2557" s="3" t="b">
        <x:v>0</x:v>
      </x:c>
      <x:c r="U2557" s="2" t="str">
        <x:f>IF(T2557=TRUE,"Priority review",IF(R2557=TRUE,"High cost",IF(S2557=TRUE,"Low quality","Benchmark")))</x:f>
        <x:v>Benchmark</x:v>
      </x:c>
    </x:row>
    <x:row r="2558">
      <x:c r="A2558" s="2" t="str">
        <x:v>221304</x:v>
      </x:c>
      <x:c r="B2558" s="2" t="str">
        <x:v>NORTH ADAMS REGIONAL HOSPITAL CORPORATION</x:v>
      </x:c>
      <x:c r="C2558" s="2" t="str">
        <x:v>NORTH ADAMS</x:v>
      </x:c>
      <x:c r="D2558" s="2" t="str">
        <x:v>MA</x:v>
      </x:c>
      <x:c r="E2558" s="2" t="str">
        <x:v>Critical Access Hospitals</x:v>
      </x:c>
      <x:c r="F2558" s="2" t="str">
        <x:v>Government</x:v>
      </x:c>
      <x:c r="G2558" s="2" t="str">
        <x:v>Small (&lt;100 beds)</x:v>
      </x:c>
      <x:c r="H2558" s="7"/>
      <x:c r="I2558" s="7" t="n">
        <x:v>5</x:v>
      </x:c>
      <x:c r="J2558" s="7"/>
      <x:c r="K2558" s="8" t="n">
        <x:v>18</x:v>
      </x:c>
      <x:c r="L2558" s="8" t="n">
        <x:v>212</x:v>
      </x:c>
      <x:c r="M2558" s="9" t="n">
        <x:v>0.1732026144</x:v>
      </x:c>
      <x:c r="N2558" s="10" t="n">
        <x:v>126327.3349056604</x:v>
      </x:c>
      <x:c r="O2558" s="9" t="n">
        <x:v>-0.2905213063</x:v>
      </x:c>
      <x:c r="P2558" s="9" t="n">
        <x:v>0.482527881</x:v>
      </x:c>
      <x:c r="Q2558" s="9" t="n">
        <x:v>0.292936803</x:v>
      </x:c>
      <x:c r="R2558" s="3" t="b">
        <x:v>0</x:v>
      </x:c>
      <x:c r="S2558" s="3" t="b">
        <x:v>0</x:v>
      </x:c>
      <x:c r="T2558" s="3" t="b">
        <x:v>0</x:v>
      </x:c>
      <x:c r="U2558" s="2" t="str">
        <x:f>IF(T2558=TRUE,"Priority review",IF(R2558=TRUE,"High cost",IF(S2558=TRUE,"Low quality","Benchmark")))</x:f>
        <x:v>Benchmark</x:v>
      </x:c>
    </x:row>
    <x:row r="2559">
      <x:c r="A2559" s="2" t="str">
        <x:v>150012</x:v>
      </x:c>
      <x:c r="B2559" s="2" t="str">
        <x:v>SAINT JOSEPH REGIONAL MEDICAL CENTER</x:v>
      </x:c>
      <x:c r="C2559" s="2" t="str">
        <x:v>MISHAWAKA</x:v>
      </x:c>
      <x:c r="D2559" s="2" t="str">
        <x:v>IN</x:v>
      </x:c>
      <x:c r="E2559" s="2" t="str">
        <x:v>Acute Care Hospitals</x:v>
      </x:c>
      <x:c r="F2559" s="2" t="str">
        <x:v>Voluntary non-profit</x:v>
      </x:c>
      <x:c r="G2559" s="2" t="str">
        <x:v>Medium (100-299 beds)</x:v>
      </x:c>
      <x:c r="H2559" s="7" t="n">
        <x:v>2</x:v>
      </x:c>
      <x:c r="I2559" s="7" t="n">
        <x:v>2</x:v>
      </x:c>
      <x:c r="J2559" s="7" t="n">
        <x:v>0.96</x:v>
      </x:c>
      <x:c r="K2559" s="8" t="n">
        <x:v>253</x:v>
      </x:c>
      <x:c r="L2559" s="8" t="n">
        <x:v>11826</x:v>
      </x:c>
      <x:c r="M2559" s="9" t="n">
        <x:v>0.5239807245</x:v>
      </x:c>
      <x:c r="N2559" s="10" t="n">
        <x:v>33696.0073566717</x:v>
      </x:c>
      <x:c r="O2559" s="9" t="n">
        <x:v>0.0267931878</x:v>
      </x:c>
      <x:c r="P2559" s="9" t="n">
        <x:v>0.4824775876</x:v>
      </x:c>
      <x:c r="Q2559" s="9" t="n">
        <x:v>0.0782396088</x:v>
      </x:c>
      <x:c r="R2559" s="3" t="b">
        <x:v>0</x:v>
      </x:c>
      <x:c r="S2559" s="3" t="b">
        <x:v>1</x:v>
      </x:c>
      <x:c r="T2559" s="3" t="b">
        <x:v>0</x:v>
      </x:c>
      <x:c r="U2559" s="2" t="str">
        <x:f>IF(T2559=TRUE,"Priority review",IF(R2559=TRUE,"High cost",IF(S2559=TRUE,"Low quality","Benchmark")))</x:f>
        <x:v>Low quality</x:v>
      </x:c>
    </x:row>
    <x:row r="2560">
      <x:c r="A2560" s="2" t="str">
        <x:v>454147</x:v>
      </x:c>
      <x:c r="B2560" s="2" t="str">
        <x:v>OCEANS BEHAVIORAL HOSPITAL OF PASADENA</x:v>
      </x:c>
      <x:c r="C2560" s="2" t="str">
        <x:v>PASADENA</x:v>
      </x:c>
      <x:c r="D2560" s="2" t="str">
        <x:v>TX</x:v>
      </x:c>
      <x:c r="E2560" s="2" t="str">
        <x:v>Psychiatric</x:v>
      </x:c>
      <x:c r="F2560" s="2" t="str">
        <x:v>Proprietary</x:v>
      </x:c>
      <x:c r="G2560" s="2" t="str">
        <x:v>Small (&lt;100 beds)</x:v>
      </x:c>
      <x:c r="H2560" s="7"/>
      <x:c r="I2560" s="7"/>
      <x:c r="J2560" s="7"/>
      <x:c r="K2560" s="8" t="n">
        <x:v>30</x:v>
      </x:c>
      <x:c r="L2560" s="8" t="n">
        <x:v>802</x:v>
      </x:c>
      <x:c r="M2560" s="9" t="n">
        <x:v>0.8528233151</x:v>
      </x:c>
      <x:c r="N2560" s="10" t="n">
        <x:v>11801.0985037406</x:v>
      </x:c>
      <x:c r="O2560" s="9" t="n">
        <x:v>0.1367234189</x:v>
      </x:c>
      <x:c r="P2560" s="9" t="n">
        <x:v>0.4822006472</x:v>
      </x:c>
      <x:c r="Q2560" s="9" t="n">
        <x:v>0</x:v>
      </x:c>
      <x:c r="R2560" s="3" t="b">
        <x:v>0</x:v>
      </x:c>
      <x:c r="S2560" s="3" t="b">
        <x:v>0</x:v>
      </x:c>
      <x:c r="T2560" s="3" t="b">
        <x:v>0</x:v>
      </x:c>
      <x:c r="U2560" s="2" t="str">
        <x:f>IF(T2560=TRUE,"Priority review",IF(R2560=TRUE,"High cost",IF(S2560=TRUE,"Low quality","Benchmark")))</x:f>
        <x:v>Benchmark</x:v>
      </x:c>
    </x:row>
    <x:row r="2561">
      <x:c r="A2561" s="2" t="str">
        <x:v>060004</x:v>
      </x:c>
      <x:c r="B2561" s="2" t="str">
        <x:v>INTERMOUNTAIN HEALTH PLATTE VALLEY HOSPITAL</x:v>
      </x:c>
      <x:c r="C2561" s="2" t="str">
        <x:v>BRIGHTON</x:v>
      </x:c>
      <x:c r="D2561" s="2" t="str">
        <x:v>CO</x:v>
      </x:c>
      <x:c r="E2561" s="2" t="str">
        <x:v>Acute Care Hospitals</x:v>
      </x:c>
      <x:c r="F2561" s="2" t="str">
        <x:v>Voluntary non-profit</x:v>
      </x:c>
      <x:c r="G2561" s="2" t="str">
        <x:v>Small (&lt;100 beds)</x:v>
      </x:c>
      <x:c r="H2561" s="7" t="n">
        <x:v>3</x:v>
      </x:c>
      <x:c r="I2561" s="7" t="n">
        <x:v>4</x:v>
      </x:c>
      <x:c r="J2561" s="7" t="n">
        <x:v>1.08</x:v>
      </x:c>
      <x:c r="K2561" s="8" t="n">
        <x:v>89</x:v>
      </x:c>
      <x:c r="L2561" s="8" t="n">
        <x:v>3788</x:v>
      </x:c>
      <x:c r="M2561" s="9" t="n">
        <x:v>0.4125376067</x:v>
      </x:c>
      <x:c r="N2561" s="10" t="n">
        <x:v>50652.1863780359</x:v>
      </x:c>
      <x:c r="O2561" s="9" t="n">
        <x:v>-0.0004043006</x:v>
      </x:c>
      <x:c r="P2561" s="9" t="n">
        <x:v>0.4820466786</x:v>
      </x:c>
      <x:c r="Q2561" s="9" t="n">
        <x:v>0.1687612208</x:v>
      </x:c>
      <x:c r="R2561" s="3" t="b">
        <x:v>0</x:v>
      </x:c>
      <x:c r="S2561" s="3" t="b">
        <x:v>0</x:v>
      </x:c>
      <x:c r="T2561" s="3" t="b">
        <x:v>0</x:v>
      </x:c>
      <x:c r="U2561" s="2" t="str">
        <x:f>IF(T2561=TRUE,"Priority review",IF(R2561=TRUE,"High cost",IF(S2561=TRUE,"Low quality","Benchmark")))</x:f>
        <x:v>Benchmark</x:v>
      </x:c>
    </x:row>
    <x:row r="2562">
      <x:c r="A2562" s="2" t="str">
        <x:v>201303</x:v>
      </x:c>
      <x:c r="B2562" s="2" t="str">
        <x:v>PENOBSCOT VALLEY HOSPITAL</x:v>
      </x:c>
      <x:c r="C2562" s="2" t="str">
        <x:v>LINCOLN</x:v>
      </x:c>
      <x:c r="D2562" s="2" t="str">
        <x:v>ME</x:v>
      </x:c>
      <x:c r="E2562" s="2" t="str">
        <x:v>Critical Access Hospitals</x:v>
      </x:c>
      <x:c r="F2562" s="2" t="str">
        <x:v>Voluntary non-profit</x:v>
      </x:c>
      <x:c r="G2562" s="2" t="str">
        <x:v>Small (&lt;100 beds)</x:v>
      </x:c>
      <x:c r="H2562" s="7"/>
      <x:c r="I2562" s="7"/>
      <x:c r="J2562" s="7"/>
      <x:c r="K2562" s="8" t="n">
        <x:v>25</x:v>
      </x:c>
      <x:c r="L2562" s="8" t="n">
        <x:v>203</x:v>
      </x:c>
      <x:c r="M2562" s="9" t="n">
        <x:v>0.1807650273</x:v>
      </x:c>
      <x:c r="N2562" s="10" t="n">
        <x:v>126267.7093596059</x:v>
      </x:c>
      <x:c r="O2562" s="9" t="n">
        <x:v>-0.0516143183</x:v>
      </x:c>
      <x:c r="P2562" s="9" t="n">
        <x:v>0.4817843866</x:v>
      </x:c>
      <x:c r="Q2562" s="9" t="n">
        <x:v>0.292936803</x:v>
      </x:c>
      <x:c r="R2562" s="3" t="b">
        <x:v>0</x:v>
      </x:c>
      <x:c r="S2562" s="3" t="b">
        <x:v>0</x:v>
      </x:c>
      <x:c r="T2562" s="3" t="b">
        <x:v>0</x:v>
      </x:c>
      <x:c r="U2562" s="2" t="str">
        <x:f>IF(T2562=TRUE,"Priority review",IF(R2562=TRUE,"High cost",IF(S2562=TRUE,"Low quality","Benchmark")))</x:f>
        <x:v>Benchmark</x:v>
      </x:c>
    </x:row>
    <x:row r="2563">
      <x:c r="A2563" s="2" t="str">
        <x:v>050414</x:v>
      </x:c>
      <x:c r="B2563" s="2" t="str">
        <x:v>MERCY HOSPITAL OF FOLSOM</x:v>
      </x:c>
      <x:c r="C2563" s="2" t="str">
        <x:v>FOLSOM</x:v>
      </x:c>
      <x:c r="D2563" s="2" t="str">
        <x:v>CA</x:v>
      </x:c>
      <x:c r="E2563" s="2" t="str">
        <x:v>Acute Care Hospitals</x:v>
      </x:c>
      <x:c r="F2563" s="2" t="str">
        <x:v>Voluntary non-profit</x:v>
      </x:c>
      <x:c r="G2563" s="2" t="str">
        <x:v>Medium (100-299 beds)</x:v>
      </x:c>
      <x:c r="H2563" s="7" t="n">
        <x:v>4</x:v>
      </x:c>
      <x:c r="I2563" s="7" t="n">
        <x:v>3</x:v>
      </x:c>
      <x:c r="J2563" s="7" t="n">
        <x:v>0.94</x:v>
      </x:c>
      <x:c r="K2563" s="8" t="n">
        <x:v>106</x:v>
      </x:c>
      <x:c r="L2563" s="8" t="n">
        <x:v>7552</x:v>
      </x:c>
      <x:c r="M2563" s="9" t="n">
        <x:v>0.7351253554</x:v>
      </x:c>
      <x:c r="N2563" s="10" t="n">
        <x:v>33643.2891949153</x:v>
      </x:c>
      <x:c r="O2563" s="9" t="n">
        <x:v>0.157634504</x:v>
      </x:c>
      <x:c r="P2563" s="9" t="n">
        <x:v>0.4816625917</x:v>
      </x:c>
      <x:c r="Q2563" s="9" t="n">
        <x:v>0.6022819886</x:v>
      </x:c>
      <x:c r="R2563" s="3" t="b">
        <x:v>0</x:v>
      </x:c>
      <x:c r="S2563" s="3" t="b">
        <x:v>0</x:v>
      </x:c>
      <x:c r="T2563" s="3" t="b">
        <x:v>0</x:v>
      </x:c>
      <x:c r="U2563" s="2" t="str">
        <x:f>IF(T2563=TRUE,"Priority review",IF(R2563=TRUE,"High cost",IF(S2563=TRUE,"Low quality","Benchmark")))</x:f>
        <x:v>Benchmark</x:v>
      </x:c>
    </x:row>
    <x:row r="2564">
      <x:c r="A2564" s="2" t="str">
        <x:v>053304</x:v>
      </x:c>
      <x:c r="B2564" s="2" t="str">
        <x:v>CHILDREN'S HOSPITAL OF ORANGE COUNTY</x:v>
      </x:c>
      <x:c r="C2564" s="2" t="str">
        <x:v>ORANGE</x:v>
      </x:c>
      <x:c r="D2564" s="2" t="str">
        <x:v>CA</x:v>
      </x:c>
      <x:c r="E2564" s="2" t="str">
        <x:v>Childrens</x:v>
      </x:c>
      <x:c r="F2564" s="2" t="str">
        <x:v>Voluntary non-profit</x:v>
      </x:c>
      <x:c r="G2564" s="2" t="str">
        <x:v>Large (300+ beds)</x:v>
      </x:c>
      <x:c r="H2564" s="7"/>
      <x:c r="I2564" s="7"/>
      <x:c r="J2564" s="7"/>
      <x:c r="K2564" s="8" t="n">
        <x:v>386</x:v>
      </x:c>
      <x:c r="L2564" s="8" t="n">
        <x:v>14309</x:v>
      </x:c>
      <x:c r="M2564" s="9" t="n">
        <x:v>0.6873497333</x:v>
      </x:c>
      <x:c r="N2564" s="10" t="n">
        <x:v>102097.5424557971</x:v>
      </x:c>
      <x:c r="O2564" s="9" t="n">
        <x:v>-0.0639345165</x:v>
      </x:c>
      <x:c r="P2564" s="9" t="n">
        <x:v>0.4814814815</x:v>
      </x:c>
      <x:c r="Q2564" s="9" t="n">
        <x:v>0</x:v>
      </x:c>
      <x:c r="R2564" s="3" t="b">
        <x:v>0</x:v>
      </x:c>
      <x:c r="S2564" s="3" t="b">
        <x:v>0</x:v>
      </x:c>
      <x:c r="T2564" s="3" t="b">
        <x:v>0</x:v>
      </x:c>
      <x:c r="U2564" s="2" t="str">
        <x:f>IF(T2564=TRUE,"Priority review",IF(R2564=TRUE,"High cost",IF(S2564=TRUE,"Low quality","Benchmark")))</x:f>
        <x:v>Benchmark</x:v>
      </x:c>
    </x:row>
    <x:row r="2565">
      <x:c r="A2565" s="2" t="str">
        <x:v>450154</x:v>
      </x:c>
      <x:c r="B2565" s="2" t="str">
        <x:v>VAL VERDE REGIONAL MEDICAL CENTER</x:v>
      </x:c>
      <x:c r="C2565" s="2" t="str">
        <x:v>DEL RIO</x:v>
      </x:c>
      <x:c r="D2565" s="2" t="str">
        <x:v>TX</x:v>
      </x:c>
      <x:c r="E2565" s="2" t="str">
        <x:v>Acute Care Hospitals</x:v>
      </x:c>
      <x:c r="F2565" s="2" t="str">
        <x:v>Government</x:v>
      </x:c>
      <x:c r="G2565" s="2" t="str">
        <x:v>Small (&lt;100 beds)</x:v>
      </x:c>
      <x:c r="H2565" s="7" t="n">
        <x:v>3</x:v>
      </x:c>
      <x:c r="I2565" s="7" t="n">
        <x:v>3</x:v>
      </x:c>
      <x:c r="J2565" s="7" t="n">
        <x:v>0.99</x:v>
      </x:c>
      <x:c r="K2565" s="8" t="n">
        <x:v>47</x:v>
      </x:c>
      <x:c r="L2565" s="8" t="n">
        <x:v>1733</x:v>
      </x:c>
      <x:c r="M2565" s="9" t="n">
        <x:v>0.3697464296</x:v>
      </x:c>
      <x:c r="N2565" s="10" t="n">
        <x:v>50525.8540103866</x:v>
      </x:c>
      <x:c r="O2565" s="9" t="n">
        <x:v>-0.0662807582</x:v>
      </x:c>
      <x:c r="P2565" s="9" t="n">
        <x:v>0.4811490126</x:v>
      </x:c>
      <x:c r="Q2565" s="9" t="n">
        <x:v>0.1687612208</x:v>
      </x:c>
      <x:c r="R2565" s="3" t="b">
        <x:v>0</x:v>
      </x:c>
      <x:c r="S2565" s="3" t="b">
        <x:v>0</x:v>
      </x:c>
      <x:c r="T2565" s="3" t="b">
        <x:v>0</x:v>
      </x:c>
      <x:c r="U2565" s="2" t="str">
        <x:f>IF(T2565=TRUE,"Priority review",IF(R2565=TRUE,"High cost",IF(S2565=TRUE,"Low quality","Benchmark")))</x:f>
        <x:v>Benchmark</x:v>
      </x:c>
    </x:row>
    <x:row r="2566">
      <x:c r="A2566" s="2" t="str">
        <x:v>050309</x:v>
      </x:c>
      <x:c r="B2566" s="2" t="str">
        <x:v>SUTTER ROSEVILLE MEDICAL CENTER</x:v>
      </x:c>
      <x:c r="C2566" s="2" t="str">
        <x:v>ROSEVILLE</x:v>
      </x:c>
      <x:c r="D2566" s="2" t="str">
        <x:v>CA</x:v>
      </x:c>
      <x:c r="E2566" s="2" t="str">
        <x:v>Acute Care Hospitals</x:v>
      </x:c>
      <x:c r="F2566" s="2" t="str">
        <x:v>Voluntary non-profit</x:v>
      </x:c>
      <x:c r="G2566" s="2" t="str">
        <x:v>Large (300+ beds)</x:v>
      </x:c>
      <x:c r="H2566" s="7" t="n">
        <x:v>5</x:v>
      </x:c>
      <x:c r="I2566" s="7" t="n">
        <x:v>4</x:v>
      </x:c>
      <x:c r="J2566" s="7" t="n">
        <x:v>0.95</x:v>
      </x:c>
      <x:c r="K2566" s="8" t="n">
        <x:v>352</x:v>
      </x:c>
      <x:c r="L2566" s="8" t="n">
        <x:v>28172</x:v>
      </x:c>
      <x:c r="M2566" s="9" t="n">
        <x:v>0.9502297566</x:v>
      </x:c>
      <x:c r="N2566" s="10" t="n">
        <x:v>38438.1345307397</x:v>
      </x:c>
      <x:c r="O2566" s="9" t="n">
        <x:v>0.0558414567</x:v>
      </x:c>
      <x:c r="P2566" s="9" t="n">
        <x:v>0.4810725552</x:v>
      </x:c>
      <x:c r="Q2566" s="9" t="n">
        <x:v>0.8722397476</x:v>
      </x:c>
      <x:c r="R2566" s="3" t="b">
        <x:v>0</x:v>
      </x:c>
      <x:c r="S2566" s="3" t="b">
        <x:v>0</x:v>
      </x:c>
      <x:c r="T2566" s="3" t="b">
        <x:v>0</x:v>
      </x:c>
      <x:c r="U2566" s="2" t="str">
        <x:f>IF(T2566=TRUE,"Priority review",IF(R2566=TRUE,"High cost",IF(S2566=TRUE,"Low quality","Benchmark")))</x:f>
        <x:v>Benchmark</x:v>
      </x:c>
    </x:row>
    <x:row r="2567">
      <x:c r="A2567" s="2" t="str">
        <x:v>261306</x:v>
      </x:c>
      <x:c r="B2567" s="2" t="str">
        <x:v>SULLIVAN COUNTY MEMORIAL HOSPITAL</x:v>
      </x:c>
      <x:c r="C2567" s="2" t="str">
        <x:v>MILAN</x:v>
      </x:c>
      <x:c r="D2567" s="2" t="str">
        <x:v>MO</x:v>
      </x:c>
      <x:c r="E2567" s="2" t="str">
        <x:v>Critical Access Hospitals</x:v>
      </x:c>
      <x:c r="F2567" s="2" t="str">
        <x:v>Government</x:v>
      </x:c>
      <x:c r="G2567" s="2" t="str">
        <x:v>Small (&lt;100 beds)</x:v>
      </x:c>
      <x:c r="H2567" s="7"/>
      <x:c r="I2567" s="7"/>
      <x:c r="J2567" s="7"/>
      <x:c r="K2567" s="8" t="n">
        <x:v>25</x:v>
      </x:c>
      <x:c r="L2567" s="8" t="n">
        <x:v>100</x:v>
      </x:c>
      <x:c r="M2567" s="9" t="n">
        <x:v>0.4391256831</x:v>
      </x:c>
      <x:c r="N2567" s="10" t="n">
        <x:v>126014.16</x:v>
      </x:c>
      <x:c r="O2567" s="9" t="n">
        <x:v>-0.2650671389</x:v>
      </x:c>
      <x:c r="P2567" s="9" t="n">
        <x:v>0.4810408922</x:v>
      </x:c>
      <x:c r="Q2567" s="9" t="n">
        <x:v>0.292936803</x:v>
      </x:c>
      <x:c r="R2567" s="3" t="b">
        <x:v>0</x:v>
      </x:c>
      <x:c r="S2567" s="3" t="b">
        <x:v>0</x:v>
      </x:c>
      <x:c r="T2567" s="3" t="b">
        <x:v>0</x:v>
      </x:c>
      <x:c r="U2567" s="2" t="str">
        <x:f>IF(T2567=TRUE,"Priority review",IF(R2567=TRUE,"High cost",IF(S2567=TRUE,"Low quality","Benchmark")))</x:f>
        <x:v>Benchmark</x:v>
      </x:c>
    </x:row>
    <x:row r="2568">
      <x:c r="A2568" s="2" t="str">
        <x:v>320009</x:v>
      </x:c>
      <x:c r="B2568" s="2" t="str">
        <x:v>LOVELACE MEDICAL CENTER</x:v>
      </x:c>
      <x:c r="C2568" s="2" t="str">
        <x:v>ALBUQUERQUE</x:v>
      </x:c>
      <x:c r="D2568" s="2" t="str">
        <x:v>NM</x:v>
      </x:c>
      <x:c r="E2568" s="2" t="str">
        <x:v>Acute Care Hospitals</x:v>
      </x:c>
      <x:c r="F2568" s="2" t="str">
        <x:v>Proprietary</x:v>
      </x:c>
      <x:c r="G2568" s="2" t="str">
        <x:v>Medium (100-299 beds)</x:v>
      </x:c>
      <x:c r="H2568" s="7" t="n">
        <x:v>2</x:v>
      </x:c>
      <x:c r="I2568" s="7" t="n">
        <x:v>3</x:v>
      </x:c>
      <x:c r="J2568" s="7" t="n">
        <x:v>1</x:v>
      </x:c>
      <x:c r="K2568" s="8" t="n">
        <x:v>277</x:v>
      </x:c>
      <x:c r="L2568" s="8" t="n">
        <x:v>11959</x:v>
      </x:c>
      <x:c r="M2568" s="9" t="n">
        <x:v>0.6405696415</x:v>
      </x:c>
      <x:c r="N2568" s="10" t="n">
        <x:v>33535.8504055523</x:v>
      </x:c>
      <x:c r="O2568" s="9" t="n">
        <x:v>-0.1256501931</x:v>
      </x:c>
      <x:c r="P2568" s="9" t="n">
        <x:v>0.4808475958</x:v>
      </x:c>
      <x:c r="Q2568" s="9" t="n">
        <x:v>0.0782396088</x:v>
      </x:c>
      <x:c r="R2568" s="3" t="b">
        <x:v>0</x:v>
      </x:c>
      <x:c r="S2568" s="3" t="b">
        <x:v>1</x:v>
      </x:c>
      <x:c r="T2568" s="3" t="b">
        <x:v>0</x:v>
      </x:c>
      <x:c r="U2568" s="2" t="str">
        <x:f>IF(T2568=TRUE,"Priority review",IF(R2568=TRUE,"High cost",IF(S2568=TRUE,"Low quality","Benchmark")))</x:f>
        <x:v>Low quality</x:v>
      </x:c>
    </x:row>
    <x:row r="2569">
      <x:c r="A2569" s="2" t="str">
        <x:v>431318</x:v>
      </x:c>
      <x:c r="B2569" s="2" t="str">
        <x:v>BOWDLE HOSPITAL - CAH</x:v>
      </x:c>
      <x:c r="C2569" s="2" t="str">
        <x:v>BOWDLE</x:v>
      </x:c>
      <x:c r="D2569" s="2" t="str">
        <x:v>SD</x:v>
      </x:c>
      <x:c r="E2569" s="2" t="str">
        <x:v>Critical Access Hospitals</x:v>
      </x:c>
      <x:c r="F2569" s="2" t="str">
        <x:v>Government</x:v>
      </x:c>
      <x:c r="G2569" s="2" t="str">
        <x:v>Small (&lt;100 beds)</x:v>
      </x:c>
      <x:c r="H2569" s="7"/>
      <x:c r="I2569" s="7"/>
      <x:c r="J2569" s="7"/>
      <x:c r="K2569" s="8" t="n">
        <x:v>12</x:v>
      </x:c>
      <x:c r="L2569" s="8" t="n">
        <x:v>92</x:v>
      </x:c>
      <x:c r="M2569" s="9" t="n">
        <x:v>0.1223744292</x:v>
      </x:c>
      <x:c r="N2569" s="10" t="n">
        <x:v>125967.152173913</x:v>
      </x:c>
      <x:c r="O2569" s="9" t="n">
        <x:v>-0.1520823115</x:v>
      </x:c>
      <x:c r="P2569" s="9" t="n">
        <x:v>0.4802973978</x:v>
      </x:c>
      <x:c r="Q2569" s="9" t="n">
        <x:v>0.292936803</x:v>
      </x:c>
      <x:c r="R2569" s="3" t="b">
        <x:v>0</x:v>
      </x:c>
      <x:c r="S2569" s="3" t="b">
        <x:v>0</x:v>
      </x:c>
      <x:c r="T2569" s="3" t="b">
        <x:v>0</x:v>
      </x:c>
      <x:c r="U2569" s="2" t="str">
        <x:f>IF(T2569=TRUE,"Priority review",IF(R2569=TRUE,"High cost",IF(S2569=TRUE,"Low quality","Benchmark")))</x:f>
        <x:v>Benchmark</x:v>
      </x:c>
    </x:row>
    <x:row r="2570">
      <x:c r="A2570" s="2" t="str">
        <x:v>390323</x:v>
      </x:c>
      <x:c r="B2570" s="2" t="str">
        <x:v>ADVANCED SURGICAL HOSPITAL</x:v>
      </x:c>
      <x:c r="C2570" s="2" t="str">
        <x:v>WASHINGTON</x:v>
      </x:c>
      <x:c r="D2570" s="2" t="str">
        <x:v>PA</x:v>
      </x:c>
      <x:c r="E2570" s="2" t="str">
        <x:v>Acute Care Hospitals</x:v>
      </x:c>
      <x:c r="F2570" s="2" t="str">
        <x:v>Other / unknown</x:v>
      </x:c>
      <x:c r="G2570" s="2" t="str">
        <x:v>Small (&lt;100 beds)</x:v>
      </x:c>
      <x:c r="H2570" s="7"/>
      <x:c r="I2570" s="7" t="n">
        <x:v>5</x:v>
      </x:c>
      <x:c r="J2570" s="7" t="n">
        <x:v>0.84</x:v>
      </x:c>
      <x:c r="K2570" s="8" t="n">
        <x:v>14</x:v>
      </x:c>
      <x:c r="L2570" s="8" t="n">
        <x:v>409</x:v>
      </x:c>
      <x:c r="M2570" s="9" t="n">
        <x:v>0.1342701015</x:v>
      </x:c>
      <x:c r="N2570" s="10" t="n">
        <x:v>50467.95599022</x:v>
      </x:c>
      <x:c r="O2570" s="9" t="n">
        <x:v>0.1204397947</x:v>
      </x:c>
      <x:c r="P2570" s="9" t="n">
        <x:v>0.4802513465</x:v>
      </x:c>
      <x:c r="Q2570" s="9" t="n">
        <x:v>0.697486535</x:v>
      </x:c>
      <x:c r="R2570" s="3" t="b">
        <x:v>0</x:v>
      </x:c>
      <x:c r="S2570" s="3" t="b">
        <x:v>0</x:v>
      </x:c>
      <x:c r="T2570" s="3" t="b">
        <x:v>0</x:v>
      </x:c>
      <x:c r="U2570" s="2" t="str">
        <x:f>IF(T2570=TRUE,"Priority review",IF(R2570=TRUE,"High cost",IF(S2570=TRUE,"Low quality","Benchmark")))</x:f>
        <x:v>Benchmark</x:v>
      </x:c>
    </x:row>
    <x:row r="2571">
      <x:c r="A2571" s="2" t="str">
        <x:v>210032</x:v>
      </x:c>
      <x:c r="B2571" s="2" t="str">
        <x:v>UNION HOSPITAL OF CECIL COUNTY</x:v>
      </x:c>
      <x:c r="C2571" s="2" t="str">
        <x:v>ELKTON</x:v>
      </x:c>
      <x:c r="D2571" s="2" t="str">
        <x:v>MD</x:v>
      </x:c>
      <x:c r="E2571" s="2" t="str">
        <x:v>Acute Care Hospitals</x:v>
      </x:c>
      <x:c r="F2571" s="2" t="str">
        <x:v>Voluntary non-profit</x:v>
      </x:c>
      <x:c r="G2571" s="2" t="str">
        <x:v>Medium (100-299 beds)</x:v>
      </x:c>
      <x:c r="H2571" s="7" t="n">
        <x:v>4</x:v>
      </x:c>
      <x:c r="I2571" s="7" t="n">
        <x:v>3</x:v>
      </x:c>
      <x:c r="J2571" s="7"/>
      <x:c r="K2571" s="8" t="n">
        <x:v>124</x:v>
      </x:c>
      <x:c r="L2571" s="8" t="n">
        <x:v>6268</x:v>
      </x:c>
      <x:c r="M2571" s="9" t="n">
        <x:v>0.6864339373</x:v>
      </x:c>
      <x:c r="N2571" s="10" t="n">
        <x:v>33525.3672622846</x:v>
      </x:c>
      <x:c r="O2571" s="9" t="n">
        <x:v>0.014859519</x:v>
      </x:c>
      <x:c r="P2571" s="9" t="n">
        <x:v>0.4800325998</x:v>
      </x:c>
      <x:c r="Q2571" s="9" t="n">
        <x:v>0.6022819886</x:v>
      </x:c>
      <x:c r="R2571" s="3" t="b">
        <x:v>0</x:v>
      </x:c>
      <x:c r="S2571" s="3" t="b">
        <x:v>0</x:v>
      </x:c>
      <x:c r="T2571" s="3" t="b">
        <x:v>0</x:v>
      </x:c>
      <x:c r="U2571" s="2" t="str">
        <x:f>IF(T2571=TRUE,"Priority review",IF(R2571=TRUE,"High cost",IF(S2571=TRUE,"Low quality","Benchmark")))</x:f>
        <x:v>Benchmark</x:v>
      </x:c>
    </x:row>
    <x:row r="2572">
      <x:c r="A2572" s="2" t="str">
        <x:v>464001</x:v>
      </x:c>
      <x:c r="B2572" s="2" t="str">
        <x:v>UTAH STATE HOSPITAL</x:v>
      </x:c>
      <x:c r="C2572" s="2" t="str">
        <x:v>PROVO</x:v>
      </x:c>
      <x:c r="D2572" s="2" t="str">
        <x:v>UT</x:v>
      </x:c>
      <x:c r="E2572" s="2" t="str">
        <x:v>Psychiatric</x:v>
      </x:c>
      <x:c r="F2572" s="2" t="str">
        <x:v>Government</x:v>
      </x:c>
      <x:c r="G2572" s="2" t="str">
        <x:v>Large (300+ beds)</x:v>
      </x:c>
      <x:c r="H2572" s="7"/>
      <x:c r="I2572" s="7"/>
      <x:c r="J2572" s="7"/>
      <x:c r="K2572" s="8" t="n">
        <x:v>378</x:v>
      </x:c>
      <x:c r="L2572" s="8" t="n">
        <x:v>303</x:v>
      </x:c>
      <x:c r="M2572" s="9" t="n">
        <x:v>0.8278756251</x:v>
      </x:c>
      <x:c r="N2572" s="10" t="n">
        <x:v>345642.7557755776</x:v>
      </x:c>
      <x:c r="O2572" s="9"/>
      <x:c r="P2572" s="9" t="n">
        <x:v>0.48</x:v>
      </x:c>
      <x:c r="Q2572" s="9" t="n">
        <x:v>0</x:v>
      </x:c>
      <x:c r="R2572" s="3" t="b">
        <x:v>0</x:v>
      </x:c>
      <x:c r="S2572" s="3" t="b">
        <x:v>0</x:v>
      </x:c>
      <x:c r="T2572" s="3" t="b">
        <x:v>0</x:v>
      </x:c>
      <x:c r="U2572" s="2" t="str">
        <x:f>IF(T2572=TRUE,"Priority review",IF(R2572=TRUE,"High cost",IF(S2572=TRUE,"Low quality","Benchmark")))</x:f>
        <x:v>Benchmark</x:v>
      </x:c>
    </x:row>
    <x:row r="2573">
      <x:c r="A2573" s="2" t="str">
        <x:v>271340</x:v>
      </x:c>
      <x:c r="B2573" s="2" t="str">
        <x:v>BITTERROOT HEALTH - DALY HOSPITAL</x:v>
      </x:c>
      <x:c r="C2573" s="2" t="str">
        <x:v>HAMILTON</x:v>
      </x:c>
      <x:c r="D2573" s="2" t="str">
        <x:v>MT</x:v>
      </x:c>
      <x:c r="E2573" s="2" t="str">
        <x:v>Critical Access Hospitals</x:v>
      </x:c>
      <x:c r="F2573" s="2" t="str">
        <x:v>Voluntary non-profit</x:v>
      </x:c>
      <x:c r="G2573" s="2" t="str">
        <x:v>Small (&lt;100 beds)</x:v>
      </x:c>
      <x:c r="H2573" s="7" t="n">
        <x:v>4</x:v>
      </x:c>
      <x:c r="I2573" s="7" t="n">
        <x:v>4</x:v>
      </x:c>
      <x:c r="J2573" s="7"/>
      <x:c r="K2573" s="8" t="n">
        <x:v>25</x:v>
      </x:c>
      <x:c r="L2573" s="8" t="n">
        <x:v>1086</x:v>
      </x:c>
      <x:c r="M2573" s="9" t="n">
        <x:v>0.5064109589</x:v>
      </x:c>
      <x:c r="N2573" s="10" t="n">
        <x:v>125859.94106814</x:v>
      </x:c>
      <x:c r="O2573" s="9" t="n">
        <x:v>-0.0488487858</x:v>
      </x:c>
      <x:c r="P2573" s="9" t="n">
        <x:v>0.4795539033</x:v>
      </x:c>
      <x:c r="Q2573" s="9" t="n">
        <x:v>0.1657992565</x:v>
      </x:c>
      <x:c r="R2573" s="3" t="b">
        <x:v>0</x:v>
      </x:c>
      <x:c r="S2573" s="3" t="b">
        <x:v>0</x:v>
      </x:c>
      <x:c r="T2573" s="3" t="b">
        <x:v>0</x:v>
      </x:c>
      <x:c r="U2573" s="2" t="str">
        <x:f>IF(T2573=TRUE,"Priority review",IF(R2573=TRUE,"High cost",IF(S2573=TRUE,"Low quality","Benchmark")))</x:f>
        <x:v>Benchmark</x:v>
      </x:c>
    </x:row>
    <x:row r="2574">
      <x:c r="A2574" s="2" t="str">
        <x:v>420023</x:v>
      </x:c>
      <x:c r="B2574" s="2" t="str">
        <x:v>ST FRANCIS-DOWNTOWN</x:v>
      </x:c>
      <x:c r="C2574" s="2" t="str">
        <x:v>GREENVILLE</x:v>
      </x:c>
      <x:c r="D2574" s="2" t="str">
        <x:v>SC</x:v>
      </x:c>
      <x:c r="E2574" s="2" t="str">
        <x:v>Acute Care Hospitals</x:v>
      </x:c>
      <x:c r="F2574" s="2" t="str">
        <x:v>Voluntary non-profit</x:v>
      </x:c>
      <x:c r="G2574" s="2" t="str">
        <x:v>Large (300+ beds)</x:v>
      </x:c>
      <x:c r="H2574" s="7" t="n">
        <x:v>4</x:v>
      </x:c>
      <x:c r="I2574" s="7" t="n">
        <x:v>3</x:v>
      </x:c>
      <x:c r="J2574" s="7" t="n">
        <x:v>1.01</x:v>
      </x:c>
      <x:c r="K2574" s="8" t="n">
        <x:v>322</x:v>
      </x:c>
      <x:c r="L2574" s="8" t="n">
        <x:v>4695</x:v>
      </x:c>
      <x:c r="M2574" s="9" t="n">
        <x:v>0.7511091393</x:v>
      </x:c>
      <x:c r="N2574" s="10" t="n">
        <x:v>38411.0896698616</x:v>
      </x:c>
      <x:c r="O2574" s="9" t="n">
        <x:v>0.0324079322</x:v>
      </x:c>
      <x:c r="P2574" s="9" t="n">
        <x:v>0.4794952681</x:v>
      </x:c>
      <x:c r="Q2574" s="9" t="n">
        <x:v>0.5899053628</x:v>
      </x:c>
      <x:c r="R2574" s="3" t="b">
        <x:v>0</x:v>
      </x:c>
      <x:c r="S2574" s="3" t="b">
        <x:v>0</x:v>
      </x:c>
      <x:c r="T2574" s="3" t="b">
        <x:v>0</x:v>
      </x:c>
      <x:c r="U2574" s="2" t="str">
        <x:f>IF(T2574=TRUE,"Priority review",IF(R2574=TRUE,"High cost",IF(S2574=TRUE,"Low quality","Benchmark")))</x:f>
        <x:v>Benchmark</x:v>
      </x:c>
    </x:row>
    <x:row r="2575">
      <x:c r="A2575" s="2" t="str">
        <x:v>010034</x:v>
      </x:c>
      <x:c r="B2575" s="2" t="str">
        <x:v>COMMUNITY HOSPITAL INC</x:v>
      </x:c>
      <x:c r="C2575" s="2" t="str">
        <x:v>TALLASSEE</x:v>
      </x:c>
      <x:c r="D2575" s="2" t="str">
        <x:v>AL</x:v>
      </x:c>
      <x:c r="E2575" s="2" t="str">
        <x:v>Acute Care Hospitals</x:v>
      </x:c>
      <x:c r="F2575" s="2" t="str">
        <x:v>Voluntary non-profit</x:v>
      </x:c>
      <x:c r="G2575" s="2" t="str">
        <x:v>Small (&lt;100 beds)</x:v>
      </x:c>
      <x:c r="H2575" s="7"/>
      <x:c r="I2575" s="7"/>
      <x:c r="J2575" s="7" t="n">
        <x:v>0.98</x:v>
      </x:c>
      <x:c r="K2575" s="8" t="n">
        <x:v>37</x:v>
      </x:c>
      <x:c r="L2575" s="8" t="n">
        <x:v>432</x:v>
      </x:c>
      <x:c r="M2575" s="9" t="n">
        <x:v>0.1785556048</x:v>
      </x:c>
      <x:c r="N2575" s="10" t="n">
        <x:v>50443.9583333333</x:v>
      </x:c>
      <x:c r="O2575" s="9" t="n">
        <x:v>-0.210622784</x:v>
      </x:c>
      <x:c r="P2575" s="9" t="n">
        <x:v>0.4793536804</x:v>
      </x:c>
      <x:c r="Q2575" s="9" t="n">
        <x:v>0.697486535</x:v>
      </x:c>
      <x:c r="R2575" s="3" t="b">
        <x:v>0</x:v>
      </x:c>
      <x:c r="S2575" s="3" t="b">
        <x:v>0</x:v>
      </x:c>
      <x:c r="T2575" s="3" t="b">
        <x:v>0</x:v>
      </x:c>
      <x:c r="U2575" s="2" t="str">
        <x:f>IF(T2575=TRUE,"Priority review",IF(R2575=TRUE,"High cost",IF(S2575=TRUE,"Low quality","Benchmark")))</x:f>
        <x:v>Benchmark</x:v>
      </x:c>
    </x:row>
    <x:row r="2576">
      <x:c r="A2576" s="2" t="str">
        <x:v>440059</x:v>
      </x:c>
      <x:c r="B2576" s="2" t="str">
        <x:v>COOKEVILLE REGIONAL MEDICAL CENTER</x:v>
      </x:c>
      <x:c r="C2576" s="2" t="str">
        <x:v>COOKEVILLE</x:v>
      </x:c>
      <x:c r="D2576" s="2" t="str">
        <x:v>TN</x:v>
      </x:c>
      <x:c r="E2576" s="2" t="str">
        <x:v>Acute Care Hospitals</x:v>
      </x:c>
      <x:c r="F2576" s="2" t="str">
        <x:v>Government</x:v>
      </x:c>
      <x:c r="G2576" s="2" t="str">
        <x:v>Medium (100-299 beds)</x:v>
      </x:c>
      <x:c r="H2576" s="7" t="n">
        <x:v>2</x:v>
      </x:c>
      <x:c r="I2576" s="7" t="n">
        <x:v>3</x:v>
      </x:c>
      <x:c r="J2576" s="7" t="n">
        <x:v>0.98</x:v>
      </x:c>
      <x:c r="K2576" s="8" t="n">
        <x:v>224</x:v>
      </x:c>
      <x:c r="L2576" s="8" t="n">
        <x:v>13023</x:v>
      </x:c>
      <x:c r="M2576" s="9" t="n">
        <x:v>0.7134417808</x:v>
      </x:c>
      <x:c r="N2576" s="10" t="n">
        <x:v>33521.88167089</x:v>
      </x:c>
      <x:c r="O2576" s="9" t="n">
        <x:v>0.0565778554</x:v>
      </x:c>
      <x:c r="P2576" s="9" t="n">
        <x:v>0.4792176039</x:v>
      </x:c>
      <x:c r="Q2576" s="9" t="n">
        <x:v>0.0782396088</x:v>
      </x:c>
      <x:c r="R2576" s="3" t="b">
        <x:v>0</x:v>
      </x:c>
      <x:c r="S2576" s="3" t="b">
        <x:v>1</x:v>
      </x:c>
      <x:c r="T2576" s="3" t="b">
        <x:v>0</x:v>
      </x:c>
      <x:c r="U2576" s="2" t="str">
        <x:f>IF(T2576=TRUE,"Priority review",IF(R2576=TRUE,"High cost",IF(S2576=TRUE,"Low quality","Benchmark")))</x:f>
        <x:v>Low quality</x:v>
      </x:c>
    </x:row>
    <x:row r="2577">
      <x:c r="A2577" s="2" t="str">
        <x:v>454117</x:v>
      </x:c>
      <x:c r="B2577" s="2" t="str">
        <x:v>OCEANS BEHAVIORAL HOSPITAL OF LONGVIEW</x:v>
      </x:c>
      <x:c r="C2577" s="2" t="str">
        <x:v>LONGVIEW</x:v>
      </x:c>
      <x:c r="D2577" s="2" t="str">
        <x:v>TX</x:v>
      </x:c>
      <x:c r="E2577" s="2" t="str">
        <x:v>Psychiatric</x:v>
      </x:c>
      <x:c r="F2577" s="2" t="str">
        <x:v>Proprietary</x:v>
      </x:c>
      <x:c r="G2577" s="2" t="str">
        <x:v>Small (&lt;100 beds)</x:v>
      </x:c>
      <x:c r="H2577" s="7"/>
      <x:c r="I2577" s="7"/>
      <x:c r="J2577" s="7"/>
      <x:c r="K2577" s="8" t="n">
        <x:v>24</x:v>
      </x:c>
      <x:c r="L2577" s="8" t="n">
        <x:v>618</x:v>
      </x:c>
      <x:c r="M2577" s="9" t="n">
        <x:v>0.8376593807</x:v>
      </x:c>
      <x:c r="N2577" s="10" t="n">
        <x:v>11781.4838187702</x:v>
      </x:c>
      <x:c r="O2577" s="9" t="n">
        <x:v>0.2028923105</x:v>
      </x:c>
      <x:c r="P2577" s="9" t="n">
        <x:v>0.4789644013</x:v>
      </x:c>
      <x:c r="Q2577" s="9" t="n">
        <x:v>0</x:v>
      </x:c>
      <x:c r="R2577" s="3" t="b">
        <x:v>0</x:v>
      </x:c>
      <x:c r="S2577" s="3" t="b">
        <x:v>0</x:v>
      </x:c>
      <x:c r="T2577" s="3" t="b">
        <x:v>0</x:v>
      </x:c>
      <x:c r="U2577" s="2" t="str">
        <x:f>IF(T2577=TRUE,"Priority review",IF(R2577=TRUE,"High cost",IF(S2577=TRUE,"Low quality","Benchmark")))</x:f>
        <x:v>Benchmark</x:v>
      </x:c>
    </x:row>
    <x:row r="2578">
      <x:c r="A2578" s="2" t="str">
        <x:v>451312</x:v>
      </x:c>
      <x:c r="B2578" s="2" t="str">
        <x:v>RICE MEDICAL CENTER</x:v>
      </x:c>
      <x:c r="C2578" s="2" t="str">
        <x:v>EAGLE LAKE</x:v>
      </x:c>
      <x:c r="D2578" s="2" t="str">
        <x:v>TX</x:v>
      </x:c>
      <x:c r="E2578" s="2" t="str">
        <x:v>Critical Access Hospitals</x:v>
      </x:c>
      <x:c r="F2578" s="2" t="str">
        <x:v>Proprietary</x:v>
      </x:c>
      <x:c r="G2578" s="2" t="str">
        <x:v>Small (&lt;100 beds)</x:v>
      </x:c>
      <x:c r="H2578" s="7"/>
      <x:c r="I2578" s="7"/>
      <x:c r="J2578" s="7"/>
      <x:c r="K2578" s="8" t="n">
        <x:v>21</x:v>
      </x:c>
      <x:c r="L2578" s="8" t="n">
        <x:v>185</x:v>
      </x:c>
      <x:c r="M2578" s="9" t="n">
        <x:v>0.2974238876</x:v>
      </x:c>
      <x:c r="N2578" s="10" t="n">
        <x:v>125668.3837837838</x:v>
      </x:c>
      <x:c r="O2578" s="9" t="n">
        <x:v>-0.1156474824</x:v>
      </x:c>
      <x:c r="P2578" s="9" t="n">
        <x:v>0.4788104089</x:v>
      </x:c>
      <x:c r="Q2578" s="9" t="n">
        <x:v>0.292936803</x:v>
      </x:c>
      <x:c r="R2578" s="3" t="b">
        <x:v>0</x:v>
      </x:c>
      <x:c r="S2578" s="3" t="b">
        <x:v>0</x:v>
      </x:c>
      <x:c r="T2578" s="3" t="b">
        <x:v>0</x:v>
      </x:c>
      <x:c r="U2578" s="2" t="str">
        <x:f>IF(T2578=TRUE,"Priority review",IF(R2578=TRUE,"High cost",IF(S2578=TRUE,"Low quality","Benchmark")))</x:f>
        <x:v>Benchmark</x:v>
      </x:c>
    </x:row>
    <x:row r="2579">
      <x:c r="A2579" s="2" t="str">
        <x:v>490037</x:v>
      </x:c>
      <x:c r="B2579" s="2" t="str">
        <x:v>RIVERSIDE SHORE MEMORIAL HOSPITAL</x:v>
      </x:c>
      <x:c r="C2579" s="2" t="str">
        <x:v>ONANCOCK</x:v>
      </x:c>
      <x:c r="D2579" s="2" t="str">
        <x:v>VA</x:v>
      </x:c>
      <x:c r="E2579" s="2" t="str">
        <x:v>Acute Care Hospitals</x:v>
      </x:c>
      <x:c r="F2579" s="2" t="str">
        <x:v>Voluntary non-profit</x:v>
      </x:c>
      <x:c r="G2579" s="2" t="str">
        <x:v>Small (&lt;100 beds)</x:v>
      </x:c>
      <x:c r="H2579" s="7" t="n">
        <x:v>3</x:v>
      </x:c>
      <x:c r="I2579" s="7" t="n">
        <x:v>4</x:v>
      </x:c>
      <x:c r="J2579" s="7" t="n">
        <x:v>0.92</x:v>
      </x:c>
      <x:c r="K2579" s="8" t="n">
        <x:v>52</x:v>
      </x:c>
      <x:c r="L2579" s="8" t="n">
        <x:v>2005</x:v>
      </x:c>
      <x:c r="M2579" s="9" t="n">
        <x:v>0.3507776377</x:v>
      </x:c>
      <x:c r="N2579" s="10" t="n">
        <x:v>50354.5610972569</x:v>
      </x:c>
      <x:c r="O2579" s="9" t="n">
        <x:v>0.0659056215</x:v>
      </x:c>
      <x:c r="P2579" s="9" t="n">
        <x:v>0.4784560144</x:v>
      </x:c>
      <x:c r="Q2579" s="9" t="n">
        <x:v>0.1687612208</x:v>
      </x:c>
      <x:c r="R2579" s="3" t="b">
        <x:v>0</x:v>
      </x:c>
      <x:c r="S2579" s="3" t="b">
        <x:v>0</x:v>
      </x:c>
      <x:c r="T2579" s="3" t="b">
        <x:v>0</x:v>
      </x:c>
      <x:c r="U2579" s="2" t="str">
        <x:f>IF(T2579=TRUE,"Priority review",IF(R2579=TRUE,"High cost",IF(S2579=TRUE,"Low quality","Benchmark")))</x:f>
        <x:v>Benchmark</x:v>
      </x:c>
    </x:row>
    <x:row r="2580">
      <x:c r="A2580" s="2" t="str">
        <x:v>380027</x:v>
      </x:c>
      <x:c r="B2580" s="2" t="str">
        <x:v>MERCY MEDICAL CENTER</x:v>
      </x:c>
      <x:c r="C2580" s="2" t="str">
        <x:v>ROSEBURG</x:v>
      </x:c>
      <x:c r="D2580" s="2" t="str">
        <x:v>OR</x:v>
      </x:c>
      <x:c r="E2580" s="2" t="str">
        <x:v>Acute Care Hospitals</x:v>
      </x:c>
      <x:c r="F2580" s="2" t="str">
        <x:v>Government</x:v>
      </x:c>
      <x:c r="G2580" s="2" t="str">
        <x:v>Medium (100-299 beds)</x:v>
      </x:c>
      <x:c r="H2580" s="7" t="n">
        <x:v>4</x:v>
      </x:c>
      <x:c r="I2580" s="7" t="n">
        <x:v>3</x:v>
      </x:c>
      <x:c r="J2580" s="7" t="n">
        <x:v>0.86</x:v>
      </x:c>
      <x:c r="K2580" s="8" t="n">
        <x:v>149</x:v>
      </x:c>
      <x:c r="L2580" s="8" t="n">
        <x:v>8881</x:v>
      </x:c>
      <x:c r="M2580" s="9" t="n">
        <x:v>0.5372988876</x:v>
      </x:c>
      <x:c r="N2580" s="10" t="n">
        <x:v>33519.4350861389</x:v>
      </x:c>
      <x:c r="O2580" s="9" t="n">
        <x:v>-0.0519700913</x:v>
      </x:c>
      <x:c r="P2580" s="9" t="n">
        <x:v>0.478402608</x:v>
      </x:c>
      <x:c r="Q2580" s="9" t="n">
        <x:v>0.6022819886</x:v>
      </x:c>
      <x:c r="R2580" s="3" t="b">
        <x:v>0</x:v>
      </x:c>
      <x:c r="S2580" s="3" t="b">
        <x:v>0</x:v>
      </x:c>
      <x:c r="T2580" s="3" t="b">
        <x:v>0</x:v>
      </x:c>
      <x:c r="U2580" s="2" t="str">
        <x:f>IF(T2580=TRUE,"Priority review",IF(R2580=TRUE,"High cost",IF(S2580=TRUE,"Low quality","Benchmark")))</x:f>
        <x:v>Benchmark</x:v>
      </x:c>
    </x:row>
    <x:row r="2581">
      <x:c r="A2581" s="2" t="str">
        <x:v>141322</x:v>
      </x:c>
      <x:c r="B2581" s="2" t="str">
        <x:v>ABRAHAM LINCOLN MEMORIAL HOSPITAL</x:v>
      </x:c>
      <x:c r="C2581" s="2" t="str">
        <x:v>LINCOLN</x:v>
      </x:c>
      <x:c r="D2581" s="2" t="str">
        <x:v>IL</x:v>
      </x:c>
      <x:c r="E2581" s="2" t="str">
        <x:v>Critical Access Hospitals</x:v>
      </x:c>
      <x:c r="F2581" s="2" t="str">
        <x:v>Voluntary non-profit</x:v>
      </x:c>
      <x:c r="G2581" s="2" t="str">
        <x:v>Small (&lt;100 beds)</x:v>
      </x:c>
      <x:c r="H2581" s="7" t="n">
        <x:v>4</x:v>
      </x:c>
      <x:c r="I2581" s="7" t="n">
        <x:v>4</x:v>
      </x:c>
      <x:c r="J2581" s="7"/>
      <x:c r="K2581" s="8" t="n">
        <x:v>25</x:v>
      </x:c>
      <x:c r="L2581" s="8" t="n">
        <x:v>403</x:v>
      </x:c>
      <x:c r="M2581" s="9" t="n">
        <x:v>0.6703825137</x:v>
      </x:c>
      <x:c r="N2581" s="10" t="n">
        <x:v>125417.6277915633</x:v>
      </x:c>
      <x:c r="O2581" s="9" t="n">
        <x:v>0.2209832254</x:v>
      </x:c>
      <x:c r="P2581" s="9" t="n">
        <x:v>0.4780669145</x:v>
      </x:c>
      <x:c r="Q2581" s="9" t="n">
        <x:v>0.1657992565</x:v>
      </x:c>
      <x:c r="R2581" s="3" t="b">
        <x:v>0</x:v>
      </x:c>
      <x:c r="S2581" s="3" t="b">
        <x:v>0</x:v>
      </x:c>
      <x:c r="T2581" s="3" t="b">
        <x:v>0</x:v>
      </x:c>
      <x:c r="U2581" s="2" t="str">
        <x:f>IF(T2581=TRUE,"Priority review",IF(R2581=TRUE,"High cost",IF(S2581=TRUE,"Low quality","Benchmark")))</x:f>
        <x:v>Benchmark</x:v>
      </x:c>
    </x:row>
    <x:row r="2582">
      <x:c r="A2582" s="2" t="str">
        <x:v>230165</x:v>
      </x:c>
      <x:c r="B2582" s="2" t="str">
        <x:v>HENRY FORD HEALTH ST JOHN HOSPITAL</x:v>
      </x:c>
      <x:c r="C2582" s="2" t="str">
        <x:v>DETROIT</x:v>
      </x:c>
      <x:c r="D2582" s="2" t="str">
        <x:v>MI</x:v>
      </x:c>
      <x:c r="E2582" s="2" t="str">
        <x:v>Acute Care Hospitals</x:v>
      </x:c>
      <x:c r="F2582" s="2" t="str">
        <x:v>Voluntary non-profit</x:v>
      </x:c>
      <x:c r="G2582" s="2" t="str">
        <x:v>Large (300+ beds)</x:v>
      </x:c>
      <x:c r="H2582" s="7" t="n">
        <x:v>1</x:v>
      </x:c>
      <x:c r="I2582" s="7" t="n">
        <x:v>2</x:v>
      </x:c>
      <x:c r="J2582" s="7" t="n">
        <x:v>0.96</x:v>
      </x:c>
      <x:c r="K2582" s="8" t="n">
        <x:v>524</x:v>
      </x:c>
      <x:c r="L2582" s="8" t="n">
        <x:v>28333</x:v>
      </x:c>
      <x:c r="M2582" s="9" t="n">
        <x:v>0.7031475478</x:v>
      </x:c>
      <x:c r="N2582" s="10" t="n">
        <x:v>38369.4693819927</x:v>
      </x:c>
      <x:c r="O2582" s="9" t="n">
        <x:v>-0.0070271451</x:v>
      </x:c>
      <x:c r="P2582" s="9" t="n">
        <x:v>0.4779179811</x:v>
      </x:c>
      <x:c r="Q2582" s="9" t="n">
        <x:v>0</x:v>
      </x:c>
      <x:c r="R2582" s="3" t="b">
        <x:v>0</x:v>
      </x:c>
      <x:c r="S2582" s="3" t="b">
        <x:v>1</x:v>
      </x:c>
      <x:c r="T2582" s="3" t="b">
        <x:v>0</x:v>
      </x:c>
      <x:c r="U2582" s="2" t="str">
        <x:f>IF(T2582=TRUE,"Priority review",IF(R2582=TRUE,"High cost",IF(S2582=TRUE,"Low quality","Benchmark")))</x:f>
        <x:v>Low quality</x:v>
      </x:c>
    </x:row>
    <x:row r="2583">
      <x:c r="A2583" s="2" t="str">
        <x:v>054087</x:v>
      </x:c>
      <x:c r="B2583" s="2" t="str">
        <x:v>BHC SIERRA VISTA HOSPITAL, INC</x:v>
      </x:c>
      <x:c r="C2583" s="2" t="str">
        <x:v>SACRAMENTO</x:v>
      </x:c>
      <x:c r="D2583" s="2" t="str">
        <x:v>CA</x:v>
      </x:c>
      <x:c r="E2583" s="2" t="str">
        <x:v>Psychiatric</x:v>
      </x:c>
      <x:c r="F2583" s="2" t="str">
        <x:v>Proprietary</x:v>
      </x:c>
      <x:c r="G2583" s="2" t="str">
        <x:v>Medium (100-299 beds)</x:v>
      </x:c>
      <x:c r="H2583" s="7"/>
      <x:c r="I2583" s="7"/>
      <x:c r="J2583" s="7"/>
      <x:c r="K2583" s="8" t="n">
        <x:v>171</x:v>
      </x:c>
      <x:c r="L2583" s="8" t="n">
        <x:v>5161</x:v>
      </x:c>
      <x:c r="M2583" s="9" t="n">
        <x:v>0.9502604416</x:v>
      </x:c>
      <x:c r="N2583" s="10" t="n">
        <x:v>10765.0145320674</x:v>
      </x:c>
      <x:c r="O2583" s="9" t="n">
        <x:v>0.2919798039</x:v>
      </x:c>
      <x:c r="P2583" s="9" t="n">
        <x:v>0.4776119403</x:v>
      </x:c>
      <x:c r="Q2583" s="9" t="n">
        <x:v>0</x:v>
      </x:c>
      <x:c r="R2583" s="3" t="b">
        <x:v>0</x:v>
      </x:c>
      <x:c r="S2583" s="3" t="b">
        <x:v>0</x:v>
      </x:c>
      <x:c r="T2583" s="3" t="b">
        <x:v>0</x:v>
      </x:c>
      <x:c r="U2583" s="2" t="str">
        <x:f>IF(T2583=TRUE,"Priority review",IF(R2583=TRUE,"High cost",IF(S2583=TRUE,"Low quality","Benchmark")))</x:f>
        <x:v>Benchmark</x:v>
      </x:c>
    </x:row>
    <x:row r="2584">
      <x:c r="A2584" s="2" t="str">
        <x:v>220176</x:v>
      </x:c>
      <x:c r="B2584" s="2" t="str">
        <x:v>ST VINCENT HOSPITAL</x:v>
      </x:c>
      <x:c r="C2584" s="2" t="str">
        <x:v>WORCESTER</x:v>
      </x:c>
      <x:c r="D2584" s="2" t="str">
        <x:v>MA</x:v>
      </x:c>
      <x:c r="E2584" s="2" t="str">
        <x:v>Acute Care Hospitals</x:v>
      </x:c>
      <x:c r="F2584" s="2" t="str">
        <x:v>Proprietary</x:v>
      </x:c>
      <x:c r="G2584" s="2" t="str">
        <x:v>Medium (100-299 beds)</x:v>
      </x:c>
      <x:c r="H2584" s="7" t="n">
        <x:v>2</x:v>
      </x:c>
      <x:c r="I2584" s="7" t="n">
        <x:v>2</x:v>
      </x:c>
      <x:c r="J2584" s="7" t="n">
        <x:v>1</x:v>
      </x:c>
      <x:c r="K2584" s="8" t="n">
        <x:v>253</x:v>
      </x:c>
      <x:c r="L2584" s="8" t="n">
        <x:v>12664</x:v>
      </x:c>
      <x:c r="M2584" s="9" t="n">
        <x:v>0.6292234193</x:v>
      </x:c>
      <x:c r="N2584" s="10" t="n">
        <x:v>33484.1608496526</x:v>
      </x:c>
      <x:c r="O2584" s="9" t="n">
        <x:v>-0.0086221851</x:v>
      </x:c>
      <x:c r="P2584" s="9" t="n">
        <x:v>0.4775876121</x:v>
      </x:c>
      <x:c r="Q2584" s="9" t="n">
        <x:v>0.0782396088</x:v>
      </x:c>
      <x:c r="R2584" s="3" t="b">
        <x:v>0</x:v>
      </x:c>
      <x:c r="S2584" s="3" t="b">
        <x:v>1</x:v>
      </x:c>
      <x:c r="T2584" s="3" t="b">
        <x:v>0</x:v>
      </x:c>
      <x:c r="U2584" s="2" t="str">
        <x:f>IF(T2584=TRUE,"Priority review",IF(R2584=TRUE,"High cost",IF(S2584=TRUE,"Low quality","Benchmark")))</x:f>
        <x:v>Low quality</x:v>
      </x:c>
    </x:row>
    <x:row r="2585">
      <x:c r="A2585" s="2" t="str">
        <x:v>360365</x:v>
      </x:c>
      <x:c r="B2585" s="2" t="str">
        <x:v>AVITA ONTARIO</x:v>
      </x:c>
      <x:c r="C2585" s="2" t="str">
        <x:v>ONTARIO</x:v>
      </x:c>
      <x:c r="D2585" s="2" t="str">
        <x:v>OH</x:v>
      </x:c>
      <x:c r="E2585" s="2" t="str">
        <x:v>Acute Care Hospitals</x:v>
      </x:c>
      <x:c r="F2585" s="2" t="str">
        <x:v>Voluntary non-profit</x:v>
      </x:c>
      <x:c r="G2585" s="2" t="str">
        <x:v>Small (&lt;100 beds)</x:v>
      </x:c>
      <x:c r="H2585" s="7" t="n">
        <x:v>4</x:v>
      </x:c>
      <x:c r="I2585" s="7" t="n">
        <x:v>4</x:v>
      </x:c>
      <x:c r="J2585" s="7" t="n">
        <x:v>1.08</x:v>
      </x:c>
      <x:c r="K2585" s="8" t="n">
        <x:v>49</x:v>
      </x:c>
      <x:c r="L2585" s="8" t="n">
        <x:v>2025</x:v>
      </x:c>
      <x:c r="M2585" s="9" t="n">
        <x:v>0.3269779145</x:v>
      </x:c>
      <x:c r="N2585" s="10" t="n">
        <x:v>50349.5812345679</x:v>
      </x:c>
      <x:c r="O2585" s="9" t="n">
        <x:v>0.2226542398</x:v>
      </x:c>
      <x:c r="P2585" s="9" t="n">
        <x:v>0.4775583483</x:v>
      </x:c>
      <x:c r="Q2585" s="9" t="n">
        <x:v>0.3913824057</x:v>
      </x:c>
      <x:c r="R2585" s="3" t="b">
        <x:v>0</x:v>
      </x:c>
      <x:c r="S2585" s="3" t="b">
        <x:v>0</x:v>
      </x:c>
      <x:c r="T2585" s="3" t="b">
        <x:v>0</x:v>
      </x:c>
      <x:c r="U2585" s="2" t="str">
        <x:f>IF(T2585=TRUE,"Priority review",IF(R2585=TRUE,"High cost",IF(S2585=TRUE,"Low quality","Benchmark")))</x:f>
        <x:v>Benchmark</x:v>
      </x:c>
    </x:row>
    <x:row r="2586">
      <x:c r="A2586" s="2" t="str">
        <x:v>321300</x:v>
      </x:c>
      <x:c r="B2586" s="2" t="str">
        <x:v>SIERRA VISTA HOSPITAL</x:v>
      </x:c>
      <x:c r="C2586" s="2" t="str">
        <x:v>T OR C</x:v>
      </x:c>
      <x:c r="D2586" s="2" t="str">
        <x:v>NM</x:v>
      </x:c>
      <x:c r="E2586" s="2" t="str">
        <x:v>Critical Access Hospitals</x:v>
      </x:c>
      <x:c r="F2586" s="2" t="str">
        <x:v>Government</x:v>
      </x:c>
      <x:c r="G2586" s="2" t="str">
        <x:v>Small (&lt;100 beds)</x:v>
      </x:c>
      <x:c r="H2586" s="7"/>
      <x:c r="I2586" s="7"/>
      <x:c r="J2586" s="7"/>
      <x:c r="K2586" s="8" t="n">
        <x:v>11</x:v>
      </x:c>
      <x:c r="L2586" s="8" t="n">
        <x:v>331</x:v>
      </x:c>
      <x:c r="M2586" s="9" t="n">
        <x:v>0.3382316314</x:v>
      </x:c>
      <x:c r="N2586" s="10" t="n">
        <x:v>125055.5891238671</x:v>
      </x:c>
      <x:c r="O2586" s="9" t="n">
        <x:v>-0.3254754476</x:v>
      </x:c>
      <x:c r="P2586" s="9" t="n">
        <x:v>0.4773234201</x:v>
      </x:c>
      <x:c r="Q2586" s="9" t="n">
        <x:v>0.292936803</x:v>
      </x:c>
      <x:c r="R2586" s="3" t="b">
        <x:v>0</x:v>
      </x:c>
      <x:c r="S2586" s="3" t="b">
        <x:v>0</x:v>
      </x:c>
      <x:c r="T2586" s="3" t="b">
        <x:v>0</x:v>
      </x:c>
      <x:c r="U2586" s="2" t="str">
        <x:f>IF(T2586=TRUE,"Priority review",IF(R2586=TRUE,"High cost",IF(S2586=TRUE,"Low quality","Benchmark")))</x:f>
        <x:v>Benchmark</x:v>
      </x:c>
    </x:row>
    <x:row r="2587">
      <x:c r="A2587" s="2" t="str">
        <x:v>140291</x:v>
      </x:c>
      <x:c r="B2587" s="2" t="str">
        <x:v>ADVOCATE GOOD SHEPHERD HOSPITAL</x:v>
      </x:c>
      <x:c r="C2587" s="2" t="str">
        <x:v>BARRINGTON</x:v>
      </x:c>
      <x:c r="D2587" s="2" t="str">
        <x:v>IL</x:v>
      </x:c>
      <x:c r="E2587" s="2" t="str">
        <x:v>Acute Care Hospitals</x:v>
      </x:c>
      <x:c r="F2587" s="2" t="str">
        <x:v>Voluntary non-profit</x:v>
      </x:c>
      <x:c r="G2587" s="2" t="str">
        <x:v>Medium (100-299 beds)</x:v>
      </x:c>
      <x:c r="H2587" s="7" t="n">
        <x:v>5</x:v>
      </x:c>
      <x:c r="I2587" s="7" t="n">
        <x:v>4</x:v>
      </x:c>
      <x:c r="J2587" s="7" t="n">
        <x:v>0.91</x:v>
      </x:c>
      <x:c r="K2587" s="8" t="n">
        <x:v>176</x:v>
      </x:c>
      <x:c r="L2587" s="8" t="n">
        <x:v>9942</x:v>
      </x:c>
      <x:c r="M2587" s="9" t="n">
        <x:v>0.5966374814</x:v>
      </x:c>
      <x:c r="N2587" s="10" t="n">
        <x:v>33477.4440756387</x:v>
      </x:c>
      <x:c r="O2587" s="9" t="n">
        <x:v>0.1933771648</x:v>
      </x:c>
      <x:c r="P2587" s="9" t="n">
        <x:v>0.4767726161</x:v>
      </x:c>
      <x:c r="Q2587" s="9" t="n">
        <x:v>0.8744906275</x:v>
      </x:c>
      <x:c r="R2587" s="3" t="b">
        <x:v>0</x:v>
      </x:c>
      <x:c r="S2587" s="3" t="b">
        <x:v>0</x:v>
      </x:c>
      <x:c r="T2587" s="3" t="b">
        <x:v>0</x:v>
      </x:c>
      <x:c r="U2587" s="2" t="str">
        <x:f>IF(T2587=TRUE,"Priority review",IF(R2587=TRUE,"High cost",IF(S2587=TRUE,"Low quality","Benchmark")))</x:f>
        <x:v>Benchmark</x:v>
      </x:c>
    </x:row>
    <x:row r="2588">
      <x:c r="A2588" s="2" t="str">
        <x:v>190300</x:v>
      </x:c>
      <x:c r="B2588" s="2" t="str">
        <x:v>ST CHARLES SURGICAL HOSPITAL</x:v>
      </x:c>
      <x:c r="C2588" s="2" t="str">
        <x:v>NEW ORLEANS</x:v>
      </x:c>
      <x:c r="D2588" s="2" t="str">
        <x:v>LA</x:v>
      </x:c>
      <x:c r="E2588" s="2" t="str">
        <x:v>Acute Care Hospitals</x:v>
      </x:c>
      <x:c r="F2588" s="2" t="str">
        <x:v>Other / unknown</x:v>
      </x:c>
      <x:c r="G2588" s="2" t="str">
        <x:v>Small (&lt;100 beds)</x:v>
      </x:c>
      <x:c r="H2588" s="7"/>
      <x:c r="I2588" s="7"/>
      <x:c r="J2588" s="7" t="n">
        <x:v>1.02</x:v>
      </x:c>
      <x:c r="K2588" s="8" t="n">
        <x:v>39</x:v>
      </x:c>
      <x:c r="L2588" s="8" t="n">
        <x:v>599</x:v>
      </x:c>
      <x:c r="M2588" s="9" t="n">
        <x:v>0.0884825557</x:v>
      </x:c>
      <x:c r="N2588" s="10" t="n">
        <x:v>50287.9616026711</x:v>
      </x:c>
      <x:c r="O2588" s="9" t="n">
        <x:v>-0.0053621895</x:v>
      </x:c>
      <x:c r="P2588" s="9" t="n">
        <x:v>0.4766606822</x:v>
      </x:c>
      <x:c r="Q2588" s="9" t="n">
        <x:v>0.697486535</x:v>
      </x:c>
      <x:c r="R2588" s="3" t="b">
        <x:v>0</x:v>
      </x:c>
      <x:c r="S2588" s="3" t="b">
        <x:v>0</x:v>
      </x:c>
      <x:c r="T2588" s="3" t="b">
        <x:v>0</x:v>
      </x:c>
      <x:c r="U2588" s="2" t="str">
        <x:f>IF(T2588=TRUE,"Priority review",IF(R2588=TRUE,"High cost",IF(S2588=TRUE,"Low quality","Benchmark")))</x:f>
        <x:v>Benchmark</x:v>
      </x:c>
    </x:row>
    <x:row r="2589">
      <x:c r="A2589" s="2" t="str">
        <x:v>161374</x:v>
      </x:c>
      <x:c r="B2589" s="2" t="str">
        <x:v>MYRTUE MEDICAL CENTER</x:v>
      </x:c>
      <x:c r="C2589" s="2" t="str">
        <x:v>HARLAN</x:v>
      </x:c>
      <x:c r="D2589" s="2" t="str">
        <x:v>IA</x:v>
      </x:c>
      <x:c r="E2589" s="2" t="str">
        <x:v>Critical Access Hospitals</x:v>
      </x:c>
      <x:c r="F2589" s="2" t="str">
        <x:v>Voluntary non-profit</x:v>
      </x:c>
      <x:c r="G2589" s="2" t="str">
        <x:v>Small (&lt;100 beds)</x:v>
      </x:c>
      <x:c r="H2589" s="7" t="n">
        <x:v>3</x:v>
      </x:c>
      <x:c r="I2589" s="7"/>
      <x:c r="J2589" s="7"/>
      <x:c r="K2589" s="8" t="n">
        <x:v>25</x:v>
      </x:c>
      <x:c r="L2589" s="8" t="n">
        <x:v>521</x:v>
      </x:c>
      <x:c r="M2589" s="9" t="n">
        <x:v>0.2412054795</x:v>
      </x:c>
      <x:c r="N2589" s="10" t="n">
        <x:v>125004.6295585413</x:v>
      </x:c>
      <x:c r="O2589" s="9" t="n">
        <x:v>-0.0872248574</x:v>
      </x:c>
      <x:c r="P2589" s="9" t="n">
        <x:v>0.4765799257</x:v>
      </x:c>
      <x:c r="Q2589" s="9" t="n">
        <x:v>0.0765799257</x:v>
      </x:c>
      <x:c r="R2589" s="3" t="b">
        <x:v>0</x:v>
      </x:c>
      <x:c r="S2589" s="3" t="b">
        <x:v>1</x:v>
      </x:c>
      <x:c r="T2589" s="3" t="b">
        <x:v>0</x:v>
      </x:c>
      <x:c r="U2589" s="2" t="str">
        <x:f>IF(T2589=TRUE,"Priority review",IF(R2589=TRUE,"High cost",IF(S2589=TRUE,"Low quality","Benchmark")))</x:f>
        <x:v>Low quality</x:v>
      </x:c>
    </x:row>
    <x:row r="2590">
      <x:c r="A2590" s="2" t="str">
        <x:v>050471</x:v>
      </x:c>
      <x:c r="B2590" s="2" t="str">
        <x:v>PIH HEALTH GOOD SAMARITAN HOSPITAL</x:v>
      </x:c>
      <x:c r="C2590" s="2" t="str">
        <x:v>LOS ANGELES</x:v>
      </x:c>
      <x:c r="D2590" s="2" t="str">
        <x:v>CA</x:v>
      </x:c>
      <x:c r="E2590" s="2" t="str">
        <x:v>Acute Care Hospitals</x:v>
      </x:c>
      <x:c r="F2590" s="2" t="str">
        <x:v>Proprietary</x:v>
      </x:c>
      <x:c r="G2590" s="2" t="str">
        <x:v>Large (300+ beds)</x:v>
      </x:c>
      <x:c r="H2590" s="7" t="n">
        <x:v>2</x:v>
      </x:c>
      <x:c r="I2590" s="7" t="n">
        <x:v>2</x:v>
      </x:c>
      <x:c r="J2590" s="7" t="n">
        <x:v>1.18</x:v>
      </x:c>
      <x:c r="K2590" s="8" t="n">
        <x:v>308</x:v>
      </x:c>
      <x:c r="L2590" s="8" t="n">
        <x:v>10736</x:v>
      </x:c>
      <x:c r="M2590" s="9" t="n">
        <x:v>0.4320665673</x:v>
      </x:c>
      <x:c r="N2590" s="10" t="n">
        <x:v>38288.8142697466</x:v>
      </x:c>
      <x:c r="O2590" s="9" t="n">
        <x:v>-0.1538380818</x:v>
      </x:c>
      <x:c r="P2590" s="9" t="n">
        <x:v>0.476340694</x:v>
      </x:c>
      <x:c r="Q2590" s="9" t="n">
        <x:v>0.0536277603</x:v>
      </x:c>
      <x:c r="R2590" s="3" t="b">
        <x:v>0</x:v>
      </x:c>
      <x:c r="S2590" s="3" t="b">
        <x:v>1</x:v>
      </x:c>
      <x:c r="T2590" s="3" t="b">
        <x:v>0</x:v>
      </x:c>
      <x:c r="U2590" s="2" t="str">
        <x:f>IF(T2590=TRUE,"Priority review",IF(R2590=TRUE,"High cost",IF(S2590=TRUE,"Low quality","Benchmark")))</x:f>
        <x:v>Low quality</x:v>
      </x:c>
    </x:row>
    <x:row r="2591">
      <x:c r="A2591" s="2" t="str">
        <x:v>510029</x:v>
      </x:c>
      <x:c r="B2591" s="2" t="str">
        <x:v>THOMAS MEMORIAL HOSPITAL</x:v>
      </x:c>
      <x:c r="C2591" s="2" t="str">
        <x:v>SOUTH CHARLESTON</x:v>
      </x:c>
      <x:c r="D2591" s="2" t="str">
        <x:v>WV</x:v>
      </x:c>
      <x:c r="E2591" s="2" t="str">
        <x:v>Acute Care Hospitals</x:v>
      </x:c>
      <x:c r="F2591" s="2" t="str">
        <x:v>Voluntary non-profit</x:v>
      </x:c>
      <x:c r="G2591" s="2" t="str">
        <x:v>Medium (100-299 beds)</x:v>
      </x:c>
      <x:c r="H2591" s="7" t="n">
        <x:v>1</x:v>
      </x:c>
      <x:c r="I2591" s="7" t="n">
        <x:v>3</x:v>
      </x:c>
      <x:c r="J2591" s="7" t="n">
        <x:v>0.97</x:v>
      </x:c>
      <x:c r="K2591" s="8" t="n">
        <x:v>233</x:v>
      </x:c>
      <x:c r="L2591" s="8" t="n">
        <x:v>9336</x:v>
      </x:c>
      <x:c r="M2591" s="9" t="n">
        <x:v>0.7351924181</x:v>
      </x:c>
      <x:c r="N2591" s="10" t="n">
        <x:v>33388.6239288775</x:v>
      </x:c>
      <x:c r="O2591" s="9" t="n">
        <x:v>0.1613995533</x:v>
      </x:c>
      <x:c r="P2591" s="9" t="n">
        <x:v>0.4759576202</x:v>
      </x:c>
      <x:c r="Q2591" s="9" t="n">
        <x:v>0</x:v>
      </x:c>
      <x:c r="R2591" s="3" t="b">
        <x:v>0</x:v>
      </x:c>
      <x:c r="S2591" s="3" t="b">
        <x:v>1</x:v>
      </x:c>
      <x:c r="T2591" s="3" t="b">
        <x:v>0</x:v>
      </x:c>
      <x:c r="U2591" s="2" t="str">
        <x:f>IF(T2591=TRUE,"Priority review",IF(R2591=TRUE,"High cost",IF(S2591=TRUE,"Low quality","Benchmark")))</x:f>
        <x:v>Low quality</x:v>
      </x:c>
    </x:row>
    <x:row r="2592">
      <x:c r="A2592" s="2" t="str">
        <x:v>131305</x:v>
      </x:c>
      <x:c r="B2592" s="2" t="str">
        <x:v>STEELE MEMORIAL MEDICAL CENTER</x:v>
      </x:c>
      <x:c r="C2592" s="2" t="str">
        <x:v>SALMON</x:v>
      </x:c>
      <x:c r="D2592" s="2" t="str">
        <x:v>ID</x:v>
      </x:c>
      <x:c r="E2592" s="2" t="str">
        <x:v>Critical Access Hospitals</x:v>
      </x:c>
      <x:c r="F2592" s="2" t="str">
        <x:v>Government</x:v>
      </x:c>
      <x:c r="G2592" s="2" t="str">
        <x:v>Small (&lt;100 beds)</x:v>
      </x:c>
      <x:c r="H2592" s="7" t="n">
        <x:v>3</x:v>
      </x:c>
      <x:c r="I2592" s="7"/>
      <x:c r="J2592" s="7"/>
      <x:c r="K2592" s="8" t="n">
        <x:v>18</x:v>
      </x:c>
      <x:c r="L2592" s="8" t="n">
        <x:v>302</x:v>
      </x:c>
      <x:c r="M2592" s="9" t="n">
        <x:v>0.2003642987</x:v>
      </x:c>
      <x:c r="N2592" s="10" t="n">
        <x:v>124748.1390728477</x:v>
      </x:c>
      <x:c r="O2592" s="9" t="n">
        <x:v>-0.0624585298</x:v>
      </x:c>
      <x:c r="P2592" s="9" t="n">
        <x:v>0.4758364312</x:v>
      </x:c>
      <x:c r="Q2592" s="9" t="n">
        <x:v>0.0765799257</x:v>
      </x:c>
      <x:c r="R2592" s="3" t="b">
        <x:v>0</x:v>
      </x:c>
      <x:c r="S2592" s="3" t="b">
        <x:v>1</x:v>
      </x:c>
      <x:c r="T2592" s="3" t="b">
        <x:v>0</x:v>
      </x:c>
      <x:c r="U2592" s="2" t="str">
        <x:f>IF(T2592=TRUE,"Priority review",IF(R2592=TRUE,"High cost",IF(S2592=TRUE,"Low quality","Benchmark")))</x:f>
        <x:v>Low quality</x:v>
      </x:c>
    </x:row>
    <x:row r="2593">
      <x:c r="A2593" s="2" t="str">
        <x:v>370234</x:v>
      </x:c>
      <x:c r="B2593" s="2" t="str">
        <x:v>OKLAHOMA HEART HOSPITAL SOUTH, LLC</x:v>
      </x:c>
      <x:c r="C2593" s="2" t="str">
        <x:v>OKLAHOMA CITY</x:v>
      </x:c>
      <x:c r="D2593" s="2" t="str">
        <x:v>OK</x:v>
      </x:c>
      <x:c r="E2593" s="2" t="str">
        <x:v>Acute Care Hospitals</x:v>
      </x:c>
      <x:c r="F2593" s="2" t="str">
        <x:v>Other / unknown</x:v>
      </x:c>
      <x:c r="G2593" s="2" t="str">
        <x:v>Small (&lt;100 beds)</x:v>
      </x:c>
      <x:c r="H2593" s="7" t="n">
        <x:v>5</x:v>
      </x:c>
      <x:c r="I2593" s="7" t="n">
        <x:v>5</x:v>
      </x:c>
      <x:c r="J2593" s="7" t="n">
        <x:v>0.98</x:v>
      </x:c>
      <x:c r="K2593" s="8" t="n">
        <x:v>43</x:v>
      </x:c>
      <x:c r="L2593" s="8" t="n">
        <x:v>3385</x:v>
      </x:c>
      <x:c r="M2593" s="9" t="n">
        <x:v>0.7697293176</x:v>
      </x:c>
      <x:c r="N2593" s="10" t="n">
        <x:v>50218.2652880355</x:v>
      </x:c>
      <x:c r="O2593" s="9" t="n">
        <x:v>0.0100630559</x:v>
      </x:c>
      <x:c r="P2593" s="9" t="n">
        <x:v>0.4757630162</x:v>
      </x:c>
      <x:c r="Q2593" s="9" t="n">
        <x:v>0.6131059246</x:v>
      </x:c>
      <x:c r="R2593" s="3" t="b">
        <x:v>0</x:v>
      </x:c>
      <x:c r="S2593" s="3" t="b">
        <x:v>0</x:v>
      </x:c>
      <x:c r="T2593" s="3" t="b">
        <x:v>0</x:v>
      </x:c>
      <x:c r="U2593" s="2" t="str">
        <x:f>IF(T2593=TRUE,"Priority review",IF(R2593=TRUE,"High cost",IF(S2593=TRUE,"Low quality","Benchmark")))</x:f>
        <x:v>Benchmark</x:v>
      </x:c>
    </x:row>
    <x:row r="2594">
      <x:c r="A2594" s="2" t="str">
        <x:v>264032</x:v>
      </x:c>
      <x:c r="B2594" s="2" t="str">
        <x:v>CENTERPOINTE HOSPITAL OF COLUMBIA</x:v>
      </x:c>
      <x:c r="C2594" s="2" t="str">
        <x:v>COLUMBIA</x:v>
      </x:c>
      <x:c r="D2594" s="2" t="str">
        <x:v>MO</x:v>
      </x:c>
      <x:c r="E2594" s="2" t="str">
        <x:v>Psychiatric</x:v>
      </x:c>
      <x:c r="F2594" s="2" t="str">
        <x:v>Proprietary</x:v>
      </x:c>
      <x:c r="G2594" s="2" t="str">
        <x:v>Small (&lt;100 beds)</x:v>
      </x:c>
      <x:c r="H2594" s="7"/>
      <x:c r="I2594" s="7"/>
      <x:c r="J2594" s="7"/>
      <x:c r="K2594" s="8" t="n">
        <x:v>80</x:v>
      </x:c>
      <x:c r="L2594" s="8" t="n">
        <x:v>2411</x:v>
      </x:c>
      <x:c r="M2594" s="9" t="n">
        <x:v>0.8659153005</x:v>
      </x:c>
      <x:c r="N2594" s="10" t="n">
        <x:v>11692.2787225218</x:v>
      </x:c>
      <x:c r="O2594" s="9" t="n">
        <x:v>-0.1082638456</x:v>
      </x:c>
      <x:c r="P2594" s="9" t="n">
        <x:v>0.4757281553</x:v>
      </x:c>
      <x:c r="Q2594" s="9" t="n">
        <x:v>0</x:v>
      </x:c>
      <x:c r="R2594" s="3" t="b">
        <x:v>0</x:v>
      </x:c>
      <x:c r="S2594" s="3" t="b">
        <x:v>0</x:v>
      </x:c>
      <x:c r="T2594" s="3" t="b">
        <x:v>0</x:v>
      </x:c>
      <x:c r="U2594" s="2" t="str">
        <x:f>IF(T2594=TRUE,"Priority review",IF(R2594=TRUE,"High cost",IF(S2594=TRUE,"Low quality","Benchmark")))</x:f>
        <x:v>Benchmark</x:v>
      </x:c>
    </x:row>
    <x:row r="2595">
      <x:c r="A2595" s="2" t="str">
        <x:v>420089</x:v>
      </x:c>
      <x:c r="B2595" s="2" t="str">
        <x:v>NOVANT HEALTH EAST COOPER MEDICAL CENTER</x:v>
      </x:c>
      <x:c r="C2595" s="2" t="str">
        <x:v>MOUNT PLEASANT</x:v>
      </x:c>
      <x:c r="D2595" s="2" t="str">
        <x:v>SC</x:v>
      </x:c>
      <x:c r="E2595" s="2" t="str">
        <x:v>Acute Care Hospitals</x:v>
      </x:c>
      <x:c r="F2595" s="2" t="str">
        <x:v>Proprietary</x:v>
      </x:c>
      <x:c r="G2595" s="2" t="str">
        <x:v>Medium (100-299 beds)</x:v>
      </x:c>
      <x:c r="H2595" s="7" t="n">
        <x:v>4</x:v>
      </x:c>
      <x:c r="I2595" s="7" t="n">
        <x:v>4</x:v>
      </x:c>
      <x:c r="J2595" s="7" t="n">
        <x:v>0.99</x:v>
      </x:c>
      <x:c r="K2595" s="8" t="n">
        <x:v>120</x:v>
      </x:c>
      <x:c r="L2595" s="8" t="n">
        <x:v>4027</x:v>
      </x:c>
      <x:c r="M2595" s="9" t="n">
        <x:v>0.3689303483</x:v>
      </x:c>
      <x:c r="N2595" s="10" t="n">
        <x:v>33382.8353613111</x:v>
      </x:c>
      <x:c r="O2595" s="9" t="n">
        <x:v>0.3221533232</x:v>
      </x:c>
      <x:c r="P2595" s="9" t="n">
        <x:v>0.4751426243</x:v>
      </x:c>
      <x:c r="Q2595" s="9" t="n">
        <x:v>0.6022819886</x:v>
      </x:c>
      <x:c r="R2595" s="3" t="b">
        <x:v>0</x:v>
      </x:c>
      <x:c r="S2595" s="3" t="b">
        <x:v>0</x:v>
      </x:c>
      <x:c r="T2595" s="3" t="b">
        <x:v>0</x:v>
      </x:c>
      <x:c r="U2595" s="2" t="str">
        <x:f>IF(T2595=TRUE,"Priority review",IF(R2595=TRUE,"High cost",IF(S2595=TRUE,"Low quality","Benchmark")))</x:f>
        <x:v>Benchmark</x:v>
      </x:c>
    </x:row>
    <x:row r="2596">
      <x:c r="A2596" s="2" t="str">
        <x:v>161362</x:v>
      </x:c>
      <x:c r="B2596" s="2" t="str">
        <x:v>CHEROKEE REGIONAL MEDICAL CENTER</x:v>
      </x:c>
      <x:c r="C2596" s="2" t="str">
        <x:v>CHEROKEE</x:v>
      </x:c>
      <x:c r="D2596" s="2" t="str">
        <x:v>IA</x:v>
      </x:c>
      <x:c r="E2596" s="2" t="str">
        <x:v>Critical Access Hospitals</x:v>
      </x:c>
      <x:c r="F2596" s="2" t="str">
        <x:v>Voluntary non-profit</x:v>
      </x:c>
      <x:c r="G2596" s="2" t="str">
        <x:v>Small (&lt;100 beds)</x:v>
      </x:c>
      <x:c r="H2596" s="7" t="n">
        <x:v>2</x:v>
      </x:c>
      <x:c r="I2596" s="7"/>
      <x:c r="J2596" s="7"/>
      <x:c r="K2596" s="8" t="n">
        <x:v>15</x:v>
      </x:c>
      <x:c r="L2596" s="8" t="n">
        <x:v>456</x:v>
      </x:c>
      <x:c r="M2596" s="9" t="n">
        <x:v>0.219822283</x:v>
      </x:c>
      <x:c r="N2596" s="10" t="n">
        <x:v>124733.5570175439</x:v>
      </x:c>
      <x:c r="O2596" s="9" t="n">
        <x:v>-0.1163326596</x:v>
      </x:c>
      <x:c r="P2596" s="9" t="n">
        <x:v>0.4750929368</x:v>
      </x:c>
      <x:c r="Q2596" s="9" t="n">
        <x:v>0.0171003717</x:v>
      </x:c>
      <x:c r="R2596" s="3" t="b">
        <x:v>0</x:v>
      </x:c>
      <x:c r="S2596" s="3" t="b">
        <x:v>1</x:v>
      </x:c>
      <x:c r="T2596" s="3" t="b">
        <x:v>0</x:v>
      </x:c>
      <x:c r="U2596" s="2" t="str">
        <x:f>IF(T2596=TRUE,"Priority review",IF(R2596=TRUE,"High cost",IF(S2596=TRUE,"Low quality","Benchmark")))</x:f>
        <x:v>Low quality</x:v>
      </x:c>
    </x:row>
    <x:row r="2597">
      <x:c r="A2597" s="2" t="str">
        <x:v>380082</x:v>
      </x:c>
      <x:c r="B2597" s="2" t="str">
        <x:v>PROVIDENCE MILWAUKIE HOSPITAL</x:v>
      </x:c>
      <x:c r="C2597" s="2" t="str">
        <x:v>MILWAUKIE</x:v>
      </x:c>
      <x:c r="D2597" s="2" t="str">
        <x:v>OR</x:v>
      </x:c>
      <x:c r="E2597" s="2" t="str">
        <x:v>Acute Care Hospitals</x:v>
      </x:c>
      <x:c r="F2597" s="2" t="str">
        <x:v>Voluntary non-profit</x:v>
      </x:c>
      <x:c r="G2597" s="2" t="str">
        <x:v>Small (&lt;100 beds)</x:v>
      </x:c>
      <x:c r="H2597" s="7" t="n">
        <x:v>3</x:v>
      </x:c>
      <x:c r="I2597" s="7" t="n">
        <x:v>3</x:v>
      </x:c>
      <x:c r="J2597" s="7" t="n">
        <x:v>0.91</x:v>
      </x:c>
      <x:c r="K2597" s="8" t="n">
        <x:v>47</x:v>
      </x:c>
      <x:c r="L2597" s="8" t="n">
        <x:v>3435</x:v>
      </x:c>
      <x:c r="M2597" s="9" t="n">
        <x:v>0.8555981863</x:v>
      </x:c>
      <x:c r="N2597" s="10" t="n">
        <x:v>50190.0684133916</x:v>
      </x:c>
      <x:c r="O2597" s="9" t="n">
        <x:v>-0.0734043834</x:v>
      </x:c>
      <x:c r="P2597" s="9" t="n">
        <x:v>0.4748653501</x:v>
      </x:c>
      <x:c r="Q2597" s="9" t="n">
        <x:v>0.1687612208</x:v>
      </x:c>
      <x:c r="R2597" s="3" t="b">
        <x:v>0</x:v>
      </x:c>
      <x:c r="S2597" s="3" t="b">
        <x:v>0</x:v>
      </x:c>
      <x:c r="T2597" s="3" t="b">
        <x:v>0</x:v>
      </x:c>
      <x:c r="U2597" s="2" t="str">
        <x:f>IF(T2597=TRUE,"Priority review",IF(R2597=TRUE,"High cost",IF(S2597=TRUE,"Low quality","Benchmark")))</x:f>
        <x:v>Benchmark</x:v>
      </x:c>
    </x:row>
    <x:row r="2598">
      <x:c r="A2598" s="2" t="str">
        <x:v>440029</x:v>
      </x:c>
      <x:c r="B2598" s="2" t="str">
        <x:v>WILLIAMSON MEDICAL CENTER</x:v>
      </x:c>
      <x:c r="C2598" s="2" t="str">
        <x:v>FRANKLIN</x:v>
      </x:c>
      <x:c r="D2598" s="2" t="str">
        <x:v>TN</x:v>
      </x:c>
      <x:c r="E2598" s="2" t="str">
        <x:v>Acute Care Hospitals</x:v>
      </x:c>
      <x:c r="F2598" s="2" t="str">
        <x:v>Government</x:v>
      </x:c>
      <x:c r="G2598" s="2" t="str">
        <x:v>Large (300+ beds)</x:v>
      </x:c>
      <x:c r="H2598" s="7" t="n">
        <x:v>5</x:v>
      </x:c>
      <x:c r="I2598" s="7" t="n">
        <x:v>4</x:v>
      </x:c>
      <x:c r="J2598" s="7" t="n">
        <x:v>1.02</x:v>
      </x:c>
      <x:c r="K2598" s="8" t="n">
        <x:v>337</x:v>
      </x:c>
      <x:c r="L2598" s="8" t="n">
        <x:v>8421</x:v>
      </x:c>
      <x:c r="M2598" s="9" t="n">
        <x:v>0.2903215316</x:v>
      </x:c>
      <x:c r="N2598" s="10" t="n">
        <x:v>38256.8674741717</x:v>
      </x:c>
      <x:c r="O2598" s="9" t="n">
        <x:v>-0.0492709075</x:v>
      </x:c>
      <x:c r="P2598" s="9" t="n">
        <x:v>0.4747634069</x:v>
      </x:c>
      <x:c r="Q2598" s="9" t="n">
        <x:v>0.8722397476</x:v>
      </x:c>
      <x:c r="R2598" s="3" t="b">
        <x:v>0</x:v>
      </x:c>
      <x:c r="S2598" s="3" t="b">
        <x:v>0</x:v>
      </x:c>
      <x:c r="T2598" s="3" t="b">
        <x:v>0</x:v>
      </x:c>
      <x:c r="U2598" s="2" t="str">
        <x:f>IF(T2598=TRUE,"Priority review",IF(R2598=TRUE,"High cost",IF(S2598=TRUE,"Low quality","Benchmark")))</x:f>
        <x:v>Benchmark</x:v>
      </x:c>
    </x:row>
    <x:row r="2599">
      <x:c r="A2599" s="2" t="str">
        <x:v>171307</x:v>
      </x:c>
      <x:c r="B2599" s="2" t="str">
        <x:v>RAWLINS COUNTY HEALTH CENTER</x:v>
      </x:c>
      <x:c r="C2599" s="2" t="str">
        <x:v>ATWOOD</x:v>
      </x:c>
      <x:c r="D2599" s="2" t="str">
        <x:v>KS</x:v>
      </x:c>
      <x:c r="E2599" s="2" t="str">
        <x:v>Critical Access Hospitals</x:v>
      </x:c>
      <x:c r="F2599" s="2" t="str">
        <x:v>Voluntary non-profit</x:v>
      </x:c>
      <x:c r="G2599" s="2" t="str">
        <x:v>Small (&lt;100 beds)</x:v>
      </x:c>
      <x:c r="H2599" s="7"/>
      <x:c r="I2599" s="7"/>
      <x:c r="J2599" s="7"/>
      <x:c r="K2599" s="8" t="n">
        <x:v>15</x:v>
      </x:c>
      <x:c r="L2599" s="8" t="n">
        <x:v>97</x:v>
      </x:c>
      <x:c r="M2599" s="9" t="n">
        <x:v>0.136803653</x:v>
      </x:c>
      <x:c r="N2599" s="10" t="n">
        <x:v>124351.9793814433</x:v>
      </x:c>
      <x:c r="O2599" s="9" t="n">
        <x:v>-0.4382897265</x:v>
      </x:c>
      <x:c r="P2599" s="9" t="n">
        <x:v>0.4743494424</x:v>
      </x:c>
      <x:c r="Q2599" s="9" t="n">
        <x:v>0.292936803</x:v>
      </x:c>
      <x:c r="R2599" s="3" t="b">
        <x:v>0</x:v>
      </x:c>
      <x:c r="S2599" s="3" t="b">
        <x:v>0</x:v>
      </x:c>
      <x:c r="T2599" s="3" t="b">
        <x:v>0</x:v>
      </x:c>
      <x:c r="U2599" s="2" t="str">
        <x:f>IF(T2599=TRUE,"Priority review",IF(R2599=TRUE,"High cost",IF(S2599=TRUE,"Low quality","Benchmark")))</x:f>
        <x:v>Benchmark</x:v>
      </x:c>
    </x:row>
    <x:row r="2600">
      <x:c r="A2600" s="2" t="str">
        <x:v>140054</x:v>
      </x:c>
      <x:c r="B2600" s="2" t="str">
        <x:v>MACNEAL  HOSPITAL</x:v>
      </x:c>
      <x:c r="C2600" s="2" t="str">
        <x:v>BERWYN</x:v>
      </x:c>
      <x:c r="D2600" s="2" t="str">
        <x:v>IL</x:v>
      </x:c>
      <x:c r="E2600" s="2" t="str">
        <x:v>Acute Care Hospitals</x:v>
      </x:c>
      <x:c r="F2600" s="2" t="str">
        <x:v>Proprietary</x:v>
      </x:c>
      <x:c r="G2600" s="2" t="str">
        <x:v>Medium (100-299 beds)</x:v>
      </x:c>
      <x:c r="H2600" s="7" t="n">
        <x:v>3</x:v>
      </x:c>
      <x:c r="I2600" s="7" t="n">
        <x:v>3</x:v>
      </x:c>
      <x:c r="J2600" s="7" t="n">
        <x:v>0.98</x:v>
      </x:c>
      <x:c r="K2600" s="8" t="n">
        <x:v>268</x:v>
      </x:c>
      <x:c r="L2600" s="8" t="n">
        <x:v>9148</x:v>
      </x:c>
      <x:c r="M2600" s="9" t="n">
        <x:v>0.4934778164</x:v>
      </x:c>
      <x:c r="N2600" s="10" t="n">
        <x:v>33366.7479230433</x:v>
      </x:c>
      <x:c r="O2600" s="9" t="n">
        <x:v>0.2960618344</x:v>
      </x:c>
      <x:c r="P2600" s="9" t="n">
        <x:v>0.4743276284</x:v>
      </x:c>
      <x:c r="Q2600" s="9" t="n">
        <x:v>0.3023634882</x:v>
      </x:c>
      <x:c r="R2600" s="3" t="b">
        <x:v>0</x:v>
      </x:c>
      <x:c r="S2600" s="3" t="b">
        <x:v>0</x:v>
      </x:c>
      <x:c r="T2600" s="3" t="b">
        <x:v>0</x:v>
      </x:c>
      <x:c r="U2600" s="2" t="str">
        <x:f>IF(T2600=TRUE,"Priority review",IF(R2600=TRUE,"High cost",IF(S2600=TRUE,"Low quality","Benchmark")))</x:f>
        <x:v>Benchmark</x:v>
      </x:c>
    </x:row>
    <x:row r="2601">
      <x:c r="A2601" s="2" t="str">
        <x:v>040156</x:v>
      </x:c>
      <x:c r="B2601" s="2" t="str">
        <x:v>BAPTIST MEMORIAL HOSPITAL-CRITTENDEN, INC</x:v>
      </x:c>
      <x:c r="C2601" s="2" t="str">
        <x:v>WEST MEMPHIS</x:v>
      </x:c>
      <x:c r="D2601" s="2" t="str">
        <x:v>AR</x:v>
      </x:c>
      <x:c r="E2601" s="2" t="str">
        <x:v>Acute Care Hospitals</x:v>
      </x:c>
      <x:c r="F2601" s="2" t="str">
        <x:v>Voluntary non-profit</x:v>
      </x:c>
      <x:c r="G2601" s="2" t="str">
        <x:v>Small (&lt;100 beds)</x:v>
      </x:c>
      <x:c r="H2601" s="7"/>
      <x:c r="I2601" s="7"/>
      <x:c r="J2601" s="7" t="n">
        <x:v>0.95</x:v>
      </x:c>
      <x:c r="K2601" s="8" t="n">
        <x:v>11</x:v>
      </x:c>
      <x:c r="L2601" s="8" t="n">
        <x:v>468</x:v>
      </x:c>
      <x:c r="M2601" s="9" t="n">
        <x:v>0.324639841</x:v>
      </x:c>
      <x:c r="N2601" s="10" t="n">
        <x:v>50180.264957265</x:v>
      </x:c>
      <x:c r="O2601" s="9" t="n">
        <x:v>0.1070846473</x:v>
      </x:c>
      <x:c r="P2601" s="9" t="n">
        <x:v>0.473967684</x:v>
      </x:c>
      <x:c r="Q2601" s="9" t="n">
        <x:v>0.697486535</x:v>
      </x:c>
      <x:c r="R2601" s="3" t="b">
        <x:v>0</x:v>
      </x:c>
      <x:c r="S2601" s="3" t="b">
        <x:v>0</x:v>
      </x:c>
      <x:c r="T2601" s="3" t="b">
        <x:v>0</x:v>
      </x:c>
      <x:c r="U2601" s="2" t="str">
        <x:f>IF(T2601=TRUE,"Priority review",IF(R2601=TRUE,"High cost",IF(S2601=TRUE,"Low quality","Benchmark")))</x:f>
        <x:v>Benchmark</x:v>
      </x:c>
    </x:row>
    <x:row r="2602">
      <x:c r="A2602" s="2" t="str">
        <x:v>151313</x:v>
      </x:c>
      <x:c r="B2602" s="2" t="str">
        <x:v>WOODLAWN HOSPITAL</x:v>
      </x:c>
      <x:c r="C2602" s="2" t="str">
        <x:v>ROCHESTER</x:v>
      </x:c>
      <x:c r="D2602" s="2" t="str">
        <x:v>IN</x:v>
      </x:c>
      <x:c r="E2602" s="2" t="str">
        <x:v>Critical Access Hospitals</x:v>
      </x:c>
      <x:c r="F2602" s="2" t="str">
        <x:v>Government</x:v>
      </x:c>
      <x:c r="G2602" s="2" t="str">
        <x:v>Small (&lt;100 beds)</x:v>
      </x:c>
      <x:c r="H2602" s="7" t="n">
        <x:v>3</x:v>
      </x:c>
      <x:c r="I2602" s="7"/>
      <x:c r="J2602" s="7"/>
      <x:c r="K2602" s="8" t="n">
        <x:v>25</x:v>
      </x:c>
      <x:c r="L2602" s="8" t="n">
        <x:v>525</x:v>
      </x:c>
      <x:c r="M2602" s="9" t="n">
        <x:v>0.2463387978</x:v>
      </x:c>
      <x:c r="N2602" s="10" t="n">
        <x:v>124209.4457142857</x:v>
      </x:c>
      <x:c r="O2602" s="9" t="n">
        <x:v>-0.106168231</x:v>
      </x:c>
      <x:c r="P2602" s="9" t="n">
        <x:v>0.473605948</x:v>
      </x:c>
      <x:c r="Q2602" s="9" t="n">
        <x:v>0.0765799257</x:v>
      </x:c>
      <x:c r="R2602" s="3" t="b">
        <x:v>0</x:v>
      </x:c>
      <x:c r="S2602" s="3" t="b">
        <x:v>1</x:v>
      </x:c>
      <x:c r="T2602" s="3" t="b">
        <x:v>0</x:v>
      </x:c>
      <x:c r="U2602" s="2" t="str">
        <x:f>IF(T2602=TRUE,"Priority review",IF(R2602=TRUE,"High cost",IF(S2602=TRUE,"Low quality","Benchmark")))</x:f>
        <x:v>Low quality</x:v>
      </x:c>
    </x:row>
    <x:row r="2603">
      <x:c r="A2603" s="2" t="str">
        <x:v>360118</x:v>
      </x:c>
      <x:c r="B2603" s="2" t="str">
        <x:v>OHIOHEALTH MANSFIELD HOSPITAL</x:v>
      </x:c>
      <x:c r="C2603" s="2" t="str">
        <x:v>MANSFIELD</x:v>
      </x:c>
      <x:c r="D2603" s="2" t="str">
        <x:v>OH</x:v>
      </x:c>
      <x:c r="E2603" s="2" t="str">
        <x:v>Acute Care Hospitals</x:v>
      </x:c>
      <x:c r="F2603" s="2" t="str">
        <x:v>Voluntary non-profit</x:v>
      </x:c>
      <x:c r="G2603" s="2" t="str">
        <x:v>Medium (100-299 beds)</x:v>
      </x:c>
      <x:c r="H2603" s="7" t="n">
        <x:v>3</x:v>
      </x:c>
      <x:c r="I2603" s="7" t="n">
        <x:v>3</x:v>
      </x:c>
      <x:c r="J2603" s="7" t="n">
        <x:v>0.98</x:v>
      </x:c>
      <x:c r="K2603" s="8" t="n">
        <x:v>240</x:v>
      </x:c>
      <x:c r="L2603" s="8" t="n">
        <x:v>12513</x:v>
      </x:c>
      <x:c r="M2603" s="9" t="n">
        <x:v>0.6776940639</x:v>
      </x:c>
      <x:c r="N2603" s="10" t="n">
        <x:v>33364.5196195956</x:v>
      </x:c>
      <x:c r="O2603" s="9" t="n">
        <x:v>0.0084244802</x:v>
      </x:c>
      <x:c r="P2603" s="9" t="n">
        <x:v>0.4735126324</x:v>
      </x:c>
      <x:c r="Q2603" s="9" t="n">
        <x:v>0.3023634882</x:v>
      </x:c>
      <x:c r="R2603" s="3" t="b">
        <x:v>0</x:v>
      </x:c>
      <x:c r="S2603" s="3" t="b">
        <x:v>0</x:v>
      </x:c>
      <x:c r="T2603" s="3" t="b">
        <x:v>0</x:v>
      </x:c>
      <x:c r="U2603" s="2" t="str">
        <x:f>IF(T2603=TRUE,"Priority review",IF(R2603=TRUE,"High cost",IF(S2603=TRUE,"Low quality","Benchmark")))</x:f>
        <x:v>Benchmark</x:v>
      </x:c>
    </x:row>
    <x:row r="2604">
      <x:c r="A2604" s="2" t="str">
        <x:v>450021</x:v>
      </x:c>
      <x:c r="B2604" s="2" t="str">
        <x:v>BAYLOR UNIVERSITY MEDICAL CENTER</x:v>
      </x:c>
      <x:c r="C2604" s="2" t="str">
        <x:v>DALLAS</x:v>
      </x:c>
      <x:c r="D2604" s="2" t="str">
        <x:v>TX</x:v>
      </x:c>
      <x:c r="E2604" s="2" t="str">
        <x:v>Acute Care Hospitals</x:v>
      </x:c>
      <x:c r="F2604" s="2" t="str">
        <x:v>Voluntary non-profit</x:v>
      </x:c>
      <x:c r="G2604" s="2" t="str">
        <x:v>Large (300+ beds)</x:v>
      </x:c>
      <x:c r="H2604" s="7" t="n">
        <x:v>4</x:v>
      </x:c>
      <x:c r="I2604" s="7" t="n">
        <x:v>3</x:v>
      </x:c>
      <x:c r="J2604" s="7" t="n">
        <x:v>1.02</x:v>
      </x:c>
      <x:c r="K2604" s="8" t="n">
        <x:v>837</x:v>
      </x:c>
      <x:c r="L2604" s="8" t="n">
        <x:v>37253</x:v>
      </x:c>
      <x:c r="M2604" s="9" t="n">
        <x:v>0.9295821672</x:v>
      </x:c>
      <x:c r="N2604" s="10" t="n">
        <x:v>38189.9121144606</x:v>
      </x:c>
      <x:c r="O2604" s="9" t="n">
        <x:v>0.0582677842</x:v>
      </x:c>
      <x:c r="P2604" s="9" t="n">
        <x:v>0.4731861199</x:v>
      </x:c>
      <x:c r="Q2604" s="9" t="n">
        <x:v>0.5899053628</x:v>
      </x:c>
      <x:c r="R2604" s="3" t="b">
        <x:v>0</x:v>
      </x:c>
      <x:c r="S2604" s="3" t="b">
        <x:v>0</x:v>
      </x:c>
      <x:c r="T2604" s="3" t="b">
        <x:v>0</x:v>
      </x:c>
      <x:c r="U2604" s="2" t="str">
        <x:f>IF(T2604=TRUE,"Priority review",IF(R2604=TRUE,"High cost",IF(S2604=TRUE,"Low quality","Benchmark")))</x:f>
        <x:v>Benchmark</x:v>
      </x:c>
    </x:row>
    <x:row r="2605">
      <x:c r="A2605" s="2" t="str">
        <x:v>450565</x:v>
      </x:c>
      <x:c r="B2605" s="2" t="str">
        <x:v>PALO PINTO GENERAL HOSPITAL</x:v>
      </x:c>
      <x:c r="C2605" s="2" t="str">
        <x:v>MINERAL WELLS</x:v>
      </x:c>
      <x:c r="D2605" s="2" t="str">
        <x:v>TX</x:v>
      </x:c>
      <x:c r="E2605" s="2" t="str">
        <x:v>Acute Care Hospitals</x:v>
      </x:c>
      <x:c r="F2605" s="2" t="str">
        <x:v>Government</x:v>
      </x:c>
      <x:c r="G2605" s="2" t="str">
        <x:v>Small (&lt;100 beds)</x:v>
      </x:c>
      <x:c r="H2605" s="7" t="n">
        <x:v>3</x:v>
      </x:c>
      <x:c r="I2605" s="7" t="n">
        <x:v>3</x:v>
      </x:c>
      <x:c r="J2605" s="7" t="n">
        <x:v>0.96</x:v>
      </x:c>
      <x:c r="K2605" s="8" t="n">
        <x:v>48</x:v>
      </x:c>
      <x:c r="L2605" s="8" t="n">
        <x:v>1347</x:v>
      </x:c>
      <x:c r="M2605" s="9" t="n">
        <x:v>0.2897882514</x:v>
      </x:c>
      <x:c r="N2605" s="10" t="n">
        <x:v>50173.3333333333</x:v>
      </x:c>
      <x:c r="O2605" s="9" t="n">
        <x:v>-0.8993936418</x:v>
      </x:c>
      <x:c r="P2605" s="9" t="n">
        <x:v>0.473070018</x:v>
      </x:c>
      <x:c r="Q2605" s="9" t="n">
        <x:v>0.1687612208</x:v>
      </x:c>
      <x:c r="R2605" s="3" t="b">
        <x:v>0</x:v>
      </x:c>
      <x:c r="S2605" s="3" t="b">
        <x:v>0</x:v>
      </x:c>
      <x:c r="T2605" s="3" t="b">
        <x:v>0</x:v>
      </x:c>
      <x:c r="U2605" s="2" t="str">
        <x:f>IF(T2605=TRUE,"Priority review",IF(R2605=TRUE,"High cost",IF(S2605=TRUE,"Low quality","Benchmark")))</x:f>
        <x:v>Benchmark</x:v>
      </x:c>
    </x:row>
    <x:row r="2606">
      <x:c r="A2606" s="2" t="str">
        <x:v>231328</x:v>
      </x:c>
      <x:c r="B2606" s="2" t="str">
        <x:v>BEACON ALLEGAN</x:v>
      </x:c>
      <x:c r="C2606" s="2" t="str">
        <x:v>ALLEGAN</x:v>
      </x:c>
      <x:c r="D2606" s="2" t="str">
        <x:v>MI</x:v>
      </x:c>
      <x:c r="E2606" s="2" t="str">
        <x:v>Critical Access Hospitals</x:v>
      </x:c>
      <x:c r="F2606" s="2" t="str">
        <x:v>Voluntary non-profit</x:v>
      </x:c>
      <x:c r="G2606" s="2" t="str">
        <x:v>Small (&lt;100 beds)</x:v>
      </x:c>
      <x:c r="H2606" s="7"/>
      <x:c r="I2606" s="7"/>
      <x:c r="J2606" s="7"/>
      <x:c r="K2606" s="8" t="n">
        <x:v>25</x:v>
      </x:c>
      <x:c r="L2606" s="8" t="n">
        <x:v>251</x:v>
      </x:c>
      <x:c r="M2606" s="9" t="n">
        <x:v>0.0855890411</x:v>
      </x:c>
      <x:c r="N2606" s="10" t="n">
        <x:v>124114.984063745</x:v>
      </x:c>
      <x:c r="O2606" s="9" t="n">
        <x:v>0.008821758</x:v>
      </x:c>
      <x:c r="P2606" s="9" t="n">
        <x:v>0.4728624535</x:v>
      </x:c>
      <x:c r="Q2606" s="9" t="n">
        <x:v>0.292936803</x:v>
      </x:c>
      <x:c r="R2606" s="3" t="b">
        <x:v>0</x:v>
      </x:c>
      <x:c r="S2606" s="3" t="b">
        <x:v>0</x:v>
      </x:c>
      <x:c r="T2606" s="3" t="b">
        <x:v>0</x:v>
      </x:c>
      <x:c r="U2606" s="2" t="str">
        <x:f>IF(T2606=TRUE,"Priority review",IF(R2606=TRUE,"High cost",IF(S2606=TRUE,"Low quality","Benchmark")))</x:f>
        <x:v>Benchmark</x:v>
      </x:c>
    </x:row>
    <x:row r="2607">
      <x:c r="A2607" s="2" t="str">
        <x:v>210034</x:v>
      </x:c>
      <x:c r="B2607" s="2" t="str">
        <x:v>MEDSTAR HARBOR HOSPITAL</x:v>
      </x:c>
      <x:c r="C2607" s="2" t="str">
        <x:v>BALTIMORE</x:v>
      </x:c>
      <x:c r="D2607" s="2" t="str">
        <x:v>MD</x:v>
      </x:c>
      <x:c r="E2607" s="2" t="str">
        <x:v>Acute Care Hospitals</x:v>
      </x:c>
      <x:c r="F2607" s="2" t="str">
        <x:v>Voluntary non-profit</x:v>
      </x:c>
      <x:c r="G2607" s="2" t="str">
        <x:v>Medium (100-299 beds)</x:v>
      </x:c>
      <x:c r="H2607" s="7" t="n">
        <x:v>4</x:v>
      </x:c>
      <x:c r="I2607" s="7" t="n">
        <x:v>3</x:v>
      </x:c>
      <x:c r="J2607" s="7"/>
      <x:c r="K2607" s="8" t="n">
        <x:v>125</x:v>
      </x:c>
      <x:c r="L2607" s="8" t="n">
        <x:v>6690</x:v>
      </x:c>
      <x:c r="M2607" s="9" t="n">
        <x:v>0.7697534247</x:v>
      </x:c>
      <x:c r="N2607" s="10" t="n">
        <x:v>33282.8147982063</x:v>
      </x:c>
      <x:c r="O2607" s="9" t="n">
        <x:v>-0.1321184003</x:v>
      </x:c>
      <x:c r="P2607" s="9" t="n">
        <x:v>0.4726976365</x:v>
      </x:c>
      <x:c r="Q2607" s="9" t="n">
        <x:v>0.6022819886</x:v>
      </x:c>
      <x:c r="R2607" s="3" t="b">
        <x:v>0</x:v>
      </x:c>
      <x:c r="S2607" s="3" t="b">
        <x:v>0</x:v>
      </x:c>
      <x:c r="T2607" s="3" t="b">
        <x:v>0</x:v>
      </x:c>
      <x:c r="U2607" s="2" t="str">
        <x:f>IF(T2607=TRUE,"Priority review",IF(R2607=TRUE,"High cost",IF(S2607=TRUE,"Low quality","Benchmark")))</x:f>
        <x:v>Benchmark</x:v>
      </x:c>
    </x:row>
    <x:row r="2608">
      <x:c r="A2608" s="2" t="str">
        <x:v>034029</x:v>
      </x:c>
      <x:c r="B2608" s="2" t="str">
        <x:v>OASIS BEHAVIORAL HEALTH HOSPITAL</x:v>
      </x:c>
      <x:c r="C2608" s="2" t="str">
        <x:v>CHANDLER</x:v>
      </x:c>
      <x:c r="D2608" s="2" t="str">
        <x:v>AZ</x:v>
      </x:c>
      <x:c r="E2608" s="2" t="str">
        <x:v>Psychiatric</x:v>
      </x:c>
      <x:c r="F2608" s="2" t="str">
        <x:v>Proprietary</x:v>
      </x:c>
      <x:c r="G2608" s="2" t="str">
        <x:v>Medium (100-299 beds)</x:v>
      </x:c>
      <x:c r="H2608" s="7"/>
      <x:c r="I2608" s="7"/>
      <x:c r="J2608" s="7"/>
      <x:c r="K2608" s="8" t="n">
        <x:v>210</x:v>
      </x:c>
      <x:c r="L2608" s="8" t="n">
        <x:v>4035</x:v>
      </x:c>
      <x:c r="M2608" s="9" t="n">
        <x:v>0.8012750455</x:v>
      </x:c>
      <x:c r="N2608" s="10" t="n">
        <x:v>10753.9962825279</x:v>
      </x:c>
      <x:c r="O2608" s="9" t="n">
        <x:v>0.2058373852</x:v>
      </x:c>
      <x:c r="P2608" s="9" t="n">
        <x:v>0.4726368159</x:v>
      </x:c>
      <x:c r="Q2608" s="9" t="n">
        <x:v>0</x:v>
      </x:c>
      <x:c r="R2608" s="3" t="b">
        <x:v>0</x:v>
      </x:c>
      <x:c r="S2608" s="3" t="b">
        <x:v>0</x:v>
      </x:c>
      <x:c r="T2608" s="3" t="b">
        <x:v>0</x:v>
      </x:c>
      <x:c r="U2608" s="2" t="str">
        <x:f>IF(T2608=TRUE,"Priority review",IF(R2608=TRUE,"High cost",IF(S2608=TRUE,"Low quality","Benchmark")))</x:f>
        <x:v>Benchmark</x:v>
      </x:c>
    </x:row>
    <x:row r="2609">
      <x:c r="A2609" s="2" t="str">
        <x:v>534004</x:v>
      </x:c>
      <x:c r="B2609" s="2" t="str">
        <x:v>WYOMING BEHAVIORAL INSTITUTE</x:v>
      </x:c>
      <x:c r="C2609" s="2" t="str">
        <x:v>CASPER</x:v>
      </x:c>
      <x:c r="D2609" s="2" t="str">
        <x:v>WY</x:v>
      </x:c>
      <x:c r="E2609" s="2" t="str">
        <x:v>Psychiatric</x:v>
      </x:c>
      <x:c r="F2609" s="2" t="str">
        <x:v>Proprietary</x:v>
      </x:c>
      <x:c r="G2609" s="2" t="str">
        <x:v>Small (&lt;100 beds)</x:v>
      </x:c>
      <x:c r="H2609" s="7"/>
      <x:c r="I2609" s="7"/>
      <x:c r="J2609" s="7"/>
      <x:c r="K2609" s="8" t="n">
        <x:v>81</x:v>
      </x:c>
      <x:c r="L2609" s="8" t="n">
        <x:v>1833</x:v>
      </x:c>
      <x:c r="M2609" s="9" t="n">
        <x:v>0.7909667409</x:v>
      </x:c>
      <x:c r="N2609" s="10" t="n">
        <x:v>11604.7474086197</x:v>
      </x:c>
      <x:c r="O2609" s="9" t="n">
        <x:v>0.1706939492</x:v>
      </x:c>
      <x:c r="P2609" s="9" t="n">
        <x:v>0.4724919094</x:v>
      </x:c>
      <x:c r="Q2609" s="9" t="n">
        <x:v>0</x:v>
      </x:c>
      <x:c r="R2609" s="3" t="b">
        <x:v>0</x:v>
      </x:c>
      <x:c r="S2609" s="3" t="b">
        <x:v>0</x:v>
      </x:c>
      <x:c r="T2609" s="3" t="b">
        <x:v>0</x:v>
      </x:c>
      <x:c r="U2609" s="2" t="str">
        <x:f>IF(T2609=TRUE,"Priority review",IF(R2609=TRUE,"High cost",IF(S2609=TRUE,"Low quality","Benchmark")))</x:f>
        <x:v>Benchmark</x:v>
      </x:c>
    </x:row>
    <x:row r="2610">
      <x:c r="A2610" s="2" t="str">
        <x:v>380075</x:v>
      </x:c>
      <x:c r="B2610" s="2" t="str">
        <x:v>PROVIDENCE MEDFORD MEDICAL CENTER</x:v>
      </x:c>
      <x:c r="C2610" s="2" t="str">
        <x:v>MEDFORD</x:v>
      </x:c>
      <x:c r="D2610" s="2" t="str">
        <x:v>OR</x:v>
      </x:c>
      <x:c r="E2610" s="2" t="str">
        <x:v>Acute Care Hospitals</x:v>
      </x:c>
      <x:c r="F2610" s="2" t="str">
        <x:v>Voluntary non-profit</x:v>
      </x:c>
      <x:c r="G2610" s="2" t="str">
        <x:v>Small (&lt;100 beds)</x:v>
      </x:c>
      <x:c r="H2610" s="7" t="n">
        <x:v>2</x:v>
      </x:c>
      <x:c r="I2610" s="7" t="n">
        <x:v>3</x:v>
      </x:c>
      <x:c r="J2610" s="7" t="n">
        <x:v>0.91</x:v>
      </x:c>
      <x:c r="K2610" s="8" t="n">
        <x:v>99</x:v>
      </x:c>
      <x:c r="L2610" s="8" t="n">
        <x:v>6395</x:v>
      </x:c>
      <x:c r="M2610" s="9" t="n">
        <x:v>0.8314842413</x:v>
      </x:c>
      <x:c r="N2610" s="10" t="n">
        <x:v>50165.3100860047</x:v>
      </x:c>
      <x:c r="O2610" s="9" t="n">
        <x:v>-0.1316813964</x:v>
      </x:c>
      <x:c r="P2610" s="9" t="n">
        <x:v>0.4721723519</x:v>
      </x:c>
      <x:c r="Q2610" s="9" t="n">
        <x:v>0.0350089767</x:v>
      </x:c>
      <x:c r="R2610" s="3" t="b">
        <x:v>0</x:v>
      </x:c>
      <x:c r="S2610" s="3" t="b">
        <x:v>1</x:v>
      </x:c>
      <x:c r="T2610" s="3" t="b">
        <x:v>0</x:v>
      </x:c>
      <x:c r="U2610" s="2" t="str">
        <x:f>IF(T2610=TRUE,"Priority review",IF(R2610=TRUE,"High cost",IF(S2610=TRUE,"Low quality","Benchmark")))</x:f>
        <x:v>Low quality</x:v>
      </x:c>
    </x:row>
    <x:row r="2611">
      <x:c r="A2611" s="2" t="str">
        <x:v>271333</x:v>
      </x:c>
      <x:c r="B2611" s="2" t="str">
        <x:v>BILLINGS CLINIC BROADWATER</x:v>
      </x:c>
      <x:c r="C2611" s="2" t="str">
        <x:v>TOWNSEND</x:v>
      </x:c>
      <x:c r="D2611" s="2" t="str">
        <x:v>MT</x:v>
      </x:c>
      <x:c r="E2611" s="2" t="str">
        <x:v>Critical Access Hospitals</x:v>
      </x:c>
      <x:c r="F2611" s="2" t="str">
        <x:v>Voluntary non-profit</x:v>
      </x:c>
      <x:c r="G2611" s="2" t="str">
        <x:v>Small (&lt;100 beds)</x:v>
      </x:c>
      <x:c r="H2611" s="7"/>
      <x:c r="I2611" s="7"/>
      <x:c r="J2611" s="7"/>
      <x:c r="K2611" s="8" t="n">
        <x:v>25</x:v>
      </x:c>
      <x:c r="L2611" s="8" t="n">
        <x:v>91</x:v>
      </x:c>
      <x:c r="M2611" s="9" t="n">
        <x:v>0.6146448087</x:v>
      </x:c>
      <x:c r="N2611" s="10" t="n">
        <x:v>124014.4615384615</x:v>
      </x:c>
      <x:c r="O2611" s="9" t="n">
        <x:v>-0.0579375436</x:v>
      </x:c>
      <x:c r="P2611" s="9" t="n">
        <x:v>0.4721189591</x:v>
      </x:c>
      <x:c r="Q2611" s="9" t="n">
        <x:v>0.292936803</x:v>
      </x:c>
      <x:c r="R2611" s="3" t="b">
        <x:v>0</x:v>
      </x:c>
      <x:c r="S2611" s="3" t="b">
        <x:v>0</x:v>
      </x:c>
      <x:c r="T2611" s="3" t="b">
        <x:v>0</x:v>
      </x:c>
      <x:c r="U2611" s="2" t="str">
        <x:f>IF(T2611=TRUE,"Priority review",IF(R2611=TRUE,"High cost",IF(S2611=TRUE,"Low quality","Benchmark")))</x:f>
        <x:v>Benchmark</x:v>
      </x:c>
    </x:row>
    <x:row r="2612">
      <x:c r="A2612" s="2" t="str">
        <x:v>010029</x:v>
      </x:c>
      <x:c r="B2612" s="2" t="str">
        <x:v>THE EAST ALABAMA HEALTHCARE AUTHORITY</x:v>
      </x:c>
      <x:c r="C2612" s="2" t="str">
        <x:v>OPELIKA</x:v>
      </x:c>
      <x:c r="D2612" s="2" t="str">
        <x:v>AL</x:v>
      </x:c>
      <x:c r="E2612" s="2" t="str">
        <x:v>Acute Care Hospitals</x:v>
      </x:c>
      <x:c r="F2612" s="2" t="str">
        <x:v>Government</x:v>
      </x:c>
      <x:c r="G2612" s="2" t="str">
        <x:v>Medium (100-299 beds)</x:v>
      </x:c>
      <x:c r="H2612" s="7" t="n">
        <x:v>3</x:v>
      </x:c>
      <x:c r="I2612" s="7" t="n">
        <x:v>4</x:v>
      </x:c>
      <x:c r="J2612" s="7" t="n">
        <x:v>0.96</x:v>
      </x:c>
      <x:c r="K2612" s="8" t="n">
        <x:v>295</x:v>
      </x:c>
      <x:c r="L2612" s="8" t="n">
        <x:v>13749</x:v>
      </x:c>
      <x:c r="M2612" s="9" t="n">
        <x:v>0.7299805502</x:v>
      </x:c>
      <x:c r="N2612" s="10" t="n">
        <x:v>33259.5902247436</x:v>
      </x:c>
      <x:c r="O2612" s="9" t="n">
        <x:v>0.0323604187</x:v>
      </x:c>
      <x:c r="P2612" s="9" t="n">
        <x:v>0.4718826406</x:v>
      </x:c>
      <x:c r="Q2612" s="9" t="n">
        <x:v>0.3023634882</x:v>
      </x:c>
      <x:c r="R2612" s="3" t="b">
        <x:v>0</x:v>
      </x:c>
      <x:c r="S2612" s="3" t="b">
        <x:v>0</x:v>
      </x:c>
      <x:c r="T2612" s="3" t="b">
        <x:v>0</x:v>
      </x:c>
      <x:c r="U2612" s="2" t="str">
        <x:f>IF(T2612=TRUE,"Priority review",IF(R2612=TRUE,"High cost",IF(S2612=TRUE,"Low quality","Benchmark")))</x:f>
        <x:v>Benchmark</x:v>
      </x:c>
    </x:row>
    <x:row r="2613">
      <x:c r="A2613" s="2" t="str">
        <x:v>330005</x:v>
      </x:c>
      <x:c r="B2613" s="2" t="str">
        <x:v>KALEIDA HEALTH</x:v>
      </x:c>
      <x:c r="C2613" s="2" t="str">
        <x:v>BUFFALO</x:v>
      </x:c>
      <x:c r="D2613" s="2" t="str">
        <x:v>NY</x:v>
      </x:c>
      <x:c r="E2613" s="2" t="str">
        <x:v>Acute Care Hospitals</x:v>
      </x:c>
      <x:c r="F2613" s="2" t="str">
        <x:v>Voluntary non-profit</x:v>
      </x:c>
      <x:c r="G2613" s="2" t="str">
        <x:v>Large (300+ beds)</x:v>
      </x:c>
      <x:c r="H2613" s="7" t="n">
        <x:v>3</x:v>
      </x:c>
      <x:c r="I2613" s="7" t="n">
        <x:v>3</x:v>
      </x:c>
      <x:c r="J2613" s="7" t="n">
        <x:v>0.94</x:v>
      </x:c>
      <x:c r="K2613" s="8" t="n">
        <x:v>954</x:v>
      </x:c>
      <x:c r="L2613" s="8" t="n">
        <x:v>47321</x:v>
      </x:c>
      <x:c r="M2613" s="9" t="n">
        <x:v>0.8247528382</x:v>
      </x:c>
      <x:c r="N2613" s="10" t="n">
        <x:v>38144.3320090446</x:v>
      </x:c>
      <x:c r="O2613" s="9" t="n">
        <x:v>-0.0403076919</x:v>
      </x:c>
      <x:c r="P2613" s="9" t="n">
        <x:v>0.4716088328</x:v>
      </x:c>
      <x:c r="Q2613" s="9" t="n">
        <x:v>0.2570977918</x:v>
      </x:c>
      <x:c r="R2613" s="3" t="b">
        <x:v>0</x:v>
      </x:c>
      <x:c r="S2613" s="3" t="b">
        <x:v>0</x:v>
      </x:c>
      <x:c r="T2613" s="3" t="b">
        <x:v>0</x:v>
      </x:c>
      <x:c r="U2613" s="2" t="str">
        <x:f>IF(T2613=TRUE,"Priority review",IF(R2613=TRUE,"High cost",IF(S2613=TRUE,"Low quality","Benchmark")))</x:f>
        <x:v>Benchmark</x:v>
      </x:c>
    </x:row>
    <x:row r="2614">
      <x:c r="A2614" s="2" t="str">
        <x:v>271312</x:v>
      </x:c>
      <x:c r="B2614" s="2" t="str">
        <x:v>PHILLIPS COUNTY HOSPITAL - CAH</x:v>
      </x:c>
      <x:c r="C2614" s="2" t="str">
        <x:v>MALTA</x:v>
      </x:c>
      <x:c r="D2614" s="2" t="str">
        <x:v>MT</x:v>
      </x:c>
      <x:c r="E2614" s="2" t="str">
        <x:v>Critical Access Hospitals</x:v>
      </x:c>
      <x:c r="F2614" s="2" t="str">
        <x:v>Voluntary non-profit</x:v>
      </x:c>
      <x:c r="G2614" s="2" t="str">
        <x:v>Small (&lt;100 beds)</x:v>
      </x:c>
      <x:c r="H2614" s="7"/>
      <x:c r="I2614" s="7"/>
      <x:c r="J2614" s="7"/>
      <x:c r="K2614" s="8" t="n">
        <x:v>6</x:v>
      </x:c>
      <x:c r="L2614" s="8" t="n">
        <x:v>78</x:v>
      </x:c>
      <x:c r="M2614" s="9" t="n">
        <x:v>0.2155251142</x:v>
      </x:c>
      <x:c r="N2614" s="10" t="n">
        <x:v>123698.6153846154</x:v>
      </x:c>
      <x:c r="O2614" s="9" t="n">
        <x:v>-0.1456541633</x:v>
      </x:c>
      <x:c r="P2614" s="9" t="n">
        <x:v>0.4713754647</x:v>
      </x:c>
      <x:c r="Q2614" s="9" t="n">
        <x:v>0.292936803</x:v>
      </x:c>
      <x:c r="R2614" s="3" t="b">
        <x:v>0</x:v>
      </x:c>
      <x:c r="S2614" s="3" t="b">
        <x:v>0</x:v>
      </x:c>
      <x:c r="T2614" s="3" t="b">
        <x:v>0</x:v>
      </x:c>
      <x:c r="U2614" s="2" t="str">
        <x:f>IF(T2614=TRUE,"Priority review",IF(R2614=TRUE,"High cost",IF(S2614=TRUE,"Low quality","Benchmark")))</x:f>
        <x:v>Benchmark</x:v>
      </x:c>
    </x:row>
    <x:row r="2615">
      <x:c r="A2615" s="2" t="str">
        <x:v>440200</x:v>
      </x:c>
      <x:c r="B2615" s="2" t="str">
        <x:v>STONES RIVER HOSPITAL</x:v>
      </x:c>
      <x:c r="C2615" s="2" t="str">
        <x:v>WOODBURY</x:v>
      </x:c>
      <x:c r="D2615" s="2" t="str">
        <x:v>TN</x:v>
      </x:c>
      <x:c r="E2615" s="2" t="str">
        <x:v>Acute Care Hospitals</x:v>
      </x:c>
      <x:c r="F2615" s="2" t="str">
        <x:v>Proprietary</x:v>
      </x:c>
      <x:c r="G2615" s="2" t="str">
        <x:v>Small (&lt;100 beds)</x:v>
      </x:c>
      <x:c r="H2615" s="7"/>
      <x:c r="I2615" s="7"/>
      <x:c r="J2615" s="7"/>
      <x:c r="K2615" s="8" t="n">
        <x:v>19</x:v>
      </x:c>
      <x:c r="L2615" s="8" t="n">
        <x:v>310</x:v>
      </x:c>
      <x:c r="M2615" s="9" t="n">
        <x:v>0.2860850757</x:v>
      </x:c>
      <x:c r="N2615" s="10" t="n">
        <x:v>49999.3193548387</x:v>
      </x:c>
      <x:c r="O2615" s="9" t="n">
        <x:v>-0.296277984</x:v>
      </x:c>
      <x:c r="P2615" s="9" t="n">
        <x:v>0.4712746858</x:v>
      </x:c>
      <x:c r="Q2615" s="9" t="n">
        <x:v>0.697486535</x:v>
      </x:c>
      <x:c r="R2615" s="3" t="b">
        <x:v>0</x:v>
      </x:c>
      <x:c r="S2615" s="3" t="b">
        <x:v>0</x:v>
      </x:c>
      <x:c r="T2615" s="3" t="b">
        <x:v>0</x:v>
      </x:c>
      <x:c r="U2615" s="2" t="str">
        <x:f>IF(T2615=TRUE,"Priority review",IF(R2615=TRUE,"High cost",IF(S2615=TRUE,"Low quality","Benchmark")))</x:f>
        <x:v>Benchmark</x:v>
      </x:c>
    </x:row>
    <x:row r="2616">
      <x:c r="A2616" s="2" t="str">
        <x:v>340126</x:v>
      </x:c>
      <x:c r="B2616" s="2" t="str">
        <x:v>WILSON MEDICAL CENTER</x:v>
      </x:c>
      <x:c r="C2616" s="2" t="str">
        <x:v>WILSON</x:v>
      </x:c>
      <x:c r="D2616" s="2" t="str">
        <x:v>NC</x:v>
      </x:c>
      <x:c r="E2616" s="2" t="str">
        <x:v>Acute Care Hospitals</x:v>
      </x:c>
      <x:c r="F2616" s="2" t="str">
        <x:v>Voluntary non-profit</x:v>
      </x:c>
      <x:c r="G2616" s="2" t="str">
        <x:v>Medium (100-299 beds)</x:v>
      </x:c>
      <x:c r="H2616" s="7" t="n">
        <x:v>1</x:v>
      </x:c>
      <x:c r="I2616" s="7" t="n">
        <x:v>2</x:v>
      </x:c>
      <x:c r="J2616" s="7" t="n">
        <x:v>0.95</x:v>
      </x:c>
      <x:c r="K2616" s="8" t="n">
        <x:v>100</x:v>
      </x:c>
      <x:c r="L2616" s="8" t="n">
        <x:v>5337</x:v>
      </x:c>
      <x:c r="M2616" s="9" t="n">
        <x:v>0.7298356164</x:v>
      </x:c>
      <x:c r="N2616" s="10" t="n">
        <x:v>33252.154206483</x:v>
      </x:c>
      <x:c r="O2616" s="9" t="n">
        <x:v>0.0888778918</x:v>
      </x:c>
      <x:c r="P2616" s="9" t="n">
        <x:v>0.4710676447</x:v>
      </x:c>
      <x:c r="Q2616" s="9" t="n">
        <x:v>0</x:v>
      </x:c>
      <x:c r="R2616" s="3" t="b">
        <x:v>0</x:v>
      </x:c>
      <x:c r="S2616" s="3" t="b">
        <x:v>1</x:v>
      </x:c>
      <x:c r="T2616" s="3" t="b">
        <x:v>0</x:v>
      </x:c>
      <x:c r="U2616" s="2" t="str">
        <x:f>IF(T2616=TRUE,"Priority review",IF(R2616=TRUE,"High cost",IF(S2616=TRUE,"Low quality","Benchmark")))</x:f>
        <x:v>Low quality</x:v>
      </x:c>
    </x:row>
    <x:row r="2617">
      <x:c r="A2617" s="2" t="str">
        <x:v>241370</x:v>
      </x:c>
      <x:c r="B2617" s="2" t="str">
        <x:v>ST GABRIELS HOSPITAL</x:v>
      </x:c>
      <x:c r="C2617" s="2" t="str">
        <x:v>LITTLE FALLS</x:v>
      </x:c>
      <x:c r="D2617" s="2" t="str">
        <x:v>MN</x:v>
      </x:c>
      <x:c r="E2617" s="2" t="str">
        <x:v>Critical Access Hospitals</x:v>
      </x:c>
      <x:c r="F2617" s="2" t="str">
        <x:v>Voluntary non-profit</x:v>
      </x:c>
      <x:c r="G2617" s="2" t="str">
        <x:v>Small (&lt;100 beds)</x:v>
      </x:c>
      <x:c r="H2617" s="7" t="n">
        <x:v>4</x:v>
      </x:c>
      <x:c r="I2617" s="7" t="n">
        <x:v>4</x:v>
      </x:c>
      <x:c r="J2617" s="7"/>
      <x:c r="K2617" s="8" t="n">
        <x:v>25</x:v>
      </x:c>
      <x:c r="L2617" s="8" t="n">
        <x:v>772</x:v>
      </x:c>
      <x:c r="M2617" s="9" t="n">
        <x:v>0.3096986301</x:v>
      </x:c>
      <x:c r="N2617" s="10" t="n">
        <x:v>123672.1204663212</x:v>
      </x:c>
      <x:c r="O2617" s="9" t="n">
        <x:v>-0.2341185733</x:v>
      </x:c>
      <x:c r="P2617" s="9" t="n">
        <x:v>0.4706319703</x:v>
      </x:c>
      <x:c r="Q2617" s="9" t="n">
        <x:v>0.1657992565</x:v>
      </x:c>
      <x:c r="R2617" s="3" t="b">
        <x:v>0</x:v>
      </x:c>
      <x:c r="S2617" s="3" t="b">
        <x:v>0</x:v>
      </x:c>
      <x:c r="T2617" s="3" t="b">
        <x:v>0</x:v>
      </x:c>
      <x:c r="U2617" s="2" t="str">
        <x:f>IF(T2617=TRUE,"Priority review",IF(R2617=TRUE,"High cost",IF(S2617=TRUE,"Low quality","Benchmark")))</x:f>
        <x:v>Benchmark</x:v>
      </x:c>
    </x:row>
    <x:row r="2618">
      <x:c r="A2618" s="2" t="str">
        <x:v>010173</x:v>
      </x:c>
      <x:c r="B2618" s="2" t="str">
        <x:v>ST VINCENT'S CHILTON</x:v>
      </x:c>
      <x:c r="C2618" s="2" t="str">
        <x:v>CLANTON</x:v>
      </x:c>
      <x:c r="D2618" s="2" t="str">
        <x:v>AL</x:v>
      </x:c>
      <x:c r="E2618" s="2" t="str">
        <x:v>Acute Care Hospitals</x:v>
      </x:c>
      <x:c r="F2618" s="2" t="str">
        <x:v>Voluntary non-profit</x:v>
      </x:c>
      <x:c r="G2618" s="2" t="str">
        <x:v>Small (&lt;100 beds)</x:v>
      </x:c>
      <x:c r="H2618" s="7"/>
      <x:c r="I2618" s="7" t="n">
        <x:v>5</x:v>
      </x:c>
      <x:c r="J2618" s="7"/>
      <x:c r="K2618" s="8" t="n">
        <x:v>26</x:v>
      </x:c>
      <x:c r="L2618" s="8" t="n">
        <x:v>801</x:v>
      </x:c>
      <x:c r="M2618" s="9" t="n">
        <x:v>0.2248682824</x:v>
      </x:c>
      <x:c r="N2618" s="10" t="n">
        <x:v>49928.4244694132</x:v>
      </x:c>
      <x:c r="O2618" s="9" t="n">
        <x:v>-0.1085706084</x:v>
      </x:c>
      <x:c r="P2618" s="9" t="n">
        <x:v>0.4703770197</x:v>
      </x:c>
      <x:c r="Q2618" s="9" t="n">
        <x:v>0.697486535</x:v>
      </x:c>
      <x:c r="R2618" s="3" t="b">
        <x:v>0</x:v>
      </x:c>
      <x:c r="S2618" s="3" t="b">
        <x:v>0</x:v>
      </x:c>
      <x:c r="T2618" s="3" t="b">
        <x:v>0</x:v>
      </x:c>
      <x:c r="U2618" s="2" t="str">
        <x:f>IF(T2618=TRUE,"Priority review",IF(R2618=TRUE,"High cost",IF(S2618=TRUE,"Low quality","Benchmark")))</x:f>
        <x:v>Benchmark</x:v>
      </x:c>
    </x:row>
    <x:row r="2619">
      <x:c r="A2619" s="2" t="str">
        <x:v>110016</x:v>
      </x:c>
      <x:c r="B2619" s="2" t="str">
        <x:v>WELLSTAR WEST GEORGIA MEDICAL CENTER</x:v>
      </x:c>
      <x:c r="C2619" s="2" t="str">
        <x:v>LAGRANGE</x:v>
      </x:c>
      <x:c r="D2619" s="2" t="str">
        <x:v>GA</x:v>
      </x:c>
      <x:c r="E2619" s="2" t="str">
        <x:v>Acute Care Hospitals</x:v>
      </x:c>
      <x:c r="F2619" s="2" t="str">
        <x:v>Voluntary non-profit</x:v>
      </x:c>
      <x:c r="G2619" s="2" t="str">
        <x:v>Medium (100-299 beds)</x:v>
      </x:c>
      <x:c r="H2619" s="7" t="n">
        <x:v>5</x:v>
      </x:c>
      <x:c r="I2619" s="7" t="n">
        <x:v>4</x:v>
      </x:c>
      <x:c r="J2619" s="7" t="n">
        <x:v>0.93</x:v>
      </x:c>
      <x:c r="K2619" s="8" t="n">
        <x:v>276</x:v>
      </x:c>
      <x:c r="L2619" s="8" t="n">
        <x:v>8989</x:v>
      </x:c>
      <x:c r="M2619" s="9" t="n">
        <x:v>0.3643339289</x:v>
      </x:c>
      <x:c r="N2619" s="10" t="n">
        <x:v>33251.5795972856</x:v>
      </x:c>
      <x:c r="O2619" s="9" t="n">
        <x:v>0.0078928952</x:v>
      </x:c>
      <x:c r="P2619" s="9" t="n">
        <x:v>0.4702526487</x:v>
      </x:c>
      <x:c r="Q2619" s="9" t="n">
        <x:v>0.8744906275</x:v>
      </x:c>
      <x:c r="R2619" s="3" t="b">
        <x:v>0</x:v>
      </x:c>
      <x:c r="S2619" s="3" t="b">
        <x:v>0</x:v>
      </x:c>
      <x:c r="T2619" s="3" t="b">
        <x:v>0</x:v>
      </x:c>
      <x:c r="U2619" s="2" t="str">
        <x:f>IF(T2619=TRUE,"Priority review",IF(R2619=TRUE,"High cost",IF(S2619=TRUE,"Low quality","Benchmark")))</x:f>
        <x:v>Benchmark</x:v>
      </x:c>
    </x:row>
    <x:row r="2620">
      <x:c r="A2620" s="2" t="str">
        <x:v>390195</x:v>
      </x:c>
      <x:c r="B2620" s="2" t="str">
        <x:v>MAIN LINE HOSPITAL LANKENAU</x:v>
      </x:c>
      <x:c r="C2620" s="2" t="str">
        <x:v>WYNNEWOOD</x:v>
      </x:c>
      <x:c r="D2620" s="2" t="str">
        <x:v>PA</x:v>
      </x:c>
      <x:c r="E2620" s="2" t="str">
        <x:v>Acute Care Hospitals</x:v>
      </x:c>
      <x:c r="F2620" s="2" t="str">
        <x:v>Voluntary non-profit</x:v>
      </x:c>
      <x:c r="G2620" s="2" t="str">
        <x:v>Large (300+ beds)</x:v>
      </x:c>
      <x:c r="H2620" s="7" t="n">
        <x:v>4</x:v>
      </x:c>
      <x:c r="I2620" s="7" t="n">
        <x:v>4</x:v>
      </x:c>
      <x:c r="J2620" s="7" t="n">
        <x:v>1</x:v>
      </x:c>
      <x:c r="K2620" s="8" t="n">
        <x:v>370</x:v>
      </x:c>
      <x:c r="L2620" s="8" t="n">
        <x:v>20229</x:v>
      </x:c>
      <x:c r="M2620" s="9" t="n">
        <x:v>0.7743502407</x:v>
      </x:c>
      <x:c r="N2620" s="10" t="n">
        <x:v>38105.8924316575</x:v>
      </x:c>
      <x:c r="O2620" s="9" t="n">
        <x:v>-0.0536837724</x:v>
      </x:c>
      <x:c r="P2620" s="9" t="n">
        <x:v>0.4700315457</x:v>
      </x:c>
      <x:c r="Q2620" s="9" t="n">
        <x:v>0.5899053628</x:v>
      </x:c>
      <x:c r="R2620" s="3" t="b">
        <x:v>0</x:v>
      </x:c>
      <x:c r="S2620" s="3" t="b">
        <x:v>0</x:v>
      </x:c>
      <x:c r="T2620" s="3" t="b">
        <x:v>0</x:v>
      </x:c>
      <x:c r="U2620" s="2" t="str">
        <x:f>IF(T2620=TRUE,"Priority review",IF(R2620=TRUE,"High cost",IF(S2620=TRUE,"Low quality","Benchmark")))</x:f>
        <x:v>Benchmark</x:v>
      </x:c>
    </x:row>
    <x:row r="2621">
      <x:c r="A2621" s="2" t="str">
        <x:v>361309</x:v>
      </x:c>
      <x:c r="B2621" s="2" t="str">
        <x:v>HENRY COUNTY HOSPITAL, INC</x:v>
      </x:c>
      <x:c r="C2621" s="2" t="str">
        <x:v>NAPOLEON</x:v>
      </x:c>
      <x:c r="D2621" s="2" t="str">
        <x:v>OH</x:v>
      </x:c>
      <x:c r="E2621" s="2" t="str">
        <x:v>Critical Access Hospitals</x:v>
      </x:c>
      <x:c r="F2621" s="2" t="str">
        <x:v>Voluntary non-profit</x:v>
      </x:c>
      <x:c r="G2621" s="2" t="str">
        <x:v>Small (&lt;100 beds)</x:v>
      </x:c>
      <x:c r="H2621" s="7" t="n">
        <x:v>2</x:v>
      </x:c>
      <x:c r="I2621" s="7"/>
      <x:c r="J2621" s="7"/>
      <x:c r="K2621" s="8" t="n">
        <x:v>25</x:v>
      </x:c>
      <x:c r="L2621" s="8" t="n">
        <x:v>296</x:v>
      </x:c>
      <x:c r="M2621" s="9" t="n">
        <x:v>0.1468852459</x:v>
      </x:c>
      <x:c r="N2621" s="10" t="n">
        <x:v>123626.7263513513</x:v>
      </x:c>
      <x:c r="O2621" s="9" t="n">
        <x:v>-0.1220570216</x:v>
      </x:c>
      <x:c r="P2621" s="9" t="n">
        <x:v>0.4698884758</x:v>
      </x:c>
      <x:c r="Q2621" s="9" t="n">
        <x:v>0.0171003717</x:v>
      </x:c>
      <x:c r="R2621" s="3" t="b">
        <x:v>0</x:v>
      </x:c>
      <x:c r="S2621" s="3" t="b">
        <x:v>1</x:v>
      </x:c>
      <x:c r="T2621" s="3" t="b">
        <x:v>0</x:v>
      </x:c>
      <x:c r="U2621" s="2" t="str">
        <x:f>IF(T2621=TRUE,"Priority review",IF(R2621=TRUE,"High cost",IF(S2621=TRUE,"Low quality","Benchmark")))</x:f>
        <x:v>Low quality</x:v>
      </x:c>
    </x:row>
    <x:row r="2622">
      <x:c r="A2622" s="2" t="str">
        <x:v>490114</x:v>
      </x:c>
      <x:c r="B2622" s="2" t="str">
        <x:v>LONESOME PINE HOSPITAL</x:v>
      </x:c>
      <x:c r="C2622" s="2" t="str">
        <x:v>BIG STONE GAP</x:v>
      </x:c>
      <x:c r="D2622" s="2" t="str">
        <x:v>VA</x:v>
      </x:c>
      <x:c r="E2622" s="2" t="str">
        <x:v>Acute Care Hospitals</x:v>
      </x:c>
      <x:c r="F2622" s="2" t="str">
        <x:v>Voluntary non-profit</x:v>
      </x:c>
      <x:c r="G2622" s="2" t="str">
        <x:v>Small (&lt;100 beds)</x:v>
      </x:c>
      <x:c r="H2622" s="7" t="n">
        <x:v>4</x:v>
      </x:c>
      <x:c r="I2622" s="7" t="n">
        <x:v>4</x:v>
      </x:c>
      <x:c r="J2622" s="7" t="n">
        <x:v>1</x:v>
      </x:c>
      <x:c r="K2622" s="8" t="n">
        <x:v>49</x:v>
      </x:c>
      <x:c r="L2622" s="8" t="n">
        <x:v>3290</x:v>
      </x:c>
      <x:c r="M2622" s="9" t="n">
        <x:v>0.6623986581</x:v>
      </x:c>
      <x:c r="N2622" s="10" t="n">
        <x:v>49882.8094224924</x:v>
      </x:c>
      <x:c r="O2622" s="9" t="n">
        <x:v>0.1061609025</x:v>
      </x:c>
      <x:c r="P2622" s="9" t="n">
        <x:v>0.4694793537</x:v>
      </x:c>
      <x:c r="Q2622" s="9" t="n">
        <x:v>0.3913824057</x:v>
      </x:c>
      <x:c r="R2622" s="3" t="b">
        <x:v>0</x:v>
      </x:c>
      <x:c r="S2622" s="3" t="b">
        <x:v>0</x:v>
      </x:c>
      <x:c r="T2622" s="3" t="b">
        <x:v>0</x:v>
      </x:c>
      <x:c r="U2622" s="2" t="str">
        <x:f>IF(T2622=TRUE,"Priority review",IF(R2622=TRUE,"High cost",IF(S2622=TRUE,"Low quality","Benchmark")))</x:f>
        <x:v>Benchmark</x:v>
      </x:c>
    </x:row>
    <x:row r="2623">
      <x:c r="A2623" s="2" t="str">
        <x:v>100069</x:v>
      </x:c>
      <x:c r="B2623" s="2" t="str">
        <x:v>AdventHealth Carrollwood</x:v>
      </x:c>
      <x:c r="C2623" s="2" t="str">
        <x:v>TAMPA</x:v>
      </x:c>
      <x:c r="D2623" s="2" t="str">
        <x:v>FL</x:v>
      </x:c>
      <x:c r="E2623" s="2" t="str">
        <x:v>Acute Care Hospitals</x:v>
      </x:c>
      <x:c r="F2623" s="2" t="str">
        <x:v>Voluntary non-profit</x:v>
      </x:c>
      <x:c r="G2623" s="2" t="str">
        <x:v>Medium (100-299 beds)</x:v>
      </x:c>
      <x:c r="H2623" s="7" t="n">
        <x:v>3</x:v>
      </x:c>
      <x:c r="I2623" s="7" t="n">
        <x:v>3</x:v>
      </x:c>
      <x:c r="J2623" s="7" t="n">
        <x:v>1.02</x:v>
      </x:c>
      <x:c r="K2623" s="8" t="n">
        <x:v>119</x:v>
      </x:c>
      <x:c r="L2623" s="8" t="n">
        <x:v>7691</x:v>
      </x:c>
      <x:c r="M2623" s="9" t="n">
        <x:v>0.7231941957</x:v>
      </x:c>
      <x:c r="N2623" s="10" t="n">
        <x:v>33198.9803666623</x:v>
      </x:c>
      <x:c r="O2623" s="9" t="n">
        <x:v>0.1345288165</x:v>
      </x:c>
      <x:c r="P2623" s="9" t="n">
        <x:v>0.4694376528</x:v>
      </x:c>
      <x:c r="Q2623" s="9" t="n">
        <x:v>0.3023634882</x:v>
      </x:c>
      <x:c r="R2623" s="3" t="b">
        <x:v>0</x:v>
      </x:c>
      <x:c r="S2623" s="3" t="b">
        <x:v>0</x:v>
      </x:c>
      <x:c r="T2623" s="3" t="b">
        <x:v>0</x:v>
      </x:c>
      <x:c r="U2623" s="2" t="str">
        <x:f>IF(T2623=TRUE,"Priority review",IF(R2623=TRUE,"High cost",IF(S2623=TRUE,"Low quality","Benchmark")))</x:f>
        <x:v>Benchmark</x:v>
      </x:c>
    </x:row>
    <x:row r="2624">
      <x:c r="A2624" s="2" t="str">
        <x:v>194082</x:v>
      </x:c>
      <x:c r="B2624" s="2" t="str">
        <x:v>COMPASS SENIOR CARE HOSPITAL</x:v>
      </x:c>
      <x:c r="C2624" s="2" t="str">
        <x:v>JENNINGS</x:v>
      </x:c>
      <x:c r="D2624" s="2" t="str">
        <x:v>LA</x:v>
      </x:c>
      <x:c r="E2624" s="2" t="str">
        <x:v>Psychiatric</x:v>
      </x:c>
      <x:c r="F2624" s="2" t="str">
        <x:v>Proprietary</x:v>
      </x:c>
      <x:c r="G2624" s="2" t="str">
        <x:v>Small (&lt;100 beds)</x:v>
      </x:c>
      <x:c r="H2624" s="7"/>
      <x:c r="I2624" s="7"/>
      <x:c r="J2624" s="7"/>
      <x:c r="K2624" s="8" t="n">
        <x:v>36</x:v>
      </x:c>
      <x:c r="L2624" s="8" t="n">
        <x:v>722</x:v>
      </x:c>
      <x:c r="M2624" s="9" t="n">
        <x:v>0.572859745</x:v>
      </x:c>
      <x:c r="N2624" s="10" t="n">
        <x:v>11543.2880886427</x:v>
      </x:c>
      <x:c r="O2624" s="9" t="n">
        <x:v>0.1333249587</x:v>
      </x:c>
      <x:c r="P2624" s="9" t="n">
        <x:v>0.4692556634</x:v>
      </x:c>
      <x:c r="Q2624" s="9" t="n">
        <x:v>0</x:v>
      </x:c>
      <x:c r="R2624" s="3" t="b">
        <x:v>0</x:v>
      </x:c>
      <x:c r="S2624" s="3" t="b">
        <x:v>0</x:v>
      </x:c>
      <x:c r="T2624" s="3" t="b">
        <x:v>0</x:v>
      </x:c>
      <x:c r="U2624" s="2" t="str">
        <x:f>IF(T2624=TRUE,"Priority review",IF(R2624=TRUE,"High cost",IF(S2624=TRUE,"Low quality","Benchmark")))</x:f>
        <x:v>Benchmark</x:v>
      </x:c>
    </x:row>
    <x:row r="2625">
      <x:c r="A2625" s="2" t="str">
        <x:v>281322</x:v>
      </x:c>
      <x:c r="B2625" s="2" t="str">
        <x:v>ST FRANCIS MEMORIAL HOSPITAL</x:v>
      </x:c>
      <x:c r="C2625" s="2" t="str">
        <x:v>WEST POINT</x:v>
      </x:c>
      <x:c r="D2625" s="2" t="str">
        <x:v>NE</x:v>
      </x:c>
      <x:c r="E2625" s="2" t="str">
        <x:v>Critical Access Hospitals</x:v>
      </x:c>
      <x:c r="F2625" s="2" t="str">
        <x:v>Voluntary non-profit</x:v>
      </x:c>
      <x:c r="G2625" s="2" t="str">
        <x:v>Small (&lt;100 beds)</x:v>
      </x:c>
      <x:c r="H2625" s="7" t="n">
        <x:v>2</x:v>
      </x:c>
      <x:c r="I2625" s="7"/>
      <x:c r="J2625" s="7"/>
      <x:c r="K2625" s="8" t="n">
        <x:v>25</x:v>
      </x:c>
      <x:c r="L2625" s="8" t="n">
        <x:v>428</x:v>
      </x:c>
      <x:c r="M2625" s="9" t="n">
        <x:v>0.2193442623</x:v>
      </x:c>
      <x:c r="N2625" s="10" t="n">
        <x:v>123589.1845794393</x:v>
      </x:c>
      <x:c r="O2625" s="9" t="n">
        <x:v>0.0393988831</x:v>
      </x:c>
      <x:c r="P2625" s="9" t="n">
        <x:v>0.4691449814</x:v>
      </x:c>
      <x:c r="Q2625" s="9" t="n">
        <x:v>0.0171003717</x:v>
      </x:c>
      <x:c r="R2625" s="3" t="b">
        <x:v>0</x:v>
      </x:c>
      <x:c r="S2625" s="3" t="b">
        <x:v>1</x:v>
      </x:c>
      <x:c r="T2625" s="3" t="b">
        <x:v>0</x:v>
      </x:c>
      <x:c r="U2625" s="2" t="str">
        <x:f>IF(T2625=TRUE,"Priority review",IF(R2625=TRUE,"High cost",IF(S2625=TRUE,"Low quality","Benchmark")))</x:f>
        <x:v>Low quality</x:v>
      </x:c>
    </x:row>
    <x:row r="2626">
      <x:c r="A2626" s="2" t="str">
        <x:v>360011</x:v>
      </x:c>
      <x:c r="B2626" s="2" t="str">
        <x:v>MARION GENERAL HOSPITAL</x:v>
      </x:c>
      <x:c r="C2626" s="2" t="str">
        <x:v>MARION</x:v>
      </x:c>
      <x:c r="D2626" s="2" t="str">
        <x:v>OH</x:v>
      </x:c>
      <x:c r="E2626" s="2" t="str">
        <x:v>Acute Care Hospitals</x:v>
      </x:c>
      <x:c r="F2626" s="2" t="str">
        <x:v>Voluntary non-profit</x:v>
      </x:c>
      <x:c r="G2626" s="2" t="str">
        <x:v>Medium (100-299 beds)</x:v>
      </x:c>
      <x:c r="H2626" s="7" t="n">
        <x:v>4</x:v>
      </x:c>
      <x:c r="I2626" s="7" t="n">
        <x:v>4</x:v>
      </x:c>
      <x:c r="J2626" s="7" t="n">
        <x:v>1</x:v>
      </x:c>
      <x:c r="K2626" s="8" t="n">
        <x:v>179</x:v>
      </x:c>
      <x:c r="L2626" s="8" t="n">
        <x:v>8080</x:v>
      </x:c>
      <x:c r="M2626" s="9" t="n">
        <x:v>0.5182061682</x:v>
      </x:c>
      <x:c r="N2626" s="10" t="n">
        <x:v>33143.7025990099</x:v>
      </x:c>
      <x:c r="O2626" s="9" t="n">
        <x:v>0.1632138252</x:v>
      </x:c>
      <x:c r="P2626" s="9" t="n">
        <x:v>0.4686226569</x:v>
      </x:c>
      <x:c r="Q2626" s="9" t="n">
        <x:v>0.6022819886</x:v>
      </x:c>
      <x:c r="R2626" s="3" t="b">
        <x:v>0</x:v>
      </x:c>
      <x:c r="S2626" s="3" t="b">
        <x:v>0</x:v>
      </x:c>
      <x:c r="T2626" s="3" t="b">
        <x:v>0</x:v>
      </x:c>
      <x:c r="U2626" s="2" t="str">
        <x:f>IF(T2626=TRUE,"Priority review",IF(R2626=TRUE,"High cost",IF(S2626=TRUE,"Low quality","Benchmark")))</x:f>
        <x:v>Benchmark</x:v>
      </x:c>
    </x:row>
    <x:row r="2627">
      <x:c r="A2627" s="2" t="str">
        <x:v>490013</x:v>
      </x:c>
      <x:c r="B2627" s="2" t="str">
        <x:v>SENTARA HALIFAX REGIONAL HOSPITAL</x:v>
      </x:c>
      <x:c r="C2627" s="2" t="str">
        <x:v>SOUTH BOSTON</x:v>
      </x:c>
      <x:c r="D2627" s="2" t="str">
        <x:v>VA</x:v>
      </x:c>
      <x:c r="E2627" s="2" t="str">
        <x:v>Acute Care Hospitals</x:v>
      </x:c>
      <x:c r="F2627" s="2" t="str">
        <x:v>Voluntary non-profit</x:v>
      </x:c>
      <x:c r="G2627" s="2" t="str">
        <x:v>Small (&lt;100 beds)</x:v>
      </x:c>
      <x:c r="H2627" s="7" t="n">
        <x:v>3</x:v>
      </x:c>
      <x:c r="I2627" s="7" t="n">
        <x:v>3</x:v>
      </x:c>
      <x:c r="J2627" s="7" t="n">
        <x:v>0.84</x:v>
      </x:c>
      <x:c r="K2627" s="8" t="n">
        <x:v>44</x:v>
      </x:c>
      <x:c r="L2627" s="8" t="n">
        <x:v>2441</x:v>
      </x:c>
      <x:c r="M2627" s="9" t="n">
        <x:v>0.5590536513</x:v>
      </x:c>
      <x:c r="N2627" s="10" t="n">
        <x:v>49881.1208521098</x:v>
      </x:c>
      <x:c r="O2627" s="9" t="n">
        <x:v>-0.2041121044</x:v>
      </x:c>
      <x:c r="P2627" s="9" t="n">
        <x:v>0.4685816876</x:v>
      </x:c>
      <x:c r="Q2627" s="9" t="n">
        <x:v>0.1687612208</x:v>
      </x:c>
      <x:c r="R2627" s="3" t="b">
        <x:v>0</x:v>
      </x:c>
      <x:c r="S2627" s="3" t="b">
        <x:v>0</x:v>
      </x:c>
      <x:c r="T2627" s="3" t="b">
        <x:v>0</x:v>
      </x:c>
      <x:c r="U2627" s="2" t="str">
        <x:f>IF(T2627=TRUE,"Priority review",IF(R2627=TRUE,"High cost",IF(S2627=TRUE,"Low quality","Benchmark")))</x:f>
        <x:v>Benchmark</x:v>
      </x:c>
    </x:row>
    <x:row r="2628">
      <x:c r="A2628" s="2" t="str">
        <x:v>260005</x:v>
      </x:c>
      <x:c r="B2628" s="2" t="str">
        <x:v>SSM ST JOSEPH HEALTH CENTER</x:v>
      </x:c>
      <x:c r="C2628" s="2" t="str">
        <x:v>SAINT CHARLES</x:v>
      </x:c>
      <x:c r="D2628" s="2" t="str">
        <x:v>MO</x:v>
      </x:c>
      <x:c r="E2628" s="2" t="str">
        <x:v>Acute Care Hospitals</x:v>
      </x:c>
      <x:c r="F2628" s="2" t="str">
        <x:v>Voluntary non-profit</x:v>
      </x:c>
      <x:c r="G2628" s="2" t="str">
        <x:v>Large (300+ beds)</x:v>
      </x:c>
      <x:c r="H2628" s="7" t="n">
        <x:v>3</x:v>
      </x:c>
      <x:c r="I2628" s="7" t="n">
        <x:v>3</x:v>
      </x:c>
      <x:c r="J2628" s="7" t="n">
        <x:v>1</x:v>
      </x:c>
      <x:c r="K2628" s="8" t="n">
        <x:v>399</x:v>
      </x:c>
      <x:c r="L2628" s="8" t="n">
        <x:v>9361</x:v>
      </x:c>
      <x:c r="M2628" s="9" t="n">
        <x:v>0.339194982</x:v>
      </x:c>
      <x:c r="N2628" s="10" t="n">
        <x:v>38018.2963358616</x:v>
      </x:c>
      <x:c r="O2628" s="9" t="n">
        <x:v>-0.1090070117</x:v>
      </x:c>
      <x:c r="P2628" s="9" t="n">
        <x:v>0.4684542587</x:v>
      </x:c>
      <x:c r="Q2628" s="9" t="n">
        <x:v>0.2570977918</x:v>
      </x:c>
      <x:c r="R2628" s="3" t="b">
        <x:v>0</x:v>
      </x:c>
      <x:c r="S2628" s="3" t="b">
        <x:v>0</x:v>
      </x:c>
      <x:c r="T2628" s="3" t="b">
        <x:v>0</x:v>
      </x:c>
      <x:c r="U2628" s="2" t="str">
        <x:f>IF(T2628=TRUE,"Priority review",IF(R2628=TRUE,"High cost",IF(S2628=TRUE,"Low quality","Benchmark")))</x:f>
        <x:v>Benchmark</x:v>
      </x:c>
    </x:row>
    <x:row r="2629">
      <x:c r="A2629" s="2" t="str">
        <x:v>241365</x:v>
      </x:c>
      <x:c r="B2629" s="2" t="str">
        <x:v>CENTRACARE - BENSON</x:v>
      </x:c>
      <x:c r="C2629" s="2" t="str">
        <x:v>BENSON</x:v>
      </x:c>
      <x:c r="D2629" s="2" t="str">
        <x:v>MN</x:v>
      </x:c>
      <x:c r="E2629" s="2" t="str">
        <x:v>Critical Access Hospitals</x:v>
      </x:c>
      <x:c r="F2629" s="2" t="str">
        <x:v>Government</x:v>
      </x:c>
      <x:c r="G2629" s="2" t="str">
        <x:v>Small (&lt;100 beds)</x:v>
      </x:c>
      <x:c r="H2629" s="7"/>
      <x:c r="I2629" s="7"/>
      <x:c r="J2629" s="7"/>
      <x:c r="K2629" s="8" t="n">
        <x:v>11</x:v>
      </x:c>
      <x:c r="L2629" s="8" t="n">
        <x:v>172</x:v>
      </x:c>
      <x:c r="M2629" s="9" t="n">
        <x:v>0.2936488169</x:v>
      </x:c>
      <x:c r="N2629" s="10" t="n">
        <x:v>123310.4476744186</x:v>
      </x:c>
      <x:c r="O2629" s="9" t="n">
        <x:v>0.0518988177</x:v>
      </x:c>
      <x:c r="P2629" s="9" t="n">
        <x:v>0.468401487</x:v>
      </x:c>
      <x:c r="Q2629" s="9" t="n">
        <x:v>0.292936803</x:v>
      </x:c>
      <x:c r="R2629" s="3" t="b">
        <x:v>0</x:v>
      </x:c>
      <x:c r="S2629" s="3" t="b">
        <x:v>0</x:v>
      </x:c>
      <x:c r="T2629" s="3" t="b">
        <x:v>0</x:v>
      </x:c>
      <x:c r="U2629" s="2" t="str">
        <x:f>IF(T2629=TRUE,"Priority review",IF(R2629=TRUE,"High cost",IF(S2629=TRUE,"Low quality","Benchmark")))</x:f>
        <x:v>Benchmark</x:v>
      </x:c>
    </x:row>
    <x:row r="2630">
      <x:c r="A2630" s="2" t="str">
        <x:v>140082</x:v>
      </x:c>
      <x:c r="B2630" s="2" t="str">
        <x:v>LOUIS A WEISS MEMORIAL HOSPITAL</x:v>
      </x:c>
      <x:c r="C2630" s="2" t="str">
        <x:v>CHICAGO</x:v>
      </x:c>
      <x:c r="D2630" s="2" t="str">
        <x:v>IL</x:v>
      </x:c>
      <x:c r="E2630" s="2" t="str">
        <x:v>Acute Care Hospitals</x:v>
      </x:c>
      <x:c r="F2630" s="2" t="str">
        <x:v>Proprietary</x:v>
      </x:c>
      <x:c r="G2630" s="2" t="str">
        <x:v>Medium (100-299 beds)</x:v>
      </x:c>
      <x:c r="H2630" s="7" t="n">
        <x:v>1</x:v>
      </x:c>
      <x:c r="I2630" s="7"/>
      <x:c r="J2630" s="7" t="n">
        <x:v>1.12</x:v>
      </x:c>
      <x:c r="K2630" s="8" t="n">
        <x:v>119</x:v>
      </x:c>
      <x:c r="L2630" s="8" t="n">
        <x:v>3087</x:v>
      </x:c>
      <x:c r="M2630" s="9" t="n">
        <x:v>0.3790007806</x:v>
      </x:c>
      <x:c r="N2630" s="10" t="n">
        <x:v>33122.843537415</x:v>
      </x:c>
      <x:c r="O2630" s="9" t="n">
        <x:v>-0.4568168354</x:v>
      </x:c>
      <x:c r="P2630" s="9" t="n">
        <x:v>0.467807661</x:v>
      </x:c>
      <x:c r="Q2630" s="9" t="n">
        <x:v>0</x:v>
      </x:c>
      <x:c r="R2630" s="3" t="b">
        <x:v>0</x:v>
      </x:c>
      <x:c r="S2630" s="3" t="b">
        <x:v>1</x:v>
      </x:c>
      <x:c r="T2630" s="3" t="b">
        <x:v>0</x:v>
      </x:c>
      <x:c r="U2630" s="2" t="str">
        <x:f>IF(T2630=TRUE,"Priority review",IF(R2630=TRUE,"High cost",IF(S2630=TRUE,"Low quality","Benchmark")))</x:f>
        <x:v>Low quality</x:v>
      </x:c>
    </x:row>
    <x:row r="2631">
      <x:c r="A2631" s="2" t="str">
        <x:v>260024</x:v>
      </x:c>
      <x:c r="B2631" s="2" t="str">
        <x:v>TEXAS COUNTY MEMORIAL HOSPITAL</x:v>
      </x:c>
      <x:c r="C2631" s="2" t="str">
        <x:v>HOUSTON</x:v>
      </x:c>
      <x:c r="D2631" s="2" t="str">
        <x:v>MO</x:v>
      </x:c>
      <x:c r="E2631" s="2" t="str">
        <x:v>Acute Care Hospitals</x:v>
      </x:c>
      <x:c r="F2631" s="2" t="str">
        <x:v>Government</x:v>
      </x:c>
      <x:c r="G2631" s="2" t="str">
        <x:v>Small (&lt;100 beds)</x:v>
      </x:c>
      <x:c r="H2631" s="7" t="n">
        <x:v>2</x:v>
      </x:c>
      <x:c r="I2631" s="7" t="n">
        <x:v>4</x:v>
      </x:c>
      <x:c r="J2631" s="7" t="n">
        <x:v>0.95</x:v>
      </x:c>
      <x:c r="K2631" s="8" t="n">
        <x:v>47</x:v>
      </x:c>
      <x:c r="L2631" s="8" t="n">
        <x:v>893</x:v>
      </x:c>
      <x:c r="M2631" s="9" t="n">
        <x:v>0.2027671201</x:v>
      </x:c>
      <x:c r="N2631" s="10" t="n">
        <x:v>49860.7368421053</x:v>
      </x:c>
      <x:c r="O2631" s="9" t="n">
        <x:v>-0.1631004771</x:v>
      </x:c>
      <x:c r="P2631" s="9" t="n">
        <x:v>0.4676840215</x:v>
      </x:c>
      <x:c r="Q2631" s="9" t="n">
        <x:v>0.0350089767</x:v>
      </x:c>
      <x:c r="R2631" s="3" t="b">
        <x:v>0</x:v>
      </x:c>
      <x:c r="S2631" s="3" t="b">
        <x:v>1</x:v>
      </x:c>
      <x:c r="T2631" s="3" t="b">
        <x:v>0</x:v>
      </x:c>
      <x:c r="U2631" s="2" t="str">
        <x:f>IF(T2631=TRUE,"Priority review",IF(R2631=TRUE,"High cost",IF(S2631=TRUE,"Low quality","Benchmark")))</x:f>
        <x:v>Low quality</x:v>
      </x:c>
    </x:row>
    <x:row r="2632">
      <x:c r="A2632" s="2" t="str">
        <x:v>394040</x:v>
      </x:c>
      <x:c r="B2632" s="2" t="str">
        <x:v>MEADOWS PSYCHIATRIC CENTER</x:v>
      </x:c>
      <x:c r="C2632" s="2" t="str">
        <x:v>CENTRE HALL</x:v>
      </x:c>
      <x:c r="D2632" s="2" t="str">
        <x:v>PA</x:v>
      </x:c>
      <x:c r="E2632" s="2" t="str">
        <x:v>Psychiatric</x:v>
      </x:c>
      <x:c r="F2632" s="2" t="str">
        <x:v>Proprietary</x:v>
      </x:c>
      <x:c r="G2632" s="2" t="str">
        <x:v>Medium (100-299 beds)</x:v>
      </x:c>
      <x:c r="H2632" s="7"/>
      <x:c r="I2632" s="7"/>
      <x:c r="J2632" s="7"/>
      <x:c r="K2632" s="8" t="n">
        <x:v>119</x:v>
      </x:c>
      <x:c r="L2632" s="8" t="n">
        <x:v>2203</x:v>
      </x:c>
      <x:c r="M2632" s="9" t="n">
        <x:v>0.6585933003</x:v>
      </x:c>
      <x:c r="N2632" s="10" t="n">
        <x:v>10669.7743985474</x:v>
      </x:c>
      <x:c r="O2632" s="9" t="n">
        <x:v>0.1219510364</x:v>
      </x:c>
      <x:c r="P2632" s="9" t="n">
        <x:v>0.4676616915</x:v>
      </x:c>
      <x:c r="Q2632" s="9" t="n">
        <x:v>0</x:v>
      </x:c>
      <x:c r="R2632" s="3" t="b">
        <x:v>0</x:v>
      </x:c>
      <x:c r="S2632" s="3" t="b">
        <x:v>0</x:v>
      </x:c>
      <x:c r="T2632" s="3" t="b">
        <x:v>0</x:v>
      </x:c>
      <x:c r="U2632" s="2" t="str">
        <x:f>IF(T2632=TRUE,"Priority review",IF(R2632=TRUE,"High cost",IF(S2632=TRUE,"Low quality","Benchmark")))</x:f>
        <x:v>Benchmark</x:v>
      </x:c>
    </x:row>
    <x:row r="2633">
      <x:c r="A2633" s="2" t="str">
        <x:v>151329</x:v>
      </x:c>
      <x:c r="B2633" s="2" t="str">
        <x:v>MARGARET MARY COMMUNITY HOSPITAL INC</x:v>
      </x:c>
      <x:c r="C2633" s="2" t="str">
        <x:v>BATESVILLE</x:v>
      </x:c>
      <x:c r="D2633" s="2" t="str">
        <x:v>IN</x:v>
      </x:c>
      <x:c r="E2633" s="2" t="str">
        <x:v>Critical Access Hospitals</x:v>
      </x:c>
      <x:c r="F2633" s="2" t="str">
        <x:v>Voluntary non-profit</x:v>
      </x:c>
      <x:c r="G2633" s="2" t="str">
        <x:v>Small (&lt;100 beds)</x:v>
      </x:c>
      <x:c r="H2633" s="7"/>
      <x:c r="I2633" s="7" t="n">
        <x:v>4</x:v>
      </x:c>
      <x:c r="J2633" s="7"/>
      <x:c r="K2633" s="8" t="n">
        <x:v>25</x:v>
      </x:c>
      <x:c r="L2633" s="8" t="n">
        <x:v>1057</x:v>
      </x:c>
      <x:c r="M2633" s="9" t="n">
        <x:v>0.4666666667</x:v>
      </x:c>
      <x:c r="N2633" s="10" t="n">
        <x:v>123190.5269631031</x:v>
      </x:c>
      <x:c r="O2633" s="9" t="n">
        <x:v>-0.033779838</x:v>
      </x:c>
      <x:c r="P2633" s="9" t="n">
        <x:v>0.4676579926</x:v>
      </x:c>
      <x:c r="Q2633" s="9" t="n">
        <x:v>0.292936803</x:v>
      </x:c>
      <x:c r="R2633" s="3" t="b">
        <x:v>0</x:v>
      </x:c>
      <x:c r="S2633" s="3" t="b">
        <x:v>0</x:v>
      </x:c>
      <x:c r="T2633" s="3" t="b">
        <x:v>0</x:v>
      </x:c>
      <x:c r="U2633" s="2" t="str">
        <x:f>IF(T2633=TRUE,"Priority review",IF(R2633=TRUE,"High cost",IF(S2633=TRUE,"Low quality","Benchmark")))</x:f>
        <x:v>Benchmark</x:v>
      </x:c>
    </x:row>
    <x:row r="2634">
      <x:c r="A2634" s="2" t="str">
        <x:v>150150</x:v>
      </x:c>
      <x:c r="B2634" s="2" t="str">
        <x:v>DUPONT HOSPITAL LLC</x:v>
      </x:c>
      <x:c r="C2634" s="2" t="str">
        <x:v>FORT WAYNE</x:v>
      </x:c>
      <x:c r="D2634" s="2" t="str">
        <x:v>IN</x:v>
      </x:c>
      <x:c r="E2634" s="2" t="str">
        <x:v>Acute Care Hospitals</x:v>
      </x:c>
      <x:c r="F2634" s="2" t="str">
        <x:v>Proprietary</x:v>
      </x:c>
      <x:c r="G2634" s="2" t="str">
        <x:v>Medium (100-299 beds)</x:v>
      </x:c>
      <x:c r="H2634" s="7" t="n">
        <x:v>4</x:v>
      </x:c>
      <x:c r="I2634" s="7" t="n">
        <x:v>3</x:v>
      </x:c>
      <x:c r="J2634" s="7" t="n">
        <x:v>1.04</x:v>
      </x:c>
      <x:c r="K2634" s="8" t="n">
        <x:v>131</x:v>
      </x:c>
      <x:c r="L2634" s="8" t="n">
        <x:v>5932</x:v>
      </x:c>
      <x:c r="M2634" s="9" t="n">
        <x:v>0.5150057513</x:v>
      </x:c>
      <x:c r="N2634" s="10" t="n">
        <x:v>33050.4121712744</x:v>
      </x:c>
      <x:c r="O2634" s="9" t="n">
        <x:v>0.1668567485</x:v>
      </x:c>
      <x:c r="P2634" s="9" t="n">
        <x:v>0.466992665</x:v>
      </x:c>
      <x:c r="Q2634" s="9" t="n">
        <x:v>0.6022819886</x:v>
      </x:c>
      <x:c r="R2634" s="3" t="b">
        <x:v>0</x:v>
      </x:c>
      <x:c r="S2634" s="3" t="b">
        <x:v>0</x:v>
      </x:c>
      <x:c r="T2634" s="3" t="b">
        <x:v>0</x:v>
      </x:c>
      <x:c r="U2634" s="2" t="str">
        <x:f>IF(T2634=TRUE,"Priority review",IF(R2634=TRUE,"High cost",IF(S2634=TRUE,"Low quality","Benchmark")))</x:f>
        <x:v>Benchmark</x:v>
      </x:c>
    </x:row>
    <x:row r="2635">
      <x:c r="A2635" s="2" t="str">
        <x:v>161349</x:v>
      </x:c>
      <x:c r="B2635" s="2" t="str">
        <x:v>VIRGINIA GAY HOSPITAL</x:v>
      </x:c>
      <x:c r="C2635" s="2" t="str">
        <x:v>VINTON</x:v>
      </x:c>
      <x:c r="D2635" s="2" t="str">
        <x:v>IA</x:v>
      </x:c>
      <x:c r="E2635" s="2" t="str">
        <x:v>Critical Access Hospitals</x:v>
      </x:c>
      <x:c r="F2635" s="2" t="str">
        <x:v>Voluntary non-profit</x:v>
      </x:c>
      <x:c r="G2635" s="2" t="str">
        <x:v>Small (&lt;100 beds)</x:v>
      </x:c>
      <x:c r="H2635" s="7" t="n">
        <x:v>4</x:v>
      </x:c>
      <x:c r="I2635" s="7"/>
      <x:c r="J2635" s="7"/>
      <x:c r="K2635" s="8" t="n">
        <x:v>25</x:v>
      </x:c>
      <x:c r="L2635" s="8" t="n">
        <x:v>283</x:v>
      </x:c>
      <x:c r="M2635" s="9" t="n">
        <x:v>0.1393972603</x:v>
      </x:c>
      <x:c r="N2635" s="10" t="n">
        <x:v>123174.5971731449</x:v>
      </x:c>
      <x:c r="O2635" s="9" t="n">
        <x:v>-0.0083833862</x:v>
      </x:c>
      <x:c r="P2635" s="9" t="n">
        <x:v>0.4669144981</x:v>
      </x:c>
      <x:c r="Q2635" s="9" t="n">
        <x:v>0.1657992565</x:v>
      </x:c>
      <x:c r="R2635" s="3" t="b">
        <x:v>0</x:v>
      </x:c>
      <x:c r="S2635" s="3" t="b">
        <x:v>0</x:v>
      </x:c>
      <x:c r="T2635" s="3" t="b">
        <x:v>0</x:v>
      </x:c>
      <x:c r="U2635" s="2" t="str">
        <x:f>IF(T2635=TRUE,"Priority review",IF(R2635=TRUE,"High cost",IF(S2635=TRUE,"Low quality","Benchmark")))</x:f>
        <x:v>Benchmark</x:v>
      </x:c>
    </x:row>
    <x:row r="2636">
      <x:c r="A2636" s="2" t="str">
        <x:v>100135</x:v>
      </x:c>
      <x:c r="B2636" s="2" t="str">
        <x:v>TALLAHASSEE MEMORIAL HEALTHCARE</x:v>
      </x:c>
      <x:c r="C2636" s="2" t="str">
        <x:v>TALLAHASSEE</x:v>
      </x:c>
      <x:c r="D2636" s="2" t="str">
        <x:v>FL</x:v>
      </x:c>
      <x:c r="E2636" s="2" t="str">
        <x:v>Acute Care Hospitals</x:v>
      </x:c>
      <x:c r="F2636" s="2" t="str">
        <x:v>Voluntary non-profit</x:v>
      </x:c>
      <x:c r="G2636" s="2" t="str">
        <x:v>Large (300+ beds)</x:v>
      </x:c>
      <x:c r="H2636" s="7" t="n">
        <x:v>3</x:v>
      </x:c>
      <x:c r="I2636" s="7" t="n">
        <x:v>3</x:v>
      </x:c>
      <x:c r="J2636" s="7" t="n">
        <x:v>1.04</x:v>
      </x:c>
      <x:c r="K2636" s="8" t="n">
        <x:v>468</x:v>
      </x:c>
      <x:c r="L2636" s="8" t="n">
        <x:v>27674</x:v>
      </x:c>
      <x:c r="M2636" s="9" t="n">
        <x:v>0.6647167344</x:v>
      </x:c>
      <x:c r="N2636" s="10" t="n">
        <x:v>37967.6159210812</x:v>
      </x:c>
      <x:c r="O2636" s="9" t="n">
        <x:v>-0.0661250694</x:v>
      </x:c>
      <x:c r="P2636" s="9" t="n">
        <x:v>0.4668769716</x:v>
      </x:c>
      <x:c r="Q2636" s="9" t="n">
        <x:v>0.2570977918</x:v>
      </x:c>
      <x:c r="R2636" s="3" t="b">
        <x:v>0</x:v>
      </x:c>
      <x:c r="S2636" s="3" t="b">
        <x:v>0</x:v>
      </x:c>
      <x:c r="T2636" s="3" t="b">
        <x:v>0</x:v>
      </x:c>
      <x:c r="U2636" s="2" t="str">
        <x:f>IF(T2636=TRUE,"Priority review",IF(R2636=TRUE,"High cost",IF(S2636=TRUE,"Low quality","Benchmark")))</x:f>
        <x:v>Benchmark</x:v>
      </x:c>
    </x:row>
    <x:row r="2637">
      <x:c r="A2637" s="2" t="str">
        <x:v>390056</x:v>
      </x:c>
      <x:c r="B2637" s="2" t="str">
        <x:v>PENN HIGHLANDS HUNTINGDON</x:v>
      </x:c>
      <x:c r="C2637" s="2" t="str">
        <x:v>HUNTINGDON</x:v>
      </x:c>
      <x:c r="D2637" s="2" t="str">
        <x:v>PA</x:v>
      </x:c>
      <x:c r="E2637" s="2" t="str">
        <x:v>Acute Care Hospitals</x:v>
      </x:c>
      <x:c r="F2637" s="2" t="str">
        <x:v>Voluntary non-profit</x:v>
      </x:c>
      <x:c r="G2637" s="2" t="str">
        <x:v>Small (&lt;100 beds)</x:v>
      </x:c>
      <x:c r="H2637" s="7" t="n">
        <x:v>3</x:v>
      </x:c>
      <x:c r="I2637" s="7" t="n">
        <x:v>3</x:v>
      </x:c>
      <x:c r="J2637" s="7" t="n">
        <x:v>0.93</x:v>
      </x:c>
      <x:c r="K2637" s="8" t="n">
        <x:v>77</x:v>
      </x:c>
      <x:c r="L2637" s="8" t="n">
        <x:v>2235</x:v>
      </x:c>
      <x:c r="M2637" s="9" t="n">
        <x:v>0.3723326232</x:v>
      </x:c>
      <x:c r="N2637" s="10" t="n">
        <x:v>49718.7140939597</x:v>
      </x:c>
      <x:c r="O2637" s="9" t="n">
        <x:v>-0.3223454229</x:v>
      </x:c>
      <x:c r="P2637" s="9" t="n">
        <x:v>0.4667863555</x:v>
      </x:c>
      <x:c r="Q2637" s="9" t="n">
        <x:v>0.1687612208</x:v>
      </x:c>
      <x:c r="R2637" s="3" t="b">
        <x:v>0</x:v>
      </x:c>
      <x:c r="S2637" s="3" t="b">
        <x:v>0</x:v>
      </x:c>
      <x:c r="T2637" s="3" t="b">
        <x:v>0</x:v>
      </x:c>
      <x:c r="U2637" s="2" t="str">
        <x:f>IF(T2637=TRUE,"Priority review",IF(R2637=TRUE,"High cost",IF(S2637=TRUE,"Low quality","Benchmark")))</x:f>
        <x:v>Benchmark</x:v>
      </x:c>
    </x:row>
    <x:row r="2638">
      <x:c r="A2638" s="2" t="str">
        <x:v>390097</x:v>
      </x:c>
      <x:c r="B2638" s="2" t="str">
        <x:v>HOLY REDEEMER HOSPITAL AND MEDICAL CENTER</x:v>
      </x:c>
      <x:c r="C2638" s="2" t="str">
        <x:v>MEADOWBROOK</x:v>
      </x:c>
      <x:c r="D2638" s="2" t="str">
        <x:v>PA</x:v>
      </x:c>
      <x:c r="E2638" s="2" t="str">
        <x:v>Acute Care Hospitals</x:v>
      </x:c>
      <x:c r="F2638" s="2" t="str">
        <x:v>Voluntary non-profit</x:v>
      </x:c>
      <x:c r="G2638" s="2" t="str">
        <x:v>Medium (100-299 beds)</x:v>
      </x:c>
      <x:c r="H2638" s="7" t="n">
        <x:v>3</x:v>
      </x:c>
      <x:c r="I2638" s="7" t="n">
        <x:v>3</x:v>
      </x:c>
      <x:c r="J2638" s="7" t="n">
        <x:v>0.93</x:v>
      </x:c>
      <x:c r="K2638" s="8" t="n">
        <x:v>213</x:v>
      </x:c>
      <x:c r="L2638" s="8" t="n">
        <x:v>8272</x:v>
      </x:c>
      <x:c r="M2638" s="9" t="n">
        <x:v>0.5458871953</x:v>
      </x:c>
      <x:c r="N2638" s="10" t="n">
        <x:v>33030.8914410058</x:v>
      </x:c>
      <x:c r="O2638" s="9" t="n">
        <x:v>-0.1512545393</x:v>
      </x:c>
      <x:c r="P2638" s="9" t="n">
        <x:v>0.4661776691</x:v>
      </x:c>
      <x:c r="Q2638" s="9" t="n">
        <x:v>0.3023634882</x:v>
      </x:c>
      <x:c r="R2638" s="3" t="b">
        <x:v>0</x:v>
      </x:c>
      <x:c r="S2638" s="3" t="b">
        <x:v>0</x:v>
      </x:c>
      <x:c r="T2638" s="3" t="b">
        <x:v>0</x:v>
      </x:c>
      <x:c r="U2638" s="2" t="str">
        <x:f>IF(T2638=TRUE,"Priority review",IF(R2638=TRUE,"High cost",IF(S2638=TRUE,"Low quality","Benchmark")))</x:f>
        <x:v>Benchmark</x:v>
      </x:c>
    </x:row>
    <x:row r="2639">
      <x:c r="A2639" s="2" t="str">
        <x:v>191323</x:v>
      </x:c>
      <x:c r="B2639" s="2" t="str">
        <x:v>RICHLAND PARISH HOSPITAL-DELHI</x:v>
      </x:c>
      <x:c r="C2639" s="2" t="str">
        <x:v>DELHI</x:v>
      </x:c>
      <x:c r="D2639" s="2" t="str">
        <x:v>LA</x:v>
      </x:c>
      <x:c r="E2639" s="2" t="str">
        <x:v>Critical Access Hospitals</x:v>
      </x:c>
      <x:c r="F2639" s="2" t="str">
        <x:v>Government</x:v>
      </x:c>
      <x:c r="G2639" s="2" t="str">
        <x:v>Small (&lt;100 beds)</x:v>
      </x:c>
      <x:c r="H2639" s="7"/>
      <x:c r="I2639" s="7"/>
      <x:c r="J2639" s="7"/>
      <x:c r="K2639" s="8" t="n">
        <x:v>25</x:v>
      </x:c>
      <x:c r="L2639" s="8" t="n">
        <x:v>228</x:v>
      </x:c>
      <x:c r="M2639" s="9" t="n">
        <x:v>0.1914754098</x:v>
      </x:c>
      <x:c r="N2639" s="10" t="n">
        <x:v>123147.3377192982</x:v>
      </x:c>
      <x:c r="O2639" s="9" t="n">
        <x:v>-0.1659363506</x:v>
      </x:c>
      <x:c r="P2639" s="9" t="n">
        <x:v>0.4661710037</x:v>
      </x:c>
      <x:c r="Q2639" s="9" t="n">
        <x:v>0.292936803</x:v>
      </x:c>
      <x:c r="R2639" s="3" t="b">
        <x:v>0</x:v>
      </x:c>
      <x:c r="S2639" s="3" t="b">
        <x:v>0</x:v>
      </x:c>
      <x:c r="T2639" s="3" t="b">
        <x:v>0</x:v>
      </x:c>
      <x:c r="U2639" s="2" t="str">
        <x:f>IF(T2639=TRUE,"Priority review",IF(R2639=TRUE,"High cost",IF(S2639=TRUE,"Low quality","Benchmark")))</x:f>
        <x:v>Benchmark</x:v>
      </x:c>
    </x:row>
    <x:row r="2640">
      <x:c r="A2640" s="2" t="str">
        <x:v>224046</x:v>
      </x:c>
      <x:c r="B2640" s="2" t="str">
        <x:v>MIRAVISTA BEHAVIORAL HEALTH CENTER</x:v>
      </x:c>
      <x:c r="C2640" s="2" t="str">
        <x:v>HOLYOKE</x:v>
      </x:c>
      <x:c r="D2640" s="2" t="str">
        <x:v>MA</x:v>
      </x:c>
      <x:c r="E2640" s="2" t="str">
        <x:v>Psychiatric</x:v>
      </x:c>
      <x:c r="F2640" s="2" t="str">
        <x:v>Proprietary</x:v>
      </x:c>
      <x:c r="G2640" s="2" t="str">
        <x:v>Small (&lt;100 beds)</x:v>
      </x:c>
      <x:c r="H2640" s="7"/>
      <x:c r="I2640" s="7"/>
      <x:c r="J2640" s="7"/>
      <x:c r="K2640" s="8" t="n">
        <x:v>88</x:v>
      </x:c>
      <x:c r="L2640" s="8" t="n">
        <x:v>3125</x:v>
      </x:c>
      <x:c r="M2640" s="9" t="n">
        <x:v>0.9249254844</x:v>
      </x:c>
      <x:c r="N2640" s="10" t="n">
        <x:v>11420.504</x:v>
      </x:c>
      <x:c r="O2640" s="9" t="n">
        <x:v>0.0596617777</x:v>
      </x:c>
      <x:c r="P2640" s="9" t="n">
        <x:v>0.4660194175</x:v>
      </x:c>
      <x:c r="Q2640" s="9" t="n">
        <x:v>0</x:v>
      </x:c>
      <x:c r="R2640" s="3" t="b">
        <x:v>0</x:v>
      </x:c>
      <x:c r="S2640" s="3" t="b">
        <x:v>0</x:v>
      </x:c>
      <x:c r="T2640" s="3" t="b">
        <x:v>0</x:v>
      </x:c>
      <x:c r="U2640" s="2" t="str">
        <x:f>IF(T2640=TRUE,"Priority review",IF(R2640=TRUE,"High cost",IF(S2640=TRUE,"Low quality","Benchmark")))</x:f>
        <x:v>Benchmark</x:v>
      </x:c>
    </x:row>
    <x:row r="2641">
      <x:c r="A2641" s="2" t="str">
        <x:v>450399</x:v>
      </x:c>
      <x:c r="B2641" s="2" t="str">
        <x:v>BROWNFIELD REGIONAL MEDICAL CENTER</x:v>
      </x:c>
      <x:c r="C2641" s="2" t="str">
        <x:v>BROWNFIELD</x:v>
      </x:c>
      <x:c r="D2641" s="2" t="str">
        <x:v>TX</x:v>
      </x:c>
      <x:c r="E2641" s="2" t="str">
        <x:v>Acute Care Hospitals</x:v>
      </x:c>
      <x:c r="F2641" s="2" t="str">
        <x:v>Government</x:v>
      </x:c>
      <x:c r="G2641" s="2" t="str">
        <x:v>Small (&lt;100 beds)</x:v>
      </x:c>
      <x:c r="H2641" s="7"/>
      <x:c r="I2641" s="7"/>
      <x:c r="J2641" s="7" t="n">
        <x:v>1.06</x:v>
      </x:c>
      <x:c r="K2641" s="8" t="n">
        <x:v>26</x:v>
      </x:c>
      <x:c r="L2641" s="8" t="n">
        <x:v>409</x:v>
      </x:c>
      <x:c r="M2641" s="9" t="n">
        <x:v>0.1243169399</x:v>
      </x:c>
      <x:c r="N2641" s="10" t="n">
        <x:v>49699.2787286064</x:v>
      </x:c>
      <x:c r="O2641" s="9" t="n">
        <x:v>-0.6738657065</x:v>
      </x:c>
      <x:c r="P2641" s="9" t="n">
        <x:v>0.4658886894</x:v>
      </x:c>
      <x:c r="Q2641" s="9" t="n">
        <x:v>0.697486535</x:v>
      </x:c>
      <x:c r="R2641" s="3" t="b">
        <x:v>0</x:v>
      </x:c>
      <x:c r="S2641" s="3" t="b">
        <x:v>0</x:v>
      </x:c>
      <x:c r="T2641" s="3" t="b">
        <x:v>0</x:v>
      </x:c>
      <x:c r="U2641" s="2" t="str">
        <x:f>IF(T2641=TRUE,"Priority review",IF(R2641=TRUE,"High cost",IF(S2641=TRUE,"Low quality","Benchmark")))</x:f>
        <x:v>Benchmark</x:v>
      </x:c>
    </x:row>
    <x:row r="2642">
      <x:c r="A2642" s="2" t="str">
        <x:v>151316</x:v>
      </x:c>
      <x:c r="B2642" s="2" t="str">
        <x:v>INDIANA UNIVERSITY HEALTH FRANKFORT INC</x:v>
      </x:c>
      <x:c r="C2642" s="2" t="str">
        <x:v>FRANKFORT</x:v>
      </x:c>
      <x:c r="D2642" s="2" t="str">
        <x:v>IN</x:v>
      </x:c>
      <x:c r="E2642" s="2" t="str">
        <x:v>Critical Access Hospitals</x:v>
      </x:c>
      <x:c r="F2642" s="2" t="str">
        <x:v>Voluntary non-profit</x:v>
      </x:c>
      <x:c r="G2642" s="2" t="str">
        <x:v>Small (&lt;100 beds)</x:v>
      </x:c>
      <x:c r="H2642" s="7"/>
      <x:c r="I2642" s="7"/>
      <x:c r="J2642" s="7"/>
      <x:c r="K2642" s="8" t="n">
        <x:v>12</x:v>
      </x:c>
      <x:c r="L2642" s="8" t="n">
        <x:v>257</x:v>
      </x:c>
      <x:c r="M2642" s="9" t="n">
        <x:v>0.2734517304</x:v>
      </x:c>
      <x:c r="N2642" s="10" t="n">
        <x:v>123136.9027237354</x:v>
      </x:c>
      <x:c r="O2642" s="9" t="n">
        <x:v>-0.0009406181</x:v>
      </x:c>
      <x:c r="P2642" s="9" t="n">
        <x:v>0.4654275093</x:v>
      </x:c>
      <x:c r="Q2642" s="9" t="n">
        <x:v>0.292936803</x:v>
      </x:c>
      <x:c r="R2642" s="3" t="b">
        <x:v>0</x:v>
      </x:c>
      <x:c r="S2642" s="3" t="b">
        <x:v>0</x:v>
      </x:c>
      <x:c r="T2642" s="3" t="b">
        <x:v>0</x:v>
      </x:c>
      <x:c r="U2642" s="2" t="str">
        <x:f>IF(T2642=TRUE,"Priority review",IF(R2642=TRUE,"High cost",IF(S2642=TRUE,"Low quality","Benchmark")))</x:f>
        <x:v>Benchmark</x:v>
      </x:c>
    </x:row>
    <x:row r="2643">
      <x:c r="A2643" s="2" t="str">
        <x:v>360025</x:v>
      </x:c>
      <x:c r="B2643" s="2" t="str">
        <x:v>FIRELANDS REGIONAL MEDICAL CENTER</x:v>
      </x:c>
      <x:c r="C2643" s="2" t="str">
        <x:v>SANDUSKY</x:v>
      </x:c>
      <x:c r="D2643" s="2" t="str">
        <x:v>OH</x:v>
      </x:c>
      <x:c r="E2643" s="2" t="str">
        <x:v>Acute Care Hospitals</x:v>
      </x:c>
      <x:c r="F2643" s="2" t="str">
        <x:v>Voluntary non-profit</x:v>
      </x:c>
      <x:c r="G2643" s="2" t="str">
        <x:v>Medium (100-299 beds)</x:v>
      </x:c>
      <x:c r="H2643" s="7" t="n">
        <x:v>4</x:v>
      </x:c>
      <x:c r="I2643" s="7" t="n">
        <x:v>3</x:v>
      </x:c>
      <x:c r="J2643" s="7" t="n">
        <x:v>1.03</x:v>
      </x:c>
      <x:c r="K2643" s="8" t="n">
        <x:v>149</x:v>
      </x:c>
      <x:c r="L2643" s="8" t="n">
        <x:v>8535</x:v>
      </x:c>
      <x:c r="M2643" s="9" t="n">
        <x:v>0.6320827374</x:v>
      </x:c>
      <x:c r="N2643" s="10" t="n">
        <x:v>33025.2449912127</x:v>
      </x:c>
      <x:c r="O2643" s="9" t="n">
        <x:v>-0.0943558694</x:v>
      </x:c>
      <x:c r="P2643" s="9" t="n">
        <x:v>0.4653626732</x:v>
      </x:c>
      <x:c r="Q2643" s="9" t="n">
        <x:v>0.6022819886</x:v>
      </x:c>
      <x:c r="R2643" s="3" t="b">
        <x:v>0</x:v>
      </x:c>
      <x:c r="S2643" s="3" t="b">
        <x:v>0</x:v>
      </x:c>
      <x:c r="T2643" s="3" t="b">
        <x:v>0</x:v>
      </x:c>
      <x:c r="U2643" s="2" t="str">
        <x:f>IF(T2643=TRUE,"Priority review",IF(R2643=TRUE,"High cost",IF(S2643=TRUE,"Low quality","Benchmark")))</x:f>
        <x:v>Benchmark</x:v>
      </x:c>
    </x:row>
    <x:row r="2644">
      <x:c r="A2644" s="2" t="str">
        <x:v>050084</x:v>
      </x:c>
      <x:c r="B2644" s="2" t="str">
        <x:v>ST JOSEPH'S MEDICAL CENTER OF STOCKTON</x:v>
      </x:c>
      <x:c r="C2644" s="2" t="str">
        <x:v>STOCKTON</x:v>
      </x:c>
      <x:c r="D2644" s="2" t="str">
        <x:v>CA</x:v>
      </x:c>
      <x:c r="E2644" s="2" t="str">
        <x:v>Acute Care Hospitals</x:v>
      </x:c>
      <x:c r="F2644" s="2" t="str">
        <x:v>Voluntary non-profit</x:v>
      </x:c>
      <x:c r="G2644" s="2" t="str">
        <x:v>Large (300+ beds)</x:v>
      </x:c>
      <x:c r="H2644" s="7" t="n">
        <x:v>3</x:v>
      </x:c>
      <x:c r="I2644" s="7" t="n">
        <x:v>3</x:v>
      </x:c>
      <x:c r="J2644" s="7" t="n">
        <x:v>0.99</x:v>
      </x:c>
      <x:c r="K2644" s="8" t="n">
        <x:v>319</x:v>
      </x:c>
      <x:c r="L2644" s="8" t="n">
        <x:v>19794</x:v>
      </x:c>
      <x:c r="M2644" s="9" t="n">
        <x:v>0.8324816421</x:v>
      </x:c>
      <x:c r="N2644" s="10" t="n">
        <x:v>37953.4757502273</x:v>
      </x:c>
      <x:c r="O2644" s="9" t="n">
        <x:v>0.039697101</x:v>
      </x:c>
      <x:c r="P2644" s="9" t="n">
        <x:v>0.4652996845</x:v>
      </x:c>
      <x:c r="Q2644" s="9" t="n">
        <x:v>0.2570977918</x:v>
      </x:c>
      <x:c r="R2644" s="3" t="b">
        <x:v>0</x:v>
      </x:c>
      <x:c r="S2644" s="3" t="b">
        <x:v>0</x:v>
      </x:c>
      <x:c r="T2644" s="3" t="b">
        <x:v>0</x:v>
      </x:c>
      <x:c r="U2644" s="2" t="str">
        <x:f>IF(T2644=TRUE,"Priority review",IF(R2644=TRUE,"High cost",IF(S2644=TRUE,"Low quality","Benchmark")))</x:f>
        <x:v>Benchmark</x:v>
      </x:c>
    </x:row>
    <x:row r="2645">
      <x:c r="A2645" s="2" t="str">
        <x:v>370002</x:v>
      </x:c>
      <x:c r="B2645" s="2" t="str">
        <x:v>Integris Health Woodward Hospital</x:v>
      </x:c>
      <x:c r="C2645" s="2" t="str">
        <x:v>WOODWARD</x:v>
      </x:c>
      <x:c r="D2645" s="2" t="str">
        <x:v>OK</x:v>
      </x:c>
      <x:c r="E2645" s="2" t="str">
        <x:v>Acute Care Hospitals</x:v>
      </x:c>
      <x:c r="F2645" s="2" t="str">
        <x:v>Proprietary</x:v>
      </x:c>
      <x:c r="G2645" s="2" t="str">
        <x:v>Small (&lt;100 beds)</x:v>
      </x:c>
      <x:c r="H2645" s="7" t="n">
        <x:v>3</x:v>
      </x:c>
      <x:c r="I2645" s="7" t="n">
        <x:v>3</x:v>
      </x:c>
      <x:c r="J2645" s="7" t="n">
        <x:v>1.08</x:v>
      </x:c>
      <x:c r="K2645" s="8" t="n">
        <x:v>40</x:v>
      </x:c>
      <x:c r="L2645" s="8" t="n">
        <x:v>900</x:v>
      </x:c>
      <x:c r="M2645" s="9" t="n">
        <x:v>0.1947260274</x:v>
      </x:c>
      <x:c r="N2645" s="10" t="n">
        <x:v>49627.6333333333</x:v>
      </x:c>
      <x:c r="O2645" s="9" t="n">
        <x:v>-0.4591954163</x:v>
      </x:c>
      <x:c r="P2645" s="9" t="n">
        <x:v>0.4649910233</x:v>
      </x:c>
      <x:c r="Q2645" s="9" t="n">
        <x:v>0.1687612208</x:v>
      </x:c>
      <x:c r="R2645" s="3" t="b">
        <x:v>0</x:v>
      </x:c>
      <x:c r="S2645" s="3" t="b">
        <x:v>0</x:v>
      </x:c>
      <x:c r="T2645" s="3" t="b">
        <x:v>0</x:v>
      </x:c>
      <x:c r="U2645" s="2" t="str">
        <x:f>IF(T2645=TRUE,"Priority review",IF(R2645=TRUE,"High cost",IF(S2645=TRUE,"Low quality","Benchmark")))</x:f>
        <x:v>Benchmark</x:v>
      </x:c>
    </x:row>
    <x:row r="2646">
      <x:c r="A2646" s="2" t="str">
        <x:v>521302</x:v>
      </x:c>
      <x:c r="B2646" s="2" t="str">
        <x:v>MAYO CLINIC HEALTH SYSTEM OAKRIDGE</x:v>
      </x:c>
      <x:c r="C2646" s="2" t="str">
        <x:v>OSSEO</x:v>
      </x:c>
      <x:c r="D2646" s="2" t="str">
        <x:v>WI</x:v>
      </x:c>
      <x:c r="E2646" s="2" t="str">
        <x:v>Critical Access Hospitals</x:v>
      </x:c>
      <x:c r="F2646" s="2" t="str">
        <x:v>Voluntary non-profit</x:v>
      </x:c>
      <x:c r="G2646" s="2" t="str">
        <x:v>Small (&lt;100 beds)</x:v>
      </x:c>
      <x:c r="H2646" s="7"/>
      <x:c r="I2646" s="7" t="n">
        <x:v>5</x:v>
      </x:c>
      <x:c r="J2646" s="7"/>
      <x:c r="K2646" s="8" t="n">
        <x:v>18</x:v>
      </x:c>
      <x:c r="L2646" s="8" t="n">
        <x:v>305</x:v>
      </x:c>
      <x:c r="M2646" s="9" t="n">
        <x:v>0.8111718276</x:v>
      </x:c>
      <x:c r="N2646" s="10" t="n">
        <x:v>123136.4295081967</x:v>
      </x:c>
      <x:c r="O2646" s="9" t="n">
        <x:v>-0.0139496807</x:v>
      </x:c>
      <x:c r="P2646" s="9" t="n">
        <x:v>0.4646840149</x:v>
      </x:c>
      <x:c r="Q2646" s="9" t="n">
        <x:v>0.292936803</x:v>
      </x:c>
      <x:c r="R2646" s="3" t="b">
        <x:v>0</x:v>
      </x:c>
      <x:c r="S2646" s="3" t="b">
        <x:v>0</x:v>
      </x:c>
      <x:c r="T2646" s="3" t="b">
        <x:v>0</x:v>
      </x:c>
      <x:c r="U2646" s="2" t="str">
        <x:f>IF(T2646=TRUE,"Priority review",IF(R2646=TRUE,"High cost",IF(S2646=TRUE,"Low quality","Benchmark")))</x:f>
        <x:v>Benchmark</x:v>
      </x:c>
    </x:row>
    <x:row r="2647">
      <x:c r="A2647" s="2" t="str">
        <x:v>390042</x:v>
      </x:c>
      <x:c r="B2647" s="2" t="str">
        <x:v>WASHINGTON HOSPITAL, THE</x:v>
      </x:c>
      <x:c r="C2647" s="2" t="str">
        <x:v>WASHINGTON</x:v>
      </x:c>
      <x:c r="D2647" s="2" t="str">
        <x:v>PA</x:v>
      </x:c>
      <x:c r="E2647" s="2" t="str">
        <x:v>Acute Care Hospitals</x:v>
      </x:c>
      <x:c r="F2647" s="2" t="str">
        <x:v>Voluntary non-profit</x:v>
      </x:c>
      <x:c r="G2647" s="2" t="str">
        <x:v>Medium (100-299 beds)</x:v>
      </x:c>
      <x:c r="H2647" s="7" t="n">
        <x:v>4</x:v>
      </x:c>
      <x:c r="I2647" s="7" t="n">
        <x:v>3</x:v>
      </x:c>
      <x:c r="J2647" s="7" t="n">
        <x:v>0.99</x:v>
      </x:c>
      <x:c r="K2647" s="8" t="n">
        <x:v>214</x:v>
      </x:c>
      <x:c r="L2647" s="8" t="n">
        <x:v>8027</x:v>
      </x:c>
      <x:c r="M2647" s="9" t="n">
        <x:v>0.4455255409</x:v>
      </x:c>
      <x:c r="N2647" s="10" t="n">
        <x:v>32922.6600224243</x:v>
      </x:c>
      <x:c r="O2647" s="9" t="n">
        <x:v>-0.0690324265</x:v>
      </x:c>
      <x:c r="P2647" s="9" t="n">
        <x:v>0.4645476773</x:v>
      </x:c>
      <x:c r="Q2647" s="9" t="n">
        <x:v>0.6022819886</x:v>
      </x:c>
      <x:c r="R2647" s="3" t="b">
        <x:v>0</x:v>
      </x:c>
      <x:c r="S2647" s="3" t="b">
        <x:v>0</x:v>
      </x:c>
      <x:c r="T2647" s="3" t="b">
        <x:v>0</x:v>
      </x:c>
      <x:c r="U2647" s="2" t="str">
        <x:f>IF(T2647=TRUE,"Priority review",IF(R2647=TRUE,"High cost",IF(S2647=TRUE,"Low quality","Benchmark")))</x:f>
        <x:v>Benchmark</x:v>
      </x:c>
    </x:row>
    <x:row r="2648">
      <x:c r="A2648" s="2" t="str">
        <x:v>360014</x:v>
      </x:c>
      <x:c r="B2648" s="2" t="str">
        <x:v>OHIOHEALTH O'BLENESS HOSPITAL</x:v>
      </x:c>
      <x:c r="C2648" s="2" t="str">
        <x:v>ATHENS</x:v>
      </x:c>
      <x:c r="D2648" s="2" t="str">
        <x:v>OH</x:v>
      </x:c>
      <x:c r="E2648" s="2" t="str">
        <x:v>Acute Care Hospitals</x:v>
      </x:c>
      <x:c r="F2648" s="2" t="str">
        <x:v>Voluntary non-profit</x:v>
      </x:c>
      <x:c r="G2648" s="2" t="str">
        <x:v>Small (&lt;100 beds)</x:v>
      </x:c>
      <x:c r="H2648" s="7" t="n">
        <x:v>3</x:v>
      </x:c>
      <x:c r="I2648" s="7" t="n">
        <x:v>4</x:v>
      </x:c>
      <x:c r="J2648" s="7" t="n">
        <x:v>0.9</x:v>
      </x:c>
      <x:c r="K2648" s="8" t="n">
        <x:v>67</x:v>
      </x:c>
      <x:c r="L2648" s="8" t="n">
        <x:v>2867</x:v>
      </x:c>
      <x:c r="M2648" s="9" t="n">
        <x:v>0.2865671642</x:v>
      </x:c>
      <x:c r="N2648" s="10" t="n">
        <x:v>49609.4461109173</x:v>
      </x:c>
      <x:c r="O2648" s="9" t="n">
        <x:v>0.096658556</x:v>
      </x:c>
      <x:c r="P2648" s="9" t="n">
        <x:v>0.4640933573</x:v>
      </x:c>
      <x:c r="Q2648" s="9" t="n">
        <x:v>0.1687612208</x:v>
      </x:c>
      <x:c r="R2648" s="3" t="b">
        <x:v>0</x:v>
      </x:c>
      <x:c r="S2648" s="3" t="b">
        <x:v>0</x:v>
      </x:c>
      <x:c r="T2648" s="3" t="b">
        <x:v>0</x:v>
      </x:c>
      <x:c r="U2648" s="2" t="str">
        <x:f>IF(T2648=TRUE,"Priority review",IF(R2648=TRUE,"High cost",IF(S2648=TRUE,"Low quality","Benchmark")))</x:f>
        <x:v>Benchmark</x:v>
      </x:c>
    </x:row>
    <x:row r="2649">
      <x:c r="A2649" s="2" t="str">
        <x:v>431339</x:v>
      </x:c>
      <x:c r="B2649" s="2" t="str">
        <x:v>COTEAU DES PRAIRIES HEALTH CARE SYSTEM</x:v>
      </x:c>
      <x:c r="C2649" s="2" t="str">
        <x:v>SISSETON</x:v>
      </x:c>
      <x:c r="D2649" s="2" t="str">
        <x:v>SD</x:v>
      </x:c>
      <x:c r="E2649" s="2" t="str">
        <x:v>Critical Access Hospitals</x:v>
      </x:c>
      <x:c r="F2649" s="2" t="str">
        <x:v>Voluntary non-profit</x:v>
      </x:c>
      <x:c r="G2649" s="2" t="str">
        <x:v>Small (&lt;100 beds)</x:v>
      </x:c>
      <x:c r="H2649" s="7" t="n">
        <x:v>4</x:v>
      </x:c>
      <x:c r="I2649" s="7"/>
      <x:c r="J2649" s="7"/>
      <x:c r="K2649" s="8" t="n">
        <x:v>25</x:v>
      </x:c>
      <x:c r="L2649" s="8" t="n">
        <x:v>183</x:v>
      </x:c>
      <x:c r="M2649" s="9" t="n">
        <x:v>0.1544262295</x:v>
      </x:c>
      <x:c r="N2649" s="10" t="n">
        <x:v>123052.5901639344</x:v>
      </x:c>
      <x:c r="O2649" s="9" t="n">
        <x:v>-0.0582600718</x:v>
      </x:c>
      <x:c r="P2649" s="9" t="n">
        <x:v>0.4639405204</x:v>
      </x:c>
      <x:c r="Q2649" s="9" t="n">
        <x:v>0.1657992565</x:v>
      </x:c>
      <x:c r="R2649" s="3" t="b">
        <x:v>0</x:v>
      </x:c>
      <x:c r="S2649" s="3" t="b">
        <x:v>0</x:v>
      </x:c>
      <x:c r="T2649" s="3" t="b">
        <x:v>0</x:v>
      </x:c>
      <x:c r="U2649" s="2" t="str">
        <x:f>IF(T2649=TRUE,"Priority review",IF(R2649=TRUE,"High cost",IF(S2649=TRUE,"Low quality","Benchmark")))</x:f>
        <x:v>Benchmark</x:v>
      </x:c>
    </x:row>
    <x:row r="2650">
      <x:c r="A2650" s="2" t="str">
        <x:v>100314</x:v>
      </x:c>
      <x:c r="B2650" s="2" t="str">
        <x:v>WEST KENDALL BAPTIST HOSPITAL</x:v>
      </x:c>
      <x:c r="C2650" s="2" t="str">
        <x:v>MIAMI</x:v>
      </x:c>
      <x:c r="D2650" s="2" t="str">
        <x:v>FL</x:v>
      </x:c>
      <x:c r="E2650" s="2" t="str">
        <x:v>Acute Care Hospitals</x:v>
      </x:c>
      <x:c r="F2650" s="2" t="str">
        <x:v>Voluntary non-profit</x:v>
      </x:c>
      <x:c r="G2650" s="2" t="str">
        <x:v>Medium (100-299 beds)</x:v>
      </x:c>
      <x:c r="H2650" s="7" t="n">
        <x:v>5</x:v>
      </x:c>
      <x:c r="I2650" s="7" t="n">
        <x:v>3</x:v>
      </x:c>
      <x:c r="J2650" s="7" t="n">
        <x:v>0.92</x:v>
      </x:c>
      <x:c r="K2650" s="8" t="n">
        <x:v>166</x:v>
      </x:c>
      <x:c r="L2650" s="8" t="n">
        <x:v>10936</x:v>
      </x:c>
      <x:c r="M2650" s="9" t="n">
        <x:v>0.831193627</x:v>
      </x:c>
      <x:c r="N2650" s="10" t="n">
        <x:v>32909.9487929773</x:v>
      </x:c>
      <x:c r="O2650" s="9" t="n">
        <x:v>0.2688149004</x:v>
      </x:c>
      <x:c r="P2650" s="9" t="n">
        <x:v>0.4637326813</x:v>
      </x:c>
      <x:c r="Q2650" s="9" t="n">
        <x:v>0.8744906275</x:v>
      </x:c>
      <x:c r="R2650" s="3" t="b">
        <x:v>0</x:v>
      </x:c>
      <x:c r="S2650" s="3" t="b">
        <x:v>0</x:v>
      </x:c>
      <x:c r="T2650" s="3" t="b">
        <x:v>0</x:v>
      </x:c>
      <x:c r="U2650" s="2" t="str">
        <x:f>IF(T2650=TRUE,"Priority review",IF(R2650=TRUE,"High cost",IF(S2650=TRUE,"Low quality","Benchmark")))</x:f>
        <x:v>Benchmark</x:v>
      </x:c>
    </x:row>
    <x:row r="2651">
      <x:c r="A2651" s="2" t="str">
        <x:v>150125</x:v>
      </x:c>
      <x:c r="B2651" s="2" t="str">
        <x:v>COMMUNITY HOSPITAL</x:v>
      </x:c>
      <x:c r="C2651" s="2" t="str">
        <x:v>MUNSTER</x:v>
      </x:c>
      <x:c r="D2651" s="2" t="str">
        <x:v>IN</x:v>
      </x:c>
      <x:c r="E2651" s="2" t="str">
        <x:v>Acute Care Hospitals</x:v>
      </x:c>
      <x:c r="F2651" s="2" t="str">
        <x:v>Voluntary non-profit</x:v>
      </x:c>
      <x:c r="G2651" s="2" t="str">
        <x:v>Large (300+ beds)</x:v>
      </x:c>
      <x:c r="H2651" s="7" t="n">
        <x:v>3</x:v>
      </x:c>
      <x:c r="I2651" s="7" t="n">
        <x:v>3</x:v>
      </x:c>
      <x:c r="J2651" s="7" t="n">
        <x:v>1.1</x:v>
      </x:c>
      <x:c r="K2651" s="8" t="n">
        <x:v>405</x:v>
      </x:c>
      <x:c r="L2651" s="8" t="n">
        <x:v>16531</x:v>
      </x:c>
      <x:c r="M2651" s="9" t="n">
        <x:v>0.5743412819</x:v>
      </x:c>
      <x:c r="N2651" s="10" t="n">
        <x:v>37885.3250862017</x:v>
      </x:c>
      <x:c r="O2651" s="9" t="n">
        <x:v>0.0719796817</x:v>
      </x:c>
      <x:c r="P2651" s="9" t="n">
        <x:v>0.4637223975</x:v>
      </x:c>
      <x:c r="Q2651" s="9" t="n">
        <x:v>0.2570977918</x:v>
      </x:c>
      <x:c r="R2651" s="3" t="b">
        <x:v>0</x:v>
      </x:c>
      <x:c r="S2651" s="3" t="b">
        <x:v>0</x:v>
      </x:c>
      <x:c r="T2651" s="3" t="b">
        <x:v>0</x:v>
      </x:c>
      <x:c r="U2651" s="2" t="str">
        <x:f>IF(T2651=TRUE,"Priority review",IF(R2651=TRUE,"High cost",IF(S2651=TRUE,"Low quality","Benchmark")))</x:f>
        <x:v>Benchmark</x:v>
      </x:c>
    </x:row>
    <x:row r="2652">
      <x:c r="A2652" s="2" t="str">
        <x:v>261323</x:v>
      </x:c>
      <x:c r="B2652" s="2" t="str">
        <x:v>CEDAR COUNTY MEMORIAL HOSPITAL</x:v>
      </x:c>
      <x:c r="C2652" s="2" t="str">
        <x:v>EL DORADO SPRINGS</x:v>
      </x:c>
      <x:c r="D2652" s="2" t="str">
        <x:v>MO</x:v>
      </x:c>
      <x:c r="E2652" s="2" t="str">
        <x:v>Critical Access Hospitals</x:v>
      </x:c>
      <x:c r="F2652" s="2" t="str">
        <x:v>Government</x:v>
      </x:c>
      <x:c r="G2652" s="2" t="str">
        <x:v>Small (&lt;100 beds)</x:v>
      </x:c>
      <x:c r="H2652" s="7"/>
      <x:c r="I2652" s="7"/>
      <x:c r="J2652" s="7"/>
      <x:c r="K2652" s="8" t="n">
        <x:v>25</x:v>
      </x:c>
      <x:c r="L2652" s="8" t="n">
        <x:v>173</x:v>
      </x:c>
      <x:c r="M2652" s="9" t="n">
        <x:v>0.1213114754</x:v>
      </x:c>
      <x:c r="N2652" s="10" t="n">
        <x:v>123042.1734104046</x:v>
      </x:c>
      <x:c r="O2652" s="9" t="n">
        <x:v>-0.2083768885</x:v>
      </x:c>
      <x:c r="P2652" s="9" t="n">
        <x:v>0.463197026</x:v>
      </x:c>
      <x:c r="Q2652" s="9" t="n">
        <x:v>0.292936803</x:v>
      </x:c>
      <x:c r="R2652" s="3" t="b">
        <x:v>0</x:v>
      </x:c>
      <x:c r="S2652" s="3" t="b">
        <x:v>0</x:v>
      </x:c>
      <x:c r="T2652" s="3" t="b">
        <x:v>0</x:v>
      </x:c>
      <x:c r="U2652" s="2" t="str">
        <x:f>IF(T2652=TRUE,"Priority review",IF(R2652=TRUE,"High cost",IF(S2652=TRUE,"Low quality","Benchmark")))</x:f>
        <x:v>Benchmark</x:v>
      </x:c>
    </x:row>
    <x:row r="2653">
      <x:c r="A2653" s="2" t="str">
        <x:v>520033</x:v>
      </x:c>
      <x:c r="B2653" s="2" t="str">
        <x:v>ASPIRUS RIVERVIEW HOSPITAL &amp; CLINICS INC</x:v>
      </x:c>
      <x:c r="C2653" s="2" t="str">
        <x:v>WISCONSIN RAPIDS</x:v>
      </x:c>
      <x:c r="D2653" s="2" t="str">
        <x:v>WI</x:v>
      </x:c>
      <x:c r="E2653" s="2" t="str">
        <x:v>Acute Care Hospitals</x:v>
      </x:c>
      <x:c r="F2653" s="2" t="str">
        <x:v>Voluntary non-profit</x:v>
      </x:c>
      <x:c r="G2653" s="2" t="str">
        <x:v>Small (&lt;100 beds)</x:v>
      </x:c>
      <x:c r="H2653" s="7" t="n">
        <x:v>3</x:v>
      </x:c>
      <x:c r="I2653" s="7" t="n">
        <x:v>4</x:v>
      </x:c>
      <x:c r="J2653" s="7" t="n">
        <x:v>0.93</x:v>
      </x:c>
      <x:c r="K2653" s="8" t="n">
        <x:v>38</x:v>
      </x:c>
      <x:c r="L2653" s="8" t="n">
        <x:v>3317</x:v>
      </x:c>
      <x:c r="M2653" s="9" t="n">
        <x:v>0.798879203</x:v>
      </x:c>
      <x:c r="N2653" s="10" t="n">
        <x:v>49497.3473017787</x:v>
      </x:c>
      <x:c r="O2653" s="9" t="n">
        <x:v>-1.657573027</x:v>
      </x:c>
      <x:c r="P2653" s="9" t="n">
        <x:v>0.4631956912</x:v>
      </x:c>
      <x:c r="Q2653" s="9" t="n">
        <x:v>0.1687612208</x:v>
      </x:c>
      <x:c r="R2653" s="3" t="b">
        <x:v>0</x:v>
      </x:c>
      <x:c r="S2653" s="3" t="b">
        <x:v>0</x:v>
      </x:c>
      <x:c r="T2653" s="3" t="b">
        <x:v>0</x:v>
      </x:c>
      <x:c r="U2653" s="2" t="str">
        <x:f>IF(T2653=TRUE,"Priority review",IF(R2653=TRUE,"High cost",IF(S2653=TRUE,"Low quality","Benchmark")))</x:f>
        <x:v>Benchmark</x:v>
      </x:c>
    </x:row>
    <x:row r="2654">
      <x:c r="A2654" s="2" t="str">
        <x:v>040119</x:v>
      </x:c>
      <x:c r="B2654" s="2" t="str">
        <x:v>WHITE RIVER MEDICAL CENTER</x:v>
      </x:c>
      <x:c r="C2654" s="2" t="str">
        <x:v>BATESVILLE</x:v>
      </x:c>
      <x:c r="D2654" s="2" t="str">
        <x:v>AR</x:v>
      </x:c>
      <x:c r="E2654" s="2" t="str">
        <x:v>Acute Care Hospitals</x:v>
      </x:c>
      <x:c r="F2654" s="2" t="str">
        <x:v>Voluntary non-profit</x:v>
      </x:c>
      <x:c r="G2654" s="2" t="str">
        <x:v>Medium (100-299 beds)</x:v>
      </x:c>
      <x:c r="H2654" s="7" t="n">
        <x:v>3</x:v>
      </x:c>
      <x:c r="I2654" s="7" t="n">
        <x:v>3</x:v>
      </x:c>
      <x:c r="J2654" s="7" t="n">
        <x:v>0.99</x:v>
      </x:c>
      <x:c r="K2654" s="8" t="n">
        <x:v>172</x:v>
      </x:c>
      <x:c r="L2654" s="8" t="n">
        <x:v>8438</x:v>
      </x:c>
      <x:c r="M2654" s="9" t="n">
        <x:v>0.5078631338</x:v>
      </x:c>
      <x:c r="N2654" s="10" t="n">
        <x:v>32907.6622422375</x:v>
      </x:c>
      <x:c r="O2654" s="9" t="n">
        <x:v>-0.0943520033</x:v>
      </x:c>
      <x:c r="P2654" s="9" t="n">
        <x:v>0.4629176854</x:v>
      </x:c>
      <x:c r="Q2654" s="9" t="n">
        <x:v>0.3023634882</x:v>
      </x:c>
      <x:c r="R2654" s="3" t="b">
        <x:v>0</x:v>
      </x:c>
      <x:c r="S2654" s="3" t="b">
        <x:v>0</x:v>
      </x:c>
      <x:c r="T2654" s="3" t="b">
        <x:v>0</x:v>
      </x:c>
      <x:c r="U2654" s="2" t="str">
        <x:f>IF(T2654=TRUE,"Priority review",IF(R2654=TRUE,"High cost",IF(S2654=TRUE,"Low quality","Benchmark")))</x:f>
        <x:v>Benchmark</x:v>
      </x:c>
    </x:row>
    <x:row r="2655">
      <x:c r="A2655" s="2" t="str">
        <x:v>454065</x:v>
      </x:c>
      <x:c r="B2655" s="2" t="str">
        <x:v>HICKORY TRAIL HOSPITAL</x:v>
      </x:c>
      <x:c r="C2655" s="2" t="str">
        <x:v>DESOTO</x:v>
      </x:c>
      <x:c r="D2655" s="2" t="str">
        <x:v>TX</x:v>
      </x:c>
      <x:c r="E2655" s="2" t="str">
        <x:v>Psychiatric</x:v>
      </x:c>
      <x:c r="F2655" s="2" t="str">
        <x:v>Proprietary</x:v>
      </x:c>
      <x:c r="G2655" s="2" t="str">
        <x:v>Small (&lt;100 beds)</x:v>
      </x:c>
      <x:c r="H2655" s="7"/>
      <x:c r="I2655" s="7"/>
      <x:c r="J2655" s="7"/>
      <x:c r="K2655" s="8" t="n">
        <x:v>86</x:v>
      </x:c>
      <x:c r="L2655" s="8" t="n">
        <x:v>1998</x:v>
      </x:c>
      <x:c r="M2655" s="9" t="n">
        <x:v>0.8774450462</x:v>
      </x:c>
      <x:c r="N2655" s="10" t="n">
        <x:v>11380.541041041</x:v>
      </x:c>
      <x:c r="O2655" s="9"/>
      <x:c r="P2655" s="9" t="n">
        <x:v>0.4627831715</x:v>
      </x:c>
      <x:c r="Q2655" s="9" t="n">
        <x:v>0</x:v>
      </x:c>
      <x:c r="R2655" s="3" t="b">
        <x:v>0</x:v>
      </x:c>
      <x:c r="S2655" s="3" t="b">
        <x:v>0</x:v>
      </x:c>
      <x:c r="T2655" s="3" t="b">
        <x:v>0</x:v>
      </x:c>
      <x:c r="U2655" s="2" t="str">
        <x:f>IF(T2655=TRUE,"Priority review",IF(R2655=TRUE,"High cost",IF(S2655=TRUE,"Low quality","Benchmark")))</x:f>
        <x:v>Benchmark</x:v>
      </x:c>
    </x:row>
    <x:row r="2656">
      <x:c r="A2656" s="2" t="str">
        <x:v>254005</x:v>
      </x:c>
      <x:c r="B2656" s="2" t="str">
        <x:v>PARKWOOD BEHAVIORAL HEALTH SYSTEM</x:v>
      </x:c>
      <x:c r="C2656" s="2" t="str">
        <x:v>OLIVE BRANCH</x:v>
      </x:c>
      <x:c r="D2656" s="2" t="str">
        <x:v>MS</x:v>
      </x:c>
      <x:c r="E2656" s="2" t="str">
        <x:v>Psychiatric</x:v>
      </x:c>
      <x:c r="F2656" s="2" t="str">
        <x:v>Proprietary</x:v>
      </x:c>
      <x:c r="G2656" s="2" t="str">
        <x:v>Medium (100-299 beds)</x:v>
      </x:c>
      <x:c r="H2656" s="7"/>
      <x:c r="I2656" s="7"/>
      <x:c r="J2656" s="7"/>
      <x:c r="K2656" s="8" t="n">
        <x:v>108</x:v>
      </x:c>
      <x:c r="L2656" s="8" t="n">
        <x:v>2828</x:v>
      </x:c>
      <x:c r="M2656" s="9" t="n">
        <x:v>0.5548218984</x:v>
      </x:c>
      <x:c r="N2656" s="10" t="n">
        <x:v>10549.8978076379</x:v>
      </x:c>
      <x:c r="O2656" s="9" t="n">
        <x:v>0.1869212456</x:v>
      </x:c>
      <x:c r="P2656" s="9" t="n">
        <x:v>0.4626865672</x:v>
      </x:c>
      <x:c r="Q2656" s="9" t="n">
        <x:v>0</x:v>
      </x:c>
      <x:c r="R2656" s="3" t="b">
        <x:v>0</x:v>
      </x:c>
      <x:c r="S2656" s="3" t="b">
        <x:v>0</x:v>
      </x:c>
      <x:c r="T2656" s="3" t="b">
        <x:v>0</x:v>
      </x:c>
      <x:c r="U2656" s="2" t="str">
        <x:f>IF(T2656=TRUE,"Priority review",IF(R2656=TRUE,"High cost",IF(S2656=TRUE,"Low quality","Benchmark")))</x:f>
        <x:v>Benchmark</x:v>
      </x:c>
    </x:row>
    <x:row r="2657">
      <x:c r="A2657" s="2" t="str">
        <x:v>141321</x:v>
      </x:c>
      <x:c r="B2657" s="2" t="str">
        <x:v>FRANKLIN HOSPITAL</x:v>
      </x:c>
      <x:c r="C2657" s="2" t="str">
        <x:v>BENTON</x:v>
      </x:c>
      <x:c r="D2657" s="2" t="str">
        <x:v>IL</x:v>
      </x:c>
      <x:c r="E2657" s="2" t="str">
        <x:v>Critical Access Hospitals</x:v>
      </x:c>
      <x:c r="F2657" s="2" t="str">
        <x:v>Government</x:v>
      </x:c>
      <x:c r="G2657" s="2" t="str">
        <x:v>Small (&lt;100 beds)</x:v>
      </x:c>
      <x:c r="H2657" s="7"/>
      <x:c r="I2657" s="7"/>
      <x:c r="J2657" s="7"/>
      <x:c r="K2657" s="8" t="n">
        <x:v>16</x:v>
      </x:c>
      <x:c r="L2657" s="8" t="n">
        <x:v>267</x:v>
      </x:c>
      <x:c r="M2657" s="9" t="n">
        <x:v>0.2717465753</x:v>
      </x:c>
      <x:c r="N2657" s="10" t="n">
        <x:v>123009.2172284644</x:v>
      </x:c>
      <x:c r="O2657" s="9" t="n">
        <x:v>-0.0811997142</x:v>
      </x:c>
      <x:c r="P2657" s="9" t="n">
        <x:v>0.4624535316</x:v>
      </x:c>
      <x:c r="Q2657" s="9" t="n">
        <x:v>0.292936803</x:v>
      </x:c>
      <x:c r="R2657" s="3" t="b">
        <x:v>0</x:v>
      </x:c>
      <x:c r="S2657" s="3" t="b">
        <x:v>0</x:v>
      </x:c>
      <x:c r="T2657" s="3" t="b">
        <x:v>0</x:v>
      </x:c>
      <x:c r="U2657" s="2" t="str">
        <x:f>IF(T2657=TRUE,"Priority review",IF(R2657=TRUE,"High cost",IF(S2657=TRUE,"Low quality","Benchmark")))</x:f>
        <x:v>Benchmark</x:v>
      </x:c>
    </x:row>
    <x:row r="2658">
      <x:c r="A2658" s="2" t="str">
        <x:v>520038</x:v>
      </x:c>
      <x:c r="B2658" s="2" t="str">
        <x:v>AURORA MEDICAL CTR WASHINGTON COUNTY</x:v>
      </x:c>
      <x:c r="C2658" s="2" t="str">
        <x:v>HARTFORD</x:v>
      </x:c>
      <x:c r="D2658" s="2" t="str">
        <x:v>WI</x:v>
      </x:c>
      <x:c r="E2658" s="2" t="str">
        <x:v>Acute Care Hospitals</x:v>
      </x:c>
      <x:c r="F2658" s="2" t="str">
        <x:v>Voluntary non-profit</x:v>
      </x:c>
      <x:c r="G2658" s="2" t="str">
        <x:v>Small (&lt;100 beds)</x:v>
      </x:c>
      <x:c r="H2658" s="7" t="n">
        <x:v>4</x:v>
      </x:c>
      <x:c r="I2658" s="7" t="n">
        <x:v>4</x:v>
      </x:c>
      <x:c r="J2658" s="7" t="n">
        <x:v>0.84</x:v>
      </x:c>
      <x:c r="K2658" s="8" t="n">
        <x:v>35</x:v>
      </x:c>
      <x:c r="L2658" s="8" t="n">
        <x:v>1302</x:v>
      </x:c>
      <x:c r="M2658" s="9" t="n">
        <x:v>0.32529274</x:v>
      </x:c>
      <x:c r="N2658" s="10" t="n">
        <x:v>49289.4869431644</x:v>
      </x:c>
      <x:c r="O2658" s="9" t="n">
        <x:v>0.2460463433</x:v>
      </x:c>
      <x:c r="P2658" s="9" t="n">
        <x:v>0.4622980251</x:v>
      </x:c>
      <x:c r="Q2658" s="9" t="n">
        <x:v>0.3913824057</x:v>
      </x:c>
      <x:c r="R2658" s="3" t="b">
        <x:v>0</x:v>
      </x:c>
      <x:c r="S2658" s="3" t="b">
        <x:v>0</x:v>
      </x:c>
      <x:c r="T2658" s="3" t="b">
        <x:v>0</x:v>
      </x:c>
      <x:c r="U2658" s="2" t="str">
        <x:f>IF(T2658=TRUE,"Priority review",IF(R2658=TRUE,"High cost",IF(S2658=TRUE,"Low quality","Benchmark")))</x:f>
        <x:v>Benchmark</x:v>
      </x:c>
    </x:row>
    <x:row r="2659">
      <x:c r="A2659" s="2" t="str">
        <x:v>100154</x:v>
      </x:c>
      <x:c r="B2659" s="2" t="str">
        <x:v>SOUTH MIAMI HOSPITAL</x:v>
      </x:c>
      <x:c r="C2659" s="2" t="str">
        <x:v>MIAMI</x:v>
      </x:c>
      <x:c r="D2659" s="2" t="str">
        <x:v>FL</x:v>
      </x:c>
      <x:c r="E2659" s="2" t="str">
        <x:v>Acute Care Hospitals</x:v>
      </x:c>
      <x:c r="F2659" s="2" t="str">
        <x:v>Voluntary non-profit</x:v>
      </x:c>
      <x:c r="G2659" s="2" t="str">
        <x:v>Large (300+ beds)</x:v>
      </x:c>
      <x:c r="H2659" s="7" t="n">
        <x:v>4</x:v>
      </x:c>
      <x:c r="I2659" s="7" t="n">
        <x:v>3</x:v>
      </x:c>
      <x:c r="J2659" s="7" t="n">
        <x:v>1.08</x:v>
      </x:c>
      <x:c r="K2659" s="8" t="n">
        <x:v>336</x:v>
      </x:c>
      <x:c r="L2659" s="8" t="n">
        <x:v>17212</x:v>
      </x:c>
      <x:c r="M2659" s="9" t="n">
        <x:v>0.6138596149</x:v>
      </x:c>
      <x:c r="N2659" s="10" t="n">
        <x:v>37870.248663723</x:v>
      </x:c>
      <x:c r="O2659" s="9" t="n">
        <x:v>0.1648599449</x:v>
      </x:c>
      <x:c r="P2659" s="9" t="n">
        <x:v>0.4621451104</x:v>
      </x:c>
      <x:c r="Q2659" s="9" t="n">
        <x:v>0.5899053628</x:v>
      </x:c>
      <x:c r="R2659" s="3" t="b">
        <x:v>0</x:v>
      </x:c>
      <x:c r="S2659" s="3" t="b">
        <x:v>0</x:v>
      </x:c>
      <x:c r="T2659" s="3" t="b">
        <x:v>0</x:v>
      </x:c>
      <x:c r="U2659" s="2" t="str">
        <x:f>IF(T2659=TRUE,"Priority review",IF(R2659=TRUE,"High cost",IF(S2659=TRUE,"Low quality","Benchmark")))</x:f>
        <x:v>Benchmark</x:v>
      </x:c>
    </x:row>
    <x:row r="2660">
      <x:c r="A2660" s="2" t="str">
        <x:v>390237</x:v>
      </x:c>
      <x:c r="B2660" s="2" t="str">
        <x:v>REGIONAL HOSPITAL OF SCRANTON</x:v>
      </x:c>
      <x:c r="C2660" s="2" t="str">
        <x:v>SCRANTON</x:v>
      </x:c>
      <x:c r="D2660" s="2" t="str">
        <x:v>PA</x:v>
      </x:c>
      <x:c r="E2660" s="2" t="str">
        <x:v>Acute Care Hospitals</x:v>
      </x:c>
      <x:c r="F2660" s="2" t="str">
        <x:v>Proprietary</x:v>
      </x:c>
      <x:c r="G2660" s="2" t="str">
        <x:v>Medium (100-299 beds)</x:v>
      </x:c>
      <x:c r="H2660" s="7" t="n">
        <x:v>2</x:v>
      </x:c>
      <x:c r="I2660" s="7" t="n">
        <x:v>3</x:v>
      </x:c>
      <x:c r="J2660" s="7" t="n">
        <x:v>1.08</x:v>
      </x:c>
      <x:c r="K2660" s="8" t="n">
        <x:v>177</x:v>
      </x:c>
      <x:c r="L2660" s="8" t="n">
        <x:v>7780</x:v>
      </x:c>
      <x:c r="M2660" s="9" t="n">
        <x:v>0.5348163405</x:v>
      </x:c>
      <x:c r="N2660" s="10" t="n">
        <x:v>32893.6892030848</x:v>
      </x:c>
      <x:c r="O2660" s="9" t="n">
        <x:v>-0.2183292474</x:v>
      </x:c>
      <x:c r="P2660" s="9" t="n">
        <x:v>0.4621026895</x:v>
      </x:c>
      <x:c r="Q2660" s="9" t="n">
        <x:v>0.0782396088</x:v>
      </x:c>
      <x:c r="R2660" s="3" t="b">
        <x:v>0</x:v>
      </x:c>
      <x:c r="S2660" s="3" t="b">
        <x:v>1</x:v>
      </x:c>
      <x:c r="T2660" s="3" t="b">
        <x:v>0</x:v>
      </x:c>
      <x:c r="U2660" s="2" t="str">
        <x:f>IF(T2660=TRUE,"Priority review",IF(R2660=TRUE,"High cost",IF(S2660=TRUE,"Low quality","Benchmark")))</x:f>
        <x:v>Low quality</x:v>
      </x:c>
    </x:row>
    <x:row r="2661">
      <x:c r="A2661" s="2" t="str">
        <x:v>171365</x:v>
      </x:c>
      <x:c r="B2661" s="2" t="str">
        <x:v>HANOVER HOSPITAL</x:v>
      </x:c>
      <x:c r="C2661" s="2" t="str">
        <x:v>HANOVER</x:v>
      </x:c>
      <x:c r="D2661" s="2" t="str">
        <x:v>KS</x:v>
      </x:c>
      <x:c r="E2661" s="2" t="str">
        <x:v>Critical Access Hospitals</x:v>
      </x:c>
      <x:c r="F2661" s="2" t="str">
        <x:v>Government</x:v>
      </x:c>
      <x:c r="G2661" s="2" t="str">
        <x:v>Small (&lt;100 beds)</x:v>
      </x:c>
      <x:c r="H2661" s="7"/>
      <x:c r="I2661" s="7"/>
      <x:c r="J2661" s="7"/>
      <x:c r="K2661" s="8" t="n">
        <x:v>25</x:v>
      </x:c>
      <x:c r="L2661" s="8" t="n">
        <x:v>66</x:v>
      </x:c>
      <x:c r="M2661" s="9" t="n">
        <x:v>0.7687431694</x:v>
      </x:c>
      <x:c r="N2661" s="10" t="n">
        <x:v>122943.6818181818</x:v>
      </x:c>
      <x:c r="O2661" s="9" t="n">
        <x:v>-0.2149893067</x:v>
      </x:c>
      <x:c r="P2661" s="9" t="n">
        <x:v>0.4617100372</x:v>
      </x:c>
      <x:c r="Q2661" s="9" t="n">
        <x:v>0.292936803</x:v>
      </x:c>
      <x:c r="R2661" s="3" t="b">
        <x:v>0</x:v>
      </x:c>
      <x:c r="S2661" s="3" t="b">
        <x:v>0</x:v>
      </x:c>
      <x:c r="T2661" s="3" t="b">
        <x:v>0</x:v>
      </x:c>
      <x:c r="U2661" s="2" t="str">
        <x:f>IF(T2661=TRUE,"Priority review",IF(R2661=TRUE,"High cost",IF(S2661=TRUE,"Low quality","Benchmark")))</x:f>
        <x:v>Benchmark</x:v>
      </x:c>
    </x:row>
    <x:row r="2662">
      <x:c r="A2662" s="2" t="str">
        <x:v>320091</x:v>
      </x:c>
      <x:c r="B2662" s="2" t="str">
        <x:v>THREE CROSSES REGIONAL HOSPITAL LLC</x:v>
      </x:c>
      <x:c r="C2662" s="2" t="str">
        <x:v>LAS CRUCES</x:v>
      </x:c>
      <x:c r="D2662" s="2" t="str">
        <x:v>NM</x:v>
      </x:c>
      <x:c r="E2662" s="2" t="str">
        <x:v>Acute Care Hospitals</x:v>
      </x:c>
      <x:c r="F2662" s="2" t="str">
        <x:v>Proprietary</x:v>
      </x:c>
      <x:c r="G2662" s="2" t="str">
        <x:v>Small (&lt;100 beds)</x:v>
      </x:c>
      <x:c r="H2662" s="7" t="n">
        <x:v>3</x:v>
      </x:c>
      <x:c r="I2662" s="7" t="n">
        <x:v>4</x:v>
      </x:c>
      <x:c r="J2662" s="7" t="n">
        <x:v>0.97</x:v>
      </x:c>
      <x:c r="K2662" s="8" t="n">
        <x:v>46</x:v>
      </x:c>
      <x:c r="L2662" s="8" t="n">
        <x:v>2336</x:v>
      </x:c>
      <x:c r="M2662" s="9" t="n">
        <x:v>0.4981587075</x:v>
      </x:c>
      <x:c r="N2662" s="10" t="n">
        <x:v>49236.8167808219</x:v>
      </x:c>
      <x:c r="O2662" s="9" t="n">
        <x:v>-0.641456955</x:v>
      </x:c>
      <x:c r="P2662" s="9" t="n">
        <x:v>0.4614003591</x:v>
      </x:c>
      <x:c r="Q2662" s="9" t="n">
        <x:v>0.1687612208</x:v>
      </x:c>
      <x:c r="R2662" s="3" t="b">
        <x:v>0</x:v>
      </x:c>
      <x:c r="S2662" s="3" t="b">
        <x:v>0</x:v>
      </x:c>
      <x:c r="T2662" s="3" t="b">
        <x:v>0</x:v>
      </x:c>
      <x:c r="U2662" s="2" t="str">
        <x:f>IF(T2662=TRUE,"Priority review",IF(R2662=TRUE,"High cost",IF(S2662=TRUE,"Low quality","Benchmark")))</x:f>
        <x:v>Benchmark</x:v>
      </x:c>
    </x:row>
    <x:row r="2663">
      <x:c r="A2663" s="2" t="str">
        <x:v>220002</x:v>
      </x:c>
      <x:c r="B2663" s="2" t="str">
        <x:v>MOUNT AUBURN HOSPITAL</x:v>
      </x:c>
      <x:c r="C2663" s="2" t="str">
        <x:v>CAMBRIDGE</x:v>
      </x:c>
      <x:c r="D2663" s="2" t="str">
        <x:v>MA</x:v>
      </x:c>
      <x:c r="E2663" s="2" t="str">
        <x:v>Acute Care Hospitals</x:v>
      </x:c>
      <x:c r="F2663" s="2" t="str">
        <x:v>Voluntary non-profit</x:v>
      </x:c>
      <x:c r="G2663" s="2" t="str">
        <x:v>Medium (100-299 beds)</x:v>
      </x:c>
      <x:c r="H2663" s="7" t="n">
        <x:v>4</x:v>
      </x:c>
      <x:c r="I2663" s="7" t="n">
        <x:v>3</x:v>
      </x:c>
      <x:c r="J2663" s="7" t="n">
        <x:v>0.98</x:v>
      </x:c>
      <x:c r="K2663" s="8" t="n">
        <x:v>189</x:v>
      </x:c>
      <x:c r="L2663" s="8" t="n">
        <x:v>11270</x:v>
      </x:c>
      <x:c r="M2663" s="9" t="n">
        <x:v>0.6628791164</x:v>
      </x:c>
      <x:c r="N2663" s="10" t="n">
        <x:v>32884.5747116238</x:v>
      </x:c>
      <x:c r="O2663" s="9" t="n">
        <x:v>-0.1227423874</x:v>
      </x:c>
      <x:c r="P2663" s="9" t="n">
        <x:v>0.4612876936</x:v>
      </x:c>
      <x:c r="Q2663" s="9" t="n">
        <x:v>0.6022819886</x:v>
      </x:c>
      <x:c r="R2663" s="3" t="b">
        <x:v>0</x:v>
      </x:c>
      <x:c r="S2663" s="3" t="b">
        <x:v>0</x:v>
      </x:c>
      <x:c r="T2663" s="3" t="b">
        <x:v>0</x:v>
      </x:c>
      <x:c r="U2663" s="2" t="str">
        <x:f>IF(T2663=TRUE,"Priority review",IF(R2663=TRUE,"High cost",IF(S2663=TRUE,"Low quality","Benchmark")))</x:f>
        <x:v>Benchmark</x:v>
      </x:c>
    </x:row>
    <x:row r="2664">
      <x:c r="A2664" s="2" t="str">
        <x:v>051317</x:v>
      </x:c>
      <x:c r="B2664" s="2" t="str">
        <x:v>ADVENTIST HEALTH CLEARLAKE</x:v>
      </x:c>
      <x:c r="C2664" s="2" t="str">
        <x:v>CLEARLAKE</x:v>
      </x:c>
      <x:c r="D2664" s="2" t="str">
        <x:v>CA</x:v>
      </x:c>
      <x:c r="E2664" s="2" t="str">
        <x:v>Critical Access Hospitals</x:v>
      </x:c>
      <x:c r="F2664" s="2" t="str">
        <x:v>Voluntary non-profit</x:v>
      </x:c>
      <x:c r="G2664" s="2" t="str">
        <x:v>Small (&lt;100 beds)</x:v>
      </x:c>
      <x:c r="H2664" s="7" t="n">
        <x:v>2</x:v>
      </x:c>
      <x:c r="I2664" s="7" t="n">
        <x:v>4</x:v>
      </x:c>
      <x:c r="J2664" s="7"/>
      <x:c r="K2664" s="8" t="n">
        <x:v>25</x:v>
      </x:c>
      <x:c r="L2664" s="8" t="n">
        <x:v>1538</x:v>
      </x:c>
      <x:c r="M2664" s="9" t="n">
        <x:v>0.6408743169</x:v>
      </x:c>
      <x:c r="N2664" s="10" t="n">
        <x:v>122454.6170351105</x:v>
      </x:c>
      <x:c r="O2664" s="9" t="n">
        <x:v>-0.0675368608</x:v>
      </x:c>
      <x:c r="P2664" s="9" t="n">
        <x:v>0.4609665428</x:v>
      </x:c>
      <x:c r="Q2664" s="9" t="n">
        <x:v>0.0171003717</x:v>
      </x:c>
      <x:c r="R2664" s="3" t="b">
        <x:v>0</x:v>
      </x:c>
      <x:c r="S2664" s="3" t="b">
        <x:v>1</x:v>
      </x:c>
      <x:c r="T2664" s="3" t="b">
        <x:v>0</x:v>
      </x:c>
      <x:c r="U2664" s="2" t="str">
        <x:f>IF(T2664=TRUE,"Priority review",IF(R2664=TRUE,"High cost",IF(S2664=TRUE,"Low quality","Benchmark")))</x:f>
        <x:v>Low quality</x:v>
      </x:c>
    </x:row>
    <x:row r="2665">
      <x:c r="A2665" s="2" t="str">
        <x:v>090001</x:v>
      </x:c>
      <x:c r="B2665" s="2" t="str">
        <x:v>GEORGE WASHINGTON UNIV HOSPITAL</x:v>
      </x:c>
      <x:c r="C2665" s="2" t="str">
        <x:v>WASHINGTON</x:v>
      </x:c>
      <x:c r="D2665" s="2" t="str">
        <x:v>DC</x:v>
      </x:c>
      <x:c r="E2665" s="2" t="str">
        <x:v>Acute Care Hospitals</x:v>
      </x:c>
      <x:c r="F2665" s="2" t="str">
        <x:v>Proprietary</x:v>
      </x:c>
      <x:c r="G2665" s="2" t="str">
        <x:v>Large (300+ beds)</x:v>
      </x:c>
      <x:c r="H2665" s="7" t="n">
        <x:v>2</x:v>
      </x:c>
      <x:c r="I2665" s="7" t="n">
        <x:v>2</x:v>
      </x:c>
      <x:c r="J2665" s="7" t="n">
        <x:v>0.98</x:v>
      </x:c>
      <x:c r="K2665" s="8" t="n">
        <x:v>339</x:v>
      </x:c>
      <x:c r="L2665" s="8" t="n">
        <x:v>17094</x:v>
      </x:c>
      <x:c r="M2665" s="9" t="n">
        <x:v>0.7913207363</x:v>
      </x:c>
      <x:c r="N2665" s="10" t="n">
        <x:v>37840.1058851059</x:v>
      </x:c>
      <x:c r="O2665" s="9" t="n">
        <x:v>-0.038411046</x:v>
      </x:c>
      <x:c r="P2665" s="9" t="n">
        <x:v>0.4605678233</x:v>
      </x:c>
      <x:c r="Q2665" s="9" t="n">
        <x:v>0.0536277603</x:v>
      </x:c>
      <x:c r="R2665" s="3" t="b">
        <x:v>0</x:v>
      </x:c>
      <x:c r="S2665" s="3" t="b">
        <x:v>1</x:v>
      </x:c>
      <x:c r="T2665" s="3" t="b">
        <x:v>0</x:v>
      </x:c>
      <x:c r="U2665" s="2" t="str">
        <x:f>IF(T2665=TRUE,"Priority review",IF(R2665=TRUE,"High cost",IF(S2665=TRUE,"Low quality","Benchmark")))</x:f>
        <x:v>Low quality</x:v>
      </x:c>
    </x:row>
    <x:row r="2666">
      <x:c r="A2666" s="2" t="str">
        <x:v>500060</x:v>
      </x:c>
      <x:c r="B2666" s="2" t="str">
        <x:v>CASCADE VALLEY HOSPITAL</x:v>
      </x:c>
      <x:c r="C2666" s="2" t="str">
        <x:v>ARLINGTON</x:v>
      </x:c>
      <x:c r="D2666" s="2" t="str">
        <x:v>WA</x:v>
      </x:c>
      <x:c r="E2666" s="2" t="str">
        <x:v>Acute Care Hospitals</x:v>
      </x:c>
      <x:c r="F2666" s="2" t="str">
        <x:v>Government</x:v>
      </x:c>
      <x:c r="G2666" s="2" t="str">
        <x:v>Small (&lt;100 beds)</x:v>
      </x:c>
      <x:c r="H2666" s="7" t="n">
        <x:v>4</x:v>
      </x:c>
      <x:c r="I2666" s="7" t="n">
        <x:v>2</x:v>
      </x:c>
      <x:c r="J2666" s="7" t="n">
        <x:v>0.87</x:v>
      </x:c>
      <x:c r="K2666" s="8" t="n">
        <x:v>48</x:v>
      </x:c>
      <x:c r="L2666" s="8" t="n">
        <x:v>1994</x:v>
      </x:c>
      <x:c r="M2666" s="9" t="n">
        <x:v>0.5237932605</x:v>
      </x:c>
      <x:c r="N2666" s="10" t="n">
        <x:v>49223.4648946841</x:v>
      </x:c>
      <x:c r="O2666" s="9" t="n">
        <x:v>0.0827802942</x:v>
      </x:c>
      <x:c r="P2666" s="9" t="n">
        <x:v>0.460502693</x:v>
      </x:c>
      <x:c r="Q2666" s="9" t="n">
        <x:v>0.3913824057</x:v>
      </x:c>
      <x:c r="R2666" s="3" t="b">
        <x:v>0</x:v>
      </x:c>
      <x:c r="S2666" s="3" t="b">
        <x:v>0</x:v>
      </x:c>
      <x:c r="T2666" s="3" t="b">
        <x:v>0</x:v>
      </x:c>
      <x:c r="U2666" s="2" t="str">
        <x:f>IF(T2666=TRUE,"Priority review",IF(R2666=TRUE,"High cost",IF(S2666=TRUE,"Low quality","Benchmark")))</x:f>
        <x:v>Benchmark</x:v>
      </x:c>
    </x:row>
    <x:row r="2667">
      <x:c r="A2667" s="2" t="str">
        <x:v>290053</x:v>
      </x:c>
      <x:c r="B2667" s="2" t="str">
        <x:v>SAINT ROSE DOMINICAN HOSPITALS - SAN MARTIN CAMPUS</x:v>
      </x:c>
      <x:c r="C2667" s="2" t="str">
        <x:v>LAS VEGAS</x:v>
      </x:c>
      <x:c r="D2667" s="2" t="str">
        <x:v>NV</x:v>
      </x:c>
      <x:c r="E2667" s="2" t="str">
        <x:v>Acute Care Hospitals</x:v>
      </x:c>
      <x:c r="F2667" s="2" t="str">
        <x:v>Voluntary non-profit</x:v>
      </x:c>
      <x:c r="G2667" s="2" t="str">
        <x:v>Medium (100-299 beds)</x:v>
      </x:c>
      <x:c r="H2667" s="7" t="n">
        <x:v>4</x:v>
      </x:c>
      <x:c r="I2667" s="7" t="n">
        <x:v>4</x:v>
      </x:c>
      <x:c r="J2667" s="7" t="n">
        <x:v>1.12</x:v>
      </x:c>
      <x:c r="K2667" s="8" t="n">
        <x:v>118</x:v>
      </x:c>
      <x:c r="L2667" s="8" t="n">
        <x:v>6837</x:v>
      </x:c>
      <x:c r="M2667" s="9" t="n">
        <x:v>0.6392616671</x:v>
      </x:c>
      <x:c r="N2667" s="10" t="n">
        <x:v>32809.2236360977</x:v>
      </x:c>
      <x:c r="O2667" s="9" t="n">
        <x:v>-0.1823757255</x:v>
      </x:c>
      <x:c r="P2667" s="9" t="n">
        <x:v>0.4604726976</x:v>
      </x:c>
      <x:c r="Q2667" s="9" t="n">
        <x:v>0.6022819886</x:v>
      </x:c>
      <x:c r="R2667" s="3" t="b">
        <x:v>0</x:v>
      </x:c>
      <x:c r="S2667" s="3" t="b">
        <x:v>0</x:v>
      </x:c>
      <x:c r="T2667" s="3" t="b">
        <x:v>0</x:v>
      </x:c>
      <x:c r="U2667" s="2" t="str">
        <x:f>IF(T2667=TRUE,"Priority review",IF(R2667=TRUE,"High cost",IF(S2667=TRUE,"Low quality","Benchmark")))</x:f>
        <x:v>Benchmark</x:v>
      </x:c>
    </x:row>
    <x:row r="2668">
      <x:c r="A2668" s="2" t="str">
        <x:v>281347</x:v>
      </x:c>
      <x:c r="B2668" s="2" t="str">
        <x:v>OSMOND GENERAL HOSPITAL</x:v>
      </x:c>
      <x:c r="C2668" s="2" t="str">
        <x:v>OSMOND</x:v>
      </x:c>
      <x:c r="D2668" s="2" t="str">
        <x:v>NE</x:v>
      </x:c>
      <x:c r="E2668" s="2" t="str">
        <x:v>Critical Access Hospitals</x:v>
      </x:c>
      <x:c r="F2668" s="2" t="str">
        <x:v>Voluntary non-profit</x:v>
      </x:c>
      <x:c r="G2668" s="2" t="str">
        <x:v>Small (&lt;100 beds)</x:v>
      </x:c>
      <x:c r="H2668" s="7"/>
      <x:c r="I2668" s="7"/>
      <x:c r="J2668" s="7"/>
      <x:c r="K2668" s="8" t="n">
        <x:v>20</x:v>
      </x:c>
      <x:c r="L2668" s="8" t="n">
        <x:v>81</x:v>
      </x:c>
      <x:c r="M2668" s="9" t="n">
        <x:v>0.2034246575</x:v>
      </x:c>
      <x:c r="N2668" s="10" t="n">
        <x:v>122190.3209876543</x:v>
      </x:c>
      <x:c r="O2668" s="9" t="n">
        <x:v>-0.0538241177</x:v>
      </x:c>
      <x:c r="P2668" s="9" t="n">
        <x:v>0.4602230483</x:v>
      </x:c>
      <x:c r="Q2668" s="9" t="n">
        <x:v>0.292936803</x:v>
      </x:c>
      <x:c r="R2668" s="3" t="b">
        <x:v>0</x:v>
      </x:c>
      <x:c r="S2668" s="3" t="b">
        <x:v>0</x:v>
      </x:c>
      <x:c r="T2668" s="3" t="b">
        <x:v>0</x:v>
      </x:c>
      <x:c r="U2668" s="2" t="str">
        <x:f>IF(T2668=TRUE,"Priority review",IF(R2668=TRUE,"High cost",IF(S2668=TRUE,"Low quality","Benchmark")))</x:f>
        <x:v>Benchmark</x:v>
      </x:c>
    </x:row>
    <x:row r="2669">
      <x:c r="A2669" s="2" t="str">
        <x:v>390004</x:v>
      </x:c>
      <x:c r="B2669" s="2" t="str">
        <x:v>PENN STATE HEALTH HOLY SPIRIT MEDICAL CENTER</x:v>
      </x:c>
      <x:c r="C2669" s="2" t="str">
        <x:v>CAMP HILL</x:v>
      </x:c>
      <x:c r="D2669" s="2" t="str">
        <x:v>PA</x:v>
      </x:c>
      <x:c r="E2669" s="2" t="str">
        <x:v>Acute Care Hospitals</x:v>
      </x:c>
      <x:c r="F2669" s="2" t="str">
        <x:v>Voluntary non-profit</x:v>
      </x:c>
      <x:c r="G2669" s="2" t="str">
        <x:v>Medium (100-299 beds)</x:v>
      </x:c>
      <x:c r="H2669" s="7" t="n">
        <x:v>3</x:v>
      </x:c>
      <x:c r="I2669" s="7" t="n">
        <x:v>2</x:v>
      </x:c>
      <x:c r="J2669" s="7" t="n">
        <x:v>1.11</x:v>
      </x:c>
      <x:c r="K2669" s="8" t="n">
        <x:v>207</x:v>
      </x:c>
      <x:c r="L2669" s="8" t="n">
        <x:v>10363</x:v>
      </x:c>
      <x:c r="M2669" s="9" t="n">
        <x:v>0.673337304</x:v>
      </x:c>
      <x:c r="N2669" s="10" t="n">
        <x:v>32705.7587571167</x:v>
      </x:c>
      <x:c r="O2669" s="9" t="n">
        <x:v>0.0145590226</x:v>
      </x:c>
      <x:c r="P2669" s="9" t="n">
        <x:v>0.4596577017</x:v>
      </x:c>
      <x:c r="Q2669" s="9" t="n">
        <x:v>0.3023634882</x:v>
      </x:c>
      <x:c r="R2669" s="3" t="b">
        <x:v>0</x:v>
      </x:c>
      <x:c r="S2669" s="3" t="b">
        <x:v>0</x:v>
      </x:c>
      <x:c r="T2669" s="3" t="b">
        <x:v>0</x:v>
      </x:c>
      <x:c r="U2669" s="2" t="str">
        <x:f>IF(T2669=TRUE,"Priority review",IF(R2669=TRUE,"High cost",IF(S2669=TRUE,"Low quality","Benchmark")))</x:f>
        <x:v>Benchmark</x:v>
      </x:c>
    </x:row>
    <x:row r="2670">
      <x:c r="A2670" s="2" t="str">
        <x:v>050783</x:v>
      </x:c>
      <x:c r="B2670" s="2" t="str">
        <x:v>COLUSA MEDICAL CENTER</x:v>
      </x:c>
      <x:c r="C2670" s="2" t="str">
        <x:v>COLUSA</x:v>
      </x:c>
      <x:c r="D2670" s="2" t="str">
        <x:v>CA</x:v>
      </x:c>
      <x:c r="E2670" s="2" t="str">
        <x:v>Acute Care Hospitals</x:v>
      </x:c>
      <x:c r="F2670" s="2" t="str">
        <x:v>Proprietary</x:v>
      </x:c>
      <x:c r="G2670" s="2" t="str">
        <x:v>Small (&lt;100 beds)</x:v>
      </x:c>
      <x:c r="H2670" s="7" t="n">
        <x:v>1</x:v>
      </x:c>
      <x:c r="I2670" s="7"/>
      <x:c r="J2670" s="7" t="n">
        <x:v>0.99</x:v>
      </x:c>
      <x:c r="K2670" s="8" t="n">
        <x:v>42</x:v>
      </x:c>
      <x:c r="L2670" s="8" t="n">
        <x:v>742</x:v>
      </x:c>
      <x:c r="M2670" s="9" t="n">
        <x:v>0.5413088733</x:v>
      </x:c>
      <x:c r="N2670" s="10" t="n">
        <x:v>49215.7425876011</x:v>
      </x:c>
      <x:c r="O2670" s="9" t="n">
        <x:v>0.1118545005</x:v>
      </x:c>
      <x:c r="P2670" s="9" t="n">
        <x:v>0.4596050269</x:v>
      </x:c>
      <x:c r="Q2670" s="9" t="n">
        <x:v>0</x:v>
      </x:c>
      <x:c r="R2670" s="3" t="b">
        <x:v>0</x:v>
      </x:c>
      <x:c r="S2670" s="3" t="b">
        <x:v>1</x:v>
      </x:c>
      <x:c r="T2670" s="3" t="b">
        <x:v>0</x:v>
      </x:c>
      <x:c r="U2670" s="2" t="str">
        <x:f>IF(T2670=TRUE,"Priority review",IF(R2670=TRUE,"High cost",IF(S2670=TRUE,"Low quality","Benchmark")))</x:f>
        <x:v>Low quality</x:v>
      </x:c>
    </x:row>
    <x:row r="2671">
      <x:c r="A2671" s="2" t="str">
        <x:v>524042</x:v>
      </x:c>
      <x:c r="B2671" s="2" t="str">
        <x:v>MIRAMONT BEHAVIORAL HEALTH</x:v>
      </x:c>
      <x:c r="C2671" s="2" t="str">
        <x:v>MIDDLETON</x:v>
      </x:c>
      <x:c r="D2671" s="2" t="str">
        <x:v>WI</x:v>
      </x:c>
      <x:c r="E2671" s="2" t="str">
        <x:v>Psychiatric</x:v>
      </x:c>
      <x:c r="F2671" s="2" t="str">
        <x:v>Proprietary</x:v>
      </x:c>
      <x:c r="G2671" s="2" t="str">
        <x:v>Small (&lt;100 beds)</x:v>
      </x:c>
      <x:c r="H2671" s="7"/>
      <x:c r="I2671" s="7"/>
      <x:c r="J2671" s="7"/>
      <x:c r="K2671" s="8" t="n">
        <x:v>72</x:v>
      </x:c>
      <x:c r="L2671" s="8" t="n">
        <x:v>1774</x:v>
      </x:c>
      <x:c r="M2671" s="9" t="n">
        <x:v>0.4393594414</x:v>
      </x:c>
      <x:c r="N2671" s="10" t="n">
        <x:v>11357.1651634724</x:v>
      </x:c>
      <x:c r="O2671" s="9" t="n">
        <x:v>0.0457959533</x:v>
      </x:c>
      <x:c r="P2671" s="9" t="n">
        <x:v>0.4595469256</x:v>
      </x:c>
      <x:c r="Q2671" s="9" t="n">
        <x:v>0</x:v>
      </x:c>
      <x:c r="R2671" s="3" t="b">
        <x:v>0</x:v>
      </x:c>
      <x:c r="S2671" s="3" t="b">
        <x:v>0</x:v>
      </x:c>
      <x:c r="T2671" s="3" t="b">
        <x:v>0</x:v>
      </x:c>
      <x:c r="U2671" s="2" t="str">
        <x:f>IF(T2671=TRUE,"Priority review",IF(R2671=TRUE,"High cost",IF(S2671=TRUE,"Low quality","Benchmark")))</x:f>
        <x:v>Benchmark</x:v>
      </x:c>
    </x:row>
    <x:row r="2672">
      <x:c r="A2672" s="2" t="str">
        <x:v>521314</x:v>
      </x:c>
      <x:c r="B2672" s="2" t="str">
        <x:v>MAYO CLINIC HEALTH SYSTEM CHIPPEWA VALLEY</x:v>
      </x:c>
      <x:c r="C2672" s="2" t="str">
        <x:v>BLOOMER</x:v>
      </x:c>
      <x:c r="D2672" s="2" t="str">
        <x:v>WI</x:v>
      </x:c>
      <x:c r="E2672" s="2" t="str">
        <x:v>Critical Access Hospitals</x:v>
      </x:c>
      <x:c r="F2672" s="2" t="str">
        <x:v>Voluntary non-profit</x:v>
      </x:c>
      <x:c r="G2672" s="2" t="str">
        <x:v>Small (&lt;100 beds)</x:v>
      </x:c>
      <x:c r="H2672" s="7" t="n">
        <x:v>4</x:v>
      </x:c>
      <x:c r="I2672" s="7" t="n">
        <x:v>4</x:v>
      </x:c>
      <x:c r="J2672" s="7"/>
      <x:c r="K2672" s="8" t="n">
        <x:v>25</x:v>
      </x:c>
      <x:c r="L2672" s="8" t="n">
        <x:v>367</x:v>
      </x:c>
      <x:c r="M2672" s="9" t="n">
        <x:v>0.793989071</x:v>
      </x:c>
      <x:c r="N2672" s="10" t="n">
        <x:v>122074.7901907357</x:v>
      </x:c>
      <x:c r="O2672" s="9" t="n">
        <x:v>0.1890015511</x:v>
      </x:c>
      <x:c r="P2672" s="9" t="n">
        <x:v>0.4594795539</x:v>
      </x:c>
      <x:c r="Q2672" s="9" t="n">
        <x:v>0.1657992565</x:v>
      </x:c>
      <x:c r="R2672" s="3" t="b">
        <x:v>0</x:v>
      </x:c>
      <x:c r="S2672" s="3" t="b">
        <x:v>0</x:v>
      </x:c>
      <x:c r="T2672" s="3" t="b">
        <x:v>0</x:v>
      </x:c>
      <x:c r="U2672" s="2" t="str">
        <x:f>IF(T2672=TRUE,"Priority review",IF(R2672=TRUE,"High cost",IF(S2672=TRUE,"Low quality","Benchmark")))</x:f>
        <x:v>Benchmark</x:v>
      </x:c>
    </x:row>
    <x:row r="2673">
      <x:c r="A2673" s="2" t="str">
        <x:v>390073</x:v>
      </x:c>
      <x:c r="B2673" s="2" t="str">
        <x:v>UPMC ALTOONA</x:v>
      </x:c>
      <x:c r="C2673" s="2" t="str">
        <x:v>ALTOONA</x:v>
      </x:c>
      <x:c r="D2673" s="2" t="str">
        <x:v>PA</x:v>
      </x:c>
      <x:c r="E2673" s="2" t="str">
        <x:v>Acute Care Hospitals</x:v>
      </x:c>
      <x:c r="F2673" s="2" t="str">
        <x:v>Voluntary non-profit</x:v>
      </x:c>
      <x:c r="G2673" s="2" t="str">
        <x:v>Large (300+ beds)</x:v>
      </x:c>
      <x:c r="H2673" s="7" t="n">
        <x:v>3</x:v>
      </x:c>
      <x:c r="I2673" s="7" t="n">
        <x:v>2</x:v>
      </x:c>
      <x:c r="J2673" s="7" t="n">
        <x:v>1.12</x:v>
      </x:c>
      <x:c r="K2673" s="8" t="n">
        <x:v>319</x:v>
      </x:c>
      <x:c r="L2673" s="8" t="n">
        <x:v>15876</x:v>
      </x:c>
      <x:c r="M2673" s="9" t="n">
        <x:v>0.687714411</x:v>
      </x:c>
      <x:c r="N2673" s="10" t="n">
        <x:v>37513.1432350718</x:v>
      </x:c>
      <x:c r="O2673" s="9" t="n">
        <x:v>0.0009706154</x:v>
      </x:c>
      <x:c r="P2673" s="9" t="n">
        <x:v>0.4589905363</x:v>
      </x:c>
      <x:c r="Q2673" s="9" t="n">
        <x:v>0.2570977918</x:v>
      </x:c>
      <x:c r="R2673" s="3" t="b">
        <x:v>0</x:v>
      </x:c>
      <x:c r="S2673" s="3" t="b">
        <x:v>0</x:v>
      </x:c>
      <x:c r="T2673" s="3" t="b">
        <x:v>0</x:v>
      </x:c>
      <x:c r="U2673" s="2" t="str">
        <x:f>IF(T2673=TRUE,"Priority review",IF(R2673=TRUE,"High cost",IF(S2673=TRUE,"Low quality","Benchmark")))</x:f>
        <x:v>Benchmark</x:v>
      </x:c>
    </x:row>
    <x:row r="2674">
      <x:c r="A2674" s="2" t="str">
        <x:v>100183</x:v>
      </x:c>
      <x:c r="B2674" s="2" t="str">
        <x:v>CORAL GABLES HOSPITAL</x:v>
      </x:c>
      <x:c r="C2674" s="2" t="str">
        <x:v>CORAL GABLES</x:v>
      </x:c>
      <x:c r="D2674" s="2" t="str">
        <x:v>FL</x:v>
      </x:c>
      <x:c r="E2674" s="2" t="str">
        <x:v>Acute Care Hospitals</x:v>
      </x:c>
      <x:c r="F2674" s="2" t="str">
        <x:v>Proprietary</x:v>
      </x:c>
      <x:c r="G2674" s="2" t="str">
        <x:v>Medium (100-299 beds)</x:v>
      </x:c>
      <x:c r="H2674" s="7" t="n">
        <x:v>3</x:v>
      </x:c>
      <x:c r="I2674" s="7" t="n">
        <x:v>3</x:v>
      </x:c>
      <x:c r="J2674" s="7" t="n">
        <x:v>1.17</x:v>
      </x:c>
      <x:c r="K2674" s="8" t="n">
        <x:v>245</x:v>
      </x:c>
      <x:c r="L2674" s="8" t="n">
        <x:v>1457</x:v>
      </x:c>
      <x:c r="M2674" s="9" t="n">
        <x:v>0.1212827988</x:v>
      </x:c>
      <x:c r="N2674" s="10" t="n">
        <x:v>32694.2951269732</x:v>
      </x:c>
      <x:c r="O2674" s="9" t="n">
        <x:v>-0.7191500376</x:v>
      </x:c>
      <x:c r="P2674" s="9" t="n">
        <x:v>0.4588427058</x:v>
      </x:c>
      <x:c r="Q2674" s="9" t="n">
        <x:v>0.3023634882</x:v>
      </x:c>
      <x:c r="R2674" s="3" t="b">
        <x:v>0</x:v>
      </x:c>
      <x:c r="S2674" s="3" t="b">
        <x:v>0</x:v>
      </x:c>
      <x:c r="T2674" s="3" t="b">
        <x:v>0</x:v>
      </x:c>
      <x:c r="U2674" s="2" t="str">
        <x:f>IF(T2674=TRUE,"Priority review",IF(R2674=TRUE,"High cost",IF(S2674=TRUE,"Low quality","Benchmark")))</x:f>
        <x:v>Benchmark</x:v>
      </x:c>
    </x:row>
    <x:row r="2675">
      <x:c r="A2675" s="2" t="str">
        <x:v>281362</x:v>
      </x:c>
      <x:c r="B2675" s="2" t="str">
        <x:v>PHELPS MEMORIAL HEALTH CENTER</x:v>
      </x:c>
      <x:c r="C2675" s="2" t="str">
        <x:v>HOLDREGE</x:v>
      </x:c>
      <x:c r="D2675" s="2" t="str">
        <x:v>NE</x:v>
      </x:c>
      <x:c r="E2675" s="2" t="str">
        <x:v>Critical Access Hospitals</x:v>
      </x:c>
      <x:c r="F2675" s="2" t="str">
        <x:v>Voluntary non-profit</x:v>
      </x:c>
      <x:c r="G2675" s="2" t="str">
        <x:v>Small (&lt;100 beds)</x:v>
      </x:c>
      <x:c r="H2675" s="7" t="n">
        <x:v>4</x:v>
      </x:c>
      <x:c r="I2675" s="7" t="n">
        <x:v>5</x:v>
      </x:c>
      <x:c r="J2675" s="7"/>
      <x:c r="K2675" s="8" t="n">
        <x:v>25</x:v>
      </x:c>
      <x:c r="L2675" s="8" t="n">
        <x:v>700</x:v>
      </x:c>
      <x:c r="M2675" s="9" t="n">
        <x:v>0.2933333333</x:v>
      </x:c>
      <x:c r="N2675" s="10" t="n">
        <x:v>121953.6314285714</x:v>
      </x:c>
      <x:c r="O2675" s="9" t="n">
        <x:v>0.0591580579</x:v>
      </x:c>
      <x:c r="P2675" s="9" t="n">
        <x:v>0.4587360595</x:v>
      </x:c>
      <x:c r="Q2675" s="9" t="n">
        <x:v>0.1657992565</x:v>
      </x:c>
      <x:c r="R2675" s="3" t="b">
        <x:v>0</x:v>
      </x:c>
      <x:c r="S2675" s="3" t="b">
        <x:v>0</x:v>
      </x:c>
      <x:c r="T2675" s="3" t="b">
        <x:v>0</x:v>
      </x:c>
      <x:c r="U2675" s="2" t="str">
        <x:f>IF(T2675=TRUE,"Priority review",IF(R2675=TRUE,"High cost",IF(S2675=TRUE,"Low quality","Benchmark")))</x:f>
        <x:v>Benchmark</x:v>
      </x:c>
    </x:row>
    <x:row r="2676">
      <x:c r="A2676" s="2" t="str">
        <x:v>240020</x:v>
      </x:c>
      <x:c r="B2676" s="2" t="str">
        <x:v>CAMBRIDGE MEDICAL CENTER</x:v>
      </x:c>
      <x:c r="C2676" s="2" t="str">
        <x:v>CAMBRIDGE</x:v>
      </x:c>
      <x:c r="D2676" s="2" t="str">
        <x:v>MN</x:v>
      </x:c>
      <x:c r="E2676" s="2" t="str">
        <x:v>Acute Care Hospitals</x:v>
      </x:c>
      <x:c r="F2676" s="2" t="str">
        <x:v>Voluntary non-profit</x:v>
      </x:c>
      <x:c r="G2676" s="2" t="str">
        <x:v>Small (&lt;100 beds)</x:v>
      </x:c>
      <x:c r="H2676" s="7" t="n">
        <x:v>4</x:v>
      </x:c>
      <x:c r="I2676" s="7" t="n">
        <x:v>3</x:v>
      </x:c>
      <x:c r="J2676" s="7" t="n">
        <x:v>0.81</x:v>
      </x:c>
      <x:c r="K2676" s="8" t="n">
        <x:v>32</x:v>
      </x:c>
      <x:c r="L2676" s="8" t="n">
        <x:v>1845</x:v>
      </x:c>
      <x:c r="M2676" s="9" t="n">
        <x:v>0.4323770492</x:v>
      </x:c>
      <x:c r="N2676" s="10" t="n">
        <x:v>48818.2872628726</x:v>
      </x:c>
      <x:c r="O2676" s="9" t="n">
        <x:v>0.0421550716</x:v>
      </x:c>
      <x:c r="P2676" s="9" t="n">
        <x:v>0.4587073609</x:v>
      </x:c>
      <x:c r="Q2676" s="9" t="n">
        <x:v>0.3913824057</x:v>
      </x:c>
      <x:c r="R2676" s="3" t="b">
        <x:v>0</x:v>
      </x:c>
      <x:c r="S2676" s="3" t="b">
        <x:v>0</x:v>
      </x:c>
      <x:c r="T2676" s="3" t="b">
        <x:v>0</x:v>
      </x:c>
      <x:c r="U2676" s="2" t="str">
        <x:f>IF(T2676=TRUE,"Priority review",IF(R2676=TRUE,"High cost",IF(S2676=TRUE,"Low quality","Benchmark")))</x:f>
        <x:v>Benchmark</x:v>
      </x:c>
    </x:row>
    <x:row r="2677">
      <x:c r="A2677" s="2" t="str">
        <x:v>103301</x:v>
      </x:c>
      <x:c r="B2677" s="2" t="str">
        <x:v>NICKLAUS CHILDREN'S HOSPITAL</x:v>
      </x:c>
      <x:c r="C2677" s="2" t="str">
        <x:v>MIAMI</x:v>
      </x:c>
      <x:c r="D2677" s="2" t="str">
        <x:v>FL</x:v>
      </x:c>
      <x:c r="E2677" s="2" t="str">
        <x:v>Childrens</x:v>
      </x:c>
      <x:c r="F2677" s="2" t="str">
        <x:v>Voluntary non-profit</x:v>
      </x:c>
      <x:c r="G2677" s="2" t="str">
        <x:v>Medium (100-299 beds)</x:v>
      </x:c>
      <x:c r="H2677" s="7"/>
      <x:c r="I2677" s="7"/>
      <x:c r="J2677" s="7"/>
      <x:c r="K2677" s="8" t="n">
        <x:v>278</x:v>
      </x:c>
      <x:c r="L2677" s="8" t="n">
        <x:v>10695</x:v>
      </x:c>
      <x:c r="M2677" s="9" t="n">
        <x:v>0.5939379644</x:v>
      </x:c>
      <x:c r="N2677" s="10" t="n">
        <x:v>82734.6834969612</x:v>
      </x:c>
      <x:c r="O2677" s="9" t="n">
        <x:v>0.0780757759</x:v>
      </x:c>
      <x:c r="P2677" s="9" t="n">
        <x:v>0.4583333333</x:v>
      </x:c>
      <x:c r="Q2677" s="9" t="n">
        <x:v>0</x:v>
      </x:c>
      <x:c r="R2677" s="3" t="b">
        <x:v>0</x:v>
      </x:c>
      <x:c r="S2677" s="3" t="b">
        <x:v>0</x:v>
      </x:c>
      <x:c r="T2677" s="3" t="b">
        <x:v>0</x:v>
      </x:c>
      <x:c r="U2677" s="2" t="str">
        <x:f>IF(T2677=TRUE,"Priority review",IF(R2677=TRUE,"High cost",IF(S2677=TRUE,"Low quality","Benchmark")))</x:f>
        <x:v>Benchmark</x:v>
      </x:c>
    </x:row>
    <x:row r="2678">
      <x:c r="A2678" s="2" t="str">
        <x:v>230089</x:v>
      </x:c>
      <x:c r="B2678" s="2" t="str">
        <x:v>BEAUMONT HOSPITAL - GROSSE POINTE</x:v>
      </x:c>
      <x:c r="C2678" s="2" t="str">
        <x:v>GROSSE POINTE</x:v>
      </x:c>
      <x:c r="D2678" s="2" t="str">
        <x:v>MI</x:v>
      </x:c>
      <x:c r="E2678" s="2" t="str">
        <x:v>Acute Care Hospitals</x:v>
      </x:c>
      <x:c r="F2678" s="2" t="str">
        <x:v>Voluntary non-profit</x:v>
      </x:c>
      <x:c r="G2678" s="2" t="str">
        <x:v>Medium (100-299 beds)</x:v>
      </x:c>
      <x:c r="H2678" s="7" t="n">
        <x:v>4</x:v>
      </x:c>
      <x:c r="I2678" s="7" t="n">
        <x:v>3</x:v>
      </x:c>
      <x:c r="J2678" s="7" t="n">
        <x:v>0.92</x:v>
      </x:c>
      <x:c r="K2678" s="8" t="n">
        <x:v>248</x:v>
      </x:c>
      <x:c r="L2678" s="8" t="n">
        <x:v>9144</x:v>
      </x:c>
      <x:c r="M2678" s="9" t="n">
        <x:v>0.4395382236</x:v>
      </x:c>
      <x:c r="N2678" s="10" t="n">
        <x:v>32692.363735783</x:v>
      </x:c>
      <x:c r="O2678" s="9" t="n">
        <x:v>-0.000704995</x:v>
      </x:c>
      <x:c r="P2678" s="9" t="n">
        <x:v>0.4580277099</x:v>
      </x:c>
      <x:c r="Q2678" s="9" t="n">
        <x:v>0.6022819886</x:v>
      </x:c>
      <x:c r="R2678" s="3" t="b">
        <x:v>0</x:v>
      </x:c>
      <x:c r="S2678" s="3" t="b">
        <x:v>0</x:v>
      </x:c>
      <x:c r="T2678" s="3" t="b">
        <x:v>0</x:v>
      </x:c>
      <x:c r="U2678" s="2" t="str">
        <x:f>IF(T2678=TRUE,"Priority review",IF(R2678=TRUE,"High cost",IF(S2678=TRUE,"Low quality","Benchmark")))</x:f>
        <x:v>Benchmark</x:v>
      </x:c>
    </x:row>
    <x:row r="2679">
      <x:c r="A2679" s="2" t="str">
        <x:v>281332</x:v>
      </x:c>
      <x:c r="B2679" s="2" t="str">
        <x:v>BUTLER COUNTY HEALTH</x:v>
      </x:c>
      <x:c r="C2679" s="2" t="str">
        <x:v>DAVID CITY</x:v>
      </x:c>
      <x:c r="D2679" s="2" t="str">
        <x:v>NE</x:v>
      </x:c>
      <x:c r="E2679" s="2" t="str">
        <x:v>Critical Access Hospitals</x:v>
      </x:c>
      <x:c r="F2679" s="2" t="str">
        <x:v>Government</x:v>
      </x:c>
      <x:c r="G2679" s="2" t="str">
        <x:v>Small (&lt;100 beds)</x:v>
      </x:c>
      <x:c r="H2679" s="7"/>
      <x:c r="I2679" s="7"/>
      <x:c r="J2679" s="7"/>
      <x:c r="K2679" s="8" t="n">
        <x:v>20</x:v>
      </x:c>
      <x:c r="L2679" s="8" t="n">
        <x:v>215</x:v>
      </x:c>
      <x:c r="M2679" s="9" t="n">
        <x:v>0.238630137</x:v>
      </x:c>
      <x:c r="N2679" s="10" t="n">
        <x:v>121851.6744186047</x:v>
      </x:c>
      <x:c r="O2679" s="9" t="n">
        <x:v>0.040782886</x:v>
      </x:c>
      <x:c r="P2679" s="9" t="n">
        <x:v>0.4579925651</x:v>
      </x:c>
      <x:c r="Q2679" s="9" t="n">
        <x:v>0.292936803</x:v>
      </x:c>
      <x:c r="R2679" s="3" t="b">
        <x:v>0</x:v>
      </x:c>
      <x:c r="S2679" s="3" t="b">
        <x:v>0</x:v>
      </x:c>
      <x:c r="T2679" s="3" t="b">
        <x:v>0</x:v>
      </x:c>
      <x:c r="U2679" s="2" t="str">
        <x:f>IF(T2679=TRUE,"Priority review",IF(R2679=TRUE,"High cost",IF(S2679=TRUE,"Low quality","Benchmark")))</x:f>
        <x:v>Benchmark</x:v>
      </x:c>
    </x:row>
    <x:row r="2680">
      <x:c r="A2680" s="2" t="str">
        <x:v>250067</x:v>
      </x:c>
      <x:c r="B2680" s="2" t="str">
        <x:v>CLAY COUNTY MEDICAL CORPORATION</x:v>
      </x:c>
      <x:c r="C2680" s="2" t="str">
        <x:v>WEST POINT</x:v>
      </x:c>
      <x:c r="D2680" s="2" t="str">
        <x:v>MS</x:v>
      </x:c>
      <x:c r="E2680" s="2" t="str">
        <x:v>Acute Care Hospitals</x:v>
      </x:c>
      <x:c r="F2680" s="2" t="str">
        <x:v>Voluntary non-profit</x:v>
      </x:c>
      <x:c r="G2680" s="2" t="str">
        <x:v>Small (&lt;100 beds)</x:v>
      </x:c>
      <x:c r="H2680" s="7" t="n">
        <x:v>3</x:v>
      </x:c>
      <x:c r="I2680" s="7" t="n">
        <x:v>4</x:v>
      </x:c>
      <x:c r="J2680" s="7" t="n">
        <x:v>0.9</x:v>
      </x:c>
      <x:c r="K2680" s="8" t="n">
        <x:v>49</x:v>
      </x:c>
      <x:c r="L2680" s="8" t="n">
        <x:v>1037</x:v>
      </x:c>
      <x:c r="M2680" s="9" t="n">
        <x:v>0.3458793353</x:v>
      </x:c>
      <x:c r="N2680" s="10" t="n">
        <x:v>48791.4474445516</x:v>
      </x:c>
      <x:c r="O2680" s="9" t="n">
        <x:v>0.1985975787</x:v>
      </x:c>
      <x:c r="P2680" s="9" t="n">
        <x:v>0.4578096948</x:v>
      </x:c>
      <x:c r="Q2680" s="9" t="n">
        <x:v>0.1687612208</x:v>
      </x:c>
      <x:c r="R2680" s="3" t="b">
        <x:v>0</x:v>
      </x:c>
      <x:c r="S2680" s="3" t="b">
        <x:v>0</x:v>
      </x:c>
      <x:c r="T2680" s="3" t="b">
        <x:v>0</x:v>
      </x:c>
      <x:c r="U2680" s="2" t="str">
        <x:f>IF(T2680=TRUE,"Priority review",IF(R2680=TRUE,"High cost",IF(S2680=TRUE,"Low quality","Benchmark")))</x:f>
        <x:v>Benchmark</x:v>
      </x:c>
    </x:row>
    <x:row r="2681">
      <x:c r="A2681" s="2" t="str">
        <x:v>354004</x:v>
      </x:c>
      <x:c r="B2681" s="2" t="str">
        <x:v>PRAIRIE ST JOHN'S</x:v>
      </x:c>
      <x:c r="C2681" s="2" t="str">
        <x:v>FARGO</x:v>
      </x:c>
      <x:c r="D2681" s="2" t="str">
        <x:v>ND</x:v>
      </x:c>
      <x:c r="E2681" s="2" t="str">
        <x:v>Psychiatric</x:v>
      </x:c>
      <x:c r="F2681" s="2" t="str">
        <x:v>Proprietary</x:v>
      </x:c>
      <x:c r="G2681" s="2" t="str">
        <x:v>Medium (100-299 beds)</x:v>
      </x:c>
      <x:c r="H2681" s="7"/>
      <x:c r="I2681" s="7"/>
      <x:c r="J2681" s="7"/>
      <x:c r="K2681" s="8" t="n">
        <x:v>132</x:v>
      </x:c>
      <x:c r="L2681" s="8" t="n">
        <x:v>4137</x:v>
      </x:c>
      <x:c r="M2681" s="9" t="n">
        <x:v>0.7631644312</x:v>
      </x:c>
      <x:c r="N2681" s="10" t="n">
        <x:v>10546.5076142132</x:v>
      </x:c>
      <x:c r="O2681" s="9" t="n">
        <x:v>-0.0508410878</x:v>
      </x:c>
      <x:c r="P2681" s="9" t="n">
        <x:v>0.4577114428</x:v>
      </x:c>
      <x:c r="Q2681" s="9" t="n">
        <x:v>0</x:v>
      </x:c>
      <x:c r="R2681" s="3" t="b">
        <x:v>0</x:v>
      </x:c>
      <x:c r="S2681" s="3" t="b">
        <x:v>0</x:v>
      </x:c>
      <x:c r="T2681" s="3" t="b">
        <x:v>0</x:v>
      </x:c>
      <x:c r="U2681" s="2" t="str">
        <x:f>IF(T2681=TRUE,"Priority review",IF(R2681=TRUE,"High cost",IF(S2681=TRUE,"Low quality","Benchmark")))</x:f>
        <x:v>Benchmark</x:v>
      </x:c>
    </x:row>
    <x:row r="2682">
      <x:c r="A2682" s="2" t="str">
        <x:v>420078</x:v>
      </x:c>
      <x:c r="B2682" s="2" t="str">
        <x:v>PRISMA HEALTH GREENVILLE MEMORIAL HOSPITAL</x:v>
      </x:c>
      <x:c r="C2682" s="2" t="str">
        <x:v>GREENVILLE</x:v>
      </x:c>
      <x:c r="D2682" s="2" t="str">
        <x:v>SC</x:v>
      </x:c>
      <x:c r="E2682" s="2" t="str">
        <x:v>Acute Care Hospitals</x:v>
      </x:c>
      <x:c r="F2682" s="2" t="str">
        <x:v>Voluntary non-profit</x:v>
      </x:c>
      <x:c r="G2682" s="2" t="str">
        <x:v>Large (300+ beds)</x:v>
      </x:c>
      <x:c r="H2682" s="7" t="n">
        <x:v>4</x:v>
      </x:c>
      <x:c r="I2682" s="7" t="n">
        <x:v>3</x:v>
      </x:c>
      <x:c r="J2682" s="7" t="n">
        <x:v>1.03</x:v>
      </x:c>
      <x:c r="K2682" s="8" t="n">
        <x:v>725</x:v>
      </x:c>
      <x:c r="L2682" s="8" t="n">
        <x:v>43607</x:v>
      </x:c>
      <x:c r="M2682" s="9" t="n">
        <x:v>0.802506124</x:v>
      </x:c>
      <x:c r="N2682" s="10" t="n">
        <x:v>37503.0510927145</x:v>
      </x:c>
      <x:c r="O2682" s="9" t="n">
        <x:v>0.1721250754</x:v>
      </x:c>
      <x:c r="P2682" s="9" t="n">
        <x:v>0.4574132492</x:v>
      </x:c>
      <x:c r="Q2682" s="9" t="n">
        <x:v>0.5899053628</x:v>
      </x:c>
      <x:c r="R2682" s="3" t="b">
        <x:v>0</x:v>
      </x:c>
      <x:c r="S2682" s="3" t="b">
        <x:v>0</x:v>
      </x:c>
      <x:c r="T2682" s="3" t="b">
        <x:v>0</x:v>
      </x:c>
      <x:c r="U2682" s="2" t="str">
        <x:f>IF(T2682=TRUE,"Priority review",IF(R2682=TRUE,"High cost",IF(S2682=TRUE,"Low quality","Benchmark")))</x:f>
        <x:v>Benchmark</x:v>
      </x:c>
    </x:row>
    <x:row r="2683">
      <x:c r="A2683" s="2" t="str">
        <x:v>111323</x:v>
      </x:c>
      <x:c r="B2683" s="2" t="str">
        <x:v>OPTIM MEDICAL CENTER - TATTNALL</x:v>
      </x:c>
      <x:c r="C2683" s="2" t="str">
        <x:v>REIDSVILLE</x:v>
      </x:c>
      <x:c r="D2683" s="2" t="str">
        <x:v>GA</x:v>
      </x:c>
      <x:c r="E2683" s="2" t="str">
        <x:v>Critical Access Hospitals</x:v>
      </x:c>
      <x:c r="F2683" s="2" t="str">
        <x:v>Proprietary</x:v>
      </x:c>
      <x:c r="G2683" s="2" t="str">
        <x:v>Small (&lt;100 beds)</x:v>
      </x:c>
      <x:c r="H2683" s="7"/>
      <x:c r="I2683" s="7" t="n">
        <x:v>4</x:v>
      </x:c>
      <x:c r="J2683" s="7"/>
      <x:c r="K2683" s="8" t="n">
        <x:v>25</x:v>
      </x:c>
      <x:c r="L2683" s="8" t="n">
        <x:v>567</x:v>
      </x:c>
      <x:c r="M2683" s="9" t="n">
        <x:v>0.1195628415</x:v>
      </x:c>
      <x:c r="N2683" s="10" t="n">
        <x:v>121820.0828924162</x:v>
      </x:c>
      <x:c r="O2683" s="9" t="n">
        <x:v>0.4042738992</x:v>
      </x:c>
      <x:c r="P2683" s="9" t="n">
        <x:v>0.4572490706</x:v>
      </x:c>
      <x:c r="Q2683" s="9" t="n">
        <x:v>0.292936803</x:v>
      </x:c>
      <x:c r="R2683" s="3" t="b">
        <x:v>0</x:v>
      </x:c>
      <x:c r="S2683" s="3" t="b">
        <x:v>0</x:v>
      </x:c>
      <x:c r="T2683" s="3" t="b">
        <x:v>0</x:v>
      </x:c>
      <x:c r="U2683" s="2" t="str">
        <x:f>IF(T2683=TRUE,"Priority review",IF(R2683=TRUE,"High cost",IF(S2683=TRUE,"Low quality","Benchmark")))</x:f>
        <x:v>Benchmark</x:v>
      </x:c>
    </x:row>
    <x:row r="2684">
      <x:c r="A2684" s="2" t="str">
        <x:v>390156</x:v>
      </x:c>
      <x:c r="B2684" s="2" t="str">
        <x:v>MERCY CATHOLIC MEDICAL CENTER- MERCY FITZGERALD</x:v>
      </x:c>
      <x:c r="C2684" s="2" t="str">
        <x:v>DARBY</x:v>
      </x:c>
      <x:c r="D2684" s="2" t="str">
        <x:v>PA</x:v>
      </x:c>
      <x:c r="E2684" s="2" t="str">
        <x:v>Acute Care Hospitals</x:v>
      </x:c>
      <x:c r="F2684" s="2" t="str">
        <x:v>Voluntary non-profit</x:v>
      </x:c>
      <x:c r="G2684" s="2" t="str">
        <x:v>Medium (100-299 beds)</x:v>
      </x:c>
      <x:c r="H2684" s="7" t="n">
        <x:v>2</x:v>
      </x:c>
      <x:c r="I2684" s="7" t="n">
        <x:v>2</x:v>
      </x:c>
      <x:c r="J2684" s="7" t="n">
        <x:v>1.04</x:v>
      </x:c>
      <x:c r="K2684" s="8" t="n">
        <x:v>153</x:v>
      </x:c>
      <x:c r="L2684" s="8" t="n">
        <x:v>6942</x:v>
      </x:c>
      <x:c r="M2684" s="9" t="n">
        <x:v>0.5559136897</x:v>
      </x:c>
      <x:c r="N2684" s="10" t="n">
        <x:v>32679.1211466436</x:v>
      </x:c>
      <x:c r="O2684" s="9" t="n">
        <x:v>-0.0866175321</x:v>
      </x:c>
      <x:c r="P2684" s="9" t="n">
        <x:v>0.4572127139</x:v>
      </x:c>
      <x:c r="Q2684" s="9" t="n">
        <x:v>0.0782396088</x:v>
      </x:c>
      <x:c r="R2684" s="3" t="b">
        <x:v>0</x:v>
      </x:c>
      <x:c r="S2684" s="3" t="b">
        <x:v>1</x:v>
      </x:c>
      <x:c r="T2684" s="3" t="b">
        <x:v>0</x:v>
      </x:c>
      <x:c r="U2684" s="2" t="str">
        <x:f>IF(T2684=TRUE,"Priority review",IF(R2684=TRUE,"High cost",IF(S2684=TRUE,"Low quality","Benchmark")))</x:f>
        <x:v>Low quality</x:v>
      </x:c>
    </x:row>
    <x:row r="2685">
      <x:c r="A2685" s="2" t="str">
        <x:v>130071</x:v>
      </x:c>
      <x:c r="B2685" s="2" t="str">
        <x:v>ST LUKE'S NAMPA MEDICAL CENTER</x:v>
      </x:c>
      <x:c r="C2685" s="2" t="str">
        <x:v>NAMPA</x:v>
      </x:c>
      <x:c r="D2685" s="2" t="str">
        <x:v>ID</x:v>
      </x:c>
      <x:c r="E2685" s="2" t="str">
        <x:v>Acute Care Hospitals</x:v>
      </x:c>
      <x:c r="F2685" s="2" t="str">
        <x:v>Voluntary non-profit</x:v>
      </x:c>
      <x:c r="G2685" s="2" t="str">
        <x:v>Small (&lt;100 beds)</x:v>
      </x:c>
      <x:c r="H2685" s="7" t="n">
        <x:v>5</x:v>
      </x:c>
      <x:c r="I2685" s="7" t="n">
        <x:v>4</x:v>
      </x:c>
      <x:c r="J2685" s="7" t="n">
        <x:v>0.92</x:v>
      </x:c>
      <x:c r="K2685" s="8" t="n">
        <x:v>87</x:v>
      </x:c>
      <x:c r="L2685" s="8" t="n">
        <x:v>5208</x:v>
      </x:c>
      <x:c r="M2685" s="9" t="n">
        <x:v>0.6212549463</x:v>
      </x:c>
      <x:c r="N2685" s="10" t="n">
        <x:v>48784.8870967742</x:v>
      </x:c>
      <x:c r="O2685" s="9" t="n">
        <x:v>0.0099925983</x:v>
      </x:c>
      <x:c r="P2685" s="9" t="n">
        <x:v>0.4569120287</x:v>
      </x:c>
      <x:c r="Q2685" s="9" t="n">
        <x:v>0.6131059246</x:v>
      </x:c>
      <x:c r="R2685" s="3" t="b">
        <x:v>0</x:v>
      </x:c>
      <x:c r="S2685" s="3" t="b">
        <x:v>0</x:v>
      </x:c>
      <x:c r="T2685" s="3" t="b">
        <x:v>0</x:v>
      </x:c>
      <x:c r="U2685" s="2" t="str">
        <x:f>IF(T2685=TRUE,"Priority review",IF(R2685=TRUE,"High cost",IF(S2685=TRUE,"Low quality","Benchmark")))</x:f>
        <x:v>Benchmark</x:v>
      </x:c>
    </x:row>
    <x:row r="2686">
      <x:c r="A2686" s="2" t="str">
        <x:v>281346</x:v>
      </x:c>
      <x:c r="B2686" s="2" t="str">
        <x:v>CHI HEALTH PLAINVIEW HOSPITAL</x:v>
      </x:c>
      <x:c r="C2686" s="2" t="str">
        <x:v>PLAINVIEW</x:v>
      </x:c>
      <x:c r="D2686" s="2" t="str">
        <x:v>NE</x:v>
      </x:c>
      <x:c r="E2686" s="2" t="str">
        <x:v>Critical Access Hospitals</x:v>
      </x:c>
      <x:c r="F2686" s="2" t="str">
        <x:v>Voluntary non-profit</x:v>
      </x:c>
      <x:c r="G2686" s="2" t="str">
        <x:v>Small (&lt;100 beds)</x:v>
      </x:c>
      <x:c r="H2686" s="7"/>
      <x:c r="I2686" s="7"/>
      <x:c r="J2686" s="7"/>
      <x:c r="K2686" s="8" t="n">
        <x:v>15</x:v>
      </x:c>
      <x:c r="L2686" s="8" t="n">
        <x:v>96</x:v>
      </x:c>
      <x:c r="M2686" s="9" t="n">
        <x:v>0.1852054795</x:v>
      </x:c>
      <x:c r="N2686" s="10" t="n">
        <x:v>121818.28125</x:v>
      </x:c>
      <x:c r="O2686" s="9" t="n">
        <x:v>0.1256824534</x:v>
      </x:c>
      <x:c r="P2686" s="9" t="n">
        <x:v>0.4565055762</x:v>
      </x:c>
      <x:c r="Q2686" s="9" t="n">
        <x:v>0.292936803</x:v>
      </x:c>
      <x:c r="R2686" s="3" t="b">
        <x:v>0</x:v>
      </x:c>
      <x:c r="S2686" s="3" t="b">
        <x:v>0</x:v>
      </x:c>
      <x:c r="T2686" s="3" t="b">
        <x:v>0</x:v>
      </x:c>
      <x:c r="U2686" s="2" t="str">
        <x:f>IF(T2686=TRUE,"Priority review",IF(R2686=TRUE,"High cost",IF(S2686=TRUE,"Low quality","Benchmark")))</x:f>
        <x:v>Benchmark</x:v>
      </x:c>
    </x:row>
    <x:row r="2687">
      <x:c r="A2687" s="2" t="str">
        <x:v>450011</x:v>
      </x:c>
      <x:c r="B2687" s="2" t="str">
        <x:v>CHI ST JOSEPH HEALTH REGIONAL HOSPITAL</x:v>
      </x:c>
      <x:c r="C2687" s="2" t="str">
        <x:v>BRYAN</x:v>
      </x:c>
      <x:c r="D2687" s="2" t="str">
        <x:v>TX</x:v>
      </x:c>
      <x:c r="E2687" s="2" t="str">
        <x:v>Acute Care Hospitals</x:v>
      </x:c>
      <x:c r="F2687" s="2" t="str">
        <x:v>Voluntary non-profit</x:v>
      </x:c>
      <x:c r="G2687" s="2" t="str">
        <x:v>Medium (100-299 beds)</x:v>
      </x:c>
      <x:c r="H2687" s="7" t="n">
        <x:v>2</x:v>
      </x:c>
      <x:c r="I2687" s="7" t="n">
        <x:v>3</x:v>
      </x:c>
      <x:c r="J2687" s="7" t="n">
        <x:v>1.07</x:v>
      </x:c>
      <x:c r="K2687" s="8" t="n">
        <x:v>284</x:v>
      </x:c>
      <x:c r="L2687" s="8" t="n">
        <x:v>15434</x:v>
      </x:c>
      <x:c r="M2687" s="9" t="n">
        <x:v>0.6346903338</x:v>
      </x:c>
      <x:c r="N2687" s="10" t="n">
        <x:v>32576.0575353117</x:v>
      </x:c>
      <x:c r="O2687" s="9" t="n">
        <x:v>-0.224217445</x:v>
      </x:c>
      <x:c r="P2687" s="9" t="n">
        <x:v>0.456397718</x:v>
      </x:c>
      <x:c r="Q2687" s="9" t="n">
        <x:v>0.0782396088</x:v>
      </x:c>
      <x:c r="R2687" s="3" t="b">
        <x:v>0</x:v>
      </x:c>
      <x:c r="S2687" s="3" t="b">
        <x:v>1</x:v>
      </x:c>
      <x:c r="T2687" s="3" t="b">
        <x:v>0</x:v>
      </x:c>
      <x:c r="U2687" s="2" t="str">
        <x:f>IF(T2687=TRUE,"Priority review",IF(R2687=TRUE,"High cost",IF(S2687=TRUE,"Low quality","Benchmark")))</x:f>
        <x:v>Low quality</x:v>
      </x:c>
    </x:row>
    <x:row r="2688">
      <x:c r="A2688" s="2" t="str">
        <x:v>374026</x:v>
      </x:c>
      <x:c r="B2688" s="2" t="str">
        <x:v>TULSA CENTER FOR BEHAVIORAL HEALTH</x:v>
      </x:c>
      <x:c r="C2688" s="2" t="str">
        <x:v>TULSA</x:v>
      </x:c>
      <x:c r="D2688" s="2" t="str">
        <x:v>OK</x:v>
      </x:c>
      <x:c r="E2688" s="2" t="str">
        <x:v>Psychiatric</x:v>
      </x:c>
      <x:c r="F2688" s="2" t="str">
        <x:v>Government</x:v>
      </x:c>
      <x:c r="G2688" s="2" t="str">
        <x:v>Small (&lt;100 beds)</x:v>
      </x:c>
      <x:c r="H2688" s="7"/>
      <x:c r="I2688" s="7"/>
      <x:c r="J2688" s="7"/>
      <x:c r="K2688" s="8" t="n">
        <x:v>56</x:v>
      </x:c>
      <x:c r="L2688" s="8" t="n">
        <x:v>1715</x:v>
      </x:c>
      <x:c r="M2688" s="9" t="n">
        <x:v>0.7902641879</x:v>
      </x:c>
      <x:c r="N2688" s="10" t="n">
        <x:v>11346.1650145773</x:v>
      </x:c>
      <x:c r="O2688" s="9" t="n">
        <x:v>-8.2140630586</x:v>
      </x:c>
      <x:c r="P2688" s="9" t="n">
        <x:v>0.4563106796</x:v>
      </x:c>
      <x:c r="Q2688" s="9" t="n">
        <x:v>0</x:v>
      </x:c>
      <x:c r="R2688" s="3" t="b">
        <x:v>0</x:v>
      </x:c>
      <x:c r="S2688" s="3" t="b">
        <x:v>0</x:v>
      </x:c>
      <x:c r="T2688" s="3" t="b">
        <x:v>0</x:v>
      </x:c>
      <x:c r="U2688" s="2" t="str">
        <x:f>IF(T2688=TRUE,"Priority review",IF(R2688=TRUE,"High cost",IF(S2688=TRUE,"Low quality","Benchmark")))</x:f>
        <x:v>Benchmark</x:v>
      </x:c>
    </x:row>
    <x:row r="2689">
      <x:c r="A2689" s="2" t="str">
        <x:v>050528</x:v>
      </x:c>
      <x:c r="B2689" s="2" t="str">
        <x:v>MEMORIAL HOSPITAL LOS BANOS</x:v>
      </x:c>
      <x:c r="C2689" s="2" t="str">
        <x:v>LOS BANOS</x:v>
      </x:c>
      <x:c r="D2689" s="2" t="str">
        <x:v>CA</x:v>
      </x:c>
      <x:c r="E2689" s="2" t="str">
        <x:v>Acute Care Hospitals</x:v>
      </x:c>
      <x:c r="F2689" s="2" t="str">
        <x:v>Voluntary non-profit</x:v>
      </x:c>
      <x:c r="G2689" s="2" t="str">
        <x:v>Small (&lt;100 beds)</x:v>
      </x:c>
      <x:c r="H2689" s="7" t="n">
        <x:v>3</x:v>
      </x:c>
      <x:c r="I2689" s="7" t="n">
        <x:v>3</x:v>
      </x:c>
      <x:c r="J2689" s="7" t="n">
        <x:v>1</x:v>
      </x:c>
      <x:c r="K2689" s="8" t="n">
        <x:v>26</x:v>
      </x:c>
      <x:c r="L2689" s="8" t="n">
        <x:v>1924</x:v>
      </x:c>
      <x:c r="M2689" s="9" t="n">
        <x:v>0.6414459857</x:v>
      </x:c>
      <x:c r="N2689" s="10" t="n">
        <x:v>48656.8996881497</x:v>
      </x:c>
      <x:c r="O2689" s="9" t="n">
        <x:v>0.2850709696</x:v>
      </x:c>
      <x:c r="P2689" s="9" t="n">
        <x:v>0.4560143627</x:v>
      </x:c>
      <x:c r="Q2689" s="9" t="n">
        <x:v>0.1687612208</x:v>
      </x:c>
      <x:c r="R2689" s="3" t="b">
        <x:v>0</x:v>
      </x:c>
      <x:c r="S2689" s="3" t="b">
        <x:v>0</x:v>
      </x:c>
      <x:c r="T2689" s="3" t="b">
        <x:v>0</x:v>
      </x:c>
      <x:c r="U2689" s="2" t="str">
        <x:f>IF(T2689=TRUE,"Priority review",IF(R2689=TRUE,"High cost",IF(S2689=TRUE,"Low quality","Benchmark")))</x:f>
        <x:v>Benchmark</x:v>
      </x:c>
    </x:row>
    <x:row r="2690">
      <x:c r="A2690" s="2" t="str">
        <x:v>330286</x:v>
      </x:c>
      <x:c r="B2690" s="2" t="str">
        <x:v>GOOD SAMARITAN HOSPITAL MEDICAL CENTER</x:v>
      </x:c>
      <x:c r="C2690" s="2" t="str">
        <x:v>WEST ISLIP</x:v>
      </x:c>
      <x:c r="D2690" s="2" t="str">
        <x:v>NY</x:v>
      </x:c>
      <x:c r="E2690" s="2" t="str">
        <x:v>Acute Care Hospitals</x:v>
      </x:c>
      <x:c r="F2690" s="2" t="str">
        <x:v>Voluntary non-profit</x:v>
      </x:c>
      <x:c r="G2690" s="2" t="str">
        <x:v>Large (300+ beds)</x:v>
      </x:c>
      <x:c r="H2690" s="7" t="n">
        <x:v>3</x:v>
      </x:c>
      <x:c r="I2690" s="7" t="n">
        <x:v>3</x:v>
      </x:c>
      <x:c r="J2690" s="7" t="n">
        <x:v>1.08</x:v>
      </x:c>
      <x:c r="K2690" s="8" t="n">
        <x:v>426</x:v>
      </x:c>
      <x:c r="L2690" s="8" t="n">
        <x:v>24843</x:v>
      </x:c>
      <x:c r="M2690" s="9" t="n">
        <x:v>0.8463082686</x:v>
      </x:c>
      <x:c r="N2690" s="10" t="n">
        <x:v>37480.9603510043</x:v>
      </x:c>
      <x:c r="O2690" s="9" t="n">
        <x:v>-0.0815214347</x:v>
      </x:c>
      <x:c r="P2690" s="9" t="n">
        <x:v>0.4558359621</x:v>
      </x:c>
      <x:c r="Q2690" s="9" t="n">
        <x:v>0.2570977918</x:v>
      </x:c>
      <x:c r="R2690" s="3" t="b">
        <x:v>0</x:v>
      </x:c>
      <x:c r="S2690" s="3" t="b">
        <x:v>0</x:v>
      </x:c>
      <x:c r="T2690" s="3" t="b">
        <x:v>0</x:v>
      </x:c>
      <x:c r="U2690" s="2" t="str">
        <x:f>IF(T2690=TRUE,"Priority review",IF(R2690=TRUE,"High cost",IF(S2690=TRUE,"Low quality","Benchmark")))</x:f>
        <x:v>Benchmark</x:v>
      </x:c>
    </x:row>
    <x:row r="2691">
      <x:c r="A2691" s="2" t="str">
        <x:v>301310</x:v>
      </x:c>
      <x:c r="B2691" s="2" t="str">
        <x:v>ANDROSCOGGIN VALLEY HOSPITAL</x:v>
      </x:c>
      <x:c r="C2691" s="2" t="str">
        <x:v>BERLIN</x:v>
      </x:c>
      <x:c r="D2691" s="2" t="str">
        <x:v>NH</x:v>
      </x:c>
      <x:c r="E2691" s="2" t="str">
        <x:v>Critical Access Hospitals</x:v>
      </x:c>
      <x:c r="F2691" s="2" t="str">
        <x:v>Voluntary non-profit</x:v>
      </x:c>
      <x:c r="G2691" s="2" t="str">
        <x:v>Small (&lt;100 beds)</x:v>
      </x:c>
      <x:c r="H2691" s="7" t="n">
        <x:v>2</x:v>
      </x:c>
      <x:c r="I2691" s="7" t="n">
        <x:v>4</x:v>
      </x:c>
      <x:c r="J2691" s="7"/>
      <x:c r="K2691" s="8" t="n">
        <x:v>25</x:v>
      </x:c>
      <x:c r="L2691" s="8" t="n">
        <x:v>697</x:v>
      </x:c>
      <x:c r="M2691" s="9" t="n">
        <x:v>0.4589071038</x:v>
      </x:c>
      <x:c r="N2691" s="10" t="n">
        <x:v>121695.4433285509</x:v>
      </x:c>
      <x:c r="O2691" s="9" t="n">
        <x:v>-0.0078238908</x:v>
      </x:c>
      <x:c r="P2691" s="9" t="n">
        <x:v>0.4557620818</x:v>
      </x:c>
      <x:c r="Q2691" s="9" t="n">
        <x:v>0.0171003717</x:v>
      </x:c>
      <x:c r="R2691" s="3" t="b">
        <x:v>0</x:v>
      </x:c>
      <x:c r="S2691" s="3" t="b">
        <x:v>1</x:v>
      </x:c>
      <x:c r="T2691" s="3" t="b">
        <x:v>0</x:v>
      </x:c>
      <x:c r="U2691" s="2" t="str">
        <x:f>IF(T2691=TRUE,"Priority review",IF(R2691=TRUE,"High cost",IF(S2691=TRUE,"Low quality","Benchmark")))</x:f>
        <x:v>Low quality</x:v>
      </x:c>
    </x:row>
    <x:row r="2692">
      <x:c r="A2692" s="2" t="str">
        <x:v>140275</x:v>
      </x:c>
      <x:c r="B2692" s="2" t="str">
        <x:v>GENESIS HLTH SYSTEM DBA GENESIS MDL CTR-ILLINI</x:v>
      </x:c>
      <x:c r="C2692" s="2" t="str">
        <x:v>SILVIS</x:v>
      </x:c>
      <x:c r="D2692" s="2" t="str">
        <x:v>IL</x:v>
      </x:c>
      <x:c r="E2692" s="2" t="str">
        <x:v>Acute Care Hospitals</x:v>
      </x:c>
      <x:c r="F2692" s="2" t="str">
        <x:v>Government</x:v>
      </x:c>
      <x:c r="G2692" s="2" t="str">
        <x:v>Medium (100-299 beds)</x:v>
      </x:c>
      <x:c r="H2692" s="7" t="n">
        <x:v>2</x:v>
      </x:c>
      <x:c r="I2692" s="7" t="n">
        <x:v>2</x:v>
      </x:c>
      <x:c r="J2692" s="7" t="n">
        <x:v>1.11</x:v>
      </x:c>
      <x:c r="K2692" s="8" t="n">
        <x:v>137</x:v>
      </x:c>
      <x:c r="L2692" s="8" t="n">
        <x:v>2951</x:v>
      </x:c>
      <x:c r="M2692" s="9" t="n">
        <x:v>0.2070592941</x:v>
      </x:c>
      <x:c r="N2692" s="10" t="n">
        <x:v>32552.8915621823</x:v>
      </x:c>
      <x:c r="O2692" s="9" t="n">
        <x:v>-0.0805040905</x:v>
      </x:c>
      <x:c r="P2692" s="9" t="n">
        <x:v>0.4555827221</x:v>
      </x:c>
      <x:c r="Q2692" s="9" t="n">
        <x:v>0.0782396088</x:v>
      </x:c>
      <x:c r="R2692" s="3" t="b">
        <x:v>0</x:v>
      </x:c>
      <x:c r="S2692" s="3" t="b">
        <x:v>1</x:v>
      </x:c>
      <x:c r="T2692" s="3" t="b">
        <x:v>0</x:v>
      </x:c>
      <x:c r="U2692" s="2" t="str">
        <x:f>IF(T2692=TRUE,"Priority review",IF(R2692=TRUE,"High cost",IF(S2692=TRUE,"Low quality","Benchmark")))</x:f>
        <x:v>Low quality</x:v>
      </x:c>
    </x:row>
    <x:row r="2693">
      <x:c r="A2693" s="2" t="str">
        <x:v>060044</x:v>
      </x:c>
      <x:c r="B2693" s="2" t="str">
        <x:v>ST ELIZABETH HOSPITAL</x:v>
      </x:c>
      <x:c r="C2693" s="2" t="str">
        <x:v>FORT MORGAN</x:v>
      </x:c>
      <x:c r="D2693" s="2" t="str">
        <x:v>CO</x:v>
      </x:c>
      <x:c r="E2693" s="2" t="str">
        <x:v>Acute Care Hospitals</x:v>
      </x:c>
      <x:c r="F2693" s="2" t="str">
        <x:v>Voluntary non-profit</x:v>
      </x:c>
      <x:c r="G2693" s="2" t="str">
        <x:v>Small (&lt;100 beds)</x:v>
      </x:c>
      <x:c r="H2693" s="7" t="n">
        <x:v>4</x:v>
      </x:c>
      <x:c r="I2693" s="7" t="n">
        <x:v>4</x:v>
      </x:c>
      <x:c r="J2693" s="7" t="n">
        <x:v>0.96</x:v>
      </x:c>
      <x:c r="K2693" s="8" t="n">
        <x:v>19</x:v>
      </x:c>
      <x:c r="L2693" s="8" t="n">
        <x:v>947</x:v>
      </x:c>
      <x:c r="M2693" s="9" t="n">
        <x:v>0.3747656813</x:v>
      </x:c>
      <x:c r="N2693" s="10" t="n">
        <x:v>48617.5934530095</x:v>
      </x:c>
      <x:c r="O2693" s="9" t="n">
        <x:v>-0.0905388499</x:v>
      </x:c>
      <x:c r="P2693" s="9" t="n">
        <x:v>0.4551166966</x:v>
      </x:c>
      <x:c r="Q2693" s="9" t="n">
        <x:v>0.3913824057</x:v>
      </x:c>
      <x:c r="R2693" s="3" t="b">
        <x:v>0</x:v>
      </x:c>
      <x:c r="S2693" s="3" t="b">
        <x:v>0</x:v>
      </x:c>
      <x:c r="T2693" s="3" t="b">
        <x:v>0</x:v>
      </x:c>
      <x:c r="U2693" s="2" t="str">
        <x:f>IF(T2693=TRUE,"Priority review",IF(R2693=TRUE,"High cost",IF(S2693=TRUE,"Low quality","Benchmark")))</x:f>
        <x:v>Benchmark</x:v>
      </x:c>
    </x:row>
    <x:row r="2694">
      <x:c r="A2694" s="2" t="str">
        <x:v>531310</x:v>
      </x:c>
      <x:c r="B2694" s="2" t="str">
        <x:v>POWELL VALLEY HOSPITAL</x:v>
      </x:c>
      <x:c r="C2694" s="2" t="str">
        <x:v>POWELL</x:v>
      </x:c>
      <x:c r="D2694" s="2" t="str">
        <x:v>WY</x:v>
      </x:c>
      <x:c r="E2694" s="2" t="str">
        <x:v>Critical Access Hospitals</x:v>
      </x:c>
      <x:c r="F2694" s="2" t="str">
        <x:v>Government</x:v>
      </x:c>
      <x:c r="G2694" s="2" t="str">
        <x:v>Small (&lt;100 beds)</x:v>
      </x:c>
      <x:c r="H2694" s="7" t="n">
        <x:v>4</x:v>
      </x:c>
      <x:c r="I2694" s="7" t="n">
        <x:v>5</x:v>
      </x:c>
      <x:c r="J2694" s="7"/>
      <x:c r="K2694" s="8" t="n">
        <x:v>25</x:v>
      </x:c>
      <x:c r="L2694" s="8" t="n">
        <x:v>678</x:v>
      </x:c>
      <x:c r="M2694" s="9" t="n">
        <x:v>0.2565479452</x:v>
      </x:c>
      <x:c r="N2694" s="10" t="n">
        <x:v>121666.5383480826</x:v>
      </x:c>
      <x:c r="O2694" s="9" t="n">
        <x:v>-0.1163510345</x:v>
      </x:c>
      <x:c r="P2694" s="9" t="n">
        <x:v>0.4550185874</x:v>
      </x:c>
      <x:c r="Q2694" s="9" t="n">
        <x:v>0.1657992565</x:v>
      </x:c>
      <x:c r="R2694" s="3" t="b">
        <x:v>0</x:v>
      </x:c>
      <x:c r="S2694" s="3" t="b">
        <x:v>0</x:v>
      </x:c>
      <x:c r="T2694" s="3" t="b">
        <x:v>0</x:v>
      </x:c>
      <x:c r="U2694" s="2" t="str">
        <x:f>IF(T2694=TRUE,"Priority review",IF(R2694=TRUE,"High cost",IF(S2694=TRUE,"Low quality","Benchmark")))</x:f>
        <x:v>Benchmark</x:v>
      </x:c>
    </x:row>
    <x:row r="2695">
      <x:c r="A2695" s="2" t="str">
        <x:v>010164</x:v>
      </x:c>
      <x:c r="B2695" s="2" t="str">
        <x:v>COOSA VALLEY MEDICAL CENTER</x:v>
      </x:c>
      <x:c r="C2695" s="2" t="str">
        <x:v>SYLACAUGA</x:v>
      </x:c>
      <x:c r="D2695" s="2" t="str">
        <x:v>AL</x:v>
      </x:c>
      <x:c r="E2695" s="2" t="str">
        <x:v>Acute Care Hospitals</x:v>
      </x:c>
      <x:c r="F2695" s="2" t="str">
        <x:v>Government</x:v>
      </x:c>
      <x:c r="G2695" s="2" t="str">
        <x:v>Medium (100-299 beds)</x:v>
      </x:c>
      <x:c r="H2695" s="7" t="n">
        <x:v>3</x:v>
      </x:c>
      <x:c r="I2695" s="7" t="n">
        <x:v>3</x:v>
      </x:c>
      <x:c r="J2695" s="7" t="n">
        <x:v>0.93</x:v>
      </x:c>
      <x:c r="K2695" s="8" t="n">
        <x:v>122</x:v>
      </x:c>
      <x:c r="L2695" s="8" t="n">
        <x:v>3253</x:v>
      </x:c>
      <x:c r="M2695" s="9" t="n">
        <x:v>0.2674601392</x:v>
      </x:c>
      <x:c r="N2695" s="10" t="n">
        <x:v>32530.9861666154</x:v>
      </x:c>
      <x:c r="O2695" s="9" t="n">
        <x:v>-0.2573567454</x:v>
      </x:c>
      <x:c r="P2695" s="9" t="n">
        <x:v>0.4547677262</x:v>
      </x:c>
      <x:c r="Q2695" s="9" t="n">
        <x:v>0.3023634882</x:v>
      </x:c>
      <x:c r="R2695" s="3" t="b">
        <x:v>0</x:v>
      </x:c>
      <x:c r="S2695" s="3" t="b">
        <x:v>0</x:v>
      </x:c>
      <x:c r="T2695" s="3" t="b">
        <x:v>0</x:v>
      </x:c>
      <x:c r="U2695" s="2" t="str">
        <x:f>IF(T2695=TRUE,"Priority review",IF(R2695=TRUE,"High cost",IF(S2695=TRUE,"Low quality","Benchmark")))</x:f>
        <x:v>Benchmark</x:v>
      </x:c>
    </x:row>
    <x:row r="2696">
      <x:c r="A2696" s="2" t="str">
        <x:v>231330</x:v>
      </x:c>
      <x:c r="B2696" s="2" t="str">
        <x:v>MARLETTE REGIONAL HOSPITAL</x:v>
      </x:c>
      <x:c r="C2696" s="2" t="str">
        <x:v>MARLETTE</x:v>
      </x:c>
      <x:c r="D2696" s="2" t="str">
        <x:v>MI</x:v>
      </x:c>
      <x:c r="E2696" s="2" t="str">
        <x:v>Critical Access Hospitals</x:v>
      </x:c>
      <x:c r="F2696" s="2" t="str">
        <x:v>Voluntary non-profit</x:v>
      </x:c>
      <x:c r="G2696" s="2" t="str">
        <x:v>Small (&lt;100 beds)</x:v>
      </x:c>
      <x:c r="H2696" s="7"/>
      <x:c r="I2696" s="7" t="n">
        <x:v>5</x:v>
      </x:c>
      <x:c r="J2696" s="7"/>
      <x:c r="K2696" s="8" t="n">
        <x:v>25</x:v>
      </x:c>
      <x:c r="L2696" s="8" t="n">
        <x:v>236</x:v>
      </x:c>
      <x:c r="M2696" s="9" t="n">
        <x:v>0.3047826087</x:v>
      </x:c>
      <x:c r="N2696" s="10" t="n">
        <x:v>121654.0254237288</x:v>
      </x:c>
      <x:c r="O2696" s="9" t="n">
        <x:v>-0.215165521</x:v>
      </x:c>
      <x:c r="P2696" s="9" t="n">
        <x:v>0.4542750929</x:v>
      </x:c>
      <x:c r="Q2696" s="9" t="n">
        <x:v>0.292936803</x:v>
      </x:c>
      <x:c r="R2696" s="3" t="b">
        <x:v>0</x:v>
      </x:c>
      <x:c r="S2696" s="3" t="b">
        <x:v>0</x:v>
      </x:c>
      <x:c r="T2696" s="3" t="b">
        <x:v>0</x:v>
      </x:c>
      <x:c r="U2696" s="2" t="str">
        <x:f>IF(T2696=TRUE,"Priority review",IF(R2696=TRUE,"High cost",IF(S2696=TRUE,"Low quality","Benchmark")))</x:f>
        <x:v>Benchmark</x:v>
      </x:c>
    </x:row>
    <x:row r="2697">
      <x:c r="A2697" s="2" t="str">
        <x:v>100034</x:v>
      </x:c>
      <x:c r="B2697" s="2" t="str">
        <x:v>MOUNT SINAI MEDICAL CENTER OF FLORIDA, INC</x:v>
      </x:c>
      <x:c r="C2697" s="2" t="str">
        <x:v>MIAMI BEACH</x:v>
      </x:c>
      <x:c r="D2697" s="2" t="str">
        <x:v>FL</x:v>
      </x:c>
      <x:c r="E2697" s="2" t="str">
        <x:v>Acute Care Hospitals</x:v>
      </x:c>
      <x:c r="F2697" s="2" t="str">
        <x:v>Voluntary non-profit</x:v>
      </x:c>
      <x:c r="G2697" s="2" t="str">
        <x:v>Large (300+ beds)</x:v>
      </x:c>
      <x:c r="H2697" s="7" t="n">
        <x:v>3</x:v>
      </x:c>
      <x:c r="I2697" s="7" t="n">
        <x:v>3</x:v>
      </x:c>
      <x:c r="J2697" s="7" t="n">
        <x:v>1.02</x:v>
      </x:c>
      <x:c r="K2697" s="8" t="n">
        <x:v>481</x:v>
      </x:c>
      <x:c r="L2697" s="8" t="n">
        <x:v>26519</x:v>
      </x:c>
      <x:c r="M2697" s="9" t="n">
        <x:v>0.6929382093</x:v>
      </x:c>
      <x:c r="N2697" s="10" t="n">
        <x:v>37418.0017346054</x:v>
      </x:c>
      <x:c r="O2697" s="9" t="n">
        <x:v>0.0400362642</x:v>
      </x:c>
      <x:c r="P2697" s="9" t="n">
        <x:v>0.4542586751</x:v>
      </x:c>
      <x:c r="Q2697" s="9" t="n">
        <x:v>0.2570977918</x:v>
      </x:c>
      <x:c r="R2697" s="3" t="b">
        <x:v>0</x:v>
      </x:c>
      <x:c r="S2697" s="3" t="b">
        <x:v>0</x:v>
      </x:c>
      <x:c r="T2697" s="3" t="b">
        <x:v>0</x:v>
      </x:c>
      <x:c r="U2697" s="2" t="str">
        <x:f>IF(T2697=TRUE,"Priority review",IF(R2697=TRUE,"High cost",IF(S2697=TRUE,"Low quality","Benchmark")))</x:f>
        <x:v>Benchmark</x:v>
      </x:c>
    </x:row>
    <x:row r="2698">
      <x:c r="A2698" s="2" t="str">
        <x:v>260059</x:v>
      </x:c>
      <x:c r="B2698" s="2" t="str">
        <x:v>MERCY HOSPITAL LEBANON</x:v>
      </x:c>
      <x:c r="C2698" s="2" t="str">
        <x:v>LEBANON</x:v>
      </x:c>
      <x:c r="D2698" s="2" t="str">
        <x:v>MO</x:v>
      </x:c>
      <x:c r="E2698" s="2" t="str">
        <x:v>Acute Care Hospitals</x:v>
      </x:c>
      <x:c r="F2698" s="2" t="str">
        <x:v>Voluntary non-profit</x:v>
      </x:c>
      <x:c r="G2698" s="2" t="str">
        <x:v>Small (&lt;100 beds)</x:v>
      </x:c>
      <x:c r="H2698" s="7" t="n">
        <x:v>4</x:v>
      </x:c>
      <x:c r="I2698" s="7" t="n">
        <x:v>3</x:v>
      </x:c>
      <x:c r="J2698" s="7" t="n">
        <x:v>0.84</x:v>
      </x:c>
      <x:c r="K2698" s="8" t="n">
        <x:v>43</x:v>
      </x:c>
      <x:c r="L2698" s="8" t="n">
        <x:v>1828</x:v>
      </x:c>
      <x:c r="M2698" s="9" t="n">
        <x:v>0.2736540299</x:v>
      </x:c>
      <x:c r="N2698" s="10" t="n">
        <x:v>48460.7035010941</x:v>
      </x:c>
      <x:c r="O2698" s="9" t="n">
        <x:v>0.1997953794</x:v>
      </x:c>
      <x:c r="P2698" s="9" t="n">
        <x:v>0.4542190305</x:v>
      </x:c>
      <x:c r="Q2698" s="9" t="n">
        <x:v>0.3913824057</x:v>
      </x:c>
      <x:c r="R2698" s="3" t="b">
        <x:v>0</x:v>
      </x:c>
      <x:c r="S2698" s="3" t="b">
        <x:v>0</x:v>
      </x:c>
      <x:c r="T2698" s="3" t="b">
        <x:v>0</x:v>
      </x:c>
      <x:c r="U2698" s="2" t="str">
        <x:f>IF(T2698=TRUE,"Priority review",IF(R2698=TRUE,"High cost",IF(S2698=TRUE,"Low quality","Benchmark")))</x:f>
        <x:v>Benchmark</x:v>
      </x:c>
    </x:row>
    <x:row r="2699">
      <x:c r="A2699" s="2" t="str">
        <x:v>110184</x:v>
      </x:c>
      <x:c r="B2699" s="2" t="str">
        <x:v>WELLSTAR DOUGLAS MEDICAL CENTER</x:v>
      </x:c>
      <x:c r="C2699" s="2" t="str">
        <x:v>DOUGLASVILLE</x:v>
      </x:c>
      <x:c r="D2699" s="2" t="str">
        <x:v>GA</x:v>
      </x:c>
      <x:c r="E2699" s="2" t="str">
        <x:v>Acute Care Hospitals</x:v>
      </x:c>
      <x:c r="F2699" s="2" t="str">
        <x:v>Voluntary non-profit</x:v>
      </x:c>
      <x:c r="G2699" s="2" t="str">
        <x:v>Medium (100-299 beds)</x:v>
      </x:c>
      <x:c r="H2699" s="7" t="n">
        <x:v>3</x:v>
      </x:c>
      <x:c r="I2699" s="7" t="n">
        <x:v>3</x:v>
      </x:c>
      <x:c r="J2699" s="7" t="n">
        <x:v>0.91</x:v>
      </x:c>
      <x:c r="K2699" s="8" t="n">
        <x:v>112</x:v>
      </x:c>
      <x:c r="L2699" s="8" t="n">
        <x:v>7991</x:v>
      </x:c>
      <x:c r="M2699" s="9" t="n">
        <x:v>0.8267612524</x:v>
      </x:c>
      <x:c r="N2699" s="10" t="n">
        <x:v>32488.584032036</x:v>
      </x:c>
      <x:c r="O2699" s="9" t="n">
        <x:v>-0.0313181928</x:v>
      </x:c>
      <x:c r="P2699" s="9" t="n">
        <x:v>0.4539527302</x:v>
      </x:c>
      <x:c r="Q2699" s="9" t="n">
        <x:v>0.3023634882</x:v>
      </x:c>
      <x:c r="R2699" s="3" t="b">
        <x:v>0</x:v>
      </x:c>
      <x:c r="S2699" s="3" t="b">
        <x:v>0</x:v>
      </x:c>
      <x:c r="T2699" s="3" t="b">
        <x:v>0</x:v>
      </x:c>
      <x:c r="U2699" s="2" t="str">
        <x:f>IF(T2699=TRUE,"Priority review",IF(R2699=TRUE,"High cost",IF(S2699=TRUE,"Low quality","Benchmark")))</x:f>
        <x:v>Benchmark</x:v>
      </x:c>
    </x:row>
    <x:row r="2700">
      <x:c r="A2700" s="2" t="str">
        <x:v>281344</x:v>
      </x:c>
      <x:c r="B2700" s="2" t="str">
        <x:v>CHERRY COUNTY HOSPITAL</x:v>
      </x:c>
      <x:c r="C2700" s="2" t="str">
        <x:v>VALENTINE</x:v>
      </x:c>
      <x:c r="D2700" s="2" t="str">
        <x:v>NE</x:v>
      </x:c>
      <x:c r="E2700" s="2" t="str">
        <x:v>Critical Access Hospitals</x:v>
      </x:c>
      <x:c r="F2700" s="2" t="str">
        <x:v>Government</x:v>
      </x:c>
      <x:c r="G2700" s="2" t="str">
        <x:v>Small (&lt;100 beds)</x:v>
      </x:c>
      <x:c r="H2700" s="7"/>
      <x:c r="I2700" s="7" t="n">
        <x:v>4</x:v>
      </x:c>
      <x:c r="J2700" s="7"/>
      <x:c r="K2700" s="8" t="n">
        <x:v>25</x:v>
      </x:c>
      <x:c r="L2700" s="8" t="n">
        <x:v>314</x:v>
      </x:c>
      <x:c r="M2700" s="9" t="n">
        <x:v>0.1624109589</x:v>
      </x:c>
      <x:c r="N2700" s="10" t="n">
        <x:v>121645.9936305733</x:v>
      </x:c>
      <x:c r="O2700" s="9" t="n">
        <x:v>-0.1594026312</x:v>
      </x:c>
      <x:c r="P2700" s="9" t="n">
        <x:v>0.4535315985</x:v>
      </x:c>
      <x:c r="Q2700" s="9" t="n">
        <x:v>0.292936803</x:v>
      </x:c>
      <x:c r="R2700" s="3" t="b">
        <x:v>0</x:v>
      </x:c>
      <x:c r="S2700" s="3" t="b">
        <x:v>0</x:v>
      </x:c>
      <x:c r="T2700" s="3" t="b">
        <x:v>0</x:v>
      </x:c>
      <x:c r="U2700" s="2" t="str">
        <x:f>IF(T2700=TRUE,"Priority review",IF(R2700=TRUE,"High cost",IF(S2700=TRUE,"Low quality","Benchmark")))</x:f>
        <x:v>Benchmark</x:v>
      </x:c>
    </x:row>
    <x:row r="2701">
      <x:c r="A2701" s="2" t="str">
        <x:v>240088</x:v>
      </x:c>
      <x:c r="B2701" s="2" t="str">
        <x:v>CENTRACARE- RICE MEMORIAL HOSPITAL</x:v>
      </x:c>
      <x:c r="C2701" s="2" t="str">
        <x:v>WILLMAR</x:v>
      </x:c>
      <x:c r="D2701" s="2" t="str">
        <x:v>MN</x:v>
      </x:c>
      <x:c r="E2701" s="2" t="str">
        <x:v>Acute Care Hospitals</x:v>
      </x:c>
      <x:c r="F2701" s="2" t="str">
        <x:v>Government</x:v>
      </x:c>
      <x:c r="G2701" s="2" t="str">
        <x:v>Small (&lt;100 beds)</x:v>
      </x:c>
      <x:c r="H2701" s="7" t="n">
        <x:v>3</x:v>
      </x:c>
      <x:c r="I2701" s="7" t="n">
        <x:v>3</x:v>
      </x:c>
      <x:c r="J2701" s="7" t="n">
        <x:v>0.85</x:v>
      </x:c>
      <x:c r="K2701" s="8" t="n">
        <x:v>81</x:v>
      </x:c>
      <x:c r="L2701" s="8" t="n">
        <x:v>2990</x:v>
      </x:c>
      <x:c r="M2701" s="9" t="n">
        <x:v>0.3567732116</x:v>
      </x:c>
      <x:c r="N2701" s="10" t="n">
        <x:v>48380.9448160535</x:v>
      </x:c>
      <x:c r="O2701" s="9" t="n">
        <x:v>0.029935542</x:v>
      </x:c>
      <x:c r="P2701" s="9" t="n">
        <x:v>0.4533213645</x:v>
      </x:c>
      <x:c r="Q2701" s="9" t="n">
        <x:v>0.1687612208</x:v>
      </x:c>
      <x:c r="R2701" s="3" t="b">
        <x:v>0</x:v>
      </x:c>
      <x:c r="S2701" s="3" t="b">
        <x:v>0</x:v>
      </x:c>
      <x:c r="T2701" s="3" t="b">
        <x:v>0</x:v>
      </x:c>
      <x:c r="U2701" s="2" t="str">
        <x:f>IF(T2701=TRUE,"Priority review",IF(R2701=TRUE,"High cost",IF(S2701=TRUE,"Low quality","Benchmark")))</x:f>
        <x:v>Benchmark</x:v>
      </x:c>
    </x:row>
    <x:row r="2702">
      <x:c r="A2702" s="2" t="str">
        <x:v>030111</x:v>
      </x:c>
      <x:c r="B2702" s="2" t="str">
        <x:v>BANNER-UNIVERSITY MEDICAL CENTER SOUTH CAMPUS</x:v>
      </x:c>
      <x:c r="C2702" s="2" t="str">
        <x:v>TUCSON</x:v>
      </x:c>
      <x:c r="D2702" s="2" t="str">
        <x:v>AZ</x:v>
      </x:c>
      <x:c r="E2702" s="2" t="str">
        <x:v>Acute Care Hospitals</x:v>
      </x:c>
      <x:c r="F2702" s="2" t="str">
        <x:v>Voluntary non-profit</x:v>
      </x:c>
      <x:c r="G2702" s="2" t="str">
        <x:v>Medium (100-299 beds)</x:v>
      </x:c>
      <x:c r="H2702" s="7" t="n">
        <x:v>4</x:v>
      </x:c>
      <x:c r="I2702" s="7" t="n">
        <x:v>2</x:v>
      </x:c>
      <x:c r="J2702" s="7" t="n">
        <x:v>0.94</x:v>
      </x:c>
      <x:c r="K2702" s="8" t="n">
        <x:v>150</x:v>
      </x:c>
      <x:c r="L2702" s="8" t="n">
        <x:v>7214</x:v>
      </x:c>
      <x:c r="M2702" s="9" t="n">
        <x:v>0.7668263995</x:v>
      </x:c>
      <x:c r="N2702" s="10" t="n">
        <x:v>32458.6811754921</x:v>
      </x:c>
      <x:c r="O2702" s="9" t="n">
        <x:v>0.0118330703</x:v>
      </x:c>
      <x:c r="P2702" s="9" t="n">
        <x:v>0.4531377343</x:v>
      </x:c>
      <x:c r="Q2702" s="9" t="n">
        <x:v>0.6022819886</x:v>
      </x:c>
      <x:c r="R2702" s="3" t="b">
        <x:v>0</x:v>
      </x:c>
      <x:c r="S2702" s="3" t="b">
        <x:v>0</x:v>
      </x:c>
      <x:c r="T2702" s="3" t="b">
        <x:v>0</x:v>
      </x:c>
      <x:c r="U2702" s="2" t="str">
        <x:f>IF(T2702=TRUE,"Priority review",IF(R2702=TRUE,"High cost",IF(S2702=TRUE,"Low quality","Benchmark")))</x:f>
        <x:v>Benchmark</x:v>
      </x:c>
    </x:row>
    <x:row r="2703">
      <x:c r="A2703" s="2" t="str">
        <x:v>114008</x:v>
      </x:c>
      <x:c r="B2703" s="2" t="str">
        <x:v>COASTAL HARBOR TREATMENT CENTER</x:v>
      </x:c>
      <x:c r="C2703" s="2" t="str">
        <x:v>SAVANNAH</x:v>
      </x:c>
      <x:c r="D2703" s="2" t="str">
        <x:v>GA</x:v>
      </x:c>
      <x:c r="E2703" s="2" t="str">
        <x:v>Psychiatric</x:v>
      </x:c>
      <x:c r="F2703" s="2" t="str">
        <x:v>Proprietary</x:v>
      </x:c>
      <x:c r="G2703" s="2" t="str">
        <x:v>Small (&lt;100 beds)</x:v>
      </x:c>
      <x:c r="H2703" s="7"/>
      <x:c r="I2703" s="7"/>
      <x:c r="J2703" s="7"/>
      <x:c r="K2703" s="8" t="n">
        <x:v>94</x:v>
      </x:c>
      <x:c r="L2703" s="8" t="n">
        <x:v>2567</x:v>
      </x:c>
      <x:c r="M2703" s="9" t="n">
        <x:v>0.5538600163</x:v>
      </x:c>
      <x:c r="N2703" s="10" t="n">
        <x:v>11343.1554343592</x:v>
      </x:c>
      <x:c r="O2703" s="9" t="n">
        <x:v>0.1690327556</x:v>
      </x:c>
      <x:c r="P2703" s="9" t="n">
        <x:v>0.4530744337</x:v>
      </x:c>
      <x:c r="Q2703" s="9" t="n">
        <x:v>0</x:v>
      </x:c>
      <x:c r="R2703" s="3" t="b">
        <x:v>0</x:v>
      </x:c>
      <x:c r="S2703" s="3" t="b">
        <x:v>0</x:v>
      </x:c>
      <x:c r="T2703" s="3" t="b">
        <x:v>0</x:v>
      </x:c>
      <x:c r="U2703" s="2" t="str">
        <x:f>IF(T2703=TRUE,"Priority review",IF(R2703=TRUE,"High cost",IF(S2703=TRUE,"Low quality","Benchmark")))</x:f>
        <x:v>Benchmark</x:v>
      </x:c>
    </x:row>
    <x:row r="2704">
      <x:c r="A2704" s="2" t="str">
        <x:v>351327</x:v>
      </x:c>
      <x:c r="B2704" s="2" t="str">
        <x:v>SMP HEALTH ST ALOISIUS</x:v>
      </x:c>
      <x:c r="C2704" s="2" t="str">
        <x:v>HARVEY</x:v>
      </x:c>
      <x:c r="D2704" s="2" t="str">
        <x:v>ND</x:v>
      </x:c>
      <x:c r="E2704" s="2" t="str">
        <x:v>Critical Access Hospitals</x:v>
      </x:c>
      <x:c r="F2704" s="2" t="str">
        <x:v>Voluntary non-profit</x:v>
      </x:c>
      <x:c r="G2704" s="2" t="str">
        <x:v>Small (&lt;100 beds)</x:v>
      </x:c>
      <x:c r="H2704" s="7" t="n">
        <x:v>1</x:v>
      </x:c>
      <x:c r="I2704" s="7"/>
      <x:c r="J2704" s="7"/>
      <x:c r="K2704" s="8" t="n">
        <x:v>25</x:v>
      </x:c>
      <x:c r="L2704" s="8" t="n">
        <x:v>223</x:v>
      </x:c>
      <x:c r="M2704" s="9" t="n">
        <x:v>0.2487431694</x:v>
      </x:c>
      <x:c r="N2704" s="10" t="n">
        <x:v>121587.7892376682</x:v>
      </x:c>
      <x:c r="O2704" s="9" t="n">
        <x:v>-0.0359192538</x:v>
      </x:c>
      <x:c r="P2704" s="9" t="n">
        <x:v>0.4527881041</x:v>
      </x:c>
      <x:c r="Q2704" s="9" t="n">
        <x:v>0</x:v>
      </x:c>
      <x:c r="R2704" s="3" t="b">
        <x:v>0</x:v>
      </x:c>
      <x:c r="S2704" s="3" t="b">
        <x:v>1</x:v>
      </x:c>
      <x:c r="T2704" s="3" t="b">
        <x:v>0</x:v>
      </x:c>
      <x:c r="U2704" s="2" t="str">
        <x:f>IF(T2704=TRUE,"Priority review",IF(R2704=TRUE,"High cost",IF(S2704=TRUE,"Low quality","Benchmark")))</x:f>
        <x:v>Low quality</x:v>
      </x:c>
    </x:row>
    <x:row r="2705">
      <x:c r="A2705" s="2" t="str">
        <x:v>054158</x:v>
      </x:c>
      <x:c r="B2705" s="2" t="str">
        <x:v>ALISO RIDGE BEHAVIORAL HEALTH, LLC</x:v>
      </x:c>
      <x:c r="C2705" s="2" t="str">
        <x:v>ALISO VIEJO</x:v>
      </x:c>
      <x:c r="D2705" s="2" t="str">
        <x:v>CA</x:v>
      </x:c>
      <x:c r="E2705" s="2" t="str">
        <x:v>Psychiatric</x:v>
      </x:c>
      <x:c r="F2705" s="2" t="str">
        <x:v>Proprietary</x:v>
      </x:c>
      <x:c r="G2705" s="2" t="str">
        <x:v>Medium (100-299 beds)</x:v>
      </x:c>
      <x:c r="H2705" s="7"/>
      <x:c r="I2705" s="7"/>
      <x:c r="J2705" s="7"/>
      <x:c r="K2705" s="8" t="n">
        <x:v>119</x:v>
      </x:c>
      <x:c r="L2705" s="8" t="n">
        <x:v>3639</x:v>
      </x:c>
      <x:c r="M2705" s="9" t="n">
        <x:v>0.8042200487</x:v>
      </x:c>
      <x:c r="N2705" s="10" t="n">
        <x:v>10538.5847760374</x:v>
      </x:c>
      <x:c r="O2705" s="9" t="n">
        <x:v>0.0006037566</x:v>
      </x:c>
      <x:c r="P2705" s="9" t="n">
        <x:v>0.4527363184</x:v>
      </x:c>
      <x:c r="Q2705" s="9" t="n">
        <x:v>0</x:v>
      </x:c>
      <x:c r="R2705" s="3" t="b">
        <x:v>0</x:v>
      </x:c>
      <x:c r="S2705" s="3" t="b">
        <x:v>0</x:v>
      </x:c>
      <x:c r="T2705" s="3" t="b">
        <x:v>0</x:v>
      </x:c>
      <x:c r="U2705" s="2" t="str">
        <x:f>IF(T2705=TRUE,"Priority review",IF(R2705=TRUE,"High cost",IF(S2705=TRUE,"Low quality","Benchmark")))</x:f>
        <x:v>Benchmark</x:v>
      </x:c>
    </x:row>
    <x:row r="2706">
      <x:c r="A2706" s="2" t="str">
        <x:v>110064</x:v>
      </x:c>
      <x:c r="B2706" s="2" t="str">
        <x:v>PIEDMONT COLUMBUS REGIONAL MIDTOWN</x:v>
      </x:c>
      <x:c r="C2706" s="2" t="str">
        <x:v>COLUMBUS</x:v>
      </x:c>
      <x:c r="D2706" s="2" t="str">
        <x:v>GA</x:v>
      </x:c>
      <x:c r="E2706" s="2" t="str">
        <x:v>Acute Care Hospitals</x:v>
      </x:c>
      <x:c r="F2706" s="2" t="str">
        <x:v>Voluntary non-profit</x:v>
      </x:c>
      <x:c r="G2706" s="2" t="str">
        <x:v>Large (300+ beds)</x:v>
      </x:c>
      <x:c r="H2706" s="7" t="n">
        <x:v>2</x:v>
      </x:c>
      <x:c r="I2706" s="7" t="n">
        <x:v>2</x:v>
      </x:c>
      <x:c r="J2706" s="7" t="n">
        <x:v>1.08</x:v>
      </x:c>
      <x:c r="K2706" s="8" t="n">
        <x:v>336</x:v>
      </x:c>
      <x:c r="L2706" s="8" t="n">
        <x:v>15757</x:v>
      </x:c>
      <x:c r="M2706" s="9" t="n">
        <x:v>0.6927268149</x:v>
      </x:c>
      <x:c r="N2706" s="10" t="n">
        <x:v>37387.1280700641</x:v>
      </x:c>
      <x:c r="O2706" s="9" t="n">
        <x:v>0.041591946</x:v>
      </x:c>
      <x:c r="P2706" s="9" t="n">
        <x:v>0.452681388</x:v>
      </x:c>
      <x:c r="Q2706" s="9" t="n">
        <x:v>0.0536277603</x:v>
      </x:c>
      <x:c r="R2706" s="3" t="b">
        <x:v>0</x:v>
      </x:c>
      <x:c r="S2706" s="3" t="b">
        <x:v>1</x:v>
      </x:c>
      <x:c r="T2706" s="3" t="b">
        <x:v>0</x:v>
      </x:c>
      <x:c r="U2706" s="2" t="str">
        <x:f>IF(T2706=TRUE,"Priority review",IF(R2706=TRUE,"High cost",IF(S2706=TRUE,"Low quality","Benchmark")))</x:f>
        <x:v>Low quality</x:v>
      </x:c>
    </x:row>
    <x:row r="2707">
      <x:c r="A2707" s="2" t="str">
        <x:v>180016</x:v>
      </x:c>
      <x:c r="B2707" s="2" t="str">
        <x:v>UOFL HEALTH - SHELBYVILLE HOSPITAL</x:v>
      </x:c>
      <x:c r="C2707" s="2" t="str">
        <x:v>SHELBYVILLE</x:v>
      </x:c>
      <x:c r="D2707" s="2" t="str">
        <x:v>KY</x:v>
      </x:c>
      <x:c r="E2707" s="2" t="str">
        <x:v>Acute Care Hospitals</x:v>
      </x:c>
      <x:c r="F2707" s="2" t="str">
        <x:v>Voluntary non-profit</x:v>
      </x:c>
      <x:c r="G2707" s="2" t="str">
        <x:v>Small (&lt;100 beds)</x:v>
      </x:c>
      <x:c r="H2707" s="7" t="n">
        <x:v>3</x:v>
      </x:c>
      <x:c r="I2707" s="7" t="n">
        <x:v>3</x:v>
      </x:c>
      <x:c r="J2707" s="7" t="n">
        <x:v>0.92</x:v>
      </x:c>
      <x:c r="K2707" s="8" t="n">
        <x:v>32</x:v>
      </x:c>
      <x:c r="L2707" s="8" t="n">
        <x:v>917</x:v>
      </x:c>
      <x:c r="M2707" s="9" t="n">
        <x:v>0.2220890411</x:v>
      </x:c>
      <x:c r="N2707" s="10" t="n">
        <x:v>48363.6161395856</x:v>
      </x:c>
      <x:c r="O2707" s="9" t="n">
        <x:v>-0.1720182644</x:v>
      </x:c>
      <x:c r="P2707" s="9" t="n">
        <x:v>0.4524236984</x:v>
      </x:c>
      <x:c r="Q2707" s="9" t="n">
        <x:v>0.1687612208</x:v>
      </x:c>
      <x:c r="R2707" s="3" t="b">
        <x:v>0</x:v>
      </x:c>
      <x:c r="S2707" s="3" t="b">
        <x:v>0</x:v>
      </x:c>
      <x:c r="T2707" s="3" t="b">
        <x:v>0</x:v>
      </x:c>
      <x:c r="U2707" s="2" t="str">
        <x:f>IF(T2707=TRUE,"Priority review",IF(R2707=TRUE,"High cost",IF(S2707=TRUE,"Low quality","Benchmark")))</x:f>
        <x:v>Benchmark</x:v>
      </x:c>
    </x:row>
    <x:row r="2708">
      <x:c r="A2708" s="2" t="str">
        <x:v>030123</x:v>
      </x:c>
      <x:c r="B2708" s="2" t="str">
        <x:v>HONORHEALTH SCOTTSDALE THOMPSON PEAK MED CTR</x:v>
      </x:c>
      <x:c r="C2708" s="2" t="str">
        <x:v>SCOTTSDALE</x:v>
      </x:c>
      <x:c r="D2708" s="2" t="str">
        <x:v>AZ</x:v>
      </x:c>
      <x:c r="E2708" s="2" t="str">
        <x:v>Acute Care Hospitals</x:v>
      </x:c>
      <x:c r="F2708" s="2" t="str">
        <x:v>Voluntary non-profit</x:v>
      </x:c>
      <x:c r="G2708" s="2" t="str">
        <x:v>Medium (100-299 beds)</x:v>
      </x:c>
      <x:c r="H2708" s="7" t="n">
        <x:v>5</x:v>
      </x:c>
      <x:c r="I2708" s="7" t="n">
        <x:v>3</x:v>
      </x:c>
      <x:c r="J2708" s="7" t="n">
        <x:v>0.94</x:v>
      </x:c>
      <x:c r="K2708" s="8" t="n">
        <x:v>120</x:v>
      </x:c>
      <x:c r="L2708" s="8" t="n">
        <x:v>6437</x:v>
      </x:c>
      <x:c r="M2708" s="9" t="n">
        <x:v>0.5856785064</x:v>
      </x:c>
      <x:c r="N2708" s="10" t="n">
        <x:v>32456.071617213</x:v>
      </x:c>
      <x:c r="O2708" s="9" t="n">
        <x:v>-0.0097123803</x:v>
      </x:c>
      <x:c r="P2708" s="9" t="n">
        <x:v>0.4523227384</x:v>
      </x:c>
      <x:c r="Q2708" s="9" t="n">
        <x:v>0.8744906275</x:v>
      </x:c>
      <x:c r="R2708" s="3" t="b">
        <x:v>0</x:v>
      </x:c>
      <x:c r="S2708" s="3" t="b">
        <x:v>0</x:v>
      </x:c>
      <x:c r="T2708" s="3" t="b">
        <x:v>0</x:v>
      </x:c>
      <x:c r="U2708" s="2" t="str">
        <x:f>IF(T2708=TRUE,"Priority review",IF(R2708=TRUE,"High cost",IF(S2708=TRUE,"Low quality","Benchmark")))</x:f>
        <x:v>Benchmark</x:v>
      </x:c>
    </x:row>
    <x:row r="2709">
      <x:c r="A2709" s="2" t="str">
        <x:v>501310</x:v>
      </x:c>
      <x:c r="B2709" s="2" t="str">
        <x:v>NEWPORT COMMUNITY HOSPITAL</x:v>
      </x:c>
      <x:c r="C2709" s="2" t="str">
        <x:v>NEWPORT</x:v>
      </x:c>
      <x:c r="D2709" s="2" t="str">
        <x:v>WA</x:v>
      </x:c>
      <x:c r="E2709" s="2" t="str">
        <x:v>Critical Access Hospitals</x:v>
      </x:c>
      <x:c r="F2709" s="2" t="str">
        <x:v>Government</x:v>
      </x:c>
      <x:c r="G2709" s="2" t="str">
        <x:v>Small (&lt;100 beds)</x:v>
      </x:c>
      <x:c r="H2709" s="7"/>
      <x:c r="I2709" s="7"/>
      <x:c r="J2709" s="7"/>
      <x:c r="K2709" s="8" t="n">
        <x:v>20</x:v>
      </x:c>
      <x:c r="L2709" s="8" t="n">
        <x:v>402</x:v>
      </x:c>
      <x:c r="M2709" s="9" t="n">
        <x:v>0.2647540984</x:v>
      </x:c>
      <x:c r="N2709" s="10" t="n">
        <x:v>121573.6194029851</x:v>
      </x:c>
      <x:c r="O2709" s="9" t="n">
        <x:v>0.0188914102</x:v>
      </x:c>
      <x:c r="P2709" s="9" t="n">
        <x:v>0.4520446097</x:v>
      </x:c>
      <x:c r="Q2709" s="9" t="n">
        <x:v>0.292936803</x:v>
      </x:c>
      <x:c r="R2709" s="3" t="b">
        <x:v>0</x:v>
      </x:c>
      <x:c r="S2709" s="3" t="b">
        <x:v>0</x:v>
      </x:c>
      <x:c r="T2709" s="3" t="b">
        <x:v>0</x:v>
      </x:c>
      <x:c r="U2709" s="2" t="str">
        <x:f>IF(T2709=TRUE,"Priority review",IF(R2709=TRUE,"High cost",IF(S2709=TRUE,"Low quality","Benchmark")))</x:f>
        <x:v>Benchmark</x:v>
      </x:c>
    </x:row>
    <x:row r="2710">
      <x:c r="A2710" s="2" t="str">
        <x:v>450654</x:v>
      </x:c>
      <x:c r="B2710" s="2" t="str">
        <x:v>STARR COUNTY MEMORIAL HOSPITAL</x:v>
      </x:c>
      <x:c r="C2710" s="2" t="str">
        <x:v>RIO GRANDE CITY</x:v>
      </x:c>
      <x:c r="D2710" s="2" t="str">
        <x:v>TX</x:v>
      </x:c>
      <x:c r="E2710" s="2" t="str">
        <x:v>Acute Care Hospitals</x:v>
      </x:c>
      <x:c r="F2710" s="2" t="str">
        <x:v>Government</x:v>
      </x:c>
      <x:c r="G2710" s="2" t="str">
        <x:v>Small (&lt;100 beds)</x:v>
      </x:c>
      <x:c r="H2710" s="7" t="n">
        <x:v>2</x:v>
      </x:c>
      <x:c r="I2710" s="7"/>
      <x:c r="J2710" s="7" t="n">
        <x:v>1.01</x:v>
      </x:c>
      <x:c r="K2710" s="8" t="n">
        <x:v>48</x:v>
      </x:c>
      <x:c r="L2710" s="8" t="n">
        <x:v>1049</x:v>
      </x:c>
      <x:c r="M2710" s="9" t="n">
        <x:v>0.2207991803</x:v>
      </x:c>
      <x:c r="N2710" s="10" t="n">
        <x:v>48313.7483317445</x:v>
      </x:c>
      <x:c r="O2710" s="9" t="n">
        <x:v>-0.1963883469</x:v>
      </x:c>
      <x:c r="P2710" s="9" t="n">
        <x:v>0.4515260323</x:v>
      </x:c>
      <x:c r="Q2710" s="9" t="n">
        <x:v>0.0350089767</x:v>
      </x:c>
      <x:c r="R2710" s="3" t="b">
        <x:v>0</x:v>
      </x:c>
      <x:c r="S2710" s="3" t="b">
        <x:v>1</x:v>
      </x:c>
      <x:c r="T2710" s="3" t="b">
        <x:v>0</x:v>
      </x:c>
      <x:c r="U2710" s="2" t="str">
        <x:f>IF(T2710=TRUE,"Priority review",IF(R2710=TRUE,"High cost",IF(S2710=TRUE,"Low quality","Benchmark")))</x:f>
        <x:v>Low quality</x:v>
      </x:c>
    </x:row>
    <x:row r="2711">
      <x:c r="A2711" s="2" t="str">
        <x:v>220010</x:v>
      </x:c>
      <x:c r="B2711" s="2" t="str">
        <x:v>MERRIMACK HEALTH LAWRENCE HOSPITAL</x:v>
      </x:c>
      <x:c r="C2711" s="2" t="str">
        <x:v>LAWRENCE</x:v>
      </x:c>
      <x:c r="D2711" s="2" t="str">
        <x:v>MA</x:v>
      </x:c>
      <x:c r="E2711" s="2" t="str">
        <x:v>Acute Care Hospitals</x:v>
      </x:c>
      <x:c r="F2711" s="2" t="str">
        <x:v>Voluntary non-profit</x:v>
      </x:c>
      <x:c r="G2711" s="2" t="str">
        <x:v>Medium (100-299 beds)</x:v>
      </x:c>
      <x:c r="H2711" s="7" t="n">
        <x:v>2</x:v>
      </x:c>
      <x:c r="I2711" s="7" t="n">
        <x:v>2</x:v>
      </x:c>
      <x:c r="J2711" s="7" t="n">
        <x:v>1.07</x:v>
      </x:c>
      <x:c r="K2711" s="8" t="n">
        <x:v>186</x:v>
      </x:c>
      <x:c r="L2711" s="8" t="n">
        <x:v>10464</x:v>
      </x:c>
      <x:c r="M2711" s="9" t="n">
        <x:v>0.7495005582</x:v>
      </x:c>
      <x:c r="N2711" s="10" t="n">
        <x:v>32447.8211009174</x:v>
      </x:c>
      <x:c r="O2711" s="9" t="n">
        <x:v>-0.1070846321</x:v>
      </x:c>
      <x:c r="P2711" s="9" t="n">
        <x:v>0.4515077425</x:v>
      </x:c>
      <x:c r="Q2711" s="9" t="n">
        <x:v>0.0782396088</x:v>
      </x:c>
      <x:c r="R2711" s="3" t="b">
        <x:v>0</x:v>
      </x:c>
      <x:c r="S2711" s="3" t="b">
        <x:v>1</x:v>
      </x:c>
      <x:c r="T2711" s="3" t="b">
        <x:v>0</x:v>
      </x:c>
      <x:c r="U2711" s="2" t="str">
        <x:f>IF(T2711=TRUE,"Priority review",IF(R2711=TRUE,"High cost",IF(S2711=TRUE,"Low quality","Benchmark")))</x:f>
        <x:v>Low quality</x:v>
      </x:c>
    </x:row>
    <x:row r="2712">
      <x:c r="A2712" s="2" t="str">
        <x:v>521343</x:v>
      </x:c>
      <x:c r="B2712" s="2" t="str">
        <x:v>STOUGHTON HOSPITAL</x:v>
      </x:c>
      <x:c r="C2712" s="2" t="str">
        <x:v>STOUGHTON</x:v>
      </x:c>
      <x:c r="D2712" s="2" t="str">
        <x:v>WI</x:v>
      </x:c>
      <x:c r="E2712" s="2" t="str">
        <x:v>Critical Access Hospitals</x:v>
      </x:c>
      <x:c r="F2712" s="2" t="str">
        <x:v>Voluntary non-profit</x:v>
      </x:c>
      <x:c r="G2712" s="2" t="str">
        <x:v>Small (&lt;100 beds)</x:v>
      </x:c>
      <x:c r="H2712" s="7" t="n">
        <x:v>3</x:v>
      </x:c>
      <x:c r="I2712" s="7" t="n">
        <x:v>5</x:v>
      </x:c>
      <x:c r="J2712" s="7"/>
      <x:c r="K2712" s="8" t="n">
        <x:v>20</x:v>
      </x:c>
      <x:c r="L2712" s="8" t="n">
        <x:v>503</x:v>
      </x:c>
      <x:c r="M2712" s="9" t="n">
        <x:v>0.2230874317</x:v>
      </x:c>
      <x:c r="N2712" s="10" t="n">
        <x:v>121499.9622266402</x:v>
      </x:c>
      <x:c r="O2712" s="9" t="n">
        <x:v>0.1036454812</x:v>
      </x:c>
      <x:c r="P2712" s="9" t="n">
        <x:v>0.4513011152</x:v>
      </x:c>
      <x:c r="Q2712" s="9" t="n">
        <x:v>0.0765799257</x:v>
      </x:c>
      <x:c r="R2712" s="3" t="b">
        <x:v>0</x:v>
      </x:c>
      <x:c r="S2712" s="3" t="b">
        <x:v>1</x:v>
      </x:c>
      <x:c r="T2712" s="3" t="b">
        <x:v>0</x:v>
      </x:c>
      <x:c r="U2712" s="2" t="str">
        <x:f>IF(T2712=TRUE,"Priority review",IF(R2712=TRUE,"High cost",IF(S2712=TRUE,"Low quality","Benchmark")))</x:f>
        <x:v>Low quality</x:v>
      </x:c>
    </x:row>
    <x:row r="2713">
      <x:c r="A2713" s="2" t="str">
        <x:v>420018</x:v>
      </x:c>
      <x:c r="B2713" s="2" t="str">
        <x:v>PRISMA HEALTH RICHLAND HOSPITAL</x:v>
      </x:c>
      <x:c r="C2713" s="2" t="str">
        <x:v>COLUMBIA</x:v>
      </x:c>
      <x:c r="D2713" s="2" t="str">
        <x:v>SC</x:v>
      </x:c>
      <x:c r="E2713" s="2" t="str">
        <x:v>Acute Care Hospitals</x:v>
      </x:c>
      <x:c r="F2713" s="2" t="str">
        <x:v>Voluntary non-profit</x:v>
      </x:c>
      <x:c r="G2713" s="2" t="str">
        <x:v>Large (300+ beds)</x:v>
      </x:c>
      <x:c r="H2713" s="7" t="n">
        <x:v>3</x:v>
      </x:c>
      <x:c r="I2713" s="7" t="n">
        <x:v>3</x:v>
      </x:c>
      <x:c r="J2713" s="7" t="n">
        <x:v>1.05</x:v>
      </x:c>
      <x:c r="K2713" s="8" t="n">
        <x:v>603</x:v>
      </x:c>
      <x:c r="L2713" s="8" t="n">
        <x:v>27032</x:v>
      </x:c>
      <x:c r="M2713" s="9" t="n">
        <x:v>0.8185484236</x:v>
      </x:c>
      <x:c r="N2713" s="10" t="n">
        <x:v>37374.9817623557</x:v>
      </x:c>
      <x:c r="O2713" s="9" t="n">
        <x:v>0.1087240992</x:v>
      </x:c>
      <x:c r="P2713" s="9" t="n">
        <x:v>0.4511041009</x:v>
      </x:c>
      <x:c r="Q2713" s="9" t="n">
        <x:v>0.2570977918</x:v>
      </x:c>
      <x:c r="R2713" s="3" t="b">
        <x:v>0</x:v>
      </x:c>
      <x:c r="S2713" s="3" t="b">
        <x:v>0</x:v>
      </x:c>
      <x:c r="T2713" s="3" t="b">
        <x:v>0</x:v>
      </x:c>
      <x:c r="U2713" s="2" t="str">
        <x:f>IF(T2713=TRUE,"Priority review",IF(R2713=TRUE,"High cost",IF(S2713=TRUE,"Low quality","Benchmark")))</x:f>
        <x:v>Benchmark</x:v>
      </x:c>
    </x:row>
    <x:row r="2714">
      <x:c r="A2714" s="2" t="str">
        <x:v>110042</x:v>
      </x:c>
      <x:c r="B2714" s="2" t="str">
        <x:v>WELLSTAR PAULDING MEDICAL CENTER</x:v>
      </x:c>
      <x:c r="C2714" s="2" t="str">
        <x:v>HIRAM</x:v>
      </x:c>
      <x:c r="D2714" s="2" t="str">
        <x:v>GA</x:v>
      </x:c>
      <x:c r="E2714" s="2" t="str">
        <x:v>Acute Care Hospitals</x:v>
      </x:c>
      <x:c r="F2714" s="2" t="str">
        <x:v>Voluntary non-profit</x:v>
      </x:c>
      <x:c r="G2714" s="2" t="str">
        <x:v>Medium (100-299 beds)</x:v>
      </x:c>
      <x:c r="H2714" s="7" t="n">
        <x:v>4</x:v>
      </x:c>
      <x:c r="I2714" s="7" t="n">
        <x:v>3</x:v>
      </x:c>
      <x:c r="J2714" s="7" t="n">
        <x:v>0.88</x:v>
      </x:c>
      <x:c r="K2714" s="8" t="n">
        <x:v>112</x:v>
      </x:c>
      <x:c r="L2714" s="8" t="n">
        <x:v>9820</x:v>
      </x:c>
      <x:c r="M2714" s="9" t="n">
        <x:v>0.9434197652</x:v>
      </x:c>
      <x:c r="N2714" s="10" t="n">
        <x:v>32394.1303462322</x:v>
      </x:c>
      <x:c r="O2714" s="9" t="n">
        <x:v>0.018595289</x:v>
      </x:c>
      <x:c r="P2714" s="9" t="n">
        <x:v>0.4506927465</x:v>
      </x:c>
      <x:c r="Q2714" s="9" t="n">
        <x:v>0.6022819886</x:v>
      </x:c>
      <x:c r="R2714" s="3" t="b">
        <x:v>0</x:v>
      </x:c>
      <x:c r="S2714" s="3" t="b">
        <x:v>0</x:v>
      </x:c>
      <x:c r="T2714" s="3" t="b">
        <x:v>0</x:v>
      </x:c>
      <x:c r="U2714" s="2" t="str">
        <x:f>IF(T2714=TRUE,"Priority review",IF(R2714=TRUE,"High cost",IF(S2714=TRUE,"Low quality","Benchmark")))</x:f>
        <x:v>Benchmark</x:v>
      </x:c>
    </x:row>
    <x:row r="2715">
      <x:c r="A2715" s="2" t="str">
        <x:v>490130</x:v>
      </x:c>
      <x:c r="B2715" s="2" t="str">
        <x:v>RIVERSIDE WALTER REED HOSPITAL</x:v>
      </x:c>
      <x:c r="C2715" s="2" t="str">
        <x:v>GLOUCESTER</x:v>
      </x:c>
      <x:c r="D2715" s="2" t="str">
        <x:v>VA</x:v>
      </x:c>
      <x:c r="E2715" s="2" t="str">
        <x:v>Acute Care Hospitals</x:v>
      </x:c>
      <x:c r="F2715" s="2" t="str">
        <x:v>Voluntary non-profit</x:v>
      </x:c>
      <x:c r="G2715" s="2" t="str">
        <x:v>Small (&lt;100 beds)</x:v>
      </x:c>
      <x:c r="H2715" s="7" t="n">
        <x:v>4</x:v>
      </x:c>
      <x:c r="I2715" s="7" t="n">
        <x:v>4</x:v>
      </x:c>
      <x:c r="J2715" s="7" t="n">
        <x:v>0.91</x:v>
      </x:c>
      <x:c r="K2715" s="8" t="n">
        <x:v>67</x:v>
      </x:c>
      <x:c r="L2715" s="8" t="n">
        <x:v>2120</x:v>
      </x:c>
      <x:c r="M2715" s="9" t="n">
        <x:v>0.3168583313</x:v>
      </x:c>
      <x:c r="N2715" s="10" t="n">
        <x:v>48306.529245283</x:v>
      </x:c>
      <x:c r="O2715" s="9" t="n">
        <x:v>0.1543925523</x:v>
      </x:c>
      <x:c r="P2715" s="9" t="n">
        <x:v>0.4506283662</x:v>
      </x:c>
      <x:c r="Q2715" s="9" t="n">
        <x:v>0.3913824057</x:v>
      </x:c>
      <x:c r="R2715" s="3" t="b">
        <x:v>0</x:v>
      </x:c>
      <x:c r="S2715" s="3" t="b">
        <x:v>0</x:v>
      </x:c>
      <x:c r="T2715" s="3" t="b">
        <x:v>0</x:v>
      </x:c>
      <x:c r="U2715" s="2" t="str">
        <x:f>IF(T2715=TRUE,"Priority review",IF(R2715=TRUE,"High cost",IF(S2715=TRUE,"Low quality","Benchmark")))</x:f>
        <x:v>Benchmark</x:v>
      </x:c>
    </x:row>
    <x:row r="2716">
      <x:c r="A2716" s="2" t="str">
        <x:v>191322</x:v>
      </x:c>
      <x:c r="B2716" s="2" t="str">
        <x:v>ABROM KAPLAN MEMORIAL HOSPITAL</x:v>
      </x:c>
      <x:c r="C2716" s="2" t="str">
        <x:v>KAPLAN</x:v>
      </x:c>
      <x:c r="D2716" s="2" t="str">
        <x:v>LA</x:v>
      </x:c>
      <x:c r="E2716" s="2" t="str">
        <x:v>Critical Access Hospitals</x:v>
      </x:c>
      <x:c r="F2716" s="2" t="str">
        <x:v>Voluntary non-profit</x:v>
      </x:c>
      <x:c r="G2716" s="2" t="str">
        <x:v>Small (&lt;100 beds)</x:v>
      </x:c>
      <x:c r="H2716" s="7"/>
      <x:c r="I2716" s="7"/>
      <x:c r="J2716" s="7"/>
      <x:c r="K2716" s="8" t="n">
        <x:v>25</x:v>
      </x:c>
      <x:c r="L2716" s="8" t="n">
        <x:v>229</x:v>
      </x:c>
      <x:c r="M2716" s="9" t="n">
        <x:v>0.1806557377</x:v>
      </x:c>
      <x:c r="N2716" s="10" t="n">
        <x:v>121315.4716157205</x:v>
      </x:c>
      <x:c r="O2716" s="9" t="n">
        <x:v>-0.1157665214</x:v>
      </x:c>
      <x:c r="P2716" s="9" t="n">
        <x:v>0.4505576208</x:v>
      </x:c>
      <x:c r="Q2716" s="9" t="n">
        <x:v>0.292936803</x:v>
      </x:c>
      <x:c r="R2716" s="3" t="b">
        <x:v>0</x:v>
      </x:c>
      <x:c r="S2716" s="3" t="b">
        <x:v>0</x:v>
      </x:c>
      <x:c r="T2716" s="3" t="b">
        <x:v>0</x:v>
      </x:c>
      <x:c r="U2716" s="2" t="str">
        <x:f>IF(T2716=TRUE,"Priority review",IF(R2716=TRUE,"High cost",IF(S2716=TRUE,"Low quality","Benchmark")))</x:f>
        <x:v>Benchmark</x:v>
      </x:c>
    </x:row>
    <x:row r="2717">
      <x:c r="A2717" s="2" t="str">
        <x:v>510058</x:v>
      </x:c>
      <x:c r="B2717" s="2" t="str">
        <x:v>CAMDEN CLARK MEDICAL CENTER</x:v>
      </x:c>
      <x:c r="C2717" s="2" t="str">
        <x:v>PARKERSBURG</x:v>
      </x:c>
      <x:c r="D2717" s="2" t="str">
        <x:v>WV</x:v>
      </x:c>
      <x:c r="E2717" s="2" t="str">
        <x:v>Acute Care Hospitals</x:v>
      </x:c>
      <x:c r="F2717" s="2" t="str">
        <x:v>Voluntary non-profit</x:v>
      </x:c>
      <x:c r="G2717" s="2" t="str">
        <x:v>Medium (100-299 beds)</x:v>
      </x:c>
      <x:c r="H2717" s="7" t="n">
        <x:v>2</x:v>
      </x:c>
      <x:c r="I2717" s="7" t="n">
        <x:v>3</x:v>
      </x:c>
      <x:c r="J2717" s="7" t="n">
        <x:v>0.99</x:v>
      </x:c>
      <x:c r="K2717" s="8" t="n">
        <x:v>251</x:v>
      </x:c>
      <x:c r="L2717" s="8" t="n">
        <x:v>14855</x:v>
      </x:c>
      <x:c r="M2717" s="9" t="n">
        <x:v>0.635371084</x:v>
      </x:c>
      <x:c r="N2717" s="10" t="n">
        <x:v>32326.398990239</x:v>
      </x:c>
      <x:c r="O2717" s="9" t="n">
        <x:v>-0.064725581</x:v>
      </x:c>
      <x:c r="P2717" s="9" t="n">
        <x:v>0.4498777506</x:v>
      </x:c>
      <x:c r="Q2717" s="9" t="n">
        <x:v>0.0782396088</x:v>
      </x:c>
      <x:c r="R2717" s="3" t="b">
        <x:v>0</x:v>
      </x:c>
      <x:c r="S2717" s="3" t="b">
        <x:v>1</x:v>
      </x:c>
      <x:c r="T2717" s="3" t="b">
        <x:v>0</x:v>
      </x:c>
      <x:c r="U2717" s="2" t="str">
        <x:f>IF(T2717=TRUE,"Priority review",IF(R2717=TRUE,"High cost",IF(S2717=TRUE,"Low quality","Benchmark")))</x:f>
        <x:v>Low quality</x:v>
      </x:c>
    </x:row>
    <x:row r="2718">
      <x:c r="A2718" s="2" t="str">
        <x:v>104040</x:v>
      </x:c>
      <x:c r="B2718" s="2" t="str">
        <x:v>CENTERSTONE OF FLORIDA</x:v>
      </x:c>
      <x:c r="C2718" s="2" t="str">
        <x:v>BRADENTON</x:v>
      </x:c>
      <x:c r="D2718" s="2" t="str">
        <x:v>FL</x:v>
      </x:c>
      <x:c r="E2718" s="2" t="str">
        <x:v>Psychiatric</x:v>
      </x:c>
      <x:c r="F2718" s="2" t="str">
        <x:v>Voluntary non-profit</x:v>
      </x:c>
      <x:c r="G2718" s="2" t="str">
        <x:v>Small (&lt;100 beds)</x:v>
      </x:c>
      <x:c r="H2718" s="7"/>
      <x:c r="I2718" s="7"/>
      <x:c r="J2718" s="7"/>
      <x:c r="K2718" s="8" t="n">
        <x:v>41</x:v>
      </x:c>
      <x:c r="L2718" s="8" t="n">
        <x:v>2138</x:v>
      </x:c>
      <x:c r="M2718" s="9" t="n">
        <x:v>0.7333110591</x:v>
      </x:c>
      <x:c r="N2718" s="10" t="n">
        <x:v>11279.4190832554</x:v>
      </x:c>
      <x:c r="O2718" s="9" t="n">
        <x:v>-2.4426012988</x:v>
      </x:c>
      <x:c r="P2718" s="9" t="n">
        <x:v>0.4498381877</x:v>
      </x:c>
      <x:c r="Q2718" s="9" t="n">
        <x:v>0</x:v>
      </x:c>
      <x:c r="R2718" s="3" t="b">
        <x:v>0</x:v>
      </x:c>
      <x:c r="S2718" s="3" t="b">
        <x:v>0</x:v>
      </x:c>
      <x:c r="T2718" s="3" t="b">
        <x:v>0</x:v>
      </x:c>
      <x:c r="U2718" s="2" t="str">
        <x:f>IF(T2718=TRUE,"Priority review",IF(R2718=TRUE,"High cost",IF(S2718=TRUE,"Low quality","Benchmark")))</x:f>
        <x:v>Benchmark</x:v>
      </x:c>
    </x:row>
    <x:row r="2719">
      <x:c r="A2719" s="2" t="str">
        <x:v>161311</x:v>
      </x:c>
      <x:c r="B2719" s="2" t="str">
        <x:v>HAWARDEN REGIONAL HEALTHCARE</x:v>
      </x:c>
      <x:c r="C2719" s="2" t="str">
        <x:v>HAWARDEN</x:v>
      </x:c>
      <x:c r="D2719" s="2" t="str">
        <x:v>IA</x:v>
      </x:c>
      <x:c r="E2719" s="2" t="str">
        <x:v>Critical Access Hospitals</x:v>
      </x:c>
      <x:c r="F2719" s="2" t="str">
        <x:v>Government</x:v>
      </x:c>
      <x:c r="G2719" s="2" t="str">
        <x:v>Small (&lt;100 beds)</x:v>
      </x:c>
      <x:c r="H2719" s="7"/>
      <x:c r="I2719" s="7"/>
      <x:c r="J2719" s="7"/>
      <x:c r="K2719" s="8" t="n">
        <x:v>25</x:v>
      </x:c>
      <x:c r="L2719" s="8" t="n">
        <x:v>188</x:v>
      </x:c>
      <x:c r="M2719" s="9" t="n">
        <x:v>0.133260274</x:v>
      </x:c>
      <x:c r="N2719" s="10" t="n">
        <x:v>121302.7393617021</x:v>
      </x:c>
      <x:c r="O2719" s="9" t="n">
        <x:v>-0.056885835</x:v>
      </x:c>
      <x:c r="P2719" s="9" t="n">
        <x:v>0.4498141264</x:v>
      </x:c>
      <x:c r="Q2719" s="9" t="n">
        <x:v>0.292936803</x:v>
      </x:c>
      <x:c r="R2719" s="3" t="b">
        <x:v>0</x:v>
      </x:c>
      <x:c r="S2719" s="3" t="b">
        <x:v>0</x:v>
      </x:c>
      <x:c r="T2719" s="3" t="b">
        <x:v>0</x:v>
      </x:c>
      <x:c r="U2719" s="2" t="str">
        <x:f>IF(T2719=TRUE,"Priority review",IF(R2719=TRUE,"High cost",IF(S2719=TRUE,"Low quality","Benchmark")))</x:f>
        <x:v>Benchmark</x:v>
      </x:c>
    </x:row>
    <x:row r="2720">
      <x:c r="A2720" s="2" t="str">
        <x:v>200001</x:v>
      </x:c>
      <x:c r="B2720" s="2" t="str">
        <x:v>ST JOSEPH HOSPITAL</x:v>
      </x:c>
      <x:c r="C2720" s="2" t="str">
        <x:v>BANGOR</x:v>
      </x:c>
      <x:c r="D2720" s="2" t="str">
        <x:v>ME</x:v>
      </x:c>
      <x:c r="E2720" s="2" t="str">
        <x:v>Acute Care Hospitals</x:v>
      </x:c>
      <x:c r="F2720" s="2" t="str">
        <x:v>Voluntary non-profit</x:v>
      </x:c>
      <x:c r="G2720" s="2" t="str">
        <x:v>Small (&lt;100 beds)</x:v>
      </x:c>
      <x:c r="H2720" s="7" t="n">
        <x:v>3</x:v>
      </x:c>
      <x:c r="I2720" s="7" t="n">
        <x:v>4</x:v>
      </x:c>
      <x:c r="J2720" s="7" t="n">
        <x:v>0.92</x:v>
      </x:c>
      <x:c r="K2720" s="8" t="n">
        <x:v>99</x:v>
      </x:c>
      <x:c r="L2720" s="8" t="n">
        <x:v>4565</x:v>
      </x:c>
      <x:c r="M2720" s="9" t="n">
        <x:v>0.6446431528</x:v>
      </x:c>
      <x:c r="N2720" s="10" t="n">
        <x:v>48259.7699890471</x:v>
      </x:c>
      <x:c r="O2720" s="9" t="n">
        <x:v>-0.0271874183</x:v>
      </x:c>
      <x:c r="P2720" s="9" t="n">
        <x:v>0.4497307002</x:v>
      </x:c>
      <x:c r="Q2720" s="9" t="n">
        <x:v>0.1687612208</x:v>
      </x:c>
      <x:c r="R2720" s="3" t="b">
        <x:v>0</x:v>
      </x:c>
      <x:c r="S2720" s="3" t="b">
        <x:v>0</x:v>
      </x:c>
      <x:c r="T2720" s="3" t="b">
        <x:v>0</x:v>
      </x:c>
      <x:c r="U2720" s="2" t="str">
        <x:f>IF(T2720=TRUE,"Priority review",IF(R2720=TRUE,"High cost",IF(S2720=TRUE,"Low quality","Benchmark")))</x:f>
        <x:v>Benchmark</x:v>
      </x:c>
    </x:row>
    <x:row r="2721">
      <x:c r="A2721" s="2" t="str">
        <x:v>310052</x:v>
      </x:c>
      <x:c r="B2721" s="2" t="str">
        <x:v>OCEAN MEDICAL CENTER</x:v>
      </x:c>
      <x:c r="C2721" s="2" t="str">
        <x:v>BRICK</x:v>
      </x:c>
      <x:c r="D2721" s="2" t="str">
        <x:v>NJ</x:v>
      </x:c>
      <x:c r="E2721" s="2" t="str">
        <x:v>Acute Care Hospitals</x:v>
      </x:c>
      <x:c r="F2721" s="2" t="str">
        <x:v>Voluntary non-profit</x:v>
      </x:c>
      <x:c r="G2721" s="2" t="str">
        <x:v>Large (300+ beds)</x:v>
      </x:c>
      <x:c r="H2721" s="7" t="n">
        <x:v>4</x:v>
      </x:c>
      <x:c r="I2721" s="7" t="n">
        <x:v>3</x:v>
      </x:c>
      <x:c r="J2721" s="7" t="n">
        <x:v>1.11</x:v>
      </x:c>
      <x:c r="K2721" s="8" t="n">
        <x:v>313</x:v>
      </x:c>
      <x:c r="L2721" s="8" t="n">
        <x:v>15664</x:v>
      </x:c>
      <x:c r="M2721" s="9" t="n">
        <x:v>0.7119537701</x:v>
      </x:c>
      <x:c r="N2721" s="10" t="n">
        <x:v>37355.2454034729</x:v>
      </x:c>
      <x:c r="O2721" s="9" t="n">
        <x:v>-0.006009905</x:v>
      </x:c>
      <x:c r="P2721" s="9" t="n">
        <x:v>0.4495268139</x:v>
      </x:c>
      <x:c r="Q2721" s="9" t="n">
        <x:v>0.5899053628</x:v>
      </x:c>
      <x:c r="R2721" s="3" t="b">
        <x:v>0</x:v>
      </x:c>
      <x:c r="S2721" s="3" t="b">
        <x:v>0</x:v>
      </x:c>
      <x:c r="T2721" s="3" t="b">
        <x:v>0</x:v>
      </x:c>
      <x:c r="U2721" s="2" t="str">
        <x:f>IF(T2721=TRUE,"Priority review",IF(R2721=TRUE,"High cost",IF(S2721=TRUE,"Low quality","Benchmark")))</x:f>
        <x:v>Benchmark</x:v>
      </x:c>
    </x:row>
    <x:row r="2722">
      <x:c r="A2722" s="2" t="str">
        <x:v>381309</x:v>
      </x:c>
      <x:c r="B2722" s="2" t="str">
        <x:v>LAKE DISTRICT HOSPITAL</x:v>
      </x:c>
      <x:c r="C2722" s="2" t="str">
        <x:v>LAKEVIEW</x:v>
      </x:c>
      <x:c r="D2722" s="2" t="str">
        <x:v>OR</x:v>
      </x:c>
      <x:c r="E2722" s="2" t="str">
        <x:v>Critical Access Hospitals</x:v>
      </x:c>
      <x:c r="F2722" s="2" t="str">
        <x:v>Government</x:v>
      </x:c>
      <x:c r="G2722" s="2" t="str">
        <x:v>Small (&lt;100 beds)</x:v>
      </x:c>
      <x:c r="H2722" s="7"/>
      <x:c r="I2722" s="7"/>
      <x:c r="J2722" s="7"/>
      <x:c r="K2722" s="8" t="n">
        <x:v>24</x:v>
      </x:c>
      <x:c r="L2722" s="8" t="n">
        <x:v>365</x:v>
      </x:c>
      <x:c r="M2722" s="9" t="n">
        <x:v>0.3579908676</x:v>
      </x:c>
      <x:c r="N2722" s="10" t="n">
        <x:v>121298.6767123288</x:v>
      </x:c>
      <x:c r="O2722" s="9" t="n">
        <x:v>-0.2607905564</x:v>
      </x:c>
      <x:c r="P2722" s="9" t="n">
        <x:v>0.449070632</x:v>
      </x:c>
      <x:c r="Q2722" s="9" t="n">
        <x:v>0.292936803</x:v>
      </x:c>
      <x:c r="R2722" s="3" t="b">
        <x:v>0</x:v>
      </x:c>
      <x:c r="S2722" s="3" t="b">
        <x:v>0</x:v>
      </x:c>
      <x:c r="T2722" s="3" t="b">
        <x:v>0</x:v>
      </x:c>
      <x:c r="U2722" s="2" t="str">
        <x:f>IF(T2722=TRUE,"Priority review",IF(R2722=TRUE,"High cost",IF(S2722=TRUE,"Low quality","Benchmark")))</x:f>
        <x:v>Benchmark</x:v>
      </x:c>
    </x:row>
    <x:row r="2723">
      <x:c r="A2723" s="2" t="str">
        <x:v>050736</x:v>
      </x:c>
      <x:c r="B2723" s="2" t="str">
        <x:v>MONTEREY PARK HOSPITAL</x:v>
      </x:c>
      <x:c r="C2723" s="2" t="str">
        <x:v>MONTEREY PARK</x:v>
      </x:c>
      <x:c r="D2723" s="2" t="str">
        <x:v>CA</x:v>
      </x:c>
      <x:c r="E2723" s="2" t="str">
        <x:v>Acute Care Hospitals</x:v>
      </x:c>
      <x:c r="F2723" s="2" t="str">
        <x:v>Proprietary</x:v>
      </x:c>
      <x:c r="G2723" s="2" t="str">
        <x:v>Medium (100-299 beds)</x:v>
      </x:c>
      <x:c r="H2723" s="7" t="n">
        <x:v>2</x:v>
      </x:c>
      <x:c r="I2723" s="7" t="n">
        <x:v>2</x:v>
      </x:c>
      <x:c r="J2723" s="7" t="n">
        <x:v>1.05</x:v>
      </x:c>
      <x:c r="K2723" s="8" t="n">
        <x:v>101</x:v>
      </x:c>
      <x:c r="L2723" s="8" t="n">
        <x:v>3269</x:v>
      </x:c>
      <x:c r="M2723" s="9" t="n">
        <x:v>0.4113657941</x:v>
      </x:c>
      <x:c r="N2723" s="10" t="n">
        <x:v>32314.7240746406</x:v>
      </x:c>
      <x:c r="O2723" s="9" t="n">
        <x:v>0.0011007322</x:v>
      </x:c>
      <x:c r="P2723" s="9" t="n">
        <x:v>0.4490627547</x:v>
      </x:c>
      <x:c r="Q2723" s="9" t="n">
        <x:v>0.0782396088</x:v>
      </x:c>
      <x:c r="R2723" s="3" t="b">
        <x:v>0</x:v>
      </x:c>
      <x:c r="S2723" s="3" t="b">
        <x:v>1</x:v>
      </x:c>
      <x:c r="T2723" s="3" t="b">
        <x:v>0</x:v>
      </x:c>
      <x:c r="U2723" s="2" t="str">
        <x:f>IF(T2723=TRUE,"Priority review",IF(R2723=TRUE,"High cost",IF(S2723=TRUE,"Low quality","Benchmark")))</x:f>
        <x:v>Low quality</x:v>
      </x:c>
    </x:row>
    <x:row r="2724">
      <x:c r="A2724" s="2" t="str">
        <x:v>460062</x:v>
      </x:c>
      <x:c r="B2724" s="2" t="str">
        <x:v>INTERMOUNTAIN HEALTH SPANISH FORK HOSPITAL</x:v>
      </x:c>
      <x:c r="C2724" s="2" t="str">
        <x:v>SPANISH FORK</x:v>
      </x:c>
      <x:c r="D2724" s="2" t="str">
        <x:v>UT</x:v>
      </x:c>
      <x:c r="E2724" s="2" t="str">
        <x:v>Acute Care Hospitals</x:v>
      </x:c>
      <x:c r="F2724" s="2" t="str">
        <x:v>Voluntary non-profit</x:v>
      </x:c>
      <x:c r="G2724" s="2" t="str">
        <x:v>Small (&lt;100 beds)</x:v>
      </x:c>
      <x:c r="H2724" s="7"/>
      <x:c r="I2724" s="7" t="n">
        <x:v>4</x:v>
      </x:c>
      <x:c r="J2724" s="7" t="n">
        <x:v>0.96</x:v>
      </x:c>
      <x:c r="K2724" s="8" t="n">
        <x:v>21</x:v>
      </x:c>
      <x:c r="L2724" s="8" t="n">
        <x:v>1871</x:v>
      </x:c>
      <x:c r="M2724" s="9" t="n">
        <x:v>0.635701275</x:v>
      </x:c>
      <x:c r="N2724" s="10" t="n">
        <x:v>48218.9615179049</x:v>
      </x:c>
      <x:c r="O2724" s="9" t="n">
        <x:v>0.0721721677</x:v>
      </x:c>
      <x:c r="P2724" s="9" t="n">
        <x:v>0.4488330341</x:v>
      </x:c>
      <x:c r="Q2724" s="9" t="n">
        <x:v>0.697486535</x:v>
      </x:c>
      <x:c r="R2724" s="3" t="b">
        <x:v>0</x:v>
      </x:c>
      <x:c r="S2724" s="3" t="b">
        <x:v>0</x:v>
      </x:c>
      <x:c r="T2724" s="3" t="b">
        <x:v>0</x:v>
      </x:c>
      <x:c r="U2724" s="2" t="str">
        <x:f>IF(T2724=TRUE,"Priority review",IF(R2724=TRUE,"High cost",IF(S2724=TRUE,"Low quality","Benchmark")))</x:f>
        <x:v>Benchmark</x:v>
      </x:c>
    </x:row>
    <x:row r="2725">
      <x:c r="A2725" s="2" t="str">
        <x:v>231307</x:v>
      </x:c>
      <x:c r="B2725" s="2" t="str">
        <x:v>BARAGA COUNTY MEMORIAL HOSPITAL</x:v>
      </x:c>
      <x:c r="C2725" s="2" t="str">
        <x:v>L' ANSE</x:v>
      </x:c>
      <x:c r="D2725" s="2" t="str">
        <x:v>MI</x:v>
      </x:c>
      <x:c r="E2725" s="2" t="str">
        <x:v>Critical Access Hospitals</x:v>
      </x:c>
      <x:c r="F2725" s="2" t="str">
        <x:v>Government</x:v>
      </x:c>
      <x:c r="G2725" s="2" t="str">
        <x:v>Small (&lt;100 beds)</x:v>
      </x:c>
      <x:c r="H2725" s="7"/>
      <x:c r="I2725" s="7"/>
      <x:c r="J2725" s="7"/>
      <x:c r="K2725" s="8" t="n">
        <x:v>24</x:v>
      </x:c>
      <x:c r="L2725" s="8" t="n">
        <x:v>258</x:v>
      </x:c>
      <x:c r="M2725" s="9" t="n">
        <x:v>0.2193761384</x:v>
      </x:c>
      <x:c r="N2725" s="10" t="n">
        <x:v>120754.507751938</x:v>
      </x:c>
      <x:c r="O2725" s="9" t="n">
        <x:v>-0.0540173228</x:v>
      </x:c>
      <x:c r="P2725" s="9" t="n">
        <x:v>0.4483271375</x:v>
      </x:c>
      <x:c r="Q2725" s="9" t="n">
        <x:v>0.292936803</x:v>
      </x:c>
      <x:c r="R2725" s="3" t="b">
        <x:v>0</x:v>
      </x:c>
      <x:c r="S2725" s="3" t="b">
        <x:v>0</x:v>
      </x:c>
      <x:c r="T2725" s="3" t="b">
        <x:v>0</x:v>
      </x:c>
      <x:c r="U2725" s="2" t="str">
        <x:f>IF(T2725=TRUE,"Priority review",IF(R2725=TRUE,"High cost",IF(S2725=TRUE,"Low quality","Benchmark")))</x:f>
        <x:v>Benchmark</x:v>
      </x:c>
    </x:row>
    <x:row r="2726">
      <x:c r="A2726" s="2" t="str">
        <x:v>150035</x:v>
      </x:c>
      <x:c r="B2726" s="2" t="str">
        <x:v>NORTHWEST HEALTH - PORTER</x:v>
      </x:c>
      <x:c r="C2726" s="2" t="str">
        <x:v>VALPARAISO</x:v>
      </x:c>
      <x:c r="D2726" s="2" t="str">
        <x:v>IN</x:v>
      </x:c>
      <x:c r="E2726" s="2" t="str">
        <x:v>Acute Care Hospitals</x:v>
      </x:c>
      <x:c r="F2726" s="2" t="str">
        <x:v>Proprietary</x:v>
      </x:c>
      <x:c r="G2726" s="2" t="str">
        <x:v>Medium (100-299 beds)</x:v>
      </x:c>
      <x:c r="H2726" s="7" t="n">
        <x:v>2</x:v>
      </x:c>
      <x:c r="I2726" s="7" t="n">
        <x:v>2</x:v>
      </x:c>
      <x:c r="J2726" s="7" t="n">
        <x:v>1.05</x:v>
      </x:c>
      <x:c r="K2726" s="8" t="n">
        <x:v>200</x:v>
      </x:c>
      <x:c r="L2726" s="8" t="n">
        <x:v>10947</x:v>
      </x:c>
      <x:c r="M2726" s="9" t="n">
        <x:v>0.7032376803</x:v>
      </x:c>
      <x:c r="N2726" s="10" t="n">
        <x:v>32312.7314332694</x:v>
      </x:c>
      <x:c r="O2726" s="9" t="n">
        <x:v>0.1065478042</x:v>
      </x:c>
      <x:c r="P2726" s="9" t="n">
        <x:v>0.4482477588</x:v>
      </x:c>
      <x:c r="Q2726" s="9" t="n">
        <x:v>0.0782396088</x:v>
      </x:c>
      <x:c r="R2726" s="3" t="b">
        <x:v>0</x:v>
      </x:c>
      <x:c r="S2726" s="3" t="b">
        <x:v>1</x:v>
      </x:c>
      <x:c r="T2726" s="3" t="b">
        <x:v>0</x:v>
      </x:c>
      <x:c r="U2726" s="2" t="str">
        <x:f>IF(T2726=TRUE,"Priority review",IF(R2726=TRUE,"High cost",IF(S2726=TRUE,"Low quality","Benchmark")))</x:f>
        <x:v>Low quality</x:v>
      </x:c>
    </x:row>
    <x:row r="2727">
      <x:c r="A2727" s="2" t="str">
        <x:v>310064</x:v>
      </x:c>
      <x:c r="B2727" s="2" t="str">
        <x:v>ATLANTICARE REGIONAL MEDICAL CENTER - CITY CAMPUS</x:v>
      </x:c>
      <x:c r="C2727" s="2" t="str">
        <x:v>ATLANTIC CITY</x:v>
      </x:c>
      <x:c r="D2727" s="2" t="str">
        <x:v>NJ</x:v>
      </x:c>
      <x:c r="E2727" s="2" t="str">
        <x:v>Acute Care Hospitals</x:v>
      </x:c>
      <x:c r="F2727" s="2" t="str">
        <x:v>Voluntary non-profit</x:v>
      </x:c>
      <x:c r="G2727" s="2" t="str">
        <x:v>Large (300+ beds)</x:v>
      </x:c>
      <x:c r="H2727" s="7" t="n">
        <x:v>4</x:v>
      </x:c>
      <x:c r="I2727" s="7" t="n">
        <x:v>3</x:v>
      </x:c>
      <x:c r="J2727" s="7" t="n">
        <x:v>1.06</x:v>
      </x:c>
      <x:c r="K2727" s="8" t="n">
        <x:v>408</x:v>
      </x:c>
      <x:c r="L2727" s="8" t="n">
        <x:v>23638</x:v>
      </x:c>
      <x:c r="M2727" s="9" t="n">
        <x:v>0.6822926876</x:v>
      </x:c>
      <x:c r="N2727" s="10" t="n">
        <x:v>37322.6322446908</x:v>
      </x:c>
      <x:c r="O2727" s="9" t="n">
        <x:v>-0.0204267845</x:v>
      </x:c>
      <x:c r="P2727" s="9" t="n">
        <x:v>0.4479495268</x:v>
      </x:c>
      <x:c r="Q2727" s="9" t="n">
        <x:v>0.5899053628</x:v>
      </x:c>
      <x:c r="R2727" s="3" t="b">
        <x:v>0</x:v>
      </x:c>
      <x:c r="S2727" s="3" t="b">
        <x:v>0</x:v>
      </x:c>
      <x:c r="T2727" s="3" t="b">
        <x:v>0</x:v>
      </x:c>
      <x:c r="U2727" s="2" t="str">
        <x:f>IF(T2727=TRUE,"Priority review",IF(R2727=TRUE,"High cost",IF(S2727=TRUE,"Low quality","Benchmark")))</x:f>
        <x:v>Benchmark</x:v>
      </x:c>
    </x:row>
    <x:row r="2728">
      <x:c r="A2728" s="2" t="str">
        <x:v>190088</x:v>
      </x:c>
      <x:c r="B2728" s="2" t="str">
        <x:v>SPRINGHILL MEDICAL CENTER</x:v>
      </x:c>
      <x:c r="C2728" s="2" t="str">
        <x:v>SPRINGHILL</x:v>
      </x:c>
      <x:c r="D2728" s="2" t="str">
        <x:v>LA</x:v>
      </x:c>
      <x:c r="E2728" s="2" t="str">
        <x:v>Acute Care Hospitals</x:v>
      </x:c>
      <x:c r="F2728" s="2" t="str">
        <x:v>Voluntary non-profit</x:v>
      </x:c>
      <x:c r="G2728" s="2" t="str">
        <x:v>Small (&lt;100 beds)</x:v>
      </x:c>
      <x:c r="H2728" s="7" t="n">
        <x:v>4</x:v>
      </x:c>
      <x:c r="I2728" s="7"/>
      <x:c r="J2728" s="7" t="n">
        <x:v>0.98</x:v>
      </x:c>
      <x:c r="K2728" s="8" t="n">
        <x:v>36</x:v>
      </x:c>
      <x:c r="L2728" s="8" t="n">
        <x:v>508</x:v>
      </x:c>
      <x:c r="M2728" s="9" t="n">
        <x:v>0.1439738919</x:v>
      </x:c>
      <x:c r="N2728" s="10" t="n">
        <x:v>48090.9586614173</x:v>
      </x:c>
      <x:c r="O2728" s="9" t="n">
        <x:v>-0.2430674391</x:v>
      </x:c>
      <x:c r="P2728" s="9" t="n">
        <x:v>0.447935368</x:v>
      </x:c>
      <x:c r="Q2728" s="9" t="n">
        <x:v>0.3913824057</x:v>
      </x:c>
      <x:c r="R2728" s="3" t="b">
        <x:v>0</x:v>
      </x:c>
      <x:c r="S2728" s="3" t="b">
        <x:v>0</x:v>
      </x:c>
      <x:c r="T2728" s="3" t="b">
        <x:v>0</x:v>
      </x:c>
      <x:c r="U2728" s="2" t="str">
        <x:f>IF(T2728=TRUE,"Priority review",IF(R2728=TRUE,"High cost",IF(S2728=TRUE,"Low quality","Benchmark")))</x:f>
        <x:v>Benchmark</x:v>
      </x:c>
    </x:row>
    <x:row r="2729">
      <x:c r="A2729" s="2" t="str">
        <x:v>394043</x:v>
      </x:c>
      <x:c r="B2729" s="2" t="str">
        <x:v>CLARION PSYCHIATRIC CENTER</x:v>
      </x:c>
      <x:c r="C2729" s="2" t="str">
        <x:v>CLARION</x:v>
      </x:c>
      <x:c r="D2729" s="2" t="str">
        <x:v>PA</x:v>
      </x:c>
      <x:c r="E2729" s="2" t="str">
        <x:v>Psychiatric</x:v>
      </x:c>
      <x:c r="F2729" s="2" t="str">
        <x:v>Proprietary</x:v>
      </x:c>
      <x:c r="G2729" s="2" t="str">
        <x:v>Medium (100-299 beds)</x:v>
      </x:c>
      <x:c r="H2729" s="7"/>
      <x:c r="I2729" s="7"/>
      <x:c r="J2729" s="7"/>
      <x:c r="K2729" s="8" t="n">
        <x:v>112</x:v>
      </x:c>
      <x:c r="L2729" s="8" t="n">
        <x:v>2352</x:v>
      </x:c>
      <x:c r="M2729" s="9" t="n">
        <x:v>0.7524217221</x:v>
      </x:c>
      <x:c r="N2729" s="10" t="n">
        <x:v>10230.5034013605</x:v>
      </x:c>
      <x:c r="O2729" s="9" t="n">
        <x:v>0.2400893633</x:v>
      </x:c>
      <x:c r="P2729" s="9" t="n">
        <x:v>0.447761194</x:v>
      </x:c>
      <x:c r="Q2729" s="9" t="n">
        <x:v>0</x:v>
      </x:c>
      <x:c r="R2729" s="3" t="b">
        <x:v>0</x:v>
      </x:c>
      <x:c r="S2729" s="3" t="b">
        <x:v>0</x:v>
      </x:c>
      <x:c r="T2729" s="3" t="b">
        <x:v>0</x:v>
      </x:c>
      <x:c r="U2729" s="2" t="str">
        <x:f>IF(T2729=TRUE,"Priority review",IF(R2729=TRUE,"High cost",IF(S2729=TRUE,"Low quality","Benchmark")))</x:f>
        <x:v>Benchmark</x:v>
      </x:c>
    </x:row>
    <x:row r="2730">
      <x:c r="A2730" s="2" t="str">
        <x:v>161358</x:v>
      </x:c>
      <x:c r="B2730" s="2" t="str">
        <x:v>WAYNE COUNTY HOSPITAL</x:v>
      </x:c>
      <x:c r="C2730" s="2" t="str">
        <x:v>CORYDON</x:v>
      </x:c>
      <x:c r="D2730" s="2" t="str">
        <x:v>IA</x:v>
      </x:c>
      <x:c r="E2730" s="2" t="str">
        <x:v>Critical Access Hospitals</x:v>
      </x:c>
      <x:c r="F2730" s="2" t="str">
        <x:v>Government</x:v>
      </x:c>
      <x:c r="G2730" s="2" t="str">
        <x:v>Small (&lt;100 beds)</x:v>
      </x:c>
      <x:c r="H2730" s="7"/>
      <x:c r="I2730" s="7"/>
      <x:c r="J2730" s="7"/>
      <x:c r="K2730" s="8" t="n">
        <x:v>25</x:v>
      </x:c>
      <x:c r="L2730" s="8" t="n">
        <x:v>388</x:v>
      </x:c>
      <x:c r="M2730" s="9" t="n">
        <x:v>0.173369863</x:v>
      </x:c>
      <x:c r="N2730" s="10" t="n">
        <x:v>120691.8917525773</x:v>
      </x:c>
      <x:c r="O2730" s="9" t="n">
        <x:v>-0.245826397</x:v>
      </x:c>
      <x:c r="P2730" s="9" t="n">
        <x:v>0.4475836431</x:v>
      </x:c>
      <x:c r="Q2730" s="9" t="n">
        <x:v>0.292936803</x:v>
      </x:c>
      <x:c r="R2730" s="3" t="b">
        <x:v>0</x:v>
      </x:c>
      <x:c r="S2730" s="3" t="b">
        <x:v>0</x:v>
      </x:c>
      <x:c r="T2730" s="3" t="b">
        <x:v>0</x:v>
      </x:c>
      <x:c r="U2730" s="2" t="str">
        <x:f>IF(T2730=TRUE,"Priority review",IF(R2730=TRUE,"High cost",IF(S2730=TRUE,"Low quality","Benchmark")))</x:f>
        <x:v>Benchmark</x:v>
      </x:c>
    </x:row>
    <x:row r="2731">
      <x:c r="A2731" s="2" t="str">
        <x:v>360095</x:v>
      </x:c>
      <x:c r="B2731" s="2" t="str">
        <x:v>BLANCHARD VALLEY HOSPITAL</x:v>
      </x:c>
      <x:c r="C2731" s="2" t="str">
        <x:v>FINDLAY</x:v>
      </x:c>
      <x:c r="D2731" s="2" t="str">
        <x:v>OH</x:v>
      </x:c>
      <x:c r="E2731" s="2" t="str">
        <x:v>Acute Care Hospitals</x:v>
      </x:c>
      <x:c r="F2731" s="2" t="str">
        <x:v>Voluntary non-profit</x:v>
      </x:c>
      <x:c r="G2731" s="2" t="str">
        <x:v>Medium (100-299 beds)</x:v>
      </x:c>
      <x:c r="H2731" s="7" t="n">
        <x:v>3</x:v>
      </x:c>
      <x:c r="I2731" s="7" t="n">
        <x:v>4</x:v>
      </x:c>
      <x:c r="J2731" s="7" t="n">
        <x:v>1.02</x:v>
      </x:c>
      <x:c r="K2731" s="8" t="n">
        <x:v>152</x:v>
      </x:c>
      <x:c r="L2731" s="8" t="n">
        <x:v>8347</x:v>
      </x:c>
      <x:c r="M2731" s="9" t="n">
        <x:v>0.5406420765</x:v>
      </x:c>
      <x:c r="N2731" s="10" t="n">
        <x:v>32219.4455492992</x:v>
      </x:c>
      <x:c r="O2731" s="9" t="n">
        <x:v>0.1980144963</x:v>
      </x:c>
      <x:c r="P2731" s="9" t="n">
        <x:v>0.4474327628</x:v>
      </x:c>
      <x:c r="Q2731" s="9" t="n">
        <x:v>0.3023634882</x:v>
      </x:c>
      <x:c r="R2731" s="3" t="b">
        <x:v>0</x:v>
      </x:c>
      <x:c r="S2731" s="3" t="b">
        <x:v>0</x:v>
      </x:c>
      <x:c r="T2731" s="3" t="b">
        <x:v>0</x:v>
      </x:c>
      <x:c r="U2731" s="2" t="str">
        <x:f>IF(T2731=TRUE,"Priority review",IF(R2731=TRUE,"High cost",IF(S2731=TRUE,"Low quality","Benchmark")))</x:f>
        <x:v>Benchmark</x:v>
      </x:c>
    </x:row>
    <x:row r="2732">
      <x:c r="A2732" s="2" t="str">
        <x:v>190034</x:v>
      </x:c>
      <x:c r="B2732" s="2" t="str">
        <x:v>ABBEVILLE GENERAL HOSPITAL</x:v>
      </x:c>
      <x:c r="C2732" s="2" t="str">
        <x:v>ABBEVILLE</x:v>
      </x:c>
      <x:c r="D2732" s="2" t="str">
        <x:v>LA</x:v>
      </x:c>
      <x:c r="E2732" s="2" t="str">
        <x:v>Acute Care Hospitals</x:v>
      </x:c>
      <x:c r="F2732" s="2" t="str">
        <x:v>Government</x:v>
      </x:c>
      <x:c r="G2732" s="2" t="str">
        <x:v>Small (&lt;100 beds)</x:v>
      </x:c>
      <x:c r="H2732" s="7" t="n">
        <x:v>3</x:v>
      </x:c>
      <x:c r="I2732" s="7" t="n">
        <x:v>5</x:v>
      </x:c>
      <x:c r="J2732" s="7" t="n">
        <x:v>1.02</x:v>
      </x:c>
      <x:c r="K2732" s="8" t="n">
        <x:v>44</x:v>
      </x:c>
      <x:c r="L2732" s="8" t="n">
        <x:v>1591</x:v>
      </x:c>
      <x:c r="M2732" s="9" t="n">
        <x:v>0.4071038251</x:v>
      </x:c>
      <x:c r="N2732" s="10" t="n">
        <x:v>48007.127592709</x:v>
      </x:c>
      <x:c r="O2732" s="9" t="n">
        <x:v>-0.0508555032</x:v>
      </x:c>
      <x:c r="P2732" s="9" t="n">
        <x:v>0.447037702</x:v>
      </x:c>
      <x:c r="Q2732" s="9" t="n">
        <x:v>0.1687612208</x:v>
      </x:c>
      <x:c r="R2732" s="3" t="b">
        <x:v>0</x:v>
      </x:c>
      <x:c r="S2732" s="3" t="b">
        <x:v>0</x:v>
      </x:c>
      <x:c r="T2732" s="3" t="b">
        <x:v>0</x:v>
      </x:c>
      <x:c r="U2732" s="2" t="str">
        <x:f>IF(T2732=TRUE,"Priority review",IF(R2732=TRUE,"High cost",IF(S2732=TRUE,"Low quality","Benchmark")))</x:f>
        <x:v>Benchmark</x:v>
      </x:c>
    </x:row>
    <x:row r="2733">
      <x:c r="A2733" s="2" t="str">
        <x:v>521348</x:v>
      </x:c>
      <x:c r="B2733" s="2" t="str">
        <x:v>VERNON MEMORIAL HOSPITAL</x:v>
      </x:c>
      <x:c r="C2733" s="2" t="str">
        <x:v>VIROQUA</x:v>
      </x:c>
      <x:c r="D2733" s="2" t="str">
        <x:v>WI</x:v>
      </x:c>
      <x:c r="E2733" s="2" t="str">
        <x:v>Critical Access Hospitals</x:v>
      </x:c>
      <x:c r="F2733" s="2" t="str">
        <x:v>Voluntary non-profit</x:v>
      </x:c>
      <x:c r="G2733" s="2" t="str">
        <x:v>Small (&lt;100 beds)</x:v>
      </x:c>
      <x:c r="H2733" s="7"/>
      <x:c r="I2733" s="7" t="n">
        <x:v>5</x:v>
      </x:c>
      <x:c r="J2733" s="7"/>
      <x:c r="K2733" s="8" t="n">
        <x:v>18</x:v>
      </x:c>
      <x:c r="L2733" s="8" t="n">
        <x:v>635</x:v>
      </x:c>
      <x:c r="M2733" s="9" t="n">
        <x:v>0.4200060716</x:v>
      </x:c>
      <x:c r="N2733" s="10" t="n">
        <x:v>120571.0488188976</x:v>
      </x:c>
      <x:c r="O2733" s="9" t="n">
        <x:v>0.138725093</x:v>
      </x:c>
      <x:c r="P2733" s="9" t="n">
        <x:v>0.4468401487</x:v>
      </x:c>
      <x:c r="Q2733" s="9" t="n">
        <x:v>0.292936803</x:v>
      </x:c>
      <x:c r="R2733" s="3" t="b">
        <x:v>0</x:v>
      </x:c>
      <x:c r="S2733" s="3" t="b">
        <x:v>0</x:v>
      </x:c>
      <x:c r="T2733" s="3" t="b">
        <x:v>0</x:v>
      </x:c>
      <x:c r="U2733" s="2" t="str">
        <x:f>IF(T2733=TRUE,"Priority review",IF(R2733=TRUE,"High cost",IF(S2733=TRUE,"Low quality","Benchmark")))</x:f>
        <x:v>Benchmark</x:v>
      </x:c>
    </x:row>
    <x:row r="2734">
      <x:c r="A2734" s="2" t="str">
        <x:v>450801</x:v>
      </x:c>
      <x:c r="B2734" s="2" t="str">
        <x:v>CHRISTUS ST MICHAEL HEALTH SYSTEM</x:v>
      </x:c>
      <x:c r="C2734" s="2" t="str">
        <x:v>TEXARKANA</x:v>
      </x:c>
      <x:c r="D2734" s="2" t="str">
        <x:v>TX</x:v>
      </x:c>
      <x:c r="E2734" s="2" t="str">
        <x:v>Acute Care Hospitals</x:v>
      </x:c>
      <x:c r="F2734" s="2" t="str">
        <x:v>Voluntary non-profit</x:v>
      </x:c>
      <x:c r="G2734" s="2" t="str">
        <x:v>Medium (100-299 beds)</x:v>
      </x:c>
      <x:c r="H2734" s="7" t="n">
        <x:v>3</x:v>
      </x:c>
      <x:c r="I2734" s="7" t="n">
        <x:v>4</x:v>
      </x:c>
      <x:c r="J2734" s="7" t="n">
        <x:v>1.07</x:v>
      </x:c>
      <x:c r="K2734" s="8" t="n">
        <x:v>284</x:v>
      </x:c>
      <x:c r="L2734" s="8" t="n">
        <x:v>17313</x:v>
      </x:c>
      <x:c r="M2734" s="9" t="n">
        <x:v>0.7557978005</x:v>
      </x:c>
      <x:c r="N2734" s="10" t="n">
        <x:v>32218.2063189511</x:v>
      </x:c>
      <x:c r="O2734" s="9" t="n">
        <x:v>0.0234761514</x:v>
      </x:c>
      <x:c r="P2734" s="9" t="n">
        <x:v>0.4466177669</x:v>
      </x:c>
      <x:c r="Q2734" s="9" t="n">
        <x:v>0.3023634882</x:v>
      </x:c>
      <x:c r="R2734" s="3" t="b">
        <x:v>0</x:v>
      </x:c>
      <x:c r="S2734" s="3" t="b">
        <x:v>0</x:v>
      </x:c>
      <x:c r="T2734" s="3" t="b">
        <x:v>0</x:v>
      </x:c>
      <x:c r="U2734" s="2" t="str">
        <x:f>IF(T2734=TRUE,"Priority review",IF(R2734=TRUE,"High cost",IF(S2734=TRUE,"Low quality","Benchmark")))</x:f>
        <x:v>Benchmark</x:v>
      </x:c>
    </x:row>
    <x:row r="2735">
      <x:c r="A2735" s="2" t="str">
        <x:v>194083</x:v>
      </x:c>
      <x:c r="B2735" s="2" t="str">
        <x:v>FREEDOM BEHAVIORAL HOSPITAL OF BASTROP</x:v>
      </x:c>
      <x:c r="C2735" s="2" t="str">
        <x:v>BASTROP</x:v>
      </x:c>
      <x:c r="D2735" s="2" t="str">
        <x:v>LA</x:v>
      </x:c>
      <x:c r="E2735" s="2" t="str">
        <x:v>Psychiatric</x:v>
      </x:c>
      <x:c r="F2735" s="2" t="str">
        <x:v>Proprietary</x:v>
      </x:c>
      <x:c r="G2735" s="2" t="str">
        <x:v>Small (&lt;100 beds)</x:v>
      </x:c>
      <x:c r="H2735" s="7"/>
      <x:c r="I2735" s="7"/>
      <x:c r="J2735" s="7"/>
      <x:c r="K2735" s="8" t="n">
        <x:v>42</x:v>
      </x:c>
      <x:c r="L2735" s="8" t="n">
        <x:v>828</x:v>
      </x:c>
      <x:c r="M2735" s="9" t="n">
        <x:v>0.6217798595</x:v>
      </x:c>
      <x:c r="N2735" s="10" t="n">
        <x:v>11124.5929951691</x:v>
      </x:c>
      <x:c r="O2735" s="9" t="n">
        <x:v>0.0176068276</x:v>
      </x:c>
      <x:c r="P2735" s="9" t="n">
        <x:v>0.4466019417</x:v>
      </x:c>
      <x:c r="Q2735" s="9" t="n">
        <x:v>0</x:v>
      </x:c>
      <x:c r="R2735" s="3" t="b">
        <x:v>0</x:v>
      </x:c>
      <x:c r="S2735" s="3" t="b">
        <x:v>0</x:v>
      </x:c>
      <x:c r="T2735" s="3" t="b">
        <x:v>0</x:v>
      </x:c>
      <x:c r="U2735" s="2" t="str">
        <x:f>IF(T2735=TRUE,"Priority review",IF(R2735=TRUE,"High cost",IF(S2735=TRUE,"Low quality","Benchmark")))</x:f>
        <x:v>Benchmark</x:v>
      </x:c>
    </x:row>
    <x:row r="2736">
      <x:c r="A2736" s="2" t="str">
        <x:v>390044</x:v>
      </x:c>
      <x:c r="B2736" s="2" t="str">
        <x:v>READING HOSPITAL</x:v>
      </x:c>
      <x:c r="C2736" s="2" t="str">
        <x:v>WEST READING</x:v>
      </x:c>
      <x:c r="D2736" s="2" t="str">
        <x:v>PA</x:v>
      </x:c>
      <x:c r="E2736" s="2" t="str">
        <x:v>Acute Care Hospitals</x:v>
      </x:c>
      <x:c r="F2736" s="2" t="str">
        <x:v>Voluntary non-profit</x:v>
      </x:c>
      <x:c r="G2736" s="2" t="str">
        <x:v>Large (300+ beds)</x:v>
      </x:c>
      <x:c r="H2736" s="7" t="n">
        <x:v>4</x:v>
      </x:c>
      <x:c r="I2736" s="7" t="n">
        <x:v>3</x:v>
      </x:c>
      <x:c r="J2736" s="7" t="n">
        <x:v>1.02</x:v>
      </x:c>
      <x:c r="K2736" s="8" t="n">
        <x:v>580</x:v>
      </x:c>
      <x:c r="L2736" s="8" t="n">
        <x:v>34184</x:v>
      </x:c>
      <x:c r="M2736" s="9" t="n">
        <x:v>0.8185262163</x:v>
      </x:c>
      <x:c r="N2736" s="10" t="n">
        <x:v>37260.6935993447</x:v>
      </x:c>
      <x:c r="O2736" s="9" t="n">
        <x:v>0.1278110759</x:v>
      </x:c>
      <x:c r="P2736" s="9" t="n">
        <x:v>0.4463722397</x:v>
      </x:c>
      <x:c r="Q2736" s="9" t="n">
        <x:v>0.5899053628</x:v>
      </x:c>
      <x:c r="R2736" s="3" t="b">
        <x:v>0</x:v>
      </x:c>
      <x:c r="S2736" s="3" t="b">
        <x:v>0</x:v>
      </x:c>
      <x:c r="T2736" s="3" t="b">
        <x:v>0</x:v>
      </x:c>
      <x:c r="U2736" s="2" t="str">
        <x:f>IF(T2736=TRUE,"Priority review",IF(R2736=TRUE,"High cost",IF(S2736=TRUE,"Low quality","Benchmark")))</x:f>
        <x:v>Benchmark</x:v>
      </x:c>
    </x:row>
    <x:row r="2737">
      <x:c r="A2737" s="2" t="str">
        <x:v>390178</x:v>
      </x:c>
      <x:c r="B2737" s="2" t="str">
        <x:v>UPMC HORIZON</x:v>
      </x:c>
      <x:c r="C2737" s="2" t="str">
        <x:v>GREENVILLE</x:v>
      </x:c>
      <x:c r="D2737" s="2" t="str">
        <x:v>PA</x:v>
      </x:c>
      <x:c r="E2737" s="2" t="str">
        <x:v>Acute Care Hospitals</x:v>
      </x:c>
      <x:c r="F2737" s="2" t="str">
        <x:v>Voluntary non-profit</x:v>
      </x:c>
      <x:c r="G2737" s="2" t="str">
        <x:v>Small (&lt;100 beds)</x:v>
      </x:c>
      <x:c r="H2737" s="7" t="n">
        <x:v>4</x:v>
      </x:c>
      <x:c r="I2737" s="7" t="n">
        <x:v>4</x:v>
      </x:c>
      <x:c r="J2737" s="7" t="n">
        <x:v>0.95</x:v>
      </x:c>
      <x:c r="K2737" s="8" t="n">
        <x:v>98</x:v>
      </x:c>
      <x:c r="L2737" s="8" t="n">
        <x:v>4620</x:v>
      </x:c>
      <x:c r="M2737" s="9" t="n">
        <x:v>0.4483184549</x:v>
      </x:c>
      <x:c r="N2737" s="10" t="n">
        <x:v>47920.7409090909</x:v>
      </x:c>
      <x:c r="O2737" s="9" t="n">
        <x:v>-0.0996192653</x:v>
      </x:c>
      <x:c r="P2737" s="9" t="n">
        <x:v>0.4461400359</x:v>
      </x:c>
      <x:c r="Q2737" s="9" t="n">
        <x:v>0.3913824057</x:v>
      </x:c>
      <x:c r="R2737" s="3" t="b">
        <x:v>0</x:v>
      </x:c>
      <x:c r="S2737" s="3" t="b">
        <x:v>0</x:v>
      </x:c>
      <x:c r="T2737" s="3" t="b">
        <x:v>0</x:v>
      </x:c>
      <x:c r="U2737" s="2" t="str">
        <x:f>IF(T2737=TRUE,"Priority review",IF(R2737=TRUE,"High cost",IF(S2737=TRUE,"Low quality","Benchmark")))</x:f>
        <x:v>Benchmark</x:v>
      </x:c>
    </x:row>
    <x:row r="2738">
      <x:c r="A2738" s="2" t="str">
        <x:v>161304</x:v>
      </x:c>
      <x:c r="B2738" s="2" t="str">
        <x:v>CHI HEALTH - MERCY CORNING</x:v>
      </x:c>
      <x:c r="C2738" s="2" t="str">
        <x:v>CORNING</x:v>
      </x:c>
      <x:c r="D2738" s="2" t="str">
        <x:v>IA</x:v>
      </x:c>
      <x:c r="E2738" s="2" t="str">
        <x:v>Critical Access Hospitals</x:v>
      </x:c>
      <x:c r="F2738" s="2" t="str">
        <x:v>Voluntary non-profit</x:v>
      </x:c>
      <x:c r="G2738" s="2" t="str">
        <x:v>Small (&lt;100 beds)</x:v>
      </x:c>
      <x:c r="H2738" s="7" t="n">
        <x:v>3</x:v>
      </x:c>
      <x:c r="I2738" s="7"/>
      <x:c r="J2738" s="7"/>
      <x:c r="K2738" s="8" t="n">
        <x:v>22</x:v>
      </x:c>
      <x:c r="L2738" s="8" t="n">
        <x:v>198</x:v>
      </x:c>
      <x:c r="M2738" s="9" t="n">
        <x:v>0.1567870486</x:v>
      </x:c>
      <x:c r="N2738" s="10" t="n">
        <x:v>120506.3232323232</x:v>
      </x:c>
      <x:c r="O2738" s="9" t="n">
        <x:v>0.0764438976</x:v>
      </x:c>
      <x:c r="P2738" s="9" t="n">
        <x:v>0.4460966543</x:v>
      </x:c>
      <x:c r="Q2738" s="9" t="n">
        <x:v>0.0765799257</x:v>
      </x:c>
      <x:c r="R2738" s="3" t="b">
        <x:v>0</x:v>
      </x:c>
      <x:c r="S2738" s="3" t="b">
        <x:v>1</x:v>
      </x:c>
      <x:c r="T2738" s="3" t="b">
        <x:v>0</x:v>
      </x:c>
      <x:c r="U2738" s="2" t="str">
        <x:f>IF(T2738=TRUE,"Priority review",IF(R2738=TRUE,"High cost",IF(S2738=TRUE,"Low quality","Benchmark")))</x:f>
        <x:v>Low quality</x:v>
      </x:c>
    </x:row>
    <x:row r="2739">
      <x:c r="A2739" s="2" t="str">
        <x:v>050300</x:v>
      </x:c>
      <x:c r="B2739" s="2" t="str">
        <x:v>PROVIDENCE ST MARY MEDICAL CENTER</x:v>
      </x:c>
      <x:c r="C2739" s="2" t="str">
        <x:v>APPLE VALLEY</x:v>
      </x:c>
      <x:c r="D2739" s="2" t="str">
        <x:v>CA</x:v>
      </x:c>
      <x:c r="E2739" s="2" t="str">
        <x:v>Acute Care Hospitals</x:v>
      </x:c>
      <x:c r="F2739" s="2" t="str">
        <x:v>Voluntary non-profit</x:v>
      </x:c>
      <x:c r="G2739" s="2" t="str">
        <x:v>Medium (100-299 beds)</x:v>
      </x:c>
      <x:c r="H2739" s="7" t="n">
        <x:v>2</x:v>
      </x:c>
      <x:c r="I2739" s="7" t="n">
        <x:v>1</x:v>
      </x:c>
      <x:c r="J2739" s="7" t="n">
        <x:v>0.99</x:v>
      </x:c>
      <x:c r="K2739" s="8" t="n">
        <x:v>214</x:v>
      </x:c>
      <x:c r="L2739" s="8" t="n">
        <x:v>13583</x:v>
      </x:c>
      <x:c r="M2739" s="9" t="n">
        <x:v>0.8156189988</x:v>
      </x:c>
      <x:c r="N2739" s="10" t="n">
        <x:v>32203.7562394169</x:v>
      </x:c>
      <x:c r="O2739" s="9" t="n">
        <x:v>-0.0550057404</x:v>
      </x:c>
      <x:c r="P2739" s="9" t="n">
        <x:v>0.445802771</x:v>
      </x:c>
      <x:c r="Q2739" s="9" t="n">
        <x:v>0.0782396088</x:v>
      </x:c>
      <x:c r="R2739" s="3" t="b">
        <x:v>0</x:v>
      </x:c>
      <x:c r="S2739" s="3" t="b">
        <x:v>1</x:v>
      </x:c>
      <x:c r="T2739" s="3" t="b">
        <x:v>0</x:v>
      </x:c>
      <x:c r="U2739" s="2" t="str">
        <x:f>IF(T2739=TRUE,"Priority review",IF(R2739=TRUE,"High cost",IF(S2739=TRUE,"Low quality","Benchmark")))</x:f>
        <x:v>Low quality</x:v>
      </x:c>
    </x:row>
    <x:row r="2740">
      <x:c r="A2740" s="2" t="str">
        <x:v>021311</x:v>
      </x:c>
      <x:c r="B2740" s="2" t="str">
        <x:v>PEACEHEALTH KETCHIKAN MEDICAL CENTER</x:v>
      </x:c>
      <x:c r="C2740" s="2" t="str">
        <x:v>KETCHIKAN</x:v>
      </x:c>
      <x:c r="D2740" s="2" t="str">
        <x:v>AK</x:v>
      </x:c>
      <x:c r="E2740" s="2" t="str">
        <x:v>Critical Access Hospitals</x:v>
      </x:c>
      <x:c r="F2740" s="2" t="str">
        <x:v>Voluntary non-profit</x:v>
      </x:c>
      <x:c r="G2740" s="2" t="str">
        <x:v>Small (&lt;100 beds)</x:v>
      </x:c>
      <x:c r="H2740" s="7" t="n">
        <x:v>4</x:v>
      </x:c>
      <x:c r="I2740" s="7" t="n">
        <x:v>4</x:v>
      </x:c>
      <x:c r="J2740" s="7"/>
      <x:c r="K2740" s="8" t="n">
        <x:v>25</x:v>
      </x:c>
      <x:c r="L2740" s="8" t="n">
        <x:v>908</x:v>
      </x:c>
      <x:c r="M2740" s="9" t="n">
        <x:v>0.392109589</x:v>
      </x:c>
      <x:c r="N2740" s="10" t="n">
        <x:v>120299.3193832599</x:v>
      </x:c>
      <x:c r="O2740" s="9" t="n">
        <x:v>-0.1063710334</x:v>
      </x:c>
      <x:c r="P2740" s="9" t="n">
        <x:v>0.4453531599</x:v>
      </x:c>
      <x:c r="Q2740" s="9" t="n">
        <x:v>0.1657992565</x:v>
      </x:c>
      <x:c r="R2740" s="3" t="b">
        <x:v>0</x:v>
      </x:c>
      <x:c r="S2740" s="3" t="b">
        <x:v>0</x:v>
      </x:c>
      <x:c r="T2740" s="3" t="b">
        <x:v>0</x:v>
      </x:c>
      <x:c r="U2740" s="2" t="str">
        <x:f>IF(T2740=TRUE,"Priority review",IF(R2740=TRUE,"High cost",IF(S2740=TRUE,"Low quality","Benchmark")))</x:f>
        <x:v>Benchmark</x:v>
      </x:c>
    </x:row>
    <x:row r="2741">
      <x:c r="A2741" s="2" t="str">
        <x:v>260113</x:v>
      </x:c>
      <x:c r="B2741" s="2" t="str">
        <x:v>MISSOURI DELTA MEDICAL CENTER</x:v>
      </x:c>
      <x:c r="C2741" s="2" t="str">
        <x:v>SIKESTON</x:v>
      </x:c>
      <x:c r="D2741" s="2" t="str">
        <x:v>MO</x:v>
      </x:c>
      <x:c r="E2741" s="2" t="str">
        <x:v>Acute Care Hospitals</x:v>
      </x:c>
      <x:c r="F2741" s="2" t="str">
        <x:v>Voluntary non-profit</x:v>
      </x:c>
      <x:c r="G2741" s="2" t="str">
        <x:v>Small (&lt;100 beds)</x:v>
      </x:c>
      <x:c r="H2741" s="7" t="n">
        <x:v>2</x:v>
      </x:c>
      <x:c r="I2741" s="7" t="n">
        <x:v>2</x:v>
      </x:c>
      <x:c r="J2741" s="7" t="n">
        <x:v>1</x:v>
      </x:c>
      <x:c r="K2741" s="8" t="n">
        <x:v>98</x:v>
      </x:c>
      <x:c r="L2741" s="8" t="n">
        <x:v>3419</x:v>
      </x:c>
      <x:c r="M2741" s="9" t="n">
        <x:v>0.4087766254</x:v>
      </x:c>
      <x:c r="N2741" s="10" t="n">
        <x:v>47764.0365603978</x:v>
      </x:c>
      <x:c r="O2741" s="9" t="n">
        <x:v>-0.0922280543</x:v>
      </x:c>
      <x:c r="P2741" s="9" t="n">
        <x:v>0.4452423698</x:v>
      </x:c>
      <x:c r="Q2741" s="9" t="n">
        <x:v>0.0350089767</x:v>
      </x:c>
      <x:c r="R2741" s="3" t="b">
        <x:v>0</x:v>
      </x:c>
      <x:c r="S2741" s="3" t="b">
        <x:v>1</x:v>
      </x:c>
      <x:c r="T2741" s="3" t="b">
        <x:v>0</x:v>
      </x:c>
      <x:c r="U2741" s="2" t="str">
        <x:f>IF(T2741=TRUE,"Priority review",IF(R2741=TRUE,"High cost",IF(S2741=TRUE,"Low quality","Benchmark")))</x:f>
        <x:v>Low quality</x:v>
      </x:c>
    </x:row>
    <x:row r="2742">
      <x:c r="A2742" s="2" t="str">
        <x:v>510048</x:v>
      </x:c>
      <x:c r="B2742" s="2" t="str">
        <x:v>LOGAN REGIONAL MEDICAL CENTER</x:v>
      </x:c>
      <x:c r="C2742" s="2" t="str">
        <x:v>LOGAN</x:v>
      </x:c>
      <x:c r="D2742" s="2" t="str">
        <x:v>WV</x:v>
      </x:c>
      <x:c r="E2742" s="2" t="str">
        <x:v>Acute Care Hospitals</x:v>
      </x:c>
      <x:c r="F2742" s="2" t="str">
        <x:v>Proprietary</x:v>
      </x:c>
      <x:c r="G2742" s="2" t="str">
        <x:v>Medium (100-299 beds)</x:v>
      </x:c>
      <x:c r="H2742" s="7" t="n">
        <x:v>2</x:v>
      </x:c>
      <x:c r="I2742" s="7" t="n">
        <x:v>3</x:v>
      </x:c>
      <x:c r="J2742" s="7" t="n">
        <x:v>0.92</x:v>
      </x:c>
      <x:c r="K2742" s="8" t="n">
        <x:v>132</x:v>
      </x:c>
      <x:c r="L2742" s="8" t="n">
        <x:v>3843</x:v>
      </x:c>
      <x:c r="M2742" s="9" t="n">
        <x:v>0.3817892035</x:v>
      </x:c>
      <x:c r="N2742" s="10" t="n">
        <x:v>32201.7832422587</x:v>
      </x:c>
      <x:c r="O2742" s="9" t="n">
        <x:v>-0.1193044005</x:v>
      </x:c>
      <x:c r="P2742" s="9" t="n">
        <x:v>0.4449877751</x:v>
      </x:c>
      <x:c r="Q2742" s="9" t="n">
        <x:v>0.0782396088</x:v>
      </x:c>
      <x:c r="R2742" s="3" t="b">
        <x:v>0</x:v>
      </x:c>
      <x:c r="S2742" s="3" t="b">
        <x:v>1</x:v>
      </x:c>
      <x:c r="T2742" s="3" t="b">
        <x:v>0</x:v>
      </x:c>
      <x:c r="U2742" s="2" t="str">
        <x:f>IF(T2742=TRUE,"Priority review",IF(R2742=TRUE,"High cost",IF(S2742=TRUE,"Low quality","Benchmark")))</x:f>
        <x:v>Low quality</x:v>
      </x:c>
    </x:row>
    <x:row r="2743">
      <x:c r="A2743" s="2" t="str">
        <x:v>140053</x:v>
      </x:c>
      <x:c r="B2743" s="2" t="str">
        <x:v>ST JOHNS HOSPITAL</x:v>
      </x:c>
      <x:c r="C2743" s="2" t="str">
        <x:v>SPRINGFIELD</x:v>
      </x:c>
      <x:c r="D2743" s="2" t="str">
        <x:v>IL</x:v>
      </x:c>
      <x:c r="E2743" s="2" t="str">
        <x:v>Acute Care Hospitals</x:v>
      </x:c>
      <x:c r="F2743" s="2" t="str">
        <x:v>Voluntary non-profit</x:v>
      </x:c>
      <x:c r="G2743" s="2" t="str">
        <x:v>Large (300+ beds)</x:v>
      </x:c>
      <x:c r="H2743" s="7" t="n">
        <x:v>2</x:v>
      </x:c>
      <x:c r="I2743" s="7" t="n">
        <x:v>2</x:v>
      </x:c>
      <x:c r="J2743" s="7" t="n">
        <x:v>1.05</x:v>
      </x:c>
      <x:c r="K2743" s="8" t="n">
        <x:v>442</x:v>
      </x:c>
      <x:c r="L2743" s="8" t="n">
        <x:v>18669</x:v>
      </x:c>
      <x:c r="M2743" s="9" t="n">
        <x:v>0.6797867725</x:v>
      </x:c>
      <x:c r="N2743" s="10" t="n">
        <x:v>37151.6249933044</x:v>
      </x:c>
      <x:c r="O2743" s="9" t="n">
        <x:v>-0.0229474047</x:v>
      </x:c>
      <x:c r="P2743" s="9" t="n">
        <x:v>0.4447949527</x:v>
      </x:c>
      <x:c r="Q2743" s="9" t="n">
        <x:v>0.0536277603</x:v>
      </x:c>
      <x:c r="R2743" s="3" t="b">
        <x:v>0</x:v>
      </x:c>
      <x:c r="S2743" s="3" t="b">
        <x:v>1</x:v>
      </x:c>
      <x:c r="T2743" s="3" t="b">
        <x:v>0</x:v>
      </x:c>
      <x:c r="U2743" s="2" t="str">
        <x:f>IF(T2743=TRUE,"Priority review",IF(R2743=TRUE,"High cost",IF(S2743=TRUE,"Low quality","Benchmark")))</x:f>
        <x:v>Low quality</x:v>
      </x:c>
    </x:row>
    <x:row r="2744">
      <x:c r="A2744" s="2" t="str">
        <x:v>381314</x:v>
      </x:c>
      <x:c r="B2744" s="2" t="str">
        <x:v>SAMARITAN PACIFIC COMMUNITY HOSPITAL</x:v>
      </x:c>
      <x:c r="C2744" s="2" t="str">
        <x:v>NEWPORT</x:v>
      </x:c>
      <x:c r="D2744" s="2" t="str">
        <x:v>OR</x:v>
      </x:c>
      <x:c r="E2744" s="2" t="str">
        <x:v>Critical Access Hospitals</x:v>
      </x:c>
      <x:c r="F2744" s="2" t="str">
        <x:v>Voluntary non-profit</x:v>
      </x:c>
      <x:c r="G2744" s="2" t="str">
        <x:v>Small (&lt;100 beds)</x:v>
      </x:c>
      <x:c r="H2744" s="7" t="n">
        <x:v>1</x:v>
      </x:c>
      <x:c r="I2744" s="7" t="n">
        <x:v>4</x:v>
      </x:c>
      <x:c r="J2744" s="7"/>
      <x:c r="K2744" s="8" t="n">
        <x:v>25</x:v>
      </x:c>
      <x:c r="L2744" s="8" t="n">
        <x:v>1146</x:v>
      </x:c>
      <x:c r="M2744" s="9" t="n">
        <x:v>0.5212021858</x:v>
      </x:c>
      <x:c r="N2744" s="10" t="n">
        <x:v>120262.8778359511</x:v>
      </x:c>
      <x:c r="O2744" s="9" t="n">
        <x:v>0.033225991</x:v>
      </x:c>
      <x:c r="P2744" s="9" t="n">
        <x:v>0.4446096654</x:v>
      </x:c>
      <x:c r="Q2744" s="9" t="n">
        <x:v>0</x:v>
      </x:c>
      <x:c r="R2744" s="3" t="b">
        <x:v>0</x:v>
      </x:c>
      <x:c r="S2744" s="3" t="b">
        <x:v>1</x:v>
      </x:c>
      <x:c r="T2744" s="3" t="b">
        <x:v>0</x:v>
      </x:c>
      <x:c r="U2744" s="2" t="str">
        <x:f>IF(T2744=TRUE,"Priority review",IF(R2744=TRUE,"High cost",IF(S2744=TRUE,"Low quality","Benchmark")))</x:f>
        <x:v>Low quality</x:v>
      </x:c>
    </x:row>
    <x:row r="2745">
      <x:c r="A2745" s="2" t="str">
        <x:v>053303</x:v>
      </x:c>
      <x:c r="B2745" s="2" t="str">
        <x:v>RADY CHILDREN'S HOSPITAL - SAN DIEGO</x:v>
      </x:c>
      <x:c r="C2745" s="2" t="str">
        <x:v>SAN DIEGO</x:v>
      </x:c>
      <x:c r="D2745" s="2" t="str">
        <x:v>CA</x:v>
      </x:c>
      <x:c r="E2745" s="2" t="str">
        <x:v>Childrens</x:v>
      </x:c>
      <x:c r="F2745" s="2" t="str">
        <x:v>Voluntary non-profit</x:v>
      </x:c>
      <x:c r="G2745" s="2" t="str">
        <x:v>Large (300+ beds)</x:v>
      </x:c>
      <x:c r="H2745" s="7"/>
      <x:c r="I2745" s="7"/>
      <x:c r="J2745" s="7"/>
      <x:c r="K2745" s="8" t="n">
        <x:v>401</x:v>
      </x:c>
      <x:c r="L2745" s="8" t="n">
        <x:v>19055</x:v>
      </x:c>
      <x:c r="M2745" s="9" t="n">
        <x:v>0.6982748608</x:v>
      </x:c>
      <x:c r="N2745" s="10" t="n">
        <x:v>91426.930307006</x:v>
      </x:c>
      <x:c r="O2745" s="9" t="n">
        <x:v>-0.002202945</x:v>
      </x:c>
      <x:c r="P2745" s="9" t="n">
        <x:v>0.4444444444</x:v>
      </x:c>
      <x:c r="Q2745" s="9" t="n">
        <x:v>0</x:v>
      </x:c>
      <x:c r="R2745" s="3" t="b">
        <x:v>0</x:v>
      </x:c>
      <x:c r="S2745" s="3" t="b">
        <x:v>0</x:v>
      </x:c>
      <x:c r="T2745" s="3" t="b">
        <x:v>0</x:v>
      </x:c>
      <x:c r="U2745" s="2" t="str">
        <x:f>IF(T2745=TRUE,"Priority review",IF(R2745=TRUE,"High cost",IF(S2745=TRUE,"Low quality","Benchmark")))</x:f>
        <x:v>Benchmark</x:v>
      </x:c>
    </x:row>
    <x:row r="2746">
      <x:c r="A2746" s="2" t="str">
        <x:v>180025</x:v>
      </x:c>
      <x:c r="B2746" s="2" t="str">
        <x:v>CHI SAINT JOSEPH FLAGET MEMORIAL HOSPITAL</x:v>
      </x:c>
      <x:c r="C2746" s="2" t="str">
        <x:v>BARDSTOWN</x:v>
      </x:c>
      <x:c r="D2746" s="2" t="str">
        <x:v>KY</x:v>
      </x:c>
      <x:c r="E2746" s="2" t="str">
        <x:v>Acute Care Hospitals</x:v>
      </x:c>
      <x:c r="F2746" s="2" t="str">
        <x:v>Voluntary non-profit</x:v>
      </x:c>
      <x:c r="G2746" s="2" t="str">
        <x:v>Small (&lt;100 beds)</x:v>
      </x:c>
      <x:c r="H2746" s="7" t="n">
        <x:v>3</x:v>
      </x:c>
      <x:c r="I2746" s="7" t="n">
        <x:v>3</x:v>
      </x:c>
      <x:c r="J2746" s="7" t="n">
        <x:v>0.87</x:v>
      </x:c>
      <x:c r="K2746" s="8" t="n">
        <x:v>40</x:v>
      </x:c>
      <x:c r="L2746" s="8" t="n">
        <x:v>1918</x:v>
      </x:c>
      <x:c r="M2746" s="9" t="n">
        <x:v>0.4156164384</x:v>
      </x:c>
      <x:c r="N2746" s="10" t="n">
        <x:v>47663.2398331595</x:v>
      </x:c>
      <x:c r="O2746" s="9" t="n">
        <x:v>0.2013961968</x:v>
      </x:c>
      <x:c r="P2746" s="9" t="n">
        <x:v>0.4443447038</x:v>
      </x:c>
      <x:c r="Q2746" s="9" t="n">
        <x:v>0.1687612208</x:v>
      </x:c>
      <x:c r="R2746" s="3" t="b">
        <x:v>0</x:v>
      </x:c>
      <x:c r="S2746" s="3" t="b">
        <x:v>0</x:v>
      </x:c>
      <x:c r="T2746" s="3" t="b">
        <x:v>0</x:v>
      </x:c>
      <x:c r="U2746" s="2" t="str">
        <x:f>IF(T2746=TRUE,"Priority review",IF(R2746=TRUE,"High cost",IF(S2746=TRUE,"Low quality","Benchmark")))</x:f>
        <x:v>Benchmark</x:v>
      </x:c>
    </x:row>
    <x:row r="2747">
      <x:c r="A2747" s="2" t="str">
        <x:v>040055</x:v>
      </x:c>
      <x:c r="B2747" s="2" t="str">
        <x:v>BAPTIST HEALTH - FORT SMITH</x:v>
      </x:c>
      <x:c r="C2747" s="2" t="str">
        <x:v>FORT SMITH</x:v>
      </x:c>
      <x:c r="D2747" s="2" t="str">
        <x:v>AR</x:v>
      </x:c>
      <x:c r="E2747" s="2" t="str">
        <x:v>Acute Care Hospitals</x:v>
      </x:c>
      <x:c r="F2747" s="2" t="str">
        <x:v>Voluntary non-profit</x:v>
      </x:c>
      <x:c r="G2747" s="2" t="str">
        <x:v>Medium (100-299 beds)</x:v>
      </x:c>
      <x:c r="H2747" s="7" t="n">
        <x:v>2</x:v>
      </x:c>
      <x:c r="I2747" s="7" t="n">
        <x:v>2</x:v>
      </x:c>
      <x:c r="J2747" s="7" t="n">
        <x:v>1.01</x:v>
      </x:c>
      <x:c r="K2747" s="8" t="n">
        <x:v>279</x:v>
      </x:c>
      <x:c r="L2747" s="8" t="n">
        <x:v>10636</x:v>
      </x:c>
      <x:c r="M2747" s="9" t="n">
        <x:v>0.4628160683</x:v>
      </x:c>
      <x:c r="N2747" s="10" t="n">
        <x:v>32147.9233734487</x:v>
      </x:c>
      <x:c r="O2747" s="9" t="n">
        <x:v>-0.156229151</x:v>
      </x:c>
      <x:c r="P2747" s="9" t="n">
        <x:v>0.4441727791</x:v>
      </x:c>
      <x:c r="Q2747" s="9" t="n">
        <x:v>0.0782396088</x:v>
      </x:c>
      <x:c r="R2747" s="3" t="b">
        <x:v>0</x:v>
      </x:c>
      <x:c r="S2747" s="3" t="b">
        <x:v>1</x:v>
      </x:c>
      <x:c r="T2747" s="3" t="b">
        <x:v>0</x:v>
      </x:c>
      <x:c r="U2747" s="2" t="str">
        <x:f>IF(T2747=TRUE,"Priority review",IF(R2747=TRUE,"High cost",IF(S2747=TRUE,"Low quality","Benchmark")))</x:f>
        <x:v>Low quality</x:v>
      </x:c>
    </x:row>
    <x:row r="2748">
      <x:c r="A2748" s="2" t="str">
        <x:v>161355</x:v>
      </x:c>
      <x:c r="B2748" s="2" t="str">
        <x:v>KNOXVILLE HOSPITAL &amp; CLINICS</x:v>
      </x:c>
      <x:c r="C2748" s="2" t="str">
        <x:v>KNOXVILLE</x:v>
      </x:c>
      <x:c r="D2748" s="2" t="str">
        <x:v>IA</x:v>
      </x:c>
      <x:c r="E2748" s="2" t="str">
        <x:v>Critical Access Hospitals</x:v>
      </x:c>
      <x:c r="F2748" s="2" t="str">
        <x:v>Voluntary non-profit</x:v>
      </x:c>
      <x:c r="G2748" s="2" t="str">
        <x:v>Small (&lt;100 beds)</x:v>
      </x:c>
      <x:c r="H2748" s="7" t="n">
        <x:v>2</x:v>
      </x:c>
      <x:c r="I2748" s="7"/>
      <x:c r="J2748" s="7"/>
      <x:c r="K2748" s="8" t="n">
        <x:v>25</x:v>
      </x:c>
      <x:c r="L2748" s="8" t="n">
        <x:v>466</x:v>
      </x:c>
      <x:c r="M2748" s="9" t="n">
        <x:v>0.2383561644</x:v>
      </x:c>
      <x:c r="N2748" s="10" t="n">
        <x:v>120157.0858369099</x:v>
      </x:c>
      <x:c r="O2748" s="9" t="n">
        <x:v>0.0215462795</x:v>
      </x:c>
      <x:c r="P2748" s="9" t="n">
        <x:v>0.443866171</x:v>
      </x:c>
      <x:c r="Q2748" s="9" t="n">
        <x:v>0.0171003717</x:v>
      </x:c>
      <x:c r="R2748" s="3" t="b">
        <x:v>0</x:v>
      </x:c>
      <x:c r="S2748" s="3" t="b">
        <x:v>1</x:v>
      </x:c>
      <x:c r="T2748" s="3" t="b">
        <x:v>0</x:v>
      </x:c>
      <x:c r="U2748" s="2" t="str">
        <x:f>IF(T2748=TRUE,"Priority review",IF(R2748=TRUE,"High cost",IF(S2748=TRUE,"Low quality","Benchmark")))</x:f>
        <x:v>Low quality</x:v>
      </x:c>
    </x:row>
    <x:row r="2749">
      <x:c r="A2749" s="2" t="str">
        <x:v>430012</x:v>
      </x:c>
      <x:c r="B2749" s="2" t="str">
        <x:v>AVERA SACRED HEART HOSPITAL</x:v>
      </x:c>
      <x:c r="C2749" s="2" t="str">
        <x:v>YANKTON</x:v>
      </x:c>
      <x:c r="D2749" s="2" t="str">
        <x:v>SD</x:v>
      </x:c>
      <x:c r="E2749" s="2" t="str">
        <x:v>Acute Care Hospitals</x:v>
      </x:c>
      <x:c r="F2749" s="2" t="str">
        <x:v>Voluntary non-profit</x:v>
      </x:c>
      <x:c r="G2749" s="2" t="str">
        <x:v>Small (&lt;100 beds)</x:v>
      </x:c>
      <x:c r="H2749" s="7" t="n">
        <x:v>3</x:v>
      </x:c>
      <x:c r="I2749" s="7" t="n">
        <x:v>4</x:v>
      </x:c>
      <x:c r="J2749" s="7" t="n">
        <x:v>0.94</x:v>
      </x:c>
      <x:c r="K2749" s="8" t="n">
        <x:v>42</x:v>
      </x:c>
      <x:c r="L2749" s="8" t="n">
        <x:v>2925</x:v>
      </x:c>
      <x:c r="M2749" s="9" t="n">
        <x:v>0.676060013</x:v>
      </x:c>
      <x:c r="N2749" s="10" t="n">
        <x:v>47632.9996581197</x:v>
      </x:c>
      <x:c r="O2749" s="9" t="n">
        <x:v>-0.0092928395</x:v>
      </x:c>
      <x:c r="P2749" s="9" t="n">
        <x:v>0.4434470377</x:v>
      </x:c>
      <x:c r="Q2749" s="9" t="n">
        <x:v>0.1687612208</x:v>
      </x:c>
      <x:c r="R2749" s="3" t="b">
        <x:v>0</x:v>
      </x:c>
      <x:c r="S2749" s="3" t="b">
        <x:v>0</x:v>
      </x:c>
      <x:c r="T2749" s="3" t="b">
        <x:v>0</x:v>
      </x:c>
      <x:c r="U2749" s="2" t="str">
        <x:f>IF(T2749=TRUE,"Priority review",IF(R2749=TRUE,"High cost",IF(S2749=TRUE,"Low quality","Benchmark")))</x:f>
        <x:v>Benchmark</x:v>
      </x:c>
    </x:row>
    <x:row r="2750">
      <x:c r="A2750" s="2" t="str">
        <x:v>344016</x:v>
      </x:c>
      <x:c r="B2750" s="2" t="str">
        <x:v>BRYNN MARR HOSP</x:v>
      </x:c>
      <x:c r="C2750" s="2" t="str">
        <x:v>JACKSONVILLE</x:v>
      </x:c>
      <x:c r="D2750" s="2" t="str">
        <x:v>NC</x:v>
      </x:c>
      <x:c r="E2750" s="2" t="str">
        <x:v>Psychiatric</x:v>
      </x:c>
      <x:c r="F2750" s="2" t="str">
        <x:v>Government</x:v>
      </x:c>
      <x:c r="G2750" s="2" t="str">
        <x:v>Small (&lt;100 beds)</x:v>
      </x:c>
      <x:c r="H2750" s="7"/>
      <x:c r="I2750" s="7"/>
      <x:c r="J2750" s="7"/>
      <x:c r="K2750" s="8" t="n">
        <x:v>84</x:v>
      </x:c>
      <x:c r="L2750" s="8" t="n">
        <x:v>2235</x:v>
      </x:c>
      <x:c r="M2750" s="9" t="n">
        <x:v>0.8270384866</x:v>
      </x:c>
      <x:c r="N2750" s="10" t="n">
        <x:v>11123.4845637584</x:v>
      </x:c>
      <x:c r="O2750" s="9" t="n">
        <x:v>-0.1045716787</x:v>
      </x:c>
      <x:c r="P2750" s="9" t="n">
        <x:v>0.4433656958</x:v>
      </x:c>
      <x:c r="Q2750" s="9" t="n">
        <x:v>0</x:v>
      </x:c>
      <x:c r="R2750" s="3" t="b">
        <x:v>0</x:v>
      </x:c>
      <x:c r="S2750" s="3" t="b">
        <x:v>0</x:v>
      </x:c>
      <x:c r="T2750" s="3" t="b">
        <x:v>0</x:v>
      </x:c>
      <x:c r="U2750" s="2" t="str">
        <x:f>IF(T2750=TRUE,"Priority review",IF(R2750=TRUE,"High cost",IF(S2750=TRUE,"Low quality","Benchmark")))</x:f>
        <x:v>Benchmark</x:v>
      </x:c>
    </x:row>
    <x:row r="2751">
      <x:c r="A2751" s="2" t="str">
        <x:v>100040</x:v>
      </x:c>
      <x:c r="B2751" s="2" t="str">
        <x:v>ASCENSION ST VINCENT'S RIVERSIDE</x:v>
      </x:c>
      <x:c r="C2751" s="2" t="str">
        <x:v>JACKSONVILLE</x:v>
      </x:c>
      <x:c r="D2751" s="2" t="str">
        <x:v>FL</x:v>
      </x:c>
      <x:c r="E2751" s="2" t="str">
        <x:v>Acute Care Hospitals</x:v>
      </x:c>
      <x:c r="F2751" s="2" t="str">
        <x:v>Voluntary non-profit</x:v>
      </x:c>
      <x:c r="G2751" s="2" t="str">
        <x:v>Medium (100-299 beds)</x:v>
      </x:c>
      <x:c r="H2751" s="7" t="n">
        <x:v>3</x:v>
      </x:c>
      <x:c r="I2751" s="7" t="n">
        <x:v>2</x:v>
      </x:c>
      <x:c r="J2751" s="7" t="n">
        <x:v>1.01</x:v>
      </x:c>
      <x:c r="K2751" s="8" t="n">
        <x:v>289</x:v>
      </x:c>
      <x:c r="L2751" s="8" t="n">
        <x:v>14245</x:v>
      </x:c>
      <x:c r="M2751" s="9" t="n">
        <x:v>0.6521422077</x:v>
      </x:c>
      <x:c r="N2751" s="10" t="n">
        <x:v>32091.5780975781</x:v>
      </x:c>
      <x:c r="O2751" s="9" t="n">
        <x:v>0.0432465639</x:v>
      </x:c>
      <x:c r="P2751" s="9" t="n">
        <x:v>0.4433577832</x:v>
      </x:c>
      <x:c r="Q2751" s="9" t="n">
        <x:v>0.3023634882</x:v>
      </x:c>
      <x:c r="R2751" s="3" t="b">
        <x:v>0</x:v>
      </x:c>
      <x:c r="S2751" s="3" t="b">
        <x:v>0</x:v>
      </x:c>
      <x:c r="T2751" s="3" t="b">
        <x:v>0</x:v>
      </x:c>
      <x:c r="U2751" s="2" t="str">
        <x:f>IF(T2751=TRUE,"Priority review",IF(R2751=TRUE,"High cost",IF(S2751=TRUE,"Low quality","Benchmark")))</x:f>
        <x:v>Benchmark</x:v>
      </x:c>
    </x:row>
    <x:row r="2752">
      <x:c r="A2752" s="2" t="str">
        <x:v>440049</x:v>
      </x:c>
      <x:c r="B2752" s="2" t="str">
        <x:v>METHODIST HOSPITALS OF MEMPHIS</x:v>
      </x:c>
      <x:c r="C2752" s="2" t="str">
        <x:v>MEMPHIS</x:v>
      </x:c>
      <x:c r="D2752" s="2" t="str">
        <x:v>TN</x:v>
      </x:c>
      <x:c r="E2752" s="2" t="str">
        <x:v>Acute Care Hospitals</x:v>
      </x:c>
      <x:c r="F2752" s="2" t="str">
        <x:v>Voluntary non-profit</x:v>
      </x:c>
      <x:c r="G2752" s="2" t="str">
        <x:v>Large (300+ beds)</x:v>
      </x:c>
      <x:c r="H2752" s="7" t="n">
        <x:v>3</x:v>
      </x:c>
      <x:c r="I2752" s="7" t="n">
        <x:v>2</x:v>
      </x:c>
      <x:c r="J2752" s="7" t="n">
        <x:v>1.03</x:v>
      </x:c>
      <x:c r="K2752" s="8" t="n">
        <x:v>1368</x:v>
      </x:c>
      <x:c r="L2752" s="8" t="n">
        <x:v>50828</x:v>
      </x:c>
      <x:c r="M2752" s="9" t="n">
        <x:v>0.6827105902</x:v>
      </x:c>
      <x:c r="N2752" s="10" t="n">
        <x:v>37102.987211773</x:v>
      </x:c>
      <x:c r="O2752" s="9" t="n">
        <x:v>-0.0797395901</x:v>
      </x:c>
      <x:c r="P2752" s="9" t="n">
        <x:v>0.4432176656</x:v>
      </x:c>
      <x:c r="Q2752" s="9" t="n">
        <x:v>0.2570977918</x:v>
      </x:c>
      <x:c r="R2752" s="3" t="b">
        <x:v>0</x:v>
      </x:c>
      <x:c r="S2752" s="3" t="b">
        <x:v>0</x:v>
      </x:c>
      <x:c r="T2752" s="3" t="b">
        <x:v>0</x:v>
      </x:c>
      <x:c r="U2752" s="2" t="str">
        <x:f>IF(T2752=TRUE,"Priority review",IF(R2752=TRUE,"High cost",IF(S2752=TRUE,"Low quality","Benchmark")))</x:f>
        <x:v>Benchmark</x:v>
      </x:c>
    </x:row>
    <x:row r="2753">
      <x:c r="A2753" s="2" t="str">
        <x:v>451303</x:v>
      </x:c>
      <x:c r="B2753" s="2" t="str">
        <x:v>LIMESTONE MEDICAL CENTER</x:v>
      </x:c>
      <x:c r="C2753" s="2" t="str">
        <x:v>GROESBECK</x:v>
      </x:c>
      <x:c r="D2753" s="2" t="str">
        <x:v>TX</x:v>
      </x:c>
      <x:c r="E2753" s="2" t="str">
        <x:v>Critical Access Hospitals</x:v>
      </x:c>
      <x:c r="F2753" s="2" t="str">
        <x:v>Government</x:v>
      </x:c>
      <x:c r="G2753" s="2" t="str">
        <x:v>Small (&lt;100 beds)</x:v>
      </x:c>
      <x:c r="H2753" s="7"/>
      <x:c r="I2753" s="7"/>
      <x:c r="J2753" s="7"/>
      <x:c r="K2753" s="8" t="n">
        <x:v>20</x:v>
      </x:c>
      <x:c r="L2753" s="8" t="n">
        <x:v>244</x:v>
      </x:c>
      <x:c r="M2753" s="9" t="n">
        <x:v>0.2491780822</x:v>
      </x:c>
      <x:c r="N2753" s="10" t="n">
        <x:v>120154.487704918</x:v>
      </x:c>
      <x:c r="O2753" s="9" t="n">
        <x:v>-0.1204125017</x:v>
      </x:c>
      <x:c r="P2753" s="9" t="n">
        <x:v>0.4431226766</x:v>
      </x:c>
      <x:c r="Q2753" s="9" t="n">
        <x:v>0.292936803</x:v>
      </x:c>
      <x:c r="R2753" s="3" t="b">
        <x:v>0</x:v>
      </x:c>
      <x:c r="S2753" s="3" t="b">
        <x:v>0</x:v>
      </x:c>
      <x:c r="T2753" s="3" t="b">
        <x:v>0</x:v>
      </x:c>
      <x:c r="U2753" s="2" t="str">
        <x:f>IF(T2753=TRUE,"Priority review",IF(R2753=TRUE,"High cost",IF(S2753=TRUE,"Low quality","Benchmark")))</x:f>
        <x:v>Benchmark</x:v>
      </x:c>
    </x:row>
    <x:row r="2754">
      <x:c r="A2754" s="2" t="str">
        <x:v>224023</x:v>
      </x:c>
      <x:c r="B2754" s="2" t="str">
        <x:v>WESTWOOD PEMBROKE HEALTH SYSTEMS</x:v>
      </x:c>
      <x:c r="C2754" s="2" t="str">
        <x:v>WESTWOOD</x:v>
      </x:c>
      <x:c r="D2754" s="2" t="str">
        <x:v>MA</x:v>
      </x:c>
      <x:c r="E2754" s="2" t="str">
        <x:v>Psychiatric</x:v>
      </x:c>
      <x:c r="F2754" s="2" t="str">
        <x:v>Proprietary</x:v>
      </x:c>
      <x:c r="G2754" s="2" t="str">
        <x:v>Medium (100-299 beds)</x:v>
      </x:c>
      <x:c r="H2754" s="7"/>
      <x:c r="I2754" s="7"/>
      <x:c r="J2754" s="7"/>
      <x:c r="K2754" s="8" t="n">
        <x:v>120</x:v>
      </x:c>
      <x:c r="L2754" s="8" t="n">
        <x:v>3133</x:v>
      </x:c>
      <x:c r="M2754" s="9" t="n">
        <x:v>0.8228142077</x:v>
      </x:c>
      <x:c r="N2754" s="10" t="n">
        <x:v>10224.5461219279</x:v>
      </x:c>
      <x:c r="O2754" s="9" t="n">
        <x:v>0.2075821813</x:v>
      </x:c>
      <x:c r="P2754" s="9" t="n">
        <x:v>0.4427860697</x:v>
      </x:c>
      <x:c r="Q2754" s="9" t="n">
        <x:v>0</x:v>
      </x:c>
      <x:c r="R2754" s="3" t="b">
        <x:v>0</x:v>
      </x:c>
      <x:c r="S2754" s="3" t="b">
        <x:v>0</x:v>
      </x:c>
      <x:c r="T2754" s="3" t="b">
        <x:v>0</x:v>
      </x:c>
      <x:c r="U2754" s="2" t="str">
        <x:f>IF(T2754=TRUE,"Priority review",IF(R2754=TRUE,"High cost",IF(S2754=TRUE,"Low quality","Benchmark")))</x:f>
        <x:v>Benchmark</x:v>
      </x:c>
    </x:row>
    <x:row r="2755">
      <x:c r="A2755" s="2" t="str">
        <x:v>320011</x:v>
      </x:c>
      <x:c r="B2755" s="2" t="str">
        <x:v>PRESBYTERIAN ESPANOLA HOSPITAL</x:v>
      </x:c>
      <x:c r="C2755" s="2" t="str">
        <x:v>ESPANOLA</x:v>
      </x:c>
      <x:c r="D2755" s="2" t="str">
        <x:v>NM</x:v>
      </x:c>
      <x:c r="E2755" s="2" t="str">
        <x:v>Acute Care Hospitals</x:v>
      </x:c>
      <x:c r="F2755" s="2" t="str">
        <x:v>Voluntary non-profit</x:v>
      </x:c>
      <x:c r="G2755" s="2" t="str">
        <x:v>Small (&lt;100 beds)</x:v>
      </x:c>
      <x:c r="H2755" s="7"/>
      <x:c r="I2755" s="7" t="n">
        <x:v>4</x:v>
      </x:c>
      <x:c r="J2755" s="7" t="n">
        <x:v>0.77</x:v>
      </x:c>
      <x:c r="K2755" s="8" t="n">
        <x:v>70</x:v>
      </x:c>
      <x:c r="L2755" s="8" t="n">
        <x:v>2052</x:v>
      </x:c>
      <x:c r="M2755" s="9" t="n">
        <x:v>0.2893052303</x:v>
      </x:c>
      <x:c r="N2755" s="10" t="n">
        <x:v>47492.6164717349</x:v>
      </x:c>
      <x:c r="O2755" s="9" t="n">
        <x:v>0.1279528869</x:v>
      </x:c>
      <x:c r="P2755" s="9" t="n">
        <x:v>0.4425493716</x:v>
      </x:c>
      <x:c r="Q2755" s="9" t="n">
        <x:v>0.697486535</x:v>
      </x:c>
      <x:c r="R2755" s="3" t="b">
        <x:v>0</x:v>
      </x:c>
      <x:c r="S2755" s="3" t="b">
        <x:v>0</x:v>
      </x:c>
      <x:c r="T2755" s="3" t="b">
        <x:v>0</x:v>
      </x:c>
      <x:c r="U2755" s="2" t="str">
        <x:f>IF(T2755=TRUE,"Priority review",IF(R2755=TRUE,"High cost",IF(S2755=TRUE,"Low quality","Benchmark")))</x:f>
        <x:v>Benchmark</x:v>
      </x:c>
    </x:row>
    <x:row r="2756">
      <x:c r="A2756" s="2" t="str">
        <x:v>360359</x:v>
      </x:c>
      <x:c r="B2756" s="2" t="str">
        <x:v>UNIVERSITY HOSPITALS AHUJA MEDICAL CENTER</x:v>
      </x:c>
      <x:c r="C2756" s="2" t="str">
        <x:v>BEACHWOOD</x:v>
      </x:c>
      <x:c r="D2756" s="2" t="str">
        <x:v>OH</x:v>
      </x:c>
      <x:c r="E2756" s="2" t="str">
        <x:v>Acute Care Hospitals</x:v>
      </x:c>
      <x:c r="F2756" s="2" t="str">
        <x:v>Voluntary non-profit</x:v>
      </x:c>
      <x:c r="G2756" s="2" t="str">
        <x:v>Medium (100-299 beds)</x:v>
      </x:c>
      <x:c r="H2756" s="7" t="n">
        <x:v>3</x:v>
      </x:c>
      <x:c r="I2756" s="7" t="n">
        <x:v>3</x:v>
      </x:c>
      <x:c r="J2756" s="7" t="n">
        <x:v>1.01</x:v>
      </x:c>
      <x:c r="K2756" s="8" t="n">
        <x:v>172</x:v>
      </x:c>
      <x:c r="L2756" s="8" t="n">
        <x:v>9658</x:v>
      </x:c>
      <x:c r="M2756" s="9" t="n">
        <x:v>0.6610115644</x:v>
      </x:c>
      <x:c r="N2756" s="10" t="n">
        <x:v>32077.1796438186</x:v>
      </x:c>
      <x:c r="O2756" s="9" t="n">
        <x:v>0.009048707</x:v>
      </x:c>
      <x:c r="P2756" s="9" t="n">
        <x:v>0.4425427873</x:v>
      </x:c>
      <x:c r="Q2756" s="9" t="n">
        <x:v>0.3023634882</x:v>
      </x:c>
      <x:c r="R2756" s="3" t="b">
        <x:v>0</x:v>
      </x:c>
      <x:c r="S2756" s="3" t="b">
        <x:v>0</x:v>
      </x:c>
      <x:c r="T2756" s="3" t="b">
        <x:v>0</x:v>
      </x:c>
      <x:c r="U2756" s="2" t="str">
        <x:f>IF(T2756=TRUE,"Priority review",IF(R2756=TRUE,"High cost",IF(S2756=TRUE,"Low quality","Benchmark")))</x:f>
        <x:v>Benchmark</x:v>
      </x:c>
    </x:row>
    <x:row r="2757">
      <x:c r="A2757" s="2" t="str">
        <x:v>431327</x:v>
      </x:c>
      <x:c r="B2757" s="2" t="str">
        <x:v>ST MICHAEL'S HOSPITAL - CAH</x:v>
      </x:c>
      <x:c r="C2757" s="2" t="str">
        <x:v>TYNDALL</x:v>
      </x:c>
      <x:c r="D2757" s="2" t="str">
        <x:v>SD</x:v>
      </x:c>
      <x:c r="E2757" s="2" t="str">
        <x:v>Critical Access Hospitals</x:v>
      </x:c>
      <x:c r="F2757" s="2" t="str">
        <x:v>Government</x:v>
      </x:c>
      <x:c r="G2757" s="2" t="str">
        <x:v>Small (&lt;100 beds)</x:v>
      </x:c>
      <x:c r="H2757" s="7"/>
      <x:c r="I2757" s="7"/>
      <x:c r="J2757" s="7"/>
      <x:c r="K2757" s="8" t="n">
        <x:v>25</x:v>
      </x:c>
      <x:c r="L2757" s="8" t="n">
        <x:v>123</x:v>
      </x:c>
      <x:c r="M2757" s="9" t="n">
        <x:v>0.1107945205</x:v>
      </x:c>
      <x:c r="N2757" s="10" t="n">
        <x:v>119979.1951219512</x:v>
      </x:c>
      <x:c r="O2757" s="9" t="n">
        <x:v>-0.2235258662</x:v>
      </x:c>
      <x:c r="P2757" s="9" t="n">
        <x:v>0.4423791822</x:v>
      </x:c>
      <x:c r="Q2757" s="9" t="n">
        <x:v>0.292936803</x:v>
      </x:c>
      <x:c r="R2757" s="3" t="b">
        <x:v>0</x:v>
      </x:c>
      <x:c r="S2757" s="3" t="b">
        <x:v>0</x:v>
      </x:c>
      <x:c r="T2757" s="3" t="b">
        <x:v>0</x:v>
      </x:c>
      <x:c r="U2757" s="2" t="str">
        <x:f>IF(T2757=TRUE,"Priority review",IF(R2757=TRUE,"High cost",IF(S2757=TRUE,"Low quality","Benchmark")))</x:f>
        <x:v>Benchmark</x:v>
      </x:c>
    </x:row>
    <x:row r="2758">
      <x:c r="A2758" s="2" t="str">
        <x:v>100125</x:v>
      </x:c>
      <x:c r="B2758" s="2" t="str">
        <x:v>HOMESTEAD HOSPITAL</x:v>
      </x:c>
      <x:c r="C2758" s="2" t="str">
        <x:v>HOMESTEAD</x:v>
      </x:c>
      <x:c r="D2758" s="2" t="str">
        <x:v>FL</x:v>
      </x:c>
      <x:c r="E2758" s="2" t="str">
        <x:v>Acute Care Hospitals</x:v>
      </x:c>
      <x:c r="F2758" s="2" t="str">
        <x:v>Voluntary non-profit</x:v>
      </x:c>
      <x:c r="G2758" s="2" t="str">
        <x:v>Medium (100-299 beds)</x:v>
      </x:c>
      <x:c r="H2758" s="7" t="n">
        <x:v>4</x:v>
      </x:c>
      <x:c r="I2758" s="7" t="n">
        <x:v>3</x:v>
      </x:c>
      <x:c r="J2758" s="7" t="n">
        <x:v>0.98</x:v>
      </x:c>
      <x:c r="K2758" s="8" t="n">
        <x:v>146</x:v>
      </x:c>
      <x:c r="L2758" s="8" t="n">
        <x:v>9119</x:v>
      </x:c>
      <x:c r="M2758" s="9" t="n">
        <x:v>0.5890410959</x:v>
      </x:c>
      <x:c r="N2758" s="10" t="n">
        <x:v>32072.3233907227</x:v>
      </x:c>
      <x:c r="O2758" s="9" t="n">
        <x:v>-0.0396649277</x:v>
      </x:c>
      <x:c r="P2758" s="9" t="n">
        <x:v>0.4417277914</x:v>
      </x:c>
      <x:c r="Q2758" s="9" t="n">
        <x:v>0.6022819886</x:v>
      </x:c>
      <x:c r="R2758" s="3" t="b">
        <x:v>0</x:v>
      </x:c>
      <x:c r="S2758" s="3" t="b">
        <x:v>0</x:v>
      </x:c>
      <x:c r="T2758" s="3" t="b">
        <x:v>0</x:v>
      </x:c>
      <x:c r="U2758" s="2" t="str">
        <x:f>IF(T2758=TRUE,"Priority review",IF(R2758=TRUE,"High cost",IF(S2758=TRUE,"Low quality","Benchmark")))</x:f>
        <x:v>Benchmark</x:v>
      </x:c>
    </x:row>
    <x:row r="2759">
      <x:c r="A2759" s="2" t="str">
        <x:v>170196</x:v>
      </x:c>
      <x:c r="B2759" s="2" t="str">
        <x:v>KANSAS SPINE &amp; SPECIALTY HOSPITAL, LLC</x:v>
      </x:c>
      <x:c r="C2759" s="2" t="str">
        <x:v>WICHITA</x:v>
      </x:c>
      <x:c r="D2759" s="2" t="str">
        <x:v>KS</x:v>
      </x:c>
      <x:c r="E2759" s="2" t="str">
        <x:v>Acute Care Hospitals</x:v>
      </x:c>
      <x:c r="F2759" s="2" t="str">
        <x:v>Other / unknown</x:v>
      </x:c>
      <x:c r="G2759" s="2" t="str">
        <x:v>Small (&lt;100 beds)</x:v>
      </x:c>
      <x:c r="H2759" s="7"/>
      <x:c r="I2759" s="7" t="n">
        <x:v>4</x:v>
      </x:c>
      <x:c r="J2759" s="7" t="n">
        <x:v>0.97</x:v>
      </x:c>
      <x:c r="K2759" s="8" t="n">
        <x:v>35</x:v>
      </x:c>
      <x:c r="L2759" s="8" t="n">
        <x:v>1276</x:v>
      </x:c>
      <x:c r="M2759" s="9" t="n">
        <x:v>0.2536299766</x:v>
      </x:c>
      <x:c r="N2759" s="10" t="n">
        <x:v>47467.7061128527</x:v>
      </x:c>
      <x:c r="O2759" s="9" t="n">
        <x:v>0.1748797353</x:v>
      </x:c>
      <x:c r="P2759" s="9" t="n">
        <x:v>0.4416517056</x:v>
      </x:c>
      <x:c r="Q2759" s="9" t="n">
        <x:v>0.697486535</x:v>
      </x:c>
      <x:c r="R2759" s="3" t="b">
        <x:v>0</x:v>
      </x:c>
      <x:c r="S2759" s="3" t="b">
        <x:v>0</x:v>
      </x:c>
      <x:c r="T2759" s="3" t="b">
        <x:v>0</x:v>
      </x:c>
      <x:c r="U2759" s="2" t="str">
        <x:f>IF(T2759=TRUE,"Priority review",IF(R2759=TRUE,"High cost",IF(S2759=TRUE,"Low quality","Benchmark")))</x:f>
        <x:v>Benchmark</x:v>
      </x:c>
    </x:row>
    <x:row r="2760">
      <x:c r="A2760" s="2" t="str">
        <x:v>220074</x:v>
      </x:c>
      <x:c r="B2760" s="2" t="str">
        <x:v>SOUTHCOAST HOSPITALS GROUP</x:v>
      </x:c>
      <x:c r="C2760" s="2" t="str">
        <x:v>FALL RIVER</x:v>
      </x:c>
      <x:c r="D2760" s="2" t="str">
        <x:v>MA</x:v>
      </x:c>
      <x:c r="E2760" s="2" t="str">
        <x:v>Acute Care Hospitals</x:v>
      </x:c>
      <x:c r="F2760" s="2" t="str">
        <x:v>Voluntary non-profit</x:v>
      </x:c>
      <x:c r="G2760" s="2" t="str">
        <x:v>Large (300+ beds)</x:v>
      </x:c>
      <x:c r="H2760" s="7" t="n">
        <x:v>4</x:v>
      </x:c>
      <x:c r="I2760" s="7" t="n">
        <x:v>3</x:v>
      </x:c>
      <x:c r="J2760" s="7" t="n">
        <x:v>1.02</x:v>
      </x:c>
      <x:c r="K2760" s="8" t="n">
        <x:v>659</x:v>
      </x:c>
      <x:c r="L2760" s="8" t="n">
        <x:v>30156</x:v>
      </x:c>
      <x:c r="M2760" s="9" t="n">
        <x:v>0.6573505145</x:v>
      </x:c>
      <x:c r="N2760" s="10" t="n">
        <x:v>36803.7991444489</x:v>
      </x:c>
      <x:c r="O2760" s="9" t="n">
        <x:v>-0.1158816939</x:v>
      </x:c>
      <x:c r="P2760" s="9" t="n">
        <x:v>0.4416403785</x:v>
      </x:c>
      <x:c r="Q2760" s="9" t="n">
        <x:v>0.5899053628</x:v>
      </x:c>
      <x:c r="R2760" s="3" t="b">
        <x:v>0</x:v>
      </x:c>
      <x:c r="S2760" s="3" t="b">
        <x:v>0</x:v>
      </x:c>
      <x:c r="T2760" s="3" t="b">
        <x:v>0</x:v>
      </x:c>
      <x:c r="U2760" s="2" t="str">
        <x:f>IF(T2760=TRUE,"Priority review",IF(R2760=TRUE,"High cost",IF(S2760=TRUE,"Low quality","Benchmark")))</x:f>
        <x:v>Benchmark</x:v>
      </x:c>
    </x:row>
    <x:row r="2761">
      <x:c r="A2761" s="2" t="str">
        <x:v>521351</x:v>
      </x:c>
      <x:c r="B2761" s="2" t="str">
        <x:v>REEDSBURG AREA MEDICAL CENTER</x:v>
      </x:c>
      <x:c r="C2761" s="2" t="str">
        <x:v>REEDSBURG</x:v>
      </x:c>
      <x:c r="D2761" s="2" t="str">
        <x:v>WI</x:v>
      </x:c>
      <x:c r="E2761" s="2" t="str">
        <x:v>Critical Access Hospitals</x:v>
      </x:c>
      <x:c r="F2761" s="2" t="str">
        <x:v>Voluntary non-profit</x:v>
      </x:c>
      <x:c r="G2761" s="2" t="str">
        <x:v>Small (&lt;100 beds)</x:v>
      </x:c>
      <x:c r="H2761" s="7" t="n">
        <x:v>5</x:v>
      </x:c>
      <x:c r="I2761" s="7" t="n">
        <x:v>4</x:v>
      </x:c>
      <x:c r="J2761" s="7"/>
      <x:c r="K2761" s="8" t="n">
        <x:v>25</x:v>
      </x:c>
      <x:c r="L2761" s="8" t="n">
        <x:v>887</x:v>
      </x:c>
      <x:c r="M2761" s="9" t="n">
        <x:v>0.3477260274</x:v>
      </x:c>
      <x:c r="N2761" s="10" t="n">
        <x:v>119947.6482525366</x:v>
      </x:c>
      <x:c r="O2761" s="9" t="n">
        <x:v>-0.1913062838</x:v>
      </x:c>
      <x:c r="P2761" s="9" t="n">
        <x:v>0.4416356877</x:v>
      </x:c>
      <x:c r="Q2761" s="9" t="n">
        <x:v>0.2602230483</x:v>
      </x:c>
      <x:c r="R2761" s="3" t="b">
        <x:v>0</x:v>
      </x:c>
      <x:c r="S2761" s="3" t="b">
        <x:v>0</x:v>
      </x:c>
      <x:c r="T2761" s="3" t="b">
        <x:v>0</x:v>
      </x:c>
      <x:c r="U2761" s="2" t="str">
        <x:f>IF(T2761=TRUE,"Priority review",IF(R2761=TRUE,"High cost",IF(S2761=TRUE,"Low quality","Benchmark")))</x:f>
        <x:v>Benchmark</x:v>
      </x:c>
    </x:row>
    <x:row r="2762">
      <x:c r="A2762" s="2" t="str">
        <x:v>310028</x:v>
      </x:c>
      <x:c r="B2762" s="2" t="str">
        <x:v>NEWTON MEDICAL CENTER</x:v>
      </x:c>
      <x:c r="C2762" s="2" t="str">
        <x:v>NEWTON</x:v>
      </x:c>
      <x:c r="D2762" s="2" t="str">
        <x:v>NJ</x:v>
      </x:c>
      <x:c r="E2762" s="2" t="str">
        <x:v>Acute Care Hospitals</x:v>
      </x:c>
      <x:c r="F2762" s="2" t="str">
        <x:v>Voluntary non-profit</x:v>
      </x:c>
      <x:c r="G2762" s="2" t="str">
        <x:v>Medium (100-299 beds)</x:v>
      </x:c>
      <x:c r="H2762" s="7" t="n">
        <x:v>4</x:v>
      </x:c>
      <x:c r="I2762" s="7" t="n">
        <x:v>3</x:v>
      </x:c>
      <x:c r="J2762" s="7" t="n">
        <x:v>1.04</x:v>
      </x:c>
      <x:c r="K2762" s="8" t="n">
        <x:v>139</x:v>
      </x:c>
      <x:c r="L2762" s="8" t="n">
        <x:v>6922</x:v>
      </x:c>
      <x:c r="M2762" s="9" t="n">
        <x:v>0.7455871368</x:v>
      </x:c>
      <x:c r="N2762" s="10" t="n">
        <x:v>32059.5683328518</x:v>
      </x:c>
      <x:c r="O2762" s="9" t="n">
        <x:v>0.0142987103</x:v>
      </x:c>
      <x:c r="P2762" s="9" t="n">
        <x:v>0.4409127954</x:v>
      </x:c>
      <x:c r="Q2762" s="9" t="n">
        <x:v>0.6022819886</x:v>
      </x:c>
      <x:c r="R2762" s="3" t="b">
        <x:v>0</x:v>
      </x:c>
      <x:c r="S2762" s="3" t="b">
        <x:v>0</x:v>
      </x:c>
      <x:c r="T2762" s="3" t="b">
        <x:v>0</x:v>
      </x:c>
      <x:c r="U2762" s="2" t="str">
        <x:f>IF(T2762=TRUE,"Priority review",IF(R2762=TRUE,"High cost",IF(S2762=TRUE,"Low quality","Benchmark")))</x:f>
        <x:v>Benchmark</x:v>
      </x:c>
    </x:row>
    <x:row r="2763">
      <x:c r="A2763" s="2" t="str">
        <x:v>281364</x:v>
      </x:c>
      <x:c r="B2763" s="2" t="str">
        <x:v>BEATRICE COMMUNITY HOSPITAL &amp; HEALTH CENTER, INC</x:v>
      </x:c>
      <x:c r="C2763" s="2" t="str">
        <x:v>BEATRICE</x:v>
      </x:c>
      <x:c r="D2763" s="2" t="str">
        <x:v>NE</x:v>
      </x:c>
      <x:c r="E2763" s="2" t="str">
        <x:v>Critical Access Hospitals</x:v>
      </x:c>
      <x:c r="F2763" s="2" t="str">
        <x:v>Voluntary non-profit</x:v>
      </x:c>
      <x:c r="G2763" s="2" t="str">
        <x:v>Small (&lt;100 beds)</x:v>
      </x:c>
      <x:c r="H2763" s="7" t="n">
        <x:v>4</x:v>
      </x:c>
      <x:c r="I2763" s="7" t="n">
        <x:v>4</x:v>
      </x:c>
      <x:c r="J2763" s="7"/>
      <x:c r="K2763" s="8" t="n">
        <x:v>25</x:v>
      </x:c>
      <x:c r="L2763" s="8" t="n">
        <x:v>772</x:v>
      </x:c>
      <x:c r="M2763" s="9" t="n">
        <x:v>0.3256830601</x:v>
      </x:c>
      <x:c r="N2763" s="10" t="n">
        <x:v>119836.6075129534</x:v>
      </x:c>
      <x:c r="O2763" s="9" t="n">
        <x:v>0.0235339089</x:v>
      </x:c>
      <x:c r="P2763" s="9" t="n">
        <x:v>0.4408921933</x:v>
      </x:c>
      <x:c r="Q2763" s="9" t="n">
        <x:v>0.1657992565</x:v>
      </x:c>
      <x:c r="R2763" s="3" t="b">
        <x:v>0</x:v>
      </x:c>
      <x:c r="S2763" s="3" t="b">
        <x:v>0</x:v>
      </x:c>
      <x:c r="T2763" s="3" t="b">
        <x:v>0</x:v>
      </x:c>
      <x:c r="U2763" s="2" t="str">
        <x:f>IF(T2763=TRUE,"Priority review",IF(R2763=TRUE,"High cost",IF(S2763=TRUE,"Low quality","Benchmark")))</x:f>
        <x:v>Benchmark</x:v>
      </x:c>
    </x:row>
    <x:row r="2764">
      <x:c r="A2764" s="2" t="str">
        <x:v>670067</x:v>
      </x:c>
      <x:c r="B2764" s="2" t="str">
        <x:v>BAYLOR SCOTT AND WHITE ORTHOPEDIC AND SPINE HOSPI</x:v>
      </x:c>
      <x:c r="C2764" s="2" t="str">
        <x:v>ARLINGTON</x:v>
      </x:c>
      <x:c r="D2764" s="2" t="str">
        <x:v>TX</x:v>
      </x:c>
      <x:c r="E2764" s="2" t="str">
        <x:v>Acute Care Hospitals</x:v>
      </x:c>
      <x:c r="F2764" s="2" t="str">
        <x:v>Proprietary</x:v>
      </x:c>
      <x:c r="G2764" s="2" t="str">
        <x:v>Small (&lt;100 beds)</x:v>
      </x:c>
      <x:c r="H2764" s="7"/>
      <x:c r="I2764" s="7" t="n">
        <x:v>5</x:v>
      </x:c>
      <x:c r="J2764" s="7" t="n">
        <x:v>0.94</x:v>
      </x:c>
      <x:c r="K2764" s="8" t="n">
        <x:v>24</x:v>
      </x:c>
      <x:c r="L2764" s="8" t="n">
        <x:v>1777</x:v>
      </x:c>
      <x:c r="M2764" s="9" t="n">
        <x:v>0.387295082</x:v>
      </x:c>
      <x:c r="N2764" s="10" t="n">
        <x:v>47363.3066966798</x:v>
      </x:c>
      <x:c r="O2764" s="9" t="n">
        <x:v>0.4427898692</x:v>
      </x:c>
      <x:c r="P2764" s="9" t="n">
        <x:v>0.4407540395</x:v>
      </x:c>
      <x:c r="Q2764" s="9" t="n">
        <x:v>0.697486535</x:v>
      </x:c>
      <x:c r="R2764" s="3" t="b">
        <x:v>0</x:v>
      </x:c>
      <x:c r="S2764" s="3" t="b">
        <x:v>0</x:v>
      </x:c>
      <x:c r="T2764" s="3" t="b">
        <x:v>0</x:v>
      </x:c>
      <x:c r="U2764" s="2" t="str">
        <x:f>IF(T2764=TRUE,"Priority review",IF(R2764=TRUE,"High cost",IF(S2764=TRUE,"Low quality","Benchmark")))</x:f>
        <x:v>Benchmark</x:v>
      </x:c>
    </x:row>
    <x:row r="2765">
      <x:c r="A2765" s="2" t="str">
        <x:v>171328</x:v>
      </x:c>
      <x:c r="B2765" s="2" t="str">
        <x:v>OTTAWA COUNTY HEALTH CENTER</x:v>
      </x:c>
      <x:c r="C2765" s="2" t="str">
        <x:v>MINNEAPOLIS</x:v>
      </x:c>
      <x:c r="D2765" s="2" t="str">
        <x:v>KS</x:v>
      </x:c>
      <x:c r="E2765" s="2" t="str">
        <x:v>Critical Access Hospitals</x:v>
      </x:c>
      <x:c r="F2765" s="2" t="str">
        <x:v>Voluntary non-profit</x:v>
      </x:c>
      <x:c r="G2765" s="2" t="str">
        <x:v>Small (&lt;100 beds)</x:v>
      </x:c>
      <x:c r="H2765" s="7"/>
      <x:c r="I2765" s="7"/>
      <x:c r="J2765" s="7"/>
      <x:c r="K2765" s="8" t="n">
        <x:v>25</x:v>
      </x:c>
      <x:c r="L2765" s="8" t="n">
        <x:v>93</x:v>
      </x:c>
      <x:c r="M2765" s="9" t="n">
        <x:v>0.5802185792</x:v>
      </x:c>
      <x:c r="N2765" s="10" t="n">
        <x:v>119560.9247311828</x:v>
      </x:c>
      <x:c r="O2765" s="9" t="n">
        <x:v>-0.1845197227</x:v>
      </x:c>
      <x:c r="P2765" s="9" t="n">
        <x:v>0.4401486989</x:v>
      </x:c>
      <x:c r="Q2765" s="9" t="n">
        <x:v>0.292936803</x:v>
      </x:c>
      <x:c r="R2765" s="3" t="b">
        <x:v>0</x:v>
      </x:c>
      <x:c r="S2765" s="3" t="b">
        <x:v>0</x:v>
      </x:c>
      <x:c r="T2765" s="3" t="b">
        <x:v>0</x:v>
      </x:c>
      <x:c r="U2765" s="2" t="str">
        <x:f>IF(T2765=TRUE,"Priority review",IF(R2765=TRUE,"High cost",IF(S2765=TRUE,"Low quality","Benchmark")))</x:f>
        <x:v>Benchmark</x:v>
      </x:c>
    </x:row>
    <x:row r="2766">
      <x:c r="A2766" s="2" t="str">
        <x:v>454127</x:v>
      </x:c>
      <x:c r="B2766" s="2" t="str">
        <x:v>ROCK SPRINGS</x:v>
      </x:c>
      <x:c r="C2766" s="2" t="str">
        <x:v>GEORGETOWN</x:v>
      </x:c>
      <x:c r="D2766" s="2" t="str">
        <x:v>TX</x:v>
      </x:c>
      <x:c r="E2766" s="2" t="str">
        <x:v>Psychiatric</x:v>
      </x:c>
      <x:c r="F2766" s="2" t="str">
        <x:v>Proprietary</x:v>
      </x:c>
      <x:c r="G2766" s="2" t="str">
        <x:v>Small (&lt;100 beds)</x:v>
      </x:c>
      <x:c r="H2766" s="7"/>
      <x:c r="I2766" s="7"/>
      <x:c r="J2766" s="7"/>
      <x:c r="K2766" s="8" t="n">
        <x:v>96</x:v>
      </x:c>
      <x:c r="L2766" s="8" t="n">
        <x:v>2774</x:v>
      </x:c>
      <x:c r="M2766" s="9" t="n">
        <x:v>0.7851312785</x:v>
      </x:c>
      <x:c r="N2766" s="10" t="n">
        <x:v>11006.9001441961</x:v>
      </x:c>
      <x:c r="O2766" s="9" t="n">
        <x:v>-1.1251314759</x:v>
      </x:c>
      <x:c r="P2766" s="9" t="n">
        <x:v>0.4401294498</x:v>
      </x:c>
      <x:c r="Q2766" s="9" t="n">
        <x:v>0</x:v>
      </x:c>
      <x:c r="R2766" s="3" t="b">
        <x:v>0</x:v>
      </x:c>
      <x:c r="S2766" s="3" t="b">
        <x:v>0</x:v>
      </x:c>
      <x:c r="T2766" s="3" t="b">
        <x:v>0</x:v>
      </x:c>
      <x:c r="U2766" s="2" t="str">
        <x:f>IF(T2766=TRUE,"Priority review",IF(R2766=TRUE,"High cost",IF(S2766=TRUE,"Low quality","Benchmark")))</x:f>
        <x:v>Benchmark</x:v>
      </x:c>
    </x:row>
    <x:row r="2767">
      <x:c r="A2767" s="2" t="str">
        <x:v>310003</x:v>
      </x:c>
      <x:c r="B2767" s="2" t="str">
        <x:v>PALISADES MEDICAL CENTER</x:v>
      </x:c>
      <x:c r="C2767" s="2" t="str">
        <x:v>NORTH BERGEN</x:v>
      </x:c>
      <x:c r="D2767" s="2" t="str">
        <x:v>NJ</x:v>
      </x:c>
      <x:c r="E2767" s="2" t="str">
        <x:v>Acute Care Hospitals</x:v>
      </x:c>
      <x:c r="F2767" s="2" t="str">
        <x:v>Voluntary non-profit</x:v>
      </x:c>
      <x:c r="G2767" s="2" t="str">
        <x:v>Medium (100-299 beds)</x:v>
      </x:c>
      <x:c r="H2767" s="7" t="n">
        <x:v>2</x:v>
      </x:c>
      <x:c r="I2767" s="7" t="n">
        <x:v>2</x:v>
      </x:c>
      <x:c r="J2767" s="7" t="n">
        <x:v>1.03</x:v>
      </x:c>
      <x:c r="K2767" s="8" t="n">
        <x:v>186</x:v>
      </x:c>
      <x:c r="L2767" s="8" t="n">
        <x:v>6794</x:v>
      </x:c>
      <x:c r="M2767" s="9" t="n">
        <x:v>0.4577530995</x:v>
      </x:c>
      <x:c r="N2767" s="10" t="n">
        <x:v>32016.9768913747</x:v>
      </x:c>
      <x:c r="O2767" s="9" t="n">
        <x:v>-0.0323376462</x:v>
      </x:c>
      <x:c r="P2767" s="9" t="n">
        <x:v>0.4400977995</x:v>
      </x:c>
      <x:c r="Q2767" s="9" t="n">
        <x:v>0.0782396088</x:v>
      </x:c>
      <x:c r="R2767" s="3" t="b">
        <x:v>0</x:v>
      </x:c>
      <x:c r="S2767" s="3" t="b">
        <x:v>1</x:v>
      </x:c>
      <x:c r="T2767" s="3" t="b">
        <x:v>0</x:v>
      </x:c>
      <x:c r="U2767" s="2" t="str">
        <x:f>IF(T2767=TRUE,"Priority review",IF(R2767=TRUE,"High cost",IF(S2767=TRUE,"Low quality","Benchmark")))</x:f>
        <x:v>Low quality</x:v>
      </x:c>
    </x:row>
    <x:row r="2768">
      <x:c r="A2768" s="2" t="str">
        <x:v>050438</x:v>
      </x:c>
      <x:c r="B2768" s="2" t="str">
        <x:v>HUNTINGTON HOSPITAL</x:v>
      </x:c>
      <x:c r="C2768" s="2" t="str">
        <x:v>PASADENA</x:v>
      </x:c>
      <x:c r="D2768" s="2" t="str">
        <x:v>CA</x:v>
      </x:c>
      <x:c r="E2768" s="2" t="str">
        <x:v>Acute Care Hospitals</x:v>
      </x:c>
      <x:c r="F2768" s="2" t="str">
        <x:v>Voluntary non-profit</x:v>
      </x:c>
      <x:c r="G2768" s="2" t="str">
        <x:v>Large (300+ beds)</x:v>
      </x:c>
      <x:c r="H2768" s="7"/>
      <x:c r="I2768" s="7" t="n">
        <x:v>3</x:v>
      </x:c>
      <x:c r="J2768" s="7" t="n">
        <x:v>1.03</x:v>
      </x:c>
      <x:c r="K2768" s="8" t="n">
        <x:v>458</x:v>
      </x:c>
      <x:c r="L2768" s="8" t="n">
        <x:v>23759</x:v>
      </x:c>
      <x:c r="M2768" s="9" t="n">
        <x:v>0.7326647617</x:v>
      </x:c>
      <x:c r="N2768" s="10" t="n">
        <x:v>36772.456711141</x:v>
      </x:c>
      <x:c r="O2768" s="9" t="n">
        <x:v>-0.1107948329</x:v>
      </x:c>
      <x:c r="P2768" s="9" t="n">
        <x:v>0.4400630915</x:v>
      </x:c>
      <x:c r="Q2768" s="9" t="n">
        <x:v>0.9952681388</x:v>
      </x:c>
      <x:c r="R2768" s="3" t="b">
        <x:v>0</x:v>
      </x:c>
      <x:c r="S2768" s="3" t="b">
        <x:v>0</x:v>
      </x:c>
      <x:c r="T2768" s="3" t="b">
        <x:v>0</x:v>
      </x:c>
      <x:c r="U2768" s="2" t="str">
        <x:f>IF(T2768=TRUE,"Priority review",IF(R2768=TRUE,"High cost",IF(S2768=TRUE,"Low quality","Benchmark")))</x:f>
        <x:v>Benchmark</x:v>
      </x:c>
    </x:row>
    <x:row r="2769">
      <x:c r="A2769" s="2" t="str">
        <x:v>394026</x:v>
      </x:c>
      <x:c r="B2769" s="2" t="str">
        <x:v>TORRANCE STATE HOSPITAL</x:v>
      </x:c>
      <x:c r="C2769" s="2" t="str">
        <x:v>TORRANCE</x:v>
      </x:c>
      <x:c r="D2769" s="2" t="str">
        <x:v>PA</x:v>
      </x:c>
      <x:c r="E2769" s="2" t="str">
        <x:v>Psychiatric</x:v>
      </x:c>
      <x:c r="F2769" s="2" t="str">
        <x:v>Government</x:v>
      </x:c>
      <x:c r="G2769" s="2" t="str">
        <x:v>Large (300+ beds)</x:v>
      </x:c>
      <x:c r="H2769" s="7"/>
      <x:c r="I2769" s="7"/>
      <x:c r="J2769" s="7"/>
      <x:c r="K2769" s="8" t="n">
        <x:v>360</x:v>
      </x:c>
      <x:c r="L2769" s="8" t="n">
        <x:v>350</x:v>
      </x:c>
      <x:c r="M2769" s="9" t="n">
        <x:v>0.8862480974</x:v>
      </x:c>
      <x:c r="N2769" s="10" t="n">
        <x:v>339530.6257142857</x:v>
      </x:c>
      <x:c r="O2769" s="9"/>
      <x:c r="P2769" s="9" t="n">
        <x:v>0.44</x:v>
      </x:c>
      <x:c r="Q2769" s="9" t="n">
        <x:v>0</x:v>
      </x:c>
      <x:c r="R2769" s="3" t="b">
        <x:v>0</x:v>
      </x:c>
      <x:c r="S2769" s="3" t="b">
        <x:v>0</x:v>
      </x:c>
      <x:c r="T2769" s="3" t="b">
        <x:v>0</x:v>
      </x:c>
      <x:c r="U2769" s="2" t="str">
        <x:f>IF(T2769=TRUE,"Priority review",IF(R2769=TRUE,"High cost",IF(S2769=TRUE,"Low quality","Benchmark")))</x:f>
        <x:v>Benchmark</x:v>
      </x:c>
    </x:row>
    <x:row r="2770">
      <x:c r="A2770" s="2" t="str">
        <x:v>110124</x:v>
      </x:c>
      <x:c r="B2770" s="2" t="str">
        <x:v>WAYNE MEMORIAL HOSPITAL</x:v>
      </x:c>
      <x:c r="C2770" s="2" t="str">
        <x:v>JESUP</x:v>
      </x:c>
      <x:c r="D2770" s="2" t="str">
        <x:v>GA</x:v>
      </x:c>
      <x:c r="E2770" s="2" t="str">
        <x:v>Acute Care Hospitals</x:v>
      </x:c>
      <x:c r="F2770" s="2" t="str">
        <x:v>Government</x:v>
      </x:c>
      <x:c r="G2770" s="2" t="str">
        <x:v>Small (&lt;100 beds)</x:v>
      </x:c>
      <x:c r="H2770" s="7" t="n">
        <x:v>3</x:v>
      </x:c>
      <x:c r="I2770" s="7" t="n">
        <x:v>3</x:v>
      </x:c>
      <x:c r="J2770" s="7" t="n">
        <x:v>1.1</x:v>
      </x:c>
      <x:c r="K2770" s="8" t="n">
        <x:v>88</x:v>
      </x:c>
      <x:c r="L2770" s="8" t="n">
        <x:v>1801</x:v>
      </x:c>
      <x:c r="M2770" s="9" t="n">
        <x:v>0.2418430884</x:v>
      </x:c>
      <x:c r="N2770" s="10" t="n">
        <x:v>47302.5596890616</x:v>
      </x:c>
      <x:c r="O2770" s="9" t="n">
        <x:v>-0.1657041465</x:v>
      </x:c>
      <x:c r="P2770" s="9" t="n">
        <x:v>0.4398563734</x:v>
      </x:c>
      <x:c r="Q2770" s="9" t="n">
        <x:v>0.1687612208</x:v>
      </x:c>
      <x:c r="R2770" s="3" t="b">
        <x:v>0</x:v>
      </x:c>
      <x:c r="S2770" s="3" t="b">
        <x:v>0</x:v>
      </x:c>
      <x:c r="T2770" s="3" t="b">
        <x:v>0</x:v>
      </x:c>
      <x:c r="U2770" s="2" t="str">
        <x:f>IF(T2770=TRUE,"Priority review",IF(R2770=TRUE,"High cost",IF(S2770=TRUE,"Low quality","Benchmark")))</x:f>
        <x:v>Benchmark</x:v>
      </x:c>
    </x:row>
    <x:row r="2771">
      <x:c r="A2771" s="2" t="str">
        <x:v>451381</x:v>
      </x:c>
      <x:c r="B2771" s="2" t="str">
        <x:v>CHRISTUS MOTHER FRANCES HOSPITAL- WINNSBORO</x:v>
      </x:c>
      <x:c r="C2771" s="2" t="str">
        <x:v>WINNSBORO</x:v>
      </x:c>
      <x:c r="D2771" s="2" t="str">
        <x:v>TX</x:v>
      </x:c>
      <x:c r="E2771" s="2" t="str">
        <x:v>Critical Access Hospitals</x:v>
      </x:c>
      <x:c r="F2771" s="2" t="str">
        <x:v>Voluntary non-profit</x:v>
      </x:c>
      <x:c r="G2771" s="2" t="str">
        <x:v>Small (&lt;100 beds)</x:v>
      </x:c>
      <x:c r="H2771" s="7"/>
      <x:c r="I2771" s="7"/>
      <x:c r="J2771" s="7"/>
      <x:c r="K2771" s="8" t="n">
        <x:v>14</x:v>
      </x:c>
      <x:c r="L2771" s="8" t="n">
        <x:v>174</x:v>
      </x:c>
      <x:c r="M2771" s="9" t="n">
        <x:v>0.447553816</x:v>
      </x:c>
      <x:c r="N2771" s="10" t="n">
        <x:v>119416.6034482759</x:v>
      </x:c>
      <x:c r="O2771" s="9" t="n">
        <x:v>-0.0098107969</x:v>
      </x:c>
      <x:c r="P2771" s="9" t="n">
        <x:v>0.4394052045</x:v>
      </x:c>
      <x:c r="Q2771" s="9" t="n">
        <x:v>0.292936803</x:v>
      </x:c>
      <x:c r="R2771" s="3" t="b">
        <x:v>0</x:v>
      </x:c>
      <x:c r="S2771" s="3" t="b">
        <x:v>0</x:v>
      </x:c>
      <x:c r="T2771" s="3" t="b">
        <x:v>0</x:v>
      </x:c>
      <x:c r="U2771" s="2" t="str">
        <x:f>IF(T2771=TRUE,"Priority review",IF(R2771=TRUE,"High cost",IF(S2771=TRUE,"Low quality","Benchmark")))</x:f>
        <x:v>Benchmark</x:v>
      </x:c>
    </x:row>
    <x:row r="2772">
      <x:c r="A2772" s="2" t="str">
        <x:v>040029</x:v>
      </x:c>
      <x:c r="B2772" s="2" t="str">
        <x:v>CONWAY REGIONAL MEDICAL CENTER, INC</x:v>
      </x:c>
      <x:c r="C2772" s="2" t="str">
        <x:v>CONWAY</x:v>
      </x:c>
      <x:c r="D2772" s="2" t="str">
        <x:v>AR</x:v>
      </x:c>
      <x:c r="E2772" s="2" t="str">
        <x:v>Acute Care Hospitals</x:v>
      </x:c>
      <x:c r="F2772" s="2" t="str">
        <x:v>Voluntary non-profit</x:v>
      </x:c>
      <x:c r="G2772" s="2" t="str">
        <x:v>Medium (100-299 beds)</x:v>
      </x:c>
      <x:c r="H2772" s="7" t="n">
        <x:v>2</x:v>
      </x:c>
      <x:c r="I2772" s="7" t="n">
        <x:v>3</x:v>
      </x:c>
      <x:c r="J2772" s="7" t="n">
        <x:v>1.03</x:v>
      </x:c>
      <x:c r="K2772" s="8" t="n">
        <x:v>162</x:v>
      </x:c>
      <x:c r="L2772" s="8" t="n">
        <x:v>9256</x:v>
      </x:c>
      <x:c r="M2772" s="9" t="n">
        <x:v>0.6718612966</x:v>
      </x:c>
      <x:c r="N2772" s="10" t="n">
        <x:v>31933.8651685393</x:v>
      </x:c>
      <x:c r="O2772" s="9" t="n">
        <x:v>-0.1641310498</x:v>
      </x:c>
      <x:c r="P2772" s="9" t="n">
        <x:v>0.4392828036</x:v>
      </x:c>
      <x:c r="Q2772" s="9" t="n">
        <x:v>0.0782396088</x:v>
      </x:c>
      <x:c r="R2772" s="3" t="b">
        <x:v>0</x:v>
      </x:c>
      <x:c r="S2772" s="3" t="b">
        <x:v>1</x:v>
      </x:c>
      <x:c r="T2772" s="3" t="b">
        <x:v>0</x:v>
      </x:c>
      <x:c r="U2772" s="2" t="str">
        <x:f>IF(T2772=TRUE,"Priority review",IF(R2772=TRUE,"High cost",IF(S2772=TRUE,"Low quality","Benchmark")))</x:f>
        <x:v>Low quality</x:v>
      </x:c>
    </x:row>
    <x:row r="2773">
      <x:c r="A2773" s="2" t="str">
        <x:v>390278</x:v>
      </x:c>
      <x:c r="B2773" s="2" t="str">
        <x:v>EAGLEVILLE HOSPITAL</x:v>
      </x:c>
      <x:c r="C2773" s="2" t="str">
        <x:v>EAGLEVILLE</x:v>
      </x:c>
      <x:c r="D2773" s="2" t="str">
        <x:v>PA</x:v>
      </x:c>
      <x:c r="E2773" s="2" t="str">
        <x:v>Acute Care Hospitals</x:v>
      </x:c>
      <x:c r="F2773" s="2" t="str">
        <x:v>Voluntary non-profit</x:v>
      </x:c>
      <x:c r="G2773" s="2" t="str">
        <x:v>Small (&lt;100 beds)</x:v>
      </x:c>
      <x:c r="H2773" s="7"/>
      <x:c r="I2773" s="7"/>
      <x:c r="J2773" s="7"/>
      <x:c r="K2773" s="8" t="n">
        <x:v>49</x:v>
      </x:c>
      <x:c r="L2773" s="8" t="n">
        <x:v>1098</x:v>
      </x:c>
      <x:c r="M2773" s="9" t="n">
        <x:v>0.7585686329</x:v>
      </x:c>
      <x:c r="N2773" s="10" t="n">
        <x:v>47264.1548269581</x:v>
      </x:c>
      <x:c r="O2773" s="9" t="n">
        <x:v>-0.0744948614</x:v>
      </x:c>
      <x:c r="P2773" s="9" t="n">
        <x:v>0.4389587074</x:v>
      </x:c>
      <x:c r="Q2773" s="9" t="n">
        <x:v>0.697486535</x:v>
      </x:c>
      <x:c r="R2773" s="3" t="b">
        <x:v>0</x:v>
      </x:c>
      <x:c r="S2773" s="3" t="b">
        <x:v>0</x:v>
      </x:c>
      <x:c r="T2773" s="3" t="b">
        <x:v>0</x:v>
      </x:c>
      <x:c r="U2773" s="2" t="str">
        <x:f>IF(T2773=TRUE,"Priority review",IF(R2773=TRUE,"High cost",IF(S2773=TRUE,"Low quality","Benchmark")))</x:f>
        <x:v>Benchmark</x:v>
      </x:c>
    </x:row>
    <x:row r="2774">
      <x:c r="A2774" s="2" t="str">
        <x:v>241361</x:v>
      </x:c>
      <x:c r="B2774" s="2" t="str">
        <x:v>MAYO CLINIC HEALTH SYSTEM NEW PRAGUE</x:v>
      </x:c>
      <x:c r="C2774" s="2" t="str">
        <x:v>NEW PRAGUE</x:v>
      </x:c>
      <x:c r="D2774" s="2" t="str">
        <x:v>MN</x:v>
      </x:c>
      <x:c r="E2774" s="2" t="str">
        <x:v>Critical Access Hospitals</x:v>
      </x:c>
      <x:c r="F2774" s="2" t="str">
        <x:v>Voluntary non-profit</x:v>
      </x:c>
      <x:c r="G2774" s="2" t="str">
        <x:v>Small (&lt;100 beds)</x:v>
      </x:c>
      <x:c r="H2774" s="7" t="n">
        <x:v>2</x:v>
      </x:c>
      <x:c r="I2774" s="7" t="n">
        <x:v>5</x:v>
      </x:c>
      <x:c r="J2774" s="7"/>
      <x:c r="K2774" s="8" t="n">
        <x:v>20</x:v>
      </x:c>
      <x:c r="L2774" s="8" t="n">
        <x:v>564</x:v>
      </x:c>
      <x:c r="M2774" s="9" t="n">
        <x:v>0.7959016393</x:v>
      </x:c>
      <x:c r="N2774" s="10" t="n">
        <x:v>119206.7269503546</x:v>
      </x:c>
      <x:c r="O2774" s="9" t="n">
        <x:v>0.1094209587</x:v>
      </x:c>
      <x:c r="P2774" s="9" t="n">
        <x:v>0.43866171</x:v>
      </x:c>
      <x:c r="Q2774" s="9" t="n">
        <x:v>0.0171003717</x:v>
      </x:c>
      <x:c r="R2774" s="3" t="b">
        <x:v>0</x:v>
      </x:c>
      <x:c r="S2774" s="3" t="b">
        <x:v>1</x:v>
      </x:c>
      <x:c r="T2774" s="3" t="b">
        <x:v>0</x:v>
      </x:c>
      <x:c r="U2774" s="2" t="str">
        <x:f>IF(T2774=TRUE,"Priority review",IF(R2774=TRUE,"High cost",IF(S2774=TRUE,"Low quality","Benchmark")))</x:f>
        <x:v>Low quality</x:v>
      </x:c>
    </x:row>
    <x:row r="2775">
      <x:c r="A2775" s="2" t="str">
        <x:v>240002</x:v>
      </x:c>
      <x:c r="B2775" s="2" t="str">
        <x:v>ESSENTIA HEALTH ST MARY'S MEDICAL CENTER</x:v>
      </x:c>
      <x:c r="C2775" s="2" t="str">
        <x:v>DULUTH</x:v>
      </x:c>
      <x:c r="D2775" s="2" t="str">
        <x:v>MN</x:v>
      </x:c>
      <x:c r="E2775" s="2" t="str">
        <x:v>Acute Care Hospitals</x:v>
      </x:c>
      <x:c r="F2775" s="2" t="str">
        <x:v>Voluntary non-profit</x:v>
      </x:c>
      <x:c r="G2775" s="2" t="str">
        <x:v>Large (300+ beds)</x:v>
      </x:c>
      <x:c r="H2775" s="7" t="n">
        <x:v>4</x:v>
      </x:c>
      <x:c r="I2775" s="7" t="n">
        <x:v>4</x:v>
      </x:c>
      <x:c r="J2775" s="7" t="n">
        <x:v>1.02</x:v>
      </x:c>
      <x:c r="K2775" s="8" t="n">
        <x:v>345</x:v>
      </x:c>
      <x:c r="L2775" s="8" t="n">
        <x:v>16911</x:v>
      </x:c>
      <x:c r="M2775" s="9" t="n">
        <x:v>0.8047965059</x:v>
      </x:c>
      <x:c r="N2775" s="10" t="n">
        <x:v>36707.2526166401</x:v>
      </x:c>
      <x:c r="O2775" s="9" t="n">
        <x:v>-0.0888624779</x:v>
      </x:c>
      <x:c r="P2775" s="9" t="n">
        <x:v>0.4384858044</x:v>
      </x:c>
      <x:c r="Q2775" s="9" t="n">
        <x:v>0.5899053628</x:v>
      </x:c>
      <x:c r="R2775" s="3" t="b">
        <x:v>0</x:v>
      </x:c>
      <x:c r="S2775" s="3" t="b">
        <x:v>0</x:v>
      </x:c>
      <x:c r="T2775" s="3" t="b">
        <x:v>0</x:v>
      </x:c>
      <x:c r="U2775" s="2" t="str">
        <x:f>IF(T2775=TRUE,"Priority review",IF(R2775=TRUE,"High cost",IF(S2775=TRUE,"Low quality","Benchmark")))</x:f>
        <x:v>Benchmark</x:v>
      </x:c>
    </x:row>
    <x:row r="2776">
      <x:c r="A2776" s="2" t="str">
        <x:v>180010</x:v>
      </x:c>
      <x:c r="B2776" s="2" t="str">
        <x:v>SAINT JOSEPH HOSPITAL</x:v>
      </x:c>
      <x:c r="C2776" s="2" t="str">
        <x:v>LEXINGTON</x:v>
      </x:c>
      <x:c r="D2776" s="2" t="str">
        <x:v>KY</x:v>
      </x:c>
      <x:c r="E2776" s="2" t="str">
        <x:v>Acute Care Hospitals</x:v>
      </x:c>
      <x:c r="F2776" s="2" t="str">
        <x:v>Voluntary non-profit</x:v>
      </x:c>
      <x:c r="G2776" s="2" t="str">
        <x:v>Medium (100-299 beds)</x:v>
      </x:c>
      <x:c r="H2776" s="7" t="n">
        <x:v>3</x:v>
      </x:c>
      <x:c r="I2776" s="7" t="n">
        <x:v>2</x:v>
      </x:c>
      <x:c r="J2776" s="7" t="n">
        <x:v>1</x:v>
      </x:c>
      <x:c r="K2776" s="8" t="n">
        <x:v>267</x:v>
      </x:c>
      <x:c r="L2776" s="8" t="n">
        <x:v>13616</x:v>
      </x:c>
      <x:c r="M2776" s="9" t="n">
        <x:v>0.7745010518</x:v>
      </x:c>
      <x:c r="N2776" s="10" t="n">
        <x:v>31922.8370299647</x:v>
      </x:c>
      <x:c r="O2776" s="9" t="n">
        <x:v>-0.0910106015</x:v>
      </x:c>
      <x:c r="P2776" s="9" t="n">
        <x:v>0.4384678077</x:v>
      </x:c>
      <x:c r="Q2776" s="9" t="n">
        <x:v>0.3023634882</x:v>
      </x:c>
      <x:c r="R2776" s="3" t="b">
        <x:v>0</x:v>
      </x:c>
      <x:c r="S2776" s="3" t="b">
        <x:v>0</x:v>
      </x:c>
      <x:c r="T2776" s="3" t="b">
        <x:v>0</x:v>
      </x:c>
      <x:c r="U2776" s="2" t="str">
        <x:f>IF(T2776=TRUE,"Priority review",IF(R2776=TRUE,"High cost",IF(S2776=TRUE,"Low quality","Benchmark")))</x:f>
        <x:v>Benchmark</x:v>
      </x:c>
    </x:row>
    <x:row r="2777">
      <x:c r="A2777" s="2" t="str">
        <x:v>060126</x:v>
      </x:c>
      <x:c r="B2777" s="2" t="str">
        <x:v>BANNER FORT COLLINS MEDICAL CENTER</x:v>
      </x:c>
      <x:c r="C2777" s="2" t="str">
        <x:v>FORT COLLINS</x:v>
      </x:c>
      <x:c r="D2777" s="2" t="str">
        <x:v>CO</x:v>
      </x:c>
      <x:c r="E2777" s="2" t="str">
        <x:v>Acute Care Hospitals</x:v>
      </x:c>
      <x:c r="F2777" s="2" t="str">
        <x:v>Voluntary non-profit</x:v>
      </x:c>
      <x:c r="G2777" s="2" t="str">
        <x:v>Small (&lt;100 beds)</x:v>
      </x:c>
      <x:c r="H2777" s="7"/>
      <x:c r="I2777" s="7" t="n">
        <x:v>4</x:v>
      </x:c>
      <x:c r="J2777" s="7" t="n">
        <x:v>0.85</x:v>
      </x:c>
      <x:c r="K2777" s="8" t="n">
        <x:v>29</x:v>
      </x:c>
      <x:c r="L2777" s="8" t="n">
        <x:v>1273</x:v>
      </x:c>
      <x:c r="M2777" s="9" t="n">
        <x:v>0.3897682306</x:v>
      </x:c>
      <x:c r="N2777" s="10" t="n">
        <x:v>47134.9300864101</x:v>
      </x:c>
      <x:c r="O2777" s="9" t="n">
        <x:v>0.0164013417</x:v>
      </x:c>
      <x:c r="P2777" s="9" t="n">
        <x:v>0.4380610413</x:v>
      </x:c>
      <x:c r="Q2777" s="9" t="n">
        <x:v>0.697486535</x:v>
      </x:c>
      <x:c r="R2777" s="3" t="b">
        <x:v>0</x:v>
      </x:c>
      <x:c r="S2777" s="3" t="b">
        <x:v>0</x:v>
      </x:c>
      <x:c r="T2777" s="3" t="b">
        <x:v>0</x:v>
      </x:c>
      <x:c r="U2777" s="2" t="str">
        <x:f>IF(T2777=TRUE,"Priority review",IF(R2777=TRUE,"High cost",IF(S2777=TRUE,"Low quality","Benchmark")))</x:f>
        <x:v>Benchmark</x:v>
      </x:c>
    </x:row>
    <x:row r="2778">
      <x:c r="A2778" s="2" t="str">
        <x:v>111335</x:v>
      </x:c>
      <x:c r="B2778" s="2" t="str">
        <x:v>LIBERTY REGIONAL MEDICAL CENTER</x:v>
      </x:c>
      <x:c r="C2778" s="2" t="str">
        <x:v>HINESVILLE</x:v>
      </x:c>
      <x:c r="D2778" s="2" t="str">
        <x:v>GA</x:v>
      </x:c>
      <x:c r="E2778" s="2" t="str">
        <x:v>Critical Access Hospitals</x:v>
      </x:c>
      <x:c r="F2778" s="2" t="str">
        <x:v>Government</x:v>
      </x:c>
      <x:c r="G2778" s="2" t="str">
        <x:v>Small (&lt;100 beds)</x:v>
      </x:c>
      <x:c r="H2778" s="7"/>
      <x:c r="I2778" s="7"/>
      <x:c r="J2778" s="7"/>
      <x:c r="K2778" s="8" t="n">
        <x:v>25</x:v>
      </x:c>
      <x:c r="L2778" s="8" t="n">
        <x:v>478</x:v>
      </x:c>
      <x:c r="M2778" s="9" t="n">
        <x:v>0.266557377</x:v>
      </x:c>
      <x:c r="N2778" s="10" t="n">
        <x:v>119090.3451882845</x:v>
      </x:c>
      <x:c r="O2778" s="9" t="n">
        <x:v>-0.1331135694</x:v>
      </x:c>
      <x:c r="P2778" s="9" t="n">
        <x:v>0.4379182156</x:v>
      </x:c>
      <x:c r="Q2778" s="9" t="n">
        <x:v>0.292936803</x:v>
      </x:c>
      <x:c r="R2778" s="3" t="b">
        <x:v>0</x:v>
      </x:c>
      <x:c r="S2778" s="3" t="b">
        <x:v>0</x:v>
      </x:c>
      <x:c r="T2778" s="3" t="b">
        <x:v>0</x:v>
      </x:c>
      <x:c r="U2778" s="2" t="str">
        <x:f>IF(T2778=TRUE,"Priority review",IF(R2778=TRUE,"High cost",IF(S2778=TRUE,"Low quality","Benchmark")))</x:f>
        <x:v>Benchmark</x:v>
      </x:c>
    </x:row>
    <x:row r="2779">
      <x:c r="A2779" s="2" t="str">
        <x:v>154070</x:v>
      </x:c>
      <x:c r="B2779" s="2" t="str">
        <x:v>MAPLE HEIGHTS BEHAVIORAL HEALTH</x:v>
      </x:c>
      <x:c r="C2779" s="2" t="str">
        <x:v>FORT WAYNE</x:v>
      </x:c>
      <x:c r="D2779" s="2" t="str">
        <x:v>IN</x:v>
      </x:c>
      <x:c r="E2779" s="2" t="str">
        <x:v>Psychiatric</x:v>
      </x:c>
      <x:c r="F2779" s="2" t="str">
        <x:v>Proprietary</x:v>
      </x:c>
      <x:c r="G2779" s="2" t="str">
        <x:v>Medium (100-299 beds)</x:v>
      </x:c>
      <x:c r="H2779" s="7"/>
      <x:c r="I2779" s="7"/>
      <x:c r="J2779" s="7"/>
      <x:c r="K2779" s="8" t="n">
        <x:v>120</x:v>
      </x:c>
      <x:c r="L2779" s="8" t="n">
        <x:v>1823</x:v>
      </x:c>
      <x:c r="M2779" s="9" t="n">
        <x:v>0.3323770492</x:v>
      </x:c>
      <x:c r="N2779" s="10" t="n">
        <x:v>9978.2007679649</x:v>
      </x:c>
      <x:c r="O2779" s="9" t="n">
        <x:v>-0.0603168874</x:v>
      </x:c>
      <x:c r="P2779" s="9" t="n">
        <x:v>0.4378109453</x:v>
      </x:c>
      <x:c r="Q2779" s="9" t="n">
        <x:v>0</x:v>
      </x:c>
      <x:c r="R2779" s="3" t="b">
        <x:v>0</x:v>
      </x:c>
      <x:c r="S2779" s="3" t="b">
        <x:v>0</x:v>
      </x:c>
      <x:c r="T2779" s="3" t="b">
        <x:v>0</x:v>
      </x:c>
      <x:c r="U2779" s="2" t="str">
        <x:f>IF(T2779=TRUE,"Priority review",IF(R2779=TRUE,"High cost",IF(S2779=TRUE,"Low quality","Benchmark")))</x:f>
        <x:v>Benchmark</x:v>
      </x:c>
    </x:row>
    <x:row r="2780">
      <x:c r="A2780" s="2" t="str">
        <x:v>070005</x:v>
      </x:c>
      <x:c r="B2780" s="2" t="str">
        <x:v>WATERBURY HOSPITAL</x:v>
      </x:c>
      <x:c r="C2780" s="2" t="str">
        <x:v>WATERBURY</x:v>
      </x:c>
      <x:c r="D2780" s="2" t="str">
        <x:v>CT</x:v>
      </x:c>
      <x:c r="E2780" s="2" t="str">
        <x:v>Acute Care Hospitals</x:v>
      </x:c>
      <x:c r="F2780" s="2" t="str">
        <x:v>Proprietary</x:v>
      </x:c>
      <x:c r="G2780" s="2" t="str">
        <x:v>Medium (100-299 beds)</x:v>
      </x:c>
      <x:c r="H2780" s="7" t="n">
        <x:v>2</x:v>
      </x:c>
      <x:c r="I2780" s="7" t="n">
        <x:v>3</x:v>
      </x:c>
      <x:c r="J2780" s="7" t="n">
        <x:v>1.03</x:v>
      </x:c>
      <x:c r="K2780" s="8" t="n">
        <x:v>212</x:v>
      </x:c>
      <x:c r="L2780" s="8" t="n">
        <x:v>8480</x:v>
      </x:c>
      <x:c r="M2780" s="9" t="n">
        <x:v>0.5428136921</x:v>
      </x:c>
      <x:c r="N2780" s="10" t="n">
        <x:v>31886.8503537736</x:v>
      </x:c>
      <x:c r="O2780" s="9" t="n">
        <x:v>-0.1603700556</x:v>
      </x:c>
      <x:c r="P2780" s="9" t="n">
        <x:v>0.4376528117</x:v>
      </x:c>
      <x:c r="Q2780" s="9" t="n">
        <x:v>0.0782396088</x:v>
      </x:c>
      <x:c r="R2780" s="3" t="b">
        <x:v>0</x:v>
      </x:c>
      <x:c r="S2780" s="3" t="b">
        <x:v>1</x:v>
      </x:c>
      <x:c r="T2780" s="3" t="b">
        <x:v>0</x:v>
      </x:c>
      <x:c r="U2780" s="2" t="str">
        <x:f>IF(T2780=TRUE,"Priority review",IF(R2780=TRUE,"High cost",IF(S2780=TRUE,"Low quality","Benchmark")))</x:f>
        <x:v>Low quality</x:v>
      </x:c>
    </x:row>
    <x:row r="2781">
      <x:c r="A2781" s="2" t="str">
        <x:v>141345</x:v>
      </x:c>
      <x:c r="B2781" s="2" t="str">
        <x:v>SALEM TOWNSHIP HOSPITAL</x:v>
      </x:c>
      <x:c r="C2781" s="2" t="str">
        <x:v>SALEM</x:v>
      </x:c>
      <x:c r="D2781" s="2" t="str">
        <x:v>IL</x:v>
      </x:c>
      <x:c r="E2781" s="2" t="str">
        <x:v>Critical Access Hospitals</x:v>
      </x:c>
      <x:c r="F2781" s="2" t="str">
        <x:v>Government</x:v>
      </x:c>
      <x:c r="G2781" s="2" t="str">
        <x:v>Small (&lt;100 beds)</x:v>
      </x:c>
      <x:c r="H2781" s="7" t="n">
        <x:v>4</x:v>
      </x:c>
      <x:c r="I2781" s="7"/>
      <x:c r="J2781" s="7"/>
      <x:c r="K2781" s="8" t="n">
        <x:v>25</x:v>
      </x:c>
      <x:c r="L2781" s="8" t="n">
        <x:v>413</x:v>
      </x:c>
      <x:c r="M2781" s="9" t="n">
        <x:v>0.2157808219</x:v>
      </x:c>
      <x:c r="N2781" s="10" t="n">
        <x:v>119050.9225181598</x:v>
      </x:c>
      <x:c r="O2781" s="9" t="n">
        <x:v>0.1024582311</x:v>
      </x:c>
      <x:c r="P2781" s="9" t="n">
        <x:v>0.4371747212</x:v>
      </x:c>
      <x:c r="Q2781" s="9" t="n">
        <x:v>0.1657992565</x:v>
      </x:c>
      <x:c r="R2781" s="3" t="b">
        <x:v>0</x:v>
      </x:c>
      <x:c r="S2781" s="3" t="b">
        <x:v>0</x:v>
      </x:c>
      <x:c r="T2781" s="3" t="b">
        <x:v>0</x:v>
      </x:c>
      <x:c r="U2781" s="2" t="str">
        <x:f>IF(T2781=TRUE,"Priority review",IF(R2781=TRUE,"High cost",IF(S2781=TRUE,"Low quality","Benchmark")))</x:f>
        <x:v>Benchmark</x:v>
      </x:c>
    </x:row>
    <x:row r="2782">
      <x:c r="A2782" s="2" t="str">
        <x:v>190201</x:v>
      </x:c>
      <x:c r="B2782" s="2" t="str">
        <x:v>CHRISTUS OCHSNER LAKE AREA HOSPITAL</x:v>
      </x:c>
      <x:c r="C2782" s="2" t="str">
        <x:v>LAKE CHARLES</x:v>
      </x:c>
      <x:c r="D2782" s="2" t="str">
        <x:v>LA</x:v>
      </x:c>
      <x:c r="E2782" s="2" t="str">
        <x:v>Acute Care Hospitals</x:v>
      </x:c>
      <x:c r="F2782" s="2" t="str">
        <x:v>Voluntary non-profit</x:v>
      </x:c>
      <x:c r="G2782" s="2" t="str">
        <x:v>Small (&lt;100 beds)</x:v>
      </x:c>
      <x:c r="H2782" s="7"/>
      <x:c r="I2782" s="7" t="n">
        <x:v>4</x:v>
      </x:c>
      <x:c r="J2782" s="7" t="n">
        <x:v>0.96</x:v>
      </x:c>
      <x:c r="K2782" s="8" t="n">
        <x:v>88</x:v>
      </x:c>
      <x:c r="L2782" s="8" t="n">
        <x:v>2066</x:v>
      </x:c>
      <x:c r="M2782" s="9" t="n">
        <x:v>0.2805105853</x:v>
      </x:c>
      <x:c r="N2782" s="10" t="n">
        <x:v>47124.8910939013</x:v>
      </x:c>
      <x:c r="O2782" s="9" t="n">
        <x:v>-0.0267058287</x:v>
      </x:c>
      <x:c r="P2782" s="9" t="n">
        <x:v>0.4371633752</x:v>
      </x:c>
      <x:c r="Q2782" s="9" t="n">
        <x:v>0.697486535</x:v>
      </x:c>
      <x:c r="R2782" s="3" t="b">
        <x:v>0</x:v>
      </x:c>
      <x:c r="S2782" s="3" t="b">
        <x:v>0</x:v>
      </x:c>
      <x:c r="T2782" s="3" t="b">
        <x:v>0</x:v>
      </x:c>
      <x:c r="U2782" s="2" t="str">
        <x:f>IF(T2782=TRUE,"Priority review",IF(R2782=TRUE,"High cost",IF(S2782=TRUE,"Low quality","Benchmark")))</x:f>
        <x:v>Benchmark</x:v>
      </x:c>
    </x:row>
    <x:row r="2783">
      <x:c r="A2783" s="2" t="str">
        <x:v>230070</x:v>
      </x:c>
      <x:c r="B2783" s="2" t="str">
        <x:v>COVENANT MEDICAL CENTER</x:v>
      </x:c>
      <x:c r="C2783" s="2" t="str">
        <x:v>SAGINAW</x:v>
      </x:c>
      <x:c r="D2783" s="2" t="str">
        <x:v>MI</x:v>
      </x:c>
      <x:c r="E2783" s="2" t="str">
        <x:v>Acute Care Hospitals</x:v>
      </x:c>
      <x:c r="F2783" s="2" t="str">
        <x:v>Voluntary non-profit</x:v>
      </x:c>
      <x:c r="G2783" s="2" t="str">
        <x:v>Large (300+ beds)</x:v>
      </x:c>
      <x:c r="H2783" s="7" t="n">
        <x:v>2</x:v>
      </x:c>
      <x:c r="I2783" s="7" t="n">
        <x:v>3</x:v>
      </x:c>
      <x:c r="J2783" s="7" t="n">
        <x:v>1.04</x:v>
      </x:c>
      <x:c r="K2783" s="8" t="n">
        <x:v>464</x:v>
      </x:c>
      <x:c r="L2783" s="8" t="n">
        <x:v>23242</x:v>
      </x:c>
      <x:c r="M2783" s="9" t="n">
        <x:v>0.7282947567</x:v>
      </x:c>
      <x:c r="N2783" s="10" t="n">
        <x:v>36616.8214869633</x:v>
      </x:c>
      <x:c r="O2783" s="9" t="n">
        <x:v>-0.0678956801</x:v>
      </x:c>
      <x:c r="P2783" s="9" t="n">
        <x:v>0.4369085174</x:v>
      </x:c>
      <x:c r="Q2783" s="9" t="n">
        <x:v>0.0536277603</x:v>
      </x:c>
      <x:c r="R2783" s="3" t="b">
        <x:v>0</x:v>
      </x:c>
      <x:c r="S2783" s="3" t="b">
        <x:v>1</x:v>
      </x:c>
      <x:c r="T2783" s="3" t="b">
        <x:v>0</x:v>
      </x:c>
      <x:c r="U2783" s="2" t="str">
        <x:f>IF(T2783=TRUE,"Priority review",IF(R2783=TRUE,"High cost",IF(S2783=TRUE,"Low quality","Benchmark")))</x:f>
        <x:v>Low quality</x:v>
      </x:c>
    </x:row>
    <x:row r="2784">
      <x:c r="A2784" s="2" t="str">
        <x:v>454158</x:v>
      </x:c>
      <x:c r="B2784" s="2" t="str">
        <x:v>VOYAGES BEHAVIORAL HEALTH OF CONROE</x:v>
      </x:c>
      <x:c r="C2784" s="2" t="str">
        <x:v>CONROE</x:v>
      </x:c>
      <x:c r="D2784" s="2" t="str">
        <x:v>TX</x:v>
      </x:c>
      <x:c r="E2784" s="2" t="str">
        <x:v>Psychiatric</x:v>
      </x:c>
      <x:c r="F2784" s="2" t="str">
        <x:v>Proprietary</x:v>
      </x:c>
      <x:c r="G2784" s="2" t="str">
        <x:v>Small (&lt;100 beds)</x:v>
      </x:c>
      <x:c r="H2784" s="7"/>
      <x:c r="I2784" s="7"/>
      <x:c r="J2784" s="7"/>
      <x:c r="K2784" s="8" t="n">
        <x:v>64</x:v>
      </x:c>
      <x:c r="L2784" s="8" t="n">
        <x:v>1502</x:v>
      </x:c>
      <x:c r="M2784" s="9" t="n">
        <x:v>0.8398972603</x:v>
      </x:c>
      <x:c r="N2784" s="10" t="n">
        <x:v>10999.9960053262</x:v>
      </x:c>
      <x:c r="O2784" s="9" t="n">
        <x:v>-0.0272864593</x:v>
      </x:c>
      <x:c r="P2784" s="9" t="n">
        <x:v>0.4368932039</x:v>
      </x:c>
      <x:c r="Q2784" s="9" t="n">
        <x:v>0</x:v>
      </x:c>
      <x:c r="R2784" s="3" t="b">
        <x:v>0</x:v>
      </x:c>
      <x:c r="S2784" s="3" t="b">
        <x:v>0</x:v>
      </x:c>
      <x:c r="T2784" s="3" t="b">
        <x:v>0</x:v>
      </x:c>
      <x:c r="U2784" s="2" t="str">
        <x:f>IF(T2784=TRUE,"Priority review",IF(R2784=TRUE,"High cost",IF(S2784=TRUE,"Low quality","Benchmark")))</x:f>
        <x:v>Benchmark</x:v>
      </x:c>
    </x:row>
    <x:row r="2785">
      <x:c r="A2785" s="2" t="str">
        <x:v>370106</x:v>
      </x:c>
      <x:c r="B2785" s="2" t="str">
        <x:v>INTEGRIS SOUTHWEST MEDICAL CENTER</x:v>
      </x:c>
      <x:c r="C2785" s="2" t="str">
        <x:v>OKLAHOMA CITY</x:v>
      </x:c>
      <x:c r="D2785" s="2" t="str">
        <x:v>OK</x:v>
      </x:c>
      <x:c r="E2785" s="2" t="str">
        <x:v>Acute Care Hospitals</x:v>
      </x:c>
      <x:c r="F2785" s="2" t="str">
        <x:v>Voluntary non-profit</x:v>
      </x:c>
      <x:c r="G2785" s="2" t="str">
        <x:v>Medium (100-299 beds)</x:v>
      </x:c>
      <x:c r="H2785" s="7" t="n">
        <x:v>2</x:v>
      </x:c>
      <x:c r="I2785" s="7" t="n">
        <x:v>3</x:v>
      </x:c>
      <x:c r="J2785" s="7" t="n">
        <x:v>1.16</x:v>
      </x:c>
      <x:c r="K2785" s="8" t="n">
        <x:v>177</x:v>
      </x:c>
      <x:c r="L2785" s="8" t="n">
        <x:v>10508</x:v>
      </x:c>
      <x:c r="M2785" s="9" t="n">
        <x:v>0.7956195341</x:v>
      </x:c>
      <x:c r="N2785" s="10" t="n">
        <x:v>31867.5857441949</x:v>
      </x:c>
      <x:c r="O2785" s="9" t="n">
        <x:v>-0.0489668597</x:v>
      </x:c>
      <x:c r="P2785" s="9" t="n">
        <x:v>0.4368378158</x:v>
      </x:c>
      <x:c r="Q2785" s="9" t="n">
        <x:v>0.0782396088</x:v>
      </x:c>
      <x:c r="R2785" s="3" t="b">
        <x:v>0</x:v>
      </x:c>
      <x:c r="S2785" s="3" t="b">
        <x:v>1</x:v>
      </x:c>
      <x:c r="T2785" s="3" t="b">
        <x:v>0</x:v>
      </x:c>
      <x:c r="U2785" s="2" t="str">
        <x:f>IF(T2785=TRUE,"Priority review",IF(R2785=TRUE,"High cost",IF(S2785=TRUE,"Low quality","Benchmark")))</x:f>
        <x:v>Low quality</x:v>
      </x:c>
    </x:row>
    <x:row r="2786">
      <x:c r="A2786" s="2" t="str">
        <x:v>271318</x:v>
      </x:c>
      <x:c r="B2786" s="2" t="str">
        <x:v>BARRETT HOSPITAL &amp; HEALTHCARE</x:v>
      </x:c>
      <x:c r="C2786" s="2" t="str">
        <x:v>DILLON</x:v>
      </x:c>
      <x:c r="D2786" s="2" t="str">
        <x:v>MT</x:v>
      </x:c>
      <x:c r="E2786" s="2" t="str">
        <x:v>Critical Access Hospitals</x:v>
      </x:c>
      <x:c r="F2786" s="2" t="str">
        <x:v>Government</x:v>
      </x:c>
      <x:c r="G2786" s="2" t="str">
        <x:v>Small (&lt;100 beds)</x:v>
      </x:c>
      <x:c r="H2786" s="7" t="n">
        <x:v>2</x:v>
      </x:c>
      <x:c r="I2786" s="7"/>
      <x:c r="J2786" s="7"/>
      <x:c r="K2786" s="8" t="n">
        <x:v>18</x:v>
      </x:c>
      <x:c r="L2786" s="8" t="n">
        <x:v>405</x:v>
      </x:c>
      <x:c r="M2786" s="9" t="n">
        <x:v>0.3325722983</x:v>
      </x:c>
      <x:c r="N2786" s="10" t="n">
        <x:v>118975.7679012346</x:v>
      </x:c>
      <x:c r="O2786" s="9" t="n">
        <x:v>0.0069238072</x:v>
      </x:c>
      <x:c r="P2786" s="9" t="n">
        <x:v>0.4364312268</x:v>
      </x:c>
      <x:c r="Q2786" s="9" t="n">
        <x:v>0.0171003717</x:v>
      </x:c>
      <x:c r="R2786" s="3" t="b">
        <x:v>0</x:v>
      </x:c>
      <x:c r="S2786" s="3" t="b">
        <x:v>1</x:v>
      </x:c>
      <x:c r="T2786" s="3" t="b">
        <x:v>0</x:v>
      </x:c>
      <x:c r="U2786" s="2" t="str">
        <x:f>IF(T2786=TRUE,"Priority review",IF(R2786=TRUE,"High cost",IF(S2786=TRUE,"Low quality","Benchmark")))</x:f>
        <x:v>Low quality</x:v>
      </x:c>
    </x:row>
    <x:row r="2787">
      <x:c r="A2787" s="2" t="str">
        <x:v>450856</x:v>
      </x:c>
      <x:c r="B2787" s="2" t="str">
        <x:v>SOUTH TEXAS SPINE AND SURGICAL HOSPITAL</x:v>
      </x:c>
      <x:c r="C2787" s="2" t="str">
        <x:v>SAN ANTONIO</x:v>
      </x:c>
      <x:c r="D2787" s="2" t="str">
        <x:v>TX</x:v>
      </x:c>
      <x:c r="E2787" s="2" t="str">
        <x:v>Acute Care Hospitals</x:v>
      </x:c>
      <x:c r="F2787" s="2" t="str">
        <x:v>Other / unknown</x:v>
      </x:c>
      <x:c r="G2787" s="2" t="str">
        <x:v>Small (&lt;100 beds)</x:v>
      </x:c>
      <x:c r="H2787" s="7"/>
      <x:c r="I2787" s="7" t="n">
        <x:v>4</x:v>
      </x:c>
      <x:c r="J2787" s="7" t="n">
        <x:v>0.91</x:v>
      </x:c>
      <x:c r="K2787" s="8" t="n">
        <x:v>28</x:v>
      </x:c>
      <x:c r="L2787" s="8" t="n">
        <x:v>1367</x:v>
      </x:c>
      <x:c r="M2787" s="9" t="n">
        <x:v>0.3300156128</x:v>
      </x:c>
      <x:c r="N2787" s="10" t="n">
        <x:v>47082.2706656913</x:v>
      </x:c>
      <x:c r="O2787" s="9" t="n">
        <x:v>0.0411847374</x:v>
      </x:c>
      <x:c r="P2787" s="9" t="n">
        <x:v>0.4362657092</x:v>
      </x:c>
      <x:c r="Q2787" s="9" t="n">
        <x:v>0.697486535</x:v>
      </x:c>
      <x:c r="R2787" s="3" t="b">
        <x:v>0</x:v>
      </x:c>
      <x:c r="S2787" s="3" t="b">
        <x:v>0</x:v>
      </x:c>
      <x:c r="T2787" s="3" t="b">
        <x:v>0</x:v>
      </x:c>
      <x:c r="U2787" s="2" t="str">
        <x:f>IF(T2787=TRUE,"Priority review",IF(R2787=TRUE,"High cost",IF(S2787=TRUE,"Low quality","Benchmark")))</x:f>
        <x:v>Benchmark</x:v>
      </x:c>
    </x:row>
    <x:row r="2788">
      <x:c r="A2788" s="2" t="str">
        <x:v>310054</x:v>
      </x:c>
      <x:c r="B2788" s="2" t="str">
        <x:v>HACKENSACK MERIDIAN MOUNTAINSIDE MEDICAL</x:v>
      </x:c>
      <x:c r="C2788" s="2" t="str">
        <x:v>MONTCLAIR</x:v>
      </x:c>
      <x:c r="D2788" s="2" t="str">
        <x:v>NJ</x:v>
      </x:c>
      <x:c r="E2788" s="2" t="str">
        <x:v>Acute Care Hospitals</x:v>
      </x:c>
      <x:c r="F2788" s="2" t="str">
        <x:v>Proprietary</x:v>
      </x:c>
      <x:c r="G2788" s="2" t="str">
        <x:v>Medium (100-299 beds)</x:v>
      </x:c>
      <x:c r="H2788" s="7" t="n">
        <x:v>4</x:v>
      </x:c>
      <x:c r="I2788" s="7" t="n">
        <x:v>2</x:v>
      </x:c>
      <x:c r="J2788" s="7" t="n">
        <x:v>1.08</x:v>
      </x:c>
      <x:c r="K2788" s="8" t="n">
        <x:v>193</x:v>
      </x:c>
      <x:c r="L2788" s="8" t="n">
        <x:v>9074</x:v>
      </x:c>
      <x:c r="M2788" s="9" t="n">
        <x:v>0.6478807441</x:v>
      </x:c>
      <x:c r="N2788" s="10" t="n">
        <x:v>31848.9439056645</x:v>
      </x:c>
      <x:c r="O2788" s="9" t="n">
        <x:v>0.1647813396</x:v>
      </x:c>
      <x:c r="P2788" s="9" t="n">
        <x:v>0.4360228199</x:v>
      </x:c>
      <x:c r="Q2788" s="9" t="n">
        <x:v>0.6022819886</x:v>
      </x:c>
      <x:c r="R2788" s="3" t="b">
        <x:v>0</x:v>
      </x:c>
      <x:c r="S2788" s="3" t="b">
        <x:v>0</x:v>
      </x:c>
      <x:c r="T2788" s="3" t="b">
        <x:v>0</x:v>
      </x:c>
      <x:c r="U2788" s="2" t="str">
        <x:f>IF(T2788=TRUE,"Priority review",IF(R2788=TRUE,"High cost",IF(S2788=TRUE,"Low quality","Benchmark")))</x:f>
        <x:v>Benchmark</x:v>
      </x:c>
    </x:row>
    <x:row r="2789">
      <x:c r="A2789" s="2" t="str">
        <x:v>351310</x:v>
      </x:c>
      <x:c r="B2789" s="2" t="str">
        <x:v>SAKAKAWEA MEDICAL CENTER - CAH</x:v>
      </x:c>
      <x:c r="C2789" s="2" t="str">
        <x:v>HAZEN</x:v>
      </x:c>
      <x:c r="D2789" s="2" t="str">
        <x:v>ND</x:v>
      </x:c>
      <x:c r="E2789" s="2" t="str">
        <x:v>Critical Access Hospitals</x:v>
      </x:c>
      <x:c r="F2789" s="2" t="str">
        <x:v>Voluntary non-profit</x:v>
      </x:c>
      <x:c r="G2789" s="2" t="str">
        <x:v>Small (&lt;100 beds)</x:v>
      </x:c>
      <x:c r="H2789" s="7"/>
      <x:c r="I2789" s="7"/>
      <x:c r="J2789" s="7"/>
      <x:c r="K2789" s="8" t="n">
        <x:v>13</x:v>
      </x:c>
      <x:c r="L2789" s="8" t="n">
        <x:v>156</x:v>
      </x:c>
      <x:c r="M2789" s="9" t="n">
        <x:v>0.3190727081</x:v>
      </x:c>
      <x:c r="N2789" s="10" t="n">
        <x:v>118971.8076923077</x:v>
      </x:c>
      <x:c r="O2789" s="9" t="n">
        <x:v>0.0037478885</x:v>
      </x:c>
      <x:c r="P2789" s="9" t="n">
        <x:v>0.4356877323</x:v>
      </x:c>
      <x:c r="Q2789" s="9" t="n">
        <x:v>0.292936803</x:v>
      </x:c>
      <x:c r="R2789" s="3" t="b">
        <x:v>0</x:v>
      </x:c>
      <x:c r="S2789" s="3" t="b">
        <x:v>0</x:v>
      </x:c>
      <x:c r="T2789" s="3" t="b">
        <x:v>0</x:v>
      </x:c>
      <x:c r="U2789" s="2" t="str">
        <x:f>IF(T2789=TRUE,"Priority review",IF(R2789=TRUE,"High cost",IF(S2789=TRUE,"Low quality","Benchmark")))</x:f>
        <x:v>Benchmark</x:v>
      </x:c>
    </x:row>
    <x:row r="2790">
      <x:c r="A2790" s="2" t="str">
        <x:v>050313</x:v>
      </x:c>
      <x:c r="B2790" s="2" t="str">
        <x:v>SUTTER TRACY COMMUNITY HOSPITAL</x:v>
      </x:c>
      <x:c r="C2790" s="2" t="str">
        <x:v>TRACY</x:v>
      </x:c>
      <x:c r="D2790" s="2" t="str">
        <x:v>CA</x:v>
      </x:c>
      <x:c r="E2790" s="2" t="str">
        <x:v>Acute Care Hospitals</x:v>
      </x:c>
      <x:c r="F2790" s="2" t="str">
        <x:v>Proprietary</x:v>
      </x:c>
      <x:c r="G2790" s="2" t="str">
        <x:v>Small (&lt;100 beds)</x:v>
      </x:c>
      <x:c r="H2790" s="7" t="n">
        <x:v>4</x:v>
      </x:c>
      <x:c r="I2790" s="7" t="n">
        <x:v>3</x:v>
      </x:c>
      <x:c r="J2790" s="7" t="n">
        <x:v>0.98</x:v>
      </x:c>
      <x:c r="K2790" s="8" t="n">
        <x:v>77</x:v>
      </x:c>
      <x:c r="L2790" s="8" t="n">
        <x:v>3722</x:v>
      </x:c>
      <x:c r="M2790" s="9" t="n">
        <x:v>0.4470229224</x:v>
      </x:c>
      <x:c r="N2790" s="10" t="n">
        <x:v>47068.1096184847</x:v>
      </x:c>
      <x:c r="O2790" s="9" t="n">
        <x:v>0.2063069895</x:v>
      </x:c>
      <x:c r="P2790" s="9" t="n">
        <x:v>0.4353680431</x:v>
      </x:c>
      <x:c r="Q2790" s="9" t="n">
        <x:v>0.3913824057</x:v>
      </x:c>
      <x:c r="R2790" s="3" t="b">
        <x:v>0</x:v>
      </x:c>
      <x:c r="S2790" s="3" t="b">
        <x:v>0</x:v>
      </x:c>
      <x:c r="T2790" s="3" t="b">
        <x:v>0</x:v>
      </x:c>
      <x:c r="U2790" s="2" t="str">
        <x:f>IF(T2790=TRUE,"Priority review",IF(R2790=TRUE,"High cost",IF(S2790=TRUE,"Low quality","Benchmark")))</x:f>
        <x:v>Benchmark</x:v>
      </x:c>
    </x:row>
    <x:row r="2791">
      <x:c r="A2791" s="2" t="str">
        <x:v>450056</x:v>
      </x:c>
      <x:c r="B2791" s="2" t="str">
        <x:v>ASCENSION SETON MEDICAL CENTER AUSTIN</x:v>
      </x:c>
      <x:c r="C2791" s="2" t="str">
        <x:v>AUSTIN</x:v>
      </x:c>
      <x:c r="D2791" s="2" t="str">
        <x:v>TX</x:v>
      </x:c>
      <x:c r="E2791" s="2" t="str">
        <x:v>Acute Care Hospitals</x:v>
      </x:c>
      <x:c r="F2791" s="2" t="str">
        <x:v>Voluntary non-profit</x:v>
      </x:c>
      <x:c r="G2791" s="2" t="str">
        <x:v>Large (300+ beds)</x:v>
      </x:c>
      <x:c r="H2791" s="7" t="n">
        <x:v>3</x:v>
      </x:c>
      <x:c r="I2791" s="7" t="n">
        <x:v>3</x:v>
      </x:c>
      <x:c r="J2791" s="7" t="n">
        <x:v>1.01</x:v>
      </x:c>
      <x:c r="K2791" s="8" t="n">
        <x:v>399</x:v>
      </x:c>
      <x:c r="L2791" s="8" t="n">
        <x:v>20794</x:v>
      </x:c>
      <x:c r="M2791" s="9" t="n">
        <x:v>0.8699900436</x:v>
      </x:c>
      <x:c r="N2791" s="10" t="n">
        <x:v>36525.2161681254</x:v>
      </x:c>
      <x:c r="O2791" s="9" t="n">
        <x:v>0.0754685263</x:v>
      </x:c>
      <x:c r="P2791" s="9" t="n">
        <x:v>0.4353312303</x:v>
      </x:c>
      <x:c r="Q2791" s="9" t="n">
        <x:v>0.2570977918</x:v>
      </x:c>
      <x:c r="R2791" s="3" t="b">
        <x:v>0</x:v>
      </x:c>
      <x:c r="S2791" s="3" t="b">
        <x:v>0</x:v>
      </x:c>
      <x:c r="T2791" s="3" t="b">
        <x:v>0</x:v>
      </x:c>
      <x:c r="U2791" s="2" t="str">
        <x:f>IF(T2791=TRUE,"Priority review",IF(R2791=TRUE,"High cost",IF(S2791=TRUE,"Low quality","Benchmark")))</x:f>
        <x:v>Benchmark</x:v>
      </x:c>
    </x:row>
    <x:row r="2792">
      <x:c r="A2792" s="2" t="str">
        <x:v>250100</x:v>
      </x:c>
      <x:c r="B2792" s="2" t="str">
        <x:v>BMH-GOLDEN TRIANGLE</x:v>
      </x:c>
      <x:c r="C2792" s="2" t="str">
        <x:v>COLUMBUS</x:v>
      </x:c>
      <x:c r="D2792" s="2" t="str">
        <x:v>MS</x:v>
      </x:c>
      <x:c r="E2792" s="2" t="str">
        <x:v>Acute Care Hospitals</x:v>
      </x:c>
      <x:c r="F2792" s="2" t="str">
        <x:v>Voluntary non-profit</x:v>
      </x:c>
      <x:c r="G2792" s="2" t="str">
        <x:v>Medium (100-299 beds)</x:v>
      </x:c>
      <x:c r="H2792" s="7" t="n">
        <x:v>3</x:v>
      </x:c>
      <x:c r="I2792" s="7" t="n">
        <x:v>4</x:v>
      </x:c>
      <x:c r="J2792" s="7" t="n">
        <x:v>0.97</x:v>
      </x:c>
      <x:c r="K2792" s="8" t="n">
        <x:v>149</x:v>
      </x:c>
      <x:c r="L2792" s="8" t="n">
        <x:v>7431</x:v>
      </x:c>
      <x:c r="M2792" s="9" t="n">
        <x:v>0.5428356622</x:v>
      </x:c>
      <x:c r="N2792" s="10" t="n">
        <x:v>31827.9285425918</x:v>
      </x:c>
      <x:c r="O2792" s="9" t="n">
        <x:v>0.1824471583</x:v>
      </x:c>
      <x:c r="P2792" s="9" t="n">
        <x:v>0.435207824</x:v>
      </x:c>
      <x:c r="Q2792" s="9" t="n">
        <x:v>0.3023634882</x:v>
      </x:c>
      <x:c r="R2792" s="3" t="b">
        <x:v>0</x:v>
      </x:c>
      <x:c r="S2792" s="3" t="b">
        <x:v>0</x:v>
      </x:c>
      <x:c r="T2792" s="3" t="b">
        <x:v>0</x:v>
      </x:c>
      <x:c r="U2792" s="2" t="str">
        <x:f>IF(T2792=TRUE,"Priority review",IF(R2792=TRUE,"High cost",IF(S2792=TRUE,"Low quality","Benchmark")))</x:f>
        <x:v>Benchmark</x:v>
      </x:c>
    </x:row>
    <x:row r="2793">
      <x:c r="A2793" s="2" t="str">
        <x:v>101304</x:v>
      </x:c>
      <x:c r="B2793" s="2" t="str">
        <x:v>CALHOUN-LIBERTY HOSPITAL</x:v>
      </x:c>
      <x:c r="C2793" s="2" t="str">
        <x:v>BLOUNTSTOWN</x:v>
      </x:c>
      <x:c r="D2793" s="2" t="str">
        <x:v>FL</x:v>
      </x:c>
      <x:c r="E2793" s="2" t="str">
        <x:v>Critical Access Hospitals</x:v>
      </x:c>
      <x:c r="F2793" s="2" t="str">
        <x:v>Voluntary non-profit</x:v>
      </x:c>
      <x:c r="G2793" s="2" t="str">
        <x:v>Small (&lt;100 beds)</x:v>
      </x:c>
      <x:c r="H2793" s="7"/>
      <x:c r="I2793" s="7"/>
      <x:c r="J2793" s="7"/>
      <x:c r="K2793" s="8" t="n">
        <x:v>10</x:v>
      </x:c>
      <x:c r="L2793" s="8" t="n">
        <x:v>151</x:v>
      </x:c>
      <x:c r="M2793" s="9" t="n">
        <x:v>0.5857923497</x:v>
      </x:c>
      <x:c r="N2793" s="10" t="n">
        <x:v>118937.4701986755</x:v>
      </x:c>
      <x:c r="O2793" s="9" t="n">
        <x:v>-0.1114131886</x:v>
      </x:c>
      <x:c r="P2793" s="9" t="n">
        <x:v>0.4349442379</x:v>
      </x:c>
      <x:c r="Q2793" s="9" t="n">
        <x:v>0.292936803</x:v>
      </x:c>
      <x:c r="R2793" s="3" t="b">
        <x:v>0</x:v>
      </x:c>
      <x:c r="S2793" s="3" t="b">
        <x:v>0</x:v>
      </x:c>
      <x:c r="T2793" s="3" t="b">
        <x:v>0</x:v>
      </x:c>
      <x:c r="U2793" s="2" t="str">
        <x:f>IF(T2793=TRUE,"Priority review",IF(R2793=TRUE,"High cost",IF(S2793=TRUE,"Low quality","Benchmark")))</x:f>
        <x:v>Benchmark</x:v>
      </x:c>
    </x:row>
    <x:row r="2794">
      <x:c r="A2794" s="2" t="str">
        <x:v>360065</x:v>
      </x:c>
      <x:c r="B2794" s="2" t="str">
        <x:v>FISHER-TITUS HOSPITAL</x:v>
      </x:c>
      <x:c r="C2794" s="2" t="str">
        <x:v>NORWALK</x:v>
      </x:c>
      <x:c r="D2794" s="2" t="str">
        <x:v>OH</x:v>
      </x:c>
      <x:c r="E2794" s="2" t="str">
        <x:v>Acute Care Hospitals</x:v>
      </x:c>
      <x:c r="F2794" s="2" t="str">
        <x:v>Voluntary non-profit</x:v>
      </x:c>
      <x:c r="G2794" s="2" t="str">
        <x:v>Small (&lt;100 beds)</x:v>
      </x:c>
      <x:c r="H2794" s="7" t="n">
        <x:v>4</x:v>
      </x:c>
      <x:c r="I2794" s="7" t="n">
        <x:v>3</x:v>
      </x:c>
      <x:c r="J2794" s="7" t="n">
        <x:v>0.95</x:v>
      </x:c>
      <x:c r="K2794" s="8" t="n">
        <x:v>78</x:v>
      </x:c>
      <x:c r="L2794" s="8" t="n">
        <x:v>3421</x:v>
      </x:c>
      <x:c r="M2794" s="9" t="n">
        <x:v>0.4515552753</x:v>
      </x:c>
      <x:c r="N2794" s="10" t="n">
        <x:v>47055.0043846828</x:v>
      </x:c>
      <x:c r="O2794" s="9" t="n">
        <x:v>-0.036753873</x:v>
      </x:c>
      <x:c r="P2794" s="9" t="n">
        <x:v>0.434470377</x:v>
      </x:c>
      <x:c r="Q2794" s="9" t="n">
        <x:v>0.3913824057</x:v>
      </x:c>
      <x:c r="R2794" s="3" t="b">
        <x:v>0</x:v>
      </x:c>
      <x:c r="S2794" s="3" t="b">
        <x:v>0</x:v>
      </x:c>
      <x:c r="T2794" s="3" t="b">
        <x:v>0</x:v>
      </x:c>
      <x:c r="U2794" s="2" t="str">
        <x:f>IF(T2794=TRUE,"Priority review",IF(R2794=TRUE,"High cost",IF(S2794=TRUE,"Low quality","Benchmark")))</x:f>
        <x:v>Benchmark</x:v>
      </x:c>
    </x:row>
    <x:row r="2795">
      <x:c r="A2795" s="2" t="str">
        <x:v>450890</x:v>
      </x:c>
      <x:c r="B2795" s="2" t="str">
        <x:v>BAYLOR SCOTT &amp; WHITE MEDICAL CENTER PLANO</x:v>
      </x:c>
      <x:c r="C2795" s="2" t="str">
        <x:v>PLANO</x:v>
      </x:c>
      <x:c r="D2795" s="2" t="str">
        <x:v>TX</x:v>
      </x:c>
      <x:c r="E2795" s="2" t="str">
        <x:v>Acute Care Hospitals</x:v>
      </x:c>
      <x:c r="F2795" s="2" t="str">
        <x:v>Voluntary non-profit</x:v>
      </x:c>
      <x:c r="G2795" s="2" t="str">
        <x:v>Medium (100-299 beds)</x:v>
      </x:c>
      <x:c r="H2795" s="7" t="n">
        <x:v>4</x:v>
      </x:c>
      <x:c r="I2795" s="7" t="n">
        <x:v>4</x:v>
      </x:c>
      <x:c r="J2795" s="7" t="n">
        <x:v>1.06</x:v>
      </x:c>
      <x:c r="K2795" s="8" t="n">
        <x:v>150</x:v>
      </x:c>
      <x:c r="L2795" s="8" t="n">
        <x:v>8276</x:v>
      </x:c>
      <x:c r="M2795" s="9" t="n">
        <x:v>0.731129326</x:v>
      </x:c>
      <x:c r="N2795" s="10" t="n">
        <x:v>31825.7746495892</x:v>
      </x:c>
      <x:c r="O2795" s="9" t="n">
        <x:v>0.1070990794</x:v>
      </x:c>
      <x:c r="P2795" s="9" t="n">
        <x:v>0.434392828</x:v>
      </x:c>
      <x:c r="Q2795" s="9" t="n">
        <x:v>0.6022819886</x:v>
      </x:c>
      <x:c r="R2795" s="3" t="b">
        <x:v>0</x:v>
      </x:c>
      <x:c r="S2795" s="3" t="b">
        <x:v>0</x:v>
      </x:c>
      <x:c r="T2795" s="3" t="b">
        <x:v>0</x:v>
      </x:c>
      <x:c r="U2795" s="2" t="str">
        <x:f>IF(T2795=TRUE,"Priority review",IF(R2795=TRUE,"High cost",IF(S2795=TRUE,"Low quality","Benchmark")))</x:f>
        <x:v>Benchmark</x:v>
      </x:c>
    </x:row>
    <x:row r="2796">
      <x:c r="A2796" s="2" t="str">
        <x:v>051321</x:v>
      </x:c>
      <x:c r="B2796" s="2" t="str">
        <x:v>HEALDSBURG HOSPITAL</x:v>
      </x:c>
      <x:c r="C2796" s="2" t="str">
        <x:v>HEALDSBURG</x:v>
      </x:c>
      <x:c r="D2796" s="2" t="str">
        <x:v>CA</x:v>
      </x:c>
      <x:c r="E2796" s="2" t="str">
        <x:v>Critical Access Hospitals</x:v>
      </x:c>
      <x:c r="F2796" s="2" t="str">
        <x:v>Voluntary non-profit</x:v>
      </x:c>
      <x:c r="G2796" s="2" t="str">
        <x:v>Small (&lt;100 beds)</x:v>
      </x:c>
      <x:c r="H2796" s="7"/>
      <x:c r="I2796" s="7"/>
      <x:c r="J2796" s="7"/>
      <x:c r="K2796" s="8" t="n">
        <x:v>21</x:v>
      </x:c>
      <x:c r="L2796" s="8" t="n">
        <x:v>579</x:v>
      </x:c>
      <x:c r="M2796" s="9" t="n">
        <x:v>0.4061317678</x:v>
      </x:c>
      <x:c r="N2796" s="10" t="n">
        <x:v>118893.3506044905</x:v>
      </x:c>
      <x:c r="O2796" s="9" t="n">
        <x:v>-0.9775454791</x:v>
      </x:c>
      <x:c r="P2796" s="9" t="n">
        <x:v>0.4342007435</x:v>
      </x:c>
      <x:c r="Q2796" s="9" t="n">
        <x:v>0.292936803</x:v>
      </x:c>
      <x:c r="R2796" s="3" t="b">
        <x:v>0</x:v>
      </x:c>
      <x:c r="S2796" s="3" t="b">
        <x:v>0</x:v>
      </x:c>
      <x:c r="T2796" s="3" t="b">
        <x:v>0</x:v>
      </x:c>
      <x:c r="U2796" s="2" t="str">
        <x:f>IF(T2796=TRUE,"Priority review",IF(R2796=TRUE,"High cost",IF(S2796=TRUE,"Low quality","Benchmark")))</x:f>
        <x:v>Benchmark</x:v>
      </x:c>
    </x:row>
    <x:row r="2797">
      <x:c r="A2797" s="2" t="str">
        <x:v>100001</x:v>
      </x:c>
      <x:c r="B2797" s="2" t="str">
        <x:v>SHANDS JACKSONVILLE</x:v>
      </x:c>
      <x:c r="C2797" s="2" t="str">
        <x:v>JACKSONVILLE</x:v>
      </x:c>
      <x:c r="D2797" s="2" t="str">
        <x:v>FL</x:v>
      </x:c>
      <x:c r="E2797" s="2" t="str">
        <x:v>Acute Care Hospitals</x:v>
      </x:c>
      <x:c r="F2797" s="2" t="str">
        <x:v>Voluntary non-profit</x:v>
      </x:c>
      <x:c r="G2797" s="2" t="str">
        <x:v>Large (300+ beds)</x:v>
      </x:c>
      <x:c r="H2797" s="7" t="n">
        <x:v>4</x:v>
      </x:c>
      <x:c r="I2797" s="7" t="n">
        <x:v>3</x:v>
      </x:c>
      <x:c r="J2797" s="7" t="n">
        <x:v>0.95</x:v>
      </x:c>
      <x:c r="K2797" s="8" t="n">
        <x:v>519</x:v>
      </x:c>
      <x:c r="L2797" s="8" t="n">
        <x:v>31067</x:v>
      </x:c>
      <x:c r="M2797" s="9" t="n">
        <x:v>0.9659511161</x:v>
      </x:c>
      <x:c r="N2797" s="10" t="n">
        <x:v>36373.9696140599</x:v>
      </x:c>
      <x:c r="O2797" s="9" t="n">
        <x:v>-0.1237114944</x:v>
      </x:c>
      <x:c r="P2797" s="9" t="n">
        <x:v>0.4337539432</x:v>
      </x:c>
      <x:c r="Q2797" s="9" t="n">
        <x:v>0.5899053628</x:v>
      </x:c>
      <x:c r="R2797" s="3" t="b">
        <x:v>0</x:v>
      </x:c>
      <x:c r="S2797" s="3" t="b">
        <x:v>0</x:v>
      </x:c>
      <x:c r="T2797" s="3" t="b">
        <x:v>0</x:v>
      </x:c>
      <x:c r="U2797" s="2" t="str">
        <x:f>IF(T2797=TRUE,"Priority review",IF(R2797=TRUE,"High cost",IF(S2797=TRUE,"Low quality","Benchmark")))</x:f>
        <x:v>Benchmark</x:v>
      </x:c>
    </x:row>
    <x:row r="2798">
      <x:c r="A2798" s="2" t="str">
        <x:v>144029</x:v>
      </x:c>
      <x:c r="B2798" s="2" t="str">
        <x:v>THE PAVILION</x:v>
      </x:c>
      <x:c r="C2798" s="2" t="str">
        <x:v>CHAMPAIGN</x:v>
      </x:c>
      <x:c r="D2798" s="2" t="str">
        <x:v>IL</x:v>
      </x:c>
      <x:c r="E2798" s="2" t="str">
        <x:v>Psychiatric</x:v>
      </x:c>
      <x:c r="F2798" s="2" t="str">
        <x:v>Voluntary non-profit</x:v>
      </x:c>
      <x:c r="G2798" s="2" t="str">
        <x:v>Small (&lt;100 beds)</x:v>
      </x:c>
      <x:c r="H2798" s="7"/>
      <x:c r="I2798" s="7"/>
      <x:c r="J2798" s="7"/>
      <x:c r="K2798" s="8" t="n">
        <x:v>84</x:v>
      </x:c>
      <x:c r="L2798" s="8" t="n">
        <x:v>2766</x:v>
      </x:c>
      <x:c r="M2798" s="9" t="n">
        <x:v>0.6775956284</x:v>
      </x:c>
      <x:c r="N2798" s="10" t="n">
        <x:v>10967.6109906001</x:v>
      </x:c>
      <x:c r="O2798" s="9" t="n">
        <x:v>0.022471287</x:v>
      </x:c>
      <x:c r="P2798" s="9" t="n">
        <x:v>0.4336569579</x:v>
      </x:c>
      <x:c r="Q2798" s="9" t="n">
        <x:v>0</x:v>
      </x:c>
      <x:c r="R2798" s="3" t="b">
        <x:v>0</x:v>
      </x:c>
      <x:c r="S2798" s="3" t="b">
        <x:v>0</x:v>
      </x:c>
      <x:c r="T2798" s="3" t="b">
        <x:v>0</x:v>
      </x:c>
      <x:c r="U2798" s="2" t="str">
        <x:f>IF(T2798=TRUE,"Priority review",IF(R2798=TRUE,"High cost",IF(S2798=TRUE,"Low quality","Benchmark")))</x:f>
        <x:v>Benchmark</x:v>
      </x:c>
    </x:row>
    <x:row r="2799">
      <x:c r="A2799" s="2" t="str">
        <x:v>220080</x:v>
      </x:c>
      <x:c r="B2799" s="2" t="str">
        <x:v>HOLY FAMILY HOSPITAL</x:v>
      </x:c>
      <x:c r="C2799" s="2" t="str">
        <x:v>METHUEN</x:v>
      </x:c>
      <x:c r="D2799" s="2" t="str">
        <x:v>MA</x:v>
      </x:c>
      <x:c r="E2799" s="2" t="str">
        <x:v>Acute Care Hospitals</x:v>
      </x:c>
      <x:c r="F2799" s="2" t="str">
        <x:v>Proprietary</x:v>
      </x:c>
      <x:c r="G2799" s="2" t="str">
        <x:v>Medium (100-299 beds)</x:v>
      </x:c>
      <x:c r="H2799" s="7" t="n">
        <x:v>2</x:v>
      </x:c>
      <x:c r="I2799" s="7" t="n">
        <x:v>2</x:v>
      </x:c>
      <x:c r="J2799" s="7" t="n">
        <x:v>1.07</x:v>
      </x:c>
      <x:c r="K2799" s="8" t="n">
        <x:v>293</x:v>
      </x:c>
      <x:c r="L2799" s="8" t="n">
        <x:v>6335</x:v>
      </x:c>
      <x:c r="M2799" s="9" t="n">
        <x:v>0.3911462096</x:v>
      </x:c>
      <x:c r="N2799" s="10" t="n">
        <x:v>31795.6424625099</x:v>
      </x:c>
      <x:c r="O2799" s="9" t="n">
        <x:v>-0.4686397773</x:v>
      </x:c>
      <x:c r="P2799" s="9" t="n">
        <x:v>0.4335778321</x:v>
      </x:c>
      <x:c r="Q2799" s="9" t="n">
        <x:v>0.0782396088</x:v>
      </x:c>
      <x:c r="R2799" s="3" t="b">
        <x:v>0</x:v>
      </x:c>
      <x:c r="S2799" s="3" t="b">
        <x:v>1</x:v>
      </x:c>
      <x:c r="T2799" s="3" t="b">
        <x:v>0</x:v>
      </x:c>
      <x:c r="U2799" s="2" t="str">
        <x:f>IF(T2799=TRUE,"Priority review",IF(R2799=TRUE,"High cost",IF(S2799=TRUE,"Low quality","Benchmark")))</x:f>
        <x:v>Low quality</x:v>
      </x:c>
    </x:row>
    <x:row r="2800">
      <x:c r="A2800" s="2" t="str">
        <x:v>250117</x:v>
      </x:c>
      <x:c r="B2800" s="2" t="str">
        <x:v>HIGHLAND COMMUNITY  HOSPITAL</x:v>
      </x:c>
      <x:c r="C2800" s="2" t="str">
        <x:v>PICAYUNE</x:v>
      </x:c>
      <x:c r="D2800" s="2" t="str">
        <x:v>MS</x:v>
      </x:c>
      <x:c r="E2800" s="2" t="str">
        <x:v>Acute Care Hospitals</x:v>
      </x:c>
      <x:c r="F2800" s="2" t="str">
        <x:v>Government</x:v>
      </x:c>
      <x:c r="G2800" s="2" t="str">
        <x:v>Small (&lt;100 beds)</x:v>
      </x:c>
      <x:c r="H2800" s="7" t="n">
        <x:v>1</x:v>
      </x:c>
      <x:c r="I2800" s="7"/>
      <x:c r="J2800" s="7" t="n">
        <x:v>1.11</x:v>
      </x:c>
      <x:c r="K2800" s="8" t="n">
        <x:v>49</x:v>
      </x:c>
      <x:c r="L2800" s="8" t="n">
        <x:v>1112</x:v>
      </x:c>
      <x:c r="M2800" s="9" t="n">
        <x:v>0.3415858147</x:v>
      </x:c>
      <x:c r="N2800" s="10" t="n">
        <x:v>46991.7715827338</x:v>
      </x:c>
      <x:c r="O2800" s="9" t="n">
        <x:v>-0.0880735778</x:v>
      </x:c>
      <x:c r="P2800" s="9" t="n">
        <x:v>0.433572711</x:v>
      </x:c>
      <x:c r="Q2800" s="9" t="n">
        <x:v>0</x:v>
      </x:c>
      <x:c r="R2800" s="3" t="b">
        <x:v>0</x:v>
      </x:c>
      <x:c r="S2800" s="3" t="b">
        <x:v>1</x:v>
      </x:c>
      <x:c r="T2800" s="3" t="b">
        <x:v>0</x:v>
      </x:c>
      <x:c r="U2800" s="2" t="str">
        <x:f>IF(T2800=TRUE,"Priority review",IF(R2800=TRUE,"High cost",IF(S2800=TRUE,"Low quality","Benchmark")))</x:f>
        <x:v>Low quality</x:v>
      </x:c>
    </x:row>
    <x:row r="2801">
      <x:c r="A2801" s="2" t="str">
        <x:v>361324</x:v>
      </x:c>
      <x:c r="B2801" s="2" t="str">
        <x:v>OHIOHEALTH SHELBY HOSPITAL</x:v>
      </x:c>
      <x:c r="C2801" s="2" t="str">
        <x:v>SHELBY</x:v>
      </x:c>
      <x:c r="D2801" s="2" t="str">
        <x:v>OH</x:v>
      </x:c>
      <x:c r="E2801" s="2" t="str">
        <x:v>Critical Access Hospitals</x:v>
      </x:c>
      <x:c r="F2801" s="2" t="str">
        <x:v>Voluntary non-profit</x:v>
      </x:c>
      <x:c r="G2801" s="2" t="str">
        <x:v>Small (&lt;100 beds)</x:v>
      </x:c>
      <x:c r="H2801" s="7" t="n">
        <x:v>4</x:v>
      </x:c>
      <x:c r="I2801" s="7"/>
      <x:c r="J2801" s="7"/>
      <x:c r="K2801" s="8" t="n">
        <x:v>21</x:v>
      </x:c>
      <x:c r="L2801" s="8" t="n">
        <x:v>332</x:v>
      </x:c>
      <x:c r="M2801" s="9" t="n">
        <x:v>0.5403783431</x:v>
      </x:c>
      <x:c r="N2801" s="10" t="n">
        <x:v>118860.4698795181</x:v>
      </x:c>
      <x:c r="O2801" s="9" t="n">
        <x:v>-0.1749437482</x:v>
      </x:c>
      <x:c r="P2801" s="9" t="n">
        <x:v>0.4334572491</x:v>
      </x:c>
      <x:c r="Q2801" s="9" t="n">
        <x:v>0.1657992565</x:v>
      </x:c>
      <x:c r="R2801" s="3" t="b">
        <x:v>0</x:v>
      </x:c>
      <x:c r="S2801" s="3" t="b">
        <x:v>0</x:v>
      </x:c>
      <x:c r="T2801" s="3" t="b">
        <x:v>0</x:v>
      </x:c>
      <x:c r="U2801" s="2" t="str">
        <x:f>IF(T2801=TRUE,"Priority review",IF(R2801=TRUE,"High cost",IF(S2801=TRUE,"Low quality","Benchmark")))</x:f>
        <x:v>Benchmark</x:v>
      </x:c>
    </x:row>
    <x:row r="2802">
      <x:c r="A2802" s="2" t="str">
        <x:v>144009</x:v>
      </x:c>
      <x:c r="B2802" s="2" t="str">
        <x:v>AERIES HEALTHCARE OF ILLINOIS, INC., DBA RIVEREDGE HOSPITAL</x:v>
      </x:c>
      <x:c r="C2802" s="2" t="str">
        <x:v>FOREST PARK</x:v>
      </x:c>
      <x:c r="D2802" s="2" t="str">
        <x:v>IL</x:v>
      </x:c>
      <x:c r="E2802" s="2" t="str">
        <x:v>Psychiatric</x:v>
      </x:c>
      <x:c r="F2802" s="2" t="str">
        <x:v>Proprietary</x:v>
      </x:c>
      <x:c r="G2802" s="2" t="str">
        <x:v>Medium (100-299 beds)</x:v>
      </x:c>
      <x:c r="H2802" s="7"/>
      <x:c r="I2802" s="7"/>
      <x:c r="J2802" s="7"/>
      <x:c r="K2802" s="8" t="n">
        <x:v>196</x:v>
      </x:c>
      <x:c r="L2802" s="8" t="n">
        <x:v>4300</x:v>
      </x:c>
      <x:c r="M2802" s="9" t="n">
        <x:v>0.6410588826</x:v>
      </x:c>
      <x:c r="N2802" s="10" t="n">
        <x:v>9956.3030232558</x:v>
      </x:c>
      <x:c r="O2802" s="9" t="n">
        <x:v>0.225071105</x:v>
      </x:c>
      <x:c r="P2802" s="9" t="n">
        <x:v>0.4328358209</x:v>
      </x:c>
      <x:c r="Q2802" s="9" t="n">
        <x:v>0</x:v>
      </x:c>
      <x:c r="R2802" s="3" t="b">
        <x:v>0</x:v>
      </x:c>
      <x:c r="S2802" s="3" t="b">
        <x:v>0</x:v>
      </x:c>
      <x:c r="T2802" s="3" t="b">
        <x:v>0</x:v>
      </x:c>
      <x:c r="U2802" s="2" t="str">
        <x:f>IF(T2802=TRUE,"Priority review",IF(R2802=TRUE,"High cost",IF(S2802=TRUE,"Low quality","Benchmark")))</x:f>
        <x:v>Benchmark</x:v>
      </x:c>
    </x:row>
    <x:row r="2803">
      <x:c r="A2803" s="2" t="str">
        <x:v>140206</x:v>
      </x:c>
      <x:c r="B2803" s="2" t="str">
        <x:v>HUMBOLDT PARK HEALTH</x:v>
      </x:c>
      <x:c r="C2803" s="2" t="str">
        <x:v>CHICAGO</x:v>
      </x:c>
      <x:c r="D2803" s="2" t="str">
        <x:v>IL</x:v>
      </x:c>
      <x:c r="E2803" s="2" t="str">
        <x:v>Acute Care Hospitals</x:v>
      </x:c>
      <x:c r="F2803" s="2" t="str">
        <x:v>Voluntary non-profit</x:v>
      </x:c>
      <x:c r="G2803" s="2" t="str">
        <x:v>Medium (100-299 beds)</x:v>
      </x:c>
      <x:c r="H2803" s="7" t="n">
        <x:v>1</x:v>
      </x:c>
      <x:c r="I2803" s="7" t="n">
        <x:v>1</x:v>
      </x:c>
      <x:c r="J2803" s="7" t="n">
        <x:v>1.05</x:v>
      </x:c>
      <x:c r="K2803" s="8" t="n">
        <x:v>173</x:v>
      </x:c>
      <x:c r="L2803" s="8" t="n">
        <x:v>4761</x:v>
      </x:c>
      <x:c r="M2803" s="9" t="n">
        <x:v>0.4863387978</x:v>
      </x:c>
      <x:c r="N2803" s="10" t="n">
        <x:v>31777.2669607225</x:v>
      </x:c>
      <x:c r="O2803" s="9" t="n">
        <x:v>-0.1120926543</x:v>
      </x:c>
      <x:c r="P2803" s="9" t="n">
        <x:v>0.4327628362</x:v>
      </x:c>
      <x:c r="Q2803" s="9" t="n">
        <x:v>0</x:v>
      </x:c>
      <x:c r="R2803" s="3" t="b">
        <x:v>0</x:v>
      </x:c>
      <x:c r="S2803" s="3" t="b">
        <x:v>1</x:v>
      </x:c>
      <x:c r="T2803" s="3" t="b">
        <x:v>0</x:v>
      </x:c>
      <x:c r="U2803" s="2" t="str">
        <x:f>IF(T2803=TRUE,"Priority review",IF(R2803=TRUE,"High cost",IF(S2803=TRUE,"Low quality","Benchmark")))</x:f>
        <x:v>Low quality</x:v>
      </x:c>
    </x:row>
    <x:row r="2804">
      <x:c r="A2804" s="2" t="str">
        <x:v>301305</x:v>
      </x:c>
      <x:c r="B2804" s="2" t="str">
        <x:v>ALICE PECK DAY MEMORIAL HOSPITAL</x:v>
      </x:c>
      <x:c r="C2804" s="2" t="str">
        <x:v>LEBANON</x:v>
      </x:c>
      <x:c r="D2804" s="2" t="str">
        <x:v>NH</x:v>
      </x:c>
      <x:c r="E2804" s="2" t="str">
        <x:v>Critical Access Hospitals</x:v>
      </x:c>
      <x:c r="F2804" s="2" t="str">
        <x:v>Voluntary non-profit</x:v>
      </x:c>
      <x:c r="G2804" s="2" t="str">
        <x:v>Small (&lt;100 beds)</x:v>
      </x:c>
      <x:c r="H2804" s="7" t="n">
        <x:v>4</x:v>
      </x:c>
      <x:c r="I2804" s="7" t="n">
        <x:v>5</x:v>
      </x:c>
      <x:c r="J2804" s="7"/>
      <x:c r="K2804" s="8" t="n">
        <x:v>24</x:v>
      </x:c>
      <x:c r="L2804" s="8" t="n">
        <x:v>872</x:v>
      </x:c>
      <x:c r="M2804" s="9" t="n">
        <x:v>0.6696347032</x:v>
      </x:c>
      <x:c r="N2804" s="10" t="n">
        <x:v>118707.3130733945</x:v>
      </x:c>
      <x:c r="O2804" s="9" t="n">
        <x:v>0.0614916633</x:v>
      </x:c>
      <x:c r="P2804" s="9" t="n">
        <x:v>0.4327137546</x:v>
      </x:c>
      <x:c r="Q2804" s="9" t="n">
        <x:v>0.1657992565</x:v>
      </x:c>
      <x:c r="R2804" s="3" t="b">
        <x:v>0</x:v>
      </x:c>
      <x:c r="S2804" s="3" t="b">
        <x:v>0</x:v>
      </x:c>
      <x:c r="T2804" s="3" t="b">
        <x:v>0</x:v>
      </x:c>
      <x:c r="U2804" s="2" t="str">
        <x:f>IF(T2804=TRUE,"Priority review",IF(R2804=TRUE,"High cost",IF(S2804=TRUE,"Low quality","Benchmark")))</x:f>
        <x:v>Benchmark</x:v>
      </x:c>
    </x:row>
    <x:row r="2805">
      <x:c r="A2805" s="2" t="str">
        <x:v>050498</x:v>
      </x:c>
      <x:c r="B2805" s="2" t="str">
        <x:v>SUTTER AUBURN FAITH HOSPITAL</x:v>
      </x:c>
      <x:c r="C2805" s="2" t="str">
        <x:v>AUBURN</x:v>
      </x:c>
      <x:c r="D2805" s="2" t="str">
        <x:v>CA</x:v>
      </x:c>
      <x:c r="E2805" s="2" t="str">
        <x:v>Acute Care Hospitals</x:v>
      </x:c>
      <x:c r="F2805" s="2" t="str">
        <x:v>Voluntary non-profit</x:v>
      </x:c>
      <x:c r="G2805" s="2" t="str">
        <x:v>Small (&lt;100 beds)</x:v>
      </x:c>
      <x:c r="H2805" s="7" t="n">
        <x:v>5</x:v>
      </x:c>
      <x:c r="I2805" s="7" t="n">
        <x:v>4</x:v>
      </x:c>
      <x:c r="J2805" s="7" t="n">
        <x:v>0.92</x:v>
      </x:c>
      <x:c r="K2805" s="8" t="n">
        <x:v>64</x:v>
      </x:c>
      <x:c r="L2805" s="8" t="n">
        <x:v>3659</x:v>
      </x:c>
      <x:c r="M2805" s="9" t="n">
        <x:v>0.5783811475</x:v>
      </x:c>
      <x:c r="N2805" s="10" t="n">
        <x:v>46950.0721508609</x:v>
      </x:c>
      <x:c r="O2805" s="9" t="n">
        <x:v>0.0253323041</x:v>
      </x:c>
      <x:c r="P2805" s="9" t="n">
        <x:v>0.4326750449</x:v>
      </x:c>
      <x:c r="Q2805" s="9" t="n">
        <x:v>0.6131059246</x:v>
      </x:c>
      <x:c r="R2805" s="3" t="b">
        <x:v>0</x:v>
      </x:c>
      <x:c r="S2805" s="3" t="b">
        <x:v>0</x:v>
      </x:c>
      <x:c r="T2805" s="3" t="b">
        <x:v>0</x:v>
      </x:c>
      <x:c r="U2805" s="2" t="str">
        <x:f>IF(T2805=TRUE,"Priority review",IF(R2805=TRUE,"High cost",IF(S2805=TRUE,"Low quality","Benchmark")))</x:f>
        <x:v>Benchmark</x:v>
      </x:c>
    </x:row>
    <x:row r="2806">
      <x:c r="A2806" s="2" t="str">
        <x:v>360179</x:v>
      </x:c>
      <x:c r="B2806" s="2" t="str">
        <x:v>BETHESDA NORTH</x:v>
      </x:c>
      <x:c r="C2806" s="2" t="str">
        <x:v>CINCINNATI</x:v>
      </x:c>
      <x:c r="D2806" s="2" t="str">
        <x:v>OH</x:v>
      </x:c>
      <x:c r="E2806" s="2" t="str">
        <x:v>Acute Care Hospitals</x:v>
      </x:c>
      <x:c r="F2806" s="2" t="str">
        <x:v>Voluntary non-profit</x:v>
      </x:c>
      <x:c r="G2806" s="2" t="str">
        <x:v>Large (300+ beds)</x:v>
      </x:c>
      <x:c r="H2806" s="7" t="n">
        <x:v>3</x:v>
      </x:c>
      <x:c r="I2806" s="7" t="n">
        <x:v>3</x:v>
      </x:c>
      <x:c r="J2806" s="7" t="n">
        <x:v>1</x:v>
      </x:c>
      <x:c r="K2806" s="8" t="n">
        <x:v>445</x:v>
      </x:c>
      <x:c r="L2806" s="8" t="n">
        <x:v>27548</x:v>
      </x:c>
      <x:c r="M2806" s="9" t="n">
        <x:v>0.8251864432</x:v>
      </x:c>
      <x:c r="N2806" s="10" t="n">
        <x:v>36371.9613765065</x:v>
      </x:c>
      <x:c r="O2806" s="9" t="n">
        <x:v>-0.0379525073</x:v>
      </x:c>
      <x:c r="P2806" s="9" t="n">
        <x:v>0.4321766562</x:v>
      </x:c>
      <x:c r="Q2806" s="9" t="n">
        <x:v>0.2570977918</x:v>
      </x:c>
      <x:c r="R2806" s="3" t="b">
        <x:v>0</x:v>
      </x:c>
      <x:c r="S2806" s="3" t="b">
        <x:v>0</x:v>
      </x:c>
      <x:c r="T2806" s="3" t="b">
        <x:v>0</x:v>
      </x:c>
      <x:c r="U2806" s="2" t="str">
        <x:f>IF(T2806=TRUE,"Priority review",IF(R2806=TRUE,"High cost",IF(S2806=TRUE,"Low quality","Benchmark")))</x:f>
        <x:v>Benchmark</x:v>
      </x:c>
    </x:row>
    <x:row r="2807">
      <x:c r="A2807" s="2" t="str">
        <x:v>171310</x:v>
      </x:c>
      <x:c r="B2807" s="2" t="str">
        <x:v>CHEYENNE COUNTY HOSPITAL</x:v>
      </x:c>
      <x:c r="C2807" s="2" t="str">
        <x:v>ST FRANCIS</x:v>
      </x:c>
      <x:c r="D2807" s="2" t="str">
        <x:v>KS</x:v>
      </x:c>
      <x:c r="E2807" s="2" t="str">
        <x:v>Critical Access Hospitals</x:v>
      </x:c>
      <x:c r="F2807" s="2" t="str">
        <x:v>Voluntary non-profit</x:v>
      </x:c>
      <x:c r="G2807" s="2" t="str">
        <x:v>Small (&lt;100 beds)</x:v>
      </x:c>
      <x:c r="H2807" s="7"/>
      <x:c r="I2807" s="7"/>
      <x:c r="J2807" s="7"/>
      <x:c r="K2807" s="8" t="n">
        <x:v>16</x:v>
      </x:c>
      <x:c r="L2807" s="8" t="n">
        <x:v>189</x:v>
      </x:c>
      <x:c r="M2807" s="9" t="n">
        <x:v>0.2153346995</x:v>
      </x:c>
      <x:c r="N2807" s="10" t="n">
        <x:v>118695.0846560847</x:v>
      </x:c>
      <x:c r="O2807" s="9" t="n">
        <x:v>-0.4339723939</x:v>
      </x:c>
      <x:c r="P2807" s="9" t="n">
        <x:v>0.4319702602</x:v>
      </x:c>
      <x:c r="Q2807" s="9" t="n">
        <x:v>0.292936803</x:v>
      </x:c>
      <x:c r="R2807" s="3" t="b">
        <x:v>0</x:v>
      </x:c>
      <x:c r="S2807" s="3" t="b">
        <x:v>0</x:v>
      </x:c>
      <x:c r="T2807" s="3" t="b">
        <x:v>0</x:v>
      </x:c>
      <x:c r="U2807" s="2" t="str">
        <x:f>IF(T2807=TRUE,"Priority review",IF(R2807=TRUE,"High cost",IF(S2807=TRUE,"Low quality","Benchmark")))</x:f>
        <x:v>Benchmark</x:v>
      </x:c>
    </x:row>
    <x:row r="2808">
      <x:c r="A2808" s="2" t="str">
        <x:v>340151</x:v>
      </x:c>
      <x:c r="B2808" s="2" t="str">
        <x:v>ECU HEALTH NORTH HOSPITAL</x:v>
      </x:c>
      <x:c r="C2808" s="2" t="str">
        <x:v>ROANOKE RAPIDS</x:v>
      </x:c>
      <x:c r="D2808" s="2" t="str">
        <x:v>NC</x:v>
      </x:c>
      <x:c r="E2808" s="2" t="str">
        <x:v>Acute Care Hospitals</x:v>
      </x:c>
      <x:c r="F2808" s="2" t="str">
        <x:v>Voluntary non-profit</x:v>
      </x:c>
      <x:c r="G2808" s="2" t="str">
        <x:v>Medium (100-299 beds)</x:v>
      </x:c>
      <x:c r="H2808" s="7" t="n">
        <x:v>2</x:v>
      </x:c>
      <x:c r="I2808" s="7" t="n">
        <x:v>2</x:v>
      </x:c>
      <x:c r="J2808" s="7" t="n">
        <x:v>0.99</x:v>
      </x:c>
      <x:c r="K2808" s="8" t="n">
        <x:v>100</x:v>
      </x:c>
      <x:c r="L2808" s="8" t="n">
        <x:v>4172</x:v>
      </x:c>
      <x:c r="M2808" s="9" t="n">
        <x:v>0.5804644809</x:v>
      </x:c>
      <x:c r="N2808" s="10" t="n">
        <x:v>31771.276126558</x:v>
      </x:c>
      <x:c r="O2808" s="9" t="n">
        <x:v>-0.170118608</x:v>
      </x:c>
      <x:c r="P2808" s="9" t="n">
        <x:v>0.4319478403</x:v>
      </x:c>
      <x:c r="Q2808" s="9" t="n">
        <x:v>0.0782396088</x:v>
      </x:c>
      <x:c r="R2808" s="3" t="b">
        <x:v>0</x:v>
      </x:c>
      <x:c r="S2808" s="3" t="b">
        <x:v>1</x:v>
      </x:c>
      <x:c r="T2808" s="3" t="b">
        <x:v>0</x:v>
      </x:c>
      <x:c r="U2808" s="2" t="str">
        <x:f>IF(T2808=TRUE,"Priority review",IF(R2808=TRUE,"High cost",IF(S2808=TRUE,"Low quality","Benchmark")))</x:f>
        <x:v>Low quality</x:v>
      </x:c>
    </x:row>
    <x:row r="2809">
      <x:c r="A2809" s="2" t="str">
        <x:v>190050</x:v>
      </x:c>
      <x:c r="B2809" s="2" t="str">
        <x:v>BEAUREGARD MEMORIAL HOSPITAL</x:v>
      </x:c>
      <x:c r="C2809" s="2" t="str">
        <x:v>DERIDDER</x:v>
      </x:c>
      <x:c r="D2809" s="2" t="str">
        <x:v>LA</x:v>
      </x:c>
      <x:c r="E2809" s="2" t="str">
        <x:v>Acute Care Hospitals</x:v>
      </x:c>
      <x:c r="F2809" s="2" t="str">
        <x:v>Government</x:v>
      </x:c>
      <x:c r="G2809" s="2" t="str">
        <x:v>Small (&lt;100 beds)</x:v>
      </x:c>
      <x:c r="H2809" s="7" t="n">
        <x:v>3</x:v>
      </x:c>
      <x:c r="I2809" s="7" t="n">
        <x:v>4</x:v>
      </x:c>
      <x:c r="J2809" s="7" t="n">
        <x:v>1.23</x:v>
      </x:c>
      <x:c r="K2809" s="8" t="n">
        <x:v>49</x:v>
      </x:c>
      <x:c r="L2809" s="8" t="n">
        <x:v>1184</x:v>
      </x:c>
      <x:c r="M2809" s="9" t="n">
        <x:v>0.2713282034</x:v>
      </x:c>
      <x:c r="N2809" s="10" t="n">
        <x:v>46909.9476351351</x:v>
      </x:c>
      <x:c r="O2809" s="9" t="n">
        <x:v>-0.0923631491</x:v>
      </x:c>
      <x:c r="P2809" s="9" t="n">
        <x:v>0.4317773788</x:v>
      </x:c>
      <x:c r="Q2809" s="9" t="n">
        <x:v>0.1687612208</x:v>
      </x:c>
      <x:c r="R2809" s="3" t="b">
        <x:v>0</x:v>
      </x:c>
      <x:c r="S2809" s="3" t="b">
        <x:v>0</x:v>
      </x:c>
      <x:c r="T2809" s="3" t="b">
        <x:v>0</x:v>
      </x:c>
      <x:c r="U2809" s="2" t="str">
        <x:f>IF(T2809=TRUE,"Priority review",IF(R2809=TRUE,"High cost",IF(S2809=TRUE,"Low quality","Benchmark")))</x:f>
        <x:v>Benchmark</x:v>
      </x:c>
    </x:row>
    <x:row r="2810">
      <x:c r="A2810" s="2" t="str">
        <x:v>281345</x:v>
      </x:c>
      <x:c r="B2810" s="2" t="str">
        <x:v>PROVIDENCE MEDICAL CENTER</x:v>
      </x:c>
      <x:c r="C2810" s="2" t="str">
        <x:v>WAYNE</x:v>
      </x:c>
      <x:c r="D2810" s="2" t="str">
        <x:v>NE</x:v>
      </x:c>
      <x:c r="E2810" s="2" t="str">
        <x:v>Critical Access Hospitals</x:v>
      </x:c>
      <x:c r="F2810" s="2" t="str">
        <x:v>Voluntary non-profit</x:v>
      </x:c>
      <x:c r="G2810" s="2" t="str">
        <x:v>Small (&lt;100 beds)</x:v>
      </x:c>
      <x:c r="H2810" s="7"/>
      <x:c r="I2810" s="7"/>
      <x:c r="J2810" s="7"/>
      <x:c r="K2810" s="8" t="n">
        <x:v>21</x:v>
      </x:c>
      <x:c r="L2810" s="8" t="n">
        <x:v>258</x:v>
      </x:c>
      <x:c r="M2810" s="9" t="n">
        <x:v>0.1628935727</x:v>
      </x:c>
      <x:c r="N2810" s="10" t="n">
        <x:v>118363</x:v>
      </x:c>
      <x:c r="O2810" s="9" t="n">
        <x:v>-0.1284931792</x:v>
      </x:c>
      <x:c r="P2810" s="9" t="n">
        <x:v>0.4312267658</x:v>
      </x:c>
      <x:c r="Q2810" s="9" t="n">
        <x:v>0.292936803</x:v>
      </x:c>
      <x:c r="R2810" s="3" t="b">
        <x:v>0</x:v>
      </x:c>
      <x:c r="S2810" s="3" t="b">
        <x:v>0</x:v>
      </x:c>
      <x:c r="T2810" s="3" t="b">
        <x:v>0</x:v>
      </x:c>
      <x:c r="U2810" s="2" t="str">
        <x:f>IF(T2810=TRUE,"Priority review",IF(R2810=TRUE,"High cost",IF(S2810=TRUE,"Low quality","Benchmark")))</x:f>
        <x:v>Benchmark</x:v>
      </x:c>
    </x:row>
    <x:row r="2811">
      <x:c r="A2811" s="2" t="str">
        <x:v>140049</x:v>
      </x:c>
      <x:c r="B2811" s="2" t="str">
        <x:v>WEST SUBURBAN MEDICAL CENTER</x:v>
      </x:c>
      <x:c r="C2811" s="2" t="str">
        <x:v>OAK PARK</x:v>
      </x:c>
      <x:c r="D2811" s="2" t="str">
        <x:v>IL</x:v>
      </x:c>
      <x:c r="E2811" s="2" t="str">
        <x:v>Acute Care Hospitals</x:v>
      </x:c>
      <x:c r="F2811" s="2" t="str">
        <x:v>Voluntary non-profit</x:v>
      </x:c>
      <x:c r="G2811" s="2" t="str">
        <x:v>Medium (100-299 beds)</x:v>
      </x:c>
      <x:c r="H2811" s="7" t="n">
        <x:v>1</x:v>
      </x:c>
      <x:c r="I2811" s="7" t="n">
        <x:v>1</x:v>
      </x:c>
      <x:c r="J2811" s="7" t="n">
        <x:v>0.95</x:v>
      </x:c>
      <x:c r="K2811" s="8" t="n">
        <x:v>135</x:v>
      </x:c>
      <x:c r="L2811" s="8" t="n">
        <x:v>4297</x:v>
      </x:c>
      <x:c r="M2811" s="9" t="n">
        <x:v>0.4569925116</x:v>
      </x:c>
      <x:c r="N2811" s="10" t="n">
        <x:v>31768.2415638818</x:v>
      </x:c>
      <x:c r="O2811" s="9" t="n">
        <x:v>-0.1469091095</x:v>
      </x:c>
      <x:c r="P2811" s="9" t="n">
        <x:v>0.4311328443</x:v>
      </x:c>
      <x:c r="Q2811" s="9" t="n">
        <x:v>0</x:v>
      </x:c>
      <x:c r="R2811" s="3" t="b">
        <x:v>0</x:v>
      </x:c>
      <x:c r="S2811" s="3" t="b">
        <x:v>1</x:v>
      </x:c>
      <x:c r="T2811" s="3" t="b">
        <x:v>0</x:v>
      </x:c>
      <x:c r="U2811" s="2" t="str">
        <x:f>IF(T2811=TRUE,"Priority review",IF(R2811=TRUE,"High cost",IF(S2811=TRUE,"Low quality","Benchmark")))</x:f>
        <x:v>Low quality</x:v>
      </x:c>
    </x:row>
    <x:row r="2812">
      <x:c r="A2812" s="2" t="str">
        <x:v>460044</x:v>
      </x:c>
      <x:c r="B2812" s="2" t="str">
        <x:v>INTERMOUNTAIN HEALTH ALTA VIEW HOSPITAL</x:v>
      </x:c>
      <x:c r="C2812" s="2" t="str">
        <x:v>SANDY</x:v>
      </x:c>
      <x:c r="D2812" s="2" t="str">
        <x:v>UT</x:v>
      </x:c>
      <x:c r="E2812" s="2" t="str">
        <x:v>Acute Care Hospitals</x:v>
      </x:c>
      <x:c r="F2812" s="2" t="str">
        <x:v>Voluntary non-profit</x:v>
      </x:c>
      <x:c r="G2812" s="2" t="str">
        <x:v>Small (&lt;100 beds)</x:v>
      </x:c>
      <x:c r="H2812" s="7" t="n">
        <x:v>5</x:v>
      </x:c>
      <x:c r="I2812" s="7" t="n">
        <x:v>4</x:v>
      </x:c>
      <x:c r="J2812" s="7" t="n">
        <x:v>0.97</x:v>
      </x:c>
      <x:c r="K2812" s="8" t="n">
        <x:v>57</x:v>
      </x:c>
      <x:c r="L2812" s="8" t="n">
        <x:v>3031</x:v>
      </x:c>
      <x:c r="M2812" s="9" t="n">
        <x:v>0.4549419998</x:v>
      </x:c>
      <x:c r="N2812" s="10" t="n">
        <x:v>46772.438139228</x:v>
      </x:c>
      <x:c r="O2812" s="9" t="n">
        <x:v>0.0663239956</x:v>
      </x:c>
      <x:c r="P2812" s="9" t="n">
        <x:v>0.4308797127</x:v>
      </x:c>
      <x:c r="Q2812" s="9" t="n">
        <x:v>0.6131059246</x:v>
      </x:c>
      <x:c r="R2812" s="3" t="b">
        <x:v>0</x:v>
      </x:c>
      <x:c r="S2812" s="3" t="b">
        <x:v>0</x:v>
      </x:c>
      <x:c r="T2812" s="3" t="b">
        <x:v>0</x:v>
      </x:c>
      <x:c r="U2812" s="2" t="str">
        <x:f>IF(T2812=TRUE,"Priority review",IF(R2812=TRUE,"High cost",IF(S2812=TRUE,"Low quality","Benchmark")))</x:f>
        <x:v>Benchmark</x:v>
      </x:c>
    </x:row>
    <x:row r="2813">
      <x:c r="A2813" s="2" t="str">
        <x:v>340091</x:v>
      </x:c>
      <x:c r="B2813" s="2" t="str">
        <x:v>MOSES H. CONE MEMORIAL HOSPITAL, THE</x:v>
      </x:c>
      <x:c r="C2813" s="2" t="str">
        <x:v>GREENSBORO</x:v>
      </x:c>
      <x:c r="D2813" s="2" t="str">
        <x:v>NC</x:v>
      </x:c>
      <x:c r="E2813" s="2" t="str">
        <x:v>Acute Care Hospitals</x:v>
      </x:c>
      <x:c r="F2813" s="2" t="str">
        <x:v>Voluntary non-profit</x:v>
      </x:c>
      <x:c r="G2813" s="2" t="str">
        <x:v>Large (300+ beds)</x:v>
      </x:c>
      <x:c r="H2813" s="7" t="n">
        <x:v>3</x:v>
      </x:c>
      <x:c r="I2813" s="7" t="n">
        <x:v>3</x:v>
      </x:c>
      <x:c r="J2813" s="7" t="n">
        <x:v>0.94</x:v>
      </x:c>
      <x:c r="K2813" s="8" t="n">
        <x:v>787</x:v>
      </x:c>
      <x:c r="L2813" s="8" t="n">
        <x:v>42674</x:v>
      </x:c>
      <x:c r="M2813" s="9" t="n">
        <x:v>0.7446691802</x:v>
      </x:c>
      <x:c r="N2813" s="10" t="n">
        <x:v>36361.1900923279</x:v>
      </x:c>
      <x:c r="O2813" s="9" t="n">
        <x:v>0.0979122997</x:v>
      </x:c>
      <x:c r="P2813" s="9" t="n">
        <x:v>0.4305993691</x:v>
      </x:c>
      <x:c r="Q2813" s="9" t="n">
        <x:v>0.2570977918</x:v>
      </x:c>
      <x:c r="R2813" s="3" t="b">
        <x:v>0</x:v>
      </x:c>
      <x:c r="S2813" s="3" t="b">
        <x:v>0</x:v>
      </x:c>
      <x:c r="T2813" s="3" t="b">
        <x:v>0</x:v>
      </x:c>
      <x:c r="U2813" s="2" t="str">
        <x:f>IF(T2813=TRUE,"Priority review",IF(R2813=TRUE,"High cost",IF(S2813=TRUE,"Low quality","Benchmark")))</x:f>
        <x:v>Benchmark</x:v>
      </x:c>
    </x:row>
    <x:row r="2814">
      <x:c r="A2814" s="2" t="str">
        <x:v>041317</x:v>
      </x:c>
      <x:c r="B2814" s="2" t="str">
        <x:v>DALLAS COUNTY MEDICAL CENTER</x:v>
      </x:c>
      <x:c r="C2814" s="2" t="str">
        <x:v>FORDYCE</x:v>
      </x:c>
      <x:c r="D2814" s="2" t="str">
        <x:v>AR</x:v>
      </x:c>
      <x:c r="E2814" s="2" t="str">
        <x:v>Critical Access Hospitals</x:v>
      </x:c>
      <x:c r="F2814" s="2" t="str">
        <x:v>Government</x:v>
      </x:c>
      <x:c r="G2814" s="2" t="str">
        <x:v>Small (&lt;100 beds)</x:v>
      </x:c>
      <x:c r="H2814" s="7"/>
      <x:c r="I2814" s="7"/>
      <x:c r="J2814" s="7"/>
      <x:c r="K2814" s="8" t="n">
        <x:v>22</x:v>
      </x:c>
      <x:c r="L2814" s="8" t="n">
        <x:v>115</x:v>
      </x:c>
      <x:c r="M2814" s="9" t="n">
        <x:v>0.099501868</x:v>
      </x:c>
      <x:c r="N2814" s="10" t="n">
        <x:v>117985.5565217391</x:v>
      </x:c>
      <x:c r="O2814" s="9" t="n">
        <x:v>-0.2168662889</x:v>
      </x:c>
      <x:c r="P2814" s="9" t="n">
        <x:v>0.4304832714</x:v>
      </x:c>
      <x:c r="Q2814" s="9" t="n">
        <x:v>0.292936803</x:v>
      </x:c>
      <x:c r="R2814" s="3" t="b">
        <x:v>0</x:v>
      </x:c>
      <x:c r="S2814" s="3" t="b">
        <x:v>0</x:v>
      </x:c>
      <x:c r="T2814" s="3" t="b">
        <x:v>0</x:v>
      </x:c>
      <x:c r="U2814" s="2" t="str">
        <x:f>IF(T2814=TRUE,"Priority review",IF(R2814=TRUE,"High cost",IF(S2814=TRUE,"Low quality","Benchmark")))</x:f>
        <x:v>Benchmark</x:v>
      </x:c>
    </x:row>
    <x:row r="2815">
      <x:c r="A2815" s="2" t="str">
        <x:v>054155</x:v>
      </x:c>
      <x:c r="B2815" s="2" t="str">
        <x:v>BAKERSFIELD BEHAVIORAL HEALTHCARE HOSPITAL, LLC</x:v>
      </x:c>
      <x:c r="C2815" s="2" t="str">
        <x:v>BAKERSFIELD</x:v>
      </x:c>
      <x:c r="D2815" s="2" t="str">
        <x:v>CA</x:v>
      </x:c>
      <x:c r="E2815" s="2" t="str">
        <x:v>Psychiatric</x:v>
      </x:c>
      <x:c r="F2815" s="2" t="str">
        <x:v>Proprietary</x:v>
      </x:c>
      <x:c r="G2815" s="2" t="str">
        <x:v>Small (&lt;100 beds)</x:v>
      </x:c>
      <x:c r="H2815" s="7"/>
      <x:c r="I2815" s="7"/>
      <x:c r="J2815" s="7"/>
      <x:c r="K2815" s="8" t="n">
        <x:v>90</x:v>
      </x:c>
      <x:c r="L2815" s="8" t="n">
        <x:v>3272</x:v>
      </x:c>
      <x:c r="M2815" s="9" t="n">
        <x:v>0.8374924104</x:v>
      </x:c>
      <x:c r="N2815" s="10" t="n">
        <x:v>10837.0971882641</x:v>
      </x:c>
      <x:c r="O2815" s="9" t="n">
        <x:v>-0.0780738178</x:v>
      </x:c>
      <x:c r="P2815" s="9" t="n">
        <x:v>0.430420712</x:v>
      </x:c>
      <x:c r="Q2815" s="9" t="n">
        <x:v>0</x:v>
      </x:c>
      <x:c r="R2815" s="3" t="b">
        <x:v>0</x:v>
      </x:c>
      <x:c r="S2815" s="3" t="b">
        <x:v>0</x:v>
      </x:c>
      <x:c r="T2815" s="3" t="b">
        <x:v>0</x:v>
      </x:c>
      <x:c r="U2815" s="2" t="str">
        <x:f>IF(T2815=TRUE,"Priority review",IF(R2815=TRUE,"High cost",IF(S2815=TRUE,"Low quality","Benchmark")))</x:f>
        <x:v>Benchmark</x:v>
      </x:c>
    </x:row>
    <x:row r="2816">
      <x:c r="A2816" s="2" t="str">
        <x:v>280009</x:v>
      </x:c>
      <x:c r="B2816" s="2" t="str">
        <x:v>CHI HEALTH GOOD SAMARITAN</x:v>
      </x:c>
      <x:c r="C2816" s="2" t="str">
        <x:v>KEARNEY</x:v>
      </x:c>
      <x:c r="D2816" s="2" t="str">
        <x:v>NE</x:v>
      </x:c>
      <x:c r="E2816" s="2" t="str">
        <x:v>Acute Care Hospitals</x:v>
      </x:c>
      <x:c r="F2816" s="2" t="str">
        <x:v>Voluntary non-profit</x:v>
      </x:c>
      <x:c r="G2816" s="2" t="str">
        <x:v>Medium (100-299 beds)</x:v>
      </x:c>
      <x:c r="H2816" s="7" t="n">
        <x:v>4</x:v>
      </x:c>
      <x:c r="I2816" s="7" t="n">
        <x:v>4</x:v>
      </x:c>
      <x:c r="J2816" s="7" t="n">
        <x:v>1.03</x:v>
      </x:c>
      <x:c r="K2816" s="8" t="n">
        <x:v>182</x:v>
      </x:c>
      <x:c r="L2816" s="8" t="n">
        <x:v>5921</x:v>
      </x:c>
      <x:c r="M2816" s="9" t="n">
        <x:v>0.424717748</x:v>
      </x:c>
      <x:c r="N2816" s="10" t="n">
        <x:v>31746.8574565107</x:v>
      </x:c>
      <x:c r="O2816" s="9"/>
      <x:c r="P2816" s="9" t="n">
        <x:v>0.4303178484</x:v>
      </x:c>
      <x:c r="Q2816" s="9" t="n">
        <x:v>0.6022819886</x:v>
      </x:c>
      <x:c r="R2816" s="3" t="b">
        <x:v>0</x:v>
      </x:c>
      <x:c r="S2816" s="3" t="b">
        <x:v>0</x:v>
      </x:c>
      <x:c r="T2816" s="3" t="b">
        <x:v>0</x:v>
      </x:c>
      <x:c r="U2816" s="2" t="str">
        <x:f>IF(T2816=TRUE,"Priority review",IF(R2816=TRUE,"High cost",IF(S2816=TRUE,"Low quality","Benchmark")))</x:f>
        <x:v>Benchmark</x:v>
      </x:c>
    </x:row>
    <x:row r="2817">
      <x:c r="A2817" s="2" t="str">
        <x:v>150101</x:v>
      </x:c>
      <x:c r="B2817" s="2" t="str">
        <x:v>PARKVIEW WHITLEY HOSPITAL</x:v>
      </x:c>
      <x:c r="C2817" s="2" t="str">
        <x:v>COLUMBIA CITY</x:v>
      </x:c>
      <x:c r="D2817" s="2" t="str">
        <x:v>IN</x:v>
      </x:c>
      <x:c r="E2817" s="2" t="str">
        <x:v>Acute Care Hospitals</x:v>
      </x:c>
      <x:c r="F2817" s="2" t="str">
        <x:v>Voluntary non-profit</x:v>
      </x:c>
      <x:c r="G2817" s="2" t="str">
        <x:v>Small (&lt;100 beds)</x:v>
      </x:c>
      <x:c r="H2817" s="7" t="n">
        <x:v>4</x:v>
      </x:c>
      <x:c r="I2817" s="7" t="n">
        <x:v>4</x:v>
      </x:c>
      <x:c r="J2817" s="7" t="n">
        <x:v>0.89</x:v>
      </x:c>
      <x:c r="K2817" s="8" t="n">
        <x:v>58</x:v>
      </x:c>
      <x:c r="L2817" s="8" t="n">
        <x:v>2560</x:v>
      </x:c>
      <x:c r="M2817" s="9" t="n">
        <x:v>0.3255605804</x:v>
      </x:c>
      <x:c r="N2817" s="10" t="n">
        <x:v>46730.708203125</x:v>
      </x:c>
      <x:c r="O2817" s="9" t="n">
        <x:v>0.0139464335</x:v>
      </x:c>
      <x:c r="P2817" s="9" t="n">
        <x:v>0.4299820467</x:v>
      </x:c>
      <x:c r="Q2817" s="9" t="n">
        <x:v>0.3913824057</x:v>
      </x:c>
      <x:c r="R2817" s="3" t="b">
        <x:v>0</x:v>
      </x:c>
      <x:c r="S2817" s="3" t="b">
        <x:v>0</x:v>
      </x:c>
      <x:c r="T2817" s="3" t="b">
        <x:v>0</x:v>
      </x:c>
      <x:c r="U2817" s="2" t="str">
        <x:f>IF(T2817=TRUE,"Priority review",IF(R2817=TRUE,"High cost",IF(S2817=TRUE,"Low quality","Benchmark")))</x:f>
        <x:v>Benchmark</x:v>
      </x:c>
    </x:row>
    <x:row r="2818">
      <x:c r="A2818" s="2" t="str">
        <x:v>141325</x:v>
      </x:c>
      <x:c r="B2818" s="2" t="str">
        <x:v>OSF SAINT LUKE MEDICAL CENTER</x:v>
      </x:c>
      <x:c r="C2818" s="2" t="str">
        <x:v>KEWANEE</x:v>
      </x:c>
      <x:c r="D2818" s="2" t="str">
        <x:v>IL</x:v>
      </x:c>
      <x:c r="E2818" s="2" t="str">
        <x:v>Critical Access Hospitals</x:v>
      </x:c>
      <x:c r="F2818" s="2" t="str">
        <x:v>Voluntary non-profit</x:v>
      </x:c>
      <x:c r="G2818" s="2" t="str">
        <x:v>Small (&lt;100 beds)</x:v>
      </x:c>
      <x:c r="H2818" s="7" t="n">
        <x:v>4</x:v>
      </x:c>
      <x:c r="I2818" s="7"/>
      <x:c r="J2818" s="7"/>
      <x:c r="K2818" s="8" t="n">
        <x:v>25</x:v>
      </x:c>
      <x:c r="L2818" s="8" t="n">
        <x:v>365</x:v>
      </x:c>
      <x:c r="M2818" s="9" t="n">
        <x:v>0.1633879781</x:v>
      </x:c>
      <x:c r="N2818" s="10" t="n">
        <x:v>117789.5753424658</x:v>
      </x:c>
      <x:c r="O2818" s="9" t="n">
        <x:v>0.1774229265</x:v>
      </x:c>
      <x:c r="P2818" s="9" t="n">
        <x:v>0.429739777</x:v>
      </x:c>
      <x:c r="Q2818" s="9" t="n">
        <x:v>0.1657992565</x:v>
      </x:c>
      <x:c r="R2818" s="3" t="b">
        <x:v>0</x:v>
      </x:c>
      <x:c r="S2818" s="3" t="b">
        <x:v>0</x:v>
      </x:c>
      <x:c r="T2818" s="3" t="b">
        <x:v>0</x:v>
      </x:c>
      <x:c r="U2818" s="2" t="str">
        <x:f>IF(T2818=TRUE,"Priority review",IF(R2818=TRUE,"High cost",IF(S2818=TRUE,"Low quality","Benchmark")))</x:f>
        <x:v>Benchmark</x:v>
      </x:c>
    </x:row>
    <x:row r="2819">
      <x:c r="A2819" s="2" t="str">
        <x:v>450372</x:v>
      </x:c>
      <x:c r="B2819" s="2" t="str">
        <x:v>BAYLOR SCOTT &amp; WHITE MEDICAL CENTER- WAXAHACHIE</x:v>
      </x:c>
      <x:c r="C2819" s="2" t="str">
        <x:v>WAXAHACHIE</x:v>
      </x:c>
      <x:c r="D2819" s="2" t="str">
        <x:v>TX</x:v>
      </x:c>
      <x:c r="E2819" s="2" t="str">
        <x:v>Acute Care Hospitals</x:v>
      </x:c>
      <x:c r="F2819" s="2" t="str">
        <x:v>Voluntary non-profit</x:v>
      </x:c>
      <x:c r="G2819" s="2" t="str">
        <x:v>Medium (100-299 beds)</x:v>
      </x:c>
      <x:c r="H2819" s="7" t="n">
        <x:v>4</x:v>
      </x:c>
      <x:c r="I2819" s="7" t="n">
        <x:v>4</x:v>
      </x:c>
      <x:c r="J2819" s="7" t="n">
        <x:v>1.09</x:v>
      </x:c>
      <x:c r="K2819" s="8" t="n">
        <x:v>123</x:v>
      </x:c>
      <x:c r="L2819" s="8" t="n">
        <x:v>8557</x:v>
      </x:c>
      <x:c r="M2819" s="9" t="n">
        <x:v>0.9311950106</x:v>
      </x:c>
      <x:c r="N2819" s="10" t="n">
        <x:v>31702.0077129835</x:v>
      </x:c>
      <x:c r="O2819" s="9" t="n">
        <x:v>0.1131682575</x:v>
      </x:c>
      <x:c r="P2819" s="9" t="n">
        <x:v>0.4295028525</x:v>
      </x:c>
      <x:c r="Q2819" s="9" t="n">
        <x:v>0.6022819886</x:v>
      </x:c>
      <x:c r="R2819" s="3" t="b">
        <x:v>0</x:v>
      </x:c>
      <x:c r="S2819" s="3" t="b">
        <x:v>0</x:v>
      </x:c>
      <x:c r="T2819" s="3" t="b">
        <x:v>0</x:v>
      </x:c>
      <x:c r="U2819" s="2" t="str">
        <x:f>IF(T2819=TRUE,"Priority review",IF(R2819=TRUE,"High cost",IF(S2819=TRUE,"Low quality","Benchmark")))</x:f>
        <x:v>Benchmark</x:v>
      </x:c>
    </x:row>
    <x:row r="2820">
      <x:c r="A2820" s="2" t="str">
        <x:v>140052</x:v>
      </x:c>
      <x:c r="B2820" s="2" t="str">
        <x:v>OSF SAINT ANTHONY'S HEALTH CENTER</x:v>
      </x:c>
      <x:c r="C2820" s="2" t="str">
        <x:v>ALTON</x:v>
      </x:c>
      <x:c r="D2820" s="2" t="str">
        <x:v>IL</x:v>
      </x:c>
      <x:c r="E2820" s="2" t="str">
        <x:v>Acute Care Hospitals</x:v>
      </x:c>
      <x:c r="F2820" s="2" t="str">
        <x:v>Voluntary non-profit</x:v>
      </x:c>
      <x:c r="G2820" s="2" t="str">
        <x:v>Small (&lt;100 beds)</x:v>
      </x:c>
      <x:c r="H2820" s="7" t="n">
        <x:v>4</x:v>
      </x:c>
      <x:c r="I2820" s="7" t="n">
        <x:v>4</x:v>
      </x:c>
      <x:c r="J2820" s="7" t="n">
        <x:v>1</x:v>
      </x:c>
      <x:c r="K2820" s="8" t="n">
        <x:v>49</x:v>
      </x:c>
      <x:c r="L2820" s="8" t="n">
        <x:v>2292</x:v>
      </x:c>
      <x:c r="M2820" s="9" t="n">
        <x:v>0.4490911119</x:v>
      </x:c>
      <x:c r="N2820" s="10" t="n">
        <x:v>46697.4729493892</x:v>
      </x:c>
      <x:c r="O2820" s="9" t="n">
        <x:v>0.0029521968</x:v>
      </x:c>
      <x:c r="P2820" s="9" t="n">
        <x:v>0.4290843806</x:v>
      </x:c>
      <x:c r="Q2820" s="9" t="n">
        <x:v>0.3913824057</x:v>
      </x:c>
      <x:c r="R2820" s="3" t="b">
        <x:v>0</x:v>
      </x:c>
      <x:c r="S2820" s="3" t="b">
        <x:v>0</x:v>
      </x:c>
      <x:c r="T2820" s="3" t="b">
        <x:v>0</x:v>
      </x:c>
      <x:c r="U2820" s="2" t="str">
        <x:f>IF(T2820=TRUE,"Priority review",IF(R2820=TRUE,"High cost",IF(S2820=TRUE,"Low quality","Benchmark")))</x:f>
        <x:v>Benchmark</x:v>
      </x:c>
    </x:row>
    <x:row r="2821">
      <x:c r="A2821" s="2" t="str">
        <x:v>100006</x:v>
      </x:c>
      <x:c r="B2821" s="2" t="str">
        <x:v>ORLANDO HEALTH</x:v>
      </x:c>
      <x:c r="C2821" s="2" t="str">
        <x:v>ORLANDO</x:v>
      </x:c>
      <x:c r="D2821" s="2" t="str">
        <x:v>FL</x:v>
      </x:c>
      <x:c r="E2821" s="2" t="str">
        <x:v>Acute Care Hospitals</x:v>
      </x:c>
      <x:c r="F2821" s="2" t="str">
        <x:v>Voluntary non-profit</x:v>
      </x:c>
      <x:c r="G2821" s="2" t="str">
        <x:v>Large (300+ beds)</x:v>
      </x:c>
      <x:c r="H2821" s="7" t="n">
        <x:v>4</x:v>
      </x:c>
      <x:c r="I2821" s="7" t="n">
        <x:v>3</x:v>
      </x:c>
      <x:c r="J2821" s="7" t="n">
        <x:v>1</x:v>
      </x:c>
      <x:c r="K2821" s="8" t="n">
        <x:v>1544</x:v>
      </x:c>
      <x:c r="L2821" s="8" t="n">
        <x:v>112303</x:v>
      </x:c>
      <x:c r="M2821" s="9" t="n">
        <x:v>0.8382917127</x:v>
      </x:c>
      <x:c r="N2821" s="10" t="n">
        <x:v>36336.9245968496</x:v>
      </x:c>
      <x:c r="O2821" s="9" t="n">
        <x:v>-0.0825344446</x:v>
      </x:c>
      <x:c r="P2821" s="9" t="n">
        <x:v>0.429022082</x:v>
      </x:c>
      <x:c r="Q2821" s="9" t="n">
        <x:v>0.5899053628</x:v>
      </x:c>
      <x:c r="R2821" s="3" t="b">
        <x:v>0</x:v>
      </x:c>
      <x:c r="S2821" s="3" t="b">
        <x:v>0</x:v>
      </x:c>
      <x:c r="T2821" s="3" t="b">
        <x:v>0</x:v>
      </x:c>
      <x:c r="U2821" s="2" t="str">
        <x:f>IF(T2821=TRUE,"Priority review",IF(R2821=TRUE,"High cost",IF(S2821=TRUE,"Low quality","Benchmark")))</x:f>
        <x:v>Benchmark</x:v>
      </x:c>
    </x:row>
    <x:row r="2822">
      <x:c r="A2822" s="2" t="str">
        <x:v>371319</x:v>
      </x:c>
      <x:c r="B2822" s="2" t="str">
        <x:v>COAL COUNTY GENERAL HOSPITAL, INC.</x:v>
      </x:c>
      <x:c r="C2822" s="2" t="str">
        <x:v>COALGATE</x:v>
      </x:c>
      <x:c r="D2822" s="2" t="str">
        <x:v>OK</x:v>
      </x:c>
      <x:c r="E2822" s="2" t="str">
        <x:v>Critical Access Hospitals</x:v>
      </x:c>
      <x:c r="F2822" s="2" t="str">
        <x:v>Voluntary non-profit</x:v>
      </x:c>
      <x:c r="G2822" s="2" t="str">
        <x:v>Small (&lt;100 beds)</x:v>
      </x:c>
      <x:c r="H2822" s="7" t="n">
        <x:v>4</x:v>
      </x:c>
      <x:c r="I2822" s="7"/>
      <x:c r="J2822" s="7"/>
      <x:c r="K2822" s="8" t="n">
        <x:v>25</x:v>
      </x:c>
      <x:c r="L2822" s="8" t="n">
        <x:v>96</x:v>
      </x:c>
      <x:c r="M2822" s="9" t="n">
        <x:v>0.1541917808</x:v>
      </x:c>
      <x:c r="N2822" s="10" t="n">
        <x:v>117733.5625</x:v>
      </x:c>
      <x:c r="O2822" s="9" t="n">
        <x:v>-0.4585735162</x:v>
      </x:c>
      <x:c r="P2822" s="9" t="n">
        <x:v>0.4289962825</x:v>
      </x:c>
      <x:c r="Q2822" s="9" t="n">
        <x:v>0.1657992565</x:v>
      </x:c>
      <x:c r="R2822" s="3" t="b">
        <x:v>0</x:v>
      </x:c>
      <x:c r="S2822" s="3" t="b">
        <x:v>0</x:v>
      </x:c>
      <x:c r="T2822" s="3" t="b">
        <x:v>0</x:v>
      </x:c>
      <x:c r="U2822" s="2" t="str">
        <x:f>IF(T2822=TRUE,"Priority review",IF(R2822=TRUE,"High cost",IF(S2822=TRUE,"Low quality","Benchmark")))</x:f>
        <x:v>Benchmark</x:v>
      </x:c>
    </x:row>
    <x:row r="2823">
      <x:c r="A2823" s="2" t="str">
        <x:v>450133</x:v>
      </x:c>
      <x:c r="B2823" s="2" t="str">
        <x:v>MIDLAND MEMORIAL HOSPITAL</x:v>
      </x:c>
      <x:c r="C2823" s="2" t="str">
        <x:v>MIDLAND</x:v>
      </x:c>
      <x:c r="D2823" s="2" t="str">
        <x:v>TX</x:v>
      </x:c>
      <x:c r="E2823" s="2" t="str">
        <x:v>Acute Care Hospitals</x:v>
      </x:c>
      <x:c r="F2823" s="2" t="str">
        <x:v>Government</x:v>
      </x:c>
      <x:c r="G2823" s="2" t="str">
        <x:v>Medium (100-299 beds)</x:v>
      </x:c>
      <x:c r="H2823" s="7" t="n">
        <x:v>1</x:v>
      </x:c>
      <x:c r="I2823" s="7" t="n">
        <x:v>3</x:v>
      </x:c>
      <x:c r="J2823" s="7" t="n">
        <x:v>1.15</x:v>
      </x:c>
      <x:c r="K2823" s="8" t="n">
        <x:v>261</x:v>
      </x:c>
      <x:c r="L2823" s="8" t="n">
        <x:v>11901</x:v>
      </x:c>
      <x:c r="M2823" s="9" t="n">
        <x:v>0.6551724138</x:v>
      </x:c>
      <x:c r="N2823" s="10" t="n">
        <x:v>31684.4613057726</x:v>
      </x:c>
      <x:c r="O2823" s="9" t="n">
        <x:v>-0.1555126909</x:v>
      </x:c>
      <x:c r="P2823" s="9" t="n">
        <x:v>0.4286878566</x:v>
      </x:c>
      <x:c r="Q2823" s="9" t="n">
        <x:v>0</x:v>
      </x:c>
      <x:c r="R2823" s="3" t="b">
        <x:v>0</x:v>
      </x:c>
      <x:c r="S2823" s="3" t="b">
        <x:v>1</x:v>
      </x:c>
      <x:c r="T2823" s="3" t="b">
        <x:v>0</x:v>
      </x:c>
      <x:c r="U2823" s="2" t="str">
        <x:f>IF(T2823=TRUE,"Priority review",IF(R2823=TRUE,"High cost",IF(S2823=TRUE,"Low quality","Benchmark")))</x:f>
        <x:v>Low quality</x:v>
      </x:c>
    </x:row>
    <x:row r="2824">
      <x:c r="A2824" s="2" t="str">
        <x:v>243300</x:v>
      </x:c>
      <x:c r="B2824" s="2" t="str">
        <x:v>GILLETTE CHILDRENS SPECIALTY HOSPITAL</x:v>
      </x:c>
      <x:c r="C2824" s="2" t="str">
        <x:v>SAINT PAUL</x:v>
      </x:c>
      <x:c r="D2824" s="2" t="str">
        <x:v>MN</x:v>
      </x:c>
      <x:c r="E2824" s="2" t="str">
        <x:v>Childrens</x:v>
      </x:c>
      <x:c r="F2824" s="2" t="str">
        <x:v>Government</x:v>
      </x:c>
      <x:c r="G2824" s="2" t="str">
        <x:v>Small (&lt;100 beds)</x:v>
      </x:c>
      <x:c r="H2824" s="7"/>
      <x:c r="I2824" s="7"/>
      <x:c r="J2824" s="7"/>
      <x:c r="K2824" s="8" t="n">
        <x:v>60</x:v>
      </x:c>
      <x:c r="L2824" s="8" t="n">
        <x:v>2116</x:v>
      </x:c>
      <x:c r="M2824" s="9" t="n">
        <x:v>0.4433515483</x:v>
      </x:c>
      <x:c r="N2824" s="10" t="n">
        <x:v>174082.4985822306</x:v>
      </x:c>
      <x:c r="O2824" s="9" t="n">
        <x:v>-0.0470735437</x:v>
      </x:c>
      <x:c r="P2824" s="9" t="n">
        <x:v>0.4285714286</x:v>
      </x:c>
      <x:c r="Q2824" s="9" t="n">
        <x:v>0</x:v>
      </x:c>
      <x:c r="R2824" s="3" t="b">
        <x:v>0</x:v>
      </x:c>
      <x:c r="S2824" s="3" t="b">
        <x:v>0</x:v>
      </x:c>
      <x:c r="T2824" s="3" t="b">
        <x:v>0</x:v>
      </x:c>
      <x:c r="U2824" s="2" t="str">
        <x:f>IF(T2824=TRUE,"Priority review",IF(R2824=TRUE,"High cost",IF(S2824=TRUE,"Low quality","Benchmark")))</x:f>
        <x:v>Benchmark</x:v>
      </x:c>
    </x:row>
    <x:row r="2825">
      <x:c r="A2825" s="2" t="str">
        <x:v>231319</x:v>
      </x:c>
      <x:c r="B2825" s="2" t="str">
        <x:v>ASPIRUS KEWEENAW HOSPITAL AND CLINICS</x:v>
      </x:c>
      <x:c r="C2825" s="2" t="str">
        <x:v>LAURIUM</x:v>
      </x:c>
      <x:c r="D2825" s="2" t="str">
        <x:v>MI</x:v>
      </x:c>
      <x:c r="E2825" s="2" t="str">
        <x:v>Critical Access Hospitals</x:v>
      </x:c>
      <x:c r="F2825" s="2" t="str">
        <x:v>Voluntary non-profit</x:v>
      </x:c>
      <x:c r="G2825" s="2" t="str">
        <x:v>Small (&lt;100 beds)</x:v>
      </x:c>
      <x:c r="H2825" s="7"/>
      <x:c r="I2825" s="7"/>
      <x:c r="J2825" s="7"/>
      <x:c r="K2825" s="8" t="n">
        <x:v>25</x:v>
      </x:c>
      <x:c r="L2825" s="8" t="n">
        <x:v>707</x:v>
      </x:c>
      <x:c r="M2825" s="9" t="n">
        <x:v>0.3756712329</x:v>
      </x:c>
      <x:c r="N2825" s="10" t="n">
        <x:v>117685.0424328147</x:v>
      </x:c>
      <x:c r="O2825" s="9" t="n">
        <x:v>-0.5974903546</x:v>
      </x:c>
      <x:c r="P2825" s="9" t="n">
        <x:v>0.4282527881</x:v>
      </x:c>
      <x:c r="Q2825" s="9" t="n">
        <x:v>0.292936803</x:v>
      </x:c>
      <x:c r="R2825" s="3" t="b">
        <x:v>0</x:v>
      </x:c>
      <x:c r="S2825" s="3" t="b">
        <x:v>0</x:v>
      </x:c>
      <x:c r="T2825" s="3" t="b">
        <x:v>0</x:v>
      </x:c>
      <x:c r="U2825" s="2" t="str">
        <x:f>IF(T2825=TRUE,"Priority review",IF(R2825=TRUE,"High cost",IF(S2825=TRUE,"Low quality","Benchmark")))</x:f>
        <x:v>Benchmark</x:v>
      </x:c>
    </x:row>
    <x:row r="2826">
      <x:c r="A2826" s="2" t="str">
        <x:v>280105</x:v>
      </x:c>
      <x:c r="B2826" s="2" t="str">
        <x:v>CHI HEALTH MIDLANDS</x:v>
      </x:c>
      <x:c r="C2826" s="2" t="str">
        <x:v>PAPILLION</x:v>
      </x:c>
      <x:c r="D2826" s="2" t="str">
        <x:v>NE</x:v>
      </x:c>
      <x:c r="E2826" s="2" t="str">
        <x:v>Acute Care Hospitals</x:v>
      </x:c>
      <x:c r="F2826" s="2" t="str">
        <x:v>Voluntary non-profit</x:v>
      </x:c>
      <x:c r="G2826" s="2" t="str">
        <x:v>Small (&lt;100 beds)</x:v>
      </x:c>
      <x:c r="H2826" s="7" t="n">
        <x:v>4</x:v>
      </x:c>
      <x:c r="I2826" s="7" t="n">
        <x:v>4</x:v>
      </x:c>
      <x:c r="J2826" s="7" t="n">
        <x:v>0.83</x:v>
      </x:c>
      <x:c r="K2826" s="8" t="n">
        <x:v>28</x:v>
      </x:c>
      <x:c r="L2826" s="8" t="n">
        <x:v>1181</x:v>
      </x:c>
      <x:c r="M2826" s="9" t="n">
        <x:v>0.35</x:v>
      </x:c>
      <x:c r="N2826" s="10" t="n">
        <x:v>46616.7451312447</x:v>
      </x:c>
      <x:c r="O2826" s="9" t="n">
        <x:v>-0.117501902</x:v>
      </x:c>
      <x:c r="P2826" s="9" t="n">
        <x:v>0.4281867145</x:v>
      </x:c>
      <x:c r="Q2826" s="9" t="n">
        <x:v>0.3913824057</x:v>
      </x:c>
      <x:c r="R2826" s="3" t="b">
        <x:v>0</x:v>
      </x:c>
      <x:c r="S2826" s="3" t="b">
        <x:v>0</x:v>
      </x:c>
      <x:c r="T2826" s="3" t="b">
        <x:v>0</x:v>
      </x:c>
      <x:c r="U2826" s="2" t="str">
        <x:f>IF(T2826=TRUE,"Priority review",IF(R2826=TRUE,"High cost",IF(S2826=TRUE,"Low quality","Benchmark")))</x:f>
        <x:v>Benchmark</x:v>
      </x:c>
    </x:row>
    <x:row r="2827">
      <x:c r="A2827" s="2" t="str">
        <x:v>250009</x:v>
      </x:c>
      <x:c r="B2827" s="2" t="str">
        <x:v>MAGNOLIA REGIONAL HEALTH CENTER</x:v>
      </x:c>
      <x:c r="C2827" s="2" t="str">
        <x:v>CORINTH</x:v>
      </x:c>
      <x:c r="D2827" s="2" t="str">
        <x:v>MS</x:v>
      </x:c>
      <x:c r="E2827" s="2" t="str">
        <x:v>Acute Care Hospitals</x:v>
      </x:c>
      <x:c r="F2827" s="2" t="str">
        <x:v>Voluntary non-profit</x:v>
      </x:c>
      <x:c r="G2827" s="2" t="str">
        <x:v>Medium (100-299 beds)</x:v>
      </x:c>
      <x:c r="H2827" s="7" t="n">
        <x:v>2</x:v>
      </x:c>
      <x:c r="I2827" s="7" t="n">
        <x:v>4</x:v>
      </x:c>
      <x:c r="J2827" s="7" t="n">
        <x:v>0.94</x:v>
      </x:c>
      <x:c r="K2827" s="8" t="n">
        <x:v>107</x:v>
      </x:c>
      <x:c r="L2827" s="8" t="n">
        <x:v>5719</x:v>
      </x:c>
      <x:c r="M2827" s="9" t="n">
        <x:v>0.6197261583</x:v>
      </x:c>
      <x:c r="N2827" s="10" t="n">
        <x:v>31628.6483650988</x:v>
      </x:c>
      <x:c r="O2827" s="9" t="n">
        <x:v>0.0562511036</x:v>
      </x:c>
      <x:c r="P2827" s="9" t="n">
        <x:v>0.4278728606</x:v>
      </x:c>
      <x:c r="Q2827" s="9" t="n">
        <x:v>0.0782396088</x:v>
      </x:c>
      <x:c r="R2827" s="3" t="b">
        <x:v>0</x:v>
      </x:c>
      <x:c r="S2827" s="3" t="b">
        <x:v>1</x:v>
      </x:c>
      <x:c r="T2827" s="3" t="b">
        <x:v>0</x:v>
      </x:c>
      <x:c r="U2827" s="2" t="str">
        <x:f>IF(T2827=TRUE,"Priority review",IF(R2827=TRUE,"High cost",IF(S2827=TRUE,"Low quality","Benchmark")))</x:f>
        <x:v>Low quality</x:v>
      </x:c>
    </x:row>
    <x:row r="2828">
      <x:c r="A2828" s="2" t="str">
        <x:v>084004</x:v>
      </x:c>
      <x:c r="B2828" s="2" t="str">
        <x:v>DOVER BEHAVIORAL HEALTH SYSTEM</x:v>
      </x:c>
      <x:c r="C2828" s="2" t="str">
        <x:v>DOVER</x:v>
      </x:c>
      <x:c r="D2828" s="2" t="str">
        <x:v>DE</x:v>
      </x:c>
      <x:c r="E2828" s="2" t="str">
        <x:v>Psychiatric</x:v>
      </x:c>
      <x:c r="F2828" s="2" t="str">
        <x:v>Proprietary</x:v>
      </x:c>
      <x:c r="G2828" s="2" t="str">
        <x:v>Medium (100-299 beds)</x:v>
      </x:c>
      <x:c r="H2828" s="7"/>
      <x:c r="I2828" s="7"/>
      <x:c r="J2828" s="7"/>
      <x:c r="K2828" s="8" t="n">
        <x:v>104</x:v>
      </x:c>
      <x:c r="L2828" s="8" t="n">
        <x:v>2984</x:v>
      </x:c>
      <x:c r="M2828" s="9" t="n">
        <x:v>0.7924810845</x:v>
      </x:c>
      <x:c r="N2828" s="10" t="n">
        <x:v>9885.4048257373</x:v>
      </x:c>
      <x:c r="O2828" s="9" t="n">
        <x:v>-0.0324105982</x:v>
      </x:c>
      <x:c r="P2828" s="9" t="n">
        <x:v>0.4278606965</x:v>
      </x:c>
      <x:c r="Q2828" s="9" t="n">
        <x:v>0</x:v>
      </x:c>
      <x:c r="R2828" s="3" t="b">
        <x:v>0</x:v>
      </x:c>
      <x:c r="S2828" s="3" t="b">
        <x:v>0</x:v>
      </x:c>
      <x:c r="T2828" s="3" t="b">
        <x:v>0</x:v>
      </x:c>
      <x:c r="U2828" s="2" t="str">
        <x:f>IF(T2828=TRUE,"Priority review",IF(R2828=TRUE,"High cost",IF(S2828=TRUE,"Low quality","Benchmark")))</x:f>
        <x:v>Benchmark</x:v>
      </x:c>
    </x:row>
    <x:row r="2829">
      <x:c r="A2829" s="2" t="str">
        <x:v>501332</x:v>
      </x:c>
      <x:c r="B2829" s="2" t="str">
        <x:v>TRI-STATE MEMORIAL HOSPITAL</x:v>
      </x:c>
      <x:c r="C2829" s="2" t="str">
        <x:v>CLARKSTON</x:v>
      </x:c>
      <x:c r="D2829" s="2" t="str">
        <x:v>WA</x:v>
      </x:c>
      <x:c r="E2829" s="2" t="str">
        <x:v>Critical Access Hospitals</x:v>
      </x:c>
      <x:c r="F2829" s="2" t="str">
        <x:v>Voluntary non-profit</x:v>
      </x:c>
      <x:c r="G2829" s="2" t="str">
        <x:v>Small (&lt;100 beds)</x:v>
      </x:c>
      <x:c r="H2829" s="7" t="n">
        <x:v>4</x:v>
      </x:c>
      <x:c r="I2829" s="7" t="n">
        <x:v>5</x:v>
      </x:c>
      <x:c r="J2829" s="7"/>
      <x:c r="K2829" s="8" t="n">
        <x:v>25</x:v>
      </x:c>
      <x:c r="L2829" s="8" t="n">
        <x:v>1073</x:v>
      </x:c>
      <x:c r="M2829" s="9" t="n">
        <x:v>0.4687431694</x:v>
      </x:c>
      <x:c r="N2829" s="10" t="n">
        <x:v>117594.4352283318</x:v>
      </x:c>
      <x:c r="O2829" s="9" t="n">
        <x:v>-0.0117922522</x:v>
      </x:c>
      <x:c r="P2829" s="9" t="n">
        <x:v>0.4275092937</x:v>
      </x:c>
      <x:c r="Q2829" s="9" t="n">
        <x:v>0.1657992565</x:v>
      </x:c>
      <x:c r="R2829" s="3" t="b">
        <x:v>0</x:v>
      </x:c>
      <x:c r="S2829" s="3" t="b">
        <x:v>0</x:v>
      </x:c>
      <x:c r="T2829" s="3" t="b">
        <x:v>0</x:v>
      </x:c>
      <x:c r="U2829" s="2" t="str">
        <x:f>IF(T2829=TRUE,"Priority review",IF(R2829=TRUE,"High cost",IF(S2829=TRUE,"Low quality","Benchmark")))</x:f>
        <x:v>Benchmark</x:v>
      </x:c>
    </x:row>
    <x:row r="2830">
      <x:c r="A2830" s="2" t="str">
        <x:v>100007</x:v>
      </x:c>
      <x:c r="B2830" s="2" t="str">
        <x:v>ADVENTHEALTH ORLANDO</x:v>
      </x:c>
      <x:c r="C2830" s="2" t="str">
        <x:v>ORLANDO</x:v>
      </x:c>
      <x:c r="D2830" s="2" t="str">
        <x:v>FL</x:v>
      </x:c>
      <x:c r="E2830" s="2" t="str">
        <x:v>Acute Care Hospitals</x:v>
      </x:c>
      <x:c r="F2830" s="2" t="str">
        <x:v>Voluntary non-profit</x:v>
      </x:c>
      <x:c r="G2830" s="2" t="str">
        <x:v>Large (300+ beds)</x:v>
      </x:c>
      <x:c r="H2830" s="7" t="n">
        <x:v>3</x:v>
      </x:c>
      <x:c r="I2830" s="7" t="n">
        <x:v>3</x:v>
      </x:c>
      <x:c r="J2830" s="7" t="n">
        <x:v>0.99</x:v>
      </x:c>
      <x:c r="K2830" s="8" t="n">
        <x:v>2863</x:v>
      </x:c>
      <x:c r="L2830" s="8" t="n">
        <x:v>167558</x:v>
      </x:c>
      <x:c r="M2830" s="9" t="n">
        <x:v>0.8333533742</x:v>
      </x:c>
      <x:c r="N2830" s="10" t="n">
        <x:v>36188.3256126237</x:v>
      </x:c>
      <x:c r="O2830" s="9" t="n">
        <x:v>0.1523299648</x:v>
      </x:c>
      <x:c r="P2830" s="9" t="n">
        <x:v>0.427444795</x:v>
      </x:c>
      <x:c r="Q2830" s="9" t="n">
        <x:v>0.2570977918</x:v>
      </x:c>
      <x:c r="R2830" s="3" t="b">
        <x:v>0</x:v>
      </x:c>
      <x:c r="S2830" s="3" t="b">
        <x:v>0</x:v>
      </x:c>
      <x:c r="T2830" s="3" t="b">
        <x:v>0</x:v>
      </x:c>
      <x:c r="U2830" s="2" t="str">
        <x:f>IF(T2830=TRUE,"Priority review",IF(R2830=TRUE,"High cost",IF(S2830=TRUE,"Low quality","Benchmark")))</x:f>
        <x:v>Benchmark</x:v>
      </x:c>
    </x:row>
    <x:row r="2831">
      <x:c r="A2831" s="2" t="str">
        <x:v>110023</x:v>
      </x:c>
      <x:c r="B2831" s="2" t="str">
        <x:v>ADVENTHEALTH GORDON</x:v>
      </x:c>
      <x:c r="C2831" s="2" t="str">
        <x:v>CALHOUN</x:v>
      </x:c>
      <x:c r="D2831" s="2" t="str">
        <x:v>GA</x:v>
      </x:c>
      <x:c r="E2831" s="2" t="str">
        <x:v>Acute Care Hospitals</x:v>
      </x:c>
      <x:c r="F2831" s="2" t="str">
        <x:v>Voluntary non-profit</x:v>
      </x:c>
      <x:c r="G2831" s="2" t="str">
        <x:v>Small (&lt;100 beds)</x:v>
      </x:c>
      <x:c r="H2831" s="7" t="n">
        <x:v>3</x:v>
      </x:c>
      <x:c r="I2831" s="7" t="n">
        <x:v>4</x:v>
      </x:c>
      <x:c r="J2831" s="7" t="n">
        <x:v>0.87</x:v>
      </x:c>
      <x:c r="K2831" s="8" t="n">
        <x:v>69</x:v>
      </x:c>
      <x:c r="L2831" s="8" t="n">
        <x:v>4759</x:v>
      </x:c>
      <x:c r="M2831" s="9" t="n">
        <x:v>0.788271165</x:v>
      </x:c>
      <x:c r="N2831" s="10" t="n">
        <x:v>46563.6948938853</x:v>
      </x:c>
      <x:c r="O2831" s="9" t="n">
        <x:v>0.0693891765</x:v>
      </x:c>
      <x:c r="P2831" s="9" t="n">
        <x:v>0.4272890485</x:v>
      </x:c>
      <x:c r="Q2831" s="9" t="n">
        <x:v>0.1687612208</x:v>
      </x:c>
      <x:c r="R2831" s="3" t="b">
        <x:v>0</x:v>
      </x:c>
      <x:c r="S2831" s="3" t="b">
        <x:v>0</x:v>
      </x:c>
      <x:c r="T2831" s="3" t="b">
        <x:v>0</x:v>
      </x:c>
      <x:c r="U2831" s="2" t="str">
        <x:f>IF(T2831=TRUE,"Priority review",IF(R2831=TRUE,"High cost",IF(S2831=TRUE,"Low quality","Benchmark")))</x:f>
        <x:v>Benchmark</x:v>
      </x:c>
    </x:row>
    <x:row r="2832">
      <x:c r="A2832" s="2" t="str">
        <x:v>454136</x:v>
      </x:c>
      <x:c r="B2832" s="2" t="str">
        <x:v>OCEANS BEHAVIORAL HOSPITAL OF KATY</x:v>
      </x:c>
      <x:c r="C2832" s="2" t="str">
        <x:v>KATY</x:v>
      </x:c>
      <x:c r="D2832" s="2" t="str">
        <x:v>TX</x:v>
      </x:c>
      <x:c r="E2832" s="2" t="str">
        <x:v>Psychiatric</x:v>
      </x:c>
      <x:c r="F2832" s="2" t="str">
        <x:v>Proprietary</x:v>
      </x:c>
      <x:c r="G2832" s="2" t="str">
        <x:v>Small (&lt;100 beds)</x:v>
      </x:c>
      <x:c r="H2832" s="7"/>
      <x:c r="I2832" s="7"/>
      <x:c r="J2832" s="7"/>
      <x:c r="K2832" s="8" t="n">
        <x:v>48</x:v>
      </x:c>
      <x:c r="L2832" s="8" t="n">
        <x:v>1249</x:v>
      </x:c>
      <x:c r="M2832" s="9" t="n">
        <x:v>0.9086407104</x:v>
      </x:c>
      <x:c r="N2832" s="10" t="n">
        <x:v>10720.4363490793</x:v>
      </x:c>
      <x:c r="O2832" s="9" t="n">
        <x:v>0.2207803658</x:v>
      </x:c>
      <x:c r="P2832" s="9" t="n">
        <x:v>0.427184466</x:v>
      </x:c>
      <x:c r="Q2832" s="9" t="n">
        <x:v>0</x:v>
      </x:c>
      <x:c r="R2832" s="3" t="b">
        <x:v>0</x:v>
      </x:c>
      <x:c r="S2832" s="3" t="b">
        <x:v>0</x:v>
      </x:c>
      <x:c r="T2832" s="3" t="b">
        <x:v>0</x:v>
      </x:c>
      <x:c r="U2832" s="2" t="str">
        <x:f>IF(T2832=TRUE,"Priority review",IF(R2832=TRUE,"High cost",IF(S2832=TRUE,"Low quality","Benchmark")))</x:f>
        <x:v>Benchmark</x:v>
      </x:c>
    </x:row>
    <x:row r="2833">
      <x:c r="A2833" s="2" t="str">
        <x:v>190054</x:v>
      </x:c>
      <x:c r="B2833" s="2" t="str">
        <x:v>IBERIA MEDICAL CENTER</x:v>
      </x:c>
      <x:c r="C2833" s="2" t="str">
        <x:v>NEW IBERIA</x:v>
      </x:c>
      <x:c r="D2833" s="2" t="str">
        <x:v>LA</x:v>
      </x:c>
      <x:c r="E2833" s="2" t="str">
        <x:v>Acute Care Hospitals</x:v>
      </x:c>
      <x:c r="F2833" s="2" t="str">
        <x:v>Voluntary non-profit</x:v>
      </x:c>
      <x:c r="G2833" s="2" t="str">
        <x:v>Medium (100-299 beds)</x:v>
      </x:c>
      <x:c r="H2833" s="7" t="n">
        <x:v>2</x:v>
      </x:c>
      <x:c r="I2833" s="7" t="n">
        <x:v>4</x:v>
      </x:c>
      <x:c r="J2833" s="7" t="n">
        <x:v>0.99</x:v>
      </x:c>
      <x:c r="K2833" s="8" t="n">
        <x:v>133</x:v>
      </x:c>
      <x:c r="L2833" s="8" t="n">
        <x:v>3746</x:v>
      </x:c>
      <x:c r="M2833" s="9" t="n">
        <x:v>0.3469739924</x:v>
      </x:c>
      <x:c r="N2833" s="10" t="n">
        <x:v>31628.0886278697</x:v>
      </x:c>
      <x:c r="O2833" s="9" t="n">
        <x:v>-0.07553499</x:v>
      </x:c>
      <x:c r="P2833" s="9" t="n">
        <x:v>0.4270578647</x:v>
      </x:c>
      <x:c r="Q2833" s="9" t="n">
        <x:v>0.0782396088</x:v>
      </x:c>
      <x:c r="R2833" s="3" t="b">
        <x:v>0</x:v>
      </x:c>
      <x:c r="S2833" s="3" t="b">
        <x:v>1</x:v>
      </x:c>
      <x:c r="T2833" s="3" t="b">
        <x:v>0</x:v>
      </x:c>
      <x:c r="U2833" s="2" t="str">
        <x:f>IF(T2833=TRUE,"Priority review",IF(R2833=TRUE,"High cost",IF(S2833=TRUE,"Low quality","Benchmark")))</x:f>
        <x:v>Low quality</x:v>
      </x:c>
    </x:row>
    <x:row r="2834">
      <x:c r="A2834" s="2" t="str">
        <x:v>421300</x:v>
      </x:c>
      <x:c r="B2834" s="2" t="str">
        <x:v>ALLENDALE COUNTY HOSPITAL</x:v>
      </x:c>
      <x:c r="C2834" s="2" t="str">
        <x:v>FAIRFAX</x:v>
      </x:c>
      <x:c r="D2834" s="2" t="str">
        <x:v>SC</x:v>
      </x:c>
      <x:c r="E2834" s="2" t="str">
        <x:v>Critical Access Hospitals</x:v>
      </x:c>
      <x:c r="F2834" s="2" t="str">
        <x:v>Government</x:v>
      </x:c>
      <x:c r="G2834" s="2" t="str">
        <x:v>Small (&lt;100 beds)</x:v>
      </x:c>
      <x:c r="H2834" s="7"/>
      <x:c r="I2834" s="7"/>
      <x:c r="J2834" s="7"/>
      <x:c r="K2834" s="8" t="n">
        <x:v>25</x:v>
      </x:c>
      <x:c r="L2834" s="8" t="n">
        <x:v>185</x:v>
      </x:c>
      <x:c r="M2834" s="9" t="n">
        <x:v>0.1663387978</x:v>
      </x:c>
      <x:c r="N2834" s="10" t="n">
        <x:v>117309.7189189189</x:v>
      </x:c>
      <x:c r="O2834" s="9" t="n">
        <x:v>-0.289662076</x:v>
      </x:c>
      <x:c r="P2834" s="9" t="n">
        <x:v>0.4267657993</x:v>
      </x:c>
      <x:c r="Q2834" s="9" t="n">
        <x:v>0.292936803</x:v>
      </x:c>
      <x:c r="R2834" s="3" t="b">
        <x:v>0</x:v>
      </x:c>
      <x:c r="S2834" s="3" t="b">
        <x:v>0</x:v>
      </x:c>
      <x:c r="T2834" s="3" t="b">
        <x:v>0</x:v>
      </x:c>
      <x:c r="U2834" s="2" t="str">
        <x:f>IF(T2834=TRUE,"Priority review",IF(R2834=TRUE,"High cost",IF(S2834=TRUE,"Low quality","Benchmark")))</x:f>
        <x:v>Benchmark</x:v>
      </x:c>
    </x:row>
    <x:row r="2835">
      <x:c r="A2835" s="2" t="str">
        <x:v>150090</x:v>
      </x:c>
      <x:c r="B2835" s="2" t="str">
        <x:v>FRANCISCAN HEALTH DYER</x:v>
      </x:c>
      <x:c r="C2835" s="2" t="str">
        <x:v>DYER</x:v>
      </x:c>
      <x:c r="D2835" s="2" t="str">
        <x:v>IN</x:v>
      </x:c>
      <x:c r="E2835" s="2" t="str">
        <x:v>Acute Care Hospitals</x:v>
      </x:c>
      <x:c r="F2835" s="2" t="str">
        <x:v>Voluntary non-profit</x:v>
      </x:c>
      <x:c r="G2835" s="2" t="str">
        <x:v>Small (&lt;100 beds)</x:v>
      </x:c>
      <x:c r="H2835" s="7" t="n">
        <x:v>2</x:v>
      </x:c>
      <x:c r="I2835" s="7" t="n">
        <x:v>2</x:v>
      </x:c>
      <x:c r="J2835" s="7" t="n">
        <x:v>1.07</x:v>
      </x:c>
      <x:c r="K2835" s="8" t="n">
        <x:v>97</x:v>
      </x:c>
      <x:c r="L2835" s="8" t="n">
        <x:v>4439</x:v>
      </x:c>
      <x:c r="M2835" s="9" t="n">
        <x:v>0.5722785596</x:v>
      </x:c>
      <x:c r="N2835" s="10" t="n">
        <x:v>46551.0072088308</x:v>
      </x:c>
      <x:c r="O2835" s="9" t="n">
        <x:v>0.0044685092</x:v>
      </x:c>
      <x:c r="P2835" s="9" t="n">
        <x:v>0.4263913824</x:v>
      </x:c>
      <x:c r="Q2835" s="9" t="n">
        <x:v>0.0350089767</x:v>
      </x:c>
      <x:c r="R2835" s="3" t="b">
        <x:v>0</x:v>
      </x:c>
      <x:c r="S2835" s="3" t="b">
        <x:v>1</x:v>
      </x:c>
      <x:c r="T2835" s="3" t="b">
        <x:v>0</x:v>
      </x:c>
      <x:c r="U2835" s="2" t="str">
        <x:f>IF(T2835=TRUE,"Priority review",IF(R2835=TRUE,"High cost",IF(S2835=TRUE,"Low quality","Benchmark")))</x:f>
        <x:v>Low quality</x:v>
      </x:c>
    </x:row>
    <x:row r="2836">
      <x:c r="A2836" s="2" t="str">
        <x:v>330224</x:v>
      </x:c>
      <x:c r="B2836" s="2" t="str">
        <x:v>HEALTHALLIANCE HOSPITAL MARYS AVENUE CAMPUS</x:v>
      </x:c>
      <x:c r="C2836" s="2" t="str">
        <x:v>KINGSTON</x:v>
      </x:c>
      <x:c r="D2836" s="2" t="str">
        <x:v>NY</x:v>
      </x:c>
      <x:c r="E2836" s="2" t="str">
        <x:v>Acute Care Hospitals</x:v>
      </x:c>
      <x:c r="F2836" s="2" t="str">
        <x:v>Voluntary non-profit</x:v>
      </x:c>
      <x:c r="G2836" s="2" t="str">
        <x:v>Medium (100-299 beds)</x:v>
      </x:c>
      <x:c r="H2836" s="7" t="n">
        <x:v>1</x:v>
      </x:c>
      <x:c r="I2836" s="7" t="n">
        <x:v>2</x:v>
      </x:c>
      <x:c r="J2836" s="7" t="n">
        <x:v>1.07</x:v>
      </x:c>
      <x:c r="K2836" s="8" t="n">
        <x:v>124</x:v>
      </x:c>
      <x:c r="L2836" s="8" t="n">
        <x:v>6394</x:v>
      </x:c>
      <x:c r="M2836" s="9" t="n">
        <x:v>0.7246606777</x:v>
      </x:c>
      <x:c r="N2836" s="10" t="n">
        <x:v>31564.0642790116</x:v>
      </x:c>
      <x:c r="O2836" s="9" t="n">
        <x:v>-0.2946536123</x:v>
      </x:c>
      <x:c r="P2836" s="9" t="n">
        <x:v>0.4262428688</x:v>
      </x:c>
      <x:c r="Q2836" s="9" t="n">
        <x:v>0</x:v>
      </x:c>
      <x:c r="R2836" s="3" t="b">
        <x:v>0</x:v>
      </x:c>
      <x:c r="S2836" s="3" t="b">
        <x:v>1</x:v>
      </x:c>
      <x:c r="T2836" s="3" t="b">
        <x:v>0</x:v>
      </x:c>
      <x:c r="U2836" s="2" t="str">
        <x:f>IF(T2836=TRUE,"Priority review",IF(R2836=TRUE,"High cost",IF(S2836=TRUE,"Low quality","Benchmark")))</x:f>
        <x:v>Low quality</x:v>
      </x:c>
    </x:row>
    <x:row r="2837">
      <x:c r="A2837" s="2" t="str">
        <x:v>301304</x:v>
      </x:c>
      <x:c r="B2837" s="2" t="str">
        <x:v>NEW LONDON HOSPITAL</x:v>
      </x:c>
      <x:c r="C2837" s="2" t="str">
        <x:v>NEW LONDON</x:v>
      </x:c>
      <x:c r="D2837" s="2" t="str">
        <x:v>NH</x:v>
      </x:c>
      <x:c r="E2837" s="2" t="str">
        <x:v>Critical Access Hospitals</x:v>
      </x:c>
      <x:c r="F2837" s="2" t="str">
        <x:v>Voluntary non-profit</x:v>
      </x:c>
      <x:c r="G2837" s="2" t="str">
        <x:v>Small (&lt;100 beds)</x:v>
      </x:c>
      <x:c r="H2837" s="7" t="n">
        <x:v>3</x:v>
      </x:c>
      <x:c r="I2837" s="7" t="n">
        <x:v>4</x:v>
      </x:c>
      <x:c r="J2837" s="7"/>
      <x:c r="K2837" s="8" t="n">
        <x:v>25</x:v>
      </x:c>
      <x:c r="L2837" s="8" t="n">
        <x:v>839</x:v>
      </x:c>
      <x:c r="M2837" s="9" t="n">
        <x:v>0.602739726</x:v>
      </x:c>
      <x:c r="N2837" s="10" t="n">
        <x:v>116672.1513706794</x:v>
      </x:c>
      <x:c r="O2837" s="9" t="n">
        <x:v>0.0401325149</x:v>
      </x:c>
      <x:c r="P2837" s="9" t="n">
        <x:v>0.4260223048</x:v>
      </x:c>
      <x:c r="Q2837" s="9" t="n">
        <x:v>0.0765799257</x:v>
      </x:c>
      <x:c r="R2837" s="3" t="b">
        <x:v>0</x:v>
      </x:c>
      <x:c r="S2837" s="3" t="b">
        <x:v>1</x:v>
      </x:c>
      <x:c r="T2837" s="3" t="b">
        <x:v>0</x:v>
      </x:c>
      <x:c r="U2837" s="2" t="str">
        <x:f>IF(T2837=TRUE,"Priority review",IF(R2837=TRUE,"High cost",IF(S2837=TRUE,"Low quality","Benchmark")))</x:f>
        <x:v>Low quality</x:v>
      </x:c>
    </x:row>
    <x:row r="2838">
      <x:c r="A2838" s="2" t="str">
        <x:v>050353</x:v>
      </x:c>
      <x:c r="B2838" s="2" t="str">
        <x:v>PROVIDENCE LITTLE COMPANY OF MARY MED CTR TORRANCE</x:v>
      </x:c>
      <x:c r="C2838" s="2" t="str">
        <x:v>TORRANCE</x:v>
      </x:c>
      <x:c r="D2838" s="2" t="str">
        <x:v>CA</x:v>
      </x:c>
      <x:c r="E2838" s="2" t="str">
        <x:v>Acute Care Hospitals</x:v>
      </x:c>
      <x:c r="F2838" s="2" t="str">
        <x:v>Voluntary non-profit</x:v>
      </x:c>
      <x:c r="G2838" s="2" t="str">
        <x:v>Large (300+ beds)</x:v>
      </x:c>
      <x:c r="H2838" s="7" t="n">
        <x:v>5</x:v>
      </x:c>
      <x:c r="I2838" s="7" t="n">
        <x:v>3</x:v>
      </x:c>
      <x:c r="J2838" s="7" t="n">
        <x:v>0.97</x:v>
      </x:c>
      <x:c r="K2838" s="8" t="n">
        <x:v>360</x:v>
      </x:c>
      <x:c r="L2838" s="8" t="n">
        <x:v>16011</x:v>
      </x:c>
      <x:c r="M2838" s="9" t="n">
        <x:v>0.5904068002</x:v>
      </x:c>
      <x:c r="N2838" s="10" t="n">
        <x:v>36081.5203297733</x:v>
      </x:c>
      <x:c r="O2838" s="9" t="n">
        <x:v>-0.0757190302</x:v>
      </x:c>
      <x:c r="P2838" s="9" t="n">
        <x:v>0.4258675079</x:v>
      </x:c>
      <x:c r="Q2838" s="9" t="n">
        <x:v>0.8722397476</x:v>
      </x:c>
      <x:c r="R2838" s="3" t="b">
        <x:v>0</x:v>
      </x:c>
      <x:c r="S2838" s="3" t="b">
        <x:v>0</x:v>
      </x:c>
      <x:c r="T2838" s="3" t="b">
        <x:v>0</x:v>
      </x:c>
      <x:c r="U2838" s="2" t="str">
        <x:f>IF(T2838=TRUE,"Priority review",IF(R2838=TRUE,"High cost",IF(S2838=TRUE,"Low quality","Benchmark")))</x:f>
        <x:v>Benchmark</x:v>
      </x:c>
    </x:row>
    <x:row r="2839">
      <x:c r="A2839" s="2" t="str">
        <x:v>170103</x:v>
      </x:c>
      <x:c r="B2839" s="2" t="str">
        <x:v>NMC HEALTH</x:v>
      </x:c>
      <x:c r="C2839" s="2" t="str">
        <x:v>NEWTON</x:v>
      </x:c>
      <x:c r="D2839" s="2" t="str">
        <x:v>KS</x:v>
      </x:c>
      <x:c r="E2839" s="2" t="str">
        <x:v>Acute Care Hospitals</x:v>
      </x:c>
      <x:c r="F2839" s="2" t="str">
        <x:v>Voluntary non-profit</x:v>
      </x:c>
      <x:c r="G2839" s="2" t="str">
        <x:v>Small (&lt;100 beds)</x:v>
      </x:c>
      <x:c r="H2839" s="7" t="n">
        <x:v>5</x:v>
      </x:c>
      <x:c r="I2839" s="7" t="n">
        <x:v>4</x:v>
      </x:c>
      <x:c r="J2839" s="7" t="n">
        <x:v>1.01</x:v>
      </x:c>
      <x:c r="K2839" s="8" t="n">
        <x:v>76</x:v>
      </x:c>
      <x:c r="L2839" s="8" t="n">
        <x:v>2412</x:v>
      </x:c>
      <x:c r="M2839" s="9" t="n">
        <x:v>0.3511896179</x:v>
      </x:c>
      <x:c r="N2839" s="10" t="n">
        <x:v>46523.8582089552</x:v>
      </x:c>
      <x:c r="O2839" s="9" t="n">
        <x:v>-0.0681892569</x:v>
      </x:c>
      <x:c r="P2839" s="9" t="n">
        <x:v>0.4254937163</x:v>
      </x:c>
      <x:c r="Q2839" s="9" t="n">
        <x:v>0.6131059246</x:v>
      </x:c>
      <x:c r="R2839" s="3" t="b">
        <x:v>0</x:v>
      </x:c>
      <x:c r="S2839" s="3" t="b">
        <x:v>0</x:v>
      </x:c>
      <x:c r="T2839" s="3" t="b">
        <x:v>0</x:v>
      </x:c>
      <x:c r="U2839" s="2" t="str">
        <x:f>IF(T2839=TRUE,"Priority review",IF(R2839=TRUE,"High cost",IF(S2839=TRUE,"Low quality","Benchmark")))</x:f>
        <x:v>Benchmark</x:v>
      </x:c>
    </x:row>
    <x:row r="2840">
      <x:c r="A2840" s="2" t="str">
        <x:v>340183</x:v>
      </x:c>
      <x:c r="B2840" s="2" t="str">
        <x:v>NOVANT HEALTH HUNTERSVILLE MEDICAL CENTER</x:v>
      </x:c>
      <x:c r="C2840" s="2" t="str">
        <x:v>HUNTERSVILLE</x:v>
      </x:c>
      <x:c r="D2840" s="2" t="str">
        <x:v>NC</x:v>
      </x:c>
      <x:c r="E2840" s="2" t="str">
        <x:v>Acute Care Hospitals</x:v>
      </x:c>
      <x:c r="F2840" s="2" t="str">
        <x:v>Voluntary non-profit</x:v>
      </x:c>
      <x:c r="G2840" s="2" t="str">
        <x:v>Medium (100-299 beds)</x:v>
      </x:c>
      <x:c r="H2840" s="7" t="n">
        <x:v>4</x:v>
      </x:c>
      <x:c r="I2840" s="7" t="n">
        <x:v>3</x:v>
      </x:c>
      <x:c r="J2840" s="7" t="n">
        <x:v>0.94</x:v>
      </x:c>
      <x:c r="K2840" s="8" t="n">
        <x:v>134</x:v>
      </x:c>
      <x:c r="L2840" s="8" t="n">
        <x:v>8402</x:v>
      </x:c>
      <x:c r="M2840" s="9" t="n">
        <x:v>0.8380841693</x:v>
      </x:c>
      <x:c r="N2840" s="10" t="n">
        <x:v>31546.3123065937</x:v>
      </x:c>
      <x:c r="O2840" s="9" t="n">
        <x:v>0.2273496734</x:v>
      </x:c>
      <x:c r="P2840" s="9" t="n">
        <x:v>0.4254278729</x:v>
      </x:c>
      <x:c r="Q2840" s="9" t="n">
        <x:v>0.6022819886</x:v>
      </x:c>
      <x:c r="R2840" s="3" t="b">
        <x:v>0</x:v>
      </x:c>
      <x:c r="S2840" s="3" t="b">
        <x:v>0</x:v>
      </x:c>
      <x:c r="T2840" s="3" t="b">
        <x:v>0</x:v>
      </x:c>
      <x:c r="U2840" s="2" t="str">
        <x:f>IF(T2840=TRUE,"Priority review",IF(R2840=TRUE,"High cost",IF(S2840=TRUE,"Low quality","Benchmark")))</x:f>
        <x:v>Benchmark</x:v>
      </x:c>
    </x:row>
    <x:row r="2841">
      <x:c r="A2841" s="2" t="str">
        <x:v>201305</x:v>
      </x:c>
      <x:c r="B2841" s="2" t="str">
        <x:v>CALAIS COMMUNITY HOSPITAL</x:v>
      </x:c>
      <x:c r="C2841" s="2" t="str">
        <x:v>CALAIS</x:v>
      </x:c>
      <x:c r="D2841" s="2" t="str">
        <x:v>ME</x:v>
      </x:c>
      <x:c r="E2841" s="2" t="str">
        <x:v>Critical Access Hospitals</x:v>
      </x:c>
      <x:c r="F2841" s="2" t="str">
        <x:v>Voluntary non-profit</x:v>
      </x:c>
      <x:c r="G2841" s="2" t="str">
        <x:v>Small (&lt;100 beds)</x:v>
      </x:c>
      <x:c r="H2841" s="7"/>
      <x:c r="I2841" s="7"/>
      <x:c r="J2841" s="7"/>
      <x:c r="K2841" s="8" t="n">
        <x:v>25</x:v>
      </x:c>
      <x:c r="L2841" s="8" t="n">
        <x:v>243</x:v>
      </x:c>
      <x:c r="M2841" s="9" t="n">
        <x:v>0.0944262295</x:v>
      </x:c>
      <x:c r="N2841" s="10" t="n">
        <x:v>116472.5679012346</x:v>
      </x:c>
      <x:c r="O2841" s="9" t="n">
        <x:v>-0.032063212</x:v>
      </x:c>
      <x:c r="P2841" s="9" t="n">
        <x:v>0.4252788104</x:v>
      </x:c>
      <x:c r="Q2841" s="9" t="n">
        <x:v>0.292936803</x:v>
      </x:c>
      <x:c r="R2841" s="3" t="b">
        <x:v>0</x:v>
      </x:c>
      <x:c r="S2841" s="3" t="b">
        <x:v>0</x:v>
      </x:c>
      <x:c r="T2841" s="3" t="b">
        <x:v>0</x:v>
      </x:c>
      <x:c r="U2841" s="2" t="str">
        <x:f>IF(T2841=TRUE,"Priority review",IF(R2841=TRUE,"High cost",IF(S2841=TRUE,"Low quality","Benchmark")))</x:f>
        <x:v>Benchmark</x:v>
      </x:c>
    </x:row>
    <x:row r="2842">
      <x:c r="A2842" s="2" t="str">
        <x:v>150018</x:v>
      </x:c>
      <x:c r="B2842" s="2" t="str">
        <x:v>ELKHART GENERAL HOSPITAL</x:v>
      </x:c>
      <x:c r="C2842" s="2" t="str">
        <x:v>ELKHART</x:v>
      </x:c>
      <x:c r="D2842" s="2" t="str">
        <x:v>IN</x:v>
      </x:c>
      <x:c r="E2842" s="2" t="str">
        <x:v>Acute Care Hospitals</x:v>
      </x:c>
      <x:c r="F2842" s="2" t="str">
        <x:v>Government</x:v>
      </x:c>
      <x:c r="G2842" s="2" t="str">
        <x:v>Medium (100-299 beds)</x:v>
      </x:c>
      <x:c r="H2842" s="7" t="n">
        <x:v>4</x:v>
      </x:c>
      <x:c r="I2842" s="7" t="n">
        <x:v>3</x:v>
      </x:c>
      <x:c r="J2842" s="7" t="n">
        <x:v>0.98</x:v>
      </x:c>
      <x:c r="K2842" s="8" t="n">
        <x:v>213</x:v>
      </x:c>
      <x:c r="L2842" s="8" t="n">
        <x:v>10335</x:v>
      </x:c>
      <x:c r="M2842" s="9" t="n">
        <x:v>0.5689858642</x:v>
      </x:c>
      <x:c r="N2842" s="10" t="n">
        <x:v>31535.8412191582</x:v>
      </x:c>
      <x:c r="O2842" s="9" t="n">
        <x:v>0.0702606482</x:v>
      </x:c>
      <x:c r="P2842" s="9" t="n">
        <x:v>0.4246128769</x:v>
      </x:c>
      <x:c r="Q2842" s="9" t="n">
        <x:v>0.6022819886</x:v>
      </x:c>
      <x:c r="R2842" s="3" t="b">
        <x:v>0</x:v>
      </x:c>
      <x:c r="S2842" s="3" t="b">
        <x:v>0</x:v>
      </x:c>
      <x:c r="T2842" s="3" t="b">
        <x:v>0</x:v>
      </x:c>
      <x:c r="U2842" s="2" t="str">
        <x:f>IF(T2842=TRUE,"Priority review",IF(R2842=TRUE,"High cost",IF(S2842=TRUE,"Low quality","Benchmark")))</x:f>
        <x:v>Benchmark</x:v>
      </x:c>
    </x:row>
    <x:row r="2843">
      <x:c r="A2843" s="2" t="str">
        <x:v>030043</x:v>
      </x:c>
      <x:c r="B2843" s="2" t="str">
        <x:v>CANYON VISTA MEDICAL CENTER</x:v>
      </x:c>
      <x:c r="C2843" s="2" t="str">
        <x:v>SIERRA VISTA</x:v>
      </x:c>
      <x:c r="D2843" s="2" t="str">
        <x:v>AZ</x:v>
      </x:c>
      <x:c r="E2843" s="2" t="str">
        <x:v>Acute Care Hospitals</x:v>
      </x:c>
      <x:c r="F2843" s="2" t="str">
        <x:v>Voluntary non-profit</x:v>
      </x:c>
      <x:c r="G2843" s="2" t="str">
        <x:v>Small (&lt;100 beds)</x:v>
      </x:c>
      <x:c r="H2843" s="7" t="n">
        <x:v>2</x:v>
      </x:c>
      <x:c r="I2843" s="7" t="n">
        <x:v>2</x:v>
      </x:c>
      <x:c r="J2843" s="7" t="n">
        <x:v>1.03</x:v>
      </x:c>
      <x:c r="K2843" s="8" t="n">
        <x:v>74</x:v>
      </x:c>
      <x:c r="L2843" s="8" t="n">
        <x:v>3679</x:v>
      </x:c>
      <x:c r="M2843" s="9" t="n">
        <x:v>0.5071084783</x:v>
      </x:c>
      <x:c r="N2843" s="10" t="n">
        <x:v>46421.9312313129</x:v>
      </x:c>
      <x:c r="O2843" s="9" t="n">
        <x:v>0.0574691376</x:v>
      </x:c>
      <x:c r="P2843" s="9" t="n">
        <x:v>0.4245960503</x:v>
      </x:c>
      <x:c r="Q2843" s="9" t="n">
        <x:v>0.0350089767</x:v>
      </x:c>
      <x:c r="R2843" s="3" t="b">
        <x:v>0</x:v>
      </x:c>
      <x:c r="S2843" s="3" t="b">
        <x:v>1</x:v>
      </x:c>
      <x:c r="T2843" s="3" t="b">
        <x:v>0</x:v>
      </x:c>
      <x:c r="U2843" s="2" t="str">
        <x:f>IF(T2843=TRUE,"Priority review",IF(R2843=TRUE,"High cost",IF(S2843=TRUE,"Low quality","Benchmark")))</x:f>
        <x:v>Low quality</x:v>
      </x:c>
    </x:row>
    <x:row r="2844">
      <x:c r="A2844" s="2" t="str">
        <x:v>361326</x:v>
      </x:c>
      <x:c r="B2844" s="2" t="str">
        <x:v>ADAMS COUNTY REGIONAL MEDICAL CENTER</x:v>
      </x:c>
      <x:c r="C2844" s="2" t="str">
        <x:v>SEAMAN</x:v>
      </x:c>
      <x:c r="D2844" s="2" t="str">
        <x:v>OH</x:v>
      </x:c>
      <x:c r="E2844" s="2" t="str">
        <x:v>Critical Access Hospitals</x:v>
      </x:c>
      <x:c r="F2844" s="2" t="str">
        <x:v>Government</x:v>
      </x:c>
      <x:c r="G2844" s="2" t="str">
        <x:v>Small (&lt;100 beds)</x:v>
      </x:c>
      <x:c r="H2844" s="7" t="n">
        <x:v>3</x:v>
      </x:c>
      <x:c r="I2844" s="7"/>
      <x:c r="J2844" s="7"/>
      <x:c r="K2844" s="8" t="n">
        <x:v>25</x:v>
      </x:c>
      <x:c r="L2844" s="8" t="n">
        <x:v>385</x:v>
      </x:c>
      <x:c r="M2844" s="9" t="n">
        <x:v>0.2596721311</x:v>
      </x:c>
      <x:c r="N2844" s="10" t="n">
        <x:v>116426.6753246753</x:v>
      </x:c>
      <x:c r="O2844" s="9" t="n">
        <x:v>-0.0871310761</x:v>
      </x:c>
      <x:c r="P2844" s="9" t="n">
        <x:v>0.424535316</x:v>
      </x:c>
      <x:c r="Q2844" s="9" t="n">
        <x:v>0.0765799257</x:v>
      </x:c>
      <x:c r="R2844" s="3" t="b">
        <x:v>0</x:v>
      </x:c>
      <x:c r="S2844" s="3" t="b">
        <x:v>1</x:v>
      </x:c>
      <x:c r="T2844" s="3" t="b">
        <x:v>0</x:v>
      </x:c>
      <x:c r="U2844" s="2" t="str">
        <x:f>IF(T2844=TRUE,"Priority review",IF(R2844=TRUE,"High cost",IF(S2844=TRUE,"Low quality","Benchmark")))</x:f>
        <x:v>Low quality</x:v>
      </x:c>
    </x:row>
    <x:row r="2845">
      <x:c r="A2845" s="2" t="str">
        <x:v>050380</x:v>
      </x:c>
      <x:c r="B2845" s="2" t="str">
        <x:v>GOOD SAMARITAN HOSPITAL</x:v>
      </x:c>
      <x:c r="C2845" s="2" t="str">
        <x:v>SAN JOSE</x:v>
      </x:c>
      <x:c r="D2845" s="2" t="str">
        <x:v>CA</x:v>
      </x:c>
      <x:c r="E2845" s="2" t="str">
        <x:v>Acute Care Hospitals</x:v>
      </x:c>
      <x:c r="F2845" s="2" t="str">
        <x:v>Proprietary</x:v>
      </x:c>
      <x:c r="G2845" s="2" t="str">
        <x:v>Large (300+ beds)</x:v>
      </x:c>
      <x:c r="H2845" s="7" t="n">
        <x:v>2</x:v>
      </x:c>
      <x:c r="I2845" s="7" t="n">
        <x:v>2</x:v>
      </x:c>
      <x:c r="J2845" s="7" t="n">
        <x:v>1.02</x:v>
      </x:c>
      <x:c r="K2845" s="8" t="n">
        <x:v>314</x:v>
      </x:c>
      <x:c r="L2845" s="8" t="n">
        <x:v>16029</x:v>
      </x:c>
      <x:c r="M2845" s="9" t="n">
        <x:v>0.7102929871</x:v>
      </x:c>
      <x:c r="N2845" s="10" t="n">
        <x:v>35920.9938236946</x:v>
      </x:c>
      <x:c r="O2845" s="9" t="n">
        <x:v>0.2710646769</x:v>
      </x:c>
      <x:c r="P2845" s="9" t="n">
        <x:v>0.4242902208</x:v>
      </x:c>
      <x:c r="Q2845" s="9" t="n">
        <x:v>0.0536277603</x:v>
      </x:c>
      <x:c r="R2845" s="3" t="b">
        <x:v>0</x:v>
      </x:c>
      <x:c r="S2845" s="3" t="b">
        <x:v>1</x:v>
      </x:c>
      <x:c r="T2845" s="3" t="b">
        <x:v>0</x:v>
      </x:c>
      <x:c r="U2845" s="2" t="str">
        <x:f>IF(T2845=TRUE,"Priority review",IF(R2845=TRUE,"High cost",IF(S2845=TRUE,"Low quality","Benchmark")))</x:f>
        <x:v>Low quality</x:v>
      </x:c>
    </x:row>
    <x:row r="2846">
      <x:c r="A2846" s="2" t="str">
        <x:v>194086</x:v>
      </x:c>
      <x:c r="B2846" s="2" t="str">
        <x:v>OCEANS BEHAVIORAL HOSPITAL OF BATON ROUGE</x:v>
      </x:c>
      <x:c r="C2846" s="2" t="str">
        <x:v>BATON ROUGE</x:v>
      </x:c>
      <x:c r="D2846" s="2" t="str">
        <x:v>LA</x:v>
      </x:c>
      <x:c r="E2846" s="2" t="str">
        <x:v>Psychiatric</x:v>
      </x:c>
      <x:c r="F2846" s="2" t="str">
        <x:v>Proprietary</x:v>
      </x:c>
      <x:c r="G2846" s="2" t="str">
        <x:v>Small (&lt;100 beds)</x:v>
      </x:c>
      <x:c r="H2846" s="7"/>
      <x:c r="I2846" s="7"/>
      <x:c r="J2846" s="7"/>
      <x:c r="K2846" s="8" t="n">
        <x:v>60</x:v>
      </x:c>
      <x:c r="L2846" s="8" t="n">
        <x:v>1521</x:v>
      </x:c>
      <x:c r="M2846" s="9" t="n">
        <x:v>0.8117486339</x:v>
      </x:c>
      <x:c r="N2846" s="10" t="n">
        <x:v>10700.4707429323</x:v>
      </x:c>
      <x:c r="O2846" s="9" t="n">
        <x:v>0.1647474225</x:v>
      </x:c>
      <x:c r="P2846" s="9" t="n">
        <x:v>0.4239482201</x:v>
      </x:c>
      <x:c r="Q2846" s="9" t="n">
        <x:v>0</x:v>
      </x:c>
      <x:c r="R2846" s="3" t="b">
        <x:v>0</x:v>
      </x:c>
      <x:c r="S2846" s="3" t="b">
        <x:v>0</x:v>
      </x:c>
      <x:c r="T2846" s="3" t="b">
        <x:v>0</x:v>
      </x:c>
      <x:c r="U2846" s="2" t="str">
        <x:f>IF(T2846=TRUE,"Priority review",IF(R2846=TRUE,"High cost",IF(S2846=TRUE,"Low quality","Benchmark")))</x:f>
        <x:v>Benchmark</x:v>
      </x:c>
    </x:row>
    <x:row r="2847">
      <x:c r="A2847" s="2" t="str">
        <x:v>140224</x:v>
      </x:c>
      <x:c r="B2847" s="2" t="str">
        <x:v>PRESENCE SAINT JOSEPH HOSPITAL - CHICAGO</x:v>
      </x:c>
      <x:c r="C2847" s="2" t="str">
        <x:v>CHICAGO</x:v>
      </x:c>
      <x:c r="D2847" s="2" t="str">
        <x:v>IL</x:v>
      </x:c>
      <x:c r="E2847" s="2" t="str">
        <x:v>Acute Care Hospitals</x:v>
      </x:c>
      <x:c r="F2847" s="2" t="str">
        <x:v>Voluntary non-profit</x:v>
      </x:c>
      <x:c r="G2847" s="2" t="str">
        <x:v>Medium (100-299 beds)</x:v>
      </x:c>
      <x:c r="H2847" s="7" t="n">
        <x:v>4</x:v>
      </x:c>
      <x:c r="I2847" s="7" t="n">
        <x:v>3</x:v>
      </x:c>
      <x:c r="J2847" s="7"/>
      <x:c r="K2847" s="8" t="n">
        <x:v>234</x:v>
      </x:c>
      <x:c r="L2847" s="8" t="n">
        <x:v>7983</x:v>
      </x:c>
      <x:c r="M2847" s="9" t="n">
        <x:v>0.4518557546</x:v>
      </x:c>
      <x:c r="N2847" s="10" t="n">
        <x:v>31494.5228610798</x:v>
      </x:c>
      <x:c r="O2847" s="9" t="n">
        <x:v>-0.3327681111</x:v>
      </x:c>
      <x:c r="P2847" s="9" t="n">
        <x:v>0.423797881</x:v>
      </x:c>
      <x:c r="Q2847" s="9" t="n">
        <x:v>0.6022819886</x:v>
      </x:c>
      <x:c r="R2847" s="3" t="b">
        <x:v>0</x:v>
      </x:c>
      <x:c r="S2847" s="3" t="b">
        <x:v>0</x:v>
      </x:c>
      <x:c r="T2847" s="3" t="b">
        <x:v>0</x:v>
      </x:c>
      <x:c r="U2847" s="2" t="str">
        <x:f>IF(T2847=TRUE,"Priority review",IF(R2847=TRUE,"High cost",IF(S2847=TRUE,"Low quality","Benchmark")))</x:f>
        <x:v>Benchmark</x:v>
      </x:c>
    </x:row>
    <x:row r="2848">
      <x:c r="A2848" s="2" t="str">
        <x:v>381306</x:v>
      </x:c>
      <x:c r="B2848" s="2" t="str">
        <x:v>WALLOWA MEMORIAL HOSPITAL</x:v>
      </x:c>
      <x:c r="C2848" s="2" t="str">
        <x:v>ENTERPRISE</x:v>
      </x:c>
      <x:c r="D2848" s="2" t="str">
        <x:v>OR</x:v>
      </x:c>
      <x:c r="E2848" s="2" t="str">
        <x:v>Critical Access Hospitals</x:v>
      </x:c>
      <x:c r="F2848" s="2" t="str">
        <x:v>Government</x:v>
      </x:c>
      <x:c r="G2848" s="2" t="str">
        <x:v>Small (&lt;100 beds)</x:v>
      </x:c>
      <x:c r="H2848" s="7" t="n">
        <x:v>3</x:v>
      </x:c>
      <x:c r="I2848" s="7"/>
      <x:c r="J2848" s="7"/>
      <x:c r="K2848" s="8" t="n">
        <x:v>23</x:v>
      </x:c>
      <x:c r="L2848" s="8" t="n">
        <x:v>358</x:v>
      </x:c>
      <x:c r="M2848" s="9" t="n">
        <x:v>0.1979749851</x:v>
      </x:c>
      <x:c r="N2848" s="10" t="n">
        <x:v>116411.0474860335</x:v>
      </x:c>
      <x:c r="O2848" s="9" t="n">
        <x:v>-0.0783361254</x:v>
      </x:c>
      <x:c r="P2848" s="9" t="n">
        <x:v>0.4237918216</x:v>
      </x:c>
      <x:c r="Q2848" s="9" t="n">
        <x:v>0.0765799257</x:v>
      </x:c>
      <x:c r="R2848" s="3" t="b">
        <x:v>0</x:v>
      </x:c>
      <x:c r="S2848" s="3" t="b">
        <x:v>1</x:v>
      </x:c>
      <x:c r="T2848" s="3" t="b">
        <x:v>0</x:v>
      </x:c>
      <x:c r="U2848" s="2" t="str">
        <x:f>IF(T2848=TRUE,"Priority review",IF(R2848=TRUE,"High cost",IF(S2848=TRUE,"Low quality","Benchmark")))</x:f>
        <x:v>Low quality</x:v>
      </x:c>
    </x:row>
    <x:row r="2849">
      <x:c r="A2849" s="2" t="str">
        <x:v>370089</x:v>
      </x:c>
      <x:c r="B2849" s="2" t="str">
        <x:v>NORTHEASTERN HEALTH SYSTEM</x:v>
      </x:c>
      <x:c r="C2849" s="2" t="str">
        <x:v>TAHLEQUAH</x:v>
      </x:c>
      <x:c r="D2849" s="2" t="str">
        <x:v>OK</x:v>
      </x:c>
      <x:c r="E2849" s="2" t="str">
        <x:v>Acute Care Hospitals</x:v>
      </x:c>
      <x:c r="F2849" s="2" t="str">
        <x:v>Government</x:v>
      </x:c>
      <x:c r="G2849" s="2" t="str">
        <x:v>Small (&lt;100 beds)</x:v>
      </x:c>
      <x:c r="H2849" s="7" t="n">
        <x:v>2</x:v>
      </x:c>
      <x:c r="I2849" s="7" t="n">
        <x:v>3</x:v>
      </x:c>
      <x:c r="J2849" s="7" t="n">
        <x:v>0.97</x:v>
      </x:c>
      <x:c r="K2849" s="8" t="n">
        <x:v>80</x:v>
      </x:c>
      <x:c r="L2849" s="8" t="n">
        <x:v>3247</x:v>
      </x:c>
      <x:c r="M2849" s="9" t="n">
        <x:v>0.4607191781</x:v>
      </x:c>
      <x:c r="N2849" s="10" t="n">
        <x:v>46251.8192177395</x:v>
      </x:c>
      <x:c r="O2849" s="9" t="n">
        <x:v>-0.077124762</x:v>
      </x:c>
      <x:c r="P2849" s="9" t="n">
        <x:v>0.4236983842</x:v>
      </x:c>
      <x:c r="Q2849" s="9" t="n">
        <x:v>0.0350089767</x:v>
      </x:c>
      <x:c r="R2849" s="3" t="b">
        <x:v>0</x:v>
      </x:c>
      <x:c r="S2849" s="3" t="b">
        <x:v>1</x:v>
      </x:c>
      <x:c r="T2849" s="3" t="b">
        <x:v>0</x:v>
      </x:c>
      <x:c r="U2849" s="2" t="str">
        <x:f>IF(T2849=TRUE,"Priority review",IF(R2849=TRUE,"High cost",IF(S2849=TRUE,"Low quality","Benchmark")))</x:f>
        <x:v>Low quality</x:v>
      </x:c>
    </x:row>
    <x:row r="2850">
      <x:c r="A2850" s="2" t="str">
        <x:v>241330</x:v>
      </x:c>
      <x:c r="B2850" s="2" t="str">
        <x:v>CENTRACARE HEALTH SYSTEM - MELROSE HOSPITAL</x:v>
      </x:c>
      <x:c r="C2850" s="2" t="str">
        <x:v>MELROSE</x:v>
      </x:c>
      <x:c r="D2850" s="2" t="str">
        <x:v>MN</x:v>
      </x:c>
      <x:c r="E2850" s="2" t="str">
        <x:v>Critical Access Hospitals</x:v>
      </x:c>
      <x:c r="F2850" s="2" t="str">
        <x:v>Voluntary non-profit</x:v>
      </x:c>
      <x:c r="G2850" s="2" t="str">
        <x:v>Small (&lt;100 beds)</x:v>
      </x:c>
      <x:c r="H2850" s="7" t="n">
        <x:v>5</x:v>
      </x:c>
      <x:c r="I2850" s="7"/>
      <x:c r="J2850" s="7"/>
      <x:c r="K2850" s="8" t="n">
        <x:v>14</x:v>
      </x:c>
      <x:c r="L2850" s="8" t="n">
        <x:v>370</x:v>
      </x:c>
      <x:c r="M2850" s="9" t="n">
        <x:v>0.4861056751</x:v>
      </x:c>
      <x:c r="N2850" s="10" t="n">
        <x:v>116399.8189189189</x:v>
      </x:c>
      <x:c r="O2850" s="9" t="n">
        <x:v>0.1208875588</x:v>
      </x:c>
      <x:c r="P2850" s="9" t="n">
        <x:v>0.4230483271</x:v>
      </x:c>
      <x:c r="Q2850" s="9" t="n">
        <x:v>0.2602230483</x:v>
      </x:c>
      <x:c r="R2850" s="3" t="b">
        <x:v>0</x:v>
      </x:c>
      <x:c r="S2850" s="3" t="b">
        <x:v>0</x:v>
      </x:c>
      <x:c r="T2850" s="3" t="b">
        <x:v>0</x:v>
      </x:c>
      <x:c r="U2850" s="2" t="str">
        <x:f>IF(T2850=TRUE,"Priority review",IF(R2850=TRUE,"High cost",IF(S2850=TRUE,"Low quality","Benchmark")))</x:f>
        <x:v>Benchmark</x:v>
      </x:c>
    </x:row>
    <x:row r="2851">
      <x:c r="A2851" s="2" t="str">
        <x:v>670122</x:v>
      </x:c>
      <x:c r="B2851" s="2" t="str">
        <x:v>HOUSTON METHODIST THE WOODLANDS HOSPITAL</x:v>
      </x:c>
      <x:c r="C2851" s="2" t="str">
        <x:v>THE WOODLANDS</x:v>
      </x:c>
      <x:c r="D2851" s="2" t="str">
        <x:v>TX</x:v>
      </x:c>
      <x:c r="E2851" s="2" t="str">
        <x:v>Acute Care Hospitals</x:v>
      </x:c>
      <x:c r="F2851" s="2" t="str">
        <x:v>Voluntary non-profit</x:v>
      </x:c>
      <x:c r="G2851" s="2" t="str">
        <x:v>Medium (100-299 beds)</x:v>
      </x:c>
      <x:c r="H2851" s="7" t="n">
        <x:v>5</x:v>
      </x:c>
      <x:c r="I2851" s="7" t="n">
        <x:v>4</x:v>
      </x:c>
      <x:c r="J2851" s="7" t="n">
        <x:v>1.01</x:v>
      </x:c>
      <x:c r="K2851" s="8" t="n">
        <x:v>292</x:v>
      </x:c>
      <x:c r="L2851" s="8" t="n">
        <x:v>18787</x:v>
      </x:c>
      <x:c r="M2851" s="9" t="n">
        <x:v>0.7193839359</x:v>
      </x:c>
      <x:c r="N2851" s="10" t="n">
        <x:v>31416.0793633896</x:v>
      </x:c>
      <x:c r="O2851" s="9" t="n">
        <x:v>0.1757806644</x:v>
      </x:c>
      <x:c r="P2851" s="9" t="n">
        <x:v>0.4229828851</x:v>
      </x:c>
      <x:c r="Q2851" s="9" t="n">
        <x:v>0.8744906275</x:v>
      </x:c>
      <x:c r="R2851" s="3" t="b">
        <x:v>0</x:v>
      </x:c>
      <x:c r="S2851" s="3" t="b">
        <x:v>0</x:v>
      </x:c>
      <x:c r="T2851" s="3" t="b">
        <x:v>0</x:v>
      </x:c>
      <x:c r="U2851" s="2" t="str">
        <x:f>IF(T2851=TRUE,"Priority review",IF(R2851=TRUE,"High cost",IF(S2851=TRUE,"Low quality","Benchmark")))</x:f>
        <x:v>Benchmark</x:v>
      </x:c>
    </x:row>
    <x:row r="2852">
      <x:c r="A2852" s="2" t="str">
        <x:v>454146</x:v>
      </x:c>
      <x:c r="B2852" s="2" t="str">
        <x:v>RIO VISTA BEHAVIORAL HEALTH</x:v>
      </x:c>
      <x:c r="C2852" s="2" t="str">
        <x:v>EL PASO</x:v>
      </x:c>
      <x:c r="D2852" s="2" t="str">
        <x:v>TX</x:v>
      </x:c>
      <x:c r="E2852" s="2" t="str">
        <x:v>Psychiatric</x:v>
      </x:c>
      <x:c r="F2852" s="2" t="str">
        <x:v>Proprietary</x:v>
      </x:c>
      <x:c r="G2852" s="2" t="str">
        <x:v>Medium (100-299 beds)</x:v>
      </x:c>
      <x:c r="H2852" s="7"/>
      <x:c r="I2852" s="7"/>
      <x:c r="J2852" s="7"/>
      <x:c r="K2852" s="8" t="n">
        <x:v>132</x:v>
      </x:c>
      <x:c r="L2852" s="8" t="n">
        <x:v>3115</x:v>
      </x:c>
      <x:c r="M2852" s="9" t="n">
        <x:v>0.8573232323</x:v>
      </x:c>
      <x:c r="N2852" s="10" t="n">
        <x:v>9738.2504012841</x:v>
      </x:c>
      <x:c r="O2852" s="9" t="n">
        <x:v>0.1870551531</x:v>
      </x:c>
      <x:c r="P2852" s="9" t="n">
        <x:v>0.4228855721</x:v>
      </x:c>
      <x:c r="Q2852" s="9" t="n">
        <x:v>0</x:v>
      </x:c>
      <x:c r="R2852" s="3" t="b">
        <x:v>0</x:v>
      </x:c>
      <x:c r="S2852" s="3" t="b">
        <x:v>0</x:v>
      </x:c>
      <x:c r="T2852" s="3" t="b">
        <x:v>0</x:v>
      </x:c>
      <x:c r="U2852" s="2" t="str">
        <x:f>IF(T2852=TRUE,"Priority review",IF(R2852=TRUE,"High cost",IF(S2852=TRUE,"Low quality","Benchmark")))</x:f>
        <x:v>Benchmark</x:v>
      </x:c>
    </x:row>
    <x:row r="2853">
      <x:c r="A2853" s="2" t="str">
        <x:v>050014</x:v>
      </x:c>
      <x:c r="B2853" s="2" t="str">
        <x:v>SUTTER AMADOR HOSPITAL</x:v>
      </x:c>
      <x:c r="C2853" s="2" t="str">
        <x:v>JACKSON</x:v>
      </x:c>
      <x:c r="D2853" s="2" t="str">
        <x:v>CA</x:v>
      </x:c>
      <x:c r="E2853" s="2" t="str">
        <x:v>Acute Care Hospitals</x:v>
      </x:c>
      <x:c r="F2853" s="2" t="str">
        <x:v>Voluntary non-profit</x:v>
      </x:c>
      <x:c r="G2853" s="2" t="str">
        <x:v>Small (&lt;100 beds)</x:v>
      </x:c>
      <x:c r="H2853" s="7" t="n">
        <x:v>4</x:v>
      </x:c>
      <x:c r="I2853" s="7" t="n">
        <x:v>4</x:v>
      </x:c>
      <x:c r="J2853" s="7" t="n">
        <x:v>0.96</x:v>
      </x:c>
      <x:c r="K2853" s="8" t="n">
        <x:v>52</x:v>
      </x:c>
      <x:c r="L2853" s="8" t="n">
        <x:v>2356</x:v>
      </x:c>
      <x:c r="M2853" s="9" t="n">
        <x:v>0.48586591</x:v>
      </x:c>
      <x:c r="N2853" s="10" t="n">
        <x:v>46199.8544142615</x:v>
      </x:c>
      <x:c r="O2853" s="9" t="n">
        <x:v>0.0160128042</x:v>
      </x:c>
      <x:c r="P2853" s="9" t="n">
        <x:v>0.4228007181</x:v>
      </x:c>
      <x:c r="Q2853" s="9" t="n">
        <x:v>0.3913824057</x:v>
      </x:c>
      <x:c r="R2853" s="3" t="b">
        <x:v>0</x:v>
      </x:c>
      <x:c r="S2853" s="3" t="b">
        <x:v>0</x:v>
      </x:c>
      <x:c r="T2853" s="3" t="b">
        <x:v>0</x:v>
      </x:c>
      <x:c r="U2853" s="2" t="str">
        <x:f>IF(T2853=TRUE,"Priority review",IF(R2853=TRUE,"High cost",IF(S2853=TRUE,"Low quality","Benchmark")))</x:f>
        <x:v>Benchmark</x:v>
      </x:c>
    </x:row>
    <x:row r="2854">
      <x:c r="A2854" s="2" t="str">
        <x:v>260108</x:v>
      </x:c>
      <x:c r="B2854" s="2" t="str">
        <x:v>MISSOURI BAPTIST MEDICAL CENTER</x:v>
      </x:c>
      <x:c r="C2854" s="2" t="str">
        <x:v>SAINT LOUIS</x:v>
      </x:c>
      <x:c r="D2854" s="2" t="str">
        <x:v>MO</x:v>
      </x:c>
      <x:c r="E2854" s="2" t="str">
        <x:v>Acute Care Hospitals</x:v>
      </x:c>
      <x:c r="F2854" s="2" t="str">
        <x:v>Voluntary non-profit</x:v>
      </x:c>
      <x:c r="G2854" s="2" t="str">
        <x:v>Large (300+ beds)</x:v>
      </x:c>
      <x:c r="H2854" s="7" t="n">
        <x:v>5</x:v>
      </x:c>
      <x:c r="I2854" s="7" t="n">
        <x:v>4</x:v>
      </x:c>
      <x:c r="J2854" s="7" t="n">
        <x:v>0.97</x:v>
      </x:c>
      <x:c r="K2854" s="8" t="n">
        <x:v>412</x:v>
      </x:c>
      <x:c r="L2854" s="8" t="n">
        <x:v>22859</x:v>
      </x:c>
      <x:c r="M2854" s="9" t="n">
        <x:v>0.7458672671</x:v>
      </x:c>
      <x:c r="N2854" s="10" t="n">
        <x:v>35743.9836825758</x:v>
      </x:c>
      <x:c r="O2854" s="9" t="n">
        <x:v>0.0396631663</x:v>
      </x:c>
      <x:c r="P2854" s="9" t="n">
        <x:v>0.4227129338</x:v>
      </x:c>
      <x:c r="Q2854" s="9" t="n">
        <x:v>0.8722397476</x:v>
      </x:c>
      <x:c r="R2854" s="3" t="b">
        <x:v>0</x:v>
      </x:c>
      <x:c r="S2854" s="3" t="b">
        <x:v>0</x:v>
      </x:c>
      <x:c r="T2854" s="3" t="b">
        <x:v>0</x:v>
      </x:c>
      <x:c r="U2854" s="2" t="str">
        <x:f>IF(T2854=TRUE,"Priority review",IF(R2854=TRUE,"High cost",IF(S2854=TRUE,"Low quality","Benchmark")))</x:f>
        <x:v>Benchmark</x:v>
      </x:c>
    </x:row>
    <x:row r="2855">
      <x:c r="A2855" s="2" t="str">
        <x:v>471301</x:v>
      </x:c>
      <x:c r="B2855" s="2" t="str">
        <x:v>GIFFORD MEDICAL CENTER</x:v>
      </x:c>
      <x:c r="C2855" s="2" t="str">
        <x:v>RANDOLPH</x:v>
      </x:c>
      <x:c r="D2855" s="2" t="str">
        <x:v>VT</x:v>
      </x:c>
      <x:c r="E2855" s="2" t="str">
        <x:v>Critical Access Hospitals</x:v>
      </x:c>
      <x:c r="F2855" s="2" t="str">
        <x:v>Voluntary non-profit</x:v>
      </x:c>
      <x:c r="G2855" s="2" t="str">
        <x:v>Small (&lt;100 beds)</x:v>
      </x:c>
      <x:c r="H2855" s="7" t="n">
        <x:v>5</x:v>
      </x:c>
      <x:c r="I2855" s="7" t="n">
        <x:v>4</x:v>
      </x:c>
      <x:c r="J2855" s="7"/>
      <x:c r="K2855" s="8" t="n">
        <x:v>25</x:v>
      </x:c>
      <x:c r="L2855" s="8" t="n">
        <x:v>671</x:v>
      </x:c>
      <x:c r="M2855" s="9" t="n">
        <x:v>0.3151912568</x:v>
      </x:c>
      <x:c r="N2855" s="10" t="n">
        <x:v>116291.4187779434</x:v>
      </x:c>
      <x:c r="O2855" s="9" t="n">
        <x:v>-0.4644425896</x:v>
      </x:c>
      <x:c r="P2855" s="9" t="n">
        <x:v>0.4223048327</x:v>
      </x:c>
      <x:c r="Q2855" s="9" t="n">
        <x:v>0.2602230483</x:v>
      </x:c>
      <x:c r="R2855" s="3" t="b">
        <x:v>0</x:v>
      </x:c>
      <x:c r="S2855" s="3" t="b">
        <x:v>0</x:v>
      </x:c>
      <x:c r="T2855" s="3" t="b">
        <x:v>0</x:v>
      </x:c>
      <x:c r="U2855" s="2" t="str">
        <x:f>IF(T2855=TRUE,"Priority review",IF(R2855=TRUE,"High cost",IF(S2855=TRUE,"Low quality","Benchmark")))</x:f>
        <x:v>Benchmark</x:v>
      </x:c>
    </x:row>
    <x:row r="2856">
      <x:c r="A2856" s="2" t="str">
        <x:v>190041</x:v>
      </x:c>
      <x:c r="B2856" s="2" t="str">
        <x:v>CHRISTUS SHREVEPORT-BOSSIER HEALTH SYSTEM</x:v>
      </x:c>
      <x:c r="C2856" s="2" t="str">
        <x:v>SHREVEPORT</x:v>
      </x:c>
      <x:c r="D2856" s="2" t="str">
        <x:v>LA</x:v>
      </x:c>
      <x:c r="E2856" s="2" t="str">
        <x:v>Acute Care Hospitals</x:v>
      </x:c>
      <x:c r="F2856" s="2" t="str">
        <x:v>Voluntary non-profit</x:v>
      </x:c>
      <x:c r="G2856" s="2" t="str">
        <x:v>Medium (100-299 beds)</x:v>
      </x:c>
      <x:c r="H2856" s="7" t="n">
        <x:v>3</x:v>
      </x:c>
      <x:c r="I2856" s="7" t="n">
        <x:v>3</x:v>
      </x:c>
      <x:c r="J2856" s="7" t="n">
        <x:v>1.06</x:v>
      </x:c>
      <x:c r="K2856" s="8" t="n">
        <x:v>199</x:v>
      </x:c>
      <x:c r="L2856" s="8" t="n">
        <x:v>10386</x:v>
      </x:c>
      <x:c r="M2856" s="9" t="n">
        <x:v>0.6292834033</x:v>
      </x:c>
      <x:c r="N2856" s="10" t="n">
        <x:v>31365.9235509339</x:v>
      </x:c>
      <x:c r="O2856" s="9" t="n">
        <x:v>-0.0078848653</x:v>
      </x:c>
      <x:c r="P2856" s="9" t="n">
        <x:v>0.4221678892</x:v>
      </x:c>
      <x:c r="Q2856" s="9" t="n">
        <x:v>0.3023634882</x:v>
      </x:c>
      <x:c r="R2856" s="3" t="b">
        <x:v>0</x:v>
      </x:c>
      <x:c r="S2856" s="3" t="b">
        <x:v>0</x:v>
      </x:c>
      <x:c r="T2856" s="3" t="b">
        <x:v>0</x:v>
      </x:c>
      <x:c r="U2856" s="2" t="str">
        <x:f>IF(T2856=TRUE,"Priority review",IF(R2856=TRUE,"High cost",IF(S2856=TRUE,"Low quality","Benchmark")))</x:f>
        <x:v>Benchmark</x:v>
      </x:c>
    </x:row>
    <x:row r="2857">
      <x:c r="A2857" s="2" t="str">
        <x:v>240066</x:v>
      </x:c>
      <x:c r="B2857" s="2" t="str">
        <x:v>LAKEVIEW MEMORIAL HOSPITAL</x:v>
      </x:c>
      <x:c r="C2857" s="2" t="str">
        <x:v>STILLWATER</x:v>
      </x:c>
      <x:c r="D2857" s="2" t="str">
        <x:v>MN</x:v>
      </x:c>
      <x:c r="E2857" s="2" t="str">
        <x:v>Acute Care Hospitals</x:v>
      </x:c>
      <x:c r="F2857" s="2" t="str">
        <x:v>Voluntary non-profit</x:v>
      </x:c>
      <x:c r="G2857" s="2" t="str">
        <x:v>Small (&lt;100 beds)</x:v>
      </x:c>
      <x:c r="H2857" s="7" t="n">
        <x:v>4</x:v>
      </x:c>
      <x:c r="I2857" s="7" t="n">
        <x:v>4</x:v>
      </x:c>
      <x:c r="J2857" s="7" t="n">
        <x:v>0.91</x:v>
      </x:c>
      <x:c r="K2857" s="8" t="n">
        <x:v>68</x:v>
      </x:c>
      <x:c r="L2857" s="8" t="n">
        <x:v>3980</x:v>
      </x:c>
      <x:c r="M2857" s="9" t="n">
        <x:v>0.5507071681</x:v>
      </x:c>
      <x:c r="N2857" s="10" t="n">
        <x:v>46145.6452261307</x:v>
      </x:c>
      <x:c r="O2857" s="9" t="n">
        <x:v>-0.0219420696</x:v>
      </x:c>
      <x:c r="P2857" s="9" t="n">
        <x:v>0.4219030521</x:v>
      </x:c>
      <x:c r="Q2857" s="9" t="n">
        <x:v>0.3913824057</x:v>
      </x:c>
      <x:c r="R2857" s="3" t="b">
        <x:v>0</x:v>
      </x:c>
      <x:c r="S2857" s="3" t="b">
        <x:v>0</x:v>
      </x:c>
      <x:c r="T2857" s="3" t="b">
        <x:v>0</x:v>
      </x:c>
      <x:c r="U2857" s="2" t="str">
        <x:f>IF(T2857=TRUE,"Priority review",IF(R2857=TRUE,"High cost",IF(S2857=TRUE,"Low quality","Benchmark")))</x:f>
        <x:v>Benchmark</x:v>
      </x:c>
    </x:row>
    <x:row r="2858">
      <x:c r="A2858" s="2" t="str">
        <x:v>181331</x:v>
      </x:c>
      <x:c r="B2858" s="2" t="str">
        <x:v>MCDOWELL ARH HOSPITAL</x:v>
      </x:c>
      <x:c r="C2858" s="2" t="str">
        <x:v>MC DOWELL</x:v>
      </x:c>
      <x:c r="D2858" s="2" t="str">
        <x:v>KY</x:v>
      </x:c>
      <x:c r="E2858" s="2" t="str">
        <x:v>Critical Access Hospitals</x:v>
      </x:c>
      <x:c r="F2858" s="2" t="str">
        <x:v>Voluntary non-profit</x:v>
      </x:c>
      <x:c r="G2858" s="2" t="str">
        <x:v>Small (&lt;100 beds)</x:v>
      </x:c>
      <x:c r="H2858" s="7"/>
      <x:c r="I2858" s="7"/>
      <x:c r="J2858" s="7"/>
      <x:c r="K2858" s="8" t="n">
        <x:v>25</x:v>
      </x:c>
      <x:c r="L2858" s="8" t="n">
        <x:v>241</x:v>
      </x:c>
      <x:c r="M2858" s="9" t="n">
        <x:v>0.4055890411</x:v>
      </x:c>
      <x:c r="N2858" s="10" t="n">
        <x:v>115912.4564315353</x:v>
      </x:c>
      <x:c r="O2858" s="9" t="n">
        <x:v>-0.042191072</x:v>
      </x:c>
      <x:c r="P2858" s="9" t="n">
        <x:v>0.4215613383</x:v>
      </x:c>
      <x:c r="Q2858" s="9" t="n">
        <x:v>0.292936803</x:v>
      </x:c>
      <x:c r="R2858" s="3" t="b">
        <x:v>0</x:v>
      </x:c>
      <x:c r="S2858" s="3" t="b">
        <x:v>0</x:v>
      </x:c>
      <x:c r="T2858" s="3" t="b">
        <x:v>0</x:v>
      </x:c>
      <x:c r="U2858" s="2" t="str">
        <x:f>IF(T2858=TRUE,"Priority review",IF(R2858=TRUE,"High cost",IF(S2858=TRUE,"Low quality","Benchmark")))</x:f>
        <x:v>Benchmark</x:v>
      </x:c>
    </x:row>
    <x:row r="2859">
      <x:c r="A2859" s="2" t="str">
        <x:v>210005</x:v>
      </x:c>
      <x:c r="B2859" s="2" t="str">
        <x:v>FREDERICK HEALTH HOSPITAL</x:v>
      </x:c>
      <x:c r="C2859" s="2" t="str">
        <x:v>FREDERICK</x:v>
      </x:c>
      <x:c r="D2859" s="2" t="str">
        <x:v>MD</x:v>
      </x:c>
      <x:c r="E2859" s="2" t="str">
        <x:v>Acute Care Hospitals</x:v>
      </x:c>
      <x:c r="F2859" s="2" t="str">
        <x:v>Voluntary non-profit</x:v>
      </x:c>
      <x:c r="G2859" s="2" t="str">
        <x:v>Medium (100-299 beds)</x:v>
      </x:c>
      <x:c r="H2859" s="7" t="n">
        <x:v>3</x:v>
      </x:c>
      <x:c r="I2859" s="7" t="n">
        <x:v>2</x:v>
      </x:c>
      <x:c r="J2859" s="7"/>
      <x:c r="K2859" s="8" t="n">
        <x:v>276</x:v>
      </x:c>
      <x:c r="L2859" s="8" t="n">
        <x:v>13752</x:v>
      </x:c>
      <x:c r="M2859" s="9" t="n">
        <x:v>0.6302362517</x:v>
      </x:c>
      <x:c r="N2859" s="10" t="n">
        <x:v>31307.6472513089</x:v>
      </x:c>
      <x:c r="O2859" s="9" t="n">
        <x:v>-0.0016720329</x:v>
      </x:c>
      <x:c r="P2859" s="9" t="n">
        <x:v>0.4213528932</x:v>
      </x:c>
      <x:c r="Q2859" s="9" t="n">
        <x:v>0.3023634882</x:v>
      </x:c>
      <x:c r="R2859" s="3" t="b">
        <x:v>0</x:v>
      </x:c>
      <x:c r="S2859" s="3" t="b">
        <x:v>0</x:v>
      </x:c>
      <x:c r="T2859" s="3" t="b">
        <x:v>0</x:v>
      </x:c>
      <x:c r="U2859" s="2" t="str">
        <x:f>IF(T2859=TRUE,"Priority review",IF(R2859=TRUE,"High cost",IF(S2859=TRUE,"Low quality","Benchmark")))</x:f>
        <x:v>Benchmark</x:v>
      </x:c>
    </x:row>
    <x:row r="2860">
      <x:c r="A2860" s="2" t="str">
        <x:v>060031</x:v>
      </x:c>
      <x:c r="B2860" s="2" t="str">
        <x:v>CENTURA HEALTH-PENROSE ST FRANCIS HEALTH SERVICES</x:v>
      </x:c>
      <x:c r="C2860" s="2" t="str">
        <x:v>COLORADO SPRINGS</x:v>
      </x:c>
      <x:c r="D2860" s="2" t="str">
        <x:v>CO</x:v>
      </x:c>
      <x:c r="E2860" s="2" t="str">
        <x:v>Acute Care Hospitals</x:v>
      </x:c>
      <x:c r="F2860" s="2" t="str">
        <x:v>Voluntary non-profit</x:v>
      </x:c>
      <x:c r="G2860" s="2" t="str">
        <x:v>Large (300+ beds)</x:v>
      </x:c>
      <x:c r="H2860" s="7" t="n">
        <x:v>3</x:v>
      </x:c>
      <x:c r="I2860" s="7" t="n">
        <x:v>3</x:v>
      </x:c>
      <x:c r="J2860" s="7" t="n">
        <x:v>1</x:v>
      </x:c>
      <x:c r="K2860" s="8" t="n">
        <x:v>484</x:v>
      </x:c>
      <x:c r="L2860" s="8" t="n">
        <x:v>23651</x:v>
      </x:c>
      <x:c r="M2860" s="9" t="n">
        <x:v>0.6645428751</x:v>
      </x:c>
      <x:c r="N2860" s="10" t="n">
        <x:v>35589.7151917466</x:v>
      </x:c>
      <x:c r="O2860" s="9" t="n">
        <x:v>-0.0771354456</x:v>
      </x:c>
      <x:c r="P2860" s="9" t="n">
        <x:v>0.4211356467</x:v>
      </x:c>
      <x:c r="Q2860" s="9" t="n">
        <x:v>0.2570977918</x:v>
      </x:c>
      <x:c r="R2860" s="3" t="b">
        <x:v>0</x:v>
      </x:c>
      <x:c r="S2860" s="3" t="b">
        <x:v>0</x:v>
      </x:c>
      <x:c r="T2860" s="3" t="b">
        <x:v>0</x:v>
      </x:c>
      <x:c r="U2860" s="2" t="str">
        <x:f>IF(T2860=TRUE,"Priority review",IF(R2860=TRUE,"High cost",IF(S2860=TRUE,"Low quality","Benchmark")))</x:f>
        <x:v>Benchmark</x:v>
      </x:c>
    </x:row>
    <x:row r="2861">
      <x:c r="A2861" s="2" t="str">
        <x:v>250096</x:v>
      </x:c>
      <x:c r="B2861" s="2" t="str">
        <x:v>CROSSGATES RIVER OAKS HOSPITAL</x:v>
      </x:c>
      <x:c r="C2861" s="2" t="str">
        <x:v>BRANDON</x:v>
      </x:c>
      <x:c r="D2861" s="2" t="str">
        <x:v>MS</x:v>
      </x:c>
      <x:c r="E2861" s="2" t="str">
        <x:v>Acute Care Hospitals</x:v>
      </x:c>
      <x:c r="F2861" s="2" t="str">
        <x:v>Proprietary</x:v>
      </x:c>
      <x:c r="G2861" s="2" t="str">
        <x:v>Small (&lt;100 beds)</x:v>
      </x:c>
      <x:c r="H2861" s="7" t="n">
        <x:v>2</x:v>
      </x:c>
      <x:c r="I2861" s="7"/>
      <x:c r="J2861" s="7" t="n">
        <x:v>0.97</x:v>
      </x:c>
      <x:c r="K2861" s="8" t="n">
        <x:v>86</x:v>
      </x:c>
      <x:c r="L2861" s="8" t="n">
        <x:v>834</x:v>
      </x:c>
      <x:c r="M2861" s="9" t="n">
        <x:v>0.140646842</x:v>
      </x:c>
      <x:c r="N2861" s="10" t="n">
        <x:v>46137.9760191847</x:v>
      </x:c>
      <x:c r="O2861" s="9" t="n">
        <x:v>-0.3743431799</x:v>
      </x:c>
      <x:c r="P2861" s="9" t="n">
        <x:v>0.421005386</x:v>
      </x:c>
      <x:c r="Q2861" s="9" t="n">
        <x:v>0.0350089767</x:v>
      </x:c>
      <x:c r="R2861" s="3" t="b">
        <x:v>0</x:v>
      </x:c>
      <x:c r="S2861" s="3" t="b">
        <x:v>1</x:v>
      </x:c>
      <x:c r="T2861" s="3" t="b">
        <x:v>0</x:v>
      </x:c>
      <x:c r="U2861" s="2" t="str">
        <x:f>IF(T2861=TRUE,"Priority review",IF(R2861=TRUE,"High cost",IF(S2861=TRUE,"Low quality","Benchmark")))</x:f>
        <x:v>Low quality</x:v>
      </x:c>
    </x:row>
    <x:row r="2862">
      <x:c r="A2862" s="2" t="str">
        <x:v>381316</x:v>
      </x:c>
      <x:c r="B2862" s="2" t="str">
        <x:v>PEACE HARBOR MEDICAL CENTER</x:v>
      </x:c>
      <x:c r="C2862" s="2" t="str">
        <x:v>FLORENCE</x:v>
      </x:c>
      <x:c r="D2862" s="2" t="str">
        <x:v>OR</x:v>
      </x:c>
      <x:c r="E2862" s="2" t="str">
        <x:v>Critical Access Hospitals</x:v>
      </x:c>
      <x:c r="F2862" s="2" t="str">
        <x:v>Voluntary non-profit</x:v>
      </x:c>
      <x:c r="G2862" s="2" t="str">
        <x:v>Small (&lt;100 beds)</x:v>
      </x:c>
      <x:c r="H2862" s="7" t="n">
        <x:v>5</x:v>
      </x:c>
      <x:c r="I2862" s="7" t="n">
        <x:v>5</x:v>
      </x:c>
      <x:c r="J2862" s="7"/>
      <x:c r="K2862" s="8" t="n">
        <x:v>21</x:v>
      </x:c>
      <x:c r="L2862" s="8" t="n">
        <x:v>978</x:v>
      </x:c>
      <x:c r="M2862" s="9" t="n">
        <x:v>0.4354859752</x:v>
      </x:c>
      <x:c r="N2862" s="10" t="n">
        <x:v>115864.6840490797</x:v>
      </x:c>
      <x:c r="O2862" s="9" t="n">
        <x:v>-0.0296325829</x:v>
      </x:c>
      <x:c r="P2862" s="9" t="n">
        <x:v>0.4208178439</x:v>
      </x:c>
      <x:c r="Q2862" s="9" t="n">
        <x:v>0.2602230483</x:v>
      </x:c>
      <x:c r="R2862" s="3" t="b">
        <x:v>0</x:v>
      </x:c>
      <x:c r="S2862" s="3" t="b">
        <x:v>0</x:v>
      </x:c>
      <x:c r="T2862" s="3" t="b">
        <x:v>0</x:v>
      </x:c>
      <x:c r="U2862" s="2" t="str">
        <x:f>IF(T2862=TRUE,"Priority review",IF(R2862=TRUE,"High cost",IF(S2862=TRUE,"Low quality","Benchmark")))</x:f>
        <x:v>Benchmark</x:v>
      </x:c>
    </x:row>
    <x:row r="2863">
      <x:c r="A2863" s="2" t="str">
        <x:v>194106</x:v>
      </x:c>
      <x:c r="B2863" s="2" t="str">
        <x:v>COMPASS BEHAVIORAL CENTER OF ALEXANDRIA, INC</x:v>
      </x:c>
      <x:c r="C2863" s="2" t="str">
        <x:v>ALEXANDRIA</x:v>
      </x:c>
      <x:c r="D2863" s="2" t="str">
        <x:v>LA</x:v>
      </x:c>
      <x:c r="E2863" s="2" t="str">
        <x:v>Psychiatric</x:v>
      </x:c>
      <x:c r="F2863" s="2" t="str">
        <x:v>Proprietary</x:v>
      </x:c>
      <x:c r="G2863" s="2" t="str">
        <x:v>Small (&lt;100 beds)</x:v>
      </x:c>
      <x:c r="H2863" s="7"/>
      <x:c r="I2863" s="7"/>
      <x:c r="J2863" s="7"/>
      <x:c r="K2863" s="8" t="n">
        <x:v>36</x:v>
      </x:c>
      <x:c r="L2863" s="8" t="n">
        <x:v>899</x:v>
      </x:c>
      <x:c r="M2863" s="9" t="n">
        <x:v>0.5391621129</x:v>
      </x:c>
      <x:c r="N2863" s="10" t="n">
        <x:v>10578.6907675195</x:v>
      </x:c>
      <x:c r="O2863" s="9" t="n">
        <x:v>0.0309681817</x:v>
      </x:c>
      <x:c r="P2863" s="9" t="n">
        <x:v>0.4207119741</x:v>
      </x:c>
      <x:c r="Q2863" s="9" t="n">
        <x:v>0</x:v>
      </x:c>
      <x:c r="R2863" s="3" t="b">
        <x:v>0</x:v>
      </x:c>
      <x:c r="S2863" s="3" t="b">
        <x:v>0</x:v>
      </x:c>
      <x:c r="T2863" s="3" t="b">
        <x:v>0</x:v>
      </x:c>
      <x:c r="U2863" s="2" t="str">
        <x:f>IF(T2863=TRUE,"Priority review",IF(R2863=TRUE,"High cost",IF(S2863=TRUE,"Low quality","Benchmark")))</x:f>
        <x:v>Benchmark</x:v>
      </x:c>
    </x:row>
    <x:row r="2864">
      <x:c r="A2864" s="2" t="str">
        <x:v>330264</x:v>
      </x:c>
      <x:c r="B2864" s="2" t="str">
        <x:v>MONTEFIORE ST LUKE'S CORNWALL</x:v>
      </x:c>
      <x:c r="C2864" s="2" t="str">
        <x:v>NEWBURGH</x:v>
      </x:c>
      <x:c r="D2864" s="2" t="str">
        <x:v>NY</x:v>
      </x:c>
      <x:c r="E2864" s="2" t="str">
        <x:v>Acute Care Hospitals</x:v>
      </x:c>
      <x:c r="F2864" s="2" t="str">
        <x:v>Voluntary non-profit</x:v>
      </x:c>
      <x:c r="G2864" s="2" t="str">
        <x:v>Medium (100-299 beds)</x:v>
      </x:c>
      <x:c r="H2864" s="7" t="n">
        <x:v>2</x:v>
      </x:c>
      <x:c r="I2864" s="7" t="n">
        <x:v>3</x:v>
      </x:c>
      <x:c r="J2864" s="7" t="n">
        <x:v>1</x:v>
      </x:c>
      <x:c r="K2864" s="8" t="n">
        <x:v>193</x:v>
      </x:c>
      <x:c r="L2864" s="8" t="n">
        <x:v>8919</x:v>
      </x:c>
      <x:c r="M2864" s="9" t="n">
        <x:v>0.5973980011</x:v>
      </x:c>
      <x:c r="N2864" s="10" t="n">
        <x:v>31278.3054154053</x:v>
      </x:c>
      <x:c r="O2864" s="9" t="n">
        <x:v>-0.0581987809</x:v>
      </x:c>
      <x:c r="P2864" s="9" t="n">
        <x:v>0.4205378973</x:v>
      </x:c>
      <x:c r="Q2864" s="9" t="n">
        <x:v>0.0782396088</x:v>
      </x:c>
      <x:c r="R2864" s="3" t="b">
        <x:v>0</x:v>
      </x:c>
      <x:c r="S2864" s="3" t="b">
        <x:v>1</x:v>
      </x:c>
      <x:c r="T2864" s="3" t="b">
        <x:v>0</x:v>
      </x:c>
      <x:c r="U2864" s="2" t="str">
        <x:f>IF(T2864=TRUE,"Priority review",IF(R2864=TRUE,"High cost",IF(S2864=TRUE,"Low quality","Benchmark")))</x:f>
        <x:v>Low quality</x:v>
      </x:c>
    </x:row>
    <x:row r="2865">
      <x:c r="A2865" s="2" t="str">
        <x:v>420043</x:v>
      </x:c>
      <x:c r="B2865" s="2" t="str">
        <x:v>CHEROKEE MEDICAL CENTER</x:v>
      </x:c>
      <x:c r="C2865" s="2" t="str">
        <x:v>GAFFNEY</x:v>
      </x:c>
      <x:c r="D2865" s="2" t="str">
        <x:v>SC</x:v>
      </x:c>
      <x:c r="E2865" s="2" t="str">
        <x:v>Acute Care Hospitals</x:v>
      </x:c>
      <x:c r="F2865" s="2" t="str">
        <x:v>Government</x:v>
      </x:c>
      <x:c r="G2865" s="2" t="str">
        <x:v>Small (&lt;100 beds)</x:v>
      </x:c>
      <x:c r="H2865" s="7" t="n">
        <x:v>2</x:v>
      </x:c>
      <x:c r="I2865" s="7" t="n">
        <x:v>4</x:v>
      </x:c>
      <x:c r="J2865" s="7" t="n">
        <x:v>0.95</x:v>
      </x:c>
      <x:c r="K2865" s="8" t="n">
        <x:v>26</x:v>
      </x:c>
      <x:c r="L2865" s="8" t="n">
        <x:v>1471</x:v>
      </x:c>
      <x:c r="M2865" s="9" t="n">
        <x:v>0.65395124</x:v>
      </x:c>
      <x:c r="N2865" s="10" t="n">
        <x:v>46075.1815091774</x:v>
      </x:c>
      <x:c r="O2865" s="9" t="n">
        <x:v>0.1457653669</x:v>
      </x:c>
      <x:c r="P2865" s="9" t="n">
        <x:v>0.4201077199</x:v>
      </x:c>
      <x:c r="Q2865" s="9" t="n">
        <x:v>0.0350089767</x:v>
      </x:c>
      <x:c r="R2865" s="3" t="b">
        <x:v>0</x:v>
      </x:c>
      <x:c r="S2865" s="3" t="b">
        <x:v>1</x:v>
      </x:c>
      <x:c r="T2865" s="3" t="b">
        <x:v>0</x:v>
      </x:c>
      <x:c r="U2865" s="2" t="str">
        <x:f>IF(T2865=TRUE,"Priority review",IF(R2865=TRUE,"High cost",IF(S2865=TRUE,"Low quality","Benchmark")))</x:f>
        <x:v>Low quality</x:v>
      </x:c>
    </x:row>
    <x:row r="2866">
      <x:c r="A2866" s="2" t="str">
        <x:v>521322</x:v>
      </x:c>
      <x:c r="B2866" s="2" t="str">
        <x:v>GRANT REGIONAL HEALTH CENTER</x:v>
      </x:c>
      <x:c r="C2866" s="2" t="str">
        <x:v>LANCASTER</x:v>
      </x:c>
      <x:c r="D2866" s="2" t="str">
        <x:v>WI</x:v>
      </x:c>
      <x:c r="E2866" s="2" t="str">
        <x:v>Critical Access Hospitals</x:v>
      </x:c>
      <x:c r="F2866" s="2" t="str">
        <x:v>Voluntary non-profit</x:v>
      </x:c>
      <x:c r="G2866" s="2" t="str">
        <x:v>Small (&lt;100 beds)</x:v>
      </x:c>
      <x:c r="H2866" s="7"/>
      <x:c r="I2866" s="7"/>
      <x:c r="J2866" s="7"/>
      <x:c r="K2866" s="8" t="n">
        <x:v>25</x:v>
      </x:c>
      <x:c r="L2866" s="8" t="n">
        <x:v>443</x:v>
      </x:c>
      <x:c r="M2866" s="9" t="n">
        <x:v>0.3079781421</x:v>
      </x:c>
      <x:c r="N2866" s="10" t="n">
        <x:v>115850.5214446953</x:v>
      </x:c>
      <x:c r="O2866" s="9" t="n">
        <x:v>-0.060265665</x:v>
      </x:c>
      <x:c r="P2866" s="9" t="n">
        <x:v>0.4200743494</x:v>
      </x:c>
      <x:c r="Q2866" s="9" t="n">
        <x:v>0.292936803</x:v>
      </x:c>
      <x:c r="R2866" s="3" t="b">
        <x:v>0</x:v>
      </x:c>
      <x:c r="S2866" s="3" t="b">
        <x:v>0</x:v>
      </x:c>
      <x:c r="T2866" s="3" t="b">
        <x:v>0</x:v>
      </x:c>
      <x:c r="U2866" s="2" t="str">
        <x:f>IF(T2866=TRUE,"Priority review",IF(R2866=TRUE,"High cost",IF(S2866=TRUE,"Low quality","Benchmark")))</x:f>
        <x:v>Benchmark</x:v>
      </x:c>
    </x:row>
    <x:row r="2867">
      <x:c r="A2867" s="2" t="str">
        <x:v>230302</x:v>
      </x:c>
      <x:c r="B2867" s="2" t="str">
        <x:v>HENRY FORD HEALTH WEST BLOOMFIELD HOSPITAL</x:v>
      </x:c>
      <x:c r="C2867" s="2" t="str">
        <x:v>W BLOOMFIELD</x:v>
      </x:c>
      <x:c r="D2867" s="2" t="str">
        <x:v>MI</x:v>
      </x:c>
      <x:c r="E2867" s="2" t="str">
        <x:v>Acute Care Hospitals</x:v>
      </x:c>
      <x:c r="F2867" s="2" t="str">
        <x:v>Voluntary non-profit</x:v>
      </x:c>
      <x:c r="G2867" s="2" t="str">
        <x:v>Medium (100-299 beds)</x:v>
      </x:c>
      <x:c r="H2867" s="7" t="n">
        <x:v>3</x:v>
      </x:c>
      <x:c r="I2867" s="7" t="n">
        <x:v>3</x:v>
      </x:c>
      <x:c r="J2867" s="7" t="n">
        <x:v>0.9</x:v>
      </x:c>
      <x:c r="K2867" s="8" t="n">
        <x:v>191</x:v>
      </x:c>
      <x:c r="L2867" s="8" t="n">
        <x:v>15365</x:v>
      </x:c>
      <x:c r="M2867" s="9" t="n">
        <x:v>0.8488398707</x:v>
      </x:c>
      <x:c r="N2867" s="10" t="n">
        <x:v>31274.349105109</x:v>
      </x:c>
      <x:c r="O2867" s="9" t="n">
        <x:v>0.0462512147</x:v>
      </x:c>
      <x:c r="P2867" s="9" t="n">
        <x:v>0.4197229014</x:v>
      </x:c>
      <x:c r="Q2867" s="9" t="n">
        <x:v>0.3023634882</x:v>
      </x:c>
      <x:c r="R2867" s="3" t="b">
        <x:v>0</x:v>
      </x:c>
      <x:c r="S2867" s="3" t="b">
        <x:v>0</x:v>
      </x:c>
      <x:c r="T2867" s="3" t="b">
        <x:v>0</x:v>
      </x:c>
      <x:c r="U2867" s="2" t="str">
        <x:f>IF(T2867=TRUE,"Priority review",IF(R2867=TRUE,"High cost",IF(S2867=TRUE,"Low quality","Benchmark")))</x:f>
        <x:v>Benchmark</x:v>
      </x:c>
    </x:row>
    <x:row r="2868">
      <x:c r="A2868" s="2" t="str">
        <x:v>230130</x:v>
      </x:c>
      <x:c r="B2868" s="2" t="str">
        <x:v>BEAUMONT HOSPITAL ROYAL OAK</x:v>
      </x:c>
      <x:c r="C2868" s="2" t="str">
        <x:v>ROYAL OAK</x:v>
      </x:c>
      <x:c r="D2868" s="2" t="str">
        <x:v>MI</x:v>
      </x:c>
      <x:c r="E2868" s="2" t="str">
        <x:v>Acute Care Hospitals</x:v>
      </x:c>
      <x:c r="F2868" s="2" t="str">
        <x:v>Voluntary non-profit</x:v>
      </x:c>
      <x:c r="G2868" s="2" t="str">
        <x:v>Large (300+ beds)</x:v>
      </x:c>
      <x:c r="H2868" s="7" t="n">
        <x:v>3</x:v>
      </x:c>
      <x:c r="I2868" s="7" t="n">
        <x:v>2</x:v>
      </x:c>
      <x:c r="J2868" s="7" t="n">
        <x:v>1</x:v>
      </x:c>
      <x:c r="K2868" s="8" t="n">
        <x:v>1026</x:v>
      </x:c>
      <x:c r="L2868" s="8" t="n">
        <x:v>47856</x:v>
      </x:c>
      <x:c r="M2868" s="9" t="n">
        <x:v>0.7512053471</x:v>
      </x:c>
      <x:c r="N2868" s="10" t="n">
        <x:v>35504.7493940154</x:v>
      </x:c>
      <x:c r="O2868" s="9" t="n">
        <x:v>0.0059732624</x:v>
      </x:c>
      <x:c r="P2868" s="9" t="n">
        <x:v>0.4195583596</x:v>
      </x:c>
      <x:c r="Q2868" s="9" t="n">
        <x:v>0.2570977918</x:v>
      </x:c>
      <x:c r="R2868" s="3" t="b">
        <x:v>0</x:v>
      </x:c>
      <x:c r="S2868" s="3" t="b">
        <x:v>0</x:v>
      </x:c>
      <x:c r="T2868" s="3" t="b">
        <x:v>0</x:v>
      </x:c>
      <x:c r="U2868" s="2" t="str">
        <x:f>IF(T2868=TRUE,"Priority review",IF(R2868=TRUE,"High cost",IF(S2868=TRUE,"Low quality","Benchmark")))</x:f>
        <x:v>Benchmark</x:v>
      </x:c>
    </x:row>
    <x:row r="2869">
      <x:c r="A2869" s="2" t="str">
        <x:v>331317</x:v>
      </x:c>
      <x:c r="B2869" s="2" t="str">
        <x:v>LEWIS COUNTY GENERAL HOSPITAL</x:v>
      </x:c>
      <x:c r="C2869" s="2" t="str">
        <x:v>LOWVILLE</x:v>
      </x:c>
      <x:c r="D2869" s="2" t="str">
        <x:v>NY</x:v>
      </x:c>
      <x:c r="E2869" s="2" t="str">
        <x:v>Critical Access Hospitals</x:v>
      </x:c>
      <x:c r="F2869" s="2" t="str">
        <x:v>Government</x:v>
      </x:c>
      <x:c r="G2869" s="2" t="str">
        <x:v>Small (&lt;100 beds)</x:v>
      </x:c>
      <x:c r="H2869" s="7"/>
      <x:c r="I2869" s="7"/>
      <x:c r="J2869" s="7"/>
      <x:c r="K2869" s="8" t="n">
        <x:v>25</x:v>
      </x:c>
      <x:c r="L2869" s="8" t="n">
        <x:v>936</x:v>
      </x:c>
      <x:c r="M2869" s="9" t="n">
        <x:v>0.4945355191</x:v>
      </x:c>
      <x:c r="N2869" s="10" t="n">
        <x:v>115828.2083333333</x:v>
      </x:c>
      <x:c r="O2869" s="9" t="n">
        <x:v>-0.0720870306</x:v>
      </x:c>
      <x:c r="P2869" s="9" t="n">
        <x:v>0.419330855</x:v>
      </x:c>
      <x:c r="Q2869" s="9" t="n">
        <x:v>0.292936803</x:v>
      </x:c>
      <x:c r="R2869" s="3" t="b">
        <x:v>0</x:v>
      </x:c>
      <x:c r="S2869" s="3" t="b">
        <x:v>0</x:v>
      </x:c>
      <x:c r="T2869" s="3" t="b">
        <x:v>0</x:v>
      </x:c>
      <x:c r="U2869" s="2" t="str">
        <x:f>IF(T2869=TRUE,"Priority review",IF(R2869=TRUE,"High cost",IF(S2869=TRUE,"Low quality","Benchmark")))</x:f>
        <x:v>Benchmark</x:v>
      </x:c>
    </x:row>
    <x:row r="2870">
      <x:c r="A2870" s="2" t="str">
        <x:v>330111</x:v>
      </x:c>
      <x:c r="B2870" s="2" t="str">
        <x:v>BERTRAND CHAFFEE HOSPITAL</x:v>
      </x:c>
      <x:c r="C2870" s="2" t="str">
        <x:v>SPRINGVILLE</x:v>
      </x:c>
      <x:c r="D2870" s="2" t="str">
        <x:v>NY</x:v>
      </x:c>
      <x:c r="E2870" s="2" t="str">
        <x:v>Acute Care Hospitals</x:v>
      </x:c>
      <x:c r="F2870" s="2" t="str">
        <x:v>Voluntary non-profit</x:v>
      </x:c>
      <x:c r="G2870" s="2" t="str">
        <x:v>Small (&lt;100 beds)</x:v>
      </x:c>
      <x:c r="H2870" s="7"/>
      <x:c r="I2870" s="7" t="n">
        <x:v>3</x:v>
      </x:c>
      <x:c r="J2870" s="7" t="n">
        <x:v>0.82</x:v>
      </x:c>
      <x:c r="K2870" s="8" t="n">
        <x:v>23</x:v>
      </x:c>
      <x:c r="L2870" s="8" t="n">
        <x:v>825</x:v>
      </x:c>
      <x:c r="M2870" s="9" t="n">
        <x:v>0.2492278451</x:v>
      </x:c>
      <x:c r="N2870" s="10" t="n">
        <x:v>46013.7733333333</x:v>
      </x:c>
      <x:c r="O2870" s="9" t="n">
        <x:v>-0.2201351782</x:v>
      </x:c>
      <x:c r="P2870" s="9" t="n">
        <x:v>0.4192100539</x:v>
      </x:c>
      <x:c r="Q2870" s="9" t="n">
        <x:v>0.697486535</x:v>
      </x:c>
      <x:c r="R2870" s="3" t="b">
        <x:v>0</x:v>
      </x:c>
      <x:c r="S2870" s="3" t="b">
        <x:v>0</x:v>
      </x:c>
      <x:c r="T2870" s="3" t="b">
        <x:v>0</x:v>
      </x:c>
      <x:c r="U2870" s="2" t="str">
        <x:f>IF(T2870=TRUE,"Priority review",IF(R2870=TRUE,"High cost",IF(S2870=TRUE,"Low quality","Benchmark")))</x:f>
        <x:v>Benchmark</x:v>
      </x:c>
    </x:row>
    <x:row r="2871">
      <x:c r="A2871" s="2" t="str">
        <x:v>490119</x:v>
      </x:c>
      <x:c r="B2871" s="2" t="str">
        <x:v>SENTARA PRINCESS ANNE HOSPITAL</x:v>
      </x:c>
      <x:c r="C2871" s="2" t="str">
        <x:v>VIRGINIA BEACH</x:v>
      </x:c>
      <x:c r="D2871" s="2" t="str">
        <x:v>VA</x:v>
      </x:c>
      <x:c r="E2871" s="2" t="str">
        <x:v>Acute Care Hospitals</x:v>
      </x:c>
      <x:c r="F2871" s="2" t="str">
        <x:v>Voluntary non-profit</x:v>
      </x:c>
      <x:c r="G2871" s="2" t="str">
        <x:v>Medium (100-299 beds)</x:v>
      </x:c>
      <x:c r="H2871" s="7" t="n">
        <x:v>5</x:v>
      </x:c>
      <x:c r="I2871" s="7" t="n">
        <x:v>4</x:v>
      </x:c>
      <x:c r="J2871" s="7" t="n">
        <x:v>0.91</x:v>
      </x:c>
      <x:c r="K2871" s="8" t="n">
        <x:v>174</x:v>
      </x:c>
      <x:c r="L2871" s="8" t="n">
        <x:v>12760</x:v>
      </x:c>
      <x:c r="M2871" s="9" t="n">
        <x:v>0.9631932668</x:v>
      </x:c>
      <x:c r="N2871" s="10" t="n">
        <x:v>31264.7782131661</x:v>
      </x:c>
      <x:c r="O2871" s="9" t="n">
        <x:v>0.1220995358</x:v>
      </x:c>
      <x:c r="P2871" s="9" t="n">
        <x:v>0.4189079055</x:v>
      </x:c>
      <x:c r="Q2871" s="9" t="n">
        <x:v>0.8744906275</x:v>
      </x:c>
      <x:c r="R2871" s="3" t="b">
        <x:v>0</x:v>
      </x:c>
      <x:c r="S2871" s="3" t="b">
        <x:v>0</x:v>
      </x:c>
      <x:c r="T2871" s="3" t="b">
        <x:v>0</x:v>
      </x:c>
      <x:c r="U2871" s="2" t="str">
        <x:f>IF(T2871=TRUE,"Priority review",IF(R2871=TRUE,"High cost",IF(S2871=TRUE,"Low quality","Benchmark")))</x:f>
        <x:v>Benchmark</x:v>
      </x:c>
    </x:row>
    <x:row r="2872">
      <x:c r="A2872" s="2" t="str">
        <x:v>241364</x:v>
      </x:c>
      <x:c r="B2872" s="2" t="str">
        <x:v>COMMUNITY MEMORIAL HOSPITAL</x:v>
      </x:c>
      <x:c r="C2872" s="2" t="str">
        <x:v>CLOQUET</x:v>
      </x:c>
      <x:c r="D2872" s="2" t="str">
        <x:v>MN</x:v>
      </x:c>
      <x:c r="E2872" s="2" t="str">
        <x:v>Critical Access Hospitals</x:v>
      </x:c>
      <x:c r="F2872" s="2" t="str">
        <x:v>Voluntary non-profit</x:v>
      </x:c>
      <x:c r="G2872" s="2" t="str">
        <x:v>Small (&lt;100 beds)</x:v>
      </x:c>
      <x:c r="H2872" s="7"/>
      <x:c r="I2872" s="7" t="n">
        <x:v>4</x:v>
      </x:c>
      <x:c r="J2872" s="7"/>
      <x:c r="K2872" s="8" t="n">
        <x:v>22</x:v>
      </x:c>
      <x:c r="L2872" s="8" t="n">
        <x:v>631</x:v>
      </x:c>
      <x:c r="M2872" s="9" t="n">
        <x:v>0.2989319424</x:v>
      </x:c>
      <x:c r="N2872" s="10" t="n">
        <x:v>115772.2884310618</x:v>
      </x:c>
      <x:c r="O2872" s="9" t="n">
        <x:v>-0.05113778</x:v>
      </x:c>
      <x:c r="P2872" s="9" t="n">
        <x:v>0.4185873606</x:v>
      </x:c>
      <x:c r="Q2872" s="9" t="n">
        <x:v>0.292936803</x:v>
      </x:c>
      <x:c r="R2872" s="3" t="b">
        <x:v>0</x:v>
      </x:c>
      <x:c r="S2872" s="3" t="b">
        <x:v>0</x:v>
      </x:c>
      <x:c r="T2872" s="3" t="b">
        <x:v>0</x:v>
      </x:c>
      <x:c r="U2872" s="2" t="str">
        <x:f>IF(T2872=TRUE,"Priority review",IF(R2872=TRUE,"High cost",IF(S2872=TRUE,"Low quality","Benchmark")))</x:f>
        <x:v>Benchmark</x:v>
      </x:c>
    </x:row>
    <x:row r="2873">
      <x:c r="A2873" s="2" t="str">
        <x:v>220098</x:v>
      </x:c>
      <x:c r="B2873" s="2" t="str">
        <x:v>NASHOBA VALLEY MEDICAL CENTER</x:v>
      </x:c>
      <x:c r="C2873" s="2" t="str">
        <x:v>AYER</x:v>
      </x:c>
      <x:c r="D2873" s="2" t="str">
        <x:v>MA</x:v>
      </x:c>
      <x:c r="E2873" s="2" t="str">
        <x:v>Acute Care Hospitals</x:v>
      </x:c>
      <x:c r="F2873" s="2" t="str">
        <x:v>Proprietary</x:v>
      </x:c>
      <x:c r="G2873" s="2" t="str">
        <x:v>Small (&lt;100 beds)</x:v>
      </x:c>
      <x:c r="H2873" s="7"/>
      <x:c r="I2873" s="7"/>
      <x:c r="J2873" s="7"/>
      <x:c r="K2873" s="8" t="n">
        <x:v>57</x:v>
      </x:c>
      <x:c r="L2873" s="8" t="n">
        <x:v>958</x:v>
      </x:c>
      <x:c r="M2873" s="9" t="n">
        <x:v>0.2217168435</x:v>
      </x:c>
      <x:c r="N2873" s="10" t="n">
        <x:v>45976.5762004175</x:v>
      </x:c>
      <x:c r="O2873" s="9" t="n">
        <x:v>-0.1519791218</x:v>
      </x:c>
      <x:c r="P2873" s="9" t="n">
        <x:v>0.4183123878</x:v>
      </x:c>
      <x:c r="Q2873" s="9" t="n">
        <x:v>0.697486535</x:v>
      </x:c>
      <x:c r="R2873" s="3" t="b">
        <x:v>0</x:v>
      </x:c>
      <x:c r="S2873" s="3" t="b">
        <x:v>0</x:v>
      </x:c>
      <x:c r="T2873" s="3" t="b">
        <x:v>0</x:v>
      </x:c>
      <x:c r="U2873" s="2" t="str">
        <x:f>IF(T2873=TRUE,"Priority review",IF(R2873=TRUE,"High cost",IF(S2873=TRUE,"Low quality","Benchmark")))</x:f>
        <x:v>Benchmark</x:v>
      </x:c>
    </x:row>
    <x:row r="2874">
      <x:c r="A2874" s="2" t="str">
        <x:v>230146</x:v>
      </x:c>
      <x:c r="B2874" s="2" t="str">
        <x:v>WYANDOTTE HOSPITAL AND MEDICAL CENTER</x:v>
      </x:c>
      <x:c r="C2874" s="2" t="str">
        <x:v>WYANDOTTE</x:v>
      </x:c>
      <x:c r="D2874" s="2" t="str">
        <x:v>MI</x:v>
      </x:c>
      <x:c r="E2874" s="2" t="str">
        <x:v>Acute Care Hospitals</x:v>
      </x:c>
      <x:c r="F2874" s="2" t="str">
        <x:v>Voluntary non-profit</x:v>
      </x:c>
      <x:c r="G2874" s="2" t="str">
        <x:v>Medium (100-299 beds)</x:v>
      </x:c>
      <x:c r="H2874" s="7" t="n">
        <x:v>2</x:v>
      </x:c>
      <x:c r="I2874" s="7" t="n">
        <x:v>2</x:v>
      </x:c>
      <x:c r="J2874" s="7" t="n">
        <x:v>1.04</x:v>
      </x:c>
      <x:c r="K2874" s="8" t="n">
        <x:v>281</x:v>
      </x:c>
      <x:c r="L2874" s="8" t="n">
        <x:v>13537</x:v>
      </x:c>
      <x:c r="M2874" s="9" t="n">
        <x:v>0.5636096688</x:v>
      </x:c>
      <x:c r="N2874" s="10" t="n">
        <x:v>31211.9068478984</x:v>
      </x:c>
      <x:c r="O2874" s="9" t="n">
        <x:v>0.0525305074</x:v>
      </x:c>
      <x:c r="P2874" s="9" t="n">
        <x:v>0.4180929095</x:v>
      </x:c>
      <x:c r="Q2874" s="9" t="n">
        <x:v>0.0782396088</x:v>
      </x:c>
      <x:c r="R2874" s="3" t="b">
        <x:v>0</x:v>
      </x:c>
      <x:c r="S2874" s="3" t="b">
        <x:v>1</x:v>
      </x:c>
      <x:c r="T2874" s="3" t="b">
        <x:v>0</x:v>
      </x:c>
      <x:c r="U2874" s="2" t="str">
        <x:f>IF(T2874=TRUE,"Priority review",IF(R2874=TRUE,"High cost",IF(S2874=TRUE,"Low quality","Benchmark")))</x:f>
        <x:v>Low quality</x:v>
      </x:c>
    </x:row>
    <x:row r="2875">
      <x:c r="A2875" s="2" t="str">
        <x:v>340040</x:v>
      </x:c>
      <x:c r="B2875" s="2" t="str">
        <x:v>ECU HEALTH MEDICAL CENTER</x:v>
      </x:c>
      <x:c r="C2875" s="2" t="str">
        <x:v>GREENVILLE</x:v>
      </x:c>
      <x:c r="D2875" s="2" t="str">
        <x:v>NC</x:v>
      </x:c>
      <x:c r="E2875" s="2" t="str">
        <x:v>Acute Care Hospitals</x:v>
      </x:c>
      <x:c r="F2875" s="2" t="str">
        <x:v>Voluntary non-profit</x:v>
      </x:c>
      <x:c r="G2875" s="2" t="str">
        <x:v>Large (300+ beds)</x:v>
      </x:c>
      <x:c r="H2875" s="7" t="n">
        <x:v>2</x:v>
      </x:c>
      <x:c r="I2875" s="7" t="n">
        <x:v>3</x:v>
      </x:c>
      <x:c r="J2875" s="7" t="n">
        <x:v>0.99</x:v>
      </x:c>
      <x:c r="K2875" s="8" t="n">
        <x:v>1013</x:v>
      </x:c>
      <x:c r="L2875" s="8" t="n">
        <x:v>46861</x:v>
      </x:c>
      <x:c r="M2875" s="9" t="n">
        <x:v>0.7168988936</x:v>
      </x:c>
      <x:c r="N2875" s="10" t="n">
        <x:v>35498.4608096285</x:v>
      </x:c>
      <x:c r="O2875" s="9" t="n">
        <x:v>0.0607008495</x:v>
      </x:c>
      <x:c r="P2875" s="9" t="n">
        <x:v>0.4179810726</x:v>
      </x:c>
      <x:c r="Q2875" s="9" t="n">
        <x:v>0.0536277603</x:v>
      </x:c>
      <x:c r="R2875" s="3" t="b">
        <x:v>0</x:v>
      </x:c>
      <x:c r="S2875" s="3" t="b">
        <x:v>1</x:v>
      </x:c>
      <x:c r="T2875" s="3" t="b">
        <x:v>0</x:v>
      </x:c>
      <x:c r="U2875" s="2" t="str">
        <x:f>IF(T2875=TRUE,"Priority review",IF(R2875=TRUE,"High cost",IF(S2875=TRUE,"Low quality","Benchmark")))</x:f>
        <x:v>Low quality</x:v>
      </x:c>
    </x:row>
    <x:row r="2876">
      <x:c r="A2876" s="2" t="str">
        <x:v>264012</x:v>
      </x:c>
      <x:c r="B2876" s="2" t="str">
        <x:v>CENTERPOINTE HOSPITAL</x:v>
      </x:c>
      <x:c r="C2876" s="2" t="str">
        <x:v>SAINT CHARLES</x:v>
      </x:c>
      <x:c r="D2876" s="2" t="str">
        <x:v>MO</x:v>
      </x:c>
      <x:c r="E2876" s="2" t="str">
        <x:v>Psychiatric</x:v>
      </x:c>
      <x:c r="F2876" s="2" t="str">
        <x:v>Proprietary</x:v>
      </x:c>
      <x:c r="G2876" s="2" t="str">
        <x:v>Medium (100-299 beds)</x:v>
      </x:c>
      <x:c r="H2876" s="7"/>
      <x:c r="I2876" s="7"/>
      <x:c r="J2876" s="7"/>
      <x:c r="K2876" s="8" t="n">
        <x:v>104</x:v>
      </x:c>
      <x:c r="L2876" s="8" t="n">
        <x:v>3669</x:v>
      </x:c>
      <x:c r="M2876" s="9" t="n">
        <x:v>0.8365647331</x:v>
      </x:c>
      <x:c r="N2876" s="10" t="n">
        <x:v>9651.1120196239</x:v>
      </x:c>
      <x:c r="O2876" s="9" t="n">
        <x:v>-0.0805926909</x:v>
      </x:c>
      <x:c r="P2876" s="9" t="n">
        <x:v>0.4179104478</x:v>
      </x:c>
      <x:c r="Q2876" s="9" t="n">
        <x:v>0</x:v>
      </x:c>
      <x:c r="R2876" s="3" t="b">
        <x:v>0</x:v>
      </x:c>
      <x:c r="S2876" s="3" t="b">
        <x:v>0</x:v>
      </x:c>
      <x:c r="T2876" s="3" t="b">
        <x:v>0</x:v>
      </x:c>
      <x:c r="U2876" s="2" t="str">
        <x:f>IF(T2876=TRUE,"Priority review",IF(R2876=TRUE,"High cost",IF(S2876=TRUE,"Low quality","Benchmark")))</x:f>
        <x:v>Benchmark</x:v>
      </x:c>
    </x:row>
    <x:row r="2877">
      <x:c r="A2877" s="2" t="str">
        <x:v>161338</x:v>
      </x:c>
      <x:c r="B2877" s="2" t="str">
        <x:v>MERCYONE OELWEIN MEDICAL CENTER</x:v>
      </x:c>
      <x:c r="C2877" s="2" t="str">
        <x:v>OELWEIN</x:v>
      </x:c>
      <x:c r="D2877" s="2" t="str">
        <x:v>IA</x:v>
      </x:c>
      <x:c r="E2877" s="2" t="str">
        <x:v>Critical Access Hospitals</x:v>
      </x:c>
      <x:c r="F2877" s="2" t="str">
        <x:v>Voluntary non-profit</x:v>
      </x:c>
      <x:c r="G2877" s="2" t="str">
        <x:v>Small (&lt;100 beds)</x:v>
      </x:c>
      <x:c r="H2877" s="7"/>
      <x:c r="I2877" s="7"/>
      <x:c r="J2877" s="7"/>
      <x:c r="K2877" s="8" t="n">
        <x:v>17</x:v>
      </x:c>
      <x:c r="L2877" s="8" t="n">
        <x:v>139</x:v>
      </x:c>
      <x:c r="M2877" s="9" t="n">
        <x:v>0.1824335214</x:v>
      </x:c>
      <x:c r="N2877" s="10" t="n">
        <x:v>115596.5539568345</x:v>
      </x:c>
      <x:c r="O2877" s="9" t="n">
        <x:v>0.1722690747</x:v>
      </x:c>
      <x:c r="P2877" s="9" t="n">
        <x:v>0.4178438662</x:v>
      </x:c>
      <x:c r="Q2877" s="9" t="n">
        <x:v>0.292936803</x:v>
      </x:c>
      <x:c r="R2877" s="3" t="b">
        <x:v>0</x:v>
      </x:c>
      <x:c r="S2877" s="3" t="b">
        <x:v>0</x:v>
      </x:c>
      <x:c r="T2877" s="3" t="b">
        <x:v>0</x:v>
      </x:c>
      <x:c r="U2877" s="2" t="str">
        <x:f>IF(T2877=TRUE,"Priority review",IF(R2877=TRUE,"High cost",IF(S2877=TRUE,"Low quality","Benchmark")))</x:f>
        <x:v>Benchmark</x:v>
      </x:c>
    </x:row>
    <x:row r="2878">
      <x:c r="A2878" s="2" t="str">
        <x:v>344034</x:v>
      </x:c>
      <x:c r="B2878" s="2" t="str">
        <x:v>APPALACHIAN REGIONAL BEHAVIORAL HEALTHCARE</x:v>
      </x:c>
      <x:c r="C2878" s="2" t="str">
        <x:v>LINVILLE</x:v>
      </x:c>
      <x:c r="D2878" s="2" t="str">
        <x:v>NC</x:v>
      </x:c>
      <x:c r="E2878" s="2" t="str">
        <x:v>Psychiatric</x:v>
      </x:c>
      <x:c r="F2878" s="2" t="str">
        <x:v>Voluntary non-profit</x:v>
      </x:c>
      <x:c r="G2878" s="2" t="str">
        <x:v>Small (&lt;100 beds)</x:v>
      </x:c>
      <x:c r="H2878" s="7"/>
      <x:c r="I2878" s="7"/>
      <x:c r="J2878" s="7"/>
      <x:c r="K2878" s="8" t="n">
        <x:v>37</x:v>
      </x:c>
      <x:c r="L2878" s="8" t="n">
        <x:v>858</x:v>
      </x:c>
      <x:c r="M2878" s="9" t="n">
        <x:v>0.4357645317</x:v>
      </x:c>
      <x:c r="N2878" s="10" t="n">
        <x:v>10535.3916083916</x:v>
      </x:c>
      <x:c r="O2878" s="9" t="n">
        <x:v>-0.1781201488</x:v>
      </x:c>
      <x:c r="P2878" s="9" t="n">
        <x:v>0.4174757282</x:v>
      </x:c>
      <x:c r="Q2878" s="9" t="n">
        <x:v>0</x:v>
      </x:c>
      <x:c r="R2878" s="3" t="b">
        <x:v>0</x:v>
      </x:c>
      <x:c r="S2878" s="3" t="b">
        <x:v>0</x:v>
      </x:c>
      <x:c r="T2878" s="3" t="b">
        <x:v>0</x:v>
      </x:c>
      <x:c r="U2878" s="2" t="str">
        <x:f>IF(T2878=TRUE,"Priority review",IF(R2878=TRUE,"High cost",IF(S2878=TRUE,"Low quality","Benchmark")))</x:f>
        <x:v>Benchmark</x:v>
      </x:c>
    </x:row>
    <x:row r="2879">
      <x:c r="A2879" s="2" t="str">
        <x:v>180020</x:v>
      </x:c>
      <x:c r="B2879" s="2" t="str">
        <x:v>MIDDLESBORO ARH HOSPITAL</x:v>
      </x:c>
      <x:c r="C2879" s="2" t="str">
        <x:v>MIDDLESBORO</x:v>
      </x:c>
      <x:c r="D2879" s="2" t="str">
        <x:v>KY</x:v>
      </x:c>
      <x:c r="E2879" s="2" t="str">
        <x:v>Acute Care Hospitals</x:v>
      </x:c>
      <x:c r="F2879" s="2" t="str">
        <x:v>Voluntary non-profit</x:v>
      </x:c>
      <x:c r="G2879" s="2" t="str">
        <x:v>Small (&lt;100 beds)</x:v>
      </x:c>
      <x:c r="H2879" s="7" t="n">
        <x:v>1</x:v>
      </x:c>
      <x:c r="I2879" s="7" t="n">
        <x:v>3</x:v>
      </x:c>
      <x:c r="J2879" s="7" t="n">
        <x:v>1.09</x:v>
      </x:c>
      <x:c r="K2879" s="8" t="n">
        <x:v>46</x:v>
      </x:c>
      <x:c r="L2879" s="8" t="n">
        <x:v>1271</x:v>
      </x:c>
      <x:c r="M2879" s="9" t="n">
        <x:v>0.3398451459</x:v>
      </x:c>
      <x:c r="N2879" s="10" t="n">
        <x:v>45947.6443745083</x:v>
      </x:c>
      <x:c r="O2879" s="9" t="n">
        <x:v>-0.0736437294</x:v>
      </x:c>
      <x:c r="P2879" s="9" t="n">
        <x:v>0.4174147217</x:v>
      </x:c>
      <x:c r="Q2879" s="9" t="n">
        <x:v>0</x:v>
      </x:c>
      <x:c r="R2879" s="3" t="b">
        <x:v>0</x:v>
      </x:c>
      <x:c r="S2879" s="3" t="b">
        <x:v>1</x:v>
      </x:c>
      <x:c r="T2879" s="3" t="b">
        <x:v>0</x:v>
      </x:c>
      <x:c r="U2879" s="2" t="str">
        <x:f>IF(T2879=TRUE,"Priority review",IF(R2879=TRUE,"High cost",IF(S2879=TRUE,"Low quality","Benchmark")))</x:f>
        <x:v>Low quality</x:v>
      </x:c>
    </x:row>
    <x:row r="2880">
      <x:c r="A2880" s="2" t="str">
        <x:v>040039</x:v>
      </x:c>
      <x:c r="B2880" s="2" t="str">
        <x:v>ARKANSAS METHODIST MEDICAL CENTER</x:v>
      </x:c>
      <x:c r="C2880" s="2" t="str">
        <x:v>PARAGOULD</x:v>
      </x:c>
      <x:c r="D2880" s="2" t="str">
        <x:v>AR</x:v>
      </x:c>
      <x:c r="E2880" s="2" t="str">
        <x:v>Acute Care Hospitals</x:v>
      </x:c>
      <x:c r="F2880" s="2" t="str">
        <x:v>Voluntary non-profit</x:v>
      </x:c>
      <x:c r="G2880" s="2" t="str">
        <x:v>Medium (100-299 beds)</x:v>
      </x:c>
      <x:c r="H2880" s="7" t="n">
        <x:v>2</x:v>
      </x:c>
      <x:c r="I2880" s="7" t="n">
        <x:v>3</x:v>
      </x:c>
      <x:c r="J2880" s="7" t="n">
        <x:v>1.12</x:v>
      </x:c>
      <x:c r="K2880" s="8" t="n">
        <x:v>114</x:v>
      </x:c>
      <x:c r="L2880" s="8" t="n">
        <x:v>2696</x:v>
      </x:c>
      <x:c r="M2880" s="9" t="n">
        <x:v>0.20814708</x:v>
      </x:c>
      <x:c r="N2880" s="10" t="n">
        <x:v>31182.193620178</x:v>
      </x:c>
      <x:c r="O2880" s="9" t="n">
        <x:v>-0.168350111</x:v>
      </x:c>
      <x:c r="P2880" s="9" t="n">
        <x:v>0.4172779136</x:v>
      </x:c>
      <x:c r="Q2880" s="9" t="n">
        <x:v>0.0782396088</x:v>
      </x:c>
      <x:c r="R2880" s="3" t="b">
        <x:v>0</x:v>
      </x:c>
      <x:c r="S2880" s="3" t="b">
        <x:v>1</x:v>
      </x:c>
      <x:c r="T2880" s="3" t="b">
        <x:v>0</x:v>
      </x:c>
      <x:c r="U2880" s="2" t="str">
        <x:f>IF(T2880=TRUE,"Priority review",IF(R2880=TRUE,"High cost",IF(S2880=TRUE,"Low quality","Benchmark")))</x:f>
        <x:v>Low quality</x:v>
      </x:c>
    </x:row>
    <x:row r="2881">
      <x:c r="A2881" s="2" t="str">
        <x:v>161351</x:v>
      </x:c>
      <x:c r="B2881" s="2" t="str">
        <x:v>AVERA HOLY FAMILY HOSPITAL</x:v>
      </x:c>
      <x:c r="C2881" s="2" t="str">
        <x:v>ESTHERVILLE</x:v>
      </x:c>
      <x:c r="D2881" s="2" t="str">
        <x:v>IA</x:v>
      </x:c>
      <x:c r="E2881" s="2" t="str">
        <x:v>Critical Access Hospitals</x:v>
      </x:c>
      <x:c r="F2881" s="2" t="str">
        <x:v>Voluntary non-profit</x:v>
      </x:c>
      <x:c r="G2881" s="2" t="str">
        <x:v>Small (&lt;100 beds)</x:v>
      </x:c>
      <x:c r="H2881" s="7" t="n">
        <x:v>2</x:v>
      </x:c>
      <x:c r="I2881" s="7"/>
      <x:c r="J2881" s="7"/>
      <x:c r="K2881" s="8" t="n">
        <x:v>22</x:v>
      </x:c>
      <x:c r="L2881" s="8" t="n">
        <x:v>270</x:v>
      </x:c>
      <x:c r="M2881" s="9" t="n">
        <x:v>0.199626401</x:v>
      </x:c>
      <x:c r="N2881" s="10" t="n">
        <x:v>115510.3</x:v>
      </x:c>
      <x:c r="O2881" s="9" t="n">
        <x:v>0.0372545708</x:v>
      </x:c>
      <x:c r="P2881" s="9" t="n">
        <x:v>0.4171003717</x:v>
      </x:c>
      <x:c r="Q2881" s="9" t="n">
        <x:v>0.0171003717</x:v>
      </x:c>
      <x:c r="R2881" s="3" t="b">
        <x:v>0</x:v>
      </x:c>
      <x:c r="S2881" s="3" t="b">
        <x:v>1</x:v>
      </x:c>
      <x:c r="T2881" s="3" t="b">
        <x:v>0</x:v>
      </x:c>
      <x:c r="U2881" s="2" t="str">
        <x:f>IF(T2881=TRUE,"Priority review",IF(R2881=TRUE,"High cost",IF(S2881=TRUE,"Low quality","Benchmark")))</x:f>
        <x:v>Low quality</x:v>
      </x:c>
    </x:row>
    <x:row r="2882">
      <x:c r="A2882" s="2" t="str">
        <x:v>443303</x:v>
      </x:c>
      <x:c r="B2882" s="2" t="str">
        <x:v>EAST TENNESSEE CHILDRENS HOSPITAL</x:v>
      </x:c>
      <x:c r="C2882" s="2" t="str">
        <x:v>KNOXVILLE</x:v>
      </x:c>
      <x:c r="D2882" s="2" t="str">
        <x:v>TN</x:v>
      </x:c>
      <x:c r="E2882" s="2" t="str">
        <x:v>Childrens</x:v>
      </x:c>
      <x:c r="F2882" s="2" t="str">
        <x:v>Voluntary non-profit</x:v>
      </x:c>
      <x:c r="G2882" s="2" t="str">
        <x:v>Medium (100-299 beds)</x:v>
      </x:c>
      <x:c r="H2882" s="7"/>
      <x:c r="I2882" s="7"/>
      <x:c r="J2882" s="7"/>
      <x:c r="K2882" s="8" t="n">
        <x:v>152</x:v>
      </x:c>
      <x:c r="L2882" s="8" t="n">
        <x:v>4515</x:v>
      </x:c>
      <x:c r="M2882" s="9" t="n">
        <x:v>0.560147801</x:v>
      </x:c>
      <x:c r="N2882" s="10" t="n">
        <x:v>75540.7568106312</x:v>
      </x:c>
      <x:c r="O2882" s="9" t="n">
        <x:v>-0.0908899463</x:v>
      </x:c>
      <x:c r="P2882" s="9" t="n">
        <x:v>0.4166666667</x:v>
      </x:c>
      <x:c r="Q2882" s="9" t="n">
        <x:v>0</x:v>
      </x:c>
      <x:c r="R2882" s="3" t="b">
        <x:v>0</x:v>
      </x:c>
      <x:c r="S2882" s="3" t="b">
        <x:v>0</x:v>
      </x:c>
      <x:c r="T2882" s="3" t="b">
        <x:v>0</x:v>
      </x:c>
      <x:c r="U2882" s="2" t="str">
        <x:f>IF(T2882=TRUE,"Priority review",IF(R2882=TRUE,"High cost",IF(S2882=TRUE,"Low quality","Benchmark")))</x:f>
        <x:v>Benchmark</x:v>
      </x:c>
    </x:row>
    <x:row r="2883">
      <x:c r="A2883" s="2" t="str">
        <x:v>050232</x:v>
      </x:c>
      <x:c r="B2883" s="2" t="str">
        <x:v>FRENCH HOSPITAL MEDICAL CENTER</x:v>
      </x:c>
      <x:c r="C2883" s="2" t="str">
        <x:v>SAN LUIS OBISPO</x:v>
      </x:c>
      <x:c r="D2883" s="2" t="str">
        <x:v>CA</x:v>
      </x:c>
      <x:c r="E2883" s="2" t="str">
        <x:v>Acute Care Hospitals</x:v>
      </x:c>
      <x:c r="F2883" s="2" t="str">
        <x:v>Voluntary non-profit</x:v>
      </x:c>
      <x:c r="G2883" s="2" t="str">
        <x:v>Small (&lt;100 beds)</x:v>
      </x:c>
      <x:c r="H2883" s="7" t="n">
        <x:v>5</x:v>
      </x:c>
      <x:c r="I2883" s="7" t="n">
        <x:v>3</x:v>
      </x:c>
      <x:c r="J2883" s="7" t="n">
        <x:v>0.93</x:v>
      </x:c>
      <x:c r="K2883" s="8" t="n">
        <x:v>98</x:v>
      </x:c>
      <x:c r="L2883" s="8" t="n">
        <x:v>5031</x:v>
      </x:c>
      <x:c r="M2883" s="9" t="n">
        <x:v>0.5761402922</x:v>
      </x:c>
      <x:c r="N2883" s="10" t="n">
        <x:v>45940.8062015504</x:v>
      </x:c>
      <x:c r="O2883" s="9" t="n">
        <x:v>0.0894757171</x:v>
      </x:c>
      <x:c r="P2883" s="9" t="n">
        <x:v>0.4165170557</x:v>
      </x:c>
      <x:c r="Q2883" s="9" t="n">
        <x:v>0.6131059246</x:v>
      </x:c>
      <x:c r="R2883" s="3" t="b">
        <x:v>0</x:v>
      </x:c>
      <x:c r="S2883" s="3" t="b">
        <x:v>0</x:v>
      </x:c>
      <x:c r="T2883" s="3" t="b">
        <x:v>0</x:v>
      </x:c>
      <x:c r="U2883" s="2" t="str">
        <x:f>IF(T2883=TRUE,"Priority review",IF(R2883=TRUE,"High cost",IF(S2883=TRUE,"Low quality","Benchmark")))</x:f>
        <x:v>Benchmark</x:v>
      </x:c>
    </x:row>
    <x:row r="2884">
      <x:c r="A2884" s="2" t="str">
        <x:v>230029</x:v>
      </x:c>
      <x:c r="B2884" s="2" t="str">
        <x:v>TRINITY HEALTH OAKLAND HOSPITAL</x:v>
      </x:c>
      <x:c r="C2884" s="2" t="str">
        <x:v>PONTIAC</x:v>
      </x:c>
      <x:c r="D2884" s="2" t="str">
        <x:v>MI</x:v>
      </x:c>
      <x:c r="E2884" s="2" t="str">
        <x:v>Acute Care Hospitals</x:v>
      </x:c>
      <x:c r="F2884" s="2" t="str">
        <x:v>Voluntary non-profit</x:v>
      </x:c>
      <x:c r="G2884" s="2" t="str">
        <x:v>Medium (100-299 beds)</x:v>
      </x:c>
      <x:c r="H2884" s="7" t="n">
        <x:v>2</x:v>
      </x:c>
      <x:c r="I2884" s="7" t="n">
        <x:v>3</x:v>
      </x:c>
      <x:c r="J2884" s="7" t="n">
        <x:v>0.99</x:v>
      </x:c>
      <x:c r="K2884" s="8" t="n">
        <x:v>298</x:v>
      </x:c>
      <x:c r="L2884" s="8" t="n">
        <x:v>17845</x:v>
      </x:c>
      <x:c r="M2884" s="9" t="n">
        <x:v>0.7767950722</x:v>
      </x:c>
      <x:c r="N2884" s="10" t="n">
        <x:v>31164.199495657</x:v>
      </x:c>
      <x:c r="O2884" s="9" t="n">
        <x:v>-0.0429864803</x:v>
      </x:c>
      <x:c r="P2884" s="9" t="n">
        <x:v>0.4164629177</x:v>
      </x:c>
      <x:c r="Q2884" s="9" t="n">
        <x:v>0.0782396088</x:v>
      </x:c>
      <x:c r="R2884" s="3" t="b">
        <x:v>0</x:v>
      </x:c>
      <x:c r="S2884" s="3" t="b">
        <x:v>1</x:v>
      </x:c>
      <x:c r="T2884" s="3" t="b">
        <x:v>0</x:v>
      </x:c>
      <x:c r="U2884" s="2" t="str">
        <x:f>IF(T2884=TRUE,"Priority review",IF(R2884=TRUE,"High cost",IF(S2884=TRUE,"Low quality","Benchmark")))</x:f>
        <x:v>Low quality</x:v>
      </x:c>
    </x:row>
    <x:row r="2885">
      <x:c r="A2885" s="2" t="str">
        <x:v>280060</x:v>
      </x:c>
      <x:c r="B2885" s="2" t="str">
        <x:v>CHI HEALTH BERGAN MERCY</x:v>
      </x:c>
      <x:c r="C2885" s="2" t="str">
        <x:v>OMAHA</x:v>
      </x:c>
      <x:c r="D2885" s="2" t="str">
        <x:v>NE</x:v>
      </x:c>
      <x:c r="E2885" s="2" t="str">
        <x:v>Acute Care Hospitals</x:v>
      </x:c>
      <x:c r="F2885" s="2" t="str">
        <x:v>Voluntary non-profit</x:v>
      </x:c>
      <x:c r="G2885" s="2" t="str">
        <x:v>Large (300+ beds)</x:v>
      </x:c>
      <x:c r="H2885" s="7" t="n">
        <x:v>4</x:v>
      </x:c>
      <x:c r="I2885" s="7" t="n">
        <x:v>3</x:v>
      </x:c>
      <x:c r="J2885" s="7" t="n">
        <x:v>1.02</x:v>
      </x:c>
      <x:c r="K2885" s="8" t="n">
        <x:v>389</x:v>
      </x:c>
      <x:c r="L2885" s="8" t="n">
        <x:v>18608</x:v>
      </x:c>
      <x:c r="M2885" s="9" t="n">
        <x:v>0.7429798922</x:v>
      </x:c>
      <x:c r="N2885" s="10" t="n">
        <x:v>35461.1213456578</x:v>
      </x:c>
      <x:c r="O2885" s="9" t="n">
        <x:v>0.0069971474</x:v>
      </x:c>
      <x:c r="P2885" s="9" t="n">
        <x:v>0.4164037855</x:v>
      </x:c>
      <x:c r="Q2885" s="9" t="n">
        <x:v>0.5899053628</x:v>
      </x:c>
      <x:c r="R2885" s="3" t="b">
        <x:v>0</x:v>
      </x:c>
      <x:c r="S2885" s="3" t="b">
        <x:v>0</x:v>
      </x:c>
      <x:c r="T2885" s="3" t="b">
        <x:v>0</x:v>
      </x:c>
      <x:c r="U2885" s="2" t="str">
        <x:f>IF(T2885=TRUE,"Priority review",IF(R2885=TRUE,"High cost",IF(S2885=TRUE,"Low quality","Benchmark")))</x:f>
        <x:v>Benchmark</x:v>
      </x:c>
    </x:row>
    <x:row r="2886">
      <x:c r="A2886" s="2" t="str">
        <x:v>381302</x:v>
      </x:c>
      <x:c r="B2886" s="2" t="str">
        <x:v>SAMARITAN NORTH LINCOLN HOSPITAL</x:v>
      </x:c>
      <x:c r="C2886" s="2" t="str">
        <x:v>LINCOLN CITY</x:v>
      </x:c>
      <x:c r="D2886" s="2" t="str">
        <x:v>OR</x:v>
      </x:c>
      <x:c r="E2886" s="2" t="str">
        <x:v>Critical Access Hospitals</x:v>
      </x:c>
      <x:c r="F2886" s="2" t="str">
        <x:v>Voluntary non-profit</x:v>
      </x:c>
      <x:c r="G2886" s="2" t="str">
        <x:v>Small (&lt;100 beds)</x:v>
      </x:c>
      <x:c r="H2886" s="7" t="n">
        <x:v>3</x:v>
      </x:c>
      <x:c r="I2886" s="7" t="n">
        <x:v>4</x:v>
      </x:c>
      <x:c r="J2886" s="7"/>
      <x:c r="K2886" s="8" t="n">
        <x:v>12</x:v>
      </x:c>
      <x:c r="L2886" s="8" t="n">
        <x:v>833</x:v>
      </x:c>
      <x:c r="M2886" s="9" t="n">
        <x:v>0.7818761384</x:v>
      </x:c>
      <x:c r="N2886" s="10" t="n">
        <x:v>115470.1320528211</x:v>
      </x:c>
      <x:c r="O2886" s="9" t="n">
        <x:v>-0.0452470861</x:v>
      </x:c>
      <x:c r="P2886" s="9" t="n">
        <x:v>0.4163568773</x:v>
      </x:c>
      <x:c r="Q2886" s="9" t="n">
        <x:v>0.0765799257</x:v>
      </x:c>
      <x:c r="R2886" s="3" t="b">
        <x:v>0</x:v>
      </x:c>
      <x:c r="S2886" s="3" t="b">
        <x:v>1</x:v>
      </x:c>
      <x:c r="T2886" s="3" t="b">
        <x:v>0</x:v>
      </x:c>
      <x:c r="U2886" s="2" t="str">
        <x:f>IF(T2886=TRUE,"Priority review",IF(R2886=TRUE,"High cost",IF(S2886=TRUE,"Low quality","Benchmark")))</x:f>
        <x:v>Low quality</x:v>
      </x:c>
    </x:row>
    <x:row r="2887">
      <x:c r="A2887" s="2" t="str">
        <x:v>140065</x:v>
      </x:c>
      <x:c r="B2887" s="2" t="str">
        <x:v>UCHICAGO MEDICINE ADVENTHEALTH LA GRANGE</x:v>
      </x:c>
      <x:c r="C2887" s="2" t="str">
        <x:v>LA GRANGE</x:v>
      </x:c>
      <x:c r="D2887" s="2" t="str">
        <x:v>IL</x:v>
      </x:c>
      <x:c r="E2887" s="2" t="str">
        <x:v>Acute Care Hospitals</x:v>
      </x:c>
      <x:c r="F2887" s="2" t="str">
        <x:v>Voluntary non-profit</x:v>
      </x:c>
      <x:c r="G2887" s="2" t="str">
        <x:v>Medium (100-299 beds)</x:v>
      </x:c>
      <x:c r="H2887" s="7" t="n">
        <x:v>5</x:v>
      </x:c>
      <x:c r="I2887" s="7" t="n">
        <x:v>4</x:v>
      </x:c>
      <x:c r="J2887" s="7" t="n">
        <x:v>1.07</x:v>
      </x:c>
      <x:c r="K2887" s="8" t="n">
        <x:v>168</x:v>
      </x:c>
      <x:c r="L2887" s="8" t="n">
        <x:v>7465</x:v>
      </x:c>
      <x:c r="M2887" s="9" t="n">
        <x:v>0.5022118137</x:v>
      </x:c>
      <x:c r="N2887" s="10" t="n">
        <x:v>31150.6253181514</x:v>
      </x:c>
      <x:c r="O2887" s="9" t="n">
        <x:v>-0.0979114852</x:v>
      </x:c>
      <x:c r="P2887" s="9" t="n">
        <x:v>0.4156479218</x:v>
      </x:c>
      <x:c r="Q2887" s="9" t="n">
        <x:v>0.8744906275</x:v>
      </x:c>
      <x:c r="R2887" s="3" t="b">
        <x:v>0</x:v>
      </x:c>
      <x:c r="S2887" s="3" t="b">
        <x:v>0</x:v>
      </x:c>
      <x:c r="T2887" s="3" t="b">
        <x:v>0</x:v>
      </x:c>
      <x:c r="U2887" s="2" t="str">
        <x:f>IF(T2887=TRUE,"Priority review",IF(R2887=TRUE,"High cost",IF(S2887=TRUE,"Low quality","Benchmark")))</x:f>
        <x:v>Benchmark</x:v>
      </x:c>
    </x:row>
    <x:row r="2888">
      <x:c r="A2888" s="2" t="str">
        <x:v>250057</x:v>
      </x:c>
      <x:c r="B2888" s="2" t="str">
        <x:v>KING'S DAUGHTERS MEDICAL CENTER-BROOKHAVEN</x:v>
      </x:c>
      <x:c r="C2888" s="2" t="str">
        <x:v>BROOKHAVEN</x:v>
      </x:c>
      <x:c r="D2888" s="2" t="str">
        <x:v>MS</x:v>
      </x:c>
      <x:c r="E2888" s="2" t="str">
        <x:v>Acute Care Hospitals</x:v>
      </x:c>
      <x:c r="F2888" s="2" t="str">
        <x:v>Voluntary non-profit</x:v>
      </x:c>
      <x:c r="G2888" s="2" t="str">
        <x:v>Small (&lt;100 beds)</x:v>
      </x:c>
      <x:c r="H2888" s="7" t="n">
        <x:v>3</x:v>
      </x:c>
      <x:c r="I2888" s="7" t="n">
        <x:v>4</x:v>
      </x:c>
      <x:c r="J2888" s="7" t="n">
        <x:v>1.01</x:v>
      </x:c>
      <x:c r="K2888" s="8" t="n">
        <x:v>33</x:v>
      </x:c>
      <x:c r="L2888" s="8" t="n">
        <x:v>2106</x:v>
      </x:c>
      <x:c r="M2888" s="9" t="n">
        <x:v>0.5378373903</x:v>
      </x:c>
      <x:c r="N2888" s="10" t="n">
        <x:v>45862.2540360874</x:v>
      </x:c>
      <x:c r="O2888" s="9" t="n">
        <x:v>0.111788144</x:v>
      </x:c>
      <x:c r="P2888" s="9" t="n">
        <x:v>0.4156193896</x:v>
      </x:c>
      <x:c r="Q2888" s="9" t="n">
        <x:v>0.1687612208</x:v>
      </x:c>
      <x:c r="R2888" s="3" t="b">
        <x:v>0</x:v>
      </x:c>
      <x:c r="S2888" s="3" t="b">
        <x:v>0</x:v>
      </x:c>
      <x:c r="T2888" s="3" t="b">
        <x:v>0</x:v>
      </x:c>
      <x:c r="U2888" s="2" t="str">
        <x:f>IF(T2888=TRUE,"Priority review",IF(R2888=TRUE,"High cost",IF(S2888=TRUE,"Low quality","Benchmark")))</x:f>
        <x:v>Benchmark</x:v>
      </x:c>
    </x:row>
    <x:row r="2889">
      <x:c r="A2889" s="2" t="str">
        <x:v>441314</x:v>
      </x:c>
      <x:c r="B2889" s="2" t="str">
        <x:v>LAUDERDALE COMMUNITY HOSPITAL</x:v>
      </x:c>
      <x:c r="C2889" s="2" t="str">
        <x:v>RIPLEY</x:v>
      </x:c>
      <x:c r="D2889" s="2" t="str">
        <x:v>TN</x:v>
      </x:c>
      <x:c r="E2889" s="2" t="str">
        <x:v>Critical Access Hospitals</x:v>
      </x:c>
      <x:c r="F2889" s="2" t="str">
        <x:v>Proprietary</x:v>
      </x:c>
      <x:c r="G2889" s="2" t="str">
        <x:v>Small (&lt;100 beds)</x:v>
      </x:c>
      <x:c r="H2889" s="7"/>
      <x:c r="I2889" s="7"/>
      <x:c r="J2889" s="7"/>
      <x:c r="K2889" s="8" t="n">
        <x:v>25</x:v>
      </x:c>
      <x:c r="L2889" s="8" t="n">
        <x:v>163</x:v>
      </x:c>
      <x:c r="M2889" s="9" t="n">
        <x:v>0.305136612</x:v>
      </x:c>
      <x:c r="N2889" s="10" t="n">
        <x:v>115389.6564417178</x:v>
      </x:c>
      <x:c r="O2889" s="9" t="n">
        <x:v>-0.169316259</x:v>
      </x:c>
      <x:c r="P2889" s="9" t="n">
        <x:v>0.4156133829</x:v>
      </x:c>
      <x:c r="Q2889" s="9" t="n">
        <x:v>0.292936803</x:v>
      </x:c>
      <x:c r="R2889" s="3" t="b">
        <x:v>0</x:v>
      </x:c>
      <x:c r="S2889" s="3" t="b">
        <x:v>0</x:v>
      </x:c>
      <x:c r="T2889" s="3" t="b">
        <x:v>0</x:v>
      </x:c>
      <x:c r="U2889" s="2" t="str">
        <x:f>IF(T2889=TRUE,"Priority review",IF(R2889=TRUE,"High cost",IF(S2889=TRUE,"Low quality","Benchmark")))</x:f>
        <x:v>Benchmark</x:v>
      </x:c>
    </x:row>
    <x:row r="2890">
      <x:c r="A2890" s="2" t="str">
        <x:v>131327</x:v>
      </x:c>
      <x:c r="B2890" s="2" t="str">
        <x:v>GRITMAN MEDICAL CENTER</x:v>
      </x:c>
      <x:c r="C2890" s="2" t="str">
        <x:v>MOSCOW</x:v>
      </x:c>
      <x:c r="D2890" s="2" t="str">
        <x:v>ID</x:v>
      </x:c>
      <x:c r="E2890" s="2" t="str">
        <x:v>Critical Access Hospitals</x:v>
      </x:c>
      <x:c r="F2890" s="2" t="str">
        <x:v>Voluntary non-profit</x:v>
      </x:c>
      <x:c r="G2890" s="2" t="str">
        <x:v>Small (&lt;100 beds)</x:v>
      </x:c>
      <x:c r="H2890" s="7" t="n">
        <x:v>3</x:v>
      </x:c>
      <x:c r="I2890" s="7" t="n">
        <x:v>5</x:v>
      </x:c>
      <x:c r="J2890" s="7"/>
      <x:c r="K2890" s="8" t="n">
        <x:v>25</x:v>
      </x:c>
      <x:c r="L2890" s="8" t="n">
        <x:v>1022</x:v>
      </x:c>
      <x:c r="M2890" s="9" t="n">
        <x:v>0.4394535519</x:v>
      </x:c>
      <x:c r="N2890" s="10" t="n">
        <x:v>115354.3639921722</x:v>
      </x:c>
      <x:c r="O2890" s="9" t="n">
        <x:v>-0.0791340131</x:v>
      </x:c>
      <x:c r="P2890" s="9" t="n">
        <x:v>0.4148698885</x:v>
      </x:c>
      <x:c r="Q2890" s="9" t="n">
        <x:v>0.0765799257</x:v>
      </x:c>
      <x:c r="R2890" s="3" t="b">
        <x:v>0</x:v>
      </x:c>
      <x:c r="S2890" s="3" t="b">
        <x:v>1</x:v>
      </x:c>
      <x:c r="T2890" s="3" t="b">
        <x:v>0</x:v>
      </x:c>
      <x:c r="U2890" s="2" t="str">
        <x:f>IF(T2890=TRUE,"Priority review",IF(R2890=TRUE,"High cost",IF(S2890=TRUE,"Low quality","Benchmark")))</x:f>
        <x:v>Low quality</x:v>
      </x:c>
    </x:row>
    <x:row r="2891">
      <x:c r="A2891" s="2" t="str">
        <x:v>210063</x:v>
      </x:c>
      <x:c r="B2891" s="2" t="str">
        <x:v>UNIVERSITY OF MD ST JOSEPH MEDICAL CENTER</x:v>
      </x:c>
      <x:c r="C2891" s="2" t="str">
        <x:v>TOWSON</x:v>
      </x:c>
      <x:c r="D2891" s="2" t="str">
        <x:v>MD</x:v>
      </x:c>
      <x:c r="E2891" s="2" t="str">
        <x:v>Acute Care Hospitals</x:v>
      </x:c>
      <x:c r="F2891" s="2" t="str">
        <x:v>Voluntary non-profit</x:v>
      </x:c>
      <x:c r="G2891" s="2" t="str">
        <x:v>Medium (100-299 beds)</x:v>
      </x:c>
      <x:c r="H2891" s="7" t="n">
        <x:v>5</x:v>
      </x:c>
      <x:c r="I2891" s="7" t="n">
        <x:v>4</x:v>
      </x:c>
      <x:c r="J2891" s="7"/>
      <x:c r="K2891" s="8" t="n">
        <x:v>235</x:v>
      </x:c>
      <x:c r="L2891" s="8" t="n">
        <x:v>13237</x:v>
      </x:c>
      <x:c r="M2891" s="9" t="n">
        <x:v>0.7449023608</x:v>
      </x:c>
      <x:c r="N2891" s="10" t="n">
        <x:v>31127.8920450253</x:v>
      </x:c>
      <x:c r="O2891" s="9" t="n">
        <x:v>0.0533707135</x:v>
      </x:c>
      <x:c r="P2891" s="9" t="n">
        <x:v>0.4148329258</x:v>
      </x:c>
      <x:c r="Q2891" s="9" t="n">
        <x:v>0.8744906275</x:v>
      </x:c>
      <x:c r="R2891" s="3" t="b">
        <x:v>0</x:v>
      </x:c>
      <x:c r="S2891" s="3" t="b">
        <x:v>0</x:v>
      </x:c>
      <x:c r="T2891" s="3" t="b">
        <x:v>0</x:v>
      </x:c>
      <x:c r="U2891" s="2" t="str">
        <x:f>IF(T2891=TRUE,"Priority review",IF(R2891=TRUE,"High cost",IF(S2891=TRUE,"Low quality","Benchmark")))</x:f>
        <x:v>Benchmark</x:v>
      </x:c>
    </x:row>
    <x:row r="2892">
      <x:c r="A2892" s="2" t="str">
        <x:v>050222</x:v>
      </x:c>
      <x:c r="B2892" s="2" t="str">
        <x:v>SHARP CHULA VISTA MEDICAL CENTER</x:v>
      </x:c>
      <x:c r="C2892" s="2" t="str">
        <x:v>CHULA VISTA</x:v>
      </x:c>
      <x:c r="D2892" s="2" t="str">
        <x:v>CA</x:v>
      </x:c>
      <x:c r="E2892" s="2" t="str">
        <x:v>Acute Care Hospitals</x:v>
      </x:c>
      <x:c r="F2892" s="2" t="str">
        <x:v>Proprietary</x:v>
      </x:c>
      <x:c r="G2892" s="2" t="str">
        <x:v>Large (300+ beds)</x:v>
      </x:c>
      <x:c r="H2892" s="7" t="n">
        <x:v>4</x:v>
      </x:c>
      <x:c r="I2892" s="7" t="n">
        <x:v>3</x:v>
      </x:c>
      <x:c r="J2892" s="7" t="n">
        <x:v>0.94</x:v>
      </x:c>
      <x:c r="K2892" s="8" t="n">
        <x:v>349</x:v>
      </x:c>
      <x:c r="L2892" s="8" t="n">
        <x:v>18841</x:v>
      </x:c>
      <x:c r="M2892" s="9" t="n">
        <x:v>0.7598916498</x:v>
      </x:c>
      <x:c r="N2892" s="10" t="n">
        <x:v>35312.7568600393</x:v>
      </x:c>
      <x:c r="O2892" s="9" t="n">
        <x:v>-0.0557893751</x:v>
      </x:c>
      <x:c r="P2892" s="9" t="n">
        <x:v>0.4148264984</x:v>
      </x:c>
      <x:c r="Q2892" s="9" t="n">
        <x:v>0.5899053628</x:v>
      </x:c>
      <x:c r="R2892" s="3" t="b">
        <x:v>0</x:v>
      </x:c>
      <x:c r="S2892" s="3" t="b">
        <x:v>0</x:v>
      </x:c>
      <x:c r="T2892" s="3" t="b">
        <x:v>0</x:v>
      </x:c>
      <x:c r="U2892" s="2" t="str">
        <x:f>IF(T2892=TRUE,"Priority review",IF(R2892=TRUE,"High cost",IF(S2892=TRUE,"Low quality","Benchmark")))</x:f>
        <x:v>Benchmark</x:v>
      </x:c>
    </x:row>
    <x:row r="2893">
      <x:c r="A2893" s="2" t="str">
        <x:v>440109</x:v>
      </x:c>
      <x:c r="B2893" s="2" t="str">
        <x:v>HARDIN MEDICAL CENTER</x:v>
      </x:c>
      <x:c r="C2893" s="2" t="str">
        <x:v>SAVANNAH</x:v>
      </x:c>
      <x:c r="D2893" s="2" t="str">
        <x:v>TN</x:v>
      </x:c>
      <x:c r="E2893" s="2" t="str">
        <x:v>Acute Care Hospitals</x:v>
      </x:c>
      <x:c r="F2893" s="2" t="str">
        <x:v>Government</x:v>
      </x:c>
      <x:c r="G2893" s="2" t="str">
        <x:v>Small (&lt;100 beds)</x:v>
      </x:c>
      <x:c r="H2893" s="7" t="n">
        <x:v>2</x:v>
      </x:c>
      <x:c r="I2893" s="7" t="n">
        <x:v>4</x:v>
      </x:c>
      <x:c r="J2893" s="7" t="n">
        <x:v>1</x:v>
      </x:c>
      <x:c r="K2893" s="8" t="n">
        <x:v>49</x:v>
      </x:c>
      <x:c r="L2893" s="8" t="n">
        <x:v>1395</x:v>
      </x:c>
      <x:c r="M2893" s="9" t="n">
        <x:v>0.2764886777</x:v>
      </x:c>
      <x:c r="N2893" s="10" t="n">
        <x:v>45822.4996415771</x:v>
      </x:c>
      <x:c r="O2893" s="9" t="n">
        <x:v>-0.1387713931</x:v>
      </x:c>
      <x:c r="P2893" s="9" t="n">
        <x:v>0.4147217235</x:v>
      </x:c>
      <x:c r="Q2893" s="9" t="n">
        <x:v>0.0350089767</x:v>
      </x:c>
      <x:c r="R2893" s="3" t="b">
        <x:v>0</x:v>
      </x:c>
      <x:c r="S2893" s="3" t="b">
        <x:v>1</x:v>
      </x:c>
      <x:c r="T2893" s="3" t="b">
        <x:v>0</x:v>
      </x:c>
      <x:c r="U2893" s="2" t="str">
        <x:f>IF(T2893=TRUE,"Priority review",IF(R2893=TRUE,"High cost",IF(S2893=TRUE,"Low quality","Benchmark")))</x:f>
        <x:v>Low quality</x:v>
      </x:c>
    </x:row>
    <x:row r="2894">
      <x:c r="A2894" s="2" t="str">
        <x:v>524000</x:v>
      </x:c>
      <x:c r="B2894" s="2" t="str">
        <x:v>AURORA PSYCHIATRIC HOSPITAL</x:v>
      </x:c>
      <x:c r="C2894" s="2" t="str">
        <x:v>WAUWATOSA</x:v>
      </x:c>
      <x:c r="D2894" s="2" t="str">
        <x:v>WI</x:v>
      </x:c>
      <x:c r="E2894" s="2" t="str">
        <x:v>Psychiatric</x:v>
      </x:c>
      <x:c r="F2894" s="2" t="str">
        <x:v>Voluntary non-profit</x:v>
      </x:c>
      <x:c r="G2894" s="2" t="str">
        <x:v>Small (&lt;100 beds)</x:v>
      </x:c>
      <x:c r="H2894" s="7"/>
      <x:c r="I2894" s="7"/>
      <x:c r="J2894" s="7"/>
      <x:c r="K2894" s="8" t="n">
        <x:v>74</x:v>
      </x:c>
      <x:c r="L2894" s="8" t="n">
        <x:v>4905</x:v>
      </x:c>
      <x:c r="M2894" s="9" t="n">
        <x:v>0.7869960124</x:v>
      </x:c>
      <x:c r="N2894" s="10" t="n">
        <x:v>10459.3345565749</x:v>
      </x:c>
      <x:c r="O2894" s="9" t="n">
        <x:v>-0.0453647389</x:v>
      </x:c>
      <x:c r="P2894" s="9" t="n">
        <x:v>0.4142394822</x:v>
      </x:c>
      <x:c r="Q2894" s="9" t="n">
        <x:v>0</x:v>
      </x:c>
      <x:c r="R2894" s="3" t="b">
        <x:v>0</x:v>
      </x:c>
      <x:c r="S2894" s="3" t="b">
        <x:v>0</x:v>
      </x:c>
      <x:c r="T2894" s="3" t="b">
        <x:v>0</x:v>
      </x:c>
      <x:c r="U2894" s="2" t="str">
        <x:f>IF(T2894=TRUE,"Priority review",IF(R2894=TRUE,"High cost",IF(S2894=TRUE,"Low quality","Benchmark")))</x:f>
        <x:v>Benchmark</x:v>
      </x:c>
    </x:row>
    <x:row r="2895">
      <x:c r="A2895" s="2" t="str">
        <x:v>241325</x:v>
      </x:c>
      <x:c r="B2895" s="2" t="str">
        <x:v>CHIPPEWA COUNTY HOSPITAL</x:v>
      </x:c>
      <x:c r="C2895" s="2" t="str">
        <x:v>MONTEVIDEO</x:v>
      </x:c>
      <x:c r="D2895" s="2" t="str">
        <x:v>MN</x:v>
      </x:c>
      <x:c r="E2895" s="2" t="str">
        <x:v>Critical Access Hospitals</x:v>
      </x:c>
      <x:c r="F2895" s="2" t="str">
        <x:v>Government</x:v>
      </x:c>
      <x:c r="G2895" s="2" t="str">
        <x:v>Small (&lt;100 beds)</x:v>
      </x:c>
      <x:c r="H2895" s="7"/>
      <x:c r="I2895" s="7" t="n">
        <x:v>4</x:v>
      </x:c>
      <x:c r="J2895" s="7"/>
      <x:c r="K2895" s="8" t="n">
        <x:v>25</x:v>
      </x:c>
      <x:c r="L2895" s="8" t="n">
        <x:v>559</x:v>
      </x:c>
      <x:c r="M2895" s="9" t="n">
        <x:v>0.2324590164</x:v>
      </x:c>
      <x:c r="N2895" s="10" t="n">
        <x:v>115035.6350626118</x:v>
      </x:c>
      <x:c r="O2895" s="9" t="n">
        <x:v>0.0259197318</x:v>
      </x:c>
      <x:c r="P2895" s="9" t="n">
        <x:v>0.4141263941</x:v>
      </x:c>
      <x:c r="Q2895" s="9" t="n">
        <x:v>0.292936803</x:v>
      </x:c>
      <x:c r="R2895" s="3" t="b">
        <x:v>0</x:v>
      </x:c>
      <x:c r="S2895" s="3" t="b">
        <x:v>0</x:v>
      </x:c>
      <x:c r="T2895" s="3" t="b">
        <x:v>0</x:v>
      </x:c>
      <x:c r="U2895" s="2" t="str">
        <x:f>IF(T2895=TRUE,"Priority review",IF(R2895=TRUE,"High cost",IF(S2895=TRUE,"Low quality","Benchmark")))</x:f>
        <x:v>Benchmark</x:v>
      </x:c>
    </x:row>
    <x:row r="2896">
      <x:c r="A2896" s="2" t="str">
        <x:v>390267</x:v>
      </x:c>
      <x:c r="B2896" s="2" t="str">
        <x:v>FORBES HOSPITAL</x:v>
      </x:c>
      <x:c r="C2896" s="2" t="str">
        <x:v>MONROEVILLE</x:v>
      </x:c>
      <x:c r="D2896" s="2" t="str">
        <x:v>PA</x:v>
      </x:c>
      <x:c r="E2896" s="2" t="str">
        <x:v>Acute Care Hospitals</x:v>
      </x:c>
      <x:c r="F2896" s="2" t="str">
        <x:v>Voluntary non-profit</x:v>
      </x:c>
      <x:c r="G2896" s="2" t="str">
        <x:v>Medium (100-299 beds)</x:v>
      </x:c>
      <x:c r="H2896" s="7" t="n">
        <x:v>3</x:v>
      </x:c>
      <x:c r="I2896" s="7" t="n">
        <x:v>3</x:v>
      </x:c>
      <x:c r="J2896" s="7" t="n">
        <x:v>1.03</x:v>
      </x:c>
      <x:c r="K2896" s="8" t="n">
        <x:v>233</x:v>
      </x:c>
      <x:c r="L2896" s="8" t="n">
        <x:v>12200</x:v>
      </x:c>
      <x:c r="M2896" s="9" t="n">
        <x:v>0.7634428832</x:v>
      </x:c>
      <x:c r="N2896" s="10" t="n">
        <x:v>31099.6795901639</x:v>
      </x:c>
      <x:c r="O2896" s="9" t="n">
        <x:v>-0.0130456158</x:v>
      </x:c>
      <x:c r="P2896" s="9" t="n">
        <x:v>0.4140179299</x:v>
      </x:c>
      <x:c r="Q2896" s="9" t="n">
        <x:v>0.3023634882</x:v>
      </x:c>
      <x:c r="R2896" s="3" t="b">
        <x:v>0</x:v>
      </x:c>
      <x:c r="S2896" s="3" t="b">
        <x:v>0</x:v>
      </x:c>
      <x:c r="T2896" s="3" t="b">
        <x:v>0</x:v>
      </x:c>
      <x:c r="U2896" s="2" t="str">
        <x:f>IF(T2896=TRUE,"Priority review",IF(R2896=TRUE,"High cost",IF(S2896=TRUE,"Low quality","Benchmark")))</x:f>
        <x:v>Benchmark</x:v>
      </x:c>
    </x:row>
    <x:row r="2897">
      <x:c r="A2897" s="2" t="str">
        <x:v>170023</x:v>
      </x:c>
      <x:c r="B2897" s="2" t="str">
        <x:v>ST. CATHERINE HOSPITAL - GARDEN CITY</x:v>
      </x:c>
      <x:c r="C2897" s="2" t="str">
        <x:v>GARDEN CITY</x:v>
      </x:c>
      <x:c r="D2897" s="2" t="str">
        <x:v>KS</x:v>
      </x:c>
      <x:c r="E2897" s="2" t="str">
        <x:v>Acute Care Hospitals</x:v>
      </x:c>
      <x:c r="F2897" s="2" t="str">
        <x:v>Voluntary non-profit</x:v>
      </x:c>
      <x:c r="G2897" s="2" t="str">
        <x:v>Small (&lt;100 beds)</x:v>
      </x:c>
      <x:c r="H2897" s="7" t="n">
        <x:v>2</x:v>
      </x:c>
      <x:c r="I2897" s="7" t="n">
        <x:v>2</x:v>
      </x:c>
      <x:c r="J2897" s="7" t="n">
        <x:v>1.03</x:v>
      </x:c>
      <x:c r="K2897" s="8" t="n">
        <x:v>90</x:v>
      </x:c>
      <x:c r="L2897" s="8" t="n">
        <x:v>2582</x:v>
      </x:c>
      <x:c r="M2897" s="9" t="n">
        <x:v>0.3068493151</x:v>
      </x:c>
      <x:c r="N2897" s="10" t="n">
        <x:v>45805.6185127808</x:v>
      </x:c>
      <x:c r="O2897" s="9" t="n">
        <x:v>-0.0710029585</x:v>
      </x:c>
      <x:c r="P2897" s="9" t="n">
        <x:v>0.4138240575</x:v>
      </x:c>
      <x:c r="Q2897" s="9" t="n">
        <x:v>0.0350089767</x:v>
      </x:c>
      <x:c r="R2897" s="3" t="b">
        <x:v>0</x:v>
      </x:c>
      <x:c r="S2897" s="3" t="b">
        <x:v>1</x:v>
      </x:c>
      <x:c r="T2897" s="3" t="b">
        <x:v>0</x:v>
      </x:c>
      <x:c r="U2897" s="2" t="str">
        <x:f>IF(T2897=TRUE,"Priority review",IF(R2897=TRUE,"High cost",IF(S2897=TRUE,"Low quality","Benchmark")))</x:f>
        <x:v>Low quality</x:v>
      </x:c>
    </x:row>
    <x:row r="2898">
      <x:c r="A2898" s="2" t="str">
        <x:v>501337</x:v>
      </x:c>
      <x:c r="B2898" s="2" t="str">
        <x:v>LOURDES MEDICAL CENTER</x:v>
      </x:c>
      <x:c r="C2898" s="2" t="str">
        <x:v>PASCO</x:v>
      </x:c>
      <x:c r="D2898" s="2" t="str">
        <x:v>WA</x:v>
      </x:c>
      <x:c r="E2898" s="2" t="str">
        <x:v>Critical Access Hospitals</x:v>
      </x:c>
      <x:c r="F2898" s="2" t="str">
        <x:v>Voluntary non-profit</x:v>
      </x:c>
      <x:c r="G2898" s="2" t="str">
        <x:v>Small (&lt;100 beds)</x:v>
      </x:c>
      <x:c r="H2898" s="7" t="n">
        <x:v>3</x:v>
      </x:c>
      <x:c r="I2898" s="7" t="n">
        <x:v>3</x:v>
      </x:c>
      <x:c r="J2898" s="7"/>
      <x:c r="K2898" s="8" t="n">
        <x:v>25</x:v>
      </x:c>
      <x:c r="L2898" s="8" t="n">
        <x:v>1151</x:v>
      </x:c>
      <x:c r="M2898" s="9" t="n">
        <x:v>0.5216438356</x:v>
      </x:c>
      <x:c r="N2898" s="10" t="n">
        <x:v>114895.9991311903</x:v>
      </x:c>
      <x:c r="O2898" s="9"/>
      <x:c r="P2898" s="9" t="n">
        <x:v>0.4133828996</x:v>
      </x:c>
      <x:c r="Q2898" s="9" t="n">
        <x:v>0.0765799257</x:v>
      </x:c>
      <x:c r="R2898" s="3" t="b">
        <x:v>0</x:v>
      </x:c>
      <x:c r="S2898" s="3" t="b">
        <x:v>1</x:v>
      </x:c>
      <x:c r="T2898" s="3" t="b">
        <x:v>0</x:v>
      </x:c>
      <x:c r="U2898" s="2" t="str">
        <x:f>IF(T2898=TRUE,"Priority review",IF(R2898=TRUE,"High cost",IF(S2898=TRUE,"Low quality","Benchmark")))</x:f>
        <x:v>Low quality</x:v>
      </x:c>
    </x:row>
    <x:row r="2899">
      <x:c r="A2899" s="2" t="str">
        <x:v>390107</x:v>
      </x:c>
      <x:c r="B2899" s="2" t="str">
        <x:v>UPMC PASSAVANT</x:v>
      </x:c>
      <x:c r="C2899" s="2" t="str">
        <x:v>PITTSBURGH</x:v>
      </x:c>
      <x:c r="D2899" s="2" t="str">
        <x:v>PA</x:v>
      </x:c>
      <x:c r="E2899" s="2" t="str">
        <x:v>Acute Care Hospitals</x:v>
      </x:c>
      <x:c r="F2899" s="2" t="str">
        <x:v>Voluntary non-profit</x:v>
      </x:c>
      <x:c r="G2899" s="2" t="str">
        <x:v>Large (300+ beds)</x:v>
      </x:c>
      <x:c r="H2899" s="7" t="n">
        <x:v>4</x:v>
      </x:c>
      <x:c r="I2899" s="7" t="n">
        <x:v>4</x:v>
      </x:c>
      <x:c r="J2899" s="7" t="n">
        <x:v>0.98</x:v>
      </x:c>
      <x:c r="K2899" s="8" t="n">
        <x:v>365</x:v>
      </x:c>
      <x:c r="L2899" s="8" t="n">
        <x:v>15173</x:v>
      </x:c>
      <x:c r="M2899" s="9" t="n">
        <x:v>0.5974986683</x:v>
      </x:c>
      <x:c r="N2899" s="10" t="n">
        <x:v>35241.5524286562</x:v>
      </x:c>
      <x:c r="O2899" s="9" t="n">
        <x:v>-0.0790265063</x:v>
      </x:c>
      <x:c r="P2899" s="9" t="n">
        <x:v>0.4132492114</x:v>
      </x:c>
      <x:c r="Q2899" s="9" t="n">
        <x:v>0.5899053628</x:v>
      </x:c>
      <x:c r="R2899" s="3" t="b">
        <x:v>0</x:v>
      </x:c>
      <x:c r="S2899" s="3" t="b">
        <x:v>0</x:v>
      </x:c>
      <x:c r="T2899" s="3" t="b">
        <x:v>0</x:v>
      </x:c>
      <x:c r="U2899" s="2" t="str">
        <x:f>IF(T2899=TRUE,"Priority review",IF(R2899=TRUE,"High cost",IF(S2899=TRUE,"Low quality","Benchmark")))</x:f>
        <x:v>Benchmark</x:v>
      </x:c>
    </x:row>
    <x:row r="2900">
      <x:c r="A2900" s="2" t="str">
        <x:v>210049</x:v>
      </x:c>
      <x:c r="B2900" s="2" t="str">
        <x:v>UMD UPPER CHESAPEAKE MEDICAL CENTER</x:v>
      </x:c>
      <x:c r="C2900" s="2" t="str">
        <x:v>BEL AIR</x:v>
      </x:c>
      <x:c r="D2900" s="2" t="str">
        <x:v>MD</x:v>
      </x:c>
      <x:c r="E2900" s="2" t="str">
        <x:v>Acute Care Hospitals</x:v>
      </x:c>
      <x:c r="F2900" s="2" t="str">
        <x:v>Voluntary non-profit</x:v>
      </x:c>
      <x:c r="G2900" s="2" t="str">
        <x:v>Medium (100-299 beds)</x:v>
      </x:c>
      <x:c r="H2900" s="7" t="n">
        <x:v>2</x:v>
      </x:c>
      <x:c r="I2900" s="7" t="n">
        <x:v>2</x:v>
      </x:c>
      <x:c r="J2900" s="7"/>
      <x:c r="K2900" s="8" t="n">
        <x:v>218</x:v>
      </x:c>
      <x:c r="L2900" s="8" t="n">
        <x:v>13339</x:v>
      </x:c>
      <x:c r="M2900" s="9" t="n">
        <x:v>0.860625864</x:v>
      </x:c>
      <x:c r="N2900" s="10" t="n">
        <x:v>31072.2628382937</x:v>
      </x:c>
      <x:c r="O2900" s="9" t="n">
        <x:v>0.0708513534</x:v>
      </x:c>
      <x:c r="P2900" s="9" t="n">
        <x:v>0.413202934</x:v>
      </x:c>
      <x:c r="Q2900" s="9" t="n">
        <x:v>0.0782396088</x:v>
      </x:c>
      <x:c r="R2900" s="3" t="b">
        <x:v>0</x:v>
      </x:c>
      <x:c r="S2900" s="3" t="b">
        <x:v>1</x:v>
      </x:c>
      <x:c r="T2900" s="3" t="b">
        <x:v>0</x:v>
      </x:c>
      <x:c r="U2900" s="2" t="str">
        <x:f>IF(T2900=TRUE,"Priority review",IF(R2900=TRUE,"High cost",IF(S2900=TRUE,"Low quality","Benchmark")))</x:f>
        <x:v>Low quality</x:v>
      </x:c>
    </x:row>
    <x:row r="2901">
      <x:c r="A2901" s="2" t="str">
        <x:v>374021</x:v>
      </x:c>
      <x:c r="B2901" s="2" t="str">
        <x:v>PARKSIDE, INC</x:v>
      </x:c>
      <x:c r="C2901" s="2" t="str">
        <x:v>TULSA</x:v>
      </x:c>
      <x:c r="D2901" s="2" t="str">
        <x:v>OK</x:v>
      </x:c>
      <x:c r="E2901" s="2" t="str">
        <x:v>Psychiatric</x:v>
      </x:c>
      <x:c r="F2901" s="2" t="str">
        <x:v>Voluntary non-profit</x:v>
      </x:c>
      <x:c r="G2901" s="2" t="str">
        <x:v>Medium (100-299 beds)</x:v>
      </x:c>
      <x:c r="H2901" s="7"/>
      <x:c r="I2901" s="7"/>
      <x:c r="J2901" s="7"/>
      <x:c r="K2901" s="8" t="n">
        <x:v>120</x:v>
      </x:c>
      <x:c r="L2901" s="8" t="n">
        <x:v>3320</x:v>
      </x:c>
      <x:c r="M2901" s="9" t="n">
        <x:v>0.5586976321</x:v>
      </x:c>
      <x:c r="N2901" s="10" t="n">
        <x:v>9647.9108433735</x:v>
      </x:c>
      <x:c r="O2901" s="9" t="n">
        <x:v>-0.9536747444</x:v>
      </x:c>
      <x:c r="P2901" s="9" t="n">
        <x:v>0.4129353234</x:v>
      </x:c>
      <x:c r="Q2901" s="9" t="n">
        <x:v>0</x:v>
      </x:c>
      <x:c r="R2901" s="3" t="b">
        <x:v>0</x:v>
      </x:c>
      <x:c r="S2901" s="3" t="b">
        <x:v>0</x:v>
      </x:c>
      <x:c r="T2901" s="3" t="b">
        <x:v>0</x:v>
      </x:c>
      <x:c r="U2901" s="2" t="str">
        <x:f>IF(T2901=TRUE,"Priority review",IF(R2901=TRUE,"High cost",IF(S2901=TRUE,"Low quality","Benchmark")))</x:f>
        <x:v>Benchmark</x:v>
      </x:c>
    </x:row>
    <x:row r="2902">
      <x:c r="A2902" s="2" t="str">
        <x:v>170027</x:v>
      </x:c>
      <x:c r="B2902" s="2" t="str">
        <x:v>PRATT REGIONAL MEDICAL CENTER</x:v>
      </x:c>
      <x:c r="C2902" s="2" t="str">
        <x:v>PRATT</x:v>
      </x:c>
      <x:c r="D2902" s="2" t="str">
        <x:v>KS</x:v>
      </x:c>
      <x:c r="E2902" s="2" t="str">
        <x:v>Acute Care Hospitals</x:v>
      </x:c>
      <x:c r="F2902" s="2" t="str">
        <x:v>Proprietary</x:v>
      </x:c>
      <x:c r="G2902" s="2" t="str">
        <x:v>Small (&lt;100 beds)</x:v>
      </x:c>
      <x:c r="H2902" s="7" t="n">
        <x:v>4</x:v>
      </x:c>
      <x:c r="I2902" s="7" t="n">
        <x:v>5</x:v>
      </x:c>
      <x:c r="J2902" s="7" t="n">
        <x:v>0.95</x:v>
      </x:c>
      <x:c r="K2902" s="8" t="n">
        <x:v>35</x:v>
      </x:c>
      <x:c r="L2902" s="8" t="n">
        <x:v>1458</x:v>
      </x:c>
      <x:c r="M2902" s="9" t="n">
        <x:v>0.2601873536</x:v>
      </x:c>
      <x:c r="N2902" s="10" t="n">
        <x:v>45801.4458161866</x:v>
      </x:c>
      <x:c r="O2902" s="9" t="n">
        <x:v>-0.2190469702</x:v>
      </x:c>
      <x:c r="P2902" s="9" t="n">
        <x:v>0.4129263914</x:v>
      </x:c>
      <x:c r="Q2902" s="9" t="n">
        <x:v>0.3913824057</x:v>
      </x:c>
      <x:c r="R2902" s="3" t="b">
        <x:v>0</x:v>
      </x:c>
      <x:c r="S2902" s="3" t="b">
        <x:v>0</x:v>
      </x:c>
      <x:c r="T2902" s="3" t="b">
        <x:v>0</x:v>
      </x:c>
      <x:c r="U2902" s="2" t="str">
        <x:f>IF(T2902=TRUE,"Priority review",IF(R2902=TRUE,"High cost",IF(S2902=TRUE,"Low quality","Benchmark")))</x:f>
        <x:v>Benchmark</x:v>
      </x:c>
    </x:row>
    <x:row r="2903">
      <x:c r="A2903" s="2" t="str">
        <x:v>281339</x:v>
      </x:c>
      <x:c r="B2903" s="2" t="str">
        <x:v>MEMORIAL HEALTH CARE SYSTEMS</x:v>
      </x:c>
      <x:c r="C2903" s="2" t="str">
        <x:v>SEWARD</x:v>
      </x:c>
      <x:c r="D2903" s="2" t="str">
        <x:v>NE</x:v>
      </x:c>
      <x:c r="E2903" s="2" t="str">
        <x:v>Critical Access Hospitals</x:v>
      </x:c>
      <x:c r="F2903" s="2" t="str">
        <x:v>Voluntary non-profit</x:v>
      </x:c>
      <x:c r="G2903" s="2" t="str">
        <x:v>Small (&lt;100 beds)</x:v>
      </x:c>
      <x:c r="H2903" s="7" t="n">
        <x:v>3</x:v>
      </x:c>
      <x:c r="I2903" s="7"/>
      <x:c r="J2903" s="7"/>
      <x:c r="K2903" s="8" t="n">
        <x:v>24</x:v>
      </x:c>
      <x:c r="L2903" s="8" t="n">
        <x:v>376</x:v>
      </x:c>
      <x:c r="M2903" s="9" t="n">
        <x:v>0.3183060109</x:v>
      </x:c>
      <x:c r="N2903" s="10" t="n">
        <x:v>114715.5106382979</x:v>
      </x:c>
      <x:c r="O2903" s="9" t="n">
        <x:v>-0.0949798967</x:v>
      </x:c>
      <x:c r="P2903" s="9" t="n">
        <x:v>0.4126394052</x:v>
      </x:c>
      <x:c r="Q2903" s="9" t="n">
        <x:v>0.0765799257</x:v>
      </x:c>
      <x:c r="R2903" s="3" t="b">
        <x:v>0</x:v>
      </x:c>
      <x:c r="S2903" s="3" t="b">
        <x:v>1</x:v>
      </x:c>
      <x:c r="T2903" s="3" t="b">
        <x:v>0</x:v>
      </x:c>
      <x:c r="U2903" s="2" t="str">
        <x:f>IF(T2903=TRUE,"Priority review",IF(R2903=TRUE,"High cost",IF(S2903=TRUE,"Low quality","Benchmark")))</x:f>
        <x:v>Low quality</x:v>
      </x:c>
    </x:row>
    <x:row r="2904">
      <x:c r="A2904" s="2" t="str">
        <x:v>230099</x:v>
      </x:c>
      <x:c r="B2904" s="2" t="str">
        <x:v>PROMEDICA MONROE REGIONAL HOSPITAL</x:v>
      </x:c>
      <x:c r="C2904" s="2" t="str">
        <x:v>MONROE</x:v>
      </x:c>
      <x:c r="D2904" s="2" t="str">
        <x:v>MI</x:v>
      </x:c>
      <x:c r="E2904" s="2" t="str">
        <x:v>Acute Care Hospitals</x:v>
      </x:c>
      <x:c r="F2904" s="2" t="str">
        <x:v>Voluntary non-profit</x:v>
      </x:c>
      <x:c r="G2904" s="2" t="str">
        <x:v>Medium (100-299 beds)</x:v>
      </x:c>
      <x:c r="H2904" s="7" t="n">
        <x:v>1</x:v>
      </x:c>
      <x:c r="I2904" s="7" t="n">
        <x:v>2</x:v>
      </x:c>
      <x:c r="J2904" s="7" t="n">
        <x:v>1.02</x:v>
      </x:c>
      <x:c r="K2904" s="8" t="n">
        <x:v>147</x:v>
      </x:c>
      <x:c r="L2904" s="8" t="n">
        <x:v>5231</x:v>
      </x:c>
      <x:c r="M2904" s="9" t="n">
        <x:v>0.4608750604</x:v>
      </x:c>
      <x:c r="N2904" s="10" t="n">
        <x:v>31047.9818390365</x:v>
      </x:c>
      <x:c r="O2904" s="9" t="n">
        <x:v>0.0981531602</x:v>
      </x:c>
      <x:c r="P2904" s="9" t="n">
        <x:v>0.4123879381</x:v>
      </x:c>
      <x:c r="Q2904" s="9" t="n">
        <x:v>0</x:v>
      </x:c>
      <x:c r="R2904" s="3" t="b">
        <x:v>0</x:v>
      </x:c>
      <x:c r="S2904" s="3" t="b">
        <x:v>1</x:v>
      </x:c>
      <x:c r="T2904" s="3" t="b">
        <x:v>0</x:v>
      </x:c>
      <x:c r="U2904" s="2" t="str">
        <x:f>IF(T2904=TRUE,"Priority review",IF(R2904=TRUE,"High cost",IF(S2904=TRUE,"Low quality","Benchmark")))</x:f>
        <x:v>Low quality</x:v>
      </x:c>
    </x:row>
    <x:row r="2905">
      <x:c r="A2905" s="2" t="str">
        <x:v>030154</x:v>
      </x:c>
      <x:c r="B2905" s="2" t="str">
        <x:v>EXCEPTIONAL COMMUNITY HOSPITAL YUMA</x:v>
      </x:c>
      <x:c r="C2905" s="2" t="str">
        <x:v>YUMA</x:v>
      </x:c>
      <x:c r="D2905" s="2" t="str">
        <x:v>AZ</x:v>
      </x:c>
      <x:c r="E2905" s="2" t="str">
        <x:v>Acute Care Hospitals</x:v>
      </x:c>
      <x:c r="F2905" s="2" t="str">
        <x:v>Proprietary</x:v>
      </x:c>
      <x:c r="G2905" s="2" t="str">
        <x:v>Small (&lt;100 beds)</x:v>
      </x:c>
      <x:c r="H2905" s="7"/>
      <x:c r="I2905" s="7"/>
      <x:c r="J2905" s="7" t="n">
        <x:v>0.98</x:v>
      </x:c>
      <x:c r="K2905" s="8" t="n">
        <x:v>9</x:v>
      </x:c>
      <x:c r="L2905" s="8" t="n">
        <x:v>394</x:v>
      </x:c>
      <x:c r="M2905" s="9" t="n">
        <x:v>0.2683667274</x:v>
      </x:c>
      <x:c r="N2905" s="10" t="n">
        <x:v>45718.5634517767</x:v>
      </x:c>
      <x:c r="O2905" s="9" t="n">
        <x:v>0.1895155207</x:v>
      </x:c>
      <x:c r="P2905" s="9" t="n">
        <x:v>0.4120287253</x:v>
      </x:c>
      <x:c r="Q2905" s="9" t="n">
        <x:v>0.697486535</x:v>
      </x:c>
      <x:c r="R2905" s="3" t="b">
        <x:v>0</x:v>
      </x:c>
      <x:c r="S2905" s="3" t="b">
        <x:v>0</x:v>
      </x:c>
      <x:c r="T2905" s="3" t="b">
        <x:v>0</x:v>
      </x:c>
      <x:c r="U2905" s="2" t="str">
        <x:f>IF(T2905=TRUE,"Priority review",IF(R2905=TRUE,"High cost",IF(S2905=TRUE,"Low quality","Benchmark")))</x:f>
        <x:v>Benchmark</x:v>
      </x:c>
    </x:row>
    <x:row r="2906">
      <x:c r="A2906" s="2" t="str">
        <x:v>171378</x:v>
      </x:c>
      <x:c r="B2906" s="2" t="str">
        <x:v>KINGMAN HEALTHCARE CENTER</x:v>
      </x:c>
      <x:c r="C2906" s="2" t="str">
        <x:v>KINGMAN</x:v>
      </x:c>
      <x:c r="D2906" s="2" t="str">
        <x:v>KS</x:v>
      </x:c>
      <x:c r="E2906" s="2" t="str">
        <x:v>Critical Access Hospitals</x:v>
      </x:c>
      <x:c r="F2906" s="2" t="str">
        <x:v>Voluntary non-profit</x:v>
      </x:c>
      <x:c r="G2906" s="2" t="str">
        <x:v>Small (&lt;100 beds)</x:v>
      </x:c>
      <x:c r="H2906" s="7"/>
      <x:c r="I2906" s="7"/>
      <x:c r="J2906" s="7"/>
      <x:c r="K2906" s="8" t="n">
        <x:v>25</x:v>
      </x:c>
      <x:c r="L2906" s="8" t="n">
        <x:v>189</x:v>
      </x:c>
      <x:c r="M2906" s="9" t="n">
        <x:v>0.1328219178</x:v>
      </x:c>
      <x:c r="N2906" s="10" t="n">
        <x:v>114693.5238095238</x:v>
      </x:c>
      <x:c r="O2906" s="9" t="n">
        <x:v>-0.1767045559</x:v>
      </x:c>
      <x:c r="P2906" s="9" t="n">
        <x:v>0.4118959108</x:v>
      </x:c>
      <x:c r="Q2906" s="9" t="n">
        <x:v>0.292936803</x:v>
      </x:c>
      <x:c r="R2906" s="3" t="b">
        <x:v>0</x:v>
      </x:c>
      <x:c r="S2906" s="3" t="b">
        <x:v>0</x:v>
      </x:c>
      <x:c r="T2906" s="3" t="b">
        <x:v>0</x:v>
      </x:c>
      <x:c r="U2906" s="2" t="str">
        <x:f>IF(T2906=TRUE,"Priority review",IF(R2906=TRUE,"High cost",IF(S2906=TRUE,"Low quality","Benchmark")))</x:f>
        <x:v>Benchmark</x:v>
      </x:c>
    </x:row>
    <x:row r="2907">
      <x:c r="A2907" s="2" t="str">
        <x:v>500024</x:v>
      </x:c>
      <x:c r="B2907" s="2" t="str">
        <x:v>PROVIDENCE ST PETER HOSPITAL</x:v>
      </x:c>
      <x:c r="C2907" s="2" t="str">
        <x:v>OLYMPIA</x:v>
      </x:c>
      <x:c r="D2907" s="2" t="str">
        <x:v>WA</x:v>
      </x:c>
      <x:c r="E2907" s="2" t="str">
        <x:v>Acute Care Hospitals</x:v>
      </x:c>
      <x:c r="F2907" s="2" t="str">
        <x:v>Voluntary non-profit</x:v>
      </x:c>
      <x:c r="G2907" s="2" t="str">
        <x:v>Large (300+ beds)</x:v>
      </x:c>
      <x:c r="H2907" s="7" t="n">
        <x:v>3</x:v>
      </x:c>
      <x:c r="I2907" s="7" t="n">
        <x:v>3</x:v>
      </x:c>
      <x:c r="J2907" s="7" t="n">
        <x:v>0.92</x:v>
      </x:c>
      <x:c r="K2907" s="8" t="n">
        <x:v>380</x:v>
      </x:c>
      <x:c r="L2907" s="8" t="n">
        <x:v>20963</x:v>
      </x:c>
      <x:c r="M2907" s="9" t="n">
        <x:v>0.8212036238</x:v>
      </x:c>
      <x:c r="N2907" s="10" t="n">
        <x:v>35183.6968945285</x:v>
      </x:c>
      <x:c r="O2907" s="9" t="n">
        <x:v>-0.1369812007</x:v>
      </x:c>
      <x:c r="P2907" s="9" t="n">
        <x:v>0.4116719243</x:v>
      </x:c>
      <x:c r="Q2907" s="9" t="n">
        <x:v>0.2570977918</x:v>
      </x:c>
      <x:c r="R2907" s="3" t="b">
        <x:v>0</x:v>
      </x:c>
      <x:c r="S2907" s="3" t="b">
        <x:v>0</x:v>
      </x:c>
      <x:c r="T2907" s="3" t="b">
        <x:v>0</x:v>
      </x:c>
      <x:c r="U2907" s="2" t="str">
        <x:f>IF(T2907=TRUE,"Priority review",IF(R2907=TRUE,"High cost",IF(S2907=TRUE,"Low quality","Benchmark")))</x:f>
        <x:v>Benchmark</x:v>
      </x:c>
    </x:row>
    <x:row r="2908">
      <x:c r="A2908" s="2" t="str">
        <x:v>370078</x:v>
      </x:c>
      <x:c r="B2908" s="2" t="str">
        <x:v>OKLAHOMA STATE UNIVERSITY MEDICAL CENTER</x:v>
      </x:c>
      <x:c r="C2908" s="2" t="str">
        <x:v>TULSA</x:v>
      </x:c>
      <x:c r="D2908" s="2" t="str">
        <x:v>OK</x:v>
      </x:c>
      <x:c r="E2908" s="2" t="str">
        <x:v>Acute Care Hospitals</x:v>
      </x:c>
      <x:c r="F2908" s="2" t="str">
        <x:v>Government</x:v>
      </x:c>
      <x:c r="G2908" s="2" t="str">
        <x:v>Medium (100-299 beds)</x:v>
      </x:c>
      <x:c r="H2908" s="7" t="n">
        <x:v>2</x:v>
      </x:c>
      <x:c r="I2908" s="7" t="n">
        <x:v>3</x:v>
      </x:c>
      <x:c r="J2908" s="7" t="n">
        <x:v>1.03</x:v>
      </x:c>
      <x:c r="K2908" s="8" t="n">
        <x:v>143</x:v>
      </x:c>
      <x:c r="L2908" s="8" t="n">
        <x:v>7169</x:v>
      </x:c>
      <x:c r="M2908" s="9" t="n">
        <x:v>0.6070313248</x:v>
      </x:c>
      <x:c r="N2908" s="10" t="n">
        <x:v>31022.982145348</x:v>
      </x:c>
      <x:c r="O2908" s="9" t="n">
        <x:v>-0.0995609889</x:v>
      </x:c>
      <x:c r="P2908" s="9" t="n">
        <x:v>0.4115729421</x:v>
      </x:c>
      <x:c r="Q2908" s="9" t="n">
        <x:v>0.0782396088</x:v>
      </x:c>
      <x:c r="R2908" s="3" t="b">
        <x:v>0</x:v>
      </x:c>
      <x:c r="S2908" s="3" t="b">
        <x:v>1</x:v>
      </x:c>
      <x:c r="T2908" s="3" t="b">
        <x:v>0</x:v>
      </x:c>
      <x:c r="U2908" s="2" t="str">
        <x:f>IF(T2908=TRUE,"Priority review",IF(R2908=TRUE,"High cost",IF(S2908=TRUE,"Low quality","Benchmark")))</x:f>
        <x:v>Low quality</x:v>
      </x:c>
    </x:row>
    <x:row r="2909">
      <x:c r="A2909" s="2" t="str">
        <x:v>131323</x:v>
      </x:c>
      <x:c r="B2909" s="2" t="str">
        <x:v>ST LUKE'S WOOD RIVER MEDICAL CENTER</x:v>
      </x:c>
      <x:c r="C2909" s="2" t="str">
        <x:v>KETCHUM</x:v>
      </x:c>
      <x:c r="D2909" s="2" t="str">
        <x:v>ID</x:v>
      </x:c>
      <x:c r="E2909" s="2" t="str">
        <x:v>Critical Access Hospitals</x:v>
      </x:c>
      <x:c r="F2909" s="2" t="str">
        <x:v>Voluntary non-profit</x:v>
      </x:c>
      <x:c r="G2909" s="2" t="str">
        <x:v>Small (&lt;100 beds)</x:v>
      </x:c>
      <x:c r="H2909" s="7" t="n">
        <x:v>4</x:v>
      </x:c>
      <x:c r="I2909" s="7" t="n">
        <x:v>5</x:v>
      </x:c>
      <x:c r="J2909" s="7"/>
      <x:c r="K2909" s="8" t="n">
        <x:v>25</x:v>
      </x:c>
      <x:c r="L2909" s="8" t="n">
        <x:v>805</x:v>
      </x:c>
      <x:c r="M2909" s="9" t="n">
        <x:v>0.2745355191</x:v>
      </x:c>
      <x:c r="N2909" s="10" t="n">
        <x:v>114667.0832298137</x:v>
      </x:c>
      <x:c r="O2909" s="9" t="n">
        <x:v>0.0393767683</x:v>
      </x:c>
      <x:c r="P2909" s="9" t="n">
        <x:v>0.4111524164</x:v>
      </x:c>
      <x:c r="Q2909" s="9" t="n">
        <x:v>0.1657992565</x:v>
      </x:c>
      <x:c r="R2909" s="3" t="b">
        <x:v>0</x:v>
      </x:c>
      <x:c r="S2909" s="3" t="b">
        <x:v>0</x:v>
      </x:c>
      <x:c r="T2909" s="3" t="b">
        <x:v>0</x:v>
      </x:c>
      <x:c r="U2909" s="2" t="str">
        <x:f>IF(T2909=TRUE,"Priority review",IF(R2909=TRUE,"High cost",IF(S2909=TRUE,"Low quality","Benchmark")))</x:f>
        <x:v>Benchmark</x:v>
      </x:c>
    </x:row>
    <x:row r="2910">
      <x:c r="A2910" s="2" t="str">
        <x:v>440032</x:v>
      </x:c>
      <x:c r="B2910" s="2" t="str">
        <x:v>HAWKINS COUNTY MEMORIAL HOSPITAL</x:v>
      </x:c>
      <x:c r="C2910" s="2" t="str">
        <x:v>ROGERSVILLE</x:v>
      </x:c>
      <x:c r="D2910" s="2" t="str">
        <x:v>TN</x:v>
      </x:c>
      <x:c r="E2910" s="2" t="str">
        <x:v>Acute Care Hospitals</x:v>
      </x:c>
      <x:c r="F2910" s="2" t="str">
        <x:v>Voluntary non-profit</x:v>
      </x:c>
      <x:c r="G2910" s="2" t="str">
        <x:v>Small (&lt;100 beds)</x:v>
      </x:c>
      <x:c r="H2910" s="7"/>
      <x:c r="I2910" s="7"/>
      <x:c r="J2910" s="7" t="n">
        <x:v>0.96</x:v>
      </x:c>
      <x:c r="K2910" s="8" t="n">
        <x:v>5</x:v>
      </x:c>
      <x:c r="L2910" s="8" t="n">
        <x:v>353</x:v>
      </x:c>
      <x:c r="M2910" s="9" t="n">
        <x:v>0.5249315068</x:v>
      </x:c>
      <x:c r="N2910" s="10" t="n">
        <x:v>45707.4702549575</x:v>
      </x:c>
      <x:c r="O2910" s="9" t="n">
        <x:v>-0.0005172265</x:v>
      </x:c>
      <x:c r="P2910" s="9" t="n">
        <x:v>0.4111310592</x:v>
      </x:c>
      <x:c r="Q2910" s="9" t="n">
        <x:v>0.697486535</x:v>
      </x:c>
      <x:c r="R2910" s="3" t="b">
        <x:v>0</x:v>
      </x:c>
      <x:c r="S2910" s="3" t="b">
        <x:v>0</x:v>
      </x:c>
      <x:c r="T2910" s="3" t="b">
        <x:v>0</x:v>
      </x:c>
      <x:c r="U2910" s="2" t="str">
        <x:f>IF(T2910=TRUE,"Priority review",IF(R2910=TRUE,"High cost",IF(S2910=TRUE,"Low quality","Benchmark")))</x:f>
        <x:v>Benchmark</x:v>
      </x:c>
    </x:row>
    <x:row r="2911">
      <x:c r="A2911" s="2" t="str">
        <x:v>194103</x:v>
      </x:c>
      <x:c r="B2911" s="2" t="str">
        <x:v>SEASIDE HEALTH SYSTEM</x:v>
      </x:c>
      <x:c r="C2911" s="2" t="str">
        <x:v>BATON ROUGE</x:v>
      </x:c>
      <x:c r="D2911" s="2" t="str">
        <x:v>LA</x:v>
      </x:c>
      <x:c r="E2911" s="2" t="str">
        <x:v>Psychiatric</x:v>
      </x:c>
      <x:c r="F2911" s="2" t="str">
        <x:v>Government</x:v>
      </x:c>
      <x:c r="G2911" s="2" t="str">
        <x:v>Small (&lt;100 beds)</x:v>
      </x:c>
      <x:c r="H2911" s="7"/>
      <x:c r="I2911" s="7"/>
      <x:c r="J2911" s="7"/>
      <x:c r="K2911" s="8" t="n">
        <x:v>64</x:v>
      </x:c>
      <x:c r="L2911" s="8" t="n">
        <x:v>1418</x:v>
      </x:c>
      <x:c r="M2911" s="9" t="n">
        <x:v>0.3995901639</x:v>
      </x:c>
      <x:c r="N2911" s="10" t="n">
        <x:v>10394.009167842</x:v>
      </x:c>
      <x:c r="O2911" s="9" t="n">
        <x:v>-0.0099017438</x:v>
      </x:c>
      <x:c r="P2911" s="9" t="n">
        <x:v>0.4110032362</x:v>
      </x:c>
      <x:c r="Q2911" s="9" t="n">
        <x:v>0</x:v>
      </x:c>
      <x:c r="R2911" s="3" t="b">
        <x:v>0</x:v>
      </x:c>
      <x:c r="S2911" s="3" t="b">
        <x:v>0</x:v>
      </x:c>
      <x:c r="T2911" s="3" t="b">
        <x:v>0</x:v>
      </x:c>
      <x:c r="U2911" s="2" t="str">
        <x:f>IF(T2911=TRUE,"Priority review",IF(R2911=TRUE,"High cost",IF(S2911=TRUE,"Low quality","Benchmark")))</x:f>
        <x:v>Benchmark</x:v>
      </x:c>
    </x:row>
    <x:row r="2912">
      <x:c r="A2912" s="2" t="str">
        <x:v>390001</x:v>
      </x:c>
      <x:c r="B2912" s="2" t="str">
        <x:v>GEISINGER-COMMUNITY MEDICAL CENTER</x:v>
      </x:c>
      <x:c r="C2912" s="2" t="str">
        <x:v>SCRANTON</x:v>
      </x:c>
      <x:c r="D2912" s="2" t="str">
        <x:v>PA</x:v>
      </x:c>
      <x:c r="E2912" s="2" t="str">
        <x:v>Acute Care Hospitals</x:v>
      </x:c>
      <x:c r="F2912" s="2" t="str">
        <x:v>Voluntary non-profit</x:v>
      </x:c>
      <x:c r="G2912" s="2" t="str">
        <x:v>Medium (100-299 beds)</x:v>
      </x:c>
      <x:c r="H2912" s="7" t="n">
        <x:v>2</x:v>
      </x:c>
      <x:c r="I2912" s="7" t="n">
        <x:v>3</x:v>
      </x:c>
      <x:c r="J2912" s="7" t="n">
        <x:v>0.99</x:v>
      </x:c>
      <x:c r="K2912" s="8" t="n">
        <x:v>294</x:v>
      </x:c>
      <x:c r="L2912" s="8" t="n">
        <x:v>16922</x:v>
      </x:c>
      <x:c r="M2912" s="9" t="n">
        <x:v>0.8366750377</x:v>
      </x:c>
      <x:c r="N2912" s="10" t="n">
        <x:v>31007.2821770476</x:v>
      </x:c>
      <x:c r="O2912" s="9" t="n">
        <x:v>0.078333804</x:v>
      </x:c>
      <x:c r="P2912" s="9" t="n">
        <x:v>0.4107579462</x:v>
      </x:c>
      <x:c r="Q2912" s="9" t="n">
        <x:v>0.0782396088</x:v>
      </x:c>
      <x:c r="R2912" s="3" t="b">
        <x:v>0</x:v>
      </x:c>
      <x:c r="S2912" s="3" t="b">
        <x:v>1</x:v>
      </x:c>
      <x:c r="T2912" s="3" t="b">
        <x:v>0</x:v>
      </x:c>
      <x:c r="U2912" s="2" t="str">
        <x:f>IF(T2912=TRUE,"Priority review",IF(R2912=TRUE,"High cost",IF(S2912=TRUE,"Low quality","Benchmark")))</x:f>
        <x:v>Low quality</x:v>
      </x:c>
    </x:row>
    <x:row r="2913">
      <x:c r="A2913" s="2" t="str">
        <x:v>431336</x:v>
      </x:c>
      <x:c r="B2913" s="2" t="str">
        <x:v>SANFORD VERMILLION MEDICAL CENTER</x:v>
      </x:c>
      <x:c r="C2913" s="2" t="str">
        <x:v>VERMILLION</x:v>
      </x:c>
      <x:c r="D2913" s="2" t="str">
        <x:v>SD</x:v>
      </x:c>
      <x:c r="E2913" s="2" t="str">
        <x:v>Critical Access Hospitals</x:v>
      </x:c>
      <x:c r="F2913" s="2" t="str">
        <x:v>Voluntary non-profit</x:v>
      </x:c>
      <x:c r="G2913" s="2" t="str">
        <x:v>Small (&lt;100 beds)</x:v>
      </x:c>
      <x:c r="H2913" s="7"/>
      <x:c r="I2913" s="7"/>
      <x:c r="J2913" s="7"/>
      <x:c r="K2913" s="8" t="n">
        <x:v>25</x:v>
      </x:c>
      <x:c r="L2913" s="8" t="n">
        <x:v>281</x:v>
      </x:c>
      <x:c r="M2913" s="9" t="n">
        <x:v>0.1675409836</x:v>
      </x:c>
      <x:c r="N2913" s="10" t="n">
        <x:v>114639.1316725979</x:v>
      </x:c>
      <x:c r="O2913" s="9" t="n">
        <x:v>0.1137557729</x:v>
      </x:c>
      <x:c r="P2913" s="9" t="n">
        <x:v>0.4104089219</x:v>
      </x:c>
      <x:c r="Q2913" s="9" t="n">
        <x:v>0.292936803</x:v>
      </x:c>
      <x:c r="R2913" s="3" t="b">
        <x:v>0</x:v>
      </x:c>
      <x:c r="S2913" s="3" t="b">
        <x:v>0</x:v>
      </x:c>
      <x:c r="T2913" s="3" t="b">
        <x:v>0</x:v>
      </x:c>
      <x:c r="U2913" s="2" t="str">
        <x:f>IF(T2913=TRUE,"Priority review",IF(R2913=TRUE,"High cost",IF(S2913=TRUE,"Low quality","Benchmark")))</x:f>
        <x:v>Benchmark</x:v>
      </x:c>
    </x:row>
    <x:row r="2914">
      <x:c r="A2914" s="2" t="str">
        <x:v>040153</x:v>
      </x:c>
      <x:c r="B2914" s="2" t="str">
        <x:v>SOUTHWEST REGIONAL MEDICAL CENTER LLC</x:v>
      </x:c>
      <x:c r="C2914" s="2" t="str">
        <x:v>HOPE</x:v>
      </x:c>
      <x:c r="D2914" s="2" t="str">
        <x:v>AR</x:v>
      </x:c>
      <x:c r="E2914" s="2" t="str">
        <x:v>Acute Care Hospitals</x:v>
      </x:c>
      <x:c r="F2914" s="2" t="str">
        <x:v>Proprietary</x:v>
      </x:c>
      <x:c r="G2914" s="2" t="str">
        <x:v>Small (&lt;100 beds)</x:v>
      </x:c>
      <x:c r="H2914" s="7"/>
      <x:c r="I2914" s="7"/>
      <x:c r="J2914" s="7" t="n">
        <x:v>1.17</x:v>
      </x:c>
      <x:c r="K2914" s="8" t="n">
        <x:v>36</x:v>
      </x:c>
      <x:c r="L2914" s="8" t="n">
        <x:v>303</x:v>
      </x:c>
      <x:c r="M2914" s="9" t="n">
        <x:v>0.0783113622</x:v>
      </x:c>
      <x:c r="N2914" s="10" t="n">
        <x:v>45700.0792079208</x:v>
      </x:c>
      <x:c r="O2914" s="9" t="n">
        <x:v>-1.2297513834</x:v>
      </x:c>
      <x:c r="P2914" s="9" t="n">
        <x:v>0.4102333932</x:v>
      </x:c>
      <x:c r="Q2914" s="9" t="n">
        <x:v>0.697486535</x:v>
      </x:c>
      <x:c r="R2914" s="3" t="b">
        <x:v>0</x:v>
      </x:c>
      <x:c r="S2914" s="3" t="b">
        <x:v>0</x:v>
      </x:c>
      <x:c r="T2914" s="3" t="b">
        <x:v>0</x:v>
      </x:c>
      <x:c r="U2914" s="2" t="str">
        <x:f>IF(T2914=TRUE,"Priority review",IF(R2914=TRUE,"High cost",IF(S2914=TRUE,"Low quality","Benchmark")))</x:f>
        <x:v>Benchmark</x:v>
      </x:c>
    </x:row>
    <x:row r="2915">
      <x:c r="A2915" s="2" t="str">
        <x:v>500014</x:v>
      </x:c>
      <x:c r="B2915" s="2" t="str">
        <x:v>PROVIDENCE REGIONAL MEDICAL CENTER EVERETT</x:v>
      </x:c>
      <x:c r="C2915" s="2" t="str">
        <x:v>EVERETT</x:v>
      </x:c>
      <x:c r="D2915" s="2" t="str">
        <x:v>WA</x:v>
      </x:c>
      <x:c r="E2915" s="2" t="str">
        <x:v>Acute Care Hospitals</x:v>
      </x:c>
      <x:c r="F2915" s="2" t="str">
        <x:v>Voluntary non-profit</x:v>
      </x:c>
      <x:c r="G2915" s="2" t="str">
        <x:v>Large (300+ beds)</x:v>
      </x:c>
      <x:c r="H2915" s="7" t="n">
        <x:v>4</x:v>
      </x:c>
      <x:c r="I2915" s="7" t="n">
        <x:v>2</x:v>
      </x:c>
      <x:c r="J2915" s="7" t="n">
        <x:v>0.93</x:v>
      </x:c>
      <x:c r="K2915" s="8" t="n">
        <x:v>551</x:v>
      </x:c>
      <x:c r="L2915" s="8" t="n">
        <x:v>30714</x:v>
      </x:c>
      <x:c r="M2915" s="9" t="n">
        <x:v>0.8605317704</x:v>
      </x:c>
      <x:c r="N2915" s="10" t="n">
        <x:v>35130.1779970046</x:v>
      </x:c>
      <x:c r="O2915" s="9" t="n">
        <x:v>-0.1286604801</x:v>
      </x:c>
      <x:c r="P2915" s="9" t="n">
        <x:v>0.4100946372</x:v>
      </x:c>
      <x:c r="Q2915" s="9" t="n">
        <x:v>0.5899053628</x:v>
      </x:c>
      <x:c r="R2915" s="3" t="b">
        <x:v>0</x:v>
      </x:c>
      <x:c r="S2915" s="3" t="b">
        <x:v>0</x:v>
      </x:c>
      <x:c r="T2915" s="3" t="b">
        <x:v>0</x:v>
      </x:c>
      <x:c r="U2915" s="2" t="str">
        <x:f>IF(T2915=TRUE,"Priority review",IF(R2915=TRUE,"High cost",IF(S2915=TRUE,"Low quality","Benchmark")))</x:f>
        <x:v>Benchmark</x:v>
      </x:c>
    </x:row>
    <x:row r="2916">
      <x:c r="A2916" s="2" t="str">
        <x:v>230273</x:v>
      </x:c>
      <x:c r="B2916" s="2" t="str">
        <x:v>DETROIT RECEIVING HOSPITAL</x:v>
      </x:c>
      <x:c r="C2916" s="2" t="str">
        <x:v>DETROIT</x:v>
      </x:c>
      <x:c r="D2916" s="2" t="str">
        <x:v>MI</x:v>
      </x:c>
      <x:c r="E2916" s="2" t="str">
        <x:v>Acute Care Hospitals</x:v>
      </x:c>
      <x:c r="F2916" s="2" t="str">
        <x:v>Proprietary</x:v>
      </x:c>
      <x:c r="G2916" s="2" t="str">
        <x:v>Medium (100-299 beds)</x:v>
      </x:c>
      <x:c r="H2916" s="7" t="n">
        <x:v>1</x:v>
      </x:c>
      <x:c r="I2916" s="7" t="n">
        <x:v>1</x:v>
      </x:c>
      <x:c r="J2916" s="7" t="n">
        <x:v>0.95</x:v>
      </x:c>
      <x:c r="K2916" s="8" t="n">
        <x:v>213</x:v>
      </x:c>
      <x:c r="L2916" s="8" t="n">
        <x:v>9710</x:v>
      </x:c>
      <x:c r="M2916" s="9" t="n">
        <x:v>0.8545958287</x:v>
      </x:c>
      <x:c r="N2916" s="10" t="n">
        <x:v>30998.0665293512</x:v>
      </x:c>
      <x:c r="O2916" s="9" t="n">
        <x:v>0.1224852716</x:v>
      </x:c>
      <x:c r="P2916" s="9" t="n">
        <x:v>0.4099429503</x:v>
      </x:c>
      <x:c r="Q2916" s="9" t="n">
        <x:v>0</x:v>
      </x:c>
      <x:c r="R2916" s="3" t="b">
        <x:v>0</x:v>
      </x:c>
      <x:c r="S2916" s="3" t="b">
        <x:v>1</x:v>
      </x:c>
      <x:c r="T2916" s="3" t="b">
        <x:v>0</x:v>
      </x:c>
      <x:c r="U2916" s="2" t="str">
        <x:f>IF(T2916=TRUE,"Priority review",IF(R2916=TRUE,"High cost",IF(S2916=TRUE,"Low quality","Benchmark")))</x:f>
        <x:v>Low quality</x:v>
      </x:c>
    </x:row>
    <x:row r="2917">
      <x:c r="A2917" s="2" t="str">
        <x:v>341317</x:v>
      </x:c>
      <x:c r="B2917" s="2" t="str">
        <x:v>LIFEBRITE COMMUNITY HOSPITAL OF STOKES</x:v>
      </x:c>
      <x:c r="C2917" s="2" t="str">
        <x:v>DANBURY</x:v>
      </x:c>
      <x:c r="D2917" s="2" t="str">
        <x:v>NC</x:v>
      </x:c>
      <x:c r="E2917" s="2" t="str">
        <x:v>Critical Access Hospitals</x:v>
      </x:c>
      <x:c r="F2917" s="2" t="str">
        <x:v>Proprietary</x:v>
      </x:c>
      <x:c r="G2917" s="2" t="str">
        <x:v>Small (&lt;100 beds)</x:v>
      </x:c>
      <x:c r="H2917" s="7"/>
      <x:c r="I2917" s="7"/>
      <x:c r="J2917" s="7"/>
      <x:c r="K2917" s="8" t="n">
        <x:v>25</x:v>
      </x:c>
      <x:c r="L2917" s="8" t="n">
        <x:v>129</x:v>
      </x:c>
      <x:c r="M2917" s="9" t="n">
        <x:v>0.0999452055</x:v>
      </x:c>
      <x:c r="N2917" s="10" t="n">
        <x:v>114539.3565891473</x:v>
      </x:c>
      <x:c r="O2917" s="9" t="n">
        <x:v>-0.0676349021</x:v>
      </x:c>
      <x:c r="P2917" s="9" t="n">
        <x:v>0.4096654275</x:v>
      </x:c>
      <x:c r="Q2917" s="9" t="n">
        <x:v>0.292936803</x:v>
      </x:c>
      <x:c r="R2917" s="3" t="b">
        <x:v>0</x:v>
      </x:c>
      <x:c r="S2917" s="3" t="b">
        <x:v>0</x:v>
      </x:c>
      <x:c r="T2917" s="3" t="b">
        <x:v>0</x:v>
      </x:c>
      <x:c r="U2917" s="2" t="str">
        <x:f>IF(T2917=TRUE,"Priority review",IF(R2917=TRUE,"High cost",IF(S2917=TRUE,"Low quality","Benchmark")))</x:f>
        <x:v>Benchmark</x:v>
      </x:c>
    </x:row>
    <x:row r="2918">
      <x:c r="A2918" s="2" t="str">
        <x:v>370004</x:v>
      </x:c>
      <x:c r="B2918" s="2" t="str">
        <x:v>INTEGRIS MIAMI HOSPITAL</x:v>
      </x:c>
      <x:c r="C2918" s="2" t="str">
        <x:v>MIAMI</x:v>
      </x:c>
      <x:c r="D2918" s="2" t="str">
        <x:v>OK</x:v>
      </x:c>
      <x:c r="E2918" s="2" t="str">
        <x:v>Acute Care Hospitals</x:v>
      </x:c>
      <x:c r="F2918" s="2" t="str">
        <x:v>Voluntary non-profit</x:v>
      </x:c>
      <x:c r="G2918" s="2" t="str">
        <x:v>Small (&lt;100 beds)</x:v>
      </x:c>
      <x:c r="H2918" s="7" t="n">
        <x:v>4</x:v>
      </x:c>
      <x:c r="I2918" s="7" t="n">
        <x:v>4</x:v>
      </x:c>
      <x:c r="J2918" s="7" t="n">
        <x:v>0.95</x:v>
      </x:c>
      <x:c r="K2918" s="8" t="n">
        <x:v>32</x:v>
      </x:c>
      <x:c r="L2918" s="8" t="n">
        <x:v>1192</x:v>
      </x:c>
      <x:c r="M2918" s="9" t="n">
        <x:v>0.3121575342</x:v>
      </x:c>
      <x:c r="N2918" s="10" t="n">
        <x:v>45694.4505033557</x:v>
      </x:c>
      <x:c r="O2918" s="9" t="n">
        <x:v>-0.1972769513</x:v>
      </x:c>
      <x:c r="P2918" s="9" t="n">
        <x:v>0.4093357271</x:v>
      </x:c>
      <x:c r="Q2918" s="9" t="n">
        <x:v>0.3913824057</x:v>
      </x:c>
      <x:c r="R2918" s="3" t="b">
        <x:v>0</x:v>
      </x:c>
      <x:c r="S2918" s="3" t="b">
        <x:v>0</x:v>
      </x:c>
      <x:c r="T2918" s="3" t="b">
        <x:v>0</x:v>
      </x:c>
      <x:c r="U2918" s="2" t="str">
        <x:f>IF(T2918=TRUE,"Priority review",IF(R2918=TRUE,"High cost",IF(S2918=TRUE,"Low quality","Benchmark")))</x:f>
        <x:v>Benchmark</x:v>
      </x:c>
    </x:row>
    <x:row r="2919">
      <x:c r="A2919" s="2" t="str">
        <x:v>490044</x:v>
      </x:c>
      <x:c r="B2919" s="2" t="str">
        <x:v>SENTARA OBICI HOSPITAL</x:v>
      </x:c>
      <x:c r="C2919" s="2" t="str">
        <x:v>SUFFOLK</x:v>
      </x:c>
      <x:c r="D2919" s="2" t="str">
        <x:v>VA</x:v>
      </x:c>
      <x:c r="E2919" s="2" t="str">
        <x:v>Acute Care Hospitals</x:v>
      </x:c>
      <x:c r="F2919" s="2" t="str">
        <x:v>Voluntary non-profit</x:v>
      </x:c>
      <x:c r="G2919" s="2" t="str">
        <x:v>Medium (100-299 beds)</x:v>
      </x:c>
      <x:c r="H2919" s="7" t="n">
        <x:v>4</x:v>
      </x:c>
      <x:c r="I2919" s="7" t="n">
        <x:v>4</x:v>
      </x:c>
      <x:c r="J2919" s="7" t="n">
        <x:v>0.89</x:v>
      </x:c>
      <x:c r="K2919" s="8" t="n">
        <x:v>192</x:v>
      </x:c>
      <x:c r="L2919" s="8" t="n">
        <x:v>11199</x:v>
      </x:c>
      <x:c r="M2919" s="9" t="n">
        <x:v>0.7122040073</x:v>
      </x:c>
      <x:c r="N2919" s="10" t="n">
        <x:v>30984.7307795339</x:v>
      </x:c>
      <x:c r="O2919" s="9" t="n">
        <x:v>0.1256831427</x:v>
      </x:c>
      <x:c r="P2919" s="9" t="n">
        <x:v>0.4091279544</x:v>
      </x:c>
      <x:c r="Q2919" s="9" t="n">
        <x:v>0.6022819886</x:v>
      </x:c>
      <x:c r="R2919" s="3" t="b">
        <x:v>0</x:v>
      </x:c>
      <x:c r="S2919" s="3" t="b">
        <x:v>0</x:v>
      </x:c>
      <x:c r="T2919" s="3" t="b">
        <x:v>0</x:v>
      </x:c>
      <x:c r="U2919" s="2" t="str">
        <x:f>IF(T2919=TRUE,"Priority review",IF(R2919=TRUE,"High cost",IF(S2919=TRUE,"Low quality","Benchmark")))</x:f>
        <x:v>Benchmark</x:v>
      </x:c>
    </x:row>
    <x:row r="2920">
      <x:c r="A2920" s="2" t="str">
        <x:v>051335</x:v>
      </x:c>
      <x:c r="B2920" s="2" t="str">
        <x:v>BEAR VALLEY COMMUNITY HOSPITAL</x:v>
      </x:c>
      <x:c r="C2920" s="2" t="str">
        <x:v>BIG BEAR LAKE</x:v>
      </x:c>
      <x:c r="D2920" s="2" t="str">
        <x:v>CA</x:v>
      </x:c>
      <x:c r="E2920" s="2" t="str">
        <x:v>Critical Access Hospitals</x:v>
      </x:c>
      <x:c r="F2920" s="2" t="str">
        <x:v>Government</x:v>
      </x:c>
      <x:c r="G2920" s="2" t="str">
        <x:v>Small (&lt;100 beds)</x:v>
      </x:c>
      <x:c r="H2920" s="7"/>
      <x:c r="I2920" s="7"/>
      <x:c r="J2920" s="7"/>
      <x:c r="K2920" s="8" t="n">
        <x:v>9</x:v>
      </x:c>
      <x:c r="L2920" s="8" t="n">
        <x:v>374</x:v>
      </x:c>
      <x:c r="M2920" s="9" t="n">
        <x:v>0.4490106545</x:v>
      </x:c>
      <x:c r="N2920" s="10" t="n">
        <x:v>114488.7967914438</x:v>
      </x:c>
      <x:c r="O2920" s="9" t="n">
        <x:v>-0.1804038257</x:v>
      </x:c>
      <x:c r="P2920" s="9" t="n">
        <x:v>0.4089219331</x:v>
      </x:c>
      <x:c r="Q2920" s="9" t="n">
        <x:v>0.292936803</x:v>
      </x:c>
      <x:c r="R2920" s="3" t="b">
        <x:v>0</x:v>
      </x:c>
      <x:c r="S2920" s="3" t="b">
        <x:v>0</x:v>
      </x:c>
      <x:c r="T2920" s="3" t="b">
        <x:v>0</x:v>
      </x:c>
      <x:c r="U2920" s="2" t="str">
        <x:f>IF(T2920=TRUE,"Priority review",IF(R2920=TRUE,"High cost",IF(S2920=TRUE,"Low quality","Benchmark")))</x:f>
        <x:v>Benchmark</x:v>
      </x:c>
    </x:row>
    <x:row r="2921">
      <x:c r="A2921" s="2" t="str">
        <x:v>110035</x:v>
      </x:c>
      <x:c r="B2921" s="2" t="str">
        <x:v>WELLSTAR KENNESTONE REGIONAL MEDICAL CENTER</x:v>
      </x:c>
      <x:c r="C2921" s="2" t="str">
        <x:v>MARIETTA</x:v>
      </x:c>
      <x:c r="D2921" s="2" t="str">
        <x:v>GA</x:v>
      </x:c>
      <x:c r="E2921" s="2" t="str">
        <x:v>Acute Care Hospitals</x:v>
      </x:c>
      <x:c r="F2921" s="2" t="str">
        <x:v>Government</x:v>
      </x:c>
      <x:c r="G2921" s="2" t="str">
        <x:v>Large (300+ beds)</x:v>
      </x:c>
      <x:c r="H2921" s="7" t="n">
        <x:v>4</x:v>
      </x:c>
      <x:c r="I2921" s="7" t="n">
        <x:v>2</x:v>
      </x:c>
      <x:c r="J2921" s="7" t="n">
        <x:v>0.95</x:v>
      </x:c>
      <x:c r="K2921" s="8" t="n">
        <x:v>642</x:v>
      </x:c>
      <x:c r="L2921" s="8" t="n">
        <x:v>47023</x:v>
      </x:c>
      <x:c r="M2921" s="9" t="n">
        <x:v>1.0352110272</x:v>
      </x:c>
      <x:c r="N2921" s="10" t="n">
        <x:v>35044.356336261</x:v>
      </x:c>
      <x:c r="O2921" s="9" t="n">
        <x:v>0.1121324879</x:v>
      </x:c>
      <x:c r="P2921" s="9" t="n">
        <x:v>0.4085173502</x:v>
      </x:c>
      <x:c r="Q2921" s="9" t="n">
        <x:v>0.5899053628</x:v>
      </x:c>
      <x:c r="R2921" s="3" t="b">
        <x:v>0</x:v>
      </x:c>
      <x:c r="S2921" s="3" t="b">
        <x:v>0</x:v>
      </x:c>
      <x:c r="T2921" s="3" t="b">
        <x:v>0</x:v>
      </x:c>
      <x:c r="U2921" s="2" t="str">
        <x:f>IF(T2921=TRUE,"Priority review",IF(R2921=TRUE,"High cost",IF(S2921=TRUE,"Low quality","Benchmark")))</x:f>
        <x:v>Benchmark</x:v>
      </x:c>
    </x:row>
    <x:row r="2922">
      <x:c r="A2922" s="2" t="str">
        <x:v>080006</x:v>
      </x:c>
      <x:c r="B2922" s="2" t="str">
        <x:v>TIDALHEALTH NANTICOKE, INC.</x:v>
      </x:c>
      <x:c r="C2922" s="2" t="str">
        <x:v>SEAFORD</x:v>
      </x:c>
      <x:c r="D2922" s="2" t="str">
        <x:v>DE</x:v>
      </x:c>
      <x:c r="E2922" s="2" t="str">
        <x:v>Acute Care Hospitals</x:v>
      </x:c>
      <x:c r="F2922" s="2" t="str">
        <x:v>Voluntary non-profit</x:v>
      </x:c>
      <x:c r="G2922" s="2" t="str">
        <x:v>Small (&lt;100 beds)</x:v>
      </x:c>
      <x:c r="H2922" s="7" t="n">
        <x:v>3</x:v>
      </x:c>
      <x:c r="I2922" s="7" t="n">
        <x:v>3</x:v>
      </x:c>
      <x:c r="J2922" s="7" t="n">
        <x:v>1.02</x:v>
      </x:c>
      <x:c r="K2922" s="8" t="n">
        <x:v>92</x:v>
      </x:c>
      <x:c r="L2922" s="8" t="n">
        <x:v>5129</x:v>
      </x:c>
      <x:c r="M2922" s="9" t="n">
        <x:v>0.6740917213</x:v>
      </x:c>
      <x:c r="N2922" s="10" t="n">
        <x:v>45676.9091440827</x:v>
      </x:c>
      <x:c r="O2922" s="9" t="n">
        <x:v>-0.046187949</x:v>
      </x:c>
      <x:c r="P2922" s="9" t="n">
        <x:v>0.408438061</x:v>
      </x:c>
      <x:c r="Q2922" s="9" t="n">
        <x:v>0.1687612208</x:v>
      </x:c>
      <x:c r="R2922" s="3" t="b">
        <x:v>0</x:v>
      </x:c>
      <x:c r="S2922" s="3" t="b">
        <x:v>0</x:v>
      </x:c>
      <x:c r="T2922" s="3" t="b">
        <x:v>0</x:v>
      </x:c>
      <x:c r="U2922" s="2" t="str">
        <x:f>IF(T2922=TRUE,"Priority review",IF(R2922=TRUE,"High cost",IF(S2922=TRUE,"Low quality","Benchmark")))</x:f>
        <x:v>Benchmark</x:v>
      </x:c>
    </x:row>
    <x:row r="2923">
      <x:c r="A2923" s="2" t="str">
        <x:v>050764</x:v>
      </x:c>
      <x:c r="B2923" s="2" t="str">
        <x:v>SHASTA REGIONAL MEDICAL CENTER</x:v>
      </x:c>
      <x:c r="C2923" s="2" t="str">
        <x:v>REDDING</x:v>
      </x:c>
      <x:c r="D2923" s="2" t="str">
        <x:v>CA</x:v>
      </x:c>
      <x:c r="E2923" s="2" t="str">
        <x:v>Acute Care Hospitals</x:v>
      </x:c>
      <x:c r="F2923" s="2" t="str">
        <x:v>Proprietary</x:v>
      </x:c>
      <x:c r="G2923" s="2" t="str">
        <x:v>Medium (100-299 beds)</x:v>
      </x:c>
      <x:c r="H2923" s="7" t="n">
        <x:v>2</x:v>
      </x:c>
      <x:c r="I2923" s="7" t="n">
        <x:v>2</x:v>
      </x:c>
      <x:c r="J2923" s="7" t="n">
        <x:v>0.95</x:v>
      </x:c>
      <x:c r="K2923" s="8" t="n">
        <x:v>118</x:v>
      </x:c>
      <x:c r="L2923" s="8" t="n">
        <x:v>5970</x:v>
      </x:c>
      <x:c r="M2923" s="9" t="n">
        <x:v>0.5771899393</x:v>
      </x:c>
      <x:c r="N2923" s="10" t="n">
        <x:v>30952.4453936348</x:v>
      </x:c>
      <x:c r="O2923" s="9" t="n">
        <x:v>-0.0992984949</x:v>
      </x:c>
      <x:c r="P2923" s="9" t="n">
        <x:v>0.4083129584</x:v>
      </x:c>
      <x:c r="Q2923" s="9" t="n">
        <x:v>0.0782396088</x:v>
      </x:c>
      <x:c r="R2923" s="3" t="b">
        <x:v>0</x:v>
      </x:c>
      <x:c r="S2923" s="3" t="b">
        <x:v>1</x:v>
      </x:c>
      <x:c r="T2923" s="3" t="b">
        <x:v>0</x:v>
      </x:c>
      <x:c r="U2923" s="2" t="str">
        <x:f>IF(T2923=TRUE,"Priority review",IF(R2923=TRUE,"High cost",IF(S2923=TRUE,"Low quality","Benchmark")))</x:f>
        <x:v>Low quality</x:v>
      </x:c>
    </x:row>
    <x:row r="2924">
      <x:c r="A2924" s="2" t="str">
        <x:v>171376</x:v>
      </x:c>
      <x:c r="B2924" s="2" t="str">
        <x:v>GIRARD MEDICAL CENTER</x:v>
      </x:c>
      <x:c r="C2924" s="2" t="str">
        <x:v>GIRARD</x:v>
      </x:c>
      <x:c r="D2924" s="2" t="str">
        <x:v>KS</x:v>
      </x:c>
      <x:c r="E2924" s="2" t="str">
        <x:v>Critical Access Hospitals</x:v>
      </x:c>
      <x:c r="F2924" s="2" t="str">
        <x:v>Government</x:v>
      </x:c>
      <x:c r="G2924" s="2" t="str">
        <x:v>Small (&lt;100 beds)</x:v>
      </x:c>
      <x:c r="H2924" s="7" t="n">
        <x:v>2</x:v>
      </x:c>
      <x:c r="I2924" s="7"/>
      <x:c r="J2924" s="7"/>
      <x:c r="K2924" s="8" t="n">
        <x:v>25</x:v>
      </x:c>
      <x:c r="L2924" s="8" t="n">
        <x:v>209</x:v>
      </x:c>
      <x:c r="M2924" s="9" t="n">
        <x:v>0.1277595628</x:v>
      </x:c>
      <x:c r="N2924" s="10" t="n">
        <x:v>114390.4545454545</x:v>
      </x:c>
      <x:c r="O2924" s="9" t="n">
        <x:v>-0.0948130247</x:v>
      </x:c>
      <x:c r="P2924" s="9" t="n">
        <x:v>0.4081784387</x:v>
      </x:c>
      <x:c r="Q2924" s="9" t="n">
        <x:v>0.0171003717</x:v>
      </x:c>
      <x:c r="R2924" s="3" t="b">
        <x:v>0</x:v>
      </x:c>
      <x:c r="S2924" s="3" t="b">
        <x:v>1</x:v>
      </x:c>
      <x:c r="T2924" s="3" t="b">
        <x:v>0</x:v>
      </x:c>
      <x:c r="U2924" s="2" t="str">
        <x:f>IF(T2924=TRUE,"Priority review",IF(R2924=TRUE,"High cost",IF(S2924=TRUE,"Low quality","Benchmark")))</x:f>
        <x:v>Low quality</x:v>
      </x:c>
    </x:row>
    <x:row r="2925">
      <x:c r="A2925" s="2" t="str">
        <x:v>454119</x:v>
      </x:c>
      <x:c r="B2925" s="2" t="str">
        <x:v>CARROLLTON SPRINGS</x:v>
      </x:c>
      <x:c r="C2925" s="2" t="str">
        <x:v>CARROLLTON</x:v>
      </x:c>
      <x:c r="D2925" s="2" t="str">
        <x:v>TX</x:v>
      </x:c>
      <x:c r="E2925" s="2" t="str">
        <x:v>Psychiatric</x:v>
      </x:c>
      <x:c r="F2925" s="2" t="str">
        <x:v>Proprietary</x:v>
      </x:c>
      <x:c r="G2925" s="2" t="str">
        <x:v>Medium (100-299 beds)</x:v>
      </x:c>
      <x:c r="H2925" s="7"/>
      <x:c r="I2925" s="7"/>
      <x:c r="J2925" s="7"/>
      <x:c r="K2925" s="8" t="n">
        <x:v>150</x:v>
      </x:c>
      <x:c r="L2925" s="8" t="n">
        <x:v>4878</x:v>
      </x:c>
      <x:c r="M2925" s="9" t="n">
        <x:v>0.786739726</x:v>
      </x:c>
      <x:c r="N2925" s="10" t="n">
        <x:v>9625.0795407954</x:v>
      </x:c>
      <x:c r="O2925" s="9" t="n">
        <x:v>-0.0967030635</x:v>
      </x:c>
      <x:c r="P2925" s="9" t="n">
        <x:v>0.407960199</x:v>
      </x:c>
      <x:c r="Q2925" s="9" t="n">
        <x:v>0</x:v>
      </x:c>
      <x:c r="R2925" s="3" t="b">
        <x:v>0</x:v>
      </x:c>
      <x:c r="S2925" s="3" t="b">
        <x:v>0</x:v>
      </x:c>
      <x:c r="T2925" s="3" t="b">
        <x:v>0</x:v>
      </x:c>
      <x:c r="U2925" s="2" t="str">
        <x:f>IF(T2925=TRUE,"Priority review",IF(R2925=TRUE,"High cost",IF(S2925=TRUE,"Low quality","Benchmark")))</x:f>
        <x:v>Benchmark</x:v>
      </x:c>
    </x:row>
    <x:row r="2926">
      <x:c r="A2926" s="2" t="str">
        <x:v>454150</x:v>
      </x:c>
      <x:c r="B2926" s="2" t="str">
        <x:v>OCEANS BEHAVIORAL HOSPITAL OF WACO</x:v>
      </x:c>
      <x:c r="C2926" s="2" t="str">
        <x:v>WACO</x:v>
      </x:c>
      <x:c r="D2926" s="2" t="str">
        <x:v>TX</x:v>
      </x:c>
      <x:c r="E2926" s="2" t="str">
        <x:v>Psychiatric</x:v>
      </x:c>
      <x:c r="F2926" s="2" t="str">
        <x:v>Proprietary</x:v>
      </x:c>
      <x:c r="G2926" s="2" t="str">
        <x:v>Small (&lt;100 beds)</x:v>
      </x:c>
      <x:c r="H2926" s="7"/>
      <x:c r="I2926" s="7"/>
      <x:c r="J2926" s="7"/>
      <x:c r="K2926" s="8" t="n">
        <x:v>48</x:v>
      </x:c>
      <x:c r="L2926" s="8" t="n">
        <x:v>1207</x:v>
      </x:c>
      <x:c r="M2926" s="9" t="n">
        <x:v>0.8159722222</x:v>
      </x:c>
      <x:c r="N2926" s="10" t="n">
        <x:v>10386.2071251036</x:v>
      </x:c>
      <x:c r="O2926" s="9" t="n">
        <x:v>0.0754404456</x:v>
      </x:c>
      <x:c r="P2926" s="9" t="n">
        <x:v>0.4077669903</x:v>
      </x:c>
      <x:c r="Q2926" s="9" t="n">
        <x:v>0</x:v>
      </x:c>
      <x:c r="R2926" s="3" t="b">
        <x:v>0</x:v>
      </x:c>
      <x:c r="S2926" s="3" t="b">
        <x:v>0</x:v>
      </x:c>
      <x:c r="T2926" s="3" t="b">
        <x:v>0</x:v>
      </x:c>
      <x:c r="U2926" s="2" t="str">
        <x:f>IF(T2926=TRUE,"Priority review",IF(R2926=TRUE,"High cost",IF(S2926=TRUE,"Low quality","Benchmark")))</x:f>
        <x:v>Benchmark</x:v>
      </x:c>
    </x:row>
    <x:row r="2927">
      <x:c r="A2927" s="2" t="str">
        <x:v>670321</x:v>
      </x:c>
      <x:c r="B2927" s="2" t="str">
        <x:v>ADVANCED DALLAS HOSPITALS AND CLINICS</x:v>
      </x:c>
      <x:c r="C2927" s="2" t="str">
        <x:v>DALLAS</x:v>
      </x:c>
      <x:c r="D2927" s="2" t="str">
        <x:v>TX</x:v>
      </x:c>
      <x:c r="E2927" s="2" t="str">
        <x:v>Acute Care Hospitals</x:v>
      </x:c>
      <x:c r="F2927" s="2" t="str">
        <x:v>Proprietary</x:v>
      </x:c>
      <x:c r="G2927" s="2" t="str">
        <x:v>Small (&lt;100 beds)</x:v>
      </x:c>
      <x:c r="H2927" s="7"/>
      <x:c r="I2927" s="7"/>
      <x:c r="J2927" s="7"/>
      <x:c r="K2927" s="8" t="n">
        <x:v>28</x:v>
      </x:c>
      <x:c r="L2927" s="8" t="n">
        <x:v>554</x:v>
      </x:c>
      <x:c r="M2927" s="9" t="n">
        <x:v>0.2158469945</x:v>
      </x:c>
      <x:c r="N2927" s="10" t="n">
        <x:v>45663.8754512635</x:v>
      </x:c>
      <x:c r="O2927" s="9" t="n">
        <x:v>-0.5353349095</x:v>
      </x:c>
      <x:c r="P2927" s="9" t="n">
        <x:v>0.407540395</x:v>
      </x:c>
      <x:c r="Q2927" s="9" t="n">
        <x:v>0.697486535</x:v>
      </x:c>
      <x:c r="R2927" s="3" t="b">
        <x:v>0</x:v>
      </x:c>
      <x:c r="S2927" s="3" t="b">
        <x:v>0</x:v>
      </x:c>
      <x:c r="T2927" s="3" t="b">
        <x:v>0</x:v>
      </x:c>
      <x:c r="U2927" s="2" t="str">
        <x:f>IF(T2927=TRUE,"Priority review",IF(R2927=TRUE,"High cost",IF(S2927=TRUE,"Low quality","Benchmark")))</x:f>
        <x:v>Benchmark</x:v>
      </x:c>
    </x:row>
    <x:row r="2928">
      <x:c r="A2928" s="2" t="str">
        <x:v>190027</x:v>
      </x:c>
      <x:c r="B2928" s="2" t="str">
        <x:v>CHRISTUS OCHSNER ST PATRICK HOSPITAL</x:v>
      </x:c>
      <x:c r="C2928" s="2" t="str">
        <x:v>LAKE CHARLES</x:v>
      </x:c>
      <x:c r="D2928" s="2" t="str">
        <x:v>LA</x:v>
      </x:c>
      <x:c r="E2928" s="2" t="str">
        <x:v>Acute Care Hospitals</x:v>
      </x:c>
      <x:c r="F2928" s="2" t="str">
        <x:v>Voluntary non-profit</x:v>
      </x:c>
      <x:c r="G2928" s="2" t="str">
        <x:v>Medium (100-299 beds)</x:v>
      </x:c>
      <x:c r="H2928" s="7" t="n">
        <x:v>3</x:v>
      </x:c>
      <x:c r="I2928" s="7" t="n">
        <x:v>3</x:v>
      </x:c>
      <x:c r="J2928" s="7" t="n">
        <x:v>1.05</x:v>
      </x:c>
      <x:c r="K2928" s="8" t="n">
        <x:v>100</x:v>
      </x:c>
      <x:c r="L2928" s="8" t="n">
        <x:v>5845</x:v>
      </x:c>
      <x:c r="M2928" s="9" t="n">
        <x:v>0.6754246575</x:v>
      </x:c>
      <x:c r="N2928" s="10" t="n">
        <x:v>30939.1093242087</x:v>
      </x:c>
      <x:c r="O2928" s="9" t="n">
        <x:v>-0.0379206532</x:v>
      </x:c>
      <x:c r="P2928" s="9" t="n">
        <x:v>0.4074979625</x:v>
      </x:c>
      <x:c r="Q2928" s="9" t="n">
        <x:v>0.3023634882</x:v>
      </x:c>
      <x:c r="R2928" s="3" t="b">
        <x:v>0</x:v>
      </x:c>
      <x:c r="S2928" s="3" t="b">
        <x:v>0</x:v>
      </x:c>
      <x:c r="T2928" s="3" t="b">
        <x:v>0</x:v>
      </x:c>
      <x:c r="U2928" s="2" t="str">
        <x:f>IF(T2928=TRUE,"Priority review",IF(R2928=TRUE,"High cost",IF(S2928=TRUE,"Low quality","Benchmark")))</x:f>
        <x:v>Benchmark</x:v>
      </x:c>
    </x:row>
    <x:row r="2929">
      <x:c r="A2929" s="2" t="str">
        <x:v>171301</x:v>
      </x:c>
      <x:c r="B2929" s="2" t="str">
        <x:v>ELLINWOOD DISTRICT HOSPITAL</x:v>
      </x:c>
      <x:c r="C2929" s="2" t="str">
        <x:v>ELLINWOOD</x:v>
      </x:c>
      <x:c r="D2929" s="2" t="str">
        <x:v>KS</x:v>
      </x:c>
      <x:c r="E2929" s="2" t="str">
        <x:v>Critical Access Hospitals</x:v>
      </x:c>
      <x:c r="F2929" s="2" t="str">
        <x:v>Government</x:v>
      </x:c>
      <x:c r="G2929" s="2" t="str">
        <x:v>Small (&lt;100 beds)</x:v>
      </x:c>
      <x:c r="H2929" s="7"/>
      <x:c r="I2929" s="7"/>
      <x:c r="J2929" s="7"/>
      <x:c r="K2929" s="8" t="n">
        <x:v>23</x:v>
      </x:c>
      <x:c r="L2929" s="8" t="n">
        <x:v>113</x:v>
      </x:c>
      <x:c r="M2929" s="9" t="n">
        <x:v>0.3125786164</x:v>
      </x:c>
      <x:c r="N2929" s="10" t="n">
        <x:v>114266.6991150442</x:v>
      </x:c>
      <x:c r="O2929" s="9" t="n">
        <x:v>-0.4340039237</x:v>
      </x:c>
      <x:c r="P2929" s="9" t="n">
        <x:v>0.4074349442</x:v>
      </x:c>
      <x:c r="Q2929" s="9" t="n">
        <x:v>0.292936803</x:v>
      </x:c>
      <x:c r="R2929" s="3" t="b">
        <x:v>0</x:v>
      </x:c>
      <x:c r="S2929" s="3" t="b">
        <x:v>0</x:v>
      </x:c>
      <x:c r="T2929" s="3" t="b">
        <x:v>0</x:v>
      </x:c>
      <x:c r="U2929" s="2" t="str">
        <x:f>IF(T2929=TRUE,"Priority review",IF(R2929=TRUE,"High cost",IF(S2929=TRUE,"Low quality","Benchmark")))</x:f>
        <x:v>Benchmark</x:v>
      </x:c>
    </x:row>
    <x:row r="2930">
      <x:c r="A2930" s="2" t="str">
        <x:v>453310</x:v>
      </x:c>
      <x:c r="B2930" s="2" t="str">
        <x:v>DELL CHILDREN'S MEDICAL CENTER</x:v>
      </x:c>
      <x:c r="C2930" s="2" t="str">
        <x:v>AUSTIN</x:v>
      </x:c>
      <x:c r="D2930" s="2" t="str">
        <x:v>TX</x:v>
      </x:c>
      <x:c r="E2930" s="2" t="str">
        <x:v>Childrens</x:v>
      </x:c>
      <x:c r="F2930" s="2" t="str">
        <x:v>Voluntary non-profit</x:v>
      </x:c>
      <x:c r="G2930" s="2" t="str">
        <x:v>Large (300+ beds)</x:v>
      </x:c>
      <x:c r="H2930" s="7"/>
      <x:c r="I2930" s="7"/>
      <x:c r="J2930" s="7"/>
      <x:c r="K2930" s="8" t="n">
        <x:v>334</x:v>
      </x:c>
      <x:c r="L2930" s="8" t="n">
        <x:v>9215</x:v>
      </x:c>
      <x:c r="M2930" s="9" t="n">
        <x:v>0.5106022616</x:v>
      </x:c>
      <x:c r="N2930" s="10" t="n">
        <x:v>88104.6477482366</x:v>
      </x:c>
      <x:c r="O2930" s="9" t="n">
        <x:v>0.1635295588</x:v>
      </x:c>
      <x:c r="P2930" s="9" t="n">
        <x:v>0.4074074074</x:v>
      </x:c>
      <x:c r="Q2930" s="9" t="n">
        <x:v>0</x:v>
      </x:c>
      <x:c r="R2930" s="3" t="b">
        <x:v>0</x:v>
      </x:c>
      <x:c r="S2930" s="3" t="b">
        <x:v>0</x:v>
      </x:c>
      <x:c r="T2930" s="3" t="b">
        <x:v>0</x:v>
      </x:c>
      <x:c r="U2930" s="2" t="str">
        <x:f>IF(T2930=TRUE,"Priority review",IF(R2930=TRUE,"High cost",IF(S2930=TRUE,"Low quality","Benchmark")))</x:f>
        <x:v>Benchmark</x:v>
      </x:c>
    </x:row>
    <x:row r="2931">
      <x:c r="A2931" s="2" t="str">
        <x:v>180013</x:v>
      </x:c>
      <x:c r="B2931" s="2" t="str">
        <x:v>THE MEDICAL CENTER (BOWLING GREEN)</x:v>
      </x:c>
      <x:c r="C2931" s="2" t="str">
        <x:v>BOWLING GREEN</x:v>
      </x:c>
      <x:c r="D2931" s="2" t="str">
        <x:v>KY</x:v>
      </x:c>
      <x:c r="E2931" s="2" t="str">
        <x:v>Acute Care Hospitals</x:v>
      </x:c>
      <x:c r="F2931" s="2" t="str">
        <x:v>Voluntary non-profit</x:v>
      </x:c>
      <x:c r="G2931" s="2" t="str">
        <x:v>Large (300+ beds)</x:v>
      </x:c>
      <x:c r="H2931" s="7" t="n">
        <x:v>2</x:v>
      </x:c>
      <x:c r="I2931" s="7" t="n">
        <x:v>3</x:v>
      </x:c>
      <x:c r="J2931" s="7" t="n">
        <x:v>1.06</x:v>
      </x:c>
      <x:c r="K2931" s="8" t="n">
        <x:v>326</x:v>
      </x:c>
      <x:c r="L2931" s="8" t="n">
        <x:v>15499</x:v>
      </x:c>
      <x:c r="M2931" s="9" t="n">
        <x:v>0.7234221363</x:v>
      </x:c>
      <x:c r="N2931" s="10" t="n">
        <x:v>35006.607071424</x:v>
      </x:c>
      <x:c r="O2931" s="9" t="n">
        <x:v>0.0595242235</x:v>
      </x:c>
      <x:c r="P2931" s="9" t="n">
        <x:v>0.4069400631</x:v>
      </x:c>
      <x:c r="Q2931" s="9" t="n">
        <x:v>0.0536277603</x:v>
      </x:c>
      <x:c r="R2931" s="3" t="b">
        <x:v>0</x:v>
      </x:c>
      <x:c r="S2931" s="3" t="b">
        <x:v>1</x:v>
      </x:c>
      <x:c r="T2931" s="3" t="b">
        <x:v>0</x:v>
      </x:c>
      <x:c r="U2931" s="2" t="str">
        <x:f>IF(T2931=TRUE,"Priority review",IF(R2931=TRUE,"High cost",IF(S2931=TRUE,"Low quality","Benchmark")))</x:f>
        <x:v>Low quality</x:v>
      </x:c>
    </x:row>
    <x:row r="2932">
      <x:c r="A2932" s="2" t="str">
        <x:v>241373</x:v>
      </x:c>
      <x:c r="B2932" s="2" t="str">
        <x:v>PERHAM HEALTH</x:v>
      </x:c>
      <x:c r="C2932" s="2" t="str">
        <x:v>PERHAM</x:v>
      </x:c>
      <x:c r="D2932" s="2" t="str">
        <x:v>MN</x:v>
      </x:c>
      <x:c r="E2932" s="2" t="str">
        <x:v>Critical Access Hospitals</x:v>
      </x:c>
      <x:c r="F2932" s="2" t="str">
        <x:v>Government</x:v>
      </x:c>
      <x:c r="G2932" s="2" t="str">
        <x:v>Small (&lt;100 beds)</x:v>
      </x:c>
      <x:c r="H2932" s="7" t="n">
        <x:v>3</x:v>
      </x:c>
      <x:c r="I2932" s="7" t="n">
        <x:v>5</x:v>
      </x:c>
      <x:c r="J2932" s="7"/>
      <x:c r="K2932" s="8" t="n">
        <x:v>25</x:v>
      </x:c>
      <x:c r="L2932" s="8" t="n">
        <x:v>730</x:v>
      </x:c>
      <x:c r="M2932" s="9" t="n">
        <x:v>0.3820765027</x:v>
      </x:c>
      <x:c r="N2932" s="10" t="n">
        <x:v>114228.6698630137</x:v>
      </x:c>
      <x:c r="O2932" s="9" t="n">
        <x:v>-0.0597065002</x:v>
      </x:c>
      <x:c r="P2932" s="9" t="n">
        <x:v>0.4066914498</x:v>
      </x:c>
      <x:c r="Q2932" s="9" t="n">
        <x:v>0.0765799257</x:v>
      </x:c>
      <x:c r="R2932" s="3" t="b">
        <x:v>0</x:v>
      </x:c>
      <x:c r="S2932" s="3" t="b">
        <x:v>1</x:v>
      </x:c>
      <x:c r="T2932" s="3" t="b">
        <x:v>0</x:v>
      </x:c>
      <x:c r="U2932" s="2" t="str">
        <x:f>IF(T2932=TRUE,"Priority review",IF(R2932=TRUE,"High cost",IF(S2932=TRUE,"Low quality","Benchmark")))</x:f>
        <x:v>Low quality</x:v>
      </x:c>
    </x:row>
    <x:row r="2933">
      <x:c r="A2933" s="2" t="str">
        <x:v>220008</x:v>
      </x:c>
      <x:c r="B2933" s="2" t="str">
        <x:v>STURDY MEMORIAL HOSPITAL</x:v>
      </x:c>
      <x:c r="C2933" s="2" t="str">
        <x:v>ATTLEBORO</x:v>
      </x:c>
      <x:c r="D2933" s="2" t="str">
        <x:v>MA</x:v>
      </x:c>
      <x:c r="E2933" s="2" t="str">
        <x:v>Acute Care Hospitals</x:v>
      </x:c>
      <x:c r="F2933" s="2" t="str">
        <x:v>Voluntary non-profit</x:v>
      </x:c>
      <x:c r="G2933" s="2" t="str">
        <x:v>Medium (100-299 beds)</x:v>
      </x:c>
      <x:c r="H2933" s="7" t="n">
        <x:v>3</x:v>
      </x:c>
      <x:c r="I2933" s="7" t="n">
        <x:v>3</x:v>
      </x:c>
      <x:c r="J2933" s="7" t="n">
        <x:v>0.97</x:v>
      </x:c>
      <x:c r="K2933" s="8" t="n">
        <x:v>125</x:v>
      </x:c>
      <x:c r="L2933" s="8" t="n">
        <x:v>8498</x:v>
      </x:c>
      <x:c r="M2933" s="9" t="n">
        <x:v>0.8054644809</x:v>
      </x:c>
      <x:c r="N2933" s="10" t="n">
        <x:v>30923.0936690986</x:v>
      </x:c>
      <x:c r="O2933" s="9" t="n">
        <x:v>-0.065950197</x:v>
      </x:c>
      <x:c r="P2933" s="9" t="n">
        <x:v>0.4066829666</x:v>
      </x:c>
      <x:c r="Q2933" s="9" t="n">
        <x:v>0.3023634882</x:v>
      </x:c>
      <x:c r="R2933" s="3" t="b">
        <x:v>0</x:v>
      </x:c>
      <x:c r="S2933" s="3" t="b">
        <x:v>0</x:v>
      </x:c>
      <x:c r="T2933" s="3" t="b">
        <x:v>0</x:v>
      </x:c>
      <x:c r="U2933" s="2" t="str">
        <x:f>IF(T2933=TRUE,"Priority review",IF(R2933=TRUE,"High cost",IF(S2933=TRUE,"Low quality","Benchmark")))</x:f>
        <x:v>Benchmark</x:v>
      </x:c>
    </x:row>
    <x:row r="2934">
      <x:c r="A2934" s="2" t="str">
        <x:v>280077</x:v>
      </x:c>
      <x:c r="B2934" s="2" t="str">
        <x:v>METHODIST FREMONT HEALTH</x:v>
      </x:c>
      <x:c r="C2934" s="2" t="str">
        <x:v>FREMONT</x:v>
      </x:c>
      <x:c r="D2934" s="2" t="str">
        <x:v>NE</x:v>
      </x:c>
      <x:c r="E2934" s="2" t="str">
        <x:v>Acute Care Hospitals</x:v>
      </x:c>
      <x:c r="F2934" s="2" t="str">
        <x:v>Voluntary non-profit</x:v>
      </x:c>
      <x:c r="G2934" s="2" t="str">
        <x:v>Small (&lt;100 beds)</x:v>
      </x:c>
      <x:c r="H2934" s="7" t="n">
        <x:v>2</x:v>
      </x:c>
      <x:c r="I2934" s="7" t="n">
        <x:v>4</x:v>
      </x:c>
      <x:c r="J2934" s="7" t="n">
        <x:v>0.95</x:v>
      </x:c>
      <x:c r="K2934" s="8" t="n">
        <x:v>50</x:v>
      </x:c>
      <x:c r="L2934" s="8" t="n">
        <x:v>2948</x:v>
      </x:c>
      <x:c r="M2934" s="9" t="n">
        <x:v>0.5115846995</x:v>
      </x:c>
      <x:c r="N2934" s="10" t="n">
        <x:v>45637.8429443691</x:v>
      </x:c>
      <x:c r="O2934" s="9" t="n">
        <x:v>0.0893541467</x:v>
      </x:c>
      <x:c r="P2934" s="9" t="n">
        <x:v>0.4066427289</x:v>
      </x:c>
      <x:c r="Q2934" s="9" t="n">
        <x:v>0.0350089767</x:v>
      </x:c>
      <x:c r="R2934" s="3" t="b">
        <x:v>0</x:v>
      </x:c>
      <x:c r="S2934" s="3" t="b">
        <x:v>1</x:v>
      </x:c>
      <x:c r="T2934" s="3" t="b">
        <x:v>0</x:v>
      </x:c>
      <x:c r="U2934" s="2" t="str">
        <x:f>IF(T2934=TRUE,"Priority review",IF(R2934=TRUE,"High cost",IF(S2934=TRUE,"Low quality","Benchmark")))</x:f>
        <x:v>Low quality</x:v>
      </x:c>
    </x:row>
    <x:row r="2935">
      <x:c r="A2935" s="2" t="str">
        <x:v>361314</x:v>
      </x:c>
      <x:c r="B2935" s="2" t="str">
        <x:v>MAGRUDER HOSPITAL</x:v>
      </x:c>
      <x:c r="C2935" s="2" t="str">
        <x:v>PORT CLINTON</x:v>
      </x:c>
      <x:c r="D2935" s="2" t="str">
        <x:v>OH</x:v>
      </x:c>
      <x:c r="E2935" s="2" t="str">
        <x:v>Critical Access Hospitals</x:v>
      </x:c>
      <x:c r="F2935" s="2" t="str">
        <x:v>Voluntary non-profit</x:v>
      </x:c>
      <x:c r="G2935" s="2" t="str">
        <x:v>Small (&lt;100 beds)</x:v>
      </x:c>
      <x:c r="H2935" s="7" t="n">
        <x:v>3</x:v>
      </x:c>
      <x:c r="I2935" s="7" t="n">
        <x:v>4</x:v>
      </x:c>
      <x:c r="J2935" s="7"/>
      <x:c r="K2935" s="8" t="n">
        <x:v>25</x:v>
      </x:c>
      <x:c r="L2935" s="8" t="n">
        <x:v>598</x:v>
      </x:c>
      <x:c r="M2935" s="9" t="n">
        <x:v>0.2546448087</x:v>
      </x:c>
      <x:c r="N2935" s="10" t="n">
        <x:v>114174.1705685619</x:v>
      </x:c>
      <x:c r="O2935" s="9" t="n">
        <x:v>-0.0507080606</x:v>
      </x:c>
      <x:c r="P2935" s="9" t="n">
        <x:v>0.4059479554</x:v>
      </x:c>
      <x:c r="Q2935" s="9" t="n">
        <x:v>0.0765799257</x:v>
      </x:c>
      <x:c r="R2935" s="3" t="b">
        <x:v>0</x:v>
      </x:c>
      <x:c r="S2935" s="3" t="b">
        <x:v>1</x:v>
      </x:c>
      <x:c r="T2935" s="3" t="b">
        <x:v>0</x:v>
      </x:c>
      <x:c r="U2935" s="2" t="str">
        <x:f>IF(T2935=TRUE,"Priority review",IF(R2935=TRUE,"High cost",IF(S2935=TRUE,"Low quality","Benchmark")))</x:f>
        <x:v>Low quality</x:v>
      </x:c>
    </x:row>
    <x:row r="2936">
      <x:c r="A2936" s="2" t="str">
        <x:v>390139</x:v>
      </x:c>
      <x:c r="B2936" s="2" t="str">
        <x:v>BRYN MAWR HOSPITAL</x:v>
      </x:c>
      <x:c r="C2936" s="2" t="str">
        <x:v>BRYN MAWR</x:v>
      </x:c>
      <x:c r="D2936" s="2" t="str">
        <x:v>PA</x:v>
      </x:c>
      <x:c r="E2936" s="2" t="str">
        <x:v>Acute Care Hospitals</x:v>
      </x:c>
      <x:c r="F2936" s="2" t="str">
        <x:v>Voluntary non-profit</x:v>
      </x:c>
      <x:c r="G2936" s="2" t="str">
        <x:v>Medium (100-299 beds)</x:v>
      </x:c>
      <x:c r="H2936" s="7" t="n">
        <x:v>5</x:v>
      </x:c>
      <x:c r="I2936" s="7" t="n">
        <x:v>4</x:v>
      </x:c>
      <x:c r="J2936" s="7" t="n">
        <x:v>1</x:v>
      </x:c>
      <x:c r="K2936" s="8" t="n">
        <x:v>244</x:v>
      </x:c>
      <x:c r="L2936" s="8" t="n">
        <x:v>14765</x:v>
      </x:c>
      <x:c r="M2936" s="9" t="n">
        <x:v>0.726049854</x:v>
      </x:c>
      <x:c r="N2936" s="10" t="n">
        <x:v>30921.4968506603</x:v>
      </x:c>
      <x:c r="O2936" s="9" t="n">
        <x:v>0.0080012277</x:v>
      </x:c>
      <x:c r="P2936" s="9" t="n">
        <x:v>0.4058679707</x:v>
      </x:c>
      <x:c r="Q2936" s="9" t="n">
        <x:v>0.8744906275</x:v>
      </x:c>
      <x:c r="R2936" s="3" t="b">
        <x:v>0</x:v>
      </x:c>
      <x:c r="S2936" s="3" t="b">
        <x:v>0</x:v>
      </x:c>
      <x:c r="T2936" s="3" t="b">
        <x:v>0</x:v>
      </x:c>
      <x:c r="U2936" s="2" t="str">
        <x:f>IF(T2936=TRUE,"Priority review",IF(R2936=TRUE,"High cost",IF(S2936=TRUE,"Low quality","Benchmark")))</x:f>
        <x:v>Benchmark</x:v>
      </x:c>
    </x:row>
    <x:row r="2937">
      <x:c r="A2937" s="2" t="str">
        <x:v>360170</x:v>
      </x:c>
      <x:c r="B2937" s="2" t="str">
        <x:v>BERGER HOSPITAL</x:v>
      </x:c>
      <x:c r="C2937" s="2" t="str">
        <x:v>CIRCLEVILLE</x:v>
      </x:c>
      <x:c r="D2937" s="2" t="str">
        <x:v>OH</x:v>
      </x:c>
      <x:c r="E2937" s="2" t="str">
        <x:v>Acute Care Hospitals</x:v>
      </x:c>
      <x:c r="F2937" s="2" t="str">
        <x:v>Government</x:v>
      </x:c>
      <x:c r="G2937" s="2" t="str">
        <x:v>Small (&lt;100 beds)</x:v>
      </x:c>
      <x:c r="H2937" s="7" t="n">
        <x:v>3</x:v>
      </x:c>
      <x:c r="I2937" s="7" t="n">
        <x:v>4</x:v>
      </x:c>
      <x:c r="J2937" s="7" t="n">
        <x:v>0.88</x:v>
      </x:c>
      <x:c r="K2937" s="8" t="n">
        <x:v>83</x:v>
      </x:c>
      <x:c r="L2937" s="8" t="n">
        <x:v>2776</x:v>
      </x:c>
      <x:c r="M2937" s="9" t="n">
        <x:v>0.314177257</x:v>
      </x:c>
      <x:c r="N2937" s="10" t="n">
        <x:v>45593.7298270893</x:v>
      </x:c>
      <x:c r="O2937" s="9" t="n">
        <x:v>0.0780418784</x:v>
      </x:c>
      <x:c r="P2937" s="9" t="n">
        <x:v>0.4057450628</x:v>
      </x:c>
      <x:c r="Q2937" s="9" t="n">
        <x:v>0.1687612208</x:v>
      </x:c>
      <x:c r="R2937" s="3" t="b">
        <x:v>0</x:v>
      </x:c>
      <x:c r="S2937" s="3" t="b">
        <x:v>0</x:v>
      </x:c>
      <x:c r="T2937" s="3" t="b">
        <x:v>0</x:v>
      </x:c>
      <x:c r="U2937" s="2" t="str">
        <x:f>IF(T2937=TRUE,"Priority review",IF(R2937=TRUE,"High cost",IF(S2937=TRUE,"Low quality","Benchmark")))</x:f>
        <x:v>Benchmark</x:v>
      </x:c>
    </x:row>
    <x:row r="2938">
      <x:c r="A2938" s="2" t="str">
        <x:v>150082</x:v>
      </x:c>
      <x:c r="B2938" s="2" t="str">
        <x:v>DEACONESS HOSPITAL INC</x:v>
      </x:c>
      <x:c r="C2938" s="2" t="str">
        <x:v>EVANSVILLE</x:v>
      </x:c>
      <x:c r="D2938" s="2" t="str">
        <x:v>IN</x:v>
      </x:c>
      <x:c r="E2938" s="2" t="str">
        <x:v>Acute Care Hospitals</x:v>
      </x:c>
      <x:c r="F2938" s="2" t="str">
        <x:v>Voluntary non-profit</x:v>
      </x:c>
      <x:c r="G2938" s="2" t="str">
        <x:v>Large (300+ beds)</x:v>
      </x:c>
      <x:c r="H2938" s="7" t="n">
        <x:v>2</x:v>
      </x:c>
      <x:c r="I2938" s="7" t="n">
        <x:v>3</x:v>
      </x:c>
      <x:c r="J2938" s="7" t="n">
        <x:v>1.05</x:v>
      </x:c>
      <x:c r="K2938" s="8" t="n">
        <x:v>545</x:v>
      </x:c>
      <x:c r="L2938" s="8" t="n">
        <x:v>36225</x:v>
      </x:c>
      <x:c r="M2938" s="9" t="n">
        <x:v>0.892876922</x:v>
      </x:c>
      <x:c r="N2938" s="10" t="n">
        <x:v>34997.3581504486</x:v>
      </x:c>
      <x:c r="O2938" s="9" t="n">
        <x:v>0.0056341783</x:v>
      </x:c>
      <x:c r="P2938" s="9" t="n">
        <x:v>0.405362776</x:v>
      </x:c>
      <x:c r="Q2938" s="9" t="n">
        <x:v>0.0536277603</x:v>
      </x:c>
      <x:c r="R2938" s="3" t="b">
        <x:v>0</x:v>
      </x:c>
      <x:c r="S2938" s="3" t="b">
        <x:v>1</x:v>
      </x:c>
      <x:c r="T2938" s="3" t="b">
        <x:v>0</x:v>
      </x:c>
      <x:c r="U2938" s="2" t="str">
        <x:f>IF(T2938=TRUE,"Priority review",IF(R2938=TRUE,"High cost",IF(S2938=TRUE,"Low quality","Benchmark")))</x:f>
        <x:v>Low quality</x:v>
      </x:c>
    </x:row>
    <x:row r="2939">
      <x:c r="A2939" s="2" t="str">
        <x:v>271317</x:v>
      </x:c>
      <x:c r="B2939" s="2" t="str">
        <x:v>LIVINGSTON HEALTHCARE</x:v>
      </x:c>
      <x:c r="C2939" s="2" t="str">
        <x:v>LIVINGSTON</x:v>
      </x:c>
      <x:c r="D2939" s="2" t="str">
        <x:v>MT</x:v>
      </x:c>
      <x:c r="E2939" s="2" t="str">
        <x:v>Critical Access Hospitals</x:v>
      </x:c>
      <x:c r="F2939" s="2" t="str">
        <x:v>Other / unknown</x:v>
      </x:c>
      <x:c r="G2939" s="2" t="str">
        <x:v>Small (&lt;100 beds)</x:v>
      </x:c>
      <x:c r="H2939" s="7" t="n">
        <x:v>3</x:v>
      </x:c>
      <x:c r="I2939" s="7" t="n">
        <x:v>4</x:v>
      </x:c>
      <x:c r="J2939" s="7"/>
      <x:c r="K2939" s="8" t="n">
        <x:v>25</x:v>
      </x:c>
      <x:c r="L2939" s="8" t="n">
        <x:v>759</x:v>
      </x:c>
      <x:c r="M2939" s="9" t="n">
        <x:v>0.3864109589</x:v>
      </x:c>
      <x:c r="N2939" s="10" t="n">
        <x:v>113393.4479578393</x:v>
      </x:c>
      <x:c r="O2939" s="9" t="n">
        <x:v>-0.0089167475</x:v>
      </x:c>
      <x:c r="P2939" s="9" t="n">
        <x:v>0.405204461</x:v>
      </x:c>
      <x:c r="Q2939" s="9" t="n">
        <x:v>0.0765799257</x:v>
      </x:c>
      <x:c r="R2939" s="3" t="b">
        <x:v>0</x:v>
      </x:c>
      <x:c r="S2939" s="3" t="b">
        <x:v>1</x:v>
      </x:c>
      <x:c r="T2939" s="3" t="b">
        <x:v>0</x:v>
      </x:c>
      <x:c r="U2939" s="2" t="str">
        <x:f>IF(T2939=TRUE,"Priority review",IF(R2939=TRUE,"High cost",IF(S2939=TRUE,"Low quality","Benchmark")))</x:f>
        <x:v>Low quality</x:v>
      </x:c>
    </x:row>
    <x:row r="2940">
      <x:c r="A2940" s="2" t="str">
        <x:v>210001</x:v>
      </x:c>
      <x:c r="B2940" s="2" t="str">
        <x:v>MERITUS MEDICAL CENTER</x:v>
      </x:c>
      <x:c r="C2940" s="2" t="str">
        <x:v>HAGERSTOWN</x:v>
      </x:c>
      <x:c r="D2940" s="2" t="str">
        <x:v>MD</x:v>
      </x:c>
      <x:c r="E2940" s="2" t="str">
        <x:v>Acute Care Hospitals</x:v>
      </x:c>
      <x:c r="F2940" s="2" t="str">
        <x:v>Voluntary non-profit</x:v>
      </x:c>
      <x:c r="G2940" s="2" t="str">
        <x:v>Medium (100-299 beds)</x:v>
      </x:c>
      <x:c r="H2940" s="7" t="n">
        <x:v>3</x:v>
      </x:c>
      <x:c r="I2940" s="7" t="n">
        <x:v>3</x:v>
      </x:c>
      <x:c r="J2940" s="7"/>
      <x:c r="K2940" s="8" t="n">
        <x:v>236</x:v>
      </x:c>
      <x:c r="L2940" s="8" t="n">
        <x:v>16831</x:v>
      </x:c>
      <x:c r="M2940" s="9" t="n">
        <x:v>0.9117018807</x:v>
      </x:c>
      <x:c r="N2940" s="10" t="n">
        <x:v>30828.2275562949</x:v>
      </x:c>
      <x:c r="O2940" s="9" t="n">
        <x:v>0.0107516675</x:v>
      </x:c>
      <x:c r="P2940" s="9" t="n">
        <x:v>0.4050529747</x:v>
      </x:c>
      <x:c r="Q2940" s="9" t="n">
        <x:v>0.3023634882</x:v>
      </x:c>
      <x:c r="R2940" s="3" t="b">
        <x:v>0</x:v>
      </x:c>
      <x:c r="S2940" s="3" t="b">
        <x:v>0</x:v>
      </x:c>
      <x:c r="T2940" s="3" t="b">
        <x:v>0</x:v>
      </x:c>
      <x:c r="U2940" s="2" t="str">
        <x:f>IF(T2940=TRUE,"Priority review",IF(R2940=TRUE,"High cost",IF(S2940=TRUE,"Low quality","Benchmark")))</x:f>
        <x:v>Benchmark</x:v>
      </x:c>
    </x:row>
    <x:row r="2941">
      <x:c r="A2941" s="2" t="str">
        <x:v>370149</x:v>
      </x:c>
      <x:c r="B2941" s="2" t="str">
        <x:v>SSM HEALTH ST ANTHONY HOSPITAL - SHAWNEE</x:v>
      </x:c>
      <x:c r="C2941" s="2" t="str">
        <x:v>SHAWNEE</x:v>
      </x:c>
      <x:c r="D2941" s="2" t="str">
        <x:v>OK</x:v>
      </x:c>
      <x:c r="E2941" s="2" t="str">
        <x:v>Acute Care Hospitals</x:v>
      </x:c>
      <x:c r="F2941" s="2" t="str">
        <x:v>Voluntary non-profit</x:v>
      </x:c>
      <x:c r="G2941" s="2" t="str">
        <x:v>Small (&lt;100 beds)</x:v>
      </x:c>
      <x:c r="H2941" s="7" t="n">
        <x:v>3</x:v>
      </x:c>
      <x:c r="I2941" s="7" t="n">
        <x:v>4</x:v>
      </x:c>
      <x:c r="J2941" s="7" t="n">
        <x:v>0.92</x:v>
      </x:c>
      <x:c r="K2941" s="8" t="n">
        <x:v>78</x:v>
      </x:c>
      <x:c r="L2941" s="8" t="n">
        <x:v>4568</x:v>
      </x:c>
      <x:c r="M2941" s="9" t="n">
        <x:v>0.5425598991</x:v>
      </x:c>
      <x:c r="N2941" s="10" t="n">
        <x:v>45319.3218038529</x:v>
      </x:c>
      <x:c r="O2941" s="9" t="n">
        <x:v>-0.0208921993</x:v>
      </x:c>
      <x:c r="P2941" s="9" t="n">
        <x:v>0.4048473968</x:v>
      </x:c>
      <x:c r="Q2941" s="9" t="n">
        <x:v>0.1687612208</x:v>
      </x:c>
      <x:c r="R2941" s="3" t="b">
        <x:v>0</x:v>
      </x:c>
      <x:c r="S2941" s="3" t="b">
        <x:v>0</x:v>
      </x:c>
      <x:c r="T2941" s="3" t="b">
        <x:v>0</x:v>
      </x:c>
      <x:c r="U2941" s="2" t="str">
        <x:f>IF(T2941=TRUE,"Priority review",IF(R2941=TRUE,"High cost",IF(S2941=TRUE,"Low quality","Benchmark")))</x:f>
        <x:v>Benchmark</x:v>
      </x:c>
    </x:row>
    <x:row r="2942">
      <x:c r="A2942" s="2" t="str">
        <x:v>384012</x:v>
      </x:c>
      <x:c r="B2942" s="2" t="str">
        <x:v>CEDAR HILLS HOSPITAL</x:v>
      </x:c>
      <x:c r="C2942" s="2" t="str">
        <x:v>PORTLAND</x:v>
      </x:c>
      <x:c r="D2942" s="2" t="str">
        <x:v>OR</x:v>
      </x:c>
      <x:c r="E2942" s="2" t="str">
        <x:v>Psychiatric</x:v>
      </x:c>
      <x:c r="F2942" s="2" t="str">
        <x:v>Proprietary</x:v>
      </x:c>
      <x:c r="G2942" s="2" t="str">
        <x:v>Small (&lt;100 beds)</x:v>
      </x:c>
      <x:c r="H2942" s="7"/>
      <x:c r="I2942" s="7"/>
      <x:c r="J2942" s="7"/>
      <x:c r="K2942" s="8" t="n">
        <x:v>98</x:v>
      </x:c>
      <x:c r="L2942" s="8" t="n">
        <x:v>3251</x:v>
      </x:c>
      <x:c r="M2942" s="9" t="n">
        <x:v>0.7490914174</x:v>
      </x:c>
      <x:c r="N2942" s="10" t="n">
        <x:v>10330.9086434943</x:v>
      </x:c>
      <x:c r="O2942" s="9" t="n">
        <x:v>-0.1140214193</x:v>
      </x:c>
      <x:c r="P2942" s="9" t="n">
        <x:v>0.4045307443</x:v>
      </x:c>
      <x:c r="Q2942" s="9" t="n">
        <x:v>0</x:v>
      </x:c>
      <x:c r="R2942" s="3" t="b">
        <x:v>0</x:v>
      </x:c>
      <x:c r="S2942" s="3" t="b">
        <x:v>0</x:v>
      </x:c>
      <x:c r="T2942" s="3" t="b">
        <x:v>0</x:v>
      </x:c>
      <x:c r="U2942" s="2" t="str">
        <x:f>IF(T2942=TRUE,"Priority review",IF(R2942=TRUE,"High cost",IF(S2942=TRUE,"Low quality","Benchmark")))</x:f>
        <x:v>Benchmark</x:v>
      </x:c>
    </x:row>
    <x:row r="2943">
      <x:c r="A2943" s="2" t="str">
        <x:v>241381</x:v>
      </x:c>
      <x:c r="B2943" s="2" t="str">
        <x:v>SANFORD THIEF RIVER FALLS MEDICAL CENTER</x:v>
      </x:c>
      <x:c r="C2943" s="2" t="str">
        <x:v>THIEF RIVER FALLS</x:v>
      </x:c>
      <x:c r="D2943" s="2" t="str">
        <x:v>MN</x:v>
      </x:c>
      <x:c r="E2943" s="2" t="str">
        <x:v>Critical Access Hospitals</x:v>
      </x:c>
      <x:c r="F2943" s="2" t="str">
        <x:v>Voluntary non-profit</x:v>
      </x:c>
      <x:c r="G2943" s="2" t="str">
        <x:v>Small (&lt;100 beds)</x:v>
      </x:c>
      <x:c r="H2943" s="7"/>
      <x:c r="I2943" s="7" t="n">
        <x:v>4</x:v>
      </x:c>
      <x:c r="J2943" s="7"/>
      <x:c r="K2943" s="8" t="n">
        <x:v>25</x:v>
      </x:c>
      <x:c r="L2943" s="8" t="n">
        <x:v>681</x:v>
      </x:c>
      <x:c r="M2943" s="9" t="n">
        <x:v>0.2983606557</x:v>
      </x:c>
      <x:c r="N2943" s="10" t="n">
        <x:v>113370.483113069</x:v>
      </x:c>
      <x:c r="O2943" s="9" t="n">
        <x:v>-0.0163819253</x:v>
      </x:c>
      <x:c r="P2943" s="9" t="n">
        <x:v>0.4044609665</x:v>
      </x:c>
      <x:c r="Q2943" s="9" t="n">
        <x:v>0.292936803</x:v>
      </x:c>
      <x:c r="R2943" s="3" t="b">
        <x:v>0</x:v>
      </x:c>
      <x:c r="S2943" s="3" t="b">
        <x:v>0</x:v>
      </x:c>
      <x:c r="T2943" s="3" t="b">
        <x:v>0</x:v>
      </x:c>
      <x:c r="U2943" s="2" t="str">
        <x:f>IF(T2943=TRUE,"Priority review",IF(R2943=TRUE,"High cost",IF(S2943=TRUE,"Low quality","Benchmark")))</x:f>
        <x:v>Benchmark</x:v>
      </x:c>
    </x:row>
    <x:row r="2944">
      <x:c r="A2944" s="2" t="str">
        <x:v>140164</x:v>
      </x:c>
      <x:c r="B2944" s="2" t="str">
        <x:v>MEMORIAL HOSPITAL OF CARBONDALE</x:v>
      </x:c>
      <x:c r="C2944" s="2" t="str">
        <x:v>CARBONDALE</x:v>
      </x:c>
      <x:c r="D2944" s="2" t="str">
        <x:v>IL</x:v>
      </x:c>
      <x:c r="E2944" s="2" t="str">
        <x:v>Acute Care Hospitals</x:v>
      </x:c>
      <x:c r="F2944" s="2" t="str">
        <x:v>Voluntary non-profit</x:v>
      </x:c>
      <x:c r="G2944" s="2" t="str">
        <x:v>Medium (100-299 beds)</x:v>
      </x:c>
      <x:c r="H2944" s="7" t="n">
        <x:v>1</x:v>
      </x:c>
      <x:c r="I2944" s="7" t="n">
        <x:v>3</x:v>
      </x:c>
      <x:c r="J2944" s="7" t="n">
        <x:v>1.07</x:v>
      </x:c>
      <x:c r="K2944" s="8" t="n">
        <x:v>175</x:v>
      </x:c>
      <x:c r="L2944" s="8" t="n">
        <x:v>10202</x:v>
      </x:c>
      <x:c r="M2944" s="9" t="n">
        <x:v>0.6814872798</x:v>
      </x:c>
      <x:c r="N2944" s="10" t="n">
        <x:v>30752.2648500294</x:v>
      </x:c>
      <x:c r="O2944" s="9" t="n">
        <x:v>0.2028519163</x:v>
      </x:c>
      <x:c r="P2944" s="9" t="n">
        <x:v>0.4042379788</x:v>
      </x:c>
      <x:c r="Q2944" s="9" t="n">
        <x:v>0</x:v>
      </x:c>
      <x:c r="R2944" s="3" t="b">
        <x:v>0</x:v>
      </x:c>
      <x:c r="S2944" s="3" t="b">
        <x:v>1</x:v>
      </x:c>
      <x:c r="T2944" s="3" t="b">
        <x:v>0</x:v>
      </x:c>
      <x:c r="U2944" s="2" t="str">
        <x:f>IF(T2944=TRUE,"Priority review",IF(R2944=TRUE,"High cost",IF(S2944=TRUE,"Low quality","Benchmark")))</x:f>
        <x:v>Low quality</x:v>
      </x:c>
    </x:row>
    <x:row r="2945">
      <x:c r="A2945" s="2" t="str">
        <x:v>520059</x:v>
      </x:c>
      <x:c r="B2945" s="2" t="str">
        <x:v>AURORA MEMORIAL HOSPITAL BURLINGTON</x:v>
      </x:c>
      <x:c r="C2945" s="2" t="str">
        <x:v>BURLINGTON</x:v>
      </x:c>
      <x:c r="D2945" s="2" t="str">
        <x:v>WI</x:v>
      </x:c>
      <x:c r="E2945" s="2" t="str">
        <x:v>Acute Care Hospitals</x:v>
      </x:c>
      <x:c r="F2945" s="2" t="str">
        <x:v>Voluntary non-profit</x:v>
      </x:c>
      <x:c r="G2945" s="2" t="str">
        <x:v>Small (&lt;100 beds)</x:v>
      </x:c>
      <x:c r="H2945" s="7" t="n">
        <x:v>4</x:v>
      </x:c>
      <x:c r="I2945" s="7" t="n">
        <x:v>4</x:v>
      </x:c>
      <x:c r="J2945" s="7" t="n">
        <x:v>0.87</x:v>
      </x:c>
      <x:c r="K2945" s="8" t="n">
        <x:v>43</x:v>
      </x:c>
      <x:c r="L2945" s="8" t="n">
        <x:v>2426</x:v>
      </x:c>
      <x:c r="M2945" s="9" t="n">
        <x:v>0.7011691447</x:v>
      </x:c>
      <x:c r="N2945" s="10" t="n">
        <x:v>45197.9418796373</x:v>
      </x:c>
      <x:c r="O2945" s="9" t="n">
        <x:v>0.2138448634</x:v>
      </x:c>
      <x:c r="P2945" s="9" t="n">
        <x:v>0.4039497307</x:v>
      </x:c>
      <x:c r="Q2945" s="9" t="n">
        <x:v>0.3913824057</x:v>
      </x:c>
      <x:c r="R2945" s="3" t="b">
        <x:v>0</x:v>
      </x:c>
      <x:c r="S2945" s="3" t="b">
        <x:v>0</x:v>
      </x:c>
      <x:c r="T2945" s="3" t="b">
        <x:v>0</x:v>
      </x:c>
      <x:c r="U2945" s="2" t="str">
        <x:f>IF(T2945=TRUE,"Priority review",IF(R2945=TRUE,"High cost",IF(S2945=TRUE,"Low quality","Benchmark")))</x:f>
        <x:v>Benchmark</x:v>
      </x:c>
    </x:row>
    <x:row r="2946">
      <x:c r="A2946" s="2" t="str">
        <x:v>490050</x:v>
      </x:c>
      <x:c r="B2946" s="2" t="str">
        <x:v>VIRGINIA HOSPITAL CENTER</x:v>
      </x:c>
      <x:c r="C2946" s="2" t="str">
        <x:v>ARLINGTON</x:v>
      </x:c>
      <x:c r="D2946" s="2" t="str">
        <x:v>VA</x:v>
      </x:c>
      <x:c r="E2946" s="2" t="str">
        <x:v>Acute Care Hospitals</x:v>
      </x:c>
      <x:c r="F2946" s="2" t="str">
        <x:v>Voluntary non-profit</x:v>
      </x:c>
      <x:c r="G2946" s="2" t="str">
        <x:v>Large (300+ beds)</x:v>
      </x:c>
      <x:c r="H2946" s="7" t="n">
        <x:v>4</x:v>
      </x:c>
      <x:c r="I2946" s="7" t="n">
        <x:v>4</x:v>
      </x:c>
      <x:c r="J2946" s="7" t="n">
        <x:v>0.99</x:v>
      </x:c>
      <x:c r="K2946" s="8" t="n">
        <x:v>402</x:v>
      </x:c>
      <x:c r="L2946" s="8" t="n">
        <x:v>21258</x:v>
      </x:c>
      <x:c r="M2946" s="9" t="n">
        <x:v>0.7331618908</x:v>
      </x:c>
      <x:c r="N2946" s="10" t="n">
        <x:v>34977.6535421959</x:v>
      </x:c>
      <x:c r="O2946" s="9" t="n">
        <x:v>-0.0650379175</x:v>
      </x:c>
      <x:c r="P2946" s="9" t="n">
        <x:v>0.403785489</x:v>
      </x:c>
      <x:c r="Q2946" s="9" t="n">
        <x:v>0.5899053628</x:v>
      </x:c>
      <x:c r="R2946" s="3" t="b">
        <x:v>0</x:v>
      </x:c>
      <x:c r="S2946" s="3" t="b">
        <x:v>0</x:v>
      </x:c>
      <x:c r="T2946" s="3" t="b">
        <x:v>0</x:v>
      </x:c>
      <x:c r="U2946" s="2" t="str">
        <x:f>IF(T2946=TRUE,"Priority review",IF(R2946=TRUE,"High cost",IF(S2946=TRUE,"Low quality","Benchmark")))</x:f>
        <x:v>Benchmark</x:v>
      </x:c>
    </x:row>
    <x:row r="2947">
      <x:c r="A2947" s="2" t="str">
        <x:v>271305</x:v>
      </x:c>
      <x:c r="B2947" s="2" t="str">
        <x:v>MCCONE COUNTY HEALTH CENTER</x:v>
      </x:c>
      <x:c r="C2947" s="2" t="str">
        <x:v>CIRCLE</x:v>
      </x:c>
      <x:c r="D2947" s="2" t="str">
        <x:v>MT</x:v>
      </x:c>
      <x:c r="E2947" s="2" t="str">
        <x:v>Critical Access Hospitals</x:v>
      </x:c>
      <x:c r="F2947" s="2" t="str">
        <x:v>Voluntary non-profit</x:v>
      </x:c>
      <x:c r="G2947" s="2" t="str">
        <x:v>Small (&lt;100 beds)</x:v>
      </x:c>
      <x:c r="H2947" s="7"/>
      <x:c r="I2947" s="7"/>
      <x:c r="J2947" s="7"/>
      <x:c r="K2947" s="8" t="n">
        <x:v>25</x:v>
      </x:c>
      <x:c r="L2947" s="8" t="n">
        <x:v>47</x:v>
      </x:c>
      <x:c r="M2947" s="9" t="n">
        <x:v>0.8025205479</x:v>
      </x:c>
      <x:c r="N2947" s="10" t="n">
        <x:v>113314.0638297872</x:v>
      </x:c>
      <x:c r="O2947" s="9" t="n">
        <x:v>-0.0030552558</x:v>
      </x:c>
      <x:c r="P2947" s="9" t="n">
        <x:v>0.4037174721</x:v>
      </x:c>
      <x:c r="Q2947" s="9" t="n">
        <x:v>0.292936803</x:v>
      </x:c>
      <x:c r="R2947" s="3" t="b">
        <x:v>0</x:v>
      </x:c>
      <x:c r="S2947" s="3" t="b">
        <x:v>0</x:v>
      </x:c>
      <x:c r="T2947" s="3" t="b">
        <x:v>0</x:v>
      </x:c>
      <x:c r="U2947" s="2" t="str">
        <x:f>IF(T2947=TRUE,"Priority review",IF(R2947=TRUE,"High cost",IF(S2947=TRUE,"Low quality","Benchmark")))</x:f>
        <x:v>Benchmark</x:v>
      </x:c>
    </x:row>
    <x:row r="2948">
      <x:c r="A2948" s="2" t="str">
        <x:v>160110</x:v>
      </x:c>
      <x:c r="B2948" s="2" t="str">
        <x:v>ALLEN HOSPITAL</x:v>
      </x:c>
      <x:c r="C2948" s="2" t="str">
        <x:v>WATERLOO</x:v>
      </x:c>
      <x:c r="D2948" s="2" t="str">
        <x:v>IA</x:v>
      </x:c>
      <x:c r="E2948" s="2" t="str">
        <x:v>Acute Care Hospitals</x:v>
      </x:c>
      <x:c r="F2948" s="2" t="str">
        <x:v>Voluntary non-profit</x:v>
      </x:c>
      <x:c r="G2948" s="2" t="str">
        <x:v>Medium (100-299 beds)</x:v>
      </x:c>
      <x:c r="H2948" s="7" t="n">
        <x:v>3</x:v>
      </x:c>
      <x:c r="I2948" s="7" t="n">
        <x:v>3</x:v>
      </x:c>
      <x:c r="J2948" s="7" t="n">
        <x:v>0.93</x:v>
      </x:c>
      <x:c r="K2948" s="8" t="n">
        <x:v>188</x:v>
      </x:c>
      <x:c r="L2948" s="8" t="n">
        <x:v>10831</x:v>
      </x:c>
      <x:c r="M2948" s="9" t="n">
        <x:v>0.6961131769</x:v>
      </x:c>
      <x:c r="N2948" s="10" t="n">
        <x:v>30745.0070168959</x:v>
      </x:c>
      <x:c r="O2948" s="9" t="n">
        <x:v>0.1191275876</x:v>
      </x:c>
      <x:c r="P2948" s="9" t="n">
        <x:v>0.4034229829</x:v>
      </x:c>
      <x:c r="Q2948" s="9" t="n">
        <x:v>0.3023634882</x:v>
      </x:c>
      <x:c r="R2948" s="3" t="b">
        <x:v>0</x:v>
      </x:c>
      <x:c r="S2948" s="3" t="b">
        <x:v>0</x:v>
      </x:c>
      <x:c r="T2948" s="3" t="b">
        <x:v>0</x:v>
      </x:c>
      <x:c r="U2948" s="2" t="str">
        <x:f>IF(T2948=TRUE,"Priority review",IF(R2948=TRUE,"High cost",IF(S2948=TRUE,"Low quality","Benchmark")))</x:f>
        <x:v>Benchmark</x:v>
      </x:c>
    </x:row>
    <x:row r="2949">
      <x:c r="A2949" s="2" t="str">
        <x:v>360107</x:v>
      </x:c>
      <x:c r="B2949" s="2" t="str">
        <x:v>BELLEVUE HOSPITAL</x:v>
      </x:c>
      <x:c r="C2949" s="2" t="str">
        <x:v>BELLEVUE</x:v>
      </x:c>
      <x:c r="D2949" s="2" t="str">
        <x:v>OH</x:v>
      </x:c>
      <x:c r="E2949" s="2" t="str">
        <x:v>Acute Care Hospitals</x:v>
      </x:c>
      <x:c r="F2949" s="2" t="str">
        <x:v>Voluntary non-profit</x:v>
      </x:c>
      <x:c r="G2949" s="2" t="str">
        <x:v>Small (&lt;100 beds)</x:v>
      </x:c>
      <x:c r="H2949" s="7" t="n">
        <x:v>4</x:v>
      </x:c>
      <x:c r="I2949" s="7" t="n">
        <x:v>4</x:v>
      </x:c>
      <x:c r="J2949" s="7" t="n">
        <x:v>0.96</x:v>
      </x:c>
      <x:c r="K2949" s="8" t="n">
        <x:v>50</x:v>
      </x:c>
      <x:c r="L2949" s="8" t="n">
        <x:v>1303</x:v>
      </x:c>
      <x:c r="M2949" s="9" t="n">
        <x:v>0.2</x:v>
      </x:c>
      <x:c r="N2949" s="10" t="n">
        <x:v>45156.0813507291</x:v>
      </x:c>
      <x:c r="O2949" s="9" t="n">
        <x:v>-0.0643076659</x:v>
      </x:c>
      <x:c r="P2949" s="9" t="n">
        <x:v>0.4030520646</x:v>
      </x:c>
      <x:c r="Q2949" s="9" t="n">
        <x:v>0.3913824057</x:v>
      </x:c>
      <x:c r="R2949" s="3" t="b">
        <x:v>0</x:v>
      </x:c>
      <x:c r="S2949" s="3" t="b">
        <x:v>0</x:v>
      </x:c>
      <x:c r="T2949" s="3" t="b">
        <x:v>0</x:v>
      </x:c>
      <x:c r="U2949" s="2" t="str">
        <x:f>IF(T2949=TRUE,"Priority review",IF(R2949=TRUE,"High cost",IF(S2949=TRUE,"Low quality","Benchmark")))</x:f>
        <x:v>Benchmark</x:v>
      </x:c>
    </x:row>
    <x:row r="2950">
      <x:c r="A2950" s="2" t="str">
        <x:v>454126</x:v>
      </x:c>
      <x:c r="B2950" s="2" t="str">
        <x:v>DALLAS BEHAVIORAL HEALTHCARE HOSPITAL LLC</x:v>
      </x:c>
      <x:c r="C2950" s="2" t="str">
        <x:v>DE SOTO</x:v>
      </x:c>
      <x:c r="D2950" s="2" t="str">
        <x:v>TX</x:v>
      </x:c>
      <x:c r="E2950" s="2" t="str">
        <x:v>Psychiatric</x:v>
      </x:c>
      <x:c r="F2950" s="2" t="str">
        <x:v>Voluntary non-profit</x:v>
      </x:c>
      <x:c r="G2950" s="2" t="str">
        <x:v>Medium (100-299 beds)</x:v>
      </x:c>
      <x:c r="H2950" s="7"/>
      <x:c r="I2950" s="7"/>
      <x:c r="J2950" s="7"/>
      <x:c r="K2950" s="8" t="n">
        <x:v>116</x:v>
      </x:c>
      <x:c r="L2950" s="8" t="n">
        <x:v>2877</x:v>
      </x:c>
      <x:c r="M2950" s="9" t="n">
        <x:v>0.7754145468</x:v>
      </x:c>
      <x:c r="N2950" s="10" t="n">
        <x:v>9459.2168925965</x:v>
      </x:c>
      <x:c r="O2950" s="9" t="n">
        <x:v>-0.1854336304</x:v>
      </x:c>
      <x:c r="P2950" s="9" t="n">
        <x:v>0.4029850746</x:v>
      </x:c>
      <x:c r="Q2950" s="9" t="n">
        <x:v>0</x:v>
      </x:c>
      <x:c r="R2950" s="3" t="b">
        <x:v>0</x:v>
      </x:c>
      <x:c r="S2950" s="3" t="b">
        <x:v>0</x:v>
      </x:c>
      <x:c r="T2950" s="3" t="b">
        <x:v>0</x:v>
      </x:c>
      <x:c r="U2950" s="2" t="str">
        <x:f>IF(T2950=TRUE,"Priority review",IF(R2950=TRUE,"High cost",IF(S2950=TRUE,"Low quality","Benchmark")))</x:f>
        <x:v>Benchmark</x:v>
      </x:c>
    </x:row>
    <x:row r="2951">
      <x:c r="A2951" s="2" t="str">
        <x:v>201312</x:v>
      </x:c>
      <x:c r="B2951" s="2" t="str">
        <x:v>MAINEHEALTH WALDO HOSPITAL</x:v>
      </x:c>
      <x:c r="C2951" s="2" t="str">
        <x:v>BELFAST</x:v>
      </x:c>
      <x:c r="D2951" s="2" t="str">
        <x:v>ME</x:v>
      </x:c>
      <x:c r="E2951" s="2" t="str">
        <x:v>Critical Access Hospitals</x:v>
      </x:c>
      <x:c r="F2951" s="2" t="str">
        <x:v>Voluntary non-profit</x:v>
      </x:c>
      <x:c r="G2951" s="2" t="str">
        <x:v>Small (&lt;100 beds)</x:v>
      </x:c>
      <x:c r="H2951" s="7" t="n">
        <x:v>3</x:v>
      </x:c>
      <x:c r="I2951" s="7" t="n">
        <x:v>4</x:v>
      </x:c>
      <x:c r="J2951" s="7"/>
      <x:c r="K2951" s="8" t="n">
        <x:v>25</x:v>
      </x:c>
      <x:c r="L2951" s="8" t="n">
        <x:v>1161</x:v>
      </x:c>
      <x:c r="M2951" s="9" t="n">
        <x:v>0.7616393443</x:v>
      </x:c>
      <x:c r="N2951" s="10" t="n">
        <x:v>113293.706287683</x:v>
      </x:c>
      <x:c r="O2951" s="9" t="n">
        <x:v>0.0303014698</x:v>
      </x:c>
      <x:c r="P2951" s="9" t="n">
        <x:v>0.4029739777</x:v>
      </x:c>
      <x:c r="Q2951" s="9" t="n">
        <x:v>0.0765799257</x:v>
      </x:c>
      <x:c r="R2951" s="3" t="b">
        <x:v>0</x:v>
      </x:c>
      <x:c r="S2951" s="3" t="b">
        <x:v>1</x:v>
      </x:c>
      <x:c r="T2951" s="3" t="b">
        <x:v>0</x:v>
      </x:c>
      <x:c r="U2951" s="2" t="str">
        <x:f>IF(T2951=TRUE,"Priority review",IF(R2951=TRUE,"High cost",IF(S2951=TRUE,"Low quality","Benchmark")))</x:f>
        <x:v>Low quality</x:v>
      </x:c>
    </x:row>
    <x:row r="2952">
      <x:c r="A2952" s="2" t="str">
        <x:v>190274</x:v>
      </x:c>
      <x:c r="B2952" s="2" t="str">
        <x:v>OCHSNER MEDICAL CENTER-KENNER</x:v>
      </x:c>
      <x:c r="C2952" s="2" t="str">
        <x:v>KENNER</x:v>
      </x:c>
      <x:c r="D2952" s="2" t="str">
        <x:v>LA</x:v>
      </x:c>
      <x:c r="E2952" s="2" t="str">
        <x:v>Acute Care Hospitals</x:v>
      </x:c>
      <x:c r="F2952" s="2" t="str">
        <x:v>Voluntary non-profit</x:v>
      </x:c>
      <x:c r="G2952" s="2" t="str">
        <x:v>Medium (100-299 beds)</x:v>
      </x:c>
      <x:c r="H2952" s="7" t="n">
        <x:v>4</x:v>
      </x:c>
      <x:c r="I2952" s="7" t="n">
        <x:v>3</x:v>
      </x:c>
      <x:c r="J2952" s="7" t="n">
        <x:v>0.94</x:v>
      </x:c>
      <x:c r="K2952" s="8" t="n">
        <x:v>117</x:v>
      </x:c>
      <x:c r="L2952" s="8" t="n">
        <x:v>6806</x:v>
      </x:c>
      <x:c r="M2952" s="9" t="n">
        <x:v>0.6660110057</x:v>
      </x:c>
      <x:c r="N2952" s="10" t="n">
        <x:v>30730.7265647958</x:v>
      </x:c>
      <x:c r="O2952" s="9" t="n">
        <x:v>-0.04230848</x:v>
      </x:c>
      <x:c r="P2952" s="9" t="n">
        <x:v>0.402607987</x:v>
      </x:c>
      <x:c r="Q2952" s="9" t="n">
        <x:v>0.6022819886</x:v>
      </x:c>
      <x:c r="R2952" s="3" t="b">
        <x:v>0</x:v>
      </x:c>
      <x:c r="S2952" s="3" t="b">
        <x:v>0</x:v>
      </x:c>
      <x:c r="T2952" s="3" t="b">
        <x:v>0</x:v>
      </x:c>
      <x:c r="U2952" s="2" t="str">
        <x:f>IF(T2952=TRUE,"Priority review",IF(R2952=TRUE,"High cost",IF(S2952=TRUE,"Low quality","Benchmark")))</x:f>
        <x:v>Benchmark</x:v>
      </x:c>
    </x:row>
    <x:row r="2953">
      <x:c r="A2953" s="2" t="str">
        <x:v>021306</x:v>
      </x:c>
      <x:c r="B2953" s="2" t="str">
        <x:v>PROVIDENCE KODIAK ISLAND MEDICAL CTR</x:v>
      </x:c>
      <x:c r="C2953" s="2" t="str">
        <x:v>KODIAK</x:v>
      </x:c>
      <x:c r="D2953" s="2" t="str">
        <x:v>AK</x:v>
      </x:c>
      <x:c r="E2953" s="2" t="str">
        <x:v>Critical Access Hospitals</x:v>
      </x:c>
      <x:c r="F2953" s="2" t="str">
        <x:v>Voluntary non-profit</x:v>
      </x:c>
      <x:c r="G2953" s="2" t="str">
        <x:v>Small (&lt;100 beds)</x:v>
      </x:c>
      <x:c r="H2953" s="7"/>
      <x:c r="I2953" s="7"/>
      <x:c r="J2953" s="7"/>
      <x:c r="K2953" s="8" t="n">
        <x:v>24</x:v>
      </x:c>
      <x:c r="L2953" s="8" t="n">
        <x:v>528</x:v>
      </x:c>
      <x:c r="M2953" s="9" t="n">
        <x:v>0.2463570128</x:v>
      </x:c>
      <x:c r="N2953" s="10" t="n">
        <x:v>113252.5928030303</x:v>
      </x:c>
      <x:c r="O2953" s="9" t="n">
        <x:v>0.0671353566</x:v>
      </x:c>
      <x:c r="P2953" s="9" t="n">
        <x:v>0.4022304833</x:v>
      </x:c>
      <x:c r="Q2953" s="9" t="n">
        <x:v>0.292936803</x:v>
      </x:c>
      <x:c r="R2953" s="3" t="b">
        <x:v>0</x:v>
      </x:c>
      <x:c r="S2953" s="3" t="b">
        <x:v>0</x:v>
      </x:c>
      <x:c r="T2953" s="3" t="b">
        <x:v>0</x:v>
      </x:c>
      <x:c r="U2953" s="2" t="str">
        <x:f>IF(T2953=TRUE,"Priority review",IF(R2953=TRUE,"High cost",IF(S2953=TRUE,"Low quality","Benchmark")))</x:f>
        <x:v>Benchmark</x:v>
      </x:c>
    </x:row>
    <x:row r="2954">
      <x:c r="A2954" s="2" t="str">
        <x:v>290001</x:v>
      </x:c>
      <x:c r="B2954" s="2" t="str">
        <x:v>RENOWN REGIONAL MEDICAL CENTER</x:v>
      </x:c>
      <x:c r="C2954" s="2" t="str">
        <x:v>RENO</x:v>
      </x:c>
      <x:c r="D2954" s="2" t="str">
        <x:v>NV</x:v>
      </x:c>
      <x:c r="E2954" s="2" t="str">
        <x:v>Acute Care Hospitals</x:v>
      </x:c>
      <x:c r="F2954" s="2" t="str">
        <x:v>Voluntary non-profit</x:v>
      </x:c>
      <x:c r="G2954" s="2" t="str">
        <x:v>Large (300+ beds)</x:v>
      </x:c>
      <x:c r="H2954" s="7" t="n">
        <x:v>3</x:v>
      </x:c>
      <x:c r="I2954" s="7" t="n">
        <x:v>3</x:v>
      </x:c>
      <x:c r="J2954" s="7" t="n">
        <x:v>1.03</x:v>
      </x:c>
      <x:c r="K2954" s="8" t="n">
        <x:v>581</x:v>
      </x:c>
      <x:c r="L2954" s="8" t="n">
        <x:v>34675</x:v>
      </x:c>
      <x:c r="M2954" s="9" t="n">
        <x:v>0.8165072468</x:v>
      </x:c>
      <x:c r="N2954" s="10" t="n">
        <x:v>34908.7634895458</x:v>
      </x:c>
      <x:c r="O2954" s="9" t="n">
        <x:v>0.0755003414</x:v>
      </x:c>
      <x:c r="P2954" s="9" t="n">
        <x:v>0.4022082019</x:v>
      </x:c>
      <x:c r="Q2954" s="9" t="n">
        <x:v>0.2570977918</x:v>
      </x:c>
      <x:c r="R2954" s="3" t="b">
        <x:v>0</x:v>
      </x:c>
      <x:c r="S2954" s="3" t="b">
        <x:v>0</x:v>
      </x:c>
      <x:c r="T2954" s="3" t="b">
        <x:v>0</x:v>
      </x:c>
      <x:c r="U2954" s="2" t="str">
        <x:f>IF(T2954=TRUE,"Priority review",IF(R2954=TRUE,"High cost",IF(S2954=TRUE,"Low quality","Benchmark")))</x:f>
        <x:v>Benchmark</x:v>
      </x:c>
    </x:row>
    <x:row r="2955">
      <x:c r="A2955" s="2" t="str">
        <x:v>490033</x:v>
      </x:c>
      <x:c r="B2955" s="2" t="str">
        <x:v>WARREN MEMORIAL HOSPITAL</x:v>
      </x:c>
      <x:c r="C2955" s="2" t="str">
        <x:v>FRONT ROYAL</x:v>
      </x:c>
      <x:c r="D2955" s="2" t="str">
        <x:v>VA</x:v>
      </x:c>
      <x:c r="E2955" s="2" t="str">
        <x:v>Acute Care Hospitals</x:v>
      </x:c>
      <x:c r="F2955" s="2" t="str">
        <x:v>Voluntary non-profit</x:v>
      </x:c>
      <x:c r="G2955" s="2" t="str">
        <x:v>Small (&lt;100 beds)</x:v>
      </x:c>
      <x:c r="H2955" s="7" t="n">
        <x:v>2</x:v>
      </x:c>
      <x:c r="I2955" s="7" t="n">
        <x:v>4</x:v>
      </x:c>
      <x:c r="J2955" s="7" t="n">
        <x:v>0.87</x:v>
      </x:c>
      <x:c r="K2955" s="8" t="n">
        <x:v>36</x:v>
      </x:c>
      <x:c r="L2955" s="8" t="n">
        <x:v>2306</x:v>
      </x:c>
      <x:c r="M2955" s="9" t="n">
        <x:v>0.4735883424</x:v>
      </x:c>
      <x:c r="N2955" s="10" t="n">
        <x:v>45143.8261058109</x:v>
      </x:c>
      <x:c r="O2955" s="9" t="n">
        <x:v>0.0744533897</x:v>
      </x:c>
      <x:c r="P2955" s="9" t="n">
        <x:v>0.4021543986</x:v>
      </x:c>
      <x:c r="Q2955" s="9" t="n">
        <x:v>0.0350089767</x:v>
      </x:c>
      <x:c r="R2955" s="3" t="b">
        <x:v>0</x:v>
      </x:c>
      <x:c r="S2955" s="3" t="b">
        <x:v>1</x:v>
      </x:c>
      <x:c r="T2955" s="3" t="b">
        <x:v>0</x:v>
      </x:c>
      <x:c r="U2955" s="2" t="str">
        <x:f>IF(T2955=TRUE,"Priority review",IF(R2955=TRUE,"High cost",IF(S2955=TRUE,"Low quality","Benchmark")))</x:f>
        <x:v>Low quality</x:v>
      </x:c>
    </x:row>
    <x:row r="2956">
      <x:c r="A2956" s="2" t="str">
        <x:v>310047</x:v>
      </x:c>
      <x:c r="B2956" s="2" t="str">
        <x:v>SHORE MEDICAL CENTER</x:v>
      </x:c>
      <x:c r="C2956" s="2" t="str">
        <x:v>SOMERS POINT</x:v>
      </x:c>
      <x:c r="D2956" s="2" t="str">
        <x:v>NJ</x:v>
      </x:c>
      <x:c r="E2956" s="2" t="str">
        <x:v>Acute Care Hospitals</x:v>
      </x:c>
      <x:c r="F2956" s="2" t="str">
        <x:v>Voluntary non-profit</x:v>
      </x:c>
      <x:c r="G2956" s="2" t="str">
        <x:v>Medium (100-299 beds)</x:v>
      </x:c>
      <x:c r="H2956" s="7" t="n">
        <x:v>3</x:v>
      </x:c>
      <x:c r="I2956" s="7" t="n">
        <x:v>3</x:v>
      </x:c>
      <x:c r="J2956" s="7" t="n">
        <x:v>0.99</x:v>
      </x:c>
      <x:c r="K2956" s="8" t="n">
        <x:v>199</x:v>
      </x:c>
      <x:c r="L2956" s="8" t="n">
        <x:v>7280</x:v>
      </x:c>
      <x:c r="M2956" s="9" t="n">
        <x:v>0.4549111679</x:v>
      </x:c>
      <x:c r="N2956" s="10" t="n">
        <x:v>30723.2478021978</x:v>
      </x:c>
      <x:c r="O2956" s="9" t="n">
        <x:v>0.1101678264</x:v>
      </x:c>
      <x:c r="P2956" s="9" t="n">
        <x:v>0.401792991</x:v>
      </x:c>
      <x:c r="Q2956" s="9" t="n">
        <x:v>0.3023634882</x:v>
      </x:c>
      <x:c r="R2956" s="3" t="b">
        <x:v>0</x:v>
      </x:c>
      <x:c r="S2956" s="3" t="b">
        <x:v>0</x:v>
      </x:c>
      <x:c r="T2956" s="3" t="b">
        <x:v>0</x:v>
      </x:c>
      <x:c r="U2956" s="2" t="str">
        <x:f>IF(T2956=TRUE,"Priority review",IF(R2956=TRUE,"High cost",IF(S2956=TRUE,"Low quality","Benchmark")))</x:f>
        <x:v>Benchmark</x:v>
      </x:c>
    </x:row>
    <x:row r="2957">
      <x:c r="A2957" s="2" t="str">
        <x:v>041308</x:v>
      </x:c>
      <x:c r="B2957" s="2" t="str">
        <x:v>MCGEHEE HOSPITAL</x:v>
      </x:c>
      <x:c r="C2957" s="2" t="str">
        <x:v>MCGEHEE</x:v>
      </x:c>
      <x:c r="D2957" s="2" t="str">
        <x:v>AR</x:v>
      </x:c>
      <x:c r="E2957" s="2" t="str">
        <x:v>Critical Access Hospitals</x:v>
      </x:c>
      <x:c r="F2957" s="2" t="str">
        <x:v>Voluntary non-profit</x:v>
      </x:c>
      <x:c r="G2957" s="2" t="str">
        <x:v>Small (&lt;100 beds)</x:v>
      </x:c>
      <x:c r="H2957" s="7"/>
      <x:c r="I2957" s="7"/>
      <x:c r="J2957" s="7"/>
      <x:c r="K2957" s="8" t="n">
        <x:v>25</x:v>
      </x:c>
      <x:c r="L2957" s="8" t="n">
        <x:v>150</x:v>
      </x:c>
      <x:c r="M2957" s="9" t="n">
        <x:v>0.1421369863</x:v>
      </x:c>
      <x:c r="N2957" s="10" t="n">
        <x:v>113146.2733333333</x:v>
      </x:c>
      <x:c r="O2957" s="9" t="n">
        <x:v>-0.211189699</x:v>
      </x:c>
      <x:c r="P2957" s="9" t="n">
        <x:v>0.4014869888</x:v>
      </x:c>
      <x:c r="Q2957" s="9" t="n">
        <x:v>0.292936803</x:v>
      </x:c>
      <x:c r="R2957" s="3" t="b">
        <x:v>0</x:v>
      </x:c>
      <x:c r="S2957" s="3" t="b">
        <x:v>0</x:v>
      </x:c>
      <x:c r="T2957" s="3" t="b">
        <x:v>0</x:v>
      </x:c>
      <x:c r="U2957" s="2" t="str">
        <x:f>IF(T2957=TRUE,"Priority review",IF(R2957=TRUE,"High cost",IF(S2957=TRUE,"Low quality","Benchmark")))</x:f>
        <x:v>Benchmark</x:v>
      </x:c>
    </x:row>
    <x:row r="2958">
      <x:c r="A2958" s="2" t="str">
        <x:v>454018</x:v>
      </x:c>
      <x:c r="B2958" s="2" t="str">
        <x:v>RED RIVER HOSPITAL</x:v>
      </x:c>
      <x:c r="C2958" s="2" t="str">
        <x:v>WICHITA FALLS</x:v>
      </x:c>
      <x:c r="D2958" s="2" t="str">
        <x:v>TX</x:v>
      </x:c>
      <x:c r="E2958" s="2" t="str">
        <x:v>Psychiatric</x:v>
      </x:c>
      <x:c r="F2958" s="2" t="str">
        <x:v>Proprietary</x:v>
      </x:c>
      <x:c r="G2958" s="2" t="str">
        <x:v>Small (&lt;100 beds)</x:v>
      </x:c>
      <x:c r="H2958" s="7"/>
      <x:c r="I2958" s="7"/>
      <x:c r="J2958" s="7"/>
      <x:c r="K2958" s="8" t="n">
        <x:v>96</x:v>
      </x:c>
      <x:c r="L2958" s="8" t="n">
        <x:v>1909</x:v>
      </x:c>
      <x:c r="M2958" s="9" t="n">
        <x:v>0.7601320583</x:v>
      </x:c>
      <x:c r="N2958" s="10" t="n">
        <x:v>10256.8124672603</x:v>
      </x:c>
      <x:c r="O2958" s="9" t="n">
        <x:v>0.1803933985</x:v>
      </x:c>
      <x:c r="P2958" s="9" t="n">
        <x:v>0.4012944984</x:v>
      </x:c>
      <x:c r="Q2958" s="9" t="n">
        <x:v>0</x:v>
      </x:c>
      <x:c r="R2958" s="3" t="b">
        <x:v>0</x:v>
      </x:c>
      <x:c r="S2958" s="3" t="b">
        <x:v>0</x:v>
      </x:c>
      <x:c r="T2958" s="3" t="b">
        <x:v>0</x:v>
      </x:c>
      <x:c r="U2958" s="2" t="str">
        <x:f>IF(T2958=TRUE,"Priority review",IF(R2958=TRUE,"High cost",IF(S2958=TRUE,"Low quality","Benchmark")))</x:f>
        <x:v>Benchmark</x:v>
      </x:c>
    </x:row>
    <x:row r="2959">
      <x:c r="A2959" s="2" t="str">
        <x:v>110015</x:v>
      </x:c>
      <x:c r="B2959" s="2" t="str">
        <x:v>TANNER MEDICAL CENTER VILLA RICA</x:v>
      </x:c>
      <x:c r="C2959" s="2" t="str">
        <x:v>VILLA RICA</x:v>
      </x:c>
      <x:c r="D2959" s="2" t="str">
        <x:v>GA</x:v>
      </x:c>
      <x:c r="E2959" s="2" t="str">
        <x:v>Acute Care Hospitals</x:v>
      </x:c>
      <x:c r="F2959" s="2" t="str">
        <x:v>Government</x:v>
      </x:c>
      <x:c r="G2959" s="2" t="str">
        <x:v>Small (&lt;100 beds)</x:v>
      </x:c>
      <x:c r="H2959" s="7" t="n">
        <x:v>3</x:v>
      </x:c>
      <x:c r="I2959" s="7" t="n">
        <x:v>3</x:v>
      </x:c>
      <x:c r="J2959" s="7" t="n">
        <x:v>1.01</x:v>
      </x:c>
      <x:c r="K2959" s="8" t="n">
        <x:v>62</x:v>
      </x:c>
      <x:c r="L2959" s="8" t="n">
        <x:v>4715</x:v>
      </x:c>
      <x:c r="M2959" s="9" t="n">
        <x:v>0.9927971719</x:v>
      </x:c>
      <x:c r="N2959" s="10" t="n">
        <x:v>45127.0778366914</x:v>
      </x:c>
      <x:c r="O2959" s="9" t="n">
        <x:v>0.3374330364</x:v>
      </x:c>
      <x:c r="P2959" s="9" t="n">
        <x:v>0.4012567325</x:v>
      </x:c>
      <x:c r="Q2959" s="9" t="n">
        <x:v>0.1687612208</x:v>
      </x:c>
      <x:c r="R2959" s="3" t="b">
        <x:v>0</x:v>
      </x:c>
      <x:c r="S2959" s="3" t="b">
        <x:v>0</x:v>
      </x:c>
      <x:c r="T2959" s="3" t="b">
        <x:v>0</x:v>
      </x:c>
      <x:c r="U2959" s="2" t="str">
        <x:f>IF(T2959=TRUE,"Priority review",IF(R2959=TRUE,"High cost",IF(S2959=TRUE,"Low quality","Benchmark")))</x:f>
        <x:v>Benchmark</x:v>
      </x:c>
    </x:row>
    <x:row r="2960">
      <x:c r="A2960" s="2" t="str">
        <x:v>390137</x:v>
      </x:c>
      <x:c r="B2960" s="2" t="str">
        <x:v>WILKES-BARRE GENERAL HOSPITAL</x:v>
      </x:c>
      <x:c r="C2960" s="2" t="str">
        <x:v>WILKES-BARRE</x:v>
      </x:c>
      <x:c r="D2960" s="2" t="str">
        <x:v>PA</x:v>
      </x:c>
      <x:c r="E2960" s="2" t="str">
        <x:v>Acute Care Hospitals</x:v>
      </x:c>
      <x:c r="F2960" s="2" t="str">
        <x:v>Proprietary</x:v>
      </x:c>
      <x:c r="G2960" s="2" t="str">
        <x:v>Medium (100-299 beds)</x:v>
      </x:c>
      <x:c r="H2960" s="7" t="n">
        <x:v>2</x:v>
      </x:c>
      <x:c r="I2960" s="7" t="n">
        <x:v>2</x:v>
      </x:c>
      <x:c r="J2960" s="7" t="n">
        <x:v>1.18</x:v>
      </x:c>
      <x:c r="K2960" s="8" t="n">
        <x:v>119</x:v>
      </x:c>
      <x:c r="L2960" s="8" t="n">
        <x:v>6725</x:v>
      </x:c>
      <x:c r="M2960" s="9" t="n">
        <x:v>0.7564406585</x:v>
      </x:c>
      <x:c r="N2960" s="10" t="n">
        <x:v>30695.8770260223</x:v>
      </x:c>
      <x:c r="O2960" s="9" t="n">
        <x:v>0.1719798034</x:v>
      </x:c>
      <x:c r="P2960" s="9" t="n">
        <x:v>0.4009779951</x:v>
      </x:c>
      <x:c r="Q2960" s="9" t="n">
        <x:v>0.0782396088</x:v>
      </x:c>
      <x:c r="R2960" s="3" t="b">
        <x:v>0</x:v>
      </x:c>
      <x:c r="S2960" s="3" t="b">
        <x:v>1</x:v>
      </x:c>
      <x:c r="T2960" s="3" t="b">
        <x:v>0</x:v>
      </x:c>
      <x:c r="U2960" s="2" t="str">
        <x:f>IF(T2960=TRUE,"Priority review",IF(R2960=TRUE,"High cost",IF(S2960=TRUE,"Low quality","Benchmark")))</x:f>
        <x:v>Low quality</x:v>
      </x:c>
    </x:row>
    <x:row r="2961">
      <x:c r="A2961" s="2" t="str">
        <x:v>171352</x:v>
      </x:c>
      <x:c r="B2961" s="2" t="str">
        <x:v>DECATUR HEALTH</x:v>
      </x:c>
      <x:c r="C2961" s="2" t="str">
        <x:v>OBERLIN</x:v>
      </x:c>
      <x:c r="D2961" s="2" t="str">
        <x:v>KS</x:v>
      </x:c>
      <x:c r="E2961" s="2" t="str">
        <x:v>Critical Access Hospitals</x:v>
      </x:c>
      <x:c r="F2961" s="2" t="str">
        <x:v>Voluntary non-profit</x:v>
      </x:c>
      <x:c r="G2961" s="2" t="str">
        <x:v>Small (&lt;100 beds)</x:v>
      </x:c>
      <x:c r="H2961" s="7"/>
      <x:c r="I2961" s="7"/>
      <x:c r="J2961" s="7"/>
      <x:c r="K2961" s="8" t="n">
        <x:v>18</x:v>
      </x:c>
      <x:c r="L2961" s="8" t="n">
        <x:v>112</x:v>
      </x:c>
      <x:c r="M2961" s="9" t="n">
        <x:v>0.1095931998</x:v>
      </x:c>
      <x:c r="N2961" s="10" t="n">
        <x:v>112732.3125</x:v>
      </x:c>
      <x:c r="O2961" s="9" t="n">
        <x:v>-0.2957795581</x:v>
      </x:c>
      <x:c r="P2961" s="9" t="n">
        <x:v>0.4007434944</x:v>
      </x:c>
      <x:c r="Q2961" s="9" t="n">
        <x:v>0.292936803</x:v>
      </x:c>
      <x:c r="R2961" s="3" t="b">
        <x:v>0</x:v>
      </x:c>
      <x:c r="S2961" s="3" t="b">
        <x:v>0</x:v>
      </x:c>
      <x:c r="T2961" s="3" t="b">
        <x:v>0</x:v>
      </x:c>
      <x:c r="U2961" s="2" t="str">
        <x:f>IF(T2961=TRUE,"Priority review",IF(R2961=TRUE,"High cost",IF(S2961=TRUE,"Low quality","Benchmark")))</x:f>
        <x:v>Benchmark</x:v>
      </x:c>
    </x:row>
    <x:row r="2962">
      <x:c r="A2962" s="2" t="str">
        <x:v>450571</x:v>
      </x:c>
      <x:c r="B2962" s="2" t="str">
        <x:v>SHANNON MEDICAL CENTER</x:v>
      </x:c>
      <x:c r="C2962" s="2" t="str">
        <x:v>SAN ANGELO</x:v>
      </x:c>
      <x:c r="D2962" s="2" t="str">
        <x:v>TX</x:v>
      </x:c>
      <x:c r="E2962" s="2" t="str">
        <x:v>Acute Care Hospitals</x:v>
      </x:c>
      <x:c r="F2962" s="2" t="str">
        <x:v>Voluntary non-profit</x:v>
      </x:c>
      <x:c r="G2962" s="2" t="str">
        <x:v>Large (300+ beds)</x:v>
      </x:c>
      <x:c r="H2962" s="7" t="n">
        <x:v>3</x:v>
      </x:c>
      <x:c r="I2962" s="7" t="n">
        <x:v>3</x:v>
      </x:c>
      <x:c r="J2962" s="7" t="n">
        <x:v>1.04</x:v>
      </x:c>
      <x:c r="K2962" s="8" t="n">
        <x:v>376</x:v>
      </x:c>
      <x:c r="L2962" s="8" t="n">
        <x:v>18042</x:v>
      </x:c>
      <x:c r="M2962" s="9" t="n">
        <x:v>0.6374758438</x:v>
      </x:c>
      <x:c r="N2962" s="10" t="n">
        <x:v>34892.6790267154</x:v>
      </x:c>
      <x:c r="O2962" s="9" t="n">
        <x:v>0.1419772414</x:v>
      </x:c>
      <x:c r="P2962" s="9" t="n">
        <x:v>0.4006309148</x:v>
      </x:c>
      <x:c r="Q2962" s="9" t="n">
        <x:v>0.2570977918</x:v>
      </x:c>
      <x:c r="R2962" s="3" t="b">
        <x:v>0</x:v>
      </x:c>
      <x:c r="S2962" s="3" t="b">
        <x:v>0</x:v>
      </x:c>
      <x:c r="T2962" s="3" t="b">
        <x:v>0</x:v>
      </x:c>
      <x:c r="U2962" s="2" t="str">
        <x:f>IF(T2962=TRUE,"Priority review",IF(R2962=TRUE,"High cost",IF(S2962=TRUE,"Low quality","Benchmark")))</x:f>
        <x:v>Benchmark</x:v>
      </x:c>
    </x:row>
    <x:row r="2963">
      <x:c r="A2963" s="2" t="str">
        <x:v>510002</x:v>
      </x:c>
      <x:c r="B2963" s="2" t="str">
        <x:v>CAMC GREENBRIER VALLEY MEDICAL CENTER, INC</x:v>
      </x:c>
      <x:c r="C2963" s="2" t="str">
        <x:v>RONCEVERTE</x:v>
      </x:c>
      <x:c r="D2963" s="2" t="str">
        <x:v>WV</x:v>
      </x:c>
      <x:c r="E2963" s="2" t="str">
        <x:v>Acute Care Hospitals</x:v>
      </x:c>
      <x:c r="F2963" s="2" t="str">
        <x:v>Proprietary</x:v>
      </x:c>
      <x:c r="G2963" s="2" t="str">
        <x:v>Small (&lt;100 beds)</x:v>
      </x:c>
      <x:c r="H2963" s="7" t="n">
        <x:v>2</x:v>
      </x:c>
      <x:c r="I2963" s="7" t="n">
        <x:v>2</x:v>
      </x:c>
      <x:c r="J2963" s="7" t="n">
        <x:v>0.93</x:v>
      </x:c>
      <x:c r="K2963" s="8" t="n">
        <x:v>66</x:v>
      </x:c>
      <x:c r="L2963" s="8" t="n">
        <x:v>2800</x:v>
      </x:c>
      <x:c r="M2963" s="9" t="n">
        <x:v>0.5193740686</x:v>
      </x:c>
      <x:c r="N2963" s="10" t="n">
        <x:v>45041.8946428571</x:v>
      </x:c>
      <x:c r="O2963" s="9" t="n">
        <x:v>-0.227596159</x:v>
      </x:c>
      <x:c r="P2963" s="9" t="n">
        <x:v>0.4003590664</x:v>
      </x:c>
      <x:c r="Q2963" s="9" t="n">
        <x:v>0.0350089767</x:v>
      </x:c>
      <x:c r="R2963" s="3" t="b">
        <x:v>0</x:v>
      </x:c>
      <x:c r="S2963" s="3" t="b">
        <x:v>1</x:v>
      </x:c>
      <x:c r="T2963" s="3" t="b">
        <x:v>0</x:v>
      </x:c>
      <x:c r="U2963" s="2" t="str">
        <x:f>IF(T2963=TRUE,"Priority review",IF(R2963=TRUE,"High cost",IF(S2963=TRUE,"Low quality","Benchmark")))</x:f>
        <x:v>Low quality</x:v>
      </x:c>
    </x:row>
    <x:row r="2964">
      <x:c r="A2964" s="2" t="str">
        <x:v>310050</x:v>
      </x:c>
      <x:c r="B2964" s="2" t="str">
        <x:v>SAINT CLARE'S HOSPITAL/ DENVILLE CAMPUS</x:v>
      </x:c>
      <x:c r="C2964" s="2" t="str">
        <x:v>DENVILLE</x:v>
      </x:c>
      <x:c r="D2964" s="2" t="str">
        <x:v>NJ</x:v>
      </x:c>
      <x:c r="E2964" s="2" t="str">
        <x:v>Acute Care Hospitals</x:v>
      </x:c>
      <x:c r="F2964" s="2" t="str">
        <x:v>Proprietary</x:v>
      </x:c>
      <x:c r="G2964" s="2" t="str">
        <x:v>Medium (100-299 beds)</x:v>
      </x:c>
      <x:c r="H2964" s="7" t="n">
        <x:v>2</x:v>
      </x:c>
      <x:c r="I2964" s="7" t="n">
        <x:v>2</x:v>
      </x:c>
      <x:c r="J2964" s="7" t="n">
        <x:v>1.03</x:v>
      </x:c>
      <x:c r="K2964" s="8" t="n">
        <x:v>242</x:v>
      </x:c>
      <x:c r="L2964" s="8" t="n">
        <x:v>10801</x:v>
      </x:c>
      <x:c r="M2964" s="9" t="n">
        <x:v>0.5249627422</x:v>
      </x:c>
      <x:c r="N2964" s="10" t="n">
        <x:v>30687.4669012129</x:v>
      </x:c>
      <x:c r="O2964" s="9" t="n">
        <x:v>-0.0953021355</x:v>
      </x:c>
      <x:c r="P2964" s="9" t="n">
        <x:v>0.4001629992</x:v>
      </x:c>
      <x:c r="Q2964" s="9" t="n">
        <x:v>0.0782396088</x:v>
      </x:c>
      <x:c r="R2964" s="3" t="b">
        <x:v>0</x:v>
      </x:c>
      <x:c r="S2964" s="3" t="b">
        <x:v>1</x:v>
      </x:c>
      <x:c r="T2964" s="3" t="b">
        <x:v>0</x:v>
      </x:c>
      <x:c r="U2964" s="2" t="str">
        <x:f>IF(T2964=TRUE,"Priority review",IF(R2964=TRUE,"High cost",IF(S2964=TRUE,"Low quality","Benchmark")))</x:f>
        <x:v>Low quality</x:v>
      </x:c>
    </x:row>
    <x:row r="2965">
      <x:c r="A2965" s="2" t="str">
        <x:v>504004</x:v>
      </x:c>
      <x:c r="B2965" s="2" t="str">
        <x:v>EASTERN STATE HOSPITAL</x:v>
      </x:c>
      <x:c r="C2965" s="2" t="str">
        <x:v>MEDICAL LAKE</x:v>
      </x:c>
      <x:c r="D2965" s="2" t="str">
        <x:v>WA</x:v>
      </x:c>
      <x:c r="E2965" s="2" t="str">
        <x:v>Psychiatric</x:v>
      </x:c>
      <x:c r="F2965" s="2" t="str">
        <x:v>Government</x:v>
      </x:c>
      <x:c r="G2965" s="2" t="str">
        <x:v>Large (300+ beds)</x:v>
      </x:c>
      <x:c r="H2965" s="7"/>
      <x:c r="I2965" s="7"/>
      <x:c r="J2965" s="7"/>
      <x:c r="K2965" s="8" t="n">
        <x:v>375</x:v>
      </x:c>
      <x:c r="L2965" s="8" t="n">
        <x:v>615</x:v>
      </x:c>
      <x:c r="M2965" s="9" t="n">
        <x:v>0.7191305936</x:v>
      </x:c>
      <x:c r="N2965" s="10" t="n">
        <x:v>308491.9463414634</x:v>
      </x:c>
      <x:c r="O2965" s="9" t="n">
        <x:v>-0.0244745145</x:v>
      </x:c>
      <x:c r="P2965" s="9" t="n">
        <x:v>0.4</x:v>
      </x:c>
      <x:c r="Q2965" s="9" t="n">
        <x:v>0</x:v>
      </x:c>
      <x:c r="R2965" s="3" t="b">
        <x:v>0</x:v>
      </x:c>
      <x:c r="S2965" s="3" t="b">
        <x:v>0</x:v>
      </x:c>
      <x:c r="T2965" s="3" t="b">
        <x:v>0</x:v>
      </x:c>
      <x:c r="U2965" s="2" t="str">
        <x:f>IF(T2965=TRUE,"Priority review",IF(R2965=TRUE,"High cost",IF(S2965=TRUE,"Low quality","Benchmark")))</x:f>
        <x:v>Benchmark</x:v>
      </x:c>
    </x:row>
    <x:row r="2966">
      <x:c r="A2966" s="2" t="str">
        <x:v>521303</x:v>
      </x:c>
      <x:c r="B2966" s="2" t="str">
        <x:v>THEDACARE MEDICAL CENTER - WILD ROSE</x:v>
      </x:c>
      <x:c r="C2966" s="2" t="str">
        <x:v>WILD ROSE</x:v>
      </x:c>
      <x:c r="D2966" s="2" t="str">
        <x:v>WI</x:v>
      </x:c>
      <x:c r="E2966" s="2" t="str">
        <x:v>Critical Access Hospitals</x:v>
      </x:c>
      <x:c r="F2966" s="2" t="str">
        <x:v>Voluntary non-profit</x:v>
      </x:c>
      <x:c r="G2966" s="2" t="str">
        <x:v>Small (&lt;100 beds)</x:v>
      </x:c>
      <x:c r="H2966" s="7"/>
      <x:c r="I2966" s="7"/>
      <x:c r="J2966" s="7"/>
      <x:c r="K2966" s="8" t="n">
        <x:v>10</x:v>
      </x:c>
      <x:c r="L2966" s="8" t="n">
        <x:v>124</x:v>
      </x:c>
      <x:c r="M2966" s="9" t="n">
        <x:v>0.3695890411</x:v>
      </x:c>
      <x:c r="N2966" s="10" t="n">
        <x:v>112664.0806451613</x:v>
      </x:c>
      <x:c r="O2966" s="9" t="n">
        <x:v>0.0113651273</x:v>
      </x:c>
      <x:c r="P2966" s="9" t="n">
        <x:v>0.4</x:v>
      </x:c>
      <x:c r="Q2966" s="9" t="n">
        <x:v>0.292936803</x:v>
      </x:c>
      <x:c r="R2966" s="3" t="b">
        <x:v>0</x:v>
      </x:c>
      <x:c r="S2966" s="3" t="b">
        <x:v>0</x:v>
      </x:c>
      <x:c r="T2966" s="3" t="b">
        <x:v>0</x:v>
      </x:c>
      <x:c r="U2966" s="2" t="str">
        <x:f>IF(T2966=TRUE,"Priority review",IF(R2966=TRUE,"High cost",IF(S2966=TRUE,"Low quality","Benchmark")))</x:f>
        <x:v>Benchmark</x:v>
      </x:c>
    </x:row>
    <x:row r="2967">
      <x:c r="A2967" s="2" t="str">
        <x:v>330235</x:v>
      </x:c>
      <x:c r="B2967" s="2" t="str">
        <x:v>AUBURN  COMMUNITY  HOSPITAL</x:v>
      </x:c>
      <x:c r="C2967" s="2" t="str">
        <x:v>AUBURN</x:v>
      </x:c>
      <x:c r="D2967" s="2" t="str">
        <x:v>NY</x:v>
      </x:c>
      <x:c r="E2967" s="2" t="str">
        <x:v>Acute Care Hospitals</x:v>
      </x:c>
      <x:c r="F2967" s="2" t="str">
        <x:v>Voluntary non-profit</x:v>
      </x:c>
      <x:c r="G2967" s="2" t="str">
        <x:v>Small (&lt;100 beds)</x:v>
      </x:c>
      <x:c r="H2967" s="7" t="n">
        <x:v>2</x:v>
      </x:c>
      <x:c r="I2967" s="7" t="n">
        <x:v>2</x:v>
      </x:c>
      <x:c r="J2967" s="7" t="n">
        <x:v>0.95</x:v>
      </x:c>
      <x:c r="K2967" s="8" t="n">
        <x:v>85</x:v>
      </x:c>
      <x:c r="L2967" s="8" t="n">
        <x:v>4101</x:v>
      </x:c>
      <x:c r="M2967" s="9" t="n">
        <x:v>0.5223400836</x:v>
      </x:c>
      <x:c r="N2967" s="10" t="n">
        <x:v>44990.7878566203</x:v>
      </x:c>
      <x:c r="O2967" s="9" t="n">
        <x:v>-0.0475212793</x:v>
      </x:c>
      <x:c r="P2967" s="9" t="n">
        <x:v>0.3994614004</x:v>
      </x:c>
      <x:c r="Q2967" s="9" t="n">
        <x:v>0.0350089767</x:v>
      </x:c>
      <x:c r="R2967" s="3" t="b">
        <x:v>0</x:v>
      </x:c>
      <x:c r="S2967" s="3" t="b">
        <x:v>1</x:v>
      </x:c>
      <x:c r="T2967" s="3" t="b">
        <x:v>0</x:v>
      </x:c>
      <x:c r="U2967" s="2" t="str">
        <x:f>IF(T2967=TRUE,"Priority review",IF(R2967=TRUE,"High cost",IF(S2967=TRUE,"Low quality","Benchmark")))</x:f>
        <x:v>Low quality</x:v>
      </x:c>
    </x:row>
    <x:row r="2968">
      <x:c r="A2968" s="2" t="str">
        <x:v>100291</x:v>
      </x:c>
      <x:c r="B2968" s="2" t="str">
        <x:v>ORLANDO HEALTH MELBOURNE HOSPITAL</x:v>
      </x:c>
      <x:c r="C2968" s="2" t="str">
        <x:v>MELBOURNE</x:v>
      </x:c>
      <x:c r="D2968" s="2" t="str">
        <x:v>FL</x:v>
      </x:c>
      <x:c r="E2968" s="2" t="str">
        <x:v>Acute Care Hospitals</x:v>
      </x:c>
      <x:c r="F2968" s="2" t="str">
        <x:v>Voluntary non-profit</x:v>
      </x:c>
      <x:c r="G2968" s="2" t="str">
        <x:v>Medium (100-299 beds)</x:v>
      </x:c>
      <x:c r="H2968" s="7" t="n">
        <x:v>3</x:v>
      </x:c>
      <x:c r="I2968" s="7" t="n">
        <x:v>2</x:v>
      </x:c>
      <x:c r="J2968" s="7" t="n">
        <x:v>1.04</x:v>
      </x:c>
      <x:c r="K2968" s="8" t="n">
        <x:v>119</x:v>
      </x:c>
      <x:c r="L2968" s="8" t="n">
        <x:v>3032</x:v>
      </x:c>
      <x:c r="M2968" s="9" t="n">
        <x:v>0.3216556893</x:v>
      </x:c>
      <x:c r="N2968" s="10" t="n">
        <x:v>30671.9686675462</x:v>
      </x:c>
      <x:c r="O2968" s="9" t="n">
        <x:v>-0.1846541863</x:v>
      </x:c>
      <x:c r="P2968" s="9" t="n">
        <x:v>0.3993480033</x:v>
      </x:c>
      <x:c r="Q2968" s="9" t="n">
        <x:v>0.3023634882</x:v>
      </x:c>
      <x:c r="R2968" s="3" t="b">
        <x:v>0</x:v>
      </x:c>
      <x:c r="S2968" s="3" t="b">
        <x:v>0</x:v>
      </x:c>
      <x:c r="T2968" s="3" t="b">
        <x:v>0</x:v>
      </x:c>
      <x:c r="U2968" s="2" t="str">
        <x:f>IF(T2968=TRUE,"Priority review",IF(R2968=TRUE,"High cost",IF(S2968=TRUE,"Low quality","Benchmark")))</x:f>
        <x:v>Benchmark</x:v>
      </x:c>
    </x:row>
    <x:row r="2969">
      <x:c r="A2969" s="2" t="str">
        <x:v>041328</x:v>
      </x:c>
      <x:c r="B2969" s="2" t="str">
        <x:v>CHICOT MEMORIAL MEDICAL CENTER</x:v>
      </x:c>
      <x:c r="C2969" s="2" t="str">
        <x:v>LAKE VILLAGE</x:v>
      </x:c>
      <x:c r="D2969" s="2" t="str">
        <x:v>AR</x:v>
      </x:c>
      <x:c r="E2969" s="2" t="str">
        <x:v>Critical Access Hospitals</x:v>
      </x:c>
      <x:c r="F2969" s="2" t="str">
        <x:v>Voluntary non-profit</x:v>
      </x:c>
      <x:c r="G2969" s="2" t="str">
        <x:v>Small (&lt;100 beds)</x:v>
      </x:c>
      <x:c r="H2969" s="7"/>
      <x:c r="I2969" s="7"/>
      <x:c r="J2969" s="7"/>
      <x:c r="K2969" s="8" t="n">
        <x:v>25</x:v>
      </x:c>
      <x:c r="L2969" s="8" t="n">
        <x:v>193</x:v>
      </x:c>
      <x:c r="M2969" s="9" t="n">
        <x:v>0.2201643836</x:v>
      </x:c>
      <x:c r="N2969" s="10" t="n">
        <x:v>112625.6062176166</x:v>
      </x:c>
      <x:c r="O2969" s="9" t="n">
        <x:v>-0.1952882965</x:v>
      </x:c>
      <x:c r="P2969" s="9" t="n">
        <x:v>0.3992565056</x:v>
      </x:c>
      <x:c r="Q2969" s="9" t="n">
        <x:v>0.292936803</x:v>
      </x:c>
      <x:c r="R2969" s="3" t="b">
        <x:v>0</x:v>
      </x:c>
      <x:c r="S2969" s="3" t="b">
        <x:v>0</x:v>
      </x:c>
      <x:c r="T2969" s="3" t="b">
        <x:v>0</x:v>
      </x:c>
      <x:c r="U2969" s="2" t="str">
        <x:f>IF(T2969=TRUE,"Priority review",IF(R2969=TRUE,"High cost",IF(S2969=TRUE,"Low quality","Benchmark")))</x:f>
        <x:v>Benchmark</x:v>
      </x:c>
    </x:row>
    <x:row r="2970">
      <x:c r="A2970" s="2" t="str">
        <x:v>230097</x:v>
      </x:c>
      <x:c r="B2970" s="2" t="str">
        <x:v>MUNSON MEDICAL CENTER</x:v>
      </x:c>
      <x:c r="C2970" s="2" t="str">
        <x:v>TRAVERSE CITY</x:v>
      </x:c>
      <x:c r="D2970" s="2" t="str">
        <x:v>MI</x:v>
      </x:c>
      <x:c r="E2970" s="2" t="str">
        <x:v>Acute Care Hospitals</x:v>
      </x:c>
      <x:c r="F2970" s="2" t="str">
        <x:v>Voluntary non-profit</x:v>
      </x:c>
      <x:c r="G2970" s="2" t="str">
        <x:v>Large (300+ beds)</x:v>
      </x:c>
      <x:c r="H2970" s="7" t="n">
        <x:v>4</x:v>
      </x:c>
      <x:c r="I2970" s="7" t="n">
        <x:v>3</x:v>
      </x:c>
      <x:c r="J2970" s="7" t="n">
        <x:v>0.91</x:v>
      </x:c>
      <x:c r="K2970" s="8" t="n">
        <x:v>400</x:v>
      </x:c>
      <x:c r="L2970" s="8" t="n">
        <x:v>21968</x:v>
      </x:c>
      <x:c r="M2970" s="9" t="n">
        <x:v>0.6605930958</x:v>
      </x:c>
      <x:c r="N2970" s="10" t="n">
        <x:v>34890.9201565914</x:v>
      </x:c>
      <x:c r="O2970" s="9" t="n">
        <x:v>-0.0009654487</x:v>
      </x:c>
      <x:c r="P2970" s="9" t="n">
        <x:v>0.3990536278</x:v>
      </x:c>
      <x:c r="Q2970" s="9" t="n">
        <x:v>0.5899053628</x:v>
      </x:c>
      <x:c r="R2970" s="3" t="b">
        <x:v>0</x:v>
      </x:c>
      <x:c r="S2970" s="3" t="b">
        <x:v>0</x:v>
      </x:c>
      <x:c r="T2970" s="3" t="b">
        <x:v>0</x:v>
      </x:c>
      <x:c r="U2970" s="2" t="str">
        <x:f>IF(T2970=TRUE,"Priority review",IF(R2970=TRUE,"High cost",IF(S2970=TRUE,"Low quality","Benchmark")))</x:f>
        <x:v>Benchmark</x:v>
      </x:c>
    </x:row>
    <x:row r="2971">
      <x:c r="A2971" s="2" t="str">
        <x:v>380005</x:v>
      </x:c>
      <x:c r="B2971" s="2" t="str">
        <x:v>ASANTE ASHLAND COMMUNITY HOSPITAL</x:v>
      </x:c>
      <x:c r="C2971" s="2" t="str">
        <x:v>ASHLAND</x:v>
      </x:c>
      <x:c r="D2971" s="2" t="str">
        <x:v>OR</x:v>
      </x:c>
      <x:c r="E2971" s="2" t="str">
        <x:v>Acute Care Hospitals</x:v>
      </x:c>
      <x:c r="F2971" s="2" t="str">
        <x:v>Government</x:v>
      </x:c>
      <x:c r="G2971" s="2" t="str">
        <x:v>Small (&lt;100 beds)</x:v>
      </x:c>
      <x:c r="H2971" s="7"/>
      <x:c r="I2971" s="7" t="n">
        <x:v>4</x:v>
      </x:c>
      <x:c r="J2971" s="7" t="n">
        <x:v>0.82</x:v>
      </x:c>
      <x:c r="K2971" s="8" t="n">
        <x:v>40</x:v>
      </x:c>
      <x:c r="L2971" s="8" t="n">
        <x:v>1495</x:v>
      </x:c>
      <x:c r="M2971" s="9" t="n">
        <x:v>0.3900273224</x:v>
      </x:c>
      <x:c r="N2971" s="10" t="n">
        <x:v>44971.4073578595</x:v>
      </x:c>
      <x:c r="O2971" s="9" t="n">
        <x:v>0.1224288569</x:v>
      </x:c>
      <x:c r="P2971" s="9" t="n">
        <x:v>0.3985637343</x:v>
      </x:c>
      <x:c r="Q2971" s="9" t="n">
        <x:v>0.697486535</x:v>
      </x:c>
      <x:c r="R2971" s="3" t="b">
        <x:v>0</x:v>
      </x:c>
      <x:c r="S2971" s="3" t="b">
        <x:v>0</x:v>
      </x:c>
      <x:c r="T2971" s="3" t="b">
        <x:v>0</x:v>
      </x:c>
      <x:c r="U2971" s="2" t="str">
        <x:f>IF(T2971=TRUE,"Priority review",IF(R2971=TRUE,"High cost",IF(S2971=TRUE,"Low quality","Benchmark")))</x:f>
        <x:v>Benchmark</x:v>
      </x:c>
    </x:row>
    <x:row r="2972">
      <x:c r="A2972" s="2" t="str">
        <x:v>260180</x:v>
      </x:c>
      <x:c r="B2972" s="2" t="str">
        <x:v>CHRISTIAN HOSPITAL NORTHEAST</x:v>
      </x:c>
      <x:c r="C2972" s="2" t="str">
        <x:v>SAINT LOUIS</x:v>
      </x:c>
      <x:c r="D2972" s="2" t="str">
        <x:v>MO</x:v>
      </x:c>
      <x:c r="E2972" s="2" t="str">
        <x:v>Acute Care Hospitals</x:v>
      </x:c>
      <x:c r="F2972" s="2" t="str">
        <x:v>Voluntary non-profit</x:v>
      </x:c>
      <x:c r="G2972" s="2" t="str">
        <x:v>Medium (100-299 beds)</x:v>
      </x:c>
      <x:c r="H2972" s="7" t="n">
        <x:v>4</x:v>
      </x:c>
      <x:c r="I2972" s="7" t="n">
        <x:v>3</x:v>
      </x:c>
      <x:c r="J2972" s="7" t="n">
        <x:v>0.98</x:v>
      </x:c>
      <x:c r="K2972" s="8" t="n">
        <x:v>256</x:v>
      </x:c>
      <x:c r="L2972" s="8" t="n">
        <x:v>12727</x:v>
      </x:c>
      <x:c r="M2972" s="9" t="n">
        <x:v>0.7047036378</x:v>
      </x:c>
      <x:c r="N2972" s="10" t="n">
        <x:v>30654.7525732694</x:v>
      </x:c>
      <x:c r="O2972" s="9" t="n">
        <x:v>-0.1254411717</x:v>
      </x:c>
      <x:c r="P2972" s="9" t="n">
        <x:v>0.3985330073</x:v>
      </x:c>
      <x:c r="Q2972" s="9" t="n">
        <x:v>0.6022819886</x:v>
      </x:c>
      <x:c r="R2972" s="3" t="b">
        <x:v>0</x:v>
      </x:c>
      <x:c r="S2972" s="3" t="b">
        <x:v>0</x:v>
      </x:c>
      <x:c r="T2972" s="3" t="b">
        <x:v>0</x:v>
      </x:c>
      <x:c r="U2972" s="2" t="str">
        <x:f>IF(T2972=TRUE,"Priority review",IF(R2972=TRUE,"High cost",IF(S2972=TRUE,"Low quality","Benchmark")))</x:f>
        <x:v>Benchmark</x:v>
      </x:c>
    </x:row>
    <x:row r="2973">
      <x:c r="A2973" s="2" t="str">
        <x:v>161343</x:v>
      </x:c>
      <x:c r="B2973" s="2" t="str">
        <x:v>REGIONAL MEDICAL CENTER</x:v>
      </x:c>
      <x:c r="C2973" s="2" t="str">
        <x:v>MANCHESTER</x:v>
      </x:c>
      <x:c r="D2973" s="2" t="str">
        <x:v>IA</x:v>
      </x:c>
      <x:c r="E2973" s="2" t="str">
        <x:v>Critical Access Hospitals</x:v>
      </x:c>
      <x:c r="F2973" s="2" t="str">
        <x:v>Voluntary non-profit</x:v>
      </x:c>
      <x:c r="G2973" s="2" t="str">
        <x:v>Small (&lt;100 beds)</x:v>
      </x:c>
      <x:c r="H2973" s="7" t="n">
        <x:v>4</x:v>
      </x:c>
      <x:c r="I2973" s="7" t="n">
        <x:v>4</x:v>
      </x:c>
      <x:c r="J2973" s="7"/>
      <x:c r="K2973" s="8" t="n">
        <x:v>25</x:v>
      </x:c>
      <x:c r="L2973" s="8" t="n">
        <x:v>725</x:v>
      </x:c>
      <x:c r="M2973" s="9" t="n">
        <x:v>0.3088219178</x:v>
      </x:c>
      <x:c r="N2973" s="10" t="n">
        <x:v>112582.1944827586</x:v>
      </x:c>
      <x:c r="O2973" s="9" t="n">
        <x:v>-0.0022683446</x:v>
      </x:c>
      <x:c r="P2973" s="9" t="n">
        <x:v>0.3985130112</x:v>
      </x:c>
      <x:c r="Q2973" s="9" t="n">
        <x:v>0.1657992565</x:v>
      </x:c>
      <x:c r="R2973" s="3" t="b">
        <x:v>0</x:v>
      </x:c>
      <x:c r="S2973" s="3" t="b">
        <x:v>0</x:v>
      </x:c>
      <x:c r="T2973" s="3" t="b">
        <x:v>0</x:v>
      </x:c>
      <x:c r="U2973" s="2" t="str">
        <x:f>IF(T2973=TRUE,"Priority review",IF(R2973=TRUE,"High cost",IF(S2973=TRUE,"Low quality","Benchmark")))</x:f>
        <x:v>Benchmark</x:v>
      </x:c>
    </x:row>
    <x:row r="2974">
      <x:c r="A2974" s="2" t="str">
        <x:v>194120</x:v>
      </x:c>
      <x:c r="B2974" s="2" t="str">
        <x:v>STONEBRIDGE BEHAVIORAL HOSPITAL</x:v>
      </x:c>
      <x:c r="C2974" s="2" t="str">
        <x:v>LAKE CHARLES</x:v>
      </x:c>
      <x:c r="D2974" s="2" t="str">
        <x:v>LA</x:v>
      </x:c>
      <x:c r="E2974" s="2" t="str">
        <x:v>Psychiatric</x:v>
      </x:c>
      <x:c r="F2974" s="2" t="str">
        <x:v>Proprietary</x:v>
      </x:c>
      <x:c r="G2974" s="2" t="str">
        <x:v>Small (&lt;100 beds)</x:v>
      </x:c>
      <x:c r="H2974" s="7"/>
      <x:c r="I2974" s="7"/>
      <x:c r="J2974" s="7"/>
      <x:c r="K2974" s="8" t="n">
        <x:v>24</x:v>
      </x:c>
      <x:c r="L2974" s="8" t="n">
        <x:v>526</x:v>
      </x:c>
      <x:c r="M2974" s="9" t="n">
        <x:v>0.5257285974</x:v>
      </x:c>
      <x:c r="N2974" s="10" t="n">
        <x:v>10227.7775665399</x:v>
      </x:c>
      <x:c r="O2974" s="9" t="n">
        <x:v>-1.0221706095</x:v>
      </x:c>
      <x:c r="P2974" s="9" t="n">
        <x:v>0.3980582524</x:v>
      </x:c>
      <x:c r="Q2974" s="9" t="n">
        <x:v>0</x:v>
      </x:c>
      <x:c r="R2974" s="3" t="b">
        <x:v>0</x:v>
      </x:c>
      <x:c r="S2974" s="3" t="b">
        <x:v>0</x:v>
      </x:c>
      <x:c r="T2974" s="3" t="b">
        <x:v>0</x:v>
      </x:c>
      <x:c r="U2974" s="2" t="str">
        <x:f>IF(T2974=TRUE,"Priority review",IF(R2974=TRUE,"High cost",IF(S2974=TRUE,"Low quality","Benchmark")))</x:f>
        <x:v>Benchmark</x:v>
      </x:c>
    </x:row>
    <x:row r="2975">
      <x:c r="A2975" s="2" t="str">
        <x:v>034004</x:v>
      </x:c>
      <x:c r="B2975" s="2" t="str">
        <x:v>BANNER BEHAVIORAL HEALTH HOSPITAL</x:v>
      </x:c>
      <x:c r="C2975" s="2" t="str">
        <x:v>SCOTTSDALE</x:v>
      </x:c>
      <x:c r="D2975" s="2" t="str">
        <x:v>AZ</x:v>
      </x:c>
      <x:c r="E2975" s="2" t="str">
        <x:v>Psychiatric</x:v>
      </x:c>
      <x:c r="F2975" s="2" t="str">
        <x:v>Voluntary non-profit</x:v>
      </x:c>
      <x:c r="G2975" s="2" t="str">
        <x:v>Medium (100-299 beds)</x:v>
      </x:c>
      <x:c r="H2975" s="7"/>
      <x:c r="I2975" s="7"/>
      <x:c r="J2975" s="7"/>
      <x:c r="K2975" s="8" t="n">
        <x:v>156</x:v>
      </x:c>
      <x:c r="L2975" s="8" t="n">
        <x:v>5759</x:v>
      </x:c>
      <x:c r="M2975" s="9" t="n">
        <x:v>0.6686633039</x:v>
      </x:c>
      <x:c r="N2975" s="10" t="n">
        <x:v>9339.9595415871</x:v>
      </x:c>
      <x:c r="O2975" s="9" t="n">
        <x:v>-0.1117674313</x:v>
      </x:c>
      <x:c r="P2975" s="9" t="n">
        <x:v>0.3980099502</x:v>
      </x:c>
      <x:c r="Q2975" s="9" t="n">
        <x:v>0</x:v>
      </x:c>
      <x:c r="R2975" s="3" t="b">
        <x:v>0</x:v>
      </x:c>
      <x:c r="S2975" s="3" t="b">
        <x:v>0</x:v>
      </x:c>
      <x:c r="T2975" s="3" t="b">
        <x:v>0</x:v>
      </x:c>
      <x:c r="U2975" s="2" t="str">
        <x:f>IF(T2975=TRUE,"Priority review",IF(R2975=TRUE,"High cost",IF(S2975=TRUE,"Low quality","Benchmark")))</x:f>
        <x:v>Benchmark</x:v>
      </x:c>
    </x:row>
    <x:row r="2976">
      <x:c r="A2976" s="2" t="str">
        <x:v>521340</x:v>
      </x:c>
      <x:c r="B2976" s="2" t="str">
        <x:v>MAYO CLINIC HEALTH SYSTEM-RED CEDAR INC</x:v>
      </x:c>
      <x:c r="C2976" s="2" t="str">
        <x:v>MENOMONIE</x:v>
      </x:c>
      <x:c r="D2976" s="2" t="str">
        <x:v>WI</x:v>
      </x:c>
      <x:c r="E2976" s="2" t="str">
        <x:v>Critical Access Hospitals</x:v>
      </x:c>
      <x:c r="F2976" s="2" t="str">
        <x:v>Voluntary non-profit</x:v>
      </x:c>
      <x:c r="G2976" s="2" t="str">
        <x:v>Small (&lt;100 beds)</x:v>
      </x:c>
      <x:c r="H2976" s="7" t="n">
        <x:v>3</x:v>
      </x:c>
      <x:c r="I2976" s="7" t="n">
        <x:v>4</x:v>
      </x:c>
      <x:c r="J2976" s="7"/>
      <x:c r="K2976" s="8" t="n">
        <x:v>25</x:v>
      </x:c>
      <x:c r="L2976" s="8" t="n">
        <x:v>1028</x:v>
      </x:c>
      <x:c r="M2976" s="9" t="n">
        <x:v>0.7693989071</x:v>
      </x:c>
      <x:c r="N2976" s="10" t="n">
        <x:v>111661.2986381323</x:v>
      </x:c>
      <x:c r="O2976" s="9" t="n">
        <x:v>0.1761705209</x:v>
      </x:c>
      <x:c r="P2976" s="9" t="n">
        <x:v>0.3977695167</x:v>
      </x:c>
      <x:c r="Q2976" s="9" t="n">
        <x:v>0.0765799257</x:v>
      </x:c>
      <x:c r="R2976" s="3" t="b">
        <x:v>0</x:v>
      </x:c>
      <x:c r="S2976" s="3" t="b">
        <x:v>1</x:v>
      </x:c>
      <x:c r="T2976" s="3" t="b">
        <x:v>0</x:v>
      </x:c>
      <x:c r="U2976" s="2" t="str">
        <x:f>IF(T2976=TRUE,"Priority review",IF(R2976=TRUE,"High cost",IF(S2976=TRUE,"Low quality","Benchmark")))</x:f>
        <x:v>Low quality</x:v>
      </x:c>
    </x:row>
    <x:row r="2977">
      <x:c r="A2977" s="2" t="str">
        <x:v>310017</x:v>
      </x:c>
      <x:c r="B2977" s="2" t="str">
        <x:v>CHILTON MEDICAL CENTER</x:v>
      </x:c>
      <x:c r="C2977" s="2" t="str">
        <x:v>POMPTON PLAINS</x:v>
      </x:c>
      <x:c r="D2977" s="2" t="str">
        <x:v>NJ</x:v>
      </x:c>
      <x:c r="E2977" s="2" t="str">
        <x:v>Acute Care Hospitals</x:v>
      </x:c>
      <x:c r="F2977" s="2" t="str">
        <x:v>Voluntary non-profit</x:v>
      </x:c>
      <x:c r="G2977" s="2" t="str">
        <x:v>Medium (100-299 beds)</x:v>
      </x:c>
      <x:c r="H2977" s="7" t="n">
        <x:v>5</x:v>
      </x:c>
      <x:c r="I2977" s="7" t="n">
        <x:v>3</x:v>
      </x:c>
      <x:c r="J2977" s="7" t="n">
        <x:v>1.14</x:v>
      </x:c>
      <x:c r="K2977" s="8" t="n">
        <x:v>171</x:v>
      </x:c>
      <x:c r="L2977" s="8" t="n">
        <x:v>9246</x:v>
      </x:c>
      <x:c r="M2977" s="9" t="n">
        <x:v>0.7003642987</x:v>
      </x:c>
      <x:c r="N2977" s="10" t="n">
        <x:v>30652.3613454467</x:v>
      </x:c>
      <x:c r="O2977" s="9" t="n">
        <x:v>0.0881072551</x:v>
      </x:c>
      <x:c r="P2977" s="9" t="n">
        <x:v>0.3977180114</x:v>
      </x:c>
      <x:c r="Q2977" s="9" t="n">
        <x:v>0.8744906275</x:v>
      </x:c>
      <x:c r="R2977" s="3" t="b">
        <x:v>0</x:v>
      </x:c>
      <x:c r="S2977" s="3" t="b">
        <x:v>0</x:v>
      </x:c>
      <x:c r="T2977" s="3" t="b">
        <x:v>0</x:v>
      </x:c>
      <x:c r="U2977" s="2" t="str">
        <x:f>IF(T2977=TRUE,"Priority review",IF(R2977=TRUE,"High cost",IF(S2977=TRUE,"Low quality","Benchmark")))</x:f>
        <x:v>Benchmark</x:v>
      </x:c>
    </x:row>
    <x:row r="2978">
      <x:c r="A2978" s="2" t="str">
        <x:v>410013</x:v>
      </x:c>
      <x:c r="B2978" s="2" t="str">
        <x:v>WESTERLY HOSPITAL</x:v>
      </x:c>
      <x:c r="C2978" s="2" t="str">
        <x:v>WESTERLY</x:v>
      </x:c>
      <x:c r="D2978" s="2" t="str">
        <x:v>RI</x:v>
      </x:c>
      <x:c r="E2978" s="2" t="str">
        <x:v>Acute Care Hospitals</x:v>
      </x:c>
      <x:c r="F2978" s="2" t="str">
        <x:v>Voluntary non-profit</x:v>
      </x:c>
      <x:c r="G2978" s="2" t="str">
        <x:v>Small (&lt;100 beds)</x:v>
      </x:c>
      <x:c r="H2978" s="7" t="n">
        <x:v>4</x:v>
      </x:c>
      <x:c r="I2978" s="7" t="n">
        <x:v>4</x:v>
      </x:c>
      <x:c r="J2978" s="7" t="n">
        <x:v>0.94</x:v>
      </x:c>
      <x:c r="K2978" s="8" t="n">
        <x:v>70</x:v>
      </x:c>
      <x:c r="L2978" s="8" t="n">
        <x:v>3393</x:v>
      </x:c>
      <x:c r="M2978" s="9" t="n">
        <x:v>0.5903200625</x:v>
      </x:c>
      <x:c r="N2978" s="10" t="n">
        <x:v>44948.7892720306</x:v>
      </x:c>
      <x:c r="O2978" s="9" t="n">
        <x:v>-0.135336224</x:v>
      </x:c>
      <x:c r="P2978" s="9" t="n">
        <x:v>0.3976660682</x:v>
      </x:c>
      <x:c r="Q2978" s="9" t="n">
        <x:v>0.3913824057</x:v>
      </x:c>
      <x:c r="R2978" s="3" t="b">
        <x:v>0</x:v>
      </x:c>
      <x:c r="S2978" s="3" t="b">
        <x:v>0</x:v>
      </x:c>
      <x:c r="T2978" s="3" t="b">
        <x:v>0</x:v>
      </x:c>
      <x:c r="U2978" s="2" t="str">
        <x:f>IF(T2978=TRUE,"Priority review",IF(R2978=TRUE,"High cost",IF(S2978=TRUE,"Low quality","Benchmark")))</x:f>
        <x:v>Benchmark</x:v>
      </x:c>
    </x:row>
    <x:row r="2979">
      <x:c r="A2979" s="2" t="str">
        <x:v>420051</x:v>
      </x:c>
      <x:c r="B2979" s="2" t="str">
        <x:v>MCLEOD REGIONAL MEDICAL CENTER-PEE DEE</x:v>
      </x:c>
      <x:c r="C2979" s="2" t="str">
        <x:v>FLORENCE</x:v>
      </x:c>
      <x:c r="D2979" s="2" t="str">
        <x:v>SC</x:v>
      </x:c>
      <x:c r="E2979" s="2" t="str">
        <x:v>Acute Care Hospitals</x:v>
      </x:c>
      <x:c r="F2979" s="2" t="str">
        <x:v>Voluntary non-profit</x:v>
      </x:c>
      <x:c r="G2979" s="2" t="str">
        <x:v>Large (300+ beds)</x:v>
      </x:c>
      <x:c r="H2979" s="7" t="n">
        <x:v>3</x:v>
      </x:c>
      <x:c r="I2979" s="7" t="n">
        <x:v>3</x:v>
      </x:c>
      <x:c r="J2979" s="7" t="n">
        <x:v>1</x:v>
      </x:c>
      <x:c r="K2979" s="8" t="n">
        <x:v>524</x:v>
      </x:c>
      <x:c r="L2979" s="8" t="n">
        <x:v>27578</x:v>
      </x:c>
      <x:c r="M2979" s="9" t="n">
        <x:v>0.7781306053</x:v>
      </x:c>
      <x:c r="N2979" s="10" t="n">
        <x:v>34812.5096453695</x:v>
      </x:c>
      <x:c r="O2979" s="9" t="n">
        <x:v>0.0725263513</x:v>
      </x:c>
      <x:c r="P2979" s="9" t="n">
        <x:v>0.3974763407</x:v>
      </x:c>
      <x:c r="Q2979" s="9" t="n">
        <x:v>0.2570977918</x:v>
      </x:c>
      <x:c r="R2979" s="3" t="b">
        <x:v>0</x:v>
      </x:c>
      <x:c r="S2979" s="3" t="b">
        <x:v>0</x:v>
      </x:c>
      <x:c r="T2979" s="3" t="b">
        <x:v>0</x:v>
      </x:c>
      <x:c r="U2979" s="2" t="str">
        <x:f>IF(T2979=TRUE,"Priority review",IF(R2979=TRUE,"High cost",IF(S2979=TRUE,"Low quality","Benchmark")))</x:f>
        <x:v>Benchmark</x:v>
      </x:c>
    </x:row>
    <x:row r="2980">
      <x:c r="A2980" s="2" t="str">
        <x:v>461304</x:v>
      </x:c>
      <x:c r="B2980" s="2" t="str">
        <x:v>CENTRAL VALLEY MEDICAL CENTER - CAH</x:v>
      </x:c>
      <x:c r="C2980" s="2" t="str">
        <x:v>NEPHI</x:v>
      </x:c>
      <x:c r="D2980" s="2" t="str">
        <x:v>UT</x:v>
      </x:c>
      <x:c r="E2980" s="2" t="str">
        <x:v>Critical Access Hospitals</x:v>
      </x:c>
      <x:c r="F2980" s="2" t="str">
        <x:v>Voluntary non-profit</x:v>
      </x:c>
      <x:c r="G2980" s="2" t="str">
        <x:v>Small (&lt;100 beds)</x:v>
      </x:c>
      <x:c r="H2980" s="7"/>
      <x:c r="I2980" s="7" t="n">
        <x:v>4</x:v>
      </x:c>
      <x:c r="J2980" s="7"/>
      <x:c r="K2980" s="8" t="n">
        <x:v>25</x:v>
      </x:c>
      <x:c r="L2980" s="8" t="n">
        <x:v>655</x:v>
      </x:c>
      <x:c r="M2980" s="9" t="n">
        <x:v>0.3259178082</x:v>
      </x:c>
      <x:c r="N2980" s="10" t="n">
        <x:v>111635.5465648855</x:v>
      </x:c>
      <x:c r="O2980" s="9" t="n">
        <x:v>0.0456461076</x:v>
      </x:c>
      <x:c r="P2980" s="9" t="n">
        <x:v>0.3970260223</x:v>
      </x:c>
      <x:c r="Q2980" s="9" t="n">
        <x:v>0.292936803</x:v>
      </x:c>
      <x:c r="R2980" s="3" t="b">
        <x:v>0</x:v>
      </x:c>
      <x:c r="S2980" s="3" t="b">
        <x:v>0</x:v>
      </x:c>
      <x:c r="T2980" s="3" t="b">
        <x:v>0</x:v>
      </x:c>
      <x:c r="U2980" s="2" t="str">
        <x:f>IF(T2980=TRUE,"Priority review",IF(R2980=TRUE,"High cost",IF(S2980=TRUE,"Low quality","Benchmark")))</x:f>
        <x:v>Benchmark</x:v>
      </x:c>
    </x:row>
    <x:row r="2981">
      <x:c r="A2981" s="2" t="str">
        <x:v>450147</x:v>
      </x:c>
      <x:c r="B2981" s="2" t="str">
        <x:v>DE TAR HOSPITAL NAVARRO</x:v>
      </x:c>
      <x:c r="C2981" s="2" t="str">
        <x:v>VICTORIA</x:v>
      </x:c>
      <x:c r="D2981" s="2" t="str">
        <x:v>TX</x:v>
      </x:c>
      <x:c r="E2981" s="2" t="str">
        <x:v>Acute Care Hospitals</x:v>
      </x:c>
      <x:c r="F2981" s="2" t="str">
        <x:v>Proprietary</x:v>
      </x:c>
      <x:c r="G2981" s="2" t="str">
        <x:v>Medium (100-299 beds)</x:v>
      </x:c>
      <x:c r="H2981" s="7" t="n">
        <x:v>2</x:v>
      </x:c>
      <x:c r="I2981" s="7" t="n">
        <x:v>2</x:v>
      </x:c>
      <x:c r="J2981" s="7" t="n">
        <x:v>1.16</x:v>
      </x:c>
      <x:c r="K2981" s="8" t="n">
        <x:v>163</x:v>
      </x:c>
      <x:c r="L2981" s="8" t="n">
        <x:v>7264</x:v>
      </x:c>
      <x:c r="M2981" s="9" t="n">
        <x:v>0.5090348319</x:v>
      </x:c>
      <x:c r="N2981" s="10" t="n">
        <x:v>30630.0377202643</x:v>
      </x:c>
      <x:c r="O2981" s="9" t="n">
        <x:v>0.1021049138</x:v>
      </x:c>
      <x:c r="P2981" s="9" t="n">
        <x:v>0.3969030155</x:v>
      </x:c>
      <x:c r="Q2981" s="9" t="n">
        <x:v>0.0782396088</x:v>
      </x:c>
      <x:c r="R2981" s="3" t="b">
        <x:v>0</x:v>
      </x:c>
      <x:c r="S2981" s="3" t="b">
        <x:v>1</x:v>
      </x:c>
      <x:c r="T2981" s="3" t="b">
        <x:v>0</x:v>
      </x:c>
      <x:c r="U2981" s="2" t="str">
        <x:f>IF(T2981=TRUE,"Priority review",IF(R2981=TRUE,"High cost",IF(S2981=TRUE,"Low quality","Benchmark")))</x:f>
        <x:v>Low quality</x:v>
      </x:c>
    </x:row>
    <x:row r="2982">
      <x:c r="A2982" s="2" t="str">
        <x:v>210017</x:v>
      </x:c>
      <x:c r="B2982" s="2" t="str">
        <x:v>GARRETT REGIONAL MEDICAL CENTER</x:v>
      </x:c>
      <x:c r="C2982" s="2" t="str">
        <x:v>OAKLAND</x:v>
      </x:c>
      <x:c r="D2982" s="2" t="str">
        <x:v>MD</x:v>
      </x:c>
      <x:c r="E2982" s="2" t="str">
        <x:v>Acute Care Hospitals</x:v>
      </x:c>
      <x:c r="F2982" s="2" t="str">
        <x:v>Voluntary non-profit</x:v>
      </x:c>
      <x:c r="G2982" s="2" t="str">
        <x:v>Small (&lt;100 beds)</x:v>
      </x:c>
      <x:c r="H2982" s="7" t="n">
        <x:v>4</x:v>
      </x:c>
      <x:c r="I2982" s="7" t="n">
        <x:v>4</x:v>
      </x:c>
      <x:c r="J2982" s="7"/>
      <x:c r="K2982" s="8" t="n">
        <x:v>20</x:v>
      </x:c>
      <x:c r="L2982" s="8" t="n">
        <x:v>2010</x:v>
      </x:c>
      <x:c r="M2982" s="9" t="n">
        <x:v>0.775</x:v>
      </x:c>
      <x:c r="N2982" s="10" t="n">
        <x:v>44875.828358209</x:v>
      </x:c>
      <x:c r="O2982" s="9" t="n">
        <x:v>0.0274315445</x:v>
      </x:c>
      <x:c r="P2982" s="9" t="n">
        <x:v>0.3967684022</x:v>
      </x:c>
      <x:c r="Q2982" s="9" t="n">
        <x:v>0.3913824057</x:v>
      </x:c>
      <x:c r="R2982" s="3" t="b">
        <x:v>0</x:v>
      </x:c>
      <x:c r="S2982" s="3" t="b">
        <x:v>0</x:v>
      </x:c>
      <x:c r="T2982" s="3" t="b">
        <x:v>0</x:v>
      </x:c>
      <x:c r="U2982" s="2" t="str">
        <x:f>IF(T2982=TRUE,"Priority review",IF(R2982=TRUE,"High cost",IF(S2982=TRUE,"Low quality","Benchmark")))</x:f>
        <x:v>Benchmark</x:v>
      </x:c>
    </x:row>
    <x:row r="2983">
      <x:c r="A2983" s="2" t="str">
        <x:v>241303</x:v>
      </x:c>
      <x:c r="B2983" s="2" t="str">
        <x:v>SANFORD TRACY MEDICAL CENTER</x:v>
      </x:c>
      <x:c r="C2983" s="2" t="str">
        <x:v>TRACY</x:v>
      </x:c>
      <x:c r="D2983" s="2" t="str">
        <x:v>MN</x:v>
      </x:c>
      <x:c r="E2983" s="2" t="str">
        <x:v>Critical Access Hospitals</x:v>
      </x:c>
      <x:c r="F2983" s="2" t="str">
        <x:v>Voluntary non-profit</x:v>
      </x:c>
      <x:c r="G2983" s="2" t="str">
        <x:v>Small (&lt;100 beds)</x:v>
      </x:c>
      <x:c r="H2983" s="7"/>
      <x:c r="I2983" s="7"/>
      <x:c r="J2983" s="7"/>
      <x:c r="K2983" s="8" t="n">
        <x:v>18</x:v>
      </x:c>
      <x:c r="L2983" s="8" t="n">
        <x:v>117</x:v>
      </x:c>
      <x:c r="M2983" s="9" t="n">
        <x:v>0.0754401943</x:v>
      </x:c>
      <x:c r="N2983" s="10" t="n">
        <x:v>111582.8205128205</x:v>
      </x:c>
      <x:c r="O2983" s="9" t="n">
        <x:v>0.0074658314</x:v>
      </x:c>
      <x:c r="P2983" s="9" t="n">
        <x:v>0.3962825279</x:v>
      </x:c>
      <x:c r="Q2983" s="9" t="n">
        <x:v>0.292936803</x:v>
      </x:c>
      <x:c r="R2983" s="3" t="b">
        <x:v>0</x:v>
      </x:c>
      <x:c r="S2983" s="3" t="b">
        <x:v>0</x:v>
      </x:c>
      <x:c r="T2983" s="3" t="b">
        <x:v>0</x:v>
      </x:c>
      <x:c r="U2983" s="2" t="str">
        <x:f>IF(T2983=TRUE,"Priority review",IF(R2983=TRUE,"High cost",IF(S2983=TRUE,"Low quality","Benchmark")))</x:f>
        <x:v>Benchmark</x:v>
      </x:c>
    </x:row>
    <x:row r="2984">
      <x:c r="A2984" s="2" t="str">
        <x:v>180045</x:v>
      </x:c>
      <x:c r="B2984" s="2" t="str">
        <x:v>ST ELIZABETH FLORENCE</x:v>
      </x:c>
      <x:c r="C2984" s="2" t="str">
        <x:v>FLORENCE</x:v>
      </x:c>
      <x:c r="D2984" s="2" t="str">
        <x:v>KY</x:v>
      </x:c>
      <x:c r="E2984" s="2" t="str">
        <x:v>Acute Care Hospitals</x:v>
      </x:c>
      <x:c r="F2984" s="2" t="str">
        <x:v>Voluntary non-profit</x:v>
      </x:c>
      <x:c r="G2984" s="2" t="str">
        <x:v>Medium (100-299 beds)</x:v>
      </x:c>
      <x:c r="H2984" s="7" t="n">
        <x:v>3</x:v>
      </x:c>
      <x:c r="I2984" s="7" t="n">
        <x:v>3</x:v>
      </x:c>
      <x:c r="J2984" s="7" t="n">
        <x:v>1.03</x:v>
      </x:c>
      <x:c r="K2984" s="8" t="n">
        <x:v>168</x:v>
      </x:c>
      <x:c r="L2984" s="8" t="n">
        <x:v>8573</x:v>
      </x:c>
      <x:c r="M2984" s="9" t="n">
        <x:v>0.665236191</x:v>
      </x:c>
      <x:c r="N2984" s="10" t="n">
        <x:v>30600.837279832</x:v>
      </x:c>
      <x:c r="O2984" s="9" t="n">
        <x:v>0.0388340236</x:v>
      </x:c>
      <x:c r="P2984" s="9" t="n">
        <x:v>0.3960880196</x:v>
      </x:c>
      <x:c r="Q2984" s="9" t="n">
        <x:v>0.3023634882</x:v>
      </x:c>
      <x:c r="R2984" s="3" t="b">
        <x:v>0</x:v>
      </x:c>
      <x:c r="S2984" s="3" t="b">
        <x:v>0</x:v>
      </x:c>
      <x:c r="T2984" s="3" t="b">
        <x:v>0</x:v>
      </x:c>
      <x:c r="U2984" s="2" t="str">
        <x:f>IF(T2984=TRUE,"Priority review",IF(R2984=TRUE,"High cost",IF(S2984=TRUE,"Low quality","Benchmark")))</x:f>
        <x:v>Benchmark</x:v>
      </x:c>
    </x:row>
    <x:row r="2985">
      <x:c r="A2985" s="2" t="str">
        <x:v>340155</x:v>
      </x:c>
      <x:c r="B2985" s="2" t="str">
        <x:v>DUKE REGIONAL HOSPITAL</x:v>
      </x:c>
      <x:c r="C2985" s="2" t="str">
        <x:v>DURHAM</x:v>
      </x:c>
      <x:c r="D2985" s="2" t="str">
        <x:v>NC</x:v>
      </x:c>
      <x:c r="E2985" s="2" t="str">
        <x:v>Acute Care Hospitals</x:v>
      </x:c>
      <x:c r="F2985" s="2" t="str">
        <x:v>Government</x:v>
      </x:c>
      <x:c r="G2985" s="2" t="str">
        <x:v>Large (300+ beds)</x:v>
      </x:c>
      <x:c r="H2985" s="7" t="n">
        <x:v>5</x:v>
      </x:c>
      <x:c r="I2985" s="7" t="n">
        <x:v>4</x:v>
      </x:c>
      <x:c r="J2985" s="7" t="n">
        <x:v>0.89</x:v>
      </x:c>
      <x:c r="K2985" s="8" t="n">
        <x:v>301</x:v>
      </x:c>
      <x:c r="L2985" s="8" t="n">
        <x:v>16049</x:v>
      </x:c>
      <x:c r="M2985" s="9" t="n">
        <x:v>0.7780821918</x:v>
      </x:c>
      <x:c r="N2985" s="10" t="n">
        <x:v>34811.8746339336</x:v>
      </x:c>
      <x:c r="O2985" s="9" t="n">
        <x:v>-0.0336330608</x:v>
      </x:c>
      <x:c r="P2985" s="9" t="n">
        <x:v>0.3958990536</x:v>
      </x:c>
      <x:c r="Q2985" s="9" t="n">
        <x:v>0.8722397476</x:v>
      </x:c>
      <x:c r="R2985" s="3" t="b">
        <x:v>0</x:v>
      </x:c>
      <x:c r="S2985" s="3" t="b">
        <x:v>0</x:v>
      </x:c>
      <x:c r="T2985" s="3" t="b">
        <x:v>0</x:v>
      </x:c>
      <x:c r="U2985" s="2" t="str">
        <x:f>IF(T2985=TRUE,"Priority review",IF(R2985=TRUE,"High cost",IF(S2985=TRUE,"Low quality","Benchmark")))</x:f>
        <x:v>Benchmark</x:v>
      </x:c>
    </x:row>
    <x:row r="2986">
      <x:c r="A2986" s="2" t="str">
        <x:v>030062</x:v>
      </x:c>
      <x:c r="B2986" s="2" t="str">
        <x:v>SUMMIT HEALTHCARE REGIONAL MEDICAL CENTER</x:v>
      </x:c>
      <x:c r="C2986" s="2" t="str">
        <x:v>SHOW LOW</x:v>
      </x:c>
      <x:c r="D2986" s="2" t="str">
        <x:v>AZ</x:v>
      </x:c>
      <x:c r="E2986" s="2" t="str">
        <x:v>Acute Care Hospitals</x:v>
      </x:c>
      <x:c r="F2986" s="2" t="str">
        <x:v>Voluntary non-profit</x:v>
      </x:c>
      <x:c r="G2986" s="2" t="str">
        <x:v>Small (&lt;100 beds)</x:v>
      </x:c>
      <x:c r="H2986" s="7" t="n">
        <x:v>4</x:v>
      </x:c>
      <x:c r="I2986" s="7" t="n">
        <x:v>2</x:v>
      </x:c>
      <x:c r="J2986" s="7" t="n">
        <x:v>0.92</x:v>
      </x:c>
      <x:c r="K2986" s="8" t="n">
        <x:v>89</x:v>
      </x:c>
      <x:c r="L2986" s="8" t="n">
        <x:v>6332</x:v>
      </x:c>
      <x:c r="M2986" s="9" t="n">
        <x:v>0.5469392767</x:v>
      </x:c>
      <x:c r="N2986" s="10" t="n">
        <x:v>44829.7468414403</x:v>
      </x:c>
      <x:c r="O2986" s="9" t="n">
        <x:v>0.0217663246</x:v>
      </x:c>
      <x:c r="P2986" s="9" t="n">
        <x:v>0.3958707361</x:v>
      </x:c>
      <x:c r="Q2986" s="9" t="n">
        <x:v>0.3913824057</x:v>
      </x:c>
      <x:c r="R2986" s="3" t="b">
        <x:v>0</x:v>
      </x:c>
      <x:c r="S2986" s="3" t="b">
        <x:v>0</x:v>
      </x:c>
      <x:c r="T2986" s="3" t="b">
        <x:v>0</x:v>
      </x:c>
      <x:c r="U2986" s="2" t="str">
        <x:f>IF(T2986=TRUE,"Priority review",IF(R2986=TRUE,"High cost",IF(S2986=TRUE,"Low quality","Benchmark")))</x:f>
        <x:v>Benchmark</x:v>
      </x:c>
    </x:row>
    <x:row r="2987">
      <x:c r="A2987" s="2" t="str">
        <x:v>151308</x:v>
      </x:c>
      <x:c r="B2987" s="2" t="str">
        <x:v>ASCENSION ST VINCENT MERCY</x:v>
      </x:c>
      <x:c r="C2987" s="2" t="str">
        <x:v>ELWOOD</x:v>
      </x:c>
      <x:c r="D2987" s="2" t="str">
        <x:v>IN</x:v>
      </x:c>
      <x:c r="E2987" s="2" t="str">
        <x:v>Critical Access Hospitals</x:v>
      </x:c>
      <x:c r="F2987" s="2" t="str">
        <x:v>Voluntary non-profit</x:v>
      </x:c>
      <x:c r="G2987" s="2" t="str">
        <x:v>Small (&lt;100 beds)</x:v>
      </x:c>
      <x:c r="H2987" s="7"/>
      <x:c r="I2987" s="7"/>
      <x:c r="J2987" s="7"/>
      <x:c r="K2987" s="8" t="n">
        <x:v>18</x:v>
      </x:c>
      <x:c r="L2987" s="8" t="n">
        <x:v>243</x:v>
      </x:c>
      <x:c r="M2987" s="9" t="n">
        <x:v>0.1674277017</x:v>
      </x:c>
      <x:c r="N2987" s="10" t="n">
        <x:v>111539.3744855967</x:v>
      </x:c>
      <x:c r="O2987" s="9" t="n">
        <x:v>-0.0543543922</x:v>
      </x:c>
      <x:c r="P2987" s="9" t="n">
        <x:v>0.3955390335</x:v>
      </x:c>
      <x:c r="Q2987" s="9" t="n">
        <x:v>0.292936803</x:v>
      </x:c>
      <x:c r="R2987" s="3" t="b">
        <x:v>0</x:v>
      </x:c>
      <x:c r="S2987" s="3" t="b">
        <x:v>0</x:v>
      </x:c>
      <x:c r="T2987" s="3" t="b">
        <x:v>0</x:v>
      </x:c>
      <x:c r="U2987" s="2" t="str">
        <x:f>IF(T2987=TRUE,"Priority review",IF(R2987=TRUE,"High cost",IF(S2987=TRUE,"Low quality","Benchmark")))</x:f>
        <x:v>Benchmark</x:v>
      </x:c>
    </x:row>
    <x:row r="2988">
      <x:c r="A2988" s="2" t="str">
        <x:v>330332</x:v>
      </x:c>
      <x:c r="B2988" s="2" t="str">
        <x:v>CHSLI ST JOSEPH HOSPITAL</x:v>
      </x:c>
      <x:c r="C2988" s="2" t="str">
        <x:v>BETHPAGE</x:v>
      </x:c>
      <x:c r="D2988" s="2" t="str">
        <x:v>NY</x:v>
      </x:c>
      <x:c r="E2988" s="2" t="str">
        <x:v>Acute Care Hospitals</x:v>
      </x:c>
      <x:c r="F2988" s="2" t="str">
        <x:v>Voluntary non-profit</x:v>
      </x:c>
      <x:c r="G2988" s="2" t="str">
        <x:v>Medium (100-299 beds)</x:v>
      </x:c>
      <x:c r="H2988" s="7" t="n">
        <x:v>3</x:v>
      </x:c>
      <x:c r="I2988" s="7" t="n">
        <x:v>3</x:v>
      </x:c>
      <x:c r="J2988" s="7" t="n">
        <x:v>1.12</x:v>
      </x:c>
      <x:c r="K2988" s="8" t="n">
        <x:v>121</x:v>
      </x:c>
      <x:c r="L2988" s="8" t="n">
        <x:v>6704</x:v>
      </x:c>
      <x:c r="M2988" s="9" t="n">
        <x:v>0.7274647254</x:v>
      </x:c>
      <x:c r="N2988" s="10" t="n">
        <x:v>30555.0289379475</x:v>
      </x:c>
      <x:c r="O2988" s="9" t="n">
        <x:v>-0.1318152619</x:v>
      </x:c>
      <x:c r="P2988" s="9" t="n">
        <x:v>0.3952730236</x:v>
      </x:c>
      <x:c r="Q2988" s="9" t="n">
        <x:v>0.3023634882</x:v>
      </x:c>
      <x:c r="R2988" s="3" t="b">
        <x:v>0</x:v>
      </x:c>
      <x:c r="S2988" s="3" t="b">
        <x:v>0</x:v>
      </x:c>
      <x:c r="T2988" s="3" t="b">
        <x:v>0</x:v>
      </x:c>
      <x:c r="U2988" s="2" t="str">
        <x:f>IF(T2988=TRUE,"Priority review",IF(R2988=TRUE,"High cost",IF(S2988=TRUE,"Low quality","Benchmark")))</x:f>
        <x:v>Benchmark</x:v>
      </x:c>
    </x:row>
    <x:row r="2989">
      <x:c r="A2989" s="2" t="str">
        <x:v>170074</x:v>
      </x:c>
      <x:c r="B2989" s="2" t="str">
        <x:v>STORMONT VAIL HEALTH FLINT HILLS, LLC</x:v>
      </x:c>
      <x:c r="C2989" s="2" t="str">
        <x:v>JUNCTION CITY</x:v>
      </x:c>
      <x:c r="D2989" s="2" t="str">
        <x:v>KS</x:v>
      </x:c>
      <x:c r="E2989" s="2" t="str">
        <x:v>Acute Care Hospitals</x:v>
      </x:c>
      <x:c r="F2989" s="2" t="str">
        <x:v>Voluntary non-profit</x:v>
      </x:c>
      <x:c r="G2989" s="2" t="str">
        <x:v>Small (&lt;100 beds)</x:v>
      </x:c>
      <x:c r="H2989" s="7" t="n">
        <x:v>4</x:v>
      </x:c>
      <x:c r="I2989" s="7" t="n">
        <x:v>4</x:v>
      </x:c>
      <x:c r="J2989" s="7" t="n">
        <x:v>0.82</x:v>
      </x:c>
      <x:c r="K2989" s="8" t="n">
        <x:v>43</x:v>
      </x:c>
      <x:c r="L2989" s="8" t="n">
        <x:v>1031</x:v>
      </x:c>
      <x:c r="M2989" s="9" t="n">
        <x:v>0.214703266</x:v>
      </x:c>
      <x:c r="N2989" s="10" t="n">
        <x:v>44803.6711930165</x:v>
      </x:c>
      <x:c r="O2989" s="9" t="n">
        <x:v>-0.2004125352</x:v>
      </x:c>
      <x:c r="P2989" s="9" t="n">
        <x:v>0.39497307</x:v>
      </x:c>
      <x:c r="Q2989" s="9" t="n">
        <x:v>0.3913824057</x:v>
      </x:c>
      <x:c r="R2989" s="3" t="b">
        <x:v>0</x:v>
      </x:c>
      <x:c r="S2989" s="3" t="b">
        <x:v>0</x:v>
      </x:c>
      <x:c r="T2989" s="3" t="b">
        <x:v>0</x:v>
      </x:c>
      <x:c r="U2989" s="2" t="str">
        <x:f>IF(T2989=TRUE,"Priority review",IF(R2989=TRUE,"High cost",IF(S2989=TRUE,"Low quality","Benchmark")))</x:f>
        <x:v>Benchmark</x:v>
      </x:c>
    </x:row>
    <x:row r="2990">
      <x:c r="A2990" s="2" t="str">
        <x:v>264035</x:v>
      </x:c>
      <x:c r="B2990" s="2" t="str">
        <x:v>MARYLAND HEIGHTS CENTER FOR BEHAVIORAL HEALTH</x:v>
      </x:c>
      <x:c r="C2990" s="2" t="str">
        <x:v>MARYLAND HEIGHTS</x:v>
      </x:c>
      <x:c r="D2990" s="2" t="str">
        <x:v>MO</x:v>
      </x:c>
      <x:c r="E2990" s="2" t="str">
        <x:v>Psychiatric</x:v>
      </x:c>
      <x:c r="F2990" s="2" t="str">
        <x:v>Voluntary non-profit</x:v>
      </x:c>
      <x:c r="G2990" s="2" t="str">
        <x:v>Small (&lt;100 beds)</x:v>
      </x:c>
      <x:c r="H2990" s="7"/>
      <x:c r="I2990" s="7"/>
      <x:c r="J2990" s="7"/>
      <x:c r="K2990" s="8" t="n">
        <x:v>16</x:v>
      </x:c>
      <x:c r="L2990" s="8" t="n">
        <x:v>486</x:v>
      </x:c>
      <x:c r="M2990" s="9" t="n">
        <x:v>0.9965846995</x:v>
      </x:c>
      <x:c r="N2990" s="10" t="n">
        <x:v>10199.3909465021</x:v>
      </x:c>
      <x:c r="O2990" s="9" t="n">
        <x:v>0.1747308583</x:v>
      </x:c>
      <x:c r="P2990" s="9" t="n">
        <x:v>0.3948220065</x:v>
      </x:c>
      <x:c r="Q2990" s="9" t="n">
        <x:v>0</x:v>
      </x:c>
      <x:c r="R2990" s="3" t="b">
        <x:v>0</x:v>
      </x:c>
      <x:c r="S2990" s="3" t="b">
        <x:v>0</x:v>
      </x:c>
      <x:c r="T2990" s="3" t="b">
        <x:v>0</x:v>
      </x:c>
      <x:c r="U2990" s="2" t="str">
        <x:f>IF(T2990=TRUE,"Priority review",IF(R2990=TRUE,"High cost",IF(S2990=TRUE,"Low quality","Benchmark")))</x:f>
        <x:v>Benchmark</x:v>
      </x:c>
    </x:row>
    <x:row r="2991">
      <x:c r="A2991" s="2" t="str">
        <x:v>231318</x:v>
      </x:c>
      <x:c r="B2991" s="2" t="str">
        <x:v>ASPIRUS IRON RIVER HOSPITAL &amp; CLINICS, INC</x:v>
      </x:c>
      <x:c r="C2991" s="2" t="str">
        <x:v>IRON RIVER</x:v>
      </x:c>
      <x:c r="D2991" s="2" t="str">
        <x:v>MI</x:v>
      </x:c>
      <x:c r="E2991" s="2" t="str">
        <x:v>Critical Access Hospitals</x:v>
      </x:c>
      <x:c r="F2991" s="2" t="str">
        <x:v>Voluntary non-profit</x:v>
      </x:c>
      <x:c r="G2991" s="2" t="str">
        <x:v>Small (&lt;100 beds)</x:v>
      </x:c>
      <x:c r="H2991" s="7"/>
      <x:c r="I2991" s="7"/>
      <x:c r="J2991" s="7"/>
      <x:c r="K2991" s="8" t="n">
        <x:v>25</x:v>
      </x:c>
      <x:c r="L2991" s="8" t="n">
        <x:v>359</x:v>
      </x:c>
      <x:c r="M2991" s="9" t="n">
        <x:v>0.2029589041</x:v>
      </x:c>
      <x:c r="N2991" s="10" t="n">
        <x:v>111450.8467966574</x:v>
      </x:c>
      <x:c r="O2991" s="9" t="n">
        <x:v>0.0071760705</x:v>
      </x:c>
      <x:c r="P2991" s="9" t="n">
        <x:v>0.394795539</x:v>
      </x:c>
      <x:c r="Q2991" s="9" t="n">
        <x:v>0.292936803</x:v>
      </x:c>
      <x:c r="R2991" s="3" t="b">
        <x:v>0</x:v>
      </x:c>
      <x:c r="S2991" s="3" t="b">
        <x:v>0</x:v>
      </x:c>
      <x:c r="T2991" s="3" t="b">
        <x:v>0</x:v>
      </x:c>
      <x:c r="U2991" s="2" t="str">
        <x:f>IF(T2991=TRUE,"Priority review",IF(R2991=TRUE,"High cost",IF(S2991=TRUE,"Low quality","Benchmark")))</x:f>
        <x:v>Benchmark</x:v>
      </x:c>
    </x:row>
    <x:row r="2992">
      <x:c r="A2992" s="2" t="str">
        <x:v>360145</x:v>
      </x:c>
      <x:c r="B2992" s="2" t="str">
        <x:v>UNIVERSITY HOSPITALS - ELYRIA MEDICAL CENTER</x:v>
      </x:c>
      <x:c r="C2992" s="2" t="str">
        <x:v>ELYRIA</x:v>
      </x:c>
      <x:c r="D2992" s="2" t="str">
        <x:v>OH</x:v>
      </x:c>
      <x:c r="E2992" s="2" t="str">
        <x:v>Acute Care Hospitals</x:v>
      </x:c>
      <x:c r="F2992" s="2" t="str">
        <x:v>Voluntary non-profit</x:v>
      </x:c>
      <x:c r="G2992" s="2" t="str">
        <x:v>Medium (100-299 beds)</x:v>
      </x:c>
      <x:c r="H2992" s="7" t="n">
        <x:v>4</x:v>
      </x:c>
      <x:c r="I2992" s="7" t="n">
        <x:v>3</x:v>
      </x:c>
      <x:c r="J2992" s="7" t="n">
        <x:v>1.04</x:v>
      </x:c>
      <x:c r="K2992" s="8" t="n">
        <x:v>197</x:v>
      </x:c>
      <x:c r="L2992" s="8" t="n">
        <x:v>7502</x:v>
      </x:c>
      <x:c r="M2992" s="9" t="n">
        <x:v>0.4124850906</x:v>
      </x:c>
      <x:c r="N2992" s="10" t="n">
        <x:v>30528.6235670488</x:v>
      </x:c>
      <x:c r="O2992" s="9" t="n">
        <x:v>-0.0346150573</x:v>
      </x:c>
      <x:c r="P2992" s="9" t="n">
        <x:v>0.3944580277</x:v>
      </x:c>
      <x:c r="Q2992" s="9" t="n">
        <x:v>0.6022819886</x:v>
      </x:c>
      <x:c r="R2992" s="3" t="b">
        <x:v>0</x:v>
      </x:c>
      <x:c r="S2992" s="3" t="b">
        <x:v>0</x:v>
      </x:c>
      <x:c r="T2992" s="3" t="b">
        <x:v>0</x:v>
      </x:c>
      <x:c r="U2992" s="2" t="str">
        <x:f>IF(T2992=TRUE,"Priority review",IF(R2992=TRUE,"High cost",IF(S2992=TRUE,"Low quality","Benchmark")))</x:f>
        <x:v>Benchmark</x:v>
      </x:c>
    </x:row>
    <x:row r="2993">
      <x:c r="A2993" s="2" t="str">
        <x:v>330126</x:v>
      </x:c>
      <x:c r="B2993" s="2" t="str">
        <x:v>GARNET HEALTH MEDICAL CENTER</x:v>
      </x:c>
      <x:c r="C2993" s="2" t="str">
        <x:v>MIDDLETOWN</x:v>
      </x:c>
      <x:c r="D2993" s="2" t="str">
        <x:v>NY</x:v>
      </x:c>
      <x:c r="E2993" s="2" t="str">
        <x:v>Acute Care Hospitals</x:v>
      </x:c>
      <x:c r="F2993" s="2" t="str">
        <x:v>Voluntary non-profit</x:v>
      </x:c>
      <x:c r="G2993" s="2" t="str">
        <x:v>Large (300+ beds)</x:v>
      </x:c>
      <x:c r="H2993" s="7" t="n">
        <x:v>4</x:v>
      </x:c>
      <x:c r="I2993" s="7" t="n">
        <x:v>3</x:v>
      </x:c>
      <x:c r="J2993" s="7" t="n">
        <x:v>1.03</x:v>
      </x:c>
      <x:c r="K2993" s="8" t="n">
        <x:v>329</x:v>
      </x:c>
      <x:c r="L2993" s="8" t="n">
        <x:v>19369</x:v>
      </x:c>
      <x:c r="M2993" s="9" t="n">
        <x:v>0.8629893534</x:v>
      </x:c>
      <x:c r="N2993" s="10" t="n">
        <x:v>34652.4391553513</x:v>
      </x:c>
      <x:c r="O2993" s="9" t="n">
        <x:v>-0.0661521078</x:v>
      </x:c>
      <x:c r="P2993" s="9" t="n">
        <x:v>0.3943217666</x:v>
      </x:c>
      <x:c r="Q2993" s="9" t="n">
        <x:v>0.5899053628</x:v>
      </x:c>
      <x:c r="R2993" s="3" t="b">
        <x:v>0</x:v>
      </x:c>
      <x:c r="S2993" s="3" t="b">
        <x:v>0</x:v>
      </x:c>
      <x:c r="T2993" s="3" t="b">
        <x:v>0</x:v>
      </x:c>
      <x:c r="U2993" s="2" t="str">
        <x:f>IF(T2993=TRUE,"Priority review",IF(R2993=TRUE,"High cost",IF(S2993=TRUE,"Low quality","Benchmark")))</x:f>
        <x:v>Benchmark</x:v>
      </x:c>
    </x:row>
    <x:row r="2994">
      <x:c r="A2994" s="2" t="str">
        <x:v>370016</x:v>
      </x:c>
      <x:c r="B2994" s="2" t="str">
        <x:v>INTEGRIS HEALTH ENID HOSPITAL</x:v>
      </x:c>
      <x:c r="C2994" s="2" t="str">
        <x:v>ENID</x:v>
      </x:c>
      <x:c r="D2994" s="2" t="str">
        <x:v>OK</x:v>
      </x:c>
      <x:c r="E2994" s="2" t="str">
        <x:v>Acute Care Hospitals</x:v>
      </x:c>
      <x:c r="F2994" s="2" t="str">
        <x:v>Voluntary non-profit</x:v>
      </x:c>
      <x:c r="G2994" s="2" t="str">
        <x:v>Small (&lt;100 beds)</x:v>
      </x:c>
      <x:c r="H2994" s="7" t="n">
        <x:v>3</x:v>
      </x:c>
      <x:c r="I2994" s="7" t="n">
        <x:v>4</x:v>
      </x:c>
      <x:c r="J2994" s="7" t="n">
        <x:v>1.11</x:v>
      </x:c>
      <x:c r="K2994" s="8" t="n">
        <x:v>75</x:v>
      </x:c>
      <x:c r="L2994" s="8" t="n">
        <x:v>2779</x:v>
      </x:c>
      <x:c r="M2994" s="9" t="n">
        <x:v>0.3615707763</x:v>
      </x:c>
      <x:c r="N2994" s="10" t="n">
        <x:v>44759.0967974091</x:v>
      </x:c>
      <x:c r="O2994" s="9" t="n">
        <x:v>-0.1189612838</x:v>
      </x:c>
      <x:c r="P2994" s="9" t="n">
        <x:v>0.3940754039</x:v>
      </x:c>
      <x:c r="Q2994" s="9" t="n">
        <x:v>0.1687612208</x:v>
      </x:c>
      <x:c r="R2994" s="3" t="b">
        <x:v>0</x:v>
      </x:c>
      <x:c r="S2994" s="3" t="b">
        <x:v>0</x:v>
      </x:c>
      <x:c r="T2994" s="3" t="b">
        <x:v>0</x:v>
      </x:c>
      <x:c r="U2994" s="2" t="str">
        <x:f>IF(T2994=TRUE,"Priority review",IF(R2994=TRUE,"High cost",IF(S2994=TRUE,"Low quality","Benchmark")))</x:f>
        <x:v>Benchmark</x:v>
      </x:c>
    </x:row>
    <x:row r="2995">
      <x:c r="A2995" s="2" t="str">
        <x:v>361335</x:v>
      </x:c>
      <x:c r="B2995" s="2" t="str">
        <x:v>WAYNE HOSPITAL</x:v>
      </x:c>
      <x:c r="C2995" s="2" t="str">
        <x:v>GREENVILLE</x:v>
      </x:c>
      <x:c r="D2995" s="2" t="str">
        <x:v>OH</x:v>
      </x:c>
      <x:c r="E2995" s="2" t="str">
        <x:v>Critical Access Hospitals</x:v>
      </x:c>
      <x:c r="F2995" s="2" t="str">
        <x:v>Voluntary non-profit</x:v>
      </x:c>
      <x:c r="G2995" s="2" t="str">
        <x:v>Small (&lt;100 beds)</x:v>
      </x:c>
      <x:c r="H2995" s="7"/>
      <x:c r="I2995" s="7" t="n">
        <x:v>3</x:v>
      </x:c>
      <x:c r="J2995" s="7"/>
      <x:c r="K2995" s="8" t="n">
        <x:v>25</x:v>
      </x:c>
      <x:c r="L2995" s="8" t="n">
        <x:v>720</x:v>
      </x:c>
      <x:c r="M2995" s="9" t="n">
        <x:v>0.2906930693</x:v>
      </x:c>
      <x:c r="N2995" s="10" t="n">
        <x:v>111426.4680555556</x:v>
      </x:c>
      <x:c r="O2995" s="9" t="n">
        <x:v>-0.0549906881</x:v>
      </x:c>
      <x:c r="P2995" s="9" t="n">
        <x:v>0.3940520446</x:v>
      </x:c>
      <x:c r="Q2995" s="9" t="n">
        <x:v>0.292936803</x:v>
      </x:c>
      <x:c r="R2995" s="3" t="b">
        <x:v>0</x:v>
      </x:c>
      <x:c r="S2995" s="3" t="b">
        <x:v>0</x:v>
      </x:c>
      <x:c r="T2995" s="3" t="b">
        <x:v>0</x:v>
      </x:c>
      <x:c r="U2995" s="2" t="str">
        <x:f>IF(T2995=TRUE,"Priority review",IF(R2995=TRUE,"High cost",IF(S2995=TRUE,"Low quality","Benchmark")))</x:f>
        <x:v>Benchmark</x:v>
      </x:c>
    </x:row>
    <x:row r="2996">
      <x:c r="A2996" s="2" t="str">
        <x:v>360348</x:v>
      </x:c>
      <x:c r="B2996" s="2" t="str">
        <x:v>DUBLIN METHODIST HOSPITAL</x:v>
      </x:c>
      <x:c r="C2996" s="2" t="str">
        <x:v>DUBLIN</x:v>
      </x:c>
      <x:c r="D2996" s="2" t="str">
        <x:v>OH</x:v>
      </x:c>
      <x:c r="E2996" s="2" t="str">
        <x:v>Acute Care Hospitals</x:v>
      </x:c>
      <x:c r="F2996" s="2" t="str">
        <x:v>Voluntary non-profit</x:v>
      </x:c>
      <x:c r="G2996" s="2" t="str">
        <x:v>Medium (100-299 beds)</x:v>
      </x:c>
      <x:c r="H2996" s="7" t="n">
        <x:v>4</x:v>
      </x:c>
      <x:c r="I2996" s="7" t="n">
        <x:v>4</x:v>
      </x:c>
      <x:c r="J2996" s="7" t="n">
        <x:v>0.92</x:v>
      </x:c>
      <x:c r="K2996" s="8" t="n">
        <x:v>110</x:v>
      </x:c>
      <x:c r="L2996" s="8" t="n">
        <x:v>9162</x:v>
      </x:c>
      <x:c r="M2996" s="9" t="n">
        <x:v>0.818007472</x:v>
      </x:c>
      <x:c r="N2996" s="10" t="n">
        <x:v>30507.3289674744</x:v>
      </x:c>
      <x:c r="O2996" s="9" t="n">
        <x:v>0.3075156103</x:v>
      </x:c>
      <x:c r="P2996" s="9" t="n">
        <x:v>0.3936430318</x:v>
      </x:c>
      <x:c r="Q2996" s="9" t="n">
        <x:v>0.6022819886</x:v>
      </x:c>
      <x:c r="R2996" s="3" t="b">
        <x:v>0</x:v>
      </x:c>
      <x:c r="S2996" s="3" t="b">
        <x:v>0</x:v>
      </x:c>
      <x:c r="T2996" s="3" t="b">
        <x:v>0</x:v>
      </x:c>
      <x:c r="U2996" s="2" t="str">
        <x:f>IF(T2996=TRUE,"Priority review",IF(R2996=TRUE,"High cost",IF(S2996=TRUE,"Low quality","Benchmark")))</x:f>
        <x:v>Benchmark</x:v>
      </x:c>
    </x:row>
    <x:row r="2997">
      <x:c r="A2997" s="2" t="str">
        <x:v>241308</x:v>
      </x:c>
      <x:c r="B2997" s="2" t="str">
        <x:v>ASPIRUS LAKE VIEW HOSPITAL</x:v>
      </x:c>
      <x:c r="C2997" s="2" t="str">
        <x:v>TWO HARBORS</x:v>
      </x:c>
      <x:c r="D2997" s="2" t="str">
        <x:v>MN</x:v>
      </x:c>
      <x:c r="E2997" s="2" t="str">
        <x:v>Critical Access Hospitals</x:v>
      </x:c>
      <x:c r="F2997" s="2" t="str">
        <x:v>Voluntary non-profit</x:v>
      </x:c>
      <x:c r="G2997" s="2" t="str">
        <x:v>Small (&lt;100 beds)</x:v>
      </x:c>
      <x:c r="H2997" s="7"/>
      <x:c r="I2997" s="7"/>
      <x:c r="J2997" s="7"/>
      <x:c r="K2997" s="8" t="n">
        <x:v>16</x:v>
      </x:c>
      <x:c r="L2997" s="8" t="n">
        <x:v>201</x:v>
      </x:c>
      <x:c r="M2997" s="9" t="n">
        <x:v>0.3938356164</x:v>
      </x:c>
      <x:c r="N2997" s="10" t="n">
        <x:v>111392.4527363184</x:v>
      </x:c>
      <x:c r="O2997" s="9" t="n">
        <x:v>2.0175126244</x:v>
      </x:c>
      <x:c r="P2997" s="9" t="n">
        <x:v>0.3933085502</x:v>
      </x:c>
      <x:c r="Q2997" s="9" t="n">
        <x:v>0.292936803</x:v>
      </x:c>
      <x:c r="R2997" s="3" t="b">
        <x:v>0</x:v>
      </x:c>
      <x:c r="S2997" s="3" t="b">
        <x:v>0</x:v>
      </x:c>
      <x:c r="T2997" s="3" t="b">
        <x:v>0</x:v>
      </x:c>
      <x:c r="U2997" s="2" t="str">
        <x:f>IF(T2997=TRUE,"Priority review",IF(R2997=TRUE,"High cost",IF(S2997=TRUE,"Low quality","Benchmark")))</x:f>
        <x:v>Benchmark</x:v>
      </x:c>
    </x:row>
    <x:row r="2998">
      <x:c r="A2998" s="2" t="str">
        <x:v>250172</x:v>
      </x:c>
      <x:c r="B2998" s="2" t="str">
        <x:v>HIGHLAND HILLS MEDICAL CENTER</x:v>
      </x:c>
      <x:c r="C2998" s="2" t="str">
        <x:v>SENATOBIA</x:v>
      </x:c>
      <x:c r="D2998" s="2" t="str">
        <x:v>MS</x:v>
      </x:c>
      <x:c r="E2998" s="2" t="str">
        <x:v>Acute Care Hospitals</x:v>
      </x:c>
      <x:c r="F2998" s="2" t="str">
        <x:v>Voluntary non-profit</x:v>
      </x:c>
      <x:c r="G2998" s="2" t="str">
        <x:v>Small (&lt;100 beds)</x:v>
      </x:c>
      <x:c r="H2998" s="7"/>
      <x:c r="I2998" s="7"/>
      <x:c r="J2998" s="7" t="n">
        <x:v>0.82</x:v>
      </x:c>
      <x:c r="K2998" s="8" t="n">
        <x:v>15</x:v>
      </x:c>
      <x:c r="L2998" s="8" t="n">
        <x:v>308</x:v>
      </x:c>
      <x:c r="M2998" s="9" t="n">
        <x:v>0.1180327869</x:v>
      </x:c>
      <x:c r="N2998" s="10" t="n">
        <x:v>44677.3214285714</x:v>
      </x:c>
      <x:c r="O2998" s="9" t="n">
        <x:v>-0.2052303433</x:v>
      </x:c>
      <x:c r="P2998" s="9" t="n">
        <x:v>0.3931777379</x:v>
      </x:c>
      <x:c r="Q2998" s="9" t="n">
        <x:v>0.697486535</x:v>
      </x:c>
      <x:c r="R2998" s="3" t="b">
        <x:v>0</x:v>
      </x:c>
      <x:c r="S2998" s="3" t="b">
        <x:v>0</x:v>
      </x:c>
      <x:c r="T2998" s="3" t="b">
        <x:v>0</x:v>
      </x:c>
      <x:c r="U2998" s="2" t="str">
        <x:f>IF(T2998=TRUE,"Priority review",IF(R2998=TRUE,"High cost",IF(S2998=TRUE,"Low quality","Benchmark")))</x:f>
        <x:v>Benchmark</x:v>
      </x:c>
    </x:row>
    <x:row r="2999">
      <x:c r="A2999" s="2" t="str">
        <x:v>444026</x:v>
      </x:c>
      <x:c r="B2999" s="2" t="str">
        <x:v>ERLANGER BEHAVIORAL HOSPITAL, LLC</x:v>
      </x:c>
      <x:c r="C2999" s="2" t="str">
        <x:v>CHATTANOOGA</x:v>
      </x:c>
      <x:c r="D2999" s="2" t="str">
        <x:v>TN</x:v>
      </x:c>
      <x:c r="E2999" s="2" t="str">
        <x:v>Psychiatric</x:v>
      </x:c>
      <x:c r="F2999" s="2" t="str">
        <x:v>Proprietary</x:v>
      </x:c>
      <x:c r="G2999" s="2" t="str">
        <x:v>Medium (100-299 beds)</x:v>
      </x:c>
      <x:c r="H2999" s="7"/>
      <x:c r="I2999" s="7"/>
      <x:c r="J2999" s="7"/>
      <x:c r="K2999" s="8" t="n">
        <x:v>144</x:v>
      </x:c>
      <x:c r="L2999" s="8" t="n">
        <x:v>3252</x:v>
      </x:c>
      <x:c r="M2999" s="9" t="n">
        <x:v>0.583921524</x:v>
      </x:c>
      <x:c r="N2999" s="10" t="n">
        <x:v>9189.4880073801</x:v>
      </x:c>
      <x:c r="O2999" s="9" t="n">
        <x:v>0.0370817833</x:v>
      </x:c>
      <x:c r="P2999" s="9" t="n">
        <x:v>0.3930348259</x:v>
      </x:c>
      <x:c r="Q2999" s="9" t="n">
        <x:v>0</x:v>
      </x:c>
      <x:c r="R2999" s="3" t="b">
        <x:v>0</x:v>
      </x:c>
      <x:c r="S2999" s="3" t="b">
        <x:v>0</x:v>
      </x:c>
      <x:c r="T2999" s="3" t="b">
        <x:v>0</x:v>
      </x:c>
      <x:c r="U2999" s="2" t="str">
        <x:f>IF(T2999=TRUE,"Priority review",IF(R2999=TRUE,"High cost",IF(S2999=TRUE,"Low quality","Benchmark")))</x:f>
        <x:v>Benchmark</x:v>
      </x:c>
    </x:row>
    <x:row r="3000">
      <x:c r="A3000" s="2" t="str">
        <x:v>500021</x:v>
      </x:c>
      <x:c r="B3000" s="2" t="str">
        <x:v>ST CLARE HOSPITAL</x:v>
      </x:c>
      <x:c r="C3000" s="2" t="str">
        <x:v>LAKEWOOD</x:v>
      </x:c>
      <x:c r="D3000" s="2" t="str">
        <x:v>WA</x:v>
      </x:c>
      <x:c r="E3000" s="2" t="str">
        <x:v>Acute Care Hospitals</x:v>
      </x:c>
      <x:c r="F3000" s="2" t="str">
        <x:v>Voluntary non-profit</x:v>
      </x:c>
      <x:c r="G3000" s="2" t="str">
        <x:v>Medium (100-299 beds)</x:v>
      </x:c>
      <x:c r="H3000" s="7" t="n">
        <x:v>4</x:v>
      </x:c>
      <x:c r="I3000" s="7" t="n">
        <x:v>3</x:v>
      </x:c>
      <x:c r="J3000" s="7" t="n">
        <x:v>0.94</x:v>
      </x:c>
      <x:c r="K3000" s="8" t="n">
        <x:v>106</x:v>
      </x:c>
      <x:c r="L3000" s="8" t="n">
        <x:v>6291</x:v>
      </x:c>
      <x:c r="M3000" s="9" t="n">
        <x:v>0.7805892996</x:v>
      </x:c>
      <x:c r="N3000" s="10" t="n">
        <x:v>30502.5728818948</x:v>
      </x:c>
      <x:c r="O3000" s="9" t="n">
        <x:v>0.0052062472</x:v>
      </x:c>
      <x:c r="P3000" s="9" t="n">
        <x:v>0.3928280359</x:v>
      </x:c>
      <x:c r="Q3000" s="9" t="n">
        <x:v>0.6022819886</x:v>
      </x:c>
      <x:c r="R3000" s="3" t="b">
        <x:v>0</x:v>
      </x:c>
      <x:c r="S3000" s="3" t="b">
        <x:v>0</x:v>
      </x:c>
      <x:c r="T3000" s="3" t="b">
        <x:v>0</x:v>
      </x:c>
      <x:c r="U3000" s="2" t="str">
        <x:f>IF(T3000=TRUE,"Priority review",IF(R3000=TRUE,"High cost",IF(S3000=TRUE,"Low quality","Benchmark")))</x:f>
        <x:v>Benchmark</x:v>
      </x:c>
    </x:row>
    <x:row r="3001">
      <x:c r="A3001" s="2" t="str">
        <x:v>450820</x:v>
      </x:c>
      <x:c r="B3001" s="2" t="str">
        <x:v>HOUSTON METHODIST SUGARLAND HOSPITAL</x:v>
      </x:c>
      <x:c r="C3001" s="2" t="str">
        <x:v>SUGAR LAND</x:v>
      </x:c>
      <x:c r="D3001" s="2" t="str">
        <x:v>TX</x:v>
      </x:c>
      <x:c r="E3001" s="2" t="str">
        <x:v>Acute Care Hospitals</x:v>
      </x:c>
      <x:c r="F3001" s="2" t="str">
        <x:v>Voluntary non-profit</x:v>
      </x:c>
      <x:c r="G3001" s="2" t="str">
        <x:v>Large (300+ beds)</x:v>
      </x:c>
      <x:c r="H3001" s="7" t="n">
        <x:v>5</x:v>
      </x:c>
      <x:c r="I3001" s="7" t="n">
        <x:v>4</x:v>
      </x:c>
      <x:c r="J3001" s="7" t="n">
        <x:v>0.99</x:v>
      </x:c>
      <x:c r="K3001" s="8" t="n">
        <x:v>337</x:v>
      </x:c>
      <x:c r="L3001" s="8" t="n">
        <x:v>21354</x:v>
      </x:c>
      <x:c r="M3001" s="9" t="n">
        <x:v>0.7701999319</x:v>
      </x:c>
      <x:c r="N3001" s="10" t="n">
        <x:v>34394.0110517936</x:v>
      </x:c>
      <x:c r="O3001" s="9" t="n">
        <x:v>0.1278766376</x:v>
      </x:c>
      <x:c r="P3001" s="9" t="n">
        <x:v>0.3927444795</x:v>
      </x:c>
      <x:c r="Q3001" s="9" t="n">
        <x:v>0.8722397476</x:v>
      </x:c>
      <x:c r="R3001" s="3" t="b">
        <x:v>0</x:v>
      </x:c>
      <x:c r="S3001" s="3" t="b">
        <x:v>0</x:v>
      </x:c>
      <x:c r="T3001" s="3" t="b">
        <x:v>0</x:v>
      </x:c>
      <x:c r="U3001" s="2" t="str">
        <x:f>IF(T3001=TRUE,"Priority review",IF(R3001=TRUE,"High cost",IF(S3001=TRUE,"Low quality","Benchmark")))</x:f>
        <x:v>Benchmark</x:v>
      </x:c>
    </x:row>
    <x:row r="3002">
      <x:c r="A3002" s="2" t="str">
        <x:v>161368</x:v>
      </x:c>
      <x:c r="B3002" s="2" t="str">
        <x:v>FLOYD VALLEY HEALTHCARE</x:v>
      </x:c>
      <x:c r="C3002" s="2" t="str">
        <x:v>LE MARS</x:v>
      </x:c>
      <x:c r="D3002" s="2" t="str">
        <x:v>IA</x:v>
      </x:c>
      <x:c r="E3002" s="2" t="str">
        <x:v>Critical Access Hospitals</x:v>
      </x:c>
      <x:c r="F3002" s="2" t="str">
        <x:v>Government</x:v>
      </x:c>
      <x:c r="G3002" s="2" t="str">
        <x:v>Small (&lt;100 beds)</x:v>
      </x:c>
      <x:c r="H3002" s="7" t="n">
        <x:v>3</x:v>
      </x:c>
      <x:c r="I3002" s="7" t="n">
        <x:v>4</x:v>
      </x:c>
      <x:c r="J3002" s="7"/>
      <x:c r="K3002" s="8" t="n">
        <x:v>25</x:v>
      </x:c>
      <x:c r="L3002" s="8" t="n">
        <x:v>532</x:v>
      </x:c>
      <x:c r="M3002" s="9" t="n">
        <x:v>0.2601643836</x:v>
      </x:c>
      <x:c r="N3002" s="10" t="n">
        <x:v>111125.4323308271</x:v>
      </x:c>
      <x:c r="O3002" s="9" t="n">
        <x:v>-0.0558358796</x:v>
      </x:c>
      <x:c r="P3002" s="9" t="n">
        <x:v>0.3925650558</x:v>
      </x:c>
      <x:c r="Q3002" s="9" t="n">
        <x:v>0.0765799257</x:v>
      </x:c>
      <x:c r="R3002" s="3" t="b">
        <x:v>0</x:v>
      </x:c>
      <x:c r="S3002" s="3" t="b">
        <x:v>1</x:v>
      </x:c>
      <x:c r="T3002" s="3" t="b">
        <x:v>0</x:v>
      </x:c>
      <x:c r="U3002" s="2" t="str">
        <x:f>IF(T3002=TRUE,"Priority review",IF(R3002=TRUE,"High cost",IF(S3002=TRUE,"Low quality","Benchmark")))</x:f>
        <x:v>Low quality</x:v>
      </x:c>
    </x:row>
    <x:row r="3003">
      <x:c r="A3003" s="2" t="str">
        <x:v>520002</x:v>
      </x:c>
      <x:c r="B3003" s="2" t="str">
        <x:v>ASPIRUS STEVENS POINT HOSPITAL &amp; CLINICS, INC.</x:v>
      </x:c>
      <x:c r="C3003" s="2" t="str">
        <x:v>STEVENS POINT</x:v>
      </x:c>
      <x:c r="D3003" s="2" t="str">
        <x:v>WI</x:v>
      </x:c>
      <x:c r="E3003" s="2" t="str">
        <x:v>Acute Care Hospitals</x:v>
      </x:c>
      <x:c r="F3003" s="2" t="str">
        <x:v>Voluntary non-profit</x:v>
      </x:c>
      <x:c r="G3003" s="2" t="str">
        <x:v>Small (&lt;100 beds)</x:v>
      </x:c>
      <x:c r="H3003" s="7" t="n">
        <x:v>4</x:v>
      </x:c>
      <x:c r="I3003" s="7" t="n">
        <x:v>4</x:v>
      </x:c>
      <x:c r="J3003" s="7" t="n">
        <x:v>0.91</x:v>
      </x:c>
      <x:c r="K3003" s="8" t="n">
        <x:v>82</x:v>
      </x:c>
      <x:c r="L3003" s="8" t="n">
        <x:v>3763</x:v>
      </x:c>
      <x:c r="M3003" s="9" t="n">
        <x:v>0.4648179085</x:v>
      </x:c>
      <x:c r="N3003" s="10" t="n">
        <x:v>44637.4047302684</x:v>
      </x:c>
      <x:c r="O3003" s="9" t="n">
        <x:v>0.1036811502</x:v>
      </x:c>
      <x:c r="P3003" s="9" t="n">
        <x:v>0.3922800718</x:v>
      </x:c>
      <x:c r="Q3003" s="9" t="n">
        <x:v>0.3913824057</x:v>
      </x:c>
      <x:c r="R3003" s="3" t="b">
        <x:v>0</x:v>
      </x:c>
      <x:c r="S3003" s="3" t="b">
        <x:v>0</x:v>
      </x:c>
      <x:c r="T3003" s="3" t="b">
        <x:v>0</x:v>
      </x:c>
      <x:c r="U3003" s="2" t="str">
        <x:f>IF(T3003=TRUE,"Priority review",IF(R3003=TRUE,"High cost",IF(S3003=TRUE,"Low quality","Benchmark")))</x:f>
        <x:v>Benchmark</x:v>
      </x:c>
    </x:row>
    <x:row r="3004">
      <x:c r="A3004" s="2" t="str">
        <x:v>450847</x:v>
      </x:c>
      <x:c r="B3004" s="2" t="str">
        <x:v>MEMORIAL HERMANN KATY HOSPITAL</x:v>
      </x:c>
      <x:c r="C3004" s="2" t="str">
        <x:v>KATY</x:v>
      </x:c>
      <x:c r="D3004" s="2" t="str">
        <x:v>TX</x:v>
      </x:c>
      <x:c r="E3004" s="2" t="str">
        <x:v>Acute Care Hospitals</x:v>
      </x:c>
      <x:c r="F3004" s="2" t="str">
        <x:v>Voluntary non-profit</x:v>
      </x:c>
      <x:c r="G3004" s="2" t="str">
        <x:v>Medium (100-299 beds)</x:v>
      </x:c>
      <x:c r="H3004" s="7" t="n">
        <x:v>3</x:v>
      </x:c>
      <x:c r="I3004" s="7" t="n">
        <x:v>3</x:v>
      </x:c>
      <x:c r="J3004" s="7" t="n">
        <x:v>0.99</x:v>
      </x:c>
      <x:c r="K3004" s="8" t="n">
        <x:v>205</x:v>
      </x:c>
      <x:c r="L3004" s="8" t="n">
        <x:v>14175</x:v>
      </x:c>
      <x:c r="M3004" s="9" t="n">
        <x:v>0.9369318939</x:v>
      </x:c>
      <x:c r="N3004" s="10" t="n">
        <x:v>30484.423633157</x:v>
      </x:c>
      <x:c r="O3004" s="9" t="n">
        <x:v>0.0994825069</x:v>
      </x:c>
      <x:c r="P3004" s="9" t="n">
        <x:v>0.3920130399</x:v>
      </x:c>
      <x:c r="Q3004" s="9" t="n">
        <x:v>0.3023634882</x:v>
      </x:c>
      <x:c r="R3004" s="3" t="b">
        <x:v>0</x:v>
      </x:c>
      <x:c r="S3004" s="3" t="b">
        <x:v>0</x:v>
      </x:c>
      <x:c r="T3004" s="3" t="b">
        <x:v>0</x:v>
      </x:c>
      <x:c r="U3004" s="2" t="str">
        <x:f>IF(T3004=TRUE,"Priority review",IF(R3004=TRUE,"High cost",IF(S3004=TRUE,"Low quality","Benchmark")))</x:f>
        <x:v>Benchmark</x:v>
      </x:c>
    </x:row>
    <x:row r="3005">
      <x:c r="A3005" s="2" t="str">
        <x:v>191301</x:v>
      </x:c>
      <x:c r="B3005" s="2" t="str">
        <x:v>UNION GENERAL HOSPITAL</x:v>
      </x:c>
      <x:c r="C3005" s="2" t="str">
        <x:v>FARMERVILLE</x:v>
      </x:c>
      <x:c r="D3005" s="2" t="str">
        <x:v>LA</x:v>
      </x:c>
      <x:c r="E3005" s="2" t="str">
        <x:v>Critical Access Hospitals</x:v>
      </x:c>
      <x:c r="F3005" s="2" t="str">
        <x:v>Voluntary non-profit</x:v>
      </x:c>
      <x:c r="G3005" s="2" t="str">
        <x:v>Small (&lt;100 beds)</x:v>
      </x:c>
      <x:c r="H3005" s="7"/>
      <x:c r="I3005" s="7"/>
      <x:c r="J3005" s="7"/>
      <x:c r="K3005" s="8" t="n">
        <x:v>20</x:v>
      </x:c>
      <x:c r="L3005" s="8" t="n">
        <x:v>180</x:v>
      </x:c>
      <x:c r="M3005" s="9" t="n">
        <x:v>0.2808219178</x:v>
      </x:c>
      <x:c r="N3005" s="10" t="n">
        <x:v>111024.6666666667</x:v>
      </x:c>
      <x:c r="O3005" s="9" t="n">
        <x:v>0.0312449586</x:v>
      </x:c>
      <x:c r="P3005" s="9" t="n">
        <x:v>0.3918215613</x:v>
      </x:c>
      <x:c r="Q3005" s="9" t="n">
        <x:v>0.292936803</x:v>
      </x:c>
      <x:c r="R3005" s="3" t="b">
        <x:v>0</x:v>
      </x:c>
      <x:c r="S3005" s="3" t="b">
        <x:v>0</x:v>
      </x:c>
      <x:c r="T3005" s="3" t="b">
        <x:v>0</x:v>
      </x:c>
      <x:c r="U3005" s="2" t="str">
        <x:f>IF(T3005=TRUE,"Priority review",IF(R3005=TRUE,"High cost",IF(S3005=TRUE,"Low quality","Benchmark")))</x:f>
        <x:v>Benchmark</x:v>
      </x:c>
    </x:row>
    <x:row r="3006">
      <x:c r="A3006" s="2" t="str">
        <x:v>364051</x:v>
      </x:c>
      <x:c r="B3006" s="2" t="str">
        <x:v>BECKETT SPRINGS</x:v>
      </x:c>
      <x:c r="C3006" s="2" t="str">
        <x:v>WEST CHESTER</x:v>
      </x:c>
      <x:c r="D3006" s="2" t="str">
        <x:v>OH</x:v>
      </x:c>
      <x:c r="E3006" s="2" t="str">
        <x:v>Psychiatric</x:v>
      </x:c>
      <x:c r="F3006" s="2" t="str">
        <x:v>Proprietary</x:v>
      </x:c>
      <x:c r="G3006" s="2" t="str">
        <x:v>Small (&lt;100 beds)</x:v>
      </x:c>
      <x:c r="H3006" s="7"/>
      <x:c r="I3006" s="7"/>
      <x:c r="J3006" s="7"/>
      <x:c r="K3006" s="8" t="n">
        <x:v>96</x:v>
      </x:c>
      <x:c r="L3006" s="8" t="n">
        <x:v>3286</x:v>
      </x:c>
      <x:c r="M3006" s="9" t="n">
        <x:v>0.8713184932</x:v>
      </x:c>
      <x:c r="N3006" s="10" t="n">
        <x:v>10155.0797321972</x:v>
      </x:c>
      <x:c r="O3006" s="9" t="n">
        <x:v>-0.9863730878</x:v>
      </x:c>
      <x:c r="P3006" s="9" t="n">
        <x:v>0.3915857605</x:v>
      </x:c>
      <x:c r="Q3006" s="9" t="n">
        <x:v>0</x:v>
      </x:c>
      <x:c r="R3006" s="3" t="b">
        <x:v>0</x:v>
      </x:c>
      <x:c r="S3006" s="3" t="b">
        <x:v>0</x:v>
      </x:c>
      <x:c r="T3006" s="3" t="b">
        <x:v>0</x:v>
      </x:c>
      <x:c r="U3006" s="2" t="str">
        <x:f>IF(T3006=TRUE,"Priority review",IF(R3006=TRUE,"High cost",IF(S3006=TRUE,"Low quality","Benchmark")))</x:f>
        <x:v>Benchmark</x:v>
      </x:c>
    </x:row>
    <x:row r="3007">
      <x:c r="A3007" s="2" t="str">
        <x:v>410008</x:v>
      </x:c>
      <x:c r="B3007" s="2" t="str">
        <x:v>SOUTH COUNTY HOSPITAL INC</x:v>
      </x:c>
      <x:c r="C3007" s="2" t="str">
        <x:v>WAKEFIELD</x:v>
      </x:c>
      <x:c r="D3007" s="2" t="str">
        <x:v>RI</x:v>
      </x:c>
      <x:c r="E3007" s="2" t="str">
        <x:v>Acute Care Hospitals</x:v>
      </x:c>
      <x:c r="F3007" s="2" t="str">
        <x:v>Voluntary non-profit</x:v>
      </x:c>
      <x:c r="G3007" s="2" t="str">
        <x:v>Small (&lt;100 beds)</x:v>
      </x:c>
      <x:c r="H3007" s="7" t="n">
        <x:v>4</x:v>
      </x:c>
      <x:c r="I3007" s="7" t="n">
        <x:v>4</x:v>
      </x:c>
      <x:c r="J3007" s="7" t="n">
        <x:v>0.95</x:v>
      </x:c>
      <x:c r="K3007" s="8" t="n">
        <x:v>79</x:v>
      </x:c>
      <x:c r="L3007" s="8" t="n">
        <x:v>5317</x:v>
      </x:c>
      <x:c r="M3007" s="9" t="n">
        <x:v>0.6995227226</x:v>
      </x:c>
      <x:c r="N3007" s="10" t="n">
        <x:v>44636.7579462103</x:v>
      </x:c>
      <x:c r="O3007" s="9" t="n">
        <x:v>-0.0295659759</x:v>
      </x:c>
      <x:c r="P3007" s="9" t="n">
        <x:v>0.3913824057</x:v>
      </x:c>
      <x:c r="Q3007" s="9" t="n">
        <x:v>0.3913824057</x:v>
      </x:c>
      <x:c r="R3007" s="3" t="b">
        <x:v>0</x:v>
      </x:c>
      <x:c r="S3007" s="3" t="b">
        <x:v>0</x:v>
      </x:c>
      <x:c r="T3007" s="3" t="b">
        <x:v>0</x:v>
      </x:c>
      <x:c r="U3007" s="2" t="str">
        <x:f>IF(T3007=TRUE,"Priority review",IF(R3007=TRUE,"High cost",IF(S3007=TRUE,"Low quality","Benchmark")))</x:f>
        <x:v>Benchmark</x:v>
      </x:c>
    </x:row>
    <x:row r="3008">
      <x:c r="A3008" s="2" t="str">
        <x:v>180011</x:v>
      </x:c>
      <x:c r="B3008" s="2" t="str">
        <x:v>SAINT JOSEPH LONDON</x:v>
      </x:c>
      <x:c r="C3008" s="2" t="str">
        <x:v>LONDON</x:v>
      </x:c>
      <x:c r="D3008" s="2" t="str">
        <x:v>KY</x:v>
      </x:c>
      <x:c r="E3008" s="2" t="str">
        <x:v>Acute Care Hospitals</x:v>
      </x:c>
      <x:c r="F3008" s="2" t="str">
        <x:v>Voluntary non-profit</x:v>
      </x:c>
      <x:c r="G3008" s="2" t="str">
        <x:v>Medium (100-299 beds)</x:v>
      </x:c>
      <x:c r="H3008" s="7" t="n">
        <x:v>3</x:v>
      </x:c>
      <x:c r="I3008" s="7" t="n">
        <x:v>4</x:v>
      </x:c>
      <x:c r="J3008" s="7" t="n">
        <x:v>0.93</x:v>
      </x:c>
      <x:c r="K3008" s="8" t="n">
        <x:v>126</x:v>
      </x:c>
      <x:c r="L3008" s="8" t="n">
        <x:v>6791</x:v>
      </x:c>
      <x:c r="M3008" s="9" t="n">
        <x:v>0.6453141987</x:v>
      </x:c>
      <x:c r="N3008" s="10" t="n">
        <x:v>30468.2805183331</x:v>
      </x:c>
      <x:c r="O3008" s="9" t="n">
        <x:v>0.1802286395</x:v>
      </x:c>
      <x:c r="P3008" s="9" t="n">
        <x:v>0.391198044</x:v>
      </x:c>
      <x:c r="Q3008" s="9" t="n">
        <x:v>0.3023634882</x:v>
      </x:c>
      <x:c r="R3008" s="3" t="b">
        <x:v>0</x:v>
      </x:c>
      <x:c r="S3008" s="3" t="b">
        <x:v>0</x:v>
      </x:c>
      <x:c r="T3008" s="3" t="b">
        <x:v>0</x:v>
      </x:c>
      <x:c r="U3008" s="2" t="str">
        <x:f>IF(T3008=TRUE,"Priority review",IF(R3008=TRUE,"High cost",IF(S3008=TRUE,"Low quality","Benchmark")))</x:f>
        <x:v>Benchmark</x:v>
      </x:c>
    </x:row>
    <x:row r="3009">
      <x:c r="A3009" s="2" t="str">
        <x:v>190111</x:v>
      </x:c>
      <x:c r="B3009" s="2" t="str">
        <x:v>WILLIS KNIGHTON MEDICAL CENTER</x:v>
      </x:c>
      <x:c r="C3009" s="2" t="str">
        <x:v>SHREVEPORT</x:v>
      </x:c>
      <x:c r="D3009" s="2" t="str">
        <x:v>LA</x:v>
      </x:c>
      <x:c r="E3009" s="2" t="str">
        <x:v>Acute Care Hospitals</x:v>
      </x:c>
      <x:c r="F3009" s="2" t="str">
        <x:v>Voluntary non-profit</x:v>
      </x:c>
      <x:c r="G3009" s="2" t="str">
        <x:v>Large (300+ beds)</x:v>
      </x:c>
      <x:c r="H3009" s="7" t="n">
        <x:v>3</x:v>
      </x:c>
      <x:c r="I3009" s="7" t="n">
        <x:v>3</x:v>
      </x:c>
      <x:c r="J3009" s="7" t="n">
        <x:v>1.17</x:v>
      </x:c>
      <x:c r="K3009" s="8" t="n">
        <x:v>737</x:v>
      </x:c>
      <x:c r="L3009" s="8" t="n">
        <x:v>29461</x:v>
      </x:c>
      <x:c r="M3009" s="9" t="n">
        <x:v>0.6259277384</x:v>
      </x:c>
      <x:c r="N3009" s="10" t="n">
        <x:v>34371.2577984454</x:v>
      </x:c>
      <x:c r="O3009" s="9" t="n">
        <x:v>0.160094002</x:v>
      </x:c>
      <x:c r="P3009" s="9" t="n">
        <x:v>0.3911671924</x:v>
      </x:c>
      <x:c r="Q3009" s="9" t="n">
        <x:v>0.2570977918</x:v>
      </x:c>
      <x:c r="R3009" s="3" t="b">
        <x:v>0</x:v>
      </x:c>
      <x:c r="S3009" s="3" t="b">
        <x:v>0</x:v>
      </x:c>
      <x:c r="T3009" s="3" t="b">
        <x:v>0</x:v>
      </x:c>
      <x:c r="U3009" s="2" t="str">
        <x:f>IF(T3009=TRUE,"Priority review",IF(R3009=TRUE,"High cost",IF(S3009=TRUE,"Low quality","Benchmark")))</x:f>
        <x:v>Benchmark</x:v>
      </x:c>
    </x:row>
    <x:row r="3010">
      <x:c r="A3010" s="2" t="str">
        <x:v>451354</x:v>
      </x:c>
      <x:c r="B3010" s="2" t="str">
        <x:v>HAMILTON HOSPITAL</x:v>
      </x:c>
      <x:c r="C3010" s="2" t="str">
        <x:v>OLNEY</x:v>
      </x:c>
      <x:c r="D3010" s="2" t="str">
        <x:v>TX</x:v>
      </x:c>
      <x:c r="E3010" s="2" t="str">
        <x:v>Critical Access Hospitals</x:v>
      </x:c>
      <x:c r="F3010" s="2" t="str">
        <x:v>Government</x:v>
      </x:c>
      <x:c r="G3010" s="2" t="str">
        <x:v>Small (&lt;100 beds)</x:v>
      </x:c>
      <x:c r="H3010" s="7"/>
      <x:c r="I3010" s="7"/>
      <x:c r="J3010" s="7"/>
      <x:c r="K3010" s="8" t="n">
        <x:v>25</x:v>
      </x:c>
      <x:c r="L3010" s="8" t="n">
        <x:v>199</x:v>
      </x:c>
      <x:c r="M3010" s="9" t="n">
        <x:v>0.3079452055</x:v>
      </x:c>
      <x:c r="N3010" s="10" t="n">
        <x:v>110998.256281407</x:v>
      </x:c>
      <x:c r="O3010" s="9" t="n">
        <x:v>-0.4041449275</x:v>
      </x:c>
      <x:c r="P3010" s="9" t="n">
        <x:v>0.3910780669</x:v>
      </x:c>
      <x:c r="Q3010" s="9" t="n">
        <x:v>0.292936803</x:v>
      </x:c>
      <x:c r="R3010" s="3" t="b">
        <x:v>0</x:v>
      </x:c>
      <x:c r="S3010" s="3" t="b">
        <x:v>0</x:v>
      </x:c>
      <x:c r="T3010" s="3" t="b">
        <x:v>0</x:v>
      </x:c>
      <x:c r="U3010" s="2" t="str">
        <x:f>IF(T3010=TRUE,"Priority review",IF(R3010=TRUE,"High cost",IF(S3010=TRUE,"Low quality","Benchmark")))</x:f>
        <x:v>Benchmark</x:v>
      </x:c>
    </x:row>
    <x:row r="3011">
      <x:c r="A3011" s="2" t="str">
        <x:v>290008</x:v>
      </x:c>
      <x:c r="B3011" s="2" t="str">
        <x:v>NORTHEASTERN NEVADA REGIONAL HOSPITAL</x:v>
      </x:c>
      <x:c r="C3011" s="2" t="str">
        <x:v>ELKO</x:v>
      </x:c>
      <x:c r="D3011" s="2" t="str">
        <x:v>NV</x:v>
      </x:c>
      <x:c r="E3011" s="2" t="str">
        <x:v>Acute Care Hospitals</x:v>
      </x:c>
      <x:c r="F3011" s="2" t="str">
        <x:v>Proprietary</x:v>
      </x:c>
      <x:c r="G3011" s="2" t="str">
        <x:v>Small (&lt;100 beds)</x:v>
      </x:c>
      <x:c r="H3011" s="7" t="n">
        <x:v>3</x:v>
      </x:c>
      <x:c r="I3011" s="7" t="n">
        <x:v>3</x:v>
      </x:c>
      <x:c r="J3011" s="7" t="n">
        <x:v>0.87</x:v>
      </x:c>
      <x:c r="K3011" s="8" t="n">
        <x:v>59</x:v>
      </x:c>
      <x:c r="L3011" s="8" t="n">
        <x:v>1759</x:v>
      </x:c>
      <x:c r="M3011" s="9" t="n">
        <x:v>0.171674019</x:v>
      </x:c>
      <x:c r="N3011" s="10" t="n">
        <x:v>44514.4991472428</x:v>
      </x:c>
      <x:c r="O3011" s="9" t="n">
        <x:v>0.2085695596</x:v>
      </x:c>
      <x:c r="P3011" s="9" t="n">
        <x:v>0.3904847397</x:v>
      </x:c>
      <x:c r="Q3011" s="9" t="n">
        <x:v>0.1687612208</x:v>
      </x:c>
      <x:c r="R3011" s="3" t="b">
        <x:v>0</x:v>
      </x:c>
      <x:c r="S3011" s="3" t="b">
        <x:v>0</x:v>
      </x:c>
      <x:c r="T3011" s="3" t="b">
        <x:v>0</x:v>
      </x:c>
      <x:c r="U3011" s="2" t="str">
        <x:f>IF(T3011=TRUE,"Priority review",IF(R3011=TRUE,"High cost",IF(S3011=TRUE,"Low quality","Benchmark")))</x:f>
        <x:v>Benchmark</x:v>
      </x:c>
    </x:row>
    <x:row r="3012">
      <x:c r="A3012" s="2" t="str">
        <x:v>330158</x:v>
      </x:c>
      <x:c r="B3012" s="2" t="str">
        <x:v>GOOD SAMARITAN HOSPITAL OF SUFFERN</x:v>
      </x:c>
      <x:c r="C3012" s="2" t="str">
        <x:v>SUFFERN</x:v>
      </x:c>
      <x:c r="D3012" s="2" t="str">
        <x:v>NY</x:v>
      </x:c>
      <x:c r="E3012" s="2" t="str">
        <x:v>Acute Care Hospitals</x:v>
      </x:c>
      <x:c r="F3012" s="2" t="str">
        <x:v>Voluntary non-profit</x:v>
      </x:c>
      <x:c r="G3012" s="2" t="str">
        <x:v>Medium (100-299 beds)</x:v>
      </x:c>
      <x:c r="H3012" s="7" t="n">
        <x:v>3</x:v>
      </x:c>
      <x:c r="I3012" s="7" t="n">
        <x:v>2</x:v>
      </x:c>
      <x:c r="J3012" s="7" t="n">
        <x:v>1.09</x:v>
      </x:c>
      <x:c r="K3012" s="8" t="n">
        <x:v>286</x:v>
      </x:c>
      <x:c r="L3012" s="8" t="n">
        <x:v>13502</x:v>
      </x:c>
      <x:c r="M3012" s="9" t="n">
        <x:v>0.6559669838</x:v>
      </x:c>
      <x:c r="N3012" s="10" t="n">
        <x:v>30447.3906087987</x:v>
      </x:c>
      <x:c r="O3012" s="9" t="n">
        <x:v>-0.1365798844</x:v>
      </x:c>
      <x:c r="P3012" s="9" t="n">
        <x:v>0.3903830481</x:v>
      </x:c>
      <x:c r="Q3012" s="9" t="n">
        <x:v>0.3023634882</x:v>
      </x:c>
      <x:c r="R3012" s="3" t="b">
        <x:v>0</x:v>
      </x:c>
      <x:c r="S3012" s="3" t="b">
        <x:v>0</x:v>
      </x:c>
      <x:c r="T3012" s="3" t="b">
        <x:v>0</x:v>
      </x:c>
      <x:c r="U3012" s="2" t="str">
        <x:f>IF(T3012=TRUE,"Priority review",IF(R3012=TRUE,"High cost",IF(S3012=TRUE,"Low quality","Benchmark")))</x:f>
        <x:v>Benchmark</x:v>
      </x:c>
    </x:row>
    <x:row r="3013">
      <x:c r="A3013" s="2" t="str">
        <x:v>171374</x:v>
      </x:c>
      <x:c r="B3013" s="2" t="str">
        <x:v>FREDONIA REGIONAL HOSPITAL</x:v>
      </x:c>
      <x:c r="C3013" s="2" t="str">
        <x:v>FREDONIA</x:v>
      </x:c>
      <x:c r="D3013" s="2" t="str">
        <x:v>KS</x:v>
      </x:c>
      <x:c r="E3013" s="2" t="str">
        <x:v>Critical Access Hospitals</x:v>
      </x:c>
      <x:c r="F3013" s="2" t="str">
        <x:v>Government</x:v>
      </x:c>
      <x:c r="G3013" s="2" t="str">
        <x:v>Small (&lt;100 beds)</x:v>
      </x:c>
      <x:c r="H3013" s="7"/>
      <x:c r="I3013" s="7"/>
      <x:c r="J3013" s="7"/>
      <x:c r="K3013" s="8" t="n">
        <x:v>25</x:v>
      </x:c>
      <x:c r="L3013" s="8" t="n">
        <x:v>145</x:v>
      </x:c>
      <x:c r="M3013" s="9" t="n">
        <x:v>0.0817486339</x:v>
      </x:c>
      <x:c r="N3013" s="10" t="n">
        <x:v>110869.6137931034</x:v>
      </x:c>
      <x:c r="O3013" s="9" t="n">
        <x:v>-0.207992814</x:v>
      </x:c>
      <x:c r="P3013" s="9" t="n">
        <x:v>0.3903345725</x:v>
      </x:c>
      <x:c r="Q3013" s="9" t="n">
        <x:v>0.292936803</x:v>
      </x:c>
      <x:c r="R3013" s="3" t="b">
        <x:v>0</x:v>
      </x:c>
      <x:c r="S3013" s="3" t="b">
        <x:v>0</x:v>
      </x:c>
      <x:c r="T3013" s="3" t="b">
        <x:v>0</x:v>
      </x:c>
      <x:c r="U3013" s="2" t="str">
        <x:f>IF(T3013=TRUE,"Priority review",IF(R3013=TRUE,"High cost",IF(S3013=TRUE,"Low quality","Benchmark")))</x:f>
        <x:v>Benchmark</x:v>
      </x:c>
    </x:row>
    <x:row r="3014">
      <x:c r="A3014" s="2" t="str">
        <x:v>191317</x:v>
      </x:c>
      <x:c r="B3014" s="2" t="str">
        <x:v>JACKSON PARISH HOSPITAL</x:v>
      </x:c>
      <x:c r="C3014" s="2" t="str">
        <x:v>JONESBORO</x:v>
      </x:c>
      <x:c r="D3014" s="2" t="str">
        <x:v>LA</x:v>
      </x:c>
      <x:c r="E3014" s="2" t="str">
        <x:v>Critical Access Hospitals</x:v>
      </x:c>
      <x:c r="F3014" s="2" t="str">
        <x:v>Government</x:v>
      </x:c>
      <x:c r="G3014" s="2" t="str">
        <x:v>Small (&lt;100 beds)</x:v>
      </x:c>
      <x:c r="H3014" s="7"/>
      <x:c r="I3014" s="7"/>
      <x:c r="J3014" s="7"/>
      <x:c r="K3014" s="8" t="n">
        <x:v>25</x:v>
      </x:c>
      <x:c r="L3014" s="8" t="n">
        <x:v>269</x:v>
      </x:c>
      <x:c r="M3014" s="9" t="n">
        <x:v>0.4032786885</x:v>
      </x:c>
      <x:c r="N3014" s="10" t="n">
        <x:v>110840.9107806691</x:v>
      </x:c>
      <x:c r="O3014" s="9" t="n">
        <x:v>-0.0604827767</x:v>
      </x:c>
      <x:c r="P3014" s="9" t="n">
        <x:v>0.3895910781</x:v>
      </x:c>
      <x:c r="Q3014" s="9" t="n">
        <x:v>0.292936803</x:v>
      </x:c>
      <x:c r="R3014" s="3" t="b">
        <x:v>0</x:v>
      </x:c>
      <x:c r="S3014" s="3" t="b">
        <x:v>0</x:v>
      </x:c>
      <x:c r="T3014" s="3" t="b">
        <x:v>0</x:v>
      </x:c>
      <x:c r="U3014" s="2" t="str">
        <x:f>IF(T3014=TRUE,"Priority review",IF(R3014=TRUE,"High cost",IF(S3014=TRUE,"Low quality","Benchmark")))</x:f>
        <x:v>Benchmark</x:v>
      </x:c>
    </x:row>
    <x:row r="3015">
      <x:c r="A3015" s="2" t="str">
        <x:v>100281</x:v>
      </x:c>
      <x:c r="B3015" s="2" t="str">
        <x:v>MEMORIAL HOSPITAL WEST</x:v>
      </x:c>
      <x:c r="C3015" s="2" t="str">
        <x:v>PEMBROKE PINES</x:v>
      </x:c>
      <x:c r="D3015" s="2" t="str">
        <x:v>FL</x:v>
      </x:c>
      <x:c r="E3015" s="2" t="str">
        <x:v>Acute Care Hospitals</x:v>
      </x:c>
      <x:c r="F3015" s="2" t="str">
        <x:v>Government</x:v>
      </x:c>
      <x:c r="G3015" s="2" t="str">
        <x:v>Large (300+ beds)</x:v>
      </x:c>
      <x:c r="H3015" s="7" t="n">
        <x:v>3</x:v>
      </x:c>
      <x:c r="I3015" s="7" t="n">
        <x:v>4</x:v>
      </x:c>
      <x:c r="J3015" s="7" t="n">
        <x:v>0.97</x:v>
      </x:c>
      <x:c r="K3015" s="8" t="n">
        <x:v>486</x:v>
      </x:c>
      <x:c r="L3015" s="8" t="n">
        <x:v>24243</x:v>
      </x:c>
      <x:c r="M3015" s="9" t="n">
        <x:v>0.8055470996</x:v>
      </x:c>
      <x:c r="N3015" s="10" t="n">
        <x:v>34366.1850431052</x:v>
      </x:c>
      <x:c r="O3015" s="9" t="n">
        <x:v>0.0637949112</x:v>
      </x:c>
      <x:c r="P3015" s="9" t="n">
        <x:v>0.3895899054</x:v>
      </x:c>
      <x:c r="Q3015" s="9" t="n">
        <x:v>0.2570977918</x:v>
      </x:c>
      <x:c r="R3015" s="3" t="b">
        <x:v>0</x:v>
      </x:c>
      <x:c r="S3015" s="3" t="b">
        <x:v>0</x:v>
      </x:c>
      <x:c r="T3015" s="3" t="b">
        <x:v>0</x:v>
      </x:c>
      <x:c r="U3015" s="2" t="str">
        <x:f>IF(T3015=TRUE,"Priority review",IF(R3015=TRUE,"High cost",IF(S3015=TRUE,"Low quality","Benchmark")))</x:f>
        <x:v>Benchmark</x:v>
      </x:c>
    </x:row>
    <x:row r="3016">
      <x:c r="A3016" s="2" t="str">
        <x:v>450853</x:v>
      </x:c>
      <x:c r="B3016" s="2" t="str">
        <x:v>BAYLOR SCOTT &amp; WHITE MEDICAL CENTER - FRISCO</x:v>
      </x:c>
      <x:c r="C3016" s="2" t="str">
        <x:v>FRISCO</x:v>
      </x:c>
      <x:c r="D3016" s="2" t="str">
        <x:v>TX</x:v>
      </x:c>
      <x:c r="E3016" s="2" t="str">
        <x:v>Acute Care Hospitals</x:v>
      </x:c>
      <x:c r="F3016" s="2" t="str">
        <x:v>Proprietary</x:v>
      </x:c>
      <x:c r="G3016" s="2" t="str">
        <x:v>Small (&lt;100 beds)</x:v>
      </x:c>
      <x:c r="H3016" s="7" t="n">
        <x:v>3</x:v>
      </x:c>
      <x:c r="I3016" s="7" t="n">
        <x:v>4</x:v>
      </x:c>
      <x:c r="J3016" s="7" t="n">
        <x:v>1.08</x:v>
      </x:c>
      <x:c r="K3016" s="8" t="n">
        <x:v>68</x:v>
      </x:c>
      <x:c r="L3016" s="8" t="n">
        <x:v>3162</x:v>
      </x:c>
      <x:c r="M3016" s="9" t="n">
        <x:v>0.5257152041</x:v>
      </x:c>
      <x:c r="N3016" s="10" t="n">
        <x:v>44501.0161290323</x:v>
      </x:c>
      <x:c r="O3016" s="9" t="n">
        <x:v>0.2223747489</x:v>
      </x:c>
      <x:c r="P3016" s="9" t="n">
        <x:v>0.3895870736</x:v>
      </x:c>
      <x:c r="Q3016" s="9" t="n">
        <x:v>0.1687612208</x:v>
      </x:c>
      <x:c r="R3016" s="3" t="b">
        <x:v>0</x:v>
      </x:c>
      <x:c r="S3016" s="3" t="b">
        <x:v>0</x:v>
      </x:c>
      <x:c r="T3016" s="3" t="b">
        <x:v>0</x:v>
      </x:c>
      <x:c r="U3016" s="2" t="str">
        <x:f>IF(T3016=TRUE,"Priority review",IF(R3016=TRUE,"High cost",IF(S3016=TRUE,"Low quality","Benchmark")))</x:f>
        <x:v>Benchmark</x:v>
      </x:c>
    </x:row>
    <x:row r="3017">
      <x:c r="A3017" s="2" t="str">
        <x:v>420036</x:v>
      </x:c>
      <x:c r="B3017" s="2" t="str">
        <x:v>MUSC HEALTH LANCASTER MEDICAL CENTER</x:v>
      </x:c>
      <x:c r="C3017" s="2" t="str">
        <x:v>LANCASTER</x:v>
      </x:c>
      <x:c r="D3017" s="2" t="str">
        <x:v>SC</x:v>
      </x:c>
      <x:c r="E3017" s="2" t="str">
        <x:v>Acute Care Hospitals</x:v>
      </x:c>
      <x:c r="F3017" s="2" t="str">
        <x:v>Proprietary</x:v>
      </x:c>
      <x:c r="G3017" s="2" t="str">
        <x:v>Medium (100-299 beds)</x:v>
      </x:c>
      <x:c r="H3017" s="7" t="n">
        <x:v>4</x:v>
      </x:c>
      <x:c r="I3017" s="7" t="n">
        <x:v>3</x:v>
      </x:c>
      <x:c r="J3017" s="7" t="n">
        <x:v>1.07</x:v>
      </x:c>
      <x:c r="K3017" s="8" t="n">
        <x:v>103</x:v>
      </x:c>
      <x:c r="L3017" s="8" t="n">
        <x:v>5345</x:v>
      </x:c>
      <x:c r="M3017" s="9" t="n">
        <x:v>0.6181407102</x:v>
      </x:c>
      <x:c r="N3017" s="10" t="n">
        <x:v>30425.32404116</x:v>
      </x:c>
      <x:c r="O3017" s="9" t="n">
        <x:v>-0.0017391353</x:v>
      </x:c>
      <x:c r="P3017" s="9" t="n">
        <x:v>0.3895680522</x:v>
      </x:c>
      <x:c r="Q3017" s="9" t="n">
        <x:v>0.6022819886</x:v>
      </x:c>
      <x:c r="R3017" s="3" t="b">
        <x:v>0</x:v>
      </x:c>
      <x:c r="S3017" s="3" t="b">
        <x:v>0</x:v>
      </x:c>
      <x:c r="T3017" s="3" t="b">
        <x:v>0</x:v>
      </x:c>
      <x:c r="U3017" s="2" t="str">
        <x:f>IF(T3017=TRUE,"Priority review",IF(R3017=TRUE,"High cost",IF(S3017=TRUE,"Low quality","Benchmark")))</x:f>
        <x:v>Benchmark</x:v>
      </x:c>
    </x:row>
    <x:row r="3018">
      <x:c r="A3018" s="2" t="str">
        <x:v>521359</x:v>
      </x:c>
      <x:c r="B3018" s="2" t="str">
        <x:v>TAMARACK HEALTH ASHLAND MEDICAL CENTER</x:v>
      </x:c>
      <x:c r="C3018" s="2" t="str">
        <x:v>ASHLAND</x:v>
      </x:c>
      <x:c r="D3018" s="2" t="str">
        <x:v>WI</x:v>
      </x:c>
      <x:c r="E3018" s="2" t="str">
        <x:v>Critical Access Hospitals</x:v>
      </x:c>
      <x:c r="F3018" s="2" t="str">
        <x:v>Voluntary non-profit</x:v>
      </x:c>
      <x:c r="G3018" s="2" t="str">
        <x:v>Small (&lt;100 beds)</x:v>
      </x:c>
      <x:c r="H3018" s="7" t="n">
        <x:v>3</x:v>
      </x:c>
      <x:c r="I3018" s="7" t="n">
        <x:v>5</x:v>
      </x:c>
      <x:c r="J3018" s="7"/>
      <x:c r="K3018" s="8" t="n">
        <x:v>25</x:v>
      </x:c>
      <x:c r="L3018" s="8" t="n">
        <x:v>1355</x:v>
      </x:c>
      <x:c r="M3018" s="9" t="n">
        <x:v>0.6087431694</x:v>
      </x:c>
      <x:c r="N3018" s="10" t="n">
        <x:v>110828.2590405904</x:v>
      </x:c>
      <x:c r="O3018" s="9" t="n">
        <x:v>0.0328563697</x:v>
      </x:c>
      <x:c r="P3018" s="9" t="n">
        <x:v>0.3888475836</x:v>
      </x:c>
      <x:c r="Q3018" s="9" t="n">
        <x:v>0.0765799257</x:v>
      </x:c>
      <x:c r="R3018" s="3" t="b">
        <x:v>0</x:v>
      </x:c>
      <x:c r="S3018" s="3" t="b">
        <x:v>1</x:v>
      </x:c>
      <x:c r="T3018" s="3" t="b">
        <x:v>0</x:v>
      </x:c>
      <x:c r="U3018" s="2" t="str">
        <x:f>IF(T3018=TRUE,"Priority review",IF(R3018=TRUE,"High cost",IF(S3018=TRUE,"Low quality","Benchmark")))</x:f>
        <x:v>Low quality</x:v>
      </x:c>
    </x:row>
    <x:row r="3019">
      <x:c r="A3019" s="2" t="str">
        <x:v>390228</x:v>
      </x:c>
      <x:c r="B3019" s="2" t="str">
        <x:v>ST CLAIR HOSPITAL</x:v>
      </x:c>
      <x:c r="C3019" s="2" t="str">
        <x:v>PITTSBURGH</x:v>
      </x:c>
      <x:c r="D3019" s="2" t="str">
        <x:v>PA</x:v>
      </x:c>
      <x:c r="E3019" s="2" t="str">
        <x:v>Acute Care Hospitals</x:v>
      </x:c>
      <x:c r="F3019" s="2" t="str">
        <x:v>Voluntary non-profit</x:v>
      </x:c>
      <x:c r="G3019" s="2" t="str">
        <x:v>Medium (100-299 beds)</x:v>
      </x:c>
      <x:c r="H3019" s="7" t="n">
        <x:v>4</x:v>
      </x:c>
      <x:c r="I3019" s="7" t="n">
        <x:v>3</x:v>
      </x:c>
      <x:c r="J3019" s="7" t="n">
        <x:v>0.94</x:v>
      </x:c>
      <x:c r="K3019" s="8" t="n">
        <x:v>292</x:v>
      </x:c>
      <x:c r="L3019" s="8" t="n">
        <x:v>12160</x:v>
      </x:c>
      <x:c r="M3019" s="9" t="n">
        <x:v>0.5177329099</x:v>
      </x:c>
      <x:c r="N3019" s="10" t="n">
        <x:v>30404.1095394737</x:v>
      </x:c>
      <x:c r="O3019" s="9" t="n">
        <x:v>0.0299705726</x:v>
      </x:c>
      <x:c r="P3019" s="9" t="n">
        <x:v>0.3887530562</x:v>
      </x:c>
      <x:c r="Q3019" s="9" t="n">
        <x:v>0.6022819886</x:v>
      </x:c>
      <x:c r="R3019" s="3" t="b">
        <x:v>0</x:v>
      </x:c>
      <x:c r="S3019" s="3" t="b">
        <x:v>0</x:v>
      </x:c>
      <x:c r="T3019" s="3" t="b">
        <x:v>0</x:v>
      </x:c>
      <x:c r="U3019" s="2" t="str">
        <x:f>IF(T3019=TRUE,"Priority review",IF(R3019=TRUE,"High cost",IF(S3019=TRUE,"Low quality","Benchmark")))</x:f>
        <x:v>Benchmark</x:v>
      </x:c>
    </x:row>
    <x:row r="3020">
      <x:c r="A3020" s="2" t="str">
        <x:v>170187</x:v>
      </x:c>
      <x:c r="B3020" s="2" t="str">
        <x:v>SALINA SURGICAL HOSPITAL</x:v>
      </x:c>
      <x:c r="C3020" s="2" t="str">
        <x:v>SALINA</x:v>
      </x:c>
      <x:c r="D3020" s="2" t="str">
        <x:v>KS</x:v>
      </x:c>
      <x:c r="E3020" s="2" t="str">
        <x:v>Acute Care Hospitals</x:v>
      </x:c>
      <x:c r="F3020" s="2" t="str">
        <x:v>Other / unknown</x:v>
      </x:c>
      <x:c r="G3020" s="2" t="str">
        <x:v>Small (&lt;100 beds)</x:v>
      </x:c>
      <x:c r="H3020" s="7"/>
      <x:c r="I3020" s="7" t="n">
        <x:v>5</x:v>
      </x:c>
      <x:c r="J3020" s="7" t="n">
        <x:v>0.85</x:v>
      </x:c>
      <x:c r="K3020" s="8" t="n">
        <x:v>16</x:v>
      </x:c>
      <x:c r="L3020" s="8" t="n">
        <x:v>599</x:v>
      </x:c>
      <x:c r="M3020" s="9" t="n">
        <x:v>0.1965505464</x:v>
      </x:c>
      <x:c r="N3020" s="10" t="n">
        <x:v>44415.0166944908</x:v>
      </x:c>
      <x:c r="O3020" s="9" t="n">
        <x:v>0.2024836545</x:v>
      </x:c>
      <x:c r="P3020" s="9" t="n">
        <x:v>0.3886894075</x:v>
      </x:c>
      <x:c r="Q3020" s="9" t="n">
        <x:v>0.697486535</x:v>
      </x:c>
      <x:c r="R3020" s="3" t="b">
        <x:v>0</x:v>
      </x:c>
      <x:c r="S3020" s="3" t="b">
        <x:v>0</x:v>
      </x:c>
      <x:c r="T3020" s="3" t="b">
        <x:v>0</x:v>
      </x:c>
      <x:c r="U3020" s="2" t="str">
        <x:f>IF(T3020=TRUE,"Priority review",IF(R3020=TRUE,"High cost",IF(S3020=TRUE,"Low quality","Benchmark")))</x:f>
        <x:v>Benchmark</x:v>
      </x:c>
    </x:row>
    <x:row r="3021">
      <x:c r="A3021" s="2" t="str">
        <x:v>454156</x:v>
      </x:c>
      <x:c r="B3021" s="2" t="str">
        <x:v>VOYAGES BEHAVIORAL HEALTH OF SUGAR LAND</x:v>
      </x:c>
      <x:c r="C3021" s="2" t="str">
        <x:v>SUGAR LAND</x:v>
      </x:c>
      <x:c r="D3021" s="2" t="str">
        <x:v>TX</x:v>
      </x:c>
      <x:c r="E3021" s="2" t="str">
        <x:v>Psychiatric</x:v>
      </x:c>
      <x:c r="F3021" s="2" t="str">
        <x:v>Proprietary</x:v>
      </x:c>
      <x:c r="G3021" s="2" t="str">
        <x:v>Small (&lt;100 beds)</x:v>
      </x:c>
      <x:c r="H3021" s="7"/>
      <x:c r="I3021" s="7"/>
      <x:c r="J3021" s="7"/>
      <x:c r="K3021" s="8" t="n">
        <x:v>60</x:v>
      </x:c>
      <x:c r="L3021" s="8" t="n">
        <x:v>1653</x:v>
      </x:c>
      <x:c r="M3021" s="9" t="n">
        <x:v>0.8673059361</x:v>
      </x:c>
      <x:c r="N3021" s="10" t="n">
        <x:v>10062.6666666667</x:v>
      </x:c>
      <x:c r="O3021" s="9" t="n">
        <x:v>-0.1232792734</x:v>
      </x:c>
      <x:c r="P3021" s="9" t="n">
        <x:v>0.3883495146</x:v>
      </x:c>
      <x:c r="Q3021" s="9" t="n">
        <x:v>0</x:v>
      </x:c>
      <x:c r="R3021" s="3" t="b">
        <x:v>0</x:v>
      </x:c>
      <x:c r="S3021" s="3" t="b">
        <x:v>0</x:v>
      </x:c>
      <x:c r="T3021" s="3" t="b">
        <x:v>0</x:v>
      </x:c>
      <x:c r="U3021" s="2" t="str">
        <x:f>IF(T3021=TRUE,"Priority review",IF(R3021=TRUE,"High cost",IF(S3021=TRUE,"Low quality","Benchmark")))</x:f>
        <x:v>Benchmark</x:v>
      </x:c>
    </x:row>
    <x:row r="3022">
      <x:c r="A3022" s="2" t="str">
        <x:v>261321</x:v>
      </x:c>
      <x:c r="B3022" s="2" t="str">
        <x:v>HEDRICK MEDICAL CENTER</x:v>
      </x:c>
      <x:c r="C3022" s="2" t="str">
        <x:v>CHILLICOTHE</x:v>
      </x:c>
      <x:c r="D3022" s="2" t="str">
        <x:v>MO</x:v>
      </x:c>
      <x:c r="E3022" s="2" t="str">
        <x:v>Critical Access Hospitals</x:v>
      </x:c>
      <x:c r="F3022" s="2" t="str">
        <x:v>Voluntary non-profit</x:v>
      </x:c>
      <x:c r="G3022" s="2" t="str">
        <x:v>Small (&lt;100 beds)</x:v>
      </x:c>
      <x:c r="H3022" s="7" t="n">
        <x:v>4</x:v>
      </x:c>
      <x:c r="I3022" s="7" t="n">
        <x:v>5</x:v>
      </x:c>
      <x:c r="J3022" s="7"/>
      <x:c r="K3022" s="8" t="n">
        <x:v>25</x:v>
      </x:c>
      <x:c r="L3022" s="8" t="n">
        <x:v>537</x:v>
      </x:c>
      <x:c r="M3022" s="9" t="n">
        <x:v>0.4281967213</x:v>
      </x:c>
      <x:c r="N3022" s="10" t="n">
        <x:v>110737.1024208566</x:v>
      </x:c>
      <x:c r="O3022" s="9" t="n">
        <x:v>0.0487678671</x:v>
      </x:c>
      <x:c r="P3022" s="9" t="n">
        <x:v>0.3881040892</x:v>
      </x:c>
      <x:c r="Q3022" s="9" t="n">
        <x:v>0.1657992565</x:v>
      </x:c>
      <x:c r="R3022" s="3" t="b">
        <x:v>0</x:v>
      </x:c>
      <x:c r="S3022" s="3" t="b">
        <x:v>0</x:v>
      </x:c>
      <x:c r="T3022" s="3" t="b">
        <x:v>0</x:v>
      </x:c>
      <x:c r="U3022" s="2" t="str">
        <x:f>IF(T3022=TRUE,"Priority review",IF(R3022=TRUE,"High cost",IF(S3022=TRUE,"Low quality","Benchmark")))</x:f>
        <x:v>Benchmark</x:v>
      </x:c>
    </x:row>
    <x:row r="3023">
      <x:c r="A3023" s="2" t="str">
        <x:v>154067</x:v>
      </x:c>
      <x:c r="B3023" s="2" t="str">
        <x:v>HENDRICKS BEHAVIORAL HOSPITAL</x:v>
      </x:c>
      <x:c r="C3023" s="2" t="str">
        <x:v>PLAINFIELD</x:v>
      </x:c>
      <x:c r="D3023" s="2" t="str">
        <x:v>IN</x:v>
      </x:c>
      <x:c r="E3023" s="2" t="str">
        <x:v>Psychiatric</x:v>
      </x:c>
      <x:c r="F3023" s="2" t="str">
        <x:v>Proprietary</x:v>
      </x:c>
      <x:c r="G3023" s="2" t="str">
        <x:v>Medium (100-299 beds)</x:v>
      </x:c>
      <x:c r="H3023" s="7"/>
      <x:c r="I3023" s="7"/>
      <x:c r="J3023" s="7"/>
      <x:c r="K3023" s="8" t="n">
        <x:v>112</x:v>
      </x:c>
      <x:c r="L3023" s="8" t="n">
        <x:v>3193</x:v>
      </x:c>
      <x:c r="M3023" s="9" t="n">
        <x:v>0.7781274395</x:v>
      </x:c>
      <x:c r="N3023" s="10" t="n">
        <x:v>8981.616974632</x:v>
      </x:c>
      <x:c r="O3023" s="9" t="n">
        <x:v>0.3335585689</x:v>
      </x:c>
      <x:c r="P3023" s="9" t="n">
        <x:v>0.3880597015</x:v>
      </x:c>
      <x:c r="Q3023" s="9" t="n">
        <x:v>0</x:v>
      </x:c>
      <x:c r="R3023" s="3" t="b">
        <x:v>0</x:v>
      </x:c>
      <x:c r="S3023" s="3" t="b">
        <x:v>0</x:v>
      </x:c>
      <x:c r="T3023" s="3" t="b">
        <x:v>0</x:v>
      </x:c>
      <x:c r="U3023" s="2" t="str">
        <x:f>IF(T3023=TRUE,"Priority review",IF(R3023=TRUE,"High cost",IF(S3023=TRUE,"Low quality","Benchmark")))</x:f>
        <x:v>Benchmark</x:v>
      </x:c>
    </x:row>
    <x:row r="3024">
      <x:c r="A3024" s="2" t="str">
        <x:v>140223</x:v>
      </x:c>
      <x:c r="B3024" s="2" t="str">
        <x:v>ADVOCATE LUTHERAN GENERAL HOSPITAL</x:v>
      </x:c>
      <x:c r="C3024" s="2" t="str">
        <x:v>PARK RIDGE</x:v>
      </x:c>
      <x:c r="D3024" s="2" t="str">
        <x:v>IL</x:v>
      </x:c>
      <x:c r="E3024" s="2" t="str">
        <x:v>Acute Care Hospitals</x:v>
      </x:c>
      <x:c r="F3024" s="2" t="str">
        <x:v>Voluntary non-profit</x:v>
      </x:c>
      <x:c r="G3024" s="2" t="str">
        <x:v>Large (300+ beds)</x:v>
      </x:c>
      <x:c r="H3024" s="7" t="n">
        <x:v>4</x:v>
      </x:c>
      <x:c r="I3024" s="7" t="n">
        <x:v>3</x:v>
      </x:c>
      <x:c r="J3024" s="7" t="n">
        <x:v>1</x:v>
      </x:c>
      <x:c r="K3024" s="8" t="n">
        <x:v>563</x:v>
      </x:c>
      <x:c r="L3024" s="8" t="n">
        <x:v>31800</x:v>
      </x:c>
      <x:c r="M3024" s="9" t="n">
        <x:v>0.8582872512</x:v>
      </x:c>
      <x:c r="N3024" s="10" t="n">
        <x:v>34354.825408805</x:v>
      </x:c>
      <x:c r="O3024" s="9" t="n">
        <x:v>0.1591674759</x:v>
      </x:c>
      <x:c r="P3024" s="9" t="n">
        <x:v>0.3880126183</x:v>
      </x:c>
      <x:c r="Q3024" s="9" t="n">
        <x:v>0.5899053628</x:v>
      </x:c>
      <x:c r="R3024" s="3" t="b">
        <x:v>0</x:v>
      </x:c>
      <x:c r="S3024" s="3" t="b">
        <x:v>0</x:v>
      </x:c>
      <x:c r="T3024" s="3" t="b">
        <x:v>0</x:v>
      </x:c>
      <x:c r="U3024" s="2" t="str">
        <x:f>IF(T3024=TRUE,"Priority review",IF(R3024=TRUE,"High cost",IF(S3024=TRUE,"Low quality","Benchmark")))</x:f>
        <x:v>Benchmark</x:v>
      </x:c>
    </x:row>
    <x:row r="3025">
      <x:c r="A3025" s="2" t="str">
        <x:v>490046</x:v>
      </x:c>
      <x:c r="B3025" s="2" t="str">
        <x:v>SENTARA LEIGH HOSPITAL</x:v>
      </x:c>
      <x:c r="C3025" s="2" t="str">
        <x:v>NORFOLK</x:v>
      </x:c>
      <x:c r="D3025" s="2" t="str">
        <x:v>VA</x:v>
      </x:c>
      <x:c r="E3025" s="2" t="str">
        <x:v>Acute Care Hospitals</x:v>
      </x:c>
      <x:c r="F3025" s="2" t="str">
        <x:v>Voluntary non-profit</x:v>
      </x:c>
      <x:c r="G3025" s="2" t="str">
        <x:v>Medium (100-299 beds)</x:v>
      </x:c>
      <x:c r="H3025" s="7" t="n">
        <x:v>3</x:v>
      </x:c>
      <x:c r="I3025" s="7" t="n">
        <x:v>3</x:v>
      </x:c>
      <x:c r="J3025" s="7" t="n">
        <x:v>0.94</x:v>
      </x:c>
      <x:c r="K3025" s="8" t="n">
        <x:v>274</x:v>
      </x:c>
      <x:c r="L3025" s="8" t="n">
        <x:v>18005</x:v>
      </x:c>
      <x:c r="M3025" s="9" t="n">
        <x:v>0.902676399</x:v>
      </x:c>
      <x:c r="N3025" s="10" t="n">
        <x:v>30355.1235767842</x:v>
      </x:c>
      <x:c r="O3025" s="9" t="n">
        <x:v>0.1698250773</x:v>
      </x:c>
      <x:c r="P3025" s="9" t="n">
        <x:v>0.3879380603</x:v>
      </x:c>
      <x:c r="Q3025" s="9" t="n">
        <x:v>0.3023634882</x:v>
      </x:c>
      <x:c r="R3025" s="3" t="b">
        <x:v>0</x:v>
      </x:c>
      <x:c r="S3025" s="3" t="b">
        <x:v>0</x:v>
      </x:c>
      <x:c r="T3025" s="3" t="b">
        <x:v>0</x:v>
      </x:c>
      <x:c r="U3025" s="2" t="str">
        <x:f>IF(T3025=TRUE,"Priority review",IF(R3025=TRUE,"High cost",IF(S3025=TRUE,"Low quality","Benchmark")))</x:f>
        <x:v>Benchmark</x:v>
      </x:c>
    </x:row>
    <x:row r="3026">
      <x:c r="A3026" s="2" t="str">
        <x:v>300005</x:v>
      </x:c>
      <x:c r="B3026" s="2" t="str">
        <x:v>CONCORD HOSPITAL- LACONIA</x:v>
      </x:c>
      <x:c r="C3026" s="2" t="str">
        <x:v>LACONIA</x:v>
      </x:c>
      <x:c r="D3026" s="2" t="str">
        <x:v>NH</x:v>
      </x:c>
      <x:c r="E3026" s="2" t="str">
        <x:v>Acute Care Hospitals</x:v>
      </x:c>
      <x:c r="F3026" s="2" t="str">
        <x:v>Voluntary non-profit</x:v>
      </x:c>
      <x:c r="G3026" s="2" t="str">
        <x:v>Small (&lt;100 beds)</x:v>
      </x:c>
      <x:c r="H3026" s="7" t="n">
        <x:v>3</x:v>
      </x:c>
      <x:c r="I3026" s="7" t="n">
        <x:v>3</x:v>
      </x:c>
      <x:c r="J3026" s="7" t="n">
        <x:v>0.97</x:v>
      </x:c>
      <x:c r="K3026" s="8" t="n">
        <x:v>86</x:v>
      </x:c>
      <x:c r="L3026" s="8" t="n">
        <x:v>3264</x:v>
      </x:c>
      <x:c r="M3026" s="9" t="n">
        <x:v>0.4613991613</x:v>
      </x:c>
      <x:c r="N3026" s="10" t="n">
        <x:v>44227.2552083333</x:v>
      </x:c>
      <x:c r="O3026" s="9" t="n">
        <x:v>-0.1200496284</x:v>
      </x:c>
      <x:c r="P3026" s="9" t="n">
        <x:v>0.3877917415</x:v>
      </x:c>
      <x:c r="Q3026" s="9" t="n">
        <x:v>0.1687612208</x:v>
      </x:c>
      <x:c r="R3026" s="3" t="b">
        <x:v>0</x:v>
      </x:c>
      <x:c r="S3026" s="3" t="b">
        <x:v>0</x:v>
      </x:c>
      <x:c r="T3026" s="3" t="b">
        <x:v>0</x:v>
      </x:c>
      <x:c r="U3026" s="2" t="str">
        <x:f>IF(T3026=TRUE,"Priority review",IF(R3026=TRUE,"High cost",IF(S3026=TRUE,"Low quality","Benchmark")))</x:f>
        <x:v>Benchmark</x:v>
      </x:c>
    </x:row>
    <x:row r="3027">
      <x:c r="A3027" s="2" t="str">
        <x:v>441313</x:v>
      </x:c>
      <x:c r="B3027" s="2" t="str">
        <x:v>HANCOCK COUNTY HOSPITAL</x:v>
      </x:c>
      <x:c r="C3027" s="2" t="str">
        <x:v>SNEEDVILLE</x:v>
      </x:c>
      <x:c r="D3027" s="2" t="str">
        <x:v>TN</x:v>
      </x:c>
      <x:c r="E3027" s="2" t="str">
        <x:v>Critical Access Hospitals</x:v>
      </x:c>
      <x:c r="F3027" s="2" t="str">
        <x:v>Voluntary non-profit</x:v>
      </x:c>
      <x:c r="G3027" s="2" t="str">
        <x:v>Small (&lt;100 beds)</x:v>
      </x:c>
      <x:c r="H3027" s="7"/>
      <x:c r="I3027" s="7"/>
      <x:c r="J3027" s="7"/>
      <x:c r="K3027" s="8" t="n">
        <x:v>10</x:v>
      </x:c>
      <x:c r="L3027" s="8" t="n">
        <x:v>76</x:v>
      </x:c>
      <x:c r="M3027" s="9" t="n">
        <x:v>0.0852054795</x:v>
      </x:c>
      <x:c r="N3027" s="10" t="n">
        <x:v>110576.7631578947</x:v>
      </x:c>
      <x:c r="O3027" s="9" t="n">
        <x:v>0.1565715703</x:v>
      </x:c>
      <x:c r="P3027" s="9" t="n">
        <x:v>0.3873605948</x:v>
      </x:c>
      <x:c r="Q3027" s="9" t="n">
        <x:v>0.292936803</x:v>
      </x:c>
      <x:c r="R3027" s="3" t="b">
        <x:v>0</x:v>
      </x:c>
      <x:c r="S3027" s="3" t="b">
        <x:v>0</x:v>
      </x:c>
      <x:c r="T3027" s="3" t="b">
        <x:v>0</x:v>
      </x:c>
      <x:c r="U3027" s="2" t="str">
        <x:f>IF(T3027=TRUE,"Priority review",IF(R3027=TRUE,"High cost",IF(S3027=TRUE,"Low quality","Benchmark")))</x:f>
        <x:v>Benchmark</x:v>
      </x:c>
    </x:row>
    <x:row r="3028">
      <x:c r="A3028" s="2" t="str">
        <x:v>190160</x:v>
      </x:c>
      <x:c r="B3028" s="2" t="str">
        <x:v>GLENWOOD REGIONAL MEDICAL CENTER</x:v>
      </x:c>
      <x:c r="C3028" s="2" t="str">
        <x:v>WEST MONROE</x:v>
      </x:c>
      <x:c r="D3028" s="2" t="str">
        <x:v>LA</x:v>
      </x:c>
      <x:c r="E3028" s="2" t="str">
        <x:v>Acute Care Hospitals</x:v>
      </x:c>
      <x:c r="F3028" s="2" t="str">
        <x:v>Proprietary</x:v>
      </x:c>
      <x:c r="G3028" s="2" t="str">
        <x:v>Medium (100-299 beds)</x:v>
      </x:c>
      <x:c r="H3028" s="7" t="n">
        <x:v>2</x:v>
      </x:c>
      <x:c r="I3028" s="7" t="n">
        <x:v>4</x:v>
      </x:c>
      <x:c r="J3028" s="7" t="n">
        <x:v>1.08</x:v>
      </x:c>
      <x:c r="K3028" s="8" t="n">
        <x:v>212</x:v>
      </x:c>
      <x:c r="L3028" s="8" t="n">
        <x:v>3145</x:v>
      </x:c>
      <x:c r="M3028" s="9" t="n">
        <x:v>0.2908805031</x:v>
      </x:c>
      <x:c r="N3028" s="10" t="n">
        <x:v>30352.9898251192</x:v>
      </x:c>
      <x:c r="O3028" s="9" t="n">
        <x:v>-0.5304824528</x:v>
      </x:c>
      <x:c r="P3028" s="9" t="n">
        <x:v>0.3871230644</x:v>
      </x:c>
      <x:c r="Q3028" s="9" t="n">
        <x:v>0.0782396088</x:v>
      </x:c>
      <x:c r="R3028" s="3" t="b">
        <x:v>0</x:v>
      </x:c>
      <x:c r="S3028" s="3" t="b">
        <x:v>1</x:v>
      </x:c>
      <x:c r="T3028" s="3" t="b">
        <x:v>0</x:v>
      </x:c>
      <x:c r="U3028" s="2" t="str">
        <x:f>IF(T3028=TRUE,"Priority review",IF(R3028=TRUE,"High cost",IF(S3028=TRUE,"Low quality","Benchmark")))</x:f>
        <x:v>Low quality</x:v>
      </x:c>
    </x:row>
    <x:row r="3029">
      <x:c r="A3029" s="2" t="str">
        <x:v>330238</x:v>
      </x:c>
      <x:c r="B3029" s="2" t="str">
        <x:v>NICHOLAS H NOYES MEMORIAL HOSPITAL</x:v>
      </x:c>
      <x:c r="C3029" s="2" t="str">
        <x:v>DANSVILLE</x:v>
      </x:c>
      <x:c r="D3029" s="2" t="str">
        <x:v>NY</x:v>
      </x:c>
      <x:c r="E3029" s="2" t="str">
        <x:v>Acute Care Hospitals</x:v>
      </x:c>
      <x:c r="F3029" s="2" t="str">
        <x:v>Voluntary non-profit</x:v>
      </x:c>
      <x:c r="G3029" s="2" t="str">
        <x:v>Small (&lt;100 beds)</x:v>
      </x:c>
      <x:c r="H3029" s="7" t="n">
        <x:v>3</x:v>
      </x:c>
      <x:c r="I3029" s="7" t="n">
        <x:v>3</x:v>
      </x:c>
      <x:c r="J3029" s="7" t="n">
        <x:v>0.83</x:v>
      </x:c>
      <x:c r="K3029" s="8" t="n">
        <x:v>67</x:v>
      </x:c>
      <x:c r="L3029" s="8" t="n">
        <x:v>2201</x:v>
      </x:c>
      <x:c r="M3029" s="9" t="n">
        <x:v>0.3519525659</x:v>
      </x:c>
      <x:c r="N3029" s="10" t="n">
        <x:v>44216.086324398</x:v>
      </x:c>
      <x:c r="O3029" s="9" t="n">
        <x:v>0.0161302022</x:v>
      </x:c>
      <x:c r="P3029" s="9" t="n">
        <x:v>0.3868940754</x:v>
      </x:c>
      <x:c r="Q3029" s="9" t="n">
        <x:v>0.1687612208</x:v>
      </x:c>
      <x:c r="R3029" s="3" t="b">
        <x:v>0</x:v>
      </x:c>
      <x:c r="S3029" s="3" t="b">
        <x:v>0</x:v>
      </x:c>
      <x:c r="T3029" s="3" t="b">
        <x:v>0</x:v>
      </x:c>
      <x:c r="U3029" s="2" t="str">
        <x:f>IF(T3029=TRUE,"Priority review",IF(R3029=TRUE,"High cost",IF(S3029=TRUE,"Low quality","Benchmark")))</x:f>
        <x:v>Benchmark</x:v>
      </x:c>
    </x:row>
    <x:row r="3030">
      <x:c r="A3030" s="2" t="str">
        <x:v>201310</x:v>
      </x:c>
      <x:c r="B3030" s="2" t="str">
        <x:v>BRIDGTON HOSPITAL</x:v>
      </x:c>
      <x:c r="C3030" s="2" t="str">
        <x:v>BRIDGTON</x:v>
      </x:c>
      <x:c r="D3030" s="2" t="str">
        <x:v>ME</x:v>
      </x:c>
      <x:c r="E3030" s="2" t="str">
        <x:v>Critical Access Hospitals</x:v>
      </x:c>
      <x:c r="F3030" s="2" t="str">
        <x:v>Voluntary non-profit</x:v>
      </x:c>
      <x:c r="G3030" s="2" t="str">
        <x:v>Small (&lt;100 beds)</x:v>
      </x:c>
      <x:c r="H3030" s="7" t="n">
        <x:v>3</x:v>
      </x:c>
      <x:c r="I3030" s="7" t="n">
        <x:v>3</x:v>
      </x:c>
      <x:c r="J3030" s="7"/>
      <x:c r="K3030" s="8" t="n">
        <x:v>25</x:v>
      </x:c>
      <x:c r="L3030" s="8" t="n">
        <x:v>433</x:v>
      </x:c>
      <x:c r="M3030" s="9" t="n">
        <x:v>0.6129315068</x:v>
      </x:c>
      <x:c r="N3030" s="10" t="n">
        <x:v>110564.5173210162</x:v>
      </x:c>
      <x:c r="O3030" s="9" t="n">
        <x:v>0.0391847069</x:v>
      </x:c>
      <x:c r="P3030" s="9" t="n">
        <x:v>0.3866171004</x:v>
      </x:c>
      <x:c r="Q3030" s="9" t="n">
        <x:v>0.0765799257</x:v>
      </x:c>
      <x:c r="R3030" s="3" t="b">
        <x:v>0</x:v>
      </x:c>
      <x:c r="S3030" s="3" t="b">
        <x:v>1</x:v>
      </x:c>
      <x:c r="T3030" s="3" t="b">
        <x:v>0</x:v>
      </x:c>
      <x:c r="U3030" s="2" t="str">
        <x:f>IF(T3030=TRUE,"Priority review",IF(R3030=TRUE,"High cost",IF(S3030=TRUE,"Low quality","Benchmark")))</x:f>
        <x:v>Low quality</x:v>
      </x:c>
    </x:row>
    <x:row r="3031">
      <x:c r="A3031" s="2" t="str">
        <x:v>340069</x:v>
      </x:c>
      <x:c r="B3031" s="2" t="str">
        <x:v>WAKEMED, RALEIGH CAMPUS</x:v>
      </x:c>
      <x:c r="C3031" s="2" t="str">
        <x:v>RALEIGH</x:v>
      </x:c>
      <x:c r="D3031" s="2" t="str">
        <x:v>NC</x:v>
      </x:c>
      <x:c r="E3031" s="2" t="str">
        <x:v>Acute Care Hospitals</x:v>
      </x:c>
      <x:c r="F3031" s="2" t="str">
        <x:v>Voluntary non-profit</x:v>
      </x:c>
      <x:c r="G3031" s="2" t="str">
        <x:v>Large (300+ beds)</x:v>
      </x:c>
      <x:c r="H3031" s="7" t="n">
        <x:v>4</x:v>
      </x:c>
      <x:c r="I3031" s="7" t="n">
        <x:v>4</x:v>
      </x:c>
      <x:c r="J3031" s="7" t="n">
        <x:v>0.97</x:v>
      </x:c>
      <x:c r="K3031" s="8" t="n">
        <x:v>689</x:v>
      </x:c>
      <x:c r="L3031" s="8" t="n">
        <x:v>40406</x:v>
      </x:c>
      <x:c r="M3031" s="9" t="n">
        <x:v>0.9521440397</x:v>
      </x:c>
      <x:c r="N3031" s="10" t="n">
        <x:v>34287.0346978172</x:v>
      </x:c>
      <x:c r="O3031" s="9" t="n">
        <x:v>0.0397824948</x:v>
      </x:c>
      <x:c r="P3031" s="9" t="n">
        <x:v>0.3864353312</x:v>
      </x:c>
      <x:c r="Q3031" s="9" t="n">
        <x:v>0.5899053628</x:v>
      </x:c>
      <x:c r="R3031" s="3" t="b">
        <x:v>0</x:v>
      </x:c>
      <x:c r="S3031" s="3" t="b">
        <x:v>0</x:v>
      </x:c>
      <x:c r="T3031" s="3" t="b">
        <x:v>0</x:v>
      </x:c>
      <x:c r="U3031" s="2" t="str">
        <x:f>IF(T3031=TRUE,"Priority review",IF(R3031=TRUE,"High cost",IF(S3031=TRUE,"Low quality","Benchmark")))</x:f>
        <x:v>Benchmark</x:v>
      </x:c>
    </x:row>
    <x:row r="3032">
      <x:c r="A3032" s="2" t="str">
        <x:v>040027</x:v>
      </x:c>
      <x:c r="B3032" s="2" t="str">
        <x:v>BAXTER HEALTH</x:v>
      </x:c>
      <x:c r="C3032" s="2" t="str">
        <x:v>MOUNTAIN HOME</x:v>
      </x:c>
      <x:c r="D3032" s="2" t="str">
        <x:v>AR</x:v>
      </x:c>
      <x:c r="E3032" s="2" t="str">
        <x:v>Acute Care Hospitals</x:v>
      </x:c>
      <x:c r="F3032" s="2" t="str">
        <x:v>Voluntary non-profit</x:v>
      </x:c>
      <x:c r="G3032" s="2" t="str">
        <x:v>Medium (100-299 beds)</x:v>
      </x:c>
      <x:c r="H3032" s="7" t="n">
        <x:v>2</x:v>
      </x:c>
      <x:c r="I3032" s="7" t="n">
        <x:v>4</x:v>
      </x:c>
      <x:c r="J3032" s="7" t="n">
        <x:v>0.99</x:v>
      </x:c>
      <x:c r="K3032" s="8" t="n">
        <x:v>175</x:v>
      </x:c>
      <x:c r="L3032" s="8" t="n">
        <x:v>9807</x:v>
      </x:c>
      <x:c r="M3032" s="9" t="n">
        <x:v>0.6054020297</x:v>
      </x:c>
      <x:c r="N3032" s="10" t="n">
        <x:v>30291.7424288773</x:v>
      </x:c>
      <x:c r="O3032" s="9" t="n">
        <x:v>-0.0150123475</x:v>
      </x:c>
      <x:c r="P3032" s="9" t="n">
        <x:v>0.3863080685</x:v>
      </x:c>
      <x:c r="Q3032" s="9" t="n">
        <x:v>0.0782396088</x:v>
      </x:c>
      <x:c r="R3032" s="3" t="b">
        <x:v>0</x:v>
      </x:c>
      <x:c r="S3032" s="3" t="b">
        <x:v>1</x:v>
      </x:c>
      <x:c r="T3032" s="3" t="b">
        <x:v>0</x:v>
      </x:c>
      <x:c r="U3032" s="2" t="str">
        <x:f>IF(T3032=TRUE,"Priority review",IF(R3032=TRUE,"High cost",IF(S3032=TRUE,"Low quality","Benchmark")))</x:f>
        <x:v>Low quality</x:v>
      </x:c>
    </x:row>
    <x:row r="3033">
      <x:c r="A3033" s="2" t="str">
        <x:v>230022</x:v>
      </x:c>
      <x:c r="B3033" s="2" t="str">
        <x:v>INSIGHT HOSPITAL AND MEDICAL CENTER COLDWATER</x:v>
      </x:c>
      <x:c r="C3033" s="2" t="str">
        <x:v>COLDWATER</x:v>
      </x:c>
      <x:c r="D3033" s="2" t="str">
        <x:v>MI</x:v>
      </x:c>
      <x:c r="E3033" s="2" t="str">
        <x:v>Acute Care Hospitals</x:v>
      </x:c>
      <x:c r="F3033" s="2" t="str">
        <x:v>Government</x:v>
      </x:c>
      <x:c r="G3033" s="2" t="str">
        <x:v>Small (&lt;100 beds)</x:v>
      </x:c>
      <x:c r="H3033" s="7" t="n">
        <x:v>2</x:v>
      </x:c>
      <x:c r="I3033" s="7" t="n">
        <x:v>4</x:v>
      </x:c>
      <x:c r="J3033" s="7" t="n">
        <x:v>0.91</x:v>
      </x:c>
      <x:c r="K3033" s="8" t="n">
        <x:v>75</x:v>
      </x:c>
      <x:c r="L3033" s="8" t="n">
        <x:v>1861</x:v>
      </x:c>
      <x:c r="M3033" s="9" t="n">
        <x:v>0.3531324201</x:v>
      </x:c>
      <x:c r="N3033" s="10" t="n">
        <x:v>44194.8790972595</x:v>
      </x:c>
      <x:c r="O3033" s="9" t="n">
        <x:v>0.6980963424</x:v>
      </x:c>
      <x:c r="P3033" s="9" t="n">
        <x:v>0.3859964093</x:v>
      </x:c>
      <x:c r="Q3033" s="9" t="n">
        <x:v>0.0350089767</x:v>
      </x:c>
      <x:c r="R3033" s="3" t="b">
        <x:v>0</x:v>
      </x:c>
      <x:c r="S3033" s="3" t="b">
        <x:v>1</x:v>
      </x:c>
      <x:c r="T3033" s="3" t="b">
        <x:v>0</x:v>
      </x:c>
      <x:c r="U3033" s="2" t="str">
        <x:f>IF(T3033=TRUE,"Priority review",IF(R3033=TRUE,"High cost",IF(S3033=TRUE,"Low quality","Benchmark")))</x:f>
        <x:v>Low quality</x:v>
      </x:c>
    </x:row>
    <x:row r="3034">
      <x:c r="A3034" s="2" t="str">
        <x:v>381321</x:v>
      </x:c>
      <x:c r="B3034" s="2" t="str">
        <x:v>GRANDE RONDE HOSPITAL</x:v>
      </x:c>
      <x:c r="C3034" s="2" t="str">
        <x:v>LA GRANDE</x:v>
      </x:c>
      <x:c r="D3034" s="2" t="str">
        <x:v>OR</x:v>
      </x:c>
      <x:c r="E3034" s="2" t="str">
        <x:v>Critical Access Hospitals</x:v>
      </x:c>
      <x:c r="F3034" s="2" t="str">
        <x:v>Voluntary non-profit</x:v>
      </x:c>
      <x:c r="G3034" s="2" t="str">
        <x:v>Small (&lt;100 beds)</x:v>
      </x:c>
      <x:c r="H3034" s="7" t="n">
        <x:v>5</x:v>
      </x:c>
      <x:c r="I3034" s="7" t="n">
        <x:v>5</x:v>
      </x:c>
      <x:c r="J3034" s="7"/>
      <x:c r="K3034" s="8" t="n">
        <x:v>25</x:v>
      </x:c>
      <x:c r="L3034" s="8" t="n">
        <x:v>1474</x:v>
      </x:c>
      <x:c r="M3034" s="9" t="n">
        <x:v>0.5727123288</x:v>
      </x:c>
      <x:c r="N3034" s="10" t="n">
        <x:v>110419.8826322931</x:v>
      </x:c>
      <x:c r="O3034" s="9" t="n">
        <x:v>-0.0985858946</x:v>
      </x:c>
      <x:c r="P3034" s="9" t="n">
        <x:v>0.3858736059</x:v>
      </x:c>
      <x:c r="Q3034" s="9" t="n">
        <x:v>0.2602230483</x:v>
      </x:c>
      <x:c r="R3034" s="3" t="b">
        <x:v>0</x:v>
      </x:c>
      <x:c r="S3034" s="3" t="b">
        <x:v>0</x:v>
      </x:c>
      <x:c r="T3034" s="3" t="b">
        <x:v>0</x:v>
      </x:c>
      <x:c r="U3034" s="2" t="str">
        <x:f>IF(T3034=TRUE,"Priority review",IF(R3034=TRUE,"High cost",IF(S3034=TRUE,"Low quality","Benchmark")))</x:f>
        <x:v>Benchmark</x:v>
      </x:c>
    </x:row>
    <x:row r="3035">
      <x:c r="A3035" s="2" t="str">
        <x:v>100217</x:v>
      </x:c>
      <x:c r="B3035" s="2" t="str">
        <x:v>ORLANDO HEALTH SEBASTIAN RIVER HOSPITAL</x:v>
      </x:c>
      <x:c r="C3035" s="2" t="str">
        <x:v>SEBASTIAN</x:v>
      </x:c>
      <x:c r="D3035" s="2" t="str">
        <x:v>FL</x:v>
      </x:c>
      <x:c r="E3035" s="2" t="str">
        <x:v>Acute Care Hospitals</x:v>
      </x:c>
      <x:c r="F3035" s="2" t="str">
        <x:v>Voluntary non-profit</x:v>
      </x:c>
      <x:c r="G3035" s="2" t="str">
        <x:v>Medium (100-299 beds)</x:v>
      </x:c>
      <x:c r="H3035" s="7" t="n">
        <x:v>4</x:v>
      </x:c>
      <x:c r="I3035" s="7" t="n">
        <x:v>2</x:v>
      </x:c>
      <x:c r="J3035" s="7" t="n">
        <x:v>1.01</x:v>
      </x:c>
      <x:c r="K3035" s="8" t="n">
        <x:v>145</x:v>
      </x:c>
      <x:c r="L3035" s="8" t="n">
        <x:v>2819</x:v>
      </x:c>
      <x:c r="M3035" s="9" t="n">
        <x:v>0.2506756757</x:v>
      </x:c>
      <x:c r="N3035" s="10" t="n">
        <x:v>30273.3891450869</x:v>
      </x:c>
      <x:c r="O3035" s="9" t="n">
        <x:v>-0.2938412211</x:v>
      </x:c>
      <x:c r="P3035" s="9" t="n">
        <x:v>0.3854930725</x:v>
      </x:c>
      <x:c r="Q3035" s="9" t="n">
        <x:v>0.6022819886</x:v>
      </x:c>
      <x:c r="R3035" s="3" t="b">
        <x:v>0</x:v>
      </x:c>
      <x:c r="S3035" s="3" t="b">
        <x:v>0</x:v>
      </x:c>
      <x:c r="T3035" s="3" t="b">
        <x:v>0</x:v>
      </x:c>
      <x:c r="U3035" s="2" t="str">
        <x:f>IF(T3035=TRUE,"Priority review",IF(R3035=TRUE,"High cost",IF(S3035=TRUE,"Low quality","Benchmark")))</x:f>
        <x:v>Benchmark</x:v>
      </x:c>
    </x:row>
    <x:row r="3036">
      <x:c r="A3036" s="2" t="str">
        <x:v>451369</x:v>
      </x:c>
      <x:c r="B3036" s="2" t="str">
        <x:v>GOLDEN PLAINS COMMUNITY HOSPITAL</x:v>
      </x:c>
      <x:c r="C3036" s="2" t="str">
        <x:v>BORGER</x:v>
      </x:c>
      <x:c r="D3036" s="2" t="str">
        <x:v>TX</x:v>
      </x:c>
      <x:c r="E3036" s="2" t="str">
        <x:v>Critical Access Hospitals</x:v>
      </x:c>
      <x:c r="F3036" s="2" t="str">
        <x:v>Proprietary</x:v>
      </x:c>
      <x:c r="G3036" s="2" t="str">
        <x:v>Small (&lt;100 beds)</x:v>
      </x:c>
      <x:c r="H3036" s="7"/>
      <x:c r="I3036" s="7"/>
      <x:c r="J3036" s="7"/>
      <x:c r="K3036" s="8" t="n">
        <x:v>25</x:v>
      </x:c>
      <x:c r="L3036" s="8" t="n">
        <x:v>321</x:v>
      </x:c>
      <x:c r="M3036" s="9" t="n">
        <x:v>0.1936612022</x:v>
      </x:c>
      <x:c r="N3036" s="10" t="n">
        <x:v>110383.7289719626</x:v>
      </x:c>
      <x:c r="O3036" s="9" t="n">
        <x:v>-0.4761091103</x:v>
      </x:c>
      <x:c r="P3036" s="9" t="n">
        <x:v>0.3851301115</x:v>
      </x:c>
      <x:c r="Q3036" s="9" t="n">
        <x:v>0.292936803</x:v>
      </x:c>
      <x:c r="R3036" s="3" t="b">
        <x:v>0</x:v>
      </x:c>
      <x:c r="S3036" s="3" t="b">
        <x:v>0</x:v>
      </x:c>
      <x:c r="T3036" s="3" t="b">
        <x:v>0</x:v>
      </x:c>
      <x:c r="U3036" s="2" t="str">
        <x:f>IF(T3036=TRUE,"Priority review",IF(R3036=TRUE,"High cost",IF(S3036=TRUE,"Low quality","Benchmark")))</x:f>
        <x:v>Benchmark</x:v>
      </x:c>
    </x:row>
    <x:row r="3037">
      <x:c r="A3037" s="2" t="str">
        <x:v>184008</x:v>
      </x:c>
      <x:c r="B3037" s="2" t="str">
        <x:v>THE BROOK HOSPITAL - KMI</x:v>
      </x:c>
      <x:c r="C3037" s="2" t="str">
        <x:v>LOUISVILLE</x:v>
      </x:c>
      <x:c r="D3037" s="2" t="str">
        <x:v>KY</x:v>
      </x:c>
      <x:c r="E3037" s="2" t="str">
        <x:v>Psychiatric</x:v>
      </x:c>
      <x:c r="F3037" s="2" t="str">
        <x:v>Government</x:v>
      </x:c>
      <x:c r="G3037" s="2" t="str">
        <x:v>Small (&lt;100 beds)</x:v>
      </x:c>
      <x:c r="H3037" s="7"/>
      <x:c r="I3037" s="7"/>
      <x:c r="J3037" s="7"/>
      <x:c r="K3037" s="8" t="n">
        <x:v>64</x:v>
      </x:c>
      <x:c r="L3037" s="8" t="n">
        <x:v>1957</x:v>
      </x:c>
      <x:c r="M3037" s="9" t="n">
        <x:v>0.7694672131</x:v>
      </x:c>
      <x:c r="N3037" s="10" t="n">
        <x:v>10054.4961676035</x:v>
      </x:c>
      <x:c r="O3037" s="9" t="n">
        <x:v>0.4163199636</x:v>
      </x:c>
      <x:c r="P3037" s="9" t="n">
        <x:v>0.3851132686</x:v>
      </x:c>
      <x:c r="Q3037" s="9" t="n">
        <x:v>0</x:v>
      </x:c>
      <x:c r="R3037" s="3" t="b">
        <x:v>0</x:v>
      </x:c>
      <x:c r="S3037" s="3" t="b">
        <x:v>0</x:v>
      </x:c>
      <x:c r="T3037" s="3" t="b">
        <x:v>0</x:v>
      </x:c>
      <x:c r="U3037" s="2" t="str">
        <x:f>IF(T3037=TRUE,"Priority review",IF(R3037=TRUE,"High cost",IF(S3037=TRUE,"Low quality","Benchmark")))</x:f>
        <x:v>Benchmark</x:v>
      </x:c>
    </x:row>
    <x:row r="3038">
      <x:c r="A3038" s="2" t="str">
        <x:v>060125</x:v>
      </x:c>
      <x:c r="B3038" s="2" t="str">
        <x:v>ADVENTHEALTH CASTLE ROCK</x:v>
      </x:c>
      <x:c r="C3038" s="2" t="str">
        <x:v>CASTLE ROCK</x:v>
      </x:c>
      <x:c r="D3038" s="2" t="str">
        <x:v>CO</x:v>
      </x:c>
      <x:c r="E3038" s="2" t="str">
        <x:v>Acute Care Hospitals</x:v>
      </x:c>
      <x:c r="F3038" s="2" t="str">
        <x:v>Voluntary non-profit</x:v>
      </x:c>
      <x:c r="G3038" s="2" t="str">
        <x:v>Small (&lt;100 beds)</x:v>
      </x:c>
      <x:c r="H3038" s="7" t="n">
        <x:v>5</x:v>
      </x:c>
      <x:c r="I3038" s="7" t="n">
        <x:v>3</x:v>
      </x:c>
      <x:c r="J3038" s="7" t="n">
        <x:v>0.92</x:v>
      </x:c>
      <x:c r="K3038" s="8" t="n">
        <x:v>89</x:v>
      </x:c>
      <x:c r="L3038" s="8" t="n">
        <x:v>4599</x:v>
      </x:c>
      <x:c r="M3038" s="9" t="n">
        <x:v>0.5088107079</x:v>
      </x:c>
      <x:c r="N3038" s="10" t="n">
        <x:v>44186.9178082192</x:v>
      </x:c>
      <x:c r="O3038" s="9" t="n">
        <x:v>-0.5065187247</x:v>
      </x:c>
      <x:c r="P3038" s="9" t="n">
        <x:v>0.3850987433</x:v>
      </x:c>
      <x:c r="Q3038" s="9" t="n">
        <x:v>0.6131059246</x:v>
      </x:c>
      <x:c r="R3038" s="3" t="b">
        <x:v>0</x:v>
      </x:c>
      <x:c r="S3038" s="3" t="b">
        <x:v>0</x:v>
      </x:c>
      <x:c r="T3038" s="3" t="b">
        <x:v>0</x:v>
      </x:c>
      <x:c r="U3038" s="2" t="str">
        <x:f>IF(T3038=TRUE,"Priority review",IF(R3038=TRUE,"High cost",IF(S3038=TRUE,"Low quality","Benchmark")))</x:f>
        <x:v>Benchmark</x:v>
      </x:c>
    </x:row>
    <x:row r="3039">
      <x:c r="A3039" s="2" t="str">
        <x:v>450040</x:v>
      </x:c>
      <x:c r="B3039" s="2" t="str">
        <x:v>COVENANT MEDICAL CENTER</x:v>
      </x:c>
      <x:c r="C3039" s="2" t="str">
        <x:v>LUBBOCK</x:v>
      </x:c>
      <x:c r="D3039" s="2" t="str">
        <x:v>TX</x:v>
      </x:c>
      <x:c r="E3039" s="2" t="str">
        <x:v>Acute Care Hospitals</x:v>
      </x:c>
      <x:c r="F3039" s="2" t="str">
        <x:v>Voluntary non-profit</x:v>
      </x:c>
      <x:c r="G3039" s="2" t="str">
        <x:v>Large (300+ beds)</x:v>
      </x:c>
      <x:c r="H3039" s="7" t="n">
        <x:v>3</x:v>
      </x:c>
      <x:c r="I3039" s="7" t="n">
        <x:v>3</x:v>
      </x:c>
      <x:c r="J3039" s="7" t="n">
        <x:v>1.13</x:v>
      </x:c>
      <x:c r="K3039" s="8" t="n">
        <x:v>439</x:v>
      </x:c>
      <x:c r="L3039" s="8" t="n">
        <x:v>18504</x:v>
      </x:c>
      <x:c r="M3039" s="9" t="n">
        <x:v>0.6533591288</x:v>
      </x:c>
      <x:c r="N3039" s="10" t="n">
        <x:v>34241.2481625594</x:v>
      </x:c>
      <x:c r="O3039" s="9" t="n">
        <x:v>-0.1634420317</x:v>
      </x:c>
      <x:c r="P3039" s="9" t="n">
        <x:v>0.3848580442</x:v>
      </x:c>
      <x:c r="Q3039" s="9" t="n">
        <x:v>0.2570977918</x:v>
      </x:c>
      <x:c r="R3039" s="3" t="b">
        <x:v>0</x:v>
      </x:c>
      <x:c r="S3039" s="3" t="b">
        <x:v>0</x:v>
      </x:c>
      <x:c r="T3039" s="3" t="b">
        <x:v>0</x:v>
      </x:c>
      <x:c r="U3039" s="2" t="str">
        <x:f>IF(T3039=TRUE,"Priority review",IF(R3039=TRUE,"High cost",IF(S3039=TRUE,"Low quality","Benchmark")))</x:f>
        <x:v>Benchmark</x:v>
      </x:c>
    </x:row>
    <x:row r="3040">
      <x:c r="A3040" s="2" t="str">
        <x:v>030092</x:v>
      </x:c>
      <x:c r="B3040" s="2" t="str">
        <x:v>HONORHEALTH DEER VALLEY MEDICAL CENTER</x:v>
      </x:c>
      <x:c r="C3040" s="2" t="str">
        <x:v>PHOENIX</x:v>
      </x:c>
      <x:c r="D3040" s="2" t="str">
        <x:v>AZ</x:v>
      </x:c>
      <x:c r="E3040" s="2" t="str">
        <x:v>Acute Care Hospitals</x:v>
      </x:c>
      <x:c r="F3040" s="2" t="str">
        <x:v>Voluntary non-profit</x:v>
      </x:c>
      <x:c r="G3040" s="2" t="str">
        <x:v>Medium (100-299 beds)</x:v>
      </x:c>
      <x:c r="H3040" s="7" t="n">
        <x:v>3</x:v>
      </x:c>
      <x:c r="I3040" s="7" t="n">
        <x:v>3</x:v>
      </x:c>
      <x:c r="J3040" s="7" t="n">
        <x:v>1.02</x:v>
      </x:c>
      <x:c r="K3040" s="8" t="n">
        <x:v>204</x:v>
      </x:c>
      <x:c r="L3040" s="8" t="n">
        <x:v>13767</x:v>
      </x:c>
      <x:c r="M3040" s="9" t="n">
        <x:v>0.8762455802</x:v>
      </x:c>
      <x:c r="N3040" s="10" t="n">
        <x:v>30271.7109755212</x:v>
      </x:c>
      <x:c r="O3040" s="9" t="n">
        <x:v>0.0740955145</x:v>
      </x:c>
      <x:c r="P3040" s="9" t="n">
        <x:v>0.3846780766</x:v>
      </x:c>
      <x:c r="Q3040" s="9" t="n">
        <x:v>0.3023634882</x:v>
      </x:c>
      <x:c r="R3040" s="3" t="b">
        <x:v>0</x:v>
      </x:c>
      <x:c r="S3040" s="3" t="b">
        <x:v>0</x:v>
      </x:c>
      <x:c r="T3040" s="3" t="b">
        <x:v>0</x:v>
      </x:c>
      <x:c r="U3040" s="2" t="str">
        <x:f>IF(T3040=TRUE,"Priority review",IF(R3040=TRUE,"High cost",IF(S3040=TRUE,"Low quality","Benchmark")))</x:f>
        <x:v>Benchmark</x:v>
      </x:c>
    </x:row>
    <x:row r="3041">
      <x:c r="A3041" s="2" t="str">
        <x:v>221300</x:v>
      </x:c>
      <x:c r="B3041" s="2" t="str">
        <x:v>MARTHA'S VINEYARD HOSPITAL INC</x:v>
      </x:c>
      <x:c r="C3041" s="2" t="str">
        <x:v>OAK BLUFFS</x:v>
      </x:c>
      <x:c r="D3041" s="2" t="str">
        <x:v>MA</x:v>
      </x:c>
      <x:c r="E3041" s="2" t="str">
        <x:v>Critical Access Hospitals</x:v>
      </x:c>
      <x:c r="F3041" s="2" t="str">
        <x:v>Voluntary non-profit</x:v>
      </x:c>
      <x:c r="G3041" s="2" t="str">
        <x:v>Small (&lt;100 beds)</x:v>
      </x:c>
      <x:c r="H3041" s="7" t="n">
        <x:v>4</x:v>
      </x:c>
      <x:c r="I3041" s="7" t="n">
        <x:v>4</x:v>
      </x:c>
      <x:c r="J3041" s="7"/>
      <x:c r="K3041" s="8" t="n">
        <x:v>25</x:v>
      </x:c>
      <x:c r="L3041" s="8" t="n">
        <x:v>1303</x:v>
      </x:c>
      <x:c r="M3041" s="9" t="n">
        <x:v>0.5507103825</x:v>
      </x:c>
      <x:c r="N3041" s="10" t="n">
        <x:v>110332.9693016117</x:v>
      </x:c>
      <x:c r="O3041" s="9" t="n">
        <x:v>0.0025913613</x:v>
      </x:c>
      <x:c r="P3041" s="9" t="n">
        <x:v>0.3843866171</x:v>
      </x:c>
      <x:c r="Q3041" s="9" t="n">
        <x:v>0.1657992565</x:v>
      </x:c>
      <x:c r="R3041" s="3" t="b">
        <x:v>0</x:v>
      </x:c>
      <x:c r="S3041" s="3" t="b">
        <x:v>0</x:v>
      </x:c>
      <x:c r="T3041" s="3" t="b">
        <x:v>0</x:v>
      </x:c>
      <x:c r="U3041" s="2" t="str">
        <x:f>IF(T3041=TRUE,"Priority review",IF(R3041=TRUE,"High cost",IF(S3041=TRUE,"Low quality","Benchmark")))</x:f>
        <x:v>Benchmark</x:v>
      </x:c>
    </x:row>
    <x:row r="3042">
      <x:c r="A3042" s="2" t="str">
        <x:v>150047</x:v>
      </x:c>
      <x:c r="B3042" s="2" t="str">
        <x:v>ST JOSEPH HEALTH SYSTEM, LLC</x:v>
      </x:c>
      <x:c r="C3042" s="2" t="str">
        <x:v>FORT WAYNE</x:v>
      </x:c>
      <x:c r="D3042" s="2" t="str">
        <x:v>IN</x:v>
      </x:c>
      <x:c r="E3042" s="2" t="str">
        <x:v>Acute Care Hospitals</x:v>
      </x:c>
      <x:c r="F3042" s="2" t="str">
        <x:v>Proprietary</x:v>
      </x:c>
      <x:c r="G3042" s="2" t="str">
        <x:v>Small (&lt;100 beds)</x:v>
      </x:c>
      <x:c r="H3042" s="7" t="n">
        <x:v>4</x:v>
      </x:c>
      <x:c r="I3042" s="7" t="n">
        <x:v>3</x:v>
      </x:c>
      <x:c r="J3042" s="7" t="n">
        <x:v>1.16</x:v>
      </x:c>
      <x:c r="K3042" s="8" t="n">
        <x:v>35</x:v>
      </x:c>
      <x:c r="L3042" s="8" t="n">
        <x:v>1633</x:v>
      </x:c>
      <x:c r="M3042" s="9" t="n">
        <x:v>0.4171629256</x:v>
      </x:c>
      <x:c r="N3042" s="10" t="n">
        <x:v>44108.7078995713</x:v>
      </x:c>
      <x:c r="O3042" s="9" t="n">
        <x:v>0.0162793939</x:v>
      </x:c>
      <x:c r="P3042" s="9" t="n">
        <x:v>0.3842010772</x:v>
      </x:c>
      <x:c r="Q3042" s="9" t="n">
        <x:v>0.3913824057</x:v>
      </x:c>
      <x:c r="R3042" s="3" t="b">
        <x:v>0</x:v>
      </x:c>
      <x:c r="S3042" s="3" t="b">
        <x:v>0</x:v>
      </x:c>
      <x:c r="T3042" s="3" t="b">
        <x:v>0</x:v>
      </x:c>
      <x:c r="U3042" s="2" t="str">
        <x:f>IF(T3042=TRUE,"Priority review",IF(R3042=TRUE,"High cost",IF(S3042=TRUE,"Low quality","Benchmark")))</x:f>
        <x:v>Benchmark</x:v>
      </x:c>
    </x:row>
    <x:row r="3043">
      <x:c r="A3043" s="2" t="str">
        <x:v>050226</x:v>
      </x:c>
      <x:c r="B3043" s="2" t="str">
        <x:v>AHMC ANAHEIM REGIONAL MEDICAL CENTER</x:v>
      </x:c>
      <x:c r="C3043" s="2" t="str">
        <x:v>ANAHEIM</x:v>
      </x:c>
      <x:c r="D3043" s="2" t="str">
        <x:v>CA</x:v>
      </x:c>
      <x:c r="E3043" s="2" t="str">
        <x:v>Acute Care Hospitals</x:v>
      </x:c>
      <x:c r="F3043" s="2" t="str">
        <x:v>Voluntary non-profit</x:v>
      </x:c>
      <x:c r="G3043" s="2" t="str">
        <x:v>Medium (100-299 beds)</x:v>
      </x:c>
      <x:c r="H3043" s="7" t="n">
        <x:v>4</x:v>
      </x:c>
      <x:c r="I3043" s="7" t="n">
        <x:v>2</x:v>
      </x:c>
      <x:c r="J3043" s="7" t="n">
        <x:v>1.08</x:v>
      </x:c>
      <x:c r="K3043" s="8" t="n">
        <x:v>223</x:v>
      </x:c>
      <x:c r="L3043" s="8" t="n">
        <x:v>5869</x:v>
      </x:c>
      <x:c r="M3043" s="9" t="n">
        <x:v>0.3001290006</x:v>
      </x:c>
      <x:c r="N3043" s="10" t="n">
        <x:v>30268.747486795</x:v>
      </x:c>
      <x:c r="O3043" s="9" t="n">
        <x:v>-0.2844713038</x:v>
      </x:c>
      <x:c r="P3043" s="9" t="n">
        <x:v>0.3838630807</x:v>
      </x:c>
      <x:c r="Q3043" s="9" t="n">
        <x:v>0.6022819886</x:v>
      </x:c>
      <x:c r="R3043" s="3" t="b">
        <x:v>0</x:v>
      </x:c>
      <x:c r="S3043" s="3" t="b">
        <x:v>0</x:v>
      </x:c>
      <x:c r="T3043" s="3" t="b">
        <x:v>0</x:v>
      </x:c>
      <x:c r="U3043" s="2" t="str">
        <x:f>IF(T3043=TRUE,"Priority review",IF(R3043=TRUE,"High cost",IF(S3043=TRUE,"Low quality","Benchmark")))</x:f>
        <x:v>Benchmark</x:v>
      </x:c>
    </x:row>
    <x:row r="3044">
      <x:c r="A3044" s="2" t="str">
        <x:v>171334</x:v>
      </x:c>
      <x:c r="B3044" s="2" t="str">
        <x:v>MEDICINE LODGE MEMORIAL HOSPITAL</x:v>
      </x:c>
      <x:c r="C3044" s="2" t="str">
        <x:v>MEDICINE LODGE</x:v>
      </x:c>
      <x:c r="D3044" s="2" t="str">
        <x:v>KS</x:v>
      </x:c>
      <x:c r="E3044" s="2" t="str">
        <x:v>Critical Access Hospitals</x:v>
      </x:c>
      <x:c r="F3044" s="2" t="str">
        <x:v>Government</x:v>
      </x:c>
      <x:c r="G3044" s="2" t="str">
        <x:v>Small (&lt;100 beds)</x:v>
      </x:c>
      <x:c r="H3044" s="7"/>
      <x:c r="I3044" s="7"/>
      <x:c r="J3044" s="7"/>
      <x:c r="K3044" s="8" t="n">
        <x:v>22</x:v>
      </x:c>
      <x:c r="L3044" s="8" t="n">
        <x:v>127</x:v>
      </x:c>
      <x:c r="M3044" s="9" t="n">
        <x:v>0.7775707899</x:v>
      </x:c>
      <x:c r="N3044" s="10" t="n">
        <x:v>110149.0472440945</x:v>
      </x:c>
      <x:c r="O3044" s="9" t="n">
        <x:v>-0.1839399579</x:v>
      </x:c>
      <x:c r="P3044" s="9" t="n">
        <x:v>0.3836431227</x:v>
      </x:c>
      <x:c r="Q3044" s="9" t="n">
        <x:v>0.292936803</x:v>
      </x:c>
      <x:c r="R3044" s="3" t="b">
        <x:v>0</x:v>
      </x:c>
      <x:c r="S3044" s="3" t="b">
        <x:v>0</x:v>
      </x:c>
      <x:c r="T3044" s="3" t="b">
        <x:v>0</x:v>
      </x:c>
      <x:c r="U3044" s="2" t="str">
        <x:f>IF(T3044=TRUE,"Priority review",IF(R3044=TRUE,"High cost",IF(S3044=TRUE,"Low quality","Benchmark")))</x:f>
        <x:v>Benchmark</x:v>
      </x:c>
    </x:row>
    <x:row r="3045">
      <x:c r="A3045" s="2" t="str">
        <x:v>320065</x:v>
      </x:c>
      <x:c r="B3045" s="2" t="str">
        <x:v>COVENANT HEALTH HOBBS HOSPITAL</x:v>
      </x:c>
      <x:c r="C3045" s="2" t="str">
        <x:v>HOBBS</x:v>
      </x:c>
      <x:c r="D3045" s="2" t="str">
        <x:v>NM</x:v>
      </x:c>
      <x:c r="E3045" s="2" t="str">
        <x:v>Acute Care Hospitals</x:v>
      </x:c>
      <x:c r="F3045" s="2" t="str">
        <x:v>Voluntary non-profit</x:v>
      </x:c>
      <x:c r="G3045" s="2" t="str">
        <x:v>Small (&lt;100 beds)</x:v>
      </x:c>
      <x:c r="H3045" s="7" t="n">
        <x:v>3</x:v>
      </x:c>
      <x:c r="I3045" s="7" t="n">
        <x:v>4</x:v>
      </x:c>
      <x:c r="J3045" s="7" t="n">
        <x:v>1.13</x:v>
      </x:c>
      <x:c r="K3045" s="8" t="n">
        <x:v>27</x:v>
      </x:c>
      <x:c r="L3045" s="8" t="n">
        <x:v>1442</x:v>
      </x:c>
      <x:c r="M3045" s="9" t="n">
        <x:v>0.4160324708</x:v>
      </x:c>
      <x:c r="N3045" s="10" t="n">
        <x:v>43999.1262135922</x:v>
      </x:c>
      <x:c r="O3045" s="9" t="n">
        <x:v>-0.1415180527</x:v>
      </x:c>
      <x:c r="P3045" s="9" t="n">
        <x:v>0.3833034111</x:v>
      </x:c>
      <x:c r="Q3045" s="9" t="n">
        <x:v>0.1687612208</x:v>
      </x:c>
      <x:c r="R3045" s="3" t="b">
        <x:v>0</x:v>
      </x:c>
      <x:c r="S3045" s="3" t="b">
        <x:v>0</x:v>
      </x:c>
      <x:c r="T3045" s="3" t="b">
        <x:v>0</x:v>
      </x:c>
      <x:c r="U3045" s="2" t="str">
        <x:f>IF(T3045=TRUE,"Priority review",IF(R3045=TRUE,"High cost",IF(S3045=TRUE,"Low quality","Benchmark")))</x:f>
        <x:v>Benchmark</x:v>
      </x:c>
    </x:row>
    <x:row r="3046">
      <x:c r="A3046" s="2" t="str">
        <x:v>050129</x:v>
      </x:c>
      <x:c r="B3046" s="2" t="str">
        <x:v>ST BERNARDINE MEDICAL CENTER</x:v>
      </x:c>
      <x:c r="C3046" s="2" t="str">
        <x:v>SAN BERNARDINO</x:v>
      </x:c>
      <x:c r="D3046" s="2" t="str">
        <x:v>CA</x:v>
      </x:c>
      <x:c r="E3046" s="2" t="str">
        <x:v>Acute Care Hospitals</x:v>
      </x:c>
      <x:c r="F3046" s="2" t="str">
        <x:v>Voluntary non-profit</x:v>
      </x:c>
      <x:c r="G3046" s="2" t="str">
        <x:v>Large (300+ beds)</x:v>
      </x:c>
      <x:c r="H3046" s="7" t="n">
        <x:v>2</x:v>
      </x:c>
      <x:c r="I3046" s="7" t="n">
        <x:v>2</x:v>
      </x:c>
      <x:c r="J3046" s="7" t="n">
        <x:v>1.05</x:v>
      </x:c>
      <x:c r="K3046" s="8" t="n">
        <x:v>318</x:v>
      </x:c>
      <x:c r="L3046" s="8" t="n">
        <x:v>15375</x:v>
      </x:c>
      <x:c r="M3046" s="9" t="n">
        <x:v>0.6829745597</x:v>
      </x:c>
      <x:c r="N3046" s="10" t="n">
        <x:v>34132.318504065</x:v>
      </x:c>
      <x:c r="O3046" s="9" t="n">
        <x:v>-0.0528324546</x:v>
      </x:c>
      <x:c r="P3046" s="9" t="n">
        <x:v>0.3832807571</x:v>
      </x:c>
      <x:c r="Q3046" s="9" t="n">
        <x:v>0.0536277603</x:v>
      </x:c>
      <x:c r="R3046" s="3" t="b">
        <x:v>0</x:v>
      </x:c>
      <x:c r="S3046" s="3" t="b">
        <x:v>1</x:v>
      </x:c>
      <x:c r="T3046" s="3" t="b">
        <x:v>0</x:v>
      </x:c>
      <x:c r="U3046" s="2" t="str">
        <x:f>IF(T3046=TRUE,"Priority review",IF(R3046=TRUE,"High cost",IF(S3046=TRUE,"Low quality","Benchmark")))</x:f>
        <x:v>Low quality</x:v>
      </x:c>
    </x:row>
    <x:row r="3047">
      <x:c r="A3047" s="2" t="str">
        <x:v>224043</x:v>
      </x:c>
      <x:c r="B3047" s="2" t="str">
        <x:v>TARAVISTA BEHAVIORAL HEALTH CENTER</x:v>
      </x:c>
      <x:c r="C3047" s="2" t="str">
        <x:v>DEVENS</x:v>
      </x:c>
      <x:c r="D3047" s="2" t="str">
        <x:v>MA</x:v>
      </x:c>
      <x:c r="E3047" s="2" t="str">
        <x:v>Psychiatric</x:v>
      </x:c>
      <x:c r="F3047" s="2" t="str">
        <x:v>Proprietary</x:v>
      </x:c>
      <x:c r="G3047" s="2" t="str">
        <x:v>Medium (100-299 beds)</x:v>
      </x:c>
      <x:c r="H3047" s="7"/>
      <x:c r="I3047" s="7"/>
      <x:c r="J3047" s="7"/>
      <x:c r="K3047" s="8" t="n">
        <x:v>122</x:v>
      </x:c>
      <x:c r="L3047" s="8" t="n">
        <x:v>4456</x:v>
      </x:c>
      <x:c r="M3047" s="9" t="n">
        <x:v>0.9443026068</x:v>
      </x:c>
      <x:c r="N3047" s="10" t="n">
        <x:v>8973.1754937163</x:v>
      </x:c>
      <x:c r="O3047" s="9" t="n">
        <x:v>0.1057492331</x:v>
      </x:c>
      <x:c r="P3047" s="9" t="n">
        <x:v>0.3830845771</x:v>
      </x:c>
      <x:c r="Q3047" s="9" t="n">
        <x:v>0</x:v>
      </x:c>
      <x:c r="R3047" s="3" t="b">
        <x:v>0</x:v>
      </x:c>
      <x:c r="S3047" s="3" t="b">
        <x:v>0</x:v>
      </x:c>
      <x:c r="T3047" s="3" t="b">
        <x:v>0</x:v>
      </x:c>
      <x:c r="U3047" s="2" t="str">
        <x:f>IF(T3047=TRUE,"Priority review",IF(R3047=TRUE,"High cost",IF(S3047=TRUE,"Low quality","Benchmark")))</x:f>
        <x:v>Benchmark</x:v>
      </x:c>
    </x:row>
    <x:row r="3048">
      <x:c r="A3048" s="2" t="str">
        <x:v>140084</x:v>
      </x:c>
      <x:c r="B3048" s="2" t="str">
        <x:v>VISTA MEDICAL CENTER EAST</x:v>
      </x:c>
      <x:c r="C3048" s="2" t="str">
        <x:v>WAUKEGAN</x:v>
      </x:c>
      <x:c r="D3048" s="2" t="str">
        <x:v>IL</x:v>
      </x:c>
      <x:c r="E3048" s="2" t="str">
        <x:v>Acute Care Hospitals</x:v>
      </x:c>
      <x:c r="F3048" s="2" t="str">
        <x:v>Proprietary</x:v>
      </x:c>
      <x:c r="G3048" s="2" t="str">
        <x:v>Medium (100-299 beds)</x:v>
      </x:c>
      <x:c r="H3048" s="7" t="n">
        <x:v>2</x:v>
      </x:c>
      <x:c r="I3048" s="7" t="n">
        <x:v>1</x:v>
      </x:c>
      <x:c r="J3048" s="7" t="n">
        <x:v>1</x:v>
      </x:c>
      <x:c r="K3048" s="8" t="n">
        <x:v>166</x:v>
      </x:c>
      <x:c r="L3048" s="8" t="n">
        <x:v>4532</x:v>
      </x:c>
      <x:c r="M3048" s="9" t="n">
        <x:v>0.3421719666</x:v>
      </x:c>
      <x:c r="N3048" s="10" t="n">
        <x:v>30264.9466019417</x:v>
      </x:c>
      <x:c r="O3048" s="9" t="n">
        <x:v>-0.3953187146</x:v>
      </x:c>
      <x:c r="P3048" s="9" t="n">
        <x:v>0.3830480848</x:v>
      </x:c>
      <x:c r="Q3048" s="9" t="n">
        <x:v>0.0782396088</x:v>
      </x:c>
      <x:c r="R3048" s="3" t="b">
        <x:v>0</x:v>
      </x:c>
      <x:c r="S3048" s="3" t="b">
        <x:v>1</x:v>
      </x:c>
      <x:c r="T3048" s="3" t="b">
        <x:v>0</x:v>
      </x:c>
      <x:c r="U3048" s="2" t="str">
        <x:f>IF(T3048=TRUE,"Priority review",IF(R3048=TRUE,"High cost",IF(S3048=TRUE,"Low quality","Benchmark")))</x:f>
        <x:v>Low quality</x:v>
      </x:c>
    </x:row>
    <x:row r="3049">
      <x:c r="A3049" s="2" t="str">
        <x:v>241374</x:v>
      </x:c>
      <x:c r="B3049" s="2" t="str">
        <x:v>PIPESTONE COUNTY  MEDICAL CENTER</x:v>
      </x:c>
      <x:c r="C3049" s="2" t="str">
        <x:v>PIPESTONE</x:v>
      </x:c>
      <x:c r="D3049" s="2" t="str">
        <x:v>MN</x:v>
      </x:c>
      <x:c r="E3049" s="2" t="str">
        <x:v>Critical Access Hospitals</x:v>
      </x:c>
      <x:c r="F3049" s="2" t="str">
        <x:v>Government</x:v>
      </x:c>
      <x:c r="G3049" s="2" t="str">
        <x:v>Small (&lt;100 beds)</x:v>
      </x:c>
      <x:c r="H3049" s="7"/>
      <x:c r="I3049" s="7"/>
      <x:c r="J3049" s="7"/>
      <x:c r="K3049" s="8" t="n">
        <x:v>18</x:v>
      </x:c>
      <x:c r="L3049" s="8" t="n">
        <x:v>368</x:v>
      </x:c>
      <x:c r="M3049" s="9" t="n">
        <x:v>0.2190258752</x:v>
      </x:c>
      <x:c r="N3049" s="10" t="n">
        <x:v>110053.9048913044</x:v>
      </x:c>
      <x:c r="O3049" s="9" t="n">
        <x:v>-0.0835604516</x:v>
      </x:c>
      <x:c r="P3049" s="9" t="n">
        <x:v>0.3828996283</x:v>
      </x:c>
      <x:c r="Q3049" s="9" t="n">
        <x:v>0.292936803</x:v>
      </x:c>
      <x:c r="R3049" s="3" t="b">
        <x:v>0</x:v>
      </x:c>
      <x:c r="S3049" s="3" t="b">
        <x:v>0</x:v>
      </x:c>
      <x:c r="T3049" s="3" t="b">
        <x:v>0</x:v>
      </x:c>
      <x:c r="U3049" s="2" t="str">
        <x:f>IF(T3049=TRUE,"Priority review",IF(R3049=TRUE,"High cost",IF(S3049=TRUE,"Low quality","Benchmark")))</x:f>
        <x:v>Benchmark</x:v>
      </x:c>
    </x:row>
    <x:row r="3050">
      <x:c r="A3050" s="2" t="str">
        <x:v>110051</x:v>
      </x:c>
      <x:c r="B3050" s="2" t="str">
        <x:v>UNION GENERAL HOSPITAL</x:v>
      </x:c>
      <x:c r="C3050" s="2" t="str">
        <x:v>BLAIRSVILLE</x:v>
      </x:c>
      <x:c r="D3050" s="2" t="str">
        <x:v>GA</x:v>
      </x:c>
      <x:c r="E3050" s="2" t="str">
        <x:v>Acute Care Hospitals</x:v>
      </x:c>
      <x:c r="F3050" s="2" t="str">
        <x:v>Government</x:v>
      </x:c>
      <x:c r="G3050" s="2" t="str">
        <x:v>Small (&lt;100 beds)</x:v>
      </x:c>
      <x:c r="H3050" s="7" t="n">
        <x:v>3</x:v>
      </x:c>
      <x:c r="I3050" s="7" t="n">
        <x:v>3</x:v>
      </x:c>
      <x:c r="J3050" s="7" t="n">
        <x:v>1.06</x:v>
      </x:c>
      <x:c r="K3050" s="8" t="n">
        <x:v>39</x:v>
      </x:c>
      <x:c r="L3050" s="8" t="n">
        <x:v>2732</x:v>
      </x:c>
      <x:c r="M3050" s="9" t="n">
        <x:v>0.6321742185</x:v>
      </x:c>
      <x:c r="N3050" s="10" t="n">
        <x:v>43860.3071010249</x:v>
      </x:c>
      <x:c r="O3050" s="9" t="n">
        <x:v>-0.0036548957</x:v>
      </x:c>
      <x:c r="P3050" s="9" t="n">
        <x:v>0.3824057451</x:v>
      </x:c>
      <x:c r="Q3050" s="9" t="n">
        <x:v>0.1687612208</x:v>
      </x:c>
      <x:c r="R3050" s="3" t="b">
        <x:v>0</x:v>
      </x:c>
      <x:c r="S3050" s="3" t="b">
        <x:v>0</x:v>
      </x:c>
      <x:c r="T3050" s="3" t="b">
        <x:v>0</x:v>
      </x:c>
      <x:c r="U3050" s="2" t="str">
        <x:f>IF(T3050=TRUE,"Priority review",IF(R3050=TRUE,"High cost",IF(S3050=TRUE,"Low quality","Benchmark")))</x:f>
        <x:v>Benchmark</x:v>
      </x:c>
    </x:row>
    <x:row r="3051">
      <x:c r="A3051" s="2" t="str">
        <x:v>500151</x:v>
      </x:c>
      <x:c r="B3051" s="2" t="str">
        <x:v>ST ANTHONY HOSPITAL</x:v>
      </x:c>
      <x:c r="C3051" s="2" t="str">
        <x:v>GIG HARBOR</x:v>
      </x:c>
      <x:c r="D3051" s="2" t="str">
        <x:v>WA</x:v>
      </x:c>
      <x:c r="E3051" s="2" t="str">
        <x:v>Acute Care Hospitals</x:v>
      </x:c>
      <x:c r="F3051" s="2" t="str">
        <x:v>Voluntary non-profit</x:v>
      </x:c>
      <x:c r="G3051" s="2" t="str">
        <x:v>Medium (100-299 beds)</x:v>
      </x:c>
      <x:c r="H3051" s="7" t="n">
        <x:v>5</x:v>
      </x:c>
      <x:c r="I3051" s="7" t="n">
        <x:v>3</x:v>
      </x:c>
      <x:c r="J3051" s="7" t="n">
        <x:v>0.93</x:v>
      </x:c>
      <x:c r="K3051" s="8" t="n">
        <x:v>112</x:v>
      </x:c>
      <x:c r="L3051" s="8" t="n">
        <x:v>7918</x:v>
      </x:c>
      <x:c r="M3051" s="9" t="n">
        <x:v>0.8745841487</x:v>
      </x:c>
      <x:c r="N3051" s="10" t="n">
        <x:v>30252.0247537257</x:v>
      </x:c>
      <x:c r="O3051" s="9" t="n">
        <x:v>0.0150306803</x:v>
      </x:c>
      <x:c r="P3051" s="9" t="n">
        <x:v>0.3822330888</x:v>
      </x:c>
      <x:c r="Q3051" s="9" t="n">
        <x:v>0.8744906275</x:v>
      </x:c>
      <x:c r="R3051" s="3" t="b">
        <x:v>0</x:v>
      </x:c>
      <x:c r="S3051" s="3" t="b">
        <x:v>0</x:v>
      </x:c>
      <x:c r="T3051" s="3" t="b">
        <x:v>0</x:v>
      </x:c>
      <x:c r="U3051" s="2" t="str">
        <x:f>IF(T3051=TRUE,"Priority review",IF(R3051=TRUE,"High cost",IF(S3051=TRUE,"Low quality","Benchmark")))</x:f>
        <x:v>Benchmark</x:v>
      </x:c>
    </x:row>
    <x:row r="3052">
      <x:c r="A3052" s="2" t="str">
        <x:v>201302</x:v>
      </x:c>
      <x:c r="B3052" s="2" t="str">
        <x:v>LINCOLNHEALTH</x:v>
      </x:c>
      <x:c r="C3052" s="2" t="str">
        <x:v>DAMARISCOTTA</x:v>
      </x:c>
      <x:c r="D3052" s="2" t="str">
        <x:v>ME</x:v>
      </x:c>
      <x:c r="E3052" s="2" t="str">
        <x:v>Critical Access Hospitals</x:v>
      </x:c>
      <x:c r="F3052" s="2" t="str">
        <x:v>Voluntary non-profit</x:v>
      </x:c>
      <x:c r="G3052" s="2" t="str">
        <x:v>Small (&lt;100 beds)</x:v>
      </x:c>
      <x:c r="H3052" s="7" t="n">
        <x:v>3</x:v>
      </x:c>
      <x:c r="I3052" s="7" t="n">
        <x:v>4</x:v>
      </x:c>
      <x:c r="J3052" s="7"/>
      <x:c r="K3052" s="8" t="n">
        <x:v>25</x:v>
      </x:c>
      <x:c r="L3052" s="8" t="n">
        <x:v>1345</x:v>
      </x:c>
      <x:c r="M3052" s="9" t="n">
        <x:v>0.7834972678</x:v>
      </x:c>
      <x:c r="N3052" s="10" t="n">
        <x:v>110000.5338289963</x:v>
      </x:c>
      <x:c r="O3052" s="9" t="n">
        <x:v>0.0188386964</x:v>
      </x:c>
      <x:c r="P3052" s="9" t="n">
        <x:v>0.3821561338</x:v>
      </x:c>
      <x:c r="Q3052" s="9" t="n">
        <x:v>0.0765799257</x:v>
      </x:c>
      <x:c r="R3052" s="3" t="b">
        <x:v>0</x:v>
      </x:c>
      <x:c r="S3052" s="3" t="b">
        <x:v>1</x:v>
      </x:c>
      <x:c r="T3052" s="3" t="b">
        <x:v>0</x:v>
      </x:c>
      <x:c r="U3052" s="2" t="str">
        <x:f>IF(T3052=TRUE,"Priority review",IF(R3052=TRUE,"High cost",IF(S3052=TRUE,"Low quality","Benchmark")))</x:f>
        <x:v>Low quality</x:v>
      </x:c>
    </x:row>
    <x:row r="3053">
      <x:c r="A3053" s="2" t="str">
        <x:v>104081</x:v>
      </x:c>
      <x:c r="B3053" s="2" t="str">
        <x:v>BLACKBERRY CENTER - OGLETHORPE OF ORLANDO</x:v>
      </x:c>
      <x:c r="C3053" s="2" t="str">
        <x:v>SAINT CLOUD</x:v>
      </x:c>
      <x:c r="D3053" s="2" t="str">
        <x:v>FL</x:v>
      </x:c>
      <x:c r="E3053" s="2" t="str">
        <x:v>Psychiatric</x:v>
      </x:c>
      <x:c r="F3053" s="2" t="str">
        <x:v>Voluntary non-profit</x:v>
      </x:c>
      <x:c r="G3053" s="2" t="str">
        <x:v>Small (&lt;100 beds)</x:v>
      </x:c>
      <x:c r="H3053" s="7"/>
      <x:c r="I3053" s="7"/>
      <x:c r="J3053" s="7"/>
      <x:c r="K3053" s="8" t="n">
        <x:v>64</x:v>
      </x:c>
      <x:c r="L3053" s="8" t="n">
        <x:v>1207</x:v>
      </x:c>
      <x:c r="M3053" s="9" t="n">
        <x:v>0.7312928082</x:v>
      </x:c>
      <x:c r="N3053" s="10" t="n">
        <x:v>10005.6826843413</x:v>
      </x:c>
      <x:c r="O3053" s="9" t="n">
        <x:v>0.0219398374</x:v>
      </x:c>
      <x:c r="P3053" s="9" t="n">
        <x:v>0.3818770227</x:v>
      </x:c>
      <x:c r="Q3053" s="9" t="n">
        <x:v>0</x:v>
      </x:c>
      <x:c r="R3053" s="3" t="b">
        <x:v>0</x:v>
      </x:c>
      <x:c r="S3053" s="3" t="b">
        <x:v>0</x:v>
      </x:c>
      <x:c r="T3053" s="3" t="b">
        <x:v>0</x:v>
      </x:c>
      <x:c r="U3053" s="2" t="str">
        <x:f>IF(T3053=TRUE,"Priority review",IF(R3053=TRUE,"High cost",IF(S3053=TRUE,"Low quality","Benchmark")))</x:f>
        <x:v>Benchmark</x:v>
      </x:c>
    </x:row>
    <x:row r="3054">
      <x:c r="A3054" s="2" t="str">
        <x:v>450032</x:v>
      </x:c>
      <x:c r="B3054" s="2" t="str">
        <x:v>CHRISTUS GOOD SHEPHERD MEDICAL CENTER</x:v>
      </x:c>
      <x:c r="C3054" s="2" t="str">
        <x:v>LONGVIEW</x:v>
      </x:c>
      <x:c r="D3054" s="2" t="str">
        <x:v>TX</x:v>
      </x:c>
      <x:c r="E3054" s="2" t="str">
        <x:v>Acute Care Hospitals</x:v>
      </x:c>
      <x:c r="F3054" s="2" t="str">
        <x:v>Voluntary non-profit</x:v>
      </x:c>
      <x:c r="G3054" s="2" t="str">
        <x:v>Large (300+ beds)</x:v>
      </x:c>
      <x:c r="H3054" s="7" t="n">
        <x:v>4</x:v>
      </x:c>
      <x:c r="I3054" s="7" t="n">
        <x:v>4</x:v>
      </x:c>
      <x:c r="J3054" s="7" t="n">
        <x:v>1.01</x:v>
      </x:c>
      <x:c r="K3054" s="8" t="n">
        <x:v>318</x:v>
      </x:c>
      <x:c r="L3054" s="8" t="n">
        <x:v>18503</x:v>
      </x:c>
      <x:c r="M3054" s="9" t="n">
        <x:v>0.6562333075</x:v>
      </x:c>
      <x:c r="N3054" s="10" t="n">
        <x:v>34104.6911852132</x:v>
      </x:c>
      <x:c r="O3054" s="9" t="n">
        <x:v>0.0255199387</x:v>
      </x:c>
      <x:c r="P3054" s="9" t="n">
        <x:v>0.38170347</x:v>
      </x:c>
      <x:c r="Q3054" s="9" t="n">
        <x:v>0.5899053628</x:v>
      </x:c>
      <x:c r="R3054" s="3" t="b">
        <x:v>0</x:v>
      </x:c>
      <x:c r="S3054" s="3" t="b">
        <x:v>0</x:v>
      </x:c>
      <x:c r="T3054" s="3" t="b">
        <x:v>0</x:v>
      </x:c>
      <x:c r="U3054" s="2" t="str">
        <x:f>IF(T3054=TRUE,"Priority review",IF(R3054=TRUE,"High cost",IF(S3054=TRUE,"Low quality","Benchmark")))</x:f>
        <x:v>Benchmark</x:v>
      </x:c>
    </x:row>
    <x:row r="3055">
      <x:c r="A3055" s="2" t="str">
        <x:v>230030</x:v>
      </x:c>
      <x:c r="B3055" s="2" t="str">
        <x:v>MYMICHIGAN MEDICAL CENTER ALMA</x:v>
      </x:c>
      <x:c r="C3055" s="2" t="str">
        <x:v>ALMA</x:v>
      </x:c>
      <x:c r="D3055" s="2" t="str">
        <x:v>MI</x:v>
      </x:c>
      <x:c r="E3055" s="2" t="str">
        <x:v>Acute Care Hospitals</x:v>
      </x:c>
      <x:c r="F3055" s="2" t="str">
        <x:v>Voluntary non-profit</x:v>
      </x:c>
      <x:c r="G3055" s="2" t="str">
        <x:v>Small (&lt;100 beds)</x:v>
      </x:c>
      <x:c r="H3055" s="7" t="n">
        <x:v>4</x:v>
      </x:c>
      <x:c r="I3055" s="7" t="n">
        <x:v>4</x:v>
      </x:c>
      <x:c r="J3055" s="7" t="n">
        <x:v>0.93</x:v>
      </x:c>
      <x:c r="K3055" s="8" t="n">
        <x:v>38</x:v>
      </x:c>
      <x:c r="L3055" s="8" t="n">
        <x:v>3410</x:v>
      </x:c>
      <x:c r="M3055" s="9" t="n">
        <x:v>0.9271809661</x:v>
      </x:c>
      <x:c r="N3055" s="10" t="n">
        <x:v>43814.9979472141</x:v>
      </x:c>
      <x:c r="O3055" s="9" t="n">
        <x:v>-0.0941586437</x:v>
      </x:c>
      <x:c r="P3055" s="9" t="n">
        <x:v>0.381508079</x:v>
      </x:c>
      <x:c r="Q3055" s="9" t="n">
        <x:v>0.3913824057</x:v>
      </x:c>
      <x:c r="R3055" s="3" t="b">
        <x:v>0</x:v>
      </x:c>
      <x:c r="S3055" s="3" t="b">
        <x:v>0</x:v>
      </x:c>
      <x:c r="T3055" s="3" t="b">
        <x:v>0</x:v>
      </x:c>
      <x:c r="U3055" s="2" t="str">
        <x:f>IF(T3055=TRUE,"Priority review",IF(R3055=TRUE,"High cost",IF(S3055=TRUE,"Low quality","Benchmark")))</x:f>
        <x:v>Benchmark</x:v>
      </x:c>
    </x:row>
    <x:row r="3056">
      <x:c r="A3056" s="2" t="str">
        <x:v>390336</x:v>
      </x:c>
      <x:c r="B3056" s="2" t="str">
        <x:v>PENN STATE HEALTH HAMPDEN MEDICAL CENTER</x:v>
      </x:c>
      <x:c r="C3056" s="2" t="str">
        <x:v>ENOLA</x:v>
      </x:c>
      <x:c r="D3056" s="2" t="str">
        <x:v>PA</x:v>
      </x:c>
      <x:c r="E3056" s="2" t="str">
        <x:v>Acute Care Hospitals</x:v>
      </x:c>
      <x:c r="F3056" s="2" t="str">
        <x:v>Voluntary non-profit</x:v>
      </x:c>
      <x:c r="G3056" s="2" t="str">
        <x:v>Medium (100-299 beds)</x:v>
      </x:c>
      <x:c r="H3056" s="7" t="n">
        <x:v>4</x:v>
      </x:c>
      <x:c r="I3056" s="7" t="n">
        <x:v>3</x:v>
      </x:c>
      <x:c r="J3056" s="7" t="n">
        <x:v>1.1</x:v>
      </x:c>
      <x:c r="K3056" s="8" t="n">
        <x:v>110</x:v>
      </x:c>
      <x:c r="L3056" s="8" t="n">
        <x:v>5677</x:v>
      </x:c>
      <x:c r="M3056" s="9" t="n">
        <x:v>0.5943960149</x:v>
      </x:c>
      <x:c r="N3056" s="10" t="n">
        <x:v>30219.7474017967</x:v>
      </x:c>
      <x:c r="O3056" s="9" t="n">
        <x:v>0.0882850795</x:v>
      </x:c>
      <x:c r="P3056" s="9" t="n">
        <x:v>0.3814180929</x:v>
      </x:c>
      <x:c r="Q3056" s="9" t="n">
        <x:v>0.6022819886</x:v>
      </x:c>
      <x:c r="R3056" s="3" t="b">
        <x:v>0</x:v>
      </x:c>
      <x:c r="S3056" s="3" t="b">
        <x:v>0</x:v>
      </x:c>
      <x:c r="T3056" s="3" t="b">
        <x:v>0</x:v>
      </x:c>
      <x:c r="U3056" s="2" t="str">
        <x:f>IF(T3056=TRUE,"Priority review",IF(R3056=TRUE,"High cost",IF(S3056=TRUE,"Low quality","Benchmark")))</x:f>
        <x:v>Benchmark</x:v>
      </x:c>
    </x:row>
    <x:row r="3057">
      <x:c r="A3057" s="2" t="str">
        <x:v>511312</x:v>
      </x:c>
      <x:c r="B3057" s="2" t="str">
        <x:v>PRESTON MEMORIAL HOSPITAL</x:v>
      </x:c>
      <x:c r="C3057" s="2" t="str">
        <x:v>KINGWOOD</x:v>
      </x:c>
      <x:c r="D3057" s="2" t="str">
        <x:v>WV</x:v>
      </x:c>
      <x:c r="E3057" s="2" t="str">
        <x:v>Critical Access Hospitals</x:v>
      </x:c>
      <x:c r="F3057" s="2" t="str">
        <x:v>Proprietary</x:v>
      </x:c>
      <x:c r="G3057" s="2" t="str">
        <x:v>Small (&lt;100 beds)</x:v>
      </x:c>
      <x:c r="H3057" s="7"/>
      <x:c r="I3057" s="7"/>
      <x:c r="J3057" s="7"/>
      <x:c r="K3057" s="8" t="n">
        <x:v>25</x:v>
      </x:c>
      <x:c r="L3057" s="8" t="n">
        <x:v>550</x:v>
      </x:c>
      <x:c r="M3057" s="9" t="n">
        <x:v>0.2649180328</x:v>
      </x:c>
      <x:c r="N3057" s="10" t="n">
        <x:v>109946.0454545455</x:v>
      </x:c>
      <x:c r="O3057" s="9" t="n">
        <x:v>-0.0431073932</x:v>
      </x:c>
      <x:c r="P3057" s="9" t="n">
        <x:v>0.3814126394</x:v>
      </x:c>
      <x:c r="Q3057" s="9" t="n">
        <x:v>0.292936803</x:v>
      </x:c>
      <x:c r="R3057" s="3" t="b">
        <x:v>0</x:v>
      </x:c>
      <x:c r="S3057" s="3" t="b">
        <x:v>0</x:v>
      </x:c>
      <x:c r="T3057" s="3" t="b">
        <x:v>0</x:v>
      </x:c>
      <x:c r="U3057" s="2" t="str">
        <x:f>IF(T3057=TRUE,"Priority review",IF(R3057=TRUE,"High cost",IF(S3057=TRUE,"Low quality","Benchmark")))</x:f>
        <x:v>Benchmark</x:v>
      </x:c>
    </x:row>
    <x:row r="3058">
      <x:c r="A3058" s="2" t="str">
        <x:v>151315</x:v>
      </x:c>
      <x:c r="B3058" s="2" t="str">
        <x:v>CAMERON HEALTH</x:v>
      </x:c>
      <x:c r="C3058" s="2" t="str">
        <x:v>ANGOLA</x:v>
      </x:c>
      <x:c r="D3058" s="2" t="str">
        <x:v>IN</x:v>
      </x:c>
      <x:c r="E3058" s="2" t="str">
        <x:v>Critical Access Hospitals</x:v>
      </x:c>
      <x:c r="F3058" s="2" t="str">
        <x:v>Voluntary non-profit</x:v>
      </x:c>
      <x:c r="G3058" s="2" t="str">
        <x:v>Small (&lt;100 beds)</x:v>
      </x:c>
      <x:c r="H3058" s="7" t="n">
        <x:v>3</x:v>
      </x:c>
      <x:c r="I3058" s="7" t="n">
        <x:v>4</x:v>
      </x:c>
      <x:c r="J3058" s="7"/>
      <x:c r="K3058" s="8" t="n">
        <x:v>25</x:v>
      </x:c>
      <x:c r="L3058" s="8" t="n">
        <x:v>971</x:v>
      </x:c>
      <x:c r="M3058" s="9" t="n">
        <x:v>0.453989071</x:v>
      </x:c>
      <x:c r="N3058" s="10" t="n">
        <x:v>109943.9958805355</x:v>
      </x:c>
      <x:c r="O3058" s="9" t="n">
        <x:v>-0.025605184</x:v>
      </x:c>
      <x:c r="P3058" s="9" t="n">
        <x:v>0.380669145</x:v>
      </x:c>
      <x:c r="Q3058" s="9" t="n">
        <x:v>0.0765799257</x:v>
      </x:c>
      <x:c r="R3058" s="3" t="b">
        <x:v>0</x:v>
      </x:c>
      <x:c r="S3058" s="3" t="b">
        <x:v>1</x:v>
      </x:c>
      <x:c r="T3058" s="3" t="b">
        <x:v>0</x:v>
      </x:c>
      <x:c r="U3058" s="2" t="str">
        <x:f>IF(T3058=TRUE,"Priority review",IF(R3058=TRUE,"High cost",IF(S3058=TRUE,"Low quality","Benchmark")))</x:f>
        <x:v>Low quality</x:v>
      </x:c>
    </x:row>
    <x:row r="3059">
      <x:c r="A3059" s="2" t="str">
        <x:v>390146</x:v>
      </x:c>
      <x:c r="B3059" s="2" t="str">
        <x:v>WARREN GENERAL HOSPITAL</x:v>
      </x:c>
      <x:c r="C3059" s="2" t="str">
        <x:v>WARREN</x:v>
      </x:c>
      <x:c r="D3059" s="2" t="str">
        <x:v>PA</x:v>
      </x:c>
      <x:c r="E3059" s="2" t="str">
        <x:v>Acute Care Hospitals</x:v>
      </x:c>
      <x:c r="F3059" s="2" t="str">
        <x:v>Voluntary non-profit</x:v>
      </x:c>
      <x:c r="G3059" s="2" t="str">
        <x:v>Small (&lt;100 beds)</x:v>
      </x:c>
      <x:c r="H3059" s="7" t="n">
        <x:v>3</x:v>
      </x:c>
      <x:c r="I3059" s="7" t="n">
        <x:v>3</x:v>
      </x:c>
      <x:c r="J3059" s="7" t="n">
        <x:v>0.91</x:v>
      </x:c>
      <x:c r="K3059" s="8" t="n">
        <x:v>85</x:v>
      </x:c>
      <x:c r="L3059" s="8" t="n">
        <x:v>2391</x:v>
      </x:c>
      <x:c r="M3059" s="9" t="n">
        <x:v>0.3138114424</x:v>
      </x:c>
      <x:c r="N3059" s="10" t="n">
        <x:v>43801.5198661648</x:v>
      </x:c>
      <x:c r="O3059" s="9" t="n">
        <x:v>-0.1414575571</x:v>
      </x:c>
      <x:c r="P3059" s="9" t="n">
        <x:v>0.3806104129</x:v>
      </x:c>
      <x:c r="Q3059" s="9" t="n">
        <x:v>0.1687612208</x:v>
      </x:c>
      <x:c r="R3059" s="3" t="b">
        <x:v>0</x:v>
      </x:c>
      <x:c r="S3059" s="3" t="b">
        <x:v>0</x:v>
      </x:c>
      <x:c r="T3059" s="3" t="b">
        <x:v>0</x:v>
      </x:c>
      <x:c r="U3059" s="2" t="str">
        <x:f>IF(T3059=TRUE,"Priority review",IF(R3059=TRUE,"High cost",IF(S3059=TRUE,"Low quality","Benchmark")))</x:f>
        <x:v>Benchmark</x:v>
      </x:c>
    </x:row>
    <x:row r="3060">
      <x:c r="A3060" s="2" t="str">
        <x:v>050503</x:v>
      </x:c>
      <x:c r="B3060" s="2" t="str">
        <x:v>SCRIPPS MEMORIAL HOSPITAL - ENCINITAS</x:v>
      </x:c>
      <x:c r="C3060" s="2" t="str">
        <x:v>ENCINITAS</x:v>
      </x:c>
      <x:c r="D3060" s="2" t="str">
        <x:v>CA</x:v>
      </x:c>
      <x:c r="E3060" s="2" t="str">
        <x:v>Acute Care Hospitals</x:v>
      </x:c>
      <x:c r="F3060" s="2" t="str">
        <x:v>Voluntary non-profit</x:v>
      </x:c>
      <x:c r="G3060" s="2" t="str">
        <x:v>Medium (100-299 beds)</x:v>
      </x:c>
      <x:c r="H3060" s="7" t="n">
        <x:v>4</x:v>
      </x:c>
      <x:c r="I3060" s="7" t="n">
        <x:v>4</x:v>
      </x:c>
      <x:c r="J3060" s="7" t="n">
        <x:v>0.94</x:v>
      </x:c>
      <x:c r="K3060" s="8" t="n">
        <x:v>174</x:v>
      </x:c>
      <x:c r="L3060" s="8" t="n">
        <x:v>14441</x:v>
      </x:c>
      <x:c r="M3060" s="9" t="n">
        <x:v>0.9607122668</x:v>
      </x:c>
      <x:c r="N3060" s="10" t="n">
        <x:v>30165.4732359255</x:v>
      </x:c>
      <x:c r="O3060" s="9" t="n">
        <x:v>0.0937271841</x:v>
      </x:c>
      <x:c r="P3060" s="9" t="n">
        <x:v>0.380603097</x:v>
      </x:c>
      <x:c r="Q3060" s="9" t="n">
        <x:v>0.6022819886</x:v>
      </x:c>
      <x:c r="R3060" s="3" t="b">
        <x:v>0</x:v>
      </x:c>
      <x:c r="S3060" s="3" t="b">
        <x:v>0</x:v>
      </x:c>
      <x:c r="T3060" s="3" t="b">
        <x:v>0</x:v>
      </x:c>
      <x:c r="U3060" s="2" t="str">
        <x:f>IF(T3060=TRUE,"Priority review",IF(R3060=TRUE,"High cost",IF(S3060=TRUE,"Low quality","Benchmark")))</x:f>
        <x:v>Benchmark</x:v>
      </x:c>
    </x:row>
    <x:row r="3061">
      <x:c r="A3061" s="2" t="str">
        <x:v>370013</x:v>
      </x:c>
      <x:c r="B3061" s="2" t="str">
        <x:v>MERCY HOSPITAL OKLAHOMA CITY, INC</x:v>
      </x:c>
      <x:c r="C3061" s="2" t="str">
        <x:v>OKLAHOMA CITY</x:v>
      </x:c>
      <x:c r="D3061" s="2" t="str">
        <x:v>OK</x:v>
      </x:c>
      <x:c r="E3061" s="2" t="str">
        <x:v>Acute Care Hospitals</x:v>
      </x:c>
      <x:c r="F3061" s="2" t="str">
        <x:v>Voluntary non-profit</x:v>
      </x:c>
      <x:c r="G3061" s="2" t="str">
        <x:v>Large (300+ beds)</x:v>
      </x:c>
      <x:c r="H3061" s="7" t="n">
        <x:v>4</x:v>
      </x:c>
      <x:c r="I3061" s="7" t="n">
        <x:v>3</x:v>
      </x:c>
      <x:c r="J3061" s="7" t="n">
        <x:v>1.17</x:v>
      </x:c>
      <x:c r="K3061" s="8" t="n">
        <x:v>344</x:v>
      </x:c>
      <x:c r="L3061" s="8" t="n">
        <x:v>20744</x:v>
      </x:c>
      <x:c r="M3061" s="9" t="n">
        <x:v>0.725223001</x:v>
      </x:c>
      <x:c r="N3061" s="10" t="n">
        <x:v>34084.2968569225</x:v>
      </x:c>
      <x:c r="O3061" s="9" t="n">
        <x:v>0.1513037166</x:v>
      </x:c>
      <x:c r="P3061" s="9" t="n">
        <x:v>0.380126183</x:v>
      </x:c>
      <x:c r="Q3061" s="9" t="n">
        <x:v>0.5899053628</x:v>
      </x:c>
      <x:c r="R3061" s="3" t="b">
        <x:v>0</x:v>
      </x:c>
      <x:c r="S3061" s="3" t="b">
        <x:v>0</x:v>
      </x:c>
      <x:c r="T3061" s="3" t="b">
        <x:v>0</x:v>
      </x:c>
      <x:c r="U3061" s="2" t="str">
        <x:f>IF(T3061=TRUE,"Priority review",IF(R3061=TRUE,"High cost",IF(S3061=TRUE,"Low quality","Benchmark")))</x:f>
        <x:v>Benchmark</x:v>
      </x:c>
    </x:row>
    <x:row r="3062">
      <x:c r="A3062" s="2" t="str">
        <x:v>381323</x:v>
      </x:c>
      <x:c r="B3062" s="2" t="str">
        <x:v>SAMARITAN LEBANON COMMUNITY HOSPITAL</x:v>
      </x:c>
      <x:c r="C3062" s="2" t="str">
        <x:v>LEBANON</x:v>
      </x:c>
      <x:c r="D3062" s="2" t="str">
        <x:v>OR</x:v>
      </x:c>
      <x:c r="E3062" s="2" t="str">
        <x:v>Critical Access Hospitals</x:v>
      </x:c>
      <x:c r="F3062" s="2" t="str">
        <x:v>Voluntary non-profit</x:v>
      </x:c>
      <x:c r="G3062" s="2" t="str">
        <x:v>Small (&lt;100 beds)</x:v>
      </x:c>
      <x:c r="H3062" s="7" t="n">
        <x:v>3</x:v>
      </x:c>
      <x:c r="I3062" s="7" t="n">
        <x:v>4</x:v>
      </x:c>
      <x:c r="J3062" s="7"/>
      <x:c r="K3062" s="8" t="n">
        <x:v>25</x:v>
      </x:c>
      <x:c r="L3062" s="8" t="n">
        <x:v>1565</x:v>
      </x:c>
      <x:c r="M3062" s="9" t="n">
        <x:v>0.7266666667</x:v>
      </x:c>
      <x:c r="N3062" s="10" t="n">
        <x:v>109563.559744409</x:v>
      </x:c>
      <x:c r="O3062" s="9" t="n">
        <x:v>0.0414055009</x:v>
      </x:c>
      <x:c r="P3062" s="9" t="n">
        <x:v>0.3799256506</x:v>
      </x:c>
      <x:c r="Q3062" s="9" t="n">
        <x:v>0.0765799257</x:v>
      </x:c>
      <x:c r="R3062" s="3" t="b">
        <x:v>0</x:v>
      </x:c>
      <x:c r="S3062" s="3" t="b">
        <x:v>1</x:v>
      </x:c>
      <x:c r="T3062" s="3" t="b">
        <x:v>0</x:v>
      </x:c>
      <x:c r="U3062" s="2" t="str">
        <x:f>IF(T3062=TRUE,"Priority review",IF(R3062=TRUE,"High cost",IF(S3062=TRUE,"Low quality","Benchmark")))</x:f>
        <x:v>Low quality</x:v>
      </x:c>
    </x:row>
    <x:row r="3063">
      <x:c r="A3063" s="2" t="str">
        <x:v>390329</x:v>
      </x:c>
      <x:c r="B3063" s="2" t="str">
        <x:v>JEFFERSON EINSTEIN MONTGOMERY HOSPITAL</x:v>
      </x:c>
      <x:c r="C3063" s="2" t="str">
        <x:v>EAST NORRITON</x:v>
      </x:c>
      <x:c r="D3063" s="2" t="str">
        <x:v>PA</x:v>
      </x:c>
      <x:c r="E3063" s="2" t="str">
        <x:v>Acute Care Hospitals</x:v>
      </x:c>
      <x:c r="F3063" s="2" t="str">
        <x:v>Voluntary non-profit</x:v>
      </x:c>
      <x:c r="G3063" s="2" t="str">
        <x:v>Medium (100-299 beds)</x:v>
      </x:c>
      <x:c r="H3063" s="7" t="n">
        <x:v>4</x:v>
      </x:c>
      <x:c r="I3063" s="7" t="n">
        <x:v>3</x:v>
      </x:c>
      <x:c r="J3063" s="7" t="n">
        <x:v>1.04</x:v>
      </x:c>
      <x:c r="K3063" s="8" t="n">
        <x:v>175</x:v>
      </x:c>
      <x:c r="L3063" s="8" t="n">
        <x:v>11635</x:v>
      </x:c>
      <x:c r="M3063" s="9" t="n">
        <x:v>0.9514050881</x:v>
      </x:c>
      <x:c r="N3063" s="10" t="n">
        <x:v>30089.8061022776</x:v>
      </x:c>
      <x:c r="O3063" s="9" t="n">
        <x:v>-0.1099194463</x:v>
      </x:c>
      <x:c r="P3063" s="9" t="n">
        <x:v>0.3797881011</x:v>
      </x:c>
      <x:c r="Q3063" s="9" t="n">
        <x:v>0.6022819886</x:v>
      </x:c>
      <x:c r="R3063" s="3" t="b">
        <x:v>0</x:v>
      </x:c>
      <x:c r="S3063" s="3" t="b">
        <x:v>0</x:v>
      </x:c>
      <x:c r="T3063" s="3" t="b">
        <x:v>0</x:v>
      </x:c>
      <x:c r="U3063" s="2" t="str">
        <x:f>IF(T3063=TRUE,"Priority review",IF(R3063=TRUE,"High cost",IF(S3063=TRUE,"Low quality","Benchmark")))</x:f>
        <x:v>Benchmark</x:v>
      </x:c>
    </x:row>
    <x:row r="3064">
      <x:c r="A3064" s="2" t="str">
        <x:v>450080</x:v>
      </x:c>
      <x:c r="B3064" s="2" t="str">
        <x:v>TITUS REGIONAL MEDICAL CENTER</x:v>
      </x:c>
      <x:c r="C3064" s="2" t="str">
        <x:v>MOUNT PLEASANT</x:v>
      </x:c>
      <x:c r="D3064" s="2" t="str">
        <x:v>TX</x:v>
      </x:c>
      <x:c r="E3064" s="2" t="str">
        <x:v>Acute Care Hospitals</x:v>
      </x:c>
      <x:c r="F3064" s="2" t="str">
        <x:v>Government</x:v>
      </x:c>
      <x:c r="G3064" s="2" t="str">
        <x:v>Small (&lt;100 beds)</x:v>
      </x:c>
      <x:c r="H3064" s="7" t="n">
        <x:v>3</x:v>
      </x:c>
      <x:c r="I3064" s="7" t="n">
        <x:v>4</x:v>
      </x:c>
      <x:c r="J3064" s="7" t="n">
        <x:v>0.98</x:v>
      </x:c>
      <x:c r="K3064" s="8" t="n">
        <x:v>52</x:v>
      </x:c>
      <x:c r="L3064" s="8" t="n">
        <x:v>2969</x:v>
      </x:c>
      <x:c r="M3064" s="9" t="n">
        <x:v>0.5486023539</x:v>
      </x:c>
      <x:c r="N3064" s="10" t="n">
        <x:v>43794.5836982149</x:v>
      </x:c>
      <x:c r="O3064" s="9" t="n">
        <x:v>-0.167795087</x:v>
      </x:c>
      <x:c r="P3064" s="9" t="n">
        <x:v>0.3797127469</x:v>
      </x:c>
      <x:c r="Q3064" s="9" t="n">
        <x:v>0.1687612208</x:v>
      </x:c>
      <x:c r="R3064" s="3" t="b">
        <x:v>0</x:v>
      </x:c>
      <x:c r="S3064" s="3" t="b">
        <x:v>0</x:v>
      </x:c>
      <x:c r="T3064" s="3" t="b">
        <x:v>0</x:v>
      </x:c>
      <x:c r="U3064" s="2" t="str">
        <x:f>IF(T3064=TRUE,"Priority review",IF(R3064=TRUE,"High cost",IF(S3064=TRUE,"Low quality","Benchmark")))</x:f>
        <x:v>Benchmark</x:v>
      </x:c>
    </x:row>
    <x:row r="3065">
      <x:c r="A3065" s="2" t="str">
        <x:v>521352</x:v>
      </x:c>
      <x:c r="B3065" s="2" t="str">
        <x:v>UPLAND HILLS HEALTH</x:v>
      </x:c>
      <x:c r="C3065" s="2" t="str">
        <x:v>DODGEVILLE</x:v>
      </x:c>
      <x:c r="D3065" s="2" t="str">
        <x:v>WI</x:v>
      </x:c>
      <x:c r="E3065" s="2" t="str">
        <x:v>Critical Access Hospitals</x:v>
      </x:c>
      <x:c r="F3065" s="2" t="str">
        <x:v>Voluntary non-profit</x:v>
      </x:c>
      <x:c r="G3065" s="2" t="str">
        <x:v>Small (&lt;100 beds)</x:v>
      </x:c>
      <x:c r="H3065" s="7" t="n">
        <x:v>4</x:v>
      </x:c>
      <x:c r="I3065" s="7" t="n">
        <x:v>5</x:v>
      </x:c>
      <x:c r="J3065" s="7"/>
      <x:c r="K3065" s="8" t="n">
        <x:v>25</x:v>
      </x:c>
      <x:c r="L3065" s="8" t="n">
        <x:v>873</x:v>
      </x:c>
      <x:c r="M3065" s="9" t="n">
        <x:v>0.4255737705</x:v>
      </x:c>
      <x:c r="N3065" s="10" t="n">
        <x:v>109424.3150057274</x:v>
      </x:c>
      <x:c r="O3065" s="9" t="n">
        <x:v>0.08648793</x:v>
      </x:c>
      <x:c r="P3065" s="9" t="n">
        <x:v>0.3791821561</x:v>
      </x:c>
      <x:c r="Q3065" s="9" t="n">
        <x:v>0.1657992565</x:v>
      </x:c>
      <x:c r="R3065" s="3" t="b">
        <x:v>0</x:v>
      </x:c>
      <x:c r="S3065" s="3" t="b">
        <x:v>0</x:v>
      </x:c>
      <x:c r="T3065" s="3" t="b">
        <x:v>0</x:v>
      </x:c>
      <x:c r="U3065" s="2" t="str">
        <x:f>IF(T3065=TRUE,"Priority review",IF(R3065=TRUE,"High cost",IF(S3065=TRUE,"Low quality","Benchmark")))</x:f>
        <x:v>Benchmark</x:v>
      </x:c>
    </x:row>
    <x:row r="3066">
      <x:c r="A3066" s="2" t="str">
        <x:v>340071</x:v>
      </x:c>
      <x:c r="B3066" s="2" t="str">
        <x:v>BETSY JOHNSON REGIONAL HOSPITAL</x:v>
      </x:c>
      <x:c r="C3066" s="2" t="str">
        <x:v>DUNN</x:v>
      </x:c>
      <x:c r="D3066" s="2" t="str">
        <x:v>NC</x:v>
      </x:c>
      <x:c r="E3066" s="2" t="str">
        <x:v>Acute Care Hospitals</x:v>
      </x:c>
      <x:c r="F3066" s="2" t="str">
        <x:v>Voluntary non-profit</x:v>
      </x:c>
      <x:c r="G3066" s="2" t="str">
        <x:v>Medium (100-299 beds)</x:v>
      </x:c>
      <x:c r="H3066" s="7" t="n">
        <x:v>3</x:v>
      </x:c>
      <x:c r="I3066" s="7" t="n">
        <x:v>3</x:v>
      </x:c>
      <x:c r="J3066" s="7" t="n">
        <x:v>0.93</x:v>
      </x:c>
      <x:c r="K3066" s="8" t="n">
        <x:v>121</x:v>
      </x:c>
      <x:c r="L3066" s="8" t="n">
        <x:v>4525</x:v>
      </x:c>
      <x:c r="M3066" s="9" t="n">
        <x:v>0.434223005</x:v>
      </x:c>
      <x:c r="N3066" s="10" t="n">
        <x:v>30044.3527071823</x:v>
      </x:c>
      <x:c r="O3066" s="9" t="n">
        <x:v>-0.0083138182</x:v>
      </x:c>
      <x:c r="P3066" s="9" t="n">
        <x:v>0.3789731051</x:v>
      </x:c>
      <x:c r="Q3066" s="9" t="n">
        <x:v>0.3023634882</x:v>
      </x:c>
      <x:c r="R3066" s="3" t="b">
        <x:v>0</x:v>
      </x:c>
      <x:c r="S3066" s="3" t="b">
        <x:v>0</x:v>
      </x:c>
      <x:c r="T3066" s="3" t="b">
        <x:v>0</x:v>
      </x:c>
      <x:c r="U3066" s="2" t="str">
        <x:f>IF(T3066=TRUE,"Priority review",IF(R3066=TRUE,"High cost",IF(S3066=TRUE,"Low quality","Benchmark")))</x:f>
        <x:v>Benchmark</x:v>
      </x:c>
    </x:row>
    <x:row r="3067">
      <x:c r="A3067" s="2" t="str">
        <x:v>030152</x:v>
      </x:c>
      <x:c r="B3067" s="2" t="str">
        <x:v>EXCEPTIONAL COMMUNITY HOSPITAL - MARICOPA</x:v>
      </x:c>
      <x:c r="C3067" s="2" t="str">
        <x:v>MARICOPA</x:v>
      </x:c>
      <x:c r="D3067" s="2" t="str">
        <x:v>AZ</x:v>
      </x:c>
      <x:c r="E3067" s="2" t="str">
        <x:v>Acute Care Hospitals</x:v>
      </x:c>
      <x:c r="F3067" s="2" t="str">
        <x:v>Proprietary</x:v>
      </x:c>
      <x:c r="G3067" s="2" t="str">
        <x:v>Small (&lt;100 beds)</x:v>
      </x:c>
      <x:c r="H3067" s="7"/>
      <x:c r="I3067" s="7"/>
      <x:c r="J3067" s="7" t="n">
        <x:v>0.74</x:v>
      </x:c>
      <x:c r="K3067" s="8" t="n">
        <x:v>9</x:v>
      </x:c>
      <x:c r="L3067" s="8" t="n">
        <x:v>408</x:v>
      </x:c>
      <x:c r="M3067" s="9" t="n">
        <x:v>0.2213114754</x:v>
      </x:c>
      <x:c r="N3067" s="10" t="n">
        <x:v>43765.7990196078</x:v>
      </x:c>
      <x:c r="O3067" s="9" t="n">
        <x:v>0.1181347</x:v>
      </x:c>
      <x:c r="P3067" s="9" t="n">
        <x:v>0.3788150808</x:v>
      </x:c>
      <x:c r="Q3067" s="9" t="n">
        <x:v>0.697486535</x:v>
      </x:c>
      <x:c r="R3067" s="3" t="b">
        <x:v>0</x:v>
      </x:c>
      <x:c r="S3067" s="3" t="b">
        <x:v>0</x:v>
      </x:c>
      <x:c r="T3067" s="3" t="b">
        <x:v>0</x:v>
      </x:c>
      <x:c r="U3067" s="2" t="str">
        <x:f>IF(T3067=TRUE,"Priority review",IF(R3067=TRUE,"High cost",IF(S3067=TRUE,"Low quality","Benchmark")))</x:f>
        <x:v>Benchmark</x:v>
      </x:c>
    </x:row>
    <x:row r="3068">
      <x:c r="A3068" s="2" t="str">
        <x:v>184017</x:v>
      </x:c>
      <x:c r="B3068" s="2" t="str">
        <x:v>RIVENDELL BEHAVIORAL HEALTH SERVICES</x:v>
      </x:c>
      <x:c r="C3068" s="2" t="str">
        <x:v>BOWLING GREEN</x:v>
      </x:c>
      <x:c r="D3068" s="2" t="str">
        <x:v>KY</x:v>
      </x:c>
      <x:c r="E3068" s="2" t="str">
        <x:v>Psychiatric</x:v>
      </x:c>
      <x:c r="F3068" s="2" t="str">
        <x:v>Government</x:v>
      </x:c>
      <x:c r="G3068" s="2" t="str">
        <x:v>Small (&lt;100 beds)</x:v>
      </x:c>
      <x:c r="H3068" s="7"/>
      <x:c r="I3068" s="7"/>
      <x:c r="J3068" s="7"/>
      <x:c r="K3068" s="8" t="n">
        <x:v>81</x:v>
      </x:c>
      <x:c r="L3068" s="8" t="n">
        <x:v>2435</x:v>
      </x:c>
      <x:c r="M3068" s="9" t="n">
        <x:v>0.7895162922</x:v>
      </x:c>
      <x:c r="N3068" s="10" t="n">
        <x:v>9870.8743326489</x:v>
      </x:c>
      <x:c r="O3068" s="9" t="n">
        <x:v>0.4802771834</x:v>
      </x:c>
      <x:c r="P3068" s="9" t="n">
        <x:v>0.3786407767</x:v>
      </x:c>
      <x:c r="Q3068" s="9" t="n">
        <x:v>0</x:v>
      </x:c>
      <x:c r="R3068" s="3" t="b">
        <x:v>0</x:v>
      </x:c>
      <x:c r="S3068" s="3" t="b">
        <x:v>0</x:v>
      </x:c>
      <x:c r="T3068" s="3" t="b">
        <x:v>0</x:v>
      </x:c>
      <x:c r="U3068" s="2" t="str">
        <x:f>IF(T3068=TRUE,"Priority review",IF(R3068=TRUE,"High cost",IF(S3068=TRUE,"Low quality","Benchmark")))</x:f>
        <x:v>Benchmark</x:v>
      </x:c>
    </x:row>
    <x:row r="3069">
      <x:c r="A3069" s="2" t="str">
        <x:v>360084</x:v>
      </x:c>
      <x:c r="B3069" s="2" t="str">
        <x:v>AULTMAN HOSPITAL</x:v>
      </x:c>
      <x:c r="C3069" s="2" t="str">
        <x:v>CANTON</x:v>
      </x:c>
      <x:c r="D3069" s="2" t="str">
        <x:v>OH</x:v>
      </x:c>
      <x:c r="E3069" s="2" t="str">
        <x:v>Acute Care Hospitals</x:v>
      </x:c>
      <x:c r="F3069" s="2" t="str">
        <x:v>Voluntary non-profit</x:v>
      </x:c>
      <x:c r="G3069" s="2" t="str">
        <x:v>Large (300+ beds)</x:v>
      </x:c>
      <x:c r="H3069" s="7" t="n">
        <x:v>4</x:v>
      </x:c>
      <x:c r="I3069" s="7" t="n">
        <x:v>3</x:v>
      </x:c>
      <x:c r="J3069" s="7" t="n">
        <x:v>1</x:v>
      </x:c>
      <x:c r="K3069" s="8" t="n">
        <x:v>335</x:v>
      </x:c>
      <x:c r="L3069" s="8" t="n">
        <x:v>21483</x:v>
      </x:c>
      <x:c r="M3069" s="9" t="n">
        <x:v>0.7644808743</x:v>
      </x:c>
      <x:c r="N3069" s="10" t="n">
        <x:v>34029.9410231346</x:v>
      </x:c>
      <x:c r="O3069" s="9" t="n">
        <x:v>-0.0720412088</x:v>
      </x:c>
      <x:c r="P3069" s="9" t="n">
        <x:v>0.3785488959</x:v>
      </x:c>
      <x:c r="Q3069" s="9" t="n">
        <x:v>0.5899053628</x:v>
      </x:c>
      <x:c r="R3069" s="3" t="b">
        <x:v>0</x:v>
      </x:c>
      <x:c r="S3069" s="3" t="b">
        <x:v>0</x:v>
      </x:c>
      <x:c r="T3069" s="3" t="b">
        <x:v>0</x:v>
      </x:c>
      <x:c r="U3069" s="2" t="str">
        <x:f>IF(T3069=TRUE,"Priority review",IF(R3069=TRUE,"High cost",IF(S3069=TRUE,"Low quality","Benchmark")))</x:f>
        <x:v>Benchmark</x:v>
      </x:c>
    </x:row>
    <x:row r="3070">
      <x:c r="A3070" s="2" t="str">
        <x:v>221302</x:v>
      </x:c>
      <x:c r="B3070" s="2" t="str">
        <x:v>FAIRVIEW HOSPITAL</x:v>
      </x:c>
      <x:c r="C3070" s="2" t="str">
        <x:v>GREAT BARRINGTON</x:v>
      </x:c>
      <x:c r="D3070" s="2" t="str">
        <x:v>MA</x:v>
      </x:c>
      <x:c r="E3070" s="2" t="str">
        <x:v>Critical Access Hospitals</x:v>
      </x:c>
      <x:c r="F3070" s="2" t="str">
        <x:v>Voluntary non-profit</x:v>
      </x:c>
      <x:c r="G3070" s="2" t="str">
        <x:v>Small (&lt;100 beds)</x:v>
      </x:c>
      <x:c r="H3070" s="7" t="n">
        <x:v>5</x:v>
      </x:c>
      <x:c r="I3070" s="7" t="n">
        <x:v>5</x:v>
      </x:c>
      <x:c r="J3070" s="7"/>
      <x:c r="K3070" s="8" t="n">
        <x:v>24</x:v>
      </x:c>
      <x:c r="L3070" s="8" t="n">
        <x:v>780</x:v>
      </x:c>
      <x:c r="M3070" s="9" t="n">
        <x:v>0.3619666895</x:v>
      </x:c>
      <x:c r="N3070" s="10" t="n">
        <x:v>109213.4384615385</x:v>
      </x:c>
      <x:c r="O3070" s="9" t="n">
        <x:v>-0.1021066554</x:v>
      </x:c>
      <x:c r="P3070" s="9" t="n">
        <x:v>0.3784386617</x:v>
      </x:c>
      <x:c r="Q3070" s="9" t="n">
        <x:v>0.2602230483</x:v>
      </x:c>
      <x:c r="R3070" s="3" t="b">
        <x:v>0</x:v>
      </x:c>
      <x:c r="S3070" s="3" t="b">
        <x:v>0</x:v>
      </x:c>
      <x:c r="T3070" s="3" t="b">
        <x:v>0</x:v>
      </x:c>
      <x:c r="U3070" s="2" t="str">
        <x:f>IF(T3070=TRUE,"Priority review",IF(R3070=TRUE,"High cost",IF(S3070=TRUE,"Low quality","Benchmark")))</x:f>
        <x:v>Benchmark</x:v>
      </x:c>
    </x:row>
    <x:row r="3071">
      <x:c r="A3071" s="2" t="str">
        <x:v>310096</x:v>
      </x:c>
      <x:c r="B3071" s="2" t="str">
        <x:v>SAINT MICHAEL'S MEDICAL CENTER</x:v>
      </x:c>
      <x:c r="C3071" s="2" t="str">
        <x:v>NEWARK</x:v>
      </x:c>
      <x:c r="D3071" s="2" t="str">
        <x:v>NJ</x:v>
      </x:c>
      <x:c r="E3071" s="2" t="str">
        <x:v>Acute Care Hospitals</x:v>
      </x:c>
      <x:c r="F3071" s="2" t="str">
        <x:v>Voluntary non-profit</x:v>
      </x:c>
      <x:c r="G3071" s="2" t="str">
        <x:v>Medium (100-299 beds)</x:v>
      </x:c>
      <x:c r="H3071" s="7" t="n">
        <x:v>4</x:v>
      </x:c>
      <x:c r="I3071" s="7" t="n">
        <x:v>3</x:v>
      </x:c>
      <x:c r="J3071" s="7" t="n">
        <x:v>0.96</x:v>
      </x:c>
      <x:c r="K3071" s="8" t="n">
        <x:v>110</x:v>
      </x:c>
      <x:c r="L3071" s="8" t="n">
        <x:v>5922</x:v>
      </x:c>
      <x:c r="M3071" s="9" t="n">
        <x:v>0.6533283656</x:v>
      </x:c>
      <x:c r="N3071" s="10" t="n">
        <x:v>30005.4400540358</x:v>
      </x:c>
      <x:c r="O3071" s="9" t="n">
        <x:v>-0.1390659266</x:v>
      </x:c>
      <x:c r="P3071" s="9" t="n">
        <x:v>0.3781581092</x:v>
      </x:c>
      <x:c r="Q3071" s="9" t="n">
        <x:v>0.6022819886</x:v>
      </x:c>
      <x:c r="R3071" s="3" t="b">
        <x:v>0</x:v>
      </x:c>
      <x:c r="S3071" s="3" t="b">
        <x:v>0</x:v>
      </x:c>
      <x:c r="T3071" s="3" t="b">
        <x:v>0</x:v>
      </x:c>
      <x:c r="U3071" s="2" t="str">
        <x:f>IF(T3071=TRUE,"Priority review",IF(R3071=TRUE,"High cost",IF(S3071=TRUE,"Low quality","Benchmark")))</x:f>
        <x:v>Benchmark</x:v>
      </x:c>
    </x:row>
    <x:row r="3072">
      <x:c r="A3072" s="2" t="str">
        <x:v>144042</x:v>
      </x:c>
      <x:c r="B3072" s="2" t="str">
        <x:v>LAKE BEHAVIORAL HOSPITAL</x:v>
      </x:c>
      <x:c r="C3072" s="2" t="str">
        <x:v>WAUKEGAN</x:v>
      </x:c>
      <x:c r="D3072" s="2" t="str">
        <x:v>IL</x:v>
      </x:c>
      <x:c r="E3072" s="2" t="str">
        <x:v>Psychiatric</x:v>
      </x:c>
      <x:c r="F3072" s="2" t="str">
        <x:v>Proprietary</x:v>
      </x:c>
      <x:c r="G3072" s="2" t="str">
        <x:v>Medium (100-299 beds)</x:v>
      </x:c>
      <x:c r="H3072" s="7"/>
      <x:c r="I3072" s="7"/>
      <x:c r="J3072" s="7"/>
      <x:c r="K3072" s="8" t="n">
        <x:v>161</x:v>
      </x:c>
      <x:c r="L3072" s="8" t="n">
        <x:v>5003</x:v>
      </x:c>
      <x:c r="M3072" s="9" t="n">
        <x:v>0.7937752435</x:v>
      </x:c>
      <x:c r="N3072" s="10" t="n">
        <x:v>8928.0245852489</x:v>
      </x:c>
      <x:c r="O3072" s="9" t="n">
        <x:v>0.1108378987</x:v>
      </x:c>
      <x:c r="P3072" s="9" t="n">
        <x:v>0.3781094527</x:v>
      </x:c>
      <x:c r="Q3072" s="9" t="n">
        <x:v>0</x:v>
      </x:c>
      <x:c r="R3072" s="3" t="b">
        <x:v>0</x:v>
      </x:c>
      <x:c r="S3072" s="3" t="b">
        <x:v>0</x:v>
      </x:c>
      <x:c r="T3072" s="3" t="b">
        <x:v>0</x:v>
      </x:c>
      <x:c r="U3072" s="2" t="str">
        <x:f>IF(T3072=TRUE,"Priority review",IF(R3072=TRUE,"High cost",IF(S3072=TRUE,"Low quality","Benchmark")))</x:f>
        <x:v>Benchmark</x:v>
      </x:c>
    </x:row>
    <x:row r="3073">
      <x:c r="A3073" s="2" t="str">
        <x:v>360013</x:v>
      </x:c>
      <x:c r="B3073" s="2" t="str">
        <x:v>WILSON MEMORIAL HOSPITAL</x:v>
      </x:c>
      <x:c r="C3073" s="2" t="str">
        <x:v>SIDNEY</x:v>
      </x:c>
      <x:c r="D3073" s="2" t="str">
        <x:v>OH</x:v>
      </x:c>
      <x:c r="E3073" s="2" t="str">
        <x:v>Acute Care Hospitals</x:v>
      </x:c>
      <x:c r="F3073" s="2" t="str">
        <x:v>Voluntary non-profit</x:v>
      </x:c>
      <x:c r="G3073" s="2" t="str">
        <x:v>Small (&lt;100 beds)</x:v>
      </x:c>
      <x:c r="H3073" s="7" t="n">
        <x:v>2</x:v>
      </x:c>
      <x:c r="I3073" s="7" t="n">
        <x:v>3</x:v>
      </x:c>
      <x:c r="J3073" s="7" t="n">
        <x:v>1.01</x:v>
      </x:c>
      <x:c r="K3073" s="8" t="n">
        <x:v>44</x:v>
      </x:c>
      <x:c r="L3073" s="8" t="n">
        <x:v>2408</x:v>
      </x:c>
      <x:c r="M3073" s="9" t="n">
        <x:v>0.3833830104</x:v>
      </x:c>
      <x:c r="N3073" s="10" t="n">
        <x:v>43754.5078903655</x:v>
      </x:c>
      <x:c r="O3073" s="9" t="n">
        <x:v>-0.0591638006</x:v>
      </x:c>
      <x:c r="P3073" s="9" t="n">
        <x:v>0.3779174147</x:v>
      </x:c>
      <x:c r="Q3073" s="9" t="n">
        <x:v>0.0350089767</x:v>
      </x:c>
      <x:c r="R3073" s="3" t="b">
        <x:v>0</x:v>
      </x:c>
      <x:c r="S3073" s="3" t="b">
        <x:v>1</x:v>
      </x:c>
      <x:c r="T3073" s="3" t="b">
        <x:v>0</x:v>
      </x:c>
      <x:c r="U3073" s="2" t="str">
        <x:f>IF(T3073=TRUE,"Priority review",IF(R3073=TRUE,"High cost",IF(S3073=TRUE,"Low quality","Benchmark")))</x:f>
        <x:v>Low quality</x:v>
      </x:c>
    </x:row>
    <x:row r="3074">
      <x:c r="A3074" s="2" t="str">
        <x:v>161359</x:v>
      </x:c>
      <x:c r="B3074" s="2" t="str">
        <x:v>BURGESS HEALTH CENTER</x:v>
      </x:c>
      <x:c r="C3074" s="2" t="str">
        <x:v>ONAWA</x:v>
      </x:c>
      <x:c r="D3074" s="2" t="str">
        <x:v>IA</x:v>
      </x:c>
      <x:c r="E3074" s="2" t="str">
        <x:v>Critical Access Hospitals</x:v>
      </x:c>
      <x:c r="F3074" s="2" t="str">
        <x:v>Voluntary non-profit</x:v>
      </x:c>
      <x:c r="G3074" s="2" t="str">
        <x:v>Small (&lt;100 beds)</x:v>
      </x:c>
      <x:c r="H3074" s="7" t="n">
        <x:v>3</x:v>
      </x:c>
      <x:c r="I3074" s="7"/>
      <x:c r="J3074" s="7"/>
      <x:c r="K3074" s="8" t="n">
        <x:v>25</x:v>
      </x:c>
      <x:c r="L3074" s="8" t="n">
        <x:v>332</x:v>
      </x:c>
      <x:c r="M3074" s="9" t="n">
        <x:v>0.2115068493</x:v>
      </x:c>
      <x:c r="N3074" s="10" t="n">
        <x:v>109138.7439759036</x:v>
      </x:c>
      <x:c r="O3074" s="9" t="n">
        <x:v>-0.0166048252</x:v>
      </x:c>
      <x:c r="P3074" s="9" t="n">
        <x:v>0.3776951673</x:v>
      </x:c>
      <x:c r="Q3074" s="9" t="n">
        <x:v>0.0765799257</x:v>
      </x:c>
      <x:c r="R3074" s="3" t="b">
        <x:v>0</x:v>
      </x:c>
      <x:c r="S3074" s="3" t="b">
        <x:v>1</x:v>
      </x:c>
      <x:c r="T3074" s="3" t="b">
        <x:v>0</x:v>
      </x:c>
      <x:c r="U3074" s="2" t="str">
        <x:f>IF(T3074=TRUE,"Priority review",IF(R3074=TRUE,"High cost",IF(S3074=TRUE,"Low quality","Benchmark")))</x:f>
        <x:v>Low quality</x:v>
      </x:c>
    </x:row>
    <x:row r="3075">
      <x:c r="A3075" s="2" t="str">
        <x:v>390036</x:v>
      </x:c>
      <x:c r="B3075" s="2" t="str">
        <x:v>HERITAGE VALLEY BEAVER</x:v>
      </x:c>
      <x:c r="C3075" s="2" t="str">
        <x:v>BEAVER</x:v>
      </x:c>
      <x:c r="D3075" s="2" t="str">
        <x:v>PA</x:v>
      </x:c>
      <x:c r="E3075" s="2" t="str">
        <x:v>Acute Care Hospitals</x:v>
      </x:c>
      <x:c r="F3075" s="2" t="str">
        <x:v>Voluntary non-profit</x:v>
      </x:c>
      <x:c r="G3075" s="2" t="str">
        <x:v>Medium (100-299 beds)</x:v>
      </x:c>
      <x:c r="H3075" s="7" t="n">
        <x:v>3</x:v>
      </x:c>
      <x:c r="I3075" s="7" t="n">
        <x:v>3</x:v>
      </x:c>
      <x:c r="J3075" s="7" t="n">
        <x:v>1.14</x:v>
      </x:c>
      <x:c r="K3075" s="8" t="n">
        <x:v>126</x:v>
      </x:c>
      <x:c r="L3075" s="8" t="n">
        <x:v>7932</x:v>
      </x:c>
      <x:c r="M3075" s="9" t="n">
        <x:v>0.7464448793</x:v>
      </x:c>
      <x:c r="N3075" s="10" t="n">
        <x:v>30002.7511346445</x:v>
      </x:c>
      <x:c r="O3075" s="9" t="n">
        <x:v>-0.1610866038</x:v>
      </x:c>
      <x:c r="P3075" s="9" t="n">
        <x:v>0.3773431133</x:v>
      </x:c>
      <x:c r="Q3075" s="9" t="n">
        <x:v>0.3023634882</x:v>
      </x:c>
      <x:c r="R3075" s="3" t="b">
        <x:v>0</x:v>
      </x:c>
      <x:c r="S3075" s="3" t="b">
        <x:v>0</x:v>
      </x:c>
      <x:c r="T3075" s="3" t="b">
        <x:v>0</x:v>
      </x:c>
      <x:c r="U3075" s="2" t="str">
        <x:f>IF(T3075=TRUE,"Priority review",IF(R3075=TRUE,"High cost",IF(S3075=TRUE,"Low quality","Benchmark")))</x:f>
        <x:v>Benchmark</x:v>
      </x:c>
    </x:row>
    <x:row r="3076">
      <x:c r="A3076" s="2" t="str">
        <x:v>290049</x:v>
      </x:c>
      <x:c r="B3076" s="2" t="str">
        <x:v>RENOWN SOUTH MEADOWS MEDICAL CENTER</x:v>
      </x:c>
      <x:c r="C3076" s="2" t="str">
        <x:v>RENO</x:v>
      </x:c>
      <x:c r="D3076" s="2" t="str">
        <x:v>NV</x:v>
      </x:c>
      <x:c r="E3076" s="2" t="str">
        <x:v>Acute Care Hospitals</x:v>
      </x:c>
      <x:c r="F3076" s="2" t="str">
        <x:v>Voluntary non-profit</x:v>
      </x:c>
      <x:c r="G3076" s="2" t="str">
        <x:v>Small (&lt;100 beds)</x:v>
      </x:c>
      <x:c r="H3076" s="7" t="n">
        <x:v>3</x:v>
      </x:c>
      <x:c r="I3076" s="7" t="n">
        <x:v>3</x:v>
      </x:c>
      <x:c r="J3076" s="7" t="n">
        <x:v>0.95</x:v>
      </x:c>
      <x:c r="K3076" s="8" t="n">
        <x:v>60</x:v>
      </x:c>
      <x:c r="L3076" s="8" t="n">
        <x:v>4154</x:v>
      </x:c>
      <x:c r="M3076" s="9" t="n">
        <x:v>0.7224954463</x:v>
      </x:c>
      <x:c r="N3076" s="10" t="n">
        <x:v>43737.4068367838</x:v>
      </x:c>
      <x:c r="O3076" s="9" t="n">
        <x:v>0.1129741832</x:v>
      </x:c>
      <x:c r="P3076" s="9" t="n">
        <x:v>0.3770197487</x:v>
      </x:c>
      <x:c r="Q3076" s="9" t="n">
        <x:v>0.1687612208</x:v>
      </x:c>
      <x:c r="R3076" s="3" t="b">
        <x:v>0</x:v>
      </x:c>
      <x:c r="S3076" s="3" t="b">
        <x:v>0</x:v>
      </x:c>
      <x:c r="T3076" s="3" t="b">
        <x:v>0</x:v>
      </x:c>
      <x:c r="U3076" s="2" t="str">
        <x:f>IF(T3076=TRUE,"Priority review",IF(R3076=TRUE,"High cost",IF(S3076=TRUE,"Low quality","Benchmark")))</x:f>
        <x:v>Benchmark</x:v>
      </x:c>
    </x:row>
    <x:row r="3077">
      <x:c r="A3077" s="2" t="str">
        <x:v>110074</x:v>
      </x:c>
      <x:c r="B3077" s="2" t="str">
        <x:v>PIEDMONT ATHENS REGIONAL MEDICAL CENTER</x:v>
      </x:c>
      <x:c r="C3077" s="2" t="str">
        <x:v>ATHENS</x:v>
      </x:c>
      <x:c r="D3077" s="2" t="str">
        <x:v>GA</x:v>
      </x:c>
      <x:c r="E3077" s="2" t="str">
        <x:v>Acute Care Hospitals</x:v>
      </x:c>
      <x:c r="F3077" s="2" t="str">
        <x:v>Voluntary non-profit</x:v>
      </x:c>
      <x:c r="G3077" s="2" t="str">
        <x:v>Large (300+ beds)</x:v>
      </x:c>
      <x:c r="H3077" s="7" t="n">
        <x:v>4</x:v>
      </x:c>
      <x:c r="I3077" s="7" t="n">
        <x:v>4</x:v>
      </x:c>
      <x:c r="J3077" s="7" t="n">
        <x:v>0.95</x:v>
      </x:c>
      <x:c r="K3077" s="8" t="n">
        <x:v>407</x:v>
      </x:c>
      <x:c r="L3077" s="8" t="n">
        <x:v>25460</x:v>
      </x:c>
      <x:c r="M3077" s="9" t="n">
        <x:v>0.8143829886</x:v>
      </x:c>
      <x:c r="N3077" s="10" t="n">
        <x:v>33964.6824037706</x:v>
      </x:c>
      <x:c r="O3077" s="9" t="n">
        <x:v>0.0605436545</x:v>
      </x:c>
      <x:c r="P3077" s="9" t="n">
        <x:v>0.3769716088</x:v>
      </x:c>
      <x:c r="Q3077" s="9" t="n">
        <x:v>0.5899053628</x:v>
      </x:c>
      <x:c r="R3077" s="3" t="b">
        <x:v>0</x:v>
      </x:c>
      <x:c r="S3077" s="3" t="b">
        <x:v>0</x:v>
      </x:c>
      <x:c r="T3077" s="3" t="b">
        <x:v>0</x:v>
      </x:c>
      <x:c r="U3077" s="2" t="str">
        <x:f>IF(T3077=TRUE,"Priority review",IF(R3077=TRUE,"High cost",IF(S3077=TRUE,"Low quality","Benchmark")))</x:f>
        <x:v>Benchmark</x:v>
      </x:c>
    </x:row>
    <x:row r="3078">
      <x:c r="A3078" s="2" t="str">
        <x:v>181317</x:v>
      </x:c>
      <x:c r="B3078" s="2" t="str">
        <x:v>CUMBERLAND COUNTY HOSPITAL</x:v>
      </x:c>
      <x:c r="C3078" s="2" t="str">
        <x:v>BURKESVILLE</x:v>
      </x:c>
      <x:c r="D3078" s="2" t="str">
        <x:v>KY</x:v>
      </x:c>
      <x:c r="E3078" s="2" t="str">
        <x:v>Critical Access Hospitals</x:v>
      </x:c>
      <x:c r="F3078" s="2" t="str">
        <x:v>Government</x:v>
      </x:c>
      <x:c r="G3078" s="2" t="str">
        <x:v>Small (&lt;100 beds)</x:v>
      </x:c>
      <x:c r="H3078" s="7"/>
      <x:c r="I3078" s="7"/>
      <x:c r="J3078" s="7"/>
      <x:c r="K3078" s="8" t="n">
        <x:v>25</x:v>
      </x:c>
      <x:c r="L3078" s="8" t="n">
        <x:v>250</x:v>
      </x:c>
      <x:c r="M3078" s="9" t="n">
        <x:v>0.2119452055</x:v>
      </x:c>
      <x:c r="N3078" s="10" t="n">
        <x:v>109099.108</x:v>
      </x:c>
      <x:c r="O3078" s="9" t="n">
        <x:v>-0.1767642494</x:v>
      </x:c>
      <x:c r="P3078" s="9" t="n">
        <x:v>0.3769516729</x:v>
      </x:c>
      <x:c r="Q3078" s="9" t="n">
        <x:v>0.292936803</x:v>
      </x:c>
      <x:c r="R3078" s="3" t="b">
        <x:v>0</x:v>
      </x:c>
      <x:c r="S3078" s="3" t="b">
        <x:v>0</x:v>
      </x:c>
      <x:c r="T3078" s="3" t="b">
        <x:v>0</x:v>
      </x:c>
      <x:c r="U3078" s="2" t="str">
        <x:f>IF(T3078=TRUE,"Priority review",IF(R3078=TRUE,"High cost",IF(S3078=TRUE,"Low quality","Benchmark")))</x:f>
        <x:v>Benchmark</x:v>
      </x:c>
    </x:row>
    <x:row r="3079">
      <x:c r="A3079" s="2" t="str">
        <x:v>050204</x:v>
      </x:c>
      <x:c r="B3079" s="2" t="str">
        <x:v>PALMDALE REGIONAL MEDICAL CENTER</x:v>
      </x:c>
      <x:c r="C3079" s="2" t="str">
        <x:v>PALMDALE</x:v>
      </x:c>
      <x:c r="D3079" s="2" t="str">
        <x:v>CA</x:v>
      </x:c>
      <x:c r="E3079" s="2" t="str">
        <x:v>Acute Care Hospitals</x:v>
      </x:c>
      <x:c r="F3079" s="2" t="str">
        <x:v>Proprietary</x:v>
      </x:c>
      <x:c r="G3079" s="2" t="str">
        <x:v>Medium (100-299 beds)</x:v>
      </x:c>
      <x:c r="H3079" s="7" t="n">
        <x:v>3</x:v>
      </x:c>
      <x:c r="I3079" s="7" t="n">
        <x:v>2</x:v>
      </x:c>
      <x:c r="J3079" s="7" t="n">
        <x:v>1.06</x:v>
      </x:c>
      <x:c r="K3079" s="8" t="n">
        <x:v>157</x:v>
      </x:c>
      <x:c r="L3079" s="8" t="n">
        <x:v>9594</x:v>
      </x:c>
      <x:c r="M3079" s="9" t="n">
        <x:v>0.836784982</x:v>
      </x:c>
      <x:c r="N3079" s="10" t="n">
        <x:v>29973.3071711486</x:v>
      </x:c>
      <x:c r="O3079" s="9" t="n">
        <x:v>-0.0468034052</x:v>
      </x:c>
      <x:c r="P3079" s="9" t="n">
        <x:v>0.3765281174</x:v>
      </x:c>
      <x:c r="Q3079" s="9" t="n">
        <x:v>0.3023634882</x:v>
      </x:c>
      <x:c r="R3079" s="3" t="b">
        <x:v>0</x:v>
      </x:c>
      <x:c r="S3079" s="3" t="b">
        <x:v>0</x:v>
      </x:c>
      <x:c r="T3079" s="3" t="b">
        <x:v>0</x:v>
      </x:c>
      <x:c r="U3079" s="2" t="str">
        <x:f>IF(T3079=TRUE,"Priority review",IF(R3079=TRUE,"High cost",IF(S3079=TRUE,"Low quality","Benchmark")))</x:f>
        <x:v>Benchmark</x:v>
      </x:c>
    </x:row>
    <x:row r="3080">
      <x:c r="A3080" s="2" t="str">
        <x:v>051319</x:v>
      </x:c>
      <x:c r="B3080" s="2" t="str">
        <x:v>MERCY MEDICAL CENTER OF MT SHASTA</x:v>
      </x:c>
      <x:c r="C3080" s="2" t="str">
        <x:v>MOUNT SHASTA</x:v>
      </x:c>
      <x:c r="D3080" s="2" t="str">
        <x:v>CA</x:v>
      </x:c>
      <x:c r="E3080" s="2" t="str">
        <x:v>Critical Access Hospitals</x:v>
      </x:c>
      <x:c r="F3080" s="2" t="str">
        <x:v>Voluntary non-profit</x:v>
      </x:c>
      <x:c r="G3080" s="2" t="str">
        <x:v>Small (&lt;100 beds)</x:v>
      </x:c>
      <x:c r="H3080" s="7" t="n">
        <x:v>4</x:v>
      </x:c>
      <x:c r="I3080" s="7" t="n">
        <x:v>4</x:v>
      </x:c>
      <x:c r="J3080" s="7"/>
      <x:c r="K3080" s="8" t="n">
        <x:v>25</x:v>
      </x:c>
      <x:c r="L3080" s="8" t="n">
        <x:v>658</x:v>
      </x:c>
      <x:c r="M3080" s="9" t="n">
        <x:v>0.2615890411</x:v>
      </x:c>
      <x:c r="N3080" s="10" t="n">
        <x:v>109053.7462006079</x:v>
      </x:c>
      <x:c r="O3080" s="9" t="n">
        <x:v>0.0027880297</x:v>
      </x:c>
      <x:c r="P3080" s="9" t="n">
        <x:v>0.3762081784</x:v>
      </x:c>
      <x:c r="Q3080" s="9" t="n">
        <x:v>0.1657992565</x:v>
      </x:c>
      <x:c r="R3080" s="3" t="b">
        <x:v>0</x:v>
      </x:c>
      <x:c r="S3080" s="3" t="b">
        <x:v>0</x:v>
      </x:c>
      <x:c r="T3080" s="3" t="b">
        <x:v>0</x:v>
      </x:c>
      <x:c r="U3080" s="2" t="str">
        <x:f>IF(T3080=TRUE,"Priority review",IF(R3080=TRUE,"High cost",IF(S3080=TRUE,"Low quality","Benchmark")))</x:f>
        <x:v>Benchmark</x:v>
      </x:c>
    </x:row>
    <x:row r="3081">
      <x:c r="A3081" s="2" t="str">
        <x:v>010169</x:v>
      </x:c>
      <x:c r="B3081" s="2" t="str">
        <x:v>ATMORE COMMUNITY HOSPITAL</x:v>
      </x:c>
      <x:c r="C3081" s="2" t="str">
        <x:v>ATMORE</x:v>
      </x:c>
      <x:c r="D3081" s="2" t="str">
        <x:v>AL</x:v>
      </x:c>
      <x:c r="E3081" s="2" t="str">
        <x:v>Acute Care Hospitals</x:v>
      </x:c>
      <x:c r="F3081" s="2" t="str">
        <x:v>Government</x:v>
      </x:c>
      <x:c r="G3081" s="2" t="str">
        <x:v>Small (&lt;100 beds)</x:v>
      </x:c>
      <x:c r="H3081" s="7" t="n">
        <x:v>3</x:v>
      </x:c>
      <x:c r="I3081" s="7"/>
      <x:c r="J3081" s="7" t="n">
        <x:v>1.01</x:v>
      </x:c>
      <x:c r="K3081" s="8" t="n">
        <x:v>49</x:v>
      </x:c>
      <x:c r="L3081" s="8" t="n">
        <x:v>540</x:v>
      </x:c>
      <x:c r="M3081" s="9" t="n">
        <x:v>0.1558492249</x:v>
      </x:c>
      <x:c r="N3081" s="10" t="n">
        <x:v>43721.862962963</x:v>
      </x:c>
      <x:c r="O3081" s="9" t="n">
        <x:v>-0.3816967856</x:v>
      </x:c>
      <x:c r="P3081" s="9" t="n">
        <x:v>0.3761220826</x:v>
      </x:c>
      <x:c r="Q3081" s="9" t="n">
        <x:v>0.1687612208</x:v>
      </x:c>
      <x:c r="R3081" s="3" t="b">
        <x:v>0</x:v>
      </x:c>
      <x:c r="S3081" s="3" t="b">
        <x:v>0</x:v>
      </x:c>
      <x:c r="T3081" s="3" t="b">
        <x:v>0</x:v>
      </x:c>
      <x:c r="U3081" s="2" t="str">
        <x:f>IF(T3081=TRUE,"Priority review",IF(R3081=TRUE,"High cost",IF(S3081=TRUE,"Low quality","Benchmark")))</x:f>
        <x:v>Benchmark</x:v>
      </x:c>
    </x:row>
    <x:row r="3082">
      <x:c r="A3082" s="2" t="str">
        <x:v>050775</x:v>
      </x:c>
      <x:c r="B3082" s="2" t="str">
        <x:v>TEMECULA VALLEY HOSPITAL</x:v>
      </x:c>
      <x:c r="C3082" s="2" t="str">
        <x:v>TEMECULA</x:v>
      </x:c>
      <x:c r="D3082" s="2" t="str">
        <x:v>CA</x:v>
      </x:c>
      <x:c r="E3082" s="2" t="str">
        <x:v>Acute Care Hospitals</x:v>
      </x:c>
      <x:c r="F3082" s="2" t="str">
        <x:v>Proprietary</x:v>
      </x:c>
      <x:c r="G3082" s="2" t="str">
        <x:v>Medium (100-299 beds)</x:v>
      </x:c>
      <x:c r="H3082" s="7" t="n">
        <x:v>4</x:v>
      </x:c>
      <x:c r="I3082" s="7" t="n">
        <x:v>3</x:v>
      </x:c>
      <x:c r="J3082" s="7" t="n">
        <x:v>1.04</x:v>
      </x:c>
      <x:c r="K3082" s="8" t="n">
        <x:v>140</x:v>
      </x:c>
      <x:c r="L3082" s="8" t="n">
        <x:v>9254</x:v>
      </x:c>
      <x:c r="M3082" s="9" t="n">
        <x:v>0.88764637</x:v>
      </x:c>
      <x:c r="N3082" s="10" t="n">
        <x:v>29928.720769397</x:v>
      </x:c>
      <x:c r="O3082" s="9" t="n">
        <x:v>0.0965020739</x:v>
      </x:c>
      <x:c r="P3082" s="9" t="n">
        <x:v>0.3757131214</x:v>
      </x:c>
      <x:c r="Q3082" s="9" t="n">
        <x:v>0.6022819886</x:v>
      </x:c>
      <x:c r="R3082" s="3" t="b">
        <x:v>0</x:v>
      </x:c>
      <x:c r="S3082" s="3" t="b">
        <x:v>0</x:v>
      </x:c>
      <x:c r="T3082" s="3" t="b">
        <x:v>0</x:v>
      </x:c>
      <x:c r="U3082" s="2" t="str">
        <x:f>IF(T3082=TRUE,"Priority review",IF(R3082=TRUE,"High cost",IF(S3082=TRUE,"Low quality","Benchmark")))</x:f>
        <x:v>Benchmark</x:v>
      </x:c>
    </x:row>
    <x:row r="3083">
      <x:c r="A3083" s="2" t="str">
        <x:v>171373</x:v>
      </x:c>
      <x:c r="B3083" s="2" t="str">
        <x:v>ALLEN COUNTY REGIONAL HOSPITAL</x:v>
      </x:c>
      <x:c r="C3083" s="2" t="str">
        <x:v>IOLA</x:v>
      </x:c>
      <x:c r="D3083" s="2" t="str">
        <x:v>KS</x:v>
      </x:c>
      <x:c r="E3083" s="2" t="str">
        <x:v>Critical Access Hospitals</x:v>
      </x:c>
      <x:c r="F3083" s="2" t="str">
        <x:v>Government</x:v>
      </x:c>
      <x:c r="G3083" s="2" t="str">
        <x:v>Small (&lt;100 beds)</x:v>
      </x:c>
      <x:c r="H3083" s="7" t="n">
        <x:v>4</x:v>
      </x:c>
      <x:c r="I3083" s="7"/>
      <x:c r="J3083" s="7"/>
      <x:c r="K3083" s="8" t="n">
        <x:v>25</x:v>
      </x:c>
      <x:c r="L3083" s="8" t="n">
        <x:v>289</x:v>
      </x:c>
      <x:c r="M3083" s="9" t="n">
        <x:v>0.1923497268</x:v>
      </x:c>
      <x:c r="N3083" s="10" t="n">
        <x:v>109043.6989619377</x:v>
      </x:c>
      <x:c r="O3083" s="9" t="n">
        <x:v>-0.0659310143</x:v>
      </x:c>
      <x:c r="P3083" s="9" t="n">
        <x:v>0.375464684</x:v>
      </x:c>
      <x:c r="Q3083" s="9" t="n">
        <x:v>0.1657992565</x:v>
      </x:c>
      <x:c r="R3083" s="3" t="b">
        <x:v>0</x:v>
      </x:c>
      <x:c r="S3083" s="3" t="b">
        <x:v>0</x:v>
      </x:c>
      <x:c r="T3083" s="3" t="b">
        <x:v>0</x:v>
      </x:c>
      <x:c r="U3083" s="2" t="str">
        <x:f>IF(T3083=TRUE,"Priority review",IF(R3083=TRUE,"High cost",IF(S3083=TRUE,"Low quality","Benchmark")))</x:f>
        <x:v>Benchmark</x:v>
      </x:c>
    </x:row>
    <x:row r="3084">
      <x:c r="A3084" s="2" t="str">
        <x:v>454124</x:v>
      </x:c>
      <x:c r="B3084" s="2" t="str">
        <x:v>MESA SPRINGS</x:v>
      </x:c>
      <x:c r="C3084" s="2" t="str">
        <x:v>FORT WORTH</x:v>
      </x:c>
      <x:c r="D3084" s="2" t="str">
        <x:v>TX</x:v>
      </x:c>
      <x:c r="E3084" s="2" t="str">
        <x:v>Psychiatric</x:v>
      </x:c>
      <x:c r="F3084" s="2" t="str">
        <x:v>Proprietary</x:v>
      </x:c>
      <x:c r="G3084" s="2" t="str">
        <x:v>Small (&lt;100 beds)</x:v>
      </x:c>
      <x:c r="H3084" s="7"/>
      <x:c r="I3084" s="7"/>
      <x:c r="J3084" s="7"/>
      <x:c r="K3084" s="8" t="n">
        <x:v>72</x:v>
      </x:c>
      <x:c r="L3084" s="8" t="n">
        <x:v>2882</x:v>
      </x:c>
      <x:c r="M3084" s="9" t="n">
        <x:v>0.8093226788</x:v>
      </x:c>
      <x:c r="N3084" s="10" t="n">
        <x:v>9853.7890353921</x:v>
      </x:c>
      <x:c r="O3084" s="9" t="n">
        <x:v>-1.1801929518</x:v>
      </x:c>
      <x:c r="P3084" s="9" t="n">
        <x:v>0.3754045307</x:v>
      </x:c>
      <x:c r="Q3084" s="9" t="n">
        <x:v>0</x:v>
      </x:c>
      <x:c r="R3084" s="3" t="b">
        <x:v>0</x:v>
      </x:c>
      <x:c r="S3084" s="3" t="b">
        <x:v>0</x:v>
      </x:c>
      <x:c r="T3084" s="3" t="b">
        <x:v>0</x:v>
      </x:c>
      <x:c r="U3084" s="2" t="str">
        <x:f>IF(T3084=TRUE,"Priority review",IF(R3084=TRUE,"High cost",IF(S3084=TRUE,"Low quality","Benchmark")))</x:f>
        <x:v>Benchmark</x:v>
      </x:c>
    </x:row>
    <x:row r="3085">
      <x:c r="A3085" s="2" t="str">
        <x:v>050243</x:v>
      </x:c>
      <x:c r="B3085" s="2" t="str">
        <x:v>DESERT REGIONAL MEDICAL CENTER</x:v>
      </x:c>
      <x:c r="C3085" s="2" t="str">
        <x:v>PALM SPRINGS</x:v>
      </x:c>
      <x:c r="D3085" s="2" t="str">
        <x:v>CA</x:v>
      </x:c>
      <x:c r="E3085" s="2" t="str">
        <x:v>Acute Care Hospitals</x:v>
      </x:c>
      <x:c r="F3085" s="2" t="str">
        <x:v>Proprietary</x:v>
      </x:c>
      <x:c r="G3085" s="2" t="str">
        <x:v>Large (300+ beds)</x:v>
      </x:c>
      <x:c r="H3085" s="7" t="n">
        <x:v>2</x:v>
      </x:c>
      <x:c r="I3085" s="7" t="n">
        <x:v>2</x:v>
      </x:c>
      <x:c r="J3085" s="7" t="n">
        <x:v>1.04</x:v>
      </x:c>
      <x:c r="K3085" s="8" t="n">
        <x:v>326</x:v>
      </x:c>
      <x:c r="L3085" s="8" t="n">
        <x:v>18097</x:v>
      </x:c>
      <x:c r="M3085" s="9" t="n">
        <x:v>0.8210437852</x:v>
      </x:c>
      <x:c r="N3085" s="10" t="n">
        <x:v>33895.3684588606</x:v>
      </x:c>
      <x:c r="O3085" s="9" t="n">
        <x:v>0.0632239995</x:v>
      </x:c>
      <x:c r="P3085" s="9" t="n">
        <x:v>0.3753943218</x:v>
      </x:c>
      <x:c r="Q3085" s="9" t="n">
        <x:v>0.0536277603</x:v>
      </x:c>
      <x:c r="R3085" s="3" t="b">
        <x:v>0</x:v>
      </x:c>
      <x:c r="S3085" s="3" t="b">
        <x:v>1</x:v>
      </x:c>
      <x:c r="T3085" s="3" t="b">
        <x:v>0</x:v>
      </x:c>
      <x:c r="U3085" s="2" t="str">
        <x:f>IF(T3085=TRUE,"Priority review",IF(R3085=TRUE,"High cost",IF(S3085=TRUE,"Low quality","Benchmark")))</x:f>
        <x:v>Low quality</x:v>
      </x:c>
    </x:row>
    <x:row r="3086">
      <x:c r="A3086" s="2" t="str">
        <x:v>190014</x:v>
      </x:c>
      <x:c r="B3086" s="2" t="str">
        <x:v>OCHSNER ST MARY</x:v>
      </x:c>
      <x:c r="C3086" s="2" t="str">
        <x:v>MORGAN CITY</x:v>
      </x:c>
      <x:c r="D3086" s="2" t="str">
        <x:v>LA</x:v>
      </x:c>
      <x:c r="E3086" s="2" t="str">
        <x:v>Acute Care Hospitals</x:v>
      </x:c>
      <x:c r="F3086" s="2" t="str">
        <x:v>Voluntary non-profit</x:v>
      </x:c>
      <x:c r="G3086" s="2" t="str">
        <x:v>Small (&lt;100 beds)</x:v>
      </x:c>
      <x:c r="H3086" s="7" t="n">
        <x:v>2</x:v>
      </x:c>
      <x:c r="I3086" s="7" t="n">
        <x:v>3</x:v>
      </x:c>
      <x:c r="J3086" s="7" t="n">
        <x:v>1.16</x:v>
      </x:c>
      <x:c r="K3086" s="8" t="n">
        <x:v>60</x:v>
      </x:c>
      <x:c r="L3086" s="8" t="n">
        <x:v>1012</x:v>
      </x:c>
      <x:c r="M3086" s="9" t="n">
        <x:v>0.214435337</x:v>
      </x:c>
      <x:c r="N3086" s="10" t="n">
        <x:v>43614.6373517787</x:v>
      </x:c>
      <x:c r="O3086" s="9" t="n">
        <x:v>-0.1147857452</x:v>
      </x:c>
      <x:c r="P3086" s="9" t="n">
        <x:v>0.3752244165</x:v>
      </x:c>
      <x:c r="Q3086" s="9" t="n">
        <x:v>0.0350089767</x:v>
      </x:c>
      <x:c r="R3086" s="3" t="b">
        <x:v>0</x:v>
      </x:c>
      <x:c r="S3086" s="3" t="b">
        <x:v>1</x:v>
      </x:c>
      <x:c r="T3086" s="3" t="b">
        <x:v>0</x:v>
      </x:c>
      <x:c r="U3086" s="2" t="str">
        <x:f>IF(T3086=TRUE,"Priority review",IF(R3086=TRUE,"High cost",IF(S3086=TRUE,"Low quality","Benchmark")))</x:f>
        <x:v>Low quality</x:v>
      </x:c>
    </x:row>
    <x:row r="3087">
      <x:c r="A3087" s="2" t="str">
        <x:v>073300</x:v>
      </x:c>
      <x:c r="B3087" s="2" t="str">
        <x:v>CONNECTICUT CHILDRENS MEDICAL CENTER</x:v>
      </x:c>
      <x:c r="C3087" s="2" t="str">
        <x:v>HARTFORD</x:v>
      </x:c>
      <x:c r="D3087" s="2" t="str">
        <x:v>CT</x:v>
      </x:c>
      <x:c r="E3087" s="2" t="str">
        <x:v>Childrens</x:v>
      </x:c>
      <x:c r="F3087" s="2" t="str">
        <x:v>Voluntary non-profit</x:v>
      </x:c>
      <x:c r="G3087" s="2" t="str">
        <x:v>Medium (100-299 beds)</x:v>
      </x:c>
      <x:c r="H3087" s="7"/>
      <x:c r="I3087" s="7"/>
      <x:c r="J3087" s="7"/>
      <x:c r="K3087" s="8" t="n">
        <x:v>187</x:v>
      </x:c>
      <x:c r="L3087" s="8" t="n">
        <x:v>7336</x:v>
      </x:c>
      <x:c r="M3087" s="9" t="n">
        <x:v>0.7566552702</x:v>
      </x:c>
      <x:c r="N3087" s="10" t="n">
        <x:v>74640.6425845147</x:v>
      </x:c>
      <x:c r="O3087" s="9" t="n">
        <x:v>-0.1002569455</x:v>
      </x:c>
      <x:c r="P3087" s="9" t="n">
        <x:v>0.375</x:v>
      </x:c>
      <x:c r="Q3087" s="9" t="n">
        <x:v>0</x:v>
      </x:c>
      <x:c r="R3087" s="3" t="b">
        <x:v>0</x:v>
      </x:c>
      <x:c r="S3087" s="3" t="b">
        <x:v>0</x:v>
      </x:c>
      <x:c r="T3087" s="3" t="b">
        <x:v>0</x:v>
      </x:c>
      <x:c r="U3087" s="2" t="str">
        <x:f>IF(T3087=TRUE,"Priority review",IF(R3087=TRUE,"High cost",IF(S3087=TRUE,"Low quality","Benchmark")))</x:f>
        <x:v>Benchmark</x:v>
      </x:c>
    </x:row>
    <x:row r="3088">
      <x:c r="A3088" s="2" t="str">
        <x:v>370026</x:v>
      </x:c>
      <x:c r="B3088" s="2" t="str">
        <x:v>ST MARY'S REGIONAL MEDICAL CENTER</x:v>
      </x:c>
      <x:c r="C3088" s="2" t="str">
        <x:v>ENID</x:v>
      </x:c>
      <x:c r="D3088" s="2" t="str">
        <x:v>OK</x:v>
      </x:c>
      <x:c r="E3088" s="2" t="str">
        <x:v>Acute Care Hospitals</x:v>
      </x:c>
      <x:c r="F3088" s="2" t="str">
        <x:v>Proprietary</x:v>
      </x:c>
      <x:c r="G3088" s="2" t="str">
        <x:v>Medium (100-299 beds)</x:v>
      </x:c>
      <x:c r="H3088" s="7" t="n">
        <x:v>3</x:v>
      </x:c>
      <x:c r="I3088" s="7" t="n">
        <x:v>4</x:v>
      </x:c>
      <x:c r="J3088" s="7" t="n">
        <x:v>1.04</x:v>
      </x:c>
      <x:c r="K3088" s="8" t="n">
        <x:v>142</x:v>
      </x:c>
      <x:c r="L3088" s="8" t="n">
        <x:v>3443</x:v>
      </x:c>
      <x:c r="M3088" s="9" t="n">
        <x:v>0.264219195</x:v>
      </x:c>
      <x:c r="N3088" s="10" t="n">
        <x:v>29914.6892245135</x:v>
      </x:c>
      <x:c r="O3088" s="9" t="n">
        <x:v>-0.0662169408</x:v>
      </x:c>
      <x:c r="P3088" s="9" t="n">
        <x:v>0.3748981255</x:v>
      </x:c>
      <x:c r="Q3088" s="9" t="n">
        <x:v>0.3023634882</x:v>
      </x:c>
      <x:c r="R3088" s="3" t="b">
        <x:v>0</x:v>
      </x:c>
      <x:c r="S3088" s="3" t="b">
        <x:v>0</x:v>
      </x:c>
      <x:c r="T3088" s="3" t="b">
        <x:v>0</x:v>
      </x:c>
      <x:c r="U3088" s="2" t="str">
        <x:f>IF(T3088=TRUE,"Priority review",IF(R3088=TRUE,"High cost",IF(S3088=TRUE,"Low quality","Benchmark")))</x:f>
        <x:v>Benchmark</x:v>
      </x:c>
    </x:row>
    <x:row r="3089">
      <x:c r="A3089" s="2" t="str">
        <x:v>521332</x:v>
      </x:c>
      <x:c r="B3089" s="2" t="str">
        <x:v>SPOONER HEALTH SYSTEM</x:v>
      </x:c>
      <x:c r="C3089" s="2" t="str">
        <x:v>SPOONER</x:v>
      </x:c>
      <x:c r="D3089" s="2" t="str">
        <x:v>WI</x:v>
      </x:c>
      <x:c r="E3089" s="2" t="str">
        <x:v>Critical Access Hospitals</x:v>
      </x:c>
      <x:c r="F3089" s="2" t="str">
        <x:v>Voluntary non-profit</x:v>
      </x:c>
      <x:c r="G3089" s="2" t="str">
        <x:v>Small (&lt;100 beds)</x:v>
      </x:c>
      <x:c r="H3089" s="7" t="n">
        <x:v>5</x:v>
      </x:c>
      <x:c r="I3089" s="7"/>
      <x:c r="J3089" s="7"/>
      <x:c r="K3089" s="8" t="n">
        <x:v>20</x:v>
      </x:c>
      <x:c r="L3089" s="8" t="n">
        <x:v>295</x:v>
      </x:c>
      <x:c r="M3089" s="9" t="n">
        <x:v>0.1717808219</x:v>
      </x:c>
      <x:c r="N3089" s="10" t="n">
        <x:v>108949.0779661017</x:v>
      </x:c>
      <x:c r="O3089" s="9" t="n">
        <x:v>0.1153907013</x:v>
      </x:c>
      <x:c r="P3089" s="9" t="n">
        <x:v>0.3747211896</x:v>
      </x:c>
      <x:c r="Q3089" s="9" t="n">
        <x:v>0.2602230483</x:v>
      </x:c>
      <x:c r="R3089" s="3" t="b">
        <x:v>0</x:v>
      </x:c>
      <x:c r="S3089" s="3" t="b">
        <x:v>0</x:v>
      </x:c>
      <x:c r="T3089" s="3" t="b">
        <x:v>0</x:v>
      </x:c>
      <x:c r="U3089" s="2" t="str">
        <x:f>IF(T3089=TRUE,"Priority review",IF(R3089=TRUE,"High cost",IF(S3089=TRUE,"Low quality","Benchmark")))</x:f>
        <x:v>Benchmark</x:v>
      </x:c>
    </x:row>
    <x:row r="3090">
      <x:c r="A3090" s="2" t="str">
        <x:v>140184</x:v>
      </x:c>
      <x:c r="B3090" s="2" t="str">
        <x:v>HEARTLAND REGIONAL MEDICAL CENTER</x:v>
      </x:c>
      <x:c r="C3090" s="2" t="str">
        <x:v>MARION</x:v>
      </x:c>
      <x:c r="D3090" s="2" t="str">
        <x:v>IL</x:v>
      </x:c>
      <x:c r="E3090" s="2" t="str">
        <x:v>Acute Care Hospitals</x:v>
      </x:c>
      <x:c r="F3090" s="2" t="str">
        <x:v>Proprietary</x:v>
      </x:c>
      <x:c r="G3090" s="2" t="str">
        <x:v>Small (&lt;100 beds)</x:v>
      </x:c>
      <x:c r="H3090" s="7" t="n">
        <x:v>2</x:v>
      </x:c>
      <x:c r="I3090" s="7" t="n">
        <x:v>4</x:v>
      </x:c>
      <x:c r="J3090" s="7" t="n">
        <x:v>1.09</x:v>
      </x:c>
      <x:c r="K3090" s="8" t="n">
        <x:v>94</x:v>
      </x:c>
      <x:c r="L3090" s="8" t="n">
        <x:v>2832</x:v>
      </x:c>
      <x:c r="M3090" s="9" t="n">
        <x:v>0.2846471341</x:v>
      </x:c>
      <x:c r="N3090" s="10" t="n">
        <x:v>43583.9216101695</x:v>
      </x:c>
      <x:c r="O3090" s="9" t="n">
        <x:v>0.0443918097</x:v>
      </x:c>
      <x:c r="P3090" s="9" t="n">
        <x:v>0.3743267504</x:v>
      </x:c>
      <x:c r="Q3090" s="9" t="n">
        <x:v>0.0350089767</x:v>
      </x:c>
      <x:c r="R3090" s="3" t="b">
        <x:v>0</x:v>
      </x:c>
      <x:c r="S3090" s="3" t="b">
        <x:v>1</x:v>
      </x:c>
      <x:c r="T3090" s="3" t="b">
        <x:v>0</x:v>
      </x:c>
      <x:c r="U3090" s="2" t="str">
        <x:f>IF(T3090=TRUE,"Priority review",IF(R3090=TRUE,"High cost",IF(S3090=TRUE,"Low quality","Benchmark")))</x:f>
        <x:v>Low quality</x:v>
      </x:c>
    </x:row>
    <x:row r="3091">
      <x:c r="A3091" s="2" t="str">
        <x:v>100055</x:v>
      </x:c>
      <x:c r="B3091" s="2" t="str">
        <x:v>ADVENTHEALTH NORTH PINELLAS</x:v>
      </x:c>
      <x:c r="C3091" s="2" t="str">
        <x:v>TARPON SPRINGS</x:v>
      </x:c>
      <x:c r="D3091" s="2" t="str">
        <x:v>FL</x:v>
      </x:c>
      <x:c r="E3091" s="2" t="str">
        <x:v>Acute Care Hospitals</x:v>
      </x:c>
      <x:c r="F3091" s="2" t="str">
        <x:v>Voluntary non-profit</x:v>
      </x:c>
      <x:c r="G3091" s="2" t="str">
        <x:v>Medium (100-299 beds)</x:v>
      </x:c>
      <x:c r="H3091" s="7" t="n">
        <x:v>4</x:v>
      </x:c>
      <x:c r="I3091" s="7" t="n">
        <x:v>3</x:v>
      </x:c>
      <x:c r="J3091" s="7" t="n">
        <x:v>1.02</x:v>
      </x:c>
      <x:c r="K3091" s="8" t="n">
        <x:v>136</x:v>
      </x:c>
      <x:c r="L3091" s="8" t="n">
        <x:v>6378</x:v>
      </x:c>
      <x:c r="M3091" s="9" t="n">
        <x:v>0.5598882996</x:v>
      </x:c>
      <x:c r="N3091" s="10" t="n">
        <x:v>29898.7844151772</x:v>
      </x:c>
      <x:c r="O3091" s="9" t="n">
        <x:v>-0.0321321178</x:v>
      </x:c>
      <x:c r="P3091" s="9" t="n">
        <x:v>0.3740831296</x:v>
      </x:c>
      <x:c r="Q3091" s="9" t="n">
        <x:v>0.6022819886</x:v>
      </x:c>
      <x:c r="R3091" s="3" t="b">
        <x:v>0</x:v>
      </x:c>
      <x:c r="S3091" s="3" t="b">
        <x:v>0</x:v>
      </x:c>
      <x:c r="T3091" s="3" t="b">
        <x:v>0</x:v>
      </x:c>
      <x:c r="U3091" s="2" t="str">
        <x:f>IF(T3091=TRUE,"Priority review",IF(R3091=TRUE,"High cost",IF(S3091=TRUE,"Low quality","Benchmark")))</x:f>
        <x:v>Benchmark</x:v>
      </x:c>
    </x:row>
    <x:row r="3092">
      <x:c r="A3092" s="2" t="str">
        <x:v>271347</x:v>
      </x:c>
      <x:c r="B3092" s="2" t="str">
        <x:v>HOLY ROSARY HOSPITAL</x:v>
      </x:c>
      <x:c r="C3092" s="2" t="str">
        <x:v>MILES CITY</x:v>
      </x:c>
      <x:c r="D3092" s="2" t="str">
        <x:v>MT</x:v>
      </x:c>
      <x:c r="E3092" s="2" t="str">
        <x:v>Critical Access Hospitals</x:v>
      </x:c>
      <x:c r="F3092" s="2" t="str">
        <x:v>Voluntary non-profit</x:v>
      </x:c>
      <x:c r="G3092" s="2" t="str">
        <x:v>Small (&lt;100 beds)</x:v>
      </x:c>
      <x:c r="H3092" s="7" t="n">
        <x:v>5</x:v>
      </x:c>
      <x:c r="I3092" s="7" t="n">
        <x:v>4</x:v>
      </x:c>
      <x:c r="J3092" s="7"/>
      <x:c r="K3092" s="8" t="n">
        <x:v>25</x:v>
      </x:c>
      <x:c r="L3092" s="8" t="n">
        <x:v>687</x:v>
      </x:c>
      <x:c r="M3092" s="9" t="n">
        <x:v>0.4789071038</x:v>
      </x:c>
      <x:c r="N3092" s="10" t="n">
        <x:v>108832.9898107715</x:v>
      </x:c>
      <x:c r="O3092" s="9" t="n">
        <x:v>-0.0654598414</x:v>
      </x:c>
      <x:c r="P3092" s="9" t="n">
        <x:v>0.3739776952</x:v>
      </x:c>
      <x:c r="Q3092" s="9" t="n">
        <x:v>0.2602230483</x:v>
      </x:c>
      <x:c r="R3092" s="3" t="b">
        <x:v>0</x:v>
      </x:c>
      <x:c r="S3092" s="3" t="b">
        <x:v>0</x:v>
      </x:c>
      <x:c r="T3092" s="3" t="b">
        <x:v>0</x:v>
      </x:c>
      <x:c r="U3092" s="2" t="str">
        <x:f>IF(T3092=TRUE,"Priority review",IF(R3092=TRUE,"High cost",IF(S3092=TRUE,"Low quality","Benchmark")))</x:f>
        <x:v>Benchmark</x:v>
      </x:c>
    </x:row>
    <x:row r="3093">
      <x:c r="A3093" s="2" t="str">
        <x:v>210015</x:v>
      </x:c>
      <x:c r="B3093" s="2" t="str">
        <x:v>MEDSTAR FRANKLIN SQUARE MEDICAL CENTER</x:v>
      </x:c>
      <x:c r="C3093" s="2" t="str">
        <x:v>ROSEDALE</x:v>
      </x:c>
      <x:c r="D3093" s="2" t="str">
        <x:v>MD</x:v>
      </x:c>
      <x:c r="E3093" s="2" t="str">
        <x:v>Acute Care Hospitals</x:v>
      </x:c>
      <x:c r="F3093" s="2" t="str">
        <x:v>Voluntary non-profit</x:v>
      </x:c>
      <x:c r="G3093" s="2" t="str">
        <x:v>Large (300+ beds)</x:v>
      </x:c>
      <x:c r="H3093" s="7" t="n">
        <x:v>3</x:v>
      </x:c>
      <x:c r="I3093" s="7" t="n">
        <x:v>2</x:v>
      </x:c>
      <x:c r="J3093" s="7"/>
      <x:c r="K3093" s="8" t="n">
        <x:v>357</x:v>
      </x:c>
      <x:c r="L3093" s="8" t="n">
        <x:v>19116</x:v>
      </x:c>
      <x:c r="M3093" s="9" t="n">
        <x:v>0.8478416024</x:v>
      </x:c>
      <x:c r="N3093" s="10" t="n">
        <x:v>33828.1074492572</x:v>
      </x:c>
      <x:c r="O3093" s="9" t="n">
        <x:v>-0.0284906471</x:v>
      </x:c>
      <x:c r="P3093" s="9" t="n">
        <x:v>0.3738170347</x:v>
      </x:c>
      <x:c r="Q3093" s="9" t="n">
        <x:v>0.2570977918</x:v>
      </x:c>
      <x:c r="R3093" s="3" t="b">
        <x:v>0</x:v>
      </x:c>
      <x:c r="S3093" s="3" t="b">
        <x:v>0</x:v>
      </x:c>
      <x:c r="T3093" s="3" t="b">
        <x:v>0</x:v>
      </x:c>
      <x:c r="U3093" s="2" t="str">
        <x:f>IF(T3093=TRUE,"Priority review",IF(R3093=TRUE,"High cost",IF(S3093=TRUE,"Low quality","Benchmark")))</x:f>
        <x:v>Benchmark</x:v>
      </x:c>
    </x:row>
    <x:row r="3094">
      <x:c r="A3094" s="2" t="str">
        <x:v>390183</x:v>
      </x:c>
      <x:c r="B3094" s="2" t="str">
        <x:v>ST LUKE'S MINERS MEMORIAL HOSPITAL</x:v>
      </x:c>
      <x:c r="C3094" s="2" t="str">
        <x:v>COALDALE</x:v>
      </x:c>
      <x:c r="D3094" s="2" t="str">
        <x:v>PA</x:v>
      </x:c>
      <x:c r="E3094" s="2" t="str">
        <x:v>Acute Care Hospitals</x:v>
      </x:c>
      <x:c r="F3094" s="2" t="str">
        <x:v>Voluntary non-profit</x:v>
      </x:c>
      <x:c r="G3094" s="2" t="str">
        <x:v>Small (&lt;100 beds)</x:v>
      </x:c>
      <x:c r="H3094" s="7" t="n">
        <x:v>4</x:v>
      </x:c>
      <x:c r="I3094" s="7" t="n">
        <x:v>4</x:v>
      </x:c>
      <x:c r="J3094" s="7" t="n">
        <x:v>0.89</x:v>
      </x:c>
      <x:c r="K3094" s="8" t="n">
        <x:v>49</x:v>
      </x:c>
      <x:c r="L3094" s="8" t="n">
        <x:v>2515</x:v>
      </x:c>
      <x:c r="M3094" s="9" t="n">
        <x:v>0.5389991613</x:v>
      </x:c>
      <x:c r="N3094" s="10" t="n">
        <x:v>43562.0186878728</x:v>
      </x:c>
      <x:c r="O3094" s="9" t="n">
        <x:v>0.1508067034</x:v>
      </x:c>
      <x:c r="P3094" s="9" t="n">
        <x:v>0.3734290844</x:v>
      </x:c>
      <x:c r="Q3094" s="9" t="n">
        <x:v>0.3913824057</x:v>
      </x:c>
      <x:c r="R3094" s="3" t="b">
        <x:v>0</x:v>
      </x:c>
      <x:c r="S3094" s="3" t="b">
        <x:v>0</x:v>
      </x:c>
      <x:c r="T3094" s="3" t="b">
        <x:v>0</x:v>
      </x:c>
      <x:c r="U3094" s="2" t="str">
        <x:f>IF(T3094=TRUE,"Priority review",IF(R3094=TRUE,"High cost",IF(S3094=TRUE,"Low quality","Benchmark")))</x:f>
        <x:v>Benchmark</x:v>
      </x:c>
    </x:row>
    <x:row r="3095">
      <x:c r="A3095" s="2" t="str">
        <x:v>040154</x:v>
      </x:c>
      <x:c r="B3095" s="2" t="str">
        <x:v>BAPTIST HEALTH MEDICAL CENTER- CONWAY</x:v>
      </x:c>
      <x:c r="C3095" s="2" t="str">
        <x:v>CONWAY</x:v>
      </x:c>
      <x:c r="D3095" s="2" t="str">
        <x:v>AR</x:v>
      </x:c>
      <x:c r="E3095" s="2" t="str">
        <x:v>Acute Care Hospitals</x:v>
      </x:c>
      <x:c r="F3095" s="2" t="str">
        <x:v>Voluntary non-profit</x:v>
      </x:c>
      <x:c r="G3095" s="2" t="str">
        <x:v>Medium (100-299 beds)</x:v>
      </x:c>
      <x:c r="H3095" s="7" t="n">
        <x:v>2</x:v>
      </x:c>
      <x:c r="I3095" s="7" t="n">
        <x:v>3</x:v>
      </x:c>
      <x:c r="J3095" s="7" t="n">
        <x:v>1.08</x:v>
      </x:c>
      <x:c r="K3095" s="8" t="n">
        <x:v>106</x:v>
      </x:c>
      <x:c r="L3095" s="8" t="n">
        <x:v>3902</x:v>
      </x:c>
      <x:c r="M3095" s="9" t="n">
        <x:v>0.4680379421</x:v>
      </x:c>
      <x:c r="N3095" s="10" t="n">
        <x:v>29874.6553049718</x:v>
      </x:c>
      <x:c r="O3095" s="9" t="n">
        <x:v>-0.0713242088</x:v>
      </x:c>
      <x:c r="P3095" s="9" t="n">
        <x:v>0.3732681337</x:v>
      </x:c>
      <x:c r="Q3095" s="9" t="n">
        <x:v>0.0782396088</x:v>
      </x:c>
      <x:c r="R3095" s="3" t="b">
        <x:v>0</x:v>
      </x:c>
      <x:c r="S3095" s="3" t="b">
        <x:v>1</x:v>
      </x:c>
      <x:c r="T3095" s="3" t="b">
        <x:v>0</x:v>
      </x:c>
      <x:c r="U3095" s="2" t="str">
        <x:f>IF(T3095=TRUE,"Priority review",IF(R3095=TRUE,"High cost",IF(S3095=TRUE,"Low quality","Benchmark")))</x:f>
        <x:v>Low quality</x:v>
      </x:c>
    </x:row>
    <x:row r="3096">
      <x:c r="A3096" s="2" t="str">
        <x:v>531302</x:v>
      </x:c>
      <x:c r="B3096" s="2" t="str">
        <x:v>MEMORIAL HOSPITAL OF CONVERSE COUNTY</x:v>
      </x:c>
      <x:c r="C3096" s="2" t="str">
        <x:v>DOUGLAS</x:v>
      </x:c>
      <x:c r="D3096" s="2" t="str">
        <x:v>WY</x:v>
      </x:c>
      <x:c r="E3096" s="2" t="str">
        <x:v>Critical Access Hospitals</x:v>
      </x:c>
      <x:c r="F3096" s="2" t="str">
        <x:v>Government</x:v>
      </x:c>
      <x:c r="G3096" s="2" t="str">
        <x:v>Small (&lt;100 beds)</x:v>
      </x:c>
      <x:c r="H3096" s="7" t="n">
        <x:v>4</x:v>
      </x:c>
      <x:c r="I3096" s="7" t="n">
        <x:v>4</x:v>
      </x:c>
      <x:c r="J3096" s="7"/>
      <x:c r="K3096" s="8" t="n">
        <x:v>25</x:v>
      </x:c>
      <x:c r="L3096" s="8" t="n">
        <x:v>768</x:v>
      </x:c>
      <x:c r="M3096" s="9" t="n">
        <x:v>0.2984109589</x:v>
      </x:c>
      <x:c r="N3096" s="10" t="n">
        <x:v>108526.2838541667</x:v>
      </x:c>
      <x:c r="O3096" s="9" t="n">
        <x:v>0.0535129102</x:v>
      </x:c>
      <x:c r="P3096" s="9" t="n">
        <x:v>0.3732342007</x:v>
      </x:c>
      <x:c r="Q3096" s="9" t="n">
        <x:v>0.1657992565</x:v>
      </x:c>
      <x:c r="R3096" s="3" t="b">
        <x:v>0</x:v>
      </x:c>
      <x:c r="S3096" s="3" t="b">
        <x:v>0</x:v>
      </x:c>
      <x:c r="T3096" s="3" t="b">
        <x:v>0</x:v>
      </x:c>
      <x:c r="U3096" s="2" t="str">
        <x:f>IF(T3096=TRUE,"Priority review",IF(R3096=TRUE,"High cost",IF(S3096=TRUE,"Low quality","Benchmark")))</x:f>
        <x:v>Benchmark</x:v>
      </x:c>
    </x:row>
    <x:row r="3097">
      <x:c r="A3097" s="2" t="str">
        <x:v>034024</x:v>
      </x:c>
      <x:c r="B3097" s="2" t="str">
        <x:v>AURORA BEHAVIORAL HEALTH SYSTEM</x:v>
      </x:c>
      <x:c r="C3097" s="2" t="str">
        <x:v>GLENDALE</x:v>
      </x:c>
      <x:c r="D3097" s="2" t="str">
        <x:v>AZ</x:v>
      </x:c>
      <x:c r="E3097" s="2" t="str">
        <x:v>Psychiatric</x:v>
      </x:c>
      <x:c r="F3097" s="2" t="str">
        <x:v>Proprietary</x:v>
      </x:c>
      <x:c r="G3097" s="2" t="str">
        <x:v>Medium (100-299 beds)</x:v>
      </x:c>
      <x:c r="H3097" s="7"/>
      <x:c r="I3097" s="7"/>
      <x:c r="J3097" s="7"/>
      <x:c r="K3097" s="8" t="n">
        <x:v>100</x:v>
      </x:c>
      <x:c r="L3097" s="8" t="n">
        <x:v>3965</x:v>
      </x:c>
      <x:c r="M3097" s="9" t="n">
        <x:v>0.8627868852</x:v>
      </x:c>
      <x:c r="N3097" s="10" t="n">
        <x:v>8865.4075662043</x:v>
      </x:c>
      <x:c r="O3097" s="9" t="n">
        <x:v>-0.1029508725</x:v>
      </x:c>
      <x:c r="P3097" s="9" t="n">
        <x:v>0.3731343284</x:v>
      </x:c>
      <x:c r="Q3097" s="9" t="n">
        <x:v>0</x:v>
      </x:c>
      <x:c r="R3097" s="3" t="b">
        <x:v>0</x:v>
      </x:c>
      <x:c r="S3097" s="3" t="b">
        <x:v>0</x:v>
      </x:c>
      <x:c r="T3097" s="3" t="b">
        <x:v>0</x:v>
      </x:c>
      <x:c r="U3097" s="2" t="str">
        <x:f>IF(T3097=TRUE,"Priority review",IF(R3097=TRUE,"High cost",IF(S3097=TRUE,"Low quality","Benchmark")))</x:f>
        <x:v>Benchmark</x:v>
      </x:c>
    </x:row>
    <x:row r="3098">
      <x:c r="A3098" s="2" t="str">
        <x:v>490042</x:v>
      </x:c>
      <x:c r="B3098" s="2" t="str">
        <x:v>CARILION NEW RIVER VALLEY MEDICAL CENTER</x:v>
      </x:c>
      <x:c r="C3098" s="2" t="str">
        <x:v>CHRISTIANSBURG</x:v>
      </x:c>
      <x:c r="D3098" s="2" t="str">
        <x:v>VA</x:v>
      </x:c>
      <x:c r="E3098" s="2" t="str">
        <x:v>Acute Care Hospitals</x:v>
      </x:c>
      <x:c r="F3098" s="2" t="str">
        <x:v>Voluntary non-profit</x:v>
      </x:c>
      <x:c r="G3098" s="2" t="str">
        <x:v>Small (&lt;100 beds)</x:v>
      </x:c>
      <x:c r="H3098" s="7" t="n">
        <x:v>4</x:v>
      </x:c>
      <x:c r="I3098" s="7" t="n">
        <x:v>3</x:v>
      </x:c>
      <x:c r="J3098" s="7" t="n">
        <x:v>0.98</x:v>
      </x:c>
      <x:c r="K3098" s="8" t="n">
        <x:v>96</x:v>
      </x:c>
      <x:c r="L3098" s="8" t="n">
        <x:v>6306</x:v>
      </x:c>
      <x:c r="M3098" s="9" t="n">
        <x:v>0.8100239071</x:v>
      </x:c>
      <x:c r="N3098" s="10" t="n">
        <x:v>43544.3445924516</x:v>
      </x:c>
      <x:c r="O3098" s="9" t="n">
        <x:v>0.0926588636</x:v>
      </x:c>
      <x:c r="P3098" s="9" t="n">
        <x:v>0.3725314183</x:v>
      </x:c>
      <x:c r="Q3098" s="9" t="n">
        <x:v>0.3913824057</x:v>
      </x:c>
      <x:c r="R3098" s="3" t="b">
        <x:v>0</x:v>
      </x:c>
      <x:c r="S3098" s="3" t="b">
        <x:v>0</x:v>
      </x:c>
      <x:c r="T3098" s="3" t="b">
        <x:v>0</x:v>
      </x:c>
      <x:c r="U3098" s="2" t="str">
        <x:f>IF(T3098=TRUE,"Priority review",IF(R3098=TRUE,"High cost",IF(S3098=TRUE,"Low quality","Benchmark")))</x:f>
        <x:v>Benchmark</x:v>
      </x:c>
    </x:row>
    <x:row r="3099">
      <x:c r="A3099" s="2" t="str">
        <x:v>391300</x:v>
      </x:c>
      <x:c r="B3099" s="2" t="str">
        <x:v>GEISINGER JERSEY SHORE HOSPITAL</x:v>
      </x:c>
      <x:c r="C3099" s="2" t="str">
        <x:v>JERSEY SHORE</x:v>
      </x:c>
      <x:c r="D3099" s="2" t="str">
        <x:v>PA</x:v>
      </x:c>
      <x:c r="E3099" s="2" t="str">
        <x:v>Critical Access Hospitals</x:v>
      </x:c>
      <x:c r="F3099" s="2" t="str">
        <x:v>Voluntary non-profit</x:v>
      </x:c>
      <x:c r="G3099" s="2" t="str">
        <x:v>Small (&lt;100 beds)</x:v>
      </x:c>
      <x:c r="H3099" s="7" t="n">
        <x:v>3</x:v>
      </x:c>
      <x:c r="I3099" s="7" t="n">
        <x:v>5</x:v>
      </x:c>
      <x:c r="J3099" s="7"/>
      <x:c r="K3099" s="8" t="n">
        <x:v>25</x:v>
      </x:c>
      <x:c r="L3099" s="8" t="n">
        <x:v>412</x:v>
      </x:c>
      <x:c r="M3099" s="9" t="n">
        <x:v>0.4356031343</x:v>
      </x:c>
      <x:c r="N3099" s="10" t="n">
        <x:v>108414.6067961165</x:v>
      </x:c>
      <x:c r="O3099" s="9" t="n">
        <x:v>0.1330177503</x:v>
      </x:c>
      <x:c r="P3099" s="9" t="n">
        <x:v>0.3724907063</x:v>
      </x:c>
      <x:c r="Q3099" s="9" t="n">
        <x:v>0.0765799257</x:v>
      </x:c>
      <x:c r="R3099" s="3" t="b">
        <x:v>0</x:v>
      </x:c>
      <x:c r="S3099" s="3" t="b">
        <x:v>1</x:v>
      </x:c>
      <x:c r="T3099" s="3" t="b">
        <x:v>0</x:v>
      </x:c>
      <x:c r="U3099" s="2" t="str">
        <x:f>IF(T3099=TRUE,"Priority review",IF(R3099=TRUE,"High cost",IF(S3099=TRUE,"Low quality","Benchmark")))</x:f>
        <x:v>Low quality</x:v>
      </x:c>
    </x:row>
    <x:row r="3100">
      <x:c r="A3100" s="2" t="str">
        <x:v>150128</x:v>
      </x:c>
      <x:c r="B3100" s="2" t="str">
        <x:v>COMMUNITY HOSPITAL SOUTH, INC.</x:v>
      </x:c>
      <x:c r="C3100" s="2" t="str">
        <x:v>INDIANAPOLIS</x:v>
      </x:c>
      <x:c r="D3100" s="2" t="str">
        <x:v>IN</x:v>
      </x:c>
      <x:c r="E3100" s="2" t="str">
        <x:v>Acute Care Hospitals</x:v>
      </x:c>
      <x:c r="F3100" s="2" t="str">
        <x:v>Voluntary non-profit</x:v>
      </x:c>
      <x:c r="G3100" s="2" t="str">
        <x:v>Medium (100-299 beds)</x:v>
      </x:c>
      <x:c r="H3100" s="7" t="n">
        <x:v>3</x:v>
      </x:c>
      <x:c r="I3100" s="7" t="n">
        <x:v>4</x:v>
      </x:c>
      <x:c r="J3100" s="7" t="n">
        <x:v>1.09</x:v>
      </x:c>
      <x:c r="K3100" s="8" t="n">
        <x:v>169</x:v>
      </x:c>
      <x:c r="L3100" s="8" t="n">
        <x:v>10267</x:v>
      </x:c>
      <x:c r="M3100" s="9" t="n">
        <x:v>0.7356815481</x:v>
      </x:c>
      <x:c r="N3100" s="10" t="n">
        <x:v>29874.4693678777</x:v>
      </x:c>
      <x:c r="O3100" s="9" t="n">
        <x:v>0.145815033</x:v>
      </x:c>
      <x:c r="P3100" s="9" t="n">
        <x:v>0.3724531377</x:v>
      </x:c>
      <x:c r="Q3100" s="9" t="n">
        <x:v>0.3023634882</x:v>
      </x:c>
      <x:c r="R3100" s="3" t="b">
        <x:v>0</x:v>
      </x:c>
      <x:c r="S3100" s="3" t="b">
        <x:v>0</x:v>
      </x:c>
      <x:c r="T3100" s="3" t="b">
        <x:v>0</x:v>
      </x:c>
      <x:c r="U3100" s="2" t="str">
        <x:f>IF(T3100=TRUE,"Priority review",IF(R3100=TRUE,"High cost",IF(S3100=TRUE,"Low quality","Benchmark")))</x:f>
        <x:v>Benchmark</x:v>
      </x:c>
    </x:row>
    <x:row r="3101">
      <x:c r="A3101" s="2" t="str">
        <x:v>150058</x:v>
      </x:c>
      <x:c r="B3101" s="2" t="str">
        <x:v>MEMORIAL HOSPITAL OF SOUTH BEND</x:v>
      </x:c>
      <x:c r="C3101" s="2" t="str">
        <x:v>SOUTH BEND</x:v>
      </x:c>
      <x:c r="D3101" s="2" t="str">
        <x:v>IN</x:v>
      </x:c>
      <x:c r="E3101" s="2" t="str">
        <x:v>Acute Care Hospitals</x:v>
      </x:c>
      <x:c r="F3101" s="2" t="str">
        <x:v>Voluntary non-profit</x:v>
      </x:c>
      <x:c r="G3101" s="2" t="str">
        <x:v>Large (300+ beds)</x:v>
      </x:c>
      <x:c r="H3101" s="7" t="n">
        <x:v>2</x:v>
      </x:c>
      <x:c r="I3101" s="7" t="n">
        <x:v>3</x:v>
      </x:c>
      <x:c r="J3101" s="7" t="n">
        <x:v>0.97</x:v>
      </x:c>
      <x:c r="K3101" s="8" t="n">
        <x:v>429</x:v>
      </x:c>
      <x:c r="L3101" s="8" t="n">
        <x:v>17991</x:v>
      </x:c>
      <x:c r="M3101" s="9" t="n">
        <x:v>0.5899862694</x:v>
      </x:c>
      <x:c r="N3101" s="10" t="n">
        <x:v>33698.4055916847</x:v>
      </x:c>
      <x:c r="O3101" s="9" t="n">
        <x:v>-0.118988227</x:v>
      </x:c>
      <x:c r="P3101" s="9" t="n">
        <x:v>0.3722397476</x:v>
      </x:c>
      <x:c r="Q3101" s="9" t="n">
        <x:v>0.0536277603</x:v>
      </x:c>
      <x:c r="R3101" s="3" t="b">
        <x:v>0</x:v>
      </x:c>
      <x:c r="S3101" s="3" t="b">
        <x:v>1</x:v>
      </x:c>
      <x:c r="T3101" s="3" t="b">
        <x:v>0</x:v>
      </x:c>
      <x:c r="U3101" s="2" t="str">
        <x:f>IF(T3101=TRUE,"Priority review",IF(R3101=TRUE,"High cost",IF(S3101=TRUE,"Low quality","Benchmark")))</x:f>
        <x:v>Low quality</x:v>
      </x:c>
    </x:row>
    <x:row r="3102">
      <x:c r="A3102" s="2" t="str">
        <x:v>104063</x:v>
      </x:c>
      <x:c r="B3102" s="2" t="str">
        <x:v>AXIOM BEHAVIORAL HEALTH AT NAPLES</x:v>
      </x:c>
      <x:c r="C3102" s="2" t="str">
        <x:v>NAPLES</x:v>
      </x:c>
      <x:c r="D3102" s="2" t="str">
        <x:v>FL</x:v>
      </x:c>
      <x:c r="E3102" s="2" t="str">
        <x:v>Psychiatric</x:v>
      </x:c>
      <x:c r="F3102" s="2" t="str">
        <x:v>Proprietary</x:v>
      </x:c>
      <x:c r="G3102" s="2" t="str">
        <x:v>Small (&lt;100 beds)</x:v>
      </x:c>
      <x:c r="H3102" s="7"/>
      <x:c r="I3102" s="7"/>
      <x:c r="J3102" s="7"/>
      <x:c r="K3102" s="8" t="n">
        <x:v>87</x:v>
      </x:c>
      <x:c r="L3102" s="8" t="n">
        <x:v>903</x:v>
      </x:c>
      <x:c r="M3102" s="9" t="n">
        <x:v>0.2430437787</x:v>
      </x:c>
      <x:c r="N3102" s="10" t="n">
        <x:v>9789.4163898117</x:v>
      </x:c>
      <x:c r="O3102" s="9" t="n">
        <x:v>-0.3277957958</x:v>
      </x:c>
      <x:c r="P3102" s="9" t="n">
        <x:v>0.3721682848</x:v>
      </x:c>
      <x:c r="Q3102" s="9" t="n">
        <x:v>0</x:v>
      </x:c>
      <x:c r="R3102" s="3" t="b">
        <x:v>0</x:v>
      </x:c>
      <x:c r="S3102" s="3" t="b">
        <x:v>0</x:v>
      </x:c>
      <x:c r="T3102" s="3" t="b">
        <x:v>0</x:v>
      </x:c>
      <x:c r="U3102" s="2" t="str">
        <x:f>IF(T3102=TRUE,"Priority review",IF(R3102=TRUE,"High cost",IF(S3102=TRUE,"Low quality","Benchmark")))</x:f>
        <x:v>Benchmark</x:v>
      </x:c>
    </x:row>
    <x:row r="3103">
      <x:c r="A3103" s="2" t="str">
        <x:v>151309</x:v>
      </x:c>
      <x:c r="B3103" s="2" t="str">
        <x:v>ASCENSION ST VINCENT CLAY</x:v>
      </x:c>
      <x:c r="C3103" s="2" t="str">
        <x:v>BRAZIL</x:v>
      </x:c>
      <x:c r="D3103" s="2" t="str">
        <x:v>IN</x:v>
      </x:c>
      <x:c r="E3103" s="2" t="str">
        <x:v>Critical Access Hospitals</x:v>
      </x:c>
      <x:c r="F3103" s="2" t="str">
        <x:v>Voluntary non-profit</x:v>
      </x:c>
      <x:c r="G3103" s="2" t="str">
        <x:v>Small (&lt;100 beds)</x:v>
      </x:c>
      <x:c r="H3103" s="7"/>
      <x:c r="I3103" s="7"/>
      <x:c r="J3103" s="7"/>
      <x:c r="K3103" s="8" t="n">
        <x:v>25</x:v>
      </x:c>
      <x:c r="L3103" s="8" t="n">
        <x:v>185</x:v>
      </x:c>
      <x:c r="M3103" s="9" t="n">
        <x:v>0.1079452055</x:v>
      </x:c>
      <x:c r="N3103" s="10" t="n">
        <x:v>108390.9945945946</x:v>
      </x:c>
      <x:c r="O3103" s="9" t="n">
        <x:v>0.003670686</x:v>
      </x:c>
      <x:c r="P3103" s="9" t="n">
        <x:v>0.3717472119</x:v>
      </x:c>
      <x:c r="Q3103" s="9" t="n">
        <x:v>0.292936803</x:v>
      </x:c>
      <x:c r="R3103" s="3" t="b">
        <x:v>0</x:v>
      </x:c>
      <x:c r="S3103" s="3" t="b">
        <x:v>0</x:v>
      </x:c>
      <x:c r="T3103" s="3" t="b">
        <x:v>0</x:v>
      </x:c>
      <x:c r="U3103" s="2" t="str">
        <x:f>IF(T3103=TRUE,"Priority review",IF(R3103=TRUE,"High cost",IF(S3103=TRUE,"Low quality","Benchmark")))</x:f>
        <x:v>Benchmark</x:v>
      </x:c>
    </x:row>
    <x:row r="3104">
      <x:c r="A3104" s="2" t="str">
        <x:v>050137</x:v>
      </x:c>
      <x:c r="B3104" s="2" t="str">
        <x:v>KAISER FOUNDATION HOSPITAL - PANORAMA CITY</x:v>
      </x:c>
      <x:c r="C3104" s="2" t="str">
        <x:v>PANORAMA CITY</x:v>
      </x:c>
      <x:c r="D3104" s="2" t="str">
        <x:v>CA</x:v>
      </x:c>
      <x:c r="E3104" s="2" t="str">
        <x:v>Acute Care Hospitals</x:v>
      </x:c>
      <x:c r="F3104" s="2" t="str">
        <x:v>Voluntary non-profit</x:v>
      </x:c>
      <x:c r="G3104" s="2" t="str">
        <x:v>Medium (100-299 beds)</x:v>
      </x:c>
      <x:c r="H3104" s="7" t="n">
        <x:v>4</x:v>
      </x:c>
      <x:c r="I3104" s="7" t="n">
        <x:v>3</x:v>
      </x:c>
      <x:c r="J3104" s="7" t="n">
        <x:v>0.91</x:v>
      </x:c>
      <x:c r="K3104" s="8" t="n">
        <x:v>218</x:v>
      </x:c>
      <x:c r="L3104" s="8" t="n">
        <x:v>11991</x:v>
      </x:c>
      <x:c r="M3104" s="9" t="n">
        <x:v>0.571251316</x:v>
      </x:c>
      <x:c r="N3104" s="10" t="n">
        <x:v>29861.1191727129</x:v>
      </x:c>
      <x:c r="O3104" s="9" t="n">
        <x:v>0.3782116222</x:v>
      </x:c>
      <x:c r="P3104" s="9" t="n">
        <x:v>0.3716381418</x:v>
      </x:c>
      <x:c r="Q3104" s="9" t="n">
        <x:v>0.6022819886</x:v>
      </x:c>
      <x:c r="R3104" s="3" t="b">
        <x:v>0</x:v>
      </x:c>
      <x:c r="S3104" s="3" t="b">
        <x:v>0</x:v>
      </x:c>
      <x:c r="T3104" s="3" t="b">
        <x:v>0</x:v>
      </x:c>
      <x:c r="U3104" s="2" t="str">
        <x:f>IF(T3104=TRUE,"Priority review",IF(R3104=TRUE,"High cost",IF(S3104=TRUE,"Low quality","Benchmark")))</x:f>
        <x:v>Benchmark</x:v>
      </x:c>
    </x:row>
    <x:row r="3105">
      <x:c r="A3105" s="2" t="str">
        <x:v>130074</x:v>
      </x:c>
      <x:c r="B3105" s="2" t="str">
        <x:v>IDAHO FALLS COMMUNITY HOSPITAL, LLC</x:v>
      </x:c>
      <x:c r="C3105" s="2" t="str">
        <x:v>IDAHO FALLS</x:v>
      </x:c>
      <x:c r="D3105" s="2" t="str">
        <x:v>ID</x:v>
      </x:c>
      <x:c r="E3105" s="2" t="str">
        <x:v>Acute Care Hospitals</x:v>
      </x:c>
      <x:c r="F3105" s="2" t="str">
        <x:v>Proprietary</x:v>
      </x:c>
      <x:c r="G3105" s="2" t="str">
        <x:v>Small (&lt;100 beds)</x:v>
      </x:c>
      <x:c r="H3105" s="7" t="n">
        <x:v>4</x:v>
      </x:c>
      <x:c r="I3105" s="7" t="n">
        <x:v>3</x:v>
      </x:c>
      <x:c r="J3105" s="7" t="n">
        <x:v>1.01</x:v>
      </x:c>
      <x:c r="K3105" s="8" t="n">
        <x:v>88</x:v>
      </x:c>
      <x:c r="L3105" s="8" t="n">
        <x:v>3432</x:v>
      </x:c>
      <x:c r="M3105" s="9" t="n">
        <x:v>0.4091840537</x:v>
      </x:c>
      <x:c r="N3105" s="10" t="n">
        <x:v>43539.7974941725</x:v>
      </x:c>
      <x:c r="O3105" s="9" t="n">
        <x:v>-0.1608603123</x:v>
      </x:c>
      <x:c r="P3105" s="9" t="n">
        <x:v>0.3716337522</x:v>
      </x:c>
      <x:c r="Q3105" s="9" t="n">
        <x:v>0.3913824057</x:v>
      </x:c>
      <x:c r="R3105" s="3" t="b">
        <x:v>0</x:v>
      </x:c>
      <x:c r="S3105" s="3" t="b">
        <x:v>0</x:v>
      </x:c>
      <x:c r="T3105" s="3" t="b">
        <x:v>0</x:v>
      </x:c>
      <x:c r="U3105" s="2" t="str">
        <x:f>IF(T3105=TRUE,"Priority review",IF(R3105=TRUE,"High cost",IF(S3105=TRUE,"Low quality","Benchmark")))</x:f>
        <x:v>Benchmark</x:v>
      </x:c>
    </x:row>
    <x:row r="3106">
      <x:c r="A3106" s="2" t="str">
        <x:v>241357</x:v>
      </x:c>
      <x:c r="B3106" s="2" t="str">
        <x:v>ESSENTIA HEALTH FOSSTON</x:v>
      </x:c>
      <x:c r="C3106" s="2" t="str">
        <x:v>FOSSTON</x:v>
      </x:c>
      <x:c r="D3106" s="2" t="str">
        <x:v>MN</x:v>
      </x:c>
      <x:c r="E3106" s="2" t="str">
        <x:v>Critical Access Hospitals</x:v>
      </x:c>
      <x:c r="F3106" s="2" t="str">
        <x:v>Voluntary non-profit</x:v>
      </x:c>
      <x:c r="G3106" s="2" t="str">
        <x:v>Small (&lt;100 beds)</x:v>
      </x:c>
      <x:c r="H3106" s="7"/>
      <x:c r="I3106" s="7"/>
      <x:c r="J3106" s="7"/>
      <x:c r="K3106" s="8" t="n">
        <x:v>25</x:v>
      </x:c>
      <x:c r="L3106" s="8" t="n">
        <x:v>291</x:v>
      </x:c>
      <x:c r="M3106" s="9" t="n">
        <x:v>0.1408219178</x:v>
      </x:c>
      <x:c r="N3106" s="10" t="n">
        <x:v>108190.4914089347</x:v>
      </x:c>
      <x:c r="O3106" s="9" t="n">
        <x:v>0.038571024</x:v>
      </x:c>
      <x:c r="P3106" s="9" t="n">
        <x:v>0.3710037175</x:v>
      </x:c>
      <x:c r="Q3106" s="9" t="n">
        <x:v>0.292936803</x:v>
      </x:c>
      <x:c r="R3106" s="3" t="b">
        <x:v>0</x:v>
      </x:c>
      <x:c r="S3106" s="3" t="b">
        <x:v>0</x:v>
      </x:c>
      <x:c r="T3106" s="3" t="b">
        <x:v>0</x:v>
      </x:c>
      <x:c r="U3106" s="2" t="str">
        <x:f>IF(T3106=TRUE,"Priority review",IF(R3106=TRUE,"High cost",IF(S3106=TRUE,"Low quality","Benchmark")))</x:f>
        <x:v>Benchmark</x:v>
      </x:c>
    </x:row>
    <x:row r="3107">
      <x:c r="A3107" s="2" t="str">
        <x:v>390147</x:v>
      </x:c>
      <x:c r="B3107" s="2" t="str">
        <x:v>PENN HIGHLANDS MON VALLEY</x:v>
      </x:c>
      <x:c r="C3107" s="2" t="str">
        <x:v>MONONGAHELA</x:v>
      </x:c>
      <x:c r="D3107" s="2" t="str">
        <x:v>PA</x:v>
      </x:c>
      <x:c r="E3107" s="2" t="str">
        <x:v>Acute Care Hospitals</x:v>
      </x:c>
      <x:c r="F3107" s="2" t="str">
        <x:v>Voluntary non-profit</x:v>
      </x:c>
      <x:c r="G3107" s="2" t="str">
        <x:v>Medium (100-299 beds)</x:v>
      </x:c>
      <x:c r="H3107" s="7" t="n">
        <x:v>1</x:v>
      </x:c>
      <x:c r="I3107" s="7" t="n">
        <x:v>2</x:v>
      </x:c>
      <x:c r="J3107" s="7" t="n">
        <x:v>0.97</x:v>
      </x:c>
      <x:c r="K3107" s="8" t="n">
        <x:v>185</x:v>
      </x:c>
      <x:c r="L3107" s="8" t="n">
        <x:v>4504</x:v>
      </x:c>
      <x:c r="M3107" s="9" t="n">
        <x:v>0.4009299604</x:v>
      </x:c>
      <x:c r="N3107" s="10" t="n">
        <x:v>29859.2064831261</x:v>
      </x:c>
      <x:c r="O3107" s="9" t="n">
        <x:v>-0.0479490343</x:v>
      </x:c>
      <x:c r="P3107" s="9" t="n">
        <x:v>0.3708231459</x:v>
      </x:c>
      <x:c r="Q3107" s="9" t="n">
        <x:v>0</x:v>
      </x:c>
      <x:c r="R3107" s="3" t="b">
        <x:v>0</x:v>
      </x:c>
      <x:c r="S3107" s="3" t="b">
        <x:v>1</x:v>
      </x:c>
      <x:c r="T3107" s="3" t="b">
        <x:v>0</x:v>
      </x:c>
      <x:c r="U3107" s="2" t="str">
        <x:f>IF(T3107=TRUE,"Priority review",IF(R3107=TRUE,"High cost",IF(S3107=TRUE,"Low quality","Benchmark")))</x:f>
        <x:v>Low quality</x:v>
      </x:c>
    </x:row>
    <x:row r="3108">
      <x:c r="A3108" s="2" t="str">
        <x:v>230270</x:v>
      </x:c>
      <x:c r="B3108" s="2" t="str">
        <x:v>BEAUMONT HOSPITAL - TAYLOR</x:v>
      </x:c>
      <x:c r="C3108" s="2" t="str">
        <x:v>TAYLOR</x:v>
      </x:c>
      <x:c r="D3108" s="2" t="str">
        <x:v>MI</x:v>
      </x:c>
      <x:c r="E3108" s="2" t="str">
        <x:v>Acute Care Hospitals</x:v>
      </x:c>
      <x:c r="F3108" s="2" t="str">
        <x:v>Voluntary non-profit</x:v>
      </x:c>
      <x:c r="G3108" s="2" t="str">
        <x:v>Small (&lt;100 beds)</x:v>
      </x:c>
      <x:c r="H3108" s="7" t="n">
        <x:v>2</x:v>
      </x:c>
      <x:c r="I3108" s="7" t="n">
        <x:v>2</x:v>
      </x:c>
      <x:c r="J3108" s="7" t="n">
        <x:v>1.05</x:v>
      </x:c>
      <x:c r="K3108" s="8" t="n">
        <x:v>99</x:v>
      </x:c>
      <x:c r="L3108" s="8" t="n">
        <x:v>4429</x:v>
      </x:c>
      <x:c r="M3108" s="9" t="n">
        <x:v>0.7490798395</x:v>
      </x:c>
      <x:c r="N3108" s="10" t="n">
        <x:v>43474.2345902009</x:v>
      </x:c>
      <x:c r="O3108" s="9" t="n">
        <x:v>-0.0034294145</x:v>
      </x:c>
      <x:c r="P3108" s="9" t="n">
        <x:v>0.3707360862</x:v>
      </x:c>
      <x:c r="Q3108" s="9" t="n">
        <x:v>0.0350089767</x:v>
      </x:c>
      <x:c r="R3108" s="3" t="b">
        <x:v>0</x:v>
      </x:c>
      <x:c r="S3108" s="3" t="b">
        <x:v>1</x:v>
      </x:c>
      <x:c r="T3108" s="3" t="b">
        <x:v>0</x:v>
      </x:c>
      <x:c r="U3108" s="2" t="str">
        <x:f>IF(T3108=TRUE,"Priority review",IF(R3108=TRUE,"High cost",IF(S3108=TRUE,"Low quality","Benchmark")))</x:f>
        <x:v>Low quality</x:v>
      </x:c>
    </x:row>
    <x:row r="3109">
      <x:c r="A3109" s="2" t="str">
        <x:v>230132</x:v>
      </x:c>
      <x:c r="B3109" s="2" t="str">
        <x:v>HURLEY MEDICAL CENTER</x:v>
      </x:c>
      <x:c r="C3109" s="2" t="str">
        <x:v>FLINT</x:v>
      </x:c>
      <x:c r="D3109" s="2" t="str">
        <x:v>MI</x:v>
      </x:c>
      <x:c r="E3109" s="2" t="str">
        <x:v>Acute Care Hospitals</x:v>
      </x:c>
      <x:c r="F3109" s="2" t="str">
        <x:v>Voluntary non-profit</x:v>
      </x:c>
      <x:c r="G3109" s="2" t="str">
        <x:v>Large (300+ beds)</x:v>
      </x:c>
      <x:c r="H3109" s="7" t="n">
        <x:v>2</x:v>
      </x:c>
      <x:c r="I3109" s="7" t="n">
        <x:v>2</x:v>
      </x:c>
      <x:c r="J3109" s="7" t="n">
        <x:v>0.96</x:v>
      </x:c>
      <x:c r="K3109" s="8" t="n">
        <x:v>359</x:v>
      </x:c>
      <x:c r="L3109" s="8" t="n">
        <x:v>15006</x:v>
      </x:c>
      <x:c r="M3109" s="9" t="n">
        <x:v>0.7102252953</x:v>
      </x:c>
      <x:c r="N3109" s="10" t="n">
        <x:v>33642.8980407837</x:v>
      </x:c>
      <x:c r="O3109" s="9" t="n">
        <x:v>-0.0088080559</x:v>
      </x:c>
      <x:c r="P3109" s="9" t="n">
        <x:v>0.3706624606</x:v>
      </x:c>
      <x:c r="Q3109" s="9" t="n">
        <x:v>0.0536277603</x:v>
      </x:c>
      <x:c r="R3109" s="3" t="b">
        <x:v>0</x:v>
      </x:c>
      <x:c r="S3109" s="3" t="b">
        <x:v>1</x:v>
      </x:c>
      <x:c r="T3109" s="3" t="b">
        <x:v>0</x:v>
      </x:c>
      <x:c r="U3109" s="2" t="str">
        <x:f>IF(T3109=TRUE,"Priority review",IF(R3109=TRUE,"High cost",IF(S3109=TRUE,"Low quality","Benchmark")))</x:f>
        <x:v>Low quality</x:v>
      </x:c>
    </x:row>
    <x:row r="3110">
      <x:c r="A3110" s="2" t="str">
        <x:v>463301</x:v>
      </x:c>
      <x:c r="B3110" s="2" t="str">
        <x:v>PRIMARY CHILDREN'S HOSPITAL</x:v>
      </x:c>
      <x:c r="C3110" s="2" t="str">
        <x:v>SALT LAKE CITY</x:v>
      </x:c>
      <x:c r="D3110" s="2" t="str">
        <x:v>UT</x:v>
      </x:c>
      <x:c r="E3110" s="2" t="str">
        <x:v>Childrens</x:v>
      </x:c>
      <x:c r="F3110" s="2" t="str">
        <x:v>Voluntary non-profit</x:v>
      </x:c>
      <x:c r="G3110" s="2" t="str">
        <x:v>Large (300+ beds)</x:v>
      </x:c>
      <x:c r="H3110" s="7"/>
      <x:c r="I3110" s="7"/>
      <x:c r="J3110" s="7"/>
      <x:c r="K3110" s="8" t="n">
        <x:v>353</x:v>
      </x:c>
      <x:c r="L3110" s="8" t="n">
        <x:v>13471</x:v>
      </x:c>
      <x:c r="M3110" s="9" t="n">
        <x:v>0.7054912564</x:v>
      </x:c>
      <x:c r="N3110" s="10" t="n">
        <x:v>84148.0255363373</x:v>
      </x:c>
      <x:c r="O3110" s="9" t="n">
        <x:v>0.0707074416</x:v>
      </x:c>
      <x:c r="P3110" s="9" t="n">
        <x:v>0.3703703704</x:v>
      </x:c>
      <x:c r="Q3110" s="9" t="n">
        <x:v>0</x:v>
      </x:c>
      <x:c r="R3110" s="3" t="b">
        <x:v>0</x:v>
      </x:c>
      <x:c r="S3110" s="3" t="b">
        <x:v>0</x:v>
      </x:c>
      <x:c r="T3110" s="3" t="b">
        <x:v>0</x:v>
      </x:c>
      <x:c r="U3110" s="2" t="str">
        <x:f>IF(T3110=TRUE,"Priority review",IF(R3110=TRUE,"High cost",IF(S3110=TRUE,"Low quality","Benchmark")))</x:f>
        <x:v>Benchmark</x:v>
      </x:c>
    </x:row>
    <x:row r="3111">
      <x:c r="A3111" s="2" t="str">
        <x:v>281355</x:v>
      </x:c>
      <x:c r="B3111" s="2" t="str">
        <x:v>OGALLALA COMMUNITY HOSPITAL</x:v>
      </x:c>
      <x:c r="C3111" s="2" t="str">
        <x:v>OGALLALA</x:v>
      </x:c>
      <x:c r="D3111" s="2" t="str">
        <x:v>NE</x:v>
      </x:c>
      <x:c r="E3111" s="2" t="str">
        <x:v>Critical Access Hospitals</x:v>
      </x:c>
      <x:c r="F3111" s="2" t="str">
        <x:v>Government</x:v>
      </x:c>
      <x:c r="G3111" s="2" t="str">
        <x:v>Small (&lt;100 beds)</x:v>
      </x:c>
      <x:c r="H3111" s="7"/>
      <x:c r="I3111" s="7"/>
      <x:c r="J3111" s="7"/>
      <x:c r="K3111" s="8" t="n">
        <x:v>18</x:v>
      </x:c>
      <x:c r="L3111" s="8" t="n">
        <x:v>256</x:v>
      </x:c>
      <x:c r="M3111" s="9" t="n">
        <x:v>0.1662112933</x:v>
      </x:c>
      <x:c r="N3111" s="10" t="n">
        <x:v>108043.34765625</x:v>
      </x:c>
      <x:c r="O3111" s="9" t="n">
        <x:v>-0.0916433748</x:v>
      </x:c>
      <x:c r="P3111" s="9" t="n">
        <x:v>0.370260223</x:v>
      </x:c>
      <x:c r="Q3111" s="9" t="n">
        <x:v>0.292936803</x:v>
      </x:c>
      <x:c r="R3111" s="3" t="b">
        <x:v>0</x:v>
      </x:c>
      <x:c r="S3111" s="3" t="b">
        <x:v>0</x:v>
      </x:c>
      <x:c r="T3111" s="3" t="b">
        <x:v>0</x:v>
      </x:c>
      <x:c r="U3111" s="2" t="str">
        <x:f>IF(T3111=TRUE,"Priority review",IF(R3111=TRUE,"High cost",IF(S3111=TRUE,"Low quality","Benchmark")))</x:f>
        <x:v>Benchmark</x:v>
      </x:c>
    </x:row>
    <x:row r="3112">
      <x:c r="A3112" s="2" t="str">
        <x:v>140289</x:v>
      </x:c>
      <x:c r="B3112" s="2" t="str">
        <x:v>ANDERSON HOSPITAL</x:v>
      </x:c>
      <x:c r="C3112" s="2" t="str">
        <x:v>MARYVILLE</x:v>
      </x:c>
      <x:c r="D3112" s="2" t="str">
        <x:v>IL</x:v>
      </x:c>
      <x:c r="E3112" s="2" t="str">
        <x:v>Acute Care Hospitals</x:v>
      </x:c>
      <x:c r="F3112" s="2" t="str">
        <x:v>Voluntary non-profit</x:v>
      </x:c>
      <x:c r="G3112" s="2" t="str">
        <x:v>Medium (100-299 beds)</x:v>
      </x:c>
      <x:c r="H3112" s="7" t="n">
        <x:v>3</x:v>
      </x:c>
      <x:c r="I3112" s="7" t="n">
        <x:v>3</x:v>
      </x:c>
      <x:c r="J3112" s="7" t="n">
        <x:v>1.03</x:v>
      </x:c>
      <x:c r="K3112" s="8" t="n">
        <x:v>144</x:v>
      </x:c>
      <x:c r="L3112" s="8" t="n">
        <x:v>6139</x:v>
      </x:c>
      <x:c r="M3112" s="9" t="n">
        <x:v>0.4560185185</x:v>
      </x:c>
      <x:c r="N3112" s="10" t="n">
        <x:v>29857.4318292882</x:v>
      </x:c>
      <x:c r="O3112" s="9" t="n">
        <x:v>0.0538772984</x:v>
      </x:c>
      <x:c r="P3112" s="9" t="n">
        <x:v>0.37000815</x:v>
      </x:c>
      <x:c r="Q3112" s="9" t="n">
        <x:v>0.3023634882</x:v>
      </x:c>
      <x:c r="R3112" s="3" t="b">
        <x:v>0</x:v>
      </x:c>
      <x:c r="S3112" s="3" t="b">
        <x:v>0</x:v>
      </x:c>
      <x:c r="T3112" s="3" t="b">
        <x:v>0</x:v>
      </x:c>
      <x:c r="U3112" s="2" t="str">
        <x:f>IF(T3112=TRUE,"Priority review",IF(R3112=TRUE,"High cost",IF(S3112=TRUE,"Low quality","Benchmark")))</x:f>
        <x:v>Benchmark</x:v>
      </x:c>
    </x:row>
    <x:row r="3113">
      <x:c r="A3113" s="2" t="str">
        <x:v>520062</x:v>
      </x:c>
      <x:c r="B3113" s="2" t="str">
        <x:v>OCONOMOWOC MEMORIAL HOSPITAL</x:v>
      </x:c>
      <x:c r="C3113" s="2" t="str">
        <x:v>OCONOMOWOC</x:v>
      </x:c>
      <x:c r="D3113" s="2" t="str">
        <x:v>WI</x:v>
      </x:c>
      <x:c r="E3113" s="2" t="str">
        <x:v>Acute Care Hospitals</x:v>
      </x:c>
      <x:c r="F3113" s="2" t="str">
        <x:v>Voluntary non-profit</x:v>
      </x:c>
      <x:c r="G3113" s="2" t="str">
        <x:v>Small (&lt;100 beds)</x:v>
      </x:c>
      <x:c r="H3113" s="7" t="n">
        <x:v>5</x:v>
      </x:c>
      <x:c r="I3113" s="7" t="n">
        <x:v>4</x:v>
      </x:c>
      <x:c r="J3113" s="7" t="n">
        <x:v>1.05</x:v>
      </x:c>
      <x:c r="K3113" s="8" t="n">
        <x:v>63</x:v>
      </x:c>
      <x:c r="L3113" s="8" t="n">
        <x:v>2881</x:v>
      </x:c>
      <x:c r="M3113" s="9" t="n">
        <x:v>0.4220660942</x:v>
      </x:c>
      <x:c r="N3113" s="10" t="n">
        <x:v>43436.9166955918</x:v>
      </x:c>
      <x:c r="O3113" s="9" t="n">
        <x:v>0.0426591636</x:v>
      </x:c>
      <x:c r="P3113" s="9" t="n">
        <x:v>0.3698384201</x:v>
      </x:c>
      <x:c r="Q3113" s="9" t="n">
        <x:v>0.6131059246</x:v>
      </x:c>
      <x:c r="R3113" s="3" t="b">
        <x:v>0</x:v>
      </x:c>
      <x:c r="S3113" s="3" t="b">
        <x:v>0</x:v>
      </x:c>
      <x:c r="T3113" s="3" t="b">
        <x:v>0</x:v>
      </x:c>
      <x:c r="U3113" s="2" t="str">
        <x:f>IF(T3113=TRUE,"Priority review",IF(R3113=TRUE,"High cost",IF(S3113=TRUE,"Low quality","Benchmark")))</x:f>
        <x:v>Benchmark</x:v>
      </x:c>
    </x:row>
    <x:row r="3114">
      <x:c r="A3114" s="2" t="str">
        <x:v>261340</x:v>
      </x:c>
      <x:c r="B3114" s="2" t="str">
        <x:v>MOSAIC MEDICAL CENTER - MARYVILLE</x:v>
      </x:c>
      <x:c r="C3114" s="2" t="str">
        <x:v>MARYVILLE</x:v>
      </x:c>
      <x:c r="D3114" s="2" t="str">
        <x:v>MO</x:v>
      </x:c>
      <x:c r="E3114" s="2" t="str">
        <x:v>Critical Access Hospitals</x:v>
      </x:c>
      <x:c r="F3114" s="2" t="str">
        <x:v>Voluntary non-profit</x:v>
      </x:c>
      <x:c r="G3114" s="2" t="str">
        <x:v>Small (&lt;100 beds)</x:v>
      </x:c>
      <x:c r="H3114" s="7"/>
      <x:c r="I3114" s="7"/>
      <x:c r="J3114" s="7"/>
      <x:c r="K3114" s="8" t="n">
        <x:v>21</x:v>
      </x:c>
      <x:c r="L3114" s="8" t="n">
        <x:v>915</x:v>
      </x:c>
      <x:c r="M3114" s="9" t="n">
        <x:v>0.5451049985</x:v>
      </x:c>
      <x:c r="N3114" s="10" t="n">
        <x:v>107441.2207650273</x:v>
      </x:c>
      <x:c r="O3114" s="9" t="n">
        <x:v>-0.0633848372</x:v>
      </x:c>
      <x:c r="P3114" s="9" t="n">
        <x:v>0.3695167286</x:v>
      </x:c>
      <x:c r="Q3114" s="9" t="n">
        <x:v>0.292936803</x:v>
      </x:c>
      <x:c r="R3114" s="3" t="b">
        <x:v>0</x:v>
      </x:c>
      <x:c r="S3114" s="3" t="b">
        <x:v>0</x:v>
      </x:c>
      <x:c r="T3114" s="3" t="b">
        <x:v>0</x:v>
      </x:c>
      <x:c r="U3114" s="2" t="str">
        <x:f>IF(T3114=TRUE,"Priority review",IF(R3114=TRUE,"High cost",IF(S3114=TRUE,"Low quality","Benchmark")))</x:f>
        <x:v>Benchmark</x:v>
      </x:c>
    </x:row>
    <x:row r="3115">
      <x:c r="A3115" s="2" t="str">
        <x:v>100253</x:v>
      </x:c>
      <x:c r="B3115" s="2" t="str">
        <x:v>JUPITER MEDICAL CENTER</x:v>
      </x:c>
      <x:c r="C3115" s="2" t="str">
        <x:v>JUPITER</x:v>
      </x:c>
      <x:c r="D3115" s="2" t="str">
        <x:v>FL</x:v>
      </x:c>
      <x:c r="E3115" s="2" t="str">
        <x:v>Acute Care Hospitals</x:v>
      </x:c>
      <x:c r="F3115" s="2" t="str">
        <x:v>Voluntary non-profit</x:v>
      </x:c>
      <x:c r="G3115" s="2" t="str">
        <x:v>Medium (100-299 beds)</x:v>
      </x:c>
      <x:c r="H3115" s="7" t="n">
        <x:v>4</x:v>
      </x:c>
      <x:c r="I3115" s="7" t="n">
        <x:v>3</x:v>
      </x:c>
      <x:c r="J3115" s="7" t="n">
        <x:v>1.01</x:v>
      </x:c>
      <x:c r="K3115" s="8" t="n">
        <x:v>242</x:v>
      </x:c>
      <x:c r="L3115" s="8" t="n">
        <x:v>15037</x:v>
      </x:c>
      <x:c r="M3115" s="9" t="n">
        <x:v>0.7470984058</x:v>
      </x:c>
      <x:c r="N3115" s="10" t="n">
        <x:v>29828.6775287624</x:v>
      </x:c>
      <x:c r="O3115" s="9" t="n">
        <x:v>-0.0363450598</x:v>
      </x:c>
      <x:c r="P3115" s="9" t="n">
        <x:v>0.369193154</x:v>
      </x:c>
      <x:c r="Q3115" s="9" t="n">
        <x:v>0.6022819886</x:v>
      </x:c>
      <x:c r="R3115" s="3" t="b">
        <x:v>0</x:v>
      </x:c>
      <x:c r="S3115" s="3" t="b">
        <x:v>0</x:v>
      </x:c>
      <x:c r="T3115" s="3" t="b">
        <x:v>0</x:v>
      </x:c>
      <x:c r="U3115" s="2" t="str">
        <x:f>IF(T3115=TRUE,"Priority review",IF(R3115=TRUE,"High cost",IF(S3115=TRUE,"Low quality","Benchmark")))</x:f>
        <x:v>Benchmark</x:v>
      </x:c>
    </x:row>
    <x:row r="3116">
      <x:c r="A3116" s="2" t="str">
        <x:v>310076</x:v>
      </x:c>
      <x:c r="B3116" s="2" t="str">
        <x:v>COOPERMAN BARNABAS MEDICAL CENTER</x:v>
      </x:c>
      <x:c r="C3116" s="2" t="str">
        <x:v>LIVINGSTON</x:v>
      </x:c>
      <x:c r="D3116" s="2" t="str">
        <x:v>NJ</x:v>
      </x:c>
      <x:c r="E3116" s="2" t="str">
        <x:v>Acute Care Hospitals</x:v>
      </x:c>
      <x:c r="F3116" s="2" t="str">
        <x:v>Voluntary non-profit</x:v>
      </x:c>
      <x:c r="G3116" s="2" t="str">
        <x:v>Large (300+ beds)</x:v>
      </x:c>
      <x:c r="H3116" s="7" t="n">
        <x:v>3</x:v>
      </x:c>
      <x:c r="I3116" s="7" t="n">
        <x:v>3</x:v>
      </x:c>
      <x:c r="J3116" s="7" t="n">
        <x:v>1.05</x:v>
      </x:c>
      <x:c r="K3116" s="8" t="n">
        <x:v>597</x:v>
      </x:c>
      <x:c r="L3116" s="8" t="n">
        <x:v>35928</x:v>
      </x:c>
      <x:c r="M3116" s="9" t="n">
        <x:v>0.8747013757</x:v>
      </x:c>
      <x:c r="N3116" s="10" t="n">
        <x:v>33600.2017924738</x:v>
      </x:c>
      <x:c r="O3116" s="9" t="n">
        <x:v>0.0721614963</x:v>
      </x:c>
      <x:c r="P3116" s="9" t="n">
        <x:v>0.3690851735</x:v>
      </x:c>
      <x:c r="Q3116" s="9" t="n">
        <x:v>0.2570977918</x:v>
      </x:c>
      <x:c r="R3116" s="3" t="b">
        <x:v>0</x:v>
      </x:c>
      <x:c r="S3116" s="3" t="b">
        <x:v>0</x:v>
      </x:c>
      <x:c r="T3116" s="3" t="b">
        <x:v>0</x:v>
      </x:c>
      <x:c r="U3116" s="2" t="str">
        <x:f>IF(T3116=TRUE,"Priority review",IF(R3116=TRUE,"High cost",IF(S3116=TRUE,"Low quality","Benchmark")))</x:f>
        <x:v>Benchmark</x:v>
      </x:c>
    </x:row>
    <x:row r="3117">
      <x:c r="A3117" s="2" t="str">
        <x:v>510013</x:v>
      </x:c>
      <x:c r="B3117" s="2" t="str">
        <x:v>REYNOLDS MEMORIAL HOSPITAL, INC</x:v>
      </x:c>
      <x:c r="C3117" s="2" t="str">
        <x:v>GLEN DALE</x:v>
      </x:c>
      <x:c r="D3117" s="2" t="str">
        <x:v>WV</x:v>
      </x:c>
      <x:c r="E3117" s="2" t="str">
        <x:v>Acute Care Hospitals</x:v>
      </x:c>
      <x:c r="F3117" s="2" t="str">
        <x:v>Voluntary non-profit</x:v>
      </x:c>
      <x:c r="G3117" s="2" t="str">
        <x:v>Small (&lt;100 beds)</x:v>
      </x:c>
      <x:c r="H3117" s="7" t="n">
        <x:v>2</x:v>
      </x:c>
      <x:c r="I3117" s="7" t="n">
        <x:v>4</x:v>
      </x:c>
      <x:c r="J3117" s="7" t="n">
        <x:v>0.97</x:v>
      </x:c>
      <x:c r="K3117" s="8" t="n">
        <x:v>94</x:v>
      </x:c>
      <x:c r="L3117" s="8" t="n">
        <x:v>3466</x:v>
      </x:c>
      <x:c r="M3117" s="9" t="n">
        <x:v>0.3501918382</x:v>
      </x:c>
      <x:c r="N3117" s="10" t="n">
        <x:v>43430.0597230237</x:v>
      </x:c>
      <x:c r="O3117" s="9" t="n">
        <x:v>-0.0042109543</x:v>
      </x:c>
      <x:c r="P3117" s="9" t="n">
        <x:v>0.368940754</x:v>
      </x:c>
      <x:c r="Q3117" s="9" t="n">
        <x:v>0.0350089767</x:v>
      </x:c>
      <x:c r="R3117" s="3" t="b">
        <x:v>0</x:v>
      </x:c>
      <x:c r="S3117" s="3" t="b">
        <x:v>1</x:v>
      </x:c>
      <x:c r="T3117" s="3" t="b">
        <x:v>0</x:v>
      </x:c>
      <x:c r="U3117" s="2" t="str">
        <x:f>IF(T3117=TRUE,"Priority review",IF(R3117=TRUE,"High cost",IF(S3117=TRUE,"Low quality","Benchmark")))</x:f>
        <x:v>Low quality</x:v>
      </x:c>
    </x:row>
    <x:row r="3118">
      <x:c r="A3118" s="2" t="str">
        <x:v>174020</x:v>
      </x:c>
      <x:c r="B3118" s="2" t="str">
        <x:v>COTTONWOOD SPRINGS LLC</x:v>
      </x:c>
      <x:c r="C3118" s="2" t="str">
        <x:v>OLATHE</x:v>
      </x:c>
      <x:c r="D3118" s="2" t="str">
        <x:v>KS</x:v>
      </x:c>
      <x:c r="E3118" s="2" t="str">
        <x:v>Psychiatric</x:v>
      </x:c>
      <x:c r="F3118" s="2" t="str">
        <x:v>Proprietary</x:v>
      </x:c>
      <x:c r="G3118" s="2" t="str">
        <x:v>Small (&lt;100 beds)</x:v>
      </x:c>
      <x:c r="H3118" s="7"/>
      <x:c r="I3118" s="7"/>
      <x:c r="J3118" s="7"/>
      <x:c r="K3118" s="8" t="n">
        <x:v>72</x:v>
      </x:c>
      <x:c r="L3118" s="8" t="n">
        <x:v>2669</x:v>
      </x:c>
      <x:c r="M3118" s="9" t="n">
        <x:v>0.8804644809</x:v>
      </x:c>
      <x:c r="N3118" s="10" t="n">
        <x:v>9767.4926938928</x:v>
      </x:c>
      <x:c r="O3118" s="9" t="n">
        <x:v>0.073762728</x:v>
      </x:c>
      <x:c r="P3118" s="9" t="n">
        <x:v>0.3689320388</x:v>
      </x:c>
      <x:c r="Q3118" s="9" t="n">
        <x:v>0</x:v>
      </x:c>
      <x:c r="R3118" s="3" t="b">
        <x:v>0</x:v>
      </x:c>
      <x:c r="S3118" s="3" t="b">
        <x:v>0</x:v>
      </x:c>
      <x:c r="T3118" s="3" t="b">
        <x:v>0</x:v>
      </x:c>
      <x:c r="U3118" s="2" t="str">
        <x:f>IF(T3118=TRUE,"Priority review",IF(R3118=TRUE,"High cost",IF(S3118=TRUE,"Low quality","Benchmark")))</x:f>
        <x:v>Benchmark</x:v>
      </x:c>
    </x:row>
    <x:row r="3119">
      <x:c r="A3119" s="2" t="str">
        <x:v>531301</x:v>
      </x:c>
      <x:c r="B3119" s="2" t="str">
        <x:v>SOUTH BIG HORN COUNTY HOSPITAL</x:v>
      </x:c>
      <x:c r="C3119" s="2" t="str">
        <x:v>BASIN</x:v>
      </x:c>
      <x:c r="D3119" s="2" t="str">
        <x:v>WY</x:v>
      </x:c>
      <x:c r="E3119" s="2" t="str">
        <x:v>Critical Access Hospitals</x:v>
      </x:c>
      <x:c r="F3119" s="2" t="str">
        <x:v>Government</x:v>
      </x:c>
      <x:c r="G3119" s="2" t="str">
        <x:v>Small (&lt;100 beds)</x:v>
      </x:c>
      <x:c r="H3119" s="7"/>
      <x:c r="I3119" s="7"/>
      <x:c r="J3119" s="7"/>
      <x:c r="K3119" s="8" t="n">
        <x:v>10</x:v>
      </x:c>
      <x:c r="L3119" s="8" t="n">
        <x:v>107</x:v>
      </x:c>
      <x:c r="M3119" s="9" t="n">
        <x:v>0.1583561644</x:v>
      </x:c>
      <x:c r="N3119" s="10" t="n">
        <x:v>107412</x:v>
      </x:c>
      <x:c r="O3119" s="9" t="n">
        <x:v>-0.2346580915</x:v>
      </x:c>
      <x:c r="P3119" s="9" t="n">
        <x:v>0.3687732342</x:v>
      </x:c>
      <x:c r="Q3119" s="9" t="n">
        <x:v>0.292936803</x:v>
      </x:c>
      <x:c r="R3119" s="3" t="b">
        <x:v>0</x:v>
      </x:c>
      <x:c r="S3119" s="3" t="b">
        <x:v>0</x:v>
      </x:c>
      <x:c r="T3119" s="3" t="b">
        <x:v>0</x:v>
      </x:c>
      <x:c r="U3119" s="2" t="str">
        <x:f>IF(T3119=TRUE,"Priority review",IF(R3119=TRUE,"High cost",IF(S3119=TRUE,"Low quality","Benchmark")))</x:f>
        <x:v>Benchmark</x:v>
      </x:c>
    </x:row>
    <x:row r="3120">
      <x:c r="A3120" s="2" t="str">
        <x:v>500011</x:v>
      </x:c>
      <x:c r="B3120" s="2" t="str">
        <x:v>HIGHLINE MEDICAL CENTER</x:v>
      </x:c>
      <x:c r="C3120" s="2" t="str">
        <x:v>BURIEN</x:v>
      </x:c>
      <x:c r="D3120" s="2" t="str">
        <x:v>WA</x:v>
      </x:c>
      <x:c r="E3120" s="2" t="str">
        <x:v>Acute Care Hospitals</x:v>
      </x:c>
      <x:c r="F3120" s="2" t="str">
        <x:v>Voluntary non-profit</x:v>
      </x:c>
      <x:c r="G3120" s="2" t="str">
        <x:v>Medium (100-299 beds)</x:v>
      </x:c>
      <x:c r="H3120" s="7" t="n">
        <x:v>4</x:v>
      </x:c>
      <x:c r="I3120" s="7" t="n">
        <x:v>3</x:v>
      </x:c>
      <x:c r="J3120" s="7" t="n">
        <x:v>0.94</x:v>
      </x:c>
      <x:c r="K3120" s="8" t="n">
        <x:v>132</x:v>
      </x:c>
      <x:c r="L3120" s="8" t="n">
        <x:v>8182</x:v>
      </x:c>
      <x:c r="M3120" s="9" t="n">
        <x:v>0.6277085928</x:v>
      </x:c>
      <x:c r="N3120" s="10" t="n">
        <x:v>29790.294793449</x:v>
      </x:c>
      <x:c r="O3120" s="9" t="n">
        <x:v>-0.0486270647</x:v>
      </x:c>
      <x:c r="P3120" s="9" t="n">
        <x:v>0.3683781581</x:v>
      </x:c>
      <x:c r="Q3120" s="9" t="n">
        <x:v>0.6022819886</x:v>
      </x:c>
      <x:c r="R3120" s="3" t="b">
        <x:v>0</x:v>
      </x:c>
      <x:c r="S3120" s="3" t="b">
        <x:v>0</x:v>
      </x:c>
      <x:c r="T3120" s="3" t="b">
        <x:v>0</x:v>
      </x:c>
      <x:c r="U3120" s="2" t="str">
        <x:f>IF(T3120=TRUE,"Priority review",IF(R3120=TRUE,"High cost",IF(S3120=TRUE,"Low quality","Benchmark")))</x:f>
        <x:v>Benchmark</x:v>
      </x:c>
    </x:row>
    <x:row r="3121">
      <x:c r="A3121" s="2" t="str">
        <x:v>054069</x:v>
      </x:c>
      <x:c r="B3121" s="2" t="str">
        <x:v>AURORA CHARTER OAK</x:v>
      </x:c>
      <x:c r="C3121" s="2" t="str">
        <x:v>COVINA</x:v>
      </x:c>
      <x:c r="D3121" s="2" t="str">
        <x:v>CA</x:v>
      </x:c>
      <x:c r="E3121" s="2" t="str">
        <x:v>Psychiatric</x:v>
      </x:c>
      <x:c r="F3121" s="2" t="str">
        <x:v>Voluntary non-profit</x:v>
      </x:c>
      <x:c r="G3121" s="2" t="str">
        <x:v>Medium (100-299 beds)</x:v>
      </x:c>
      <x:c r="H3121" s="7"/>
      <x:c r="I3121" s="7"/>
      <x:c r="J3121" s="7"/>
      <x:c r="K3121" s="8" t="n">
        <x:v>134</x:v>
      </x:c>
      <x:c r="L3121" s="8" t="n">
        <x:v>6736</x:v>
      </x:c>
      <x:c r="M3121" s="9" t="n">
        <x:v>1</x:v>
      </x:c>
      <x:c r="N3121" s="10" t="n">
        <x:v>8699.3162114014</x:v>
      </x:c>
      <x:c r="O3121" s="9" t="n">
        <x:v>-0.0401218527</x:v>
      </x:c>
      <x:c r="P3121" s="9" t="n">
        <x:v>0.368159204</x:v>
      </x:c>
      <x:c r="Q3121" s="9" t="n">
        <x:v>0</x:v>
      </x:c>
      <x:c r="R3121" s="3" t="b">
        <x:v>0</x:v>
      </x:c>
      <x:c r="S3121" s="3" t="b">
        <x:v>0</x:v>
      </x:c>
      <x:c r="T3121" s="3" t="b">
        <x:v>0</x:v>
      </x:c>
      <x:c r="U3121" s="2" t="str">
        <x:f>IF(T3121=TRUE,"Priority review",IF(R3121=TRUE,"High cost",IF(S3121=TRUE,"Low quality","Benchmark")))</x:f>
        <x:v>Benchmark</x:v>
      </x:c>
    </x:row>
    <x:row r="3122">
      <x:c r="A3122" s="2" t="str">
        <x:v>050158</x:v>
      </x:c>
      <x:c r="B3122" s="2" t="str">
        <x:v>ENCINO HOSPITAL MEDICAL CENTER</x:v>
      </x:c>
      <x:c r="C3122" s="2" t="str">
        <x:v>ENCINO</x:v>
      </x:c>
      <x:c r="D3122" s="2" t="str">
        <x:v>CA</x:v>
      </x:c>
      <x:c r="E3122" s="2" t="str">
        <x:v>Acute Care Hospitals</x:v>
      </x:c>
      <x:c r="F3122" s="2" t="str">
        <x:v>Proprietary</x:v>
      </x:c>
      <x:c r="G3122" s="2" t="str">
        <x:v>Small (&lt;100 beds)</x:v>
      </x:c>
      <x:c r="H3122" s="7" t="n">
        <x:v>3</x:v>
      </x:c>
      <x:c r="I3122" s="7" t="n">
        <x:v>1</x:v>
      </x:c>
      <x:c r="J3122" s="7" t="n">
        <x:v>1.26</x:v>
      </x:c>
      <x:c r="K3122" s="8" t="n">
        <x:v>82</x:v>
      </x:c>
      <x:c r="L3122" s="8" t="n">
        <x:v>1382</x:v>
      </x:c>
      <x:c r="M3122" s="9" t="n">
        <x:v>0.2097494336</x:v>
      </x:c>
      <x:c r="N3122" s="10" t="n">
        <x:v>43426.002894356</x:v>
      </x:c>
      <x:c r="O3122" s="9" t="n">
        <x:v>-0.0691841338</x:v>
      </x:c>
      <x:c r="P3122" s="9" t="n">
        <x:v>0.368043088</x:v>
      </x:c>
      <x:c r="Q3122" s="9" t="n">
        <x:v>0.1687612208</x:v>
      </x:c>
      <x:c r="R3122" s="3" t="b">
        <x:v>0</x:v>
      </x:c>
      <x:c r="S3122" s="3" t="b">
        <x:v>0</x:v>
      </x:c>
      <x:c r="T3122" s="3" t="b">
        <x:v>0</x:v>
      </x:c>
      <x:c r="U3122" s="2" t="str">
        <x:f>IF(T3122=TRUE,"Priority review",IF(R3122=TRUE,"High cost",IF(S3122=TRUE,"Low quality","Benchmark")))</x:f>
        <x:v>Benchmark</x:v>
      </x:c>
    </x:row>
    <x:row r="3123">
      <x:c r="A3123" s="2" t="str">
        <x:v>361315</x:v>
      </x:c>
      <x:c r="B3123" s="2" t="str">
        <x:v>HARDIN MEMORIAL HOSPITAL</x:v>
      </x:c>
      <x:c r="C3123" s="2" t="str">
        <x:v>KENTON</x:v>
      </x:c>
      <x:c r="D3123" s="2" t="str">
        <x:v>OH</x:v>
      </x:c>
      <x:c r="E3123" s="2" t="str">
        <x:v>Critical Access Hospitals</x:v>
      </x:c>
      <x:c r="F3123" s="2" t="str">
        <x:v>Voluntary non-profit</x:v>
      </x:c>
      <x:c r="G3123" s="2" t="str">
        <x:v>Small (&lt;100 beds)</x:v>
      </x:c>
      <x:c r="H3123" s="7"/>
      <x:c r="I3123" s="7"/>
      <x:c r="J3123" s="7"/>
      <x:c r="K3123" s="8" t="n">
        <x:v>30</x:v>
      </x:c>
      <x:c r="L3123" s="8" t="n">
        <x:v>342</x:v>
      </x:c>
      <x:c r="M3123" s="9" t="n">
        <x:v>0.2071232877</x:v>
      </x:c>
      <x:c r="N3123" s="10" t="n">
        <x:v>107301.9064327485</x:v>
      </x:c>
      <x:c r="O3123" s="9" t="n">
        <x:v>0.132208582</x:v>
      </x:c>
      <x:c r="P3123" s="9" t="n">
        <x:v>0.3680297398</x:v>
      </x:c>
      <x:c r="Q3123" s="9" t="n">
        <x:v>0.292936803</x:v>
      </x:c>
      <x:c r="R3123" s="3" t="b">
        <x:v>0</x:v>
      </x:c>
      <x:c r="S3123" s="3" t="b">
        <x:v>0</x:v>
      </x:c>
      <x:c r="T3123" s="3" t="b">
        <x:v>0</x:v>
      </x:c>
      <x:c r="U3123" s="2" t="str">
        <x:f>IF(T3123=TRUE,"Priority review",IF(R3123=TRUE,"High cost",IF(S3123=TRUE,"Low quality","Benchmark")))</x:f>
        <x:v>Benchmark</x:v>
      </x:c>
    </x:row>
    <x:row r="3124">
      <x:c r="A3124" s="2" t="str">
        <x:v>260191</x:v>
      </x:c>
      <x:c r="B3124" s="2" t="str">
        <x:v>BARNES-JEWISH ST PETERS HOSPITAL</x:v>
      </x:c>
      <x:c r="C3124" s="2" t="str">
        <x:v>SAINT PETERS</x:v>
      </x:c>
      <x:c r="D3124" s="2" t="str">
        <x:v>MO</x:v>
      </x:c>
      <x:c r="E3124" s="2" t="str">
        <x:v>Acute Care Hospitals</x:v>
      </x:c>
      <x:c r="F3124" s="2" t="str">
        <x:v>Voluntary non-profit</x:v>
      </x:c>
      <x:c r="G3124" s="2" t="str">
        <x:v>Medium (100-299 beds)</x:v>
      </x:c>
      <x:c r="H3124" s="7" t="n">
        <x:v>3</x:v>
      </x:c>
      <x:c r="I3124" s="7" t="n">
        <x:v>3</x:v>
      </x:c>
      <x:c r="J3124" s="7" t="n">
        <x:v>1.02</x:v>
      </x:c>
      <x:c r="K3124" s="8" t="n">
        <x:v>110</x:v>
      </x:c>
      <x:c r="L3124" s="8" t="n">
        <x:v>6869</x:v>
      </x:c>
      <x:c r="M3124" s="9" t="n">
        <x:v>0.7523596622</x:v>
      </x:c>
      <x:c r="N3124" s="10" t="n">
        <x:v>29784.5321007425</x:v>
      </x:c>
      <x:c r="O3124" s="9" t="n">
        <x:v>0.0371995654</x:v>
      </x:c>
      <x:c r="P3124" s="9" t="n">
        <x:v>0.3675631622</x:v>
      </x:c>
      <x:c r="Q3124" s="9" t="n">
        <x:v>0.3023634882</x:v>
      </x:c>
      <x:c r="R3124" s="3" t="b">
        <x:v>0</x:v>
      </x:c>
      <x:c r="S3124" s="3" t="b">
        <x:v>0</x:v>
      </x:c>
      <x:c r="T3124" s="3" t="b">
        <x:v>0</x:v>
      </x:c>
      <x:c r="U3124" s="2" t="str">
        <x:f>IF(T3124=TRUE,"Priority review",IF(R3124=TRUE,"High cost",IF(S3124=TRUE,"Low quality","Benchmark")))</x:f>
        <x:v>Benchmark</x:v>
      </x:c>
    </x:row>
    <x:row r="3125">
      <x:c r="A3125" s="2" t="str">
        <x:v>100105</x:v>
      </x:c>
      <x:c r="B3125" s="2" t="str">
        <x:v>CLEVELAND CLINIC INDIAN RIVER HOSPITAL</x:v>
      </x:c>
      <x:c r="C3125" s="2" t="str">
        <x:v>VERO BEACH</x:v>
      </x:c>
      <x:c r="D3125" s="2" t="str">
        <x:v>FL</x:v>
      </x:c>
      <x:c r="E3125" s="2" t="str">
        <x:v>Acute Care Hospitals</x:v>
      </x:c>
      <x:c r="F3125" s="2" t="str">
        <x:v>Voluntary non-profit</x:v>
      </x:c>
      <x:c r="G3125" s="2" t="str">
        <x:v>Large (300+ beds)</x:v>
      </x:c>
      <x:c r="H3125" s="7" t="n">
        <x:v>4</x:v>
      </x:c>
      <x:c r="I3125" s="7" t="n">
        <x:v>2</x:v>
      </x:c>
      <x:c r="J3125" s="7" t="n">
        <x:v>1.01</x:v>
      </x:c>
      <x:c r="K3125" s="8" t="n">
        <x:v>310</x:v>
      </x:c>
      <x:c r="L3125" s="8" t="n">
        <x:v>15163</x:v>
      </x:c>
      <x:c r="M3125" s="9" t="n">
        <x:v>0.6259827252</x:v>
      </x:c>
      <x:c r="N3125" s="10" t="n">
        <x:v>33483.2446085867</x:v>
      </x:c>
      <x:c r="O3125" s="9" t="n">
        <x:v>-0.158074126</x:v>
      </x:c>
      <x:c r="P3125" s="9" t="n">
        <x:v>0.3675078864</x:v>
      </x:c>
      <x:c r="Q3125" s="9" t="n">
        <x:v>0.5899053628</x:v>
      </x:c>
      <x:c r="R3125" s="3" t="b">
        <x:v>0</x:v>
      </x:c>
      <x:c r="S3125" s="3" t="b">
        <x:v>0</x:v>
      </x:c>
      <x:c r="T3125" s="3" t="b">
        <x:v>0</x:v>
      </x:c>
      <x:c r="U3125" s="2" t="str">
        <x:f>IF(T3125=TRUE,"Priority review",IF(R3125=TRUE,"High cost",IF(S3125=TRUE,"Low quality","Benchmark")))</x:f>
        <x:v>Benchmark</x:v>
      </x:c>
    </x:row>
    <x:row r="3126">
      <x:c r="A3126" s="2" t="str">
        <x:v>471306</x:v>
      </x:c>
      <x:c r="B3126" s="2" t="str">
        <x:v>SPRINGFIELD HOSPITAL</x:v>
      </x:c>
      <x:c r="C3126" s="2" t="str">
        <x:v>SPRINGFIELD</x:v>
      </x:c>
      <x:c r="D3126" s="2" t="str">
        <x:v>VT</x:v>
      </x:c>
      <x:c r="E3126" s="2" t="str">
        <x:v>Critical Access Hospitals</x:v>
      </x:c>
      <x:c r="F3126" s="2" t="str">
        <x:v>Voluntary non-profit</x:v>
      </x:c>
      <x:c r="G3126" s="2" t="str">
        <x:v>Small (&lt;100 beds)</x:v>
      </x:c>
      <x:c r="H3126" s="7"/>
      <x:c r="I3126" s="7"/>
      <x:c r="J3126" s="7"/>
      <x:c r="K3126" s="8" t="n">
        <x:v>25</x:v>
      </x:c>
      <x:c r="L3126" s="8" t="n">
        <x:v>600</x:v>
      </x:c>
      <x:c r="M3126" s="9" t="n">
        <x:v>0.3170491803</x:v>
      </x:c>
      <x:c r="N3126" s="10" t="n">
        <x:v>107295.69</x:v>
      </x:c>
      <x:c r="O3126" s="9" t="n">
        <x:v>-0.0925246168</x:v>
      </x:c>
      <x:c r="P3126" s="9" t="n">
        <x:v>0.3672862454</x:v>
      </x:c>
      <x:c r="Q3126" s="9" t="n">
        <x:v>0.292936803</x:v>
      </x:c>
      <x:c r="R3126" s="3" t="b">
        <x:v>0</x:v>
      </x:c>
      <x:c r="S3126" s="3" t="b">
        <x:v>0</x:v>
      </x:c>
      <x:c r="T3126" s="3" t="b">
        <x:v>0</x:v>
      </x:c>
      <x:c r="U3126" s="2" t="str">
        <x:f>IF(T3126=TRUE,"Priority review",IF(R3126=TRUE,"High cost",IF(S3126=TRUE,"Low quality","Benchmark")))</x:f>
        <x:v>Benchmark</x:v>
      </x:c>
    </x:row>
    <x:row r="3127">
      <x:c r="A3127" s="2" t="str">
        <x:v>340084</x:v>
      </x:c>
      <x:c r="B3127" s="2" t="str">
        <x:v>ATRIUM HEALTH ANSON</x:v>
      </x:c>
      <x:c r="C3127" s="2" t="str">
        <x:v>WADESBORO</x:v>
      </x:c>
      <x:c r="D3127" s="2" t="str">
        <x:v>NC</x:v>
      </x:c>
      <x:c r="E3127" s="2" t="str">
        <x:v>Acute Care Hospitals</x:v>
      </x:c>
      <x:c r="F3127" s="2" t="str">
        <x:v>Government</x:v>
      </x:c>
      <x:c r="G3127" s="2" t="str">
        <x:v>Small (&lt;100 beds)</x:v>
      </x:c>
      <x:c r="H3127" s="7"/>
      <x:c r="I3127" s="7"/>
      <x:c r="J3127" s="7" t="n">
        <x:v>0.94</x:v>
      </x:c>
      <x:c r="K3127" s="8" t="n">
        <x:v>15</x:v>
      </x:c>
      <x:c r="L3127" s="8" t="n">
        <x:v>588</x:v>
      </x:c>
      <x:c r="M3127" s="9" t="n">
        <x:v>0.3258652095</x:v>
      </x:c>
      <x:c r="N3127" s="10" t="n">
        <x:v>43416.6105442177</x:v>
      </x:c>
      <x:c r="O3127" s="9" t="n">
        <x:v>0.3005748094</x:v>
      </x:c>
      <x:c r="P3127" s="9" t="n">
        <x:v>0.3671454219</x:v>
      </x:c>
      <x:c r="Q3127" s="9" t="n">
        <x:v>0.697486535</x:v>
      </x:c>
      <x:c r="R3127" s="3" t="b">
        <x:v>0</x:v>
      </x:c>
      <x:c r="S3127" s="3" t="b">
        <x:v>0</x:v>
      </x:c>
      <x:c r="T3127" s="3" t="b">
        <x:v>0</x:v>
      </x:c>
      <x:c r="U3127" s="2" t="str">
        <x:f>IF(T3127=TRUE,"Priority review",IF(R3127=TRUE,"High cost",IF(S3127=TRUE,"Low quality","Benchmark")))</x:f>
        <x:v>Benchmark</x:v>
      </x:c>
    </x:row>
    <x:row r="3128">
      <x:c r="A3128" s="2" t="str">
        <x:v>360172</x:v>
      </x:c>
      <x:c r="B3128" s="2" t="str">
        <x:v>MERCY REGIONAL MEDICAL CENTER</x:v>
      </x:c>
      <x:c r="C3128" s="2" t="str">
        <x:v>LORAIN</x:v>
      </x:c>
      <x:c r="D3128" s="2" t="str">
        <x:v>OH</x:v>
      </x:c>
      <x:c r="E3128" s="2" t="str">
        <x:v>Acute Care Hospitals</x:v>
      </x:c>
      <x:c r="F3128" s="2" t="str">
        <x:v>Voluntary non-profit</x:v>
      </x:c>
      <x:c r="G3128" s="2" t="str">
        <x:v>Medium (100-299 beds)</x:v>
      </x:c>
      <x:c r="H3128" s="7" t="n">
        <x:v>2</x:v>
      </x:c>
      <x:c r="I3128" s="7" t="n">
        <x:v>2</x:v>
      </x:c>
      <x:c r="J3128" s="7" t="n">
        <x:v>1.16</x:v>
      </x:c>
      <x:c r="K3128" s="8" t="n">
        <x:v>145</x:v>
      </x:c>
      <x:c r="L3128" s="8" t="n">
        <x:v>7753</x:v>
      </x:c>
      <x:c r="M3128" s="9" t="n">
        <x:v>0.5845863953</x:v>
      </x:c>
      <x:c r="N3128" s="10" t="n">
        <x:v>29752.5000644912</x:v>
      </x:c>
      <x:c r="O3128" s="9" t="n">
        <x:v>-0.0359268555</x:v>
      </x:c>
      <x:c r="P3128" s="9" t="n">
        <x:v>0.3667481663</x:v>
      </x:c>
      <x:c r="Q3128" s="9" t="n">
        <x:v>0.0782396088</x:v>
      </x:c>
      <x:c r="R3128" s="3" t="b">
        <x:v>0</x:v>
      </x:c>
      <x:c r="S3128" s="3" t="b">
        <x:v>1</x:v>
      </x:c>
      <x:c r="T3128" s="3" t="b">
        <x:v>0</x:v>
      </x:c>
      <x:c r="U3128" s="2" t="str">
        <x:f>IF(T3128=TRUE,"Priority review",IF(R3128=TRUE,"High cost",IF(S3128=TRUE,"Low quality","Benchmark")))</x:f>
        <x:v>Low quality</x:v>
      </x:c>
    </x:row>
    <x:row r="3129">
      <x:c r="A3129" s="2" t="str">
        <x:v>191302</x:v>
      </x:c>
      <x:c r="B3129" s="2" t="str">
        <x:v>OCHSNER ST MARTIN HOSPITAL</x:v>
      </x:c>
      <x:c r="C3129" s="2" t="str">
        <x:v>BREAUX BRIDGE</x:v>
      </x:c>
      <x:c r="D3129" s="2" t="str">
        <x:v>LA</x:v>
      </x:c>
      <x:c r="E3129" s="2" t="str">
        <x:v>Critical Access Hospitals</x:v>
      </x:c>
      <x:c r="F3129" s="2" t="str">
        <x:v>Voluntary non-profit</x:v>
      </x:c>
      <x:c r="G3129" s="2" t="str">
        <x:v>Small (&lt;100 beds)</x:v>
      </x:c>
      <x:c r="H3129" s="7"/>
      <x:c r="I3129" s="7" t="n">
        <x:v>5</x:v>
      </x:c>
      <x:c r="J3129" s="7"/>
      <x:c r="K3129" s="8" t="n">
        <x:v>25</x:v>
      </x:c>
      <x:c r="L3129" s="8" t="n">
        <x:v>367</x:v>
      </x:c>
      <x:c r="M3129" s="9" t="n">
        <x:v>0.642295082</x:v>
      </x:c>
      <x:c r="N3129" s="10" t="n">
        <x:v>107254.9291553134</x:v>
      </x:c>
      <x:c r="O3129" s="9" t="n">
        <x:v>0.1182195977</x:v>
      </x:c>
      <x:c r="P3129" s="9" t="n">
        <x:v>0.3665427509</x:v>
      </x:c>
      <x:c r="Q3129" s="9" t="n">
        <x:v>0.292936803</x:v>
      </x:c>
      <x:c r="R3129" s="3" t="b">
        <x:v>0</x:v>
      </x:c>
      <x:c r="S3129" s="3" t="b">
        <x:v>0</x:v>
      </x:c>
      <x:c r="T3129" s="3" t="b">
        <x:v>0</x:v>
      </x:c>
      <x:c r="U3129" s="2" t="str">
        <x:f>IF(T3129=TRUE,"Priority review",IF(R3129=TRUE,"High cost",IF(S3129=TRUE,"Low quality","Benchmark")))</x:f>
        <x:v>Benchmark</x:v>
      </x:c>
    </x:row>
    <x:row r="3130">
      <x:c r="A3130" s="2" t="str">
        <x:v>240071</x:v>
      </x:c>
      <x:c r="B3130" s="2" t="str">
        <x:v>ALLINA HEALTH FARIBAULT MEDICAL CENTER</x:v>
      </x:c>
      <x:c r="C3130" s="2" t="str">
        <x:v>FARIBAULT</x:v>
      </x:c>
      <x:c r="D3130" s="2" t="str">
        <x:v>MN</x:v>
      </x:c>
      <x:c r="E3130" s="2" t="str">
        <x:v>Acute Care Hospitals</x:v>
      </x:c>
      <x:c r="F3130" s="2" t="str">
        <x:v>Voluntary non-profit</x:v>
      </x:c>
      <x:c r="G3130" s="2" t="str">
        <x:v>Small (&lt;100 beds)</x:v>
      </x:c>
      <x:c r="H3130" s="7" t="n">
        <x:v>3</x:v>
      </x:c>
      <x:c r="I3130" s="7" t="n">
        <x:v>4</x:v>
      </x:c>
      <x:c r="J3130" s="7" t="n">
        <x:v>0.94</x:v>
      </x:c>
      <x:c r="K3130" s="8" t="n">
        <x:v>32</x:v>
      </x:c>
      <x:c r="L3130" s="8" t="n">
        <x:v>1461</x:v>
      </x:c>
      <x:c r="M3130" s="9" t="n">
        <x:v>0.3660348361</x:v>
      </x:c>
      <x:c r="N3130" s="10" t="n">
        <x:v>43379.0787132101</x:v>
      </x:c>
      <x:c r="O3130" s="9" t="n">
        <x:v>-0.0981108673</x:v>
      </x:c>
      <x:c r="P3130" s="9" t="n">
        <x:v>0.3662477558</x:v>
      </x:c>
      <x:c r="Q3130" s="9" t="n">
        <x:v>0.1687612208</x:v>
      </x:c>
      <x:c r="R3130" s="3" t="b">
        <x:v>0</x:v>
      </x:c>
      <x:c r="S3130" s="3" t="b">
        <x:v>0</x:v>
      </x:c>
      <x:c r="T3130" s="3" t="b">
        <x:v>0</x:v>
      </x:c>
      <x:c r="U3130" s="2" t="str">
        <x:f>IF(T3130=TRUE,"Priority review",IF(R3130=TRUE,"High cost",IF(S3130=TRUE,"Low quality","Benchmark")))</x:f>
        <x:v>Benchmark</x:v>
      </x:c>
    </x:row>
    <x:row r="3131">
      <x:c r="A3131" s="2" t="str">
        <x:v>140127</x:v>
      </x:c>
      <x:c r="B3131" s="2" t="str">
        <x:v>CARLE BROMENN MEDICAL CENTER</x:v>
      </x:c>
      <x:c r="C3131" s="2" t="str">
        <x:v>NORMAL</x:v>
      </x:c>
      <x:c r="D3131" s="2" t="str">
        <x:v>IL</x:v>
      </x:c>
      <x:c r="E3131" s="2" t="str">
        <x:v>Acute Care Hospitals</x:v>
      </x:c>
      <x:c r="F3131" s="2" t="str">
        <x:v>Voluntary non-profit</x:v>
      </x:c>
      <x:c r="G3131" s="2" t="str">
        <x:v>Medium (100-299 beds)</x:v>
      </x:c>
      <x:c r="H3131" s="7" t="n">
        <x:v>3</x:v>
      </x:c>
      <x:c r="I3131" s="7" t="n">
        <x:v>4</x:v>
      </x:c>
      <x:c r="J3131" s="7" t="n">
        <x:v>0.96</x:v>
      </x:c>
      <x:c r="K3131" s="8" t="n">
        <x:v>206</x:v>
      </x:c>
      <x:c r="L3131" s="8" t="n">
        <x:v>8168</x:v>
      </x:c>
      <x:c r="M3131" s="9" t="n">
        <x:v>0.4826781262</x:v>
      </x:c>
      <x:c r="N3131" s="10" t="n">
        <x:v>29719.902546523</x:v>
      </x:c>
      <x:c r="O3131" s="9" t="n">
        <x:v>0.0682328266</x:v>
      </x:c>
      <x:c r="P3131" s="9" t="n">
        <x:v>0.3659331703</x:v>
      </x:c>
      <x:c r="Q3131" s="9" t="n">
        <x:v>0.3023634882</x:v>
      </x:c>
      <x:c r="R3131" s="3" t="b">
        <x:v>0</x:v>
      </x:c>
      <x:c r="S3131" s="3" t="b">
        <x:v>0</x:v>
      </x:c>
      <x:c r="T3131" s="3" t="b">
        <x:v>0</x:v>
      </x:c>
      <x:c r="U3131" s="2" t="str">
        <x:f>IF(T3131=TRUE,"Priority review",IF(R3131=TRUE,"High cost",IF(S3131=TRUE,"Low quality","Benchmark")))</x:f>
        <x:v>Benchmark</x:v>
      </x:c>
    </x:row>
    <x:row r="3132">
      <x:c r="A3132" s="2" t="str">
        <x:v>050464</x:v>
      </x:c>
      <x:c r="B3132" s="2" t="str">
        <x:v>DOCTORS MEDICAL CENTER</x:v>
      </x:c>
      <x:c r="C3132" s="2" t="str">
        <x:v>MODESTO</x:v>
      </x:c>
      <x:c r="D3132" s="2" t="str">
        <x:v>CA</x:v>
      </x:c>
      <x:c r="E3132" s="2" t="str">
        <x:v>Acute Care Hospitals</x:v>
      </x:c>
      <x:c r="F3132" s="2" t="str">
        <x:v>Proprietary</x:v>
      </x:c>
      <x:c r="G3132" s="2" t="str">
        <x:v>Large (300+ beds)</x:v>
      </x:c>
      <x:c r="H3132" s="7" t="n">
        <x:v>1</x:v>
      </x:c>
      <x:c r="I3132" s="7" t="n">
        <x:v>2</x:v>
      </x:c>
      <x:c r="J3132" s="7" t="n">
        <x:v>1.03</x:v>
      </x:c>
      <x:c r="K3132" s="8" t="n">
        <x:v>380</x:v>
      </x:c>
      <x:c r="L3132" s="8" t="n">
        <x:v>20294</x:v>
      </x:c>
      <x:c r="M3132" s="9" t="n">
        <x:v>0.7850180245</x:v>
      </x:c>
      <x:c r="N3132" s="10" t="n">
        <x:v>33437.9799448113</x:v>
      </x:c>
      <x:c r="O3132" s="9" t="n">
        <x:v>-0.0157399006</x:v>
      </x:c>
      <x:c r="P3132" s="9" t="n">
        <x:v>0.3659305994</x:v>
      </x:c>
      <x:c r="Q3132" s="9" t="n">
        <x:v>0</x:v>
      </x:c>
      <x:c r="R3132" s="3" t="b">
        <x:v>0</x:v>
      </x:c>
      <x:c r="S3132" s="3" t="b">
        <x:v>1</x:v>
      </x:c>
      <x:c r="T3132" s="3" t="b">
        <x:v>0</x:v>
      </x:c>
      <x:c r="U3132" s="2" t="str">
        <x:f>IF(T3132=TRUE,"Priority review",IF(R3132=TRUE,"High cost",IF(S3132=TRUE,"Low quality","Benchmark")))</x:f>
        <x:v>Low quality</x:v>
      </x:c>
    </x:row>
    <x:row r="3133">
      <x:c r="A3133" s="2" t="str">
        <x:v>161376</x:v>
      </x:c>
      <x:c r="B3133" s="2" t="str">
        <x:v>CASS COUNTY MEMORIAL HOSPITAL</x:v>
      </x:c>
      <x:c r="C3133" s="2" t="str">
        <x:v>ATLANTIC</x:v>
      </x:c>
      <x:c r="D3133" s="2" t="str">
        <x:v>IA</x:v>
      </x:c>
      <x:c r="E3133" s="2" t="str">
        <x:v>Critical Access Hospitals</x:v>
      </x:c>
      <x:c r="F3133" s="2" t="str">
        <x:v>Government</x:v>
      </x:c>
      <x:c r="G3133" s="2" t="str">
        <x:v>Small (&lt;100 beds)</x:v>
      </x:c>
      <x:c r="H3133" s="7" t="n">
        <x:v>5</x:v>
      </x:c>
      <x:c r="I3133" s="7" t="n">
        <x:v>4</x:v>
      </x:c>
      <x:c r="J3133" s="7"/>
      <x:c r="K3133" s="8" t="n">
        <x:v>25</x:v>
      </x:c>
      <x:c r="L3133" s="8" t="n">
        <x:v>781</x:v>
      </x:c>
      <x:c r="M3133" s="9" t="n">
        <x:v>0.4269589041</x:v>
      </x:c>
      <x:c r="N3133" s="10" t="n">
        <x:v>107030.0038412292</x:v>
      </x:c>
      <x:c r="O3133" s="9" t="n">
        <x:v>-0.0115804853</x:v>
      </x:c>
      <x:c r="P3133" s="9" t="n">
        <x:v>0.3657992565</x:v>
      </x:c>
      <x:c r="Q3133" s="9" t="n">
        <x:v>0.2602230483</x:v>
      </x:c>
      <x:c r="R3133" s="3" t="b">
        <x:v>0</x:v>
      </x:c>
      <x:c r="S3133" s="3" t="b">
        <x:v>0</x:v>
      </x:c>
      <x:c r="T3133" s="3" t="b">
        <x:v>0</x:v>
      </x:c>
      <x:c r="U3133" s="2" t="str">
        <x:f>IF(T3133=TRUE,"Priority review",IF(R3133=TRUE,"High cost",IF(S3133=TRUE,"Low quality","Benchmark")))</x:f>
        <x:v>Benchmark</x:v>
      </x:c>
    </x:row>
    <x:row r="3134">
      <x:c r="A3134" s="2" t="str">
        <x:v>444025</x:v>
      </x:c>
      <x:c r="B3134" s="2" t="str">
        <x:v>CRESTWYN BEHAVIORAL HEALTH</x:v>
      </x:c>
      <x:c r="C3134" s="2" t="str">
        <x:v>MEMPHIS</x:v>
      </x:c>
      <x:c r="D3134" s="2" t="str">
        <x:v>TN</x:v>
      </x:c>
      <x:c r="E3134" s="2" t="str">
        <x:v>Psychiatric</x:v>
      </x:c>
      <x:c r="F3134" s="2" t="str">
        <x:v>Proprietary</x:v>
      </x:c>
      <x:c r="G3134" s="2" t="str">
        <x:v>Small (&lt;100 beds)</x:v>
      </x:c>
      <x:c r="H3134" s="7"/>
      <x:c r="I3134" s="7"/>
      <x:c r="J3134" s="7"/>
      <x:c r="K3134" s="8" t="n">
        <x:v>84</x:v>
      </x:c>
      <x:c r="L3134" s="8" t="n">
        <x:v>2002</x:v>
      </x:c>
      <x:c r="M3134" s="9" t="n">
        <x:v>0.8005139214</x:v>
      </x:c>
      <x:c r="N3134" s="10" t="n">
        <x:v>9736.5939060939</x:v>
      </x:c>
      <x:c r="O3134" s="9" t="n">
        <x:v>0.211026115</x:v>
      </x:c>
      <x:c r="P3134" s="9" t="n">
        <x:v>0.3656957929</x:v>
      </x:c>
      <x:c r="Q3134" s="9" t="n">
        <x:v>0</x:v>
      </x:c>
      <x:c r="R3134" s="3" t="b">
        <x:v>0</x:v>
      </x:c>
      <x:c r="S3134" s="3" t="b">
        <x:v>0</x:v>
      </x:c>
      <x:c r="T3134" s="3" t="b">
        <x:v>0</x:v>
      </x:c>
      <x:c r="U3134" s="2" t="str">
        <x:f>IF(T3134=TRUE,"Priority review",IF(R3134=TRUE,"High cost",IF(S3134=TRUE,"Low quality","Benchmark")))</x:f>
        <x:v>Benchmark</x:v>
      </x:c>
    </x:row>
    <x:row r="3135">
      <x:c r="A3135" s="2" t="str">
        <x:v>440102</x:v>
      </x:c>
      <x:c r="B3135" s="2" t="str">
        <x:v>LINCOLN MEDICAL CENTER</x:v>
      </x:c>
      <x:c r="C3135" s="2" t="str">
        <x:v>FAYETTEVILLE</x:v>
      </x:c>
      <x:c r="D3135" s="2" t="str">
        <x:v>TN</x:v>
      </x:c>
      <x:c r="E3135" s="2" t="str">
        <x:v>Acute Care Hospitals</x:v>
      </x:c>
      <x:c r="F3135" s="2" t="str">
        <x:v>Government</x:v>
      </x:c>
      <x:c r="G3135" s="2" t="str">
        <x:v>Small (&lt;100 beds)</x:v>
      </x:c>
      <x:c r="H3135" s="7" t="n">
        <x:v>3</x:v>
      </x:c>
      <x:c r="I3135" s="7" t="n">
        <x:v>3</x:v>
      </x:c>
      <x:c r="J3135" s="7" t="n">
        <x:v>1.23</x:v>
      </x:c>
      <x:c r="K3135" s="8" t="n">
        <x:v>47</x:v>
      </x:c>
      <x:c r="L3135" s="8" t="n">
        <x:v>1037</x:v>
      </x:c>
      <x:c r="M3135" s="9" t="n">
        <x:v>0.2055960361</x:v>
      </x:c>
      <x:c r="N3135" s="10" t="n">
        <x:v>43329.206364513</x:v>
      </x:c>
      <x:c r="O3135" s="9" t="n">
        <x:v>-0.2455109933</x:v>
      </x:c>
      <x:c r="P3135" s="9" t="n">
        <x:v>0.3653500898</x:v>
      </x:c>
      <x:c r="Q3135" s="9" t="n">
        <x:v>0.1687612208</x:v>
      </x:c>
      <x:c r="R3135" s="3" t="b">
        <x:v>0</x:v>
      </x:c>
      <x:c r="S3135" s="3" t="b">
        <x:v>0</x:v>
      </x:c>
      <x:c r="T3135" s="3" t="b">
        <x:v>0</x:v>
      </x:c>
      <x:c r="U3135" s="2" t="str">
        <x:f>IF(T3135=TRUE,"Priority review",IF(R3135=TRUE,"High cost",IF(S3135=TRUE,"Low quality","Benchmark")))</x:f>
        <x:v>Benchmark</x:v>
      </x:c>
    </x:row>
    <x:row r="3136">
      <x:c r="A3136" s="2" t="str">
        <x:v>140117</x:v>
      </x:c>
      <x:c r="B3136" s="2" t="str">
        <x:v>AMITA HEALTH RESURRECTION MEDICAL CENTER</x:v>
      </x:c>
      <x:c r="C3136" s="2" t="str">
        <x:v>CHICAGO</x:v>
      </x:c>
      <x:c r="D3136" s="2" t="str">
        <x:v>IL</x:v>
      </x:c>
      <x:c r="E3136" s="2" t="str">
        <x:v>Acute Care Hospitals</x:v>
      </x:c>
      <x:c r="F3136" s="2" t="str">
        <x:v>Voluntary non-profit</x:v>
      </x:c>
      <x:c r="G3136" s="2" t="str">
        <x:v>Medium (100-299 beds)</x:v>
      </x:c>
      <x:c r="H3136" s="7" t="n">
        <x:v>3</x:v>
      </x:c>
      <x:c r="I3136" s="7" t="n">
        <x:v>2</x:v>
      </x:c>
      <x:c r="J3136" s="7" t="n">
        <x:v>1.12</x:v>
      </x:c>
      <x:c r="K3136" s="8" t="n">
        <x:v>199</x:v>
      </x:c>
      <x:c r="L3136" s="8" t="n">
        <x:v>7947</x:v>
      </x:c>
      <x:c r="M3136" s="9" t="n">
        <x:v>0.8107823066</x:v>
      </x:c>
      <x:c r="N3136" s="10" t="n">
        <x:v>29719.8786963634</x:v>
      </x:c>
      <x:c r="O3136" s="9" t="n">
        <x:v>-0.094826611</x:v>
      </x:c>
      <x:c r="P3136" s="9" t="n">
        <x:v>0.3651181744</x:v>
      </x:c>
      <x:c r="Q3136" s="9" t="n">
        <x:v>0.3023634882</x:v>
      </x:c>
      <x:c r="R3136" s="3" t="b">
        <x:v>0</x:v>
      </x:c>
      <x:c r="S3136" s="3" t="b">
        <x:v>0</x:v>
      </x:c>
      <x:c r="T3136" s="3" t="b">
        <x:v>0</x:v>
      </x:c>
      <x:c r="U3136" s="2" t="str">
        <x:f>IF(T3136=TRUE,"Priority review",IF(R3136=TRUE,"High cost",IF(S3136=TRUE,"Low quality","Benchmark")))</x:f>
        <x:v>Benchmark</x:v>
      </x:c>
    </x:row>
    <x:row r="3137">
      <x:c r="A3137" s="2" t="str">
        <x:v>141343</x:v>
      </x:c>
      <x:c r="B3137" s="2" t="str">
        <x:v>CRAWFORD MEMORIAL HOSPITAL</x:v>
      </x:c>
      <x:c r="C3137" s="2" t="str">
        <x:v>ROBINSON</x:v>
      </x:c>
      <x:c r="D3137" s="2" t="str">
        <x:v>IL</x:v>
      </x:c>
      <x:c r="E3137" s="2" t="str">
        <x:v>Critical Access Hospitals</x:v>
      </x:c>
      <x:c r="F3137" s="2" t="str">
        <x:v>Government</x:v>
      </x:c>
      <x:c r="G3137" s="2" t="str">
        <x:v>Small (&lt;100 beds)</x:v>
      </x:c>
      <x:c r="H3137" s="7" t="n">
        <x:v>4</x:v>
      </x:c>
      <x:c r="I3137" s="7" t="n">
        <x:v>5</x:v>
      </x:c>
      <x:c r="J3137" s="7"/>
      <x:c r="K3137" s="8" t="n">
        <x:v>25</x:v>
      </x:c>
      <x:c r="L3137" s="8" t="n">
        <x:v>706</x:v>
      </x:c>
      <x:c r="M3137" s="9" t="n">
        <x:v>0.2883287671</x:v>
      </x:c>
      <x:c r="N3137" s="10" t="n">
        <x:v>106939.6926345609</x:v>
      </x:c>
      <x:c r="O3137" s="9" t="n">
        <x:v>0.0059604384</x:v>
      </x:c>
      <x:c r="P3137" s="9" t="n">
        <x:v>0.3650557621</x:v>
      </x:c>
      <x:c r="Q3137" s="9" t="n">
        <x:v>0.1657992565</x:v>
      </x:c>
      <x:c r="R3137" s="3" t="b">
        <x:v>0</x:v>
      </x:c>
      <x:c r="S3137" s="3" t="b">
        <x:v>0</x:v>
      </x:c>
      <x:c r="T3137" s="3" t="b">
        <x:v>0</x:v>
      </x:c>
      <x:c r="U3137" s="2" t="str">
        <x:f>IF(T3137=TRUE,"Priority review",IF(R3137=TRUE,"High cost",IF(S3137=TRUE,"Low quality","Benchmark")))</x:f>
        <x:v>Benchmark</x:v>
      </x:c>
    </x:row>
    <x:row r="3138">
      <x:c r="A3138" s="2" t="str">
        <x:v>070003</x:v>
      </x:c>
      <x:c r="B3138" s="2" t="str">
        <x:v>DAY KIMBALL HOSPITAL</x:v>
      </x:c>
      <x:c r="C3138" s="2" t="str">
        <x:v>PUTNAM</x:v>
      </x:c>
      <x:c r="D3138" s="2" t="str">
        <x:v>CT</x:v>
      </x:c>
      <x:c r="E3138" s="2" t="str">
        <x:v>Acute Care Hospitals</x:v>
      </x:c>
      <x:c r="F3138" s="2" t="str">
        <x:v>Voluntary non-profit</x:v>
      </x:c>
      <x:c r="G3138" s="2" t="str">
        <x:v>Small (&lt;100 beds)</x:v>
      </x:c>
      <x:c r="H3138" s="7" t="n">
        <x:v>2</x:v>
      </x:c>
      <x:c r="I3138" s="7" t="n">
        <x:v>3</x:v>
      </x:c>
      <x:c r="J3138" s="7" t="n">
        <x:v>1.07</x:v>
      </x:c>
      <x:c r="K3138" s="8" t="n">
        <x:v>60</x:v>
      </x:c>
      <x:c r="L3138" s="8" t="n">
        <x:v>2982</x:v>
      </x:c>
      <x:c r="M3138" s="9" t="n">
        <x:v>0.5631602914</x:v>
      </x:c>
      <x:c r="N3138" s="10" t="n">
        <x:v>43273.0291750503</x:v>
      </x:c>
      <x:c r="O3138" s="9" t="n">
        <x:v>-0.1607300108</x:v>
      </x:c>
      <x:c r="P3138" s="9" t="n">
        <x:v>0.3644524237</x:v>
      </x:c>
      <x:c r="Q3138" s="9" t="n">
        <x:v>0.0350089767</x:v>
      </x:c>
      <x:c r="R3138" s="3" t="b">
        <x:v>0</x:v>
      </x:c>
      <x:c r="S3138" s="3" t="b">
        <x:v>1</x:v>
      </x:c>
      <x:c r="T3138" s="3" t="b">
        <x:v>0</x:v>
      </x:c>
      <x:c r="U3138" s="2" t="str">
        <x:f>IF(T3138=TRUE,"Priority review",IF(R3138=TRUE,"High cost",IF(S3138=TRUE,"Low quality","Benchmark")))</x:f>
        <x:v>Low quality</x:v>
      </x:c>
    </x:row>
    <x:row r="3139">
      <x:c r="A3139" s="2" t="str">
        <x:v>100039</x:v>
      </x:c>
      <x:c r="B3139" s="2" t="str">
        <x:v>BROWARD HEALTH MEDICAL CENTER</x:v>
      </x:c>
      <x:c r="C3139" s="2" t="str">
        <x:v>FORT LAUDERDALE</x:v>
      </x:c>
      <x:c r="D3139" s="2" t="str">
        <x:v>FL</x:v>
      </x:c>
      <x:c r="E3139" s="2" t="str">
        <x:v>Acute Care Hospitals</x:v>
      </x:c>
      <x:c r="F3139" s="2" t="str">
        <x:v>Government</x:v>
      </x:c>
      <x:c r="G3139" s="2" t="str">
        <x:v>Large (300+ beds)</x:v>
      </x:c>
      <x:c r="H3139" s="7" t="n">
        <x:v>3</x:v>
      </x:c>
      <x:c r="I3139" s="7" t="n">
        <x:v>2</x:v>
      </x:c>
      <x:c r="J3139" s="7" t="n">
        <x:v>1.06</x:v>
      </x:c>
      <x:c r="K3139" s="8" t="n">
        <x:v>572</x:v>
      </x:c>
      <x:c r="L3139" s="8" t="n">
        <x:v>22521</x:v>
      </x:c>
      <x:c r="M3139" s="9" t="n">
        <x:v>0.6989845771</x:v>
      </x:c>
      <x:c r="N3139" s="10" t="n">
        <x:v>33377.2292526975</x:v>
      </x:c>
      <x:c r="O3139" s="9" t="n">
        <x:v>-0.1456280874</x:v>
      </x:c>
      <x:c r="P3139" s="9" t="n">
        <x:v>0.3643533123</x:v>
      </x:c>
      <x:c r="Q3139" s="9" t="n">
        <x:v>0.2570977918</x:v>
      </x:c>
      <x:c r="R3139" s="3" t="b">
        <x:v>0</x:v>
      </x:c>
      <x:c r="S3139" s="3" t="b">
        <x:v>0</x:v>
      </x:c>
      <x:c r="T3139" s="3" t="b">
        <x:v>0</x:v>
      </x:c>
      <x:c r="U3139" s="2" t="str">
        <x:f>IF(T3139=TRUE,"Priority review",IF(R3139=TRUE,"High cost",IF(S3139=TRUE,"Low quality","Benchmark")))</x:f>
        <x:v>Benchmark</x:v>
      </x:c>
    </x:row>
    <x:row r="3140">
      <x:c r="A3140" s="2" t="str">
        <x:v>131315</x:v>
      </x:c>
      <x:c r="B3140" s="2" t="str">
        <x:v>SYRINGA GENERAL HOSPITAL</x:v>
      </x:c>
      <x:c r="C3140" s="2" t="str">
        <x:v>GRANGEVILLE</x:v>
      </x:c>
      <x:c r="D3140" s="2" t="str">
        <x:v>ID</x:v>
      </x:c>
      <x:c r="E3140" s="2" t="str">
        <x:v>Critical Access Hospitals</x:v>
      </x:c>
      <x:c r="F3140" s="2" t="str">
        <x:v>Voluntary non-profit</x:v>
      </x:c>
      <x:c r="G3140" s="2" t="str">
        <x:v>Small (&lt;100 beds)</x:v>
      </x:c>
      <x:c r="H3140" s="7"/>
      <x:c r="I3140" s="7"/>
      <x:c r="J3140" s="7"/>
      <x:c r="K3140" s="8" t="n">
        <x:v>15</x:v>
      </x:c>
      <x:c r="L3140" s="8" t="n">
        <x:v>243</x:v>
      </x:c>
      <x:c r="M3140" s="9" t="n">
        <x:v>0.1653916211</x:v>
      </x:c>
      <x:c r="N3140" s="10" t="n">
        <x:v>106872.4732510288</x:v>
      </x:c>
      <x:c r="O3140" s="9" t="n">
        <x:v>-0.1055606014</x:v>
      </x:c>
      <x:c r="P3140" s="9" t="n">
        <x:v>0.3643122677</x:v>
      </x:c>
      <x:c r="Q3140" s="9" t="n">
        <x:v>0.292936803</x:v>
      </x:c>
      <x:c r="R3140" s="3" t="b">
        <x:v>0</x:v>
      </x:c>
      <x:c r="S3140" s="3" t="b">
        <x:v>0</x:v>
      </x:c>
      <x:c r="T3140" s="3" t="b">
        <x:v>0</x:v>
      </x:c>
      <x:c r="U3140" s="2" t="str">
        <x:f>IF(T3140=TRUE,"Priority review",IF(R3140=TRUE,"High cost",IF(S3140=TRUE,"Low quality","Benchmark")))</x:f>
        <x:v>Benchmark</x:v>
      </x:c>
    </x:row>
    <x:row r="3141">
      <x:c r="A3141" s="2" t="str">
        <x:v>390328</x:v>
      </x:c>
      <x:c r="B3141" s="2" t="str">
        <x:v>UPMC EAST</x:v>
      </x:c>
      <x:c r="C3141" s="2" t="str">
        <x:v>MONROEVILLE</x:v>
      </x:c>
      <x:c r="D3141" s="2" t="str">
        <x:v>PA</x:v>
      </x:c>
      <x:c r="E3141" s="2" t="str">
        <x:v>Acute Care Hospitals</x:v>
      </x:c>
      <x:c r="F3141" s="2" t="str">
        <x:v>Voluntary non-profit</x:v>
      </x:c>
      <x:c r="G3141" s="2" t="str">
        <x:v>Medium (100-299 beds)</x:v>
      </x:c>
      <x:c r="H3141" s="7" t="n">
        <x:v>4</x:v>
      </x:c>
      <x:c r="I3141" s="7" t="n">
        <x:v>3</x:v>
      </x:c>
      <x:c r="J3141" s="7" t="n">
        <x:v>1</x:v>
      </x:c>
      <x:c r="K3141" s="8" t="n">
        <x:v>136</x:v>
      </x:c>
      <x:c r="L3141" s="8" t="n">
        <x:v>8154</x:v>
      </x:c>
      <x:c r="M3141" s="9" t="n">
        <x:v>0.8422441579</x:v>
      </x:c>
      <x:c r="N3141" s="10" t="n">
        <x:v>29668.6158940397</x:v>
      </x:c>
      <x:c r="O3141" s="9" t="n">
        <x:v>-0.0113887495</x:v>
      </x:c>
      <x:c r="P3141" s="9" t="n">
        <x:v>0.3643031785</x:v>
      </x:c>
      <x:c r="Q3141" s="9" t="n">
        <x:v>0.6022819886</x:v>
      </x:c>
      <x:c r="R3141" s="3" t="b">
        <x:v>0</x:v>
      </x:c>
      <x:c r="S3141" s="3" t="b">
        <x:v>0</x:v>
      </x:c>
      <x:c r="T3141" s="3" t="b">
        <x:v>0</x:v>
      </x:c>
      <x:c r="U3141" s="2" t="str">
        <x:f>IF(T3141=TRUE,"Priority review",IF(R3141=TRUE,"High cost",IF(S3141=TRUE,"Low quality","Benchmark")))</x:f>
        <x:v>Benchmark</x:v>
      </x:c>
    </x:row>
    <x:row r="3142">
      <x:c r="A3142" s="2" t="str">
        <x:v>531304</x:v>
      </x:c>
      <x:c r="B3142" s="2" t="str">
        <x:v>HOT SPRINGS COUNTY MEMORIAL HOSPITAL</x:v>
      </x:c>
      <x:c r="C3142" s="2" t="str">
        <x:v>THERMOPOLIS</x:v>
      </x:c>
      <x:c r="D3142" s="2" t="str">
        <x:v>WY</x:v>
      </x:c>
      <x:c r="E3142" s="2" t="str">
        <x:v>Critical Access Hospitals</x:v>
      </x:c>
      <x:c r="F3142" s="2" t="str">
        <x:v>Government</x:v>
      </x:c>
      <x:c r="G3142" s="2" t="str">
        <x:v>Small (&lt;100 beds)</x:v>
      </x:c>
      <x:c r="H3142" s="7" t="n">
        <x:v>3</x:v>
      </x:c>
      <x:c r="I3142" s="7"/>
      <x:c r="J3142" s="7"/>
      <x:c r="K3142" s="8" t="n">
        <x:v>15</x:v>
      </x:c>
      <x:c r="L3142" s="8" t="n">
        <x:v>363</x:v>
      </x:c>
      <x:c r="M3142" s="9" t="n">
        <x:v>0.2723287671</x:v>
      </x:c>
      <x:c r="N3142" s="10" t="n">
        <x:v>106868.3002754821</x:v>
      </x:c>
      <x:c r="O3142" s="9" t="n">
        <x:v>-0.1732331366</x:v>
      </x:c>
      <x:c r="P3142" s="9" t="n">
        <x:v>0.3635687732</x:v>
      </x:c>
      <x:c r="Q3142" s="9" t="n">
        <x:v>0.0765799257</x:v>
      </x:c>
      <x:c r="R3142" s="3" t="b">
        <x:v>0</x:v>
      </x:c>
      <x:c r="S3142" s="3" t="b">
        <x:v>1</x:v>
      </x:c>
      <x:c r="T3142" s="3" t="b">
        <x:v>0</x:v>
      </x:c>
      <x:c r="U3142" s="2" t="str">
        <x:f>IF(T3142=TRUE,"Priority review",IF(R3142=TRUE,"High cost",IF(S3142=TRUE,"Low quality","Benchmark")))</x:f>
        <x:v>Low quality</x:v>
      </x:c>
    </x:row>
    <x:row r="3143">
      <x:c r="A3143" s="2" t="str">
        <x:v>010095</x:v>
      </x:c>
      <x:c r="B3143" s="2" t="str">
        <x:v>HALE COUNTY HOSPITAL</x:v>
      </x:c>
      <x:c r="C3143" s="2" t="str">
        <x:v>GREENSBORO</x:v>
      </x:c>
      <x:c r="D3143" s="2" t="str">
        <x:v>AL</x:v>
      </x:c>
      <x:c r="E3143" s="2" t="str">
        <x:v>Acute Care Hospitals</x:v>
      </x:c>
      <x:c r="F3143" s="2" t="str">
        <x:v>Government</x:v>
      </x:c>
      <x:c r="G3143" s="2" t="str">
        <x:v>Small (&lt;100 beds)</x:v>
      </x:c>
      <x:c r="H3143" s="7"/>
      <x:c r="I3143" s="7"/>
      <x:c r="J3143" s="7" t="n">
        <x:v>0.9</x:v>
      </x:c>
      <x:c r="K3143" s="8" t="n">
        <x:v>28</x:v>
      </x:c>
      <x:c r="L3143" s="8" t="n">
        <x:v>325</x:v>
      </x:c>
      <x:c r="M3143" s="9" t="n">
        <x:v>0.2404371585</x:v>
      </x:c>
      <x:c r="N3143" s="10" t="n">
        <x:v>43244.5046153846</x:v>
      </x:c>
      <x:c r="O3143" s="9" t="n">
        <x:v>-0.4061558056</x:v>
      </x:c>
      <x:c r="P3143" s="9" t="n">
        <x:v>0.3635547576</x:v>
      </x:c>
      <x:c r="Q3143" s="9" t="n">
        <x:v>0.697486535</x:v>
      </x:c>
      <x:c r="R3143" s="3" t="b">
        <x:v>0</x:v>
      </x:c>
      <x:c r="S3143" s="3" t="b">
        <x:v>0</x:v>
      </x:c>
      <x:c r="T3143" s="3" t="b">
        <x:v>0</x:v>
      </x:c>
      <x:c r="U3143" s="2" t="str">
        <x:f>IF(T3143=TRUE,"Priority review",IF(R3143=TRUE,"High cost",IF(S3143=TRUE,"Low quality","Benchmark")))</x:f>
        <x:v>Benchmark</x:v>
      </x:c>
    </x:row>
    <x:row r="3144">
      <x:c r="A3144" s="2" t="str">
        <x:v>260085</x:v>
      </x:c>
      <x:c r="B3144" s="2" t="str">
        <x:v>ST JOSEPH MEDICAL CENTER</x:v>
      </x:c>
      <x:c r="C3144" s="2" t="str">
        <x:v>KANSAS CITY</x:v>
      </x:c>
      <x:c r="D3144" s="2" t="str">
        <x:v>MO</x:v>
      </x:c>
      <x:c r="E3144" s="2" t="str">
        <x:v>Acute Care Hospitals</x:v>
      </x:c>
      <x:c r="F3144" s="2" t="str">
        <x:v>Proprietary</x:v>
      </x:c>
      <x:c r="G3144" s="2" t="str">
        <x:v>Medium (100-299 beds)</x:v>
      </x:c>
      <x:c r="H3144" s="7" t="n">
        <x:v>3</x:v>
      </x:c>
      <x:c r="I3144" s="7" t="n">
        <x:v>2</x:v>
      </x:c>
      <x:c r="J3144" s="7" t="n">
        <x:v>0.97</x:v>
      </x:c>
      <x:c r="K3144" s="8" t="n">
        <x:v>233</x:v>
      </x:c>
      <x:c r="L3144" s="8" t="n">
        <x:v>5205</x:v>
      </x:c>
      <x:c r="M3144" s="9" t="n">
        <x:v>0.2281948451</x:v>
      </x:c>
      <x:c r="N3144" s="10" t="n">
        <x:v>29657.9926993276</x:v>
      </x:c>
      <x:c r="O3144" s="9" t="n">
        <x:v>-0.1047438514</x:v>
      </x:c>
      <x:c r="P3144" s="9" t="n">
        <x:v>0.3634881826</x:v>
      </x:c>
      <x:c r="Q3144" s="9" t="n">
        <x:v>0.3023634882</x:v>
      </x:c>
      <x:c r="R3144" s="3" t="b">
        <x:v>0</x:v>
      </x:c>
      <x:c r="S3144" s="3" t="b">
        <x:v>0</x:v>
      </x:c>
      <x:c r="T3144" s="3" t="b">
        <x:v>0</x:v>
      </x:c>
      <x:c r="U3144" s="2" t="str">
        <x:f>IF(T3144=TRUE,"Priority review",IF(R3144=TRUE,"High cost",IF(S3144=TRUE,"Low quality","Benchmark")))</x:f>
        <x:v>Benchmark</x:v>
      </x:c>
    </x:row>
    <x:row r="3145">
      <x:c r="A3145" s="2" t="str">
        <x:v>294016</x:v>
      </x:c>
      <x:c r="B3145" s="2" t="str">
        <x:v>THRIVE BEHAVIORAL HOSPITAL, LLC</x:v>
      </x:c>
      <x:c r="C3145" s="2" t="str">
        <x:v>LAS VEGAS</x:v>
      </x:c>
      <x:c r="D3145" s="2" t="str">
        <x:v>NV</x:v>
      </x:c>
      <x:c r="E3145" s="2" t="str">
        <x:v>Psychiatric</x:v>
      </x:c>
      <x:c r="F3145" s="2" t="str">
        <x:v>Proprietary</x:v>
      </x:c>
      <x:c r="G3145" s="2" t="str">
        <x:v>Medium (100-299 beds)</x:v>
      </x:c>
      <x:c r="H3145" s="7"/>
      <x:c r="I3145" s="7"/>
      <x:c r="J3145" s="7"/>
      <x:c r="K3145" s="8" t="n">
        <x:v>114</x:v>
      </x:c>
      <x:c r="L3145" s="8" t="n">
        <x:v>543</x:v>
      </x:c>
      <x:c r="M3145" s="9" t="n">
        <x:v>0.199919734</x:v>
      </x:c>
      <x:c r="N3145" s="10" t="n">
        <x:v>8496.847145488</x:v>
      </x:c>
      <x:c r="O3145" s="9" t="n">
        <x:v>-0.7079469083</x:v>
      </x:c>
      <x:c r="P3145" s="9" t="n">
        <x:v>0.3631840796</x:v>
      </x:c>
      <x:c r="Q3145" s="9" t="n">
        <x:v>0</x:v>
      </x:c>
      <x:c r="R3145" s="3" t="b">
        <x:v>0</x:v>
      </x:c>
      <x:c r="S3145" s="3" t="b">
        <x:v>0</x:v>
      </x:c>
      <x:c r="T3145" s="3" t="b">
        <x:v>0</x:v>
      </x:c>
      <x:c r="U3145" s="2" t="str">
        <x:f>IF(T3145=TRUE,"Priority review",IF(R3145=TRUE,"High cost",IF(S3145=TRUE,"Low quality","Benchmark")))</x:f>
        <x:v>Benchmark</x:v>
      </x:c>
    </x:row>
    <x:row r="3146">
      <x:c r="A3146" s="2" t="str">
        <x:v>251319</x:v>
      </x:c>
      <x:c r="B3146" s="2" t="str">
        <x:v>HOLMES COUNTY HOSPITAL AND CLINICS</x:v>
      </x:c>
      <x:c r="C3146" s="2" t="str">
        <x:v>LEXINGTON</x:v>
      </x:c>
      <x:c r="D3146" s="2" t="str">
        <x:v>MS</x:v>
      </x:c>
      <x:c r="E3146" s="2" t="str">
        <x:v>Critical Access Hospitals</x:v>
      </x:c>
      <x:c r="F3146" s="2" t="str">
        <x:v>Government</x:v>
      </x:c>
      <x:c r="G3146" s="2" t="str">
        <x:v>Small (&lt;100 beds)</x:v>
      </x:c>
      <x:c r="H3146" s="7"/>
      <x:c r="I3146" s="7"/>
      <x:c r="J3146" s="7"/>
      <x:c r="K3146" s="8" t="n">
        <x:v>25</x:v>
      </x:c>
      <x:c r="L3146" s="8" t="n">
        <x:v>123</x:v>
      </x:c>
      <x:c r="M3146" s="9" t="n">
        <x:v>0.1377534247</x:v>
      </x:c>
      <x:c r="N3146" s="10" t="n">
        <x:v>106818.1463414634</x:v>
      </x:c>
      <x:c r="O3146" s="9" t="n">
        <x:v>0.0422615129</x:v>
      </x:c>
      <x:c r="P3146" s="9" t="n">
        <x:v>0.3628252788</x:v>
      </x:c>
      <x:c r="Q3146" s="9" t="n">
        <x:v>0.292936803</x:v>
      </x:c>
      <x:c r="R3146" s="3" t="b">
        <x:v>0</x:v>
      </x:c>
      <x:c r="S3146" s="3" t="b">
        <x:v>0</x:v>
      </x:c>
      <x:c r="T3146" s="3" t="b">
        <x:v>0</x:v>
      </x:c>
      <x:c r="U3146" s="2" t="str">
        <x:f>IF(T3146=TRUE,"Priority review",IF(R3146=TRUE,"High cost",IF(S3146=TRUE,"Low quality","Benchmark")))</x:f>
        <x:v>Benchmark</x:v>
      </x:c>
    </x:row>
    <x:row r="3147">
      <x:c r="A3147" s="2" t="str">
        <x:v>030087</x:v>
      </x:c>
      <x:c r="B3147" s="2" t="str">
        <x:v>HONORHEALTH SCOTTSDALE SHEA MEDICAL CENTER</x:v>
      </x:c>
      <x:c r="C3147" s="2" t="str">
        <x:v>SCOTTSDALE</x:v>
      </x:c>
      <x:c r="D3147" s="2" t="str">
        <x:v>AZ</x:v>
      </x:c>
      <x:c r="E3147" s="2" t="str">
        <x:v>Acute Care Hospitals</x:v>
      </x:c>
      <x:c r="F3147" s="2" t="str">
        <x:v>Proprietary</x:v>
      </x:c>
      <x:c r="G3147" s="2" t="str">
        <x:v>Large (300+ beds)</x:v>
      </x:c>
      <x:c r="H3147" s="7" t="n">
        <x:v>3</x:v>
      </x:c>
      <x:c r="I3147" s="7" t="n">
        <x:v>3</x:v>
      </x:c>
      <x:c r="J3147" s="7" t="n">
        <x:v>0.99</x:v>
      </x:c>
      <x:c r="K3147" s="8" t="n">
        <x:v>427</x:v>
      </x:c>
      <x:c r="L3147" s="8" t="n">
        <x:v>22185</x:v>
      </x:c>
      <x:c r="M3147" s="9" t="n">
        <x:v>0.5862339064</x:v>
      </x:c>
      <x:c r="N3147" s="10" t="n">
        <x:v>33335.0109082714</x:v>
      </x:c>
      <x:c r="O3147" s="9" t="n">
        <x:v>-0.0266518855</x:v>
      </x:c>
      <x:c r="P3147" s="9" t="n">
        <x:v>0.3627760252</x:v>
      </x:c>
      <x:c r="Q3147" s="9" t="n">
        <x:v>0.2570977918</x:v>
      </x:c>
      <x:c r="R3147" s="3" t="b">
        <x:v>0</x:v>
      </x:c>
      <x:c r="S3147" s="3" t="b">
        <x:v>0</x:v>
      </x:c>
      <x:c r="T3147" s="3" t="b">
        <x:v>0</x:v>
      </x:c>
      <x:c r="U3147" s="2" t="str">
        <x:f>IF(T3147=TRUE,"Priority review",IF(R3147=TRUE,"High cost",IF(S3147=TRUE,"Low quality","Benchmark")))</x:f>
        <x:v>Benchmark</x:v>
      </x:c>
    </x:row>
    <x:row r="3148">
      <x:c r="A3148" s="2" t="str">
        <x:v>150157</x:v>
      </x:c>
      <x:c r="B3148" s="2" t="str">
        <x:v>ASCENSION ST VINCENT CARMEL</x:v>
      </x:c>
      <x:c r="C3148" s="2" t="str">
        <x:v>CARMEL</x:v>
      </x:c>
      <x:c r="D3148" s="2" t="str">
        <x:v>IN</x:v>
      </x:c>
      <x:c r="E3148" s="2" t="str">
        <x:v>Acute Care Hospitals</x:v>
      </x:c>
      <x:c r="F3148" s="2" t="str">
        <x:v>Voluntary non-profit</x:v>
      </x:c>
      <x:c r="G3148" s="2" t="str">
        <x:v>Medium (100-299 beds)</x:v>
      </x:c>
      <x:c r="H3148" s="7" t="n">
        <x:v>3</x:v>
      </x:c>
      <x:c r="I3148" s="7" t="n">
        <x:v>3</x:v>
      </x:c>
      <x:c r="J3148" s="7" t="n">
        <x:v>0.97</x:v>
      </x:c>
      <x:c r="K3148" s="8" t="n">
        <x:v>124</x:v>
      </x:c>
      <x:c r="L3148" s="8" t="n">
        <x:v>6504</x:v>
      </x:c>
      <x:c r="M3148" s="9" t="n">
        <x:v>0.5204816615</x:v>
      </x:c>
      <x:c r="N3148" s="10" t="n">
        <x:v>29628.1588253383</x:v>
      </x:c>
      <x:c r="O3148" s="9" t="n">
        <x:v>0.3253385661</x:v>
      </x:c>
      <x:c r="P3148" s="9" t="n">
        <x:v>0.3626731866</x:v>
      </x:c>
      <x:c r="Q3148" s="9" t="n">
        <x:v>0.3023634882</x:v>
      </x:c>
      <x:c r="R3148" s="3" t="b">
        <x:v>0</x:v>
      </x:c>
      <x:c r="S3148" s="3" t="b">
        <x:v>0</x:v>
      </x:c>
      <x:c r="T3148" s="3" t="b">
        <x:v>0</x:v>
      </x:c>
      <x:c r="U3148" s="2" t="str">
        <x:f>IF(T3148=TRUE,"Priority review",IF(R3148=TRUE,"High cost",IF(S3148=TRUE,"Low quality","Benchmark")))</x:f>
        <x:v>Benchmark</x:v>
      </x:c>
    </x:row>
    <x:row r="3149">
      <x:c r="A3149" s="2" t="str">
        <x:v>230093</x:v>
      </x:c>
      <x:c r="B3149" s="2" t="str">
        <x:v>COREWELL HEALTH BIG RAPIDS HOSPITAL</x:v>
      </x:c>
      <x:c r="C3149" s="2" t="str">
        <x:v>BIG RAPIDS</x:v>
      </x:c>
      <x:c r="D3149" s="2" t="str">
        <x:v>MI</x:v>
      </x:c>
      <x:c r="E3149" s="2" t="str">
        <x:v>Acute Care Hospitals</x:v>
      </x:c>
      <x:c r="F3149" s="2" t="str">
        <x:v>Voluntary non-profit</x:v>
      </x:c>
      <x:c r="G3149" s="2" t="str">
        <x:v>Small (&lt;100 beds)</x:v>
      </x:c>
      <x:c r="H3149" s="7" t="n">
        <x:v>3</x:v>
      </x:c>
      <x:c r="I3149" s="7" t="n">
        <x:v>4</x:v>
      </x:c>
      <x:c r="J3149" s="7" t="n">
        <x:v>0.86</x:v>
      </x:c>
      <x:c r="K3149" s="8" t="n">
        <x:v>49</x:v>
      </x:c>
      <x:c r="L3149" s="8" t="n">
        <x:v>2299</x:v>
      </x:c>
      <x:c r="M3149" s="9" t="n">
        <x:v>0.3830584289</x:v>
      </x:c>
      <x:c r="N3149" s="10" t="n">
        <x:v>43218.9947803393</x:v>
      </x:c>
      <x:c r="O3149" s="9" t="n">
        <x:v>0.0884851857</x:v>
      </x:c>
      <x:c r="P3149" s="9" t="n">
        <x:v>0.3626570916</x:v>
      </x:c>
      <x:c r="Q3149" s="9" t="n">
        <x:v>0.1687612208</x:v>
      </x:c>
      <x:c r="R3149" s="3" t="b">
        <x:v>0</x:v>
      </x:c>
      <x:c r="S3149" s="3" t="b">
        <x:v>0</x:v>
      </x:c>
      <x:c r="T3149" s="3" t="b">
        <x:v>0</x:v>
      </x:c>
      <x:c r="U3149" s="2" t="str">
        <x:f>IF(T3149=TRUE,"Priority review",IF(R3149=TRUE,"High cost",IF(S3149=TRUE,"Low quality","Benchmark")))</x:f>
        <x:v>Benchmark</x:v>
      </x:c>
    </x:row>
    <x:row r="3150">
      <x:c r="A3150" s="2" t="str">
        <x:v>364065</x:v>
      </x:c>
      <x:c r="B3150" s="2" t="str">
        <x:v>GLENWOOD BEHAVIORAL HEALTH HOSPITAL</x:v>
      </x:c>
      <x:c r="C3150" s="2" t="str">
        <x:v>CINCINNATI</x:v>
      </x:c>
      <x:c r="D3150" s="2" t="str">
        <x:v>OH</x:v>
      </x:c>
      <x:c r="E3150" s="2" t="str">
        <x:v>Psychiatric</x:v>
      </x:c>
      <x:c r="F3150" s="2" t="str">
        <x:v>Proprietary</x:v>
      </x:c>
      <x:c r="G3150" s="2" t="str">
        <x:v>Small (&lt;100 beds)</x:v>
      </x:c>
      <x:c r="H3150" s="7"/>
      <x:c r="I3150" s="7"/>
      <x:c r="J3150" s="7"/>
      <x:c r="K3150" s="8" t="n">
        <x:v>80</x:v>
      </x:c>
      <x:c r="L3150" s="8" t="n">
        <x:v>2230</x:v>
      </x:c>
      <x:c r="M3150" s="9" t="n">
        <x:v>0.625204918</x:v>
      </x:c>
      <x:c r="N3150" s="10" t="n">
        <x:v>9647.9780269058</x:v>
      </x:c>
      <x:c r="O3150" s="9" t="n">
        <x:v>0.2472049739</x:v>
      </x:c>
      <x:c r="P3150" s="9" t="n">
        <x:v>0.3624595469</x:v>
      </x:c>
      <x:c r="Q3150" s="9" t="n">
        <x:v>0</x:v>
      </x:c>
      <x:c r="R3150" s="3" t="b">
        <x:v>0</x:v>
      </x:c>
      <x:c r="S3150" s="3" t="b">
        <x:v>0</x:v>
      </x:c>
      <x:c r="T3150" s="3" t="b">
        <x:v>0</x:v>
      </x:c>
      <x:c r="U3150" s="2" t="str">
        <x:f>IF(T3150=TRUE,"Priority review",IF(R3150=TRUE,"High cost",IF(S3150=TRUE,"Low quality","Benchmark")))</x:f>
        <x:v>Benchmark</x:v>
      </x:c>
    </x:row>
    <x:row r="3151">
      <x:c r="A3151" s="2" t="str">
        <x:v>281314</x:v>
      </x:c>
      <x:c r="B3151" s="2" t="str">
        <x:v>ANNIE JEFFREY MEMORIAL COUNTY HEALTH CENTER</x:v>
      </x:c>
      <x:c r="C3151" s="2" t="str">
        <x:v>OSCEOLA</x:v>
      </x:c>
      <x:c r="D3151" s="2" t="str">
        <x:v>NE</x:v>
      </x:c>
      <x:c r="E3151" s="2" t="str">
        <x:v>Critical Access Hospitals</x:v>
      </x:c>
      <x:c r="F3151" s="2" t="str">
        <x:v>Government</x:v>
      </x:c>
      <x:c r="G3151" s="2" t="str">
        <x:v>Small (&lt;100 beds)</x:v>
      </x:c>
      <x:c r="H3151" s="7"/>
      <x:c r="I3151" s="7"/>
      <x:c r="J3151" s="7"/>
      <x:c r="K3151" s="8" t="n">
        <x:v>16</x:v>
      </x:c>
      <x:c r="L3151" s="8" t="n">
        <x:v>91</x:v>
      </x:c>
      <x:c r="M3151" s="9" t="n">
        <x:v>0.0669520548</x:v>
      </x:c>
      <x:c r="N3151" s="10" t="n">
        <x:v>106720.1208791209</x:v>
      </x:c>
      <x:c r="O3151" s="9" t="n">
        <x:v>-0.0217084607</x:v>
      </x:c>
      <x:c r="P3151" s="9" t="n">
        <x:v>0.3620817844</x:v>
      </x:c>
      <x:c r="Q3151" s="9" t="n">
        <x:v>0.292936803</x:v>
      </x:c>
      <x:c r="R3151" s="3" t="b">
        <x:v>0</x:v>
      </x:c>
      <x:c r="S3151" s="3" t="b">
        <x:v>0</x:v>
      </x:c>
      <x:c r="T3151" s="3" t="b">
        <x:v>0</x:v>
      </x:c>
      <x:c r="U3151" s="2" t="str">
        <x:f>IF(T3151=TRUE,"Priority review",IF(R3151=TRUE,"High cost",IF(S3151=TRUE,"Low quality","Benchmark")))</x:f>
        <x:v>Benchmark</x:v>
      </x:c>
    </x:row>
    <x:row r="3152">
      <x:c r="A3152" s="2" t="str">
        <x:v>310110</x:v>
      </x:c>
      <x:c r="B3152" s="2" t="str">
        <x:v>ROBERT WOOD JOHNSON UNIVERSITY HOSPITAL AT HAMILTON</x:v>
      </x:c>
      <x:c r="C3152" s="2" t="str">
        <x:v>HAMILTON</x:v>
      </x:c>
      <x:c r="D3152" s="2" t="str">
        <x:v>NJ</x:v>
      </x:c>
      <x:c r="E3152" s="2" t="str">
        <x:v>Acute Care Hospitals</x:v>
      </x:c>
      <x:c r="F3152" s="2" t="str">
        <x:v>Voluntary non-profit</x:v>
      </x:c>
      <x:c r="G3152" s="2" t="str">
        <x:v>Medium (100-299 beds)</x:v>
      </x:c>
      <x:c r="H3152" s="7" t="n">
        <x:v>4</x:v>
      </x:c>
      <x:c r="I3152" s="7" t="n">
        <x:v>3</x:v>
      </x:c>
      <x:c r="J3152" s="7" t="n">
        <x:v>1.06</x:v>
      </x:c>
      <x:c r="K3152" s="8" t="n">
        <x:v>152</x:v>
      </x:c>
      <x:c r="L3152" s="8" t="n">
        <x:v>7666</x:v>
      </x:c>
      <x:c r="M3152" s="9" t="n">
        <x:v>0.6394700892</x:v>
      </x:c>
      <x:c r="N3152" s="10" t="n">
        <x:v>29603.027002348</x:v>
      </x:c>
      <x:c r="O3152" s="9" t="n">
        <x:v>0.0709594645</x:v>
      </x:c>
      <x:c r="P3152" s="9" t="n">
        <x:v>0.3618581907</x:v>
      </x:c>
      <x:c r="Q3152" s="9" t="n">
        <x:v>0.6022819886</x:v>
      </x:c>
      <x:c r="R3152" s="3" t="b">
        <x:v>0</x:v>
      </x:c>
      <x:c r="S3152" s="3" t="b">
        <x:v>0</x:v>
      </x:c>
      <x:c r="T3152" s="3" t="b">
        <x:v>0</x:v>
      </x:c>
      <x:c r="U3152" s="2" t="str">
        <x:f>IF(T3152=TRUE,"Priority review",IF(R3152=TRUE,"High cost",IF(S3152=TRUE,"Low quality","Benchmark")))</x:f>
        <x:v>Benchmark</x:v>
      </x:c>
    </x:row>
    <x:row r="3153">
      <x:c r="A3153" s="2" t="str">
        <x:v>060131</x:v>
      </x:c>
      <x:c r="B3153" s="2" t="str">
        <x:v>UCHEALTH GREELEY HOSPITAL</x:v>
      </x:c>
      <x:c r="C3153" s="2" t="str">
        <x:v>GREELEY</x:v>
      </x:c>
      <x:c r="D3153" s="2" t="str">
        <x:v>CO</x:v>
      </x:c>
      <x:c r="E3153" s="2" t="str">
        <x:v>Acute Care Hospitals</x:v>
      </x:c>
      <x:c r="F3153" s="2" t="str">
        <x:v>Voluntary non-profit</x:v>
      </x:c>
      <x:c r="G3153" s="2" t="str">
        <x:v>Small (&lt;100 beds)</x:v>
      </x:c>
      <x:c r="H3153" s="7" t="n">
        <x:v>4</x:v>
      </x:c>
      <x:c r="I3153" s="7" t="n">
        <x:v>4</x:v>
      </x:c>
      <x:c r="J3153" s="7" t="n">
        <x:v>1.05</x:v>
      </x:c>
      <x:c r="K3153" s="8" t="n">
        <x:v>88</x:v>
      </x:c>
      <x:c r="L3153" s="8" t="n">
        <x:v>5231</x:v>
      </x:c>
      <x:c r="M3153" s="9" t="n">
        <x:v>0.6826587796</x:v>
      </x:c>
      <x:c r="N3153" s="10" t="n">
        <x:v>43208.8895048748</x:v>
      </x:c>
      <x:c r="O3153" s="9" t="n">
        <x:v>0.0403733598</x:v>
      </x:c>
      <x:c r="P3153" s="9" t="n">
        <x:v>0.3617594255</x:v>
      </x:c>
      <x:c r="Q3153" s="9" t="n">
        <x:v>0.3913824057</x:v>
      </x:c>
      <x:c r="R3153" s="3" t="b">
        <x:v>0</x:v>
      </x:c>
      <x:c r="S3153" s="3" t="b">
        <x:v>0</x:v>
      </x:c>
      <x:c r="T3153" s="3" t="b">
        <x:v>0</x:v>
      </x:c>
      <x:c r="U3153" s="2" t="str">
        <x:f>IF(T3153=TRUE,"Priority review",IF(R3153=TRUE,"High cost",IF(S3153=TRUE,"Low quality","Benchmark")))</x:f>
        <x:v>Benchmark</x:v>
      </x:c>
    </x:row>
    <x:row r="3154">
      <x:c r="A3154" s="2" t="str">
        <x:v>391307</x:v>
      </x:c>
      <x:c r="B3154" s="2" t="str">
        <x:v>PENN HIGHLANDS TYRONE</x:v>
      </x:c>
      <x:c r="C3154" s="2" t="str">
        <x:v>TYRONE</x:v>
      </x:c>
      <x:c r="D3154" s="2" t="str">
        <x:v>PA</x:v>
      </x:c>
      <x:c r="E3154" s="2" t="str">
        <x:v>Critical Access Hospitals</x:v>
      </x:c>
      <x:c r="F3154" s="2" t="str">
        <x:v>Voluntary non-profit</x:v>
      </x:c>
      <x:c r="G3154" s="2" t="str">
        <x:v>Small (&lt;100 beds)</x:v>
      </x:c>
      <x:c r="H3154" s="7"/>
      <x:c r="I3154" s="7" t="n">
        <x:v>4</x:v>
      </x:c>
      <x:c r="J3154" s="7"/>
      <x:c r="K3154" s="8" t="n">
        <x:v>25</x:v>
      </x:c>
      <x:c r="L3154" s="8" t="n">
        <x:v>259</x:v>
      </x:c>
      <x:c r="M3154" s="9" t="n">
        <x:v>0.3571232877</x:v>
      </x:c>
      <x:c r="N3154" s="10" t="n">
        <x:v>106645.1737451737</x:v>
      </x:c>
      <x:c r="O3154" s="9" t="n">
        <x:v>0.0685516336</x:v>
      </x:c>
      <x:c r="P3154" s="9" t="n">
        <x:v>0.36133829</x:v>
      </x:c>
      <x:c r="Q3154" s="9" t="n">
        <x:v>0.292936803</x:v>
      </x:c>
      <x:c r="R3154" s="3" t="b">
        <x:v>0</x:v>
      </x:c>
      <x:c r="S3154" s="3" t="b">
        <x:v>0</x:v>
      </x:c>
      <x:c r="T3154" s="3" t="b">
        <x:v>0</x:v>
      </x:c>
      <x:c r="U3154" s="2" t="str">
        <x:f>IF(T3154=TRUE,"Priority review",IF(R3154=TRUE,"High cost",IF(S3154=TRUE,"Low quality","Benchmark")))</x:f>
        <x:v>Benchmark</x:v>
      </x:c>
    </x:row>
    <x:row r="3155">
      <x:c r="A3155" s="2" t="str">
        <x:v>030038</x:v>
      </x:c>
      <x:c r="B3155" s="2" t="str">
        <x:v>HONORHEALTH SCOTTSDALE OSBORN MEDICAL CENTER</x:v>
      </x:c>
      <x:c r="C3155" s="2" t="str">
        <x:v>SCOTTSDALE</x:v>
      </x:c>
      <x:c r="D3155" s="2" t="str">
        <x:v>AZ</x:v>
      </x:c>
      <x:c r="E3155" s="2" t="str">
        <x:v>Acute Care Hospitals</x:v>
      </x:c>
      <x:c r="F3155" s="2" t="str">
        <x:v>Proprietary</x:v>
      </x:c>
      <x:c r="G3155" s="2" t="str">
        <x:v>Large (300+ beds)</x:v>
      </x:c>
      <x:c r="H3155" s="7" t="n">
        <x:v>3</x:v>
      </x:c>
      <x:c r="I3155" s="7" t="n">
        <x:v>3</x:v>
      </x:c>
      <x:c r="J3155" s="7" t="n">
        <x:v>1.02</x:v>
      </x:c>
      <x:c r="K3155" s="8" t="n">
        <x:v>315</x:v>
      </x:c>
      <x:c r="L3155" s="8" t="n">
        <x:v>14219</x:v>
      </x:c>
      <x:c r="M3155" s="9" t="n">
        <x:v>0.5600665557</x:v>
      </x:c>
      <x:c r="N3155" s="10" t="n">
        <x:v>33255.4956044729</x:v>
      </x:c>
      <x:c r="O3155" s="9" t="n">
        <x:v>0.0402161559</x:v>
      </x:c>
      <x:c r="P3155" s="9" t="n">
        <x:v>0.3611987382</x:v>
      </x:c>
      <x:c r="Q3155" s="9" t="n">
        <x:v>0.2570977918</x:v>
      </x:c>
      <x:c r="R3155" s="3" t="b">
        <x:v>0</x:v>
      </x:c>
      <x:c r="S3155" s="3" t="b">
        <x:v>0</x:v>
      </x:c>
      <x:c r="T3155" s="3" t="b">
        <x:v>0</x:v>
      </x:c>
      <x:c r="U3155" s="2" t="str">
        <x:f>IF(T3155=TRUE,"Priority review",IF(R3155=TRUE,"High cost",IF(S3155=TRUE,"Low quality","Benchmark")))</x:f>
        <x:v>Benchmark</x:v>
      </x:c>
    </x:row>
    <x:row r="3156">
      <x:c r="A3156" s="2" t="str">
        <x:v>030012</x:v>
      </x:c>
      <x:c r="B3156" s="2" t="str">
        <x:v>YAVAPAI REGIONAL MEDICAL CENTER</x:v>
      </x:c>
      <x:c r="C3156" s="2" t="str">
        <x:v>PRESCOTT</x:v>
      </x:c>
      <x:c r="D3156" s="2" t="str">
        <x:v>AZ</x:v>
      </x:c>
      <x:c r="E3156" s="2" t="str">
        <x:v>Acute Care Hospitals</x:v>
      </x:c>
      <x:c r="F3156" s="2" t="str">
        <x:v>Voluntary non-profit</x:v>
      </x:c>
      <x:c r="G3156" s="2" t="str">
        <x:v>Medium (100-299 beds)</x:v>
      </x:c>
      <x:c r="H3156" s="7" t="n">
        <x:v>2</x:v>
      </x:c>
      <x:c r="I3156" s="7" t="n">
        <x:v>3</x:v>
      </x:c>
      <x:c r="J3156" s="7" t="n">
        <x:v>0.99</x:v>
      </x:c>
      <x:c r="K3156" s="8" t="n">
        <x:v>218</x:v>
      </x:c>
      <x:c r="L3156" s="8" t="n">
        <x:v>14229</x:v>
      </x:c>
      <x:c r="M3156" s="9" t="n">
        <x:v>0.7328670978</x:v>
      </x:c>
      <x:c r="N3156" s="10" t="n">
        <x:v>29597.3899079345</x:v>
      </x:c>
      <x:c r="O3156" s="9" t="n">
        <x:v>0.0938731736</x:v>
      </x:c>
      <x:c r="P3156" s="9" t="n">
        <x:v>0.3610431948</x:v>
      </x:c>
      <x:c r="Q3156" s="9" t="n">
        <x:v>0.0782396088</x:v>
      </x:c>
      <x:c r="R3156" s="3" t="b">
        <x:v>0</x:v>
      </x:c>
      <x:c r="S3156" s="3" t="b">
        <x:v>1</x:v>
      </x:c>
      <x:c r="T3156" s="3" t="b">
        <x:v>0</x:v>
      </x:c>
      <x:c r="U3156" s="2" t="str">
        <x:f>IF(T3156=TRUE,"Priority review",IF(R3156=TRUE,"High cost",IF(S3156=TRUE,"Low quality","Benchmark")))</x:f>
        <x:v>Low quality</x:v>
      </x:c>
    </x:row>
    <x:row r="3157">
      <x:c r="A3157" s="2" t="str">
        <x:v>010051</x:v>
      </x:c>
      <x:c r="B3157" s="2" t="str">
        <x:v>GREENE COUNTY HOSPITAL</x:v>
      </x:c>
      <x:c r="C3157" s="2" t="str">
        <x:v>EUTAW</x:v>
      </x:c>
      <x:c r="D3157" s="2" t="str">
        <x:v>AL</x:v>
      </x:c>
      <x:c r="E3157" s="2" t="str">
        <x:v>Acute Care Hospitals</x:v>
      </x:c>
      <x:c r="F3157" s="2" t="str">
        <x:v>Voluntary non-profit</x:v>
      </x:c>
      <x:c r="G3157" s="2" t="str">
        <x:v>Small (&lt;100 beds)</x:v>
      </x:c>
      <x:c r="H3157" s="7"/>
      <x:c r="I3157" s="7"/>
      <x:c r="J3157" s="7"/>
      <x:c r="K3157" s="8" t="n">
        <x:v>20</x:v>
      </x:c>
      <x:c r="L3157" s="8" t="n">
        <x:v>272</x:v>
      </x:c>
      <x:c r="M3157" s="9" t="n">
        <x:v>0.2592896175</x:v>
      </x:c>
      <x:c r="N3157" s="10" t="n">
        <x:v>43145.6139705882</x:v>
      </x:c>
      <x:c r="O3157" s="9" t="n">
        <x:v>-0.0522543933</x:v>
      </x:c>
      <x:c r="P3157" s="9" t="n">
        <x:v>0.3608617594</x:v>
      </x:c>
      <x:c r="Q3157" s="9" t="n">
        <x:v>0.697486535</x:v>
      </x:c>
      <x:c r="R3157" s="3" t="b">
        <x:v>0</x:v>
      </x:c>
      <x:c r="S3157" s="3" t="b">
        <x:v>0</x:v>
      </x:c>
      <x:c r="T3157" s="3" t="b">
        <x:v>0</x:v>
      </x:c>
      <x:c r="U3157" s="2" t="str">
        <x:f>IF(T3157=TRUE,"Priority review",IF(R3157=TRUE,"High cost",IF(S3157=TRUE,"Low quality","Benchmark")))</x:f>
        <x:v>Benchmark</x:v>
      </x:c>
    </x:row>
    <x:row r="3158">
      <x:c r="A3158" s="2" t="str">
        <x:v>241319</x:v>
      </x:c>
      <x:c r="B3158" s="2" t="str">
        <x:v>MURRAY COUNTY MEMORIAL HOSPITAL</x:v>
      </x:c>
      <x:c r="C3158" s="2" t="str">
        <x:v>SLAYTON</x:v>
      </x:c>
      <x:c r="D3158" s="2" t="str">
        <x:v>MN</x:v>
      </x:c>
      <x:c r="E3158" s="2" t="str">
        <x:v>Critical Access Hospitals</x:v>
      </x:c>
      <x:c r="F3158" s="2" t="str">
        <x:v>Government</x:v>
      </x:c>
      <x:c r="G3158" s="2" t="str">
        <x:v>Small (&lt;100 beds)</x:v>
      </x:c>
      <x:c r="H3158" s="7"/>
      <x:c r="I3158" s="7"/>
      <x:c r="J3158" s="7"/>
      <x:c r="K3158" s="8" t="n">
        <x:v>21</x:v>
      </x:c>
      <x:c r="L3158" s="8" t="n">
        <x:v>174</x:v>
      </x:c>
      <x:c r="M3158" s="9" t="n">
        <x:v>0.1346604215</x:v>
      </x:c>
      <x:c r="N3158" s="10" t="n">
        <x:v>106563.5747126437</x:v>
      </x:c>
      <x:c r="O3158" s="9" t="n">
        <x:v>-0.0403134418</x:v>
      </x:c>
      <x:c r="P3158" s="9" t="n">
        <x:v>0.3605947955</x:v>
      </x:c>
      <x:c r="Q3158" s="9" t="n">
        <x:v>0.292936803</x:v>
      </x:c>
      <x:c r="R3158" s="3" t="b">
        <x:v>0</x:v>
      </x:c>
      <x:c r="S3158" s="3" t="b">
        <x:v>0</x:v>
      </x:c>
      <x:c r="T3158" s="3" t="b">
        <x:v>0</x:v>
      </x:c>
      <x:c r="U3158" s="2" t="str">
        <x:f>IF(T3158=TRUE,"Priority review",IF(R3158=TRUE,"High cost",IF(S3158=TRUE,"Low quality","Benchmark")))</x:f>
        <x:v>Benchmark</x:v>
      </x:c>
    </x:row>
    <x:row r="3159">
      <x:c r="A3159" s="2" t="str">
        <x:v>150009</x:v>
      </x:c>
      <x:c r="B3159" s="2" t="str">
        <x:v>NORTON CLARK HOSPITAL</x:v>
      </x:c>
      <x:c r="C3159" s="2" t="str">
        <x:v>JEFFERSONVILLE</x:v>
      </x:c>
      <x:c r="D3159" s="2" t="str">
        <x:v>IN</x:v>
      </x:c>
      <x:c r="E3159" s="2" t="str">
        <x:v>Acute Care Hospitals</x:v>
      </x:c>
      <x:c r="F3159" s="2" t="str">
        <x:v>Voluntary non-profit</x:v>
      </x:c>
      <x:c r="G3159" s="2" t="str">
        <x:v>Medium (100-299 beds)</x:v>
      </x:c>
      <x:c r="H3159" s="7" t="n">
        <x:v>3</x:v>
      </x:c>
      <x:c r="I3159" s="7" t="n">
        <x:v>2</x:v>
      </x:c>
      <x:c r="J3159" s="7" t="n">
        <x:v>1.09</x:v>
      </x:c>
      <x:c r="K3159" s="8" t="n">
        <x:v>153</x:v>
      </x:c>
      <x:c r="L3159" s="8" t="n">
        <x:v>7426</x:v>
      </x:c>
      <x:c r="M3159" s="9" t="n">
        <x:v>0.6388396454</x:v>
      </x:c>
      <x:c r="N3159" s="10" t="n">
        <x:v>29522.2747104767</x:v>
      </x:c>
      <x:c r="O3159" s="9" t="n">
        <x:v>-0.2419777423</x:v>
      </x:c>
      <x:c r="P3159" s="9" t="n">
        <x:v>0.3602281989</x:v>
      </x:c>
      <x:c r="Q3159" s="9" t="n">
        <x:v>0.3023634882</x:v>
      </x:c>
      <x:c r="R3159" s="3" t="b">
        <x:v>0</x:v>
      </x:c>
      <x:c r="S3159" s="3" t="b">
        <x:v>0</x:v>
      </x:c>
      <x:c r="T3159" s="3" t="b">
        <x:v>0</x:v>
      </x:c>
      <x:c r="U3159" s="2" t="str">
        <x:f>IF(T3159=TRUE,"Priority review",IF(R3159=TRUE,"High cost",IF(S3159=TRUE,"Low quality","Benchmark")))</x:f>
        <x:v>Benchmark</x:v>
      </x:c>
    </x:row>
    <x:row r="3160">
      <x:c r="A3160" s="2" t="str">
        <x:v>054133</x:v>
      </x:c>
      <x:c r="B3160" s="2" t="str">
        <x:v>DEPT OF STATE HOSPITALS - METROPOLITAN - PSY</x:v>
      </x:c>
      <x:c r="C3160" s="2" t="str">
        <x:v>NORWALK</x:v>
      </x:c>
      <x:c r="D3160" s="2" t="str">
        <x:v>CA</x:v>
      </x:c>
      <x:c r="E3160" s="2" t="str">
        <x:v>Psychiatric</x:v>
      </x:c>
      <x:c r="F3160" s="2" t="str">
        <x:v>Government</x:v>
      </x:c>
      <x:c r="G3160" s="2" t="str">
        <x:v>Large (300+ beds)</x:v>
      </x:c>
      <x:c r="H3160" s="7"/>
      <x:c r="I3160" s="7"/>
      <x:c r="J3160" s="7"/>
      <x:c r="K3160" s="8" t="n">
        <x:v>1004</x:v>
      </x:c>
      <x:c r="L3160" s="8" t="n">
        <x:v>1220</x:v>
      </x:c>
      <x:c r="M3160" s="9" t="n">
        <x:v>0.7269797522</x:v>
      </x:c>
      <x:c r="N3160" s="10" t="n">
        <x:v>286197.4</x:v>
      </x:c>
      <x:c r="O3160" s="9"/>
      <x:c r="P3160" s="9" t="n">
        <x:v>0.36</x:v>
      </x:c>
      <x:c r="Q3160" s="9" t="n">
        <x:v>0</x:v>
      </x:c>
      <x:c r="R3160" s="3" t="b">
        <x:v>0</x:v>
      </x:c>
      <x:c r="S3160" s="3" t="b">
        <x:v>0</x:v>
      </x:c>
      <x:c r="T3160" s="3" t="b">
        <x:v>0</x:v>
      </x:c>
      <x:c r="U3160" s="2" t="str">
        <x:f>IF(T3160=TRUE,"Priority review",IF(R3160=TRUE,"High cost",IF(S3160=TRUE,"Low quality","Benchmark")))</x:f>
        <x:v>Benchmark</x:v>
      </x:c>
    </x:row>
    <x:row r="3161">
      <x:c r="A3161" s="2" t="str">
        <x:v>280128</x:v>
      </x:c>
      <x:c r="B3161" s="2" t="str">
        <x:v>CHI HEALTH NEBRASKA HEART</x:v>
      </x:c>
      <x:c r="C3161" s="2" t="str">
        <x:v>LINCOLN</x:v>
      </x:c>
      <x:c r="D3161" s="2" t="str">
        <x:v>NE</x:v>
      </x:c>
      <x:c r="E3161" s="2" t="str">
        <x:v>Acute Care Hospitals</x:v>
      </x:c>
      <x:c r="F3161" s="2" t="str">
        <x:v>Voluntary non-profit</x:v>
      </x:c>
      <x:c r="G3161" s="2" t="str">
        <x:v>Small (&lt;100 beds)</x:v>
      </x:c>
      <x:c r="H3161" s="7" t="n">
        <x:v>4</x:v>
      </x:c>
      <x:c r="I3161" s="7" t="n">
        <x:v>4</x:v>
      </x:c>
      <x:c r="J3161" s="7" t="n">
        <x:v>1</x:v>
      </x:c>
      <x:c r="K3161" s="8" t="n">
        <x:v>59</x:v>
      </x:c>
      <x:c r="L3161" s="8" t="n">
        <x:v>2008</x:v>
      </x:c>
      <x:c r="M3161" s="9" t="n">
        <x:v>0.3125145113</x:v>
      </x:c>
      <x:c r="N3161" s="10" t="n">
        <x:v>42986.8251992032</x:v>
      </x:c>
      <x:c r="O3161" s="9" t="n">
        <x:v>0.0148158021</x:v>
      </x:c>
      <x:c r="P3161" s="9" t="n">
        <x:v>0.3599640934</x:v>
      </x:c>
      <x:c r="Q3161" s="9" t="n">
        <x:v>0.3913824057</x:v>
      </x:c>
      <x:c r="R3161" s="3" t="b">
        <x:v>0</x:v>
      </x:c>
      <x:c r="S3161" s="3" t="b">
        <x:v>0</x:v>
      </x:c>
      <x:c r="T3161" s="3" t="b">
        <x:v>0</x:v>
      </x:c>
      <x:c r="U3161" s="2" t="str">
        <x:f>IF(T3161=TRUE,"Priority review",IF(R3161=TRUE,"High cost",IF(S3161=TRUE,"Low quality","Benchmark")))</x:f>
        <x:v>Benchmark</x:v>
      </x:c>
    </x:row>
    <x:row r="3162">
      <x:c r="A3162" s="2" t="str">
        <x:v>451361</x:v>
      </x:c>
      <x:c r="B3162" s="2" t="str">
        <x:v>SABINE COUNTY HOSPITAL</x:v>
      </x:c>
      <x:c r="C3162" s="2" t="str">
        <x:v>HEMPHILL</x:v>
      </x:c>
      <x:c r="D3162" s="2" t="str">
        <x:v>TX</x:v>
      </x:c>
      <x:c r="E3162" s="2" t="str">
        <x:v>Critical Access Hospitals</x:v>
      </x:c>
      <x:c r="F3162" s="2" t="str">
        <x:v>Proprietary</x:v>
      </x:c>
      <x:c r="G3162" s="2" t="str">
        <x:v>Small (&lt;100 beds)</x:v>
      </x:c>
      <x:c r="H3162" s="7"/>
      <x:c r="I3162" s="7"/>
      <x:c r="J3162" s="7"/>
      <x:c r="K3162" s="8" t="n">
        <x:v>25</x:v>
      </x:c>
      <x:c r="L3162" s="8" t="n">
        <x:v>111</x:v>
      </x:c>
      <x:c r="M3162" s="9" t="n">
        <x:v>0.0959562842</x:v>
      </x:c>
      <x:c r="N3162" s="10" t="n">
        <x:v>106351.2432432432</x:v>
      </x:c>
      <x:c r="O3162" s="9" t="n">
        <x:v>-0.1640668326</x:v>
      </x:c>
      <x:c r="P3162" s="9" t="n">
        <x:v>0.3598513011</x:v>
      </x:c>
      <x:c r="Q3162" s="9" t="n">
        <x:v>0.292936803</x:v>
      </x:c>
      <x:c r="R3162" s="3" t="b">
        <x:v>0</x:v>
      </x:c>
      <x:c r="S3162" s="3" t="b">
        <x:v>0</x:v>
      </x:c>
      <x:c r="T3162" s="3" t="b">
        <x:v>0</x:v>
      </x:c>
      <x:c r="U3162" s="2" t="str">
        <x:f>IF(T3162=TRUE,"Priority review",IF(R3162=TRUE,"High cost",IF(S3162=TRUE,"Low quality","Benchmark")))</x:f>
        <x:v>Benchmark</x:v>
      </x:c>
    </x:row>
    <x:row r="3163">
      <x:c r="A3163" s="2" t="str">
        <x:v>260096</x:v>
      </x:c>
      <x:c r="B3163" s="2" t="str">
        <x:v>NKC HEALTH</x:v>
      </x:c>
      <x:c r="C3163" s="2" t="str">
        <x:v>NORTH KANSAS CITY</x:v>
      </x:c>
      <x:c r="D3163" s="2" t="str">
        <x:v>MO</x:v>
      </x:c>
      <x:c r="E3163" s="2" t="str">
        <x:v>Acute Care Hospitals</x:v>
      </x:c>
      <x:c r="F3163" s="2" t="str">
        <x:v>Government</x:v>
      </x:c>
      <x:c r="G3163" s="2" t="str">
        <x:v>Large (300+ beds)</x:v>
      </x:c>
      <x:c r="H3163" s="7" t="n">
        <x:v>4</x:v>
      </x:c>
      <x:c r="I3163" s="7" t="n">
        <x:v>3</x:v>
      </x:c>
      <x:c r="J3163" s="7" t="n">
        <x:v>1.03</x:v>
      </x:c>
      <x:c r="K3163" s="8" t="n">
        <x:v>385</x:v>
      </x:c>
      <x:c r="L3163" s="8" t="n">
        <x:v>19711</x:v>
      </x:c>
      <x:c r="M3163" s="9" t="n">
        <x:v>0.6216687422</x:v>
      </x:c>
      <x:c r="N3163" s="10" t="n">
        <x:v>33217.4109380549</x:v>
      </x:c>
      <x:c r="O3163" s="9" t="n">
        <x:v>0.0588449479</x:v>
      </x:c>
      <x:c r="P3163" s="9" t="n">
        <x:v>0.3596214511</x:v>
      </x:c>
      <x:c r="Q3163" s="9" t="n">
        <x:v>0.5899053628</x:v>
      </x:c>
      <x:c r="R3163" s="3" t="b">
        <x:v>0</x:v>
      </x:c>
      <x:c r="S3163" s="3" t="b">
        <x:v>0</x:v>
      </x:c>
      <x:c r="T3163" s="3" t="b">
        <x:v>0</x:v>
      </x:c>
      <x:c r="U3163" s="2" t="str">
        <x:f>IF(T3163=TRUE,"Priority review",IF(R3163=TRUE,"High cost",IF(S3163=TRUE,"Low quality","Benchmark")))</x:f>
        <x:v>Benchmark</x:v>
      </x:c>
    </x:row>
    <x:row r="3164">
      <x:c r="A3164" s="2" t="str">
        <x:v>450424</x:v>
      </x:c>
      <x:c r="B3164" s="2" t="str">
        <x:v>HOUSTON METHODIST BAYTOWN HOSPITAL</x:v>
      </x:c>
      <x:c r="C3164" s="2" t="str">
        <x:v>BAYTOWN</x:v>
      </x:c>
      <x:c r="D3164" s="2" t="str">
        <x:v>TX</x:v>
      </x:c>
      <x:c r="E3164" s="2" t="str">
        <x:v>Acute Care Hospitals</x:v>
      </x:c>
      <x:c r="F3164" s="2" t="str">
        <x:v>Voluntary non-profit</x:v>
      </x:c>
      <x:c r="G3164" s="2" t="str">
        <x:v>Medium (100-299 beds)</x:v>
      </x:c>
      <x:c r="H3164" s="7" t="n">
        <x:v>5</x:v>
      </x:c>
      <x:c r="I3164" s="7" t="n">
        <x:v>4</x:v>
      </x:c>
      <x:c r="J3164" s="7" t="n">
        <x:v>1.02</x:v>
      </x:c>
      <x:c r="K3164" s="8" t="n">
        <x:v>254</x:v>
      </x:c>
      <x:c r="L3164" s="8" t="n">
        <x:v>15461</x:v>
      </x:c>
      <x:c r="M3164" s="9" t="n">
        <x:v>0.6797135666</x:v>
      </x:c>
      <x:c r="N3164" s="10" t="n">
        <x:v>29423.6922579393</x:v>
      </x:c>
      <x:c r="O3164" s="9" t="n">
        <x:v>0.0817161025</x:v>
      </x:c>
      <x:c r="P3164" s="9" t="n">
        <x:v>0.3594132029</x:v>
      </x:c>
      <x:c r="Q3164" s="9" t="n">
        <x:v>0.8744906275</x:v>
      </x:c>
      <x:c r="R3164" s="3" t="b">
        <x:v>0</x:v>
      </x:c>
      <x:c r="S3164" s="3" t="b">
        <x:v>0</x:v>
      </x:c>
      <x:c r="T3164" s="3" t="b">
        <x:v>0</x:v>
      </x:c>
      <x:c r="U3164" s="2" t="str">
        <x:f>IF(T3164=TRUE,"Priority review",IF(R3164=TRUE,"High cost",IF(S3164=TRUE,"Low quality","Benchmark")))</x:f>
        <x:v>Benchmark</x:v>
      </x:c>
    </x:row>
    <x:row r="3165">
      <x:c r="A3165" s="2" t="str">
        <x:v>444032</x:v>
      </x:c>
      <x:c r="B3165" s="2" t="str">
        <x:v>EAST TENNESSEE BEHAVIORAL HEALTH</x:v>
      </x:c>
      <x:c r="C3165" s="2" t="str">
        <x:v>KNOXVILLE</x:v>
      </x:c>
      <x:c r="D3165" s="2" t="str">
        <x:v>TN</x:v>
      </x:c>
      <x:c r="E3165" s="2" t="str">
        <x:v>Psychiatric</x:v>
      </x:c>
      <x:c r="F3165" s="2" t="str">
        <x:v>Proprietary</x:v>
      </x:c>
      <x:c r="G3165" s="2" t="str">
        <x:v>Small (&lt;100 beds)</x:v>
      </x:c>
      <x:c r="H3165" s="7"/>
      <x:c r="I3165" s="7"/>
      <x:c r="J3165" s="7"/>
      <x:c r="K3165" s="8" t="n">
        <x:v>90</x:v>
      </x:c>
      <x:c r="L3165" s="8" t="n">
        <x:v>2623</x:v>
      </x:c>
      <x:c r="M3165" s="9" t="n">
        <x:v>0.5872146119</x:v>
      </x:c>
      <x:c r="N3165" s="10" t="n">
        <x:v>9552.5421273351</x:v>
      </x:c>
      <x:c r="O3165" s="9" t="n">
        <x:v>0.1135161492</x:v>
      </x:c>
      <x:c r="P3165" s="9" t="n">
        <x:v>0.359223301</x:v>
      </x:c>
      <x:c r="Q3165" s="9" t="n">
        <x:v>0</x:v>
      </x:c>
      <x:c r="R3165" s="3" t="b">
        <x:v>0</x:v>
      </x:c>
      <x:c r="S3165" s="3" t="b">
        <x:v>0</x:v>
      </x:c>
      <x:c r="T3165" s="3" t="b">
        <x:v>0</x:v>
      </x:c>
      <x:c r="U3165" s="2" t="str">
        <x:f>IF(T3165=TRUE,"Priority review",IF(R3165=TRUE,"High cost",IF(S3165=TRUE,"Low quality","Benchmark")))</x:f>
        <x:v>Benchmark</x:v>
      </x:c>
    </x:row>
    <x:row r="3166">
      <x:c r="A3166" s="2" t="str">
        <x:v>171354</x:v>
      </x:c>
      <x:c r="B3166" s="2" t="str">
        <x:v>COMMUNITY HOSPITAL, ONAGA AND ST MARYS CAMPUS</x:v>
      </x:c>
      <x:c r="C3166" s="2" t="str">
        <x:v>ONAGA</x:v>
      </x:c>
      <x:c r="D3166" s="2" t="str">
        <x:v>KS</x:v>
      </x:c>
      <x:c r="E3166" s="2" t="str">
        <x:v>Critical Access Hospitals</x:v>
      </x:c>
      <x:c r="F3166" s="2" t="str">
        <x:v>Government</x:v>
      </x:c>
      <x:c r="G3166" s="2" t="str">
        <x:v>Small (&lt;100 beds)</x:v>
      </x:c>
      <x:c r="H3166" s="7"/>
      <x:c r="I3166" s="7"/>
      <x:c r="J3166" s="7"/>
      <x:c r="K3166" s="8" t="n">
        <x:v>25</x:v>
      </x:c>
      <x:c r="L3166" s="8" t="n">
        <x:v>397</x:v>
      </x:c>
      <x:c r="M3166" s="9" t="n">
        <x:v>0.2494246575</x:v>
      </x:c>
      <x:c r="N3166" s="10" t="n">
        <x:v>106130.2065491184</x:v>
      </x:c>
      <x:c r="O3166" s="9" t="n">
        <x:v>-0.1564576434</x:v>
      </x:c>
      <x:c r="P3166" s="9" t="n">
        <x:v>0.3591078067</x:v>
      </x:c>
      <x:c r="Q3166" s="9" t="n">
        <x:v>0.292936803</x:v>
      </x:c>
      <x:c r="R3166" s="3" t="b">
        <x:v>0</x:v>
      </x:c>
      <x:c r="S3166" s="3" t="b">
        <x:v>0</x:v>
      </x:c>
      <x:c r="T3166" s="3" t="b">
        <x:v>0</x:v>
      </x:c>
      <x:c r="U3166" s="2" t="str">
        <x:f>IF(T3166=TRUE,"Priority review",IF(R3166=TRUE,"High cost",IF(S3166=TRUE,"Low quality","Benchmark")))</x:f>
        <x:v>Benchmark</x:v>
      </x:c>
    </x:row>
    <x:row r="3167">
      <x:c r="A3167" s="2" t="str">
        <x:v>500154</x:v>
      </x:c>
      <x:c r="B3167" s="2" t="str">
        <x:v>MULTICARE COVINGTON MEDICAL CENTER</x:v>
      </x:c>
      <x:c r="C3167" s="2" t="str">
        <x:v>COVINGTON</x:v>
      </x:c>
      <x:c r="D3167" s="2" t="str">
        <x:v>WA</x:v>
      </x:c>
      <x:c r="E3167" s="2" t="str">
        <x:v>Acute Care Hospitals</x:v>
      </x:c>
      <x:c r="F3167" s="2" t="str">
        <x:v>Voluntary non-profit</x:v>
      </x:c>
      <x:c r="G3167" s="2" t="str">
        <x:v>Small (&lt;100 beds)</x:v>
      </x:c>
      <x:c r="H3167" s="7" t="n">
        <x:v>3</x:v>
      </x:c>
      <x:c r="I3167" s="7" t="n">
        <x:v>3</x:v>
      </x:c>
      <x:c r="J3167" s="7" t="n">
        <x:v>0.87</x:v>
      </x:c>
      <x:c r="K3167" s="8" t="n">
        <x:v>48</x:v>
      </x:c>
      <x:c r="L3167" s="8" t="n">
        <x:v>2588</x:v>
      </x:c>
      <x:c r="M3167" s="9" t="n">
        <x:v>0.5572062842</x:v>
      </x:c>
      <x:c r="N3167" s="10" t="n">
        <x:v>42935.1734930448</x:v>
      </x:c>
      <x:c r="O3167" s="9" t="n">
        <x:v>0.0329407638</x:v>
      </x:c>
      <x:c r="P3167" s="9" t="n">
        <x:v>0.3590664273</x:v>
      </x:c>
      <x:c r="Q3167" s="9" t="n">
        <x:v>0.1687612208</x:v>
      </x:c>
      <x:c r="R3167" s="3" t="b">
        <x:v>0</x:v>
      </x:c>
      <x:c r="S3167" s="3" t="b">
        <x:v>0</x:v>
      </x:c>
      <x:c r="T3167" s="3" t="b">
        <x:v>0</x:v>
      </x:c>
      <x:c r="U3167" s="2" t="str">
        <x:f>IF(T3167=TRUE,"Priority review",IF(R3167=TRUE,"High cost",IF(S3167=TRUE,"Low quality","Benchmark")))</x:f>
        <x:v>Benchmark</x:v>
      </x:c>
    </x:row>
    <x:row r="3168">
      <x:c r="A3168" s="2" t="str">
        <x:v>390211</x:v>
      </x:c>
      <x:c r="B3168" s="2" t="str">
        <x:v>SHARON REGIONAL MEDICAL CENTER</x:v>
      </x:c>
      <x:c r="C3168" s="2" t="str">
        <x:v>SHARON</x:v>
      </x:c>
      <x:c r="D3168" s="2" t="str">
        <x:v>PA</x:v>
      </x:c>
      <x:c r="E3168" s="2" t="str">
        <x:v>Acute Care Hospitals</x:v>
      </x:c>
      <x:c r="F3168" s="2" t="str">
        <x:v>Proprietary</x:v>
      </x:c>
      <x:c r="G3168" s="2" t="str">
        <x:v>Medium (100-299 beds)</x:v>
      </x:c>
      <x:c r="H3168" s="7" t="n">
        <x:v>3</x:v>
      </x:c>
      <x:c r="I3168" s="7"/>
      <x:c r="J3168" s="7" t="n">
        <x:v>0.96</x:v>
      </x:c>
      <x:c r="K3168" s="8" t="n">
        <x:v>141</x:v>
      </x:c>
      <x:c r="L3168" s="8" t="n">
        <x:v>1850</x:v>
      </x:c>
      <x:c r="M3168" s="9" t="n">
        <x:v>0.2999930469</x:v>
      </x:c>
      <x:c r="N3168" s="10" t="n">
        <x:v>29416.4962162162</x:v>
      </x:c>
      <x:c r="O3168" s="9" t="n">
        <x:v>-1.4761208355</x:v>
      </x:c>
      <x:c r="P3168" s="9" t="n">
        <x:v>0.358598207</x:v>
      </x:c>
      <x:c r="Q3168" s="9" t="n">
        <x:v>0.3023634882</x:v>
      </x:c>
      <x:c r="R3168" s="3" t="b">
        <x:v>0</x:v>
      </x:c>
      <x:c r="S3168" s="3" t="b">
        <x:v>0</x:v>
      </x:c>
      <x:c r="T3168" s="3" t="b">
        <x:v>0</x:v>
      </x:c>
      <x:c r="U3168" s="2" t="str">
        <x:f>IF(T3168=TRUE,"Priority review",IF(R3168=TRUE,"High cost",IF(S3168=TRUE,"Low quality","Benchmark")))</x:f>
        <x:v>Benchmark</x:v>
      </x:c>
    </x:row>
    <x:row r="3169">
      <x:c r="A3169" s="2" t="str">
        <x:v>171369</x:v>
      </x:c>
      <x:c r="B3169" s="2" t="str">
        <x:v>HODGEMAN COUNTY HEALTH CENTER</x:v>
      </x:c>
      <x:c r="C3169" s="2" t="str">
        <x:v>JETMORE</x:v>
      </x:c>
      <x:c r="D3169" s="2" t="str">
        <x:v>KS</x:v>
      </x:c>
      <x:c r="E3169" s="2" t="str">
        <x:v>Critical Access Hospitals</x:v>
      </x:c>
      <x:c r="F3169" s="2" t="str">
        <x:v>Government</x:v>
      </x:c>
      <x:c r="G3169" s="2" t="str">
        <x:v>Small (&lt;100 beds)</x:v>
      </x:c>
      <x:c r="H3169" s="7"/>
      <x:c r="I3169" s="7"/>
      <x:c r="J3169" s="7"/>
      <x:c r="K3169" s="8" t="n">
        <x:v>25</x:v>
      </x:c>
      <x:c r="L3169" s="8" t="n">
        <x:v>122</x:v>
      </x:c>
      <x:c r="M3169" s="9" t="n">
        <x:v>0.7696174863</x:v>
      </x:c>
      <x:c r="N3169" s="10" t="n">
        <x:v>105779.2049180328</x:v>
      </x:c>
      <x:c r="O3169" s="9" t="n">
        <x:v>-0.1223867889</x:v>
      </x:c>
      <x:c r="P3169" s="9" t="n">
        <x:v>0.3583643123</x:v>
      </x:c>
      <x:c r="Q3169" s="9" t="n">
        <x:v>0.292936803</x:v>
      </x:c>
      <x:c r="R3169" s="3" t="b">
        <x:v>0</x:v>
      </x:c>
      <x:c r="S3169" s="3" t="b">
        <x:v>0</x:v>
      </x:c>
      <x:c r="T3169" s="3" t="b">
        <x:v>0</x:v>
      </x:c>
      <x:c r="U3169" s="2" t="str">
        <x:f>IF(T3169=TRUE,"Priority review",IF(R3169=TRUE,"High cost",IF(S3169=TRUE,"Low quality","Benchmark")))</x:f>
        <x:v>Benchmark</x:v>
      </x:c>
    </x:row>
    <x:row r="3170">
      <x:c r="A3170" s="2" t="str">
        <x:v>294013</x:v>
      </x:c>
      <x:c r="B3170" s="2" t="str">
        <x:v>DESERT PARKWAY BEHAVIORAL HEALTHCARE HOSPITAL, LLC</x:v>
      </x:c>
      <x:c r="C3170" s="2" t="str">
        <x:v>LAS VEGAS</x:v>
      </x:c>
      <x:c r="D3170" s="2" t="str">
        <x:v>NV</x:v>
      </x:c>
      <x:c r="E3170" s="2" t="str">
        <x:v>Psychiatric</x:v>
      </x:c>
      <x:c r="F3170" s="2" t="str">
        <x:v>Proprietary</x:v>
      </x:c>
      <x:c r="G3170" s="2" t="str">
        <x:v>Medium (100-299 beds)</x:v>
      </x:c>
      <x:c r="H3170" s="7"/>
      <x:c r="I3170" s="7"/>
      <x:c r="J3170" s="7"/>
      <x:c r="K3170" s="8" t="n">
        <x:v>152</x:v>
      </x:c>
      <x:c r="L3170" s="8" t="n">
        <x:v>6031</x:v>
      </x:c>
      <x:c r="M3170" s="9" t="n">
        <x:v>0.7011252517</x:v>
      </x:c>
      <x:c r="N3170" s="10" t="n">
        <x:v>8483.9776156525</x:v>
      </x:c>
      <x:c r="O3170" s="9" t="n">
        <x:v>-0.3434016028</x:v>
      </x:c>
      <x:c r="P3170" s="9" t="n">
        <x:v>0.3582089552</x:v>
      </x:c>
      <x:c r="Q3170" s="9" t="n">
        <x:v>0</x:v>
      </x:c>
      <x:c r="R3170" s="3" t="b">
        <x:v>0</x:v>
      </x:c>
      <x:c r="S3170" s="3" t="b">
        <x:v>0</x:v>
      </x:c>
      <x:c r="T3170" s="3" t="b">
        <x:v>0</x:v>
      </x:c>
      <x:c r="U3170" s="2" t="str">
        <x:f>IF(T3170=TRUE,"Priority review",IF(R3170=TRUE,"High cost",IF(S3170=TRUE,"Low quality","Benchmark")))</x:f>
        <x:v>Benchmark</x:v>
      </x:c>
    </x:row>
    <x:row r="3171">
      <x:c r="A3171" s="2" t="str">
        <x:v>190308</x:v>
      </x:c>
      <x:c r="B3171" s="2" t="str">
        <x:v>ST BERNARD PARISH HOSPITAL</x:v>
      </x:c>
      <x:c r="C3171" s="2" t="str">
        <x:v>CHALMETTE</x:v>
      </x:c>
      <x:c r="D3171" s="2" t="str">
        <x:v>LA</x:v>
      </x:c>
      <x:c r="E3171" s="2" t="str">
        <x:v>Acute Care Hospitals</x:v>
      </x:c>
      <x:c r="F3171" s="2" t="str">
        <x:v>Government</x:v>
      </x:c>
      <x:c r="G3171" s="2" t="str">
        <x:v>Small (&lt;100 beds)</x:v>
      </x:c>
      <x:c r="H3171" s="7" t="n">
        <x:v>4</x:v>
      </x:c>
      <x:c r="I3171" s="7" t="n">
        <x:v>4</x:v>
      </x:c>
      <x:c r="J3171" s="7" t="n">
        <x:v>0.81</x:v>
      </x:c>
      <x:c r="K3171" s="8" t="n">
        <x:v>40</x:v>
      </x:c>
      <x:c r="L3171" s="8" t="n">
        <x:v>1375</x:v>
      </x:c>
      <x:c r="M3171" s="9" t="n">
        <x:v>0.2578551913</x:v>
      </x:c>
      <x:c r="N3171" s="10" t="n">
        <x:v>42875.9316363636</x:v>
      </x:c>
      <x:c r="O3171" s="9" t="n">
        <x:v>-0.4772670602</x:v>
      </x:c>
      <x:c r="P3171" s="9" t="n">
        <x:v>0.3581687612</x:v>
      </x:c>
      <x:c r="Q3171" s="9" t="n">
        <x:v>0.3913824057</x:v>
      </x:c>
      <x:c r="R3171" s="3" t="b">
        <x:v>0</x:v>
      </x:c>
      <x:c r="S3171" s="3" t="b">
        <x:v>0</x:v>
      </x:c>
      <x:c r="T3171" s="3" t="b">
        <x:v>0</x:v>
      </x:c>
      <x:c r="U3171" s="2" t="str">
        <x:f>IF(T3171=TRUE,"Priority review",IF(R3171=TRUE,"High cost",IF(S3171=TRUE,"Low quality","Benchmark")))</x:f>
        <x:v>Benchmark</x:v>
      </x:c>
    </x:row>
    <x:row r="3172">
      <x:c r="A3172" s="2" t="str">
        <x:v>260104</x:v>
      </x:c>
      <x:c r="B3172" s="2" t="str">
        <x:v>SSM HEALTH DEPAUL HOSPITAL ST LOUIS</x:v>
      </x:c>
      <x:c r="C3172" s="2" t="str">
        <x:v>BRIDGETON</x:v>
      </x:c>
      <x:c r="D3172" s="2" t="str">
        <x:v>MO</x:v>
      </x:c>
      <x:c r="E3172" s="2" t="str">
        <x:v>Acute Care Hospitals</x:v>
      </x:c>
      <x:c r="F3172" s="2" t="str">
        <x:v>Voluntary non-profit</x:v>
      </x:c>
      <x:c r="G3172" s="2" t="str">
        <x:v>Large (300+ beds)</x:v>
      </x:c>
      <x:c r="H3172" s="7" t="n">
        <x:v>4</x:v>
      </x:c>
      <x:c r="I3172" s="7" t="n">
        <x:v>2</x:v>
      </x:c>
      <x:c r="J3172" s="7" t="n">
        <x:v>1.08</x:v>
      </x:c>
      <x:c r="K3172" s="8" t="n">
        <x:v>463</x:v>
      </x:c>
      <x:c r="L3172" s="8" t="n">
        <x:v>18303</x:v>
      </x:c>
      <x:c r="M3172" s="9" t="n">
        <x:v>0.5823330855</x:v>
      </x:c>
      <x:c r="N3172" s="10" t="n">
        <x:v>33121.4951647271</x:v>
      </x:c>
      <x:c r="O3172" s="9" t="n">
        <x:v>-0.0834007249</x:v>
      </x:c>
      <x:c r="P3172" s="9" t="n">
        <x:v>0.358044164</x:v>
      </x:c>
      <x:c r="Q3172" s="9" t="n">
        <x:v>0.5899053628</x:v>
      </x:c>
      <x:c r="R3172" s="3" t="b">
        <x:v>0</x:v>
      </x:c>
      <x:c r="S3172" s="3" t="b">
        <x:v>0</x:v>
      </x:c>
      <x:c r="T3172" s="3" t="b">
        <x:v>0</x:v>
      </x:c>
      <x:c r="U3172" s="2" t="str">
        <x:f>IF(T3172=TRUE,"Priority review",IF(R3172=TRUE,"High cost",IF(S3172=TRUE,"Low quality","Benchmark")))</x:f>
        <x:v>Benchmark</x:v>
      </x:c>
    </x:row>
    <x:row r="3173">
      <x:c r="A3173" s="2" t="str">
        <x:v>140187</x:v>
      </x:c>
      <x:c r="B3173" s="2" t="str">
        <x:v>HSHS ST ELIZABETH'S HOSPITAL</x:v>
      </x:c>
      <x:c r="C3173" s="2" t="str">
        <x:v>O FALLON</x:v>
      </x:c>
      <x:c r="D3173" s="2" t="str">
        <x:v>IL</x:v>
      </x:c>
      <x:c r="E3173" s="2" t="str">
        <x:v>Acute Care Hospitals</x:v>
      </x:c>
      <x:c r="F3173" s="2" t="str">
        <x:v>Voluntary non-profit</x:v>
      </x:c>
      <x:c r="G3173" s="2" t="str">
        <x:v>Medium (100-299 beds)</x:v>
      </x:c>
      <x:c r="H3173" s="7" t="n">
        <x:v>4</x:v>
      </x:c>
      <x:c r="I3173" s="7" t="n">
        <x:v>4</x:v>
      </x:c>
      <x:c r="J3173" s="7" t="n">
        <x:v>1</x:v>
      </x:c>
      <x:c r="K3173" s="8" t="n">
        <x:v>144</x:v>
      </x:c>
      <x:c r="L3173" s="8" t="n">
        <x:v>10719</x:v>
      </x:c>
      <x:c r="M3173" s="9" t="n">
        <x:v>0.8575532725</x:v>
      </x:c>
      <x:c r="N3173" s="10" t="n">
        <x:v>29409.7228286221</x:v>
      </x:c>
      <x:c r="O3173" s="9" t="n">
        <x:v>0.0644635419</x:v>
      </x:c>
      <x:c r="P3173" s="9" t="n">
        <x:v>0.3577832111</x:v>
      </x:c>
      <x:c r="Q3173" s="9" t="n">
        <x:v>0.6022819886</x:v>
      </x:c>
      <x:c r="R3173" s="3" t="b">
        <x:v>0</x:v>
      </x:c>
      <x:c r="S3173" s="3" t="b">
        <x:v>0</x:v>
      </x:c>
      <x:c r="T3173" s="3" t="b">
        <x:v>0</x:v>
      </x:c>
      <x:c r="U3173" s="2" t="str">
        <x:f>IF(T3173=TRUE,"Priority review",IF(R3173=TRUE,"High cost",IF(S3173=TRUE,"Low quality","Benchmark")))</x:f>
        <x:v>Benchmark</x:v>
      </x:c>
    </x:row>
    <x:row r="3174">
      <x:c r="A3174" s="2" t="str">
        <x:v>241333</x:v>
      </x:c>
      <x:c r="B3174" s="2" t="str">
        <x:v>MAYO CLINIC HEALTH SYSTEM ST. JAMES</x:v>
      </x:c>
      <x:c r="C3174" s="2" t="str">
        <x:v>ST JAMES</x:v>
      </x:c>
      <x:c r="D3174" s="2" t="str">
        <x:v>MN</x:v>
      </x:c>
      <x:c r="E3174" s="2" t="str">
        <x:v>Critical Access Hospitals</x:v>
      </x:c>
      <x:c r="F3174" s="2" t="str">
        <x:v>Voluntary non-profit</x:v>
      </x:c>
      <x:c r="G3174" s="2" t="str">
        <x:v>Small (&lt;100 beds)</x:v>
      </x:c>
      <x:c r="H3174" s="7"/>
      <x:c r="I3174" s="7" t="n">
        <x:v>4</x:v>
      </x:c>
      <x:c r="J3174" s="7"/>
      <x:c r="K3174" s="8" t="n">
        <x:v>25</x:v>
      </x:c>
      <x:c r="L3174" s="8" t="n">
        <x:v>249</x:v>
      </x:c>
      <x:c r="M3174" s="9" t="n">
        <x:v>0.4212021858</x:v>
      </x:c>
      <x:c r="N3174" s="10" t="n">
        <x:v>105636.4899598394</x:v>
      </x:c>
      <x:c r="O3174" s="9" t="n">
        <x:v>0.0706405099</x:v>
      </x:c>
      <x:c r="P3174" s="9" t="n">
        <x:v>0.3576208178</x:v>
      </x:c>
      <x:c r="Q3174" s="9" t="n">
        <x:v>0.292936803</x:v>
      </x:c>
      <x:c r="R3174" s="3" t="b">
        <x:v>0</x:v>
      </x:c>
      <x:c r="S3174" s="3" t="b">
        <x:v>0</x:v>
      </x:c>
      <x:c r="T3174" s="3" t="b">
        <x:v>0</x:v>
      </x:c>
      <x:c r="U3174" s="2" t="str">
        <x:f>IF(T3174=TRUE,"Priority review",IF(R3174=TRUE,"High cost",IF(S3174=TRUE,"Low quality","Benchmark")))</x:f>
        <x:v>Benchmark</x:v>
      </x:c>
    </x:row>
    <x:row r="3175">
      <x:c r="A3175" s="2" t="str">
        <x:v>320086</x:v>
      </x:c>
      <x:c r="B3175" s="2" t="str">
        <x:v>LOVELACE REGIONAL HOSPITAL - ROSWELL</x:v>
      </x:c>
      <x:c r="C3175" s="2" t="str">
        <x:v>ROSWELL</x:v>
      </x:c>
      <x:c r="D3175" s="2" t="str">
        <x:v>NM</x:v>
      </x:c>
      <x:c r="E3175" s="2" t="str">
        <x:v>Acute Care Hospitals</x:v>
      </x:c>
      <x:c r="F3175" s="2" t="str">
        <x:v>Proprietary</x:v>
      </x:c>
      <x:c r="G3175" s="2" t="str">
        <x:v>Small (&lt;100 beds)</x:v>
      </x:c>
      <x:c r="H3175" s="7" t="n">
        <x:v>2</x:v>
      </x:c>
      <x:c r="I3175" s="7" t="n">
        <x:v>3</x:v>
      </x:c>
      <x:c r="J3175" s="7" t="n">
        <x:v>0.9</x:v>
      </x:c>
      <x:c r="K3175" s="8" t="n">
        <x:v>27</x:v>
      </x:c>
      <x:c r="L3175" s="8" t="n">
        <x:v>1162</x:v>
      </x:c>
      <x:c r="M3175" s="9" t="n">
        <x:v>0.372191864</x:v>
      </x:c>
      <x:c r="N3175" s="10" t="n">
        <x:v>42772.6574870912</x:v>
      </x:c>
      <x:c r="O3175" s="9" t="n">
        <x:v>0.0897747926</x:v>
      </x:c>
      <x:c r="P3175" s="9" t="n">
        <x:v>0.3572710952</x:v>
      </x:c>
      <x:c r="Q3175" s="9" t="n">
        <x:v>0.0350089767</x:v>
      </x:c>
      <x:c r="R3175" s="3" t="b">
        <x:v>0</x:v>
      </x:c>
      <x:c r="S3175" s="3" t="b">
        <x:v>1</x:v>
      </x:c>
      <x:c r="T3175" s="3" t="b">
        <x:v>0</x:v>
      </x:c>
      <x:c r="U3175" s="2" t="str">
        <x:f>IF(T3175=TRUE,"Priority review",IF(R3175=TRUE,"High cost",IF(S3175=TRUE,"Low quality","Benchmark")))</x:f>
        <x:v>Low quality</x:v>
      </x:c>
    </x:row>
    <x:row r="3176">
      <x:c r="A3176" s="2" t="str">
        <x:v>453317</x:v>
      </x:c>
      <x:c r="B3176" s="2" t="str">
        <x:v>COOK CHILDRENS MEDICAL CENTER PROSPER</x:v>
      </x:c>
      <x:c r="C3176" s="2" t="str">
        <x:v>PROSPER</x:v>
      </x:c>
      <x:c r="D3176" s="2" t="str">
        <x:v>TX</x:v>
      </x:c>
      <x:c r="E3176" s="2" t="str">
        <x:v>Childrens</x:v>
      </x:c>
      <x:c r="F3176" s="2" t="str">
        <x:v>Voluntary non-profit</x:v>
      </x:c>
      <x:c r="G3176" s="2" t="str">
        <x:v>Small (&lt;100 beds)</x:v>
      </x:c>
      <x:c r="H3176" s="7"/>
      <x:c r="I3176" s="7"/>
      <x:c r="J3176" s="7"/>
      <x:c r="K3176" s="8" t="n">
        <x:v>34</x:v>
      </x:c>
      <x:c r="L3176" s="8" t="n">
        <x:v>1074</x:v>
      </x:c>
      <x:c r="M3176" s="9" t="n">
        <x:v>0.3051542714</x:v>
      </x:c>
      <x:c r="N3176" s="10" t="n">
        <x:v>120517.2560521415</x:v>
      </x:c>
      <x:c r="O3176" s="9" t="n">
        <x:v>-0.3346142491</x:v>
      </x:c>
      <x:c r="P3176" s="9" t="n">
        <x:v>0.3571428571</x:v>
      </x:c>
      <x:c r="Q3176" s="9" t="n">
        <x:v>0</x:v>
      </x:c>
      <x:c r="R3176" s="3" t="b">
        <x:v>0</x:v>
      </x:c>
      <x:c r="S3176" s="3" t="b">
        <x:v>0</x:v>
      </x:c>
      <x:c r="T3176" s="3" t="b">
        <x:v>0</x:v>
      </x:c>
      <x:c r="U3176" s="2" t="str">
        <x:f>IF(T3176=TRUE,"Priority review",IF(R3176=TRUE,"High cost",IF(S3176=TRUE,"Low quality","Benchmark")))</x:f>
        <x:v>Benchmark</x:v>
      </x:c>
    </x:row>
    <x:row r="3177">
      <x:c r="A3177" s="2" t="str">
        <x:v>140162</x:v>
      </x:c>
      <x:c r="B3177" s="2" t="str">
        <x:v>ST JOSEPH MEDICAL CENTER</x:v>
      </x:c>
      <x:c r="C3177" s="2" t="str">
        <x:v>BLOOMINGTON</x:v>
      </x:c>
      <x:c r="D3177" s="2" t="str">
        <x:v>IL</x:v>
      </x:c>
      <x:c r="E3177" s="2" t="str">
        <x:v>Acute Care Hospitals</x:v>
      </x:c>
      <x:c r="F3177" s="2" t="str">
        <x:v>Voluntary non-profit</x:v>
      </x:c>
      <x:c r="G3177" s="2" t="str">
        <x:v>Medium (100-299 beds)</x:v>
      </x:c>
      <x:c r="H3177" s="7" t="n">
        <x:v>2</x:v>
      </x:c>
      <x:c r="I3177" s="7" t="n">
        <x:v>3</x:v>
      </x:c>
      <x:c r="J3177" s="7" t="n">
        <x:v>0.96</x:v>
      </x:c>
      <x:c r="K3177" s="8" t="n">
        <x:v>124</x:v>
      </x:c>
      <x:c r="L3177" s="8" t="n">
        <x:v>7440</x:v>
      </x:c>
      <x:c r="M3177" s="9" t="n">
        <x:v>0.7632425524</x:v>
      </x:c>
      <x:c r="N3177" s="10" t="n">
        <x:v>29349.725672043</x:v>
      </x:c>
      <x:c r="O3177" s="9" t="n">
        <x:v>0.1772848757</x:v>
      </x:c>
      <x:c r="P3177" s="9" t="n">
        <x:v>0.3569682152</x:v>
      </x:c>
      <x:c r="Q3177" s="9" t="n">
        <x:v>0.0782396088</x:v>
      </x:c>
      <x:c r="R3177" s="3" t="b">
        <x:v>0</x:v>
      </x:c>
      <x:c r="S3177" s="3" t="b">
        <x:v>1</x:v>
      </x:c>
      <x:c r="T3177" s="3" t="b">
        <x:v>0</x:v>
      </x:c>
      <x:c r="U3177" s="2" t="str">
        <x:f>IF(T3177=TRUE,"Priority review",IF(R3177=TRUE,"High cost",IF(S3177=TRUE,"Low quality","Benchmark")))</x:f>
        <x:v>Low quality</x:v>
      </x:c>
    </x:row>
    <x:row r="3178">
      <x:c r="A3178" s="2" t="str">
        <x:v>161361</x:v>
      </x:c>
      <x:c r="B3178" s="2" t="str">
        <x:v>VAN DIEST MEDICAL CENTER</x:v>
      </x:c>
      <x:c r="C3178" s="2" t="str">
        <x:v>WEBSTER CITY</x:v>
      </x:c>
      <x:c r="D3178" s="2" t="str">
        <x:v>IA</x:v>
      </x:c>
      <x:c r="E3178" s="2" t="str">
        <x:v>Critical Access Hospitals</x:v>
      </x:c>
      <x:c r="F3178" s="2" t="str">
        <x:v>Voluntary non-profit</x:v>
      </x:c>
      <x:c r="G3178" s="2" t="str">
        <x:v>Small (&lt;100 beds)</x:v>
      </x:c>
      <x:c r="H3178" s="7" t="n">
        <x:v>5</x:v>
      </x:c>
      <x:c r="I3178" s="7" t="n">
        <x:v>5</x:v>
      </x:c>
      <x:c r="J3178" s="7"/>
      <x:c r="K3178" s="8" t="n">
        <x:v>25</x:v>
      </x:c>
      <x:c r="L3178" s="8" t="n">
        <x:v>449</x:v>
      </x:c>
      <x:c r="M3178" s="9" t="n">
        <x:v>0.4007671233</x:v>
      </x:c>
      <x:c r="N3178" s="10" t="n">
        <x:v>105541.4120267261</x:v>
      </x:c>
      <x:c r="O3178" s="9" t="n">
        <x:v>0.0192399377</x:v>
      </x:c>
      <x:c r="P3178" s="9" t="n">
        <x:v>0.3568773234</x:v>
      </x:c>
      <x:c r="Q3178" s="9" t="n">
        <x:v>0.2602230483</x:v>
      </x:c>
      <x:c r="R3178" s="3" t="b">
        <x:v>0</x:v>
      </x:c>
      <x:c r="S3178" s="3" t="b">
        <x:v>0</x:v>
      </x:c>
      <x:c r="T3178" s="3" t="b">
        <x:v>0</x:v>
      </x:c>
      <x:c r="U3178" s="2" t="str">
        <x:f>IF(T3178=TRUE,"Priority review",IF(R3178=TRUE,"High cost",IF(S3178=TRUE,"Low quality","Benchmark")))</x:f>
        <x:v>Benchmark</x:v>
      </x:c>
    </x:row>
    <x:row r="3179">
      <x:c r="A3179" s="2" t="str">
        <x:v>280040</x:v>
      </x:c>
      <x:c r="B3179" s="2" t="str">
        <x:v>THE NEBRASKA METHODIST HOSPITAL</x:v>
      </x:c>
      <x:c r="C3179" s="2" t="str">
        <x:v>OMAHA</x:v>
      </x:c>
      <x:c r="D3179" s="2" t="str">
        <x:v>NE</x:v>
      </x:c>
      <x:c r="E3179" s="2" t="str">
        <x:v>Acute Care Hospitals</x:v>
      </x:c>
      <x:c r="F3179" s="2" t="str">
        <x:v>Voluntary non-profit</x:v>
      </x:c>
      <x:c r="G3179" s="2" t="str">
        <x:v>Large (300+ beds)</x:v>
      </x:c>
      <x:c r="H3179" s="7" t="n">
        <x:v>4</x:v>
      </x:c>
      <x:c r="I3179" s="7" t="n">
        <x:v>4</x:v>
      </x:c>
      <x:c r="J3179" s="7" t="n">
        <x:v>0.98</x:v>
      </x:c>
      <x:c r="K3179" s="8" t="n">
        <x:v>379</x:v>
      </x:c>
      <x:c r="L3179" s="8" t="n">
        <x:v>21435</x:v>
      </x:c>
      <x:c r="M3179" s="9" t="n">
        <x:v>0.7972446905</x:v>
      </x:c>
      <x:c r="N3179" s="10" t="n">
        <x:v>33002.0607884301</x:v>
      </x:c>
      <x:c r="O3179" s="9" t="n">
        <x:v>-0.0028745773</x:v>
      </x:c>
      <x:c r="P3179" s="9" t="n">
        <x:v>0.356466877</x:v>
      </x:c>
      <x:c r="Q3179" s="9" t="n">
        <x:v>0.5899053628</x:v>
      </x:c>
      <x:c r="R3179" s="3" t="b">
        <x:v>0</x:v>
      </x:c>
      <x:c r="S3179" s="3" t="b">
        <x:v>0</x:v>
      </x:c>
      <x:c r="T3179" s="3" t="b">
        <x:v>0</x:v>
      </x:c>
      <x:c r="U3179" s="2" t="str">
        <x:f>IF(T3179=TRUE,"Priority review",IF(R3179=TRUE,"High cost",IF(S3179=TRUE,"Low quality","Benchmark")))</x:f>
        <x:v>Benchmark</x:v>
      </x:c>
    </x:row>
    <x:row r="3180">
      <x:c r="A3180" s="2" t="str">
        <x:v>180064</x:v>
      </x:c>
      <x:c r="B3180" s="2" t="str">
        <x:v>SAINT JOSEPH MOUNT STERLING</x:v>
      </x:c>
      <x:c r="C3180" s="2" t="str">
        <x:v>MOUNT STERLING</x:v>
      </x:c>
      <x:c r="D3180" s="2" t="str">
        <x:v>KY</x:v>
      </x:c>
      <x:c r="E3180" s="2" t="str">
        <x:v>Acute Care Hospitals</x:v>
      </x:c>
      <x:c r="F3180" s="2" t="str">
        <x:v>Voluntary non-profit</x:v>
      </x:c>
      <x:c r="G3180" s="2" t="str">
        <x:v>Small (&lt;100 beds)</x:v>
      </x:c>
      <x:c r="H3180" s="7" t="n">
        <x:v>4</x:v>
      </x:c>
      <x:c r="I3180" s="7" t="n">
        <x:v>4</x:v>
      </x:c>
      <x:c r="J3180" s="7" t="n">
        <x:v>1.02</x:v>
      </x:c>
      <x:c r="K3180" s="8" t="n">
        <x:v>42</x:v>
      </x:c>
      <x:c r="L3180" s="8" t="n">
        <x:v>1859</x:v>
      </x:c>
      <x:c r="M3180" s="9" t="n">
        <x:v>0.3681017613</x:v>
      </x:c>
      <x:c r="N3180" s="10" t="n">
        <x:v>42748.7229693384</x:v>
      </x:c>
      <x:c r="O3180" s="9" t="n">
        <x:v>0.1582977409</x:v>
      </x:c>
      <x:c r="P3180" s="9" t="n">
        <x:v>0.3563734291</x:v>
      </x:c>
      <x:c r="Q3180" s="9" t="n">
        <x:v>0.3913824057</x:v>
      </x:c>
      <x:c r="R3180" s="3" t="b">
        <x:v>0</x:v>
      </x:c>
      <x:c r="S3180" s="3" t="b">
        <x:v>0</x:v>
      </x:c>
      <x:c r="T3180" s="3" t="b">
        <x:v>0</x:v>
      </x:c>
      <x:c r="U3180" s="2" t="str">
        <x:f>IF(T3180=TRUE,"Priority review",IF(R3180=TRUE,"High cost",IF(S3180=TRUE,"Low quality","Benchmark")))</x:f>
        <x:v>Benchmark</x:v>
      </x:c>
    </x:row>
    <x:row r="3181">
      <x:c r="A3181" s="2" t="str">
        <x:v>110164</x:v>
      </x:c>
      <x:c r="B3181" s="2" t="str">
        <x:v>COLISEUM MEDICAL CENTERS, LLC, DBA</x:v>
      </x:c>
      <x:c r="C3181" s="2" t="str">
        <x:v>MACON</x:v>
      </x:c>
      <x:c r="D3181" s="2" t="str">
        <x:v>GA</x:v>
      </x:c>
      <x:c r="E3181" s="2" t="str">
        <x:v>Acute Care Hospitals</x:v>
      </x:c>
      <x:c r="F3181" s="2" t="str">
        <x:v>Voluntary non-profit</x:v>
      </x:c>
      <x:c r="G3181" s="2" t="str">
        <x:v>Medium (100-299 beds)</x:v>
      </x:c>
      <x:c r="H3181" s="7" t="n">
        <x:v>3</x:v>
      </x:c>
      <x:c r="I3181" s="7" t="n">
        <x:v>2</x:v>
      </x:c>
      <x:c r="J3181" s="7" t="n">
        <x:v>1.01</x:v>
      </x:c>
      <x:c r="K3181" s="8" t="n">
        <x:v>199</x:v>
      </x:c>
      <x:c r="L3181" s="8" t="n">
        <x:v>9310</x:v>
      </x:c>
      <x:c r="M3181" s="9" t="n">
        <x:v>0.62435465</x:v>
      </x:c>
      <x:c r="N3181" s="10" t="n">
        <x:v>29333.4721804511</x:v>
      </x:c>
      <x:c r="O3181" s="9" t="n">
        <x:v>-0.0174898433</x:v>
      </x:c>
      <x:c r="P3181" s="9" t="n">
        <x:v>0.3561532192</x:v>
      </x:c>
      <x:c r="Q3181" s="9" t="n">
        <x:v>0.3023634882</x:v>
      </x:c>
      <x:c r="R3181" s="3" t="b">
        <x:v>0</x:v>
      </x:c>
      <x:c r="S3181" s="3" t="b">
        <x:v>0</x:v>
      </x:c>
      <x:c r="T3181" s="3" t="b">
        <x:v>0</x:v>
      </x:c>
      <x:c r="U3181" s="2" t="str">
        <x:f>IF(T3181=TRUE,"Priority review",IF(R3181=TRUE,"High cost",IF(S3181=TRUE,"Low quality","Benchmark")))</x:f>
        <x:v>Benchmark</x:v>
      </x:c>
    </x:row>
    <x:row r="3182">
      <x:c r="A3182" s="2" t="str">
        <x:v>171312</x:v>
      </x:c>
      <x:c r="B3182" s="2" t="str">
        <x:v>COMANCHE COUNTY HOSPITAL</x:v>
      </x:c>
      <x:c r="C3182" s="2" t="str">
        <x:v>COLDWATER</x:v>
      </x:c>
      <x:c r="D3182" s="2" t="str">
        <x:v>KS</x:v>
      </x:c>
      <x:c r="E3182" s="2" t="str">
        <x:v>Critical Access Hospitals</x:v>
      </x:c>
      <x:c r="F3182" s="2" t="str">
        <x:v>Government</x:v>
      </x:c>
      <x:c r="G3182" s="2" t="str">
        <x:v>Small (&lt;100 beds)</x:v>
      </x:c>
      <x:c r="H3182" s="7"/>
      <x:c r="I3182" s="7"/>
      <x:c r="J3182" s="7"/>
      <x:c r="K3182" s="8" t="n">
        <x:v>12</x:v>
      </x:c>
      <x:c r="L3182" s="8" t="n">
        <x:v>67</x:v>
      </x:c>
      <x:c r="M3182" s="9" t="n">
        <x:v>0.1908014572</x:v>
      </x:c>
      <x:c r="N3182" s="10" t="n">
        <x:v>105509.6119402985</x:v>
      </x:c>
      <x:c r="O3182" s="9" t="n">
        <x:v>-0.2383601076</x:v>
      </x:c>
      <x:c r="P3182" s="9" t="n">
        <x:v>0.356133829</x:v>
      </x:c>
      <x:c r="Q3182" s="9" t="n">
        <x:v>0.292936803</x:v>
      </x:c>
      <x:c r="R3182" s="3" t="b">
        <x:v>0</x:v>
      </x:c>
      <x:c r="S3182" s="3" t="b">
        <x:v>0</x:v>
      </x:c>
      <x:c r="T3182" s="3" t="b">
        <x:v>0</x:v>
      </x:c>
      <x:c r="U3182" s="2" t="str">
        <x:f>IF(T3182=TRUE,"Priority review",IF(R3182=TRUE,"High cost",IF(S3182=TRUE,"Low quality","Benchmark")))</x:f>
        <x:v>Benchmark</x:v>
      </x:c>
    </x:row>
    <x:row r="3183">
      <x:c r="A3183" s="2" t="str">
        <x:v>234042</x:v>
      </x:c>
      <x:c r="B3183" s="2" t="str">
        <x:v>THE BEHAVIORAL CENTER OF MICHIGAN</x:v>
      </x:c>
      <x:c r="C3183" s="2" t="str">
        <x:v>WARREN</x:v>
      </x:c>
      <x:c r="D3183" s="2" t="str">
        <x:v>MI</x:v>
      </x:c>
      <x:c r="E3183" s="2" t="str">
        <x:v>Psychiatric</x:v>
      </x:c>
      <x:c r="F3183" s="2" t="str">
        <x:v>Proprietary</x:v>
      </x:c>
      <x:c r="G3183" s="2" t="str">
        <x:v>Small (&lt;100 beds)</x:v>
      </x:c>
      <x:c r="H3183" s="7"/>
      <x:c r="I3183" s="7"/>
      <x:c r="J3183" s="7"/>
      <x:c r="K3183" s="8" t="n">
        <x:v>54</x:v>
      </x:c>
      <x:c r="L3183" s="8" t="n">
        <x:v>1384</x:v>
      </x:c>
      <x:c r="M3183" s="9" t="n">
        <x:v>0.8086419753</x:v>
      </x:c>
      <x:c r="N3183" s="10" t="n">
        <x:v>9524.5180635838</x:v>
      </x:c>
      <x:c r="O3183" s="9" t="n">
        <x:v>0.1367675125</x:v>
      </x:c>
      <x:c r="P3183" s="9" t="n">
        <x:v>0.355987055</x:v>
      </x:c>
      <x:c r="Q3183" s="9" t="n">
        <x:v>0</x:v>
      </x:c>
      <x:c r="R3183" s="3" t="b">
        <x:v>0</x:v>
      </x:c>
      <x:c r="S3183" s="3" t="b">
        <x:v>0</x:v>
      </x:c>
      <x:c r="T3183" s="3" t="b">
        <x:v>0</x:v>
      </x:c>
      <x:c r="U3183" s="2" t="str">
        <x:f>IF(T3183=TRUE,"Priority review",IF(R3183=TRUE,"High cost",IF(S3183=TRUE,"Low quality","Benchmark")))</x:f>
        <x:v>Benchmark</x:v>
      </x:c>
    </x:row>
    <x:row r="3184">
      <x:c r="A3184" s="2" t="str">
        <x:v>670054</x:v>
      </x:c>
      <x:c r="B3184" s="2" t="str">
        <x:v>FOUNDATION SURGICAL HOSPITAL OF SAN ANTONIO</x:v>
      </x:c>
      <x:c r="C3184" s="2" t="str">
        <x:v>SAN ANTONIO</x:v>
      </x:c>
      <x:c r="D3184" s="2" t="str">
        <x:v>TX</x:v>
      </x:c>
      <x:c r="E3184" s="2" t="str">
        <x:v>Acute Care Hospitals</x:v>
      </x:c>
      <x:c r="F3184" s="2" t="str">
        <x:v>Proprietary</x:v>
      </x:c>
      <x:c r="G3184" s="2" t="str">
        <x:v>Small (&lt;100 beds)</x:v>
      </x:c>
      <x:c r="H3184" s="7"/>
      <x:c r="I3184" s="7"/>
      <x:c r="J3184" s="7" t="n">
        <x:v>0.93</x:v>
      </x:c>
      <x:c r="K3184" s="8" t="n">
        <x:v>20</x:v>
      </x:c>
      <x:c r="L3184" s="8" t="n">
        <x:v>798</x:v>
      </x:c>
      <x:c r="M3184" s="9" t="n">
        <x:v>0.1855191257</x:v>
      </x:c>
      <x:c r="N3184" s="10" t="n">
        <x:v>42715.0526315789</x:v>
      </x:c>
      <x:c r="O3184" s="9" t="n">
        <x:v>-0.1230872794</x:v>
      </x:c>
      <x:c r="P3184" s="9" t="n">
        <x:v>0.355475763</x:v>
      </x:c>
      <x:c r="Q3184" s="9" t="n">
        <x:v>0.697486535</x:v>
      </x:c>
      <x:c r="R3184" s="3" t="b">
        <x:v>0</x:v>
      </x:c>
      <x:c r="S3184" s="3" t="b">
        <x:v>0</x:v>
      </x:c>
      <x:c r="T3184" s="3" t="b">
        <x:v>0</x:v>
      </x:c>
      <x:c r="U3184" s="2" t="str">
        <x:f>IF(T3184=TRUE,"Priority review",IF(R3184=TRUE,"High cost",IF(S3184=TRUE,"Low quality","Benchmark")))</x:f>
        <x:v>Benchmark</x:v>
      </x:c>
    </x:row>
    <x:row r="3185">
      <x:c r="A3185" s="2" t="str">
        <x:v>271343</x:v>
      </x:c>
      <x:c r="B3185" s="2" t="str">
        <x:v>PROVIDENCE ST JOSEPH MEDICAL CENTER</x:v>
      </x:c>
      <x:c r="C3185" s="2" t="str">
        <x:v>POLSON</x:v>
      </x:c>
      <x:c r="D3185" s="2" t="str">
        <x:v>MT</x:v>
      </x:c>
      <x:c r="E3185" s="2" t="str">
        <x:v>Critical Access Hospitals</x:v>
      </x:c>
      <x:c r="F3185" s="2" t="str">
        <x:v>Voluntary non-profit</x:v>
      </x:c>
      <x:c r="G3185" s="2" t="str">
        <x:v>Small (&lt;100 beds)</x:v>
      </x:c>
      <x:c r="H3185" s="7"/>
      <x:c r="I3185" s="7"/>
      <x:c r="J3185" s="7"/>
      <x:c r="K3185" s="8" t="n">
        <x:v>22</x:v>
      </x:c>
      <x:c r="L3185" s="8" t="n">
        <x:v>495</x:v>
      </x:c>
      <x:c r="M3185" s="9" t="n">
        <x:v>0.2624192747</x:v>
      </x:c>
      <x:c r="N3185" s="10" t="n">
        <x:v>105406.4262626263</x:v>
      </x:c>
      <x:c r="O3185" s="9" t="n">
        <x:v>-0.0719488302</x:v>
      </x:c>
      <x:c r="P3185" s="9" t="n">
        <x:v>0.3553903346</x:v>
      </x:c>
      <x:c r="Q3185" s="9" t="n">
        <x:v>0.292936803</x:v>
      </x:c>
      <x:c r="R3185" s="3" t="b">
        <x:v>0</x:v>
      </x:c>
      <x:c r="S3185" s="3" t="b">
        <x:v>0</x:v>
      </x:c>
      <x:c r="T3185" s="3" t="b">
        <x:v>0</x:v>
      </x:c>
      <x:c r="U3185" s="2" t="str">
        <x:f>IF(T3185=TRUE,"Priority review",IF(R3185=TRUE,"High cost",IF(S3185=TRUE,"Low quality","Benchmark")))</x:f>
        <x:v>Benchmark</x:v>
      </x:c>
    </x:row>
    <x:row r="3186">
      <x:c r="A3186" s="2" t="str">
        <x:v>170182</x:v>
      </x:c>
      <x:c r="B3186" s="2" t="str">
        <x:v>MENORAH MEDICAL CENTER</x:v>
      </x:c>
      <x:c r="C3186" s="2" t="str">
        <x:v>OVERLAND PARK</x:v>
      </x:c>
      <x:c r="D3186" s="2" t="str">
        <x:v>KS</x:v>
      </x:c>
      <x:c r="E3186" s="2" t="str">
        <x:v>Acute Care Hospitals</x:v>
      </x:c>
      <x:c r="F3186" s="2" t="str">
        <x:v>Proprietary</x:v>
      </x:c>
      <x:c r="G3186" s="2" t="str">
        <x:v>Medium (100-299 beds)</x:v>
      </x:c>
      <x:c r="H3186" s="7" t="n">
        <x:v>3</x:v>
      </x:c>
      <x:c r="I3186" s="7" t="n">
        <x:v>3</x:v>
      </x:c>
      <x:c r="J3186" s="7" t="n">
        <x:v>1.02</x:v>
      </x:c>
      <x:c r="K3186" s="8" t="n">
        <x:v>137</x:v>
      </x:c>
      <x:c r="L3186" s="8" t="n">
        <x:v>9112</x:v>
      </x:c>
      <x:c r="M3186" s="9" t="n">
        <x:v>0.6869113089</x:v>
      </x:c>
      <x:c r="N3186" s="10" t="n">
        <x:v>29283.1143546971</x:v>
      </x:c>
      <x:c r="O3186" s="9" t="n">
        <x:v>0.1490514996</x:v>
      </x:c>
      <x:c r="P3186" s="9" t="n">
        <x:v>0.3553382233</x:v>
      </x:c>
      <x:c r="Q3186" s="9" t="n">
        <x:v>0.3023634882</x:v>
      </x:c>
      <x:c r="R3186" s="3" t="b">
        <x:v>0</x:v>
      </x:c>
      <x:c r="S3186" s="3" t="b">
        <x:v>0</x:v>
      </x:c>
      <x:c r="T3186" s="3" t="b">
        <x:v>0</x:v>
      </x:c>
      <x:c r="U3186" s="2" t="str">
        <x:f>IF(T3186=TRUE,"Priority review",IF(R3186=TRUE,"High cost",IF(S3186=TRUE,"Low quality","Benchmark")))</x:f>
        <x:v>Benchmark</x:v>
      </x:c>
    </x:row>
    <x:row r="3187">
      <x:c r="A3187" s="2" t="str">
        <x:v>240053</x:v>
      </x:c>
      <x:c r="B3187" s="2" t="str">
        <x:v>PARK NICOLLET METHODIST HOSPITAL</x:v>
      </x:c>
      <x:c r="C3187" s="2" t="str">
        <x:v>SAINT LOUIS PARK</x:v>
      </x:c>
      <x:c r="D3187" s="2" t="str">
        <x:v>MN</x:v>
      </x:c>
      <x:c r="E3187" s="2" t="str">
        <x:v>Acute Care Hospitals</x:v>
      </x:c>
      <x:c r="F3187" s="2" t="str">
        <x:v>Voluntary non-profit</x:v>
      </x:c>
      <x:c r="G3187" s="2" t="str">
        <x:v>Large (300+ beds)</x:v>
      </x:c>
      <x:c r="H3187" s="7" t="n">
        <x:v>3</x:v>
      </x:c>
      <x:c r="I3187" s="7" t="n">
        <x:v>4</x:v>
      </x:c>
      <x:c r="J3187" s="7" t="n">
        <x:v>0.91</x:v>
      </x:c>
      <x:c r="K3187" s="8" t="n">
        <x:v>357</x:v>
      </x:c>
      <x:c r="L3187" s="8" t="n">
        <x:v>21554</x:v>
      </x:c>
      <x:c r="M3187" s="9" t="n">
        <x:v>0.75981141</x:v>
      </x:c>
      <x:c r="N3187" s="10" t="n">
        <x:v>32799.3090841607</x:v>
      </x:c>
      <x:c r="O3187" s="9" t="n">
        <x:v>0.1762751414</x:v>
      </x:c>
      <x:c r="P3187" s="9" t="n">
        <x:v>0.3548895899</x:v>
      </x:c>
      <x:c r="Q3187" s="9" t="n">
        <x:v>0.2570977918</x:v>
      </x:c>
      <x:c r="R3187" s="3" t="b">
        <x:v>0</x:v>
      </x:c>
      <x:c r="S3187" s="3" t="b">
        <x:v>0</x:v>
      </x:c>
      <x:c r="T3187" s="3" t="b">
        <x:v>0</x:v>
      </x:c>
      <x:c r="U3187" s="2" t="str">
        <x:f>IF(T3187=TRUE,"Priority review",IF(R3187=TRUE,"High cost",IF(S3187=TRUE,"Low quality","Benchmark")))</x:f>
        <x:v>Benchmark</x:v>
      </x:c>
    </x:row>
    <x:row r="3188">
      <x:c r="A3188" s="2" t="str">
        <x:v>171311</x:v>
      </x:c>
      <x:c r="B3188" s="2" t="str">
        <x:v>ROOKS COUNTY HEALTH CENTER</x:v>
      </x:c>
      <x:c r="C3188" s="2" t="str">
        <x:v>PLAINVILLE</x:v>
      </x:c>
      <x:c r="D3188" s="2" t="str">
        <x:v>KS</x:v>
      </x:c>
      <x:c r="E3188" s="2" t="str">
        <x:v>Critical Access Hospitals</x:v>
      </x:c>
      <x:c r="F3188" s="2" t="str">
        <x:v>Government</x:v>
      </x:c>
      <x:c r="G3188" s="2" t="str">
        <x:v>Small (&lt;100 beds)</x:v>
      </x:c>
      <x:c r="H3188" s="7"/>
      <x:c r="I3188" s="7"/>
      <x:c r="J3188" s="7"/>
      <x:c r="K3188" s="8" t="n">
        <x:v>22</x:v>
      </x:c>
      <x:c r="L3188" s="8" t="n">
        <x:v>218</x:v>
      </x:c>
      <x:c r="M3188" s="9" t="n">
        <x:v>0.2632886239</x:v>
      </x:c>
      <x:c r="N3188" s="10" t="n">
        <x:v>105283.9908256881</x:v>
      </x:c>
      <x:c r="O3188" s="9" t="n">
        <x:v>-0.1148393461</x:v>
      </x:c>
      <x:c r="P3188" s="9" t="n">
        <x:v>0.3546468401</x:v>
      </x:c>
      <x:c r="Q3188" s="9" t="n">
        <x:v>0.292936803</x:v>
      </x:c>
      <x:c r="R3188" s="3" t="b">
        <x:v>0</x:v>
      </x:c>
      <x:c r="S3188" s="3" t="b">
        <x:v>0</x:v>
      </x:c>
      <x:c r="T3188" s="3" t="b">
        <x:v>0</x:v>
      </x:c>
      <x:c r="U3188" s="2" t="str">
        <x:f>IF(T3188=TRUE,"Priority review",IF(R3188=TRUE,"High cost",IF(S3188=TRUE,"Low quality","Benchmark")))</x:f>
        <x:v>Benchmark</x:v>
      </x:c>
    </x:row>
    <x:row r="3189">
      <x:c r="A3189" s="2" t="str">
        <x:v>330205</x:v>
      </x:c>
      <x:c r="B3189" s="2" t="str">
        <x:v>ST ANTHONY COMMUNITY HOSPITAL</x:v>
      </x:c>
      <x:c r="C3189" s="2" t="str">
        <x:v>WARWICK</x:v>
      </x:c>
      <x:c r="D3189" s="2" t="str">
        <x:v>NY</x:v>
      </x:c>
      <x:c r="E3189" s="2" t="str">
        <x:v>Acute Care Hospitals</x:v>
      </x:c>
      <x:c r="F3189" s="2" t="str">
        <x:v>Voluntary non-profit</x:v>
      </x:c>
      <x:c r="G3189" s="2" t="str">
        <x:v>Small (&lt;100 beds)</x:v>
      </x:c>
      <x:c r="H3189" s="7" t="n">
        <x:v>4</x:v>
      </x:c>
      <x:c r="I3189" s="7" t="n">
        <x:v>4</x:v>
      </x:c>
      <x:c r="J3189" s="7" t="n">
        <x:v>0.94</x:v>
      </x:c>
      <x:c r="K3189" s="8" t="n">
        <x:v>60</x:v>
      </x:c>
      <x:c r="L3189" s="8" t="n">
        <x:v>1620</x:v>
      </x:c>
      <x:c r="M3189" s="9" t="n">
        <x:v>0.2872495446</x:v>
      </x:c>
      <x:c r="N3189" s="10" t="n">
        <x:v>42636.5018518519</x:v>
      </x:c>
      <x:c r="O3189" s="9" t="n">
        <x:v>0.1723416453</x:v>
      </x:c>
      <x:c r="P3189" s="9" t="n">
        <x:v>0.3545780969</x:v>
      </x:c>
      <x:c r="Q3189" s="9" t="n">
        <x:v>0.3913824057</x:v>
      </x:c>
      <x:c r="R3189" s="3" t="b">
        <x:v>0</x:v>
      </x:c>
      <x:c r="S3189" s="3" t="b">
        <x:v>0</x:v>
      </x:c>
      <x:c r="T3189" s="3" t="b">
        <x:v>0</x:v>
      </x:c>
      <x:c r="U3189" s="2" t="str">
        <x:f>IF(T3189=TRUE,"Priority review",IF(R3189=TRUE,"High cost",IF(S3189=TRUE,"Low quality","Benchmark")))</x:f>
        <x:v>Benchmark</x:v>
      </x:c>
    </x:row>
    <x:row r="3190">
      <x:c r="A3190" s="2" t="str">
        <x:v>340130</x:v>
      </x:c>
      <x:c r="B3190" s="2" t="str">
        <x:v>ATRIUM HEALTH UNION</x:v>
      </x:c>
      <x:c r="C3190" s="2" t="str">
        <x:v>MONROE</x:v>
      </x:c>
      <x:c r="D3190" s="2" t="str">
        <x:v>NC</x:v>
      </x:c>
      <x:c r="E3190" s="2" t="str">
        <x:v>Acute Care Hospitals</x:v>
      </x:c>
      <x:c r="F3190" s="2" t="str">
        <x:v>Government</x:v>
      </x:c>
      <x:c r="G3190" s="2" t="str">
        <x:v>Medium (100-299 beds)</x:v>
      </x:c>
      <x:c r="H3190" s="7" t="n">
        <x:v>4</x:v>
      </x:c>
      <x:c r="I3190" s="7" t="n">
        <x:v>3</x:v>
      </x:c>
      <x:c r="J3190" s="7" t="n">
        <x:v>0.91</x:v>
      </x:c>
      <x:c r="K3190" s="8" t="n">
        <x:v>183</x:v>
      </x:c>
      <x:c r="L3190" s="8" t="n">
        <x:v>11079</x:v>
      </x:c>
      <x:c r="M3190" s="9" t="n">
        <x:v>1.032234465</x:v>
      </x:c>
      <x:c r="N3190" s="10" t="n">
        <x:v>29278.4128531456</x:v>
      </x:c>
      <x:c r="O3190" s="9" t="n">
        <x:v>0.224228713</x:v>
      </x:c>
      <x:c r="P3190" s="9" t="n">
        <x:v>0.3545232274</x:v>
      </x:c>
      <x:c r="Q3190" s="9" t="n">
        <x:v>0.6022819886</x:v>
      </x:c>
      <x:c r="R3190" s="3" t="b">
        <x:v>0</x:v>
      </x:c>
      <x:c r="S3190" s="3" t="b">
        <x:v>0</x:v>
      </x:c>
      <x:c r="T3190" s="3" t="b">
        <x:v>0</x:v>
      </x:c>
      <x:c r="U3190" s="2" t="str">
        <x:f>IF(T3190=TRUE,"Priority review",IF(R3190=TRUE,"High cost",IF(S3190=TRUE,"Low quality","Benchmark")))</x:f>
        <x:v>Benchmark</x:v>
      </x:c>
    </x:row>
    <x:row r="3191">
      <x:c r="A3191" s="2" t="str">
        <x:v>241327</x:v>
      </x:c>
      <x:c r="B3191" s="2" t="str">
        <x:v>SLEEPY EYE MEDICAL CENTER</x:v>
      </x:c>
      <x:c r="C3191" s="2" t="str">
        <x:v>SLEEPY EYE</x:v>
      </x:c>
      <x:c r="D3191" s="2" t="str">
        <x:v>MN</x:v>
      </x:c>
      <x:c r="E3191" s="2" t="str">
        <x:v>Critical Access Hospitals</x:v>
      </x:c>
      <x:c r="F3191" s="2" t="str">
        <x:v>Government</x:v>
      </x:c>
      <x:c r="G3191" s="2" t="str">
        <x:v>Small (&lt;100 beds)</x:v>
      </x:c>
      <x:c r="H3191" s="7"/>
      <x:c r="I3191" s="7"/>
      <x:c r="J3191" s="7"/>
      <x:c r="K3191" s="8" t="n">
        <x:v>16</x:v>
      </x:c>
      <x:c r="L3191" s="8" t="n">
        <x:v>211</x:v>
      </x:c>
      <x:c r="M3191" s="9" t="n">
        <x:v>0.2079918033</x:v>
      </x:c>
      <x:c r="N3191" s="10" t="n">
        <x:v>105196.028436019</x:v>
      </x:c>
      <x:c r="O3191" s="9" t="n">
        <x:v>-0.0699110594</x:v>
      </x:c>
      <x:c r="P3191" s="9" t="n">
        <x:v>0.3539033457</x:v>
      </x:c>
      <x:c r="Q3191" s="9" t="n">
        <x:v>0.292936803</x:v>
      </x:c>
      <x:c r="R3191" s="3" t="b">
        <x:v>0</x:v>
      </x:c>
      <x:c r="S3191" s="3" t="b">
        <x:v>0</x:v>
      </x:c>
      <x:c r="T3191" s="3" t="b">
        <x:v>0</x:v>
      </x:c>
      <x:c r="U3191" s="2" t="str">
        <x:f>IF(T3191=TRUE,"Priority review",IF(R3191=TRUE,"High cost",IF(S3191=TRUE,"Low quality","Benchmark")))</x:f>
        <x:v>Benchmark</x:v>
      </x:c>
    </x:row>
    <x:row r="3192">
      <x:c r="A3192" s="2" t="str">
        <x:v>370020</x:v>
      </x:c>
      <x:c r="B3192" s="2" t="str">
        <x:v>MERCY HOSPITAL ADA</x:v>
      </x:c>
      <x:c r="C3192" s="2" t="str">
        <x:v>ADA</x:v>
      </x:c>
      <x:c r="D3192" s="2" t="str">
        <x:v>OK</x:v>
      </x:c>
      <x:c r="E3192" s="2" t="str">
        <x:v>Acute Care Hospitals</x:v>
      </x:c>
      <x:c r="F3192" s="2" t="str">
        <x:v>Voluntary non-profit</x:v>
      </x:c>
      <x:c r="G3192" s="2" t="str">
        <x:v>Medium (100-299 beds)</x:v>
      </x:c>
      <x:c r="H3192" s="7" t="n">
        <x:v>4</x:v>
      </x:c>
      <x:c r="I3192" s="7" t="n">
        <x:v>3</x:v>
      </x:c>
      <x:c r="J3192" s="7" t="n">
        <x:v>1</x:v>
      </x:c>
      <x:c r="K3192" s="8" t="n">
        <x:v>108</x:v>
      </x:c>
      <x:c r="L3192" s="8" t="n">
        <x:v>4636</x:v>
      </x:c>
      <x:c r="M3192" s="9" t="n">
        <x:v>0.3970319635</x:v>
      </x:c>
      <x:c r="N3192" s="10" t="n">
        <x:v>29265.4424072476</x:v>
      </x:c>
      <x:c r="O3192" s="9" t="n">
        <x:v>0.0572286222</x:v>
      </x:c>
      <x:c r="P3192" s="9" t="n">
        <x:v>0.3537082315</x:v>
      </x:c>
      <x:c r="Q3192" s="9" t="n">
        <x:v>0.6022819886</x:v>
      </x:c>
      <x:c r="R3192" s="3" t="b">
        <x:v>0</x:v>
      </x:c>
      <x:c r="S3192" s="3" t="b">
        <x:v>0</x:v>
      </x:c>
      <x:c r="T3192" s="3" t="b">
        <x:v>0</x:v>
      </x:c>
      <x:c r="U3192" s="2" t="str">
        <x:f>IF(T3192=TRUE,"Priority review",IF(R3192=TRUE,"High cost",IF(S3192=TRUE,"Low quality","Benchmark")))</x:f>
        <x:v>Benchmark</x:v>
      </x:c>
    </x:row>
    <x:row r="3193">
      <x:c r="A3193" s="2" t="str">
        <x:v>450370</x:v>
      </x:c>
      <x:c r="B3193" s="2" t="str">
        <x:v>COLUMBUS COMMUNITY HOSPITAL</x:v>
      </x:c>
      <x:c r="C3193" s="2" t="str">
        <x:v>COLUMBUS</x:v>
      </x:c>
      <x:c r="D3193" s="2" t="str">
        <x:v>TX</x:v>
      </x:c>
      <x:c r="E3193" s="2" t="str">
        <x:v>Acute Care Hospitals</x:v>
      </x:c>
      <x:c r="F3193" s="2" t="str">
        <x:v>Voluntary non-profit</x:v>
      </x:c>
      <x:c r="G3193" s="2" t="str">
        <x:v>Small (&lt;100 beds)</x:v>
      </x:c>
      <x:c r="H3193" s="7" t="n">
        <x:v>2</x:v>
      </x:c>
      <x:c r="I3193" s="7" t="n">
        <x:v>3</x:v>
      </x:c>
      <x:c r="J3193" s="7" t="n">
        <x:v>1.42</x:v>
      </x:c>
      <x:c r="K3193" s="8" t="n">
        <x:v>40</x:v>
      </x:c>
      <x:c r="L3193" s="8" t="n">
        <x:v>983</x:v>
      </x:c>
      <x:c r="M3193" s="9" t="n">
        <x:v>0.1708219178</x:v>
      </x:c>
      <x:c r="N3193" s="10" t="n">
        <x:v>42635.8524923703</x:v>
      </x:c>
      <x:c r="O3193" s="9" t="n">
        <x:v>-0.2065381224</x:v>
      </x:c>
      <x:c r="P3193" s="9" t="n">
        <x:v>0.3536804309</x:v>
      </x:c>
      <x:c r="Q3193" s="9" t="n">
        <x:v>0.0350089767</x:v>
      </x:c>
      <x:c r="R3193" s="3" t="b">
        <x:v>0</x:v>
      </x:c>
      <x:c r="S3193" s="3" t="b">
        <x:v>1</x:v>
      </x:c>
      <x:c r="T3193" s="3" t="b">
        <x:v>0</x:v>
      </x:c>
      <x:c r="U3193" s="2" t="str">
        <x:f>IF(T3193=TRUE,"Priority review",IF(R3193=TRUE,"High cost",IF(S3193=TRUE,"Low quality","Benchmark")))</x:f>
        <x:v>Low quality</x:v>
      </x:c>
    </x:row>
    <x:row r="3194">
      <x:c r="A3194" s="2" t="str">
        <x:v>050351</x:v>
      </x:c>
      <x:c r="B3194" s="2" t="str">
        <x:v>TORRANCE MEMORIAL MEDICAL CENTER</x:v>
      </x:c>
      <x:c r="C3194" s="2" t="str">
        <x:v>TORRANCE</x:v>
      </x:c>
      <x:c r="D3194" s="2" t="str">
        <x:v>CA</x:v>
      </x:c>
      <x:c r="E3194" s="2" t="str">
        <x:v>Acute Care Hospitals</x:v>
      </x:c>
      <x:c r="F3194" s="2" t="str">
        <x:v>Voluntary non-profit</x:v>
      </x:c>
      <x:c r="G3194" s="2" t="str">
        <x:v>Large (300+ beds)</x:v>
      </x:c>
      <x:c r="H3194" s="7" t="n">
        <x:v>5</x:v>
      </x:c>
      <x:c r="I3194" s="7" t="n">
        <x:v>3</x:v>
      </x:c>
      <x:c r="J3194" s="7" t="n">
        <x:v>0.94</x:v>
      </x:c>
      <x:c r="K3194" s="8" t="n">
        <x:v>493</x:v>
      </x:c>
      <x:c r="L3194" s="8" t="n">
        <x:v>27823</x:v>
      </x:c>
      <x:c r="M3194" s="9" t="n">
        <x:v>0.7290561005</x:v>
      </x:c>
      <x:c r="N3194" s="10" t="n">
        <x:v>32603.2917011106</x:v>
      </x:c>
      <x:c r="O3194" s="9" t="n">
        <x:v>-0.010436937</x:v>
      </x:c>
      <x:c r="P3194" s="9" t="n">
        <x:v>0.3533123028</x:v>
      </x:c>
      <x:c r="Q3194" s="9" t="n">
        <x:v>0.8722397476</x:v>
      </x:c>
      <x:c r="R3194" s="3" t="b">
        <x:v>0</x:v>
      </x:c>
      <x:c r="S3194" s="3" t="b">
        <x:v>0</x:v>
      </x:c>
      <x:c r="T3194" s="3" t="b">
        <x:v>0</x:v>
      </x:c>
      <x:c r="U3194" s="2" t="str">
        <x:f>IF(T3194=TRUE,"Priority review",IF(R3194=TRUE,"High cost",IF(S3194=TRUE,"Low quality","Benchmark")))</x:f>
        <x:v>Benchmark</x:v>
      </x:c>
    </x:row>
    <x:row r="3195">
      <x:c r="A3195" s="2" t="str">
        <x:v>504012</x:v>
      </x:c>
      <x:c r="B3195" s="2" t="str">
        <x:v>SMOKEY POINT BEHAVIORAL HOSPITAL</x:v>
      </x:c>
      <x:c r="C3195" s="2" t="str">
        <x:v>MARYSVILLE</x:v>
      </x:c>
      <x:c r="D3195" s="2" t="str">
        <x:v>WA</x:v>
      </x:c>
      <x:c r="E3195" s="2" t="str">
        <x:v>Psychiatric</x:v>
      </x:c>
      <x:c r="F3195" s="2" t="str">
        <x:v>Proprietary</x:v>
      </x:c>
      <x:c r="G3195" s="2" t="str">
        <x:v>Medium (100-299 beds)</x:v>
      </x:c>
      <x:c r="H3195" s="7"/>
      <x:c r="I3195" s="7"/>
      <x:c r="J3195" s="7"/>
      <x:c r="K3195" s="8" t="n">
        <x:v>145</x:v>
      </x:c>
      <x:c r="L3195" s="8" t="n">
        <x:v>4093</x:v>
      </x:c>
      <x:c r="M3195" s="9" t="n">
        <x:v>0.749866007</x:v>
      </x:c>
      <x:c r="N3195" s="10" t="n">
        <x:v>8481.7493281212</x:v>
      </x:c>
      <x:c r="O3195" s="9" t="n">
        <x:v>0.1593782172</x:v>
      </x:c>
      <x:c r="P3195" s="9" t="n">
        <x:v>0.3532338308</x:v>
      </x:c>
      <x:c r="Q3195" s="9" t="n">
        <x:v>0</x:v>
      </x:c>
      <x:c r="R3195" s="3" t="b">
        <x:v>0</x:v>
      </x:c>
      <x:c r="S3195" s="3" t="b">
        <x:v>0</x:v>
      </x:c>
      <x:c r="T3195" s="3" t="b">
        <x:v>0</x:v>
      </x:c>
      <x:c r="U3195" s="2" t="str">
        <x:f>IF(T3195=TRUE,"Priority review",IF(R3195=TRUE,"High cost",IF(S3195=TRUE,"Low quality","Benchmark")))</x:f>
        <x:v>Benchmark</x:v>
      </x:c>
    </x:row>
    <x:row r="3196">
      <x:c r="A3196" s="2" t="str">
        <x:v>521308</x:v>
      </x:c>
      <x:c r="B3196" s="2" t="str">
        <x:v>AMERY HOSPITAL &amp; CLINIC</x:v>
      </x:c>
      <x:c r="C3196" s="2" t="str">
        <x:v>AMERY</x:v>
      </x:c>
      <x:c r="D3196" s="2" t="str">
        <x:v>WI</x:v>
      </x:c>
      <x:c r="E3196" s="2" t="str">
        <x:v>Critical Access Hospitals</x:v>
      </x:c>
      <x:c r="F3196" s="2" t="str">
        <x:v>Voluntary non-profit</x:v>
      </x:c>
      <x:c r="G3196" s="2" t="str">
        <x:v>Small (&lt;100 beds)</x:v>
      </x:c>
      <x:c r="H3196" s="7" t="n">
        <x:v>2</x:v>
      </x:c>
      <x:c r="I3196" s="7" t="n">
        <x:v>5</x:v>
      </x:c>
      <x:c r="J3196" s="7"/>
      <x:c r="K3196" s="8" t="n">
        <x:v>25</x:v>
      </x:c>
      <x:c r="L3196" s="8" t="n">
        <x:v>768</x:v>
      </x:c>
      <x:c r="M3196" s="9" t="n">
        <x:v>0.3563934426</x:v>
      </x:c>
      <x:c r="N3196" s="10" t="n">
        <x:v>105169.9088541667</x:v>
      </x:c>
      <x:c r="O3196" s="9" t="n">
        <x:v>-0.0062776043</x:v>
      </x:c>
      <x:c r="P3196" s="9" t="n">
        <x:v>0.3531598513</x:v>
      </x:c>
      <x:c r="Q3196" s="9" t="n">
        <x:v>0.0171003717</x:v>
      </x:c>
      <x:c r="R3196" s="3" t="b">
        <x:v>0</x:v>
      </x:c>
      <x:c r="S3196" s="3" t="b">
        <x:v>1</x:v>
      </x:c>
      <x:c r="T3196" s="3" t="b">
        <x:v>0</x:v>
      </x:c>
      <x:c r="U3196" s="2" t="str">
        <x:f>IF(T3196=TRUE,"Priority review",IF(R3196=TRUE,"High cost",IF(S3196=TRUE,"Low quality","Benchmark")))</x:f>
        <x:v>Low quality</x:v>
      </x:c>
    </x:row>
    <x:row r="3197">
      <x:c r="A3197" s="2" t="str">
        <x:v>220060</x:v>
      </x:c>
      <x:c r="B3197" s="2" t="str">
        <x:v>BETH ISRAEL DEACONESS HOSPITAL PLYMOUTH</x:v>
      </x:c>
      <x:c r="C3197" s="2" t="str">
        <x:v>PLYMOUTH</x:v>
      </x:c>
      <x:c r="D3197" s="2" t="str">
        <x:v>MA</x:v>
      </x:c>
      <x:c r="E3197" s="2" t="str">
        <x:v>Acute Care Hospitals</x:v>
      </x:c>
      <x:c r="F3197" s="2" t="str">
        <x:v>Voluntary non-profit</x:v>
      </x:c>
      <x:c r="G3197" s="2" t="str">
        <x:v>Medium (100-299 beds)</x:v>
      </x:c>
      <x:c r="H3197" s="7" t="n">
        <x:v>4</x:v>
      </x:c>
      <x:c r="I3197" s="7" t="n">
        <x:v>3</x:v>
      </x:c>
      <x:c r="J3197" s="7" t="n">
        <x:v>0.96</x:v>
      </x:c>
      <x:c r="K3197" s="8" t="n">
        <x:v>151</x:v>
      </x:c>
      <x:c r="L3197" s="8" t="n">
        <x:v>13466</x:v>
      </x:c>
      <x:c r="M3197" s="9" t="n">
        <x:v>0.9615676908</x:v>
      </x:c>
      <x:c r="N3197" s="10" t="n">
        <x:v>29254.4904945789</x:v>
      </x:c>
      <x:c r="O3197" s="9" t="n">
        <x:v>-0.063408693</x:v>
      </x:c>
      <x:c r="P3197" s="9" t="n">
        <x:v>0.3528932355</x:v>
      </x:c>
      <x:c r="Q3197" s="9" t="n">
        <x:v>0.6022819886</x:v>
      </x:c>
      <x:c r="R3197" s="3" t="b">
        <x:v>0</x:v>
      </x:c>
      <x:c r="S3197" s="3" t="b">
        <x:v>0</x:v>
      </x:c>
      <x:c r="T3197" s="3" t="b">
        <x:v>0</x:v>
      </x:c>
      <x:c r="U3197" s="2" t="str">
        <x:f>IF(T3197=TRUE,"Priority review",IF(R3197=TRUE,"High cost",IF(S3197=TRUE,"Low quality","Benchmark")))</x:f>
        <x:v>Benchmark</x:v>
      </x:c>
    </x:row>
    <x:row r="3198">
      <x:c r="A3198" s="2" t="str">
        <x:v>140013</x:v>
      </x:c>
      <x:c r="B3198" s="2" t="str">
        <x:v>CARLE HEALTH PROCTOR HOSPITAL</x:v>
      </x:c>
      <x:c r="C3198" s="2" t="str">
        <x:v>PEORIA</x:v>
      </x:c>
      <x:c r="D3198" s="2" t="str">
        <x:v>IL</x:v>
      </x:c>
      <x:c r="E3198" s="2" t="str">
        <x:v>Acute Care Hospitals</x:v>
      </x:c>
      <x:c r="F3198" s="2" t="str">
        <x:v>Voluntary non-profit</x:v>
      </x:c>
      <x:c r="G3198" s="2" t="str">
        <x:v>Small (&lt;100 beds)</x:v>
      </x:c>
      <x:c r="H3198" s="7" t="n">
        <x:v>3</x:v>
      </x:c>
      <x:c r="I3198" s="7" t="n">
        <x:v>2</x:v>
      </x:c>
      <x:c r="J3198" s="7" t="n">
        <x:v>0.99</x:v>
      </x:c>
      <x:c r="K3198" s="8" t="n">
        <x:v>74</x:v>
      </x:c>
      <x:c r="L3198" s="8" t="n">
        <x:v>2663</x:v>
      </x:c>
      <x:c r="M3198" s="9" t="n">
        <x:v>0.4578348841</x:v>
      </x:c>
      <x:c r="N3198" s="10" t="n">
        <x:v>42632.3995493804</x:v>
      </x:c>
      <x:c r="O3198" s="9" t="n">
        <x:v>0.3301416204</x:v>
      </x:c>
      <x:c r="P3198" s="9" t="n">
        <x:v>0.3527827648</x:v>
      </x:c>
      <x:c r="Q3198" s="9" t="n">
        <x:v>0.1687612208</x:v>
      </x:c>
      <x:c r="R3198" s="3" t="b">
        <x:v>0</x:v>
      </x:c>
      <x:c r="S3198" s="3" t="b">
        <x:v>0</x:v>
      </x:c>
      <x:c r="T3198" s="3" t="b">
        <x:v>0</x:v>
      </x:c>
      <x:c r="U3198" s="2" t="str">
        <x:f>IF(T3198=TRUE,"Priority review",IF(R3198=TRUE,"High cost",IF(S3198=TRUE,"Low quality","Benchmark")))</x:f>
        <x:v>Benchmark</x:v>
      </x:c>
    </x:row>
    <x:row r="3199">
      <x:c r="A3199" s="2" t="str">
        <x:v>184014</x:v>
      </x:c>
      <x:c r="B3199" s="2" t="str">
        <x:v>CUMBERLAND HALL HOSPITAL</x:v>
      </x:c>
      <x:c r="C3199" s="2" t="str">
        <x:v>HOPKINSVILLE</x:v>
      </x:c>
      <x:c r="D3199" s="2" t="str">
        <x:v>KY</x:v>
      </x:c>
      <x:c r="E3199" s="2" t="str">
        <x:v>Psychiatric</x:v>
      </x:c>
      <x:c r="F3199" s="2" t="str">
        <x:v>Proprietary</x:v>
      </x:c>
      <x:c r="G3199" s="2" t="str">
        <x:v>Small (&lt;100 beds)</x:v>
      </x:c>
      <x:c r="H3199" s="7"/>
      <x:c r="I3199" s="7"/>
      <x:c r="J3199" s="7"/>
      <x:c r="K3199" s="8" t="n">
        <x:v>97</x:v>
      </x:c>
      <x:c r="L3199" s="8" t="n">
        <x:v>2038</x:v>
      </x:c>
      <x:c r="M3199" s="9" t="n">
        <x:v>0.4849867613</x:v>
      </x:c>
      <x:c r="N3199" s="10" t="n">
        <x:v>9429.5049067713</x:v>
      </x:c>
      <x:c r="O3199" s="9" t="n">
        <x:v>0.2029017824</x:v>
      </x:c>
      <x:c r="P3199" s="9" t="n">
        <x:v>0.3527508091</x:v>
      </x:c>
      <x:c r="Q3199" s="9" t="n">
        <x:v>0</x:v>
      </x:c>
      <x:c r="R3199" s="3" t="b">
        <x:v>0</x:v>
      </x:c>
      <x:c r="S3199" s="3" t="b">
        <x:v>0</x:v>
      </x:c>
      <x:c r="T3199" s="3" t="b">
        <x:v>0</x:v>
      </x:c>
      <x:c r="U3199" s="2" t="str">
        <x:f>IF(T3199=TRUE,"Priority review",IF(R3199=TRUE,"High cost",IF(S3199=TRUE,"Low quality","Benchmark")))</x:f>
        <x:v>Benchmark</x:v>
      </x:c>
    </x:row>
    <x:row r="3200">
      <x:c r="A3200" s="2" t="str">
        <x:v>451319</x:v>
      </x:c>
      <x:c r="B3200" s="2" t="str">
        <x:v>CHRISTUS MOTHER FRANCES HOSPITAL- JACKSONVILLE</x:v>
      </x:c>
      <x:c r="C3200" s="2" t="str">
        <x:v>JACKSONVILLE</x:v>
      </x:c>
      <x:c r="D3200" s="2" t="str">
        <x:v>TX</x:v>
      </x:c>
      <x:c r="E3200" s="2" t="str">
        <x:v>Critical Access Hospitals</x:v>
      </x:c>
      <x:c r="F3200" s="2" t="str">
        <x:v>Voluntary non-profit</x:v>
      </x:c>
      <x:c r="G3200" s="2" t="str">
        <x:v>Small (&lt;100 beds)</x:v>
      </x:c>
      <x:c r="H3200" s="7"/>
      <x:c r="I3200" s="7" t="n">
        <x:v>5</x:v>
      </x:c>
      <x:c r="J3200" s="7"/>
      <x:c r="K3200" s="8" t="n">
        <x:v>23</x:v>
      </x:c>
      <x:c r="L3200" s="8" t="n">
        <x:v>771</x:v>
      </x:c>
      <x:c r="M3200" s="9" t="n">
        <x:v>0.5616438356</x:v>
      </x:c>
      <x:c r="N3200" s="10" t="n">
        <x:v>105006.8249027237</x:v>
      </x:c>
      <x:c r="O3200" s="9" t="n">
        <x:v>0.1383276211</x:v>
      </x:c>
      <x:c r="P3200" s="9" t="n">
        <x:v>0.3524163569</x:v>
      </x:c>
      <x:c r="Q3200" s="9" t="n">
        <x:v>0.292936803</x:v>
      </x:c>
      <x:c r="R3200" s="3" t="b">
        <x:v>0</x:v>
      </x:c>
      <x:c r="S3200" s="3" t="b">
        <x:v>0</x:v>
      </x:c>
      <x:c r="T3200" s="3" t="b">
        <x:v>0</x:v>
      </x:c>
      <x:c r="U3200" s="2" t="str">
        <x:f>IF(T3200=TRUE,"Priority review",IF(R3200=TRUE,"High cost",IF(S3200=TRUE,"Low quality","Benchmark")))</x:f>
        <x:v>Benchmark</x:v>
      </x:c>
    </x:row>
    <x:row r="3201">
      <x:c r="A3201" s="2" t="str">
        <x:v>140179</x:v>
      </x:c>
      <x:c r="B3201" s="2" t="str">
        <x:v>OSF LITTLE COMPANY OF MARY MEDICAL CENTER</x:v>
      </x:c>
      <x:c r="C3201" s="2" t="str">
        <x:v>EVERGREEN PARK</x:v>
      </x:c>
      <x:c r="D3201" s="2" t="str">
        <x:v>IL</x:v>
      </x:c>
      <x:c r="E3201" s="2" t="str">
        <x:v>Acute Care Hospitals</x:v>
      </x:c>
      <x:c r="F3201" s="2" t="str">
        <x:v>Voluntary non-profit</x:v>
      </x:c>
      <x:c r="G3201" s="2" t="str">
        <x:v>Medium (100-299 beds)</x:v>
      </x:c>
      <x:c r="H3201" s="7" t="n">
        <x:v>2</x:v>
      </x:c>
      <x:c r="I3201" s="7" t="n">
        <x:v>3</x:v>
      </x:c>
      <x:c r="J3201" s="7" t="n">
        <x:v>0.95</x:v>
      </x:c>
      <x:c r="K3201" s="8" t="n">
        <x:v>217</x:v>
      </x:c>
      <x:c r="L3201" s="8" t="n">
        <x:v>10754</x:v>
      </x:c>
      <x:c r="M3201" s="9" t="n">
        <x:v>0.6046813226</x:v>
      </x:c>
      <x:c r="N3201" s="10" t="n">
        <x:v>29232.8589362098</x:v>
      </x:c>
      <x:c r="O3201" s="9" t="n">
        <x:v>-0.1043135888</x:v>
      </x:c>
      <x:c r="P3201" s="9" t="n">
        <x:v>0.3520782396</x:v>
      </x:c>
      <x:c r="Q3201" s="9" t="n">
        <x:v>0.0782396088</x:v>
      </x:c>
      <x:c r="R3201" s="3" t="b">
        <x:v>0</x:v>
      </x:c>
      <x:c r="S3201" s="3" t="b">
        <x:v>1</x:v>
      </x:c>
      <x:c r="T3201" s="3" t="b">
        <x:v>0</x:v>
      </x:c>
      <x:c r="U3201" s="2" t="str">
        <x:f>IF(T3201=TRUE,"Priority review",IF(R3201=TRUE,"High cost",IF(S3201=TRUE,"Low quality","Benchmark")))</x:f>
        <x:v>Low quality</x:v>
      </x:c>
    </x:row>
    <x:row r="3202">
      <x:c r="A3202" s="2" t="str">
        <x:v>370206</x:v>
      </x:c>
      <x:c r="B3202" s="2" t="str">
        <x:v>OKLAHOMA SPINE HOSPITAL</x:v>
      </x:c>
      <x:c r="C3202" s="2" t="str">
        <x:v>OKLAHOMA CITY</x:v>
      </x:c>
      <x:c r="D3202" s="2" t="str">
        <x:v>OK</x:v>
      </x:c>
      <x:c r="E3202" s="2" t="str">
        <x:v>Acute Care Hospitals</x:v>
      </x:c>
      <x:c r="F3202" s="2" t="str">
        <x:v>Other / unknown</x:v>
      </x:c>
      <x:c r="G3202" s="2" t="str">
        <x:v>Small (&lt;100 beds)</x:v>
      </x:c>
      <x:c r="H3202" s="7"/>
      <x:c r="I3202" s="7" t="n">
        <x:v>4</x:v>
      </x:c>
      <x:c r="J3202" s="7" t="n">
        <x:v>1.01</x:v>
      </x:c>
      <x:c r="K3202" s="8" t="n">
        <x:v>23</x:v>
      </x:c>
      <x:c r="L3202" s="8" t="n">
        <x:v>1648</x:v>
      </x:c>
      <x:c r="M3202" s="9" t="n">
        <x:v>0.4842005227</x:v>
      </x:c>
      <x:c r="N3202" s="10" t="n">
        <x:v>42469.0497572816</x:v>
      </x:c>
      <x:c r="O3202" s="9" t="n">
        <x:v>0.0834198776</x:v>
      </x:c>
      <x:c r="P3202" s="9" t="n">
        <x:v>0.3518850987</x:v>
      </x:c>
      <x:c r="Q3202" s="9" t="n">
        <x:v>0.697486535</x:v>
      </x:c>
      <x:c r="R3202" s="3" t="b">
        <x:v>0</x:v>
      </x:c>
      <x:c r="S3202" s="3" t="b">
        <x:v>0</x:v>
      </x:c>
      <x:c r="T3202" s="3" t="b">
        <x:v>0</x:v>
      </x:c>
      <x:c r="U3202" s="2" t="str">
        <x:f>IF(T3202=TRUE,"Priority review",IF(R3202=TRUE,"High cost",IF(S3202=TRUE,"Low quality","Benchmark")))</x:f>
        <x:v>Benchmark</x:v>
      </x:c>
    </x:row>
    <x:row r="3203">
      <x:c r="A3203" s="2" t="str">
        <x:v>050549</x:v>
      </x:c>
      <x:c r="B3203" s="2" t="str">
        <x:v>LOS ROBLES HOSPITAL &amp; MEDICAL CENTER</x:v>
      </x:c>
      <x:c r="C3203" s="2" t="str">
        <x:v>THOUSAND OAKS</x:v>
      </x:c>
      <x:c r="D3203" s="2" t="str">
        <x:v>CA</x:v>
      </x:c>
      <x:c r="E3203" s="2" t="str">
        <x:v>Acute Care Hospitals</x:v>
      </x:c>
      <x:c r="F3203" s="2" t="str">
        <x:v>Proprietary</x:v>
      </x:c>
      <x:c r="G3203" s="2" t="str">
        <x:v>Large (300+ beds)</x:v>
      </x:c>
      <x:c r="H3203" s="7" t="n">
        <x:v>4</x:v>
      </x:c>
      <x:c r="I3203" s="7" t="n">
        <x:v>3</x:v>
      </x:c>
      <x:c r="J3203" s="7" t="n">
        <x:v>1.02</x:v>
      </x:c>
      <x:c r="K3203" s="8" t="n">
        <x:v>310</x:v>
      </x:c>
      <x:c r="L3203" s="8" t="n">
        <x:v>15517</x:v>
      </x:c>
      <x:c r="M3203" s="9" t="n">
        <x:v>0.6758023769</x:v>
      </x:c>
      <x:c r="N3203" s="10" t="n">
        <x:v>32505.2972868467</x:v>
      </x:c>
      <x:c r="O3203" s="9" t="n">
        <x:v>0.224988862</x:v>
      </x:c>
      <x:c r="P3203" s="9" t="n">
        <x:v>0.3517350158</x:v>
      </x:c>
      <x:c r="Q3203" s="9" t="n">
        <x:v>0.5899053628</x:v>
      </x:c>
      <x:c r="R3203" s="3" t="b">
        <x:v>0</x:v>
      </x:c>
      <x:c r="S3203" s="3" t="b">
        <x:v>0</x:v>
      </x:c>
      <x:c r="T3203" s="3" t="b">
        <x:v>0</x:v>
      </x:c>
      <x:c r="U3203" s="2" t="str">
        <x:f>IF(T3203=TRUE,"Priority review",IF(R3203=TRUE,"High cost",IF(S3203=TRUE,"Low quality","Benchmark")))</x:f>
        <x:v>Benchmark</x:v>
      </x:c>
    </x:row>
    <x:row r="3204">
      <x:c r="A3204" s="2" t="str">
        <x:v>381312</x:v>
      </x:c>
      <x:c r="B3204" s="2" t="str">
        <x:v>COQUILLE VALLEY HOSPITAL</x:v>
      </x:c>
      <x:c r="C3204" s="2" t="str">
        <x:v>COQUILLE</x:v>
      </x:c>
      <x:c r="D3204" s="2" t="str">
        <x:v>OR</x:v>
      </x:c>
      <x:c r="E3204" s="2" t="str">
        <x:v>Critical Access Hospitals</x:v>
      </x:c>
      <x:c r="F3204" s="2" t="str">
        <x:v>Government</x:v>
      </x:c>
      <x:c r="G3204" s="2" t="str">
        <x:v>Small (&lt;100 beds)</x:v>
      </x:c>
      <x:c r="H3204" s="7"/>
      <x:c r="I3204" s="7"/>
      <x:c r="J3204" s="7"/>
      <x:c r="K3204" s="8" t="n">
        <x:v>17</x:v>
      </x:c>
      <x:c r="L3204" s="8" t="n">
        <x:v>456</x:v>
      </x:c>
      <x:c r="M3204" s="9" t="n">
        <x:v>0.2663980661</x:v>
      </x:c>
      <x:c r="N3204" s="10" t="n">
        <x:v>104856.6425438596</x:v>
      </x:c>
      <x:c r="O3204" s="9" t="n">
        <x:v>-0.1490927648</x:v>
      </x:c>
      <x:c r="P3204" s="9" t="n">
        <x:v>0.3516728625</x:v>
      </x:c>
      <x:c r="Q3204" s="9" t="n">
        <x:v>0.292936803</x:v>
      </x:c>
      <x:c r="R3204" s="3" t="b">
        <x:v>0</x:v>
      </x:c>
      <x:c r="S3204" s="3" t="b">
        <x:v>0</x:v>
      </x:c>
      <x:c r="T3204" s="3" t="b">
        <x:v>0</x:v>
      </x:c>
      <x:c r="U3204" s="2" t="str">
        <x:f>IF(T3204=TRUE,"Priority review",IF(R3204=TRUE,"High cost",IF(S3204=TRUE,"Low quality","Benchmark")))</x:f>
        <x:v>Benchmark</x:v>
      </x:c>
    </x:row>
    <x:row r="3205">
      <x:c r="A3205" s="2" t="str">
        <x:v>250093</x:v>
      </x:c>
      <x:c r="B3205" s="2" t="str">
        <x:v>BOLIVAR MEDICAL CENTER</x:v>
      </x:c>
      <x:c r="C3205" s="2" t="str">
        <x:v>CLEVELAND</x:v>
      </x:c>
      <x:c r="D3205" s="2" t="str">
        <x:v>MS</x:v>
      </x:c>
      <x:c r="E3205" s="2" t="str">
        <x:v>Acute Care Hospitals</x:v>
      </x:c>
      <x:c r="F3205" s="2" t="str">
        <x:v>Proprietary</x:v>
      </x:c>
      <x:c r="G3205" s="2" t="str">
        <x:v>Medium (100-299 beds)</x:v>
      </x:c>
      <x:c r="H3205" s="7" t="n">
        <x:v>1</x:v>
      </x:c>
      <x:c r="I3205" s="7" t="n">
        <x:v>3</x:v>
      </x:c>
      <x:c r="J3205" s="7" t="n">
        <x:v>0.98</x:v>
      </x:c>
      <x:c r="K3205" s="8" t="n">
        <x:v>152</x:v>
      </x:c>
      <x:c r="L3205" s="8" t="n">
        <x:v>2240</x:v>
      </x:c>
      <x:c r="M3205" s="9" t="n">
        <x:v>0.1858687815</x:v>
      </x:c>
      <x:c r="N3205" s="10" t="n">
        <x:v>29216.2790178571</x:v>
      </x:c>
      <x:c r="O3205" s="9" t="n">
        <x:v>0.0286240826</x:v>
      </x:c>
      <x:c r="P3205" s="9" t="n">
        <x:v>0.3512632437</x:v>
      </x:c>
      <x:c r="Q3205" s="9" t="n">
        <x:v>0</x:v>
      </x:c>
      <x:c r="R3205" s="3" t="b">
        <x:v>0</x:v>
      </x:c>
      <x:c r="S3205" s="3" t="b">
        <x:v>1</x:v>
      </x:c>
      <x:c r="T3205" s="3" t="b">
        <x:v>0</x:v>
      </x:c>
      <x:c r="U3205" s="2" t="str">
        <x:f>IF(T3205=TRUE,"Priority review",IF(R3205=TRUE,"High cost",IF(S3205=TRUE,"Low quality","Benchmark")))</x:f>
        <x:v>Low quality</x:v>
      </x:c>
    </x:row>
    <x:row r="3206">
      <x:c r="A3206" s="2" t="str">
        <x:v>380052</x:v>
      </x:c>
      <x:c r="B3206" s="2" t="str">
        <x:v>SAINT ALPHONSUS MEDICAL CENTER ONTARIO</x:v>
      </x:c>
      <x:c r="C3206" s="2" t="str">
        <x:v>ONTARIO</x:v>
      </x:c>
      <x:c r="D3206" s="2" t="str">
        <x:v>OR</x:v>
      </x:c>
      <x:c r="E3206" s="2" t="str">
        <x:v>Acute Care Hospitals</x:v>
      </x:c>
      <x:c r="F3206" s="2" t="str">
        <x:v>Voluntary non-profit</x:v>
      </x:c>
      <x:c r="G3206" s="2" t="str">
        <x:v>Small (&lt;100 beds)</x:v>
      </x:c>
      <x:c r="H3206" s="7" t="n">
        <x:v>2</x:v>
      </x:c>
      <x:c r="I3206" s="7" t="n">
        <x:v>3</x:v>
      </x:c>
      <x:c r="J3206" s="7" t="n">
        <x:v>0.91</x:v>
      </x:c>
      <x:c r="K3206" s="8" t="n">
        <x:v>35</x:v>
      </x:c>
      <x:c r="L3206" s="8" t="n">
        <x:v>1796</x:v>
      </x:c>
      <x:c r="M3206" s="9" t="n">
        <x:v>0.3655577299</x:v>
      </x:c>
      <x:c r="N3206" s="10" t="n">
        <x:v>42307.9259465479</x:v>
      </x:c>
      <x:c r="O3206" s="9" t="n">
        <x:v>-0.0318274173</x:v>
      </x:c>
      <x:c r="P3206" s="9" t="n">
        <x:v>0.3509874327</x:v>
      </x:c>
      <x:c r="Q3206" s="9" t="n">
        <x:v>0.0350089767</x:v>
      </x:c>
      <x:c r="R3206" s="3" t="b">
        <x:v>0</x:v>
      </x:c>
      <x:c r="S3206" s="3" t="b">
        <x:v>1</x:v>
      </x:c>
      <x:c r="T3206" s="3" t="b">
        <x:v>0</x:v>
      </x:c>
      <x:c r="U3206" s="2" t="str">
        <x:f>IF(T3206=TRUE,"Priority review",IF(R3206=TRUE,"High cost",IF(S3206=TRUE,"Low quality","Benchmark")))</x:f>
        <x:v>Low quality</x:v>
      </x:c>
    </x:row>
    <x:row r="3207">
      <x:c r="A3207" s="2" t="str">
        <x:v>151303</x:v>
      </x:c>
      <x:c r="B3207" s="2" t="str">
        <x:v>ASCENSION ST VINCENT JENNINGS</x:v>
      </x:c>
      <x:c r="C3207" s="2" t="str">
        <x:v>NORTH VERNON</x:v>
      </x:c>
      <x:c r="D3207" s="2" t="str">
        <x:v>IN</x:v>
      </x:c>
      <x:c r="E3207" s="2" t="str">
        <x:v>Critical Access Hospitals</x:v>
      </x:c>
      <x:c r="F3207" s="2" t="str">
        <x:v>Voluntary non-profit</x:v>
      </x:c>
      <x:c r="G3207" s="2" t="str">
        <x:v>Small (&lt;100 beds)</x:v>
      </x:c>
      <x:c r="H3207" s="7"/>
      <x:c r="I3207" s="7"/>
      <x:c r="J3207" s="7"/>
      <x:c r="K3207" s="8" t="n">
        <x:v>17</x:v>
      </x:c>
      <x:c r="L3207" s="8" t="n">
        <x:v>198</x:v>
      </x:c>
      <x:c r="M3207" s="9" t="n">
        <x:v>0.1481063658</x:v>
      </x:c>
      <x:c r="N3207" s="10" t="n">
        <x:v>104716.9545454545</x:v>
      </x:c>
      <x:c r="O3207" s="9" t="n">
        <x:v>0.099640446</x:v>
      </x:c>
      <x:c r="P3207" s="9" t="n">
        <x:v>0.350929368</x:v>
      </x:c>
      <x:c r="Q3207" s="9" t="n">
        <x:v>0.292936803</x:v>
      </x:c>
      <x:c r="R3207" s="3" t="b">
        <x:v>0</x:v>
      </x:c>
      <x:c r="S3207" s="3" t="b">
        <x:v>0</x:v>
      </x:c>
      <x:c r="T3207" s="3" t="b">
        <x:v>0</x:v>
      </x:c>
      <x:c r="U3207" s="2" t="str">
        <x:f>IF(T3207=TRUE,"Priority review",IF(R3207=TRUE,"High cost",IF(S3207=TRUE,"Low quality","Benchmark")))</x:f>
        <x:v>Benchmark</x:v>
      </x:c>
    </x:row>
    <x:row r="3208">
      <x:c r="A3208" s="2" t="str">
        <x:v>100319</x:v>
      </x:c>
      <x:c r="B3208" s="2" t="str">
        <x:v>ADVENTHEALTH WESLEY CHAPEL</x:v>
      </x:c>
      <x:c r="C3208" s="2" t="str">
        <x:v>WESLEY CHAPEL</x:v>
      </x:c>
      <x:c r="D3208" s="2" t="str">
        <x:v>FL</x:v>
      </x:c>
      <x:c r="E3208" s="2" t="str">
        <x:v>Acute Care Hospitals</x:v>
      </x:c>
      <x:c r="F3208" s="2" t="str">
        <x:v>Voluntary non-profit</x:v>
      </x:c>
      <x:c r="G3208" s="2" t="str">
        <x:v>Medium (100-299 beds)</x:v>
      </x:c>
      <x:c r="H3208" s="7" t="n">
        <x:v>5</x:v>
      </x:c>
      <x:c r="I3208" s="7" t="n">
        <x:v>4</x:v>
      </x:c>
      <x:c r="J3208" s="7" t="n">
        <x:v>0.95</x:v>
      </x:c>
      <x:c r="K3208" s="8" t="n">
        <x:v>169</x:v>
      </x:c>
      <x:c r="L3208" s="8" t="n">
        <x:v>12384</x:v>
      </x:c>
      <x:c r="M3208" s="9" t="n">
        <x:v>0.7406958321</x:v>
      </x:c>
      <x:c r="N3208" s="10" t="n">
        <x:v>29084.4145671835</x:v>
      </x:c>
      <x:c r="O3208" s="9" t="n">
        <x:v>0.2155453979</x:v>
      </x:c>
      <x:c r="P3208" s="9" t="n">
        <x:v>0.3504482478</x:v>
      </x:c>
      <x:c r="Q3208" s="9" t="n">
        <x:v>0.8744906275</x:v>
      </x:c>
      <x:c r="R3208" s="3" t="b">
        <x:v>0</x:v>
      </x:c>
      <x:c r="S3208" s="3" t="b">
        <x:v>0</x:v>
      </x:c>
      <x:c r="T3208" s="3" t="b">
        <x:v>0</x:v>
      </x:c>
      <x:c r="U3208" s="2" t="str">
        <x:f>IF(T3208=TRUE,"Priority review",IF(R3208=TRUE,"High cost",IF(S3208=TRUE,"Low quality","Benchmark")))</x:f>
        <x:v>Benchmark</x:v>
      </x:c>
    </x:row>
    <x:row r="3209">
      <x:c r="A3209" s="2" t="str">
        <x:v>381313</x:v>
      </x:c>
      <x:c r="B3209" s="2" t="str">
        <x:v>ST CHARLES MEDICAL CENTER PRINEVILLE</x:v>
      </x:c>
      <x:c r="C3209" s="2" t="str">
        <x:v>PRINEVILLE</x:v>
      </x:c>
      <x:c r="D3209" s="2" t="str">
        <x:v>OR</x:v>
      </x:c>
      <x:c r="E3209" s="2" t="str">
        <x:v>Critical Access Hospitals</x:v>
      </x:c>
      <x:c r="F3209" s="2" t="str">
        <x:v>Voluntary non-profit</x:v>
      </x:c>
      <x:c r="G3209" s="2" t="str">
        <x:v>Small (&lt;100 beds)</x:v>
      </x:c>
      <x:c r="H3209" s="7" t="n">
        <x:v>3</x:v>
      </x:c>
      <x:c r="I3209" s="7" t="n">
        <x:v>4</x:v>
      </x:c>
      <x:c r="J3209" s="7"/>
      <x:c r="K3209" s="8" t="n">
        <x:v>16</x:v>
      </x:c>
      <x:c r="L3209" s="8" t="n">
        <x:v>529</x:v>
      </x:c>
      <x:c r="M3209" s="9" t="n">
        <x:v>0.4641393443</x:v>
      </x:c>
      <x:c r="N3209" s="10" t="n">
        <x:v>104696.3648393195</x:v>
      </x:c>
      <x:c r="O3209" s="9" t="n">
        <x:v>0.2659109576</x:v>
      </x:c>
      <x:c r="P3209" s="9" t="n">
        <x:v>0.3501858736</x:v>
      </x:c>
      <x:c r="Q3209" s="9" t="n">
        <x:v>0.0765799257</x:v>
      </x:c>
      <x:c r="R3209" s="3" t="b">
        <x:v>0</x:v>
      </x:c>
      <x:c r="S3209" s="3" t="b">
        <x:v>1</x:v>
      </x:c>
      <x:c r="T3209" s="3" t="b">
        <x:v>0</x:v>
      </x:c>
      <x:c r="U3209" s="2" t="str">
        <x:f>IF(T3209=TRUE,"Priority review",IF(R3209=TRUE,"High cost",IF(S3209=TRUE,"Low quality","Benchmark")))</x:f>
        <x:v>Low quality</x:v>
      </x:c>
    </x:row>
    <x:row r="3210">
      <x:c r="A3210" s="2" t="str">
        <x:v>190002</x:v>
      </x:c>
      <x:c r="B3210" s="2" t="str">
        <x:v>OCHSNER LAFAYETTE GENERAL MEDICAL CENTER</x:v>
      </x:c>
      <x:c r="C3210" s="2" t="str">
        <x:v>LAFAYETTE</x:v>
      </x:c>
      <x:c r="D3210" s="2" t="str">
        <x:v>LA</x:v>
      </x:c>
      <x:c r="E3210" s="2" t="str">
        <x:v>Acute Care Hospitals</x:v>
      </x:c>
      <x:c r="F3210" s="2" t="str">
        <x:v>Voluntary non-profit</x:v>
      </x:c>
      <x:c r="G3210" s="2" t="str">
        <x:v>Large (300+ beds)</x:v>
      </x:c>
      <x:c r="H3210" s="7" t="n">
        <x:v>3</x:v>
      </x:c>
      <x:c r="I3210" s="7" t="n">
        <x:v>3</x:v>
      </x:c>
      <x:c r="J3210" s="7" t="n">
        <x:v>1.02</x:v>
      </x:c>
      <x:c r="K3210" s="8" t="n">
        <x:v>468</x:v>
      </x:c>
      <x:c r="L3210" s="8" t="n">
        <x:v>20937</x:v>
      </x:c>
      <x:c r="M3210" s="9" t="n">
        <x:v>0.7131556209</x:v>
      </x:c>
      <x:c r="N3210" s="10" t="n">
        <x:v>32488.5608730955</x:v>
      </x:c>
      <x:c r="O3210" s="9" t="n">
        <x:v>-0.0407482517</x:v>
      </x:c>
      <x:c r="P3210" s="9" t="n">
        <x:v>0.3501577287</x:v>
      </x:c>
      <x:c r="Q3210" s="9" t="n">
        <x:v>0.2570977918</x:v>
      </x:c>
      <x:c r="R3210" s="3" t="b">
        <x:v>0</x:v>
      </x:c>
      <x:c r="S3210" s="3" t="b">
        <x:v>0</x:v>
      </x:c>
      <x:c r="T3210" s="3" t="b">
        <x:v>0</x:v>
      </x:c>
      <x:c r="U3210" s="2" t="str">
        <x:f>IF(T3210=TRUE,"Priority review",IF(R3210=TRUE,"High cost",IF(S3210=TRUE,"Low quality","Benchmark")))</x:f>
        <x:v>Benchmark</x:v>
      </x:c>
    </x:row>
    <x:row r="3211">
      <x:c r="A3211" s="2" t="str">
        <x:v>330135</x:v>
      </x:c>
      <x:c r="B3211" s="2" t="str">
        <x:v>BON SECOURS COMMUNITY HOSPITAL</x:v>
      </x:c>
      <x:c r="C3211" s="2" t="str">
        <x:v>PORT JERVIS</x:v>
      </x:c>
      <x:c r="D3211" s="2" t="str">
        <x:v>NY</x:v>
      </x:c>
      <x:c r="E3211" s="2" t="str">
        <x:v>Acute Care Hospitals</x:v>
      </x:c>
      <x:c r="F3211" s="2" t="str">
        <x:v>Voluntary non-profit</x:v>
      </x:c>
      <x:c r="G3211" s="2" t="str">
        <x:v>Small (&lt;100 beds)</x:v>
      </x:c>
      <x:c r="H3211" s="7" t="n">
        <x:v>2</x:v>
      </x:c>
      <x:c r="I3211" s="7" t="n">
        <x:v>2</x:v>
      </x:c>
      <x:c r="J3211" s="7" t="n">
        <x:v>0.89</x:v>
      </x:c>
      <x:c r="K3211" s="8" t="n">
        <x:v>62</x:v>
      </x:c>
      <x:c r="L3211" s="8" t="n">
        <x:v>2296</x:v>
      </x:c>
      <x:c r="M3211" s="9" t="n">
        <x:v>0.5592279217</x:v>
      </x:c>
      <x:c r="N3211" s="10" t="n">
        <x:v>42217.4642857143</x:v>
      </x:c>
      <x:c r="O3211" s="9" t="n">
        <x:v>-0.3264611805</x:v>
      </x:c>
      <x:c r="P3211" s="9" t="n">
        <x:v>0.3500897666</x:v>
      </x:c>
      <x:c r="Q3211" s="9" t="n">
        <x:v>0.0350089767</x:v>
      </x:c>
      <x:c r="R3211" s="3" t="b">
        <x:v>0</x:v>
      </x:c>
      <x:c r="S3211" s="3" t="b">
        <x:v>1</x:v>
      </x:c>
      <x:c r="T3211" s="3" t="b">
        <x:v>0</x:v>
      </x:c>
      <x:c r="U3211" s="2" t="str">
        <x:f>IF(T3211=TRUE,"Priority review",IF(R3211=TRUE,"High cost",IF(S3211=TRUE,"Low quality","Benchmark")))</x:f>
        <x:v>Low quality</x:v>
      </x:c>
    </x:row>
    <x:row r="3212">
      <x:c r="A3212" s="2" t="str">
        <x:v>140083</x:v>
      </x:c>
      <x:c r="B3212" s="2" t="str">
        <x:v>LORETTO HOSPITAL</x:v>
      </x:c>
      <x:c r="C3212" s="2" t="str">
        <x:v>CHICAGO</x:v>
      </x:c>
      <x:c r="D3212" s="2" t="str">
        <x:v>IL</x:v>
      </x:c>
      <x:c r="E3212" s="2" t="str">
        <x:v>Acute Care Hospitals</x:v>
      </x:c>
      <x:c r="F3212" s="2" t="str">
        <x:v>Voluntary non-profit</x:v>
      </x:c>
      <x:c r="G3212" s="2" t="str">
        <x:v>Medium (100-299 beds)</x:v>
      </x:c>
      <x:c r="H3212" s="7"/>
      <x:c r="I3212" s="7"/>
      <x:c r="J3212" s="7" t="n">
        <x:v>1.18</x:v>
      </x:c>
      <x:c r="K3212" s="8" t="n">
        <x:v>122</x:v>
      </x:c>
      <x:c r="L3212" s="8" t="n">
        <x:v>2624</x:v>
      </x:c>
      <x:c r="M3212" s="9" t="n">
        <x:v>0.381585448</x:v>
      </x:c>
      <x:c r="N3212" s="10" t="n">
        <x:v>29039.8296493902</x:v>
      </x:c>
      <x:c r="O3212" s="9" t="n">
        <x:v>-0.7392991028</x:v>
      </x:c>
      <x:c r="P3212" s="9" t="n">
        <x:v>0.3496332518</x:v>
      </x:c>
      <x:c r="Q3212" s="9" t="n">
        <x:v>0.9616951915</x:v>
      </x:c>
      <x:c r="R3212" s="3" t="b">
        <x:v>0</x:v>
      </x:c>
      <x:c r="S3212" s="3" t="b">
        <x:v>0</x:v>
      </x:c>
      <x:c r="T3212" s="3" t="b">
        <x:v>0</x:v>
      </x:c>
      <x:c r="U3212" s="2" t="str">
        <x:f>IF(T3212=TRUE,"Priority review",IF(R3212=TRUE,"High cost",IF(S3212=TRUE,"Low quality","Benchmark")))</x:f>
        <x:v>Benchmark</x:v>
      </x:c>
    </x:row>
    <x:row r="3213">
      <x:c r="A3213" s="2" t="str">
        <x:v>364052</x:v>
      </x:c>
      <x:c r="B3213" s="2" t="str">
        <x:v>CLEAR VISTA HEALTH &amp; WELLNESS</x:v>
      </x:c>
      <x:c r="C3213" s="2" t="str">
        <x:v>LORAIN</x:v>
      </x:c>
      <x:c r="D3213" s="2" t="str">
        <x:v>OH</x:v>
      </x:c>
      <x:c r="E3213" s="2" t="str">
        <x:v>Psychiatric</x:v>
      </x:c>
      <x:c r="F3213" s="2" t="str">
        <x:v>Proprietary</x:v>
      </x:c>
      <x:c r="G3213" s="2" t="str">
        <x:v>Small (&lt;100 beds)</x:v>
      </x:c>
      <x:c r="H3213" s="7"/>
      <x:c r="I3213" s="7"/>
      <x:c r="J3213" s="7"/>
      <x:c r="K3213" s="8" t="n">
        <x:v>52</x:v>
      </x:c>
      <x:c r="L3213" s="8" t="n">
        <x:v>1439</x:v>
      </x:c>
      <x:c r="M3213" s="9" t="n">
        <x:v>0.7991570074</x:v>
      </x:c>
      <x:c r="N3213" s="10" t="n">
        <x:v>9423.0326615705</x:v>
      </x:c>
      <x:c r="O3213" s="9" t="n">
        <x:v>0.1590396448</x:v>
      </x:c>
      <x:c r="P3213" s="9" t="n">
        <x:v>0.3495145631</x:v>
      </x:c>
      <x:c r="Q3213" s="9" t="n">
        <x:v>0</x:v>
      </x:c>
      <x:c r="R3213" s="3" t="b">
        <x:v>0</x:v>
      </x:c>
      <x:c r="S3213" s="3" t="b">
        <x:v>0</x:v>
      </x:c>
      <x:c r="T3213" s="3" t="b">
        <x:v>0</x:v>
      </x:c>
      <x:c r="U3213" s="2" t="str">
        <x:f>IF(T3213=TRUE,"Priority review",IF(R3213=TRUE,"High cost",IF(S3213=TRUE,"Low quality","Benchmark")))</x:f>
        <x:v>Benchmark</x:v>
      </x:c>
    </x:row>
    <x:row r="3214">
      <x:c r="A3214" s="2" t="str">
        <x:v>241369</x:v>
      </x:c>
      <x:c r="B3214" s="2" t="str">
        <x:v>UNITED HOSPITAL DISTRICT</x:v>
      </x:c>
      <x:c r="C3214" s="2" t="str">
        <x:v>BLUE EARTH</x:v>
      </x:c>
      <x:c r="D3214" s="2" t="str">
        <x:v>MN</x:v>
      </x:c>
      <x:c r="E3214" s="2" t="str">
        <x:v>Critical Access Hospitals</x:v>
      </x:c>
      <x:c r="F3214" s="2" t="str">
        <x:v>Government</x:v>
      </x:c>
      <x:c r="G3214" s="2" t="str">
        <x:v>Small (&lt;100 beds)</x:v>
      </x:c>
      <x:c r="H3214" s="7" t="n">
        <x:v>5</x:v>
      </x:c>
      <x:c r="I3214" s="7" t="n">
        <x:v>4</x:v>
      </x:c>
      <x:c r="J3214" s="7"/>
      <x:c r="K3214" s="8" t="n">
        <x:v>24</x:v>
      </x:c>
      <x:c r="L3214" s="8" t="n">
        <x:v>506</x:v>
      </x:c>
      <x:c r="M3214" s="9" t="n">
        <x:v>0.2712887067</x:v>
      </x:c>
      <x:c r="N3214" s="10" t="n">
        <x:v>104606.2470355731</x:v>
      </x:c>
      <x:c r="O3214" s="9" t="n">
        <x:v>-0.0430151963</x:v>
      </x:c>
      <x:c r="P3214" s="9" t="n">
        <x:v>0.3494423792</x:v>
      </x:c>
      <x:c r="Q3214" s="9" t="n">
        <x:v>0.2602230483</x:v>
      </x:c>
      <x:c r="R3214" s="3" t="b">
        <x:v>0</x:v>
      </x:c>
      <x:c r="S3214" s="3" t="b">
        <x:v>0</x:v>
      </x:c>
      <x:c r="T3214" s="3" t="b">
        <x:v>0</x:v>
      </x:c>
      <x:c r="U3214" s="2" t="str">
        <x:f>IF(T3214=TRUE,"Priority review",IF(R3214=TRUE,"High cost",IF(S3214=TRUE,"Low quality","Benchmark")))</x:f>
        <x:v>Benchmark</x:v>
      </x:c>
    </x:row>
    <x:row r="3215">
      <x:c r="A3215" s="2" t="str">
        <x:v>460014</x:v>
      </x:c>
      <x:c r="B3215" s="2" t="str">
        <x:v>MOUNTAIN WEST MEDICAL CENTER</x:v>
      </x:c>
      <x:c r="C3215" s="2" t="str">
        <x:v>TOOELE</x:v>
      </x:c>
      <x:c r="D3215" s="2" t="str">
        <x:v>UT</x:v>
      </x:c>
      <x:c r="E3215" s="2" t="str">
        <x:v>Acute Care Hospitals</x:v>
      </x:c>
      <x:c r="F3215" s="2" t="str">
        <x:v>Proprietary</x:v>
      </x:c>
      <x:c r="G3215" s="2" t="str">
        <x:v>Small (&lt;100 beds)</x:v>
      </x:c>
      <x:c r="H3215" s="7" t="n">
        <x:v>4</x:v>
      </x:c>
      <x:c r="I3215" s="7" t="n">
        <x:v>4</x:v>
      </x:c>
      <x:c r="J3215" s="7" t="n">
        <x:v>0.9</x:v>
      </x:c>
      <x:c r="K3215" s="8" t="n">
        <x:v>36</x:v>
      </x:c>
      <x:c r="L3215" s="8" t="n">
        <x:v>1749</x:v>
      </x:c>
      <x:c r="M3215" s="9" t="n">
        <x:v>0.3836520947</x:v>
      </x:c>
      <x:c r="N3215" s="10" t="n">
        <x:v>42144.7718696398</x:v>
      </x:c>
      <x:c r="O3215" s="9" t="n">
        <x:v>0.3941215314</x:v>
      </x:c>
      <x:c r="P3215" s="9" t="n">
        <x:v>0.3491921005</x:v>
      </x:c>
      <x:c r="Q3215" s="9" t="n">
        <x:v>0.3913824057</x:v>
      </x:c>
      <x:c r="R3215" s="3" t="b">
        <x:v>0</x:v>
      </x:c>
      <x:c r="S3215" s="3" t="b">
        <x:v>0</x:v>
      </x:c>
      <x:c r="T3215" s="3" t="b">
        <x:v>0</x:v>
      </x:c>
      <x:c r="U3215" s="2" t="str">
        <x:f>IF(T3215=TRUE,"Priority review",IF(R3215=TRUE,"High cost",IF(S3215=TRUE,"Low quality","Benchmark")))</x:f>
        <x:v>Benchmark</x:v>
      </x:c>
    </x:row>
    <x:row r="3216">
      <x:c r="A3216" s="2" t="str">
        <x:v>220090</x:v>
      </x:c>
      <x:c r="B3216" s="2" t="str">
        <x:v>MILFORD REGIONAL MEDICAL CENTER</x:v>
      </x:c>
      <x:c r="C3216" s="2" t="str">
        <x:v>MILFORD</x:v>
      </x:c>
      <x:c r="D3216" s="2" t="str">
        <x:v>MA</x:v>
      </x:c>
      <x:c r="E3216" s="2" t="str">
        <x:v>Acute Care Hospitals</x:v>
      </x:c>
      <x:c r="F3216" s="2" t="str">
        <x:v>Voluntary non-profit</x:v>
      </x:c>
      <x:c r="G3216" s="2" t="str">
        <x:v>Medium (100-299 beds)</x:v>
      </x:c>
      <x:c r="H3216" s="7" t="n">
        <x:v>4</x:v>
      </x:c>
      <x:c r="I3216" s="7" t="n">
        <x:v>4</x:v>
      </x:c>
      <x:c r="J3216" s="7" t="n">
        <x:v>0.97</x:v>
      </x:c>
      <x:c r="K3216" s="8" t="n">
        <x:v>148</x:v>
      </x:c>
      <x:c r="L3216" s="8" t="n">
        <x:v>10413</x:v>
      </x:c>
      <x:c r="M3216" s="9" t="n">
        <x:v>0.6367043273</x:v>
      </x:c>
      <x:c r="N3216" s="10" t="n">
        <x:v>28958.9551522136</x:v>
      </x:c>
      <x:c r="O3216" s="9" t="n">
        <x:v>-0.0859560822</x:v>
      </x:c>
      <x:c r="P3216" s="9" t="n">
        <x:v>0.3488182559</x:v>
      </x:c>
      <x:c r="Q3216" s="9" t="n">
        <x:v>0.6022819886</x:v>
      </x:c>
      <x:c r="R3216" s="3" t="b">
        <x:v>0</x:v>
      </x:c>
      <x:c r="S3216" s="3" t="b">
        <x:v>0</x:v>
      </x:c>
      <x:c r="T3216" s="3" t="b">
        <x:v>0</x:v>
      </x:c>
      <x:c r="U3216" s="2" t="str">
        <x:f>IF(T3216=TRUE,"Priority review",IF(R3216=TRUE,"High cost",IF(S3216=TRUE,"Low quality","Benchmark")))</x:f>
        <x:v>Benchmark</x:v>
      </x:c>
    </x:row>
    <x:row r="3217">
      <x:c r="A3217" s="2" t="str">
        <x:v>391301</x:v>
      </x:c>
      <x:c r="B3217" s="2" t="str">
        <x:v>UPMC MUNCY</x:v>
      </x:c>
      <x:c r="C3217" s="2" t="str">
        <x:v>MUNCY</x:v>
      </x:c>
      <x:c r="D3217" s="2" t="str">
        <x:v>PA</x:v>
      </x:c>
      <x:c r="E3217" s="2" t="str">
        <x:v>Critical Access Hospitals</x:v>
      </x:c>
      <x:c r="F3217" s="2" t="str">
        <x:v>Voluntary non-profit</x:v>
      </x:c>
      <x:c r="G3217" s="2" t="str">
        <x:v>Small (&lt;100 beds)</x:v>
      </x:c>
      <x:c r="H3217" s="7" t="n">
        <x:v>4</x:v>
      </x:c>
      <x:c r="I3217" s="7" t="n">
        <x:v>4</x:v>
      </x:c>
      <x:c r="J3217" s="7"/>
      <x:c r="K3217" s="8" t="n">
        <x:v>20</x:v>
      </x:c>
      <x:c r="L3217" s="8" t="n">
        <x:v>569</x:v>
      </x:c>
      <x:c r="M3217" s="9" t="n">
        <x:v>0.5167123288</x:v>
      </x:c>
      <x:c r="N3217" s="10" t="n">
        <x:v>104485.0527240773</x:v>
      </x:c>
      <x:c r="O3217" s="9" t="n">
        <x:v>0.0769611569</x:v>
      </x:c>
      <x:c r="P3217" s="9" t="n">
        <x:v>0.3486988848</x:v>
      </x:c>
      <x:c r="Q3217" s="9" t="n">
        <x:v>0.1657992565</x:v>
      </x:c>
      <x:c r="R3217" s="3" t="b">
        <x:v>0</x:v>
      </x:c>
      <x:c r="S3217" s="3" t="b">
        <x:v>0</x:v>
      </x:c>
      <x:c r="T3217" s="3" t="b">
        <x:v>0</x:v>
      </x:c>
      <x:c r="U3217" s="2" t="str">
        <x:f>IF(T3217=TRUE,"Priority review",IF(R3217=TRUE,"High cost",IF(S3217=TRUE,"Low quality","Benchmark")))</x:f>
        <x:v>Benchmark</x:v>
      </x:c>
    </x:row>
    <x:row r="3218">
      <x:c r="A3218" s="2" t="str">
        <x:v>370091</x:v>
      </x:c>
      <x:c r="B3218" s="2" t="str">
        <x:v>SAINT FRANCIS HOSPITAL, INC</x:v>
      </x:c>
      <x:c r="C3218" s="2" t="str">
        <x:v>TULSA</x:v>
      </x:c>
      <x:c r="D3218" s="2" t="str">
        <x:v>OK</x:v>
      </x:c>
      <x:c r="E3218" s="2" t="str">
        <x:v>Acute Care Hospitals</x:v>
      </x:c>
      <x:c r="F3218" s="2" t="str">
        <x:v>Voluntary non-profit</x:v>
      </x:c>
      <x:c r="G3218" s="2" t="str">
        <x:v>Large (300+ beds)</x:v>
      </x:c>
      <x:c r="H3218" s="7" t="n">
        <x:v>5</x:v>
      </x:c>
      <x:c r="I3218" s="7" t="n">
        <x:v>3</x:v>
      </x:c>
      <x:c r="J3218" s="7" t="n">
        <x:v>1.03</x:v>
      </x:c>
      <x:c r="K3218" s="8" t="n">
        <x:v>934</x:v>
      </x:c>
      <x:c r="L3218" s="8" t="n">
        <x:v>50373</x:v>
      </x:c>
      <x:c r="M3218" s="9" t="n">
        <x:v>0.7941191391</x:v>
      </x:c>
      <x:c r="N3218" s="10" t="n">
        <x:v>32309.1702697874</x:v>
      </x:c>
      <x:c r="O3218" s="9" t="n">
        <x:v>0.0737112186</x:v>
      </x:c>
      <x:c r="P3218" s="9" t="n">
        <x:v>0.3485804416</x:v>
      </x:c>
      <x:c r="Q3218" s="9" t="n">
        <x:v>0.8722397476</x:v>
      </x:c>
      <x:c r="R3218" s="3" t="b">
        <x:v>0</x:v>
      </x:c>
      <x:c r="S3218" s="3" t="b">
        <x:v>0</x:v>
      </x:c>
      <x:c r="T3218" s="3" t="b">
        <x:v>0</x:v>
      </x:c>
      <x:c r="U3218" s="2" t="str">
        <x:f>IF(T3218=TRUE,"Priority review",IF(R3218=TRUE,"High cost",IF(S3218=TRUE,"Low quality","Benchmark")))</x:f>
        <x:v>Benchmark</x:v>
      </x:c>
    </x:row>
    <x:row r="3219">
      <x:c r="A3219" s="2" t="str">
        <x:v>490117</x:v>
      </x:c>
      <x:c r="B3219" s="2" t="str">
        <x:v>CARILION TAZEWELL COMMUNITY HOSPITAL</x:v>
      </x:c>
      <x:c r="C3219" s="2" t="str">
        <x:v>TAZEWELL</x:v>
      </x:c>
      <x:c r="D3219" s="2" t="str">
        <x:v>VA</x:v>
      </x:c>
      <x:c r="E3219" s="2" t="str">
        <x:v>Acute Care Hospitals</x:v>
      </x:c>
      <x:c r="F3219" s="2" t="str">
        <x:v>Voluntary non-profit</x:v>
      </x:c>
      <x:c r="G3219" s="2" t="str">
        <x:v>Small (&lt;100 beds)</x:v>
      </x:c>
      <x:c r="H3219" s="7"/>
      <x:c r="I3219" s="7" t="n">
        <x:v>4</x:v>
      </x:c>
      <x:c r="J3219" s="7" t="n">
        <x:v>0.9</x:v>
      </x:c>
      <x:c r="K3219" s="8" t="n">
        <x:v>23</x:v>
      </x:c>
      <x:c r="L3219" s="8" t="n">
        <x:v>662</x:v>
      </x:c>
      <x:c r="M3219" s="9" t="n">
        <x:v>0.3561416013</x:v>
      </x:c>
      <x:c r="N3219" s="10" t="n">
        <x:v>42129.3640483384</x:v>
      </x:c>
      <x:c r="O3219" s="9" t="n">
        <x:v>-0.3169681669</x:v>
      </x:c>
      <x:c r="P3219" s="9" t="n">
        <x:v>0.3482944345</x:v>
      </x:c>
      <x:c r="Q3219" s="9" t="n">
        <x:v>0.697486535</x:v>
      </x:c>
      <x:c r="R3219" s="3" t="b">
        <x:v>0</x:v>
      </x:c>
      <x:c r="S3219" s="3" t="b">
        <x:v>0</x:v>
      </x:c>
      <x:c r="T3219" s="3" t="b">
        <x:v>0</x:v>
      </x:c>
      <x:c r="U3219" s="2" t="str">
        <x:f>IF(T3219=TRUE,"Priority review",IF(R3219=TRUE,"High cost",IF(S3219=TRUE,"Low quality","Benchmark")))</x:f>
        <x:v>Benchmark</x:v>
      </x:c>
    </x:row>
    <x:row r="3220">
      <x:c r="A3220" s="2" t="str">
        <x:v>084002</x:v>
      </x:c>
      <x:c r="B3220" s="2" t="str">
        <x:v>ROCKFORD CENTER</x:v>
      </x:c>
      <x:c r="C3220" s="2" t="str">
        <x:v>NEWARK</x:v>
      </x:c>
      <x:c r="D3220" s="2" t="str">
        <x:v>DE</x:v>
      </x:c>
      <x:c r="E3220" s="2" t="str">
        <x:v>Psychiatric</x:v>
      </x:c>
      <x:c r="F3220" s="2" t="str">
        <x:v>Proprietary</x:v>
      </x:c>
      <x:c r="G3220" s="2" t="str">
        <x:v>Medium (100-299 beds)</x:v>
      </x:c>
      <x:c r="H3220" s="7"/>
      <x:c r="I3220" s="7"/>
      <x:c r="J3220" s="7"/>
      <x:c r="K3220" s="8" t="n">
        <x:v>148</x:v>
      </x:c>
      <x:c r="L3220" s="8" t="n">
        <x:v>4264</x:v>
      </x:c>
      <x:c r="M3220" s="9" t="n">
        <x:v>0.7585290208</x:v>
      </x:c>
      <x:c r="N3220" s="10" t="n">
        <x:v>8457.5415103189</x:v>
      </x:c>
      <x:c r="O3220" s="9" t="n">
        <x:v>0.0329577498</x:v>
      </x:c>
      <x:c r="P3220" s="9" t="n">
        <x:v>0.3482587065</x:v>
      </x:c>
      <x:c r="Q3220" s="9" t="n">
        <x:v>0</x:v>
      </x:c>
      <x:c r="R3220" s="3" t="b">
        <x:v>0</x:v>
      </x:c>
      <x:c r="S3220" s="3" t="b">
        <x:v>0</x:v>
      </x:c>
      <x:c r="T3220" s="3" t="b">
        <x:v>0</x:v>
      </x:c>
      <x:c r="U3220" s="2" t="str">
        <x:f>IF(T3220=TRUE,"Priority review",IF(R3220=TRUE,"High cost",IF(S3220=TRUE,"Low quality","Benchmark")))</x:f>
        <x:v>Benchmark</x:v>
      </x:c>
    </x:row>
    <x:row r="3221">
      <x:c r="A3221" s="2" t="str">
        <x:v>340004</x:v>
      </x:c>
      <x:c r="B3221" s="2" t="str">
        <x:v>HIGH POINT REGIONAL HEALTH SYSTEM</x:v>
      </x:c>
      <x:c r="C3221" s="2" t="str">
        <x:v>HIGH POINT</x:v>
      </x:c>
      <x:c r="D3221" s="2" t="str">
        <x:v>NC</x:v>
      </x:c>
      <x:c r="E3221" s="2" t="str">
        <x:v>Acute Care Hospitals</x:v>
      </x:c>
      <x:c r="F3221" s="2" t="str">
        <x:v>Voluntary non-profit</x:v>
      </x:c>
      <x:c r="G3221" s="2" t="str">
        <x:v>Medium (100-299 beds)</x:v>
      </x:c>
      <x:c r="H3221" s="7" t="n">
        <x:v>2</x:v>
      </x:c>
      <x:c r="I3221" s="7" t="n">
        <x:v>3</x:v>
      </x:c>
      <x:c r="J3221" s="7" t="n">
        <x:v>0.95</x:v>
      </x:c>
      <x:c r="K3221" s="8" t="n">
        <x:v>288</x:v>
      </x:c>
      <x:c r="L3221" s="8" t="n">
        <x:v>15240</x:v>
      </x:c>
      <x:c r="M3221" s="9" t="n">
        <x:v>0.6409570431</x:v>
      </x:c>
      <x:c r="N3221" s="10" t="n">
        <x:v>28869.5940288714</x:v>
      </x:c>
      <x:c r="O3221" s="9" t="n">
        <x:v>0.0503065562</x:v>
      </x:c>
      <x:c r="P3221" s="9" t="n">
        <x:v>0.34800326</x:v>
      </x:c>
      <x:c r="Q3221" s="9" t="n">
        <x:v>0.0782396088</x:v>
      </x:c>
      <x:c r="R3221" s="3" t="b">
        <x:v>0</x:v>
      </x:c>
      <x:c r="S3221" s="3" t="b">
        <x:v>1</x:v>
      </x:c>
      <x:c r="T3221" s="3" t="b">
        <x:v>0</x:v>
      </x:c>
      <x:c r="U3221" s="2" t="str">
        <x:f>IF(T3221=TRUE,"Priority review",IF(R3221=TRUE,"High cost",IF(S3221=TRUE,"Low quality","Benchmark")))</x:f>
        <x:v>Low quality</x:v>
      </x:c>
    </x:row>
    <x:row r="3222">
      <x:c r="A3222" s="2" t="str">
        <x:v>151312</x:v>
      </x:c>
      <x:c r="B3222" s="2" t="str">
        <x:v>INDIANA UNIVERSITY HEALTH WHITE MEMORIAL HOSPITAL</x:v>
      </x:c>
      <x:c r="C3222" s="2" t="str">
        <x:v>MONTICELLO</x:v>
      </x:c>
      <x:c r="D3222" s="2" t="str">
        <x:v>IN</x:v>
      </x:c>
      <x:c r="E3222" s="2" t="str">
        <x:v>Critical Access Hospitals</x:v>
      </x:c>
      <x:c r="F3222" s="2" t="str">
        <x:v>Voluntary non-profit</x:v>
      </x:c>
      <x:c r="G3222" s="2" t="str">
        <x:v>Small (&lt;100 beds)</x:v>
      </x:c>
      <x:c r="H3222" s="7" t="n">
        <x:v>5</x:v>
      </x:c>
      <x:c r="I3222" s="7"/>
      <x:c r="J3222" s="7"/>
      <x:c r="K3222" s="8" t="n">
        <x:v>24</x:v>
      </x:c>
      <x:c r="L3222" s="8" t="n">
        <x:v>457</x:v>
      </x:c>
      <x:c r="M3222" s="9" t="n">
        <x:v>0.210154827</x:v>
      </x:c>
      <x:c r="N3222" s="10" t="n">
        <x:v>104481.9518599562</x:v>
      </x:c>
      <x:c r="O3222" s="9" t="n">
        <x:v>0.069907838</x:v>
      </x:c>
      <x:c r="P3222" s="9" t="n">
        <x:v>0.3479553903</x:v>
      </x:c>
      <x:c r="Q3222" s="9" t="n">
        <x:v>0.2602230483</x:v>
      </x:c>
      <x:c r="R3222" s="3" t="b">
        <x:v>0</x:v>
      </x:c>
      <x:c r="S3222" s="3" t="b">
        <x:v>0</x:v>
      </x:c>
      <x:c r="T3222" s="3" t="b">
        <x:v>0</x:v>
      </x:c>
      <x:c r="U3222" s="2" t="str">
        <x:f>IF(T3222=TRUE,"Priority review",IF(R3222=TRUE,"High cost",IF(S3222=TRUE,"Low quality","Benchmark")))</x:f>
        <x:v>Benchmark</x:v>
      </x:c>
    </x:row>
    <x:row r="3223">
      <x:c r="A3223" s="2" t="str">
        <x:v>370113</x:v>
      </x:c>
      <x:c r="B3223" s="2" t="str">
        <x:v>INTEGRIS GROVE HOSPITAL</x:v>
      </x:c>
      <x:c r="C3223" s="2" t="str">
        <x:v>GROVE</x:v>
      </x:c>
      <x:c r="D3223" s="2" t="str">
        <x:v>OK</x:v>
      </x:c>
      <x:c r="E3223" s="2" t="str">
        <x:v>Acute Care Hospitals</x:v>
      </x:c>
      <x:c r="F3223" s="2" t="str">
        <x:v>Voluntary non-profit</x:v>
      </x:c>
      <x:c r="G3223" s="2" t="str">
        <x:v>Small (&lt;100 beds)</x:v>
      </x:c>
      <x:c r="H3223" s="7" t="n">
        <x:v>4</x:v>
      </x:c>
      <x:c r="I3223" s="7" t="n">
        <x:v>4</x:v>
      </x:c>
      <x:c r="J3223" s="7" t="n">
        <x:v>1.05</x:v>
      </x:c>
      <x:c r="K3223" s="8" t="n">
        <x:v>41</x:v>
      </x:c>
      <x:c r="L3223" s="8" t="n">
        <x:v>1553</x:v>
      </x:c>
      <x:c r="M3223" s="9" t="n">
        <x:v>0.3329101236</x:v>
      </x:c>
      <x:c r="N3223" s="10" t="n">
        <x:v>42125.6509980683</x:v>
      </x:c>
      <x:c r="O3223" s="9" t="n">
        <x:v>-0.0918091404</x:v>
      </x:c>
      <x:c r="P3223" s="9" t="n">
        <x:v>0.3473967684</x:v>
      </x:c>
      <x:c r="Q3223" s="9" t="n">
        <x:v>0.3913824057</x:v>
      </x:c>
      <x:c r="R3223" s="3" t="b">
        <x:v>0</x:v>
      </x:c>
      <x:c r="S3223" s="3" t="b">
        <x:v>0</x:v>
      </x:c>
      <x:c r="T3223" s="3" t="b">
        <x:v>0</x:v>
      </x:c>
      <x:c r="U3223" s="2" t="str">
        <x:f>IF(T3223=TRUE,"Priority review",IF(R3223=TRUE,"High cost",IF(S3223=TRUE,"Low quality","Benchmark")))</x:f>
        <x:v>Benchmark</x:v>
      </x:c>
    </x:row>
    <x:row r="3224">
      <x:c r="A3224" s="2" t="str">
        <x:v>431320</x:v>
      </x:c>
      <x:c r="B3224" s="2" t="str">
        <x:v>MONUMENT HEALTH LEAD-DEADWOOD HOSPITAL</x:v>
      </x:c>
      <x:c r="C3224" s="2" t="str">
        <x:v>DEADWOOD</x:v>
      </x:c>
      <x:c r="D3224" s="2" t="str">
        <x:v>SD</x:v>
      </x:c>
      <x:c r="E3224" s="2" t="str">
        <x:v>Critical Access Hospitals</x:v>
      </x:c>
      <x:c r="F3224" s="2" t="str">
        <x:v>Voluntary non-profit</x:v>
      </x:c>
      <x:c r="G3224" s="2" t="str">
        <x:v>Small (&lt;100 beds)</x:v>
      </x:c>
      <x:c r="H3224" s="7"/>
      <x:c r="I3224" s="7"/>
      <x:c r="J3224" s="7"/>
      <x:c r="K3224" s="8" t="n">
        <x:v>18</x:v>
      </x:c>
      <x:c r="L3224" s="8" t="n">
        <x:v>191</x:v>
      </x:c>
      <x:c r="M3224" s="9" t="n">
        <x:v>0.3834094368</x:v>
      </x:c>
      <x:c r="N3224" s="10" t="n">
        <x:v>104415.890052356</x:v>
      </x:c>
      <x:c r="O3224" s="9" t="n">
        <x:v>-0.0362129376</x:v>
      </x:c>
      <x:c r="P3224" s="9" t="n">
        <x:v>0.3472118959</x:v>
      </x:c>
      <x:c r="Q3224" s="9" t="n">
        <x:v>0.292936803</x:v>
      </x:c>
      <x:c r="R3224" s="3" t="b">
        <x:v>0</x:v>
      </x:c>
      <x:c r="S3224" s="3" t="b">
        <x:v>0</x:v>
      </x:c>
      <x:c r="T3224" s="3" t="b">
        <x:v>0</x:v>
      </x:c>
      <x:c r="U3224" s="2" t="str">
        <x:f>IF(T3224=TRUE,"Priority review",IF(R3224=TRUE,"High cost",IF(S3224=TRUE,"Low quality","Benchmark")))</x:f>
        <x:v>Benchmark</x:v>
      </x:c>
    </x:row>
    <x:row r="3225">
      <x:c r="A3225" s="2" t="str">
        <x:v>490069</x:v>
      </x:c>
      <x:c r="B3225" s="2" t="str">
        <x:v>BON SECOURS MEMORIAL REGIONAL MEDICAL CENTER</x:v>
      </x:c>
      <x:c r="C3225" s="2" t="str">
        <x:v>MECHANICSVILLE</x:v>
      </x:c>
      <x:c r="D3225" s="2" t="str">
        <x:v>VA</x:v>
      </x:c>
      <x:c r="E3225" s="2" t="str">
        <x:v>Acute Care Hospitals</x:v>
      </x:c>
      <x:c r="F3225" s="2" t="str">
        <x:v>Voluntary non-profit</x:v>
      </x:c>
      <x:c r="G3225" s="2" t="str">
        <x:v>Medium (100-299 beds)</x:v>
      </x:c>
      <x:c r="H3225" s="7" t="n">
        <x:v>4</x:v>
      </x:c>
      <x:c r="I3225" s="7" t="n">
        <x:v>3</x:v>
      </x:c>
      <x:c r="J3225" s="7" t="n">
        <x:v>1.01</x:v>
      </x:c>
      <x:c r="K3225" s="8" t="n">
        <x:v>227</x:v>
      </x:c>
      <x:c r="L3225" s="8" t="n">
        <x:v>3763</x:v>
      </x:c>
      <x:c r="M3225" s="9" t="n">
        <x:v>0.8911749044</x:v>
      </x:c>
      <x:c r="N3225" s="10" t="n">
        <x:v>28821.2676056338</x:v>
      </x:c>
      <x:c r="O3225" s="9" t="n">
        <x:v>0.0406847001</x:v>
      </x:c>
      <x:c r="P3225" s="9" t="n">
        <x:v>0.3471882641</x:v>
      </x:c>
      <x:c r="Q3225" s="9" t="n">
        <x:v>0.6022819886</x:v>
      </x:c>
      <x:c r="R3225" s="3" t="b">
        <x:v>0</x:v>
      </x:c>
      <x:c r="S3225" s="3" t="b">
        <x:v>0</x:v>
      </x:c>
      <x:c r="T3225" s="3" t="b">
        <x:v>0</x:v>
      </x:c>
      <x:c r="U3225" s="2" t="str">
        <x:f>IF(T3225=TRUE,"Priority review",IF(R3225=TRUE,"High cost",IF(S3225=TRUE,"Low quality","Benchmark")))</x:f>
        <x:v>Benchmark</x:v>
      </x:c>
    </x:row>
    <x:row r="3226">
      <x:c r="A3226" s="2" t="str">
        <x:v>230047</x:v>
      </x:c>
      <x:c r="B3226" s="2" t="str">
        <x:v>HENRY FORD MACOMB HOSPITAL</x:v>
      </x:c>
      <x:c r="C3226" s="2" t="str">
        <x:v>CLINTON TOWNSHIP</x:v>
      </x:c>
      <x:c r="D3226" s="2" t="str">
        <x:v>MI</x:v>
      </x:c>
      <x:c r="E3226" s="2" t="str">
        <x:v>Acute Care Hospitals</x:v>
      </x:c>
      <x:c r="F3226" s="2" t="str">
        <x:v>Voluntary non-profit</x:v>
      </x:c>
      <x:c r="G3226" s="2" t="str">
        <x:v>Large (300+ beds)</x:v>
      </x:c>
      <x:c r="H3226" s="7" t="n">
        <x:v>3</x:v>
      </x:c>
      <x:c r="I3226" s="7" t="n">
        <x:v>2</x:v>
      </x:c>
      <x:c r="J3226" s="7" t="n">
        <x:v>0.97</x:v>
      </x:c>
      <x:c r="K3226" s="8" t="n">
        <x:v>327</x:v>
      </x:c>
      <x:c r="L3226" s="8" t="n">
        <x:v>19501</x:v>
      </x:c>
      <x:c r="M3226" s="9" t="n">
        <x:v>0.7860009364</x:v>
      </x:c>
      <x:c r="N3226" s="10" t="n">
        <x:v>32241.0008717502</x:v>
      </x:c>
      <x:c r="O3226" s="9" t="n">
        <x:v>-0.0105836615</x:v>
      </x:c>
      <x:c r="P3226" s="9" t="n">
        <x:v>0.3470031546</x:v>
      </x:c>
      <x:c r="Q3226" s="9" t="n">
        <x:v>0.2570977918</x:v>
      </x:c>
      <x:c r="R3226" s="3" t="b">
        <x:v>0</x:v>
      </x:c>
      <x:c r="S3226" s="3" t="b">
        <x:v>0</x:v>
      </x:c>
      <x:c r="T3226" s="3" t="b">
        <x:v>0</x:v>
      </x:c>
      <x:c r="U3226" s="2" t="str">
        <x:f>IF(T3226=TRUE,"Priority review",IF(R3226=TRUE,"High cost",IF(S3226=TRUE,"Low quality","Benchmark")))</x:f>
        <x:v>Benchmark</x:v>
      </x:c>
    </x:row>
    <x:row r="3227">
      <x:c r="A3227" s="2" t="str">
        <x:v>050054</x:v>
      </x:c>
      <x:c r="B3227" s="2" t="str">
        <x:v>SAN GORGONIO MEMORIAL HOSPITAL</x:v>
      </x:c>
      <x:c r="C3227" s="2" t="str">
        <x:v>BANNING</x:v>
      </x:c>
      <x:c r="D3227" s="2" t="str">
        <x:v>CA</x:v>
      </x:c>
      <x:c r="E3227" s="2" t="str">
        <x:v>Acute Care Hospitals</x:v>
      </x:c>
      <x:c r="F3227" s="2" t="str">
        <x:v>Government</x:v>
      </x:c>
      <x:c r="G3227" s="2" t="str">
        <x:v>Small (&lt;100 beds)</x:v>
      </x:c>
      <x:c r="H3227" s="7" t="n">
        <x:v>3</x:v>
      </x:c>
      <x:c r="I3227" s="7" t="n">
        <x:v>3</x:v>
      </x:c>
      <x:c r="J3227" s="7" t="n">
        <x:v>1.07</x:v>
      </x:c>
      <x:c r="K3227" s="8" t="n">
        <x:v>79</x:v>
      </x:c>
      <x:c r="L3227" s="8" t="n">
        <x:v>2820</x:v>
      </x:c>
      <x:c r="M3227" s="9" t="n">
        <x:v>0.3363967401</x:v>
      </x:c>
      <x:c r="N3227" s="10" t="n">
        <x:v>41947.9847517731</x:v>
      </x:c>
      <x:c r="O3227" s="9" t="n">
        <x:v>-0.7495362469</x:v>
      </x:c>
      <x:c r="P3227" s="9" t="n">
        <x:v>0.3464991023</x:v>
      </x:c>
      <x:c r="Q3227" s="9" t="n">
        <x:v>0.1687612208</x:v>
      </x:c>
      <x:c r="R3227" s="3" t="b">
        <x:v>0</x:v>
      </x:c>
      <x:c r="S3227" s="3" t="b">
        <x:v>0</x:v>
      </x:c>
      <x:c r="T3227" s="3" t="b">
        <x:v>0</x:v>
      </x:c>
      <x:c r="U3227" s="2" t="str">
        <x:f>IF(T3227=TRUE,"Priority review",IF(R3227=TRUE,"High cost",IF(S3227=TRUE,"Low quality","Benchmark")))</x:f>
        <x:v>Benchmark</x:v>
      </x:c>
    </x:row>
    <x:row r="3228">
      <x:c r="A3228" s="2" t="str">
        <x:v>241326</x:v>
      </x:c>
      <x:c r="B3228" s="2" t="str">
        <x:v>CENTRACARE - LONG PRAIRIE HOSPITAL</x:v>
      </x:c>
      <x:c r="C3228" s="2" t="str">
        <x:v>LONG PRAIRIE</x:v>
      </x:c>
      <x:c r="D3228" s="2" t="str">
        <x:v>MN</x:v>
      </x:c>
      <x:c r="E3228" s="2" t="str">
        <x:v>Critical Access Hospitals</x:v>
      </x:c>
      <x:c r="F3228" s="2" t="str">
        <x:v>Voluntary non-profit</x:v>
      </x:c>
      <x:c r="G3228" s="2" t="str">
        <x:v>Small (&lt;100 beds)</x:v>
      </x:c>
      <x:c r="H3228" s="7"/>
      <x:c r="I3228" s="7"/>
      <x:c r="J3228" s="7"/>
      <x:c r="K3228" s="8" t="n">
        <x:v>14</x:v>
      </x:c>
      <x:c r="L3228" s="8" t="n">
        <x:v>369</x:v>
      </x:c>
      <x:c r="M3228" s="9" t="n">
        <x:v>0.5064579256</x:v>
      </x:c>
      <x:c r="N3228" s="10" t="n">
        <x:v>104389.9864498645</x:v>
      </x:c>
      <x:c r="O3228" s="9" t="n">
        <x:v>-0.0556769855</x:v>
      </x:c>
      <x:c r="P3228" s="9" t="n">
        <x:v>0.3464684015</x:v>
      </x:c>
      <x:c r="Q3228" s="9" t="n">
        <x:v>0.292936803</x:v>
      </x:c>
      <x:c r="R3228" s="3" t="b">
        <x:v>0</x:v>
      </x:c>
      <x:c r="S3228" s="3" t="b">
        <x:v>0</x:v>
      </x:c>
      <x:c r="T3228" s="3" t="b">
        <x:v>0</x:v>
      </x:c>
      <x:c r="U3228" s="2" t="str">
        <x:f>IF(T3228=TRUE,"Priority review",IF(R3228=TRUE,"High cost",IF(S3228=TRUE,"Low quality","Benchmark")))</x:f>
        <x:v>Benchmark</x:v>
      </x:c>
    </x:row>
    <x:row r="3229">
      <x:c r="A3229" s="2" t="str">
        <x:v>310009</x:v>
      </x:c>
      <x:c r="B3229" s="2" t="str">
        <x:v>CLARA MAASS MEDICAL CENTER</x:v>
      </x:c>
      <x:c r="C3229" s="2" t="str">
        <x:v>BELLEVILLE</x:v>
      </x:c>
      <x:c r="D3229" s="2" t="str">
        <x:v>NJ</x:v>
      </x:c>
      <x:c r="E3229" s="2" t="str">
        <x:v>Acute Care Hospitals</x:v>
      </x:c>
      <x:c r="F3229" s="2" t="str">
        <x:v>Voluntary non-profit</x:v>
      </x:c>
      <x:c r="G3229" s="2" t="str">
        <x:v>Medium (100-299 beds)</x:v>
      </x:c>
      <x:c r="H3229" s="7" t="n">
        <x:v>3</x:v>
      </x:c>
      <x:c r="I3229" s="7" t="n">
        <x:v>3</x:v>
      </x:c>
      <x:c r="J3229" s="7" t="n">
        <x:v>1.14</x:v>
      </x:c>
      <x:c r="K3229" s="8" t="n">
        <x:v>267</x:v>
      </x:c>
      <x:c r="L3229" s="8" t="n">
        <x:v>13511</x:v>
      </x:c>
      <x:c r="M3229" s="9" t="n">
        <x:v>0.7410613782</x:v>
      </x:c>
      <x:c r="N3229" s="10" t="n">
        <x:v>28794.4864184738</x:v>
      </x:c>
      <x:c r="O3229" s="9" t="n">
        <x:v>-0.0109966754</x:v>
      </x:c>
      <x:c r="P3229" s="9" t="n">
        <x:v>0.3463732681</x:v>
      </x:c>
      <x:c r="Q3229" s="9" t="n">
        <x:v>0.3023634882</x:v>
      </x:c>
      <x:c r="R3229" s="3" t="b">
        <x:v>0</x:v>
      </x:c>
      <x:c r="S3229" s="3" t="b">
        <x:v>0</x:v>
      </x:c>
      <x:c r="T3229" s="3" t="b">
        <x:v>0</x:v>
      </x:c>
      <x:c r="U3229" s="2" t="str">
        <x:f>IF(T3229=TRUE,"Priority review",IF(R3229=TRUE,"High cost",IF(S3229=TRUE,"Low quality","Benchmark")))</x:f>
        <x:v>Benchmark</x:v>
      </x:c>
    </x:row>
    <x:row r="3230">
      <x:c r="A3230" s="2" t="str">
        <x:v>194096</x:v>
      </x:c>
      <x:c r="B3230" s="2" t="str">
        <x:v>OCEANS BEHAVIORAL HOSPITAL OF ALEXANDRIA</x:v>
      </x:c>
      <x:c r="C3230" s="2" t="str">
        <x:v>ALEXANDRIA</x:v>
      </x:c>
      <x:c r="D3230" s="2" t="str">
        <x:v>LA</x:v>
      </x:c>
      <x:c r="E3230" s="2" t="str">
        <x:v>Psychiatric</x:v>
      </x:c>
      <x:c r="F3230" s="2" t="str">
        <x:v>Proprietary</x:v>
      </x:c>
      <x:c r="G3230" s="2" t="str">
        <x:v>Small (&lt;100 beds)</x:v>
      </x:c>
      <x:c r="H3230" s="7"/>
      <x:c r="I3230" s="7"/>
      <x:c r="J3230" s="7"/>
      <x:c r="K3230" s="8" t="n">
        <x:v>24</x:v>
      </x:c>
      <x:c r="L3230" s="8" t="n">
        <x:v>691</x:v>
      </x:c>
      <x:c r="M3230" s="9" t="n">
        <x:v>0.8714708561</x:v>
      </x:c>
      <x:c r="N3230" s="10" t="n">
        <x:v>9410.7062228654</x:v>
      </x:c>
      <x:c r="O3230" s="9" t="n">
        <x:v>0.1867084294</x:v>
      </x:c>
      <x:c r="P3230" s="9" t="n">
        <x:v>0.3462783172</x:v>
      </x:c>
      <x:c r="Q3230" s="9" t="n">
        <x:v>0</x:v>
      </x:c>
      <x:c r="R3230" s="3" t="b">
        <x:v>0</x:v>
      </x:c>
      <x:c r="S3230" s="3" t="b">
        <x:v>0</x:v>
      </x:c>
      <x:c r="T3230" s="3" t="b">
        <x:v>0</x:v>
      </x:c>
      <x:c r="U3230" s="2" t="str">
        <x:f>IF(T3230=TRUE,"Priority review",IF(R3230=TRUE,"High cost",IF(S3230=TRUE,"Low quality","Benchmark")))</x:f>
        <x:v>Benchmark</x:v>
      </x:c>
    </x:row>
    <x:row r="3231">
      <x:c r="A3231" s="2" t="str">
        <x:v>361300</x:v>
      </x:c>
      <x:c r="B3231" s="2" t="str">
        <x:v>PAULDING COUNTY HOSPITAL</x:v>
      </x:c>
      <x:c r="C3231" s="2" t="str">
        <x:v>PAULDING</x:v>
      </x:c>
      <x:c r="D3231" s="2" t="str">
        <x:v>OH</x:v>
      </x:c>
      <x:c r="E3231" s="2" t="str">
        <x:v>Critical Access Hospitals</x:v>
      </x:c>
      <x:c r="F3231" s="2" t="str">
        <x:v>Government</x:v>
      </x:c>
      <x:c r="G3231" s="2" t="str">
        <x:v>Small (&lt;100 beds)</x:v>
      </x:c>
      <x:c r="H3231" s="7"/>
      <x:c r="I3231" s="7"/>
      <x:c r="J3231" s="7"/>
      <x:c r="K3231" s="8" t="n">
        <x:v>25</x:v>
      </x:c>
      <x:c r="L3231" s="8" t="n">
        <x:v>291</x:v>
      </x:c>
      <x:c r="M3231" s="9" t="n">
        <x:v>0.1783606557</x:v>
      </x:c>
      <x:c r="N3231" s="10" t="n">
        <x:v>104337.5979381443</x:v>
      </x:c>
      <x:c r="O3231" s="9" t="n">
        <x:v>0.1830315531</x:v>
      </x:c>
      <x:c r="P3231" s="9" t="n">
        <x:v>0.3457249071</x:v>
      </x:c>
      <x:c r="Q3231" s="9" t="n">
        <x:v>0.292936803</x:v>
      </x:c>
      <x:c r="R3231" s="3" t="b">
        <x:v>0</x:v>
      </x:c>
      <x:c r="S3231" s="3" t="b">
        <x:v>0</x:v>
      </x:c>
      <x:c r="T3231" s="3" t="b">
        <x:v>0</x:v>
      </x:c>
      <x:c r="U3231" s="2" t="str">
        <x:f>IF(T3231=TRUE,"Priority review",IF(R3231=TRUE,"High cost",IF(S3231=TRUE,"Low quality","Benchmark")))</x:f>
        <x:v>Benchmark</x:v>
      </x:c>
    </x:row>
    <x:row r="3232">
      <x:c r="A3232" s="2" t="str">
        <x:v>110236</x:v>
      </x:c>
      <x:c r="B3232" s="2" t="str">
        <x:v>COMMONSPIRIT-MEMORIAL HOSPITAL-NORTH GEORGIA</x:v>
      </x:c>
      <x:c r="C3232" s="2" t="str">
        <x:v>RINGGOLD</x:v>
      </x:c>
      <x:c r="D3232" s="2" t="str">
        <x:v>GA</x:v>
      </x:c>
      <x:c r="E3232" s="2" t="str">
        <x:v>Acute Care Hospitals</x:v>
      </x:c>
      <x:c r="F3232" s="2" t="str">
        <x:v>Voluntary non-profit</x:v>
      </x:c>
      <x:c r="G3232" s="2" t="str">
        <x:v>Small (&lt;100 beds)</x:v>
      </x:c>
      <x:c r="H3232" s="7" t="n">
        <x:v>3</x:v>
      </x:c>
      <x:c r="I3232" s="7"/>
      <x:c r="J3232" s="7" t="n">
        <x:v>1.08</x:v>
      </x:c>
      <x:c r="K3232" s="8" t="n">
        <x:v>35</x:v>
      </x:c>
      <x:c r="L3232" s="8" t="n">
        <x:v>612</x:v>
      </x:c>
      <x:c r="M3232" s="9" t="n">
        <x:v>0.1334637965</x:v>
      </x:c>
      <x:c r="N3232" s="10" t="n">
        <x:v>41798.364379085</x:v>
      </x:c>
      <x:c r="O3232" s="9" t="n">
        <x:v>-0.1181391226</x:v>
      </x:c>
      <x:c r="P3232" s="9" t="n">
        <x:v>0.3456014363</x:v>
      </x:c>
      <x:c r="Q3232" s="9" t="n">
        <x:v>0.1687612208</x:v>
      </x:c>
      <x:c r="R3232" s="3" t="b">
        <x:v>0</x:v>
      </x:c>
      <x:c r="S3232" s="3" t="b">
        <x:v>0</x:v>
      </x:c>
      <x:c r="T3232" s="3" t="b">
        <x:v>0</x:v>
      </x:c>
      <x:c r="U3232" s="2" t="str">
        <x:f>IF(T3232=TRUE,"Priority review",IF(R3232=TRUE,"High cost",IF(S3232=TRUE,"Low quality","Benchmark")))</x:f>
        <x:v>Benchmark</x:v>
      </x:c>
    </x:row>
    <x:row r="3233">
      <x:c r="A3233" s="2" t="str">
        <x:v>250007</x:v>
      </x:c>
      <x:c r="B3233" s="2" t="str">
        <x:v>Memorial Hospital Biloxi</x:v>
      </x:c>
      <x:c r="C3233" s="2" t="str">
        <x:v>BILOXI</x:v>
      </x:c>
      <x:c r="D3233" s="2" t="str">
        <x:v>MS</x:v>
      </x:c>
      <x:c r="E3233" s="2" t="str">
        <x:v>Acute Care Hospitals</x:v>
      </x:c>
      <x:c r="F3233" s="2" t="str">
        <x:v>Proprietary</x:v>
      </x:c>
      <x:c r="G3233" s="2" t="str">
        <x:v>Medium (100-299 beds)</x:v>
      </x:c>
      <x:c r="H3233" s="7" t="n">
        <x:v>1</x:v>
      </x:c>
      <x:c r="I3233" s="7" t="n">
        <x:v>1</x:v>
      </x:c>
      <x:c r="J3233" s="7" t="n">
        <x:v>1.02</x:v>
      </x:c>
      <x:c r="K3233" s="8" t="n">
        <x:v>121</x:v>
      </x:c>
      <x:c r="L3233" s="8" t="n">
        <x:v>2908</x:v>
      </x:c>
      <x:c r="M3233" s="9" t="n">
        <x:v>0.2818497945</x:v>
      </x:c>
      <x:c r="N3233" s="10" t="n">
        <x:v>28710.7637551582</x:v>
      </x:c>
      <x:c r="O3233" s="9" t="n">
        <x:v>0.0129019266</x:v>
      </x:c>
      <x:c r="P3233" s="9" t="n">
        <x:v>0.3455582722</x:v>
      </x:c>
      <x:c r="Q3233" s="9" t="n">
        <x:v>0</x:v>
      </x:c>
      <x:c r="R3233" s="3" t="b">
        <x:v>0</x:v>
      </x:c>
      <x:c r="S3233" s="3" t="b">
        <x:v>1</x:v>
      </x:c>
      <x:c r="T3233" s="3" t="b">
        <x:v>0</x:v>
      </x:c>
      <x:c r="U3233" s="2" t="str">
        <x:f>IF(T3233=TRUE,"Priority review",IF(R3233=TRUE,"High cost",IF(S3233=TRUE,"Low quality","Benchmark")))</x:f>
        <x:v>Low quality</x:v>
      </x:c>
    </x:row>
    <x:row r="3234">
      <x:c r="A3234" s="2" t="str">
        <x:v>310069</x:v>
      </x:c>
      <x:c r="B3234" s="2" t="str">
        <x:v>INSPIRA MEDICAL CENTER MULLICA HILL</x:v>
      </x:c>
      <x:c r="C3234" s="2" t="str">
        <x:v>ELMER</x:v>
      </x:c>
      <x:c r="D3234" s="2" t="str">
        <x:v>NJ</x:v>
      </x:c>
      <x:c r="E3234" s="2" t="str">
        <x:v>Acute Care Hospitals</x:v>
      </x:c>
      <x:c r="F3234" s="2" t="str">
        <x:v>Voluntary non-profit</x:v>
      </x:c>
      <x:c r="G3234" s="2" t="str">
        <x:v>Large (300+ beds)</x:v>
      </x:c>
      <x:c r="H3234" s="7" t="n">
        <x:v>3</x:v>
      </x:c>
      <x:c r="I3234" s="7" t="n">
        <x:v>4</x:v>
      </x:c>
      <x:c r="J3234" s="7" t="n">
        <x:v>1.02</x:v>
      </x:c>
      <x:c r="K3234" s="8" t="n">
        <x:v>301</x:v>
      </x:c>
      <x:c r="L3234" s="8" t="n">
        <x:v>16838</x:v>
      </x:c>
      <x:c r="M3234" s="9" t="n">
        <x:v>0.7102645099</x:v>
      </x:c>
      <x:c r="N3234" s="10" t="n">
        <x:v>32234.8106069604</x:v>
      </x:c>
      <x:c r="O3234" s="9" t="n">
        <x:v>-0.0018869566</x:v>
      </x:c>
      <x:c r="P3234" s="9" t="n">
        <x:v>0.3454258675</x:v>
      </x:c>
      <x:c r="Q3234" s="9" t="n">
        <x:v>0.2570977918</x:v>
      </x:c>
      <x:c r="R3234" s="3" t="b">
        <x:v>0</x:v>
      </x:c>
      <x:c r="S3234" s="3" t="b">
        <x:v>0</x:v>
      </x:c>
      <x:c r="T3234" s="3" t="b">
        <x:v>0</x:v>
      </x:c>
      <x:c r="U3234" s="2" t="str">
        <x:f>IF(T3234=TRUE,"Priority review",IF(R3234=TRUE,"High cost",IF(S3234=TRUE,"Low quality","Benchmark")))</x:f>
        <x:v>Benchmark</x:v>
      </x:c>
    </x:row>
    <x:row r="3235">
      <x:c r="A3235" s="2" t="str">
        <x:v>301302</x:v>
      </x:c>
      <x:c r="B3235" s="2" t="str">
        <x:v>LITTLETON REGIONAL HEALTHCARE</x:v>
      </x:c>
      <x:c r="C3235" s="2" t="str">
        <x:v>LITTLETON</x:v>
      </x:c>
      <x:c r="D3235" s="2" t="str">
        <x:v>NH</x:v>
      </x:c>
      <x:c r="E3235" s="2" t="str">
        <x:v>Critical Access Hospitals</x:v>
      </x:c>
      <x:c r="F3235" s="2" t="str">
        <x:v>Voluntary non-profit</x:v>
      </x:c>
      <x:c r="G3235" s="2" t="str">
        <x:v>Small (&lt;100 beds)</x:v>
      </x:c>
      <x:c r="H3235" s="7" t="n">
        <x:v>1</x:v>
      </x:c>
      <x:c r="I3235" s="7" t="n">
        <x:v>5</x:v>
      </x:c>
      <x:c r="J3235" s="7"/>
      <x:c r="K3235" s="8" t="n">
        <x:v>25</x:v>
      </x:c>
      <x:c r="L3235" s="8" t="n">
        <x:v>1204</x:v>
      </x:c>
      <x:c r="M3235" s="9" t="n">
        <x:v>0.4968306011</x:v>
      </x:c>
      <x:c r="N3235" s="10" t="n">
        <x:v>104147.2591362126</x:v>
      </x:c>
      <x:c r="O3235" s="9" t="n">
        <x:v>-0.2956467487</x:v>
      </x:c>
      <x:c r="P3235" s="9" t="n">
        <x:v>0.3449814126</x:v>
      </x:c>
      <x:c r="Q3235" s="9" t="n">
        <x:v>0</x:v>
      </x:c>
      <x:c r="R3235" s="3" t="b">
        <x:v>0</x:v>
      </x:c>
      <x:c r="S3235" s="3" t="b">
        <x:v>1</x:v>
      </x:c>
      <x:c r="T3235" s="3" t="b">
        <x:v>0</x:v>
      </x:c>
      <x:c r="U3235" s="2" t="str">
        <x:f>IF(T3235=TRUE,"Priority review",IF(R3235=TRUE,"High cost",IF(S3235=TRUE,"Low quality","Benchmark")))</x:f>
        <x:v>Low quality</x:v>
      </x:c>
    </x:row>
    <x:row r="3236">
      <x:c r="A3236" s="2" t="str">
        <x:v>340070</x:v>
      </x:c>
      <x:c r="B3236" s="2" t="str">
        <x:v>ALAMANCE REGIONAL MEDICAL CENTER</x:v>
      </x:c>
      <x:c r="C3236" s="2" t="str">
        <x:v>BURLINGTON</x:v>
      </x:c>
      <x:c r="D3236" s="2" t="str">
        <x:v>NC</x:v>
      </x:c>
      <x:c r="E3236" s="2" t="str">
        <x:v>Acute Care Hospitals</x:v>
      </x:c>
      <x:c r="F3236" s="2" t="str">
        <x:v>Voluntary non-profit</x:v>
      </x:c>
      <x:c r="G3236" s="2" t="str">
        <x:v>Medium (100-299 beds)</x:v>
      </x:c>
      <x:c r="H3236" s="7" t="n">
        <x:v>3</x:v>
      </x:c>
      <x:c r="I3236" s="7" t="n">
        <x:v>2</x:v>
      </x:c>
      <x:c r="J3236" s="7" t="n">
        <x:v>0.93</x:v>
      </x:c>
      <x:c r="K3236" s="8" t="n">
        <x:v>176</x:v>
      </x:c>
      <x:c r="L3236" s="8" t="n">
        <x:v>9758</x:v>
      </x:c>
      <x:c r="M3236" s="9" t="n">
        <x:v>0.7828645057</x:v>
      </x:c>
      <x:c r="N3236" s="10" t="n">
        <x:v>28642.9290838287</x:v>
      </x:c>
      <x:c r="O3236" s="9" t="n">
        <x:v>0.1193002035</x:v>
      </x:c>
      <x:c r="P3236" s="9" t="n">
        <x:v>0.3447432763</x:v>
      </x:c>
      <x:c r="Q3236" s="9" t="n">
        <x:v>0.3023634882</x:v>
      </x:c>
      <x:c r="R3236" s="3" t="b">
        <x:v>0</x:v>
      </x:c>
      <x:c r="S3236" s="3" t="b">
        <x:v>0</x:v>
      </x:c>
      <x:c r="T3236" s="3" t="b">
        <x:v>0</x:v>
      </x:c>
      <x:c r="U3236" s="2" t="str">
        <x:f>IF(T3236=TRUE,"Priority review",IF(R3236=TRUE,"High cost",IF(S3236=TRUE,"Low quality","Benchmark")))</x:f>
        <x:v>Benchmark</x:v>
      </x:c>
    </x:row>
    <x:row r="3237">
      <x:c r="A3237" s="2" t="str">
        <x:v>050785</x:v>
      </x:c>
      <x:c r="B3237" s="2" t="str">
        <x:v>DOCS SURGICAL HOSPITAL</x:v>
      </x:c>
      <x:c r="C3237" s="2" t="str">
        <x:v>LOS ANGELES</x:v>
      </x:c>
      <x:c r="D3237" s="2" t="str">
        <x:v>CA</x:v>
      </x:c>
      <x:c r="E3237" s="2" t="str">
        <x:v>Acute Care Hospitals</x:v>
      </x:c>
      <x:c r="F3237" s="2" t="str">
        <x:v>Other / unknown</x:v>
      </x:c>
      <x:c r="G3237" s="2" t="str">
        <x:v>Small (&lt;100 beds)</x:v>
      </x:c>
      <x:c r="H3237" s="7"/>
      <x:c r="I3237" s="7"/>
      <x:c r="J3237" s="7" t="n">
        <x:v>0.81</x:v>
      </x:c>
      <x:c r="K3237" s="8" t="n">
        <x:v>17</x:v>
      </x:c>
      <x:c r="L3237" s="8" t="n">
        <x:v>338</x:v>
      </x:c>
      <x:c r="M3237" s="9" t="n">
        <x:v>0.0647701704</x:v>
      </x:c>
      <x:c r="N3237" s="10" t="n">
        <x:v>41767.7396449704</x:v>
      </x:c>
      <x:c r="O3237" s="9" t="n">
        <x:v>-0.1074508025</x:v>
      </x:c>
      <x:c r="P3237" s="9" t="n">
        <x:v>0.3447037702</x:v>
      </x:c>
      <x:c r="Q3237" s="9" t="n">
        <x:v>0.697486535</x:v>
      </x:c>
      <x:c r="R3237" s="3" t="b">
        <x:v>0</x:v>
      </x:c>
      <x:c r="S3237" s="3" t="b">
        <x:v>0</x:v>
      </x:c>
      <x:c r="T3237" s="3" t="b">
        <x:v>0</x:v>
      </x:c>
      <x:c r="U3237" s="2" t="str">
        <x:f>IF(T3237=TRUE,"Priority review",IF(R3237=TRUE,"High cost",IF(S3237=TRUE,"Low quality","Benchmark")))</x:f>
        <x:v>Benchmark</x:v>
      </x:c>
    </x:row>
    <x:row r="3238">
      <x:c r="A3238" s="2" t="str">
        <x:v>351307</x:v>
      </x:c>
      <x:c r="B3238" s="2" t="str">
        <x:v>ST ANDREW'S HOSPITAL</x:v>
      </x:c>
      <x:c r="C3238" s="2" t="str">
        <x:v>BOTTINEAU</x:v>
      </x:c>
      <x:c r="D3238" s="2" t="str">
        <x:v>ND</x:v>
      </x:c>
      <x:c r="E3238" s="2" t="str">
        <x:v>Critical Access Hospitals</x:v>
      </x:c>
      <x:c r="F3238" s="2" t="str">
        <x:v>Voluntary non-profit</x:v>
      </x:c>
      <x:c r="G3238" s="2" t="str">
        <x:v>Small (&lt;100 beds)</x:v>
      </x:c>
      <x:c r="H3238" s="7"/>
      <x:c r="I3238" s="7"/>
      <x:c r="J3238" s="7"/>
      <x:c r="K3238" s="8" t="n">
        <x:v>25</x:v>
      </x:c>
      <x:c r="L3238" s="8" t="n">
        <x:v>161</x:v>
      </x:c>
      <x:c r="M3238" s="9" t="n">
        <x:v>0.6846994536</x:v>
      </x:c>
      <x:c r="N3238" s="10" t="n">
        <x:v>104130.5900621118</x:v>
      </x:c>
      <x:c r="O3238" s="9" t="n">
        <x:v>-0.0223405313</x:v>
      </x:c>
      <x:c r="P3238" s="9" t="n">
        <x:v>0.3442379182</x:v>
      </x:c>
      <x:c r="Q3238" s="9" t="n">
        <x:v>0.292936803</x:v>
      </x:c>
      <x:c r="R3238" s="3" t="b">
        <x:v>0</x:v>
      </x:c>
      <x:c r="S3238" s="3" t="b">
        <x:v>0</x:v>
      </x:c>
      <x:c r="T3238" s="3" t="b">
        <x:v>0</x:v>
      </x:c>
      <x:c r="U3238" s="2" t="str">
        <x:f>IF(T3238=TRUE,"Priority review",IF(R3238=TRUE,"High cost",IF(S3238=TRUE,"Low quality","Benchmark")))</x:f>
        <x:v>Benchmark</x:v>
      </x:c>
    </x:row>
    <x:row r="3239">
      <x:c r="A3239" s="2" t="str">
        <x:v>010114</x:v>
      </x:c>
      <x:c r="B3239" s="2" t="str">
        <x:v>MEDICAL WEST, AN AFFILIATE OF UAB HEALTH SYSTEM</x:v>
      </x:c>
      <x:c r="C3239" s="2" t="str">
        <x:v>BESSEMER</x:v>
      </x:c>
      <x:c r="D3239" s="2" t="str">
        <x:v>AL</x:v>
      </x:c>
      <x:c r="E3239" s="2" t="str">
        <x:v>Acute Care Hospitals</x:v>
      </x:c>
      <x:c r="F3239" s="2" t="str">
        <x:v>Government</x:v>
      </x:c>
      <x:c r="G3239" s="2" t="str">
        <x:v>Medium (100-299 beds)</x:v>
      </x:c>
      <x:c r="H3239" s="7" t="n">
        <x:v>3</x:v>
      </x:c>
      <x:c r="I3239" s="7" t="n">
        <x:v>3</x:v>
      </x:c>
      <x:c r="J3239" s="7" t="n">
        <x:v>1.01</x:v>
      </x:c>
      <x:c r="K3239" s="8" t="n">
        <x:v>168</x:v>
      </x:c>
      <x:c r="L3239" s="8" t="n">
        <x:v>6208</x:v>
      </x:c>
      <x:c r="M3239" s="9" t="n">
        <x:v>0.5777387458</x:v>
      </x:c>
      <x:c r="N3239" s="10" t="n">
        <x:v>28569.7380798969</x:v>
      </x:c>
      <x:c r="O3239" s="9" t="n">
        <x:v>-0.1532192395</x:v>
      </x:c>
      <x:c r="P3239" s="9" t="n">
        <x:v>0.3439282804</x:v>
      </x:c>
      <x:c r="Q3239" s="9" t="n">
        <x:v>0.3023634882</x:v>
      </x:c>
      <x:c r="R3239" s="3" t="b">
        <x:v>0</x:v>
      </x:c>
      <x:c r="S3239" s="3" t="b">
        <x:v>0</x:v>
      </x:c>
      <x:c r="T3239" s="3" t="b">
        <x:v>0</x:v>
      </x:c>
      <x:c r="U3239" s="2" t="str">
        <x:f>IF(T3239=TRUE,"Priority review",IF(R3239=TRUE,"High cost",IF(S3239=TRUE,"Low quality","Benchmark")))</x:f>
        <x:v>Benchmark</x:v>
      </x:c>
    </x:row>
    <x:row r="3240">
      <x:c r="A3240" s="2" t="str">
        <x:v>310022</x:v>
      </x:c>
      <x:c r="B3240" s="2" t="str">
        <x:v>WEST JERSEY HOSPITAL</x:v>
      </x:c>
      <x:c r="C3240" s="2" t="str">
        <x:v>VOORHEES</x:v>
      </x:c>
      <x:c r="D3240" s="2" t="str">
        <x:v>NJ</x:v>
      </x:c>
      <x:c r="E3240" s="2" t="str">
        <x:v>Acute Care Hospitals</x:v>
      </x:c>
      <x:c r="F3240" s="2" t="str">
        <x:v>Voluntary non-profit</x:v>
      </x:c>
      <x:c r="G3240" s="2" t="str">
        <x:v>Large (300+ beds)</x:v>
      </x:c>
      <x:c r="H3240" s="7" t="n">
        <x:v>3</x:v>
      </x:c>
      <x:c r="I3240" s="7" t="n">
        <x:v>3</x:v>
      </x:c>
      <x:c r="J3240" s="7" t="n">
        <x:v>1.03</x:v>
      </x:c>
      <x:c r="K3240" s="8" t="n">
        <x:v>589</x:v>
      </x:c>
      <x:c r="L3240" s="8" t="n">
        <x:v>32278</x:v>
      </x:c>
      <x:c r="M3240" s="9" t="n">
        <x:v>0.696480095</x:v>
      </x:c>
      <x:c r="N3240" s="10" t="n">
        <x:v>32162.9391226222</x:v>
      </x:c>
      <x:c r="O3240" s="9" t="n">
        <x:v>0.0748387016</x:v>
      </x:c>
      <x:c r="P3240" s="9" t="n">
        <x:v>0.3438485804</x:v>
      </x:c>
      <x:c r="Q3240" s="9" t="n">
        <x:v>0.2570977918</x:v>
      </x:c>
      <x:c r="R3240" s="3" t="b">
        <x:v>0</x:v>
      </x:c>
      <x:c r="S3240" s="3" t="b">
        <x:v>0</x:v>
      </x:c>
      <x:c r="T3240" s="3" t="b">
        <x:v>0</x:v>
      </x:c>
      <x:c r="U3240" s="2" t="str">
        <x:f>IF(T3240=TRUE,"Priority review",IF(R3240=TRUE,"High cost",IF(S3240=TRUE,"Low quality","Benchmark")))</x:f>
        <x:v>Benchmark</x:v>
      </x:c>
    </x:row>
    <x:row r="3241">
      <x:c r="A3241" s="2" t="str">
        <x:v>390117</x:v>
      </x:c>
      <x:c r="B3241" s="2" t="str">
        <x:v>UPMC BEDFORD MEMORIAL</x:v>
      </x:c>
      <x:c r="C3241" s="2" t="str">
        <x:v>EVERETT</x:v>
      </x:c>
      <x:c r="D3241" s="2" t="str">
        <x:v>PA</x:v>
      </x:c>
      <x:c r="E3241" s="2" t="str">
        <x:v>Acute Care Hospitals</x:v>
      </x:c>
      <x:c r="F3241" s="2" t="str">
        <x:v>Voluntary non-profit</x:v>
      </x:c>
      <x:c r="G3241" s="2" t="str">
        <x:v>Small (&lt;100 beds)</x:v>
      </x:c>
      <x:c r="H3241" s="7" t="n">
        <x:v>4</x:v>
      </x:c>
      <x:c r="I3241" s="7" t="n">
        <x:v>3</x:v>
      </x:c>
      <x:c r="J3241" s="7" t="n">
        <x:v>1.04</x:v>
      </x:c>
      <x:c r="K3241" s="8" t="n">
        <x:v>35</x:v>
      </x:c>
      <x:c r="L3241" s="8" t="n">
        <x:v>1250</x:v>
      </x:c>
      <x:c r="M3241" s="9" t="n">
        <x:v>0.259463233</x:v>
      </x:c>
      <x:c r="N3241" s="10" t="n">
        <x:v>41740.8936</x:v>
      </x:c>
      <x:c r="O3241" s="9" t="n">
        <x:v>0.0517219661</x:v>
      </x:c>
      <x:c r="P3241" s="9" t="n">
        <x:v>0.3438061041</x:v>
      </x:c>
      <x:c r="Q3241" s="9" t="n">
        <x:v>0.3913824057</x:v>
      </x:c>
      <x:c r="R3241" s="3" t="b">
        <x:v>0</x:v>
      </x:c>
      <x:c r="S3241" s="3" t="b">
        <x:v>0</x:v>
      </x:c>
      <x:c r="T3241" s="3" t="b">
        <x:v>0</x:v>
      </x:c>
      <x:c r="U3241" s="2" t="str">
        <x:f>IF(T3241=TRUE,"Priority review",IF(R3241=TRUE,"High cost",IF(S3241=TRUE,"Low quality","Benchmark")))</x:f>
        <x:v>Benchmark</x:v>
      </x:c>
    </x:row>
    <x:row r="3242">
      <x:c r="A3242" s="2" t="str">
        <x:v>111324</x:v>
      </x:c>
      <x:c r="B3242" s="2" t="str">
        <x:v>CHATUGE REGIONAL HOSPITAL</x:v>
      </x:c>
      <x:c r="C3242" s="2" t="str">
        <x:v>HIAWASSEE</x:v>
      </x:c>
      <x:c r="D3242" s="2" t="str">
        <x:v>GA</x:v>
      </x:c>
      <x:c r="E3242" s="2" t="str">
        <x:v>Critical Access Hospitals</x:v>
      </x:c>
      <x:c r="F3242" s="2" t="str">
        <x:v>Government</x:v>
      </x:c>
      <x:c r="G3242" s="2" t="str">
        <x:v>Small (&lt;100 beds)</x:v>
      </x:c>
      <x:c r="H3242" s="7"/>
      <x:c r="I3242" s="7"/>
      <x:c r="J3242" s="7"/>
      <x:c r="K3242" s="8" t="n">
        <x:v>25</x:v>
      </x:c>
      <x:c r="L3242" s="8" t="n">
        <x:v>336</x:v>
      </x:c>
      <x:c r="M3242" s="9" t="n">
        <x:v>0.6370410959</x:v>
      </x:c>
      <x:c r="N3242" s="10" t="n">
        <x:v>103904.1160714286</x:v>
      </x:c>
      <x:c r="O3242" s="9" t="n">
        <x:v>-0.0371243019</x:v>
      </x:c>
      <x:c r="P3242" s="9" t="n">
        <x:v>0.3434944238</x:v>
      </x:c>
      <x:c r="Q3242" s="9" t="n">
        <x:v>0.292936803</x:v>
      </x:c>
      <x:c r="R3242" s="3" t="b">
        <x:v>0</x:v>
      </x:c>
      <x:c r="S3242" s="3" t="b">
        <x:v>0</x:v>
      </x:c>
      <x:c r="T3242" s="3" t="b">
        <x:v>0</x:v>
      </x:c>
      <x:c r="U3242" s="2" t="str">
        <x:f>IF(T3242=TRUE,"Priority review",IF(R3242=TRUE,"High cost",IF(S3242=TRUE,"Low quality","Benchmark")))</x:f>
        <x:v>Benchmark</x:v>
      </x:c>
    </x:row>
    <x:row r="3243">
      <x:c r="A3243" s="2" t="str">
        <x:v>084003</x:v>
      </x:c>
      <x:c r="B3243" s="2" t="str">
        <x:v>MEADOWWOOD BEHAVIORAL HEALTH SYSTEM</x:v>
      </x:c>
      <x:c r="C3243" s="2" t="str">
        <x:v>NEW CASTLE</x:v>
      </x:c>
      <x:c r="D3243" s="2" t="str">
        <x:v>DE</x:v>
      </x:c>
      <x:c r="E3243" s="2" t="str">
        <x:v>Psychiatric</x:v>
      </x:c>
      <x:c r="F3243" s="2" t="str">
        <x:v>Proprietary</x:v>
      </x:c>
      <x:c r="G3243" s="2" t="str">
        <x:v>Medium (100-299 beds)</x:v>
      </x:c>
      <x:c r="H3243" s="7"/>
      <x:c r="I3243" s="7"/>
      <x:c r="J3243" s="7"/>
      <x:c r="K3243" s="8" t="n">
        <x:v>130</x:v>
      </x:c>
      <x:c r="L3243" s="8" t="n">
        <x:v>3716</x:v>
      </x:c>
      <x:c r="M3243" s="9" t="n">
        <x:v>0.8567044977</x:v>
      </x:c>
      <x:c r="N3243" s="10" t="n">
        <x:v>8427.8751345533</x:v>
      </x:c>
      <x:c r="O3243" s="9" t="n">
        <x:v>0.1176990567</x:v>
      </x:c>
      <x:c r="P3243" s="9" t="n">
        <x:v>0.3432835821</x:v>
      </x:c>
      <x:c r="Q3243" s="9" t="n">
        <x:v>0</x:v>
      </x:c>
      <x:c r="R3243" s="3" t="b">
        <x:v>0</x:v>
      </x:c>
      <x:c r="S3243" s="3" t="b">
        <x:v>0</x:v>
      </x:c>
      <x:c r="T3243" s="3" t="b">
        <x:v>0</x:v>
      </x:c>
      <x:c r="U3243" s="2" t="str">
        <x:f>IF(T3243=TRUE,"Priority review",IF(R3243=TRUE,"High cost",IF(S3243=TRUE,"Low quality","Benchmark")))</x:f>
        <x:v>Benchmark</x:v>
      </x:c>
    </x:row>
    <x:row r="3244">
      <x:c r="A3244" s="2" t="str">
        <x:v>360155</x:v>
      </x:c>
      <x:c r="B3244" s="2" t="str">
        <x:v>SOUTHWEST GENERAL HEALTH CENTER</x:v>
      </x:c>
      <x:c r="C3244" s="2" t="str">
        <x:v>MIDDLEBURG HEIGHTS</x:v>
      </x:c>
      <x:c r="D3244" s="2" t="str">
        <x:v>OH</x:v>
      </x:c>
      <x:c r="E3244" s="2" t="str">
        <x:v>Acute Care Hospitals</x:v>
      </x:c>
      <x:c r="F3244" s="2" t="str">
        <x:v>Voluntary non-profit</x:v>
      </x:c>
      <x:c r="G3244" s="2" t="str">
        <x:v>Medium (100-299 beds)</x:v>
      </x:c>
      <x:c r="H3244" s="7" t="n">
        <x:v>4</x:v>
      </x:c>
      <x:c r="I3244" s="7" t="n">
        <x:v>3</x:v>
      </x:c>
      <x:c r="J3244" s="7" t="n">
        <x:v>0.97</x:v>
      </x:c>
      <x:c r="K3244" s="8" t="n">
        <x:v>191</x:v>
      </x:c>
      <x:c r="L3244" s="8" t="n">
        <x:v>15398</x:v>
      </x:c>
      <x:c r="M3244" s="9" t="n">
        <x:v>0.8475095128</x:v>
      </x:c>
      <x:c r="N3244" s="10" t="n">
        <x:v>28546.8935576049</x:v>
      </x:c>
      <x:c r="O3244" s="9" t="n">
        <x:v>-0.0363510731</x:v>
      </x:c>
      <x:c r="P3244" s="9" t="n">
        <x:v>0.3431132844</x:v>
      </x:c>
      <x:c r="Q3244" s="9" t="n">
        <x:v>0.6022819886</x:v>
      </x:c>
      <x:c r="R3244" s="3" t="b">
        <x:v>0</x:v>
      </x:c>
      <x:c r="S3244" s="3" t="b">
        <x:v>0</x:v>
      </x:c>
      <x:c r="T3244" s="3" t="b">
        <x:v>0</x:v>
      </x:c>
      <x:c r="U3244" s="2" t="str">
        <x:f>IF(T3244=TRUE,"Priority review",IF(R3244=TRUE,"High cost",IF(S3244=TRUE,"Low quality","Benchmark")))</x:f>
        <x:v>Benchmark</x:v>
      </x:c>
    </x:row>
    <x:row r="3245">
      <x:c r="A3245" s="2" t="str">
        <x:v>454161</x:v>
      </x:c>
      <x:c r="B3245" s="2" t="str">
        <x:v>MEDICAL CITY MENTAL HEALTH AND WELLNESS CENTER</x:v>
      </x:c>
      <x:c r="C3245" s="2" t="str">
        <x:v>FRISCO</x:v>
      </x:c>
      <x:c r="D3245" s="2" t="str">
        <x:v>TX</x:v>
      </x:c>
      <x:c r="E3245" s="2" t="str">
        <x:v>Psychiatric</x:v>
      </x:c>
      <x:c r="F3245" s="2" t="str">
        <x:v>Proprietary</x:v>
      </x:c>
      <x:c r="G3245" s="2" t="str">
        <x:v>Small (&lt;100 beds)</x:v>
      </x:c>
      <x:c r="H3245" s="7"/>
      <x:c r="I3245" s="7"/>
      <x:c r="J3245" s="7"/>
      <x:c r="K3245" s="8" t="n">
        <x:v>70</x:v>
      </x:c>
      <x:c r="L3245" s="8" t="n">
        <x:v>1681</x:v>
      </x:c>
      <x:c r="M3245" s="9" t="n">
        <x:v>0.9490225564</x:v>
      </x:c>
      <x:c r="N3245" s="10" t="n">
        <x:v>9383.9012492564</x:v>
      </x:c>
      <x:c r="O3245" s="9" t="n">
        <x:v>-0.8610052139</x:v>
      </x:c>
      <x:c r="P3245" s="9" t="n">
        <x:v>0.3430420712</x:v>
      </x:c>
      <x:c r="Q3245" s="9" t="n">
        <x:v>0</x:v>
      </x:c>
      <x:c r="R3245" s="3" t="b">
        <x:v>0</x:v>
      </x:c>
      <x:c r="S3245" s="3" t="b">
        <x:v>0</x:v>
      </x:c>
      <x:c r="T3245" s="3" t="b">
        <x:v>0</x:v>
      </x:c>
      <x:c r="U3245" s="2" t="str">
        <x:f>IF(T3245=TRUE,"Priority review",IF(R3245=TRUE,"High cost",IF(S3245=TRUE,"Low quality","Benchmark")))</x:f>
        <x:v>Benchmark</x:v>
      </x:c>
    </x:row>
    <x:row r="3246">
      <x:c r="A3246" s="2" t="str">
        <x:v>110237</x:v>
      </x:c>
      <x:c r="B3246" s="2" t="str">
        <x:v>NORTHEAST GEORGIA MEDICAL CENTER LUMPKIN</x:v>
      </x:c>
      <x:c r="C3246" s="2" t="str">
        <x:v>DAHLONEGA</x:v>
      </x:c>
      <x:c r="D3246" s="2" t="str">
        <x:v>GA</x:v>
      </x:c>
      <x:c r="E3246" s="2" t="str">
        <x:v>Acute Care Hospitals</x:v>
      </x:c>
      <x:c r="F3246" s="2" t="str">
        <x:v>Voluntary non-profit</x:v>
      </x:c>
      <x:c r="G3246" s="2" t="str">
        <x:v>Small (&lt;100 beds)</x:v>
      </x:c>
      <x:c r="H3246" s="7" t="n">
        <x:v>5</x:v>
      </x:c>
      <x:c r="I3246" s="7" t="n">
        <x:v>4</x:v>
      </x:c>
      <x:c r="J3246" s="7" t="n">
        <x:v>0.83</x:v>
      </x:c>
      <x:c r="K3246" s="8" t="n">
        <x:v>16</x:v>
      </x:c>
      <x:c r="L3246" s="8" t="n">
        <x:v>789</x:v>
      </x:c>
      <x:c r="M3246" s="9" t="n">
        <x:v>0.3857581967</x:v>
      </x:c>
      <x:c r="N3246" s="10" t="n">
        <x:v>41734.9721166033</x:v>
      </x:c>
      <x:c r="O3246" s="9" t="n">
        <x:v>0.1267608506</x:v>
      </x:c>
      <x:c r="P3246" s="9" t="n">
        <x:v>0.3429084381</x:v>
      </x:c>
      <x:c r="Q3246" s="9" t="n">
        <x:v>0.6131059246</x:v>
      </x:c>
      <x:c r="R3246" s="3" t="b">
        <x:v>0</x:v>
      </x:c>
      <x:c r="S3246" s="3" t="b">
        <x:v>0</x:v>
      </x:c>
      <x:c r="T3246" s="3" t="b">
        <x:v>0</x:v>
      </x:c>
      <x:c r="U3246" s="2" t="str">
        <x:f>IF(T3246=TRUE,"Priority review",IF(R3246=TRUE,"High cost",IF(S3246=TRUE,"Low quality","Benchmark")))</x:f>
        <x:v>Benchmark</x:v>
      </x:c>
    </x:row>
    <x:row r="3247">
      <x:c r="A3247" s="2" t="str">
        <x:v>431319</x:v>
      </x:c>
      <x:c r="B3247" s="2" t="str">
        <x:v>HANS P PETERSON MEMORIAL HOSPITAL - CAH</x:v>
      </x:c>
      <x:c r="C3247" s="2" t="str">
        <x:v>PHILIP</x:v>
      </x:c>
      <x:c r="D3247" s="2" t="str">
        <x:v>SD</x:v>
      </x:c>
      <x:c r="E3247" s="2" t="str">
        <x:v>Critical Access Hospitals</x:v>
      </x:c>
      <x:c r="F3247" s="2" t="str">
        <x:v>Voluntary non-profit</x:v>
      </x:c>
      <x:c r="G3247" s="2" t="str">
        <x:v>Small (&lt;100 beds)</x:v>
      </x:c>
      <x:c r="H3247" s="7"/>
      <x:c r="I3247" s="7"/>
      <x:c r="J3247" s="7"/>
      <x:c r="K3247" s="8" t="n">
        <x:v>18</x:v>
      </x:c>
      <x:c r="L3247" s="8" t="n">
        <x:v>188</x:v>
      </x:c>
      <x:c r="M3247" s="9" t="n">
        <x:v>0.2826350941</x:v>
      </x:c>
      <x:c r="N3247" s="10" t="n">
        <x:v>103691.2287234043</x:v>
      </x:c>
      <x:c r="O3247" s="9" t="n">
        <x:v>-0.0466589086</x:v>
      </x:c>
      <x:c r="P3247" s="9" t="n">
        <x:v>0.3427509294</x:v>
      </x:c>
      <x:c r="Q3247" s="9" t="n">
        <x:v>0.292936803</x:v>
      </x:c>
      <x:c r="R3247" s="3" t="b">
        <x:v>0</x:v>
      </x:c>
      <x:c r="S3247" s="3" t="b">
        <x:v>0</x:v>
      </x:c>
      <x:c r="T3247" s="3" t="b">
        <x:v>0</x:v>
      </x:c>
      <x:c r="U3247" s="2" t="str">
        <x:f>IF(T3247=TRUE,"Priority review",IF(R3247=TRUE,"High cost",IF(S3247=TRUE,"Low quality","Benchmark")))</x:f>
        <x:v>Benchmark</x:v>
      </x:c>
    </x:row>
    <x:row r="3248">
      <x:c r="A3248" s="2" t="str">
        <x:v>310024</x:v>
      </x:c>
      <x:c r="B3248" s="2" t="str">
        <x:v>ROBERT WOOD JOHNSON UNIVERSITY HOSPITAL AT RAHWAY</x:v>
      </x:c>
      <x:c r="C3248" s="2" t="str">
        <x:v>RAHWAY</x:v>
      </x:c>
      <x:c r="D3248" s="2" t="str">
        <x:v>NJ</x:v>
      </x:c>
      <x:c r="E3248" s="2" t="str">
        <x:v>Acute Care Hospitals</x:v>
      </x:c>
      <x:c r="F3248" s="2" t="str">
        <x:v>Voluntary non-profit</x:v>
      </x:c>
      <x:c r="G3248" s="2" t="str">
        <x:v>Medium (100-299 beds)</x:v>
      </x:c>
      <x:c r="H3248" s="7" t="n">
        <x:v>4</x:v>
      </x:c>
      <x:c r="I3248" s="7" t="n">
        <x:v>3</x:v>
      </x:c>
      <x:c r="J3248" s="7" t="n">
        <x:v>1.07</x:v>
      </x:c>
      <x:c r="K3248" s="8" t="n">
        <x:v>139</x:v>
      </x:c>
      <x:c r="L3248" s="8" t="n">
        <x:v>4807</x:v>
      </x:c>
      <x:c r="M3248" s="9" t="n">
        <x:v>0.4434485199</x:v>
      </x:c>
      <x:c r="N3248" s="10" t="n">
        <x:v>28511.0126898273</x:v>
      </x:c>
      <x:c r="O3248" s="9" t="n">
        <x:v>-0.0075692357</x:v>
      </x:c>
      <x:c r="P3248" s="9" t="n">
        <x:v>0.3422982885</x:v>
      </x:c>
      <x:c r="Q3248" s="9" t="n">
        <x:v>0.6022819886</x:v>
      </x:c>
      <x:c r="R3248" s="3" t="b">
        <x:v>0</x:v>
      </x:c>
      <x:c r="S3248" s="3" t="b">
        <x:v>0</x:v>
      </x:c>
      <x:c r="T3248" s="3" t="b">
        <x:v>0</x:v>
      </x:c>
      <x:c r="U3248" s="2" t="str">
        <x:f>IF(T3248=TRUE,"Priority review",IF(R3248=TRUE,"High cost",IF(S3248=TRUE,"Low quality","Benchmark")))</x:f>
        <x:v>Benchmark</x:v>
      </x:c>
    </x:row>
    <x:row r="3249">
      <x:c r="A3249" s="2" t="str">
        <x:v>450083</x:v>
      </x:c>
      <x:c r="B3249" s="2" t="str">
        <x:v>UT HEALTH EAST TEXAS TYLER REGIONAL HOSPITAL</x:v>
      </x:c>
      <x:c r="C3249" s="2" t="str">
        <x:v>TYLER</x:v>
      </x:c>
      <x:c r="D3249" s="2" t="str">
        <x:v>TX</x:v>
      </x:c>
      <x:c r="E3249" s="2" t="str">
        <x:v>Acute Care Hospitals</x:v>
      </x:c>
      <x:c r="F3249" s="2" t="str">
        <x:v>Proprietary</x:v>
      </x:c>
      <x:c r="G3249" s="2" t="str">
        <x:v>Large (300+ beds)</x:v>
      </x:c>
      <x:c r="H3249" s="7" t="n">
        <x:v>2</x:v>
      </x:c>
      <x:c r="I3249" s="7" t="n">
        <x:v>2</x:v>
      </x:c>
      <x:c r="J3249" s="7" t="n">
        <x:v>1.07</x:v>
      </x:c>
      <x:c r="K3249" s="8" t="n">
        <x:v>349</x:v>
      </x:c>
      <x:c r="L3249" s="8" t="n">
        <x:v>22816</x:v>
      </x:c>
      <x:c r="M3249" s="9" t="n">
        <x:v>0.8641762242</x:v>
      </x:c>
      <x:c r="N3249" s="10" t="n">
        <x:v>32145.764200561</x:v>
      </x:c>
      <x:c r="O3249" s="9" t="n">
        <x:v>-0.3261304255</x:v>
      </x:c>
      <x:c r="P3249" s="9" t="n">
        <x:v>0.3422712934</x:v>
      </x:c>
      <x:c r="Q3249" s="9" t="n">
        <x:v>0.0536277603</x:v>
      </x:c>
      <x:c r="R3249" s="3" t="b">
        <x:v>0</x:v>
      </x:c>
      <x:c r="S3249" s="3" t="b">
        <x:v>1</x:v>
      </x:c>
      <x:c r="T3249" s="3" t="b">
        <x:v>0</x:v>
      </x:c>
      <x:c r="U3249" s="2" t="str">
        <x:f>IF(T3249=TRUE,"Priority review",IF(R3249=TRUE,"High cost",IF(S3249=TRUE,"Low quality","Benchmark")))</x:f>
        <x:v>Low quality</x:v>
      </x:c>
    </x:row>
    <x:row r="3250">
      <x:c r="A3250" s="2" t="str">
        <x:v>500139</x:v>
      </x:c>
      <x:c r="B3250" s="2" t="str">
        <x:v>CAPITAL MEDICAL CENTER</x:v>
      </x:c>
      <x:c r="C3250" s="2" t="str">
        <x:v>OLYMPIA</x:v>
      </x:c>
      <x:c r="D3250" s="2" t="str">
        <x:v>WA</x:v>
      </x:c>
      <x:c r="E3250" s="2" t="str">
        <x:v>Acute Care Hospitals</x:v>
      </x:c>
      <x:c r="F3250" s="2" t="str">
        <x:v>Voluntary non-profit</x:v>
      </x:c>
      <x:c r="G3250" s="2" t="str">
        <x:v>Small (&lt;100 beds)</x:v>
      </x:c>
      <x:c r="H3250" s="7" t="n">
        <x:v>3</x:v>
      </x:c>
      <x:c r="I3250" s="7" t="n">
        <x:v>3</x:v>
      </x:c>
      <x:c r="J3250" s="7" t="n">
        <x:v>0.9</x:v>
      </x:c>
      <x:c r="K3250" s="8" t="n">
        <x:v>85</x:v>
      </x:c>
      <x:c r="L3250" s="8" t="n">
        <x:v>5061</x:v>
      </x:c>
      <x:c r="M3250" s="9" t="n">
        <x:v>0.5818707811</x:v>
      </x:c>
      <x:c r="N3250" s="10" t="n">
        <x:v>41697.5078047817</x:v>
      </x:c>
      <x:c r="O3250" s="9" t="n">
        <x:v>-0.0628829126</x:v>
      </x:c>
      <x:c r="P3250" s="9" t="n">
        <x:v>0.342010772</x:v>
      </x:c>
      <x:c r="Q3250" s="9" t="n">
        <x:v>0.1687612208</x:v>
      </x:c>
      <x:c r="R3250" s="3" t="b">
        <x:v>0</x:v>
      </x:c>
      <x:c r="S3250" s="3" t="b">
        <x:v>0</x:v>
      </x:c>
      <x:c r="T3250" s="3" t="b">
        <x:v>0</x:v>
      </x:c>
      <x:c r="U3250" s="2" t="str">
        <x:f>IF(T3250=TRUE,"Priority review",IF(R3250=TRUE,"High cost",IF(S3250=TRUE,"Low quality","Benchmark")))</x:f>
        <x:v>Benchmark</x:v>
      </x:c>
    </x:row>
    <x:row r="3251">
      <x:c r="A3251" s="2" t="str">
        <x:v>461308</x:v>
      </x:c>
      <x:c r="B3251" s="2" t="str">
        <x:v>SAN JUAN HOSPITAL</x:v>
      </x:c>
      <x:c r="C3251" s="2" t="str">
        <x:v>MONTICELLO</x:v>
      </x:c>
      <x:c r="D3251" s="2" t="str">
        <x:v>UT</x:v>
      </x:c>
      <x:c r="E3251" s="2" t="str">
        <x:v>Critical Access Hospitals</x:v>
      </x:c>
      <x:c r="F3251" s="2" t="str">
        <x:v>Voluntary non-profit</x:v>
      </x:c>
      <x:c r="G3251" s="2" t="str">
        <x:v>Small (&lt;100 beds)</x:v>
      </x:c>
      <x:c r="H3251" s="7"/>
      <x:c r="I3251" s="7"/>
      <x:c r="J3251" s="7"/>
      <x:c r="K3251" s="8" t="n">
        <x:v>21</x:v>
      </x:c>
      <x:c r="L3251" s="8" t="n">
        <x:v>234</x:v>
      </x:c>
      <x:c r="M3251" s="9" t="n">
        <x:v>0.0653135571</x:v>
      </x:c>
      <x:c r="N3251" s="10" t="n">
        <x:v>103597.8333333333</x:v>
      </x:c>
      <x:c r="O3251" s="9" t="n">
        <x:v>-0.0379833712</x:v>
      </x:c>
      <x:c r="P3251" s="9" t="n">
        <x:v>0.3420074349</x:v>
      </x:c>
      <x:c r="Q3251" s="9" t="n">
        <x:v>0.292936803</x:v>
      </x:c>
      <x:c r="R3251" s="3" t="b">
        <x:v>0</x:v>
      </x:c>
      <x:c r="S3251" s="3" t="b">
        <x:v>0</x:v>
      </x:c>
      <x:c r="T3251" s="3" t="b">
        <x:v>0</x:v>
      </x:c>
      <x:c r="U3251" s="2" t="str">
        <x:f>IF(T3251=TRUE,"Priority review",IF(R3251=TRUE,"High cost",IF(S3251=TRUE,"Low quality","Benchmark")))</x:f>
        <x:v>Benchmark</x:v>
      </x:c>
    </x:row>
    <x:row r="3252">
      <x:c r="A3252" s="2" t="str">
        <x:v>360354</x:v>
      </x:c>
      <x:c r="B3252" s="2" t="str">
        <x:v>WEST CHESTER HOSPITAL</x:v>
      </x:c>
      <x:c r="C3252" s="2" t="str">
        <x:v>WEST CHESTER</x:v>
      </x:c>
      <x:c r="D3252" s="2" t="str">
        <x:v>OH</x:v>
      </x:c>
      <x:c r="E3252" s="2" t="str">
        <x:v>Acute Care Hospitals</x:v>
      </x:c>
      <x:c r="F3252" s="2" t="str">
        <x:v>Voluntary non-profit</x:v>
      </x:c>
      <x:c r="G3252" s="2" t="str">
        <x:v>Medium (100-299 beds)</x:v>
      </x:c>
      <x:c r="H3252" s="7" t="n">
        <x:v>3</x:v>
      </x:c>
      <x:c r="I3252" s="7" t="n">
        <x:v>3</x:v>
      </x:c>
      <x:c r="J3252" s="7" t="n">
        <x:v>1</x:v>
      </x:c>
      <x:c r="K3252" s="8" t="n">
        <x:v>154</x:v>
      </x:c>
      <x:c r="L3252" s="8" t="n">
        <x:v>11046</x:v>
      </x:c>
      <x:c r="M3252" s="9" t="n">
        <x:v>0.8441380537</x:v>
      </x:c>
      <x:c r="N3252" s="10" t="n">
        <x:v>28505.3902770234</x:v>
      </x:c>
      <x:c r="O3252" s="9" t="n">
        <x:v>-0.1322209789</x:v>
      </x:c>
      <x:c r="P3252" s="9" t="n">
        <x:v>0.3414832926</x:v>
      </x:c>
      <x:c r="Q3252" s="9" t="n">
        <x:v>0.3023634882</x:v>
      </x:c>
      <x:c r="R3252" s="3" t="b">
        <x:v>0</x:v>
      </x:c>
      <x:c r="S3252" s="3" t="b">
        <x:v>0</x:v>
      </x:c>
      <x:c r="T3252" s="3" t="b">
        <x:v>0</x:v>
      </x:c>
      <x:c r="U3252" s="2" t="str">
        <x:f>IF(T3252=TRUE,"Priority review",IF(R3252=TRUE,"High cost",IF(S3252=TRUE,"Low quality","Benchmark")))</x:f>
        <x:v>Benchmark</x:v>
      </x:c>
    </x:row>
    <x:row r="3253">
      <x:c r="A3253" s="2" t="str">
        <x:v>181307</x:v>
      </x:c>
      <x:c r="B3253" s="2" t="str">
        <x:v>MORGAN COUNTY ARH HOSPITAL</x:v>
      </x:c>
      <x:c r="C3253" s="2" t="str">
        <x:v>WEST LIBERTY</x:v>
      </x:c>
      <x:c r="D3253" s="2" t="str">
        <x:v>KY</x:v>
      </x:c>
      <x:c r="E3253" s="2" t="str">
        <x:v>Critical Access Hospitals</x:v>
      </x:c>
      <x:c r="F3253" s="2" t="str">
        <x:v>Voluntary non-profit</x:v>
      </x:c>
      <x:c r="G3253" s="2" t="str">
        <x:v>Small (&lt;100 beds)</x:v>
      </x:c>
      <x:c r="H3253" s="7"/>
      <x:c r="I3253" s="7"/>
      <x:c r="J3253" s="7"/>
      <x:c r="K3253" s="8" t="n">
        <x:v>25</x:v>
      </x:c>
      <x:c r="L3253" s="8" t="n">
        <x:v>224</x:v>
      </x:c>
      <x:c r="M3253" s="9" t="n">
        <x:v>0.2065753425</x:v>
      </x:c>
      <x:c r="N3253" s="10" t="n">
        <x:v>103152.5133928571</x:v>
      </x:c>
      <x:c r="O3253" s="9" t="n">
        <x:v>-0.1171941769</x:v>
      </x:c>
      <x:c r="P3253" s="9" t="n">
        <x:v>0.3412639405</x:v>
      </x:c>
      <x:c r="Q3253" s="9" t="n">
        <x:v>0.292936803</x:v>
      </x:c>
      <x:c r="R3253" s="3" t="b">
        <x:v>0</x:v>
      </x:c>
      <x:c r="S3253" s="3" t="b">
        <x:v>0</x:v>
      </x:c>
      <x:c r="T3253" s="3" t="b">
        <x:v>0</x:v>
      </x:c>
      <x:c r="U3253" s="2" t="str">
        <x:f>IF(T3253=TRUE,"Priority review",IF(R3253=TRUE,"High cost",IF(S3253=TRUE,"Low quality","Benchmark")))</x:f>
        <x:v>Benchmark</x:v>
      </x:c>
    </x:row>
    <x:row r="3254">
      <x:c r="A3254" s="2" t="str">
        <x:v>380037</x:v>
      </x:c>
      <x:c r="B3254" s="2" t="str">
        <x:v>PROVIDENCE NEWBERG MEDICAL CENTER</x:v>
      </x:c>
      <x:c r="C3254" s="2" t="str">
        <x:v>NEWBERG</x:v>
      </x:c>
      <x:c r="D3254" s="2" t="str">
        <x:v>OR</x:v>
      </x:c>
      <x:c r="E3254" s="2" t="str">
        <x:v>Acute Care Hospitals</x:v>
      </x:c>
      <x:c r="F3254" s="2" t="str">
        <x:v>Voluntary non-profit</x:v>
      </x:c>
      <x:c r="G3254" s="2" t="str">
        <x:v>Small (&lt;100 beds)</x:v>
      </x:c>
      <x:c r="H3254" s="7" t="n">
        <x:v>4</x:v>
      </x:c>
      <x:c r="I3254" s="7" t="n">
        <x:v>4</x:v>
      </x:c>
      <x:c r="J3254" s="7" t="n">
        <x:v>0.83</x:v>
      </x:c>
      <x:c r="K3254" s="8" t="n">
        <x:v>40</x:v>
      </x:c>
      <x:c r="L3254" s="8" t="n">
        <x:v>3616</x:v>
      </x:c>
      <x:c r="M3254" s="9" t="n">
        <x:v>0.8431010929</x:v>
      </x:c>
      <x:c r="N3254" s="10" t="n">
        <x:v>41691.1653761062</x:v>
      </x:c>
      <x:c r="O3254" s="9" t="n">
        <x:v>0.1726934248</x:v>
      </x:c>
      <x:c r="P3254" s="9" t="n">
        <x:v>0.3411131059</x:v>
      </x:c>
      <x:c r="Q3254" s="9" t="n">
        <x:v>0.3913824057</x:v>
      </x:c>
      <x:c r="R3254" s="3" t="b">
        <x:v>0</x:v>
      </x:c>
      <x:c r="S3254" s="3" t="b">
        <x:v>0</x:v>
      </x:c>
      <x:c r="T3254" s="3" t="b">
        <x:v>0</x:v>
      </x:c>
      <x:c r="U3254" s="2" t="str">
        <x:f>IF(T3254=TRUE,"Priority review",IF(R3254=TRUE,"High cost",IF(S3254=TRUE,"Low quality","Benchmark")))</x:f>
        <x:v>Benchmark</x:v>
      </x:c>
    </x:row>
    <x:row r="3255">
      <x:c r="A3255" s="2" t="str">
        <x:v>150017</x:v>
      </x:c>
      <x:c r="B3255" s="2" t="str">
        <x:v>LUTHERAN HOSPITAL OF INDIANA</x:v>
      </x:c>
      <x:c r="C3255" s="2" t="str">
        <x:v>FORT WAYNE</x:v>
      </x:c>
      <x:c r="D3255" s="2" t="str">
        <x:v>IN</x:v>
      </x:c>
      <x:c r="E3255" s="2" t="str">
        <x:v>Acute Care Hospitals</x:v>
      </x:c>
      <x:c r="F3255" s="2" t="str">
        <x:v>Proprietary</x:v>
      </x:c>
      <x:c r="G3255" s="2" t="str">
        <x:v>Large (300+ beds)</x:v>
      </x:c>
      <x:c r="H3255" s="7" t="n">
        <x:v>3</x:v>
      </x:c>
      <x:c r="I3255" s="7" t="n">
        <x:v>2</x:v>
      </x:c>
      <x:c r="J3255" s="7" t="n">
        <x:v>1.07</x:v>
      </x:c>
      <x:c r="K3255" s="8" t="n">
        <x:v>327</x:v>
      </x:c>
      <x:c r="L3255" s="8" t="n">
        <x:v>17091</x:v>
      </x:c>
      <x:c r="M3255" s="9" t="n">
        <x:v>0.7463681049</x:v>
      </x:c>
      <x:c r="N3255" s="10" t="n">
        <x:v>32109.619858405</x:v>
      </x:c>
      <x:c r="O3255" s="9" t="n">
        <x:v>0.0105897492</x:v>
      </x:c>
      <x:c r="P3255" s="9" t="n">
        <x:v>0.3406940063</x:v>
      </x:c>
      <x:c r="Q3255" s="9" t="n">
        <x:v>0.2570977918</x:v>
      </x:c>
      <x:c r="R3255" s="3" t="b">
        <x:v>0</x:v>
      </x:c>
      <x:c r="S3255" s="3" t="b">
        <x:v>0</x:v>
      </x:c>
      <x:c r="T3255" s="3" t="b">
        <x:v>0</x:v>
      </x:c>
      <x:c r="U3255" s="2" t="str">
        <x:f>IF(T3255=TRUE,"Priority review",IF(R3255=TRUE,"High cost",IF(S3255=TRUE,"Low quality","Benchmark")))</x:f>
        <x:v>Benchmark</x:v>
      </x:c>
    </x:row>
    <x:row r="3256">
      <x:c r="A3256" s="2" t="str">
        <x:v>310006</x:v>
      </x:c>
      <x:c r="B3256" s="2" t="str">
        <x:v>ST MARY'S GENERAL HOSPITAL</x:v>
      </x:c>
      <x:c r="C3256" s="2" t="str">
        <x:v>PASSAIC</x:v>
      </x:c>
      <x:c r="D3256" s="2" t="str">
        <x:v>NJ</x:v>
      </x:c>
      <x:c r="E3256" s="2" t="str">
        <x:v>Acute Care Hospitals</x:v>
      </x:c>
      <x:c r="F3256" s="2" t="str">
        <x:v>Proprietary</x:v>
      </x:c>
      <x:c r="G3256" s="2" t="str">
        <x:v>Medium (100-299 beds)</x:v>
      </x:c>
      <x:c r="H3256" s="7" t="n">
        <x:v>3</x:v>
      </x:c>
      <x:c r="I3256" s="7" t="n">
        <x:v>3</x:v>
      </x:c>
      <x:c r="J3256" s="7" t="n">
        <x:v>1.05</x:v>
      </x:c>
      <x:c r="K3256" s="8" t="n">
        <x:v>122</x:v>
      </x:c>
      <x:c r="L3256" s="8" t="n">
        <x:v>5949</x:v>
      </x:c>
      <x:c r="M3256" s="9" t="n">
        <x:v>0.5080847442</x:v>
      </x:c>
      <x:c r="N3256" s="10" t="n">
        <x:v>28502.972936628</x:v>
      </x:c>
      <x:c r="O3256" s="9" t="n">
        <x:v>-0.037443429</x:v>
      </x:c>
      <x:c r="P3256" s="9" t="n">
        <x:v>0.3406682967</x:v>
      </x:c>
      <x:c r="Q3256" s="9" t="n">
        <x:v>0.3023634882</x:v>
      </x:c>
      <x:c r="R3256" s="3" t="b">
        <x:v>0</x:v>
      </x:c>
      <x:c r="S3256" s="3" t="b">
        <x:v>0</x:v>
      </x:c>
      <x:c r="T3256" s="3" t="b">
        <x:v>0</x:v>
      </x:c>
      <x:c r="U3256" s="2" t="str">
        <x:f>IF(T3256=TRUE,"Priority review",IF(R3256=TRUE,"High cost",IF(S3256=TRUE,"Low quality","Benchmark")))</x:f>
        <x:v>Benchmark</x:v>
      </x:c>
    </x:row>
    <x:row r="3257">
      <x:c r="A3257" s="2" t="str">
        <x:v>451306</x:v>
      </x:c>
      <x:c r="B3257" s="2" t="str">
        <x:v>KIMBLE HOSPITAL</x:v>
      </x:c>
      <x:c r="C3257" s="2" t="str">
        <x:v>JUNCTION</x:v>
      </x:c>
      <x:c r="D3257" s="2" t="str">
        <x:v>TX</x:v>
      </x:c>
      <x:c r="E3257" s="2" t="str">
        <x:v>Critical Access Hospitals</x:v>
      </x:c>
      <x:c r="F3257" s="2" t="str">
        <x:v>Proprietary</x:v>
      </x:c>
      <x:c r="G3257" s="2" t="str">
        <x:v>Small (&lt;100 beds)</x:v>
      </x:c>
      <x:c r="H3257" s="7"/>
      <x:c r="I3257" s="7"/>
      <x:c r="J3257" s="7"/>
      <x:c r="K3257" s="8" t="n">
        <x:v>15</x:v>
      </x:c>
      <x:c r="L3257" s="8" t="n">
        <x:v>88</x:v>
      </x:c>
      <x:c r="M3257" s="9" t="n">
        <x:v>0.0730418944</x:v>
      </x:c>
      <x:c r="N3257" s="10" t="n">
        <x:v>102991.5909090909</x:v>
      </x:c>
      <x:c r="O3257" s="9" t="n">
        <x:v>-0.1980056283</x:v>
      </x:c>
      <x:c r="P3257" s="9" t="n">
        <x:v>0.3405204461</x:v>
      </x:c>
      <x:c r="Q3257" s="9" t="n">
        <x:v>0.292936803</x:v>
      </x:c>
      <x:c r="R3257" s="3" t="b">
        <x:v>0</x:v>
      </x:c>
      <x:c r="S3257" s="3" t="b">
        <x:v>0</x:v>
      </x:c>
      <x:c r="T3257" s="3" t="b">
        <x:v>0</x:v>
      </x:c>
      <x:c r="U3257" s="2" t="str">
        <x:f>IF(T3257=TRUE,"Priority review",IF(R3257=TRUE,"High cost",IF(S3257=TRUE,"Low quality","Benchmark")))</x:f>
        <x:v>Benchmark</x:v>
      </x:c>
    </x:row>
    <x:row r="3258">
      <x:c r="A3258" s="2" t="str">
        <x:v>450292</x:v>
      </x:c>
      <x:c r="B3258" s="2" t="str">
        <x:v>TEXAS HEALTH PRESBYTERIAN HOSPITAL KAUFMAN</x:v>
      </x:c>
      <x:c r="C3258" s="2" t="str">
        <x:v>KAUFMAN</x:v>
      </x:c>
      <x:c r="D3258" s="2" t="str">
        <x:v>TX</x:v>
      </x:c>
      <x:c r="E3258" s="2" t="str">
        <x:v>Acute Care Hospitals</x:v>
      </x:c>
      <x:c r="F3258" s="2" t="str">
        <x:v>Voluntary non-profit</x:v>
      </x:c>
      <x:c r="G3258" s="2" t="str">
        <x:v>Small (&lt;100 beds)</x:v>
      </x:c>
      <x:c r="H3258" s="7"/>
      <x:c r="I3258" s="7" t="n">
        <x:v>4</x:v>
      </x:c>
      <x:c r="J3258" s="7" t="n">
        <x:v>0.98</x:v>
      </x:c>
      <x:c r="K3258" s="8" t="n">
        <x:v>42</x:v>
      </x:c>
      <x:c r="L3258" s="8" t="n">
        <x:v>1078</x:v>
      </x:c>
      <x:c r="M3258" s="9" t="n">
        <x:v>0.1710252407</x:v>
      </x:c>
      <x:c r="N3258" s="10" t="n">
        <x:v>41599.4359925789</x:v>
      </x:c>
      <x:c r="O3258" s="9" t="n">
        <x:v>0.2019838067</x:v>
      </x:c>
      <x:c r="P3258" s="9" t="n">
        <x:v>0.3402154399</x:v>
      </x:c>
      <x:c r="Q3258" s="9" t="n">
        <x:v>0.697486535</x:v>
      </x:c>
      <x:c r="R3258" s="3" t="b">
        <x:v>0</x:v>
      </x:c>
      <x:c r="S3258" s="3" t="b">
        <x:v>0</x:v>
      </x:c>
      <x:c r="T3258" s="3" t="b">
        <x:v>0</x:v>
      </x:c>
      <x:c r="U3258" s="2" t="str">
        <x:f>IF(T3258=TRUE,"Priority review",IF(R3258=TRUE,"High cost",IF(S3258=TRUE,"Low quality","Benchmark")))</x:f>
        <x:v>Benchmark</x:v>
      </x:c>
    </x:row>
    <x:row r="3259">
      <x:c r="A3259" s="2" t="str">
        <x:v>140115</x:v>
      </x:c>
      <x:c r="B3259" s="2" t="str">
        <x:v>THOREK MEMORIAL HOSPITAL</x:v>
      </x:c>
      <x:c r="C3259" s="2" t="str">
        <x:v>CHICAGO</x:v>
      </x:c>
      <x:c r="D3259" s="2" t="str">
        <x:v>IL</x:v>
      </x:c>
      <x:c r="E3259" s="2" t="str">
        <x:v>Acute Care Hospitals</x:v>
      </x:c>
      <x:c r="F3259" s="2" t="str">
        <x:v>Voluntary non-profit</x:v>
      </x:c>
      <x:c r="G3259" s="2" t="str">
        <x:v>Medium (100-299 beds)</x:v>
      </x:c>
      <x:c r="H3259" s="7"/>
      <x:c r="I3259" s="7"/>
      <x:c r="J3259" s="7" t="n">
        <x:v>1.01</x:v>
      </x:c>
      <x:c r="K3259" s="8" t="n">
        <x:v>156</x:v>
      </x:c>
      <x:c r="L3259" s="8" t="n">
        <x:v>2915</x:v>
      </x:c>
      <x:c r="M3259" s="9" t="n">
        <x:v>0.2957674745</x:v>
      </x:c>
      <x:c r="N3259" s="10" t="n">
        <x:v>28475.0957118353</x:v>
      </x:c>
      <x:c r="O3259" s="9" t="n">
        <x:v>-0.3305368064</x:v>
      </x:c>
      <x:c r="P3259" s="9" t="n">
        <x:v>0.3398533007</x:v>
      </x:c>
      <x:c r="Q3259" s="9" t="n">
        <x:v>0.9616951915</x:v>
      </x:c>
      <x:c r="R3259" s="3" t="b">
        <x:v>0</x:v>
      </x:c>
      <x:c r="S3259" s="3" t="b">
        <x:v>0</x:v>
      </x:c>
      <x:c r="T3259" s="3" t="b">
        <x:v>0</x:v>
      </x:c>
      <x:c r="U3259" s="2" t="str">
        <x:f>IF(T3259=TRUE,"Priority review",IF(R3259=TRUE,"High cost",IF(S3259=TRUE,"Low quality","Benchmark")))</x:f>
        <x:v>Benchmark</x:v>
      </x:c>
    </x:row>
    <x:row r="3260">
      <x:c r="A3260" s="2" t="str">
        <x:v>364057</x:v>
      </x:c>
      <x:c r="B3260" s="2" t="str">
        <x:v>BLUERIDGE VISTA HEALTH AND WELLNESS</x:v>
      </x:c>
      <x:c r="C3260" s="2" t="str">
        <x:v>CINCINNATI</x:v>
      </x:c>
      <x:c r="D3260" s="2" t="str">
        <x:v>OH</x:v>
      </x:c>
      <x:c r="E3260" s="2" t="str">
        <x:v>Psychiatric</x:v>
      </x:c>
      <x:c r="F3260" s="2" t="str">
        <x:v>Proprietary</x:v>
      </x:c>
      <x:c r="G3260" s="2" t="str">
        <x:v>Small (&lt;100 beds)</x:v>
      </x:c>
      <x:c r="H3260" s="7"/>
      <x:c r="I3260" s="7"/>
      <x:c r="J3260" s="7"/>
      <x:c r="K3260" s="8" t="n">
        <x:v>44</x:v>
      </x:c>
      <x:c r="L3260" s="8" t="n">
        <x:v>1213</x:v>
      </x:c>
      <x:c r="M3260" s="9" t="n">
        <x:v>0.8264009963</x:v>
      </x:c>
      <x:c r="N3260" s="10" t="n">
        <x:v>9336.6735366859</x:v>
      </x:c>
      <x:c r="O3260" s="9" t="n">
        <x:v>0.384512324</x:v>
      </x:c>
      <x:c r="P3260" s="9" t="n">
        <x:v>0.3398058252</x:v>
      </x:c>
      <x:c r="Q3260" s="9" t="n">
        <x:v>0</x:v>
      </x:c>
      <x:c r="R3260" s="3" t="b">
        <x:v>0</x:v>
      </x:c>
      <x:c r="S3260" s="3" t="b">
        <x:v>0</x:v>
      </x:c>
      <x:c r="T3260" s="3" t="b">
        <x:v>0</x:v>
      </x:c>
      <x:c r="U3260" s="2" t="str">
        <x:f>IF(T3260=TRUE,"Priority review",IF(R3260=TRUE,"High cost",IF(S3260=TRUE,"Low quality","Benchmark")))</x:f>
        <x:v>Benchmark</x:v>
      </x:c>
    </x:row>
    <x:row r="3261">
      <x:c r="A3261" s="2" t="str">
        <x:v>241376</x:v>
      </x:c>
      <x:c r="B3261" s="2" t="str">
        <x:v>GLACIAL RIDGE HOSPITAL</x:v>
      </x:c>
      <x:c r="C3261" s="2" t="str">
        <x:v>GLENWOOD</x:v>
      </x:c>
      <x:c r="D3261" s="2" t="str">
        <x:v>MN</x:v>
      </x:c>
      <x:c r="E3261" s="2" t="str">
        <x:v>Critical Access Hospitals</x:v>
      </x:c>
      <x:c r="F3261" s="2" t="str">
        <x:v>Government</x:v>
      </x:c>
      <x:c r="G3261" s="2" t="str">
        <x:v>Small (&lt;100 beds)</x:v>
      </x:c>
      <x:c r="H3261" s="7" t="n">
        <x:v>4</x:v>
      </x:c>
      <x:c r="I3261" s="7" t="n">
        <x:v>5</x:v>
      </x:c>
      <x:c r="J3261" s="7"/>
      <x:c r="K3261" s="8" t="n">
        <x:v>19</x:v>
      </x:c>
      <x:c r="L3261" s="8" t="n">
        <x:v>555</x:v>
      </x:c>
      <x:c r="M3261" s="9" t="n">
        <x:v>0.3807880357</x:v>
      </x:c>
      <x:c r="N3261" s="10" t="n">
        <x:v>102738.7009009009</x:v>
      </x:c>
      <x:c r="O3261" s="9" t="n">
        <x:v>-0.0749742398</x:v>
      </x:c>
      <x:c r="P3261" s="9" t="n">
        <x:v>0.3397769517</x:v>
      </x:c>
      <x:c r="Q3261" s="9" t="n">
        <x:v>0.1657992565</x:v>
      </x:c>
      <x:c r="R3261" s="3" t="b">
        <x:v>0</x:v>
      </x:c>
      <x:c r="S3261" s="3" t="b">
        <x:v>0</x:v>
      </x:c>
      <x:c r="T3261" s="3" t="b">
        <x:v>0</x:v>
      </x:c>
      <x:c r="U3261" s="2" t="str">
        <x:f>IF(T3261=TRUE,"Priority review",IF(R3261=TRUE,"High cost",IF(S3261=TRUE,"Low quality","Benchmark")))</x:f>
        <x:v>Benchmark</x:v>
      </x:c>
    </x:row>
    <x:row r="3262">
      <x:c r="A3262" s="2" t="str">
        <x:v>250097</x:v>
      </x:c>
      <x:c r="B3262" s="2" t="str">
        <x:v>SOUTHWEST MS REGIONAL MEDICAL CENTER</x:v>
      </x:c>
      <x:c r="C3262" s="2" t="str">
        <x:v>MCCOMB</x:v>
      </x:c>
      <x:c r="D3262" s="2" t="str">
        <x:v>MS</x:v>
      </x:c>
      <x:c r="E3262" s="2" t="str">
        <x:v>Acute Care Hospitals</x:v>
      </x:c>
      <x:c r="F3262" s="2" t="str">
        <x:v>Government</x:v>
      </x:c>
      <x:c r="G3262" s="2" t="str">
        <x:v>Small (&lt;100 beds)</x:v>
      </x:c>
      <x:c r="H3262" s="7" t="n">
        <x:v>2</x:v>
      </x:c>
      <x:c r="I3262" s="7" t="n">
        <x:v>3</x:v>
      </x:c>
      <x:c r="J3262" s="7" t="n">
        <x:v>1.02</x:v>
      </x:c>
      <x:c r="K3262" s="8" t="n">
        <x:v>97</x:v>
      </x:c>
      <x:c r="L3262" s="8" t="n">
        <x:v>3951</x:v>
      </x:c>
      <x:c r="M3262" s="9" t="n">
        <x:v>0.4836065574</x:v>
      </x:c>
      <x:c r="N3262" s="10" t="n">
        <x:v>41590.1219944318</x:v>
      </x:c>
      <x:c r="O3262" s="9" t="n">
        <x:v>-0.0203223839</x:v>
      </x:c>
      <x:c r="P3262" s="9" t="n">
        <x:v>0.3393177738</x:v>
      </x:c>
      <x:c r="Q3262" s="9" t="n">
        <x:v>0.0350089767</x:v>
      </x:c>
      <x:c r="R3262" s="3" t="b">
        <x:v>0</x:v>
      </x:c>
      <x:c r="S3262" s="3" t="b">
        <x:v>1</x:v>
      </x:c>
      <x:c r="T3262" s="3" t="b">
        <x:v>0</x:v>
      </x:c>
      <x:c r="U3262" s="2" t="str">
        <x:f>IF(T3262=TRUE,"Priority review",IF(R3262=TRUE,"High cost",IF(S3262=TRUE,"Low quality","Benchmark")))</x:f>
        <x:v>Low quality</x:v>
      </x:c>
    </x:row>
    <x:row r="3263">
      <x:c r="A3263" s="2" t="str">
        <x:v>310086</x:v>
      </x:c>
      <x:c r="B3263" s="2" t="str">
        <x:v>JEFFERSON STRATFORD HOSPITAL</x:v>
      </x:c>
      <x:c r="C3263" s="2" t="str">
        <x:v>STRATFORD</x:v>
      </x:c>
      <x:c r="D3263" s="2" t="str">
        <x:v>NJ</x:v>
      </x:c>
      <x:c r="E3263" s="2" t="str">
        <x:v>Acute Care Hospitals</x:v>
      </x:c>
      <x:c r="F3263" s="2" t="str">
        <x:v>Voluntary non-profit</x:v>
      </x:c>
      <x:c r="G3263" s="2" t="str">
        <x:v>Large (300+ beds)</x:v>
      </x:c>
      <x:c r="H3263" s="7" t="n">
        <x:v>2</x:v>
      </x:c>
      <x:c r="I3263" s="7" t="n">
        <x:v>3</x:v>
      </x:c>
      <x:c r="J3263" s="7" t="n">
        <x:v>1.03</x:v>
      </x:c>
      <x:c r="K3263" s="8" t="n">
        <x:v>546</x:v>
      </x:c>
      <x:c r="L3263" s="8" t="n">
        <x:v>26938</x:v>
      </x:c>
      <x:c r="M3263" s="9" t="n">
        <x:v>0.6283656982</x:v>
      </x:c>
      <x:c r="N3263" s="10" t="n">
        <x:v>32064.7327195783</x:v>
      </x:c>
      <x:c r="O3263" s="9" t="n">
        <x:v>-0.0031281298</x:v>
      </x:c>
      <x:c r="P3263" s="9" t="n">
        <x:v>0.3391167192</x:v>
      </x:c>
      <x:c r="Q3263" s="9" t="n">
        <x:v>0.0536277603</x:v>
      </x:c>
      <x:c r="R3263" s="3" t="b">
        <x:v>0</x:v>
      </x:c>
      <x:c r="S3263" s="3" t="b">
        <x:v>1</x:v>
      </x:c>
      <x:c r="T3263" s="3" t="b">
        <x:v>0</x:v>
      </x:c>
      <x:c r="U3263" s="2" t="str">
        <x:f>IF(T3263=TRUE,"Priority review",IF(R3263=TRUE,"High cost",IF(S3263=TRUE,"Low quality","Benchmark")))</x:f>
        <x:v>Low quality</x:v>
      </x:c>
    </x:row>
    <x:row r="3264">
      <x:c r="A3264" s="2" t="str">
        <x:v>180102</x:v>
      </x:c>
      <x:c r="B3264" s="2" t="str">
        <x:v>MERCY HEALTH - LOURDES HOSPITAL</x:v>
      </x:c>
      <x:c r="C3264" s="2" t="str">
        <x:v>PADUCAH</x:v>
      </x:c>
      <x:c r="D3264" s="2" t="str">
        <x:v>KY</x:v>
      </x:c>
      <x:c r="E3264" s="2" t="str">
        <x:v>Acute Care Hospitals</x:v>
      </x:c>
      <x:c r="F3264" s="2" t="str">
        <x:v>Voluntary non-profit</x:v>
      </x:c>
      <x:c r="G3264" s="2" t="str">
        <x:v>Medium (100-299 beds)</x:v>
      </x:c>
      <x:c r="H3264" s="7" t="n">
        <x:v>3</x:v>
      </x:c>
      <x:c r="I3264" s="7" t="n">
        <x:v>3</x:v>
      </x:c>
      <x:c r="J3264" s="7" t="n">
        <x:v>1.03</x:v>
      </x:c>
      <x:c r="K3264" s="8" t="n">
        <x:v>212</x:v>
      </x:c>
      <x:c r="L3264" s="8" t="n">
        <x:v>9959</x:v>
      </x:c>
      <x:c r="M3264" s="9" t="n">
        <x:v>0.5517192494</x:v>
      </x:c>
      <x:c r="N3264" s="10" t="n">
        <x:v>28460.4274525555</x:v>
      </x:c>
      <x:c r="O3264" s="9" t="n">
        <x:v>0.1514584251</x:v>
      </x:c>
      <x:c r="P3264" s="9" t="n">
        <x:v>0.3390383048</x:v>
      </x:c>
      <x:c r="Q3264" s="9" t="n">
        <x:v>0.3023634882</x:v>
      </x:c>
      <x:c r="R3264" s="3" t="b">
        <x:v>0</x:v>
      </x:c>
      <x:c r="S3264" s="3" t="b">
        <x:v>0</x:v>
      </x:c>
      <x:c r="T3264" s="3" t="b">
        <x:v>0</x:v>
      </x:c>
      <x:c r="U3264" s="2" t="str">
        <x:f>IF(T3264=TRUE,"Priority review",IF(R3264=TRUE,"High cost",IF(S3264=TRUE,"Low quality","Benchmark")))</x:f>
        <x:v>Benchmark</x:v>
      </x:c>
    </x:row>
    <x:row r="3265">
      <x:c r="A3265" s="2" t="str">
        <x:v>321301</x:v>
      </x:c>
      <x:c r="B3265" s="2" t="str">
        <x:v>SOCORRO GENERAL HOSPITAL</x:v>
      </x:c>
      <x:c r="C3265" s="2" t="str">
        <x:v>SOCORRO</x:v>
      </x:c>
      <x:c r="D3265" s="2" t="str">
        <x:v>NM</x:v>
      </x:c>
      <x:c r="E3265" s="2" t="str">
        <x:v>Critical Access Hospitals</x:v>
      </x:c>
      <x:c r="F3265" s="2" t="str">
        <x:v>Voluntary non-profit</x:v>
      </x:c>
      <x:c r="G3265" s="2" t="str">
        <x:v>Small (&lt;100 beds)</x:v>
      </x:c>
      <x:c r="H3265" s="7"/>
      <x:c r="I3265" s="7"/>
      <x:c r="J3265" s="7"/>
      <x:c r="K3265" s="8" t="n">
        <x:v>24</x:v>
      </x:c>
      <x:c r="L3265" s="8" t="n">
        <x:v>385</x:v>
      </x:c>
      <x:c r="M3265" s="9" t="n">
        <x:v>0.1532331512</x:v>
      </x:c>
      <x:c r="N3265" s="10" t="n">
        <x:v>102684.4103896104</x:v>
      </x:c>
      <x:c r="O3265" s="9" t="n">
        <x:v>0.1087336844</x:v>
      </x:c>
      <x:c r="P3265" s="9" t="n">
        <x:v>0.3390334572</x:v>
      </x:c>
      <x:c r="Q3265" s="9" t="n">
        <x:v>0.292936803</x:v>
      </x:c>
      <x:c r="R3265" s="3" t="b">
        <x:v>0</x:v>
      </x:c>
      <x:c r="S3265" s="3" t="b">
        <x:v>0</x:v>
      </x:c>
      <x:c r="T3265" s="3" t="b">
        <x:v>0</x:v>
      </x:c>
      <x:c r="U3265" s="2" t="str">
        <x:f>IF(T3265=TRUE,"Priority review",IF(R3265=TRUE,"High cost",IF(S3265=TRUE,"Low quality","Benchmark")))</x:f>
        <x:v>Benchmark</x:v>
      </x:c>
    </x:row>
    <x:row r="3266">
      <x:c r="A3266" s="2" t="str">
        <x:v>370034</x:v>
      </x:c>
      <x:c r="B3266" s="2" t="str">
        <x:v>MCALESTER REGIONAL HEALTH CENTER</x:v>
      </x:c>
      <x:c r="C3266" s="2" t="str">
        <x:v>MCALESTER</x:v>
      </x:c>
      <x:c r="D3266" s="2" t="str">
        <x:v>OK</x:v>
      </x:c>
      <x:c r="E3266" s="2" t="str">
        <x:v>Acute Care Hospitals</x:v>
      </x:c>
      <x:c r="F3266" s="2" t="str">
        <x:v>Government</x:v>
      </x:c>
      <x:c r="G3266" s="2" t="str">
        <x:v>Small (&lt;100 beds)</x:v>
      </x:c>
      <x:c r="H3266" s="7" t="n">
        <x:v>3</x:v>
      </x:c>
      <x:c r="I3266" s="7" t="n">
        <x:v>3</x:v>
      </x:c>
      <x:c r="J3266" s="7" t="n">
        <x:v>0.98</x:v>
      </x:c>
      <x:c r="K3266" s="8" t="n">
        <x:v>67</x:v>
      </x:c>
      <x:c r="L3266" s="8" t="n">
        <x:v>2585</x:v>
      </x:c>
      <x:c r="M3266" s="9" t="n">
        <x:v>0.4619505214</x:v>
      </x:c>
      <x:c r="N3266" s="10" t="n">
        <x:v>41580.7845261122</x:v>
      </x:c>
      <x:c r="O3266" s="9" t="n">
        <x:v>-0.3429448607</x:v>
      </x:c>
      <x:c r="P3266" s="9" t="n">
        <x:v>0.3384201077</x:v>
      </x:c>
      <x:c r="Q3266" s="9" t="n">
        <x:v>0.1687612208</x:v>
      </x:c>
      <x:c r="R3266" s="3" t="b">
        <x:v>0</x:v>
      </x:c>
      <x:c r="S3266" s="3" t="b">
        <x:v>0</x:v>
      </x:c>
      <x:c r="T3266" s="3" t="b">
        <x:v>0</x:v>
      </x:c>
      <x:c r="U3266" s="2" t="str">
        <x:f>IF(T3266=TRUE,"Priority review",IF(R3266=TRUE,"High cost",IF(S3266=TRUE,"Low quality","Benchmark")))</x:f>
        <x:v>Benchmark</x:v>
      </x:c>
    </x:row>
    <x:row r="3267">
      <x:c r="A3267" s="2" t="str">
        <x:v>134002</x:v>
      </x:c>
      <x:c r="B3267" s="2" t="str">
        <x:v>INTERMOUNTAIN HOSPITAL</x:v>
      </x:c>
      <x:c r="C3267" s="2" t="str">
        <x:v>BOISE</x:v>
      </x:c>
      <x:c r="D3267" s="2" t="str">
        <x:v>ID</x:v>
      </x:c>
      <x:c r="E3267" s="2" t="str">
        <x:v>Psychiatric</x:v>
      </x:c>
      <x:c r="F3267" s="2" t="str">
        <x:v>Proprietary</x:v>
      </x:c>
      <x:c r="G3267" s="2" t="str">
        <x:v>Medium (100-299 beds)</x:v>
      </x:c>
      <x:c r="H3267" s="7"/>
      <x:c r="I3267" s="7"/>
      <x:c r="J3267" s="7"/>
      <x:c r="K3267" s="8" t="n">
        <x:v>148</x:v>
      </x:c>
      <x:c r="L3267" s="8" t="n">
        <x:v>3549</x:v>
      </x:c>
      <x:c r="M3267" s="9" t="n">
        <x:v>0.6346118721</x:v>
      </x:c>
      <x:c r="N3267" s="10" t="n">
        <x:v>8251.2544378698</x:v>
      </x:c>
      <x:c r="O3267" s="9" t="n">
        <x:v>0.5510073436</x:v>
      </x:c>
      <x:c r="P3267" s="9" t="n">
        <x:v>0.3383084577</x:v>
      </x:c>
      <x:c r="Q3267" s="9" t="n">
        <x:v>0</x:v>
      </x:c>
      <x:c r="R3267" s="3" t="b">
        <x:v>0</x:v>
      </x:c>
      <x:c r="S3267" s="3" t="b">
        <x:v>0</x:v>
      </x:c>
      <x:c r="T3267" s="3" t="b">
        <x:v>0</x:v>
      </x:c>
      <x:c r="U3267" s="2" t="str">
        <x:f>IF(T3267=TRUE,"Priority review",IF(R3267=TRUE,"High cost",IF(S3267=TRUE,"Low quality","Benchmark")))</x:f>
        <x:v>Benchmark</x:v>
      </x:c>
    </x:row>
    <x:row r="3268">
      <x:c r="A3268" s="2" t="str">
        <x:v>521324</x:v>
      </x:c>
      <x:c r="B3268" s="2" t="str">
        <x:v>ASPIRUS MEDFORD HOSPITAL &amp; CLINICS, INC</x:v>
      </x:c>
      <x:c r="C3268" s="2" t="str">
        <x:v>MEDFORD</x:v>
      </x:c>
      <x:c r="D3268" s="2" t="str">
        <x:v>WI</x:v>
      </x:c>
      <x:c r="E3268" s="2" t="str">
        <x:v>Critical Access Hospitals</x:v>
      </x:c>
      <x:c r="F3268" s="2" t="str">
        <x:v>Voluntary non-profit</x:v>
      </x:c>
      <x:c r="G3268" s="2" t="str">
        <x:v>Small (&lt;100 beds)</x:v>
      </x:c>
      <x:c r="H3268" s="7"/>
      <x:c r="I3268" s="7" t="n">
        <x:v>4</x:v>
      </x:c>
      <x:c r="J3268" s="7"/>
      <x:c r="K3268" s="8" t="n">
        <x:v>25</x:v>
      </x:c>
      <x:c r="L3268" s="8" t="n">
        <x:v>873</x:v>
      </x:c>
      <x:c r="M3268" s="9" t="n">
        <x:v>0.4142465753</x:v>
      </x:c>
      <x:c r="N3268" s="10" t="n">
        <x:v>102667.8717067583</x:v>
      </x:c>
      <x:c r="O3268" s="9" t="n">
        <x:v>0.135432677</x:v>
      </x:c>
      <x:c r="P3268" s="9" t="n">
        <x:v>0.3382899628</x:v>
      </x:c>
      <x:c r="Q3268" s="9" t="n">
        <x:v>0.292936803</x:v>
      </x:c>
      <x:c r="R3268" s="3" t="b">
        <x:v>0</x:v>
      </x:c>
      <x:c r="S3268" s="3" t="b">
        <x:v>0</x:v>
      </x:c>
      <x:c r="T3268" s="3" t="b">
        <x:v>0</x:v>
      </x:c>
      <x:c r="U3268" s="2" t="str">
        <x:f>IF(T3268=TRUE,"Priority review",IF(R3268=TRUE,"High cost",IF(S3268=TRUE,"Low quality","Benchmark")))</x:f>
        <x:v>Benchmark</x:v>
      </x:c>
    </x:row>
    <x:row r="3269">
      <x:c r="A3269" s="2" t="str">
        <x:v>490053</x:v>
      </x:c>
      <x:c r="B3269" s="2" t="str">
        <x:v>JOHNSTON MEMORIAL HOSPITAL</x:v>
      </x:c>
      <x:c r="C3269" s="2" t="str">
        <x:v>ABINGDON</x:v>
      </x:c>
      <x:c r="D3269" s="2" t="str">
        <x:v>VA</x:v>
      </x:c>
      <x:c r="E3269" s="2" t="str">
        <x:v>Acute Care Hospitals</x:v>
      </x:c>
      <x:c r="F3269" s="2" t="str">
        <x:v>Voluntary non-profit</x:v>
      </x:c>
      <x:c r="G3269" s="2" t="str">
        <x:v>Medium (100-299 beds)</x:v>
      </x:c>
      <x:c r="H3269" s="7" t="n">
        <x:v>3</x:v>
      </x:c>
      <x:c r="I3269" s="7" t="n">
        <x:v>3</x:v>
      </x:c>
      <x:c r="J3269" s="7" t="n">
        <x:v>1</x:v>
      </x:c>
      <x:c r="K3269" s="8" t="n">
        <x:v>102</x:v>
      </x:c>
      <x:c r="L3269" s="8" t="n">
        <x:v>6251</x:v>
      </x:c>
      <x:c r="M3269" s="9" t="n">
        <x:v>0.7605962933</x:v>
      </x:c>
      <x:c r="N3269" s="10" t="n">
        <x:v>28417.1316589346</x:v>
      </x:c>
      <x:c r="O3269" s="9" t="n">
        <x:v>0.0374813801</x:v>
      </x:c>
      <x:c r="P3269" s="9" t="n">
        <x:v>0.3382233089</x:v>
      </x:c>
      <x:c r="Q3269" s="9" t="n">
        <x:v>0.3023634882</x:v>
      </x:c>
      <x:c r="R3269" s="3" t="b">
        <x:v>0</x:v>
      </x:c>
      <x:c r="S3269" s="3" t="b">
        <x:v>0</x:v>
      </x:c>
      <x:c r="T3269" s="3" t="b">
        <x:v>0</x:v>
      </x:c>
      <x:c r="U3269" s="2" t="str">
        <x:f>IF(T3269=TRUE,"Priority review",IF(R3269=TRUE,"High cost",IF(S3269=TRUE,"Low quality","Benchmark")))</x:f>
        <x:v>Benchmark</x:v>
      </x:c>
    </x:row>
    <x:row r="3270">
      <x:c r="A3270" s="2" t="str">
        <x:v>431311</x:v>
      </x:c>
      <x:c r="B3270" s="2" t="str">
        <x:v>SANFORD HOSPITAL WEBSTER - CAH</x:v>
      </x:c>
      <x:c r="C3270" s="2" t="str">
        <x:v>WEBSTER</x:v>
      </x:c>
      <x:c r="D3270" s="2" t="str">
        <x:v>SD</x:v>
      </x:c>
      <x:c r="E3270" s="2" t="str">
        <x:v>Critical Access Hospitals</x:v>
      </x:c>
      <x:c r="F3270" s="2" t="str">
        <x:v>Voluntary non-profit</x:v>
      </x:c>
      <x:c r="G3270" s="2" t="str">
        <x:v>Small (&lt;100 beds)</x:v>
      </x:c>
      <x:c r="H3270" s="7"/>
      <x:c r="I3270" s="7"/>
      <x:c r="J3270" s="7"/>
      <x:c r="K3270" s="8" t="n">
        <x:v>25</x:v>
      </x:c>
      <x:c r="L3270" s="8" t="n">
        <x:v>107</x:v>
      </x:c>
      <x:c r="M3270" s="9" t="n">
        <x:v>0.1101639344</x:v>
      </x:c>
      <x:c r="N3270" s="10" t="n">
        <x:v>102515.4112149533</x:v>
      </x:c>
      <x:c r="O3270" s="9" t="n">
        <x:v>0.1041175404</x:v>
      </x:c>
      <x:c r="P3270" s="9" t="n">
        <x:v>0.3375464684</x:v>
      </x:c>
      <x:c r="Q3270" s="9" t="n">
        <x:v>0.292936803</x:v>
      </x:c>
      <x:c r="R3270" s="3" t="b">
        <x:v>0</x:v>
      </x:c>
      <x:c r="S3270" s="3" t="b">
        <x:v>0</x:v>
      </x:c>
      <x:c r="T3270" s="3" t="b">
        <x:v>0</x:v>
      </x:c>
      <x:c r="U3270" s="2" t="str">
        <x:f>IF(T3270=TRUE,"Priority review",IF(R3270=TRUE,"High cost",IF(S3270=TRUE,"Low quality","Benchmark")))</x:f>
        <x:v>Benchmark</x:v>
      </x:c>
    </x:row>
    <x:row r="3271">
      <x:c r="A3271" s="2" t="str">
        <x:v>180040</x:v>
      </x:c>
      <x:c r="B3271" s="2" t="str">
        <x:v>UOFL HEALTH - JEWISH HOSPITAL and Mary &amp; Elizabeth Hospital</x:v>
      </x:c>
      <x:c r="C3271" s="2" t="str">
        <x:v>LOUISVILLE</x:v>
      </x:c>
      <x:c r="D3271" s="2" t="str">
        <x:v>KY</x:v>
      </x:c>
      <x:c r="E3271" s="2" t="str">
        <x:v>Acute Care Hospitals</x:v>
      </x:c>
      <x:c r="F3271" s="2" t="str">
        <x:v>Voluntary non-profit</x:v>
      </x:c>
      <x:c r="G3271" s="2" t="str">
        <x:v>Large (300+ beds)</x:v>
      </x:c>
      <x:c r="H3271" s="7" t="n">
        <x:v>2</x:v>
      </x:c>
      <x:c r="I3271" s="7" t="n">
        <x:v>2</x:v>
      </x:c>
      <x:c r="J3271" s="7" t="n">
        <x:v>1.01</x:v>
      </x:c>
      <x:c r="K3271" s="8" t="n">
        <x:v>789</x:v>
      </x:c>
      <x:c r="L3271" s="8" t="n">
        <x:v>38133</x:v>
      </x:c>
      <x:c r="M3271" s="9" t="n">
        <x:v>0.6991232182</x:v>
      </x:c>
      <x:c r="N3271" s="10" t="n">
        <x:v>31978.8433115674</x:v>
      </x:c>
      <x:c r="O3271" s="9" t="n">
        <x:v>-0.0113192626</x:v>
      </x:c>
      <x:c r="P3271" s="9" t="n">
        <x:v>0.3375394322</x:v>
      </x:c>
      <x:c r="Q3271" s="9" t="n">
        <x:v>0.0536277603</x:v>
      </x:c>
      <x:c r="R3271" s="3" t="b">
        <x:v>0</x:v>
      </x:c>
      <x:c r="S3271" s="3" t="b">
        <x:v>1</x:v>
      </x:c>
      <x:c r="T3271" s="3" t="b">
        <x:v>0</x:v>
      </x:c>
      <x:c r="U3271" s="2" t="str">
        <x:f>IF(T3271=TRUE,"Priority review",IF(R3271=TRUE,"High cost",IF(S3271=TRUE,"Low quality","Benchmark")))</x:f>
        <x:v>Low quality</x:v>
      </x:c>
    </x:row>
    <x:row r="3272">
      <x:c r="A3272" s="2" t="str">
        <x:v>180069</x:v>
      </x:c>
      <x:c r="B3272" s="2" t="str">
        <x:v>TUG VALLEY ARH REGIONAL MEDICAL CENTER</x:v>
      </x:c>
      <x:c r="C3272" s="2" t="str">
        <x:v>SOUTH WILLIAMSON</x:v>
      </x:c>
      <x:c r="D3272" s="2" t="str">
        <x:v>KY</x:v>
      </x:c>
      <x:c r="E3272" s="2" t="str">
        <x:v>Acute Care Hospitals</x:v>
      </x:c>
      <x:c r="F3272" s="2" t="str">
        <x:v>Proprietary</x:v>
      </x:c>
      <x:c r="G3272" s="2" t="str">
        <x:v>Small (&lt;100 beds)</x:v>
      </x:c>
      <x:c r="H3272" s="7" t="n">
        <x:v>2</x:v>
      </x:c>
      <x:c r="I3272" s="7" t="n">
        <x:v>3</x:v>
      </x:c>
      <x:c r="J3272" s="7" t="n">
        <x:v>0.81</x:v>
      </x:c>
      <x:c r="K3272" s="8" t="n">
        <x:v>37</x:v>
      </x:c>
      <x:c r="L3272" s="8" t="n">
        <x:v>1561</x:v>
      </x:c>
      <x:c r="M3272" s="9" t="n">
        <x:v>0.4067382451</x:v>
      </x:c>
      <x:c r="N3272" s="10" t="n">
        <x:v>41554.6201153107</x:v>
      </x:c>
      <x:c r="O3272" s="9" t="n">
        <x:v>-0.2839698331</x:v>
      </x:c>
      <x:c r="P3272" s="9" t="n">
        <x:v>0.3375224417</x:v>
      </x:c>
      <x:c r="Q3272" s="9" t="n">
        <x:v>0.0350089767</x:v>
      </x:c>
      <x:c r="R3272" s="3" t="b">
        <x:v>0</x:v>
      </x:c>
      <x:c r="S3272" s="3" t="b">
        <x:v>1</x:v>
      </x:c>
      <x:c r="T3272" s="3" t="b">
        <x:v>0</x:v>
      </x:c>
      <x:c r="U3272" s="2" t="str">
        <x:f>IF(T3272=TRUE,"Priority review",IF(R3272=TRUE,"High cost",IF(S3272=TRUE,"Low quality","Benchmark")))</x:f>
        <x:v>Low quality</x:v>
      </x:c>
    </x:row>
    <x:row r="3273">
      <x:c r="A3273" s="2" t="str">
        <x:v>260011</x:v>
      </x:c>
      <x:c r="B3273" s="2" t="str">
        <x:v>SSM HEALTH ST. MARY'S HOSPITAL - JEFFERSON CITY</x:v>
      </x:c>
      <x:c r="C3273" s="2" t="str">
        <x:v>JEFFERSON CITY</x:v>
      </x:c>
      <x:c r="D3273" s="2" t="str">
        <x:v>MO</x:v>
      </x:c>
      <x:c r="E3273" s="2" t="str">
        <x:v>Acute Care Hospitals</x:v>
      </x:c>
      <x:c r="F3273" s="2" t="str">
        <x:v>Proprietary</x:v>
      </x:c>
      <x:c r="G3273" s="2" t="str">
        <x:v>Medium (100-299 beds)</x:v>
      </x:c>
      <x:c r="H3273" s="7" t="n">
        <x:v>3</x:v>
      </x:c>
      <x:c r="I3273" s="7" t="n">
        <x:v>3</x:v>
      </x:c>
      <x:c r="J3273" s="7" t="n">
        <x:v>0.94</x:v>
      </x:c>
      <x:c r="K3273" s="8" t="n">
        <x:v>154</x:v>
      </x:c>
      <x:c r="L3273" s="8" t="n">
        <x:v>6073</x:v>
      </x:c>
      <x:c r="M3273" s="9" t="n">
        <x:v>0.4309133489</x:v>
      </x:c>
      <x:c r="N3273" s="10" t="n">
        <x:v>28401.5753334431</x:v>
      </x:c>
      <x:c r="O3273" s="9" t="n">
        <x:v>-0.2160907132</x:v>
      </x:c>
      <x:c r="P3273" s="9" t="n">
        <x:v>0.337408313</x:v>
      </x:c>
      <x:c r="Q3273" s="9" t="n">
        <x:v>0.3023634882</x:v>
      </x:c>
      <x:c r="R3273" s="3" t="b">
        <x:v>0</x:v>
      </x:c>
      <x:c r="S3273" s="3" t="b">
        <x:v>0</x:v>
      </x:c>
      <x:c r="T3273" s="3" t="b">
        <x:v>0</x:v>
      </x:c>
      <x:c r="U3273" s="2" t="str">
        <x:f>IF(T3273=TRUE,"Priority review",IF(R3273=TRUE,"High cost",IF(S3273=TRUE,"Low quality","Benchmark")))</x:f>
        <x:v>Benchmark</x:v>
      </x:c>
    </x:row>
    <x:row r="3274">
      <x:c r="A3274" s="2" t="str">
        <x:v>151320</x:v>
      </x:c>
      <x:c r="B3274" s="2" t="str">
        <x:v>INDIANA UNIVERSITY HEALTH JAY, INC.</x:v>
      </x:c>
      <x:c r="C3274" s="2" t="str">
        <x:v>PORTLAND</x:v>
      </x:c>
      <x:c r="D3274" s="2" t="str">
        <x:v>IN</x:v>
      </x:c>
      <x:c r="E3274" s="2" t="str">
        <x:v>Critical Access Hospitals</x:v>
      </x:c>
      <x:c r="F3274" s="2" t="str">
        <x:v>Government</x:v>
      </x:c>
      <x:c r="G3274" s="2" t="str">
        <x:v>Small (&lt;100 beds)</x:v>
      </x:c>
      <x:c r="H3274" s="7" t="n">
        <x:v>5</x:v>
      </x:c>
      <x:c r="I3274" s="7"/>
      <x:c r="J3274" s="7"/>
      <x:c r="K3274" s="8" t="n">
        <x:v>21</x:v>
      </x:c>
      <x:c r="L3274" s="8" t="n">
        <x:v>449</x:v>
      </x:c>
      <x:c r="M3274" s="9" t="n">
        <x:v>0.2611872146</x:v>
      </x:c>
      <x:c r="N3274" s="10" t="n">
        <x:v>102387.8530066815</x:v>
      </x:c>
      <x:c r="O3274" s="9" t="n">
        <x:v>-0.0336529968</x:v>
      </x:c>
      <x:c r="P3274" s="9" t="n">
        <x:v>0.336802974</x:v>
      </x:c>
      <x:c r="Q3274" s="9" t="n">
        <x:v>0.2602230483</x:v>
      </x:c>
      <x:c r="R3274" s="3" t="b">
        <x:v>0</x:v>
      </x:c>
      <x:c r="S3274" s="3" t="b">
        <x:v>0</x:v>
      </x:c>
      <x:c r="T3274" s="3" t="b">
        <x:v>0</x:v>
      </x:c>
      <x:c r="U3274" s="2" t="str">
        <x:f>IF(T3274=TRUE,"Priority review",IF(R3274=TRUE,"High cost",IF(S3274=TRUE,"Low quality","Benchmark")))</x:f>
        <x:v>Benchmark</x:v>
      </x:c>
    </x:row>
    <x:row r="3275">
      <x:c r="A3275" s="2" t="str">
        <x:v>180116</x:v>
      </x:c>
      <x:c r="B3275" s="2" t="str">
        <x:v>JACKSON PURCHASE MEDICAL CENTER</x:v>
      </x:c>
      <x:c r="C3275" s="2" t="str">
        <x:v>MAYFIELD</x:v>
      </x:c>
      <x:c r="D3275" s="2" t="str">
        <x:v>KY</x:v>
      </x:c>
      <x:c r="E3275" s="2" t="str">
        <x:v>Acute Care Hospitals</x:v>
      </x:c>
      <x:c r="F3275" s="2" t="str">
        <x:v>Government</x:v>
      </x:c>
      <x:c r="G3275" s="2" t="str">
        <x:v>Small (&lt;100 beds)</x:v>
      </x:c>
      <x:c r="H3275" s="7" t="n">
        <x:v>1</x:v>
      </x:c>
      <x:c r="I3275" s="7" t="n">
        <x:v>3</x:v>
      </x:c>
      <x:c r="J3275" s="7" t="n">
        <x:v>1.06</x:v>
      </x:c>
      <x:c r="K3275" s="8" t="n">
        <x:v>89</x:v>
      </x:c>
      <x:c r="L3275" s="8" t="n">
        <x:v>2546</x:v>
      </x:c>
      <x:c r="M3275" s="9" t="n">
        <x:v>0.3813760197</x:v>
      </x:c>
      <x:c r="N3275" s="10" t="n">
        <x:v>41534.2678711705</x:v>
      </x:c>
      <x:c r="O3275" s="9" t="n">
        <x:v>0.0318502633</x:v>
      </x:c>
      <x:c r="P3275" s="9" t="n">
        <x:v>0.3366247756</x:v>
      </x:c>
      <x:c r="Q3275" s="9" t="n">
        <x:v>0</x:v>
      </x:c>
      <x:c r="R3275" s="3" t="b">
        <x:v>0</x:v>
      </x:c>
      <x:c r="S3275" s="3" t="b">
        <x:v>1</x:v>
      </x:c>
      <x:c r="T3275" s="3" t="b">
        <x:v>0</x:v>
      </x:c>
      <x:c r="U3275" s="2" t="str">
        <x:f>IF(T3275=TRUE,"Priority review",IF(R3275=TRUE,"High cost",IF(S3275=TRUE,"Low quality","Benchmark")))</x:f>
        <x:v>Low quality</x:v>
      </x:c>
    </x:row>
    <x:row r="3276">
      <x:c r="A3276" s="2" t="str">
        <x:v>400124</x:v>
      </x:c>
      <x:c r="B3276" s="2" t="str">
        <x:v>CENTRO CARDIOVASCULAR DE PUERTO RICO Y EL CARIBE</x:v>
      </x:c>
      <x:c r="C3276" s="2" t="str">
        <x:v>SAN JUAN</x:v>
      </x:c>
      <x:c r="D3276" s="2" t="str">
        <x:v>PR</x:v>
      </x:c>
      <x:c r="E3276" s="2" t="str">
        <x:v>Acute Care Hospitals</x:v>
      </x:c>
      <x:c r="F3276" s="2" t="str">
        <x:v>Government</x:v>
      </x:c>
      <x:c r="G3276" s="2" t="str">
        <x:v>Medium (100-299 beds)</x:v>
      </x:c>
      <x:c r="H3276" s="7"/>
      <x:c r="I3276" s="7"/>
      <x:c r="J3276" s="7"/>
      <x:c r="K3276" s="8" t="n">
        <x:v>164</x:v>
      </x:c>
      <x:c r="L3276" s="8" t="n">
        <x:v>3496</x:v>
      </x:c>
      <x:c r="M3276" s="9" t="n">
        <x:v>0.4308386235</x:v>
      </x:c>
      <x:c r="N3276" s="10" t="n">
        <x:v>28395.5071510297</x:v>
      </x:c>
      <x:c r="O3276" s="9" t="n">
        <x:v>-0.2203465421</x:v>
      </x:c>
      <x:c r="P3276" s="9" t="n">
        <x:v>0.336593317</x:v>
      </x:c>
      <x:c r="Q3276" s="9" t="n">
        <x:v>0.9616951915</x:v>
      </x:c>
      <x:c r="R3276" s="3" t="b">
        <x:v>0</x:v>
      </x:c>
      <x:c r="S3276" s="3" t="b">
        <x:v>0</x:v>
      </x:c>
      <x:c r="T3276" s="3" t="b">
        <x:v>0</x:v>
      </x:c>
      <x:c r="U3276" s="2" t="str">
        <x:f>IF(T3276=TRUE,"Priority review",IF(R3276=TRUE,"High cost",IF(S3276=TRUE,"Low quality","Benchmark")))</x:f>
        <x:v>Benchmark</x:v>
      </x:c>
    </x:row>
    <x:row r="3277">
      <x:c r="A3277" s="2" t="str">
        <x:v>264034</x:v>
      </x:c>
      <x:c r="B3277" s="2" t="str">
        <x:v>SOUTHEAST BEHAVIORAL HOSPITAL</x:v>
      </x:c>
      <x:c r="C3277" s="2" t="str">
        <x:v>CAPE GIRARDEAU</x:v>
      </x:c>
      <x:c r="D3277" s="2" t="str">
        <x:v>MO</x:v>
      </x:c>
      <x:c r="E3277" s="2" t="str">
        <x:v>Psychiatric</x:v>
      </x:c>
      <x:c r="F3277" s="2" t="str">
        <x:v>Proprietary</x:v>
      </x:c>
      <x:c r="G3277" s="2" t="str">
        <x:v>Small (&lt;100 beds)</x:v>
      </x:c>
      <x:c r="H3277" s="7"/>
      <x:c r="I3277" s="7"/>
      <x:c r="J3277" s="7"/>
      <x:c r="K3277" s="8" t="n">
        <x:v>50</x:v>
      </x:c>
      <x:c r="L3277" s="8" t="n">
        <x:v>1878</x:v>
      </x:c>
      <x:c r="M3277" s="9" t="n">
        <x:v>0.868</x:v>
      </x:c>
      <x:c r="N3277" s="10" t="n">
        <x:v>9296.4675186368</x:v>
      </x:c>
      <x:c r="O3277" s="9" t="n">
        <x:v>0.067749798</x:v>
      </x:c>
      <x:c r="P3277" s="9" t="n">
        <x:v>0.3365695793</x:v>
      </x:c>
      <x:c r="Q3277" s="9" t="n">
        <x:v>0</x:v>
      </x:c>
      <x:c r="R3277" s="3" t="b">
        <x:v>0</x:v>
      </x:c>
      <x:c r="S3277" s="3" t="b">
        <x:v>0</x:v>
      </x:c>
      <x:c r="T3277" s="3" t="b">
        <x:v>0</x:v>
      </x:c>
      <x:c r="U3277" s="2" t="str">
        <x:f>IF(T3277=TRUE,"Priority review",IF(R3277=TRUE,"High cost",IF(S3277=TRUE,"Low quality","Benchmark")))</x:f>
        <x:v>Benchmark</x:v>
      </x:c>
    </x:row>
    <x:row r="3278">
      <x:c r="A3278" s="2" t="str">
        <x:v>451377</x:v>
      </x:c>
      <x:c r="B3278" s="2" t="str">
        <x:v>REEVES REGIONAL HEALTH</x:v>
      </x:c>
      <x:c r="C3278" s="2" t="str">
        <x:v>PECOS</x:v>
      </x:c>
      <x:c r="D3278" s="2" t="str">
        <x:v>TX</x:v>
      </x:c>
      <x:c r="E3278" s="2" t="str">
        <x:v>Critical Access Hospitals</x:v>
      </x:c>
      <x:c r="F3278" s="2" t="str">
        <x:v>Government</x:v>
      </x:c>
      <x:c r="G3278" s="2" t="str">
        <x:v>Small (&lt;100 beds)</x:v>
      </x:c>
      <x:c r="H3278" s="7" t="n">
        <x:v>2</x:v>
      </x:c>
      <x:c r="I3278" s="7"/>
      <x:c r="J3278" s="7"/>
      <x:c r="K3278" s="8" t="n">
        <x:v>25</x:v>
      </x:c>
      <x:c r="L3278" s="8" t="n">
        <x:v>651</x:v>
      </x:c>
      <x:c r="M3278" s="9" t="n">
        <x:v>0.4390163934</x:v>
      </x:c>
      <x:c r="N3278" s="10" t="n">
        <x:v>102165.2933947773</x:v>
      </x:c>
      <x:c r="O3278" s="9" t="n">
        <x:v>-1.5294070892</x:v>
      </x:c>
      <x:c r="P3278" s="9" t="n">
        <x:v>0.3360594796</x:v>
      </x:c>
      <x:c r="Q3278" s="9" t="n">
        <x:v>0.0171003717</x:v>
      </x:c>
      <x:c r="R3278" s="3" t="b">
        <x:v>0</x:v>
      </x:c>
      <x:c r="S3278" s="3" t="b">
        <x:v>1</x:v>
      </x:c>
      <x:c r="T3278" s="3" t="b">
        <x:v>0</x:v>
      </x:c>
      <x:c r="U3278" s="2" t="str">
        <x:f>IF(T3278=TRUE,"Priority review",IF(R3278=TRUE,"High cost",IF(S3278=TRUE,"Low quality","Benchmark")))</x:f>
        <x:v>Low quality</x:v>
      </x:c>
    </x:row>
    <x:row r="3279">
      <x:c r="A3279" s="2" t="str">
        <x:v>330057</x:v>
      </x:c>
      <x:c r="B3279" s="2" t="str">
        <x:v>ST PETER'S HOSPITAL</x:v>
      </x:c>
      <x:c r="C3279" s="2" t="str">
        <x:v>ALBANY</x:v>
      </x:c>
      <x:c r="D3279" s="2" t="str">
        <x:v>NY</x:v>
      </x:c>
      <x:c r="E3279" s="2" t="str">
        <x:v>Acute Care Hospitals</x:v>
      </x:c>
      <x:c r="F3279" s="2" t="str">
        <x:v>Voluntary non-profit</x:v>
      </x:c>
      <x:c r="G3279" s="2" t="str">
        <x:v>Large (300+ beds)</x:v>
      </x:c>
      <x:c r="H3279" s="7" t="n">
        <x:v>2</x:v>
      </x:c>
      <x:c r="I3279" s="7" t="n">
        <x:v>3</x:v>
      </x:c>
      <x:c r="J3279" s="7" t="n">
        <x:v>0.95</x:v>
      </x:c>
      <x:c r="K3279" s="8" t="n">
        <x:v>502</x:v>
      </x:c>
      <x:c r="L3279" s="8" t="n">
        <x:v>23770</x:v>
      </x:c>
      <x:c r="M3279" s="9" t="n">
        <x:v>0.696698139</x:v>
      </x:c>
      <x:c r="N3279" s="10" t="n">
        <x:v>31930.6127892301</x:v>
      </x:c>
      <x:c r="O3279" s="9" t="n">
        <x:v>0.0866045181</x:v>
      </x:c>
      <x:c r="P3279" s="9" t="n">
        <x:v>0.3359621451</x:v>
      </x:c>
      <x:c r="Q3279" s="9" t="n">
        <x:v>0.0536277603</x:v>
      </x:c>
      <x:c r="R3279" s="3" t="b">
        <x:v>0</x:v>
      </x:c>
      <x:c r="S3279" s="3" t="b">
        <x:v>1</x:v>
      </x:c>
      <x:c r="T3279" s="3" t="b">
        <x:v>0</x:v>
      </x:c>
      <x:c r="U3279" s="2" t="str">
        <x:f>IF(T3279=TRUE,"Priority review",IF(R3279=TRUE,"High cost",IF(S3279=TRUE,"Low quality","Benchmark")))</x:f>
        <x:v>Low quality</x:v>
      </x:c>
    </x:row>
    <x:row r="3280">
      <x:c r="A3280" s="2" t="str">
        <x:v>190015</x:v>
      </x:c>
      <x:c r="B3280" s="2" t="str">
        <x:v>NORTH OAKS MEDICAL CENTER</x:v>
      </x:c>
      <x:c r="C3280" s="2" t="str">
        <x:v>HAMMOND</x:v>
      </x:c>
      <x:c r="D3280" s="2" t="str">
        <x:v>LA</x:v>
      </x:c>
      <x:c r="E3280" s="2" t="str">
        <x:v>Acute Care Hospitals</x:v>
      </x:c>
      <x:c r="F3280" s="2" t="str">
        <x:v>Government</x:v>
      </x:c>
      <x:c r="G3280" s="2" t="str">
        <x:v>Medium (100-299 beds)</x:v>
      </x:c>
      <x:c r="H3280" s="7" t="n">
        <x:v>2</x:v>
      </x:c>
      <x:c r="I3280" s="7" t="n">
        <x:v>3</x:v>
      </x:c>
      <x:c r="J3280" s="7" t="n">
        <x:v>1.15</x:v>
      </x:c>
      <x:c r="K3280" s="8" t="n">
        <x:v>272</x:v>
      </x:c>
      <x:c r="L3280" s="8" t="n">
        <x:v>11062</x:v>
      </x:c>
      <x:c r="M3280" s="9" t="n">
        <x:v>0.6767088338</x:v>
      </x:c>
      <x:c r="N3280" s="10" t="n">
        <x:v>28366.6462664979</x:v>
      </x:c>
      <x:c r="O3280" s="9" t="n">
        <x:v>0.1357833821</x:v>
      </x:c>
      <x:c r="P3280" s="9" t="n">
        <x:v>0.3357783211</x:v>
      </x:c>
      <x:c r="Q3280" s="9" t="n">
        <x:v>0.0782396088</x:v>
      </x:c>
      <x:c r="R3280" s="3" t="b">
        <x:v>0</x:v>
      </x:c>
      <x:c r="S3280" s="3" t="b">
        <x:v>1</x:v>
      </x:c>
      <x:c r="T3280" s="3" t="b">
        <x:v>0</x:v>
      </x:c>
      <x:c r="U3280" s="2" t="str">
        <x:f>IF(T3280=TRUE,"Priority review",IF(R3280=TRUE,"High cost",IF(S3280=TRUE,"Low quality","Benchmark")))</x:f>
        <x:v>Low quality</x:v>
      </x:c>
    </x:row>
    <x:row r="3281">
      <x:c r="A3281" s="2" t="str">
        <x:v>180049</x:v>
      </x:c>
      <x:c r="B3281" s="2" t="str">
        <x:v>BAPTIST HEALTH RICHMOND</x:v>
      </x:c>
      <x:c r="C3281" s="2" t="str">
        <x:v>RICHMOND</x:v>
      </x:c>
      <x:c r="D3281" s="2" t="str">
        <x:v>KY</x:v>
      </x:c>
      <x:c r="E3281" s="2" t="str">
        <x:v>Acute Care Hospitals</x:v>
      </x:c>
      <x:c r="F3281" s="2" t="str">
        <x:v>Voluntary non-profit</x:v>
      </x:c>
      <x:c r="G3281" s="2" t="str">
        <x:v>Small (&lt;100 beds)</x:v>
      </x:c>
      <x:c r="H3281" s="7" t="n">
        <x:v>4</x:v>
      </x:c>
      <x:c r="I3281" s="7" t="n">
        <x:v>4</x:v>
      </x:c>
      <x:c r="J3281" s="7" t="n">
        <x:v>1.02</x:v>
      </x:c>
      <x:c r="K3281" s="8" t="n">
        <x:v>82</x:v>
      </x:c>
      <x:c r="L3281" s="8" t="n">
        <x:v>4433</x:v>
      </x:c>
      <x:c r="M3281" s="9" t="n">
        <x:v>0.5545940528</x:v>
      </x:c>
      <x:c r="N3281" s="10" t="n">
        <x:v>41481.0963230318</x:v>
      </x:c>
      <x:c r="O3281" s="9" t="n">
        <x:v>0.0623398852</x:v>
      </x:c>
      <x:c r="P3281" s="9" t="n">
        <x:v>0.3357271095</x:v>
      </x:c>
      <x:c r="Q3281" s="9" t="n">
        <x:v>0.3913824057</x:v>
      </x:c>
      <x:c r="R3281" s="3" t="b">
        <x:v>0</x:v>
      </x:c>
      <x:c r="S3281" s="3" t="b">
        <x:v>0</x:v>
      </x:c>
      <x:c r="T3281" s="3" t="b">
        <x:v>0</x:v>
      </x:c>
      <x:c r="U3281" s="2" t="str">
        <x:f>IF(T3281=TRUE,"Priority review",IF(R3281=TRUE,"High cost",IF(S3281=TRUE,"Low quality","Benchmark")))</x:f>
        <x:v>Benchmark</x:v>
      </x:c>
    </x:row>
    <x:row r="3282">
      <x:c r="A3282" s="2" t="str">
        <x:v>301309</x:v>
      </x:c>
      <x:c r="B3282" s="2" t="str">
        <x:v>MONADNOCK COMMUNITY HOSPITAL</x:v>
      </x:c>
      <x:c r="C3282" s="2" t="str">
        <x:v>PETERBOROUGH</x:v>
      </x:c>
      <x:c r="D3282" s="2" t="str">
        <x:v>NH</x:v>
      </x:c>
      <x:c r="E3282" s="2" t="str">
        <x:v>Critical Access Hospitals</x:v>
      </x:c>
      <x:c r="F3282" s="2" t="str">
        <x:v>Voluntary non-profit</x:v>
      </x:c>
      <x:c r="G3282" s="2" t="str">
        <x:v>Small (&lt;100 beds)</x:v>
      </x:c>
      <x:c r="H3282" s="7" t="n">
        <x:v>2</x:v>
      </x:c>
      <x:c r="I3282" s="7" t="n">
        <x:v>4</x:v>
      </x:c>
      <x:c r="J3282" s="7"/>
      <x:c r="K3282" s="8" t="n">
        <x:v>25</x:v>
      </x:c>
      <x:c r="L3282" s="8" t="n">
        <x:v>1115</x:v>
      </x:c>
      <x:c r="M3282" s="9" t="n">
        <x:v>0.4025136612</x:v>
      </x:c>
      <x:c r="N3282" s="10" t="n">
        <x:v>102028.3632286996</x:v>
      </x:c>
      <x:c r="O3282" s="9" t="n">
        <x:v>-0.0785392722</x:v>
      </x:c>
      <x:c r="P3282" s="9" t="n">
        <x:v>0.3353159851</x:v>
      </x:c>
      <x:c r="Q3282" s="9" t="n">
        <x:v>0.0171003717</x:v>
      </x:c>
      <x:c r="R3282" s="3" t="b">
        <x:v>0</x:v>
      </x:c>
      <x:c r="S3282" s="3" t="b">
        <x:v>1</x:v>
      </x:c>
      <x:c r="T3282" s="3" t="b">
        <x:v>0</x:v>
      </x:c>
      <x:c r="U3282" s="2" t="str">
        <x:f>IF(T3282=TRUE,"Priority review",IF(R3282=TRUE,"High cost",IF(S3282=TRUE,"Low quality","Benchmark")))</x:f>
        <x:v>Low quality</x:v>
      </x:c>
    </x:row>
    <x:row r="3283">
      <x:c r="A3283" s="2" t="str">
        <x:v>140288</x:v>
      </x:c>
      <x:c r="B3283" s="2" t="str">
        <x:v>ADVOCATE GOOD SAMARITAN HOSPITAL</x:v>
      </x:c>
      <x:c r="C3283" s="2" t="str">
        <x:v>DOWNERS GROVE</x:v>
      </x:c>
      <x:c r="D3283" s="2" t="str">
        <x:v>IL</x:v>
      </x:c>
      <x:c r="E3283" s="2" t="str">
        <x:v>Acute Care Hospitals</x:v>
      </x:c>
      <x:c r="F3283" s="2" t="str">
        <x:v>Voluntary non-profit</x:v>
      </x:c>
      <x:c r="G3283" s="2" t="str">
        <x:v>Medium (100-299 beds)</x:v>
      </x:c>
      <x:c r="H3283" s="7" t="n">
        <x:v>4</x:v>
      </x:c>
      <x:c r="I3283" s="7" t="n">
        <x:v>3</x:v>
      </x:c>
      <x:c r="J3283" s="7" t="n">
        <x:v>0.98</x:v>
      </x:c>
      <x:c r="K3283" s="8" t="n">
        <x:v>293</x:v>
      </x:c>
      <x:c r="L3283" s="8" t="n">
        <x:v>15803</x:v>
      </x:c>
      <x:c r="M3283" s="9" t="n">
        <x:v>0.6929073649</x:v>
      </x:c>
      <x:c r="N3283" s="10" t="n">
        <x:v>28341.384610517</x:v>
      </x:c>
      <x:c r="O3283" s="9" t="n">
        <x:v>0.0936194561</x:v>
      </x:c>
      <x:c r="P3283" s="9" t="n">
        <x:v>0.3349633252</x:v>
      </x:c>
      <x:c r="Q3283" s="9" t="n">
        <x:v>0.6022819886</x:v>
      </x:c>
      <x:c r="R3283" s="3" t="b">
        <x:v>0</x:v>
      </x:c>
      <x:c r="S3283" s="3" t="b">
        <x:v>0</x:v>
      </x:c>
      <x:c r="T3283" s="3" t="b">
        <x:v>0</x:v>
      </x:c>
      <x:c r="U3283" s="2" t="str">
        <x:f>IF(T3283=TRUE,"Priority review",IF(R3283=TRUE,"High cost",IF(S3283=TRUE,"Low quality","Benchmark")))</x:f>
        <x:v>Benchmark</x:v>
      </x:c>
    </x:row>
    <x:row r="3284">
      <x:c r="A3284" s="2" t="str">
        <x:v>230005</x:v>
      </x:c>
      <x:c r="B3284" s="2" t="str">
        <x:v>PROMEDICA CHARLES AND VIRGINIA HICKMAN HOSPITAL</x:v>
      </x:c>
      <x:c r="C3284" s="2" t="str">
        <x:v>ADRIAN</x:v>
      </x:c>
      <x:c r="D3284" s="2" t="str">
        <x:v>MI</x:v>
      </x:c>
      <x:c r="E3284" s="2" t="str">
        <x:v>Acute Care Hospitals</x:v>
      </x:c>
      <x:c r="F3284" s="2" t="str">
        <x:v>Voluntary non-profit</x:v>
      </x:c>
      <x:c r="G3284" s="2" t="str">
        <x:v>Small (&lt;100 beds)</x:v>
      </x:c>
      <x:c r="H3284" s="7" t="n">
        <x:v>3</x:v>
      </x:c>
      <x:c r="I3284" s="7" t="n">
        <x:v>3</x:v>
      </x:c>
      <x:c r="J3284" s="7" t="n">
        <x:v>0.91</x:v>
      </x:c>
      <x:c r="K3284" s="8" t="n">
        <x:v>58</x:v>
      </x:c>
      <x:c r="L3284" s="8" t="n">
        <x:v>2936</x:v>
      </x:c>
      <x:c r="M3284" s="9" t="n">
        <x:v>0.5250141323</x:v>
      </x:c>
      <x:c r="N3284" s="10" t="n">
        <x:v>41437.9598092643</x:v>
      </x:c>
      <x:c r="O3284" s="9" t="n">
        <x:v>0.171997811</x:v>
      </x:c>
      <x:c r="P3284" s="9" t="n">
        <x:v>0.3348294434</x:v>
      </x:c>
      <x:c r="Q3284" s="9" t="n">
        <x:v>0.1687612208</x:v>
      </x:c>
      <x:c r="R3284" s="3" t="b">
        <x:v>0</x:v>
      </x:c>
      <x:c r="S3284" s="3" t="b">
        <x:v>0</x:v>
      </x:c>
      <x:c r="T3284" s="3" t="b">
        <x:v>0</x:v>
      </x:c>
      <x:c r="U3284" s="2" t="str">
        <x:f>IF(T3284=TRUE,"Priority review",IF(R3284=TRUE,"High cost",IF(S3284=TRUE,"Low quality","Benchmark")))</x:f>
        <x:v>Benchmark</x:v>
      </x:c>
    </x:row>
    <x:row r="3285">
      <x:c r="A3285" s="2" t="str">
        <x:v>521315</x:v>
      </x:c>
      <x:c r="B3285" s="2" t="str">
        <x:v>MAYO CLINIC HEALTH SYSTEM-NORTHLAND</x:v>
      </x:c>
      <x:c r="C3285" s="2" t="str">
        <x:v>BARRON</x:v>
      </x:c>
      <x:c r="D3285" s="2" t="str">
        <x:v>WI</x:v>
      </x:c>
      <x:c r="E3285" s="2" t="str">
        <x:v>Critical Access Hospitals</x:v>
      </x:c>
      <x:c r="F3285" s="2" t="str">
        <x:v>Voluntary non-profit</x:v>
      </x:c>
      <x:c r="G3285" s="2" t="str">
        <x:v>Small (&lt;100 beds)</x:v>
      </x:c>
      <x:c r="H3285" s="7" t="n">
        <x:v>4</x:v>
      </x:c>
      <x:c r="I3285" s="7" t="n">
        <x:v>4</x:v>
      </x:c>
      <x:c r="J3285" s="7"/>
      <x:c r="K3285" s="8" t="n">
        <x:v>25</x:v>
      </x:c>
      <x:c r="L3285" s="8" t="n">
        <x:v>846</x:v>
      </x:c>
      <x:c r="M3285" s="9" t="n">
        <x:v>0.554863388</x:v>
      </x:c>
      <x:c r="N3285" s="10" t="n">
        <x:v>102004.7281323877</x:v>
      </x:c>
      <x:c r="O3285" s="9" t="n">
        <x:v>0.1634747906</x:v>
      </x:c>
      <x:c r="P3285" s="9" t="n">
        <x:v>0.3345724907</x:v>
      </x:c>
      <x:c r="Q3285" s="9" t="n">
        <x:v>0.1657992565</x:v>
      </x:c>
      <x:c r="R3285" s="3" t="b">
        <x:v>0</x:v>
      </x:c>
      <x:c r="S3285" s="3" t="b">
        <x:v>0</x:v>
      </x:c>
      <x:c r="T3285" s="3" t="b">
        <x:v>0</x:v>
      </x:c>
      <x:c r="U3285" s="2" t="str">
        <x:f>IF(T3285=TRUE,"Priority review",IF(R3285=TRUE,"High cost",IF(S3285=TRUE,"Low quality","Benchmark")))</x:f>
        <x:v>Benchmark</x:v>
      </x:c>
    </x:row>
    <x:row r="3286">
      <x:c r="A3286" s="2" t="str">
        <x:v>140048</x:v>
      </x:c>
      <x:c r="B3286" s="2" t="str">
        <x:v>ADVOCATE TRINITY HOSPITAL</x:v>
      </x:c>
      <x:c r="C3286" s="2" t="str">
        <x:v>CHICAGO</x:v>
      </x:c>
      <x:c r="D3286" s="2" t="str">
        <x:v>IL</x:v>
      </x:c>
      <x:c r="E3286" s="2" t="str">
        <x:v>Acute Care Hospitals</x:v>
      </x:c>
      <x:c r="F3286" s="2" t="str">
        <x:v>Voluntary non-profit</x:v>
      </x:c>
      <x:c r="G3286" s="2" t="str">
        <x:v>Large (300+ beds)</x:v>
      </x:c>
      <x:c r="H3286" s="7" t="n">
        <x:v>2</x:v>
      </x:c>
      <x:c r="I3286" s="7" t="n">
        <x:v>3</x:v>
      </x:c>
      <x:c r="J3286" s="7" t="n">
        <x:v>0.94</x:v>
      </x:c>
      <x:c r="K3286" s="8" t="n">
        <x:v>438</x:v>
      </x:c>
      <x:c r="L3286" s="8" t="n">
        <x:v>15348</x:v>
      </x:c>
      <x:c r="M3286" s="9" t="n">
        <x:v>0.4316440851</x:v>
      </x:c>
      <x:c r="N3286" s="10" t="n">
        <x:v>31870.8346364347</x:v>
      </x:c>
      <x:c r="O3286" s="9" t="n">
        <x:v>-0.1531197641</x:v>
      </x:c>
      <x:c r="P3286" s="9" t="n">
        <x:v>0.334384858</x:v>
      </x:c>
      <x:c r="Q3286" s="9" t="n">
        <x:v>0.0536277603</x:v>
      </x:c>
      <x:c r="R3286" s="3" t="b">
        <x:v>0</x:v>
      </x:c>
      <x:c r="S3286" s="3" t="b">
        <x:v>1</x:v>
      </x:c>
      <x:c r="T3286" s="3" t="b">
        <x:v>0</x:v>
      </x:c>
      <x:c r="U3286" s="2" t="str">
        <x:f>IF(T3286=TRUE,"Priority review",IF(R3286=TRUE,"High cost",IF(S3286=TRUE,"Low quality","Benchmark")))</x:f>
        <x:v>Low quality</x:v>
      </x:c>
    </x:row>
    <x:row r="3287">
      <x:c r="A3287" s="2" t="str">
        <x:v>360016</x:v>
      </x:c>
      <x:c r="B3287" s="2" t="str">
        <x:v>THE JEWISH HOSPITAL-MERCY HEALTH</x:v>
      </x:c>
      <x:c r="C3287" s="2" t="str">
        <x:v>CINCINNATI</x:v>
      </x:c>
      <x:c r="D3287" s="2" t="str">
        <x:v>OH</x:v>
      </x:c>
      <x:c r="E3287" s="2" t="str">
        <x:v>Acute Care Hospitals</x:v>
      </x:c>
      <x:c r="F3287" s="2" t="str">
        <x:v>Voluntary non-profit</x:v>
      </x:c>
      <x:c r="G3287" s="2" t="str">
        <x:v>Medium (100-299 beds)</x:v>
      </x:c>
      <x:c r="H3287" s="7" t="n">
        <x:v>4</x:v>
      </x:c>
      <x:c r="I3287" s="7" t="n">
        <x:v>4</x:v>
      </x:c>
      <x:c r="J3287" s="7" t="n">
        <x:v>1.03</x:v>
      </x:c>
      <x:c r="K3287" s="8" t="n">
        <x:v>170</x:v>
      </x:c>
      <x:c r="L3287" s="8" t="n">
        <x:v>12324</x:v>
      </x:c>
      <x:c r="M3287" s="9" t="n">
        <x:v>0.8744455159</x:v>
      </x:c>
      <x:c r="N3287" s="10" t="n">
        <x:v>28331.391025641</x:v>
      </x:c>
      <x:c r="O3287" s="9" t="n">
        <x:v>0.0043549809</x:v>
      </x:c>
      <x:c r="P3287" s="9" t="n">
        <x:v>0.3341483293</x:v>
      </x:c>
      <x:c r="Q3287" s="9" t="n">
        <x:v>0.6022819886</x:v>
      </x:c>
      <x:c r="R3287" s="3" t="b">
        <x:v>0</x:v>
      </x:c>
      <x:c r="S3287" s="3" t="b">
        <x:v>0</x:v>
      </x:c>
      <x:c r="T3287" s="3" t="b">
        <x:v>0</x:v>
      </x:c>
      <x:c r="U3287" s="2" t="str">
        <x:f>IF(T3287=TRUE,"Priority review",IF(R3287=TRUE,"High cost",IF(S3287=TRUE,"Low quality","Benchmark")))</x:f>
        <x:v>Benchmark</x:v>
      </x:c>
    </x:row>
    <x:row r="3288">
      <x:c r="A3288" s="2" t="str">
        <x:v>450653</x:v>
      </x:c>
      <x:c r="B3288" s="2" t="str">
        <x:v>SCENIC MOUNTAIN MEDICAL CENTER</x:v>
      </x:c>
      <x:c r="C3288" s="2" t="str">
        <x:v>BIG SPRING</x:v>
      </x:c>
      <x:c r="D3288" s="2" t="str">
        <x:v>TX</x:v>
      </x:c>
      <x:c r="E3288" s="2" t="str">
        <x:v>Acute Care Hospitals</x:v>
      </x:c>
      <x:c r="F3288" s="2" t="str">
        <x:v>Proprietary</x:v>
      </x:c>
      <x:c r="G3288" s="2" t="str">
        <x:v>Small (&lt;100 beds)</x:v>
      </x:c>
      <x:c r="H3288" s="7"/>
      <x:c r="I3288" s="7"/>
      <x:c r="J3288" s="7" t="n">
        <x:v>1.21</x:v>
      </x:c>
      <x:c r="K3288" s="8" t="n">
        <x:v>75</x:v>
      </x:c>
      <x:c r="L3288" s="8" t="n">
        <x:v>636</x:v>
      </x:c>
      <x:c r="M3288" s="9" t="n">
        <x:v>0.0873563218</x:v>
      </x:c>
      <x:c r="N3288" s="10" t="n">
        <x:v>41375.6383647799</x:v>
      </x:c>
      <x:c r="O3288" s="9" t="n">
        <x:v>0.2061939835</x:v>
      </x:c>
      <x:c r="P3288" s="9" t="n">
        <x:v>0.3339317774</x:v>
      </x:c>
      <x:c r="Q3288" s="9" t="n">
        <x:v>0.697486535</x:v>
      </x:c>
      <x:c r="R3288" s="3" t="b">
        <x:v>0</x:v>
      </x:c>
      <x:c r="S3288" s="3" t="b">
        <x:v>0</x:v>
      </x:c>
      <x:c r="T3288" s="3" t="b">
        <x:v>0</x:v>
      </x:c>
      <x:c r="U3288" s="2" t="str">
        <x:f>IF(T3288=TRUE,"Priority review",IF(R3288=TRUE,"High cost",IF(S3288=TRUE,"Low quality","Benchmark")))</x:f>
        <x:v>Benchmark</x:v>
      </x:c>
    </x:row>
    <x:row r="3289">
      <x:c r="A3289" s="2" t="str">
        <x:v>131314</x:v>
      </x:c>
      <x:c r="B3289" s="2" t="str">
        <x:v>SHOSHONE MEDICAL CENTER</x:v>
      </x:c>
      <x:c r="C3289" s="2" t="str">
        <x:v>KELLOGG</x:v>
      </x:c>
      <x:c r="D3289" s="2" t="str">
        <x:v>ID</x:v>
      </x:c>
      <x:c r="E3289" s="2" t="str">
        <x:v>Critical Access Hospitals</x:v>
      </x:c>
      <x:c r="F3289" s="2" t="str">
        <x:v>Government</x:v>
      </x:c>
      <x:c r="G3289" s="2" t="str">
        <x:v>Small (&lt;100 beds)</x:v>
      </x:c>
      <x:c r="H3289" s="7" t="n">
        <x:v>3</x:v>
      </x:c>
      <x:c r="I3289" s="7"/>
      <x:c r="J3289" s="7"/>
      <x:c r="K3289" s="8" t="n">
        <x:v>25</x:v>
      </x:c>
      <x:c r="L3289" s="8" t="n">
        <x:v>208</x:v>
      </x:c>
      <x:c r="M3289" s="9" t="n">
        <x:v>0.2169398907</x:v>
      </x:c>
      <x:c r="N3289" s="10" t="n">
        <x:v>101983.1394230769</x:v>
      </x:c>
      <x:c r="O3289" s="9" t="n">
        <x:v>-0.0873665826</x:v>
      </x:c>
      <x:c r="P3289" s="9" t="n">
        <x:v>0.3338289963</x:v>
      </x:c>
      <x:c r="Q3289" s="9" t="n">
        <x:v>0.0765799257</x:v>
      </x:c>
      <x:c r="R3289" s="3" t="b">
        <x:v>0</x:v>
      </x:c>
      <x:c r="S3289" s="3" t="b">
        <x:v>1</x:v>
      </x:c>
      <x:c r="T3289" s="3" t="b">
        <x:v>0</x:v>
      </x:c>
      <x:c r="U3289" s="2" t="str">
        <x:f>IF(T3289=TRUE,"Priority review",IF(R3289=TRUE,"High cost",IF(S3289=TRUE,"Low quality","Benchmark")))</x:f>
        <x:v>Low quality</x:v>
      </x:c>
    </x:row>
    <x:row r="3290">
      <x:c r="A3290" s="2" t="str">
        <x:v>453306</x:v>
      </x:c>
      <x:c r="B3290" s="2" t="str">
        <x:v>COVENANT CHILDRENS HOSPITAL</x:v>
      </x:c>
      <x:c r="C3290" s="2" t="str">
        <x:v>LUBBOCK</x:v>
      </x:c>
      <x:c r="D3290" s="2" t="str">
        <x:v>TX</x:v>
      </x:c>
      <x:c r="E3290" s="2" t="str">
        <x:v>Childrens</x:v>
      </x:c>
      <x:c r="F3290" s="2" t="str">
        <x:v>Voluntary non-profit</x:v>
      </x:c>
      <x:c r="G3290" s="2" t="str">
        <x:v>Medium (100-299 beds)</x:v>
      </x:c>
      <x:c r="H3290" s="7"/>
      <x:c r="I3290" s="7"/>
      <x:c r="J3290" s="7"/>
      <x:c r="K3290" s="8" t="n">
        <x:v>184</x:v>
      </x:c>
      <x:c r="L3290" s="8" t="n">
        <x:v>5242</x:v>
      </x:c>
      <x:c r="M3290" s="9" t="n">
        <x:v>0.4787224538</x:v>
      </x:c>
      <x:c r="N3290" s="10" t="n">
        <x:v>73809.4595574208</x:v>
      </x:c>
      <x:c r="O3290" s="9" t="n">
        <x:v>0.1893031784</x:v>
      </x:c>
      <x:c r="P3290" s="9" t="n">
        <x:v>0.3333333333</x:v>
      </x:c>
      <x:c r="Q3290" s="9" t="n">
        <x:v>0</x:v>
      </x:c>
      <x:c r="R3290" s="3" t="b">
        <x:v>0</x:v>
      </x:c>
      <x:c r="S3290" s="3" t="b">
        <x:v>0</x:v>
      </x:c>
      <x:c r="T3290" s="3" t="b">
        <x:v>0</x:v>
      </x:c>
      <x:c r="U3290" s="2" t="str">
        <x:f>IF(T3290=TRUE,"Priority review",IF(R3290=TRUE,"High cost",IF(S3290=TRUE,"Low quality","Benchmark")))</x:f>
        <x:v>Benchmark</x:v>
      </x:c>
    </x:row>
    <x:row r="3291">
      <x:c r="A3291" s="2" t="str">
        <x:v>344035</x:v>
      </x:c>
      <x:c r="B3291" s="2" t="str">
        <x:v>RALEIGH OAKS BEHAVIORAL HEALTH</x:v>
      </x:c>
      <x:c r="C3291" s="2" t="str">
        <x:v>GARNER</x:v>
      </x:c>
      <x:c r="D3291" s="2" t="str">
        <x:v>NC</x:v>
      </x:c>
      <x:c r="E3291" s="2" t="str">
        <x:v>Psychiatric</x:v>
      </x:c>
      <x:c r="F3291" s="2" t="str">
        <x:v>Proprietary</x:v>
      </x:c>
      <x:c r="G3291" s="2" t="str">
        <x:v>Medium (100-299 beds)</x:v>
      </x:c>
      <x:c r="H3291" s="7"/>
      <x:c r="I3291" s="7"/>
      <x:c r="J3291" s="7"/>
      <x:c r="K3291" s="8" t="n">
        <x:v>102</x:v>
      </x:c>
      <x:c r="L3291" s="8" t="n">
        <x:v>2669</x:v>
      </x:c>
      <x:c r="M3291" s="9" t="n">
        <x:v>0.5996041511</x:v>
      </x:c>
      <x:c r="N3291" s="10" t="n">
        <x:v>8143.1659797677</x:v>
      </x:c>
      <x:c r="O3291" s="9" t="n">
        <x:v>-0.153349249</x:v>
      </x:c>
      <x:c r="P3291" s="9" t="n">
        <x:v>0.3333333333</x:v>
      </x:c>
      <x:c r="Q3291" s="9" t="n">
        <x:v>0</x:v>
      </x:c>
      <x:c r="R3291" s="3" t="b">
        <x:v>0</x:v>
      </x:c>
      <x:c r="S3291" s="3" t="b">
        <x:v>0</x:v>
      </x:c>
      <x:c r="T3291" s="3" t="b">
        <x:v>0</x:v>
      </x:c>
      <x:c r="U3291" s="2" t="str">
        <x:f>IF(T3291=TRUE,"Priority review",IF(R3291=TRUE,"High cost",IF(S3291=TRUE,"Low quality","Benchmark")))</x:f>
        <x:v>Benchmark</x:v>
      </x:c>
    </x:row>
    <x:row r="3292">
      <x:c r="A3292" s="2" t="str">
        <x:v>053300</x:v>
      </x:c>
      <x:c r="B3292" s="2" t="str">
        <x:v>VALLEY CHILDREN'S HOSPITAL</x:v>
      </x:c>
      <x:c r="C3292" s="2" t="str">
        <x:v>MADERA</x:v>
      </x:c>
      <x:c r="D3292" s="2" t="str">
        <x:v>CA</x:v>
      </x:c>
      <x:c r="E3292" s="2" t="str">
        <x:v>Childrens</x:v>
      </x:c>
      <x:c r="F3292" s="2" t="str">
        <x:v>Voluntary non-profit</x:v>
      </x:c>
      <x:c r="G3292" s="2" t="str">
        <x:v>Large (300+ beds)</x:v>
      </x:c>
      <x:c r="H3292" s="7"/>
      <x:c r="I3292" s="7"/>
      <x:c r="J3292" s="7"/>
      <x:c r="K3292" s="8" t="n">
        <x:v>358</x:v>
      </x:c>
      <x:c r="L3292" s="8" t="n">
        <x:v>10333</x:v>
      </x:c>
      <x:c r="M3292" s="9" t="n">
        <x:v>0.5424718381</x:v>
      </x:c>
      <x:c r="N3292" s="10" t="n">
        <x:v>82118.4169166747</x:v>
      </x:c>
      <x:c r="O3292" s="9" t="n">
        <x:v>-0.0586194743</x:v>
      </x:c>
      <x:c r="P3292" s="9" t="n">
        <x:v>0.3333333333</x:v>
      </x:c>
      <x:c r="Q3292" s="9" t="n">
        <x:v>0</x:v>
      </x:c>
      <x:c r="R3292" s="3" t="b">
        <x:v>0</x:v>
      </x:c>
      <x:c r="S3292" s="3" t="b">
        <x:v>0</x:v>
      </x:c>
      <x:c r="T3292" s="3" t="b">
        <x:v>0</x:v>
      </x:c>
      <x:c r="U3292" s="2" t="str">
        <x:f>IF(T3292=TRUE,"Priority review",IF(R3292=TRUE,"High cost",IF(S3292=TRUE,"Low quality","Benchmark")))</x:f>
        <x:v>Benchmark</x:v>
      </x:c>
    </x:row>
    <x:row r="3293">
      <x:c r="A3293" s="2" t="str">
        <x:v>340027</x:v>
      </x:c>
      <x:c r="B3293" s="2" t="str">
        <x:v>UNC LENOIR HEALTH CARE</x:v>
      </x:c>
      <x:c r="C3293" s="2" t="str">
        <x:v>KINSTON</x:v>
      </x:c>
      <x:c r="D3293" s="2" t="str">
        <x:v>NC</x:v>
      </x:c>
      <x:c r="E3293" s="2" t="str">
        <x:v>Acute Care Hospitals</x:v>
      </x:c>
      <x:c r="F3293" s="2" t="str">
        <x:v>Voluntary non-profit</x:v>
      </x:c>
      <x:c r="G3293" s="2" t="str">
        <x:v>Medium (100-299 beds)</x:v>
      </x:c>
      <x:c r="H3293" s="7" t="n">
        <x:v>4</x:v>
      </x:c>
      <x:c r="I3293" s="7" t="n">
        <x:v>3</x:v>
      </x:c>
      <x:c r="J3293" s="7" t="n">
        <x:v>0.94</x:v>
      </x:c>
      <x:c r="K3293" s="8" t="n">
        <x:v>177</x:v>
      </x:c>
      <x:c r="L3293" s="8" t="n">
        <x:v>5557</x:v>
      </x:c>
      <x:c r="M3293" s="9" t="n">
        <x:v>0.3663648324</x:v>
      </x:c>
      <x:c r="N3293" s="10" t="n">
        <x:v>28327.8904084938</x:v>
      </x:c>
      <x:c r="O3293" s="9" t="n">
        <x:v>0.0891435733</x:v>
      </x:c>
      <x:c r="P3293" s="9" t="n">
        <x:v>0.3333333333</x:v>
      </x:c>
      <x:c r="Q3293" s="9" t="n">
        <x:v>0.6022819886</x:v>
      </x:c>
      <x:c r="R3293" s="3" t="b">
        <x:v>0</x:v>
      </x:c>
      <x:c r="S3293" s="3" t="b">
        <x:v>0</x:v>
      </x:c>
      <x:c r="T3293" s="3" t="b">
        <x:v>0</x:v>
      </x:c>
      <x:c r="U3293" s="2" t="str">
        <x:f>IF(T3293=TRUE,"Priority review",IF(R3293=TRUE,"High cost",IF(S3293=TRUE,"Low quality","Benchmark")))</x:f>
        <x:v>Benchmark</x:v>
      </x:c>
    </x:row>
    <x:row r="3294">
      <x:c r="A3294" s="2" t="str">
        <x:v>154063</x:v>
      </x:c>
      <x:c r="B3294" s="2" t="str">
        <x:v>NEUROPSYCHIATRIC HOSPITAL OF INDIANAPOLIS, LLC</x:v>
      </x:c>
      <x:c r="C3294" s="2" t="str">
        <x:v>INDIANAPOLIS</x:v>
      </x:c>
      <x:c r="D3294" s="2" t="str">
        <x:v>IN</x:v>
      </x:c>
      <x:c r="E3294" s="2" t="str">
        <x:v>Psychiatric</x:v>
      </x:c>
      <x:c r="F3294" s="2" t="str">
        <x:v>Proprietary</x:v>
      </x:c>
      <x:c r="G3294" s="2" t="str">
        <x:v>Small (&lt;100 beds)</x:v>
      </x:c>
      <x:c r="H3294" s="7"/>
      <x:c r="I3294" s="7"/>
      <x:c r="J3294" s="7"/>
      <x:c r="K3294" s="8" t="n">
        <x:v>50</x:v>
      </x:c>
      <x:c r="L3294" s="8" t="n">
        <x:v>1303</x:v>
      </x:c>
      <x:c r="M3294" s="9" t="n">
        <x:v>0.7946994536</x:v>
      </x:c>
      <x:c r="N3294" s="10" t="n">
        <x:v>9199.3108211819</x:v>
      </x:c>
      <x:c r="O3294" s="9" t="n">
        <x:v>0.0691595825</x:v>
      </x:c>
      <x:c r="P3294" s="9" t="n">
        <x:v>0.3333333333</x:v>
      </x:c>
      <x:c r="Q3294" s="9" t="n">
        <x:v>0</x:v>
      </x:c>
      <x:c r="R3294" s="3" t="b">
        <x:v>0</x:v>
      </x:c>
      <x:c r="S3294" s="3" t="b">
        <x:v>0</x:v>
      </x:c>
      <x:c r="T3294" s="3" t="b">
        <x:v>0</x:v>
      </x:c>
      <x:c r="U3294" s="2" t="str">
        <x:f>IF(T3294=TRUE,"Priority review",IF(R3294=TRUE,"High cost",IF(S3294=TRUE,"Low quality","Benchmark")))</x:f>
        <x:v>Benchmark</x:v>
      </x:c>
    </x:row>
    <x:row r="3295">
      <x:c r="A3295" s="2" t="str">
        <x:v>171338</x:v>
      </x:c>
      <x:c r="B3295" s="2" t="str">
        <x:v>GREAT PLAINS OF SABETHA</x:v>
      </x:c>
      <x:c r="C3295" s="2" t="str">
        <x:v>SABETHA</x:v>
      </x:c>
      <x:c r="D3295" s="2" t="str">
        <x:v>KS</x:v>
      </x:c>
      <x:c r="E3295" s="2" t="str">
        <x:v>Critical Access Hospitals</x:v>
      </x:c>
      <x:c r="F3295" s="2" t="str">
        <x:v>Voluntary non-profit</x:v>
      </x:c>
      <x:c r="G3295" s="2" t="str">
        <x:v>Small (&lt;100 beds)</x:v>
      </x:c>
      <x:c r="H3295" s="7"/>
      <x:c r="I3295" s="7"/>
      <x:c r="J3295" s="7"/>
      <x:c r="K3295" s="8" t="n">
        <x:v>16</x:v>
      </x:c>
      <x:c r="L3295" s="8" t="n">
        <x:v>214</x:v>
      </x:c>
      <x:c r="M3295" s="9" t="n">
        <x:v>0.2155054645</x:v>
      </x:c>
      <x:c r="N3295" s="10" t="n">
        <x:v>101938.070093458</x:v>
      </x:c>
      <x:c r="O3295" s="9" t="n">
        <x:v>-0.1445219861</x:v>
      </x:c>
      <x:c r="P3295" s="9" t="n">
        <x:v>0.3330855019</x:v>
      </x:c>
      <x:c r="Q3295" s="9" t="n">
        <x:v>0.292936803</x:v>
      </x:c>
      <x:c r="R3295" s="3" t="b">
        <x:v>0</x:v>
      </x:c>
      <x:c r="S3295" s="3" t="b">
        <x:v>0</x:v>
      </x:c>
      <x:c r="T3295" s="3" t="b">
        <x:v>0</x:v>
      </x:c>
      <x:c r="U3295" s="2" t="str">
        <x:f>IF(T3295=TRUE,"Priority review",IF(R3295=TRUE,"High cost",IF(S3295=TRUE,"Low quality","Benchmark")))</x:f>
        <x:v>Benchmark</x:v>
      </x:c>
    </x:row>
    <x:row r="3296">
      <x:c r="A3296" s="2" t="str">
        <x:v>180070</x:v>
      </x:c>
      <x:c r="B3296" s="2" t="str">
        <x:v>OWENSBORO HEALTH TWIN LAKES MEDICAL CENTER</x:v>
      </x:c>
      <x:c r="C3296" s="2" t="str">
        <x:v>LEITCHFIELD</x:v>
      </x:c>
      <x:c r="D3296" s="2" t="str">
        <x:v>KY</x:v>
      </x:c>
      <x:c r="E3296" s="2" t="str">
        <x:v>Acute Care Hospitals</x:v>
      </x:c>
      <x:c r="F3296" s="2" t="str">
        <x:v>Voluntary non-profit</x:v>
      </x:c>
      <x:c r="G3296" s="2" t="str">
        <x:v>Small (&lt;100 beds)</x:v>
      </x:c>
      <x:c r="H3296" s="7" t="n">
        <x:v>3</x:v>
      </x:c>
      <x:c r="I3296" s="7" t="n">
        <x:v>4</x:v>
      </x:c>
      <x:c r="J3296" s="7" t="n">
        <x:v>1.05</x:v>
      </x:c>
      <x:c r="K3296" s="8" t="n">
        <x:v>49</x:v>
      </x:c>
      <x:c r="L3296" s="8" t="n">
        <x:v>1320</x:v>
      </x:c>
      <x:c r="M3296" s="9" t="n">
        <x:v>0.2280123008</x:v>
      </x:c>
      <x:c r="N3296" s="10" t="n">
        <x:v>41366.7265151515</x:v>
      </x:c>
      <x:c r="O3296" s="9" t="n">
        <x:v>0.1637580357</x:v>
      </x:c>
      <x:c r="P3296" s="9" t="n">
        <x:v>0.3330341113</x:v>
      </x:c>
      <x:c r="Q3296" s="9" t="n">
        <x:v>0.1687612208</x:v>
      </x:c>
      <x:c r="R3296" s="3" t="b">
        <x:v>0</x:v>
      </x:c>
      <x:c r="S3296" s="3" t="b">
        <x:v>0</x:v>
      </x:c>
      <x:c r="T3296" s="3" t="b">
        <x:v>0</x:v>
      </x:c>
      <x:c r="U3296" s="2" t="str">
        <x:f>IF(T3296=TRUE,"Priority review",IF(R3296=TRUE,"High cost",IF(S3296=TRUE,"Low quality","Benchmark")))</x:f>
        <x:v>Benchmark</x:v>
      </x:c>
    </x:row>
    <x:row r="3297">
      <x:c r="A3297" s="2" t="str">
        <x:v>330203</x:v>
      </x:c>
      <x:c r="B3297" s="2" t="str">
        <x:v>CROUSE HOSPITAL</x:v>
      </x:c>
      <x:c r="C3297" s="2" t="str">
        <x:v>SYRACUSE</x:v>
      </x:c>
      <x:c r="D3297" s="2" t="str">
        <x:v>NY</x:v>
      </x:c>
      <x:c r="E3297" s="2" t="str">
        <x:v>Acute Care Hospitals</x:v>
      </x:c>
      <x:c r="F3297" s="2" t="str">
        <x:v>Voluntary non-profit</x:v>
      </x:c>
      <x:c r="G3297" s="2" t="str">
        <x:v>Large (300+ beds)</x:v>
      </x:c>
      <x:c r="H3297" s="7" t="n">
        <x:v>2</x:v>
      </x:c>
      <x:c r="I3297" s="7" t="n">
        <x:v>2</x:v>
      </x:c>
      <x:c r="J3297" s="7" t="n">
        <x:v>0.97</x:v>
      </x:c>
      <x:c r="K3297" s="8" t="n">
        <x:v>502</x:v>
      </x:c>
      <x:c r="L3297" s="8" t="n">
        <x:v>17843</x:v>
      </x:c>
      <x:c r="M3297" s="9" t="n">
        <x:v>0.6654039579</x:v>
      </x:c>
      <x:c r="N3297" s="10" t="n">
        <x:v>31864.2264193241</x:v>
      </x:c>
      <x:c r="O3297" s="9" t="n">
        <x:v>-0.0194999985</x:v>
      </x:c>
      <x:c r="P3297" s="9" t="n">
        <x:v>0.332807571</x:v>
      </x:c>
      <x:c r="Q3297" s="9" t="n">
        <x:v>0.0536277603</x:v>
      </x:c>
      <x:c r="R3297" s="3" t="b">
        <x:v>0</x:v>
      </x:c>
      <x:c r="S3297" s="3" t="b">
        <x:v>1</x:v>
      </x:c>
      <x:c r="T3297" s="3" t="b">
        <x:v>0</x:v>
      </x:c>
      <x:c r="U3297" s="2" t="str">
        <x:f>IF(T3297=TRUE,"Priority review",IF(R3297=TRUE,"High cost",IF(S3297=TRUE,"Low quality","Benchmark")))</x:f>
        <x:v>Low quality</x:v>
      </x:c>
    </x:row>
    <x:row r="3298">
      <x:c r="A3298" s="2" t="str">
        <x:v>670056</x:v>
      </x:c>
      <x:c r="B3298" s="2" t="str">
        <x:v>ASCENSION  SETON HAYS</x:v>
      </x:c>
      <x:c r="C3298" s="2" t="str">
        <x:v>KYLE</x:v>
      </x:c>
      <x:c r="D3298" s="2" t="str">
        <x:v>TX</x:v>
      </x:c>
      <x:c r="E3298" s="2" t="str">
        <x:v>Acute Care Hospitals</x:v>
      </x:c>
      <x:c r="F3298" s="2" t="str">
        <x:v>Voluntary non-profit</x:v>
      </x:c>
      <x:c r="G3298" s="2" t="str">
        <x:v>Medium (100-299 beds)</x:v>
      </x:c>
      <x:c r="H3298" s="7" t="n">
        <x:v>3</x:v>
      </x:c>
      <x:c r="I3298" s="7" t="n">
        <x:v>3</x:v>
      </x:c>
      <x:c r="J3298" s="7" t="n">
        <x:v>1.06</x:v>
      </x:c>
      <x:c r="K3298" s="8" t="n">
        <x:v>154</x:v>
      </x:c>
      <x:c r="L3298" s="8" t="n">
        <x:v>8829</x:v>
      </x:c>
      <x:c r="M3298" s="9" t="n">
        <x:v>0.8917808219</x:v>
      </x:c>
      <x:c r="N3298" s="10" t="n">
        <x:v>28314.6963416015</x:v>
      </x:c>
      <x:c r="O3298" s="9" t="n">
        <x:v>0.1002384679</x:v>
      </x:c>
      <x:c r="P3298" s="9" t="n">
        <x:v>0.3325183374</x:v>
      </x:c>
      <x:c r="Q3298" s="9" t="n">
        <x:v>0.3023634882</x:v>
      </x:c>
      <x:c r="R3298" s="3" t="b">
        <x:v>0</x:v>
      </x:c>
      <x:c r="S3298" s="3" t="b">
        <x:v>0</x:v>
      </x:c>
      <x:c r="T3298" s="3" t="b">
        <x:v>0</x:v>
      </x:c>
      <x:c r="U3298" s="2" t="str">
        <x:f>IF(T3298=TRUE,"Priority review",IF(R3298=TRUE,"High cost",IF(S3298=TRUE,"Low quality","Benchmark")))</x:f>
        <x:v>Benchmark</x:v>
      </x:c>
    </x:row>
    <x:row r="3299">
      <x:c r="A3299" s="2" t="str">
        <x:v>451311</x:v>
      </x:c>
      <x:c r="B3299" s="2" t="str">
        <x:v>SWEENY COMMUNITY HOSPITAL</x:v>
      </x:c>
      <x:c r="C3299" s="2" t="str">
        <x:v>SWEENY</x:v>
      </x:c>
      <x:c r="D3299" s="2" t="str">
        <x:v>TX</x:v>
      </x:c>
      <x:c r="E3299" s="2" t="str">
        <x:v>Critical Access Hospitals</x:v>
      </x:c>
      <x:c r="F3299" s="2" t="str">
        <x:v>Government</x:v>
      </x:c>
      <x:c r="G3299" s="2" t="str">
        <x:v>Small (&lt;100 beds)</x:v>
      </x:c>
      <x:c r="H3299" s="7"/>
      <x:c r="I3299" s="7"/>
      <x:c r="J3299" s="7"/>
      <x:c r="K3299" s="8" t="n">
        <x:v>9</x:v>
      </x:c>
      <x:c r="L3299" s="8" t="n">
        <x:v>196</x:v>
      </x:c>
      <x:c r="M3299" s="9" t="n">
        <x:v>0.634486946</x:v>
      </x:c>
      <x:c r="N3299" s="10" t="n">
        <x:v>101820.7704081633</x:v>
      </x:c>
      <x:c r="O3299" s="9" t="n">
        <x:v>-0.2644079255</x:v>
      </x:c>
      <x:c r="P3299" s="9" t="n">
        <x:v>0.3323420074</x:v>
      </x:c>
      <x:c r="Q3299" s="9" t="n">
        <x:v>0.292936803</x:v>
      </x:c>
      <x:c r="R3299" s="3" t="b">
        <x:v>0</x:v>
      </x:c>
      <x:c r="S3299" s="3" t="b">
        <x:v>0</x:v>
      </x:c>
      <x:c r="T3299" s="3" t="b">
        <x:v>0</x:v>
      </x:c>
      <x:c r="U3299" s="2" t="str">
        <x:f>IF(T3299=TRUE,"Priority review",IF(R3299=TRUE,"High cost",IF(S3299=TRUE,"Low quality","Benchmark")))</x:f>
        <x:v>Benchmark</x:v>
      </x:c>
    </x:row>
    <x:row r="3300">
      <x:c r="A3300" s="2" t="str">
        <x:v>330049</x:v>
      </x:c>
      <x:c r="B3300" s="2" t="str">
        <x:v>NORTHERN DUTCHESS HOSPITAL</x:v>
      </x:c>
      <x:c r="C3300" s="2" t="str">
        <x:v>RHINEBECK</x:v>
      </x:c>
      <x:c r="D3300" s="2" t="str">
        <x:v>NY</x:v>
      </x:c>
      <x:c r="E3300" s="2" t="str">
        <x:v>Acute Care Hospitals</x:v>
      </x:c>
      <x:c r="F3300" s="2" t="str">
        <x:v>Voluntary non-profit</x:v>
      </x:c>
      <x:c r="G3300" s="2" t="str">
        <x:v>Small (&lt;100 beds)</x:v>
      </x:c>
      <x:c r="H3300" s="7" t="n">
        <x:v>4</x:v>
      </x:c>
      <x:c r="I3300" s="7" t="n">
        <x:v>4</x:v>
      </x:c>
      <x:c r="J3300" s="7" t="n">
        <x:v>0.97</x:v>
      </x:c>
      <x:c r="K3300" s="8" t="n">
        <x:v>79</x:v>
      </x:c>
      <x:c r="L3300" s="8" t="n">
        <x:v>4756</x:v>
      </x:c>
      <x:c r="M3300" s="9" t="n">
        <x:v>0.7260842498</x:v>
      </x:c>
      <x:c r="N3300" s="10" t="n">
        <x:v>41267.9739276703</x:v>
      </x:c>
      <x:c r="O3300" s="9" t="n">
        <x:v>0.0745736748</x:v>
      </x:c>
      <x:c r="P3300" s="9" t="n">
        <x:v>0.3321364452</x:v>
      </x:c>
      <x:c r="Q3300" s="9" t="n">
        <x:v>0.3913824057</x:v>
      </x:c>
      <x:c r="R3300" s="3" t="b">
        <x:v>0</x:v>
      </x:c>
      <x:c r="S3300" s="3" t="b">
        <x:v>0</x:v>
      </x:c>
      <x:c r="T3300" s="3" t="b">
        <x:v>0</x:v>
      </x:c>
      <x:c r="U3300" s="2" t="str">
        <x:f>IF(T3300=TRUE,"Priority review",IF(R3300=TRUE,"High cost",IF(S3300=TRUE,"Low quality","Benchmark")))</x:f>
        <x:v>Benchmark</x:v>
      </x:c>
    </x:row>
    <x:row r="3301">
      <x:c r="A3301" s="2" t="str">
        <x:v>360041</x:v>
      </x:c>
      <x:c r="B3301" s="2" t="str">
        <x:v>PARMA COMMUNITY GENERAL HOSPITAL</x:v>
      </x:c>
      <x:c r="C3301" s="2" t="str">
        <x:v>PARMA</x:v>
      </x:c>
      <x:c r="D3301" s="2" t="str">
        <x:v>OH</x:v>
      </x:c>
      <x:c r="E3301" s="2" t="str">
        <x:v>Acute Care Hospitals</x:v>
      </x:c>
      <x:c r="F3301" s="2" t="str">
        <x:v>Voluntary non-profit</x:v>
      </x:c>
      <x:c r="G3301" s="2" t="str">
        <x:v>Medium (100-299 beds)</x:v>
      </x:c>
      <x:c r="H3301" s="7" t="n">
        <x:v>4</x:v>
      </x:c>
      <x:c r="I3301" s="7" t="n">
        <x:v>3</x:v>
      </x:c>
      <x:c r="J3301" s="7" t="n">
        <x:v>1.01</x:v>
      </x:c>
      <x:c r="K3301" s="8" t="n">
        <x:v>176</x:v>
      </x:c>
      <x:c r="L3301" s="8" t="n">
        <x:v>8283</x:v>
      </x:c>
      <x:c r="M3301" s="9" t="n">
        <x:v>0.584947839</x:v>
      </x:c>
      <x:c r="N3301" s="10" t="n">
        <x:v>28223.0131594833</x:v>
      </x:c>
      <x:c r="O3301" s="9" t="n">
        <x:v>-0.0463600387</x:v>
      </x:c>
      <x:c r="P3301" s="9" t="n">
        <x:v>0.3317033415</x:v>
      </x:c>
      <x:c r="Q3301" s="9" t="n">
        <x:v>0.6022819886</x:v>
      </x:c>
      <x:c r="R3301" s="3" t="b">
        <x:v>0</x:v>
      </x:c>
      <x:c r="S3301" s="3" t="b">
        <x:v>0</x:v>
      </x:c>
      <x:c r="T3301" s="3" t="b">
        <x:v>0</x:v>
      </x:c>
      <x:c r="U3301" s="2" t="str">
        <x:f>IF(T3301=TRUE,"Priority review",IF(R3301=TRUE,"High cost",IF(S3301=TRUE,"Low quality","Benchmark")))</x:f>
        <x:v>Benchmark</x:v>
      </x:c>
    </x:row>
    <x:row r="3302">
      <x:c r="A3302" s="2" t="str">
        <x:v>291312</x:v>
      </x:c>
      <x:c r="B3302" s="2" t="str">
        <x:v>GROVER C DILS MEDICAL CENTER</x:v>
      </x:c>
      <x:c r="C3302" s="2" t="str">
        <x:v>CALIENTE</x:v>
      </x:c>
      <x:c r="D3302" s="2" t="str">
        <x:v>NV</x:v>
      </x:c>
      <x:c r="E3302" s="2" t="str">
        <x:v>Critical Access Hospitals</x:v>
      </x:c>
      <x:c r="F3302" s="2" t="str">
        <x:v>Voluntary non-profit</x:v>
      </x:c>
      <x:c r="G3302" s="2" t="str">
        <x:v>Small (&lt;100 beds)</x:v>
      </x:c>
      <x:c r="H3302" s="7"/>
      <x:c r="I3302" s="7"/>
      <x:c r="J3302" s="7"/>
      <x:c r="K3302" s="8" t="n">
        <x:v>4</x:v>
      </x:c>
      <x:c r="L3302" s="8" t="n">
        <x:v>98</x:v>
      </x:c>
      <x:c r="M3302" s="9" t="n">
        <x:v>0.4356164384</x:v>
      </x:c>
      <x:c r="N3302" s="10" t="n">
        <x:v>101551.5</x:v>
      </x:c>
      <x:c r="O3302" s="9" t="n">
        <x:v>-0.1104886339</x:v>
      </x:c>
      <x:c r="P3302" s="9" t="n">
        <x:v>0.331598513</x:v>
      </x:c>
      <x:c r="Q3302" s="9" t="n">
        <x:v>0.292936803</x:v>
      </x:c>
      <x:c r="R3302" s="3" t="b">
        <x:v>0</x:v>
      </x:c>
      <x:c r="S3302" s="3" t="b">
        <x:v>0</x:v>
      </x:c>
      <x:c r="T3302" s="3" t="b">
        <x:v>0</x:v>
      </x:c>
      <x:c r="U3302" s="2" t="str">
        <x:f>IF(T3302=TRUE,"Priority review",IF(R3302=TRUE,"High cost",IF(S3302=TRUE,"Low quality","Benchmark")))</x:f>
        <x:v>Benchmark</x:v>
      </x:c>
    </x:row>
    <x:row r="3303">
      <x:c r="A3303" s="2" t="str">
        <x:v>440060</x:v>
      </x:c>
      <x:c r="B3303" s="2" t="str">
        <x:v>WEST TENNESSEE HEALTHCARE MILAN HOSPITAL</x:v>
      </x:c>
      <x:c r="C3303" s="2" t="str">
        <x:v>MILAN</x:v>
      </x:c>
      <x:c r="D3303" s="2" t="str">
        <x:v>TN</x:v>
      </x:c>
      <x:c r="E3303" s="2" t="str">
        <x:v>Acute Care Hospitals</x:v>
      </x:c>
      <x:c r="F3303" s="2" t="str">
        <x:v>Government</x:v>
      </x:c>
      <x:c r="G3303" s="2" t="str">
        <x:v>Small (&lt;100 beds)</x:v>
      </x:c>
      <x:c r="H3303" s="7"/>
      <x:c r="I3303" s="7" t="n">
        <x:v>5</x:v>
      </x:c>
      <x:c r="J3303" s="7" t="n">
        <x:v>1.03</x:v>
      </x:c>
      <x:c r="K3303" s="8" t="n">
        <x:v>47</x:v>
      </x:c>
      <x:c r="L3303" s="8" t="n">
        <x:v>424</x:v>
      </x:c>
      <x:c r="M3303" s="9" t="n">
        <x:v>0.0943748178</x:v>
      </x:c>
      <x:c r="N3303" s="10" t="n">
        <x:v>41265.4245283019</x:v>
      </x:c>
      <x:c r="O3303" s="9" t="n">
        <x:v>-0.0140113662</x:v>
      </x:c>
      <x:c r="P3303" s="9" t="n">
        <x:v>0.3312387792</x:v>
      </x:c>
      <x:c r="Q3303" s="9" t="n">
        <x:v>0.697486535</x:v>
      </x:c>
      <x:c r="R3303" s="3" t="b">
        <x:v>0</x:v>
      </x:c>
      <x:c r="S3303" s="3" t="b">
        <x:v>0</x:v>
      </x:c>
      <x:c r="T3303" s="3" t="b">
        <x:v>0</x:v>
      </x:c>
      <x:c r="U3303" s="2" t="str">
        <x:f>IF(T3303=TRUE,"Priority review",IF(R3303=TRUE,"High cost",IF(S3303=TRUE,"Low quality","Benchmark")))</x:f>
        <x:v>Benchmark</x:v>
      </x:c>
    </x:row>
    <x:row r="3304">
      <x:c r="A3304" s="2" t="str">
        <x:v>450610</x:v>
      </x:c>
      <x:c r="B3304" s="2" t="str">
        <x:v>MEMORIAL HERMANN MEMORIAL CITY HOSPITAL</x:v>
      </x:c>
      <x:c r="C3304" s="2" t="str">
        <x:v>HOUSTON</x:v>
      </x:c>
      <x:c r="D3304" s="2" t="str">
        <x:v>TX</x:v>
      </x:c>
      <x:c r="E3304" s="2" t="str">
        <x:v>Acute Care Hospitals</x:v>
      </x:c>
      <x:c r="F3304" s="2" t="str">
        <x:v>Voluntary non-profit</x:v>
      </x:c>
      <x:c r="G3304" s="2" t="str">
        <x:v>Large (300+ beds)</x:v>
      </x:c>
      <x:c r="H3304" s="7" t="n">
        <x:v>4</x:v>
      </x:c>
      <x:c r="I3304" s="7" t="n">
        <x:v>3</x:v>
      </x:c>
      <x:c r="J3304" s="7" t="n">
        <x:v>1</x:v>
      </x:c>
      <x:c r="K3304" s="8" t="n">
        <x:v>444</x:v>
      </x:c>
      <x:c r="L3304" s="8" t="n">
        <x:v>22646</x:v>
      </x:c>
      <x:c r="M3304" s="9" t="n">
        <x:v>0.6244970998</x:v>
      </x:c>
      <x:c r="N3304" s="10" t="n">
        <x:v>31665.7564691336</x:v>
      </x:c>
      <x:c r="O3304" s="9" t="n">
        <x:v>-0.0209768341</x:v>
      </x:c>
      <x:c r="P3304" s="9" t="n">
        <x:v>0.3312302839</x:v>
      </x:c>
      <x:c r="Q3304" s="9" t="n">
        <x:v>0.5899053628</x:v>
      </x:c>
      <x:c r="R3304" s="3" t="b">
        <x:v>0</x:v>
      </x:c>
      <x:c r="S3304" s="3" t="b">
        <x:v>0</x:v>
      </x:c>
      <x:c r="T3304" s="3" t="b">
        <x:v>0</x:v>
      </x:c>
      <x:c r="U3304" s="2" t="str">
        <x:f>IF(T3304=TRUE,"Priority review",IF(R3304=TRUE,"High cost",IF(S3304=TRUE,"Low quality","Benchmark")))</x:f>
        <x:v>Benchmark</x:v>
      </x:c>
    </x:row>
    <x:row r="3305">
      <x:c r="A3305" s="2" t="str">
        <x:v>030105</x:v>
      </x:c>
      <x:c r="B3305" s="2" t="str">
        <x:v>BANNER HEART HOSPITAL</x:v>
      </x:c>
      <x:c r="C3305" s="2" t="str">
        <x:v>MESA</x:v>
      </x:c>
      <x:c r="D3305" s="2" t="str">
        <x:v>AZ</x:v>
      </x:c>
      <x:c r="E3305" s="2" t="str">
        <x:v>Acute Care Hospitals</x:v>
      </x:c>
      <x:c r="F3305" s="2" t="str">
        <x:v>Voluntary non-profit</x:v>
      </x:c>
      <x:c r="G3305" s="2" t="str">
        <x:v>Medium (100-299 beds)</x:v>
      </x:c>
      <x:c r="H3305" s="7" t="n">
        <x:v>2</x:v>
      </x:c>
      <x:c r="I3305" s="7" t="n">
        <x:v>3</x:v>
      </x:c>
      <x:c r="J3305" s="7" t="n">
        <x:v>1</x:v>
      </x:c>
      <x:c r="K3305" s="8" t="n">
        <x:v>111</x:v>
      </x:c>
      <x:c r="L3305" s="8" t="n">
        <x:v>5344</x:v>
      </x:c>
      <x:c r="M3305" s="9" t="n">
        <x:v>0.5345099198</x:v>
      </x:c>
      <x:c r="N3305" s="10" t="n">
        <x:v>28162.8244760479</x:v>
      </x:c>
      <x:c r="O3305" s="9" t="n">
        <x:v>0.1818564781</x:v>
      </x:c>
      <x:c r="P3305" s="9" t="n">
        <x:v>0.3308883456</x:v>
      </x:c>
      <x:c r="Q3305" s="9" t="n">
        <x:v>0.0782396088</x:v>
      </x:c>
      <x:c r="R3305" s="3" t="b">
        <x:v>0</x:v>
      </x:c>
      <x:c r="S3305" s="3" t="b">
        <x:v>1</x:v>
      </x:c>
      <x:c r="T3305" s="3" t="b">
        <x:v>0</x:v>
      </x:c>
      <x:c r="U3305" s="2" t="str">
        <x:f>IF(T3305=TRUE,"Priority review",IF(R3305=TRUE,"High cost",IF(S3305=TRUE,"Low quality","Benchmark")))</x:f>
        <x:v>Low quality</x:v>
      </x:c>
    </x:row>
    <x:row r="3306">
      <x:c r="A3306" s="2" t="str">
        <x:v>061327</x:v>
      </x:c>
      <x:c r="B3306" s="2" t="str">
        <x:v>SOUTHWEST MEMORIAL HOSPITAL</x:v>
      </x:c>
      <x:c r="C3306" s="2" t="str">
        <x:v>CORTEZ</x:v>
      </x:c>
      <x:c r="D3306" s="2" t="str">
        <x:v>CO</x:v>
      </x:c>
      <x:c r="E3306" s="2" t="str">
        <x:v>Critical Access Hospitals</x:v>
      </x:c>
      <x:c r="F3306" s="2" t="str">
        <x:v>Voluntary non-profit</x:v>
      </x:c>
      <x:c r="G3306" s="2" t="str">
        <x:v>Small (&lt;100 beds)</x:v>
      </x:c>
      <x:c r="H3306" s="7" t="n">
        <x:v>4</x:v>
      </x:c>
      <x:c r="I3306" s="7" t="n">
        <x:v>4</x:v>
      </x:c>
      <x:c r="J3306" s="7"/>
      <x:c r="K3306" s="8" t="n">
        <x:v>20</x:v>
      </x:c>
      <x:c r="L3306" s="8" t="n">
        <x:v>781</x:v>
      </x:c>
      <x:c r="M3306" s="9" t="n">
        <x:v>0.5405737705</x:v>
      </x:c>
      <x:c r="N3306" s="10" t="n">
        <x:v>101426.9910371319</x:v>
      </x:c>
      <x:c r="O3306" s="9" t="n">
        <x:v>0.0119643219</x:v>
      </x:c>
      <x:c r="P3306" s="9" t="n">
        <x:v>0.3308550186</x:v>
      </x:c>
      <x:c r="Q3306" s="9" t="n">
        <x:v>0.1657992565</x:v>
      </x:c>
      <x:c r="R3306" s="3" t="b">
        <x:v>0</x:v>
      </x:c>
      <x:c r="S3306" s="3" t="b">
        <x:v>0</x:v>
      </x:c>
      <x:c r="T3306" s="3" t="b">
        <x:v>0</x:v>
      </x:c>
      <x:c r="U3306" s="2" t="str">
        <x:f>IF(T3306=TRUE,"Priority review",IF(R3306=TRUE,"High cost",IF(S3306=TRUE,"Low quality","Benchmark")))</x:f>
        <x:v>Benchmark</x:v>
      </x:c>
    </x:row>
    <x:row r="3307">
      <x:c r="A3307" s="2" t="str">
        <x:v>170197</x:v>
      </x:c>
      <x:c r="B3307" s="2" t="str">
        <x:v>KANSAS MEDICAL CENTER LLC</x:v>
      </x:c>
      <x:c r="C3307" s="2" t="str">
        <x:v>ANDOVER</x:v>
      </x:c>
      <x:c r="D3307" s="2" t="str">
        <x:v>KS</x:v>
      </x:c>
      <x:c r="E3307" s="2" t="str">
        <x:v>Acute Care Hospitals</x:v>
      </x:c>
      <x:c r="F3307" s="2" t="str">
        <x:v>Proprietary</x:v>
      </x:c>
      <x:c r="G3307" s="2" t="str">
        <x:v>Small (&lt;100 beds)</x:v>
      </x:c>
      <x:c r="H3307" s="7" t="n">
        <x:v>2</x:v>
      </x:c>
      <x:c r="I3307" s="7" t="n">
        <x:v>3</x:v>
      </x:c>
      <x:c r="J3307" s="7" t="n">
        <x:v>1.03</x:v>
      </x:c>
      <x:c r="K3307" s="8" t="n">
        <x:v>58</x:v>
      </x:c>
      <x:c r="L3307" s="8" t="n">
        <x:v>1772</x:v>
      </x:c>
      <x:c r="M3307" s="9" t="n">
        <x:v>0.3533540607</x:v>
      </x:c>
      <x:c r="N3307" s="10" t="n">
        <x:v>41238.4644469526</x:v>
      </x:c>
      <x:c r="O3307" s="9" t="n">
        <x:v>-0.1070618184</x:v>
      </x:c>
      <x:c r="P3307" s="9" t="n">
        <x:v>0.3303411131</x:v>
      </x:c>
      <x:c r="Q3307" s="9" t="n">
        <x:v>0.0350089767</x:v>
      </x:c>
      <x:c r="R3307" s="3" t="b">
        <x:v>0</x:v>
      </x:c>
      <x:c r="S3307" s="3" t="b">
        <x:v>1</x:v>
      </x:c>
      <x:c r="T3307" s="3" t="b">
        <x:v>0</x:v>
      </x:c>
      <x:c r="U3307" s="2" t="str">
        <x:f>IF(T3307=TRUE,"Priority review",IF(R3307=TRUE,"High cost",IF(S3307=TRUE,"Low quality","Benchmark")))</x:f>
        <x:v>Low quality</x:v>
      </x:c>
    </x:row>
    <x:row r="3308">
      <x:c r="A3308" s="2" t="str">
        <x:v>261313</x:v>
      </x:c>
      <x:c r="B3308" s="2" t="str">
        <x:v>MACON COUNTY SAMARITAN MEMORIAL HOSPITAL</x:v>
      </x:c>
      <x:c r="C3308" s="2" t="str">
        <x:v>MACON</x:v>
      </x:c>
      <x:c r="D3308" s="2" t="str">
        <x:v>MO</x:v>
      </x:c>
      <x:c r="E3308" s="2" t="str">
        <x:v>Critical Access Hospitals</x:v>
      </x:c>
      <x:c r="F3308" s="2" t="str">
        <x:v>Government</x:v>
      </x:c>
      <x:c r="G3308" s="2" t="str">
        <x:v>Small (&lt;100 beds)</x:v>
      </x:c>
      <x:c r="H3308" s="7" t="n">
        <x:v>2</x:v>
      </x:c>
      <x:c r="I3308" s="7"/>
      <x:c r="J3308" s="7"/>
      <x:c r="K3308" s="8" t="n">
        <x:v>25</x:v>
      </x:c>
      <x:c r="L3308" s="8" t="n">
        <x:v>294</x:v>
      </x:c>
      <x:c r="M3308" s="9" t="n">
        <x:v>0.2972677596</x:v>
      </x:c>
      <x:c r="N3308" s="10" t="n">
        <x:v>101282.6360544218</x:v>
      </x:c>
      <x:c r="O3308" s="9" t="n">
        <x:v>-0.1339295765</x:v>
      </x:c>
      <x:c r="P3308" s="9" t="n">
        <x:v>0.3301115242</x:v>
      </x:c>
      <x:c r="Q3308" s="9" t="n">
        <x:v>0.0171003717</x:v>
      </x:c>
      <x:c r="R3308" s="3" t="b">
        <x:v>0</x:v>
      </x:c>
      <x:c r="S3308" s="3" t="b">
        <x:v>1</x:v>
      </x:c>
      <x:c r="T3308" s="3" t="b">
        <x:v>0</x:v>
      </x:c>
      <x:c r="U3308" s="2" t="str">
        <x:f>IF(T3308=TRUE,"Priority review",IF(R3308=TRUE,"High cost",IF(S3308=TRUE,"Low quality","Benchmark")))</x:f>
        <x:v>Low quality</x:v>
      </x:c>
    </x:row>
    <x:row r="3309">
      <x:c r="A3309" s="2" t="str">
        <x:v>194089</x:v>
      </x:c>
      <x:c r="B3309" s="2" t="str">
        <x:v>GENESIS BEHAVIORAL HOSPITAL</x:v>
      </x:c>
      <x:c r="C3309" s="2" t="str">
        <x:v>BREAUX BRIDGE</x:v>
      </x:c>
      <x:c r="D3309" s="2" t="str">
        <x:v>LA</x:v>
      </x:c>
      <x:c r="E3309" s="2" t="str">
        <x:v>Psychiatric</x:v>
      </x:c>
      <x:c r="F3309" s="2" t="str">
        <x:v>Proprietary</x:v>
      </x:c>
      <x:c r="G3309" s="2" t="str">
        <x:v>Small (&lt;100 beds)</x:v>
      </x:c>
      <x:c r="H3309" s="7"/>
      <x:c r="I3309" s="7"/>
      <x:c r="J3309" s="7"/>
      <x:c r="K3309" s="8" t="n">
        <x:v>18</x:v>
      </x:c>
      <x:c r="L3309" s="8" t="n">
        <x:v>1037</x:v>
      </x:c>
      <x:c r="M3309" s="9" t="n">
        <x:v>0.6235579842</x:v>
      </x:c>
      <x:c r="N3309" s="10" t="n">
        <x:v>9155.6837029894</x:v>
      </x:c>
      <x:c r="O3309" s="9" t="n">
        <x:v>-0.0364166506</x:v>
      </x:c>
      <x:c r="P3309" s="9" t="n">
        <x:v>0.3300970874</x:v>
      </x:c>
      <x:c r="Q3309" s="9" t="n">
        <x:v>0</x:v>
      </x:c>
      <x:c r="R3309" s="3" t="b">
        <x:v>0</x:v>
      </x:c>
      <x:c r="S3309" s="3" t="b">
        <x:v>0</x:v>
      </x:c>
      <x:c r="T3309" s="3" t="b">
        <x:v>0</x:v>
      </x:c>
      <x:c r="U3309" s="2" t="str">
        <x:f>IF(T3309=TRUE,"Priority review",IF(R3309=TRUE,"High cost",IF(S3309=TRUE,"Low quality","Benchmark")))</x:f>
        <x:v>Benchmark</x:v>
      </x:c>
    </x:row>
    <x:row r="3310">
      <x:c r="A3310" s="2" t="str">
        <x:v>100109</x:v>
      </x:c>
      <x:c r="B3310" s="2" t="str">
        <x:v>ADVENTHEALTH SEBRING</x:v>
      </x:c>
      <x:c r="C3310" s="2" t="str">
        <x:v>SEBRING</x:v>
      </x:c>
      <x:c r="D3310" s="2" t="str">
        <x:v>FL</x:v>
      </x:c>
      <x:c r="E3310" s="2" t="str">
        <x:v>Acute Care Hospitals</x:v>
      </x:c>
      <x:c r="F3310" s="2" t="str">
        <x:v>Voluntary non-profit</x:v>
      </x:c>
      <x:c r="G3310" s="2" t="str">
        <x:v>Medium (100-299 beds)</x:v>
      </x:c>
      <x:c r="H3310" s="7" t="n">
        <x:v>3</x:v>
      </x:c>
      <x:c r="I3310" s="7" t="n">
        <x:v>3</x:v>
      </x:c>
      <x:c r="J3310" s="7" t="n">
        <x:v>1.02</x:v>
      </x:c>
      <x:c r="K3310" s="8" t="n">
        <x:v>204</x:v>
      </x:c>
      <x:c r="L3310" s="8" t="n">
        <x:v>13035</x:v>
      </x:c>
      <x:c r="M3310" s="9" t="n">
        <x:v>0.8020732883</x:v>
      </x:c>
      <x:c r="N3310" s="10" t="n">
        <x:v>28107.9344073648</x:v>
      </x:c>
      <x:c r="O3310" s="9" t="n">
        <x:v>0.2256580051</x:v>
      </x:c>
      <x:c r="P3310" s="9" t="n">
        <x:v>0.3300733496</x:v>
      </x:c>
      <x:c r="Q3310" s="9" t="n">
        <x:v>0.3023634882</x:v>
      </x:c>
      <x:c r="R3310" s="3" t="b">
        <x:v>0</x:v>
      </x:c>
      <x:c r="S3310" s="3" t="b">
        <x:v>0</x:v>
      </x:c>
      <x:c r="T3310" s="3" t="b">
        <x:v>0</x:v>
      </x:c>
      <x:c r="U3310" s="2" t="str">
        <x:f>IF(T3310=TRUE,"Priority review",IF(R3310=TRUE,"High cost",IF(S3310=TRUE,"Low quality","Benchmark")))</x:f>
        <x:v>Benchmark</x:v>
      </x:c>
    </x:row>
    <x:row r="3311">
      <x:c r="A3311" s="2" t="str">
        <x:v>390063</x:v>
      </x:c>
      <x:c r="B3311" s="2" t="str">
        <x:v>UPMC HAMOT</x:v>
      </x:c>
      <x:c r="C3311" s="2" t="str">
        <x:v>ERIE</x:v>
      </x:c>
      <x:c r="D3311" s="2" t="str">
        <x:v>PA</x:v>
      </x:c>
      <x:c r="E3311" s="2" t="str">
        <x:v>Acute Care Hospitals</x:v>
      </x:c>
      <x:c r="F3311" s="2" t="str">
        <x:v>Voluntary non-profit</x:v>
      </x:c>
      <x:c r="G3311" s="2" t="str">
        <x:v>Large (300+ beds)</x:v>
      </x:c>
      <x:c r="H3311" s="7" t="n">
        <x:v>3</x:v>
      </x:c>
      <x:c r="I3311" s="7" t="n">
        <x:v>3</x:v>
      </x:c>
      <x:c r="J3311" s="7" t="n">
        <x:v>1.06</x:v>
      </x:c>
      <x:c r="K3311" s="8" t="n">
        <x:v>431</x:v>
      </x:c>
      <x:c r="L3311" s="8" t="n">
        <x:v>19917</x:v>
      </x:c>
      <x:c r="M3311" s="9" t="n">
        <x:v>0.6977518734</x:v>
      </x:c>
      <x:c r="N3311" s="10" t="n">
        <x:v>31649.0195812622</x:v>
      </x:c>
      <x:c r="O3311" s="9" t="n">
        <x:v>0.0074186815</x:v>
      </x:c>
      <x:c r="P3311" s="9" t="n">
        <x:v>0.3296529968</x:v>
      </x:c>
      <x:c r="Q3311" s="9" t="n">
        <x:v>0.2570977918</x:v>
      </x:c>
      <x:c r="R3311" s="3" t="b">
        <x:v>0</x:v>
      </x:c>
      <x:c r="S3311" s="3" t="b">
        <x:v>0</x:v>
      </x:c>
      <x:c r="T3311" s="3" t="b">
        <x:v>0</x:v>
      </x:c>
      <x:c r="U3311" s="2" t="str">
        <x:f>IF(T3311=TRUE,"Priority review",IF(R3311=TRUE,"High cost",IF(S3311=TRUE,"Low quality","Benchmark")))</x:f>
        <x:v>Benchmark</x:v>
      </x:c>
    </x:row>
    <x:row r="3312">
      <x:c r="A3312" s="2" t="str">
        <x:v>340195</x:v>
      </x:c>
      <x:c r="B3312" s="2" t="str">
        <x:v>NOVANT HEALTH BALLANTYNE MEDICAL CENTER</x:v>
      </x:c>
      <x:c r="C3312" s="2" t="str">
        <x:v>CHARLOTTE</x:v>
      </x:c>
      <x:c r="D3312" s="2" t="str">
        <x:v>NC</x:v>
      </x:c>
      <x:c r="E3312" s="2" t="str">
        <x:v>Acute Care Hospitals</x:v>
      </x:c>
      <x:c r="F3312" s="2" t="str">
        <x:v>Voluntary non-profit</x:v>
      </x:c>
      <x:c r="G3312" s="2" t="str">
        <x:v>Small (&lt;100 beds)</x:v>
      </x:c>
      <x:c r="H3312" s="7"/>
      <x:c r="I3312" s="7" t="n">
        <x:v>4</x:v>
      </x:c>
      <x:c r="J3312" s="7" t="n">
        <x:v>0.92</x:v>
      </x:c>
      <x:c r="K3312" s="8" t="n">
        <x:v>36</x:v>
      </x:c>
      <x:c r="L3312" s="8" t="n">
        <x:v>2033</x:v>
      </x:c>
      <x:c r="M3312" s="9" t="n">
        <x:v>0.5320279296</x:v>
      </x:c>
      <x:c r="N3312" s="10" t="n">
        <x:v>41237.4294146581</x:v>
      </x:c>
      <x:c r="O3312" s="9" t="n">
        <x:v>0.023454601</x:v>
      </x:c>
      <x:c r="P3312" s="9" t="n">
        <x:v>0.329443447</x:v>
      </x:c>
      <x:c r="Q3312" s="9" t="n">
        <x:v>0.697486535</x:v>
      </x:c>
      <x:c r="R3312" s="3" t="b">
        <x:v>0</x:v>
      </x:c>
      <x:c r="S3312" s="3" t="b">
        <x:v>0</x:v>
      </x:c>
      <x:c r="T3312" s="3" t="b">
        <x:v>0</x:v>
      </x:c>
      <x:c r="U3312" s="2" t="str">
        <x:f>IF(T3312=TRUE,"Priority review",IF(R3312=TRUE,"High cost",IF(S3312=TRUE,"Low quality","Benchmark")))</x:f>
        <x:v>Benchmark</x:v>
      </x:c>
    </x:row>
    <x:row r="3313">
      <x:c r="A3313" s="2" t="str">
        <x:v>521307</x:v>
      </x:c>
      <x:c r="B3313" s="2" t="str">
        <x:v>CHIPPEWA VALLEY HOSPITAL</x:v>
      </x:c>
      <x:c r="C3313" s="2" t="str">
        <x:v>DURAND</x:v>
      </x:c>
      <x:c r="D3313" s="2" t="str">
        <x:v>WI</x:v>
      </x:c>
      <x:c r="E3313" s="2" t="str">
        <x:v>Critical Access Hospitals</x:v>
      </x:c>
      <x:c r="F3313" s="2" t="str">
        <x:v>Voluntary non-profit</x:v>
      </x:c>
      <x:c r="G3313" s="2" t="str">
        <x:v>Small (&lt;100 beds)</x:v>
      </x:c>
      <x:c r="H3313" s="7"/>
      <x:c r="I3313" s="7"/>
      <x:c r="J3313" s="7"/>
      <x:c r="K3313" s="8" t="n">
        <x:v>25</x:v>
      </x:c>
      <x:c r="L3313" s="8" t="n">
        <x:v>185</x:v>
      </x:c>
      <x:c r="M3313" s="9" t="n">
        <x:v>0.0742076503</x:v>
      </x:c>
      <x:c r="N3313" s="10" t="n">
        <x:v>101212.0486486486</x:v>
      </x:c>
      <x:c r="O3313" s="9" t="n">
        <x:v>0.0642933637</x:v>
      </x:c>
      <x:c r="P3313" s="9" t="n">
        <x:v>0.3293680297</x:v>
      </x:c>
      <x:c r="Q3313" s="9" t="n">
        <x:v>0.292936803</x:v>
      </x:c>
      <x:c r="R3313" s="3" t="b">
        <x:v>0</x:v>
      </x:c>
      <x:c r="S3313" s="3" t="b">
        <x:v>0</x:v>
      </x:c>
      <x:c r="T3313" s="3" t="b">
        <x:v>0</x:v>
      </x:c>
      <x:c r="U3313" s="2" t="str">
        <x:f>IF(T3313=TRUE,"Priority review",IF(R3313=TRUE,"High cost",IF(S3313=TRUE,"Low quality","Benchmark")))</x:f>
        <x:v>Benchmark</x:v>
      </x:c>
    </x:row>
    <x:row r="3314">
      <x:c r="A3314" s="2" t="str">
        <x:v>210051</x:v>
      </x:c>
      <x:c r="B3314" s="2" t="str">
        <x:v>LUMINIS HEALTH DOCTORS COMMUNITY MEDICAL CTR, INC</x:v>
      </x:c>
      <x:c r="C3314" s="2" t="str">
        <x:v>LANHAM</x:v>
      </x:c>
      <x:c r="D3314" s="2" t="str">
        <x:v>MD</x:v>
      </x:c>
      <x:c r="E3314" s="2" t="str">
        <x:v>Acute Care Hospitals</x:v>
      </x:c>
      <x:c r="F3314" s="2" t="str">
        <x:v>Proprietary</x:v>
      </x:c>
      <x:c r="G3314" s="2" t="str">
        <x:v>Medium (100-299 beds)</x:v>
      </x:c>
      <x:c r="H3314" s="7" t="n">
        <x:v>3</x:v>
      </x:c>
      <x:c r="I3314" s="7" t="n">
        <x:v>2</x:v>
      </x:c>
      <x:c r="J3314" s="7"/>
      <x:c r="K3314" s="8" t="n">
        <x:v>226</x:v>
      </x:c>
      <x:c r="L3314" s="8" t="n">
        <x:v>10171</x:v>
      </x:c>
      <x:c r="M3314" s="9" t="n">
        <x:v>0.6721178325</x:v>
      </x:c>
      <x:c r="N3314" s="10" t="n">
        <x:v>28085.2423557172</x:v>
      </x:c>
      <x:c r="O3314" s="9" t="n">
        <x:v>-0.0395177936</x:v>
      </x:c>
      <x:c r="P3314" s="9" t="n">
        <x:v>0.3292583537</x:v>
      </x:c>
      <x:c r="Q3314" s="9" t="n">
        <x:v>0.3023634882</x:v>
      </x:c>
      <x:c r="R3314" s="3" t="b">
        <x:v>0</x:v>
      </x:c>
      <x:c r="S3314" s="3" t="b">
        <x:v>0</x:v>
      </x:c>
      <x:c r="T3314" s="3" t="b">
        <x:v>0</x:v>
      </x:c>
      <x:c r="U3314" s="2" t="str">
        <x:f>IF(T3314=TRUE,"Priority review",IF(R3314=TRUE,"High cost",IF(S3314=TRUE,"Low quality","Benchmark")))</x:f>
        <x:v>Benchmark</x:v>
      </x:c>
    </x:row>
    <x:row r="3315">
      <x:c r="A3315" s="2" t="str">
        <x:v>151334</x:v>
      </x:c>
      <x:c r="B3315" s="2" t="str">
        <x:v>NORTON SCOTT HOSPITAL</x:v>
      </x:c>
      <x:c r="C3315" s="2" t="str">
        <x:v>SCOTTSBURG</x:v>
      </x:c>
      <x:c r="D3315" s="2" t="str">
        <x:v>IN</x:v>
      </x:c>
      <x:c r="E3315" s="2" t="str">
        <x:v>Critical Access Hospitals</x:v>
      </x:c>
      <x:c r="F3315" s="2" t="str">
        <x:v>Proprietary</x:v>
      </x:c>
      <x:c r="G3315" s="2" t="str">
        <x:v>Small (&lt;100 beds)</x:v>
      </x:c>
      <x:c r="H3315" s="7" t="n">
        <x:v>2</x:v>
      </x:c>
      <x:c r="I3315" s="7"/>
      <x:c r="J3315" s="7"/>
      <x:c r="K3315" s="8" t="n">
        <x:v>21</x:v>
      </x:c>
      <x:c r="L3315" s="8" t="n">
        <x:v>293</x:v>
      </x:c>
      <x:c r="M3315" s="9" t="n">
        <x:v>0.1925578975</x:v>
      </x:c>
      <x:c r="N3315" s="10" t="n">
        <x:v>101123.4197952218</x:v>
      </x:c>
      <x:c r="O3315" s="9" t="n">
        <x:v>-0.9196472414</x:v>
      </x:c>
      <x:c r="P3315" s="9" t="n">
        <x:v>0.3286245353</x:v>
      </x:c>
      <x:c r="Q3315" s="9" t="n">
        <x:v>0.0171003717</x:v>
      </x:c>
      <x:c r="R3315" s="3" t="b">
        <x:v>0</x:v>
      </x:c>
      <x:c r="S3315" s="3" t="b">
        <x:v>1</x:v>
      </x:c>
      <x:c r="T3315" s="3" t="b">
        <x:v>0</x:v>
      </x:c>
      <x:c r="U3315" s="2" t="str">
        <x:f>IF(T3315=TRUE,"Priority review",IF(R3315=TRUE,"High cost",IF(S3315=TRUE,"Low quality","Benchmark")))</x:f>
        <x:v>Low quality</x:v>
      </x:c>
    </x:row>
    <x:row r="3316">
      <x:c r="A3316" s="2" t="str">
        <x:v>360374</x:v>
      </x:c>
      <x:c r="B3316" s="2" t="str">
        <x:v>MERCY HEALTH KINGS MILLS HOSPITAL LLC</x:v>
      </x:c>
      <x:c r="C3316" s="2" t="str">
        <x:v>MASON</x:v>
      </x:c>
      <x:c r="D3316" s="2" t="str">
        <x:v>OH</x:v>
      </x:c>
      <x:c r="E3316" s="2" t="str">
        <x:v>Acute Care Hospitals</x:v>
      </x:c>
      <x:c r="F3316" s="2" t="str">
        <x:v>Voluntary non-profit</x:v>
      </x:c>
      <x:c r="G3316" s="2" t="str">
        <x:v>Small (&lt;100 beds)</x:v>
      </x:c>
      <x:c r="H3316" s="7"/>
      <x:c r="I3316" s="7" t="n">
        <x:v>4</x:v>
      </x:c>
      <x:c r="J3316" s="7" t="n">
        <x:v>0.95</x:v>
      </x:c>
      <x:c r="K3316" s="8" t="n">
        <x:v>60</x:v>
      </x:c>
      <x:c r="L3316" s="8" t="n">
        <x:v>1251</x:v>
      </x:c>
      <x:c r="M3316" s="9" t="n">
        <x:v>0.2227477477</x:v>
      </x:c>
      <x:c r="N3316" s="10" t="n">
        <x:v>41203.7657873701</x:v>
      </x:c>
      <x:c r="O3316" s="9" t="n">
        <x:v>-0.7952882049</x:v>
      </x:c>
      <x:c r="P3316" s="9" t="n">
        <x:v>0.328545781</x:v>
      </x:c>
      <x:c r="Q3316" s="9" t="n">
        <x:v>0.697486535</x:v>
      </x:c>
      <x:c r="R3316" s="3" t="b">
        <x:v>0</x:v>
      </x:c>
      <x:c r="S3316" s="3" t="b">
        <x:v>0</x:v>
      </x:c>
      <x:c r="T3316" s="3" t="b">
        <x:v>0</x:v>
      </x:c>
      <x:c r="U3316" s="2" t="str">
        <x:f>IF(T3316=TRUE,"Priority review",IF(R3316=TRUE,"High cost",IF(S3316=TRUE,"Low quality","Benchmark")))</x:f>
        <x:v>Benchmark</x:v>
      </x:c>
    </x:row>
    <x:row r="3317">
      <x:c r="A3317" s="2" t="str">
        <x:v>230277</x:v>
      </x:c>
      <x:c r="B3317" s="2" t="str">
        <x:v>HURON VALLEY-SINAI HOSPITAL</x:v>
      </x:c>
      <x:c r="C3317" s="2" t="str">
        <x:v>COMMERCE TOWNSHIP</x:v>
      </x:c>
      <x:c r="D3317" s="2" t="str">
        <x:v>MI</x:v>
      </x:c>
      <x:c r="E3317" s="2" t="str">
        <x:v>Acute Care Hospitals</x:v>
      </x:c>
      <x:c r="F3317" s="2" t="str">
        <x:v>Proprietary</x:v>
      </x:c>
      <x:c r="G3317" s="2" t="str">
        <x:v>Medium (100-299 beds)</x:v>
      </x:c>
      <x:c r="H3317" s="7" t="n">
        <x:v>3</x:v>
      </x:c>
      <x:c r="I3317" s="7" t="n">
        <x:v>2</x:v>
      </x:c>
      <x:c r="J3317" s="7" t="n">
        <x:v>0.94</x:v>
      </x:c>
      <x:c r="K3317" s="8" t="n">
        <x:v>145</x:v>
      </x:c>
      <x:c r="L3317" s="8" t="n">
        <x:v>6642</x:v>
      </x:c>
      <x:c r="M3317" s="9" t="n">
        <x:v>0.4921801394</x:v>
      </x:c>
      <x:c r="N3317" s="10" t="n">
        <x:v>27978.6561276724</x:v>
      </x:c>
      <x:c r="O3317" s="9" t="n">
        <x:v>0.0356909211</x:v>
      </x:c>
      <x:c r="P3317" s="9" t="n">
        <x:v>0.3284433578</x:v>
      </x:c>
      <x:c r="Q3317" s="9" t="n">
        <x:v>0.3023634882</x:v>
      </x:c>
      <x:c r="R3317" s="3" t="b">
        <x:v>0</x:v>
      </x:c>
      <x:c r="S3317" s="3" t="b">
        <x:v>0</x:v>
      </x:c>
      <x:c r="T3317" s="3" t="b">
        <x:v>0</x:v>
      </x:c>
      <x:c r="U3317" s="2" t="str">
        <x:f>IF(T3317=TRUE,"Priority review",IF(R3317=TRUE,"High cost",IF(S3317=TRUE,"Low quality","Benchmark")))</x:f>
        <x:v>Benchmark</x:v>
      </x:c>
    </x:row>
    <x:row r="3318">
      <x:c r="A3318" s="2" t="str">
        <x:v>184009</x:v>
      </x:c>
      <x:c r="B3318" s="2" t="str">
        <x:v>THE RIDGE BEHAVIORAL HEALTH SYSTEM</x:v>
      </x:c>
      <x:c r="C3318" s="2" t="str">
        <x:v>LEXINGTON</x:v>
      </x:c>
      <x:c r="D3318" s="2" t="str">
        <x:v>KY</x:v>
      </x:c>
      <x:c r="E3318" s="2" t="str">
        <x:v>Psychiatric</x:v>
      </x:c>
      <x:c r="F3318" s="2" t="str">
        <x:v>Proprietary</x:v>
      </x:c>
      <x:c r="G3318" s="2" t="str">
        <x:v>Medium (100-299 beds)</x:v>
      </x:c>
      <x:c r="H3318" s="7"/>
      <x:c r="I3318" s="7"/>
      <x:c r="J3318" s="7"/>
      <x:c r="K3318" s="8" t="n">
        <x:v>110</x:v>
      </x:c>
      <x:c r="L3318" s="8" t="n">
        <x:v>3137</x:v>
      </x:c>
      <x:c r="M3318" s="9" t="n">
        <x:v>0.591728763</x:v>
      </x:c>
      <x:c r="N3318" s="10" t="n">
        <x:v>7892.8122409946</x:v>
      </x:c>
      <x:c r="O3318" s="9" t="n">
        <x:v>0.4669816816</x:v>
      </x:c>
      <x:c r="P3318" s="9" t="n">
        <x:v>0.328358209</x:v>
      </x:c>
      <x:c r="Q3318" s="9" t="n">
        <x:v>0</x:v>
      </x:c>
      <x:c r="R3318" s="3" t="b">
        <x:v>0</x:v>
      </x:c>
      <x:c r="S3318" s="3" t="b">
        <x:v>0</x:v>
      </x:c>
      <x:c r="T3318" s="3" t="b">
        <x:v>0</x:v>
      </x:c>
      <x:c r="U3318" s="2" t="str">
        <x:f>IF(T3318=TRUE,"Priority review",IF(R3318=TRUE,"High cost",IF(S3318=TRUE,"Low quality","Benchmark")))</x:f>
        <x:v>Benchmark</x:v>
      </x:c>
    </x:row>
    <x:row r="3319">
      <x:c r="A3319" s="2" t="str">
        <x:v>050056</x:v>
      </x:c>
      <x:c r="B3319" s="2" t="str">
        <x:v>ANTELOPE VALLEY HOSPITAL</x:v>
      </x:c>
      <x:c r="C3319" s="2" t="str">
        <x:v>LANCASTER</x:v>
      </x:c>
      <x:c r="D3319" s="2" t="str">
        <x:v>CA</x:v>
      </x:c>
      <x:c r="E3319" s="2" t="str">
        <x:v>Acute Care Hospitals</x:v>
      </x:c>
      <x:c r="F3319" s="2" t="str">
        <x:v>Government</x:v>
      </x:c>
      <x:c r="G3319" s="2" t="str">
        <x:v>Large (300+ beds)</x:v>
      </x:c>
      <x:c r="H3319" s="7" t="n">
        <x:v>1</x:v>
      </x:c>
      <x:c r="I3319" s="7" t="n">
        <x:v>1</x:v>
      </x:c>
      <x:c r="J3319" s="7" t="n">
        <x:v>1.07</x:v>
      </x:c>
      <x:c r="K3319" s="8" t="n">
        <x:v>393</x:v>
      </x:c>
      <x:c r="L3319" s="8" t="n">
        <x:v>18406</x:v>
      </x:c>
      <x:c r="M3319" s="9" t="n">
        <x:v>0.6488340479</x:v>
      </x:c>
      <x:c r="N3319" s="10" t="n">
        <x:v>31404.6835814408</x:v>
      </x:c>
      <x:c r="O3319" s="9" t="n">
        <x:v>-0.0154818151</x:v>
      </x:c>
      <x:c r="P3319" s="9" t="n">
        <x:v>0.3280757098</x:v>
      </x:c>
      <x:c r="Q3319" s="9" t="n">
        <x:v>0</x:v>
      </x:c>
      <x:c r="R3319" s="3" t="b">
        <x:v>0</x:v>
      </x:c>
      <x:c r="S3319" s="3" t="b">
        <x:v>1</x:v>
      </x:c>
      <x:c r="T3319" s="3" t="b">
        <x:v>0</x:v>
      </x:c>
      <x:c r="U3319" s="2" t="str">
        <x:f>IF(T3319=TRUE,"Priority review",IF(R3319=TRUE,"High cost",IF(S3319=TRUE,"Low quality","Benchmark")))</x:f>
        <x:v>Low quality</x:v>
      </x:c>
    </x:row>
    <x:row r="3320">
      <x:c r="A3320" s="2" t="str">
        <x:v>331316</x:v>
      </x:c>
      <x:c r="B3320" s="2" t="str">
        <x:v>COMMUNITY MEMORIAL HOSPITAL, INC</x:v>
      </x:c>
      <x:c r="C3320" s="2" t="str">
        <x:v>HAMILTON</x:v>
      </x:c>
      <x:c r="D3320" s="2" t="str">
        <x:v>NY</x:v>
      </x:c>
      <x:c r="E3320" s="2" t="str">
        <x:v>Critical Access Hospitals</x:v>
      </x:c>
      <x:c r="F3320" s="2" t="str">
        <x:v>Voluntary non-profit</x:v>
      </x:c>
      <x:c r="G3320" s="2" t="str">
        <x:v>Small (&lt;100 beds)</x:v>
      </x:c>
      <x:c r="H3320" s="7" t="n">
        <x:v>4</x:v>
      </x:c>
      <x:c r="I3320" s="7" t="n">
        <x:v>4</x:v>
      </x:c>
      <x:c r="J3320" s="7"/>
      <x:c r="K3320" s="8" t="n">
        <x:v>25</x:v>
      </x:c>
      <x:c r="L3320" s="8" t="n">
        <x:v>712</x:v>
      </x:c>
      <x:c r="M3320" s="9" t="n">
        <x:v>0.7527868852</x:v>
      </x:c>
      <x:c r="N3320" s="10" t="n">
        <x:v>101088.8005617977</x:v>
      </x:c>
      <x:c r="O3320" s="9" t="n">
        <x:v>-0.1231344226</x:v>
      </x:c>
      <x:c r="P3320" s="9" t="n">
        <x:v>0.3278810409</x:v>
      </x:c>
      <x:c r="Q3320" s="9" t="n">
        <x:v>0.1657992565</x:v>
      </x:c>
      <x:c r="R3320" s="3" t="b">
        <x:v>0</x:v>
      </x:c>
      <x:c r="S3320" s="3" t="b">
        <x:v>0</x:v>
      </x:c>
      <x:c r="T3320" s="3" t="b">
        <x:v>0</x:v>
      </x:c>
      <x:c r="U3320" s="2" t="str">
        <x:f>IF(T3320=TRUE,"Priority review",IF(R3320=TRUE,"High cost",IF(S3320=TRUE,"Low quality","Benchmark")))</x:f>
        <x:v>Benchmark</x:v>
      </x:c>
    </x:row>
    <x:row r="3321">
      <x:c r="A3321" s="2" t="str">
        <x:v>110089</x:v>
      </x:c>
      <x:c r="B3321" s="2" t="str">
        <x:v>COFFEE REGIONAL MEDICAL CENTER, INC</x:v>
      </x:c>
      <x:c r="C3321" s="2" t="str">
        <x:v>DOUGLAS</x:v>
      </x:c>
      <x:c r="D3321" s="2" t="str">
        <x:v>GA</x:v>
      </x:c>
      <x:c r="E3321" s="2" t="str">
        <x:v>Acute Care Hospitals</x:v>
      </x:c>
      <x:c r="F3321" s="2" t="str">
        <x:v>Government</x:v>
      </x:c>
      <x:c r="G3321" s="2" t="str">
        <x:v>Small (&lt;100 beds)</x:v>
      </x:c>
      <x:c r="H3321" s="7" t="n">
        <x:v>3</x:v>
      </x:c>
      <x:c r="I3321" s="7" t="n">
        <x:v>3</x:v>
      </x:c>
      <x:c r="J3321" s="7" t="n">
        <x:v>0.99</x:v>
      </x:c>
      <x:c r="K3321" s="8" t="n">
        <x:v>82</x:v>
      </x:c>
      <x:c r="L3321" s="8" t="n">
        <x:v>3986</x:v>
      </x:c>
      <x:c r="M3321" s="9" t="n">
        <x:v>0.487238438</x:v>
      </x:c>
      <x:c r="N3321" s="10" t="n">
        <x:v>41173.2666833919</x:v>
      </x:c>
      <x:c r="O3321" s="9" t="n">
        <x:v>-0.0509994337</x:v>
      </x:c>
      <x:c r="P3321" s="9" t="n">
        <x:v>0.3276481149</x:v>
      </x:c>
      <x:c r="Q3321" s="9" t="n">
        <x:v>0.1687612208</x:v>
      </x:c>
      <x:c r="R3321" s="3" t="b">
        <x:v>0</x:v>
      </x:c>
      <x:c r="S3321" s="3" t="b">
        <x:v>0</x:v>
      </x:c>
      <x:c r="T3321" s="3" t="b">
        <x:v>0</x:v>
      </x:c>
      <x:c r="U3321" s="2" t="str">
        <x:f>IF(T3321=TRUE,"Priority review",IF(R3321=TRUE,"High cost",IF(S3321=TRUE,"Low quality","Benchmark")))</x:f>
        <x:v>Benchmark</x:v>
      </x:c>
    </x:row>
    <x:row r="3322">
      <x:c r="A3322" s="2" t="str">
        <x:v>140068</x:v>
      </x:c>
      <x:c r="B3322" s="2" t="str">
        <x:v>ROSELAND COMMUNITY HOSPITAL</x:v>
      </x:c>
      <x:c r="C3322" s="2" t="str">
        <x:v>CHICAGO</x:v>
      </x:c>
      <x:c r="D3322" s="2" t="str">
        <x:v>IL</x:v>
      </x:c>
      <x:c r="E3322" s="2" t="str">
        <x:v>Acute Care Hospitals</x:v>
      </x:c>
      <x:c r="F3322" s="2" t="str">
        <x:v>Voluntary non-profit</x:v>
      </x:c>
      <x:c r="G3322" s="2" t="str">
        <x:v>Medium (100-299 beds)</x:v>
      </x:c>
      <x:c r="H3322" s="7" t="n">
        <x:v>1</x:v>
      </x:c>
      <x:c r="I3322" s="7" t="n">
        <x:v>1</x:v>
      </x:c>
      <x:c r="J3322" s="7" t="n">
        <x:v>1.13</x:v>
      </x:c>
      <x:c r="K3322" s="8" t="n">
        <x:v>134</x:v>
      </x:c>
      <x:c r="L3322" s="8" t="n">
        <x:v>2633</x:v>
      </x:c>
      <x:c r="M3322" s="9" t="n">
        <x:v>0.3069719894</x:v>
      </x:c>
      <x:c r="N3322" s="10" t="n">
        <x:v>27976.9342954804</x:v>
      </x:c>
      <x:c r="O3322" s="9" t="n">
        <x:v>-0.6437011974</x:v>
      </x:c>
      <x:c r="P3322" s="9" t="n">
        <x:v>0.3276283619</x:v>
      </x:c>
      <x:c r="Q3322" s="9" t="n">
        <x:v>0</x:v>
      </x:c>
      <x:c r="R3322" s="3" t="b">
        <x:v>0</x:v>
      </x:c>
      <x:c r="S3322" s="3" t="b">
        <x:v>1</x:v>
      </x:c>
      <x:c r="T3322" s="3" t="b">
        <x:v>0</x:v>
      </x:c>
      <x:c r="U3322" s="2" t="str">
        <x:f>IF(T3322=TRUE,"Priority review",IF(R3322=TRUE,"High cost",IF(S3322=TRUE,"Low quality","Benchmark")))</x:f>
        <x:v>Low quality</x:v>
      </x:c>
    </x:row>
    <x:row r="3323">
      <x:c r="A3323" s="2" t="str">
        <x:v>531314</x:v>
      </x:c>
      <x:c r="B3323" s="2" t="str">
        <x:v>NIOBRARA COUNTY HOSPITAL DISTRICT</x:v>
      </x:c>
      <x:c r="C3323" s="2" t="str">
        <x:v>LUSK</x:v>
      </x:c>
      <x:c r="D3323" s="2" t="str">
        <x:v>WY</x:v>
      </x:c>
      <x:c r="E3323" s="2" t="str">
        <x:v>Critical Access Hospitals</x:v>
      </x:c>
      <x:c r="F3323" s="2" t="str">
        <x:v>Government</x:v>
      </x:c>
      <x:c r="G3323" s="2" t="str">
        <x:v>Small (&lt;100 beds)</x:v>
      </x:c>
      <x:c r="H3323" s="7"/>
      <x:c r="I3323" s="7"/>
      <x:c r="J3323" s="7"/>
      <x:c r="K3323" s="8" t="n">
        <x:v>24</x:v>
      </x:c>
      <x:c r="L3323" s="8" t="n">
        <x:v>104</x:v>
      </x:c>
      <x:c r="M3323" s="9" t="n">
        <x:v>0.7683789954</x:v>
      </x:c>
      <x:c r="N3323" s="10" t="n">
        <x:v>100886.625</x:v>
      </x:c>
      <x:c r="O3323" s="9" t="n">
        <x:v>-0.0587627879</x:v>
      </x:c>
      <x:c r="P3323" s="9" t="n">
        <x:v>0.3271375465</x:v>
      </x:c>
      <x:c r="Q3323" s="9" t="n">
        <x:v>0.292936803</x:v>
      </x:c>
      <x:c r="R3323" s="3" t="b">
        <x:v>0</x:v>
      </x:c>
      <x:c r="S3323" s="3" t="b">
        <x:v>0</x:v>
      </x:c>
      <x:c r="T3323" s="3" t="b">
        <x:v>0</x:v>
      </x:c>
      <x:c r="U3323" s="2" t="str">
        <x:f>IF(T3323=TRUE,"Priority review",IF(R3323=TRUE,"High cost",IF(S3323=TRUE,"Low quality","Benchmark")))</x:f>
        <x:v>Benchmark</x:v>
      </x:c>
    </x:row>
    <x:row r="3324">
      <x:c r="A3324" s="2" t="str">
        <x:v>154061</x:v>
      </x:c>
      <x:c r="B3324" s="2" t="str">
        <x:v>MEDICAL BEHAVIORAL HOSPITAL - MISHAWAKA</x:v>
      </x:c>
      <x:c r="C3324" s="2" t="str">
        <x:v>MISHAWAKA</x:v>
      </x:c>
      <x:c r="D3324" s="2" t="str">
        <x:v>IN</x:v>
      </x:c>
      <x:c r="E3324" s="2" t="str">
        <x:v>Psychiatric</x:v>
      </x:c>
      <x:c r="F3324" s="2" t="str">
        <x:v>Proprietary</x:v>
      </x:c>
      <x:c r="G3324" s="2" t="str">
        <x:v>Small (&lt;100 beds)</x:v>
      </x:c>
      <x:c r="H3324" s="7"/>
      <x:c r="I3324" s="7"/>
      <x:c r="J3324" s="7"/>
      <x:c r="K3324" s="8" t="n">
        <x:v>48</x:v>
      </x:c>
      <x:c r="L3324" s="8" t="n">
        <x:v>1187</x:v>
      </x:c>
      <x:c r="M3324" s="9" t="n">
        <x:v>0.8961179417</x:v>
      </x:c>
      <x:c r="N3324" s="10" t="n">
        <x:v>9131.6470092671</x:v>
      </x:c>
      <x:c r="O3324" s="9" t="n">
        <x:v>0.3059366991</x:v>
      </x:c>
      <x:c r="P3324" s="9" t="n">
        <x:v>0.3268608414</x:v>
      </x:c>
      <x:c r="Q3324" s="9" t="n">
        <x:v>0</x:v>
      </x:c>
      <x:c r="R3324" s="3" t="b">
        <x:v>0</x:v>
      </x:c>
      <x:c r="S3324" s="3" t="b">
        <x:v>0</x:v>
      </x:c>
      <x:c r="T3324" s="3" t="b">
        <x:v>0</x:v>
      </x:c>
      <x:c r="U3324" s="2" t="str">
        <x:f>IF(T3324=TRUE,"Priority review",IF(R3324=TRUE,"High cost",IF(S3324=TRUE,"Low quality","Benchmark")))</x:f>
        <x:v>Benchmark</x:v>
      </x:c>
    </x:row>
    <x:row r="3325">
      <x:c r="A3325" s="2" t="str">
        <x:v>110054</x:v>
      </x:c>
      <x:c r="B3325" s="2" t="str">
        <x:v>ATRIUM HEALTH FLOYD MEDICAL CENTER</x:v>
      </x:c>
      <x:c r="C3325" s="2" t="str">
        <x:v>ROME</x:v>
      </x:c>
      <x:c r="D3325" s="2" t="str">
        <x:v>GA</x:v>
      </x:c>
      <x:c r="E3325" s="2" t="str">
        <x:v>Acute Care Hospitals</x:v>
      </x:c>
      <x:c r="F3325" s="2" t="str">
        <x:v>Government</x:v>
      </x:c>
      <x:c r="G3325" s="2" t="str">
        <x:v>Medium (100-299 beds)</x:v>
      </x:c>
      <x:c r="H3325" s="7" t="n">
        <x:v>2</x:v>
      </x:c>
      <x:c r="I3325" s="7" t="n">
        <x:v>3</x:v>
      </x:c>
      <x:c r="J3325" s="7" t="n">
        <x:v>0.99</x:v>
      </x:c>
      <x:c r="K3325" s="8" t="n">
        <x:v>227</x:v>
      </x:c>
      <x:c r="L3325" s="8" t="n">
        <x:v>16924</x:v>
      </x:c>
      <x:c r="M3325" s="9" t="n">
        <x:v>0.9966659445</x:v>
      </x:c>
      <x:c r="N3325" s="10" t="n">
        <x:v>27869.4185180808</x:v>
      </x:c>
      <x:c r="O3325" s="9" t="n">
        <x:v>0.1726006636</x:v>
      </x:c>
      <x:c r="P3325" s="9" t="n">
        <x:v>0.3268133659</x:v>
      </x:c>
      <x:c r="Q3325" s="9" t="n">
        <x:v>0.0782396088</x:v>
      </x:c>
      <x:c r="R3325" s="3" t="b">
        <x:v>0</x:v>
      </x:c>
      <x:c r="S3325" s="3" t="b">
        <x:v>1</x:v>
      </x:c>
      <x:c r="T3325" s="3" t="b">
        <x:v>0</x:v>
      </x:c>
      <x:c r="U3325" s="2" t="str">
        <x:f>IF(T3325=TRUE,"Priority review",IF(R3325=TRUE,"High cost",IF(S3325=TRUE,"Low quality","Benchmark")))</x:f>
        <x:v>Low quality</x:v>
      </x:c>
    </x:row>
    <x:row r="3326">
      <x:c r="A3326" s="2" t="str">
        <x:v>520113</x:v>
      </x:c>
      <x:c r="B3326" s="2" t="str">
        <x:v>AURORA MEDICAL CENTER BAY AREA</x:v>
      </x:c>
      <x:c r="C3326" s="2" t="str">
        <x:v>MARINETTE</x:v>
      </x:c>
      <x:c r="D3326" s="2" t="str">
        <x:v>WI</x:v>
      </x:c>
      <x:c r="E3326" s="2" t="str">
        <x:v>Acute Care Hospitals</x:v>
      </x:c>
      <x:c r="F3326" s="2" t="str">
        <x:v>Voluntary non-profit</x:v>
      </x:c>
      <x:c r="G3326" s="2" t="str">
        <x:v>Small (&lt;100 beds)</x:v>
      </x:c>
      <x:c r="H3326" s="7" t="n">
        <x:v>4</x:v>
      </x:c>
      <x:c r="I3326" s="7" t="n">
        <x:v>4</x:v>
      </x:c>
      <x:c r="J3326" s="7" t="n">
        <x:v>0.84</x:v>
      </x:c>
      <x:c r="K3326" s="8" t="n">
        <x:v>60</x:v>
      </x:c>
      <x:c r="L3326" s="8" t="n">
        <x:v>2652</x:v>
      </x:c>
      <x:c r="M3326" s="9" t="n">
        <x:v>0.4168032787</x:v>
      </x:c>
      <x:c r="N3326" s="10" t="n">
        <x:v>41133.1319758673</x:v>
      </x:c>
      <x:c r="O3326" s="9" t="n">
        <x:v>-0.0575837292</x:v>
      </x:c>
      <x:c r="P3326" s="9" t="n">
        <x:v>0.3267504488</x:v>
      </x:c>
      <x:c r="Q3326" s="9" t="n">
        <x:v>0.3913824057</x:v>
      </x:c>
      <x:c r="R3326" s="3" t="b">
        <x:v>0</x:v>
      </x:c>
      <x:c r="S3326" s="3" t="b">
        <x:v>0</x:v>
      </x:c>
      <x:c r="T3326" s="3" t="b">
        <x:v>0</x:v>
      </x:c>
      <x:c r="U3326" s="2" t="str">
        <x:f>IF(T3326=TRUE,"Priority review",IF(R3326=TRUE,"High cost",IF(S3326=TRUE,"Low quality","Benchmark")))</x:f>
        <x:v>Benchmark</x:v>
      </x:c>
    </x:row>
    <x:row r="3327">
      <x:c r="A3327" s="2" t="str">
        <x:v>390115</x:v>
      </x:c>
      <x:c r="B3327" s="2" t="str">
        <x:v>JEFFERSON HEALTH- NORTHEAST</x:v>
      </x:c>
      <x:c r="C3327" s="2" t="str">
        <x:v>PHILADELPHIA</x:v>
      </x:c>
      <x:c r="D3327" s="2" t="str">
        <x:v>PA</x:v>
      </x:c>
      <x:c r="E3327" s="2" t="str">
        <x:v>Acute Care Hospitals</x:v>
      </x:c>
      <x:c r="F3327" s="2" t="str">
        <x:v>Voluntary non-profit</x:v>
      </x:c>
      <x:c r="G3327" s="2" t="str">
        <x:v>Large (300+ beds)</x:v>
      </x:c>
      <x:c r="H3327" s="7" t="n">
        <x:v>2</x:v>
      </x:c>
      <x:c r="I3327" s="7" t="n">
        <x:v>3</x:v>
      </x:c>
      <x:c r="J3327" s="7" t="n">
        <x:v>1.05</x:v>
      </x:c>
      <x:c r="K3327" s="8" t="n">
        <x:v>457</x:v>
      </x:c>
      <x:c r="L3327" s="8" t="n">
        <x:v>23745</x:v>
      </x:c>
      <x:c r="M3327" s="9" t="n">
        <x:v>0.7683043074</x:v>
      </x:c>
      <x:c r="N3327" s="10" t="n">
        <x:v>31109.6611076016</x:v>
      </x:c>
      <x:c r="O3327" s="9" t="n">
        <x:v>-0.1387135488</x:v>
      </x:c>
      <x:c r="P3327" s="9" t="n">
        <x:v>0.3264984227</x:v>
      </x:c>
      <x:c r="Q3327" s="9" t="n">
        <x:v>0.0536277603</x:v>
      </x:c>
      <x:c r="R3327" s="3" t="b">
        <x:v>0</x:v>
      </x:c>
      <x:c r="S3327" s="3" t="b">
        <x:v>1</x:v>
      </x:c>
      <x:c r="T3327" s="3" t="b">
        <x:v>0</x:v>
      </x:c>
      <x:c r="U3327" s="2" t="str">
        <x:f>IF(T3327=TRUE,"Priority review",IF(R3327=TRUE,"High cost",IF(S3327=TRUE,"Low quality","Benchmark")))</x:f>
        <x:v>Low quality</x:v>
      </x:c>
    </x:row>
    <x:row r="3328">
      <x:c r="A3328" s="2" t="str">
        <x:v>371337</x:v>
      </x:c>
      <x:c r="B3328" s="2" t="str">
        <x:v>EASTERN OKLAHOMA MEDICAL CENTER</x:v>
      </x:c>
      <x:c r="C3328" s="2" t="str">
        <x:v>POTEAU</x:v>
      </x:c>
      <x:c r="D3328" s="2" t="str">
        <x:v>OK</x:v>
      </x:c>
      <x:c r="E3328" s="2" t="str">
        <x:v>Critical Access Hospitals</x:v>
      </x:c>
      <x:c r="F3328" s="2" t="str">
        <x:v>Government</x:v>
      </x:c>
      <x:c r="G3328" s="2" t="str">
        <x:v>Small (&lt;100 beds)</x:v>
      </x:c>
      <x:c r="H3328" s="7" t="n">
        <x:v>4</x:v>
      </x:c>
      <x:c r="I3328" s="7"/>
      <x:c r="J3328" s="7"/>
      <x:c r="K3328" s="8" t="n">
        <x:v>25</x:v>
      </x:c>
      <x:c r="L3328" s="8" t="n">
        <x:v>249</x:v>
      </x:c>
      <x:c r="M3328" s="9" t="n">
        <x:v>0.3352328767</x:v>
      </x:c>
      <x:c r="N3328" s="10" t="n">
        <x:v>100789.3654618474</x:v>
      </x:c>
      <x:c r="O3328" s="9" t="n">
        <x:v>-0.4799977944</x:v>
      </x:c>
      <x:c r="P3328" s="9" t="n">
        <x:v>0.326394052</x:v>
      </x:c>
      <x:c r="Q3328" s="9" t="n">
        <x:v>0.1657992565</x:v>
      </x:c>
      <x:c r="R3328" s="3" t="b">
        <x:v>0</x:v>
      </x:c>
      <x:c r="S3328" s="3" t="b">
        <x:v>0</x:v>
      </x:c>
      <x:c r="T3328" s="3" t="b">
        <x:v>0</x:v>
      </x:c>
      <x:c r="U3328" s="2" t="str">
        <x:f>IF(T3328=TRUE,"Priority review",IF(R3328=TRUE,"High cost",IF(S3328=TRUE,"Low quality","Benchmark")))</x:f>
        <x:v>Benchmark</x:v>
      </x:c>
    </x:row>
    <x:row r="3329">
      <x:c r="A3329" s="2" t="str">
        <x:v>450670</x:v>
      </x:c>
      <x:c r="B3329" s="2" t="str">
        <x:v>HCA HOUSTON HEALTHCARE TOMBALL</x:v>
      </x:c>
      <x:c r="C3329" s="2" t="str">
        <x:v>TOMBALL</x:v>
      </x:c>
      <x:c r="D3329" s="2" t="str">
        <x:v>TX</x:v>
      </x:c>
      <x:c r="E3329" s="2" t="str">
        <x:v>Acute Care Hospitals</x:v>
      </x:c>
      <x:c r="F3329" s="2" t="str">
        <x:v>Proprietary</x:v>
      </x:c>
      <x:c r="G3329" s="2" t="str">
        <x:v>Medium (100-299 beds)</x:v>
      </x:c>
      <x:c r="H3329" s="7" t="n">
        <x:v>3</x:v>
      </x:c>
      <x:c r="I3329" s="7" t="n">
        <x:v>2</x:v>
      </x:c>
      <x:c r="J3329" s="7" t="n">
        <x:v>1.12</x:v>
      </x:c>
      <x:c r="K3329" s="8" t="n">
        <x:v>194</x:v>
      </x:c>
      <x:c r="L3329" s="8" t="n">
        <x:v>8333</x:v>
      </x:c>
      <x:c r="M3329" s="9" t="n">
        <x:v>0.4975850869</x:v>
      </x:c>
      <x:c r="N3329" s="10" t="n">
        <x:v>27830.974798992</x:v>
      </x:c>
      <x:c r="O3329" s="9" t="n">
        <x:v>0.0112179266</x:v>
      </x:c>
      <x:c r="P3329" s="9" t="n">
        <x:v>0.32599837</x:v>
      </x:c>
      <x:c r="Q3329" s="9" t="n">
        <x:v>0.3023634882</x:v>
      </x:c>
      <x:c r="R3329" s="3" t="b">
        <x:v>0</x:v>
      </x:c>
      <x:c r="S3329" s="3" t="b">
        <x:v>0</x:v>
      </x:c>
      <x:c r="T3329" s="3" t="b">
        <x:v>0</x:v>
      </x:c>
      <x:c r="U3329" s="2" t="str">
        <x:f>IF(T3329=TRUE,"Priority review",IF(R3329=TRUE,"High cost",IF(S3329=TRUE,"Low quality","Benchmark")))</x:f>
        <x:v>Benchmark</x:v>
      </x:c>
    </x:row>
    <x:row r="3330">
      <x:c r="A3330" s="2" t="str">
        <x:v>280134</x:v>
      </x:c>
      <x:c r="B3330" s="2" t="str">
        <x:v>KEARNEY REGIONAL MEDICAL CENTER</x:v>
      </x:c>
      <x:c r="C3330" s="2" t="str">
        <x:v>KEARNEY</x:v>
      </x:c>
      <x:c r="D3330" s="2" t="str">
        <x:v>NE</x:v>
      </x:c>
      <x:c r="E3330" s="2" t="str">
        <x:v>Acute Care Hospitals</x:v>
      </x:c>
      <x:c r="F3330" s="2" t="str">
        <x:v>Proprietary</x:v>
      </x:c>
      <x:c r="G3330" s="2" t="str">
        <x:v>Small (&lt;100 beds)</x:v>
      </x:c>
      <x:c r="H3330" s="7" t="n">
        <x:v>4</x:v>
      </x:c>
      <x:c r="I3330" s="7" t="n">
        <x:v>4</x:v>
      </x:c>
      <x:c r="J3330" s="7" t="n">
        <x:v>1.03</x:v>
      </x:c>
      <x:c r="K3330" s="8" t="n">
        <x:v>93</x:v>
      </x:c>
      <x:c r="L3330" s="8" t="n">
        <x:v>4410</x:v>
      </x:c>
      <x:c r="M3330" s="9" t="n">
        <x:v>0.4457664963</x:v>
      </x:c>
      <x:c r="N3330" s="10" t="n">
        <x:v>41107.6482993197</x:v>
      </x:c>
      <x:c r="O3330" s="9" t="n">
        <x:v>-0.0700499159</x:v>
      </x:c>
      <x:c r="P3330" s="9" t="n">
        <x:v>0.3258527828</x:v>
      </x:c>
      <x:c r="Q3330" s="9" t="n">
        <x:v>0.3913824057</x:v>
      </x:c>
      <x:c r="R3330" s="3" t="b">
        <x:v>0</x:v>
      </x:c>
      <x:c r="S3330" s="3" t="b">
        <x:v>0</x:v>
      </x:c>
      <x:c r="T3330" s="3" t="b">
        <x:v>0</x:v>
      </x:c>
      <x:c r="U3330" s="2" t="str">
        <x:f>IF(T3330=TRUE,"Priority review",IF(R3330=TRUE,"High cost",IF(S3330=TRUE,"Low quality","Benchmark")))</x:f>
        <x:v>Benchmark</x:v>
      </x:c>
    </x:row>
    <x:row r="3331">
      <x:c r="A3331" s="2" t="str">
        <x:v>061321</x:v>
      </x:c>
      <x:c r="B3331" s="2" t="str">
        <x:v>MT SAN RAFAEL HOSPITAL</x:v>
      </x:c>
      <x:c r="C3331" s="2" t="str">
        <x:v>TRINIDAD</x:v>
      </x:c>
      <x:c r="D3331" s="2" t="str">
        <x:v>CO</x:v>
      </x:c>
      <x:c r="E3331" s="2" t="str">
        <x:v>Critical Access Hospitals</x:v>
      </x:c>
      <x:c r="F3331" s="2" t="str">
        <x:v>Voluntary non-profit</x:v>
      </x:c>
      <x:c r="G3331" s="2" t="str">
        <x:v>Small (&lt;100 beds)</x:v>
      </x:c>
      <x:c r="H3331" s="7" t="n">
        <x:v>5</x:v>
      </x:c>
      <x:c r="I3331" s="7"/>
      <x:c r="J3331" s="7"/>
      <x:c r="K3331" s="8" t="n">
        <x:v>25</x:v>
      </x:c>
      <x:c r="L3331" s="8" t="n">
        <x:v>426</x:v>
      </x:c>
      <x:c r="M3331" s="9" t="n">
        <x:v>0.1807650273</x:v>
      </x:c>
      <x:c r="N3331" s="10" t="n">
        <x:v>100781.6995305164</x:v>
      </x:c>
      <x:c r="O3331" s="9" t="n">
        <x:v>-0.2620987201</x:v>
      </x:c>
      <x:c r="P3331" s="9" t="n">
        <x:v>0.3256505576</x:v>
      </x:c>
      <x:c r="Q3331" s="9" t="n">
        <x:v>0.2602230483</x:v>
      </x:c>
      <x:c r="R3331" s="3" t="b">
        <x:v>0</x:v>
      </x:c>
      <x:c r="S3331" s="3" t="b">
        <x:v>0</x:v>
      </x:c>
      <x:c r="T3331" s="3" t="b">
        <x:v>0</x:v>
      </x:c>
      <x:c r="U3331" s="2" t="str">
        <x:f>IF(T3331=TRUE,"Priority review",IF(R3331=TRUE,"High cost",IF(S3331=TRUE,"Low quality","Benchmark")))</x:f>
        <x:v>Benchmark</x:v>
      </x:c>
    </x:row>
    <x:row r="3332">
      <x:c r="A3332" s="2" t="str">
        <x:v>450023</x:v>
      </x:c>
      <x:c r="B3332" s="2" t="str">
        <x:v>CITIZENS MEDICAL CENTER</x:v>
      </x:c>
      <x:c r="C3332" s="2" t="str">
        <x:v>VICTORIA</x:v>
      </x:c>
      <x:c r="D3332" s="2" t="str">
        <x:v>TX</x:v>
      </x:c>
      <x:c r="E3332" s="2" t="str">
        <x:v>Acute Care Hospitals</x:v>
      </x:c>
      <x:c r="F3332" s="2" t="str">
        <x:v>Voluntary non-profit</x:v>
      </x:c>
      <x:c r="G3332" s="2" t="str">
        <x:v>Medium (100-299 beds)</x:v>
      </x:c>
      <x:c r="H3332" s="7" t="n">
        <x:v>3</x:v>
      </x:c>
      <x:c r="I3332" s="7" t="n">
        <x:v>3</x:v>
      </x:c>
      <x:c r="J3332" s="7" t="n">
        <x:v>1.22</x:v>
      </x:c>
      <x:c r="K3332" s="8" t="n">
        <x:v>286</x:v>
      </x:c>
      <x:c r="L3332" s="8" t="n">
        <x:v>7680</x:v>
      </x:c>
      <x:c r="M3332" s="9" t="n">
        <x:v>0.3270523997</x:v>
      </x:c>
      <x:c r="N3332" s="10" t="n">
        <x:v>27812.6608072917</x:v>
      </x:c>
      <x:c r="O3332" s="9" t="n">
        <x:v>-0.1631455995</x:v>
      </x:c>
      <x:c r="P3332" s="9" t="n">
        <x:v>0.3251833741</x:v>
      </x:c>
      <x:c r="Q3332" s="9" t="n">
        <x:v>0.3023634882</x:v>
      </x:c>
      <x:c r="R3332" s="3" t="b">
        <x:v>0</x:v>
      </x:c>
      <x:c r="S3332" s="3" t="b">
        <x:v>0</x:v>
      </x:c>
      <x:c r="T3332" s="3" t="b">
        <x:v>0</x:v>
      </x:c>
      <x:c r="U3332" s="2" t="str">
        <x:f>IF(T3332=TRUE,"Priority review",IF(R3332=TRUE,"High cost",IF(S3332=TRUE,"Low quality","Benchmark")))</x:f>
        <x:v>Benchmark</x:v>
      </x:c>
    </x:row>
    <x:row r="3333">
      <x:c r="A3333" s="2" t="str">
        <x:v>230095</x:v>
      </x:c>
      <x:c r="B3333" s="2" t="str">
        <x:v>MYMICHIGAN MEDICAL CENTER WEST BRANCH</x:v>
      </x:c>
      <x:c r="C3333" s="2" t="str">
        <x:v>WEST BRANCH</x:v>
      </x:c>
      <x:c r="D3333" s="2" t="str">
        <x:v>MI</x:v>
      </x:c>
      <x:c r="E3333" s="2" t="str">
        <x:v>Acute Care Hospitals</x:v>
      </x:c>
      <x:c r="F3333" s="2" t="str">
        <x:v>Government</x:v>
      </x:c>
      <x:c r="G3333" s="2" t="str">
        <x:v>Small (&lt;100 beds)</x:v>
      </x:c>
      <x:c r="H3333" s="7" t="n">
        <x:v>5</x:v>
      </x:c>
      <x:c r="I3333" s="7" t="n">
        <x:v>4</x:v>
      </x:c>
      <x:c r="J3333" s="7" t="n">
        <x:v>0.94</x:v>
      </x:c>
      <x:c r="K3333" s="8" t="n">
        <x:v>88</x:v>
      </x:c>
      <x:c r="L3333" s="8" t="n">
        <x:v>2013</x:v>
      </x:c>
      <x:c r="M3333" s="9" t="n">
        <x:v>0.195641345</x:v>
      </x:c>
      <x:c r="N3333" s="10" t="n">
        <x:v>40903.171882762</x:v>
      </x:c>
      <x:c r="O3333" s="9" t="n">
        <x:v>0.0086658872</x:v>
      </x:c>
      <x:c r="P3333" s="9" t="n">
        <x:v>0.3249551167</x:v>
      </x:c>
      <x:c r="Q3333" s="9" t="n">
        <x:v>0.6131059246</x:v>
      </x:c>
      <x:c r="R3333" s="3" t="b">
        <x:v>0</x:v>
      </x:c>
      <x:c r="S3333" s="3" t="b">
        <x:v>0</x:v>
      </x:c>
      <x:c r="T3333" s="3" t="b">
        <x:v>0</x:v>
      </x:c>
      <x:c r="U3333" s="2" t="str">
        <x:f>IF(T3333=TRUE,"Priority review",IF(R3333=TRUE,"High cost",IF(S3333=TRUE,"Low quality","Benchmark")))</x:f>
        <x:v>Benchmark</x:v>
      </x:c>
    </x:row>
    <x:row r="3334">
      <x:c r="A3334" s="2" t="str">
        <x:v>100029</x:v>
      </x:c>
      <x:c r="B3334" s="2" t="str">
        <x:v>NORTH SHORE MEDICAL CENTER</x:v>
      </x:c>
      <x:c r="C3334" s="2" t="str">
        <x:v>MIAMI</x:v>
      </x:c>
      <x:c r="D3334" s="2" t="str">
        <x:v>FL</x:v>
      </x:c>
      <x:c r="E3334" s="2" t="str">
        <x:v>Acute Care Hospitals</x:v>
      </x:c>
      <x:c r="F3334" s="2" t="str">
        <x:v>Proprietary</x:v>
      </x:c>
      <x:c r="G3334" s="2" t="str">
        <x:v>Large (300+ beds)</x:v>
      </x:c>
      <x:c r="H3334" s="7" t="n">
        <x:v>1</x:v>
      </x:c>
      <x:c r="I3334" s="7" t="n">
        <x:v>1</x:v>
      </x:c>
      <x:c r="J3334" s="7" t="n">
        <x:v>1.14</x:v>
      </x:c>
      <x:c r="K3334" s="8" t="n">
        <x:v>730</x:v>
      </x:c>
      <x:c r="L3334" s="8" t="n">
        <x:v>4628</x:v>
      </x:c>
      <x:c r="M3334" s="9" t="n">
        <x:v>0.1767273822</x:v>
      </x:c>
      <x:c r="N3334" s="10" t="n">
        <x:v>31088.0790838375</x:v>
      </x:c>
      <x:c r="O3334" s="9" t="n">
        <x:v>-2.5334040478</x:v>
      </x:c>
      <x:c r="P3334" s="9" t="n">
        <x:v>0.3249211356</x:v>
      </x:c>
      <x:c r="Q3334" s="9" t="n">
        <x:v>0</x:v>
      </x:c>
      <x:c r="R3334" s="3" t="b">
        <x:v>0</x:v>
      </x:c>
      <x:c r="S3334" s="3" t="b">
        <x:v>1</x:v>
      </x:c>
      <x:c r="T3334" s="3" t="b">
        <x:v>0</x:v>
      </x:c>
      <x:c r="U3334" s="2" t="str">
        <x:f>IF(T3334=TRUE,"Priority review",IF(R3334=TRUE,"High cost",IF(S3334=TRUE,"Low quality","Benchmark")))</x:f>
        <x:v>Low quality</x:v>
      </x:c>
    </x:row>
    <x:row r="3335">
      <x:c r="A3335" s="2" t="str">
        <x:v>271344</x:v>
      </x:c>
      <x:c r="B3335" s="2" t="str">
        <x:v>SIDNEY HEALTH CENTER</x:v>
      </x:c>
      <x:c r="C3335" s="2" t="str">
        <x:v>SIDNEY</x:v>
      </x:c>
      <x:c r="D3335" s="2" t="str">
        <x:v>MT</x:v>
      </x:c>
      <x:c r="E3335" s="2" t="str">
        <x:v>Critical Access Hospitals</x:v>
      </x:c>
      <x:c r="F3335" s="2" t="str">
        <x:v>Voluntary non-profit</x:v>
      </x:c>
      <x:c r="G3335" s="2" t="str">
        <x:v>Small (&lt;100 beds)</x:v>
      </x:c>
      <x:c r="H3335" s="7" t="n">
        <x:v>3</x:v>
      </x:c>
      <x:c r="I3335" s="7" t="n">
        <x:v>4</x:v>
      </x:c>
      <x:c r="J3335" s="7"/>
      <x:c r="K3335" s="8" t="n">
        <x:v>25</x:v>
      </x:c>
      <x:c r="L3335" s="8" t="n">
        <x:v>1124</x:v>
      </x:c>
      <x:c r="M3335" s="9" t="n">
        <x:v>0.6871232877</x:v>
      </x:c>
      <x:c r="N3335" s="10" t="n">
        <x:v>100762.6992882562</x:v>
      </x:c>
      <x:c r="O3335" s="9" t="n">
        <x:v>-0.0852151968</x:v>
      </x:c>
      <x:c r="P3335" s="9" t="n">
        <x:v>0.3249070632</x:v>
      </x:c>
      <x:c r="Q3335" s="9" t="n">
        <x:v>0.0765799257</x:v>
      </x:c>
      <x:c r="R3335" s="3" t="b">
        <x:v>0</x:v>
      </x:c>
      <x:c r="S3335" s="3" t="b">
        <x:v>1</x:v>
      </x:c>
      <x:c r="T3335" s="3" t="b">
        <x:v>0</x:v>
      </x:c>
      <x:c r="U3335" s="2" t="str">
        <x:f>IF(T3335=TRUE,"Priority review",IF(R3335=TRUE,"High cost",IF(S3335=TRUE,"Low quality","Benchmark")))</x:f>
        <x:v>Low quality</x:v>
      </x:c>
    </x:row>
    <x:row r="3336">
      <x:c r="A3336" s="2" t="str">
        <x:v>040088</x:v>
      </x:c>
      <x:c r="B3336" s="2" t="str">
        <x:v>SOUTH ARKANSAS REGIONAL HOSPITAL LLC</x:v>
      </x:c>
      <x:c r="C3336" s="2" t="str">
        <x:v>EL DORADO</x:v>
      </x:c>
      <x:c r="D3336" s="2" t="str">
        <x:v>AR</x:v>
      </x:c>
      <x:c r="E3336" s="2" t="str">
        <x:v>Acute Care Hospitals</x:v>
      </x:c>
      <x:c r="F3336" s="2" t="str">
        <x:v>Proprietary</x:v>
      </x:c>
      <x:c r="G3336" s="2" t="str">
        <x:v>Medium (100-299 beds)</x:v>
      </x:c>
      <x:c r="H3336" s="7" t="n">
        <x:v>3</x:v>
      </x:c>
      <x:c r="I3336" s="7" t="n">
        <x:v>3</x:v>
      </x:c>
      <x:c r="J3336" s="7" t="n">
        <x:v>1.1</x:v>
      </x:c>
      <x:c r="K3336" s="8" t="n">
        <x:v>105</x:v>
      </x:c>
      <x:c r="L3336" s="8" t="n">
        <x:v>2969</x:v>
      </x:c>
      <x:c r="M3336" s="9" t="n">
        <x:v>0.3267840835</x:v>
      </x:c>
      <x:c r="N3336" s="10" t="n">
        <x:v>27805.3597170765</x:v>
      </x:c>
      <x:c r="O3336" s="9" t="n">
        <x:v>-0.2691136675</x:v>
      </x:c>
      <x:c r="P3336" s="9" t="n">
        <x:v>0.3243683782</x:v>
      </x:c>
      <x:c r="Q3336" s="9" t="n">
        <x:v>0.3023634882</x:v>
      </x:c>
      <x:c r="R3336" s="3" t="b">
        <x:v>0</x:v>
      </x:c>
      <x:c r="S3336" s="3" t="b">
        <x:v>0</x:v>
      </x:c>
      <x:c r="T3336" s="3" t="b">
        <x:v>0</x:v>
      </x:c>
      <x:c r="U3336" s="2" t="str">
        <x:f>IF(T3336=TRUE,"Priority review",IF(R3336=TRUE,"High cost",IF(S3336=TRUE,"Low quality","Benchmark")))</x:f>
        <x:v>Benchmark</x:v>
      </x:c>
    </x:row>
    <x:row r="3337">
      <x:c r="A3337" s="2" t="str">
        <x:v>291306</x:v>
      </x:c>
      <x:c r="B3337" s="2" t="str">
        <x:v>CARSON VALLEY HEALTH</x:v>
      </x:c>
      <x:c r="C3337" s="2" t="str">
        <x:v>GARDNERVILLE</x:v>
      </x:c>
      <x:c r="D3337" s="2" t="str">
        <x:v>NV</x:v>
      </x:c>
      <x:c r="E3337" s="2" t="str">
        <x:v>Critical Access Hospitals</x:v>
      </x:c>
      <x:c r="F3337" s="2" t="str">
        <x:v>Voluntary non-profit</x:v>
      </x:c>
      <x:c r="G3337" s="2" t="str">
        <x:v>Small (&lt;100 beds)</x:v>
      </x:c>
      <x:c r="H3337" s="7" t="n">
        <x:v>5</x:v>
      </x:c>
      <x:c r="I3337" s="7" t="n">
        <x:v>5</x:v>
      </x:c>
      <x:c r="J3337" s="7"/>
      <x:c r="K3337" s="8" t="n">
        <x:v>25</x:v>
      </x:c>
      <x:c r="L3337" s="8" t="n">
        <x:v>1022</x:v>
      </x:c>
      <x:c r="M3337" s="9" t="n">
        <x:v>0.5178402647</x:v>
      </x:c>
      <x:c r="N3337" s="10" t="n">
        <x:v>100596.3258317025</x:v>
      </x:c>
      <x:c r="O3337" s="9" t="n">
        <x:v>0.0390431735</x:v>
      </x:c>
      <x:c r="P3337" s="9" t="n">
        <x:v>0.3241635688</x:v>
      </x:c>
      <x:c r="Q3337" s="9" t="n">
        <x:v>0.2602230483</x:v>
      </x:c>
      <x:c r="R3337" s="3" t="b">
        <x:v>0</x:v>
      </x:c>
      <x:c r="S3337" s="3" t="b">
        <x:v>0</x:v>
      </x:c>
      <x:c r="T3337" s="3" t="b">
        <x:v>0</x:v>
      </x:c>
      <x:c r="U3337" s="2" t="str">
        <x:f>IF(T3337=TRUE,"Priority review",IF(R3337=TRUE,"High cost",IF(S3337=TRUE,"Low quality","Benchmark")))</x:f>
        <x:v>Benchmark</x:v>
      </x:c>
    </x:row>
    <x:row r="3338">
      <x:c r="A3338" s="2" t="str">
        <x:v>440148</x:v>
      </x:c>
      <x:c r="B3338" s="2" t="str">
        <x:v>DEKALB COMMUNITY HOSPITAL</x:v>
      </x:c>
      <x:c r="C3338" s="2" t="str">
        <x:v>SMITHVILLE</x:v>
      </x:c>
      <x:c r="D3338" s="2" t="str">
        <x:v>TN</x:v>
      </x:c>
      <x:c r="E3338" s="2" t="str">
        <x:v>Acute Care Hospitals</x:v>
      </x:c>
      <x:c r="F3338" s="2" t="str">
        <x:v>Voluntary non-profit</x:v>
      </x:c>
      <x:c r="G3338" s="2" t="str">
        <x:v>Small (&lt;100 beds)</x:v>
      </x:c>
      <x:c r="H3338" s="7"/>
      <x:c r="I3338" s="7"/>
      <x:c r="J3338" s="7"/>
      <x:c r="K3338" s="8" t="n">
        <x:v>18</x:v>
      </x:c>
      <x:c r="L3338" s="8" t="n">
        <x:v>376</x:v>
      </x:c>
      <x:c r="M3338" s="9" t="n">
        <x:v>0.1710806697</x:v>
      </x:c>
      <x:c r="N3338" s="10" t="n">
        <x:v>40853.2127659574</x:v>
      </x:c>
      <x:c r="O3338" s="9" t="n">
        <x:v>-0.2123922066</x:v>
      </x:c>
      <x:c r="P3338" s="9" t="n">
        <x:v>0.3240574506</x:v>
      </x:c>
      <x:c r="Q3338" s="9" t="n">
        <x:v>0.697486535</x:v>
      </x:c>
      <x:c r="R3338" s="3" t="b">
        <x:v>0</x:v>
      </x:c>
      <x:c r="S3338" s="3" t="b">
        <x:v>0</x:v>
      </x:c>
      <x:c r="T3338" s="3" t="b">
        <x:v>0</x:v>
      </x:c>
      <x:c r="U3338" s="2" t="str">
        <x:f>IF(T3338=TRUE,"Priority review",IF(R3338=TRUE,"High cost",IF(S3338=TRUE,"Low quality","Benchmark")))</x:f>
        <x:v>Benchmark</x:v>
      </x:c>
    </x:row>
    <x:row r="3339">
      <x:c r="A3339" s="2" t="str">
        <x:v>254012</x:v>
      </x:c>
      <x:c r="B3339" s="2" t="str">
        <x:v>OCEANS BEHAVIORAL HOSPITAL- BILOXI</x:v>
      </x:c>
      <x:c r="C3339" s="2" t="str">
        <x:v>BILOXI</x:v>
      </x:c>
      <x:c r="D3339" s="2" t="str">
        <x:v>MS</x:v>
      </x:c>
      <x:c r="E3339" s="2" t="str">
        <x:v>Psychiatric</x:v>
      </x:c>
      <x:c r="F3339" s="2" t="str">
        <x:v>Proprietary</x:v>
      </x:c>
      <x:c r="G3339" s="2" t="str">
        <x:v>Small (&lt;100 beds)</x:v>
      </x:c>
      <x:c r="H3339" s="7"/>
      <x:c r="I3339" s="7"/>
      <x:c r="J3339" s="7"/>
      <x:c r="K3339" s="8" t="n">
        <x:v>55</x:v>
      </x:c>
      <x:c r="L3339" s="8" t="n">
        <x:v>1684</x:v>
      </x:c>
      <x:c r="M3339" s="9" t="n">
        <x:v>0.7543964232</x:v>
      </x:c>
      <x:c r="N3339" s="10" t="n">
        <x:v>9099.1793349169</x:v>
      </x:c>
      <x:c r="O3339" s="9" t="n">
        <x:v>0.2625414372</x:v>
      </x:c>
      <x:c r="P3339" s="9" t="n">
        <x:v>0.3236245955</x:v>
      </x:c>
      <x:c r="Q3339" s="9" t="n">
        <x:v>0</x:v>
      </x:c>
      <x:c r="R3339" s="3" t="b">
        <x:v>0</x:v>
      </x:c>
      <x:c r="S3339" s="3" t="b">
        <x:v>0</x:v>
      </x:c>
      <x:c r="T3339" s="3" t="b">
        <x:v>0</x:v>
      </x:c>
      <x:c r="U3339" s="2" t="str">
        <x:f>IF(T3339=TRUE,"Priority review",IF(R3339=TRUE,"High cost",IF(S3339=TRUE,"Low quality","Benchmark")))</x:f>
        <x:v>Benchmark</x:v>
      </x:c>
    </x:row>
    <x:row r="3340">
      <x:c r="A3340" s="2" t="str">
        <x:v>190019</x:v>
      </x:c>
      <x:c r="B3340" s="2" t="str">
        <x:v>CHRISTUS ST FRANCES CABRINI HOSPITAL</x:v>
      </x:c>
      <x:c r="C3340" s="2" t="str">
        <x:v>ALEXANDRIA</x:v>
      </x:c>
      <x:c r="D3340" s="2" t="str">
        <x:v>LA</x:v>
      </x:c>
      <x:c r="E3340" s="2" t="str">
        <x:v>Acute Care Hospitals</x:v>
      </x:c>
      <x:c r="F3340" s="2" t="str">
        <x:v>Voluntary non-profit</x:v>
      </x:c>
      <x:c r="G3340" s="2" t="str">
        <x:v>Medium (100-299 beds)</x:v>
      </x:c>
      <x:c r="H3340" s="7" t="n">
        <x:v>3</x:v>
      </x:c>
      <x:c r="I3340" s="7" t="n">
        <x:v>3</x:v>
      </x:c>
      <x:c r="J3340" s="7" t="n">
        <x:v>1.06</x:v>
      </x:c>
      <x:c r="K3340" s="8" t="n">
        <x:v>266</x:v>
      </x:c>
      <x:c r="L3340" s="8" t="n">
        <x:v>14008</x:v>
      </x:c>
      <x:c r="M3340" s="9" t="n">
        <x:v>0.7180966114</x:v>
      </x:c>
      <x:c r="N3340" s="10" t="n">
        <x:v>27802.7500713878</x:v>
      </x:c>
      <x:c r="O3340" s="9" t="n">
        <x:v>0.0275030383</x:v>
      </x:c>
      <x:c r="P3340" s="9" t="n">
        <x:v>0.3235533822</x:v>
      </x:c>
      <x:c r="Q3340" s="9" t="n">
        <x:v>0.3023634882</x:v>
      </x:c>
      <x:c r="R3340" s="3" t="b">
        <x:v>0</x:v>
      </x:c>
      <x:c r="S3340" s="3" t="b">
        <x:v>0</x:v>
      </x:c>
      <x:c r="T3340" s="3" t="b">
        <x:v>0</x:v>
      </x:c>
      <x:c r="U3340" s="2" t="str">
        <x:f>IF(T3340=TRUE,"Priority review",IF(R3340=TRUE,"High cost",IF(S3340=TRUE,"Low quality","Benchmark")))</x:f>
        <x:v>Benchmark</x:v>
      </x:c>
    </x:row>
    <x:row r="3341">
      <x:c r="A3341" s="2" t="str">
        <x:v>281328</x:v>
      </x:c>
      <x:c r="B3341" s="2" t="str">
        <x:v>MERRICK MEDICAL CENTER</x:v>
      </x:c>
      <x:c r="C3341" s="2" t="str">
        <x:v>CENTRAL CITY</x:v>
      </x:c>
      <x:c r="D3341" s="2" t="str">
        <x:v>NE</x:v>
      </x:c>
      <x:c r="E3341" s="2" t="str">
        <x:v>Critical Access Hospitals</x:v>
      </x:c>
      <x:c r="F3341" s="2" t="str">
        <x:v>Voluntary non-profit</x:v>
      </x:c>
      <x:c r="G3341" s="2" t="str">
        <x:v>Small (&lt;100 beds)</x:v>
      </x:c>
      <x:c r="H3341" s="7"/>
      <x:c r="I3341" s="7"/>
      <x:c r="J3341" s="7"/>
      <x:c r="K3341" s="8" t="n">
        <x:v>6</x:v>
      </x:c>
      <x:c r="L3341" s="8" t="n">
        <x:v>263</x:v>
      </x:c>
      <x:c r="M3341" s="9" t="n">
        <x:v>0.4571948998</x:v>
      </x:c>
      <x:c r="N3341" s="10" t="n">
        <x:v>100401.1102661597</x:v>
      </x:c>
      <x:c r="O3341" s="9" t="n">
        <x:v>-0.0793879655</x:v>
      </x:c>
      <x:c r="P3341" s="9" t="n">
        <x:v>0.3234200743</x:v>
      </x:c>
      <x:c r="Q3341" s="9" t="n">
        <x:v>0.292936803</x:v>
      </x:c>
      <x:c r="R3341" s="3" t="b">
        <x:v>0</x:v>
      </x:c>
      <x:c r="S3341" s="3" t="b">
        <x:v>0</x:v>
      </x:c>
      <x:c r="T3341" s="3" t="b">
        <x:v>0</x:v>
      </x:c>
      <x:c r="U3341" s="2" t="str">
        <x:f>IF(T3341=TRUE,"Priority review",IF(R3341=TRUE,"High cost",IF(S3341=TRUE,"Low quality","Benchmark")))</x:f>
        <x:v>Benchmark</x:v>
      </x:c>
    </x:row>
    <x:row r="3342">
      <x:c r="A3342" s="2" t="str">
        <x:v>424006</x:v>
      </x:c>
      <x:c r="B3342" s="2" t="str">
        <x:v>PALMETTO LOWCOUNTRY BEHAVIORAL HEALTH</x:v>
      </x:c>
      <x:c r="C3342" s="2" t="str">
        <x:v>CHARLESTON</x:v>
      </x:c>
      <x:c r="D3342" s="2" t="str">
        <x:v>SC</x:v>
      </x:c>
      <x:c r="E3342" s="2" t="str">
        <x:v>Psychiatric</x:v>
      </x:c>
      <x:c r="F3342" s="2" t="str">
        <x:v>Proprietary</x:v>
      </x:c>
      <x:c r="G3342" s="2" t="str">
        <x:v>Medium (100-299 beds)</x:v>
      </x:c>
      <x:c r="H3342" s="7"/>
      <x:c r="I3342" s="7"/>
      <x:c r="J3342" s="7"/>
      <x:c r="K3342" s="8" t="n">
        <x:v>103</x:v>
      </x:c>
      <x:c r="L3342" s="8" t="n">
        <x:v>2303</x:v>
      </x:c>
      <x:c r="M3342" s="9" t="n">
        <x:v>0.5206376996</x:v>
      </x:c>
      <x:c r="N3342" s="10" t="n">
        <x:v>7806.2657403387</x:v>
      </x:c>
      <x:c r="O3342" s="9" t="n">
        <x:v>-0.1913505463</x:v>
      </x:c>
      <x:c r="P3342" s="9" t="n">
        <x:v>0.3233830846</x:v>
      </x:c>
      <x:c r="Q3342" s="9" t="n">
        <x:v>0</x:v>
      </x:c>
      <x:c r="R3342" s="3" t="b">
        <x:v>0</x:v>
      </x:c>
      <x:c r="S3342" s="3" t="b">
        <x:v>0</x:v>
      </x:c>
      <x:c r="T3342" s="3" t="b">
        <x:v>0</x:v>
      </x:c>
      <x:c r="U3342" s="2" t="str">
        <x:f>IF(T3342=TRUE,"Priority review",IF(R3342=TRUE,"High cost",IF(S3342=TRUE,"Low quality","Benchmark")))</x:f>
        <x:v>Benchmark</x:v>
      </x:c>
    </x:row>
    <x:row r="3343">
      <x:c r="A3343" s="2" t="str">
        <x:v>310074</x:v>
      </x:c>
      <x:c r="B3343" s="2" t="str">
        <x:v>JERSEY CITY MEDICAL CENTER</x:v>
      </x:c>
      <x:c r="C3343" s="2" t="str">
        <x:v>JERSEY CITY</x:v>
      </x:c>
      <x:c r="D3343" s="2" t="str">
        <x:v>NJ</x:v>
      </x:c>
      <x:c r="E3343" s="2" t="str">
        <x:v>Acute Care Hospitals</x:v>
      </x:c>
      <x:c r="F3343" s="2" t="str">
        <x:v>Voluntary non-profit</x:v>
      </x:c>
      <x:c r="G3343" s="2" t="str">
        <x:v>Large (300+ beds)</x:v>
      </x:c>
      <x:c r="H3343" s="7" t="n">
        <x:v>3</x:v>
      </x:c>
      <x:c r="I3343" s="7" t="n">
        <x:v>3</x:v>
      </x:c>
      <x:c r="J3343" s="7" t="n">
        <x:v>1.06</x:v>
      </x:c>
      <x:c r="K3343" s="8" t="n">
        <x:v>310</x:v>
      </x:c>
      <x:c r="L3343" s="8" t="n">
        <x:v>18713</x:v>
      </x:c>
      <x:c r="M3343" s="9" t="n">
        <x:v>0.7233386215</x:v>
      </x:c>
      <x:c r="N3343" s="10" t="n">
        <x:v>31064.9819911292</x:v>
      </x:c>
      <x:c r="O3343" s="9" t="n">
        <x:v>0.0619829136</x:v>
      </x:c>
      <x:c r="P3343" s="9" t="n">
        <x:v>0.3233438486</x:v>
      </x:c>
      <x:c r="Q3343" s="9" t="n">
        <x:v>0.2570977918</x:v>
      </x:c>
      <x:c r="R3343" s="3" t="b">
        <x:v>0</x:v>
      </x:c>
      <x:c r="S3343" s="3" t="b">
        <x:v>0</x:v>
      </x:c>
      <x:c r="T3343" s="3" t="b">
        <x:v>0</x:v>
      </x:c>
      <x:c r="U3343" s="2" t="str">
        <x:f>IF(T3343=TRUE,"Priority review",IF(R3343=TRUE,"High cost",IF(S3343=TRUE,"Low quality","Benchmark")))</x:f>
        <x:v>Benchmark</x:v>
      </x:c>
    </x:row>
    <x:row r="3344">
      <x:c r="A3344" s="2" t="str">
        <x:v>460043</x:v>
      </x:c>
      <x:c r="B3344" s="2" t="str">
        <x:v>OREM COMMUNITY HOSPITAL</x:v>
      </x:c>
      <x:c r="C3344" s="2" t="str">
        <x:v>OREM</x:v>
      </x:c>
      <x:c r="D3344" s="2" t="str">
        <x:v>UT</x:v>
      </x:c>
      <x:c r="E3344" s="2" t="str">
        <x:v>Acute Care Hospitals</x:v>
      </x:c>
      <x:c r="F3344" s="2" t="str">
        <x:v>Voluntary non-profit</x:v>
      </x:c>
      <x:c r="G3344" s="2" t="str">
        <x:v>Small (&lt;100 beds)</x:v>
      </x:c>
      <x:c r="H3344" s="7"/>
      <x:c r="I3344" s="7" t="n">
        <x:v>4</x:v>
      </x:c>
      <x:c r="J3344" s="7"/>
      <x:c r="K3344" s="8" t="n">
        <x:v>24</x:v>
      </x:c>
      <x:c r="L3344" s="8" t="n">
        <x:v>802</x:v>
      </x:c>
      <x:c r="M3344" s="9" t="n">
        <x:v>0.3022540984</x:v>
      </x:c>
      <x:c r="N3344" s="10" t="n">
        <x:v>40696.6832917706</x:v>
      </x:c>
      <x:c r="O3344" s="9" t="n">
        <x:v>0.0973278546</x:v>
      </x:c>
      <x:c r="P3344" s="9" t="n">
        <x:v>0.3231597846</x:v>
      </x:c>
      <x:c r="Q3344" s="9" t="n">
        <x:v>0.697486535</x:v>
      </x:c>
      <x:c r="R3344" s="3" t="b">
        <x:v>0</x:v>
      </x:c>
      <x:c r="S3344" s="3" t="b">
        <x:v>0</x:v>
      </x:c>
      <x:c r="T3344" s="3" t="b">
        <x:v>0</x:v>
      </x:c>
      <x:c r="U3344" s="2" t="str">
        <x:f>IF(T3344=TRUE,"Priority review",IF(R3344=TRUE,"High cost",IF(S3344=TRUE,"Low quality","Benchmark")))</x:f>
        <x:v>Benchmark</x:v>
      </x:c>
    </x:row>
    <x:row r="3345">
      <x:c r="A3345" s="2" t="str">
        <x:v>450035</x:v>
      </x:c>
      <x:c r="B3345" s="2" t="str">
        <x:v>ST JOSEPH MEDICAL CENTER</x:v>
      </x:c>
      <x:c r="C3345" s="2" t="str">
        <x:v>HOUSTON</x:v>
      </x:c>
      <x:c r="D3345" s="2" t="str">
        <x:v>TX</x:v>
      </x:c>
      <x:c r="E3345" s="2" t="str">
        <x:v>Acute Care Hospitals</x:v>
      </x:c>
      <x:c r="F3345" s="2" t="str">
        <x:v>Other / unknown</x:v>
      </x:c>
      <x:c r="G3345" s="2" t="str">
        <x:v>Medium (100-299 beds)</x:v>
      </x:c>
      <x:c r="H3345" s="7" t="n">
        <x:v>3</x:v>
      </x:c>
      <x:c r="I3345" s="7" t="n">
        <x:v>2</x:v>
      </x:c>
      <x:c r="J3345" s="7" t="n">
        <x:v>1.02</x:v>
      </x:c>
      <x:c r="K3345" s="8" t="n">
        <x:v>156</x:v>
      </x:c>
      <x:c r="L3345" s="8" t="n">
        <x:v>6502</x:v>
      </x:c>
      <x:c r="M3345" s="9" t="n">
        <x:v>0.5612144266</x:v>
      </x:c>
      <x:c r="N3345" s="10" t="n">
        <x:v>27798.8002153184</x:v>
      </x:c>
      <x:c r="O3345" s="9" t="n">
        <x:v>-0.0292970083</x:v>
      </x:c>
      <x:c r="P3345" s="9" t="n">
        <x:v>0.3227383863</x:v>
      </x:c>
      <x:c r="Q3345" s="9" t="n">
        <x:v>0.3023634882</x:v>
      </x:c>
      <x:c r="R3345" s="3" t="b">
        <x:v>0</x:v>
      </x:c>
      <x:c r="S3345" s="3" t="b">
        <x:v>0</x:v>
      </x:c>
      <x:c r="T3345" s="3" t="b">
        <x:v>0</x:v>
      </x:c>
      <x:c r="U3345" s="2" t="str">
        <x:f>IF(T3345=TRUE,"Priority review",IF(R3345=TRUE,"High cost",IF(S3345=TRUE,"Low quality","Benchmark")))</x:f>
        <x:v>Benchmark</x:v>
      </x:c>
    </x:row>
    <x:row r="3346">
      <x:c r="A3346" s="2" t="str">
        <x:v>131321</x:v>
      </x:c>
      <x:c r="B3346" s="2" t="str">
        <x:v>ST MARY'S HOSPITAL</x:v>
      </x:c>
      <x:c r="C3346" s="2" t="str">
        <x:v>COTTONWOOD</x:v>
      </x:c>
      <x:c r="D3346" s="2" t="str">
        <x:v>ID</x:v>
      </x:c>
      <x:c r="E3346" s="2" t="str">
        <x:v>Critical Access Hospitals</x:v>
      </x:c>
      <x:c r="F3346" s="2" t="str">
        <x:v>Voluntary non-profit</x:v>
      </x:c>
      <x:c r="G3346" s="2" t="str">
        <x:v>Small (&lt;100 beds)</x:v>
      </x:c>
      <x:c r="H3346" s="7"/>
      <x:c r="I3346" s="7"/>
      <x:c r="J3346" s="7"/>
      <x:c r="K3346" s="8" t="n">
        <x:v>25</x:v>
      </x:c>
      <x:c r="L3346" s="8" t="n">
        <x:v>276</x:v>
      </x:c>
      <x:c r="M3346" s="9" t="n">
        <x:v>0.1024043716</x:v>
      </x:c>
      <x:c r="N3346" s="10" t="n">
        <x:v>100359.7137681159</x:v>
      </x:c>
      <x:c r="O3346" s="9" t="n">
        <x:v>0.0154554055</x:v>
      </x:c>
      <x:c r="P3346" s="9" t="n">
        <x:v>0.3226765799</x:v>
      </x:c>
      <x:c r="Q3346" s="9" t="n">
        <x:v>0.292936803</x:v>
      </x:c>
      <x:c r="R3346" s="3" t="b">
        <x:v>0</x:v>
      </x:c>
      <x:c r="S3346" s="3" t="b">
        <x:v>0</x:v>
      </x:c>
      <x:c r="T3346" s="3" t="b">
        <x:v>0</x:v>
      </x:c>
      <x:c r="U3346" s="2" t="str">
        <x:f>IF(T3346=TRUE,"Priority review",IF(R3346=TRUE,"High cost",IF(S3346=TRUE,"Low quality","Benchmark")))</x:f>
        <x:v>Benchmark</x:v>
      </x:c>
    </x:row>
    <x:row r="3347">
      <x:c r="A3347" s="2" t="str">
        <x:v>110045</x:v>
      </x:c>
      <x:c r="B3347" s="2" t="str">
        <x:v>NGMC BARROW, LLC</x:v>
      </x:c>
      <x:c r="C3347" s="2" t="str">
        <x:v>WINDER</x:v>
      </x:c>
      <x:c r="D3347" s="2" t="str">
        <x:v>GA</x:v>
      </x:c>
      <x:c r="E3347" s="2" t="str">
        <x:v>Acute Care Hospitals</x:v>
      </x:c>
      <x:c r="F3347" s="2" t="str">
        <x:v>Proprietary</x:v>
      </x:c>
      <x:c r="G3347" s="2" t="str">
        <x:v>Small (&lt;100 beds)</x:v>
      </x:c>
      <x:c r="H3347" s="7" t="n">
        <x:v>4</x:v>
      </x:c>
      <x:c r="I3347" s="7" t="n">
        <x:v>3</x:v>
      </x:c>
      <x:c r="J3347" s="7" t="n">
        <x:v>0.85</x:v>
      </x:c>
      <x:c r="K3347" s="8" t="n">
        <x:v>36</x:v>
      </x:c>
      <x:c r="L3347" s="8" t="n">
        <x:v>1318</x:v>
      </x:c>
      <x:c r="M3347" s="9" t="n">
        <x:v>0.2943230115</x:v>
      </x:c>
      <x:c r="N3347" s="10" t="n">
        <x:v>40664.7981790592</x:v>
      </x:c>
      <x:c r="O3347" s="9" t="n">
        <x:v>0.1435258062</x:v>
      </x:c>
      <x:c r="P3347" s="9" t="n">
        <x:v>0.3222621185</x:v>
      </x:c>
      <x:c r="Q3347" s="9" t="n">
        <x:v>0.3913824057</x:v>
      </x:c>
      <x:c r="R3347" s="3" t="b">
        <x:v>0</x:v>
      </x:c>
      <x:c r="S3347" s="3" t="b">
        <x:v>0</x:v>
      </x:c>
      <x:c r="T3347" s="3" t="b">
        <x:v>0</x:v>
      </x:c>
      <x:c r="U3347" s="2" t="str">
        <x:f>IF(T3347=TRUE,"Priority review",IF(R3347=TRUE,"High cost",IF(S3347=TRUE,"Low quality","Benchmark")))</x:f>
        <x:v>Benchmark</x:v>
      </x:c>
    </x:row>
    <x:row r="3348">
      <x:c r="A3348" s="2" t="str">
        <x:v>431306</x:v>
      </x:c>
      <x:c r="B3348" s="2" t="str">
        <x:v>PLATTE HEALTH CENTER</x:v>
      </x:c>
      <x:c r="C3348" s="2" t="str">
        <x:v>PLATTE</x:v>
      </x:c>
      <x:c r="D3348" s="2" t="str">
        <x:v>SD</x:v>
      </x:c>
      <x:c r="E3348" s="2" t="str">
        <x:v>Critical Access Hospitals</x:v>
      </x:c>
      <x:c r="F3348" s="2" t="str">
        <x:v>Voluntary non-profit</x:v>
      </x:c>
      <x:c r="G3348" s="2" t="str">
        <x:v>Small (&lt;100 beds)</x:v>
      </x:c>
      <x:c r="H3348" s="7"/>
      <x:c r="I3348" s="7"/>
      <x:c r="J3348" s="7"/>
      <x:c r="K3348" s="8" t="n">
        <x:v>17</x:v>
      </x:c>
      <x:c r="L3348" s="8" t="n">
        <x:v>179</x:v>
      </x:c>
      <x:c r="M3348" s="9" t="n">
        <x:v>0.1300564061</x:v>
      </x:c>
      <x:c r="N3348" s="10" t="n">
        <x:v>100296.4245810056</x:v>
      </x:c>
      <x:c r="O3348" s="9" t="n">
        <x:v>0.099823761</x:v>
      </x:c>
      <x:c r="P3348" s="9" t="n">
        <x:v>0.3219330855</x:v>
      </x:c>
      <x:c r="Q3348" s="9" t="n">
        <x:v>0.292936803</x:v>
      </x:c>
      <x:c r="R3348" s="3" t="b">
        <x:v>0</x:v>
      </x:c>
      <x:c r="S3348" s="3" t="b">
        <x:v>0</x:v>
      </x:c>
      <x:c r="T3348" s="3" t="b">
        <x:v>0</x:v>
      </x:c>
      <x:c r="U3348" s="2" t="str">
        <x:f>IF(T3348=TRUE,"Priority review",IF(R3348=TRUE,"High cost",IF(S3348=TRUE,"Low quality","Benchmark")))</x:f>
        <x:v>Benchmark</x:v>
      </x:c>
    </x:row>
    <x:row r="3349">
      <x:c r="A3349" s="2" t="str">
        <x:v>210065</x:v>
      </x:c>
      <x:c r="B3349" s="2" t="str">
        <x:v>HOLY CROSS GERMANTOWN HOSPITAL</x:v>
      </x:c>
      <x:c r="C3349" s="2" t="str">
        <x:v>GERMANTOWN</x:v>
      </x:c>
      <x:c r="D3349" s="2" t="str">
        <x:v>MD</x:v>
      </x:c>
      <x:c r="E3349" s="2" t="str">
        <x:v>Acute Care Hospitals</x:v>
      </x:c>
      <x:c r="F3349" s="2" t="str">
        <x:v>Voluntary non-profit</x:v>
      </x:c>
      <x:c r="G3349" s="2" t="str">
        <x:v>Medium (100-299 beds)</x:v>
      </x:c>
      <x:c r="H3349" s="7" t="n">
        <x:v>1</x:v>
      </x:c>
      <x:c r="I3349" s="7" t="n">
        <x:v>2</x:v>
      </x:c>
      <x:c r="J3349" s="7"/>
      <x:c r="K3349" s="8" t="n">
        <x:v>104</x:v>
      </x:c>
      <x:c r="L3349" s="8" t="n">
        <x:v>5781</x:v>
      </x:c>
      <x:c r="M3349" s="9" t="n">
        <x:v>0.746601686</x:v>
      </x:c>
      <x:c r="N3349" s="10" t="n">
        <x:v>27740.7540217955</x:v>
      </x:c>
      <x:c r="O3349" s="9" t="n">
        <x:v>-0.0374347584</x:v>
      </x:c>
      <x:c r="P3349" s="9" t="n">
        <x:v>0.3219233904</x:v>
      </x:c>
      <x:c r="Q3349" s="9" t="n">
        <x:v>0</x:v>
      </x:c>
      <x:c r="R3349" s="3" t="b">
        <x:v>0</x:v>
      </x:c>
      <x:c r="S3349" s="3" t="b">
        <x:v>1</x:v>
      </x:c>
      <x:c r="T3349" s="3" t="b">
        <x:v>0</x:v>
      </x:c>
      <x:c r="U3349" s="2" t="str">
        <x:f>IF(T3349=TRUE,"Priority review",IF(R3349=TRUE,"High cost",IF(S3349=TRUE,"Low quality","Benchmark")))</x:f>
        <x:v>Low quality</x:v>
      </x:c>
    </x:row>
    <x:row r="3350">
      <x:c r="A3350" s="2" t="str">
        <x:v>240115</x:v>
      </x:c>
      <x:c r="B3350" s="2" t="str">
        <x:v>MERCY HOSPITAL</x:v>
      </x:c>
      <x:c r="C3350" s="2" t="str">
        <x:v>COON RAPIDS</x:v>
      </x:c>
      <x:c r="D3350" s="2" t="str">
        <x:v>MN</x:v>
      </x:c>
      <x:c r="E3350" s="2" t="str">
        <x:v>Acute Care Hospitals</x:v>
      </x:c>
      <x:c r="F3350" s="2" t="str">
        <x:v>Voluntary non-profit</x:v>
      </x:c>
      <x:c r="G3350" s="2" t="str">
        <x:v>Large (300+ beds)</x:v>
      </x:c>
      <x:c r="H3350" s="7" t="n">
        <x:v>3</x:v>
      </x:c>
      <x:c r="I3350" s="7" t="n">
        <x:v>3</x:v>
      </x:c>
      <x:c r="J3350" s="7" t="n">
        <x:v>0.9</x:v>
      </x:c>
      <x:c r="K3350" s="8" t="n">
        <x:v>468</x:v>
      </x:c>
      <x:c r="L3350" s="8" t="n">
        <x:v>29042</x:v>
      </x:c>
      <x:c r="M3350" s="9" t="n">
        <x:v>0.7553652328</x:v>
      </x:c>
      <x:c r="N3350" s="10" t="n">
        <x:v>31035.8844432202</x:v>
      </x:c>
      <x:c r="O3350" s="9" t="n">
        <x:v>-0.0542636449</x:v>
      </x:c>
      <x:c r="P3350" s="9" t="n">
        <x:v>0.3217665615</x:v>
      </x:c>
      <x:c r="Q3350" s="9" t="n">
        <x:v>0.2570977918</x:v>
      </x:c>
      <x:c r="R3350" s="3" t="b">
        <x:v>0</x:v>
      </x:c>
      <x:c r="S3350" s="3" t="b">
        <x:v>0</x:v>
      </x:c>
      <x:c r="T3350" s="3" t="b">
        <x:v>0</x:v>
      </x:c>
      <x:c r="U3350" s="2" t="str">
        <x:f>IF(T3350=TRUE,"Priority review",IF(R3350=TRUE,"High cost",IF(S3350=TRUE,"Low quality","Benchmark")))</x:f>
        <x:v>Benchmark</x:v>
      </x:c>
    </x:row>
    <x:row r="3351">
      <x:c r="A3351" s="2" t="str">
        <x:v>520057</x:v>
      </x:c>
      <x:c r="B3351" s="2" t="str">
        <x:v>SSM HEALTH ST CLARE HOSPITAL - BARABOO</x:v>
      </x:c>
      <x:c r="C3351" s="2" t="str">
        <x:v>BARABOO</x:v>
      </x:c>
      <x:c r="D3351" s="2" t="str">
        <x:v>WI</x:v>
      </x:c>
      <x:c r="E3351" s="2" t="str">
        <x:v>Acute Care Hospitals</x:v>
      </x:c>
      <x:c r="F3351" s="2" t="str">
        <x:v>Voluntary non-profit</x:v>
      </x:c>
      <x:c r="G3351" s="2" t="str">
        <x:v>Small (&lt;100 beds)</x:v>
      </x:c>
      <x:c r="H3351" s="7" t="n">
        <x:v>4</x:v>
      </x:c>
      <x:c r="I3351" s="7" t="n">
        <x:v>4</x:v>
      </x:c>
      <x:c r="J3351" s="7" t="n">
        <x:v>0.84</x:v>
      </x:c>
      <x:c r="K3351" s="8" t="n">
        <x:v>43</x:v>
      </x:c>
      <x:c r="L3351" s="8" t="n">
        <x:v>1511</x:v>
      </x:c>
      <x:c r="M3351" s="9" t="n">
        <x:v>0.345723726</x:v>
      </x:c>
      <x:c r="N3351" s="10" t="n">
        <x:v>40643.0714758438</x:v>
      </x:c>
      <x:c r="O3351" s="9" t="n">
        <x:v>0.2373881314</x:v>
      </x:c>
      <x:c r="P3351" s="9" t="n">
        <x:v>0.3213644524</x:v>
      </x:c>
      <x:c r="Q3351" s="9" t="n">
        <x:v>0.3913824057</x:v>
      </x:c>
      <x:c r="R3351" s="3" t="b">
        <x:v>0</x:v>
      </x:c>
      <x:c r="S3351" s="3" t="b">
        <x:v>0</x:v>
      </x:c>
      <x:c r="T3351" s="3" t="b">
        <x:v>0</x:v>
      </x:c>
      <x:c r="U3351" s="2" t="str">
        <x:f>IF(T3351=TRUE,"Priority review",IF(R3351=TRUE,"High cost",IF(S3351=TRUE,"Low quality","Benchmark")))</x:f>
        <x:v>Benchmark</x:v>
      </x:c>
    </x:row>
    <x:row r="3352">
      <x:c r="A3352" s="2" t="str">
        <x:v>241355</x:v>
      </x:c>
      <x:c r="B3352" s="2" t="str">
        <x:v>GLENCOE REGIONAL HEALTH</x:v>
      </x:c>
      <x:c r="C3352" s="2" t="str">
        <x:v>GLENCOE</x:v>
      </x:c>
      <x:c r="D3352" s="2" t="str">
        <x:v>MN</x:v>
      </x:c>
      <x:c r="E3352" s="2" t="str">
        <x:v>Critical Access Hospitals</x:v>
      </x:c>
      <x:c r="F3352" s="2" t="str">
        <x:v>Voluntary non-profit</x:v>
      </x:c>
      <x:c r="G3352" s="2" t="str">
        <x:v>Small (&lt;100 beds)</x:v>
      </x:c>
      <x:c r="H3352" s="7"/>
      <x:c r="I3352" s="7" t="n">
        <x:v>5</x:v>
      </x:c>
      <x:c r="J3352" s="7"/>
      <x:c r="K3352" s="8" t="n">
        <x:v>24</x:v>
      </x:c>
      <x:c r="L3352" s="8" t="n">
        <x:v>879</x:v>
      </x:c>
      <x:c r="M3352" s="9" t="n">
        <x:v>0.3903688525</x:v>
      </x:c>
      <x:c r="N3352" s="10" t="n">
        <x:v>100097.149032992</x:v>
      </x:c>
      <x:c r="O3352" s="9" t="n">
        <x:v>-0.0163712022</x:v>
      </x:c>
      <x:c r="P3352" s="9" t="n">
        <x:v>0.3211895911</x:v>
      </x:c>
      <x:c r="Q3352" s="9" t="n">
        <x:v>0.292936803</x:v>
      </x:c>
      <x:c r="R3352" s="3" t="b">
        <x:v>0</x:v>
      </x:c>
      <x:c r="S3352" s="3" t="b">
        <x:v>0</x:v>
      </x:c>
      <x:c r="T3352" s="3" t="b">
        <x:v>0</x:v>
      </x:c>
      <x:c r="U3352" s="2" t="str">
        <x:f>IF(T3352=TRUE,"Priority review",IF(R3352=TRUE,"High cost",IF(S3352=TRUE,"Low quality","Benchmark")))</x:f>
        <x:v>Benchmark</x:v>
      </x:c>
    </x:row>
    <x:row r="3353">
      <x:c r="A3353" s="2" t="str">
        <x:v>180056</x:v>
      </x:c>
      <x:c r="B3353" s="2" t="str">
        <x:v>DEACONESS HENDERSON HOSPITAL</x:v>
      </x:c>
      <x:c r="C3353" s="2" t="str">
        <x:v>HENDERSON</x:v>
      </x:c>
      <x:c r="D3353" s="2" t="str">
        <x:v>KY</x:v>
      </x:c>
      <x:c r="E3353" s="2" t="str">
        <x:v>Acute Care Hospitals</x:v>
      </x:c>
      <x:c r="F3353" s="2" t="str">
        <x:v>Voluntary non-profit</x:v>
      </x:c>
      <x:c r="G3353" s="2" t="str">
        <x:v>Medium (100-299 beds)</x:v>
      </x:c>
      <x:c r="H3353" s="7" t="n">
        <x:v>2</x:v>
      </x:c>
      <x:c r="I3353" s="7" t="n">
        <x:v>3</x:v>
      </x:c>
      <x:c r="J3353" s="7" t="n">
        <x:v>1.03</x:v>
      </x:c>
      <x:c r="K3353" s="8" t="n">
        <x:v>151</x:v>
      </x:c>
      <x:c r="L3353" s="8" t="n">
        <x:v>4952</x:v>
      </x:c>
      <x:c r="M3353" s="9" t="n">
        <x:v>0.3746035991</x:v>
      </x:c>
      <x:c r="N3353" s="10" t="n">
        <x:v>27707.0403877221</x:v>
      </x:c>
      <x:c r="O3353" s="9" t="n">
        <x:v>0.1618740427</x:v>
      </x:c>
      <x:c r="P3353" s="9" t="n">
        <x:v>0.3211083945</x:v>
      </x:c>
      <x:c r="Q3353" s="9" t="n">
        <x:v>0.0782396088</x:v>
      </x:c>
      <x:c r="R3353" s="3" t="b">
        <x:v>0</x:v>
      </x:c>
      <x:c r="S3353" s="3" t="b">
        <x:v>1</x:v>
      </x:c>
      <x:c r="T3353" s="3" t="b">
        <x:v>0</x:v>
      </x:c>
      <x:c r="U3353" s="2" t="str">
        <x:f>IF(T3353=TRUE,"Priority review",IF(R3353=TRUE,"High cost",IF(S3353=TRUE,"Low quality","Benchmark")))</x:f>
        <x:v>Low quality</x:v>
      </x:c>
    </x:row>
    <x:row r="3354">
      <x:c r="A3354" s="2" t="str">
        <x:v>030117</x:v>
      </x:c>
      <x:c r="B3354" s="2" t="str">
        <x:v>VALLEY VIEW MEDICAL CENTER</x:v>
      </x:c>
      <x:c r="C3354" s="2" t="str">
        <x:v>FORT MOHAVE</x:v>
      </x:c>
      <x:c r="D3354" s="2" t="str">
        <x:v>AZ</x:v>
      </x:c>
      <x:c r="E3354" s="2" t="str">
        <x:v>Acute Care Hospitals</x:v>
      </x:c>
      <x:c r="F3354" s="2" t="str">
        <x:v>Proprietary</x:v>
      </x:c>
      <x:c r="G3354" s="2" t="str">
        <x:v>Small (&lt;100 beds)</x:v>
      </x:c>
      <x:c r="H3354" s="7" t="n">
        <x:v>2</x:v>
      </x:c>
      <x:c r="I3354" s="7" t="n">
        <x:v>3</x:v>
      </x:c>
      <x:c r="J3354" s="7" t="n">
        <x:v>0.86</x:v>
      </x:c>
      <x:c r="K3354" s="8" t="n">
        <x:v>72</x:v>
      </x:c>
      <x:c r="L3354" s="8" t="n">
        <x:v>1479</x:v>
      </x:c>
      <x:c r="M3354" s="9" t="n">
        <x:v>0.1755464481</x:v>
      </x:c>
      <x:c r="N3354" s="10" t="n">
        <x:v>40606.1906693712</x:v>
      </x:c>
      <x:c r="O3354" s="9" t="n">
        <x:v>-0.0096064536</x:v>
      </x:c>
      <x:c r="P3354" s="9" t="n">
        <x:v>0.3204667864</x:v>
      </x:c>
      <x:c r="Q3354" s="9" t="n">
        <x:v>0.0350089767</x:v>
      </x:c>
      <x:c r="R3354" s="3" t="b">
        <x:v>0</x:v>
      </x:c>
      <x:c r="S3354" s="3" t="b">
        <x:v>1</x:v>
      </x:c>
      <x:c r="T3354" s="3" t="b">
        <x:v>0</x:v>
      </x:c>
      <x:c r="U3354" s="2" t="str">
        <x:f>IF(T3354=TRUE,"Priority review",IF(R3354=TRUE,"High cost",IF(S3354=TRUE,"Low quality","Benchmark")))</x:f>
        <x:v>Low quality</x:v>
      </x:c>
    </x:row>
    <x:row r="3355">
      <x:c r="A3355" s="2" t="str">
        <x:v>131312</x:v>
      </x:c>
      <x:c r="B3355" s="2" t="str">
        <x:v>ST LUKE'S MCCALL</x:v>
      </x:c>
      <x:c r="C3355" s="2" t="str">
        <x:v>MCCALL</x:v>
      </x:c>
      <x:c r="D3355" s="2" t="str">
        <x:v>ID</x:v>
      </x:c>
      <x:c r="E3355" s="2" t="str">
        <x:v>Critical Access Hospitals</x:v>
      </x:c>
      <x:c r="F3355" s="2" t="str">
        <x:v>Proprietary</x:v>
      </x:c>
      <x:c r="G3355" s="2" t="str">
        <x:v>Small (&lt;100 beds)</x:v>
      </x:c>
      <x:c r="H3355" s="7"/>
      <x:c r="I3355" s="7" t="n">
        <x:v>5</x:v>
      </x:c>
      <x:c r="J3355" s="7"/>
      <x:c r="K3355" s="8" t="n">
        <x:v>15</x:v>
      </x:c>
      <x:c r="L3355" s="8" t="n">
        <x:v>617</x:v>
      </x:c>
      <x:c r="M3355" s="9" t="n">
        <x:v>0.3147540984</x:v>
      </x:c>
      <x:c r="N3355" s="10" t="n">
        <x:v>99872.1799027553</x:v>
      </x:c>
      <x:c r="O3355" s="9" t="n">
        <x:v>-0.0161745559</x:v>
      </x:c>
      <x:c r="P3355" s="9" t="n">
        <x:v>0.3204460967</x:v>
      </x:c>
      <x:c r="Q3355" s="9" t="n">
        <x:v>0.292936803</x:v>
      </x:c>
      <x:c r="R3355" s="3" t="b">
        <x:v>0</x:v>
      </x:c>
      <x:c r="S3355" s="3" t="b">
        <x:v>0</x:v>
      </x:c>
      <x:c r="T3355" s="3" t="b">
        <x:v>0</x:v>
      </x:c>
      <x:c r="U3355" s="2" t="str">
        <x:f>IF(T3355=TRUE,"Priority review",IF(R3355=TRUE,"High cost",IF(S3355=TRUE,"Low quality","Benchmark")))</x:f>
        <x:v>Benchmark</x:v>
      </x:c>
    </x:row>
    <x:row r="3356">
      <x:c r="A3356" s="2" t="str">
        <x:v>034034</x:v>
      </x:c>
      <x:c r="B3356" s="2" t="str">
        <x:v>DESTINY SPRINGS HEALTHCARE</x:v>
      </x:c>
      <x:c r="C3356" s="2" t="str">
        <x:v>SURPRISE</x:v>
      </x:c>
      <x:c r="D3356" s="2" t="str">
        <x:v>AZ</x:v>
      </x:c>
      <x:c r="E3356" s="2" t="str">
        <x:v>Psychiatric</x:v>
      </x:c>
      <x:c r="F3356" s="2" t="str">
        <x:v>Other / unknown</x:v>
      </x:c>
      <x:c r="G3356" s="2" t="str">
        <x:v>Small (&lt;100 beds)</x:v>
      </x:c>
      <x:c r="H3356" s="7"/>
      <x:c r="I3356" s="7"/>
      <x:c r="J3356" s="7"/>
      <x:c r="K3356" s="8" t="n">
        <x:v>95</x:v>
      </x:c>
      <x:c r="L3356" s="8" t="n">
        <x:v>2552</x:v>
      </x:c>
      <x:c r="M3356" s="9" t="n">
        <x:v>0.6733678458</x:v>
      </x:c>
      <x:c r="N3356" s="10" t="n">
        <x:v>9075</x:v>
      </x:c>
      <x:c r="O3356" s="9" t="n">
        <x:v>-0.4445582157</x:v>
      </x:c>
      <x:c r="P3356" s="9" t="n">
        <x:v>0.3203883495</x:v>
      </x:c>
      <x:c r="Q3356" s="9" t="n">
        <x:v>0</x:v>
      </x:c>
      <x:c r="R3356" s="3" t="b">
        <x:v>0</x:v>
      </x:c>
      <x:c r="S3356" s="3" t="b">
        <x:v>0</x:v>
      </x:c>
      <x:c r="T3356" s="3" t="b">
        <x:v>0</x:v>
      </x:c>
      <x:c r="U3356" s="2" t="str">
        <x:f>IF(T3356=TRUE,"Priority review",IF(R3356=TRUE,"High cost",IF(S3356=TRUE,"Low quality","Benchmark")))</x:f>
        <x:v>Benchmark</x:v>
      </x:c>
    </x:row>
    <x:row r="3357">
      <x:c r="A3357" s="2" t="str">
        <x:v>110192</x:v>
      </x:c>
      <x:c r="B3357" s="2" t="str">
        <x:v>PIEDMONT EASTSIDE MEDICAL CENTER</x:v>
      </x:c>
      <x:c r="C3357" s="2" t="str">
        <x:v>SNELLVILLE</x:v>
      </x:c>
      <x:c r="D3357" s="2" t="str">
        <x:v>GA</x:v>
      </x:c>
      <x:c r="E3357" s="2" t="str">
        <x:v>Acute Care Hospitals</x:v>
      </x:c>
      <x:c r="F3357" s="2" t="str">
        <x:v>Proprietary</x:v>
      </x:c>
      <x:c r="G3357" s="2" t="str">
        <x:v>Medium (100-299 beds)</x:v>
      </x:c>
      <x:c r="H3357" s="7" t="n">
        <x:v>2</x:v>
      </x:c>
      <x:c r="I3357" s="7" t="n">
        <x:v>2</x:v>
      </x:c>
      <x:c r="J3357" s="7" t="n">
        <x:v>1.01</x:v>
      </x:c>
      <x:c r="K3357" s="8" t="n">
        <x:v>218</x:v>
      </x:c>
      <x:c r="L3357" s="8" t="n">
        <x:v>11322</x:v>
      </x:c>
      <x:c r="M3357" s="9" t="n">
        <x:v>0.641862511</x:v>
      </x:c>
      <x:c r="N3357" s="10" t="n">
        <x:v>27699.1056350468</x:v>
      </x:c>
      <x:c r="O3357" s="9" t="n">
        <x:v>0.1037894878</x:v>
      </x:c>
      <x:c r="P3357" s="9" t="n">
        <x:v>0.3202933985</x:v>
      </x:c>
      <x:c r="Q3357" s="9" t="n">
        <x:v>0.0782396088</x:v>
      </x:c>
      <x:c r="R3357" s="3" t="b">
        <x:v>0</x:v>
      </x:c>
      <x:c r="S3357" s="3" t="b">
        <x:v>1</x:v>
      </x:c>
      <x:c r="T3357" s="3" t="b">
        <x:v>0</x:v>
      </x:c>
      <x:c r="U3357" s="2" t="str">
        <x:f>IF(T3357=TRUE,"Priority review",IF(R3357=TRUE,"High cost",IF(S3357=TRUE,"Low quality","Benchmark")))</x:f>
        <x:v>Low quality</x:v>
      </x:c>
    </x:row>
    <x:row r="3358">
      <x:c r="A3358" s="2" t="str">
        <x:v>110025</x:v>
      </x:c>
      <x:c r="B3358" s="2" t="str">
        <x:v>SOUTHEAST GEORGIA HEALTH SYSTEM- BRUNSWICK CAMPUS</x:v>
      </x:c>
      <x:c r="C3358" s="2" t="str">
        <x:v>BRUNSWICK</x:v>
      </x:c>
      <x:c r="D3358" s="2" t="str">
        <x:v>GA</x:v>
      </x:c>
      <x:c r="E3358" s="2" t="str">
        <x:v>Acute Care Hospitals</x:v>
      </x:c>
      <x:c r="F3358" s="2" t="str">
        <x:v>Government</x:v>
      </x:c>
      <x:c r="G3358" s="2" t="str">
        <x:v>Large (300+ beds)</x:v>
      </x:c>
      <x:c r="H3358" s="7" t="n">
        <x:v>2</x:v>
      </x:c>
      <x:c r="I3358" s="7" t="n">
        <x:v>3</x:v>
      </x:c>
      <x:c r="J3358" s="7" t="n">
        <x:v>0.96</x:v>
      </x:c>
      <x:c r="K3358" s="8" t="n">
        <x:v>300</x:v>
      </x:c>
      <x:c r="L3358" s="8" t="n">
        <x:v>11134</x:v>
      </x:c>
      <x:c r="M3358" s="9" t="n">
        <x:v>0.4498447489</x:v>
      </x:c>
      <x:c r="N3358" s="10" t="n">
        <x:v>31019.000089815</x:v>
      </x:c>
      <x:c r="O3358" s="9" t="n">
        <x:v>0.0560242057</x:v>
      </x:c>
      <x:c r="P3358" s="9" t="n">
        <x:v>0.3201892744</x:v>
      </x:c>
      <x:c r="Q3358" s="9" t="n">
        <x:v>0.0536277603</x:v>
      </x:c>
      <x:c r="R3358" s="3" t="b">
        <x:v>0</x:v>
      </x:c>
      <x:c r="S3358" s="3" t="b">
        <x:v>1</x:v>
      </x:c>
      <x:c r="T3358" s="3" t="b">
        <x:v>0</x:v>
      </x:c>
      <x:c r="U3358" s="2" t="str">
        <x:f>IF(T3358=TRUE,"Priority review",IF(R3358=TRUE,"High cost",IF(S3358=TRUE,"Low quality","Benchmark")))</x:f>
        <x:v>Low quality</x:v>
      </x:c>
    </x:row>
    <x:row r="3359">
      <x:c r="A3359" s="2" t="str">
        <x:v>394001</x:v>
      </x:c>
      <x:c r="B3359" s="2" t="str">
        <x:v>NORRISTOWN STATE HOSPITAL</x:v>
      </x:c>
      <x:c r="C3359" s="2" t="str">
        <x:v>NORRISTOWN</x:v>
      </x:c>
      <x:c r="D3359" s="2" t="str">
        <x:v>PA</x:v>
      </x:c>
      <x:c r="E3359" s="2" t="str">
        <x:v>Psychiatric</x:v>
      </x:c>
      <x:c r="F3359" s="2" t="str">
        <x:v>Government</x:v>
      </x:c>
      <x:c r="G3359" s="2" t="str">
        <x:v>Large (300+ beds)</x:v>
      </x:c>
      <x:c r="H3359" s="7"/>
      <x:c r="I3359" s="7"/>
      <x:c r="J3359" s="7"/>
      <x:c r="K3359" s="8" t="n">
        <x:v>374</x:v>
      </x:c>
      <x:c r="L3359" s="8" t="n">
        <x:v>521</x:v>
      </x:c>
      <x:c r="M3359" s="9" t="n">
        <x:v>0.926474251</x:v>
      </x:c>
      <x:c r="N3359" s="10" t="n">
        <x:v>261434.527831094</x:v>
      </x:c>
      <x:c r="O3359" s="9"/>
      <x:c r="P3359" s="9" t="n">
        <x:v>0.32</x:v>
      </x:c>
      <x:c r="Q3359" s="9" t="n">
        <x:v>0</x:v>
      </x:c>
      <x:c r="R3359" s="3" t="b">
        <x:v>0</x:v>
      </x:c>
      <x:c r="S3359" s="3" t="b">
        <x:v>0</x:v>
      </x:c>
      <x:c r="T3359" s="3" t="b">
        <x:v>0</x:v>
      </x:c>
      <x:c r="U3359" s="2" t="str">
        <x:f>IF(T3359=TRUE,"Priority review",IF(R3359=TRUE,"High cost",IF(S3359=TRUE,"Low quality","Benchmark")))</x:f>
        <x:v>Benchmark</x:v>
      </x:c>
    </x:row>
    <x:row r="3360">
      <x:c r="A3360" s="2" t="str">
        <x:v>261324</x:v>
      </x:c>
      <x:c r="B3360" s="2" t="str">
        <x:v>CASS REGIONAL MEDICAL CENTER</x:v>
      </x:c>
      <x:c r="C3360" s="2" t="str">
        <x:v>HARRISONVILLE</x:v>
      </x:c>
      <x:c r="D3360" s="2" t="str">
        <x:v>MO</x:v>
      </x:c>
      <x:c r="E3360" s="2" t="str">
        <x:v>Critical Access Hospitals</x:v>
      </x:c>
      <x:c r="F3360" s="2" t="str">
        <x:v>Government</x:v>
      </x:c>
      <x:c r="G3360" s="2" t="str">
        <x:v>Small (&lt;100 beds)</x:v>
      </x:c>
      <x:c r="H3360" s="7" t="n">
        <x:v>4</x:v>
      </x:c>
      <x:c r="I3360" s="7" t="n">
        <x:v>3</x:v>
      </x:c>
      <x:c r="J3360" s="7"/>
      <x:c r="K3360" s="8" t="n">
        <x:v>25</x:v>
      </x:c>
      <x:c r="L3360" s="8" t="n">
        <x:v>936</x:v>
      </x:c>
      <x:c r="M3360" s="9" t="n">
        <x:v>0.3638251366</x:v>
      </x:c>
      <x:c r="N3360" s="10" t="n">
        <x:v>99868.9027777778</x:v>
      </x:c>
      <x:c r="O3360" s="9" t="n">
        <x:v>0.0071557487</x:v>
      </x:c>
      <x:c r="P3360" s="9" t="n">
        <x:v>0.3197026022</x:v>
      </x:c>
      <x:c r="Q3360" s="9" t="n">
        <x:v>0.1657992565</x:v>
      </x:c>
      <x:c r="R3360" s="3" t="b">
        <x:v>0</x:v>
      </x:c>
      <x:c r="S3360" s="3" t="b">
        <x:v>0</x:v>
      </x:c>
      <x:c r="T3360" s="3" t="b">
        <x:v>0</x:v>
      </x:c>
      <x:c r="U3360" s="2" t="str">
        <x:f>IF(T3360=TRUE,"Priority review",IF(R3360=TRUE,"High cost",IF(S3360=TRUE,"Low quality","Benchmark")))</x:f>
        <x:v>Benchmark</x:v>
      </x:c>
    </x:row>
    <x:row r="3361">
      <x:c r="A3361" s="2" t="str">
        <x:v>420103</x:v>
      </x:c>
      <x:c r="B3361" s="2" t="str">
        <x:v>PELHAM MEDICAL CENTER</x:v>
      </x:c>
      <x:c r="C3361" s="2" t="str">
        <x:v>GREER</x:v>
      </x:c>
      <x:c r="D3361" s="2" t="str">
        <x:v>SC</x:v>
      </x:c>
      <x:c r="E3361" s="2" t="str">
        <x:v>Acute Care Hospitals</x:v>
      </x:c>
      <x:c r="F3361" s="2" t="str">
        <x:v>Government</x:v>
      </x:c>
      <x:c r="G3361" s="2" t="str">
        <x:v>Small (&lt;100 beds)</x:v>
      </x:c>
      <x:c r="H3361" s="7" t="n">
        <x:v>5</x:v>
      </x:c>
      <x:c r="I3361" s="7" t="n">
        <x:v>4</x:v>
      </x:c>
      <x:c r="J3361" s="7" t="n">
        <x:v>1.03</x:v>
      </x:c>
      <x:c r="K3361" s="8" t="n">
        <x:v>48</x:v>
      </x:c>
      <x:c r="L3361" s="8" t="n">
        <x:v>3311</x:v>
      </x:c>
      <x:c r="M3361" s="9" t="n">
        <x:v>0.7840960838</x:v>
      </x:c>
      <x:c r="N3361" s="10" t="n">
        <x:v>40587.3113862881</x:v>
      </x:c>
      <x:c r="O3361" s="9" t="n">
        <x:v>0.2079858796</x:v>
      </x:c>
      <x:c r="P3361" s="9" t="n">
        <x:v>0.3195691203</x:v>
      </x:c>
      <x:c r="Q3361" s="9" t="n">
        <x:v>0.6131059246</x:v>
      </x:c>
      <x:c r="R3361" s="3" t="b">
        <x:v>0</x:v>
      </x:c>
      <x:c r="S3361" s="3" t="b">
        <x:v>0</x:v>
      </x:c>
      <x:c r="T3361" s="3" t="b">
        <x:v>0</x:v>
      </x:c>
      <x:c r="U3361" s="2" t="str">
        <x:f>IF(T3361=TRUE,"Priority review",IF(R3361=TRUE,"High cost",IF(S3361=TRUE,"Low quality","Benchmark")))</x:f>
        <x:v>Benchmark</x:v>
      </x:c>
    </x:row>
    <x:row r="3362">
      <x:c r="A3362" s="2" t="str">
        <x:v>220105</x:v>
      </x:c>
      <x:c r="B3362" s="2" t="str">
        <x:v>WINCHESTER HOSPITAL</x:v>
      </x:c>
      <x:c r="C3362" s="2" t="str">
        <x:v>WINCHESTER</x:v>
      </x:c>
      <x:c r="D3362" s="2" t="str">
        <x:v>MA</x:v>
      </x:c>
      <x:c r="E3362" s="2" t="str">
        <x:v>Acute Care Hospitals</x:v>
      </x:c>
      <x:c r="F3362" s="2" t="str">
        <x:v>Voluntary non-profit</x:v>
      </x:c>
      <x:c r="G3362" s="2" t="str">
        <x:v>Medium (100-299 beds)</x:v>
      </x:c>
      <x:c r="H3362" s="7" t="n">
        <x:v>3</x:v>
      </x:c>
      <x:c r="I3362" s="7" t="n">
        <x:v>3</x:v>
      </x:c>
      <x:c r="J3362" s="7" t="n">
        <x:v>0.93</x:v>
      </x:c>
      <x:c r="K3362" s="8" t="n">
        <x:v>183</x:v>
      </x:c>
      <x:c r="L3362" s="8" t="n">
        <x:v>13264</x:v>
      </x:c>
      <x:c r="M3362" s="9" t="n">
        <x:v>0.8126101108</x:v>
      </x:c>
      <x:c r="N3362" s="10" t="n">
        <x:v>27667.0329463209</x:v>
      </x:c>
      <x:c r="O3362" s="9" t="n">
        <x:v>0.0050143086</x:v>
      </x:c>
      <x:c r="P3362" s="9" t="n">
        <x:v>0.3194784026</x:v>
      </x:c>
      <x:c r="Q3362" s="9" t="n">
        <x:v>0.3023634882</x:v>
      </x:c>
      <x:c r="R3362" s="3" t="b">
        <x:v>0</x:v>
      </x:c>
      <x:c r="S3362" s="3" t="b">
        <x:v>0</x:v>
      </x:c>
      <x:c r="T3362" s="3" t="b">
        <x:v>0</x:v>
      </x:c>
      <x:c r="U3362" s="2" t="str">
        <x:f>IF(T3362=TRUE,"Priority review",IF(R3362=TRUE,"High cost",IF(S3362=TRUE,"Low quality","Benchmark")))</x:f>
        <x:v>Benchmark</x:v>
      </x:c>
    </x:row>
    <x:row r="3363">
      <x:c r="A3363" s="2" t="str">
        <x:v>521349</x:v>
      </x:c>
      <x:c r="B3363" s="2" t="str">
        <x:v>RIVER FALLS AREA HOSPITAL</x:v>
      </x:c>
      <x:c r="C3363" s="2" t="str">
        <x:v>RIVER FALLS</x:v>
      </x:c>
      <x:c r="D3363" s="2" t="str">
        <x:v>WI</x:v>
      </x:c>
      <x:c r="E3363" s="2" t="str">
        <x:v>Critical Access Hospitals</x:v>
      </x:c>
      <x:c r="F3363" s="2" t="str">
        <x:v>Voluntary non-profit</x:v>
      </x:c>
      <x:c r="G3363" s="2" t="str">
        <x:v>Small (&lt;100 beds)</x:v>
      </x:c>
      <x:c r="H3363" s="7" t="n">
        <x:v>5</x:v>
      </x:c>
      <x:c r="I3363" s="7" t="n">
        <x:v>5</x:v>
      </x:c>
      <x:c r="J3363" s="7"/>
      <x:c r="K3363" s="8" t="n">
        <x:v>25</x:v>
      </x:c>
      <x:c r="L3363" s="8" t="n">
        <x:v>416</x:v>
      </x:c>
      <x:c r="M3363" s="9" t="n">
        <x:v>0.3695081967</x:v>
      </x:c>
      <x:c r="N3363" s="10" t="n">
        <x:v>99798.8629807692</x:v>
      </x:c>
      <x:c r="O3363" s="9" t="n">
        <x:v>0.0629815819</x:v>
      </x:c>
      <x:c r="P3363" s="9" t="n">
        <x:v>0.3189591078</x:v>
      </x:c>
      <x:c r="Q3363" s="9" t="n">
        <x:v>0.2602230483</x:v>
      </x:c>
      <x:c r="R3363" s="3" t="b">
        <x:v>0</x:v>
      </x:c>
      <x:c r="S3363" s="3" t="b">
        <x:v>0</x:v>
      </x:c>
      <x:c r="T3363" s="3" t="b">
        <x:v>0</x:v>
      </x:c>
      <x:c r="U3363" s="2" t="str">
        <x:f>IF(T3363=TRUE,"Priority review",IF(R3363=TRUE,"High cost",IF(S3363=TRUE,"Low quality","Benchmark")))</x:f>
        <x:v>Benchmark</x:v>
      </x:c>
    </x:row>
    <x:row r="3364">
      <x:c r="A3364" s="2" t="str">
        <x:v>050537</x:v>
      </x:c>
      <x:c r="B3364" s="2" t="str">
        <x:v>SUTTER DAVIS HOSPITAL</x:v>
      </x:c>
      <x:c r="C3364" s="2" t="str">
        <x:v>DAVIS</x:v>
      </x:c>
      <x:c r="D3364" s="2" t="str">
        <x:v>CA</x:v>
      </x:c>
      <x:c r="E3364" s="2" t="str">
        <x:v>Acute Care Hospitals</x:v>
      </x:c>
      <x:c r="F3364" s="2" t="str">
        <x:v>Voluntary non-profit</x:v>
      </x:c>
      <x:c r="G3364" s="2" t="str">
        <x:v>Small (&lt;100 beds)</x:v>
      </x:c>
      <x:c r="H3364" s="7" t="n">
        <x:v>4</x:v>
      </x:c>
      <x:c r="I3364" s="7" t="n">
        <x:v>4</x:v>
      </x:c>
      <x:c r="J3364" s="7" t="n">
        <x:v>0.9</x:v>
      </x:c>
      <x:c r="K3364" s="8" t="n">
        <x:v>57</x:v>
      </x:c>
      <x:c r="L3364" s="8" t="n">
        <x:v>4467</x:v>
      </x:c>
      <x:c r="M3364" s="9" t="n">
        <x:v>0.7581727543</x:v>
      </x:c>
      <x:c r="N3364" s="10" t="n">
        <x:v>40520.7132303559</x:v>
      </x:c>
      <x:c r="O3364" s="9" t="n">
        <x:v>0.1236162222</x:v>
      </x:c>
      <x:c r="P3364" s="9" t="n">
        <x:v>0.3186714542</x:v>
      </x:c>
      <x:c r="Q3364" s="9" t="n">
        <x:v>0.3913824057</x:v>
      </x:c>
      <x:c r="R3364" s="3" t="b">
        <x:v>0</x:v>
      </x:c>
      <x:c r="S3364" s="3" t="b">
        <x:v>0</x:v>
      </x:c>
      <x:c r="T3364" s="3" t="b">
        <x:v>0</x:v>
      </x:c>
      <x:c r="U3364" s="2" t="str">
        <x:f>IF(T3364=TRUE,"Priority review",IF(R3364=TRUE,"High cost",IF(S3364=TRUE,"Low quality","Benchmark")))</x:f>
        <x:v>Benchmark</x:v>
      </x:c>
    </x:row>
    <x:row r="3365">
      <x:c r="A3365" s="2" t="str">
        <x:v>390265</x:v>
      </x:c>
      <x:c r="B3365" s="2" t="str">
        <x:v>JEFFERSON HOSPITAL</x:v>
      </x:c>
      <x:c r="C3365" s="2" t="str">
        <x:v>JEFFERSON HILLS</x:v>
      </x:c>
      <x:c r="D3365" s="2" t="str">
        <x:v>PA</x:v>
      </x:c>
      <x:c r="E3365" s="2" t="str">
        <x:v>Acute Care Hospitals</x:v>
      </x:c>
      <x:c r="F3365" s="2" t="str">
        <x:v>Voluntary non-profit</x:v>
      </x:c>
      <x:c r="G3365" s="2" t="str">
        <x:v>Medium (100-299 beds)</x:v>
      </x:c>
      <x:c r="H3365" s="7" t="n">
        <x:v>4</x:v>
      </x:c>
      <x:c r="I3365" s="7" t="n">
        <x:v>3</x:v>
      </x:c>
      <x:c r="J3365" s="7" t="n">
        <x:v>0.97</x:v>
      </x:c>
      <x:c r="K3365" s="8" t="n">
        <x:v>285</x:v>
      </x:c>
      <x:c r="L3365" s="8" t="n">
        <x:v>12485</x:v>
      </x:c>
      <x:c r="M3365" s="9" t="n">
        <x:v>0.5588464311</x:v>
      </x:c>
      <x:c r="N3365" s="10" t="n">
        <x:v>27578.9101321586</x:v>
      </x:c>
      <x:c r="O3365" s="9" t="n">
        <x:v>-0.0169269853</x:v>
      </x:c>
      <x:c r="P3365" s="9" t="n">
        <x:v>0.3186634067</x:v>
      </x:c>
      <x:c r="Q3365" s="9" t="n">
        <x:v>0.6022819886</x:v>
      </x:c>
      <x:c r="R3365" s="3" t="b">
        <x:v>0</x:v>
      </x:c>
      <x:c r="S3365" s="3" t="b">
        <x:v>0</x:v>
      </x:c>
      <x:c r="T3365" s="3" t="b">
        <x:v>0</x:v>
      </x:c>
      <x:c r="U3365" s="2" t="str">
        <x:f>IF(T3365=TRUE,"Priority review",IF(R3365=TRUE,"High cost",IF(S3365=TRUE,"Low quality","Benchmark")))</x:f>
        <x:v>Benchmark</x:v>
      </x:c>
    </x:row>
    <x:row r="3366">
      <x:c r="A3366" s="2" t="str">
        <x:v>100086</x:v>
      </x:c>
      <x:c r="B3366" s="2" t="str">
        <x:v>BROWARD HEALTH NORTH</x:v>
      </x:c>
      <x:c r="C3366" s="2" t="str">
        <x:v>DEERFIELD BEACH</x:v>
      </x:c>
      <x:c r="D3366" s="2" t="str">
        <x:v>FL</x:v>
      </x:c>
      <x:c r="E3366" s="2" t="str">
        <x:v>Acute Care Hospitals</x:v>
      </x:c>
      <x:c r="F3366" s="2" t="str">
        <x:v>Government</x:v>
      </x:c>
      <x:c r="G3366" s="2" t="str">
        <x:v>Large (300+ beds)</x:v>
      </x:c>
      <x:c r="H3366" s="7" t="n">
        <x:v>3</x:v>
      </x:c>
      <x:c r="I3366" s="7" t="n">
        <x:v>2</x:v>
      </x:c>
      <x:c r="J3366" s="7" t="n">
        <x:v>1.11</x:v>
      </x:c>
      <x:c r="K3366" s="8" t="n">
        <x:v>304</x:v>
      </x:c>
      <x:c r="L3366" s="8" t="n">
        <x:v>11758</x:v>
      </x:c>
      <x:c r="M3366" s="9" t="n">
        <x:v>0.605794881</x:v>
      </x:c>
      <x:c r="N3366" s="10" t="n">
        <x:v>30922.3881612519</x:v>
      </x:c>
      <x:c r="O3366" s="9" t="n">
        <x:v>-0.0812691091</x:v>
      </x:c>
      <x:c r="P3366" s="9" t="n">
        <x:v>0.3186119874</x:v>
      </x:c>
      <x:c r="Q3366" s="9" t="n">
        <x:v>0.2570977918</x:v>
      </x:c>
      <x:c r="R3366" s="3" t="b">
        <x:v>0</x:v>
      </x:c>
      <x:c r="S3366" s="3" t="b">
        <x:v>0</x:v>
      </x:c>
      <x:c r="T3366" s="3" t="b">
        <x:v>0</x:v>
      </x:c>
      <x:c r="U3366" s="2" t="str">
        <x:f>IF(T3366=TRUE,"Priority review",IF(R3366=TRUE,"High cost",IF(S3366=TRUE,"Low quality","Benchmark")))</x:f>
        <x:v>Benchmark</x:v>
      </x:c>
    </x:row>
    <x:row r="3367">
      <x:c r="A3367" s="2" t="str">
        <x:v>144040</x:v>
      </x:c>
      <x:c r="B3367" s="2" t="str">
        <x:v>CHICAGO BEHAVIORAL HOSPITAL</x:v>
      </x:c>
      <x:c r="C3367" s="2" t="str">
        <x:v>DES PLAINES</x:v>
      </x:c>
      <x:c r="D3367" s="2" t="str">
        <x:v>IL</x:v>
      </x:c>
      <x:c r="E3367" s="2" t="str">
        <x:v>Psychiatric</x:v>
      </x:c>
      <x:c r="F3367" s="2" t="str">
        <x:v>Proprietary</x:v>
      </x:c>
      <x:c r="G3367" s="2" t="str">
        <x:v>Medium (100-299 beds)</x:v>
      </x:c>
      <x:c r="H3367" s="7"/>
      <x:c r="I3367" s="7"/>
      <x:c r="J3367" s="7"/>
      <x:c r="K3367" s="8" t="n">
        <x:v>150</x:v>
      </x:c>
      <x:c r="L3367" s="8" t="n">
        <x:v>5357</x:v>
      </x:c>
      <x:c r="M3367" s="9" t="n">
        <x:v>0.9438969619</x:v>
      </x:c>
      <x:c r="N3367" s="10" t="n">
        <x:v>7800.9850662684</x:v>
      </x:c>
      <x:c r="O3367" s="9" t="n">
        <x:v>0.2843180277</x:v>
      </x:c>
      <x:c r="P3367" s="9" t="n">
        <x:v>0.3184079602</x:v>
      </x:c>
      <x:c r="Q3367" s="9" t="n">
        <x:v>0</x:v>
      </x:c>
      <x:c r="R3367" s="3" t="b">
        <x:v>0</x:v>
      </x:c>
      <x:c r="S3367" s="3" t="b">
        <x:v>0</x:v>
      </x:c>
      <x:c r="T3367" s="3" t="b">
        <x:v>0</x:v>
      </x:c>
      <x:c r="U3367" s="2" t="str">
        <x:f>IF(T3367=TRUE,"Priority review",IF(R3367=TRUE,"High cost",IF(S3367=TRUE,"Low quality","Benchmark")))</x:f>
        <x:v>Benchmark</x:v>
      </x:c>
    </x:row>
    <x:row r="3368">
      <x:c r="A3368" s="2" t="str">
        <x:v>271348</x:v>
      </x:c>
      <x:c r="B3368" s="2" t="str">
        <x:v>NORTHERN MONTANA HOSPITAL</x:v>
      </x:c>
      <x:c r="C3368" s="2" t="str">
        <x:v>HAVRE</x:v>
      </x:c>
      <x:c r="D3368" s="2" t="str">
        <x:v>MT</x:v>
      </x:c>
      <x:c r="E3368" s="2" t="str">
        <x:v>Critical Access Hospitals</x:v>
      </x:c>
      <x:c r="F3368" s="2" t="str">
        <x:v>Voluntary non-profit</x:v>
      </x:c>
      <x:c r="G3368" s="2" t="str">
        <x:v>Small (&lt;100 beds)</x:v>
      </x:c>
      <x:c r="H3368" s="7"/>
      <x:c r="I3368" s="7"/>
      <x:c r="J3368" s="7"/>
      <x:c r="K3368" s="8" t="n">
        <x:v>25</x:v>
      </x:c>
      <x:c r="L3368" s="8" t="n">
        <x:v>948</x:v>
      </x:c>
      <x:c r="M3368" s="9" t="n">
        <x:v>0.6257534247</x:v>
      </x:c>
      <x:c r="N3368" s="10" t="n">
        <x:v>99698.6772151899</x:v>
      </x:c>
      <x:c r="O3368" s="9" t="n">
        <x:v>-0.0997127626</x:v>
      </x:c>
      <x:c r="P3368" s="9" t="n">
        <x:v>0.3182156134</x:v>
      </x:c>
      <x:c r="Q3368" s="9" t="n">
        <x:v>0.292936803</x:v>
      </x:c>
      <x:c r="R3368" s="3" t="b">
        <x:v>0</x:v>
      </x:c>
      <x:c r="S3368" s="3" t="b">
        <x:v>0</x:v>
      </x:c>
      <x:c r="T3368" s="3" t="b">
        <x:v>0</x:v>
      </x:c>
      <x:c r="U3368" s="2" t="str">
        <x:f>IF(T3368=TRUE,"Priority review",IF(R3368=TRUE,"High cost",IF(S3368=TRUE,"Low quality","Benchmark")))</x:f>
        <x:v>Benchmark</x:v>
      </x:c>
    </x:row>
    <x:row r="3369">
      <x:c r="A3369" s="2" t="str">
        <x:v>050342</x:v>
      </x:c>
      <x:c r="B3369" s="2" t="str">
        <x:v>PIONEERS MEMORIAL HEALTHCARE DISTRICT</x:v>
      </x:c>
      <x:c r="C3369" s="2" t="str">
        <x:v>BRAWLEY</x:v>
      </x:c>
      <x:c r="D3369" s="2" t="str">
        <x:v>CA</x:v>
      </x:c>
      <x:c r="E3369" s="2" t="str">
        <x:v>Acute Care Hospitals</x:v>
      </x:c>
      <x:c r="F3369" s="2" t="str">
        <x:v>Government</x:v>
      </x:c>
      <x:c r="G3369" s="2" t="str">
        <x:v>Medium (100-299 beds)</x:v>
      </x:c>
      <x:c r="H3369" s="7" t="n">
        <x:v>3</x:v>
      </x:c>
      <x:c r="I3369" s="7" t="n">
        <x:v>2</x:v>
      </x:c>
      <x:c r="J3369" s="7" t="n">
        <x:v>0.87</x:v>
      </x:c>
      <x:c r="K3369" s="8" t="n">
        <x:v>107</x:v>
      </x:c>
      <x:c r="L3369" s="8" t="n">
        <x:v>6170</x:v>
      </x:c>
      <x:c r="M3369" s="9" t="n">
        <x:v>0.540161311</x:v>
      </x:c>
      <x:c r="N3369" s="10" t="n">
        <x:v>27536.0623987034</x:v>
      </x:c>
      <x:c r="O3369" s="9" t="n">
        <x:v>0.0207684517</x:v>
      </x:c>
      <x:c r="P3369" s="9" t="n">
        <x:v>0.3178484108</x:v>
      </x:c>
      <x:c r="Q3369" s="9" t="n">
        <x:v>0.3023634882</x:v>
      </x:c>
      <x:c r="R3369" s="3" t="b">
        <x:v>0</x:v>
      </x:c>
      <x:c r="S3369" s="3" t="b">
        <x:v>0</x:v>
      </x:c>
      <x:c r="T3369" s="3" t="b">
        <x:v>0</x:v>
      </x:c>
      <x:c r="U3369" s="2" t="str">
        <x:f>IF(T3369=TRUE,"Priority review",IF(R3369=TRUE,"High cost",IF(S3369=TRUE,"Low quality","Benchmark")))</x:f>
        <x:v>Benchmark</x:v>
      </x:c>
    </x:row>
    <x:row r="3370">
      <x:c r="A3370" s="2" t="str">
        <x:v>180092</x:v>
      </x:c>
      <x:c r="B3370" s="2" t="str">
        <x:v>CLARK REGIONAL MEDICAL CENTER</x:v>
      </x:c>
      <x:c r="C3370" s="2" t="str">
        <x:v>WINCHESTER</x:v>
      </x:c>
      <x:c r="D3370" s="2" t="str">
        <x:v>KY</x:v>
      </x:c>
      <x:c r="E3370" s="2" t="str">
        <x:v>Acute Care Hospitals</x:v>
      </x:c>
      <x:c r="F3370" s="2" t="str">
        <x:v>Proprietary</x:v>
      </x:c>
      <x:c r="G3370" s="2" t="str">
        <x:v>Small (&lt;100 beds)</x:v>
      </x:c>
      <x:c r="H3370" s="7" t="n">
        <x:v>3</x:v>
      </x:c>
      <x:c r="I3370" s="7" t="n">
        <x:v>3</x:v>
      </x:c>
      <x:c r="J3370" s="7" t="n">
        <x:v>1.01</x:v>
      </x:c>
      <x:c r="K3370" s="8" t="n">
        <x:v>75</x:v>
      </x:c>
      <x:c r="L3370" s="8" t="n">
        <x:v>4072</x:v>
      </x:c>
      <x:c r="M3370" s="9" t="n">
        <x:v>0.596347032</x:v>
      </x:c>
      <x:c r="N3370" s="10" t="n">
        <x:v>40352.2566306483</x:v>
      </x:c>
      <x:c r="O3370" s="9" t="n">
        <x:v>0.1869008168</x:v>
      </x:c>
      <x:c r="P3370" s="9" t="n">
        <x:v>0.3177737882</x:v>
      </x:c>
      <x:c r="Q3370" s="9" t="n">
        <x:v>0.1687612208</x:v>
      </x:c>
      <x:c r="R3370" s="3" t="b">
        <x:v>0</x:v>
      </x:c>
      <x:c r="S3370" s="3" t="b">
        <x:v>0</x:v>
      </x:c>
      <x:c r="T3370" s="3" t="b">
        <x:v>0</x:v>
      </x:c>
      <x:c r="U3370" s="2" t="str">
        <x:f>IF(T3370=TRUE,"Priority review",IF(R3370=TRUE,"High cost",IF(S3370=TRUE,"Low quality","Benchmark")))</x:f>
        <x:v>Benchmark</x:v>
      </x:c>
    </x:row>
    <x:row r="3371">
      <x:c r="A3371" s="2" t="str">
        <x:v>231321</x:v>
      </x:c>
      <x:c r="B3371" s="2" t="str">
        <x:v>BELL HOSPITAL</x:v>
      </x:c>
      <x:c r="C3371" s="2" t="str">
        <x:v>ISHPEMING</x:v>
      </x:c>
      <x:c r="D3371" s="2" t="str">
        <x:v>MI</x:v>
      </x:c>
      <x:c r="E3371" s="2" t="str">
        <x:v>Critical Access Hospitals</x:v>
      </x:c>
      <x:c r="F3371" s="2" t="str">
        <x:v>Proprietary</x:v>
      </x:c>
      <x:c r="G3371" s="2" t="str">
        <x:v>Small (&lt;100 beds)</x:v>
      </x:c>
      <x:c r="H3371" s="7"/>
      <x:c r="I3371" s="7" t="n">
        <x:v>5</x:v>
      </x:c>
      <x:c r="J3371" s="7"/>
      <x:c r="K3371" s="8" t="n">
        <x:v>25</x:v>
      </x:c>
      <x:c r="L3371" s="8" t="n">
        <x:v>646</x:v>
      </x:c>
      <x:c r="M3371" s="9" t="n">
        <x:v>0.2774794521</x:v>
      </x:c>
      <x:c r="N3371" s="10" t="n">
        <x:v>99503.0170278638</x:v>
      </x:c>
      <x:c r="O3371" s="9" t="n">
        <x:v>0.0610938736</x:v>
      </x:c>
      <x:c r="P3371" s="9" t="n">
        <x:v>0.317472119</x:v>
      </x:c>
      <x:c r="Q3371" s="9" t="n">
        <x:v>0.292936803</x:v>
      </x:c>
      <x:c r="R3371" s="3" t="b">
        <x:v>0</x:v>
      </x:c>
      <x:c r="S3371" s="3" t="b">
        <x:v>0</x:v>
      </x:c>
      <x:c r="T3371" s="3" t="b">
        <x:v>0</x:v>
      </x:c>
      <x:c r="U3371" s="2" t="str">
        <x:f>IF(T3371=TRUE,"Priority review",IF(R3371=TRUE,"High cost",IF(S3371=TRUE,"Low quality","Benchmark")))</x:f>
        <x:v>Benchmark</x:v>
      </x:c>
    </x:row>
    <x:row r="3372">
      <x:c r="A3372" s="2" t="str">
        <x:v>454152</x:v>
      </x:c>
      <x:c r="B3372" s="2" t="str">
        <x:v>CANYON CREEK BEHAVIORAL HEALTH</x:v>
      </x:c>
      <x:c r="C3372" s="2" t="str">
        <x:v>TEMPLE</x:v>
      </x:c>
      <x:c r="D3372" s="2" t="str">
        <x:v>TX</x:v>
      </x:c>
      <x:c r="E3372" s="2" t="str">
        <x:v>Psychiatric</x:v>
      </x:c>
      <x:c r="F3372" s="2" t="str">
        <x:v>Proprietary</x:v>
      </x:c>
      <x:c r="G3372" s="2" t="str">
        <x:v>Small (&lt;100 beds)</x:v>
      </x:c>
      <x:c r="H3372" s="7"/>
      <x:c r="I3372" s="7"/>
      <x:c r="J3372" s="7"/>
      <x:c r="K3372" s="8" t="n">
        <x:v>70</x:v>
      </x:c>
      <x:c r="L3372" s="8" t="n">
        <x:v>1990</x:v>
      </x:c>
      <x:c r="M3372" s="9" t="n">
        <x:v>0.7380039139</x:v>
      </x:c>
      <x:c r="N3372" s="10" t="n">
        <x:v>8997.0854271357</x:v>
      </x:c>
      <x:c r="O3372" s="9" t="n">
        <x:v>-0.1910182633</x:v>
      </x:c>
      <x:c r="P3372" s="9" t="n">
        <x:v>0.3171521036</x:v>
      </x:c>
      <x:c r="Q3372" s="9" t="n">
        <x:v>0</x:v>
      </x:c>
      <x:c r="R3372" s="3" t="b">
        <x:v>0</x:v>
      </x:c>
      <x:c r="S3372" s="3" t="b">
        <x:v>0</x:v>
      </x:c>
      <x:c r="T3372" s="3" t="b">
        <x:v>0</x:v>
      </x:c>
      <x:c r="U3372" s="2" t="str">
        <x:f>IF(T3372=TRUE,"Priority review",IF(R3372=TRUE,"High cost",IF(S3372=TRUE,"Low quality","Benchmark")))</x:f>
        <x:v>Benchmark</x:v>
      </x:c>
    </x:row>
    <x:row r="3373">
      <x:c r="A3373" s="2" t="str">
        <x:v>280003</x:v>
      </x:c>
      <x:c r="B3373" s="2" t="str">
        <x:v>BRYAN MEDICAL CENTER</x:v>
      </x:c>
      <x:c r="C3373" s="2" t="str">
        <x:v>LINCOLN</x:v>
      </x:c>
      <x:c r="D3373" s="2" t="str">
        <x:v>NE</x:v>
      </x:c>
      <x:c r="E3373" s="2" t="str">
        <x:v>Acute Care Hospitals</x:v>
      </x:c>
      <x:c r="F3373" s="2" t="str">
        <x:v>Voluntary non-profit</x:v>
      </x:c>
      <x:c r="G3373" s="2" t="str">
        <x:v>Large (300+ beds)</x:v>
      </x:c>
      <x:c r="H3373" s="7" t="n">
        <x:v>3</x:v>
      </x:c>
      <x:c r="I3373" s="7" t="n">
        <x:v>3</x:v>
      </x:c>
      <x:c r="J3373" s="7" t="n">
        <x:v>1.01</x:v>
      </x:c>
      <x:c r="K3373" s="8" t="n">
        <x:v>510</x:v>
      </x:c>
      <x:c r="L3373" s="8" t="n">
        <x:v>27212</x:v>
      </x:c>
      <x:c r="M3373" s="9" t="n">
        <x:v>0.7144808743</x:v>
      </x:c>
      <x:c r="N3373" s="10" t="n">
        <x:v>30913.4428928414</x:v>
      </x:c>
      <x:c r="O3373" s="9" t="n">
        <x:v>0.0375571425</x:v>
      </x:c>
      <x:c r="P3373" s="9" t="n">
        <x:v>0.3170347003</x:v>
      </x:c>
      <x:c r="Q3373" s="9" t="n">
        <x:v>0.2570977918</x:v>
      </x:c>
      <x:c r="R3373" s="3" t="b">
        <x:v>0</x:v>
      </x:c>
      <x:c r="S3373" s="3" t="b">
        <x:v>0</x:v>
      </x:c>
      <x:c r="T3373" s="3" t="b">
        <x:v>0</x:v>
      </x:c>
      <x:c r="U3373" s="2" t="str">
        <x:f>IF(T3373=TRUE,"Priority review",IF(R3373=TRUE,"High cost",IF(S3373=TRUE,"Low quality","Benchmark")))</x:f>
        <x:v>Benchmark</x:v>
      </x:c>
    </x:row>
    <x:row r="3374">
      <x:c r="A3374" s="2" t="str">
        <x:v>100132</x:v>
      </x:c>
      <x:c r="B3374" s="2" t="str">
        <x:v>SOUTH FLORIDA BAPTIST HOSPITAL</x:v>
      </x:c>
      <x:c r="C3374" s="2" t="str">
        <x:v>PLANT CITY</x:v>
      </x:c>
      <x:c r="D3374" s="2" t="str">
        <x:v>FL</x:v>
      </x:c>
      <x:c r="E3374" s="2" t="str">
        <x:v>Acute Care Hospitals</x:v>
      </x:c>
      <x:c r="F3374" s="2" t="str">
        <x:v>Voluntary non-profit</x:v>
      </x:c>
      <x:c r="G3374" s="2" t="str">
        <x:v>Medium (100-299 beds)</x:v>
      </x:c>
      <x:c r="H3374" s="7" t="n">
        <x:v>3</x:v>
      </x:c>
      <x:c r="I3374" s="7" t="n">
        <x:v>3</x:v>
      </x:c>
      <x:c r="J3374" s="7" t="n">
        <x:v>1.03</x:v>
      </x:c>
      <x:c r="K3374" s="8" t="n">
        <x:v>128</x:v>
      </x:c>
      <x:c r="L3374" s="8" t="n">
        <x:v>6996</x:v>
      </x:c>
      <x:c r="M3374" s="9" t="n">
        <x:v>0.6791965505</x:v>
      </x:c>
      <x:c r="N3374" s="10" t="n">
        <x:v>27530.2640080046</x:v>
      </x:c>
      <x:c r="O3374" s="9" t="n">
        <x:v>0.0314118615</x:v>
      </x:c>
      <x:c r="P3374" s="9" t="n">
        <x:v>0.3170334148</x:v>
      </x:c>
      <x:c r="Q3374" s="9" t="n">
        <x:v>0.3023634882</x:v>
      </x:c>
      <x:c r="R3374" s="3" t="b">
        <x:v>0</x:v>
      </x:c>
      <x:c r="S3374" s="3" t="b">
        <x:v>0</x:v>
      </x:c>
      <x:c r="T3374" s="3" t="b">
        <x:v>0</x:v>
      </x:c>
      <x:c r="U3374" s="2" t="str">
        <x:f>IF(T3374=TRUE,"Priority review",IF(R3374=TRUE,"High cost",IF(S3374=TRUE,"Low quality","Benchmark")))</x:f>
        <x:v>Benchmark</x:v>
      </x:c>
    </x:row>
    <x:row r="3375">
      <x:c r="A3375" s="2" t="str">
        <x:v>180128</x:v>
      </x:c>
      <x:c r="B3375" s="2" t="str">
        <x:v>THREE RIVERS MEDICAL CENTER</x:v>
      </x:c>
      <x:c r="C3375" s="2" t="str">
        <x:v>LOUISA</x:v>
      </x:c>
      <x:c r="D3375" s="2" t="str">
        <x:v>KY</x:v>
      </x:c>
      <x:c r="E3375" s="2" t="str">
        <x:v>Acute Care Hospitals</x:v>
      </x:c>
      <x:c r="F3375" s="2" t="str">
        <x:v>Proprietary</x:v>
      </x:c>
      <x:c r="G3375" s="2" t="str">
        <x:v>Small (&lt;100 beds)</x:v>
      </x:c>
      <x:c r="H3375" s="7" t="n">
        <x:v>3</x:v>
      </x:c>
      <x:c r="I3375" s="7" t="n">
        <x:v>5</x:v>
      </x:c>
      <x:c r="J3375" s="7" t="n">
        <x:v>0.88</x:v>
      </x:c>
      <x:c r="K3375" s="8" t="n">
        <x:v>65</x:v>
      </x:c>
      <x:c r="L3375" s="8" t="n">
        <x:v>1105</x:v>
      </x:c>
      <x:c r="M3375" s="9" t="n">
        <x:v>0.162739726</x:v>
      </x:c>
      <x:c r="N3375" s="10" t="n">
        <x:v>40351.8235294118</x:v>
      </x:c>
      <x:c r="O3375" s="9" t="n">
        <x:v>0.1718066444</x:v>
      </x:c>
      <x:c r="P3375" s="9" t="n">
        <x:v>0.3168761221</x:v>
      </x:c>
      <x:c r="Q3375" s="9" t="n">
        <x:v>0.1687612208</x:v>
      </x:c>
      <x:c r="R3375" s="3" t="b">
        <x:v>0</x:v>
      </x:c>
      <x:c r="S3375" s="3" t="b">
        <x:v>0</x:v>
      </x:c>
      <x:c r="T3375" s="3" t="b">
        <x:v>0</x:v>
      </x:c>
      <x:c r="U3375" s="2" t="str">
        <x:f>IF(T3375=TRUE,"Priority review",IF(R3375=TRUE,"High cost",IF(S3375=TRUE,"Low quality","Benchmark")))</x:f>
        <x:v>Benchmark</x:v>
      </x:c>
    </x:row>
    <x:row r="3376">
      <x:c r="A3376" s="2" t="str">
        <x:v>161309</x:v>
      </x:c>
      <x:c r="B3376" s="2" t="str">
        <x:v>CHI HEALTH MISSOURI VALLEY</x:v>
      </x:c>
      <x:c r="C3376" s="2" t="str">
        <x:v>MISSOURI VALLEY</x:v>
      </x:c>
      <x:c r="D3376" s="2" t="str">
        <x:v>IA</x:v>
      </x:c>
      <x:c r="E3376" s="2" t="str">
        <x:v>Critical Access Hospitals</x:v>
      </x:c>
      <x:c r="F3376" s="2" t="str">
        <x:v>Voluntary non-profit</x:v>
      </x:c>
      <x:c r="G3376" s="2" t="str">
        <x:v>Small (&lt;100 beds)</x:v>
      </x:c>
      <x:c r="H3376" s="7" t="n">
        <x:v>4</x:v>
      </x:c>
      <x:c r="I3376" s="7"/>
      <x:c r="J3376" s="7"/>
      <x:c r="K3376" s="8" t="n">
        <x:v>25</x:v>
      </x:c>
      <x:c r="L3376" s="8" t="n">
        <x:v>377</x:v>
      </x:c>
      <x:c r="M3376" s="9" t="n">
        <x:v>0.274739726</x:v>
      </x:c>
      <x:c r="N3376" s="10" t="n">
        <x:v>99077.9787798409</x:v>
      </x:c>
      <x:c r="O3376" s="9" t="n">
        <x:v>-0.0193717318</x:v>
      </x:c>
      <x:c r="P3376" s="9" t="n">
        <x:v>0.3167286245</x:v>
      </x:c>
      <x:c r="Q3376" s="9" t="n">
        <x:v>0.1657992565</x:v>
      </x:c>
      <x:c r="R3376" s="3" t="b">
        <x:v>0</x:v>
      </x:c>
      <x:c r="S3376" s="3" t="b">
        <x:v>0</x:v>
      </x:c>
      <x:c r="T3376" s="3" t="b">
        <x:v>0</x:v>
      </x:c>
      <x:c r="U3376" s="2" t="str">
        <x:f>IF(T3376=TRUE,"Priority review",IF(R3376=TRUE,"High cost",IF(S3376=TRUE,"Low quality","Benchmark")))</x:f>
        <x:v>Benchmark</x:v>
      </x:c>
    </x:row>
    <x:row r="3377">
      <x:c r="A3377" s="2" t="str">
        <x:v>340042</x:v>
      </x:c>
      <x:c r="B3377" s="2" t="str">
        <x:v>ONSLOW MEMORIAL HOSPITAL</x:v>
      </x:c>
      <x:c r="C3377" s="2" t="str">
        <x:v>JACKSONVILLE</x:v>
      </x:c>
      <x:c r="D3377" s="2" t="str">
        <x:v>NC</x:v>
      </x:c>
      <x:c r="E3377" s="2" t="str">
        <x:v>Acute Care Hospitals</x:v>
      </x:c>
      <x:c r="F3377" s="2" t="str">
        <x:v>Government</x:v>
      </x:c>
      <x:c r="G3377" s="2" t="str">
        <x:v>Medium (100-299 beds)</x:v>
      </x:c>
      <x:c r="H3377" s="7" t="n">
        <x:v>1</x:v>
      </x:c>
      <x:c r="I3377" s="7" t="n">
        <x:v>2</x:v>
      </x:c>
      <x:c r="J3377" s="7" t="n">
        <x:v>1</x:v>
      </x:c>
      <x:c r="K3377" s="8" t="n">
        <x:v>162</x:v>
      </x:c>
      <x:c r="L3377" s="8" t="n">
        <x:v>6962</x:v>
      </x:c>
      <x:c r="M3377" s="9" t="n">
        <x:v>0.6360899712</x:v>
      </x:c>
      <x:c r="N3377" s="10" t="n">
        <x:v>27492.5502729101</x:v>
      </x:c>
      <x:c r="O3377" s="9" t="n">
        <x:v>0.1588386991</x:v>
      </x:c>
      <x:c r="P3377" s="9" t="n">
        <x:v>0.3162184189</x:v>
      </x:c>
      <x:c r="Q3377" s="9" t="n">
        <x:v>0</x:v>
      </x:c>
      <x:c r="R3377" s="3" t="b">
        <x:v>0</x:v>
      </x:c>
      <x:c r="S3377" s="3" t="b">
        <x:v>1</x:v>
      </x:c>
      <x:c r="T3377" s="3" t="b">
        <x:v>0</x:v>
      </x:c>
      <x:c r="U3377" s="2" t="str">
        <x:f>IF(T3377=TRUE,"Priority review",IF(R3377=TRUE,"High cost",IF(S3377=TRUE,"Low quality","Benchmark")))</x:f>
        <x:v>Low quality</x:v>
      </x:c>
    </x:row>
    <x:row r="3378">
      <x:c r="A3378" s="2" t="str">
        <x:v>431308</x:v>
      </x:c>
      <x:c r="B3378" s="2" t="str">
        <x:v>EUREKA COMMUNITY HEALTH SERVICES - CAH</x:v>
      </x:c>
      <x:c r="C3378" s="2" t="str">
        <x:v>EUREKA</x:v>
      </x:c>
      <x:c r="D3378" s="2" t="str">
        <x:v>SD</x:v>
      </x:c>
      <x:c r="E3378" s="2" t="str">
        <x:v>Critical Access Hospitals</x:v>
      </x:c>
      <x:c r="F3378" s="2" t="str">
        <x:v>Voluntary non-profit</x:v>
      </x:c>
      <x:c r="G3378" s="2" t="str">
        <x:v>Small (&lt;100 beds)</x:v>
      </x:c>
      <x:c r="H3378" s="7"/>
      <x:c r="I3378" s="7"/>
      <x:c r="J3378" s="7"/>
      <x:c r="K3378" s="8" t="n">
        <x:v>4</x:v>
      </x:c>
      <x:c r="L3378" s="8" t="n">
        <x:v>60</x:v>
      </x:c>
      <x:c r="M3378" s="9" t="n">
        <x:v>0.2164383562</x:v>
      </x:c>
      <x:c r="N3378" s="10" t="n">
        <x:v>98807.5666666667</x:v>
      </x:c>
      <x:c r="O3378" s="9" t="n">
        <x:v>-0.1041183179</x:v>
      </x:c>
      <x:c r="P3378" s="9" t="n">
        <x:v>0.3159851301</x:v>
      </x:c>
      <x:c r="Q3378" s="9" t="n">
        <x:v>0.292936803</x:v>
      </x:c>
      <x:c r="R3378" s="3" t="b">
        <x:v>0</x:v>
      </x:c>
      <x:c r="S3378" s="3" t="b">
        <x:v>0</x:v>
      </x:c>
      <x:c r="T3378" s="3" t="b">
        <x:v>0</x:v>
      </x:c>
      <x:c r="U3378" s="2" t="str">
        <x:f>IF(T3378=TRUE,"Priority review",IF(R3378=TRUE,"High cost",IF(S3378=TRUE,"Low quality","Benchmark")))</x:f>
        <x:v>Benchmark</x:v>
      </x:c>
    </x:row>
    <x:row r="3379">
      <x:c r="A3379" s="2" t="str">
        <x:v>370100</x:v>
      </x:c>
      <x:c r="B3379" s="2" t="str">
        <x:v>CHOCTAW MEMORIAL HOSPITAL</x:v>
      </x:c>
      <x:c r="C3379" s="2" t="str">
        <x:v>HUGO</x:v>
      </x:c>
      <x:c r="D3379" s="2" t="str">
        <x:v>OK</x:v>
      </x:c>
      <x:c r="E3379" s="2" t="str">
        <x:v>Acute Care Hospitals</x:v>
      </x:c>
      <x:c r="F3379" s="2" t="str">
        <x:v>Voluntary non-profit</x:v>
      </x:c>
      <x:c r="G3379" s="2" t="str">
        <x:v>Small (&lt;100 beds)</x:v>
      </x:c>
      <x:c r="H3379" s="7" t="n">
        <x:v>1</x:v>
      </x:c>
      <x:c r="I3379" s="7"/>
      <x:c r="J3379" s="7" t="n">
        <x:v>1.25</x:v>
      </x:c>
      <x:c r="K3379" s="8" t="n">
        <x:v>34</x:v>
      </x:c>
      <x:c r="L3379" s="8" t="n">
        <x:v>265</x:v>
      </x:c>
      <x:c r="M3379" s="9" t="n">
        <x:v>0.1081385979</x:v>
      </x:c>
      <x:c r="N3379" s="10" t="n">
        <x:v>40233.9094339623</x:v>
      </x:c>
      <x:c r="O3379" s="9" t="n">
        <x:v>-0.2983274788</x:v>
      </x:c>
      <x:c r="P3379" s="9" t="n">
        <x:v>0.315978456</x:v>
      </x:c>
      <x:c r="Q3379" s="9" t="n">
        <x:v>0</x:v>
      </x:c>
      <x:c r="R3379" s="3" t="b">
        <x:v>0</x:v>
      </x:c>
      <x:c r="S3379" s="3" t="b">
        <x:v>1</x:v>
      </x:c>
      <x:c r="T3379" s="3" t="b">
        <x:v>0</x:v>
      </x:c>
      <x:c r="U3379" s="2" t="str">
        <x:f>IF(T3379=TRUE,"Priority review",IF(R3379=TRUE,"High cost",IF(S3379=TRUE,"Low quality","Benchmark")))</x:f>
        <x:v>Low quality</x:v>
      </x:c>
    </x:row>
    <x:row r="3380">
      <x:c r="A3380" s="2" t="str">
        <x:v>420027</x:v>
      </x:c>
      <x:c r="B3380" s="2" t="str">
        <x:v>ANMED HEALTH</x:v>
      </x:c>
      <x:c r="C3380" s="2" t="str">
        <x:v>ANDERSON</x:v>
      </x:c>
      <x:c r="D3380" s="2" t="str">
        <x:v>SC</x:v>
      </x:c>
      <x:c r="E3380" s="2" t="str">
        <x:v>Acute Care Hospitals</x:v>
      </x:c>
      <x:c r="F3380" s="2" t="str">
        <x:v>Voluntary non-profit</x:v>
      </x:c>
      <x:c r="G3380" s="2" t="str">
        <x:v>Large (300+ beds)</x:v>
      </x:c>
      <x:c r="H3380" s="7" t="n">
        <x:v>4</x:v>
      </x:c>
      <x:c r="I3380" s="7" t="n">
        <x:v>4</x:v>
      </x:c>
      <x:c r="J3380" s="7" t="n">
        <x:v>1.11</x:v>
      </x:c>
      <x:c r="K3380" s="8" t="n">
        <x:v>345</x:v>
      </x:c>
      <x:c r="L3380" s="8" t="n">
        <x:v>22039</x:v>
      </x:c>
      <x:c r="M3380" s="9" t="n">
        <x:v>0.6486259602</x:v>
      </x:c>
      <x:c r="N3380" s="10" t="n">
        <x:v>30862.5559689641</x:v>
      </x:c>
      <x:c r="O3380" s="9" t="n">
        <x:v>0.0418901596</x:v>
      </x:c>
      <x:c r="P3380" s="9" t="n">
        <x:v>0.3154574132</x:v>
      </x:c>
      <x:c r="Q3380" s="9" t="n">
        <x:v>0.5899053628</x:v>
      </x:c>
      <x:c r="R3380" s="3" t="b">
        <x:v>0</x:v>
      </x:c>
      <x:c r="S3380" s="3" t="b">
        <x:v>0</x:v>
      </x:c>
      <x:c r="T3380" s="3" t="b">
        <x:v>0</x:v>
      </x:c>
      <x:c r="U3380" s="2" t="str">
        <x:f>IF(T3380=TRUE,"Priority review",IF(R3380=TRUE,"High cost",IF(S3380=TRUE,"Low quality","Benchmark")))</x:f>
        <x:v>Benchmark</x:v>
      </x:c>
    </x:row>
    <x:row r="3381">
      <x:c r="A3381" s="2" t="str">
        <x:v>500141</x:v>
      </x:c>
      <x:c r="B3381" s="2" t="str">
        <x:v>ST FRANCIS COMMUNITY HOSPITAL</x:v>
      </x:c>
      <x:c r="C3381" s="2" t="str">
        <x:v>FEDERAL WAY</x:v>
      </x:c>
      <x:c r="D3381" s="2" t="str">
        <x:v>WA</x:v>
      </x:c>
      <x:c r="E3381" s="2" t="str">
        <x:v>Acute Care Hospitals</x:v>
      </x:c>
      <x:c r="F3381" s="2" t="str">
        <x:v>Voluntary non-profit</x:v>
      </x:c>
      <x:c r="G3381" s="2" t="str">
        <x:v>Medium (100-299 beds)</x:v>
      </x:c>
      <x:c r="H3381" s="7" t="n">
        <x:v>4</x:v>
      </x:c>
      <x:c r="I3381" s="7" t="n">
        <x:v>2</x:v>
      </x:c>
      <x:c r="J3381" s="7" t="n">
        <x:v>0.95</x:v>
      </x:c>
      <x:c r="K3381" s="8" t="n">
        <x:v>152</x:v>
      </x:c>
      <x:c r="L3381" s="8" t="n">
        <x:v>11406</x:v>
      </x:c>
      <x:c r="M3381" s="9" t="n">
        <x:v>0.8092465753</x:v>
      </x:c>
      <x:c r="N3381" s="10" t="n">
        <x:v>27483.9143433281</x:v>
      </x:c>
      <x:c r="O3381" s="9" t="n">
        <x:v>0.0329931875</x:v>
      </x:c>
      <x:c r="P3381" s="9" t="n">
        <x:v>0.315403423</x:v>
      </x:c>
      <x:c r="Q3381" s="9" t="n">
        <x:v>0.6022819886</x:v>
      </x:c>
      <x:c r="R3381" s="3" t="b">
        <x:v>0</x:v>
      </x:c>
      <x:c r="S3381" s="3" t="b">
        <x:v>0</x:v>
      </x:c>
      <x:c r="T3381" s="3" t="b">
        <x:v>0</x:v>
      </x:c>
      <x:c r="U3381" s="2" t="str">
        <x:f>IF(T3381=TRUE,"Priority review",IF(R3381=TRUE,"High cost",IF(S3381=TRUE,"Low quality","Benchmark")))</x:f>
        <x:v>Benchmark</x:v>
      </x:c>
    </x:row>
    <x:row r="3382">
      <x:c r="A3382" s="2" t="str">
        <x:v>251308</x:v>
      </x:c>
      <x:c r="B3382" s="2" t="str">
        <x:v>PONTOTOC HEALTH SERVICE INC CAH</x:v>
      </x:c>
      <x:c r="C3382" s="2" t="str">
        <x:v>PONTOTOC</x:v>
      </x:c>
      <x:c r="D3382" s="2" t="str">
        <x:v>MS</x:v>
      </x:c>
      <x:c r="E3382" s="2" t="str">
        <x:v>Critical Access Hospitals</x:v>
      </x:c>
      <x:c r="F3382" s="2" t="str">
        <x:v>Voluntary non-profit</x:v>
      </x:c>
      <x:c r="G3382" s="2" t="str">
        <x:v>Small (&lt;100 beds)</x:v>
      </x:c>
      <x:c r="H3382" s="7"/>
      <x:c r="I3382" s="7"/>
      <x:c r="J3382" s="7"/>
      <x:c r="K3382" s="8" t="n">
        <x:v>25</x:v>
      </x:c>
      <x:c r="L3382" s="8" t="n">
        <x:v>281</x:v>
      </x:c>
      <x:c r="M3382" s="9" t="n">
        <x:v>0.5250273224</x:v>
      </x:c>
      <x:c r="N3382" s="10" t="n">
        <x:v>98739.4021352313</x:v>
      </x:c>
      <x:c r="O3382" s="9" t="n">
        <x:v>0.105961308</x:v>
      </x:c>
      <x:c r="P3382" s="9" t="n">
        <x:v>0.3152416357</x:v>
      </x:c>
      <x:c r="Q3382" s="9" t="n">
        <x:v>0.292936803</x:v>
      </x:c>
      <x:c r="R3382" s="3" t="b">
        <x:v>0</x:v>
      </x:c>
      <x:c r="S3382" s="3" t="b">
        <x:v>0</x:v>
      </x:c>
      <x:c r="T3382" s="3" t="b">
        <x:v>0</x:v>
      </x:c>
      <x:c r="U3382" s="2" t="str">
        <x:f>IF(T3382=TRUE,"Priority review",IF(R3382=TRUE,"High cost",IF(S3382=TRUE,"Low quality","Benchmark")))</x:f>
        <x:v>Benchmark</x:v>
      </x:c>
    </x:row>
    <x:row r="3383">
      <x:c r="A3383" s="2" t="str">
        <x:v>180005</x:v>
      </x:c>
      <x:c r="B3383" s="2" t="str">
        <x:v>HIGHLANDS ARH REGIONAL MEDICAL CENTER</x:v>
      </x:c>
      <x:c r="C3383" s="2" t="str">
        <x:v>PRESTONSBURG</x:v>
      </x:c>
      <x:c r="D3383" s="2" t="str">
        <x:v>KY</x:v>
      </x:c>
      <x:c r="E3383" s="2" t="str">
        <x:v>Acute Care Hospitals</x:v>
      </x:c>
      <x:c r="F3383" s="2" t="str">
        <x:v>Proprietary</x:v>
      </x:c>
      <x:c r="G3383" s="2" t="str">
        <x:v>Small (&lt;100 beds)</x:v>
      </x:c>
      <x:c r="H3383" s="7" t="n">
        <x:v>2</x:v>
      </x:c>
      <x:c r="I3383" s="7" t="n">
        <x:v>3</x:v>
      </x:c>
      <x:c r="J3383" s="7" t="n">
        <x:v>1.05</x:v>
      </x:c>
      <x:c r="K3383" s="8" t="n">
        <x:v>63</x:v>
      </x:c>
      <x:c r="L3383" s="8" t="n">
        <x:v>3357</x:v>
      </x:c>
      <x:c r="M3383" s="9" t="n">
        <x:v>0.6528810611</x:v>
      </x:c>
      <x:c r="N3383" s="10" t="n">
        <x:v>40221.4152517128</x:v>
      </x:c>
      <x:c r="O3383" s="9" t="n">
        <x:v>-0.220410697</x:v>
      </x:c>
      <x:c r="P3383" s="9" t="n">
        <x:v>0.3150807899</x:v>
      </x:c>
      <x:c r="Q3383" s="9" t="n">
        <x:v>0.0350089767</x:v>
      </x:c>
      <x:c r="R3383" s="3" t="b">
        <x:v>0</x:v>
      </x:c>
      <x:c r="S3383" s="3" t="b">
        <x:v>1</x:v>
      </x:c>
      <x:c r="T3383" s="3" t="b">
        <x:v>0</x:v>
      </x:c>
      <x:c r="U3383" s="2" t="str">
        <x:f>IF(T3383=TRUE,"Priority review",IF(R3383=TRUE,"High cost",IF(S3383=TRUE,"Low quality","Benchmark")))</x:f>
        <x:v>Low quality</x:v>
      </x:c>
    </x:row>
    <x:row r="3384">
      <x:c r="A3384" s="2" t="str">
        <x:v>050329</x:v>
      </x:c>
      <x:c r="B3384" s="2" t="str">
        <x:v>CORONA REGIONAL MEDICAL CENTER</x:v>
      </x:c>
      <x:c r="C3384" s="2" t="str">
        <x:v>CORONA</x:v>
      </x:c>
      <x:c r="D3384" s="2" t="str">
        <x:v>CA</x:v>
      </x:c>
      <x:c r="E3384" s="2" t="str">
        <x:v>Acute Care Hospitals</x:v>
      </x:c>
      <x:c r="F3384" s="2" t="str">
        <x:v>Proprietary</x:v>
      </x:c>
      <x:c r="G3384" s="2" t="str">
        <x:v>Medium (100-299 beds)</x:v>
      </x:c>
      <x:c r="H3384" s="7" t="n">
        <x:v>3</x:v>
      </x:c>
      <x:c r="I3384" s="7" t="n">
        <x:v>2</x:v>
      </x:c>
      <x:c r="J3384" s="7" t="n">
        <x:v>1.04</x:v>
      </x:c>
      <x:c r="K3384" s="8" t="n">
        <x:v>160</x:v>
      </x:c>
      <x:c r="L3384" s="8" t="n">
        <x:v>9564</x:v>
      </x:c>
      <x:c r="M3384" s="9" t="n">
        <x:v>0.6288080601</x:v>
      </x:c>
      <x:c r="N3384" s="10" t="n">
        <x:v>27456.865537432</x:v>
      </x:c>
      <x:c r="O3384" s="9" t="n">
        <x:v>0.0370660652</x:v>
      </x:c>
      <x:c r="P3384" s="9" t="n">
        <x:v>0.3145884271</x:v>
      </x:c>
      <x:c r="Q3384" s="9" t="n">
        <x:v>0.3023634882</x:v>
      </x:c>
      <x:c r="R3384" s="3" t="b">
        <x:v>0</x:v>
      </x:c>
      <x:c r="S3384" s="3" t="b">
        <x:v>0</x:v>
      </x:c>
      <x:c r="T3384" s="3" t="b">
        <x:v>0</x:v>
      </x:c>
      <x:c r="U3384" s="2" t="str">
        <x:f>IF(T3384=TRUE,"Priority review",IF(R3384=TRUE,"High cost",IF(S3384=TRUE,"Low quality","Benchmark")))</x:f>
        <x:v>Benchmark</x:v>
      </x:c>
    </x:row>
    <x:row r="3385">
      <x:c r="A3385" s="2" t="str">
        <x:v>261318</x:v>
      </x:c>
      <x:c r="B3385" s="2" t="str">
        <x:v>SALEM MEMORIAL DISTRICT HOSPITAL</x:v>
      </x:c>
      <x:c r="C3385" s="2" t="str">
        <x:v>SALEM</x:v>
      </x:c>
      <x:c r="D3385" s="2" t="str">
        <x:v>MO</x:v>
      </x:c>
      <x:c r="E3385" s="2" t="str">
        <x:v>Critical Access Hospitals</x:v>
      </x:c>
      <x:c r="F3385" s="2" t="str">
        <x:v>Government</x:v>
      </x:c>
      <x:c r="G3385" s="2" t="str">
        <x:v>Small (&lt;100 beds)</x:v>
      </x:c>
      <x:c r="H3385" s="7" t="n">
        <x:v>4</x:v>
      </x:c>
      <x:c r="I3385" s="7"/>
      <x:c r="J3385" s="7"/>
      <x:c r="K3385" s="8" t="n">
        <x:v>25</x:v>
      </x:c>
      <x:c r="L3385" s="8" t="n">
        <x:v>332</x:v>
      </x:c>
      <x:c r="M3385" s="9" t="n">
        <x:v>0.208</x:v>
      </x:c>
      <x:c r="N3385" s="10" t="n">
        <x:v>98613.6445783133</x:v>
      </x:c>
      <x:c r="O3385" s="9" t="n">
        <x:v>-0.1227837227</x:v>
      </x:c>
      <x:c r="P3385" s="9" t="n">
        <x:v>0.3144981413</x:v>
      </x:c>
      <x:c r="Q3385" s="9" t="n">
        <x:v>0.1657992565</x:v>
      </x:c>
      <x:c r="R3385" s="3" t="b">
        <x:v>0</x:v>
      </x:c>
      <x:c r="S3385" s="3" t="b">
        <x:v>0</x:v>
      </x:c>
      <x:c r="T3385" s="3" t="b">
        <x:v>0</x:v>
      </x:c>
      <x:c r="U3385" s="2" t="str">
        <x:f>IF(T3385=TRUE,"Priority review",IF(R3385=TRUE,"High cost",IF(S3385=TRUE,"Low quality","Benchmark")))</x:f>
        <x:v>Benchmark</x:v>
      </x:c>
    </x:row>
    <x:row r="3386">
      <x:c r="A3386" s="2" t="str">
        <x:v>190011</x:v>
      </x:c>
      <x:c r="B3386" s="2" t="str">
        <x:v>OCHSNER LSU HEALTH MONROE</x:v>
      </x:c>
      <x:c r="C3386" s="2" t="str">
        <x:v>MONROE</x:v>
      </x:c>
      <x:c r="D3386" s="2" t="str">
        <x:v>LA</x:v>
      </x:c>
      <x:c r="E3386" s="2" t="str">
        <x:v>Acute Care Hospitals</x:v>
      </x:c>
      <x:c r="F3386" s="2" t="str">
        <x:v>Voluntary non-profit</x:v>
      </x:c>
      <x:c r="G3386" s="2" t="str">
        <x:v>Small (&lt;100 beds)</x:v>
      </x:c>
      <x:c r="H3386" s="7" t="n">
        <x:v>3</x:v>
      </x:c>
      <x:c r="I3386" s="7" t="n">
        <x:v>4</x:v>
      </x:c>
      <x:c r="J3386" s="7" t="n">
        <x:v>1.12</x:v>
      </x:c>
      <x:c r="K3386" s="8" t="n">
        <x:v>87</x:v>
      </x:c>
      <x:c r="L3386" s="8" t="n">
        <x:v>4196</x:v>
      </x:c>
      <x:c r="M3386" s="9" t="n">
        <x:v>0.5885048692</x:v>
      </x:c>
      <x:c r="N3386" s="10" t="n">
        <x:v>40198.1179694948</x:v>
      </x:c>
      <x:c r="O3386" s="9" t="n">
        <x:v>-0.33806249</x:v>
      </x:c>
      <x:c r="P3386" s="9" t="n">
        <x:v>0.3141831239</x:v>
      </x:c>
      <x:c r="Q3386" s="9" t="n">
        <x:v>0.1687612208</x:v>
      </x:c>
      <x:c r="R3386" s="3" t="b">
        <x:v>0</x:v>
      </x:c>
      <x:c r="S3386" s="3" t="b">
        <x:v>0</x:v>
      </x:c>
      <x:c r="T3386" s="3" t="b">
        <x:v>0</x:v>
      </x:c>
      <x:c r="U3386" s="2" t="str">
        <x:f>IF(T3386=TRUE,"Priority review",IF(R3386=TRUE,"High cost",IF(S3386=TRUE,"Low quality","Benchmark")))</x:f>
        <x:v>Benchmark</x:v>
      </x:c>
    </x:row>
    <x:row r="3387">
      <x:c r="A3387" s="2" t="str">
        <x:v>194085</x:v>
      </x:c>
      <x:c r="B3387" s="2" t="str">
        <x:v>COMPASS BEHAVIORAL CENTER OF LAFAYETTE</x:v>
      </x:c>
      <x:c r="C3387" s="2" t="str">
        <x:v>LAFAYETTE</x:v>
      </x:c>
      <x:c r="D3387" s="2" t="str">
        <x:v>LA</x:v>
      </x:c>
      <x:c r="E3387" s="2" t="str">
        <x:v>Psychiatric</x:v>
      </x:c>
      <x:c r="F3387" s="2" t="str">
        <x:v>Proprietary</x:v>
      </x:c>
      <x:c r="G3387" s="2" t="str">
        <x:v>Small (&lt;100 beds)</x:v>
      </x:c>
      <x:c r="H3387" s="7"/>
      <x:c r="I3387" s="7"/>
      <x:c r="J3387" s="7"/>
      <x:c r="K3387" s="8" t="n">
        <x:v>24</x:v>
      </x:c>
      <x:c r="L3387" s="8" t="n">
        <x:v>899</x:v>
      </x:c>
      <x:c r="M3387" s="9" t="n">
        <x:v>0.6893214936</x:v>
      </x:c>
      <x:c r="N3387" s="10" t="n">
        <x:v>8969.1902113459</x:v>
      </x:c>
      <x:c r="O3387" s="9" t="n">
        <x:v>0.1413876947</x:v>
      </x:c>
      <x:c r="P3387" s="9" t="n">
        <x:v>0.3139158576</x:v>
      </x:c>
      <x:c r="Q3387" s="9" t="n">
        <x:v>0</x:v>
      </x:c>
      <x:c r="R3387" s="3" t="b">
        <x:v>0</x:v>
      </x:c>
      <x:c r="S3387" s="3" t="b">
        <x:v>0</x:v>
      </x:c>
      <x:c r="T3387" s="3" t="b">
        <x:v>0</x:v>
      </x:c>
      <x:c r="U3387" s="2" t="str">
        <x:f>IF(T3387=TRUE,"Priority review",IF(R3387=TRUE,"High cost",IF(S3387=TRUE,"Low quality","Benchmark")))</x:f>
        <x:v>Benchmark</x:v>
      </x:c>
    </x:row>
    <x:row r="3388">
      <x:c r="A3388" s="2" t="str">
        <x:v>240078</x:v>
      </x:c>
      <x:c r="B3388" s="2" t="str">
        <x:v>M HEALTH FAIRVIEW SOUTHDALE HOSPITAL</x:v>
      </x:c>
      <x:c r="C3388" s="2" t="str">
        <x:v>EDINA</x:v>
      </x:c>
      <x:c r="D3388" s="2" t="str">
        <x:v>MN</x:v>
      </x:c>
      <x:c r="E3388" s="2" t="str">
        <x:v>Acute Care Hospitals</x:v>
      </x:c>
      <x:c r="F3388" s="2" t="str">
        <x:v>Voluntary non-profit</x:v>
      </x:c>
      <x:c r="G3388" s="2" t="str">
        <x:v>Large (300+ beds)</x:v>
      </x:c>
      <x:c r="H3388" s="7" t="n">
        <x:v>5</x:v>
      </x:c>
      <x:c r="I3388" s="7" t="n">
        <x:v>3</x:v>
      </x:c>
      <x:c r="J3388" s="7" t="n">
        <x:v>0.92</x:v>
      </x:c>
      <x:c r="K3388" s="8" t="n">
        <x:v>326</x:v>
      </x:c>
      <x:c r="L3388" s="8" t="n">
        <x:v>19147</x:v>
      </x:c>
      <x:c r="M3388" s="9" t="n">
        <x:v>0.7792165342</x:v>
      </x:c>
      <x:c r="N3388" s="10" t="n">
        <x:v>30736.2607719225</x:v>
      </x:c>
      <x:c r="O3388" s="9" t="n">
        <x:v>0.0207604845</x:v>
      </x:c>
      <x:c r="P3388" s="9" t="n">
        <x:v>0.3138801262</x:v>
      </x:c>
      <x:c r="Q3388" s="9" t="n">
        <x:v>0.8722397476</x:v>
      </x:c>
      <x:c r="R3388" s="3" t="b">
        <x:v>0</x:v>
      </x:c>
      <x:c r="S3388" s="3" t="b">
        <x:v>0</x:v>
      </x:c>
      <x:c r="T3388" s="3" t="b">
        <x:v>0</x:v>
      </x:c>
      <x:c r="U3388" s="2" t="str">
        <x:f>IF(T3388=TRUE,"Priority review",IF(R3388=TRUE,"High cost",IF(S3388=TRUE,"Low quality","Benchmark")))</x:f>
        <x:v>Benchmark</x:v>
      </x:c>
    </x:row>
    <x:row r="3389">
      <x:c r="A3389" s="2" t="str">
        <x:v>360360</x:v>
      </x:c>
      <x:c r="B3389" s="2" t="str">
        <x:v>SOIN MEDICAL CENTER</x:v>
      </x:c>
      <x:c r="C3389" s="2" t="str">
        <x:v>BEAVER CREEK</x:v>
      </x:c>
      <x:c r="D3389" s="2" t="str">
        <x:v>OH</x:v>
      </x:c>
      <x:c r="E3389" s="2" t="str">
        <x:v>Acute Care Hospitals</x:v>
      </x:c>
      <x:c r="F3389" s="2" t="str">
        <x:v>Voluntary non-profit</x:v>
      </x:c>
      <x:c r="G3389" s="2" t="str">
        <x:v>Medium (100-299 beds)</x:v>
      </x:c>
      <x:c r="H3389" s="7" t="n">
        <x:v>4</x:v>
      </x:c>
      <x:c r="I3389" s="7" t="n">
        <x:v>4</x:v>
      </x:c>
      <x:c r="J3389" s="7" t="n">
        <x:v>0.99</x:v>
      </x:c>
      <x:c r="K3389" s="8" t="n">
        <x:v>177</x:v>
      </x:c>
      <x:c r="L3389" s="8" t="n">
        <x:v>10260</x:v>
      </x:c>
      <x:c r="M3389" s="9" t="n">
        <x:v>0.6567477213</x:v>
      </x:c>
      <x:c r="N3389" s="10" t="n">
        <x:v>27440.6368421053</x:v>
      </x:c>
      <x:c r="O3389" s="9" t="n">
        <x:v>0.0126242518</x:v>
      </x:c>
      <x:c r="P3389" s="9" t="n">
        <x:v>0.3137734311</x:v>
      </x:c>
      <x:c r="Q3389" s="9" t="n">
        <x:v>0.6022819886</x:v>
      </x:c>
      <x:c r="R3389" s="3" t="b">
        <x:v>0</x:v>
      </x:c>
      <x:c r="S3389" s="3" t="b">
        <x:v>0</x:v>
      </x:c>
      <x:c r="T3389" s="3" t="b">
        <x:v>0</x:v>
      </x:c>
      <x:c r="U3389" s="2" t="str">
        <x:f>IF(T3389=TRUE,"Priority review",IF(R3389=TRUE,"High cost",IF(S3389=TRUE,"Low quality","Benchmark")))</x:f>
        <x:v>Benchmark</x:v>
      </x:c>
    </x:row>
    <x:row r="3390">
      <x:c r="A3390" s="2" t="str">
        <x:v>231322</x:v>
      </x:c>
      <x:c r="B3390" s="2" t="str">
        <x:v>CHARLEVOIX AREA HOSPITAL</x:v>
      </x:c>
      <x:c r="C3390" s="2" t="str">
        <x:v>CHARLEVOIX</x:v>
      </x:c>
      <x:c r="D3390" s="2" t="str">
        <x:v>MI</x:v>
      </x:c>
      <x:c r="E3390" s="2" t="str">
        <x:v>Critical Access Hospitals</x:v>
      </x:c>
      <x:c r="F3390" s="2" t="str">
        <x:v>Voluntary non-profit</x:v>
      </x:c>
      <x:c r="G3390" s="2" t="str">
        <x:v>Small (&lt;100 beds)</x:v>
      </x:c>
      <x:c r="H3390" s="7"/>
      <x:c r="I3390" s="7" t="n">
        <x:v>4</x:v>
      </x:c>
      <x:c r="J3390" s="7"/>
      <x:c r="K3390" s="8" t="n">
        <x:v>25</x:v>
      </x:c>
      <x:c r="L3390" s="8" t="n">
        <x:v>797</x:v>
      </x:c>
      <x:c r="M3390" s="9" t="n">
        <x:v>0.2455890411</x:v>
      </x:c>
      <x:c r="N3390" s="10" t="n">
        <x:v>98587.8544542033</x:v>
      </x:c>
      <x:c r="O3390" s="9" t="n">
        <x:v>0.1015928242</x:v>
      </x:c>
      <x:c r="P3390" s="9" t="n">
        <x:v>0.3137546468</x:v>
      </x:c>
      <x:c r="Q3390" s="9" t="n">
        <x:v>0.292936803</x:v>
      </x:c>
      <x:c r="R3390" s="3" t="b">
        <x:v>0</x:v>
      </x:c>
      <x:c r="S3390" s="3" t="b">
        <x:v>0</x:v>
      </x:c>
      <x:c r="T3390" s="3" t="b">
        <x:v>0</x:v>
      </x:c>
      <x:c r="U3390" s="2" t="str">
        <x:f>IF(T3390=TRUE,"Priority review",IF(R3390=TRUE,"High cost",IF(S3390=TRUE,"Low quality","Benchmark")))</x:f>
        <x:v>Benchmark</x:v>
      </x:c>
    </x:row>
    <x:row r="3391">
      <x:c r="A3391" s="2" t="str">
        <x:v>094004</x:v>
      </x:c>
      <x:c r="B3391" s="2" t="str">
        <x:v>PSYCHIATRIC INSTITUTE OF WASHINGTON</x:v>
      </x:c>
      <x:c r="C3391" s="2" t="str">
        <x:v>WASHINGTON</x:v>
      </x:c>
      <x:c r="D3391" s="2" t="str">
        <x:v>DC</x:v>
      </x:c>
      <x:c r="E3391" s="2" t="str">
        <x:v>Psychiatric</x:v>
      </x:c>
      <x:c r="F3391" s="2" t="str">
        <x:v>Voluntary non-profit</x:v>
      </x:c>
      <x:c r="G3391" s="2" t="str">
        <x:v>Medium (100-299 beds)</x:v>
      </x:c>
      <x:c r="H3391" s="7"/>
      <x:c r="I3391" s="7"/>
      <x:c r="J3391" s="7"/>
      <x:c r="K3391" s="8" t="n">
        <x:v>130</x:v>
      </x:c>
      <x:c r="L3391" s="8" t="n">
        <x:v>4646</x:v>
      </x:c>
      <x:c r="M3391" s="9" t="n">
        <x:v>0.7590727081</x:v>
      </x:c>
      <x:c r="N3391" s="10" t="n">
        <x:v>7782.2628067155</x:v>
      </x:c>
      <x:c r="O3391" s="9" t="n">
        <x:v>0.0670197465</x:v>
      </x:c>
      <x:c r="P3391" s="9" t="n">
        <x:v>0.3134328358</x:v>
      </x:c>
      <x:c r="Q3391" s="9" t="n">
        <x:v>0</x:v>
      </x:c>
      <x:c r="R3391" s="3" t="b">
        <x:v>0</x:v>
      </x:c>
      <x:c r="S3391" s="3" t="b">
        <x:v>0</x:v>
      </x:c>
      <x:c r="T3391" s="3" t="b">
        <x:v>0</x:v>
      </x:c>
      <x:c r="U3391" s="2" t="str">
        <x:f>IF(T3391=TRUE,"Priority review",IF(R3391=TRUE,"High cost",IF(S3391=TRUE,"Low quality","Benchmark")))</x:f>
        <x:v>Benchmark</x:v>
      </x:c>
    </x:row>
    <x:row r="3392">
      <x:c r="A3392" s="2" t="str">
        <x:v>250168</x:v>
      </x:c>
      <x:c r="B3392" s="2" t="str">
        <x:v>UNIVERSITY OF MISSISSIPPI MEDICAL CENTER- GRENADA</x:v>
      </x:c>
      <x:c r="C3392" s="2" t="str">
        <x:v>GRENADA</x:v>
      </x:c>
      <x:c r="D3392" s="2" t="str">
        <x:v>MS</x:v>
      </x:c>
      <x:c r="E3392" s="2" t="str">
        <x:v>Acute Care Hospitals</x:v>
      </x:c>
      <x:c r="F3392" s="2" t="str">
        <x:v>Government</x:v>
      </x:c>
      <x:c r="G3392" s="2" t="str">
        <x:v>Small (&lt;100 beds)</x:v>
      </x:c>
      <x:c r="H3392" s="7" t="n">
        <x:v>1</x:v>
      </x:c>
      <x:c r="I3392" s="7" t="n">
        <x:v>4</x:v>
      </x:c>
      <x:c r="J3392" s="7" t="n">
        <x:v>1.23</x:v>
      </x:c>
      <x:c r="K3392" s="8" t="n">
        <x:v>49</x:v>
      </x:c>
      <x:c r="L3392" s="8" t="n">
        <x:v>1722</x:v>
      </x:c>
      <x:c r="M3392" s="9" t="n">
        <x:v>0.4287391669</x:v>
      </x:c>
      <x:c r="N3392" s="10" t="n">
        <x:v>40147.6742160279</x:v>
      </x:c>
      <x:c r="O3392" s="9" t="n">
        <x:v>0.0789681338</x:v>
      </x:c>
      <x:c r="P3392" s="9" t="n">
        <x:v>0.3132854578</x:v>
      </x:c>
      <x:c r="Q3392" s="9" t="n">
        <x:v>0</x:v>
      </x:c>
      <x:c r="R3392" s="3" t="b">
        <x:v>0</x:v>
      </x:c>
      <x:c r="S3392" s="3" t="b">
        <x:v>1</x:v>
      </x:c>
      <x:c r="T3392" s="3" t="b">
        <x:v>0</x:v>
      </x:c>
      <x:c r="U3392" s="2" t="str">
        <x:f>IF(T3392=TRUE,"Priority review",IF(R3392=TRUE,"High cost",IF(S3392=TRUE,"Low quality","Benchmark")))</x:f>
        <x:v>Low quality</x:v>
      </x:c>
    </x:row>
    <x:row r="3393">
      <x:c r="A3393" s="2" t="str">
        <x:v>471303</x:v>
      </x:c>
      <x:c r="B3393" s="2" t="str">
        <x:v>NORTHEASTERN VERMONT REGIONAL HOSPITAL</x:v>
      </x:c>
      <x:c r="C3393" s="2" t="str">
        <x:v>SAINT JOHNSBURY</x:v>
      </x:c>
      <x:c r="D3393" s="2" t="str">
        <x:v>VT</x:v>
      </x:c>
      <x:c r="E3393" s="2" t="str">
        <x:v>Critical Access Hospitals</x:v>
      </x:c>
      <x:c r="F3393" s="2" t="str">
        <x:v>Voluntary non-profit</x:v>
      </x:c>
      <x:c r="G3393" s="2" t="str">
        <x:v>Small (&lt;100 beds)</x:v>
      </x:c>
      <x:c r="H3393" s="7" t="n">
        <x:v>3</x:v>
      </x:c>
      <x:c r="I3393" s="7" t="n">
        <x:v>4</x:v>
      </x:c>
      <x:c r="J3393" s="7"/>
      <x:c r="K3393" s="8" t="n">
        <x:v>21</x:v>
      </x:c>
      <x:c r="L3393" s="8" t="n">
        <x:v>1302</x:v>
      </x:c>
      <x:c r="M3393" s="9" t="n">
        <x:v>0.613442623</x:v>
      </x:c>
      <x:c r="N3393" s="10" t="n">
        <x:v>98427.2219662058</x:v>
      </x:c>
      <x:c r="O3393" s="9" t="n">
        <x:v>-0.054733644</x:v>
      </x:c>
      <x:c r="P3393" s="9" t="n">
        <x:v>0.3130111524</x:v>
      </x:c>
      <x:c r="Q3393" s="9" t="n">
        <x:v>0.0765799257</x:v>
      </x:c>
      <x:c r="R3393" s="3" t="b">
        <x:v>0</x:v>
      </x:c>
      <x:c r="S3393" s="3" t="b">
        <x:v>1</x:v>
      </x:c>
      <x:c r="T3393" s="3" t="b">
        <x:v>0</x:v>
      </x:c>
      <x:c r="U3393" s="2" t="str">
        <x:f>IF(T3393=TRUE,"Priority review",IF(R3393=TRUE,"High cost",IF(S3393=TRUE,"Low quality","Benchmark")))</x:f>
        <x:v>Low quality</x:v>
      </x:c>
    </x:row>
    <x:row r="3394">
      <x:c r="A3394" s="2" t="str">
        <x:v>390123</x:v>
      </x:c>
      <x:c r="B3394" s="2" t="str">
        <x:v>POTTSTOWN HOSPITAL</x:v>
      </x:c>
      <x:c r="C3394" s="2" t="str">
        <x:v>POTTSTOWN</x:v>
      </x:c>
      <x:c r="D3394" s="2" t="str">
        <x:v>PA</x:v>
      </x:c>
      <x:c r="E3394" s="2" t="str">
        <x:v>Acute Care Hospitals</x:v>
      </x:c>
      <x:c r="F3394" s="2" t="str">
        <x:v>Voluntary non-profit</x:v>
      </x:c>
      <x:c r="G3394" s="2" t="str">
        <x:v>Medium (100-299 beds)</x:v>
      </x:c>
      <x:c r="H3394" s="7" t="n">
        <x:v>2</x:v>
      </x:c>
      <x:c r="I3394" s="7" t="n">
        <x:v>2</x:v>
      </x:c>
      <x:c r="J3394" s="7" t="n">
        <x:v>1</x:v>
      </x:c>
      <x:c r="K3394" s="8" t="n">
        <x:v>185</x:v>
      </x:c>
      <x:c r="L3394" s="8" t="n">
        <x:v>6670</x:v>
      </x:c>
      <x:c r="M3394" s="9" t="n">
        <x:v>0.4249981488</x:v>
      </x:c>
      <x:c r="N3394" s="10" t="n">
        <x:v>27431.3794602699</x:v>
      </x:c>
      <x:c r="O3394" s="9" t="n">
        <x:v>-0.2283254689</x:v>
      </x:c>
      <x:c r="P3394" s="9" t="n">
        <x:v>0.3129584352</x:v>
      </x:c>
      <x:c r="Q3394" s="9" t="n">
        <x:v>0.0782396088</x:v>
      </x:c>
      <x:c r="R3394" s="3" t="b">
        <x:v>0</x:v>
      </x:c>
      <x:c r="S3394" s="3" t="b">
        <x:v>1</x:v>
      </x:c>
      <x:c r="T3394" s="3" t="b">
        <x:v>0</x:v>
      </x:c>
      <x:c r="U3394" s="2" t="str">
        <x:f>IF(T3394=TRUE,"Priority review",IF(R3394=TRUE,"High cost",IF(S3394=TRUE,"Low quality","Benchmark")))</x:f>
        <x:v>Low quality</x:v>
      </x:c>
    </x:row>
    <x:row r="3395">
      <x:c r="A3395" s="2" t="str">
        <x:v>500031</x:v>
      </x:c>
      <x:c r="B3395" s="2" t="str">
        <x:v>GRAYS HARBOR COMMUNITY HOSPITAL</x:v>
      </x:c>
      <x:c r="C3395" s="2" t="str">
        <x:v>ABERDEEN</x:v>
      </x:c>
      <x:c r="D3395" s="2" t="str">
        <x:v>WA</x:v>
      </x:c>
      <x:c r="E3395" s="2" t="str">
        <x:v>Acute Care Hospitals</x:v>
      </x:c>
      <x:c r="F3395" s="2" t="str">
        <x:v>Voluntary non-profit</x:v>
      </x:c>
      <x:c r="G3395" s="2" t="str">
        <x:v>Small (&lt;100 beds)</x:v>
      </x:c>
      <x:c r="H3395" s="7" t="n">
        <x:v>3</x:v>
      </x:c>
      <x:c r="I3395" s="7" t="n">
        <x:v>2</x:v>
      </x:c>
      <x:c r="J3395" s="7" t="n">
        <x:v>0.97</x:v>
      </x:c>
      <x:c r="K3395" s="8" t="n">
        <x:v>49</x:v>
      </x:c>
      <x:c r="L3395" s="8" t="n">
        <x:v>2977</x:v>
      </x:c>
      <x:c r="M3395" s="9" t="n">
        <x:v>0.7953607673</x:v>
      </x:c>
      <x:c r="N3395" s="10" t="n">
        <x:v>40103.7423580786</x:v>
      </x:c>
      <x:c r="O3395" s="9" t="n">
        <x:v>-0.0504639917</x:v>
      </x:c>
      <x:c r="P3395" s="9" t="n">
        <x:v>0.3123877917</x:v>
      </x:c>
      <x:c r="Q3395" s="9" t="n">
        <x:v>0.1687612208</x:v>
      </x:c>
      <x:c r="R3395" s="3" t="b">
        <x:v>0</x:v>
      </x:c>
      <x:c r="S3395" s="3" t="b">
        <x:v>0</x:v>
      </x:c>
      <x:c r="T3395" s="3" t="b">
        <x:v>0</x:v>
      </x:c>
      <x:c r="U3395" s="2" t="str">
        <x:f>IF(T3395=TRUE,"Priority review",IF(R3395=TRUE,"High cost",IF(S3395=TRUE,"Low quality","Benchmark")))</x:f>
        <x:v>Benchmark</x:v>
      </x:c>
    </x:row>
    <x:row r="3396">
      <x:c r="A3396" s="2" t="str">
        <x:v>050103</x:v>
      </x:c>
      <x:c r="B3396" s="2" t="str">
        <x:v>ADVENTIST HEALTH WHITE MEMORIAL</x:v>
      </x:c>
      <x:c r="C3396" s="2" t="str">
        <x:v>LOS ANGELES</x:v>
      </x:c>
      <x:c r="D3396" s="2" t="str">
        <x:v>CA</x:v>
      </x:c>
      <x:c r="E3396" s="2" t="str">
        <x:v>Acute Care Hospitals</x:v>
      </x:c>
      <x:c r="F3396" s="2" t="str">
        <x:v>Voluntary non-profit</x:v>
      </x:c>
      <x:c r="G3396" s="2" t="str">
        <x:v>Large (300+ beds)</x:v>
      </x:c>
      <x:c r="H3396" s="7" t="n">
        <x:v>3</x:v>
      </x:c>
      <x:c r="I3396" s="7" t="n">
        <x:v>2</x:v>
      </x:c>
      <x:c r="J3396" s="7" t="n">
        <x:v>1.1</x:v>
      </x:c>
      <x:c r="K3396" s="8" t="n">
        <x:v>368</x:v>
      </x:c>
      <x:c r="L3396" s="8" t="n">
        <x:v>22631</x:v>
      </x:c>
      <x:c r="M3396" s="9" t="n">
        <x:v>0.7324705987</x:v>
      </x:c>
      <x:c r="N3396" s="10" t="n">
        <x:v>30602.4098802528</x:v>
      </x:c>
      <x:c r="O3396" s="9" t="n">
        <x:v>-0.1653339006</x:v>
      </x:c>
      <x:c r="P3396" s="9" t="n">
        <x:v>0.3123028391</x:v>
      </x:c>
      <x:c r="Q3396" s="9" t="n">
        <x:v>0.2570977918</x:v>
      </x:c>
      <x:c r="R3396" s="3" t="b">
        <x:v>0</x:v>
      </x:c>
      <x:c r="S3396" s="3" t="b">
        <x:v>0</x:v>
      </x:c>
      <x:c r="T3396" s="3" t="b">
        <x:v>0</x:v>
      </x:c>
      <x:c r="U3396" s="2" t="str">
        <x:f>IF(T3396=TRUE,"Priority review",IF(R3396=TRUE,"High cost",IF(S3396=TRUE,"Low quality","Benchmark")))</x:f>
        <x:v>Benchmark</x:v>
      </x:c>
    </x:row>
    <x:row r="3397">
      <x:c r="A3397" s="2" t="str">
        <x:v>171372</x:v>
      </x:c>
      <x:c r="B3397" s="2" t="str">
        <x:v>SCOTT COUNTY HOSPITAL</x:v>
      </x:c>
      <x:c r="C3397" s="2" t="str">
        <x:v>SCOTT CITY</x:v>
      </x:c>
      <x:c r="D3397" s="2" t="str">
        <x:v>KS</x:v>
      </x:c>
      <x:c r="E3397" s="2" t="str">
        <x:v>Critical Access Hospitals</x:v>
      </x:c>
      <x:c r="F3397" s="2" t="str">
        <x:v>Voluntary non-profit</x:v>
      </x:c>
      <x:c r="G3397" s="2" t="str">
        <x:v>Small (&lt;100 beds)</x:v>
      </x:c>
      <x:c r="H3397" s="7" t="n">
        <x:v>2</x:v>
      </x:c>
      <x:c r="I3397" s="7"/>
      <x:c r="J3397" s="7"/>
      <x:c r="K3397" s="8" t="n">
        <x:v>25</x:v>
      </x:c>
      <x:c r="L3397" s="8" t="n">
        <x:v>375</x:v>
      </x:c>
      <x:c r="M3397" s="9" t="n">
        <x:v>0.3407123288</x:v>
      </x:c>
      <x:c r="N3397" s="10" t="n">
        <x:v>98358.384</x:v>
      </x:c>
      <x:c r="O3397" s="9" t="n">
        <x:v>-0.1623695787</x:v>
      </x:c>
      <x:c r="P3397" s="9" t="n">
        <x:v>0.312267658</x:v>
      </x:c>
      <x:c r="Q3397" s="9" t="n">
        <x:v>0.0171003717</x:v>
      </x:c>
      <x:c r="R3397" s="3" t="b">
        <x:v>0</x:v>
      </x:c>
      <x:c r="S3397" s="3" t="b">
        <x:v>1</x:v>
      </x:c>
      <x:c r="T3397" s="3" t="b">
        <x:v>0</x:v>
      </x:c>
      <x:c r="U3397" s="2" t="str">
        <x:f>IF(T3397=TRUE,"Priority review",IF(R3397=TRUE,"High cost",IF(S3397=TRUE,"Low quality","Benchmark")))</x:f>
        <x:v>Low quality</x:v>
      </x:c>
    </x:row>
    <x:row r="3398">
      <x:c r="A3398" s="2" t="str">
        <x:v>230216</x:v>
      </x:c>
      <x:c r="B3398" s="2" t="str">
        <x:v>MCLAREN PORT HURON</x:v>
      </x:c>
      <x:c r="C3398" s="2" t="str">
        <x:v>PORT HURON</x:v>
      </x:c>
      <x:c r="D3398" s="2" t="str">
        <x:v>MI</x:v>
      </x:c>
      <x:c r="E3398" s="2" t="str">
        <x:v>Acute Care Hospitals</x:v>
      </x:c>
      <x:c r="F3398" s="2" t="str">
        <x:v>Voluntary non-profit</x:v>
      </x:c>
      <x:c r="G3398" s="2" t="str">
        <x:v>Medium (100-299 beds)</x:v>
      </x:c>
      <x:c r="H3398" s="7" t="n">
        <x:v>2</x:v>
      </x:c>
      <x:c r="I3398" s="7" t="n">
        <x:v>3</x:v>
      </x:c>
      <x:c r="J3398" s="7" t="n">
        <x:v>0.94</x:v>
      </x:c>
      <x:c r="K3398" s="8" t="n">
        <x:v>152</x:v>
      </x:c>
      <x:c r="L3398" s="8" t="n">
        <x:v>8731</x:v>
      </x:c>
      <x:c r="M3398" s="9" t="n">
        <x:v>0.7077581248</x:v>
      </x:c>
      <x:c r="N3398" s="10" t="n">
        <x:v>27430.4164471424</x:v>
      </x:c>
      <x:c r="O3398" s="9" t="n">
        <x:v>0.0336861818</x:v>
      </x:c>
      <x:c r="P3398" s="9" t="n">
        <x:v>0.3121434393</x:v>
      </x:c>
      <x:c r="Q3398" s="9" t="n">
        <x:v>0.0782396088</x:v>
      </x:c>
      <x:c r="R3398" s="3" t="b">
        <x:v>0</x:v>
      </x:c>
      <x:c r="S3398" s="3" t="b">
        <x:v>1</x:v>
      </x:c>
      <x:c r="T3398" s="3" t="b">
        <x:v>0</x:v>
      </x:c>
      <x:c r="U3398" s="2" t="str">
        <x:f>IF(T3398=TRUE,"Priority review",IF(R3398=TRUE,"High cost",IF(S3398=TRUE,"Low quality","Benchmark")))</x:f>
        <x:v>Low quality</x:v>
      </x:c>
    </x:row>
    <x:row r="3399">
      <x:c r="A3399" s="2" t="str">
        <x:v>171370</x:v>
      </x:c>
      <x:c r="B3399" s="2" t="str">
        <x:v>GOODLAND REGIONAL MEDICAL CENTER</x:v>
      </x:c>
      <x:c r="C3399" s="2" t="str">
        <x:v>GOODLAND</x:v>
      </x:c>
      <x:c r="D3399" s="2" t="str">
        <x:v>KS</x:v>
      </x:c>
      <x:c r="E3399" s="2" t="str">
        <x:v>Critical Access Hospitals</x:v>
      </x:c>
      <x:c r="F3399" s="2" t="str">
        <x:v>Government</x:v>
      </x:c>
      <x:c r="G3399" s="2" t="str">
        <x:v>Small (&lt;100 beds)</x:v>
      </x:c>
      <x:c r="H3399" s="7" t="n">
        <x:v>2</x:v>
      </x:c>
      <x:c r="I3399" s="7"/>
      <x:c r="J3399" s="7"/>
      <x:c r="K3399" s="8" t="n">
        <x:v>23</x:v>
      </x:c>
      <x:c r="L3399" s="8" t="n">
        <x:v>258</x:v>
      </x:c>
      <x:c r="M3399" s="9" t="n">
        <x:v>0.140650986</x:v>
      </x:c>
      <x:c r="N3399" s="10" t="n">
        <x:v>98098.9108527132</x:v>
      </x:c>
      <x:c r="O3399" s="9" t="n">
        <x:v>-0.2237153187</x:v>
      </x:c>
      <x:c r="P3399" s="9" t="n">
        <x:v>0.3115241636</x:v>
      </x:c>
      <x:c r="Q3399" s="9" t="n">
        <x:v>0.0171003717</x:v>
      </x:c>
      <x:c r="R3399" s="3" t="b">
        <x:v>0</x:v>
      </x:c>
      <x:c r="S3399" s="3" t="b">
        <x:v>1</x:v>
      </x:c>
      <x:c r="T3399" s="3" t="b">
        <x:v>0</x:v>
      </x:c>
      <x:c r="U3399" s="2" t="str">
        <x:f>IF(T3399=TRUE,"Priority review",IF(R3399=TRUE,"High cost",IF(S3399=TRUE,"Low quality","Benchmark")))</x:f>
        <x:v>Low quality</x:v>
      </x:c>
    </x:row>
    <x:row r="3400">
      <x:c r="A3400" s="2" t="str">
        <x:v>450465</x:v>
      </x:c>
      <x:c r="B3400" s="2" t="str">
        <x:v>MATAGORDA REGIONAL MEDICAL CENTER</x:v>
      </x:c>
      <x:c r="C3400" s="2" t="str">
        <x:v>BAY CITY</x:v>
      </x:c>
      <x:c r="D3400" s="2" t="str">
        <x:v>TX</x:v>
      </x:c>
      <x:c r="E3400" s="2" t="str">
        <x:v>Acute Care Hospitals</x:v>
      </x:c>
      <x:c r="F3400" s="2" t="str">
        <x:v>Government</x:v>
      </x:c>
      <x:c r="G3400" s="2" t="str">
        <x:v>Small (&lt;100 beds)</x:v>
      </x:c>
      <x:c r="H3400" s="7" t="n">
        <x:v>5</x:v>
      </x:c>
      <x:c r="I3400" s="7" t="n">
        <x:v>4</x:v>
      </x:c>
      <x:c r="J3400" s="7" t="n">
        <x:v>1.03</x:v>
      </x:c>
      <x:c r="K3400" s="8" t="n">
        <x:v>45</x:v>
      </x:c>
      <x:c r="L3400" s="8" t="n">
        <x:v>1692</x:v>
      </x:c>
      <x:c r="M3400" s="9" t="n">
        <x:v>0.2842137219</x:v>
      </x:c>
      <x:c r="N3400" s="10" t="n">
        <x:v>40068.128250591</x:v>
      </x:c>
      <x:c r="O3400" s="9" t="n">
        <x:v>-0.5645533931</x:v>
      </x:c>
      <x:c r="P3400" s="9" t="n">
        <x:v>0.3114901257</x:v>
      </x:c>
      <x:c r="Q3400" s="9" t="n">
        <x:v>0.6131059246</x:v>
      </x:c>
      <x:c r="R3400" s="3" t="b">
        <x:v>0</x:v>
      </x:c>
      <x:c r="S3400" s="3" t="b">
        <x:v>0</x:v>
      </x:c>
      <x:c r="T3400" s="3" t="b">
        <x:v>0</x:v>
      </x:c>
      <x:c r="U3400" s="2" t="str">
        <x:f>IF(T3400=TRUE,"Priority review",IF(R3400=TRUE,"High cost",IF(S3400=TRUE,"Low quality","Benchmark")))</x:f>
        <x:v>Benchmark</x:v>
      </x:c>
    </x:row>
    <x:row r="3401">
      <x:c r="A3401" s="2" t="str">
        <x:v>360143</x:v>
      </x:c>
      <x:c r="B3401" s="2" t="str">
        <x:v>MARYMOUNT HOSPITAL</x:v>
      </x:c>
      <x:c r="C3401" s="2" t="str">
        <x:v>GARFIELD HEIGHTS</x:v>
      </x:c>
      <x:c r="D3401" s="2" t="str">
        <x:v>OH</x:v>
      </x:c>
      <x:c r="E3401" s="2" t="str">
        <x:v>Acute Care Hospitals</x:v>
      </x:c>
      <x:c r="F3401" s="2" t="str">
        <x:v>Voluntary non-profit</x:v>
      </x:c>
      <x:c r="G3401" s="2" t="str">
        <x:v>Medium (100-299 beds)</x:v>
      </x:c>
      <x:c r="H3401" s="7" t="n">
        <x:v>5</x:v>
      </x:c>
      <x:c r="I3401" s="7" t="n">
        <x:v>3</x:v>
      </x:c>
      <x:c r="J3401" s="7" t="n">
        <x:v>1</x:v>
      </x:c>
      <x:c r="K3401" s="8" t="n">
        <x:v>188</x:v>
      </x:c>
      <x:c r="L3401" s="8" t="n">
        <x:v>7570</x:v>
      </x:c>
      <x:c r="M3401" s="9" t="n">
        <x:v>0.4909355873</x:v>
      </x:c>
      <x:c r="N3401" s="10" t="n">
        <x:v>27409.9940554822</x:v>
      </x:c>
      <x:c r="O3401" s="9" t="n">
        <x:v>-0.0413124152</x:v>
      </x:c>
      <x:c r="P3401" s="9" t="n">
        <x:v>0.3113284434</x:v>
      </x:c>
      <x:c r="Q3401" s="9" t="n">
        <x:v>0.8744906275</x:v>
      </x:c>
      <x:c r="R3401" s="3" t="b">
        <x:v>0</x:v>
      </x:c>
      <x:c r="S3401" s="3" t="b">
        <x:v>0</x:v>
      </x:c>
      <x:c r="T3401" s="3" t="b">
        <x:v>0</x:v>
      </x:c>
      <x:c r="U3401" s="2" t="str">
        <x:f>IF(T3401=TRUE,"Priority review",IF(R3401=TRUE,"High cost",IF(S3401=TRUE,"Low quality","Benchmark")))</x:f>
        <x:v>Benchmark</x:v>
      </x:c>
    </x:row>
    <x:row r="3402">
      <x:c r="A3402" s="2" t="str">
        <x:v>361325</x:v>
      </x:c>
      <x:c r="B3402" s="2" t="str">
        <x:v>GALION COMMUNITY HOSPITAL</x:v>
      </x:c>
      <x:c r="C3402" s="2" t="str">
        <x:v>GALION</x:v>
      </x:c>
      <x:c r="D3402" s="2" t="str">
        <x:v>OH</x:v>
      </x:c>
      <x:c r="E3402" s="2" t="str">
        <x:v>Critical Access Hospitals</x:v>
      </x:c>
      <x:c r="F3402" s="2" t="str">
        <x:v>Voluntary non-profit</x:v>
      </x:c>
      <x:c r="G3402" s="2" t="str">
        <x:v>Small (&lt;100 beds)</x:v>
      </x:c>
      <x:c r="H3402" s="7" t="n">
        <x:v>3</x:v>
      </x:c>
      <x:c r="I3402" s="7" t="n">
        <x:v>4</x:v>
      </x:c>
      <x:c r="J3402" s="7"/>
      <x:c r="K3402" s="8" t="n">
        <x:v>25</x:v>
      </x:c>
      <x:c r="L3402" s="8" t="n">
        <x:v>1275</x:v>
      </x:c>
      <x:c r="M3402" s="9" t="n">
        <x:v>0.4597260274</x:v>
      </x:c>
      <x:c r="N3402" s="10" t="n">
        <x:v>98081.0141176471</x:v>
      </x:c>
      <x:c r="O3402" s="9" t="n">
        <x:v>0.2154456939</x:v>
      </x:c>
      <x:c r="P3402" s="9" t="n">
        <x:v>0.3107806691</x:v>
      </x:c>
      <x:c r="Q3402" s="9" t="n">
        <x:v>0.0765799257</x:v>
      </x:c>
      <x:c r="R3402" s="3" t="b">
        <x:v>0</x:v>
      </x:c>
      <x:c r="S3402" s="3" t="b">
        <x:v>1</x:v>
      </x:c>
      <x:c r="T3402" s="3" t="b">
        <x:v>0</x:v>
      </x:c>
      <x:c r="U3402" s="2" t="str">
        <x:f>IF(T3402=TRUE,"Priority review",IF(R3402=TRUE,"High cost",IF(S3402=TRUE,"Low quality","Benchmark")))</x:f>
        <x:v>Low quality</x:v>
      </x:c>
    </x:row>
    <x:row r="3403">
      <x:c r="A3403" s="2" t="str">
        <x:v>490005</x:v>
      </x:c>
      <x:c r="B3403" s="2" t="str">
        <x:v>WINCHESTER MEDICAL CENTER</x:v>
      </x:c>
      <x:c r="C3403" s="2" t="str">
        <x:v>WINCHESTER</x:v>
      </x:c>
      <x:c r="D3403" s="2" t="str">
        <x:v>VA</x:v>
      </x:c>
      <x:c r="E3403" s="2" t="str">
        <x:v>Acute Care Hospitals</x:v>
      </x:c>
      <x:c r="F3403" s="2" t="str">
        <x:v>Voluntary non-profit</x:v>
      </x:c>
      <x:c r="G3403" s="2" t="str">
        <x:v>Large (300+ beds)</x:v>
      </x:c>
      <x:c r="H3403" s="7" t="n">
        <x:v>4</x:v>
      </x:c>
      <x:c r="I3403" s="7" t="n">
        <x:v>3</x:v>
      </x:c>
      <x:c r="J3403" s="7" t="n">
        <x:v>0.96</x:v>
      </x:c>
      <x:c r="K3403" s="8" t="n">
        <x:v>455</x:v>
      </x:c>
      <x:c r="L3403" s="8" t="n">
        <x:v>27457</x:v>
      </x:c>
      <x:c r="M3403" s="9" t="n">
        <x:v>0.7208190716</x:v>
      </x:c>
      <x:c r="N3403" s="10" t="n">
        <x:v>30464.1070765196</x:v>
      </x:c>
      <x:c r="O3403" s="9" t="n">
        <x:v>0.0074083162</x:v>
      </x:c>
      <x:c r="P3403" s="9" t="n">
        <x:v>0.3107255521</x:v>
      </x:c>
      <x:c r="Q3403" s="9" t="n">
        <x:v>0.5899053628</x:v>
      </x:c>
      <x:c r="R3403" s="3" t="b">
        <x:v>0</x:v>
      </x:c>
      <x:c r="S3403" s="3" t="b">
        <x:v>0</x:v>
      </x:c>
      <x:c r="T3403" s="3" t="b">
        <x:v>0</x:v>
      </x:c>
      <x:c r="U3403" s="2" t="str">
        <x:f>IF(T3403=TRUE,"Priority review",IF(R3403=TRUE,"High cost",IF(S3403=TRUE,"Low quality","Benchmark")))</x:f>
        <x:v>Benchmark</x:v>
      </x:c>
    </x:row>
    <x:row r="3404">
      <x:c r="A3404" s="2" t="str">
        <x:v>364053</x:v>
      </x:c>
      <x:c r="B3404" s="2" t="str">
        <x:v>HIGHLAND SPRINGS</x:v>
      </x:c>
      <x:c r="C3404" s="2" t="str">
        <x:v>BEACHWOOD</x:v>
      </x:c>
      <x:c r="D3404" s="2" t="str">
        <x:v>OH</x:v>
      </x:c>
      <x:c r="E3404" s="2" t="str">
        <x:v>Psychiatric</x:v>
      </x:c>
      <x:c r="F3404" s="2" t="str">
        <x:v>Proprietary</x:v>
      </x:c>
      <x:c r="G3404" s="2" t="str">
        <x:v>Small (&lt;100 beds)</x:v>
      </x:c>
      <x:c r="H3404" s="7"/>
      <x:c r="I3404" s="7"/>
      <x:c r="J3404" s="7"/>
      <x:c r="K3404" s="8" t="n">
        <x:v>72</x:v>
      </x:c>
      <x:c r="L3404" s="8" t="n">
        <x:v>2811</x:v>
      </x:c>
      <x:c r="M3404" s="9" t="n">
        <x:v>0.8125190259</x:v>
      </x:c>
      <x:c r="N3404" s="10" t="n">
        <x:v>8959.7289220918</x:v>
      </x:c>
      <x:c r="O3404" s="9"/>
      <x:c r="P3404" s="9" t="n">
        <x:v>0.3106796117</x:v>
      </x:c>
      <x:c r="Q3404" s="9" t="n">
        <x:v>0</x:v>
      </x:c>
      <x:c r="R3404" s="3" t="b">
        <x:v>0</x:v>
      </x:c>
      <x:c r="S3404" s="3" t="b">
        <x:v>0</x:v>
      </x:c>
      <x:c r="T3404" s="3" t="b">
        <x:v>0</x:v>
      </x:c>
      <x:c r="U3404" s="2" t="str">
        <x:f>IF(T3404=TRUE,"Priority review",IF(R3404=TRUE,"High cost",IF(S3404=TRUE,"Low quality","Benchmark")))</x:f>
        <x:v>Benchmark</x:v>
      </x:c>
    </x:row>
    <x:row r="3405">
      <x:c r="A3405" s="2" t="str">
        <x:v>150091</x:v>
      </x:c>
      <x:c r="B3405" s="2" t="str">
        <x:v>PARKVIEW HUNTINGTON HOSPITAL</x:v>
      </x:c>
      <x:c r="C3405" s="2" t="str">
        <x:v>HUNTINGTON</x:v>
      </x:c>
      <x:c r="D3405" s="2" t="str">
        <x:v>IN</x:v>
      </x:c>
      <x:c r="E3405" s="2" t="str">
        <x:v>Acute Care Hospitals</x:v>
      </x:c>
      <x:c r="F3405" s="2" t="str">
        <x:v>Voluntary non-profit</x:v>
      </x:c>
      <x:c r="G3405" s="2" t="str">
        <x:v>Small (&lt;100 beds)</x:v>
      </x:c>
      <x:c r="H3405" s="7" t="n">
        <x:v>4</x:v>
      </x:c>
      <x:c r="I3405" s="7" t="n">
        <x:v>4</x:v>
      </x:c>
      <x:c r="J3405" s="7" t="n">
        <x:v>0.9</x:v>
      </x:c>
      <x:c r="K3405" s="8" t="n">
        <x:v>36</x:v>
      </x:c>
      <x:c r="L3405" s="8" t="n">
        <x:v>1803</x:v>
      </x:c>
      <x:c r="M3405" s="9" t="n">
        <x:v>0.3961748634</x:v>
      </x:c>
      <x:c r="N3405" s="10" t="n">
        <x:v>39983.4936217415</x:v>
      </x:c>
      <x:c r="O3405" s="9" t="n">
        <x:v>0.0990900552</x:v>
      </x:c>
      <x:c r="P3405" s="9" t="n">
        <x:v>0.3105924596</x:v>
      </x:c>
      <x:c r="Q3405" s="9" t="n">
        <x:v>0.3913824057</x:v>
      </x:c>
      <x:c r="R3405" s="3" t="b">
        <x:v>0</x:v>
      </x:c>
      <x:c r="S3405" s="3" t="b">
        <x:v>0</x:v>
      </x:c>
      <x:c r="T3405" s="3" t="b">
        <x:v>0</x:v>
      </x:c>
      <x:c r="U3405" s="2" t="str">
        <x:f>IF(T3405=TRUE,"Priority review",IF(R3405=TRUE,"High cost",IF(S3405=TRUE,"Low quality","Benchmark")))</x:f>
        <x:v>Benchmark</x:v>
      </x:c>
    </x:row>
    <x:row r="3406">
      <x:c r="A3406" s="2" t="str">
        <x:v>290032</x:v>
      </x:c>
      <x:c r="B3406" s="2" t="str">
        <x:v>NORTHERN NEVADA MEDICAL CENTER</x:v>
      </x:c>
      <x:c r="C3406" s="2" t="str">
        <x:v>SPARKS</x:v>
      </x:c>
      <x:c r="D3406" s="2" t="str">
        <x:v>NV</x:v>
      </x:c>
      <x:c r="E3406" s="2" t="str">
        <x:v>Acute Care Hospitals</x:v>
      </x:c>
      <x:c r="F3406" s="2" t="str">
        <x:v>Voluntary non-profit</x:v>
      </x:c>
      <x:c r="G3406" s="2" t="str">
        <x:v>Medium (100-299 beds)</x:v>
      </x:c>
      <x:c r="H3406" s="7" t="n">
        <x:v>3</x:v>
      </x:c>
      <x:c r="I3406" s="7" t="n">
        <x:v>3</x:v>
      </x:c>
      <x:c r="J3406" s="7" t="n">
        <x:v>0.93</x:v>
      </x:c>
      <x:c r="K3406" s="8" t="n">
        <x:v>258</x:v>
      </x:c>
      <x:c r="L3406" s="8" t="n">
        <x:v>7105</x:v>
      </x:c>
      <x:c r="M3406" s="9" t="n">
        <x:v>0.317914178</x:v>
      </x:c>
      <x:c r="N3406" s="10" t="n">
        <x:v>27387.3871921182</x:v>
      </x:c>
      <x:c r="O3406" s="9" t="n">
        <x:v>0.1533878693</x:v>
      </x:c>
      <x:c r="P3406" s="9" t="n">
        <x:v>0.3105134474</x:v>
      </x:c>
      <x:c r="Q3406" s="9" t="n">
        <x:v>0.3023634882</x:v>
      </x:c>
      <x:c r="R3406" s="3" t="b">
        <x:v>0</x:v>
      </x:c>
      <x:c r="S3406" s="3" t="b">
        <x:v>0</x:v>
      </x:c>
      <x:c r="T3406" s="3" t="b">
        <x:v>0</x:v>
      </x:c>
      <x:c r="U3406" s="2" t="str">
        <x:f>IF(T3406=TRUE,"Priority review",IF(R3406=TRUE,"High cost",IF(S3406=TRUE,"Low quality","Benchmark")))</x:f>
        <x:v>Benchmark</x:v>
      </x:c>
    </x:row>
    <x:row r="3407">
      <x:c r="A3407" s="2" t="str">
        <x:v>271332</x:v>
      </x:c>
      <x:c r="B3407" s="2" t="str">
        <x:v>GLENDIVE MEDICAL CENTER</x:v>
      </x:c>
      <x:c r="C3407" s="2" t="str">
        <x:v>GLENDIVE</x:v>
      </x:c>
      <x:c r="D3407" s="2" t="str">
        <x:v>MT</x:v>
      </x:c>
      <x:c r="E3407" s="2" t="str">
        <x:v>Critical Access Hospitals</x:v>
      </x:c>
      <x:c r="F3407" s="2" t="str">
        <x:v>Voluntary non-profit</x:v>
      </x:c>
      <x:c r="G3407" s="2" t="str">
        <x:v>Small (&lt;100 beds)</x:v>
      </x:c>
      <x:c r="H3407" s="7" t="n">
        <x:v>1</x:v>
      </x:c>
      <x:c r="I3407" s="7" t="n">
        <x:v>4</x:v>
      </x:c>
      <x:c r="J3407" s="7"/>
      <x:c r="K3407" s="8" t="n">
        <x:v>25</x:v>
      </x:c>
      <x:c r="L3407" s="8" t="n">
        <x:v>669</x:v>
      </x:c>
      <x:c r="M3407" s="9" t="n">
        <x:v>0.4355068493</x:v>
      </x:c>
      <x:c r="N3407" s="10" t="n">
        <x:v>98058.5560538117</x:v>
      </x:c>
      <x:c r="O3407" s="9" t="n">
        <x:v>-0.0440599914</x:v>
      </x:c>
      <x:c r="P3407" s="9" t="n">
        <x:v>0.3100371747</x:v>
      </x:c>
      <x:c r="Q3407" s="9" t="n">
        <x:v>0</x:v>
      </x:c>
      <x:c r="R3407" s="3" t="b">
        <x:v>0</x:v>
      </x:c>
      <x:c r="S3407" s="3" t="b">
        <x:v>1</x:v>
      </x:c>
      <x:c r="T3407" s="3" t="b">
        <x:v>0</x:v>
      </x:c>
      <x:c r="U3407" s="2" t="str">
        <x:f>IF(T3407=TRUE,"Priority review",IF(R3407=TRUE,"High cost",IF(S3407=TRUE,"Low quality","Benchmark")))</x:f>
        <x:v>Low quality</x:v>
      </x:c>
    </x:row>
    <x:row r="3408">
      <x:c r="A3408" s="2" t="str">
        <x:v>390204</x:v>
      </x:c>
      <x:c r="B3408" s="2" t="str">
        <x:v>NAZARETH HOSPITAL</x:v>
      </x:c>
      <x:c r="C3408" s="2" t="str">
        <x:v>PHILADELPHIA</x:v>
      </x:c>
      <x:c r="D3408" s="2" t="str">
        <x:v>PA</x:v>
      </x:c>
      <x:c r="E3408" s="2" t="str">
        <x:v>Acute Care Hospitals</x:v>
      </x:c>
      <x:c r="F3408" s="2" t="str">
        <x:v>Voluntary non-profit</x:v>
      </x:c>
      <x:c r="G3408" s="2" t="str">
        <x:v>Medium (100-299 beds)</x:v>
      </x:c>
      <x:c r="H3408" s="7" t="n">
        <x:v>2</x:v>
      </x:c>
      <x:c r="I3408" s="7" t="n">
        <x:v>2</x:v>
      </x:c>
      <x:c r="J3408" s="7" t="n">
        <x:v>1.06</x:v>
      </x:c>
      <x:c r="K3408" s="8" t="n">
        <x:v>132</x:v>
      </x:c>
      <x:c r="L3408" s="8" t="n">
        <x:v>6845</x:v>
      </x:c>
      <x:c r="M3408" s="9" t="n">
        <x:v>0.6067662931</x:v>
      </x:c>
      <x:c r="N3408" s="10" t="n">
        <x:v>27385.3940102264</x:v>
      </x:c>
      <x:c r="O3408" s="9" t="n">
        <x:v>-0.2037708753</x:v>
      </x:c>
      <x:c r="P3408" s="9" t="n">
        <x:v>0.3096984515</x:v>
      </x:c>
      <x:c r="Q3408" s="9" t="n">
        <x:v>0.0782396088</x:v>
      </x:c>
      <x:c r="R3408" s="3" t="b">
        <x:v>0</x:v>
      </x:c>
      <x:c r="S3408" s="3" t="b">
        <x:v>1</x:v>
      </x:c>
      <x:c r="T3408" s="3" t="b">
        <x:v>0</x:v>
      </x:c>
      <x:c r="U3408" s="2" t="str">
        <x:f>IF(T3408=TRUE,"Priority review",IF(R3408=TRUE,"High cost",IF(S3408=TRUE,"Low quality","Benchmark")))</x:f>
        <x:v>Low quality</x:v>
      </x:c>
    </x:row>
    <x:row r="3409">
      <x:c r="A3409" s="2" t="str">
        <x:v>330086</x:v>
      </x:c>
      <x:c r="B3409" s="2" t="str">
        <x:v>MONTEFIORE MOUNT VERNON HOSPITAL</x:v>
      </x:c>
      <x:c r="C3409" s="2" t="str">
        <x:v>MOUNT VERNON</x:v>
      </x:c>
      <x:c r="D3409" s="2" t="str">
        <x:v>NY</x:v>
      </x:c>
      <x:c r="E3409" s="2" t="str">
        <x:v>Acute Care Hospitals</x:v>
      </x:c>
      <x:c r="F3409" s="2" t="str">
        <x:v>Voluntary non-profit</x:v>
      </x:c>
      <x:c r="G3409" s="2" t="str">
        <x:v>Small (&lt;100 beds)</x:v>
      </x:c>
      <x:c r="H3409" s="7" t="n">
        <x:v>3</x:v>
      </x:c>
      <x:c r="I3409" s="7" t="n">
        <x:v>2</x:v>
      </x:c>
      <x:c r="J3409" s="7" t="n">
        <x:v>1.21</x:v>
      </x:c>
      <x:c r="K3409" s="8" t="n">
        <x:v>63</x:v>
      </x:c>
      <x:c r="L3409" s="8" t="n">
        <x:v>2887</x:v>
      </x:c>
      <x:c r="M3409" s="9" t="n">
        <x:v>0.4831728684</x:v>
      </x:c>
      <x:c r="N3409" s="10" t="n">
        <x:v>39982.8891582958</x:v>
      </x:c>
      <x:c r="O3409" s="9" t="n">
        <x:v>0.5673188923</x:v>
      </x:c>
      <x:c r="P3409" s="9" t="n">
        <x:v>0.3096947935</x:v>
      </x:c>
      <x:c r="Q3409" s="9" t="n">
        <x:v>0.1687612208</x:v>
      </x:c>
      <x:c r="R3409" s="3" t="b">
        <x:v>0</x:v>
      </x:c>
      <x:c r="S3409" s="3" t="b">
        <x:v>0</x:v>
      </x:c>
      <x:c r="T3409" s="3" t="b">
        <x:v>0</x:v>
      </x:c>
      <x:c r="U3409" s="2" t="str">
        <x:f>IF(T3409=TRUE,"Priority review",IF(R3409=TRUE,"High cost",IF(S3409=TRUE,"Low quality","Benchmark")))</x:f>
        <x:v>Benchmark</x:v>
      </x:c>
    </x:row>
    <x:row r="3410">
      <x:c r="A3410" s="2" t="str">
        <x:v>501330</x:v>
      </x:c>
      <x:c r="B3410" s="2" t="str">
        <x:v>ASTRIA SUNNYSIDE HOSPITAL</x:v>
      </x:c>
      <x:c r="C3410" s="2" t="str">
        <x:v>SUNNYSIDE</x:v>
      </x:c>
      <x:c r="D3410" s="2" t="str">
        <x:v>WA</x:v>
      </x:c>
      <x:c r="E3410" s="2" t="str">
        <x:v>Critical Access Hospitals</x:v>
      </x:c>
      <x:c r="F3410" s="2" t="str">
        <x:v>Voluntary non-profit</x:v>
      </x:c>
      <x:c r="G3410" s="2" t="str">
        <x:v>Small (&lt;100 beds)</x:v>
      </x:c>
      <x:c r="H3410" s="7" t="n">
        <x:v>2</x:v>
      </x:c>
      <x:c r="I3410" s="7" t="n">
        <x:v>4</x:v>
      </x:c>
      <x:c r="J3410" s="7"/>
      <x:c r="K3410" s="8" t="n">
        <x:v>25</x:v>
      </x:c>
      <x:c r="L3410" s="8" t="n">
        <x:v>1200</x:v>
      </x:c>
      <x:c r="M3410" s="9" t="n">
        <x:v>0.628852459</x:v>
      </x:c>
      <x:c r="N3410" s="10" t="n">
        <x:v>97553.8283333333</x:v>
      </x:c>
      <x:c r="O3410" s="9" t="n">
        <x:v>0.0707767289</x:v>
      </x:c>
      <x:c r="P3410" s="9" t="n">
        <x:v>0.3092936803</x:v>
      </x:c>
      <x:c r="Q3410" s="9" t="n">
        <x:v>0.0171003717</x:v>
      </x:c>
      <x:c r="R3410" s="3" t="b">
        <x:v>0</x:v>
      </x:c>
      <x:c r="S3410" s="3" t="b">
        <x:v>1</x:v>
      </x:c>
      <x:c r="T3410" s="3" t="b">
        <x:v>0</x:v>
      </x:c>
      <x:c r="U3410" s="2" t="str">
        <x:f>IF(T3410=TRUE,"Priority review",IF(R3410=TRUE,"High cost",IF(S3410=TRUE,"Low quality","Benchmark")))</x:f>
        <x:v>Low quality</x:v>
      </x:c>
    </x:row>
    <x:row r="3411">
      <x:c r="A3411" s="2" t="str">
        <x:v>360027</x:v>
      </x:c>
      <x:c r="B3411" s="2" t="str">
        <x:v>AKRON GENERAL MEDICAL CENTER</x:v>
      </x:c>
      <x:c r="C3411" s="2" t="str">
        <x:v>AKRON</x:v>
      </x:c>
      <x:c r="D3411" s="2" t="str">
        <x:v>OH</x:v>
      </x:c>
      <x:c r="E3411" s="2" t="str">
        <x:v>Acute Care Hospitals</x:v>
      </x:c>
      <x:c r="F3411" s="2" t="str">
        <x:v>Voluntary non-profit</x:v>
      </x:c>
      <x:c r="G3411" s="2" t="str">
        <x:v>Large (300+ beds)</x:v>
      </x:c>
      <x:c r="H3411" s="7" t="n">
        <x:v>5</x:v>
      </x:c>
      <x:c r="I3411" s="7" t="n">
        <x:v>3</x:v>
      </x:c>
      <x:c r="J3411" s="7" t="n">
        <x:v>1.01</x:v>
      </x:c>
      <x:c r="K3411" s="8" t="n">
        <x:v>402</x:v>
      </x:c>
      <x:c r="L3411" s="8" t="n">
        <x:v>25671</x:v>
      </x:c>
      <x:c r="M3411" s="9" t="n">
        <x:v>0.7609915199</x:v>
      </x:c>
      <x:c r="N3411" s="10" t="n">
        <x:v>30431.8531027229</x:v>
      </x:c>
      <x:c r="O3411" s="9" t="n">
        <x:v>0.1071043027</x:v>
      </x:c>
      <x:c r="P3411" s="9" t="n">
        <x:v>0.309148265</x:v>
      </x:c>
      <x:c r="Q3411" s="9" t="n">
        <x:v>0.8722397476</x:v>
      </x:c>
      <x:c r="R3411" s="3" t="b">
        <x:v>0</x:v>
      </x:c>
      <x:c r="S3411" s="3" t="b">
        <x:v>0</x:v>
      </x:c>
      <x:c r="T3411" s="3" t="b">
        <x:v>0</x:v>
      </x:c>
      <x:c r="U3411" s="2" t="str">
        <x:f>IF(T3411=TRUE,"Priority review",IF(R3411=TRUE,"High cost",IF(S3411=TRUE,"Low quality","Benchmark")))</x:f>
        <x:v>Benchmark</x:v>
      </x:c>
    </x:row>
    <x:row r="3412">
      <x:c r="A3412" s="2" t="str">
        <x:v>310112</x:v>
      </x:c>
      <x:c r="B3412" s="2" t="str">
        <x:v>BAYSHORE MEDICAL CENTER</x:v>
      </x:c>
      <x:c r="C3412" s="2" t="str">
        <x:v>HOLMDEL</x:v>
      </x:c>
      <x:c r="D3412" s="2" t="str">
        <x:v>NJ</x:v>
      </x:c>
      <x:c r="E3412" s="2" t="str">
        <x:v>Acute Care Hospitals</x:v>
      </x:c>
      <x:c r="F3412" s="2" t="str">
        <x:v>Voluntary non-profit</x:v>
      </x:c>
      <x:c r="G3412" s="2" t="str">
        <x:v>Medium (100-299 beds)</x:v>
      </x:c>
      <x:c r="H3412" s="7" t="n">
        <x:v>4</x:v>
      </x:c>
      <x:c r="I3412" s="7" t="n">
        <x:v>3</x:v>
      </x:c>
      <x:c r="J3412" s="7" t="n">
        <x:v>1.07</x:v>
      </x:c>
      <x:c r="K3412" s="8" t="n">
        <x:v>175</x:v>
      </x:c>
      <x:c r="L3412" s="8" t="n">
        <x:v>7299</x:v>
      </x:c>
      <x:c r="M3412" s="9" t="n">
        <x:v>0.5976580796</x:v>
      </x:c>
      <x:c r="N3412" s="10" t="n">
        <x:v>27375.0686395397</x:v>
      </x:c>
      <x:c r="O3412" s="9" t="n">
        <x:v>0.1277515993</x:v>
      </x:c>
      <x:c r="P3412" s="9" t="n">
        <x:v>0.3088834556</x:v>
      </x:c>
      <x:c r="Q3412" s="9" t="n">
        <x:v>0.6022819886</x:v>
      </x:c>
      <x:c r="R3412" s="3" t="b">
        <x:v>0</x:v>
      </x:c>
      <x:c r="S3412" s="3" t="b">
        <x:v>0</x:v>
      </x:c>
      <x:c r="T3412" s="3" t="b">
        <x:v>0</x:v>
      </x:c>
      <x:c r="U3412" s="2" t="str">
        <x:f>IF(T3412=TRUE,"Priority review",IF(R3412=TRUE,"High cost",IF(S3412=TRUE,"Low quality","Benchmark")))</x:f>
        <x:v>Benchmark</x:v>
      </x:c>
    </x:row>
    <x:row r="3413">
      <x:c r="A3413" s="2" t="str">
        <x:v>030134</x:v>
      </x:c>
      <x:c r="B3413" s="2" t="str">
        <x:v>BANNER GOLDFIELD MEDICAL CENTER</x:v>
      </x:c>
      <x:c r="C3413" s="2" t="str">
        <x:v>APACHE JUNCTION</x:v>
      </x:c>
      <x:c r="D3413" s="2" t="str">
        <x:v>AZ</x:v>
      </x:c>
      <x:c r="E3413" s="2" t="str">
        <x:v>Acute Care Hospitals</x:v>
      </x:c>
      <x:c r="F3413" s="2" t="str">
        <x:v>Voluntary non-profit</x:v>
      </x:c>
      <x:c r="G3413" s="2" t="str">
        <x:v>Small (&lt;100 beds)</x:v>
      </x:c>
      <x:c r="H3413" s="7" t="n">
        <x:v>5</x:v>
      </x:c>
      <x:c r="I3413" s="7" t="n">
        <x:v>3</x:v>
      </x:c>
      <x:c r="J3413" s="7" t="n">
        <x:v>0.78</x:v>
      </x:c>
      <x:c r="K3413" s="8" t="n">
        <x:v>20</x:v>
      </x:c>
      <x:c r="L3413" s="8" t="n">
        <x:v>649</x:v>
      </x:c>
      <x:c r="M3413" s="9" t="n">
        <x:v>0.2096994536</x:v>
      </x:c>
      <x:c r="N3413" s="10" t="n">
        <x:v>39760.7750385208</x:v>
      </x:c>
      <x:c r="O3413" s="9" t="n">
        <x:v>-0.1223827843</x:v>
      </x:c>
      <x:c r="P3413" s="9" t="n">
        <x:v>0.3087971275</x:v>
      </x:c>
      <x:c r="Q3413" s="9" t="n">
        <x:v>0.6131059246</x:v>
      </x:c>
      <x:c r="R3413" s="3" t="b">
        <x:v>0</x:v>
      </x:c>
      <x:c r="S3413" s="3" t="b">
        <x:v>0</x:v>
      </x:c>
      <x:c r="T3413" s="3" t="b">
        <x:v>0</x:v>
      </x:c>
      <x:c r="U3413" s="2" t="str">
        <x:f>IF(T3413=TRUE,"Priority review",IF(R3413=TRUE,"High cost",IF(S3413=TRUE,"Low quality","Benchmark")))</x:f>
        <x:v>Benchmark</x:v>
      </x:c>
    </x:row>
    <x:row r="3414">
      <x:c r="A3414" s="2" t="str">
        <x:v>141311</x:v>
      </x:c>
      <x:c r="B3414" s="2" t="str">
        <x:v>FAIRFIELD MEMORIAL HOSPITAL 1</x:v>
      </x:c>
      <x:c r="C3414" s="2" t="str">
        <x:v>FAIRFIELD</x:v>
      </x:c>
      <x:c r="D3414" s="2" t="str">
        <x:v>IL</x:v>
      </x:c>
      <x:c r="E3414" s="2" t="str">
        <x:v>Critical Access Hospitals</x:v>
      </x:c>
      <x:c r="F3414" s="2" t="str">
        <x:v>Voluntary non-profit</x:v>
      </x:c>
      <x:c r="G3414" s="2" t="str">
        <x:v>Small (&lt;100 beds)</x:v>
      </x:c>
      <x:c r="H3414" s="7" t="n">
        <x:v>3</x:v>
      </x:c>
      <x:c r="I3414" s="7"/>
      <x:c r="J3414" s="7"/>
      <x:c r="K3414" s="8" t="n">
        <x:v>25</x:v>
      </x:c>
      <x:c r="L3414" s="8" t="n">
        <x:v>534</x:v>
      </x:c>
      <x:c r="M3414" s="9" t="n">
        <x:v>0.2703561644</x:v>
      </x:c>
      <x:c r="N3414" s="10" t="n">
        <x:v>97246.3389513109</x:v>
      </x:c>
      <x:c r="O3414" s="9" t="n">
        <x:v>-0.0703702792</x:v>
      </x:c>
      <x:c r="P3414" s="9" t="n">
        <x:v>0.3085501859</x:v>
      </x:c>
      <x:c r="Q3414" s="9" t="n">
        <x:v>0.0765799257</x:v>
      </x:c>
      <x:c r="R3414" s="3" t="b">
        <x:v>0</x:v>
      </x:c>
      <x:c r="S3414" s="3" t="b">
        <x:v>1</x:v>
      </x:c>
      <x:c r="T3414" s="3" t="b">
        <x:v>0</x:v>
      </x:c>
      <x:c r="U3414" s="2" t="str">
        <x:f>IF(T3414=TRUE,"Priority review",IF(R3414=TRUE,"High cost",IF(S3414=TRUE,"Low quality","Benchmark")))</x:f>
        <x:v>Low quality</x:v>
      </x:c>
    </x:row>
    <x:row r="3415">
      <x:c r="A3415" s="2" t="str">
        <x:v>144041</x:v>
      </x:c>
      <x:c r="B3415" s="2" t="str">
        <x:v>SILVER OAKS BEHAVIORAL HOSPITAL</x:v>
      </x:c>
      <x:c r="C3415" s="2" t="str">
        <x:v>NEW LENOX</x:v>
      </x:c>
      <x:c r="D3415" s="2" t="str">
        <x:v>IL</x:v>
      </x:c>
      <x:c r="E3415" s="2" t="str">
        <x:v>Psychiatric</x:v>
      </x:c>
      <x:c r="F3415" s="2" t="str">
        <x:v>Proprietary</x:v>
      </x:c>
      <x:c r="G3415" s="2" t="str">
        <x:v>Medium (100-299 beds)</x:v>
      </x:c>
      <x:c r="H3415" s="7"/>
      <x:c r="I3415" s="7"/>
      <x:c r="J3415" s="7"/>
      <x:c r="K3415" s="8" t="n">
        <x:v>112</x:v>
      </x:c>
      <x:c r="L3415" s="8" t="n">
        <x:v>3572</x:v>
      </x:c>
      <x:c r="M3415" s="9" t="n">
        <x:v>0.8256976971</x:v>
      </x:c>
      <x:c r="N3415" s="10" t="n">
        <x:v>7730.9843225084</x:v>
      </x:c>
      <x:c r="O3415" s="9" t="n">
        <x:v>0.1382598439</x:v>
      </x:c>
      <x:c r="P3415" s="9" t="n">
        <x:v>0.3084577114</x:v>
      </x:c>
      <x:c r="Q3415" s="9" t="n">
        <x:v>0</x:v>
      </x:c>
      <x:c r="R3415" s="3" t="b">
        <x:v>0</x:v>
      </x:c>
      <x:c r="S3415" s="3" t="b">
        <x:v>0</x:v>
      </x:c>
      <x:c r="T3415" s="3" t="b">
        <x:v>0</x:v>
      </x:c>
      <x:c r="U3415" s="2" t="str">
        <x:f>IF(T3415=TRUE,"Priority review",IF(R3415=TRUE,"High cost",IF(S3415=TRUE,"Low quality","Benchmark")))</x:f>
        <x:v>Benchmark</x:v>
      </x:c>
    </x:row>
    <x:row r="3416">
      <x:c r="A3416" s="2" t="str">
        <x:v>390127</x:v>
      </x:c>
      <x:c r="B3416" s="2" t="str">
        <x:v>PHOENIXVILLE HOSPITAL</x:v>
      </x:c>
      <x:c r="C3416" s="2" t="str">
        <x:v>PHOENIXVILLE</x:v>
      </x:c>
      <x:c r="D3416" s="2" t="str">
        <x:v>PA</x:v>
      </x:c>
      <x:c r="E3416" s="2" t="str">
        <x:v>Acute Care Hospitals</x:v>
      </x:c>
      <x:c r="F3416" s="2" t="str">
        <x:v>Voluntary non-profit</x:v>
      </x:c>
      <x:c r="G3416" s="2" t="str">
        <x:v>Medium (100-299 beds)</x:v>
      </x:c>
      <x:c r="H3416" s="7" t="n">
        <x:v>3</x:v>
      </x:c>
      <x:c r="I3416" s="7" t="n">
        <x:v>3</x:v>
      </x:c>
      <x:c r="J3416" s="7" t="n">
        <x:v>0.98</x:v>
      </x:c>
      <x:c r="K3416" s="8" t="n">
        <x:v>130</x:v>
      </x:c>
      <x:c r="L3416" s="8" t="n">
        <x:v>7650</x:v>
      </x:c>
      <x:c r="M3416" s="9" t="n">
        <x:v>0.6054794521</x:v>
      </x:c>
      <x:c r="N3416" s="10" t="n">
        <x:v>27365.8946405229</x:v>
      </x:c>
      <x:c r="O3416" s="9" t="n">
        <x:v>-0.0483493607</x:v>
      </x:c>
      <x:c r="P3416" s="9" t="n">
        <x:v>0.3080684597</x:v>
      </x:c>
      <x:c r="Q3416" s="9" t="n">
        <x:v>0.3023634882</x:v>
      </x:c>
      <x:c r="R3416" s="3" t="b">
        <x:v>0</x:v>
      </x:c>
      <x:c r="S3416" s="3" t="b">
        <x:v>0</x:v>
      </x:c>
      <x:c r="T3416" s="3" t="b">
        <x:v>0</x:v>
      </x:c>
      <x:c r="U3416" s="2" t="str">
        <x:f>IF(T3416=TRUE,"Priority review",IF(R3416=TRUE,"High cost",IF(S3416=TRUE,"Low quality","Benchmark")))</x:f>
        <x:v>Benchmark</x:v>
      </x:c>
    </x:row>
    <x:row r="3417">
      <x:c r="A3417" s="2" t="str">
        <x:v>520034</x:v>
      </x:c>
      <x:c r="B3417" s="2" t="str">
        <x:v>AURORA MEDICAL CTR MANITOWOC COUNTY</x:v>
      </x:c>
      <x:c r="C3417" s="2" t="str">
        <x:v>TWO RIVERS</x:v>
      </x:c>
      <x:c r="D3417" s="2" t="str">
        <x:v>WI</x:v>
      </x:c>
      <x:c r="E3417" s="2" t="str">
        <x:v>Acute Care Hospitals</x:v>
      </x:c>
      <x:c r="F3417" s="2" t="str">
        <x:v>Voluntary non-profit</x:v>
      </x:c>
      <x:c r="G3417" s="2" t="str">
        <x:v>Small (&lt;100 beds)</x:v>
      </x:c>
      <x:c r="H3417" s="7" t="n">
        <x:v>5</x:v>
      </x:c>
      <x:c r="I3417" s="7" t="n">
        <x:v>4</x:v>
      </x:c>
      <x:c r="J3417" s="7" t="n">
        <x:v>0.85</x:v>
      </x:c>
      <x:c r="K3417" s="8" t="n">
        <x:v>63</x:v>
      </x:c>
      <x:c r="L3417" s="8" t="n">
        <x:v>2056</x:v>
      </x:c>
      <x:c r="M3417" s="9" t="n">
        <x:v>0.3051001821</x:v>
      </x:c>
      <x:c r="N3417" s="10" t="n">
        <x:v>39726.7631322957</x:v>
      </x:c>
      <x:c r="O3417" s="9" t="n">
        <x:v>0.2277941001</x:v>
      </x:c>
      <x:c r="P3417" s="9" t="n">
        <x:v>0.3078994614</x:v>
      </x:c>
      <x:c r="Q3417" s="9" t="n">
        <x:v>0.6131059246</x:v>
      </x:c>
      <x:c r="R3417" s="3" t="b">
        <x:v>0</x:v>
      </x:c>
      <x:c r="S3417" s="3" t="b">
        <x:v>0</x:v>
      </x:c>
      <x:c r="T3417" s="3" t="b">
        <x:v>0</x:v>
      </x:c>
      <x:c r="U3417" s="2" t="str">
        <x:f>IF(T3417=TRUE,"Priority review",IF(R3417=TRUE,"High cost",IF(S3417=TRUE,"Low quality","Benchmark")))</x:f>
        <x:v>Benchmark</x:v>
      </x:c>
    </x:row>
    <x:row r="3418">
      <x:c r="A3418" s="2" t="str">
        <x:v>281334</x:v>
      </x:c>
      <x:c r="B3418" s="2" t="str">
        <x:v>BOONE COUNTY HEALTH CENTER</x:v>
      </x:c>
      <x:c r="C3418" s="2" t="str">
        <x:v>ALBION</x:v>
      </x:c>
      <x:c r="D3418" s="2" t="str">
        <x:v>NE</x:v>
      </x:c>
      <x:c r="E3418" s="2" t="str">
        <x:v>Critical Access Hospitals</x:v>
      </x:c>
      <x:c r="F3418" s="2" t="str">
        <x:v>Government</x:v>
      </x:c>
      <x:c r="G3418" s="2" t="str">
        <x:v>Small (&lt;100 beds)</x:v>
      </x:c>
      <x:c r="H3418" s="7" t="n">
        <x:v>4</x:v>
      </x:c>
      <x:c r="I3418" s="7" t="n">
        <x:v>5</x:v>
      </x:c>
      <x:c r="J3418" s="7"/>
      <x:c r="K3418" s="8" t="n">
        <x:v>25</x:v>
      </x:c>
      <x:c r="L3418" s="8" t="n">
        <x:v>486</x:v>
      </x:c>
      <x:c r="M3418" s="9" t="n">
        <x:v>0.2255737705</x:v>
      </x:c>
      <x:c r="N3418" s="10" t="n">
        <x:v>97132.0946502058</x:v>
      </x:c>
      <x:c r="O3418" s="9" t="n">
        <x:v>-0.0973498877</x:v>
      </x:c>
      <x:c r="P3418" s="9" t="n">
        <x:v>0.3078066914</x:v>
      </x:c>
      <x:c r="Q3418" s="9" t="n">
        <x:v>0.1657992565</x:v>
      </x:c>
      <x:c r="R3418" s="3" t="b">
        <x:v>0</x:v>
      </x:c>
      <x:c r="S3418" s="3" t="b">
        <x:v>0</x:v>
      </x:c>
      <x:c r="T3418" s="3" t="b">
        <x:v>0</x:v>
      </x:c>
      <x:c r="U3418" s="2" t="str">
        <x:f>IF(T3418=TRUE,"Priority review",IF(R3418=TRUE,"High cost",IF(S3418=TRUE,"Low quality","Benchmark")))</x:f>
        <x:v>Benchmark</x:v>
      </x:c>
    </x:row>
    <x:row r="3419">
      <x:c r="A3419" s="2" t="str">
        <x:v>360112</x:v>
      </x:c>
      <x:c r="B3419" s="2" t="str">
        <x:v>MERCY ST VINCENT MEDICAL CENTER</x:v>
      </x:c>
      <x:c r="C3419" s="2" t="str">
        <x:v>TOLEDO</x:v>
      </x:c>
      <x:c r="D3419" s="2" t="str">
        <x:v>OH</x:v>
      </x:c>
      <x:c r="E3419" s="2" t="str">
        <x:v>Acute Care Hospitals</x:v>
      </x:c>
      <x:c r="F3419" s="2" t="str">
        <x:v>Voluntary non-profit</x:v>
      </x:c>
      <x:c r="G3419" s="2" t="str">
        <x:v>Large (300+ beds)</x:v>
      </x:c>
      <x:c r="H3419" s="7" t="n">
        <x:v>3</x:v>
      </x:c>
      <x:c r="I3419" s="7" t="n">
        <x:v>3</x:v>
      </x:c>
      <x:c r="J3419" s="7" t="n">
        <x:v>1.04</x:v>
      </x:c>
      <x:c r="K3419" s="8" t="n">
        <x:v>538</x:v>
      </x:c>
      <x:c r="L3419" s="8" t="n">
        <x:v>34921</x:v>
      </x:c>
      <x:c r="M3419" s="9" t="n">
        <x:v>0.7477654539</x:v>
      </x:c>
      <x:c r="N3419" s="10" t="n">
        <x:v>30316.6743220412</x:v>
      </x:c>
      <x:c r="O3419" s="9" t="n">
        <x:v>0.0067582168</x:v>
      </x:c>
      <x:c r="P3419" s="9" t="n">
        <x:v>0.3075709779</x:v>
      </x:c>
      <x:c r="Q3419" s="9" t="n">
        <x:v>0.2570977918</x:v>
      </x:c>
      <x:c r="R3419" s="3" t="b">
        <x:v>0</x:v>
      </x:c>
      <x:c r="S3419" s="3" t="b">
        <x:v>0</x:v>
      </x:c>
      <x:c r="T3419" s="3" t="b">
        <x:v>0</x:v>
      </x:c>
      <x:c r="U3419" s="2" t="str">
        <x:f>IF(T3419=TRUE,"Priority review",IF(R3419=TRUE,"High cost",IF(S3419=TRUE,"Low quality","Benchmark")))</x:f>
        <x:v>Benchmark</x:v>
      </x:c>
    </x:row>
    <x:row r="3420">
      <x:c r="A3420" s="2" t="str">
        <x:v>154024</x:v>
      </x:c>
      <x:c r="B3420" s="2" t="str">
        <x:v>VALLE VISTA HEALTH SYSTEM</x:v>
      </x:c>
      <x:c r="C3420" s="2" t="str">
        <x:v>GREENWOOD</x:v>
      </x:c>
      <x:c r="D3420" s="2" t="str">
        <x:v>IN</x:v>
      </x:c>
      <x:c r="E3420" s="2" t="str">
        <x:v>Psychiatric</x:v>
      </x:c>
      <x:c r="F3420" s="2" t="str">
        <x:v>Proprietary</x:v>
      </x:c>
      <x:c r="G3420" s="2" t="str">
        <x:v>Small (&lt;100 beds)</x:v>
      </x:c>
      <x:c r="H3420" s="7"/>
      <x:c r="I3420" s="7"/>
      <x:c r="J3420" s="7"/>
      <x:c r="K3420" s="8" t="n">
        <x:v>98</x:v>
      </x:c>
      <x:c r="L3420" s="8" t="n">
        <x:v>3803</x:v>
      </x:c>
      <x:c r="M3420" s="9" t="n">
        <x:v>0.6259155717</x:v>
      </x:c>
      <x:c r="N3420" s="10" t="n">
        <x:v>8882.6597423087</x:v>
      </x:c>
      <x:c r="O3420" s="9" t="n">
        <x:v>0.1456688757</x:v>
      </x:c>
      <x:c r="P3420" s="9" t="n">
        <x:v>0.3074433657</x:v>
      </x:c>
      <x:c r="Q3420" s="9" t="n">
        <x:v>0</x:v>
      </x:c>
      <x:c r="R3420" s="3" t="b">
        <x:v>0</x:v>
      </x:c>
      <x:c r="S3420" s="3" t="b">
        <x:v>0</x:v>
      </x:c>
      <x:c r="T3420" s="3" t="b">
        <x:v>0</x:v>
      </x:c>
      <x:c r="U3420" s="2" t="str">
        <x:f>IF(T3420=TRUE,"Priority review",IF(R3420=TRUE,"High cost",IF(S3420=TRUE,"Low quality","Benchmark")))</x:f>
        <x:v>Benchmark</x:v>
      </x:c>
    </x:row>
    <x:row r="3421">
      <x:c r="A3421" s="2" t="str">
        <x:v>140181</x:v>
      </x:c>
      <x:c r="B3421" s="2" t="str">
        <x:v>SOUTH SHORE HOSPITAL</x:v>
      </x:c>
      <x:c r="C3421" s="2" t="str">
        <x:v>CHICAGO</x:v>
      </x:c>
      <x:c r="D3421" s="2" t="str">
        <x:v>IL</x:v>
      </x:c>
      <x:c r="E3421" s="2" t="str">
        <x:v>Acute Care Hospitals</x:v>
      </x:c>
      <x:c r="F3421" s="2" t="str">
        <x:v>Voluntary non-profit</x:v>
      </x:c>
      <x:c r="G3421" s="2" t="str">
        <x:v>Medium (100-299 beds)</x:v>
      </x:c>
      <x:c r="H3421" s="7"/>
      <x:c r="I3421" s="7"/>
      <x:c r="J3421" s="7" t="n">
        <x:v>1.02</x:v>
      </x:c>
      <x:c r="K3421" s="8" t="n">
        <x:v>122</x:v>
      </x:c>
      <x:c r="L3421" s="8" t="n">
        <x:v>1812</x:v>
      </x:c>
      <x:c r="M3421" s="9" t="n">
        <x:v>0.2961569471</x:v>
      </x:c>
      <x:c r="N3421" s="10" t="n">
        <x:v>27362.2218543046</x:v>
      </x:c>
      <x:c r="O3421" s="9" t="n">
        <x:v>-0.4066790174</x:v>
      </x:c>
      <x:c r="P3421" s="9" t="n">
        <x:v>0.3072534637</x:v>
      </x:c>
      <x:c r="Q3421" s="9" t="n">
        <x:v>0.9616951915</x:v>
      </x:c>
      <x:c r="R3421" s="3" t="b">
        <x:v>0</x:v>
      </x:c>
      <x:c r="S3421" s="3" t="b">
        <x:v>0</x:v>
      </x:c>
      <x:c r="T3421" s="3" t="b">
        <x:v>0</x:v>
      </x:c>
      <x:c r="U3421" s="2" t="str">
        <x:f>IF(T3421=TRUE,"Priority review",IF(R3421=TRUE,"High cost",IF(S3421=TRUE,"Low quality","Benchmark")))</x:f>
        <x:v>Benchmark</x:v>
      </x:c>
    </x:row>
    <x:row r="3422">
      <x:c r="A3422" s="2" t="str">
        <x:v>451352</x:v>
      </x:c>
      <x:c r="B3422" s="2" t="str">
        <x:v>HARDEMAN COUNTY MEMORIAL HOSPITAL</x:v>
      </x:c>
      <x:c r="C3422" s="2" t="str">
        <x:v>QUANAH</x:v>
      </x:c>
      <x:c r="D3422" s="2" t="str">
        <x:v>TX</x:v>
      </x:c>
      <x:c r="E3422" s="2" t="str">
        <x:v>Critical Access Hospitals</x:v>
      </x:c>
      <x:c r="F3422" s="2" t="str">
        <x:v>Government</x:v>
      </x:c>
      <x:c r="G3422" s="2" t="str">
        <x:v>Small (&lt;100 beds)</x:v>
      </x:c>
      <x:c r="H3422" s="7"/>
      <x:c r="I3422" s="7"/>
      <x:c r="J3422" s="7"/>
      <x:c r="K3422" s="8" t="n">
        <x:v>24</x:v>
      </x:c>
      <x:c r="L3422" s="8" t="n">
        <x:v>121</x:v>
      </x:c>
      <x:c r="M3422" s="9" t="n">
        <x:v>0.0971083789</x:v>
      </x:c>
      <x:c r="N3422" s="10" t="n">
        <x:v>97131.8595041322</x:v>
      </x:c>
      <x:c r="O3422" s="9" t="n">
        <x:v>-0.2301158593</x:v>
      </x:c>
      <x:c r="P3422" s="9" t="n">
        <x:v>0.307063197</x:v>
      </x:c>
      <x:c r="Q3422" s="9" t="n">
        <x:v>0.292936803</x:v>
      </x:c>
      <x:c r="R3422" s="3" t="b">
        <x:v>0</x:v>
      </x:c>
      <x:c r="S3422" s="3" t="b">
        <x:v>0</x:v>
      </x:c>
      <x:c r="T3422" s="3" t="b">
        <x:v>0</x:v>
      </x:c>
      <x:c r="U3422" s="2" t="str">
        <x:f>IF(T3422=TRUE,"Priority review",IF(R3422=TRUE,"High cost",IF(S3422=TRUE,"Low quality","Benchmark")))</x:f>
        <x:v>Benchmark</x:v>
      </x:c>
    </x:row>
    <x:row r="3423">
      <x:c r="A3423" s="2" t="str">
        <x:v>360109</x:v>
      </x:c>
      <x:c r="B3423" s="2" t="str">
        <x:v>COSHOCTON REGIONAL MEDICAL CENTER</x:v>
      </x:c>
      <x:c r="C3423" s="2" t="str">
        <x:v>COSHOCTON</x:v>
      </x:c>
      <x:c r="D3423" s="2" t="str">
        <x:v>OH</x:v>
      </x:c>
      <x:c r="E3423" s="2" t="str">
        <x:v>Acute Care Hospitals</x:v>
      </x:c>
      <x:c r="F3423" s="2" t="str">
        <x:v>Voluntary non-profit</x:v>
      </x:c>
      <x:c r="G3423" s="2" t="str">
        <x:v>Small (&lt;100 beds)</x:v>
      </x:c>
      <x:c r="H3423" s="7" t="n">
        <x:v>4</x:v>
      </x:c>
      <x:c r="I3423" s="7" t="n">
        <x:v>3</x:v>
      </x:c>
      <x:c r="J3423" s="7" t="n">
        <x:v>0.94</x:v>
      </x:c>
      <x:c r="K3423" s="8" t="n">
        <x:v>56</x:v>
      </x:c>
      <x:c r="L3423" s="8" t="n">
        <x:v>1191</x:v>
      </x:c>
      <x:c r="M3423" s="9" t="n">
        <x:v>0.2071135831</x:v>
      </x:c>
      <x:c r="N3423" s="10" t="n">
        <x:v>39654.4340890008</x:v>
      </x:c>
      <x:c r="O3423" s="9" t="n">
        <x:v>-0.0605546524</x:v>
      </x:c>
      <x:c r="P3423" s="9" t="n">
        <x:v>0.3070017953</x:v>
      </x:c>
      <x:c r="Q3423" s="9" t="n">
        <x:v>0.3913824057</x:v>
      </x:c>
      <x:c r="R3423" s="3" t="b">
        <x:v>0</x:v>
      </x:c>
      <x:c r="S3423" s="3" t="b">
        <x:v>0</x:v>
      </x:c>
      <x:c r="T3423" s="3" t="b">
        <x:v>0</x:v>
      </x:c>
      <x:c r="U3423" s="2" t="str">
        <x:f>IF(T3423=TRUE,"Priority review",IF(R3423=TRUE,"High cost",IF(S3423=TRUE,"Low quality","Benchmark")))</x:f>
        <x:v>Benchmark</x:v>
      </x:c>
    </x:row>
    <x:row r="3424">
      <x:c r="A3424" s="2" t="str">
        <x:v>050761</x:v>
      </x:c>
      <x:c r="B3424" s="2" t="str">
        <x:v>PROVIDENCE CEDARS SINAI TARZANA MEDICAL CENTER</x:v>
      </x:c>
      <x:c r="C3424" s="2" t="str">
        <x:v>TARZANA</x:v>
      </x:c>
      <x:c r="D3424" s="2" t="str">
        <x:v>CA</x:v>
      </x:c>
      <x:c r="E3424" s="2" t="str">
        <x:v>Acute Care Hospitals</x:v>
      </x:c>
      <x:c r="F3424" s="2" t="str">
        <x:v>Voluntary non-profit</x:v>
      </x:c>
      <x:c r="G3424" s="2" t="str">
        <x:v>Medium (100-299 beds)</x:v>
      </x:c>
      <x:c r="H3424" s="7" t="n">
        <x:v>3</x:v>
      </x:c>
      <x:c r="I3424" s="7" t="n">
        <x:v>3</x:v>
      </x:c>
      <x:c r="J3424" s="7" t="n">
        <x:v>1.04</x:v>
      </x:c>
      <x:c r="K3424" s="8" t="n">
        <x:v>204</x:v>
      </x:c>
      <x:c r="L3424" s="8" t="n">
        <x:v>13595</x:v>
      </x:c>
      <x:c r="M3424" s="9" t="n">
        <x:v>0.7989794278</x:v>
      </x:c>
      <x:c r="N3424" s="10" t="n">
        <x:v>27350.34336153</x:v>
      </x:c>
      <x:c r="O3424" s="9" t="n">
        <x:v>-0.0779369663</x:v>
      </x:c>
      <x:c r="P3424" s="9" t="n">
        <x:v>0.3064384678</x:v>
      </x:c>
      <x:c r="Q3424" s="9" t="n">
        <x:v>0.3023634882</x:v>
      </x:c>
      <x:c r="R3424" s="3" t="b">
        <x:v>0</x:v>
      </x:c>
      <x:c r="S3424" s="3" t="b">
        <x:v>0</x:v>
      </x:c>
      <x:c r="T3424" s="3" t="b">
        <x:v>0</x:v>
      </x:c>
      <x:c r="U3424" s="2" t="str">
        <x:f>IF(T3424=TRUE,"Priority review",IF(R3424=TRUE,"High cost",IF(S3424=TRUE,"Low quality","Benchmark")))</x:f>
        <x:v>Benchmark</x:v>
      </x:c>
    </x:row>
    <x:row r="3425">
      <x:c r="A3425" s="2" t="str">
        <x:v>301311</x:v>
      </x:c>
      <x:c r="B3425" s="2" t="str">
        <x:v>SPEARE MEMORIAL HOSPITAL</x:v>
      </x:c>
      <x:c r="C3425" s="2" t="str">
        <x:v>PLYMOUTH</x:v>
      </x:c>
      <x:c r="D3425" s="2" t="str">
        <x:v>NH</x:v>
      </x:c>
      <x:c r="E3425" s="2" t="str">
        <x:v>Critical Access Hospitals</x:v>
      </x:c>
      <x:c r="F3425" s="2" t="str">
        <x:v>Voluntary non-profit</x:v>
      </x:c>
      <x:c r="G3425" s="2" t="str">
        <x:v>Small (&lt;100 beds)</x:v>
      </x:c>
      <x:c r="H3425" s="7" t="n">
        <x:v>3</x:v>
      </x:c>
      <x:c r="I3425" s="7" t="n">
        <x:v>4</x:v>
      </x:c>
      <x:c r="J3425" s="7"/>
      <x:c r="K3425" s="8" t="n">
        <x:v>25</x:v>
      </x:c>
      <x:c r="L3425" s="8" t="n">
        <x:v>870</x:v>
      </x:c>
      <x:c r="M3425" s="9" t="n">
        <x:v>0.3373150685</x:v>
      </x:c>
      <x:c r="N3425" s="10" t="n">
        <x:v>97071.7068965517</x:v>
      </x:c>
      <x:c r="O3425" s="9" t="n">
        <x:v>-0.0723175005</x:v>
      </x:c>
      <x:c r="P3425" s="9" t="n">
        <x:v>0.3063197026</x:v>
      </x:c>
      <x:c r="Q3425" s="9" t="n">
        <x:v>0.0765799257</x:v>
      </x:c>
      <x:c r="R3425" s="3" t="b">
        <x:v>0</x:v>
      </x:c>
      <x:c r="S3425" s="3" t="b">
        <x:v>1</x:v>
      </x:c>
      <x:c r="T3425" s="3" t="b">
        <x:v>0</x:v>
      </x:c>
      <x:c r="U3425" s="2" t="str">
        <x:f>IF(T3425=TRUE,"Priority review",IF(R3425=TRUE,"High cost",IF(S3425=TRUE,"Low quality","Benchmark")))</x:f>
        <x:v>Low quality</x:v>
      </x:c>
    </x:row>
    <x:row r="3426">
      <x:c r="A3426" s="2" t="str">
        <x:v>030146</x:v>
      </x:c>
      <x:c r="B3426" s="2" t="str">
        <x:v>HONORHEALTH SONORAN CROSSING MEDICAL CENTER</x:v>
      </x:c>
      <x:c r="C3426" s="2" t="str">
        <x:v>PHOENIX</x:v>
      </x:c>
      <x:c r="D3426" s="2" t="str">
        <x:v>AZ</x:v>
      </x:c>
      <x:c r="E3426" s="2" t="str">
        <x:v>Acute Care Hospitals</x:v>
      </x:c>
      <x:c r="F3426" s="2" t="str">
        <x:v>Voluntary non-profit</x:v>
      </x:c>
      <x:c r="G3426" s="2" t="str">
        <x:v>Small (&lt;100 beds)</x:v>
      </x:c>
      <x:c r="H3426" s="7" t="n">
        <x:v>4</x:v>
      </x:c>
      <x:c r="I3426" s="7" t="n">
        <x:v>4</x:v>
      </x:c>
      <x:c r="J3426" s="7" t="n">
        <x:v>0.96</x:v>
      </x:c>
      <x:c r="K3426" s="8" t="n">
        <x:v>79</x:v>
      </x:c>
      <x:c r="L3426" s="8" t="n">
        <x:v>3130</x:v>
      </x:c>
      <x:c r="M3426" s="9" t="n">
        <x:v>0.3459569759</x:v>
      </x:c>
      <x:c r="N3426" s="10" t="n">
        <x:v>39490.1099041534</x:v>
      </x:c>
      <x:c r="O3426" s="9" t="n">
        <x:v>-0.1151958947</x:v>
      </x:c>
      <x:c r="P3426" s="9" t="n">
        <x:v>0.3061041293</x:v>
      </x:c>
      <x:c r="Q3426" s="9" t="n">
        <x:v>0.3913824057</x:v>
      </x:c>
      <x:c r="R3426" s="3" t="b">
        <x:v>0</x:v>
      </x:c>
      <x:c r="S3426" s="3" t="b">
        <x:v>0</x:v>
      </x:c>
      <x:c r="T3426" s="3" t="b">
        <x:v>0</x:v>
      </x:c>
      <x:c r="U3426" s="2" t="str">
        <x:f>IF(T3426=TRUE,"Priority review",IF(R3426=TRUE,"High cost",IF(S3426=TRUE,"Low quality","Benchmark")))</x:f>
        <x:v>Benchmark</x:v>
      </x:c>
    </x:row>
    <x:row r="3427">
      <x:c r="A3427" s="2" t="str">
        <x:v>360079</x:v>
      </x:c>
      <x:c r="B3427" s="2" t="str">
        <x:v>KETTERING HEALTH MAIN CAMPUS</x:v>
      </x:c>
      <x:c r="C3427" s="2" t="str">
        <x:v>KETTERING</x:v>
      </x:c>
      <x:c r="D3427" s="2" t="str">
        <x:v>OH</x:v>
      </x:c>
      <x:c r="E3427" s="2" t="str">
        <x:v>Acute Care Hospitals</x:v>
      </x:c>
      <x:c r="F3427" s="2" t="str">
        <x:v>Voluntary non-profit</x:v>
      </x:c>
      <x:c r="G3427" s="2" t="str">
        <x:v>Large (300+ beds)</x:v>
      </x:c>
      <x:c r="H3427" s="7" t="n">
        <x:v>3</x:v>
      </x:c>
      <x:c r="I3427" s="7" t="n">
        <x:v>4</x:v>
      </x:c>
      <x:c r="J3427" s="7" t="n">
        <x:v>1.05</x:v>
      </x:c>
      <x:c r="K3427" s="8" t="n">
        <x:v>407</x:v>
      </x:c>
      <x:c r="L3427" s="8" t="n">
        <x:v>24581</x:v>
      </x:c>
      <x:c r="M3427" s="9" t="n">
        <x:v>0.7773021046</x:v>
      </x:c>
      <x:c r="N3427" s="10" t="n">
        <x:v>30215.5305317115</x:v>
      </x:c>
      <x:c r="O3427" s="9" t="n">
        <x:v>0.0218563445</x:v>
      </x:c>
      <x:c r="P3427" s="9" t="n">
        <x:v>0.3059936909</x:v>
      </x:c>
      <x:c r="Q3427" s="9" t="n">
        <x:v>0.2570977918</x:v>
      </x:c>
      <x:c r="R3427" s="3" t="b">
        <x:v>0</x:v>
      </x:c>
      <x:c r="S3427" s="3" t="b">
        <x:v>0</x:v>
      </x:c>
      <x:c r="T3427" s="3" t="b">
        <x:v>0</x:v>
      </x:c>
      <x:c r="U3427" s="2" t="str">
        <x:f>IF(T3427=TRUE,"Priority review",IF(R3427=TRUE,"High cost",IF(S3427=TRUE,"Low quality","Benchmark")))</x:f>
        <x:v>Benchmark</x:v>
      </x:c>
    </x:row>
    <x:row r="3428">
      <x:c r="A3428" s="2" t="str">
        <x:v>340010</x:v>
      </x:c>
      <x:c r="B3428" s="2" t="str">
        <x:v>UNC HEALTH CARE WAYNE</x:v>
      </x:c>
      <x:c r="C3428" s="2" t="str">
        <x:v>GOLDSBORO</x:v>
      </x:c>
      <x:c r="D3428" s="2" t="str">
        <x:v>NC</x:v>
      </x:c>
      <x:c r="E3428" s="2" t="str">
        <x:v>Acute Care Hospitals</x:v>
      </x:c>
      <x:c r="F3428" s="2" t="str">
        <x:v>Voluntary non-profit</x:v>
      </x:c>
      <x:c r="G3428" s="2" t="str">
        <x:v>Medium (100-299 beds)</x:v>
      </x:c>
      <x:c r="H3428" s="7" t="n">
        <x:v>3</x:v>
      </x:c>
      <x:c r="I3428" s="7" t="n">
        <x:v>3</x:v>
      </x:c>
      <x:c r="J3428" s="7" t="n">
        <x:v>0.96</x:v>
      </x:c>
      <x:c r="K3428" s="8" t="n">
        <x:v>245</x:v>
      </x:c>
      <x:c r="L3428" s="8" t="n">
        <x:v>10175</x:v>
      </x:c>
      <x:c r="M3428" s="9" t="n">
        <x:v>0.5890187308</x:v>
      </x:c>
      <x:c r="N3428" s="10" t="n">
        <x:v>27324.3244226044</x:v>
      </x:c>
      <x:c r="O3428" s="9" t="n">
        <x:v>0.2039041172</x:v>
      </x:c>
      <x:c r="P3428" s="9" t="n">
        <x:v>0.3056234719</x:v>
      </x:c>
      <x:c r="Q3428" s="9" t="n">
        <x:v>0.3023634882</x:v>
      </x:c>
      <x:c r="R3428" s="3" t="b">
        <x:v>0</x:v>
      </x:c>
      <x:c r="S3428" s="3" t="b">
        <x:v>0</x:v>
      </x:c>
      <x:c r="T3428" s="3" t="b">
        <x:v>0</x:v>
      </x:c>
      <x:c r="U3428" s="2" t="str">
        <x:f>IF(T3428=TRUE,"Priority review",IF(R3428=TRUE,"High cost",IF(S3428=TRUE,"Low quality","Benchmark")))</x:f>
        <x:v>Benchmark</x:v>
      </x:c>
    </x:row>
    <x:row r="3429">
      <x:c r="A3429" s="2" t="str">
        <x:v>371329</x:v>
      </x:c>
      <x:c r="B3429" s="2" t="str">
        <x:v>FAIRVIEW REGIONAL MEDICAL CENTER AUTHORITY</x:v>
      </x:c>
      <x:c r="C3429" s="2" t="str">
        <x:v>FAIRVIEW</x:v>
      </x:c>
      <x:c r="D3429" s="2" t="str">
        <x:v>OK</x:v>
      </x:c>
      <x:c r="E3429" s="2" t="str">
        <x:v>Critical Access Hospitals</x:v>
      </x:c>
      <x:c r="F3429" s="2" t="str">
        <x:v>Government</x:v>
      </x:c>
      <x:c r="G3429" s="2" t="str">
        <x:v>Small (&lt;100 beds)</x:v>
      </x:c>
      <x:c r="H3429" s="7"/>
      <x:c r="I3429" s="7"/>
      <x:c r="J3429" s="7"/>
      <x:c r="K3429" s="8" t="n">
        <x:v>25</x:v>
      </x:c>
      <x:c r="L3429" s="8" t="n">
        <x:v>84</x:v>
      </x:c>
      <x:c r="M3429" s="9" t="n">
        <x:v>0.0849315068</x:v>
      </x:c>
      <x:c r="N3429" s="10" t="n">
        <x:v>96883.75</x:v>
      </x:c>
      <x:c r="O3429" s="9" t="n">
        <x:v>-0.0541897197</x:v>
      </x:c>
      <x:c r="P3429" s="9" t="n">
        <x:v>0.3055762082</x:v>
      </x:c>
      <x:c r="Q3429" s="9" t="n">
        <x:v>0.292936803</x:v>
      </x:c>
      <x:c r="R3429" s="3" t="b">
        <x:v>0</x:v>
      </x:c>
      <x:c r="S3429" s="3" t="b">
        <x:v>0</x:v>
      </x:c>
      <x:c r="T3429" s="3" t="b">
        <x:v>0</x:v>
      </x:c>
      <x:c r="U3429" s="2" t="str">
        <x:f>IF(T3429=TRUE,"Priority review",IF(R3429=TRUE,"High cost",IF(S3429=TRUE,"Low quality","Benchmark")))</x:f>
        <x:v>Benchmark</x:v>
      </x:c>
    </x:row>
    <x:row r="3430">
      <x:c r="A3430" s="2" t="str">
        <x:v>490111</x:v>
      </x:c>
      <x:c r="B3430" s="2" t="str">
        <x:v>WYTHE COUNTY COMMUNITY HOSPITAL</x:v>
      </x:c>
      <x:c r="C3430" s="2" t="str">
        <x:v>WYTHEVILLE</x:v>
      </x:c>
      <x:c r="D3430" s="2" t="str">
        <x:v>VA</x:v>
      </x:c>
      <x:c r="E3430" s="2" t="str">
        <x:v>Acute Care Hospitals</x:v>
      </x:c>
      <x:c r="F3430" s="2" t="str">
        <x:v>Proprietary</x:v>
      </x:c>
      <x:c r="G3430" s="2" t="str">
        <x:v>Small (&lt;100 beds)</x:v>
      </x:c>
      <x:c r="H3430" s="7" t="n">
        <x:v>3</x:v>
      </x:c>
      <x:c r="I3430" s="7" t="n">
        <x:v>4</x:v>
      </x:c>
      <x:c r="J3430" s="7" t="n">
        <x:v>0.92</x:v>
      </x:c>
      <x:c r="K3430" s="8" t="n">
        <x:v>92</x:v>
      </x:c>
      <x:c r="L3430" s="8" t="n">
        <x:v>1759</x:v>
      </x:c>
      <x:c r="M3430" s="9" t="n">
        <x:v>0.1588857211</x:v>
      </x:c>
      <x:c r="N3430" s="10" t="n">
        <x:v>39473.4491188175</x:v>
      </x:c>
      <x:c r="O3430" s="9" t="n">
        <x:v>0.0831160491</x:v>
      </x:c>
      <x:c r="P3430" s="9" t="n">
        <x:v>0.3052064632</x:v>
      </x:c>
      <x:c r="Q3430" s="9" t="n">
        <x:v>0.1687612208</x:v>
      </x:c>
      <x:c r="R3430" s="3" t="b">
        <x:v>0</x:v>
      </x:c>
      <x:c r="S3430" s="3" t="b">
        <x:v>0</x:v>
      </x:c>
      <x:c r="T3430" s="3" t="b">
        <x:v>0</x:v>
      </x:c>
      <x:c r="U3430" s="2" t="str">
        <x:f>IF(T3430=TRUE,"Priority review",IF(R3430=TRUE,"High cost",IF(S3430=TRUE,"Low quality","Benchmark")))</x:f>
        <x:v>Benchmark</x:v>
      </x:c>
    </x:row>
    <x:row r="3431">
      <x:c r="A3431" s="2" t="str">
        <x:v>371325</x:v>
      </x:c>
      <x:c r="B3431" s="2" t="str">
        <x:v>CORDELL MEMORIAL HOSPITAL</x:v>
      </x:c>
      <x:c r="C3431" s="2" t="str">
        <x:v>CORDELL</x:v>
      </x:c>
      <x:c r="D3431" s="2" t="str">
        <x:v>OK</x:v>
      </x:c>
      <x:c r="E3431" s="2" t="str">
        <x:v>Critical Access Hospitals</x:v>
      </x:c>
      <x:c r="F3431" s="2" t="str">
        <x:v>Government</x:v>
      </x:c>
      <x:c r="G3431" s="2" t="str">
        <x:v>Small (&lt;100 beds)</x:v>
      </x:c>
      <x:c r="H3431" s="7"/>
      <x:c r="I3431" s="7"/>
      <x:c r="J3431" s="7"/>
      <x:c r="K3431" s="8" t="n">
        <x:v>14</x:v>
      </x:c>
      <x:c r="L3431" s="8" t="n">
        <x:v>102</x:v>
      </x:c>
      <x:c r="M3431" s="9" t="n">
        <x:v>0.1432485323</x:v>
      </x:c>
      <x:c r="N3431" s="10" t="n">
        <x:v>96873.0294117647</x:v>
      </x:c>
      <x:c r="O3431" s="9" t="n">
        <x:v>-0.3003120286</x:v>
      </x:c>
      <x:c r="P3431" s="9" t="n">
        <x:v>0.3048327138</x:v>
      </x:c>
      <x:c r="Q3431" s="9" t="n">
        <x:v>0.292936803</x:v>
      </x:c>
      <x:c r="R3431" s="3" t="b">
        <x:v>0</x:v>
      </x:c>
      <x:c r="S3431" s="3" t="b">
        <x:v>0</x:v>
      </x:c>
      <x:c r="T3431" s="3" t="b">
        <x:v>0</x:v>
      </x:c>
      <x:c r="U3431" s="2" t="str">
        <x:f>IF(T3431=TRUE,"Priority review",IF(R3431=TRUE,"High cost",IF(S3431=TRUE,"Low quality","Benchmark")))</x:f>
        <x:v>Benchmark</x:v>
      </x:c>
    </x:row>
    <x:row r="3432">
      <x:c r="A3432" s="2" t="str">
        <x:v>230002</x:v>
      </x:c>
      <x:c r="B3432" s="2" t="str">
        <x:v>ST JOE MERCY HOSPITAL SYSTEM LIVONIA</x:v>
      </x:c>
      <x:c r="C3432" s="2" t="str">
        <x:v>LIVONIA</x:v>
      </x:c>
      <x:c r="D3432" s="2" t="str">
        <x:v>MI</x:v>
      </x:c>
      <x:c r="E3432" s="2" t="str">
        <x:v>Acute Care Hospitals</x:v>
      </x:c>
      <x:c r="F3432" s="2" t="str">
        <x:v>Voluntary non-profit</x:v>
      </x:c>
      <x:c r="G3432" s="2" t="str">
        <x:v>Medium (100-299 beds)</x:v>
      </x:c>
      <x:c r="H3432" s="7" t="n">
        <x:v>2</x:v>
      </x:c>
      <x:c r="I3432" s="7" t="n">
        <x:v>2</x:v>
      </x:c>
      <x:c r="J3432" s="7" t="n">
        <x:v>0.96</x:v>
      </x:c>
      <x:c r="K3432" s="8" t="n">
        <x:v>226</x:v>
      </x:c>
      <x:c r="L3432" s="8" t="n">
        <x:v>16773</x:v>
      </x:c>
      <x:c r="M3432" s="9" t="n">
        <x:v>0.8792338465</x:v>
      </x:c>
      <x:c r="N3432" s="10" t="n">
        <x:v>27321.0659989268</x:v>
      </x:c>
      <x:c r="O3432" s="9" t="n">
        <x:v>-0.053189099</x:v>
      </x:c>
      <x:c r="P3432" s="9" t="n">
        <x:v>0.304808476</x:v>
      </x:c>
      <x:c r="Q3432" s="9" t="n">
        <x:v>0.0782396088</x:v>
      </x:c>
      <x:c r="R3432" s="3" t="b">
        <x:v>0</x:v>
      </x:c>
      <x:c r="S3432" s="3" t="b">
        <x:v>1</x:v>
      </x:c>
      <x:c r="T3432" s="3" t="b">
        <x:v>0</x:v>
      </x:c>
      <x:c r="U3432" s="2" t="str">
        <x:f>IF(T3432=TRUE,"Priority review",IF(R3432=TRUE,"High cost",IF(S3432=TRUE,"Low quality","Benchmark")))</x:f>
        <x:v>Low quality</x:v>
      </x:c>
    </x:row>
    <x:row r="3433">
      <x:c r="A3433" s="2" t="str">
        <x:v>440091</x:v>
      </x:c>
      <x:c r="B3433" s="2" t="str">
        <x:v>MEMORIAL HEALTHCARE SYSTEM, INC</x:v>
      </x:c>
      <x:c r="C3433" s="2" t="str">
        <x:v>CHATTANOOGA</x:v>
      </x:c>
      <x:c r="D3433" s="2" t="str">
        <x:v>TN</x:v>
      </x:c>
      <x:c r="E3433" s="2" t="str">
        <x:v>Acute Care Hospitals</x:v>
      </x:c>
      <x:c r="F3433" s="2" t="str">
        <x:v>Voluntary non-profit</x:v>
      </x:c>
      <x:c r="G3433" s="2" t="str">
        <x:v>Large (300+ beds)</x:v>
      </x:c>
      <x:c r="H3433" s="7" t="n">
        <x:v>5</x:v>
      </x:c>
      <x:c r="I3433" s="7" t="n">
        <x:v>4</x:v>
      </x:c>
      <x:c r="J3433" s="7" t="n">
        <x:v>1.03</x:v>
      </x:c>
      <x:c r="K3433" s="8" t="n">
        <x:v>431</x:v>
      </x:c>
      <x:c r="L3433" s="8" t="n">
        <x:v>22525</x:v>
      </x:c>
      <x:c r="M3433" s="9" t="n">
        <x:v>0.6747989702</x:v>
      </x:c>
      <x:c r="N3433" s="10" t="n">
        <x:v>30116.6217536071</x:v>
      </x:c>
      <x:c r="O3433" s="9" t="n">
        <x:v>-0.0579132171</x:v>
      </x:c>
      <x:c r="P3433" s="9" t="n">
        <x:v>0.3044164038</x:v>
      </x:c>
      <x:c r="Q3433" s="9" t="n">
        <x:v>0.8722397476</x:v>
      </x:c>
      <x:c r="R3433" s="3" t="b">
        <x:v>0</x:v>
      </x:c>
      <x:c r="S3433" s="3" t="b">
        <x:v>0</x:v>
      </x:c>
      <x:c r="T3433" s="3" t="b">
        <x:v>0</x:v>
      </x:c>
      <x:c r="U3433" s="2" t="str">
        <x:f>IF(T3433=TRUE,"Priority review",IF(R3433=TRUE,"High cost",IF(S3433=TRUE,"Low quality","Benchmark")))</x:f>
        <x:v>Benchmark</x:v>
      </x:c>
    </x:row>
    <x:row r="3434">
      <x:c r="A3434" s="2" t="str">
        <x:v>250077</x:v>
      </x:c>
      <x:c r="B3434" s="2" t="str">
        <x:v>WAYNE GENERAL HOSPITAL</x:v>
      </x:c>
      <x:c r="C3434" s="2" t="str">
        <x:v>WAYNESBORO</x:v>
      </x:c>
      <x:c r="D3434" s="2" t="str">
        <x:v>MS</x:v>
      </x:c>
      <x:c r="E3434" s="2" t="str">
        <x:v>Acute Care Hospitals</x:v>
      </x:c>
      <x:c r="F3434" s="2" t="str">
        <x:v>Government</x:v>
      </x:c>
      <x:c r="G3434" s="2" t="str">
        <x:v>Small (&lt;100 beds)</x:v>
      </x:c>
      <x:c r="H3434" s="7" t="n">
        <x:v>3</x:v>
      </x:c>
      <x:c r="I3434" s="7"/>
      <x:c r="J3434" s="7" t="n">
        <x:v>0.86</x:v>
      </x:c>
      <x:c r="K3434" s="8" t="n">
        <x:v>49</x:v>
      </x:c>
      <x:c r="L3434" s="8" t="n">
        <x:v>1171</x:v>
      </x:c>
      <x:c r="M3434" s="9" t="n">
        <x:v>0.4494256719</x:v>
      </x:c>
      <x:c r="N3434" s="10" t="n">
        <x:v>39332.4662681469</x:v>
      </x:c>
      <x:c r="O3434" s="9" t="n">
        <x:v>-0.2140271169</x:v>
      </x:c>
      <x:c r="P3434" s="9" t="n">
        <x:v>0.3043087971</x:v>
      </x:c>
      <x:c r="Q3434" s="9" t="n">
        <x:v>0.1687612208</x:v>
      </x:c>
      <x:c r="R3434" s="3" t="b">
        <x:v>0</x:v>
      </x:c>
      <x:c r="S3434" s="3" t="b">
        <x:v>0</x:v>
      </x:c>
      <x:c r="T3434" s="3" t="b">
        <x:v>0</x:v>
      </x:c>
      <x:c r="U3434" s="2" t="str">
        <x:f>IF(T3434=TRUE,"Priority review",IF(R3434=TRUE,"High cost",IF(S3434=TRUE,"Low quality","Benchmark")))</x:f>
        <x:v>Benchmark</x:v>
      </x:c>
    </x:row>
    <x:row r="3435">
      <x:c r="A3435" s="2" t="str">
        <x:v>454122</x:v>
      </x:c>
      <x:c r="B3435" s="2" t="str">
        <x:v>OCEANS BEHAVIORAL HOSPITAL OF ABILENE</x:v>
      </x:c>
      <x:c r="C3435" s="2" t="str">
        <x:v>ABILENE</x:v>
      </x:c>
      <x:c r="D3435" s="2" t="str">
        <x:v>TX</x:v>
      </x:c>
      <x:c r="E3435" s="2" t="str">
        <x:v>Psychiatric</x:v>
      </x:c>
      <x:c r="F3435" s="2" t="str">
        <x:v>Proprietary</x:v>
      </x:c>
      <x:c r="G3435" s="2" t="str">
        <x:v>Small (&lt;100 beds)</x:v>
      </x:c>
      <x:c r="H3435" s="7"/>
      <x:c r="I3435" s="7"/>
      <x:c r="J3435" s="7"/>
      <x:c r="K3435" s="8" t="n">
        <x:v>90</x:v>
      </x:c>
      <x:c r="L3435" s="8" t="n">
        <x:v>2051</x:v>
      </x:c>
      <x:c r="M3435" s="9" t="n">
        <x:v>0.6479356406</x:v>
      </x:c>
      <x:c r="N3435" s="10" t="n">
        <x:v>8781.26523647</x:v>
      </x:c>
      <x:c r="O3435" s="9" t="n">
        <x:v>0.1884843506</x:v>
      </x:c>
      <x:c r="P3435" s="9" t="n">
        <x:v>0.3042071197</x:v>
      </x:c>
      <x:c r="Q3435" s="9" t="n">
        <x:v>0</x:v>
      </x:c>
      <x:c r="R3435" s="3" t="b">
        <x:v>0</x:v>
      </x:c>
      <x:c r="S3435" s="3" t="b">
        <x:v>0</x:v>
      </x:c>
      <x:c r="T3435" s="3" t="b">
        <x:v>0</x:v>
      </x:c>
      <x:c r="U3435" s="2" t="str">
        <x:f>IF(T3435=TRUE,"Priority review",IF(R3435=TRUE,"High cost",IF(S3435=TRUE,"Low quality","Benchmark")))</x:f>
        <x:v>Benchmark</x:v>
      </x:c>
    </x:row>
    <x:row r="3436">
      <x:c r="A3436" s="2" t="str">
        <x:v>111313</x:v>
      </x:c>
      <x:c r="B3436" s="2" t="str">
        <x:v>PUTNAM GENERAL HOSPITAL</x:v>
      </x:c>
      <x:c r="C3436" s="2" t="str">
        <x:v>EATONTON</x:v>
      </x:c>
      <x:c r="D3436" s="2" t="str">
        <x:v>GA</x:v>
      </x:c>
      <x:c r="E3436" s="2" t="str">
        <x:v>Critical Access Hospitals</x:v>
      </x:c>
      <x:c r="F3436" s="2" t="str">
        <x:v>Government</x:v>
      </x:c>
      <x:c r="G3436" s="2" t="str">
        <x:v>Small (&lt;100 beds)</x:v>
      </x:c>
      <x:c r="H3436" s="7"/>
      <x:c r="I3436" s="7"/>
      <x:c r="J3436" s="7"/>
      <x:c r="K3436" s="8" t="n">
        <x:v>25</x:v>
      </x:c>
      <x:c r="L3436" s="8" t="n">
        <x:v>193</x:v>
      </x:c>
      <x:c r="M3436" s="9" t="n">
        <x:v>0.3779234973</x:v>
      </x:c>
      <x:c r="N3436" s="10" t="n">
        <x:v>96799.9689119171</x:v>
      </x:c>
      <x:c r="O3436" s="9" t="n">
        <x:v>-0.1695629569</x:v>
      </x:c>
      <x:c r="P3436" s="9" t="n">
        <x:v>0.3040892193</x:v>
      </x:c>
      <x:c r="Q3436" s="9" t="n">
        <x:v>0.292936803</x:v>
      </x:c>
      <x:c r="R3436" s="3" t="b">
        <x:v>0</x:v>
      </x:c>
      <x:c r="S3436" s="3" t="b">
        <x:v>0</x:v>
      </x:c>
      <x:c r="T3436" s="3" t="b">
        <x:v>0</x:v>
      </x:c>
      <x:c r="U3436" s="2" t="str">
        <x:f>IF(T3436=TRUE,"Priority review",IF(R3436=TRUE,"High cost",IF(S3436=TRUE,"Low quality","Benchmark")))</x:f>
        <x:v>Benchmark</x:v>
      </x:c>
    </x:row>
    <x:row r="3437">
      <x:c r="A3437" s="2" t="str">
        <x:v>440072</x:v>
      </x:c>
      <x:c r="B3437" s="2" t="str">
        <x:v>DYERSBURG REGIONAL MEDICAL CENTER</x:v>
      </x:c>
      <x:c r="C3437" s="2" t="str">
        <x:v>DYERSBURG</x:v>
      </x:c>
      <x:c r="D3437" s="2" t="str">
        <x:v>TN</x:v>
      </x:c>
      <x:c r="E3437" s="2" t="str">
        <x:v>Acute Care Hospitals</x:v>
      </x:c>
      <x:c r="F3437" s="2" t="str">
        <x:v>Proprietary</x:v>
      </x:c>
      <x:c r="G3437" s="2" t="str">
        <x:v>Medium (100-299 beds)</x:v>
      </x:c>
      <x:c r="H3437" s="7" t="n">
        <x:v>4</x:v>
      </x:c>
      <x:c r="I3437" s="7" t="n">
        <x:v>4</x:v>
      </x:c>
      <x:c r="J3437" s="7" t="n">
        <x:v>1.13</x:v>
      </x:c>
      <x:c r="K3437" s="8" t="n">
        <x:v>109</x:v>
      </x:c>
      <x:c r="L3437" s="8" t="n">
        <x:v>2401</x:v>
      </x:c>
      <x:c r="M3437" s="9" t="n">
        <x:v>0.2678899083</x:v>
      </x:c>
      <x:c r="N3437" s="10" t="n">
        <x:v>27240.5885047897</x:v>
      </x:c>
      <x:c r="O3437" s="9" t="n">
        <x:v>-0.0050994411</x:v>
      </x:c>
      <x:c r="P3437" s="9" t="n">
        <x:v>0.30399348</x:v>
      </x:c>
      <x:c r="Q3437" s="9" t="n">
        <x:v>0.6022819886</x:v>
      </x:c>
      <x:c r="R3437" s="3" t="b">
        <x:v>0</x:v>
      </x:c>
      <x:c r="S3437" s="3" t="b">
        <x:v>0</x:v>
      </x:c>
      <x:c r="T3437" s="3" t="b">
        <x:v>0</x:v>
      </x:c>
      <x:c r="U3437" s="2" t="str">
        <x:f>IF(T3437=TRUE,"Priority review",IF(R3437=TRUE,"High cost",IF(S3437=TRUE,"Low quality","Benchmark")))</x:f>
        <x:v>Benchmark</x:v>
      </x:c>
    </x:row>
    <x:row r="3438">
      <x:c r="A3438" s="2" t="str">
        <x:v>504015</x:v>
      </x:c>
      <x:c r="B3438" s="2" t="str">
        <x:v>SOUTH SOUND BEHAVIORAL HOSPITAL</x:v>
      </x:c>
      <x:c r="C3438" s="2" t="str">
        <x:v>LACEY</x:v>
      </x:c>
      <x:c r="D3438" s="2" t="str">
        <x:v>WA</x:v>
      </x:c>
      <x:c r="E3438" s="2" t="str">
        <x:v>Psychiatric</x:v>
      </x:c>
      <x:c r="F3438" s="2" t="str">
        <x:v>Proprietary</x:v>
      </x:c>
      <x:c r="G3438" s="2" t="str">
        <x:v>Medium (100-299 beds)</x:v>
      </x:c>
      <x:c r="H3438" s="7"/>
      <x:c r="I3438" s="7"/>
      <x:c r="J3438" s="7"/>
      <x:c r="K3438" s="8" t="n">
        <x:v>138</x:v>
      </x:c>
      <x:c r="L3438" s="8" t="n">
        <x:v>4838</x:v>
      </x:c>
      <x:c r="M3438" s="9" t="n">
        <x:v>0.8083474269</x:v>
      </x:c>
      <x:c r="N3438" s="10" t="n">
        <x:v>7704.8848697809</x:v>
      </x:c>
      <x:c r="O3438" s="9" t="n">
        <x:v>0.1726882795</x:v>
      </x:c>
      <x:c r="P3438" s="9" t="n">
        <x:v>0.3034825871</x:v>
      </x:c>
      <x:c r="Q3438" s="9" t="n">
        <x:v>0</x:v>
      </x:c>
      <x:c r="R3438" s="3" t="b">
        <x:v>0</x:v>
      </x:c>
      <x:c r="S3438" s="3" t="b">
        <x:v>0</x:v>
      </x:c>
      <x:c r="T3438" s="3" t="b">
        <x:v>0</x:v>
      </x:c>
      <x:c r="U3438" s="2" t="str">
        <x:f>IF(T3438=TRUE,"Priority review",IF(R3438=TRUE,"High cost",IF(S3438=TRUE,"Low quality","Benchmark")))</x:f>
        <x:v>Benchmark</x:v>
      </x:c>
    </x:row>
    <x:row r="3439">
      <x:c r="A3439" s="2" t="str">
        <x:v>490090</x:v>
      </x:c>
      <x:c r="B3439" s="2" t="str">
        <x:v>SOUTHSIDE COMMUNITY HOSPITAL, INC</x:v>
      </x:c>
      <x:c r="C3439" s="2" t="str">
        <x:v>FARMVILLE</x:v>
      </x:c>
      <x:c r="D3439" s="2" t="str">
        <x:v>VA</x:v>
      </x:c>
      <x:c r="E3439" s="2" t="str">
        <x:v>Acute Care Hospitals</x:v>
      </x:c>
      <x:c r="F3439" s="2" t="str">
        <x:v>Voluntary non-profit</x:v>
      </x:c>
      <x:c r="G3439" s="2" t="str">
        <x:v>Small (&lt;100 beds)</x:v>
      </x:c>
      <x:c r="H3439" s="7" t="n">
        <x:v>4</x:v>
      </x:c>
      <x:c r="I3439" s="7" t="n">
        <x:v>4</x:v>
      </x:c>
      <x:c r="J3439" s="7" t="n">
        <x:v>1.05</x:v>
      </x:c>
      <x:c r="K3439" s="8" t="n">
        <x:v>77</x:v>
      </x:c>
      <x:c r="L3439" s="8" t="n">
        <x:v>2792</x:v>
      </x:c>
      <x:c r="M3439" s="9" t="n">
        <x:v>0.3584202683</x:v>
      </x:c>
      <x:c r="N3439" s="10" t="n">
        <x:v>39283.9785100287</x:v>
      </x:c>
      <x:c r="O3439" s="9" t="n">
        <x:v>0.0274397354</x:v>
      </x:c>
      <x:c r="P3439" s="9" t="n">
        <x:v>0.3034111311</x:v>
      </x:c>
      <x:c r="Q3439" s="9" t="n">
        <x:v>0.3913824057</x:v>
      </x:c>
      <x:c r="R3439" s="3" t="b">
        <x:v>0</x:v>
      </x:c>
      <x:c r="S3439" s="3" t="b">
        <x:v>0</x:v>
      </x:c>
      <x:c r="T3439" s="3" t="b">
        <x:v>0</x:v>
      </x:c>
      <x:c r="U3439" s="2" t="str">
        <x:f>IF(T3439=TRUE,"Priority review",IF(R3439=TRUE,"High cost",IF(S3439=TRUE,"Low quality","Benchmark")))</x:f>
        <x:v>Benchmark</x:v>
      </x:c>
    </x:row>
    <x:row r="3440">
      <x:c r="A3440" s="2" t="str">
        <x:v>391314</x:v>
      </x:c>
      <x:c r="B3440" s="2" t="str">
        <x:v>TITUSVILLE AREA HOSPITAL</x:v>
      </x:c>
      <x:c r="C3440" s="2" t="str">
        <x:v>TITUSVILLE</x:v>
      </x:c>
      <x:c r="D3440" s="2" t="str">
        <x:v>PA</x:v>
      </x:c>
      <x:c r="E3440" s="2" t="str">
        <x:v>Critical Access Hospitals</x:v>
      </x:c>
      <x:c r="F3440" s="2" t="str">
        <x:v>Voluntary non-profit</x:v>
      </x:c>
      <x:c r="G3440" s="2" t="str">
        <x:v>Small (&lt;100 beds)</x:v>
      </x:c>
      <x:c r="H3440" s="7" t="n">
        <x:v>2</x:v>
      </x:c>
      <x:c r="I3440" s="7" t="n">
        <x:v>5</x:v>
      </x:c>
      <x:c r="J3440" s="7"/>
      <x:c r="K3440" s="8" t="n">
        <x:v>25</x:v>
      </x:c>
      <x:c r="L3440" s="8" t="n">
        <x:v>631</x:v>
      </x:c>
      <x:c r="M3440" s="9" t="n">
        <x:v>0.509260274</x:v>
      </x:c>
      <x:c r="N3440" s="10" t="n">
        <x:v>96657.8874801902</x:v>
      </x:c>
      <x:c r="O3440" s="9" t="n">
        <x:v>0.062369883</x:v>
      </x:c>
      <x:c r="P3440" s="9" t="n">
        <x:v>0.3033457249</x:v>
      </x:c>
      <x:c r="Q3440" s="9" t="n">
        <x:v>0.0171003717</x:v>
      </x:c>
      <x:c r="R3440" s="3" t="b">
        <x:v>0</x:v>
      </x:c>
      <x:c r="S3440" s="3" t="b">
        <x:v>1</x:v>
      </x:c>
      <x:c r="T3440" s="3" t="b">
        <x:v>0</x:v>
      </x:c>
      <x:c r="U3440" s="2" t="str">
        <x:f>IF(T3440=TRUE,"Priority review",IF(R3440=TRUE,"High cost",IF(S3440=TRUE,"Low quality","Benchmark")))</x:f>
        <x:v>Low quality</x:v>
      </x:c>
    </x:row>
    <x:row r="3441">
      <x:c r="A3441" s="2" t="str">
        <x:v>450702</x:v>
      </x:c>
      <x:c r="B3441" s="2" t="str">
        <x:v>LONGVIEW REGIONAL MEDICAL CENTER</x:v>
      </x:c>
      <x:c r="C3441" s="2" t="str">
        <x:v>LONGVIEW</x:v>
      </x:c>
      <x:c r="D3441" s="2" t="str">
        <x:v>TX</x:v>
      </x:c>
      <x:c r="E3441" s="2" t="str">
        <x:v>Acute Care Hospitals</x:v>
      </x:c>
      <x:c r="F3441" s="2" t="str">
        <x:v>Proprietary</x:v>
      </x:c>
      <x:c r="G3441" s="2" t="str">
        <x:v>Medium (100-299 beds)</x:v>
      </x:c>
      <x:c r="H3441" s="7" t="n">
        <x:v>3</x:v>
      </x:c>
      <x:c r="I3441" s="7" t="n">
        <x:v>3</x:v>
      </x:c>
      <x:c r="J3441" s="7" t="n">
        <x:v>1.04</x:v>
      </x:c>
      <x:c r="K3441" s="8" t="n">
        <x:v>224</x:v>
      </x:c>
      <x:c r="L3441" s="8" t="n">
        <x:v>10920</x:v>
      </x:c>
      <x:c r="M3441" s="9" t="n">
        <x:v>0.5774053474</x:v>
      </x:c>
      <x:c r="N3441" s="10" t="n">
        <x:v>27238.3437728938</x:v>
      </x:c>
      <x:c r="O3441" s="9" t="n">
        <x:v>0.0920486141</x:v>
      </x:c>
      <x:c r="P3441" s="9" t="n">
        <x:v>0.3031784841</x:v>
      </x:c>
      <x:c r="Q3441" s="9" t="n">
        <x:v>0.3023634882</x:v>
      </x:c>
      <x:c r="R3441" s="3" t="b">
        <x:v>0</x:v>
      </x:c>
      <x:c r="S3441" s="3" t="b">
        <x:v>0</x:v>
      </x:c>
      <x:c r="T3441" s="3" t="b">
        <x:v>0</x:v>
      </x:c>
      <x:c r="U3441" s="2" t="str">
        <x:f>IF(T3441=TRUE,"Priority review",IF(R3441=TRUE,"High cost",IF(S3441=TRUE,"Low quality","Benchmark")))</x:f>
        <x:v>Benchmark</x:v>
      </x:c>
    </x:row>
    <x:row r="3442">
      <x:c r="A3442" s="2" t="str">
        <x:v>140252</x:v>
      </x:c>
      <x:c r="B3442" s="2" t="str">
        <x:v>NORTHWEST COMMUNITY HOSPITAL 1</x:v>
      </x:c>
      <x:c r="C3442" s="2" t="str">
        <x:v>ARLINGTON HEIGHTS</x:v>
      </x:c>
      <x:c r="D3442" s="2" t="str">
        <x:v>IL</x:v>
      </x:c>
      <x:c r="E3442" s="2" t="str">
        <x:v>Acute Care Hospitals</x:v>
      </x:c>
      <x:c r="F3442" s="2" t="str">
        <x:v>Voluntary non-profit</x:v>
      </x:c>
      <x:c r="G3442" s="2" t="str">
        <x:v>Large (300+ beds)</x:v>
      </x:c>
      <x:c r="H3442" s="7" t="n">
        <x:v>4</x:v>
      </x:c>
      <x:c r="I3442" s="7" t="n">
        <x:v>2</x:v>
      </x:c>
      <x:c r="J3442" s="7" t="n">
        <x:v>1</x:v>
      </x:c>
      <x:c r="K3442" s="8" t="n">
        <x:v>424</x:v>
      </x:c>
      <x:c r="L3442" s="8" t="n">
        <x:v>20571</x:v>
      </x:c>
      <x:c r="M3442" s="9" t="n">
        <x:v>0.5692081658</x:v>
      </x:c>
      <x:c r="N3442" s="10" t="n">
        <x:v>30106.2515191289</x:v>
      </x:c>
      <x:c r="O3442" s="9" t="n">
        <x:v>0.0098845802</x:v>
      </x:c>
      <x:c r="P3442" s="9" t="n">
        <x:v>0.3028391167</x:v>
      </x:c>
      <x:c r="Q3442" s="9" t="n">
        <x:v>0.5899053628</x:v>
      </x:c>
      <x:c r="R3442" s="3" t="b">
        <x:v>0</x:v>
      </x:c>
      <x:c r="S3442" s="3" t="b">
        <x:v>0</x:v>
      </x:c>
      <x:c r="T3442" s="3" t="b">
        <x:v>0</x:v>
      </x:c>
      <x:c r="U3442" s="2" t="str">
        <x:f>IF(T3442=TRUE,"Priority review",IF(R3442=TRUE,"High cost",IF(S3442=TRUE,"Low quality","Benchmark")))</x:f>
        <x:v>Benchmark</x:v>
      </x:c>
    </x:row>
    <x:row r="3443">
      <x:c r="A3443" s="2" t="str">
        <x:v>241368</x:v>
      </x:c>
      <x:c r="B3443" s="2" t="str">
        <x:v>CENTRACARE HEALTH SYSTEM - SAUK CENTRE</x:v>
      </x:c>
      <x:c r="C3443" s="2" t="str">
        <x:v>SAUK CENTRE</x:v>
      </x:c>
      <x:c r="D3443" s="2" t="str">
        <x:v>MN</x:v>
      </x:c>
      <x:c r="E3443" s="2" t="str">
        <x:v>Critical Access Hospitals</x:v>
      </x:c>
      <x:c r="F3443" s="2" t="str">
        <x:v>Voluntary non-profit</x:v>
      </x:c>
      <x:c r="G3443" s="2" t="str">
        <x:v>Small (&lt;100 beds)</x:v>
      </x:c>
      <x:c r="H3443" s="7"/>
      <x:c r="I3443" s="7"/>
      <x:c r="J3443" s="7"/>
      <x:c r="K3443" s="8" t="n">
        <x:v>14</x:v>
      </x:c>
      <x:c r="L3443" s="8" t="n">
        <x:v>431</x:v>
      </x:c>
      <x:c r="M3443" s="9" t="n">
        <x:v>0.4174168297</x:v>
      </x:c>
      <x:c r="N3443" s="10" t="n">
        <x:v>96499.505800464</x:v>
      </x:c>
      <x:c r="O3443" s="9" t="n">
        <x:v>0.0524393544</x:v>
      </x:c>
      <x:c r="P3443" s="9" t="n">
        <x:v>0.3026022305</x:v>
      </x:c>
      <x:c r="Q3443" s="9" t="n">
        <x:v>0.292936803</x:v>
      </x:c>
      <x:c r="R3443" s="3" t="b">
        <x:v>0</x:v>
      </x:c>
      <x:c r="S3443" s="3" t="b">
        <x:v>0</x:v>
      </x:c>
      <x:c r="T3443" s="3" t="b">
        <x:v>0</x:v>
      </x:c>
      <x:c r="U3443" s="2" t="str">
        <x:f>IF(T3443=TRUE,"Priority review",IF(R3443=TRUE,"High cost",IF(S3443=TRUE,"Low quality","Benchmark")))</x:f>
        <x:v>Benchmark</x:v>
      </x:c>
    </x:row>
    <x:row r="3444">
      <x:c r="A3444" s="2" t="str">
        <x:v>440016</x:v>
      </x:c>
      <x:c r="B3444" s="2" t="str">
        <x:v>BAPTIST MEMORIAL HOSPITAL - CARROLL COUNTY</x:v>
      </x:c>
      <x:c r="C3444" s="2" t="str">
        <x:v>HUNTINGDON</x:v>
      </x:c>
      <x:c r="D3444" s="2" t="str">
        <x:v>TN</x:v>
      </x:c>
      <x:c r="E3444" s="2" t="str">
        <x:v>Acute Care Hospitals</x:v>
      </x:c>
      <x:c r="F3444" s="2" t="str">
        <x:v>Voluntary non-profit</x:v>
      </x:c>
      <x:c r="G3444" s="2" t="str">
        <x:v>Small (&lt;100 beds)</x:v>
      </x:c>
      <x:c r="H3444" s="7" t="n">
        <x:v>4</x:v>
      </x:c>
      <x:c r="I3444" s="7" t="n">
        <x:v>4</x:v>
      </x:c>
      <x:c r="J3444" s="7" t="n">
        <x:v>1.02</x:v>
      </x:c>
      <x:c r="K3444" s="8" t="n">
        <x:v>35</x:v>
      </x:c>
      <x:c r="L3444" s="8" t="n">
        <x:v>1090</x:v>
      </x:c>
      <x:c r="M3444" s="9" t="n">
        <x:v>0.3850117096</x:v>
      </x:c>
      <x:c r="N3444" s="10" t="n">
        <x:v>39249.9100917431</x:v>
      </x:c>
      <x:c r="O3444" s="9" t="n">
        <x:v>-0.2228818941</x:v>
      </x:c>
      <x:c r="P3444" s="9" t="n">
        <x:v>0.302513465</x:v>
      </x:c>
      <x:c r="Q3444" s="9" t="n">
        <x:v>0.3913824057</x:v>
      </x:c>
      <x:c r="R3444" s="3" t="b">
        <x:v>0</x:v>
      </x:c>
      <x:c r="S3444" s="3" t="b">
        <x:v>0</x:v>
      </x:c>
      <x:c r="T3444" s="3" t="b">
        <x:v>0</x:v>
      </x:c>
      <x:c r="U3444" s="2" t="str">
        <x:f>IF(T3444=TRUE,"Priority review",IF(R3444=TRUE,"High cost",IF(S3444=TRUE,"Low quality","Benchmark")))</x:f>
        <x:v>Benchmark</x:v>
      </x:c>
    </x:row>
    <x:row r="3445">
      <x:c r="A3445" s="2" t="str">
        <x:v>340171</x:v>
      </x:c>
      <x:c r="B3445" s="2" t="str">
        <x:v>NOVANT HEALTH MATTHEWS MEDICAL CENTER</x:v>
      </x:c>
      <x:c r="C3445" s="2" t="str">
        <x:v>MATTHEWS</x:v>
      </x:c>
      <x:c r="D3445" s="2" t="str">
        <x:v>NC</x:v>
      </x:c>
      <x:c r="E3445" s="2" t="str">
        <x:v>Acute Care Hospitals</x:v>
      </x:c>
      <x:c r="F3445" s="2" t="str">
        <x:v>Voluntary non-profit</x:v>
      </x:c>
      <x:c r="G3445" s="2" t="str">
        <x:v>Medium (100-299 beds)</x:v>
      </x:c>
      <x:c r="H3445" s="7" t="n">
        <x:v>5</x:v>
      </x:c>
      <x:c r="I3445" s="7" t="n">
        <x:v>3</x:v>
      </x:c>
      <x:c r="J3445" s="7" t="n">
        <x:v>0.91</x:v>
      </x:c>
      <x:c r="K3445" s="8" t="n">
        <x:v>157</x:v>
      </x:c>
      <x:c r="L3445" s="8" t="n">
        <x:v>9649</x:v>
      </x:c>
      <x:c r="M3445" s="9" t="n">
        <x:v>0.7762869375</x:v>
      </x:c>
      <x:c r="N3445" s="10" t="n">
        <x:v>27237.1854078143</x:v>
      </x:c>
      <x:c r="O3445" s="9" t="n">
        <x:v>0.1920847984</x:v>
      </x:c>
      <x:c r="P3445" s="9" t="n">
        <x:v>0.3023634882</x:v>
      </x:c>
      <x:c r="Q3445" s="9" t="n">
        <x:v>0.8744906275</x:v>
      </x:c>
      <x:c r="R3445" s="3" t="b">
        <x:v>0</x:v>
      </x:c>
      <x:c r="S3445" s="3" t="b">
        <x:v>0</x:v>
      </x:c>
      <x:c r="T3445" s="3" t="b">
        <x:v>0</x:v>
      </x:c>
      <x:c r="U3445" s="2" t="str">
        <x:f>IF(T3445=TRUE,"Priority review",IF(R3445=TRUE,"High cost",IF(S3445=TRUE,"Low quality","Benchmark")))</x:f>
        <x:v>Benchmark</x:v>
      </x:c>
    </x:row>
    <x:row r="3446">
      <x:c r="A3446" s="2" t="str">
        <x:v>431312</x:v>
      </x:c>
      <x:c r="B3446" s="2" t="str">
        <x:v>MARSHALL COUNTY HEALTHCARE CENTER - CAH</x:v>
      </x:c>
      <x:c r="C3446" s="2" t="str">
        <x:v>BRITTON</x:v>
      </x:c>
      <x:c r="D3446" s="2" t="str">
        <x:v>SD</x:v>
      </x:c>
      <x:c r="E3446" s="2" t="str">
        <x:v>Critical Access Hospitals</x:v>
      </x:c>
      <x:c r="F3446" s="2" t="str">
        <x:v>Voluntary non-profit</x:v>
      </x:c>
      <x:c r="G3446" s="2" t="str">
        <x:v>Small (&lt;100 beds)</x:v>
      </x:c>
      <x:c r="H3446" s="7"/>
      <x:c r="I3446" s="7"/>
      <x:c r="J3446" s="7"/>
      <x:c r="K3446" s="8" t="n">
        <x:v>20</x:v>
      </x:c>
      <x:c r="L3446" s="8" t="n">
        <x:v>135</x:v>
      </x:c>
      <x:c r="M3446" s="9" t="n">
        <x:v>0.1082191781</x:v>
      </x:c>
      <x:c r="N3446" s="10" t="n">
        <x:v>96457.037037037</x:v>
      </x:c>
      <x:c r="O3446" s="9" t="n">
        <x:v>-0.1085382911</x:v>
      </x:c>
      <x:c r="P3446" s="9" t="n">
        <x:v>0.3018587361</x:v>
      </x:c>
      <x:c r="Q3446" s="9" t="n">
        <x:v>0.292936803</x:v>
      </x:c>
      <x:c r="R3446" s="3" t="b">
        <x:v>0</x:v>
      </x:c>
      <x:c r="S3446" s="3" t="b">
        <x:v>0</x:v>
      </x:c>
      <x:c r="T3446" s="3" t="b">
        <x:v>0</x:v>
      </x:c>
      <x:c r="U3446" s="2" t="str">
        <x:f>IF(T3446=TRUE,"Priority review",IF(R3446=TRUE,"High cost",IF(S3446=TRUE,"Low quality","Benchmark")))</x:f>
        <x:v>Benchmark</x:v>
      </x:c>
    </x:row>
    <x:row r="3447">
      <x:c r="A3447" s="2" t="str">
        <x:v>520097</x:v>
      </x:c>
      <x:c r="B3447" s="2" t="str">
        <x:v>ST MARYS HOSPITAL MEDICAL CTR</x:v>
      </x:c>
      <x:c r="C3447" s="2" t="str">
        <x:v>GREEN BAY</x:v>
      </x:c>
      <x:c r="D3447" s="2" t="str">
        <x:v>WI</x:v>
      </x:c>
      <x:c r="E3447" s="2" t="str">
        <x:v>Acute Care Hospitals</x:v>
      </x:c>
      <x:c r="F3447" s="2" t="str">
        <x:v>Voluntary non-profit</x:v>
      </x:c>
      <x:c r="G3447" s="2" t="str">
        <x:v>Small (&lt;100 beds)</x:v>
      </x:c>
      <x:c r="H3447" s="7" t="n">
        <x:v>3</x:v>
      </x:c>
      <x:c r="I3447" s="7" t="n">
        <x:v>3</x:v>
      </x:c>
      <x:c r="J3447" s="7" t="n">
        <x:v>1.04</x:v>
      </x:c>
      <x:c r="K3447" s="8" t="n">
        <x:v>72</x:v>
      </x:c>
      <x:c r="L3447" s="8" t="n">
        <x:v>3762</x:v>
      </x:c>
      <x:c r="M3447" s="9" t="n">
        <x:v>0.576674277</x:v>
      </x:c>
      <x:c r="N3447" s="10" t="n">
        <x:v>39210.0680489102</x:v>
      </x:c>
      <x:c r="O3447" s="9" t="n">
        <x:v>-0.0212712355</x:v>
      </x:c>
      <x:c r="P3447" s="9" t="n">
        <x:v>0.3016157989</x:v>
      </x:c>
      <x:c r="Q3447" s="9" t="n">
        <x:v>0.1687612208</x:v>
      </x:c>
      <x:c r="R3447" s="3" t="b">
        <x:v>0</x:v>
      </x:c>
      <x:c r="S3447" s="3" t="b">
        <x:v>0</x:v>
      </x:c>
      <x:c r="T3447" s="3" t="b">
        <x:v>0</x:v>
      </x:c>
      <x:c r="U3447" s="2" t="str">
        <x:f>IF(T3447=TRUE,"Priority review",IF(R3447=TRUE,"High cost",IF(S3447=TRUE,"Low quality","Benchmark")))</x:f>
        <x:v>Benchmark</x:v>
      </x:c>
    </x:row>
    <x:row r="3448">
      <x:c r="A3448" s="2" t="str">
        <x:v>160030</x:v>
      </x:c>
      <x:c r="B3448" s="2" t="str">
        <x:v>MARY GREELEY MEDICAL CENTER</x:v>
      </x:c>
      <x:c r="C3448" s="2" t="str">
        <x:v>AMES</x:v>
      </x:c>
      <x:c r="D3448" s="2" t="str">
        <x:v>IA</x:v>
      </x:c>
      <x:c r="E3448" s="2" t="str">
        <x:v>Acute Care Hospitals</x:v>
      </x:c>
      <x:c r="F3448" s="2" t="str">
        <x:v>Government</x:v>
      </x:c>
      <x:c r="G3448" s="2" t="str">
        <x:v>Medium (100-299 beds)</x:v>
      </x:c>
      <x:c r="H3448" s="7" t="n">
        <x:v>4</x:v>
      </x:c>
      <x:c r="I3448" s="7" t="n">
        <x:v>4</x:v>
      </x:c>
      <x:c r="J3448" s="7" t="n">
        <x:v>0.95</x:v>
      </x:c>
      <x:c r="K3448" s="8" t="n">
        <x:v>150</x:v>
      </x:c>
      <x:c r="L3448" s="8" t="n">
        <x:v>9442</x:v>
      </x:c>
      <x:c r="M3448" s="9" t="n">
        <x:v>0.6125844749</x:v>
      </x:c>
      <x:c r="N3448" s="10" t="n">
        <x:v>27203.2579961872</x:v>
      </x:c>
      <x:c r="O3448" s="9" t="n">
        <x:v>0.0099759584</x:v>
      </x:c>
      <x:c r="P3448" s="9" t="n">
        <x:v>0.3015484923</x:v>
      </x:c>
      <x:c r="Q3448" s="9" t="n">
        <x:v>0.6022819886</x:v>
      </x:c>
      <x:c r="R3448" s="3" t="b">
        <x:v>0</x:v>
      </x:c>
      <x:c r="S3448" s="3" t="b">
        <x:v>0</x:v>
      </x:c>
      <x:c r="T3448" s="3" t="b">
        <x:v>0</x:v>
      </x:c>
      <x:c r="U3448" s="2" t="str">
        <x:f>IF(T3448=TRUE,"Priority review",IF(R3448=TRUE,"High cost",IF(S3448=TRUE,"Low quality","Benchmark")))</x:f>
        <x:v>Benchmark</x:v>
      </x:c>
    </x:row>
    <x:row r="3449">
      <x:c r="A3449" s="2" t="str">
        <x:v>190040</x:v>
      </x:c>
      <x:c r="B3449" s="2" t="str">
        <x:v>SLIDELL MEMORIAL HOSPITAL</x:v>
      </x:c>
      <x:c r="C3449" s="2" t="str">
        <x:v>SLIDELL</x:v>
      </x:c>
      <x:c r="D3449" s="2" t="str">
        <x:v>LA</x:v>
      </x:c>
      <x:c r="E3449" s="2" t="str">
        <x:v>Acute Care Hospitals</x:v>
      </x:c>
      <x:c r="F3449" s="2" t="str">
        <x:v>Government</x:v>
      </x:c>
      <x:c r="G3449" s="2" t="str">
        <x:v>Large (300+ beds)</x:v>
      </x:c>
      <x:c r="H3449" s="7" t="n">
        <x:v>2</x:v>
      </x:c>
      <x:c r="I3449" s="7" t="n">
        <x:v>3</x:v>
      </x:c>
      <x:c r="J3449" s="7" t="n">
        <x:v>0.98</x:v>
      </x:c>
      <x:c r="K3449" s="8" t="n">
        <x:v>339</x:v>
      </x:c>
      <x:c r="L3449" s="8" t="n">
        <x:v>13147</x:v>
      </x:c>
      <x:c r="M3449" s="9" t="n">
        <x:v>0.4776034362</x:v>
      </x:c>
      <x:c r="N3449" s="10" t="n">
        <x:v>30101.3546816764</x:v>
      </x:c>
      <x:c r="O3449" s="9" t="n">
        <x:v>-0.0834961939</x:v>
      </x:c>
      <x:c r="P3449" s="9" t="n">
        <x:v>0.3012618297</x:v>
      </x:c>
      <x:c r="Q3449" s="9" t="n">
        <x:v>0.0536277603</x:v>
      </x:c>
      <x:c r="R3449" s="3" t="b">
        <x:v>0</x:v>
      </x:c>
      <x:c r="S3449" s="3" t="b">
        <x:v>1</x:v>
      </x:c>
      <x:c r="T3449" s="3" t="b">
        <x:v>0</x:v>
      </x:c>
      <x:c r="U3449" s="2" t="str">
        <x:f>IF(T3449=TRUE,"Priority review",IF(R3449=TRUE,"High cost",IF(S3449=TRUE,"Low quality","Benchmark")))</x:f>
        <x:v>Low quality</x:v>
      </x:c>
    </x:row>
    <x:row r="3450">
      <x:c r="A3450" s="2" t="str">
        <x:v>141318</x:v>
      </x:c>
      <x:c r="B3450" s="2" t="str">
        <x:v>OSF HOLY FAMILY MEDICAL CENTER</x:v>
      </x:c>
      <x:c r="C3450" s="2" t="str">
        <x:v>MONMOUTH</x:v>
      </x:c>
      <x:c r="D3450" s="2" t="str">
        <x:v>IL</x:v>
      </x:c>
      <x:c r="E3450" s="2" t="str">
        <x:v>Critical Access Hospitals</x:v>
      </x:c>
      <x:c r="F3450" s="2" t="str">
        <x:v>Voluntary non-profit</x:v>
      </x:c>
      <x:c r="G3450" s="2" t="str">
        <x:v>Small (&lt;100 beds)</x:v>
      </x:c>
      <x:c r="H3450" s="7" t="n">
        <x:v>4</x:v>
      </x:c>
      <x:c r="I3450" s="7"/>
      <x:c r="J3450" s="7"/>
      <x:c r="K3450" s="8" t="n">
        <x:v>15</x:v>
      </x:c>
      <x:c r="L3450" s="8" t="n">
        <x:v>363</x:v>
      </x:c>
      <x:c r="M3450" s="9" t="n">
        <x:v>0.3706739526</x:v>
      </x:c>
      <x:c r="N3450" s="10" t="n">
        <x:v>96455.261707989</x:v>
      </x:c>
      <x:c r="O3450" s="9" t="n">
        <x:v>0.348039772</x:v>
      </x:c>
      <x:c r="P3450" s="9" t="n">
        <x:v>0.3011152416</x:v>
      </x:c>
      <x:c r="Q3450" s="9" t="n">
        <x:v>0.1657992565</x:v>
      </x:c>
      <x:c r="R3450" s="3" t="b">
        <x:v>0</x:v>
      </x:c>
      <x:c r="S3450" s="3" t="b">
        <x:v>0</x:v>
      </x:c>
      <x:c r="T3450" s="3" t="b">
        <x:v>0</x:v>
      </x:c>
      <x:c r="U3450" s="2" t="str">
        <x:f>IF(T3450=TRUE,"Priority review",IF(R3450=TRUE,"High cost",IF(S3450=TRUE,"Low quality","Benchmark")))</x:f>
        <x:v>Benchmark</x:v>
      </x:c>
    </x:row>
    <x:row r="3451">
      <x:c r="A3451" s="2" t="str">
        <x:v>454157</x:v>
      </x:c>
      <x:c r="B3451" s="2" t="str">
        <x:v>OCEANS BEHAVIORAL HOSPITAL OF LUBBOCK</x:v>
      </x:c>
      <x:c r="C3451" s="2" t="str">
        <x:v>LUBBOCK</x:v>
      </x:c>
      <x:c r="D3451" s="2" t="str">
        <x:v>TX</x:v>
      </x:c>
      <x:c r="E3451" s="2" t="str">
        <x:v>Psychiatric</x:v>
      </x:c>
      <x:c r="F3451" s="2" t="str">
        <x:v>Proprietary</x:v>
      </x:c>
      <x:c r="G3451" s="2" t="str">
        <x:v>Small (&lt;100 beds)</x:v>
      </x:c>
      <x:c r="H3451" s="7"/>
      <x:c r="I3451" s="7"/>
      <x:c r="J3451" s="7"/>
      <x:c r="K3451" s="8" t="n">
        <x:v>32</x:v>
      </x:c>
      <x:c r="L3451" s="8" t="n">
        <x:v>1060</x:v>
      </x:c>
      <x:c r="M3451" s="9" t="n">
        <x:v>0.8489583333</x:v>
      </x:c>
      <x:c r="N3451" s="10" t="n">
        <x:v>8772.6339622642</x:v>
      </x:c>
      <x:c r="O3451" s="9" t="n">
        <x:v>-0.0231800715</x:v>
      </x:c>
      <x:c r="P3451" s="9" t="n">
        <x:v>0.3009708738</x:v>
      </x:c>
      <x:c r="Q3451" s="9" t="n">
        <x:v>0</x:v>
      </x:c>
      <x:c r="R3451" s="3" t="b">
        <x:v>0</x:v>
      </x:c>
      <x:c r="S3451" s="3" t="b">
        <x:v>0</x:v>
      </x:c>
      <x:c r="T3451" s="3" t="b">
        <x:v>0</x:v>
      </x:c>
      <x:c r="U3451" s="2" t="str">
        <x:f>IF(T3451=TRUE,"Priority review",IF(R3451=TRUE,"High cost",IF(S3451=TRUE,"Low quality","Benchmark")))</x:f>
        <x:v>Benchmark</x:v>
      </x:c>
    </x:row>
    <x:row r="3452">
      <x:c r="A3452" s="2" t="str">
        <x:v>420030</x:v>
      </x:c>
      <x:c r="B3452" s="2" t="str">
        <x:v>COLLETON MEDICAL CENTER</x:v>
      </x:c>
      <x:c r="C3452" s="2" t="str">
        <x:v>WALTERBORO</x:v>
      </x:c>
      <x:c r="D3452" s="2" t="str">
        <x:v>SC</x:v>
      </x:c>
      <x:c r="E3452" s="2" t="str">
        <x:v>Acute Care Hospitals</x:v>
      </x:c>
      <x:c r="F3452" s="2" t="str">
        <x:v>Proprietary</x:v>
      </x:c>
      <x:c r="G3452" s="2" t="str">
        <x:v>Medium (100-299 beds)</x:v>
      </x:c>
      <x:c r="H3452" s="7" t="n">
        <x:v>3</x:v>
      </x:c>
      <x:c r="I3452" s="7" t="n">
        <x:v>4</x:v>
      </x:c>
      <x:c r="J3452" s="7" t="n">
        <x:v>0.95</x:v>
      </x:c>
      <x:c r="K3452" s="8" t="n">
        <x:v>102</x:v>
      </x:c>
      <x:c r="L3452" s="8" t="n">
        <x:v>3177</x:v>
      </x:c>
      <x:c r="M3452" s="9" t="n">
        <x:v>0.2725008036</x:v>
      </x:c>
      <x:c r="N3452" s="10" t="n">
        <x:v>27197.6418004407</x:v>
      </x:c>
      <x:c r="O3452" s="9" t="n">
        <x:v>0.0961573514</x:v>
      </x:c>
      <x:c r="P3452" s="9" t="n">
        <x:v>0.3007334963</x:v>
      </x:c>
      <x:c r="Q3452" s="9" t="n">
        <x:v>0.3023634882</x:v>
      </x:c>
      <x:c r="R3452" s="3" t="b">
        <x:v>0</x:v>
      </x:c>
      <x:c r="S3452" s="3" t="b">
        <x:v>0</x:v>
      </x:c>
      <x:c r="T3452" s="3" t="b">
        <x:v>0</x:v>
      </x:c>
      <x:c r="U3452" s="2" t="str">
        <x:f>IF(T3452=TRUE,"Priority review",IF(R3452=TRUE,"High cost",IF(S3452=TRUE,"Low quality","Benchmark")))</x:f>
        <x:v>Benchmark</x:v>
      </x:c>
    </x:row>
    <x:row r="3453">
      <x:c r="A3453" s="2" t="str">
        <x:v>050279</x:v>
      </x:c>
      <x:c r="B3453" s="2" t="str">
        <x:v>HI-DESERT MEDICAL CENTER</x:v>
      </x:c>
      <x:c r="C3453" s="2" t="str">
        <x:v>JOSHUA TREE</x:v>
      </x:c>
      <x:c r="D3453" s="2" t="str">
        <x:v>CA</x:v>
      </x:c>
      <x:c r="E3453" s="2" t="str">
        <x:v>Acute Care Hospitals</x:v>
      </x:c>
      <x:c r="F3453" s="2" t="str">
        <x:v>Government</x:v>
      </x:c>
      <x:c r="G3453" s="2" t="str">
        <x:v>Small (&lt;100 beds)</x:v>
      </x:c>
      <x:c r="H3453" s="7" t="n">
        <x:v>2</x:v>
      </x:c>
      <x:c r="I3453" s="7" t="n">
        <x:v>2</x:v>
      </x:c>
      <x:c r="J3453" s="7" t="n">
        <x:v>0.92</x:v>
      </x:c>
      <x:c r="K3453" s="8" t="n">
        <x:v>55</x:v>
      </x:c>
      <x:c r="L3453" s="8" t="n">
        <x:v>2178</x:v>
      </x:c>
      <x:c r="M3453" s="9" t="n">
        <x:v>0.3470983811</x:v>
      </x:c>
      <x:c r="N3453" s="10" t="n">
        <x:v>39197.9678604224</x:v>
      </x:c>
      <x:c r="O3453" s="9" t="n">
        <x:v>0.0218679824</x:v>
      </x:c>
      <x:c r="P3453" s="9" t="n">
        <x:v>0.3007181329</x:v>
      </x:c>
      <x:c r="Q3453" s="9" t="n">
        <x:v>0.0350089767</x:v>
      </x:c>
      <x:c r="R3453" s="3" t="b">
        <x:v>0</x:v>
      </x:c>
      <x:c r="S3453" s="3" t="b">
        <x:v>1</x:v>
      </x:c>
      <x:c r="T3453" s="3" t="b">
        <x:v>0</x:v>
      </x:c>
      <x:c r="U3453" s="2" t="str">
        <x:f>IF(T3453=TRUE,"Priority review",IF(R3453=TRUE,"High cost",IF(S3453=TRUE,"Low quality","Benchmark")))</x:f>
        <x:v>Low quality</x:v>
      </x:c>
    </x:row>
    <x:row r="3454">
      <x:c r="A3454" s="2" t="str">
        <x:v>281336</x:v>
      </x:c>
      <x:c r="B3454" s="2" t="str">
        <x:v>YORK GENERAL HEALTH CARE SERVICES</x:v>
      </x:c>
      <x:c r="C3454" s="2" t="str">
        <x:v>YORK</x:v>
      </x:c>
      <x:c r="D3454" s="2" t="str">
        <x:v>NE</x:v>
      </x:c>
      <x:c r="E3454" s="2" t="str">
        <x:v>Critical Access Hospitals</x:v>
      </x:c>
      <x:c r="F3454" s="2" t="str">
        <x:v>Voluntary non-profit</x:v>
      </x:c>
      <x:c r="G3454" s="2" t="str">
        <x:v>Small (&lt;100 beds)</x:v>
      </x:c>
      <x:c r="H3454" s="7" t="n">
        <x:v>4</x:v>
      </x:c>
      <x:c r="I3454" s="7" t="n">
        <x:v>4</x:v>
      </x:c>
      <x:c r="J3454" s="7"/>
      <x:c r="K3454" s="8" t="n">
        <x:v>25</x:v>
      </x:c>
      <x:c r="L3454" s="8" t="n">
        <x:v>662</x:v>
      </x:c>
      <x:c r="M3454" s="9" t="n">
        <x:v>0.2204371585</x:v>
      </x:c>
      <x:c r="N3454" s="10" t="n">
        <x:v>96388.1752265861</x:v>
      </x:c>
      <x:c r="O3454" s="9" t="n">
        <x:v>-0.0319369664</x:v>
      </x:c>
      <x:c r="P3454" s="9" t="n">
        <x:v>0.3003717472</x:v>
      </x:c>
      <x:c r="Q3454" s="9" t="n">
        <x:v>0.1657992565</x:v>
      </x:c>
      <x:c r="R3454" s="3" t="b">
        <x:v>0</x:v>
      </x:c>
      <x:c r="S3454" s="3" t="b">
        <x:v>0</x:v>
      </x:c>
      <x:c r="T3454" s="3" t="b">
        <x:v>0</x:v>
      </x:c>
      <x:c r="U3454" s="2" t="str">
        <x:f>IF(T3454=TRUE,"Priority review",IF(R3454=TRUE,"High cost",IF(S3454=TRUE,"Low quality","Benchmark")))</x:f>
        <x:v>Benchmark</x:v>
      </x:c>
    </x:row>
    <x:row r="3455">
      <x:c r="A3455" s="2" t="str">
        <x:v>160069</x:v>
      </x:c>
      <x:c r="B3455" s="2" t="str">
        <x:v>MERCYONE DUBUQUE MEDICAL CENTER</x:v>
      </x:c>
      <x:c r="C3455" s="2" t="str">
        <x:v>DUBUQUE</x:v>
      </x:c>
      <x:c r="D3455" s="2" t="str">
        <x:v>IA</x:v>
      </x:c>
      <x:c r="E3455" s="2" t="str">
        <x:v>Acute Care Hospitals</x:v>
      </x:c>
      <x:c r="F3455" s="2" t="str">
        <x:v>Voluntary non-profit</x:v>
      </x:c>
      <x:c r="G3455" s="2" t="str">
        <x:v>Medium (100-299 beds)</x:v>
      </x:c>
      <x:c r="H3455" s="7" t="n">
        <x:v>3</x:v>
      </x:c>
      <x:c r="I3455" s="7" t="n">
        <x:v>4</x:v>
      </x:c>
      <x:c r="J3455" s="7" t="n">
        <x:v>0.93</x:v>
      </x:c>
      <x:c r="K3455" s="8" t="n">
        <x:v>142</x:v>
      </x:c>
      <x:c r="L3455" s="8" t="n">
        <x:v>7462</x:v>
      </x:c>
      <x:c r="M3455" s="9" t="n">
        <x:v>0.5458421763</x:v>
      </x:c>
      <x:c r="N3455" s="10" t="n">
        <x:v>27192.1763602251</x:v>
      </x:c>
      <x:c r="O3455" s="9" t="n">
        <x:v>-0.1939879522</x:v>
      </x:c>
      <x:c r="P3455" s="9" t="n">
        <x:v>0.2999185004</x:v>
      </x:c>
      <x:c r="Q3455" s="9" t="n">
        <x:v>0.3023634882</x:v>
      </x:c>
      <x:c r="R3455" s="3" t="b">
        <x:v>0</x:v>
      </x:c>
      <x:c r="S3455" s="3" t="b">
        <x:v>0</x:v>
      </x:c>
      <x:c r="T3455" s="3" t="b">
        <x:v>0</x:v>
      </x:c>
      <x:c r="U3455" s="2" t="str">
        <x:f>IF(T3455=TRUE,"Priority review",IF(R3455=TRUE,"High cost",IF(S3455=TRUE,"Low quality","Benchmark")))</x:f>
        <x:v>Benchmark</x:v>
      </x:c>
    </x:row>
    <x:row r="3456">
      <x:c r="A3456" s="2" t="str">
        <x:v>390039</x:v>
      </x:c>
      <x:c r="B3456" s="2" t="str">
        <x:v>UPMC SOMERSET</x:v>
      </x:c>
      <x:c r="C3456" s="2" t="str">
        <x:v>SOMERSET</x:v>
      </x:c>
      <x:c r="D3456" s="2" t="str">
        <x:v>PA</x:v>
      </x:c>
      <x:c r="E3456" s="2" t="str">
        <x:v>Acute Care Hospitals</x:v>
      </x:c>
      <x:c r="F3456" s="2" t="str">
        <x:v>Voluntary non-profit</x:v>
      </x:c>
      <x:c r="G3456" s="2" t="str">
        <x:v>Small (&lt;100 beds)</x:v>
      </x:c>
      <x:c r="H3456" s="7" t="n">
        <x:v>4</x:v>
      </x:c>
      <x:c r="I3456" s="7" t="n">
        <x:v>4</x:v>
      </x:c>
      <x:c r="J3456" s="7" t="n">
        <x:v>0.95</x:v>
      </x:c>
      <x:c r="K3456" s="8" t="n">
        <x:v>56</x:v>
      </x:c>
      <x:c r="L3456" s="8" t="n">
        <x:v>2389</x:v>
      </x:c>
      <x:c r="M3456" s="9" t="n">
        <x:v>0.5562622309</x:v>
      </x:c>
      <x:c r="N3456" s="10" t="n">
        <x:v>39165.5709501884</x:v>
      </x:c>
      <x:c r="O3456" s="9" t="n">
        <x:v>0.1229694898</x:v>
      </x:c>
      <x:c r="P3456" s="9" t="n">
        <x:v>0.2998204668</x:v>
      </x:c>
      <x:c r="Q3456" s="9" t="n">
        <x:v>0.3913824057</x:v>
      </x:c>
      <x:c r="R3456" s="3" t="b">
        <x:v>0</x:v>
      </x:c>
      <x:c r="S3456" s="3" t="b">
        <x:v>0</x:v>
      </x:c>
      <x:c r="T3456" s="3" t="b">
        <x:v>0</x:v>
      </x:c>
      <x:c r="U3456" s="2" t="str">
        <x:f>IF(T3456=TRUE,"Priority review",IF(R3456=TRUE,"High cost",IF(S3456=TRUE,"Low quality","Benchmark")))</x:f>
        <x:v>Benchmark</x:v>
      </x:c>
    </x:row>
    <x:row r="3457">
      <x:c r="A3457" s="2" t="str">
        <x:v>340028</x:v>
      </x:c>
      <x:c r="B3457" s="2" t="str">
        <x:v>CAPE FEAR VALLEY MEDICAL CENTER</x:v>
      </x:c>
      <x:c r="C3457" s="2" t="str">
        <x:v>FAYETTEVILLE</x:v>
      </x:c>
      <x:c r="D3457" s="2" t="str">
        <x:v>NC</x:v>
      </x:c>
      <x:c r="E3457" s="2" t="str">
        <x:v>Acute Care Hospitals</x:v>
      </x:c>
      <x:c r="F3457" s="2" t="str">
        <x:v>Voluntary non-profit</x:v>
      </x:c>
      <x:c r="G3457" s="2" t="str">
        <x:v>Large (300+ beds)</x:v>
      </x:c>
      <x:c r="H3457" s="7" t="n">
        <x:v>2</x:v>
      </x:c>
      <x:c r="I3457" s="7" t="n">
        <x:v>3</x:v>
      </x:c>
      <x:c r="J3457" s="7" t="n">
        <x:v>0.98</x:v>
      </x:c>
      <x:c r="K3457" s="8" t="n">
        <x:v>701</x:v>
      </x:c>
      <x:c r="L3457" s="8" t="n">
        <x:v>37158</x:v>
      </x:c>
      <x:c r="M3457" s="9" t="n">
        <x:v>0.7397121988</x:v>
      </x:c>
      <x:c r="N3457" s="10" t="n">
        <x:v>30090.8798374509</x:v>
      </x:c>
      <x:c r="O3457" s="9" t="n">
        <x:v>-0.0541175908</x:v>
      </x:c>
      <x:c r="P3457" s="9" t="n">
        <x:v>0.2996845426</x:v>
      </x:c>
      <x:c r="Q3457" s="9" t="n">
        <x:v>0.0536277603</x:v>
      </x:c>
      <x:c r="R3457" s="3" t="b">
        <x:v>0</x:v>
      </x:c>
      <x:c r="S3457" s="3" t="b">
        <x:v>1</x:v>
      </x:c>
      <x:c r="T3457" s="3" t="b">
        <x:v>0</x:v>
      </x:c>
      <x:c r="U3457" s="2" t="str">
        <x:f>IF(T3457=TRUE,"Priority review",IF(R3457=TRUE,"High cost",IF(S3457=TRUE,"Low quality","Benchmark")))</x:f>
        <x:v>Low quality</x:v>
      </x:c>
    </x:row>
    <x:row r="3458">
      <x:c r="A3458" s="2" t="str">
        <x:v>181330</x:v>
      </x:c>
      <x:c r="B3458" s="2" t="str">
        <x:v>RUSSELL COUNTY HOSPITAL</x:v>
      </x:c>
      <x:c r="C3458" s="2" t="str">
        <x:v>RUSSELL SPRINGS</x:v>
      </x:c>
      <x:c r="D3458" s="2" t="str">
        <x:v>KY</x:v>
      </x:c>
      <x:c r="E3458" s="2" t="str">
        <x:v>Critical Access Hospitals</x:v>
      </x:c>
      <x:c r="F3458" s="2" t="str">
        <x:v>Government</x:v>
      </x:c>
      <x:c r="G3458" s="2" t="str">
        <x:v>Small (&lt;100 beds)</x:v>
      </x:c>
      <x:c r="H3458" s="7"/>
      <x:c r="I3458" s="7"/>
      <x:c r="J3458" s="7"/>
      <x:c r="K3458" s="8" t="n">
        <x:v>25</x:v>
      </x:c>
      <x:c r="L3458" s="8" t="n">
        <x:v>414</x:v>
      </x:c>
      <x:c r="M3458" s="9" t="n">
        <x:v>0.2129315068</x:v>
      </x:c>
      <x:c r="N3458" s="10" t="n">
        <x:v>96238.6594202899</x:v>
      </x:c>
      <x:c r="O3458" s="9" t="n">
        <x:v>0.0003873477</x:v>
      </x:c>
      <x:c r="P3458" s="9" t="n">
        <x:v>0.2996282528</x:v>
      </x:c>
      <x:c r="Q3458" s="9" t="n">
        <x:v>0.292936803</x:v>
      </x:c>
      <x:c r="R3458" s="3" t="b">
        <x:v>0</x:v>
      </x:c>
      <x:c r="S3458" s="3" t="b">
        <x:v>0</x:v>
      </x:c>
      <x:c r="T3458" s="3" t="b">
        <x:v>0</x:v>
      </x:c>
      <x:c r="U3458" s="2" t="str">
        <x:f>IF(T3458=TRUE,"Priority review",IF(R3458=TRUE,"High cost",IF(S3458=TRUE,"Low quality","Benchmark")))</x:f>
        <x:v>Benchmark</x:v>
      </x:c>
    </x:row>
    <x:row r="3459">
      <x:c r="A3459" s="2" t="str">
        <x:v>100137</x:v>
      </x:c>
      <x:c r="B3459" s="2" t="str">
        <x:v>ADVENTHEALTH HEART OF FLORIDA</x:v>
      </x:c>
      <x:c r="C3459" s="2" t="str">
        <x:v>DAVENPORT</x:v>
      </x:c>
      <x:c r="D3459" s="2" t="str">
        <x:v>FL</x:v>
      </x:c>
      <x:c r="E3459" s="2" t="str">
        <x:v>Acute Care Hospitals</x:v>
      </x:c>
      <x:c r="F3459" s="2" t="str">
        <x:v>Proprietary</x:v>
      </x:c>
      <x:c r="G3459" s="2" t="str">
        <x:v>Medium (100-299 beds)</x:v>
      </x:c>
      <x:c r="H3459" s="7" t="n">
        <x:v>3</x:v>
      </x:c>
      <x:c r="I3459" s="7" t="n">
        <x:v>2</x:v>
      </x:c>
      <x:c r="J3459" s="7" t="n">
        <x:v>0.98</x:v>
      </x:c>
      <x:c r="K3459" s="8" t="n">
        <x:v>202</x:v>
      </x:c>
      <x:c r="L3459" s="8" t="n">
        <x:v>10828</x:v>
      </x:c>
      <x:c r="M3459" s="9" t="n">
        <x:v>0.6363217144</x:v>
      </x:c>
      <x:c r="N3459" s="10" t="n">
        <x:v>27178.0342630218</x:v>
      </x:c>
      <x:c r="O3459" s="9" t="n">
        <x:v>0.1842363255</x:v>
      </x:c>
      <x:c r="P3459" s="9" t="n">
        <x:v>0.2991035045</x:v>
      </x:c>
      <x:c r="Q3459" s="9" t="n">
        <x:v>0.3023634882</x:v>
      </x:c>
      <x:c r="R3459" s="3" t="b">
        <x:v>0</x:v>
      </x:c>
      <x:c r="S3459" s="3" t="b">
        <x:v>0</x:v>
      </x:c>
      <x:c r="T3459" s="3" t="b">
        <x:v>0</x:v>
      </x:c>
      <x:c r="U3459" s="2" t="str">
        <x:f>IF(T3459=TRUE,"Priority review",IF(R3459=TRUE,"High cost",IF(S3459=TRUE,"Low quality","Benchmark")))</x:f>
        <x:v>Benchmark</x:v>
      </x:c>
    </x:row>
    <x:row r="3460">
      <x:c r="A3460" s="2" t="str">
        <x:v>330215</x:v>
      </x:c>
      <x:c r="B3460" s="2" t="str">
        <x:v>ROME MEMORIAL HOSPITAL, INC</x:v>
      </x:c>
      <x:c r="C3460" s="2" t="str">
        <x:v>ROME</x:v>
      </x:c>
      <x:c r="D3460" s="2" t="str">
        <x:v>NY</x:v>
      </x:c>
      <x:c r="E3460" s="2" t="str">
        <x:v>Acute Care Hospitals</x:v>
      </x:c>
      <x:c r="F3460" s="2" t="str">
        <x:v>Voluntary non-profit</x:v>
      </x:c>
      <x:c r="G3460" s="2" t="str">
        <x:v>Small (&lt;100 beds)</x:v>
      </x:c>
      <x:c r="H3460" s="7" t="n">
        <x:v>2</x:v>
      </x:c>
      <x:c r="I3460" s="7" t="n">
        <x:v>2</x:v>
      </x:c>
      <x:c r="J3460" s="7" t="n">
        <x:v>0.94</x:v>
      </x:c>
      <x:c r="K3460" s="8" t="n">
        <x:v>79</x:v>
      </x:c>
      <x:c r="L3460" s="8" t="n">
        <x:v>3319</x:v>
      </x:c>
      <x:c r="M3460" s="9" t="n">
        <x:v>0.4976136128</x:v>
      </x:c>
      <x:c r="N3460" s="10" t="n">
        <x:v>39090.0015064779</x:v>
      </x:c>
      <x:c r="O3460" s="9" t="n">
        <x:v>-0.0749510299</x:v>
      </x:c>
      <x:c r="P3460" s="9" t="n">
        <x:v>0.2989228007</x:v>
      </x:c>
      <x:c r="Q3460" s="9" t="n">
        <x:v>0.0350089767</x:v>
      </x:c>
      <x:c r="R3460" s="3" t="b">
        <x:v>0</x:v>
      </x:c>
      <x:c r="S3460" s="3" t="b">
        <x:v>1</x:v>
      </x:c>
      <x:c r="T3460" s="3" t="b">
        <x:v>0</x:v>
      </x:c>
      <x:c r="U3460" s="2" t="str">
        <x:f>IF(T3460=TRUE,"Priority review",IF(R3460=TRUE,"High cost",IF(S3460=TRUE,"Low quality","Benchmark")))</x:f>
        <x:v>Low quality</x:v>
      </x:c>
    </x:row>
    <x:row r="3461">
      <x:c r="A3461" s="2" t="str">
        <x:v>221303</x:v>
      </x:c>
      <x:c r="B3461" s="2" t="str">
        <x:v>ATHOL MEMORIAL HOSPITAL</x:v>
      </x:c>
      <x:c r="C3461" s="2" t="str">
        <x:v>ATHOL</x:v>
      </x:c>
      <x:c r="D3461" s="2" t="str">
        <x:v>MA</x:v>
      </x:c>
      <x:c r="E3461" s="2" t="str">
        <x:v>Critical Access Hospitals</x:v>
      </x:c>
      <x:c r="F3461" s="2" t="str">
        <x:v>Voluntary non-profit</x:v>
      </x:c>
      <x:c r="G3461" s="2" t="str">
        <x:v>Small (&lt;100 beds)</x:v>
      </x:c>
      <x:c r="H3461" s="7" t="n">
        <x:v>2</x:v>
      </x:c>
      <x:c r="I3461" s="7"/>
      <x:c r="J3461" s="7"/>
      <x:c r="K3461" s="8" t="n">
        <x:v>21</x:v>
      </x:c>
      <x:c r="L3461" s="8" t="n">
        <x:v>430</x:v>
      </x:c>
      <x:c r="M3461" s="9" t="n">
        <x:v>0.5572469425</x:v>
      </x:c>
      <x:c r="N3461" s="10" t="n">
        <x:v>96062.0395348837</x:v>
      </x:c>
      <x:c r="O3461" s="9" t="n">
        <x:v>0.0397903957</x:v>
      </x:c>
      <x:c r="P3461" s="9" t="n">
        <x:v>0.2988847584</x:v>
      </x:c>
      <x:c r="Q3461" s="9" t="n">
        <x:v>0.0171003717</x:v>
      </x:c>
      <x:c r="R3461" s="3" t="b">
        <x:v>0</x:v>
      </x:c>
      <x:c r="S3461" s="3" t="b">
        <x:v>1</x:v>
      </x:c>
      <x:c r="T3461" s="3" t="b">
        <x:v>0</x:v>
      </x:c>
      <x:c r="U3461" s="2" t="str">
        <x:f>IF(T3461=TRUE,"Priority review",IF(R3461=TRUE,"High cost",IF(S3461=TRUE,"Low quality","Benchmark")))</x:f>
        <x:v>Low quality</x:v>
      </x:c>
    </x:row>
    <x:row r="3462">
      <x:c r="A3462" s="2" t="str">
        <x:v>364041</x:v>
      </x:c>
      <x:c r="B3462" s="2" t="str">
        <x:v>OHIO HOSPITAL FOR PSYCHIATRY</x:v>
      </x:c>
      <x:c r="C3462" s="2" t="str">
        <x:v>COLUMBUS</x:v>
      </x:c>
      <x:c r="D3462" s="2" t="str">
        <x:v>OH</x:v>
      </x:c>
      <x:c r="E3462" s="2" t="str">
        <x:v>Psychiatric</x:v>
      </x:c>
      <x:c r="F3462" s="2" t="str">
        <x:v>Proprietary</x:v>
      </x:c>
      <x:c r="G3462" s="2" t="str">
        <x:v>Medium (100-299 beds)</x:v>
      </x:c>
      <x:c r="H3462" s="7"/>
      <x:c r="I3462" s="7"/>
      <x:c r="J3462" s="7"/>
      <x:c r="K3462" s="8" t="n">
        <x:v>130</x:v>
      </x:c>
      <x:c r="L3462" s="8" t="n">
        <x:v>3225</x:v>
      </x:c>
      <x:c r="M3462" s="9" t="n">
        <x:v>0.5903110551</x:v>
      </x:c>
      <x:c r="N3462" s="10" t="n">
        <x:v>7648.1770542636</x:v>
      </x:c>
      <x:c r="O3462" s="9" t="n">
        <x:v>0.1904945303</x:v>
      </x:c>
      <x:c r="P3462" s="9" t="n">
        <x:v>0.2985074627</x:v>
      </x:c>
      <x:c r="Q3462" s="9" t="n">
        <x:v>0</x:v>
      </x:c>
      <x:c r="R3462" s="3" t="b">
        <x:v>0</x:v>
      </x:c>
      <x:c r="S3462" s="3" t="b">
        <x:v>0</x:v>
      </x:c>
      <x:c r="T3462" s="3" t="b">
        <x:v>0</x:v>
      </x:c>
      <x:c r="U3462" s="2" t="str">
        <x:f>IF(T3462=TRUE,"Priority review",IF(R3462=TRUE,"High cost",IF(S3462=TRUE,"Low quality","Benchmark")))</x:f>
        <x:v>Benchmark</x:v>
      </x:c>
    </x:row>
    <x:row r="3463">
      <x:c r="A3463" s="2" t="str">
        <x:v>100099</x:v>
      </x:c>
      <x:c r="B3463" s="2" t="str">
        <x:v>ADVENTHEALTH LAKE WALES</x:v>
      </x:c>
      <x:c r="C3463" s="2" t="str">
        <x:v>LAKE WALES</x:v>
      </x:c>
      <x:c r="D3463" s="2" t="str">
        <x:v>FL</x:v>
      </x:c>
      <x:c r="E3463" s="2" t="str">
        <x:v>Acute Care Hospitals</x:v>
      </x:c>
      <x:c r="F3463" s="2" t="str">
        <x:v>Proprietary</x:v>
      </x:c>
      <x:c r="G3463" s="2" t="str">
        <x:v>Medium (100-299 beds)</x:v>
      </x:c>
      <x:c r="H3463" s="7" t="n">
        <x:v>2</x:v>
      </x:c>
      <x:c r="I3463" s="7" t="n">
        <x:v>3</x:v>
      </x:c>
      <x:c r="J3463" s="7" t="n">
        <x:v>0.98</x:v>
      </x:c>
      <x:c r="K3463" s="8" t="n">
        <x:v>118</x:v>
      </x:c>
      <x:c r="L3463" s="8" t="n">
        <x:v>3592</x:v>
      </x:c>
      <x:c r="M3463" s="9" t="n">
        <x:v>0.3052472719</x:v>
      </x:c>
      <x:c r="N3463" s="10" t="n">
        <x:v>27151.7942650334</x:v>
      </x:c>
      <x:c r="O3463" s="9" t="n">
        <x:v>0.0921226372</x:v>
      </x:c>
      <x:c r="P3463" s="9" t="n">
        <x:v>0.2982885086</x:v>
      </x:c>
      <x:c r="Q3463" s="9" t="n">
        <x:v>0.0782396088</x:v>
      </x:c>
      <x:c r="R3463" s="3" t="b">
        <x:v>0</x:v>
      </x:c>
      <x:c r="S3463" s="3" t="b">
        <x:v>1</x:v>
      </x:c>
      <x:c r="T3463" s="3" t="b">
        <x:v>0</x:v>
      </x:c>
      <x:c r="U3463" s="2" t="str">
        <x:f>IF(T3463=TRUE,"Priority review",IF(R3463=TRUE,"High cost",IF(S3463=TRUE,"Low quality","Benchmark")))</x:f>
        <x:v>Low quality</x:v>
      </x:c>
    </x:row>
    <x:row r="3464">
      <x:c r="A3464" s="2" t="str">
        <x:v>511311</x:v>
      </x:c>
      <x:c r="B3464" s="2" t="str">
        <x:v>HAMPSHIRE MEMORIAL HOSPITAL</x:v>
      </x:c>
      <x:c r="C3464" s="2" t="str">
        <x:v>ROMNEY</x:v>
      </x:c>
      <x:c r="D3464" s="2" t="str">
        <x:v>WV</x:v>
      </x:c>
      <x:c r="E3464" s="2" t="str">
        <x:v>Critical Access Hospitals</x:v>
      </x:c>
      <x:c r="F3464" s="2" t="str">
        <x:v>Voluntary non-profit</x:v>
      </x:c>
      <x:c r="G3464" s="2" t="str">
        <x:v>Small (&lt;100 beds)</x:v>
      </x:c>
      <x:c r="H3464" s="7" t="n">
        <x:v>5</x:v>
      </x:c>
      <x:c r="I3464" s="7" t="n">
        <x:v>5</x:v>
      </x:c>
      <x:c r="J3464" s="7"/>
      <x:c r="K3464" s="8" t="n">
        <x:v>14</x:v>
      </x:c>
      <x:c r="L3464" s="8" t="n">
        <x:v>415</x:v>
      </x:c>
      <x:c r="M3464" s="9" t="n">
        <x:v>0.5120999219</x:v>
      </x:c>
      <x:c r="N3464" s="10" t="n">
        <x:v>95966.6698795181</x:v>
      </x:c>
      <x:c r="O3464" s="9" t="n">
        <x:v>-0.0020101004</x:v>
      </x:c>
      <x:c r="P3464" s="9" t="n">
        <x:v>0.2981412639</x:v>
      </x:c>
      <x:c r="Q3464" s="9" t="n">
        <x:v>0.2602230483</x:v>
      </x:c>
      <x:c r="R3464" s="3" t="b">
        <x:v>0</x:v>
      </x:c>
      <x:c r="S3464" s="3" t="b">
        <x:v>0</x:v>
      </x:c>
      <x:c r="T3464" s="3" t="b">
        <x:v>0</x:v>
      </x:c>
      <x:c r="U3464" s="2" t="str">
        <x:f>IF(T3464=TRUE,"Priority review",IF(R3464=TRUE,"High cost",IF(S3464=TRUE,"Low quality","Benchmark")))</x:f>
        <x:v>Benchmark</x:v>
      </x:c>
    </x:row>
    <x:row r="3465">
      <x:c r="A3465" s="2" t="str">
        <x:v>450046</x:v>
      </x:c>
      <x:c r="B3465" s="2" t="str">
        <x:v>CHRISTUS SPOHN HOSPITAL CORPUS CHRISTI</x:v>
      </x:c>
      <x:c r="C3465" s="2" t="str">
        <x:v>CORPUS CHRISTI</x:v>
      </x:c>
      <x:c r="D3465" s="2" t="str">
        <x:v>TX</x:v>
      </x:c>
      <x:c r="E3465" s="2" t="str">
        <x:v>Acute Care Hospitals</x:v>
      </x:c>
      <x:c r="F3465" s="2" t="str">
        <x:v>Voluntary non-profit</x:v>
      </x:c>
      <x:c r="G3465" s="2" t="str">
        <x:v>Large (300+ beds)</x:v>
      </x:c>
      <x:c r="H3465" s="7" t="n">
        <x:v>3</x:v>
      </x:c>
      <x:c r="I3465" s="7" t="n">
        <x:v>3</x:v>
      </x:c>
      <x:c r="J3465" s="7" t="n">
        <x:v>1.09</x:v>
      </x:c>
      <x:c r="K3465" s="8" t="n">
        <x:v>515</x:v>
      </x:c>
      <x:c r="L3465" s="8" t="n">
        <x:v>24856</x:v>
      </x:c>
      <x:c r="M3465" s="9" t="n">
        <x:v>0.6131028062</x:v>
      </x:c>
      <x:c r="N3465" s="10" t="n">
        <x:v>29994.2723688445</x:v>
      </x:c>
      <x:c r="O3465" s="9" t="n">
        <x:v>0.0132450964</x:v>
      </x:c>
      <x:c r="P3465" s="9" t="n">
        <x:v>0.2981072555</x:v>
      </x:c>
      <x:c r="Q3465" s="9" t="n">
        <x:v>0.2570977918</x:v>
      </x:c>
      <x:c r="R3465" s="3" t="b">
        <x:v>0</x:v>
      </x:c>
      <x:c r="S3465" s="3" t="b">
        <x:v>0</x:v>
      </x:c>
      <x:c r="T3465" s="3" t="b">
        <x:v>0</x:v>
      </x:c>
      <x:c r="U3465" s="2" t="str">
        <x:f>IF(T3465=TRUE,"Priority review",IF(R3465=TRUE,"High cost",IF(S3465=TRUE,"Low quality","Benchmark")))</x:f>
        <x:v>Benchmark</x:v>
      </x:c>
    </x:row>
    <x:row r="3466">
      <x:c r="A3466" s="2" t="str">
        <x:v>110142</x:v>
      </x:c>
      <x:c r="B3466" s="2" t="str">
        <x:v>EVANS MEMORIAL HOSPITAL</x:v>
      </x:c>
      <x:c r="C3466" s="2" t="str">
        <x:v>CLAXTON</x:v>
      </x:c>
      <x:c r="D3466" s="2" t="str">
        <x:v>GA</x:v>
      </x:c>
      <x:c r="E3466" s="2" t="str">
        <x:v>Acute Care Hospitals</x:v>
      </x:c>
      <x:c r="F3466" s="2" t="str">
        <x:v>Government</x:v>
      </x:c>
      <x:c r="G3466" s="2" t="str">
        <x:v>Small (&lt;100 beds)</x:v>
      </x:c>
      <x:c r="H3466" s="7"/>
      <x:c r="I3466" s="7" t="n">
        <x:v>4</x:v>
      </x:c>
      <x:c r="J3466" s="7" t="n">
        <x:v>1.04</x:v>
      </x:c>
      <x:c r="K3466" s="8" t="n">
        <x:v>49</x:v>
      </x:c>
      <x:c r="L3466" s="8" t="n">
        <x:v>564</x:v>
      </x:c>
      <x:c r="M3466" s="9" t="n">
        <x:v>0.1075587783</x:v>
      </x:c>
      <x:c r="N3466" s="10" t="n">
        <x:v>39087.0992907801</x:v>
      </x:c>
      <x:c r="O3466" s="9" t="n">
        <x:v>-0.2588555665</x:v>
      </x:c>
      <x:c r="P3466" s="9" t="n">
        <x:v>0.2980251346</x:v>
      </x:c>
      <x:c r="Q3466" s="9" t="n">
        <x:v>0.697486535</x:v>
      </x:c>
      <x:c r="R3466" s="3" t="b">
        <x:v>0</x:v>
      </x:c>
      <x:c r="S3466" s="3" t="b">
        <x:v>0</x:v>
      </x:c>
      <x:c r="T3466" s="3" t="b">
        <x:v>0</x:v>
      </x:c>
      <x:c r="U3466" s="2" t="str">
        <x:f>IF(T3466=TRUE,"Priority review",IF(R3466=TRUE,"High cost",IF(S3466=TRUE,"Low quality","Benchmark")))</x:f>
        <x:v>Benchmark</x:v>
      </x:c>
    </x:row>
    <x:row r="3467">
      <x:c r="A3467" s="2" t="str">
        <x:v>044006</x:v>
      </x:c>
      <x:c r="B3467" s="2" t="str">
        <x:v>VALLEY BEHAVIORAL HEALTH SYSTEM</x:v>
      </x:c>
      <x:c r="C3467" s="2" t="str">
        <x:v>BARLING</x:v>
      </x:c>
      <x:c r="D3467" s="2" t="str">
        <x:v>AR</x:v>
      </x:c>
      <x:c r="E3467" s="2" t="str">
        <x:v>Psychiatric</x:v>
      </x:c>
      <x:c r="F3467" s="2" t="str">
        <x:v>Voluntary non-profit</x:v>
      </x:c>
      <x:c r="G3467" s="2" t="str">
        <x:v>Small (&lt;100 beds)</x:v>
      </x:c>
      <x:c r="H3467" s="7"/>
      <x:c r="I3467" s="7"/>
      <x:c r="J3467" s="7"/>
      <x:c r="K3467" s="8" t="n">
        <x:v>68</x:v>
      </x:c>
      <x:c r="L3467" s="8" t="n">
        <x:v>2410</x:v>
      </x:c>
      <x:c r="M3467" s="9" t="n">
        <x:v>0.8410077146</x:v>
      </x:c>
      <x:c r="N3467" s="10" t="n">
        <x:v>8752.4215767635</x:v>
      </x:c>
      <x:c r="O3467" s="9" t="n">
        <x:v>0.074180516</x:v>
      </x:c>
      <x:c r="P3467" s="9" t="n">
        <x:v>0.2977346278</x:v>
      </x:c>
      <x:c r="Q3467" s="9" t="n">
        <x:v>0</x:v>
      </x:c>
      <x:c r="R3467" s="3" t="b">
        <x:v>0</x:v>
      </x:c>
      <x:c r="S3467" s="3" t="b">
        <x:v>0</x:v>
      </x:c>
      <x:c r="T3467" s="3" t="b">
        <x:v>0</x:v>
      </x:c>
      <x:c r="U3467" s="2" t="str">
        <x:f>IF(T3467=TRUE,"Priority review",IF(R3467=TRUE,"High cost",IF(S3467=TRUE,"Low quality","Benchmark")))</x:f>
        <x:v>Benchmark</x:v>
      </x:c>
    </x:row>
    <x:row r="3468">
      <x:c r="A3468" s="2" t="str">
        <x:v>440197</x:v>
      </x:c>
      <x:c r="B3468" s="2" t="str">
        <x:v>TRISTAR SOUTHERN HILLS MEDICAL CENTER</x:v>
      </x:c>
      <x:c r="C3468" s="2" t="str">
        <x:v>NASHVILLE</x:v>
      </x:c>
      <x:c r="D3468" s="2" t="str">
        <x:v>TN</x:v>
      </x:c>
      <x:c r="E3468" s="2" t="str">
        <x:v>Acute Care Hospitals</x:v>
      </x:c>
      <x:c r="F3468" s="2" t="str">
        <x:v>Proprietary</x:v>
      </x:c>
      <x:c r="G3468" s="2" t="str">
        <x:v>Medium (100-299 beds)</x:v>
      </x:c>
      <x:c r="H3468" s="7" t="n">
        <x:v>4</x:v>
      </x:c>
      <x:c r="I3468" s="7" t="n">
        <x:v>3</x:v>
      </x:c>
      <x:c r="J3468" s="7" t="n">
        <x:v>1.08</x:v>
      </x:c>
      <x:c r="K3468" s="8" t="n">
        <x:v>112</x:v>
      </x:c>
      <x:c r="L3468" s="8" t="n">
        <x:v>5005</x:v>
      </x:c>
      <x:c r="M3468" s="9" t="n">
        <x:v>0.5167563601</x:v>
      </x:c>
      <x:c r="N3468" s="10" t="n">
        <x:v>27113.1604395604</x:v>
      </x:c>
      <x:c r="O3468" s="9" t="n">
        <x:v>0.1703443133</x:v>
      </x:c>
      <x:c r="P3468" s="9" t="n">
        <x:v>0.2974735126</x:v>
      </x:c>
      <x:c r="Q3468" s="9" t="n">
        <x:v>0.6022819886</x:v>
      </x:c>
      <x:c r="R3468" s="3" t="b">
        <x:v>0</x:v>
      </x:c>
      <x:c r="S3468" s="3" t="b">
        <x:v>0</x:v>
      </x:c>
      <x:c r="T3468" s="3" t="b">
        <x:v>0</x:v>
      </x:c>
      <x:c r="U3468" s="2" t="str">
        <x:f>IF(T3468=TRUE,"Priority review",IF(R3468=TRUE,"High cost",IF(S3468=TRUE,"Low quality","Benchmark")))</x:f>
        <x:v>Benchmark</x:v>
      </x:c>
    </x:row>
    <x:row r="3469">
      <x:c r="A3469" s="2" t="str">
        <x:v>241366</x:v>
      </x:c>
      <x:c r="B3469" s="2" t="str">
        <x:v>MEEKER MEMORIAL HOSPITAL</x:v>
      </x:c>
      <x:c r="C3469" s="2" t="str">
        <x:v>LITCHFIELD</x:v>
      </x:c>
      <x:c r="D3469" s="2" t="str">
        <x:v>MN</x:v>
      </x:c>
      <x:c r="E3469" s="2" t="str">
        <x:v>Critical Access Hospitals</x:v>
      </x:c>
      <x:c r="F3469" s="2" t="str">
        <x:v>Government</x:v>
      </x:c>
      <x:c r="G3469" s="2" t="str">
        <x:v>Small (&lt;100 beds)</x:v>
      </x:c>
      <x:c r="H3469" s="7"/>
      <x:c r="I3469" s="7" t="n">
        <x:v>3</x:v>
      </x:c>
      <x:c r="J3469" s="7"/>
      <x:c r="K3469" s="8" t="n">
        <x:v>25</x:v>
      </x:c>
      <x:c r="L3469" s="8" t="n">
        <x:v>527</x:v>
      </x:c>
      <x:c r="M3469" s="9" t="n">
        <x:v>0.2314520548</x:v>
      </x:c>
      <x:c r="N3469" s="10" t="n">
        <x:v>95869.8330170778</x:v>
      </x:c>
      <x:c r="O3469" s="9" t="n">
        <x:v>0.0285712154</x:v>
      </x:c>
      <x:c r="P3469" s="9" t="n">
        <x:v>0.2973977695</x:v>
      </x:c>
      <x:c r="Q3469" s="9" t="n">
        <x:v>0.292936803</x:v>
      </x:c>
      <x:c r="R3469" s="3" t="b">
        <x:v>0</x:v>
      </x:c>
      <x:c r="S3469" s="3" t="b">
        <x:v>0</x:v>
      </x:c>
      <x:c r="T3469" s="3" t="b">
        <x:v>0</x:v>
      </x:c>
      <x:c r="U3469" s="2" t="str">
        <x:f>IF(T3469=TRUE,"Priority review",IF(R3469=TRUE,"High cost",IF(S3469=TRUE,"Low quality","Benchmark")))</x:f>
        <x:v>Benchmark</x:v>
      </x:c>
    </x:row>
    <x:row r="3470">
      <x:c r="A3470" s="2" t="str">
        <x:v>420048</x:v>
      </x:c>
      <x:c r="B3470" s="2" t="str">
        <x:v>KERSHAWHEALTH</x:v>
      </x:c>
      <x:c r="C3470" s="2" t="str">
        <x:v>CAMDEN</x:v>
      </x:c>
      <x:c r="D3470" s="2" t="str">
        <x:v>SC</x:v>
      </x:c>
      <x:c r="E3470" s="2" t="str">
        <x:v>Acute Care Hospitals</x:v>
      </x:c>
      <x:c r="F3470" s="2" t="str">
        <x:v>Proprietary</x:v>
      </x:c>
      <x:c r="G3470" s="2" t="str">
        <x:v>Small (&lt;100 beds)</x:v>
      </x:c>
      <x:c r="H3470" s="7" t="n">
        <x:v>3</x:v>
      </x:c>
      <x:c r="I3470" s="7" t="n">
        <x:v>3</x:v>
      </x:c>
      <x:c r="J3470" s="7" t="n">
        <x:v>1.1</x:v>
      </x:c>
      <x:c r="K3470" s="8" t="n">
        <x:v>69</x:v>
      </x:c>
      <x:c r="L3470" s="8" t="n">
        <x:v>2714</x:v>
      </x:c>
      <x:c r="M3470" s="9" t="n">
        <x:v>0.4758784991</x:v>
      </x:c>
      <x:c r="N3470" s="10" t="n">
        <x:v>39016.0143699337</x:v>
      </x:c>
      <x:c r="O3470" s="9" t="n">
        <x:v>-0.1697490061</x:v>
      </x:c>
      <x:c r="P3470" s="9" t="n">
        <x:v>0.2971274686</x:v>
      </x:c>
      <x:c r="Q3470" s="9" t="n">
        <x:v>0.1687612208</x:v>
      </x:c>
      <x:c r="R3470" s="3" t="b">
        <x:v>0</x:v>
      </x:c>
      <x:c r="S3470" s="3" t="b">
        <x:v>0</x:v>
      </x:c>
      <x:c r="T3470" s="3" t="b">
        <x:v>0</x:v>
      </x:c>
      <x:c r="U3470" s="2" t="str">
        <x:f>IF(T3470=TRUE,"Priority review",IF(R3470=TRUE,"High cost",IF(S3470=TRUE,"Low quality","Benchmark")))</x:f>
        <x:v>Benchmark</x:v>
      </x:c>
    </x:row>
    <x:row r="3471">
      <x:c r="A3471" s="2" t="str">
        <x:v>140133</x:v>
      </x:c>
      <x:c r="B3471" s="2" t="str">
        <x:v>HOLY CROSS HOSPITAL</x:v>
      </x:c>
      <x:c r="C3471" s="2" t="str">
        <x:v>CHICAGO</x:v>
      </x:c>
      <x:c r="D3471" s="2" t="str">
        <x:v>IL</x:v>
      </x:c>
      <x:c r="E3471" s="2" t="str">
        <x:v>Acute Care Hospitals</x:v>
      </x:c>
      <x:c r="F3471" s="2" t="str">
        <x:v>Voluntary non-profit</x:v>
      </x:c>
      <x:c r="G3471" s="2" t="str">
        <x:v>Medium (100-299 beds)</x:v>
      </x:c>
      <x:c r="H3471" s="7" t="n">
        <x:v>2</x:v>
      </x:c>
      <x:c r="I3471" s="7" t="n">
        <x:v>1</x:v>
      </x:c>
      <x:c r="J3471" s="7" t="n">
        <x:v>0.99</x:v>
      </x:c>
      <x:c r="K3471" s="8" t="n">
        <x:v>153</x:v>
      </x:c>
      <x:c r="L3471" s="8" t="n">
        <x:v>5014</x:v>
      </x:c>
      <x:c r="M3471" s="9" t="n">
        <x:v>0.4841973319</x:v>
      </x:c>
      <x:c r="N3471" s="10" t="n">
        <x:v>27093.1505783805</x:v>
      </x:c>
      <x:c r="O3471" s="9" t="n">
        <x:v>-0.1842671382</x:v>
      </x:c>
      <x:c r="P3471" s="9" t="n">
        <x:v>0.2966585167</x:v>
      </x:c>
      <x:c r="Q3471" s="9" t="n">
        <x:v>0.0782396088</x:v>
      </x:c>
      <x:c r="R3471" s="3" t="b">
        <x:v>0</x:v>
      </x:c>
      <x:c r="S3471" s="3" t="b">
        <x:v>1</x:v>
      </x:c>
      <x:c r="T3471" s="3" t="b">
        <x:v>0</x:v>
      </x:c>
      <x:c r="U3471" s="2" t="str">
        <x:f>IF(T3471=TRUE,"Priority review",IF(R3471=TRUE,"High cost",IF(S3471=TRUE,"Low quality","Benchmark")))</x:f>
        <x:v>Low quality</x:v>
      </x:c>
    </x:row>
    <x:row r="3472">
      <x:c r="A3472" s="2" t="str">
        <x:v>381303</x:v>
      </x:c>
      <x:c r="B3472" s="2" t="str">
        <x:v>PROVIDENCE SEASIDE HOSPITAL</x:v>
      </x:c>
      <x:c r="C3472" s="2" t="str">
        <x:v>SEASIDE</x:v>
      </x:c>
      <x:c r="D3472" s="2" t="str">
        <x:v>OR</x:v>
      </x:c>
      <x:c r="E3472" s="2" t="str">
        <x:v>Critical Access Hospitals</x:v>
      </x:c>
      <x:c r="F3472" s="2" t="str">
        <x:v>Voluntary non-profit</x:v>
      </x:c>
      <x:c r="G3472" s="2" t="str">
        <x:v>Small (&lt;100 beds)</x:v>
      </x:c>
      <x:c r="H3472" s="7" t="n">
        <x:v>3</x:v>
      </x:c>
      <x:c r="I3472" s="7" t="n">
        <x:v>4</x:v>
      </x:c>
      <x:c r="J3472" s="7"/>
      <x:c r="K3472" s="8" t="n">
        <x:v>25</x:v>
      </x:c>
      <x:c r="L3472" s="8" t="n">
        <x:v>1071</x:v>
      </x:c>
      <x:c r="M3472" s="9" t="n">
        <x:v>0.5269945355</x:v>
      </x:c>
      <x:c r="N3472" s="10" t="n">
        <x:v>95828.116713352</x:v>
      </x:c>
      <x:c r="O3472" s="9" t="n">
        <x:v>-0.0310567015</x:v>
      </x:c>
      <x:c r="P3472" s="9" t="n">
        <x:v>0.2966542751</x:v>
      </x:c>
      <x:c r="Q3472" s="9" t="n">
        <x:v>0.0765799257</x:v>
      </x:c>
      <x:c r="R3472" s="3" t="b">
        <x:v>0</x:v>
      </x:c>
      <x:c r="S3472" s="3" t="b">
        <x:v>1</x:v>
      </x:c>
      <x:c r="T3472" s="3" t="b">
        <x:v>0</x:v>
      </x:c>
      <x:c r="U3472" s="2" t="str">
        <x:f>IF(T3472=TRUE,"Priority review",IF(R3472=TRUE,"High cost",IF(S3472=TRUE,"Low quality","Benchmark")))</x:f>
        <x:v>Low quality</x:v>
      </x:c>
    </x:row>
    <x:row r="3473">
      <x:c r="A3473" s="2" t="str">
        <x:v>450844</x:v>
      </x:c>
      <x:c r="B3473" s="2" t="str">
        <x:v>HOUSTON METHODIST WILLOWBROOK HOSPITAL</x:v>
      </x:c>
      <x:c r="C3473" s="2" t="str">
        <x:v>HOUSTON</x:v>
      </x:c>
      <x:c r="D3473" s="2" t="str">
        <x:v>TX</x:v>
      </x:c>
      <x:c r="E3473" s="2" t="str">
        <x:v>Acute Care Hospitals</x:v>
      </x:c>
      <x:c r="F3473" s="2" t="str">
        <x:v>Voluntary non-profit</x:v>
      </x:c>
      <x:c r="G3473" s="2" t="str">
        <x:v>Large (300+ beds)</x:v>
      </x:c>
      <x:c r="H3473" s="7" t="n">
        <x:v>5</x:v>
      </x:c>
      <x:c r="I3473" s="7" t="n">
        <x:v>4</x:v>
      </x:c>
      <x:c r="J3473" s="7" t="n">
        <x:v>1.1</x:v>
      </x:c>
      <x:c r="K3473" s="8" t="n">
        <x:v>346</x:v>
      </x:c>
      <x:c r="L3473" s="8" t="n">
        <x:v>24371</x:v>
      </x:c>
      <x:c r="M3473" s="9" t="n">
        <x:v>0.8946350169</x:v>
      </x:c>
      <x:c r="N3473" s="10" t="n">
        <x:v>29845.5621024989</x:v>
      </x:c>
      <x:c r="O3473" s="9" t="n">
        <x:v>0.0742180021</x:v>
      </x:c>
      <x:c r="P3473" s="9" t="n">
        <x:v>0.2965299685</x:v>
      </x:c>
      <x:c r="Q3473" s="9" t="n">
        <x:v>0.8722397476</x:v>
      </x:c>
      <x:c r="R3473" s="3" t="b">
        <x:v>0</x:v>
      </x:c>
      <x:c r="S3473" s="3" t="b">
        <x:v>0</x:v>
      </x:c>
      <x:c r="T3473" s="3" t="b">
        <x:v>0</x:v>
      </x:c>
      <x:c r="U3473" s="2" t="str">
        <x:f>IF(T3473=TRUE,"Priority review",IF(R3473=TRUE,"High cost",IF(S3473=TRUE,"Low quality","Benchmark")))</x:f>
        <x:v>Benchmark</x:v>
      </x:c>
    </x:row>
    <x:row r="3474">
      <x:c r="A3474" s="2" t="str">
        <x:v>043300</x:v>
      </x:c>
      <x:c r="B3474" s="2" t="str">
        <x:v>ARKANSAS CHILDREN'S HOSPITAL</x:v>
      </x:c>
      <x:c r="C3474" s="2" t="str">
        <x:v>LITTLE ROCK</x:v>
      </x:c>
      <x:c r="D3474" s="2" t="str">
        <x:v>AR</x:v>
      </x:c>
      <x:c r="E3474" s="2" t="str">
        <x:v>Childrens</x:v>
      </x:c>
      <x:c r="F3474" s="2" t="str">
        <x:v>Voluntary non-profit</x:v>
      </x:c>
      <x:c r="G3474" s="2" t="str">
        <x:v>Large (300+ beds)</x:v>
      </x:c>
      <x:c r="H3474" s="7"/>
      <x:c r="I3474" s="7"/>
      <x:c r="J3474" s="7"/>
      <x:c r="K3474" s="8" t="n">
        <x:v>336</x:v>
      </x:c>
      <x:c r="L3474" s="8" t="n">
        <x:v>9802</x:v>
      </x:c>
      <x:c r="M3474" s="9" t="n">
        <x:v>0.6818891491</x:v>
      </x:c>
      <x:c r="N3474" s="10" t="n">
        <x:v>80605.3473780861</x:v>
      </x:c>
      <x:c r="O3474" s="9" t="n">
        <x:v>0.087925194</x:v>
      </x:c>
      <x:c r="P3474" s="9" t="n">
        <x:v>0.2962962963</x:v>
      </x:c>
      <x:c r="Q3474" s="9" t="n">
        <x:v>0</x:v>
      </x:c>
      <x:c r="R3474" s="3" t="b">
        <x:v>0</x:v>
      </x:c>
      <x:c r="S3474" s="3" t="b">
        <x:v>0</x:v>
      </x:c>
      <x:c r="T3474" s="3" t="b">
        <x:v>0</x:v>
      </x:c>
      <x:c r="U3474" s="2" t="str">
        <x:f>IF(T3474=TRUE,"Priority review",IF(R3474=TRUE,"High cost",IF(S3474=TRUE,"Low quality","Benchmark")))</x:f>
        <x:v>Benchmark</x:v>
      </x:c>
    </x:row>
    <x:row r="3475">
      <x:c r="A3475" s="2" t="str">
        <x:v>170208</x:v>
      </x:c>
      <x:c r="B3475" s="2" t="str">
        <x:v>ADVENTHEALTH SOUTH OVERLAND PARK, INC</x:v>
      </x:c>
      <x:c r="C3475" s="2" t="str">
        <x:v>OVERLAND PARK</x:v>
      </x:c>
      <x:c r="D3475" s="2" t="str">
        <x:v>KS</x:v>
      </x:c>
      <x:c r="E3475" s="2" t="str">
        <x:v>Acute Care Hospitals</x:v>
      </x:c>
      <x:c r="F3475" s="2" t="str">
        <x:v>Voluntary non-profit</x:v>
      </x:c>
      <x:c r="G3475" s="2" t="str">
        <x:v>Small (&lt;100 beds)</x:v>
      </x:c>
      <x:c r="H3475" s="7" t="n">
        <x:v>4</x:v>
      </x:c>
      <x:c r="I3475" s="7" t="n">
        <x:v>4</x:v>
      </x:c>
      <x:c r="J3475" s="7" t="n">
        <x:v>0.99</x:v>
      </x:c>
      <x:c r="K3475" s="8" t="n">
        <x:v>41</x:v>
      </x:c>
      <x:c r="L3475" s="8" t="n">
        <x:v>2102</x:v>
      </x:c>
      <x:c r="M3475" s="9" t="n">
        <x:v>0.4509529522</x:v>
      </x:c>
      <x:c r="N3475" s="10" t="n">
        <x:v>38982.3901046622</x:v>
      </x:c>
      <x:c r="O3475" s="9" t="n">
        <x:v>-0.040418332</x:v>
      </x:c>
      <x:c r="P3475" s="9" t="n">
        <x:v>0.2962298025</x:v>
      </x:c>
      <x:c r="Q3475" s="9" t="n">
        <x:v>0.3913824057</x:v>
      </x:c>
      <x:c r="R3475" s="3" t="b">
        <x:v>0</x:v>
      </x:c>
      <x:c r="S3475" s="3" t="b">
        <x:v>0</x:v>
      </x:c>
      <x:c r="T3475" s="3" t="b">
        <x:v>0</x:v>
      </x:c>
      <x:c r="U3475" s="2" t="str">
        <x:f>IF(T3475=TRUE,"Priority review",IF(R3475=TRUE,"High cost",IF(S3475=TRUE,"Low quality","Benchmark")))</x:f>
        <x:v>Benchmark</x:v>
      </x:c>
    </x:row>
    <x:row r="3476">
      <x:c r="A3476" s="2" t="str">
        <x:v>261310</x:v>
      </x:c>
      <x:c r="B3476" s="2" t="str">
        <x:v>SCOTLAND COUNTY  HOSPITAL</x:v>
      </x:c>
      <x:c r="C3476" s="2" t="str">
        <x:v>MEMPHIS</x:v>
      </x:c>
      <x:c r="D3476" s="2" t="str">
        <x:v>MO</x:v>
      </x:c>
      <x:c r="E3476" s="2" t="str">
        <x:v>Critical Access Hospitals</x:v>
      </x:c>
      <x:c r="F3476" s="2" t="str">
        <x:v>Government</x:v>
      </x:c>
      <x:c r="G3476" s="2" t="str">
        <x:v>Small (&lt;100 beds)</x:v>
      </x:c>
      <x:c r="H3476" s="7" t="n">
        <x:v>2</x:v>
      </x:c>
      <x:c r="I3476" s="7"/>
      <x:c r="J3476" s="7"/>
      <x:c r="K3476" s="8" t="n">
        <x:v>25</x:v>
      </x:c>
      <x:c r="L3476" s="8" t="n">
        <x:v>420</x:v>
      </x:c>
      <x:c r="M3476" s="9" t="n">
        <x:v>0.3184657534</x:v>
      </x:c>
      <x:c r="N3476" s="10" t="n">
        <x:v>95802.2761904762</x:v>
      </x:c>
      <x:c r="O3476" s="9" t="n">
        <x:v>-0.1787958082</x:v>
      </x:c>
      <x:c r="P3476" s="9" t="n">
        <x:v>0.2959107807</x:v>
      </x:c>
      <x:c r="Q3476" s="9" t="n">
        <x:v>0.0171003717</x:v>
      </x:c>
      <x:c r="R3476" s="3" t="b">
        <x:v>0</x:v>
      </x:c>
      <x:c r="S3476" s="3" t="b">
        <x:v>1</x:v>
      </x:c>
      <x:c r="T3476" s="3" t="b">
        <x:v>0</x:v>
      </x:c>
      <x:c r="U3476" s="2" t="str">
        <x:f>IF(T3476=TRUE,"Priority review",IF(R3476=TRUE,"High cost",IF(S3476=TRUE,"Low quality","Benchmark")))</x:f>
        <x:v>Low quality</x:v>
      </x:c>
    </x:row>
    <x:row r="3477">
      <x:c r="A3477" s="2" t="str">
        <x:v>100206</x:v>
      </x:c>
      <x:c r="B3477" s="2" t="str">
        <x:v>HCA FLORIDA SOUTH TAMPA HOSPITAL</x:v>
      </x:c>
      <x:c r="C3477" s="2" t="str">
        <x:v>TAMPA</x:v>
      </x:c>
      <x:c r="D3477" s="2" t="str">
        <x:v>FL</x:v>
      </x:c>
      <x:c r="E3477" s="2" t="str">
        <x:v>Acute Care Hospitals</x:v>
      </x:c>
      <x:c r="F3477" s="2" t="str">
        <x:v>Proprietary</x:v>
      </x:c>
      <x:c r="G3477" s="2" t="str">
        <x:v>Medium (100-299 beds)</x:v>
      </x:c>
      <x:c r="H3477" s="7" t="n">
        <x:v>5</x:v>
      </x:c>
      <x:c r="I3477" s="7" t="n">
        <x:v>3</x:v>
      </x:c>
      <x:c r="J3477" s="7" t="n">
        <x:v>1.04</x:v>
      </x:c>
      <x:c r="K3477" s="8" t="n">
        <x:v>196</x:v>
      </x:c>
      <x:c r="L3477" s="8" t="n">
        <x:v>6858</x:v>
      </x:c>
      <x:c r="M3477" s="9" t="n">
        <x:v>0.2206284153</x:v>
      </x:c>
      <x:c r="N3477" s="10" t="n">
        <x:v>27086.2338874307</x:v>
      </x:c>
      <x:c r="O3477" s="9" t="n">
        <x:v>0.0982787576</x:v>
      </x:c>
      <x:c r="P3477" s="9" t="n">
        <x:v>0.2958435208</x:v>
      </x:c>
      <x:c r="Q3477" s="9" t="n">
        <x:v>0.8744906275</x:v>
      </x:c>
      <x:c r="R3477" s="3" t="b">
        <x:v>0</x:v>
      </x:c>
      <x:c r="S3477" s="3" t="b">
        <x:v>0</x:v>
      </x:c>
      <x:c r="T3477" s="3" t="b">
        <x:v>0</x:v>
      </x:c>
      <x:c r="U3477" s="2" t="str">
        <x:f>IF(T3477=TRUE,"Priority review",IF(R3477=TRUE,"High cost",IF(S3477=TRUE,"Low quality","Benchmark")))</x:f>
        <x:v>Benchmark</x:v>
      </x:c>
    </x:row>
    <x:row r="3478">
      <x:c r="A3478" s="2" t="str">
        <x:v>450641</x:v>
      </x:c>
      <x:c r="B3478" s="2" t="str">
        <x:v>NOCONA GENERAL HOSPITAL</x:v>
      </x:c>
      <x:c r="C3478" s="2" t="str">
        <x:v>NOCONA</x:v>
      </x:c>
      <x:c r="D3478" s="2" t="str">
        <x:v>TX</x:v>
      </x:c>
      <x:c r="E3478" s="2" t="str">
        <x:v>Acute Care Hospitals</x:v>
      </x:c>
      <x:c r="F3478" s="2" t="str">
        <x:v>Government</x:v>
      </x:c>
      <x:c r="G3478" s="2" t="str">
        <x:v>Small (&lt;100 beds)</x:v>
      </x:c>
      <x:c r="H3478" s="7" t="n">
        <x:v>1</x:v>
      </x:c>
      <x:c r="I3478" s="7"/>
      <x:c r="J3478" s="7" t="n">
        <x:v>1.22</x:v>
      </x:c>
      <x:c r="K3478" s="8" t="n">
        <x:v>18</x:v>
      </x:c>
      <x:c r="L3478" s="8" t="n">
        <x:v>345</x:v>
      </x:c>
      <x:c r="M3478" s="9" t="n">
        <x:v>0.200761035</x:v>
      </x:c>
      <x:c r="N3478" s="10" t="n">
        <x:v>38969.1739130435</x:v>
      </x:c>
      <x:c r="O3478" s="9" t="n">
        <x:v>-0.2340267677</x:v>
      </x:c>
      <x:c r="P3478" s="9" t="n">
        <x:v>0.2953321364</x:v>
      </x:c>
      <x:c r="Q3478" s="9" t="n">
        <x:v>0</x:v>
      </x:c>
      <x:c r="R3478" s="3" t="b">
        <x:v>0</x:v>
      </x:c>
      <x:c r="S3478" s="3" t="b">
        <x:v>1</x:v>
      </x:c>
      <x:c r="T3478" s="3" t="b">
        <x:v>0</x:v>
      </x:c>
      <x:c r="U3478" s="2" t="str">
        <x:f>IF(T3478=TRUE,"Priority review",IF(R3478=TRUE,"High cost",IF(S3478=TRUE,"Low quality","Benchmark")))</x:f>
        <x:v>Low quality</x:v>
      </x:c>
    </x:row>
    <x:row r="3479">
      <x:c r="A3479" s="2" t="str">
        <x:v>431331</x:v>
      </x:c>
      <x:c r="B3479" s="2" t="str">
        <x:v>AVERA DELLS AREA HOSPITAL  - CAH</x:v>
      </x:c>
      <x:c r="C3479" s="2" t="str">
        <x:v>DELL RAPIDS</x:v>
      </x:c>
      <x:c r="D3479" s="2" t="str">
        <x:v>SD</x:v>
      </x:c>
      <x:c r="E3479" s="2" t="str">
        <x:v>Critical Access Hospitals</x:v>
      </x:c>
      <x:c r="F3479" s="2" t="str">
        <x:v>Voluntary non-profit</x:v>
      </x:c>
      <x:c r="G3479" s="2" t="str">
        <x:v>Small (&lt;100 beds)</x:v>
      </x:c>
      <x:c r="H3479" s="7"/>
      <x:c r="I3479" s="7"/>
      <x:c r="J3479" s="7"/>
      <x:c r="K3479" s="8" t="n">
        <x:v>23</x:v>
      </x:c>
      <x:c r="L3479" s="8" t="n">
        <x:v>143</x:v>
      </x:c>
      <x:c r="M3479" s="9" t="n">
        <x:v>0.1329362716</x:v>
      </x:c>
      <x:c r="N3479" s="10" t="n">
        <x:v>95580.8671328671</x:v>
      </x:c>
      <x:c r="O3479" s="9" t="n">
        <x:v>0.0575604596</x:v>
      </x:c>
      <x:c r="P3479" s="9" t="n">
        <x:v>0.2951672862</x:v>
      </x:c>
      <x:c r="Q3479" s="9" t="n">
        <x:v>0.292936803</x:v>
      </x:c>
      <x:c r="R3479" s="3" t="b">
        <x:v>0</x:v>
      </x:c>
      <x:c r="S3479" s="3" t="b">
        <x:v>0</x:v>
      </x:c>
      <x:c r="T3479" s="3" t="b">
        <x:v>0</x:v>
      </x:c>
      <x:c r="U3479" s="2" t="str">
        <x:f>IF(T3479=TRUE,"Priority review",IF(R3479=TRUE,"High cost",IF(S3479=TRUE,"Low quality","Benchmark")))</x:f>
        <x:v>Benchmark</x:v>
      </x:c>
    </x:row>
    <x:row r="3480">
      <x:c r="A3480" s="2" t="str">
        <x:v>260216</x:v>
      </x:c>
      <x:c r="B3480" s="2" t="str">
        <x:v>SAINT LUKE'S EAST  HOSPITAL</x:v>
      </x:c>
      <x:c r="C3480" s="2" t="str">
        <x:v>LEES SUMMIT</x:v>
      </x:c>
      <x:c r="D3480" s="2" t="str">
        <x:v>MO</x:v>
      </x:c>
      <x:c r="E3480" s="2" t="str">
        <x:v>Acute Care Hospitals</x:v>
      </x:c>
      <x:c r="F3480" s="2" t="str">
        <x:v>Voluntary non-profit</x:v>
      </x:c>
      <x:c r="G3480" s="2" t="str">
        <x:v>Medium (100-299 beds)</x:v>
      </x:c>
      <x:c r="H3480" s="7" t="n">
        <x:v>4</x:v>
      </x:c>
      <x:c r="I3480" s="7" t="n">
        <x:v>4</x:v>
      </x:c>
      <x:c r="J3480" s="7" t="n">
        <x:v>1.03</x:v>
      </x:c>
      <x:c r="K3480" s="8" t="n">
        <x:v>216</x:v>
      </x:c>
      <x:c r="L3480" s="8" t="n">
        <x:v>13411</x:v>
      </x:c>
      <x:c r="M3480" s="9" t="n">
        <x:v>0.8466909532</x:v>
      </x:c>
      <x:c r="N3480" s="10" t="n">
        <x:v>27061.2539706211</x:v>
      </x:c>
      <x:c r="O3480" s="9" t="n">
        <x:v>-0.0590900147</x:v>
      </x:c>
      <x:c r="P3480" s="9" t="n">
        <x:v>0.2950285249</x:v>
      </x:c>
      <x:c r="Q3480" s="9" t="n">
        <x:v>0.6022819886</x:v>
      </x:c>
      <x:c r="R3480" s="3" t="b">
        <x:v>0</x:v>
      </x:c>
      <x:c r="S3480" s="3" t="b">
        <x:v>0</x:v>
      </x:c>
      <x:c r="T3480" s="3" t="b">
        <x:v>0</x:v>
      </x:c>
      <x:c r="U3480" s="2" t="str">
        <x:f>IF(T3480=TRUE,"Priority review",IF(R3480=TRUE,"High cost",IF(S3480=TRUE,"Low quality","Benchmark")))</x:f>
        <x:v>Benchmark</x:v>
      </x:c>
    </x:row>
    <x:row r="3481">
      <x:c r="A3481" s="2" t="str">
        <x:v>010056</x:v>
      </x:c>
      <x:c r="B3481" s="2" t="str">
        <x:v>ST VINCENT'S BIRMINGHAM</x:v>
      </x:c>
      <x:c r="C3481" s="2" t="str">
        <x:v>BIRMINGHAM</x:v>
      </x:c>
      <x:c r="D3481" s="2" t="str">
        <x:v>AL</x:v>
      </x:c>
      <x:c r="E3481" s="2" t="str">
        <x:v>Acute Care Hospitals</x:v>
      </x:c>
      <x:c r="F3481" s="2" t="str">
        <x:v>Voluntary non-profit</x:v>
      </x:c>
      <x:c r="G3481" s="2" t="str">
        <x:v>Large (300+ beds)</x:v>
      </x:c>
      <x:c r="H3481" s="7" t="n">
        <x:v>3</x:v>
      </x:c>
      <x:c r="I3481" s="7" t="n">
        <x:v>2</x:v>
      </x:c>
      <x:c r="J3481" s="7" t="n">
        <x:v>0.95</x:v>
      </x:c>
      <x:c r="K3481" s="8" t="n">
        <x:v>399</x:v>
      </x:c>
      <x:c r="L3481" s="8" t="n">
        <x:v>18887</x:v>
      </x:c>
      <x:c r="M3481" s="9" t="n">
        <x:v>0.6614756068</x:v>
      </x:c>
      <x:c r="N3481" s="10" t="n">
        <x:v>29821.2956001482</x:v>
      </x:c>
      <x:c r="O3481" s="9" t="n">
        <x:v>-0.108882325</x:v>
      </x:c>
      <x:c r="P3481" s="9" t="n">
        <x:v>0.2949526814</x:v>
      </x:c>
      <x:c r="Q3481" s="9" t="n">
        <x:v>0.2570977918</x:v>
      </x:c>
      <x:c r="R3481" s="3" t="b">
        <x:v>0</x:v>
      </x:c>
      <x:c r="S3481" s="3" t="b">
        <x:v>0</x:v>
      </x:c>
      <x:c r="T3481" s="3" t="b">
        <x:v>0</x:v>
      </x:c>
      <x:c r="U3481" s="2" t="str">
        <x:f>IF(T3481=TRUE,"Priority review",IF(R3481=TRUE,"High cost",IF(S3481=TRUE,"Low quality","Benchmark")))</x:f>
        <x:v>Benchmark</x:v>
      </x:c>
    </x:row>
    <x:row r="3482">
      <x:c r="A3482" s="2" t="str">
        <x:v>464014</x:v>
      </x:c>
      <x:c r="B3482" s="2" t="str">
        <x:v>ASPEN GROVE BEHAVIORAL HOSPITAL</x:v>
      </x:c>
      <x:c r="C3482" s="2" t="str">
        <x:v>OREM</x:v>
      </x:c>
      <x:c r="D3482" s="2" t="str">
        <x:v>UT</x:v>
      </x:c>
      <x:c r="E3482" s="2" t="str">
        <x:v>Psychiatric</x:v>
      </x:c>
      <x:c r="F3482" s="2" t="str">
        <x:v>Proprietary</x:v>
      </x:c>
      <x:c r="G3482" s="2" t="str">
        <x:v>Small (&lt;100 beds)</x:v>
      </x:c>
      <x:c r="H3482" s="7"/>
      <x:c r="I3482" s="7"/>
      <x:c r="J3482" s="7"/>
      <x:c r="K3482" s="8" t="n">
        <x:v>80</x:v>
      </x:c>
      <x:c r="L3482" s="8" t="n">
        <x:v>2452</x:v>
      </x:c>
      <x:c r="M3482" s="9" t="n">
        <x:v>0.7798287671</x:v>
      </x:c>
      <x:c r="N3482" s="10" t="n">
        <x:v>8743.4771615008</x:v>
      </x:c>
      <x:c r="O3482" s="9" t="n">
        <x:v>0.2516686834</x:v>
      </x:c>
      <x:c r="P3482" s="9" t="n">
        <x:v>0.2944983819</x:v>
      </x:c>
      <x:c r="Q3482" s="9" t="n">
        <x:v>0</x:v>
      </x:c>
      <x:c r="R3482" s="3" t="b">
        <x:v>0</x:v>
      </x:c>
      <x:c r="S3482" s="3" t="b">
        <x:v>0</x:v>
      </x:c>
      <x:c r="T3482" s="3" t="b">
        <x:v>0</x:v>
      </x:c>
      <x:c r="U3482" s="2" t="str">
        <x:f>IF(T3482=TRUE,"Priority review",IF(R3482=TRUE,"High cost",IF(S3482=TRUE,"Low quality","Benchmark")))</x:f>
        <x:v>Benchmark</x:v>
      </x:c>
    </x:row>
    <x:row r="3483">
      <x:c r="A3483" s="2" t="str">
        <x:v>340099</x:v>
      </x:c>
      <x:c r="B3483" s="2" t="str">
        <x:v>VIDANT ROANOKE CHOWAN HOSPITAL</x:v>
      </x:c>
      <x:c r="C3483" s="2" t="str">
        <x:v>AHOSKIE</x:v>
      </x:c>
      <x:c r="D3483" s="2" t="str">
        <x:v>NC</x:v>
      </x:c>
      <x:c r="E3483" s="2" t="str">
        <x:v>Acute Care Hospitals</x:v>
      </x:c>
      <x:c r="F3483" s="2" t="str">
        <x:v>Voluntary non-profit</x:v>
      </x:c>
      <x:c r="G3483" s="2" t="str">
        <x:v>Small (&lt;100 beds)</x:v>
      </x:c>
      <x:c r="H3483" s="7" t="n">
        <x:v>2</x:v>
      </x:c>
      <x:c r="I3483" s="7" t="n">
        <x:v>3</x:v>
      </x:c>
      <x:c r="J3483" s="7" t="n">
        <x:v>0.95</x:v>
      </x:c>
      <x:c r="K3483" s="8" t="n">
        <x:v>52</x:v>
      </x:c>
      <x:c r="L3483" s="8" t="n">
        <x:v>2626</x:v>
      </x:c>
      <x:c r="M3483" s="9" t="n">
        <x:v>0.7411727617</x:v>
      </x:c>
      <x:c r="N3483" s="10" t="n">
        <x:v>38929.7939832445</x:v>
      </x:c>
      <x:c r="O3483" s="9" t="n">
        <x:v>-0.0489573832</x:v>
      </x:c>
      <x:c r="P3483" s="9" t="n">
        <x:v>0.2944344704</x:v>
      </x:c>
      <x:c r="Q3483" s="9" t="n">
        <x:v>0.0350089767</x:v>
      </x:c>
      <x:c r="R3483" s="3" t="b">
        <x:v>0</x:v>
      </x:c>
      <x:c r="S3483" s="3" t="b">
        <x:v>1</x:v>
      </x:c>
      <x:c r="T3483" s="3" t="b">
        <x:v>0</x:v>
      </x:c>
      <x:c r="U3483" s="2" t="str">
        <x:f>IF(T3483=TRUE,"Priority review",IF(R3483=TRUE,"High cost",IF(S3483=TRUE,"Low quality","Benchmark")))</x:f>
        <x:v>Low quality</x:v>
      </x:c>
    </x:row>
    <x:row r="3484">
      <x:c r="A3484" s="2" t="str">
        <x:v>361332</x:v>
      </x:c>
      <x:c r="B3484" s="2" t="str">
        <x:v>HIGHLAND DISTRICT HOSPITAL</x:v>
      </x:c>
      <x:c r="C3484" s="2" t="str">
        <x:v>HILLSBORO</x:v>
      </x:c>
      <x:c r="D3484" s="2" t="str">
        <x:v>OH</x:v>
      </x:c>
      <x:c r="E3484" s="2" t="str">
        <x:v>Critical Access Hospitals</x:v>
      </x:c>
      <x:c r="F3484" s="2" t="str">
        <x:v>Government</x:v>
      </x:c>
      <x:c r="G3484" s="2" t="str">
        <x:v>Small (&lt;100 beds)</x:v>
      </x:c>
      <x:c r="H3484" s="7" t="n">
        <x:v>3</x:v>
      </x:c>
      <x:c r="I3484" s="7" t="n">
        <x:v>4</x:v>
      </x:c>
      <x:c r="J3484" s="7"/>
      <x:c r="K3484" s="8" t="n">
        <x:v>25</x:v>
      </x:c>
      <x:c r="L3484" s="8" t="n">
        <x:v>609</x:v>
      </x:c>
      <x:c r="M3484" s="9" t="n">
        <x:v>0.2953005464</x:v>
      </x:c>
      <x:c r="N3484" s="10" t="n">
        <x:v>95564.0459770115</x:v>
      </x:c>
      <x:c r="O3484" s="9" t="n">
        <x:v>0.0601653977</x:v>
      </x:c>
      <x:c r="P3484" s="9" t="n">
        <x:v>0.2944237918</x:v>
      </x:c>
      <x:c r="Q3484" s="9" t="n">
        <x:v>0.0765799257</x:v>
      </x:c>
      <x:c r="R3484" s="3" t="b">
        <x:v>0</x:v>
      </x:c>
      <x:c r="S3484" s="3" t="b">
        <x:v>1</x:v>
      </x:c>
      <x:c r="T3484" s="3" t="b">
        <x:v>0</x:v>
      </x:c>
      <x:c r="U3484" s="2" t="str">
        <x:f>IF(T3484=TRUE,"Priority review",IF(R3484=TRUE,"High cost",IF(S3484=TRUE,"Low quality","Benchmark")))</x:f>
        <x:v>Low quality</x:v>
      </x:c>
    </x:row>
    <x:row r="3485">
      <x:c r="A3485" s="2" t="str">
        <x:v>450668</x:v>
      </x:c>
      <x:c r="B3485" s="2" t="str">
        <x:v>SIERRA MEDICAL CENTER</x:v>
      </x:c>
      <x:c r="C3485" s="2" t="str">
        <x:v>EL PASO</x:v>
      </x:c>
      <x:c r="D3485" s="2" t="str">
        <x:v>TX</x:v>
      </x:c>
      <x:c r="E3485" s="2" t="str">
        <x:v>Acute Care Hospitals</x:v>
      </x:c>
      <x:c r="F3485" s="2" t="str">
        <x:v>Proprietary</x:v>
      </x:c>
      <x:c r="G3485" s="2" t="str">
        <x:v>Medium (100-299 beds)</x:v>
      </x:c>
      <x:c r="H3485" s="7" t="n">
        <x:v>2</x:v>
      </x:c>
      <x:c r="I3485" s="7" t="n">
        <x:v>2</x:v>
      </x:c>
      <x:c r="J3485" s="7" t="n">
        <x:v>1.06</x:v>
      </x:c>
      <x:c r="K3485" s="8" t="n">
        <x:v>282</x:v>
      </x:c>
      <x:c r="L3485" s="8" t="n">
        <x:v>9084</x:v>
      </x:c>
      <x:c r="M3485" s="9" t="n">
        <x:v>0.4046536481</x:v>
      </x:c>
      <x:c r="N3485" s="10" t="n">
        <x:v>27056.0132100396</x:v>
      </x:c>
      <x:c r="O3485" s="9" t="n">
        <x:v>0.0247194939</x:v>
      </x:c>
      <x:c r="P3485" s="9" t="n">
        <x:v>0.2942135289</x:v>
      </x:c>
      <x:c r="Q3485" s="9" t="n">
        <x:v>0.0782396088</x:v>
      </x:c>
      <x:c r="R3485" s="3" t="b">
        <x:v>0</x:v>
      </x:c>
      <x:c r="S3485" s="3" t="b">
        <x:v>1</x:v>
      </x:c>
      <x:c r="T3485" s="3" t="b">
        <x:v>0</x:v>
      </x:c>
      <x:c r="U3485" s="2" t="str">
        <x:f>IF(T3485=TRUE,"Priority review",IF(R3485=TRUE,"High cost",IF(S3485=TRUE,"Low quality","Benchmark")))</x:f>
        <x:v>Low quality</x:v>
      </x:c>
    </x:row>
    <x:row r="3486">
      <x:c r="A3486" s="2" t="str">
        <x:v>251307</x:v>
      </x:c>
      <x:c r="B3486" s="2" t="str">
        <x:v>NOXUBEE GENERAL CRITICAL ACCESS HOSP</x:v>
      </x:c>
      <x:c r="C3486" s="2" t="str">
        <x:v>MACON</x:v>
      </x:c>
      <x:c r="D3486" s="2" t="str">
        <x:v>MS</x:v>
      </x:c>
      <x:c r="E3486" s="2" t="str">
        <x:v>Critical Access Hospitals</x:v>
      </x:c>
      <x:c r="F3486" s="2" t="str">
        <x:v>Government</x:v>
      </x:c>
      <x:c r="G3486" s="2" t="str">
        <x:v>Small (&lt;100 beds)</x:v>
      </x:c>
      <x:c r="H3486" s="7"/>
      <x:c r="I3486" s="7"/>
      <x:c r="J3486" s="7"/>
      <x:c r="K3486" s="8" t="n">
        <x:v>25</x:v>
      </x:c>
      <x:c r="L3486" s="8" t="n">
        <x:v>250</x:v>
      </x:c>
      <x:c r="M3486" s="9" t="n">
        <x:v>0.3433879781</x:v>
      </x:c>
      <x:c r="N3486" s="10" t="n">
        <x:v>95430.636</x:v>
      </x:c>
      <x:c r="O3486" s="9" t="n">
        <x:v>-0.3089873101</x:v>
      </x:c>
      <x:c r="P3486" s="9" t="n">
        <x:v>0.2936802974</x:v>
      </x:c>
      <x:c r="Q3486" s="9" t="n">
        <x:v>0.292936803</x:v>
      </x:c>
      <x:c r="R3486" s="3" t="b">
        <x:v>0</x:v>
      </x:c>
      <x:c r="S3486" s="3" t="b">
        <x:v>0</x:v>
      </x:c>
      <x:c r="T3486" s="3" t="b">
        <x:v>0</x:v>
      </x:c>
      <x:c r="U3486" s="2" t="str">
        <x:f>IF(T3486=TRUE,"Priority review",IF(R3486=TRUE,"High cost",IF(S3486=TRUE,"Low quality","Benchmark")))</x:f>
        <x:v>Benchmark</x:v>
      </x:c>
    </x:row>
    <x:row r="3487">
      <x:c r="A3487" s="2" t="str">
        <x:v>170068</x:v>
      </x:c>
      <x:c r="B3487" s="2" t="str">
        <x:v>SOUTHWEST MEDICAL CENTER</x:v>
      </x:c>
      <x:c r="C3487" s="2" t="str">
        <x:v>LIBERAL</x:v>
      </x:c>
      <x:c r="D3487" s="2" t="str">
        <x:v>KS</x:v>
      </x:c>
      <x:c r="E3487" s="2" t="str">
        <x:v>Acute Care Hospitals</x:v>
      </x:c>
      <x:c r="F3487" s="2" t="str">
        <x:v>Government</x:v>
      </x:c>
      <x:c r="G3487" s="2" t="str">
        <x:v>Small (&lt;100 beds)</x:v>
      </x:c>
      <x:c r="H3487" s="7" t="n">
        <x:v>1</x:v>
      </x:c>
      <x:c r="I3487" s="7" t="n">
        <x:v>3</x:v>
      </x:c>
      <x:c r="J3487" s="7" t="n">
        <x:v>0.92</x:v>
      </x:c>
      <x:c r="K3487" s="8" t="n">
        <x:v>67</x:v>
      </x:c>
      <x:c r="L3487" s="8" t="n">
        <x:v>2101</x:v>
      </x:c>
      <x:c r="M3487" s="9" t="n">
        <x:v>0.3012804828</x:v>
      </x:c>
      <x:c r="N3487" s="10" t="n">
        <x:v>38909.7463112803</x:v>
      </x:c>
      <x:c r="O3487" s="9" t="n">
        <x:v>-0.1299728757</x:v>
      </x:c>
      <x:c r="P3487" s="9" t="n">
        <x:v>0.2935368043</x:v>
      </x:c>
      <x:c r="Q3487" s="9" t="n">
        <x:v>0</x:v>
      </x:c>
      <x:c r="R3487" s="3" t="b">
        <x:v>0</x:v>
      </x:c>
      <x:c r="S3487" s="3" t="b">
        <x:v>1</x:v>
      </x:c>
      <x:c r="T3487" s="3" t="b">
        <x:v>0</x:v>
      </x:c>
      <x:c r="U3487" s="2" t="str">
        <x:f>IF(T3487=TRUE,"Priority review",IF(R3487=TRUE,"High cost",IF(S3487=TRUE,"Low quality","Benchmark")))</x:f>
        <x:v>Low quality</x:v>
      </x:c>
    </x:row>
    <x:row r="3488">
      <x:c r="A3488" s="2" t="str">
        <x:v>454129</x:v>
      </x:c>
      <x:c r="B3488" s="2" t="str">
        <x:v>GEORGETOWN BEHAVIORAL HEALTH INSTITUTE</x:v>
      </x:c>
      <x:c r="C3488" s="2" t="str">
        <x:v>GEORGETOWN</x:v>
      </x:c>
      <x:c r="D3488" s="2" t="str">
        <x:v>TX</x:v>
      </x:c>
      <x:c r="E3488" s="2" t="str">
        <x:v>Psychiatric</x:v>
      </x:c>
      <x:c r="F3488" s="2" t="str">
        <x:v>Proprietary</x:v>
      </x:c>
      <x:c r="G3488" s="2" t="str">
        <x:v>Medium (100-299 beds)</x:v>
      </x:c>
      <x:c r="H3488" s="7"/>
      <x:c r="I3488" s="7"/>
      <x:c r="J3488" s="7"/>
      <x:c r="K3488" s="8" t="n">
        <x:v>118</x:v>
      </x:c>
      <x:c r="L3488" s="8" t="n">
        <x:v>3487</x:v>
      </x:c>
      <x:c r="M3488" s="9" t="n">
        <x:v>0.7526164675</x:v>
      </x:c>
      <x:c r="N3488" s="10" t="n">
        <x:v>7573.0097505019</x:v>
      </x:c>
      <x:c r="O3488" s="9" t="n">
        <x:v>-0.0877540836</x:v>
      </x:c>
      <x:c r="P3488" s="9" t="n">
        <x:v>0.2935323383</x:v>
      </x:c>
      <x:c r="Q3488" s="9" t="n">
        <x:v>0</x:v>
      </x:c>
      <x:c r="R3488" s="3" t="b">
        <x:v>0</x:v>
      </x:c>
      <x:c r="S3488" s="3" t="b">
        <x:v>0</x:v>
      </x:c>
      <x:c r="T3488" s="3" t="b">
        <x:v>0</x:v>
      </x:c>
      <x:c r="U3488" s="2" t="str">
        <x:f>IF(T3488=TRUE,"Priority review",IF(R3488=TRUE,"High cost",IF(S3488=TRUE,"Low quality","Benchmark")))</x:f>
        <x:v>Benchmark</x:v>
      </x:c>
    </x:row>
    <x:row r="3489">
      <x:c r="A3489" s="2" t="str">
        <x:v>310011</x:v>
      </x:c>
      <x:c r="B3489" s="2" t="str">
        <x:v>CAPE REGIONAL MEDICAL CENTER INC</x:v>
      </x:c>
      <x:c r="C3489" s="2" t="str">
        <x:v>CAPE MAY COURT HOUSE</x:v>
      </x:c>
      <x:c r="D3489" s="2" t="str">
        <x:v>NJ</x:v>
      </x:c>
      <x:c r="E3489" s="2" t="str">
        <x:v>Acute Care Hospitals</x:v>
      </x:c>
      <x:c r="F3489" s="2" t="str">
        <x:v>Voluntary non-profit</x:v>
      </x:c>
      <x:c r="G3489" s="2" t="str">
        <x:v>Medium (100-299 beds)</x:v>
      </x:c>
      <x:c r="H3489" s="7" t="n">
        <x:v>3</x:v>
      </x:c>
      <x:c r="I3489" s="7"/>
      <x:c r="J3489" s="7" t="n">
        <x:v>1.03</x:v>
      </x:c>
      <x:c r="K3489" s="8" t="n">
        <x:v>149</x:v>
      </x:c>
      <x:c r="L3489" s="8" t="n">
        <x:v>5623</x:v>
      </x:c>
      <x:c r="M3489" s="9" t="n">
        <x:v>0.4847618</x:v>
      </x:c>
      <x:c r="N3489" s="10" t="n">
        <x:v>27033.1154188156</x:v>
      </x:c>
      <x:c r="O3489" s="9" t="n">
        <x:v>-0.131003765</x:v>
      </x:c>
      <x:c r="P3489" s="9" t="n">
        <x:v>0.293398533</x:v>
      </x:c>
      <x:c r="Q3489" s="9" t="n">
        <x:v>0.3023634882</x:v>
      </x:c>
      <x:c r="R3489" s="3" t="b">
        <x:v>0</x:v>
      </x:c>
      <x:c r="S3489" s="3" t="b">
        <x:v>0</x:v>
      </x:c>
      <x:c r="T3489" s="3" t="b">
        <x:v>0</x:v>
      </x:c>
      <x:c r="U3489" s="2" t="str">
        <x:f>IF(T3489=TRUE,"Priority review",IF(R3489=TRUE,"High cost",IF(S3489=TRUE,"Low quality","Benchmark")))</x:f>
        <x:v>Benchmark</x:v>
      </x:c>
    </x:row>
    <x:row r="3490">
      <x:c r="A3490" s="2" t="str">
        <x:v>220063</x:v>
      </x:c>
      <x:c r="B3490" s="2" t="str">
        <x:v>LOWELL GENERAL HOSPITAL</x:v>
      </x:c>
      <x:c r="C3490" s="2" t="str">
        <x:v>LOWELL</x:v>
      </x:c>
      <x:c r="D3490" s="2" t="str">
        <x:v>MA</x:v>
      </x:c>
      <x:c r="E3490" s="2" t="str">
        <x:v>Acute Care Hospitals</x:v>
      </x:c>
      <x:c r="F3490" s="2" t="str">
        <x:v>Voluntary non-profit</x:v>
      </x:c>
      <x:c r="G3490" s="2" t="str">
        <x:v>Large (300+ beds)</x:v>
      </x:c>
      <x:c r="H3490" s="7" t="n">
        <x:v>2</x:v>
      </x:c>
      <x:c r="I3490" s="7" t="n">
        <x:v>3</x:v>
      </x:c>
      <x:c r="J3490" s="7" t="n">
        <x:v>0.98</x:v>
      </x:c>
      <x:c r="K3490" s="8" t="n">
        <x:v>390</x:v>
      </x:c>
      <x:c r="L3490" s="8" t="n">
        <x:v>19838</x:v>
      </x:c>
      <x:c r="M3490" s="9" t="n">
        <x:v>0.6440381113</x:v>
      </x:c>
      <x:c r="N3490" s="10" t="n">
        <x:v>29751.0611452767</x:v>
      </x:c>
      <x:c r="O3490" s="9" t="n">
        <x:v>-0.1294385366</x:v>
      </x:c>
      <x:c r="P3490" s="9" t="n">
        <x:v>0.2933753943</x:v>
      </x:c>
      <x:c r="Q3490" s="9" t="n">
        <x:v>0.0536277603</x:v>
      </x:c>
      <x:c r="R3490" s="3" t="b">
        <x:v>0</x:v>
      </x:c>
      <x:c r="S3490" s="3" t="b">
        <x:v>1</x:v>
      </x:c>
      <x:c r="T3490" s="3" t="b">
        <x:v>0</x:v>
      </x:c>
      <x:c r="U3490" s="2" t="str">
        <x:f>IF(T3490=TRUE,"Priority review",IF(R3490=TRUE,"High cost",IF(S3490=TRUE,"Low quality","Benchmark")))</x:f>
        <x:v>Low quality</x:v>
      </x:c>
    </x:row>
    <x:row r="3491">
      <x:c r="A3491" s="2" t="str">
        <x:v>351304</x:v>
      </x:c>
      <x:c r="B3491" s="2" t="str">
        <x:v>CHI ST ALEXIUS HEALTH TURTLE LAKE</x:v>
      </x:c>
      <x:c r="C3491" s="2" t="str">
        <x:v>TURTLE LAKE</x:v>
      </x:c>
      <x:c r="D3491" s="2" t="str">
        <x:v>ND</x:v>
      </x:c>
      <x:c r="E3491" s="2" t="str">
        <x:v>Critical Access Hospitals</x:v>
      </x:c>
      <x:c r="F3491" s="2" t="str">
        <x:v>Voluntary non-profit</x:v>
      </x:c>
      <x:c r="G3491" s="2" t="str">
        <x:v>Small (&lt;100 beds)</x:v>
      </x:c>
      <x:c r="H3491" s="7"/>
      <x:c r="I3491" s="7"/>
      <x:c r="J3491" s="7"/>
      <x:c r="K3491" s="8" t="n">
        <x:v>25</x:v>
      </x:c>
      <x:c r="L3491" s="8" t="n">
        <x:v>87</x:v>
      </x:c>
      <x:c r="M3491" s="9" t="n">
        <x:v>0.5550684932</x:v>
      </x:c>
      <x:c r="N3491" s="10" t="n">
        <x:v>94906.4022988506</x:v>
      </x:c>
      <x:c r="O3491" s="9" t="n">
        <x:v>-0.1458844245</x:v>
      </x:c>
      <x:c r="P3491" s="9" t="n">
        <x:v>0.292936803</x:v>
      </x:c>
      <x:c r="Q3491" s="9" t="n">
        <x:v>0.292936803</x:v>
      </x:c>
      <x:c r="R3491" s="3" t="b">
        <x:v>0</x:v>
      </x:c>
      <x:c r="S3491" s="3" t="b">
        <x:v>0</x:v>
      </x:c>
      <x:c r="T3491" s="3" t="b">
        <x:v>0</x:v>
      </x:c>
      <x:c r="U3491" s="2" t="str">
        <x:f>IF(T3491=TRUE,"Priority review",IF(R3491=TRUE,"High cost",IF(S3491=TRUE,"Low quality","Benchmark")))</x:f>
        <x:v>Benchmark</x:v>
      </x:c>
    </x:row>
    <x:row r="3492">
      <x:c r="A3492" s="2" t="str">
        <x:v>110105</x:v>
      </x:c>
      <x:c r="B3492" s="2" t="str">
        <x:v>COLQUITT REGIONAL MEDICAL CENTER</x:v>
      </x:c>
      <x:c r="C3492" s="2" t="str">
        <x:v>MOULTRIE</x:v>
      </x:c>
      <x:c r="D3492" s="2" t="str">
        <x:v>GA</x:v>
      </x:c>
      <x:c r="E3492" s="2" t="str">
        <x:v>Acute Care Hospitals</x:v>
      </x:c>
      <x:c r="F3492" s="2" t="str">
        <x:v>Government</x:v>
      </x:c>
      <x:c r="G3492" s="2" t="str">
        <x:v>Small (&lt;100 beds)</x:v>
      </x:c>
      <x:c r="H3492" s="7" t="n">
        <x:v>4</x:v>
      </x:c>
      <x:c r="I3492" s="7" t="n">
        <x:v>4</x:v>
      </x:c>
      <x:c r="J3492" s="7" t="n">
        <x:v>0.91</x:v>
      </x:c>
      <x:c r="K3492" s="8" t="n">
        <x:v>99</x:v>
      </x:c>
      <x:c r="L3492" s="8" t="n">
        <x:v>6589</x:v>
      </x:c>
      <x:c r="M3492" s="9" t="n">
        <x:v>0.7789645085</x:v>
      </x:c>
      <x:c r="N3492" s="10" t="n">
        <x:v>38895.9476400061</x:v>
      </x:c>
      <x:c r="O3492" s="9" t="n">
        <x:v>-0.1387449666</x:v>
      </x:c>
      <x:c r="P3492" s="9" t="n">
        <x:v>0.2926391382</x:v>
      </x:c>
      <x:c r="Q3492" s="9" t="n">
        <x:v>0.3913824057</x:v>
      </x:c>
      <x:c r="R3492" s="3" t="b">
        <x:v>0</x:v>
      </x:c>
      <x:c r="S3492" s="3" t="b">
        <x:v>0</x:v>
      </x:c>
      <x:c r="T3492" s="3" t="b">
        <x:v>0</x:v>
      </x:c>
      <x:c r="U3492" s="2" t="str">
        <x:f>IF(T3492=TRUE,"Priority review",IF(R3492=TRUE,"High cost",IF(S3492=TRUE,"Low quality","Benchmark")))</x:f>
        <x:v>Benchmark</x:v>
      </x:c>
    </x:row>
    <x:row r="3493">
      <x:c r="A3493" s="2" t="str">
        <x:v>530012</x:v>
      </x:c>
      <x:c r="B3493" s="2" t="str">
        <x:v>BANNER WYOMING MEDICAL CENTER</x:v>
      </x:c>
      <x:c r="C3493" s="2" t="str">
        <x:v>CASPER</x:v>
      </x:c>
      <x:c r="D3493" s="2" t="str">
        <x:v>WY</x:v>
      </x:c>
      <x:c r="E3493" s="2" t="str">
        <x:v>Acute Care Hospitals</x:v>
      </x:c>
      <x:c r="F3493" s="2" t="str">
        <x:v>Government</x:v>
      </x:c>
      <x:c r="G3493" s="2" t="str">
        <x:v>Medium (100-299 beds)</x:v>
      </x:c>
      <x:c r="H3493" s="7" t="n">
        <x:v>2</x:v>
      </x:c>
      <x:c r="I3493" s="7" t="n">
        <x:v>2</x:v>
      </x:c>
      <x:c r="J3493" s="7" t="n">
        <x:v>1.04</x:v>
      </x:c>
      <x:c r="K3493" s="8" t="n">
        <x:v>249</x:v>
      </x:c>
      <x:c r="L3493" s="8" t="n">
        <x:v>9647</x:v>
      </x:c>
      <x:c r="M3493" s="9" t="n">
        <x:v>0.4198323348</x:v>
      </x:c>
      <x:c r="N3493" s="10" t="n">
        <x:v>27023.930548357</x:v>
      </x:c>
      <x:c r="O3493" s="9" t="n">
        <x:v>0.0047194192</x:v>
      </x:c>
      <x:c r="P3493" s="9" t="n">
        <x:v>0.2925835371</x:v>
      </x:c>
      <x:c r="Q3493" s="9" t="n">
        <x:v>0.0782396088</x:v>
      </x:c>
      <x:c r="R3493" s="3" t="b">
        <x:v>0</x:v>
      </x:c>
      <x:c r="S3493" s="3" t="b">
        <x:v>1</x:v>
      </x:c>
      <x:c r="T3493" s="3" t="b">
        <x:v>0</x:v>
      </x:c>
      <x:c r="U3493" s="2" t="str">
        <x:f>IF(T3493=TRUE,"Priority review",IF(R3493=TRUE,"High cost",IF(S3493=TRUE,"Low quality","Benchmark")))</x:f>
        <x:v>Low quality</x:v>
      </x:c>
    </x:row>
    <x:row r="3494">
      <x:c r="A3494" s="2" t="str">
        <x:v>301301</x:v>
      </x:c>
      <x:c r="B3494" s="2" t="str">
        <x:v>COTTAGE HOSPITAL</x:v>
      </x:c>
      <x:c r="C3494" s="2" t="str">
        <x:v>WOODSVILLE</x:v>
      </x:c>
      <x:c r="D3494" s="2" t="str">
        <x:v>NH</x:v>
      </x:c>
      <x:c r="E3494" s="2" t="str">
        <x:v>Critical Access Hospitals</x:v>
      </x:c>
      <x:c r="F3494" s="2" t="str">
        <x:v>Voluntary non-profit</x:v>
      </x:c>
      <x:c r="G3494" s="2" t="str">
        <x:v>Small (&lt;100 beds)</x:v>
      </x:c>
      <x:c r="H3494" s="7" t="n">
        <x:v>4</x:v>
      </x:c>
      <x:c r="I3494" s="7"/>
      <x:c r="J3494" s="7"/>
      <x:c r="K3494" s="8" t="n">
        <x:v>25</x:v>
      </x:c>
      <x:c r="L3494" s="8" t="n">
        <x:v>462</x:v>
      </x:c>
      <x:c r="M3494" s="9" t="n">
        <x:v>0.36</x:v>
      </x:c>
      <x:c r="N3494" s="10" t="n">
        <x:v>94874.2510822511</x:v>
      </x:c>
      <x:c r="O3494" s="9" t="n">
        <x:v>-0.0555483029</x:v>
      </x:c>
      <x:c r="P3494" s="9" t="n">
        <x:v>0.2921933086</x:v>
      </x:c>
      <x:c r="Q3494" s="9" t="n">
        <x:v>0.1657992565</x:v>
      </x:c>
      <x:c r="R3494" s="3" t="b">
        <x:v>0</x:v>
      </x:c>
      <x:c r="S3494" s="3" t="b">
        <x:v>0</x:v>
      </x:c>
      <x:c r="T3494" s="3" t="b">
        <x:v>0</x:v>
      </x:c>
      <x:c r="U3494" s="2" t="str">
        <x:f>IF(T3494=TRUE,"Priority review",IF(R3494=TRUE,"High cost",IF(S3494=TRUE,"Low quality","Benchmark")))</x:f>
        <x:v>Benchmark</x:v>
      </x:c>
    </x:row>
    <x:row r="3495">
      <x:c r="A3495" s="2" t="str">
        <x:v>450237</x:v>
      </x:c>
      <x:c r="B3495" s="2" t="str">
        <x:v>CHRISTUS SANTA ROSA MEDICAL CENTER</x:v>
      </x:c>
      <x:c r="C3495" s="2" t="str">
        <x:v>SAN ANTONIO</x:v>
      </x:c>
      <x:c r="D3495" s="2" t="str">
        <x:v>TX</x:v>
      </x:c>
      <x:c r="E3495" s="2" t="str">
        <x:v>Acute Care Hospitals</x:v>
      </x:c>
      <x:c r="F3495" s="2" t="str">
        <x:v>Voluntary non-profit</x:v>
      </x:c>
      <x:c r="G3495" s="2" t="str">
        <x:v>Large (300+ beds)</x:v>
      </x:c>
      <x:c r="H3495" s="7" t="n">
        <x:v>3</x:v>
      </x:c>
      <x:c r="I3495" s="7" t="n">
        <x:v>3</x:v>
      </x:c>
      <x:c r="J3495" s="7" t="n">
        <x:v>1.1</x:v>
      </x:c>
      <x:c r="K3495" s="8" t="n">
        <x:v>354</x:v>
      </x:c>
      <x:c r="L3495" s="8" t="n">
        <x:v>20091</x:v>
      </x:c>
      <x:c r="M3495" s="9" t="n">
        <x:v>0.6247039703</x:v>
      </x:c>
      <x:c r="N3495" s="10" t="n">
        <x:v>29559.8693942561</x:v>
      </x:c>
      <x:c r="O3495" s="9" t="n">
        <x:v>-0.1151028505</x:v>
      </x:c>
      <x:c r="P3495" s="9" t="n">
        <x:v>0.2917981073</x:v>
      </x:c>
      <x:c r="Q3495" s="9" t="n">
        <x:v>0.2570977918</x:v>
      </x:c>
      <x:c r="R3495" s="3" t="b">
        <x:v>0</x:v>
      </x:c>
      <x:c r="S3495" s="3" t="b">
        <x:v>0</x:v>
      </x:c>
      <x:c r="T3495" s="3" t="b">
        <x:v>0</x:v>
      </x:c>
      <x:c r="U3495" s="2" t="str">
        <x:f>IF(T3495=TRUE,"Priority review",IF(R3495=TRUE,"High cost",IF(S3495=TRUE,"Low quality","Benchmark")))</x:f>
        <x:v>Benchmark</x:v>
      </x:c>
    </x:row>
    <x:row r="3496">
      <x:c r="A3496" s="2" t="str">
        <x:v>210033</x:v>
      </x:c>
      <x:c r="B3496" s="2" t="str">
        <x:v>CARROLL HOSPITAL CENTER</x:v>
      </x:c>
      <x:c r="C3496" s="2" t="str">
        <x:v>WESTMINSTER</x:v>
      </x:c>
      <x:c r="D3496" s="2" t="str">
        <x:v>MD</x:v>
      </x:c>
      <x:c r="E3496" s="2" t="str">
        <x:v>Acute Care Hospitals</x:v>
      </x:c>
      <x:c r="F3496" s="2" t="str">
        <x:v>Voluntary non-profit</x:v>
      </x:c>
      <x:c r="G3496" s="2" t="str">
        <x:v>Medium (100-299 beds)</x:v>
      </x:c>
      <x:c r="H3496" s="7" t="n">
        <x:v>3</x:v>
      </x:c>
      <x:c r="I3496" s="7" t="n">
        <x:v>3</x:v>
      </x:c>
      <x:c r="J3496" s="7"/>
      <x:c r="K3496" s="8" t="n">
        <x:v>161</x:v>
      </x:c>
      <x:c r="L3496" s="8" t="n">
        <x:v>9322</x:v>
      </x:c>
      <x:c r="M3496" s="9" t="n">
        <x:v>0.7990640687</x:v>
      </x:c>
      <x:c r="N3496" s="10" t="n">
        <x:v>26995.8325466638</x:v>
      </x:c>
      <x:c r="O3496" s="9" t="n">
        <x:v>-0.04021565</x:v>
      </x:c>
      <x:c r="P3496" s="9" t="n">
        <x:v>0.2917685412</x:v>
      </x:c>
      <x:c r="Q3496" s="9" t="n">
        <x:v>0.3023634882</x:v>
      </x:c>
      <x:c r="R3496" s="3" t="b">
        <x:v>0</x:v>
      </x:c>
      <x:c r="S3496" s="3" t="b">
        <x:v>0</x:v>
      </x:c>
      <x:c r="T3496" s="3" t="b">
        <x:v>0</x:v>
      </x:c>
      <x:c r="U3496" s="2" t="str">
        <x:f>IF(T3496=TRUE,"Priority review",IF(R3496=TRUE,"High cost",IF(S3496=TRUE,"Low quality","Benchmark")))</x:f>
        <x:v>Benchmark</x:v>
      </x:c>
    </x:row>
    <x:row r="3497">
      <x:c r="A3497" s="2" t="str">
        <x:v>420055</x:v>
      </x:c>
      <x:c r="B3497" s="2" t="str">
        <x:v>MUSC HEALTH MARION MEDICAL CENTER</x:v>
      </x:c>
      <x:c r="C3497" s="2" t="str">
        <x:v>MULLINS</x:v>
      </x:c>
      <x:c r="D3497" s="2" t="str">
        <x:v>SC</x:v>
      </x:c>
      <x:c r="E3497" s="2" t="str">
        <x:v>Acute Care Hospitals</x:v>
      </x:c>
      <x:c r="F3497" s="2" t="str">
        <x:v>Government</x:v>
      </x:c>
      <x:c r="G3497" s="2" t="str">
        <x:v>Small (&lt;100 beds)</x:v>
      </x:c>
      <x:c r="H3497" s="7" t="n">
        <x:v>3</x:v>
      </x:c>
      <x:c r="I3497" s="7" t="n">
        <x:v>4</x:v>
      </x:c>
      <x:c r="J3497" s="7" t="n">
        <x:v>0.95</x:v>
      </x:c>
      <x:c r="K3497" s="8" t="n">
        <x:v>28</x:v>
      </x:c>
      <x:c r="L3497" s="8" t="n">
        <x:v>931</x:v>
      </x:c>
      <x:c r="M3497" s="9" t="n">
        <x:v>0.4929549902</x:v>
      </x:c>
      <x:c r="N3497" s="10" t="n">
        <x:v>38884.7078410312</x:v>
      </x:c>
      <x:c r="O3497" s="9" t="n">
        <x:v>-0.3718373591</x:v>
      </x:c>
      <x:c r="P3497" s="9" t="n">
        <x:v>0.2917414722</x:v>
      </x:c>
      <x:c r="Q3497" s="9" t="n">
        <x:v>0.1687612208</x:v>
      </x:c>
      <x:c r="R3497" s="3" t="b">
        <x:v>0</x:v>
      </x:c>
      <x:c r="S3497" s="3" t="b">
        <x:v>0</x:v>
      </x:c>
      <x:c r="T3497" s="3" t="b">
        <x:v>0</x:v>
      </x:c>
      <x:c r="U3497" s="2" t="str">
        <x:f>IF(T3497=TRUE,"Priority review",IF(R3497=TRUE,"High cost",IF(S3497=TRUE,"Low quality","Benchmark")))</x:f>
        <x:v>Benchmark</x:v>
      </x:c>
    </x:row>
    <x:row r="3498">
      <x:c r="A3498" s="2" t="str">
        <x:v>063303</x:v>
      </x:c>
      <x:c r="B3498" s="2" t="str">
        <x:v>CHILDREN'S HOSPITAL COLORADO - COLORADO SPRINGS</x:v>
      </x:c>
      <x:c r="C3498" s="2" t="str">
        <x:v>COLORADO SPRINGS</x:v>
      </x:c>
      <x:c r="D3498" s="2" t="str">
        <x:v>CO</x:v>
      </x:c>
      <x:c r="E3498" s="2" t="str">
        <x:v>Childrens</x:v>
      </x:c>
      <x:c r="F3498" s="2" t="str">
        <x:v>Voluntary non-profit</x:v>
      </x:c>
      <x:c r="G3498" s="2" t="str">
        <x:v>Medium (100-299 beds)</x:v>
      </x:c>
      <x:c r="H3498" s="7"/>
      <x:c r="I3498" s="7"/>
      <x:c r="J3498" s="7"/>
      <x:c r="K3498" s="8" t="n">
        <x:v>116</x:v>
      </x:c>
      <x:c r="L3498" s="8" t="n">
        <x:v>3676</x:v>
      </x:c>
      <x:c r="M3498" s="9" t="n">
        <x:v>0.5778154934</x:v>
      </x:c>
      <x:c r="N3498" s="10" t="n">
        <x:v>72263.231773667</x:v>
      </x:c>
      <x:c r="O3498" s="9" t="n">
        <x:v>-0.0594455488</x:v>
      </x:c>
      <x:c r="P3498" s="9" t="n">
        <x:v>0.2916666667</x:v>
      </x:c>
      <x:c r="Q3498" s="9" t="n">
        <x:v>0</x:v>
      </x:c>
      <x:c r="R3498" s="3" t="b">
        <x:v>0</x:v>
      </x:c>
      <x:c r="S3498" s="3" t="b">
        <x:v>0</x:v>
      </x:c>
      <x:c r="T3498" s="3" t="b">
        <x:v>0</x:v>
      </x:c>
      <x:c r="U3498" s="2" t="str">
        <x:f>IF(T3498=TRUE,"Priority review",IF(R3498=TRUE,"High cost",IF(S3498=TRUE,"Low quality","Benchmark")))</x:f>
        <x:v>Benchmark</x:v>
      </x:c>
    </x:row>
    <x:row r="3499">
      <x:c r="A3499" s="2" t="str">
        <x:v>261328</x:v>
      </x:c>
      <x:c r="B3499" s="2" t="str">
        <x:v>MOSAIC MEDICAL CENTER ALBANY</x:v>
      </x:c>
      <x:c r="C3499" s="2" t="str">
        <x:v>ALBANY</x:v>
      </x:c>
      <x:c r="D3499" s="2" t="str">
        <x:v>MO</x:v>
      </x:c>
      <x:c r="E3499" s="2" t="str">
        <x:v>Critical Access Hospitals</x:v>
      </x:c>
      <x:c r="F3499" s="2" t="str">
        <x:v>Voluntary non-profit</x:v>
      </x:c>
      <x:c r="G3499" s="2" t="str">
        <x:v>Small (&lt;100 beds)</x:v>
      </x:c>
      <x:c r="H3499" s="7"/>
      <x:c r="I3499" s="7"/>
      <x:c r="J3499" s="7"/>
      <x:c r="K3499" s="8" t="n">
        <x:v>25</x:v>
      </x:c>
      <x:c r="L3499" s="8" t="n">
        <x:v>281</x:v>
      </x:c>
      <x:c r="M3499" s="9" t="n">
        <x:v>0.2143561644</x:v>
      </x:c>
      <x:c r="N3499" s="10" t="n">
        <x:v>94713.5302491103</x:v>
      </x:c>
      <x:c r="O3499" s="9" t="n">
        <x:v>-0.0514034296</x:v>
      </x:c>
      <x:c r="P3499" s="9" t="n">
        <x:v>0.2914498141</x:v>
      </x:c>
      <x:c r="Q3499" s="9" t="n">
        <x:v>0.292936803</x:v>
      </x:c>
      <x:c r="R3499" s="3" t="b">
        <x:v>0</x:v>
      </x:c>
      <x:c r="S3499" s="3" t="b">
        <x:v>0</x:v>
      </x:c>
      <x:c r="T3499" s="3" t="b">
        <x:v>0</x:v>
      </x:c>
      <x:c r="U3499" s="2" t="str">
        <x:f>IF(T3499=TRUE,"Priority review",IF(R3499=TRUE,"High cost",IF(S3499=TRUE,"Low quality","Benchmark")))</x:f>
        <x:v>Benchmark</x:v>
      </x:c>
    </x:row>
    <x:row r="3500">
      <x:c r="A3500" s="2" t="str">
        <x:v>444029</x:v>
      </x:c>
      <x:c r="B3500" s="2" t="str">
        <x:v>PINEWOOD SPRINGS</x:v>
      </x:c>
      <x:c r="C3500" s="2" t="str">
        <x:v>COLUMBIA</x:v>
      </x:c>
      <x:c r="D3500" s="2" t="str">
        <x:v>TN</x:v>
      </x:c>
      <x:c r="E3500" s="2" t="str">
        <x:v>Psychiatric</x:v>
      </x:c>
      <x:c r="F3500" s="2" t="str">
        <x:v>Proprietary</x:v>
      </x:c>
      <x:c r="G3500" s="2" t="str">
        <x:v>Small (&lt;100 beds)</x:v>
      </x:c>
      <x:c r="H3500" s="7"/>
      <x:c r="I3500" s="7"/>
      <x:c r="J3500" s="7"/>
      <x:c r="K3500" s="8" t="n">
        <x:v>60</x:v>
      </x:c>
      <x:c r="L3500" s="8" t="n">
        <x:v>2160</x:v>
      </x:c>
      <x:c r="M3500" s="9" t="n">
        <x:v>0.6905936073</x:v>
      </x:c>
      <x:c r="N3500" s="10" t="n">
        <x:v>8741.3023148148</x:v>
      </x:c>
      <x:c r="O3500" s="9" t="n">
        <x:v>-0.1606087051</x:v>
      </x:c>
      <x:c r="P3500" s="9" t="n">
        <x:v>0.2912621359</x:v>
      </x:c>
      <x:c r="Q3500" s="9" t="n">
        <x:v>0</x:v>
      </x:c>
      <x:c r="R3500" s="3" t="b">
        <x:v>0</x:v>
      </x:c>
      <x:c r="S3500" s="3" t="b">
        <x:v>0</x:v>
      </x:c>
      <x:c r="T3500" s="3" t="b">
        <x:v>0</x:v>
      </x:c>
      <x:c r="U3500" s="2" t="str">
        <x:f>IF(T3500=TRUE,"Priority review",IF(R3500=TRUE,"High cost",IF(S3500=TRUE,"Low quality","Benchmark")))</x:f>
        <x:v>Benchmark</x:v>
      </x:c>
    </x:row>
    <x:row r="3501">
      <x:c r="A3501" s="2" t="str">
        <x:v>180001</x:v>
      </x:c>
      <x:c r="B3501" s="2" t="str">
        <x:v>ST ELIZABETH FT THOMAS</x:v>
      </x:c>
      <x:c r="C3501" s="2" t="str">
        <x:v>FORT THOMAS</x:v>
      </x:c>
      <x:c r="D3501" s="2" t="str">
        <x:v>KY</x:v>
      </x:c>
      <x:c r="E3501" s="2" t="str">
        <x:v>Acute Care Hospitals</x:v>
      </x:c>
      <x:c r="F3501" s="2" t="str">
        <x:v>Voluntary non-profit</x:v>
      </x:c>
      <x:c r="G3501" s="2" t="str">
        <x:v>Medium (100-299 beds)</x:v>
      </x:c>
      <x:c r="H3501" s="7" t="n">
        <x:v>5</x:v>
      </x:c>
      <x:c r="I3501" s="7" t="n">
        <x:v>4</x:v>
      </x:c>
      <x:c r="J3501" s="7" t="n">
        <x:v>1.09</x:v>
      </x:c>
      <x:c r="K3501" s="8" t="n">
        <x:v>112</x:v>
      </x:c>
      <x:c r="L3501" s="8" t="n">
        <x:v>5872</x:v>
      </x:c>
      <x:c r="M3501" s="9" t="n">
        <x:v>0.5992632709</x:v>
      </x:c>
      <x:c r="N3501" s="10" t="n">
        <x:v>26979.7678814714</x:v>
      </x:c>
      <x:c r="O3501" s="9" t="n">
        <x:v>0.0114169485</x:v>
      </x:c>
      <x:c r="P3501" s="9" t="n">
        <x:v>0.2909535452</x:v>
      </x:c>
      <x:c r="Q3501" s="9" t="n">
        <x:v>0.8744906275</x:v>
      </x:c>
      <x:c r="R3501" s="3" t="b">
        <x:v>0</x:v>
      </x:c>
      <x:c r="S3501" s="3" t="b">
        <x:v>0</x:v>
      </x:c>
      <x:c r="T3501" s="3" t="b">
        <x:v>0</x:v>
      </x:c>
      <x:c r="U3501" s="2" t="str">
        <x:f>IF(T3501=TRUE,"Priority review",IF(R3501=TRUE,"High cost",IF(S3501=TRUE,"Low quality","Benchmark")))</x:f>
        <x:v>Benchmark</x:v>
      </x:c>
    </x:row>
    <x:row r="3502">
      <x:c r="A3502" s="2" t="str">
        <x:v>050118</x:v>
      </x:c>
      <x:c r="B3502" s="2" t="str">
        <x:v>DOCTORS HOSPITAL OF MANTECA</x:v>
      </x:c>
      <x:c r="C3502" s="2" t="str">
        <x:v>MANTECA</x:v>
      </x:c>
      <x:c r="D3502" s="2" t="str">
        <x:v>CA</x:v>
      </x:c>
      <x:c r="E3502" s="2" t="str">
        <x:v>Acute Care Hospitals</x:v>
      </x:c>
      <x:c r="F3502" s="2" t="str">
        <x:v>Voluntary non-profit</x:v>
      </x:c>
      <x:c r="G3502" s="2" t="str">
        <x:v>Small (&lt;100 beds)</x:v>
      </x:c>
      <x:c r="H3502" s="7" t="n">
        <x:v>2</x:v>
      </x:c>
      <x:c r="I3502" s="7" t="n">
        <x:v>2</x:v>
      </x:c>
      <x:c r="J3502" s="7" t="n">
        <x:v>1.06</x:v>
      </x:c>
      <x:c r="K3502" s="8" t="n">
        <x:v>73</x:v>
      </x:c>
      <x:c r="L3502" s="8" t="n">
        <x:v>2857</x:v>
      </x:c>
      <x:c r="M3502" s="9" t="n">
        <x:v>0.4903734284</x:v>
      </x:c>
      <x:c r="N3502" s="10" t="n">
        <x:v>38873.7689884494</x:v>
      </x:c>
      <x:c r="O3502" s="9" t="n">
        <x:v>0.0793516386</x:v>
      </x:c>
      <x:c r="P3502" s="9" t="n">
        <x:v>0.2908438061</x:v>
      </x:c>
      <x:c r="Q3502" s="9" t="n">
        <x:v>0.0350089767</x:v>
      </x:c>
      <x:c r="R3502" s="3" t="b">
        <x:v>0</x:v>
      </x:c>
      <x:c r="S3502" s="3" t="b">
        <x:v>1</x:v>
      </x:c>
      <x:c r="T3502" s="3" t="b">
        <x:v>0</x:v>
      </x:c>
      <x:c r="U3502" s="2" t="str">
        <x:f>IF(T3502=TRUE,"Priority review",IF(R3502=TRUE,"High cost",IF(S3502=TRUE,"Low quality","Benchmark")))</x:f>
        <x:v>Low quality</x:v>
      </x:c>
    </x:row>
    <x:row r="3503">
      <x:c r="A3503" s="2" t="str">
        <x:v>151330</x:v>
      </x:c>
      <x:c r="B3503" s="2" t="str">
        <x:v>ADAMS MEMORIAL HOSPITAL</x:v>
      </x:c>
      <x:c r="C3503" s="2" t="str">
        <x:v>DECATUR</x:v>
      </x:c>
      <x:c r="D3503" s="2" t="str">
        <x:v>IN</x:v>
      </x:c>
      <x:c r="E3503" s="2" t="str">
        <x:v>Critical Access Hospitals</x:v>
      </x:c>
      <x:c r="F3503" s="2" t="str">
        <x:v>Government</x:v>
      </x:c>
      <x:c r="G3503" s="2" t="str">
        <x:v>Small (&lt;100 beds)</x:v>
      </x:c>
      <x:c r="H3503" s="7"/>
      <x:c r="I3503" s="7" t="n">
        <x:v>4</x:v>
      </x:c>
      <x:c r="J3503" s="7"/>
      <x:c r="K3503" s="8" t="n">
        <x:v>25</x:v>
      </x:c>
      <x:c r="L3503" s="8" t="n">
        <x:v>1037</x:v>
      </x:c>
      <x:c r="M3503" s="9" t="n">
        <x:v>0.383715847</x:v>
      </x:c>
      <x:c r="N3503" s="10" t="n">
        <x:v>94558.8862102218</x:v>
      </x:c>
      <x:c r="O3503" s="9" t="n">
        <x:v>-0.0293342564</x:v>
      </x:c>
      <x:c r="P3503" s="9" t="n">
        <x:v>0.2907063197</x:v>
      </x:c>
      <x:c r="Q3503" s="9" t="n">
        <x:v>0.292936803</x:v>
      </x:c>
      <x:c r="R3503" s="3" t="b">
        <x:v>0</x:v>
      </x:c>
      <x:c r="S3503" s="3" t="b">
        <x:v>0</x:v>
      </x:c>
      <x:c r="T3503" s="3" t="b">
        <x:v>0</x:v>
      </x:c>
      <x:c r="U3503" s="2" t="str">
        <x:f>IF(T3503=TRUE,"Priority review",IF(R3503=TRUE,"High cost",IF(S3503=TRUE,"Low quality","Benchmark")))</x:f>
        <x:v>Benchmark</x:v>
      </x:c>
    </x:row>
    <x:row r="3504">
      <x:c r="A3504" s="2" t="str">
        <x:v>490059</x:v>
      </x:c>
      <x:c r="B3504" s="2" t="str">
        <x:v>BON SECOURS ST MARYS HOSPITAL</x:v>
      </x:c>
      <x:c r="C3504" s="2" t="str">
        <x:v>RICHMOND</x:v>
      </x:c>
      <x:c r="D3504" s="2" t="str">
        <x:v>VA</x:v>
      </x:c>
      <x:c r="E3504" s="2" t="str">
        <x:v>Acute Care Hospitals</x:v>
      </x:c>
      <x:c r="F3504" s="2" t="str">
        <x:v>Voluntary non-profit</x:v>
      </x:c>
      <x:c r="G3504" s="2" t="str">
        <x:v>Large (300+ beds)</x:v>
      </x:c>
      <x:c r="H3504" s="7" t="n">
        <x:v>5</x:v>
      </x:c>
      <x:c r="I3504" s="7" t="n">
        <x:v>3</x:v>
      </x:c>
      <x:c r="J3504" s="7" t="n">
        <x:v>1.01</x:v>
      </x:c>
      <x:c r="K3504" s="8" t="n">
        <x:v>339</x:v>
      </x:c>
      <x:c r="L3504" s="8" t="n">
        <x:v>5608</x:v>
      </x:c>
      <x:c r="M3504" s="9" t="n">
        <x:v>0.8476449804</x:v>
      </x:c>
      <x:c r="N3504" s="10" t="n">
        <x:v>29536.3311340942</x:v>
      </x:c>
      <x:c r="O3504" s="9" t="n">
        <x:v>0.1445544179</x:v>
      </x:c>
      <x:c r="P3504" s="9" t="n">
        <x:v>0.2902208202</x:v>
      </x:c>
      <x:c r="Q3504" s="9" t="n">
        <x:v>0.8722397476</x:v>
      </x:c>
      <x:c r="R3504" s="3" t="b">
        <x:v>0</x:v>
      </x:c>
      <x:c r="S3504" s="3" t="b">
        <x:v>0</x:v>
      </x:c>
      <x:c r="T3504" s="3" t="b">
        <x:v>0</x:v>
      </x:c>
      <x:c r="U3504" s="2" t="str">
        <x:f>IF(T3504=TRUE,"Priority review",IF(R3504=TRUE,"High cost",IF(S3504=TRUE,"Low quality","Benchmark")))</x:f>
        <x:v>Benchmark</x:v>
      </x:c>
    </x:row>
    <x:row r="3505">
      <x:c r="A3505" s="2" t="str">
        <x:v>060112</x:v>
      </x:c>
      <x:c r="B3505" s="2" t="str">
        <x:v>SKY RIDGE MEDICAL CENTER</x:v>
      </x:c>
      <x:c r="C3505" s="2" t="str">
        <x:v>LONE TREE</x:v>
      </x:c>
      <x:c r="D3505" s="2" t="str">
        <x:v>CO</x:v>
      </x:c>
      <x:c r="E3505" s="2" t="str">
        <x:v>Acute Care Hospitals</x:v>
      </x:c>
      <x:c r="F3505" s="2" t="str">
        <x:v>Voluntary non-profit</x:v>
      </x:c>
      <x:c r="G3505" s="2" t="str">
        <x:v>Medium (100-299 beds)</x:v>
      </x:c>
      <x:c r="H3505" s="7" t="n">
        <x:v>3</x:v>
      </x:c>
      <x:c r="I3505" s="7" t="n">
        <x:v>2</x:v>
      </x:c>
      <x:c r="J3505" s="7" t="n">
        <x:v>1.04</x:v>
      </x:c>
      <x:c r="K3505" s="8" t="n">
        <x:v>273</x:v>
      </x:c>
      <x:c r="L3505" s="8" t="n">
        <x:v>17224</x:v>
      </x:c>
      <x:c r="M3505" s="9" t="n">
        <x:v>0.6804154749</x:v>
      </x:c>
      <x:c r="N3505" s="10" t="n">
        <x:v>26976.3286692987</x:v>
      </x:c>
      <x:c r="O3505" s="9" t="n">
        <x:v>0.2300603806</x:v>
      </x:c>
      <x:c r="P3505" s="9" t="n">
        <x:v>0.2901385493</x:v>
      </x:c>
      <x:c r="Q3505" s="9" t="n">
        <x:v>0.3023634882</x:v>
      </x:c>
      <x:c r="R3505" s="3" t="b">
        <x:v>0</x:v>
      </x:c>
      <x:c r="S3505" s="3" t="b">
        <x:v>0</x:v>
      </x:c>
      <x:c r="T3505" s="3" t="b">
        <x:v>0</x:v>
      </x:c>
      <x:c r="U3505" s="2" t="str">
        <x:f>IF(T3505=TRUE,"Priority review",IF(R3505=TRUE,"High cost",IF(S3505=TRUE,"Low quality","Benchmark")))</x:f>
        <x:v>Benchmark</x:v>
      </x:c>
    </x:row>
    <x:row r="3506">
      <x:c r="A3506" s="2" t="str">
        <x:v>351315</x:v>
      </x:c>
      <x:c r="B3506" s="2" t="str">
        <x:v>CHI OAKES HOSPITAL</x:v>
      </x:c>
      <x:c r="C3506" s="2" t="str">
        <x:v>OAKES</x:v>
      </x:c>
      <x:c r="D3506" s="2" t="str">
        <x:v>ND</x:v>
      </x:c>
      <x:c r="E3506" s="2" t="str">
        <x:v>Critical Access Hospitals</x:v>
      </x:c>
      <x:c r="F3506" s="2" t="str">
        <x:v>Voluntary non-profit</x:v>
      </x:c>
      <x:c r="G3506" s="2" t="str">
        <x:v>Small (&lt;100 beds)</x:v>
      </x:c>
      <x:c r="H3506" s="7"/>
      <x:c r="I3506" s="7"/>
      <x:c r="J3506" s="7"/>
      <x:c r="K3506" s="8" t="n">
        <x:v>20</x:v>
      </x:c>
      <x:c r="L3506" s="8" t="n">
        <x:v>132</x:v>
      </x:c>
      <x:c r="M3506" s="9" t="n">
        <x:v>0.1102739726</x:v>
      </x:c>
      <x:c r="N3506" s="10" t="n">
        <x:v>94353.1666666667</x:v>
      </x:c>
      <x:c r="O3506" s="9" t="n">
        <x:v>-0.1801946741</x:v>
      </x:c>
      <x:c r="P3506" s="9" t="n">
        <x:v>0.2899628253</x:v>
      </x:c>
      <x:c r="Q3506" s="9" t="n">
        <x:v>0.292936803</x:v>
      </x:c>
      <x:c r="R3506" s="3" t="b">
        <x:v>0</x:v>
      </x:c>
      <x:c r="S3506" s="3" t="b">
        <x:v>0</x:v>
      </x:c>
      <x:c r="T3506" s="3" t="b">
        <x:v>0</x:v>
      </x:c>
      <x:c r="U3506" s="2" t="str">
        <x:f>IF(T3506=TRUE,"Priority review",IF(R3506=TRUE,"High cost",IF(S3506=TRUE,"Low quality","Benchmark")))</x:f>
        <x:v>Benchmark</x:v>
      </x:c>
    </x:row>
    <x:row r="3507">
      <x:c r="A3507" s="2" t="str">
        <x:v>110092</x:v>
      </x:c>
      <x:c r="B3507" s="2" t="str">
        <x:v>DODGE COUNTY HOSPITAL</x:v>
      </x:c>
      <x:c r="C3507" s="2" t="str">
        <x:v>EASTMAN</x:v>
      </x:c>
      <x:c r="D3507" s="2" t="str">
        <x:v>GA</x:v>
      </x:c>
      <x:c r="E3507" s="2" t="str">
        <x:v>Acute Care Hospitals</x:v>
      </x:c>
      <x:c r="F3507" s="2" t="str">
        <x:v>Government</x:v>
      </x:c>
      <x:c r="G3507" s="2" t="str">
        <x:v>Small (&lt;100 beds)</x:v>
      </x:c>
      <x:c r="H3507" s="7"/>
      <x:c r="I3507" s="7"/>
      <x:c r="J3507" s="7" t="n">
        <x:v>1.17</x:v>
      </x:c>
      <x:c r="K3507" s="8" t="n">
        <x:v>41</x:v>
      </x:c>
      <x:c r="L3507" s="8" t="n">
        <x:v>708</x:v>
      </x:c>
      <x:c r="M3507" s="9" t="n">
        <x:v>0.218645875</x:v>
      </x:c>
      <x:c r="N3507" s="10" t="n">
        <x:v>38873.209039548</x:v>
      </x:c>
      <x:c r="O3507" s="9" t="n">
        <x:v>-0.1275336673</x:v>
      </x:c>
      <x:c r="P3507" s="9" t="n">
        <x:v>0.28994614</x:v>
      </x:c>
      <x:c r="Q3507" s="9" t="n">
        <x:v>0.697486535</x:v>
      </x:c>
      <x:c r="R3507" s="3" t="b">
        <x:v>0</x:v>
      </x:c>
      <x:c r="S3507" s="3" t="b">
        <x:v>0</x:v>
      </x:c>
      <x:c r="T3507" s="3" t="b">
        <x:v>0</x:v>
      </x:c>
      <x:c r="U3507" s="2" t="str">
        <x:f>IF(T3507=TRUE,"Priority review",IF(R3507=TRUE,"High cost",IF(S3507=TRUE,"Low quality","Benchmark")))</x:f>
        <x:v>Benchmark</x:v>
      </x:c>
    </x:row>
    <x:row r="3508">
      <x:c r="A3508" s="2" t="str">
        <x:v>340166</x:v>
      </x:c>
      <x:c r="B3508" s="2" t="str">
        <x:v>ATRIUM HEALTH UNIVERSITY CITY</x:v>
      </x:c>
      <x:c r="C3508" s="2" t="str">
        <x:v>CHARLOTTE</x:v>
      </x:c>
      <x:c r="D3508" s="2" t="str">
        <x:v>NC</x:v>
      </x:c>
      <x:c r="E3508" s="2" t="str">
        <x:v>Acute Care Hospitals</x:v>
      </x:c>
      <x:c r="F3508" s="2" t="str">
        <x:v>Government</x:v>
      </x:c>
      <x:c r="G3508" s="2" t="str">
        <x:v>Medium (100-299 beds)</x:v>
      </x:c>
      <x:c r="H3508" s="7" t="n">
        <x:v>3</x:v>
      </x:c>
      <x:c r="I3508" s="7" t="n">
        <x:v>3</x:v>
      </x:c>
      <x:c r="J3508" s="7" t="n">
        <x:v>0.93</x:v>
      </x:c>
      <x:c r="K3508" s="8" t="n">
        <x:v>114</x:v>
      </x:c>
      <x:c r="L3508" s="8" t="n">
        <x:v>8701</x:v>
      </x:c>
      <x:c r="M3508" s="9" t="n">
        <x:v>1.1066772122</x:v>
      </x:c>
      <x:c r="N3508" s="10" t="n">
        <x:v>26963.5220089645</x:v>
      </x:c>
      <x:c r="O3508" s="9" t="n">
        <x:v>0.3578545195</x:v>
      </x:c>
      <x:c r="P3508" s="9" t="n">
        <x:v>0.2893235534</x:v>
      </x:c>
      <x:c r="Q3508" s="9" t="n">
        <x:v>0.3023634882</x:v>
      </x:c>
      <x:c r="R3508" s="3" t="b">
        <x:v>0</x:v>
      </x:c>
      <x:c r="S3508" s="3" t="b">
        <x:v>0</x:v>
      </x:c>
      <x:c r="T3508" s="3" t="b">
        <x:v>0</x:v>
      </x:c>
      <x:c r="U3508" s="2" t="str">
        <x:f>IF(T3508=TRUE,"Priority review",IF(R3508=TRUE,"High cost",IF(S3508=TRUE,"Low quality","Benchmark")))</x:f>
        <x:v>Benchmark</x:v>
      </x:c>
    </x:row>
    <x:row r="3509">
      <x:c r="A3509" s="2" t="str">
        <x:v>371321</x:v>
      </x:c>
      <x:c r="B3509" s="2" t="str">
        <x:v>HOLDENVILLE GENERAL HOSPITAL</x:v>
      </x:c>
      <x:c r="C3509" s="2" t="str">
        <x:v>HOLDENVILLE</x:v>
      </x:c>
      <x:c r="D3509" s="2" t="str">
        <x:v>OK</x:v>
      </x:c>
      <x:c r="E3509" s="2" t="str">
        <x:v>Critical Access Hospitals</x:v>
      </x:c>
      <x:c r="F3509" s="2" t="str">
        <x:v>Government</x:v>
      </x:c>
      <x:c r="G3509" s="2" t="str">
        <x:v>Small (&lt;100 beds)</x:v>
      </x:c>
      <x:c r="H3509" s="7"/>
      <x:c r="I3509" s="7"/>
      <x:c r="J3509" s="7"/>
      <x:c r="K3509" s="8" t="n">
        <x:v>25</x:v>
      </x:c>
      <x:c r="L3509" s="8" t="n">
        <x:v>207</x:v>
      </x:c>
      <x:c r="M3509" s="9" t="n">
        <x:v>0.3654794521</x:v>
      </x:c>
      <x:c r="N3509" s="10" t="n">
        <x:v>94317.0338164251</x:v>
      </x:c>
      <x:c r="O3509" s="9" t="n">
        <x:v>-0.0957703319</x:v>
      </x:c>
      <x:c r="P3509" s="9" t="n">
        <x:v>0.2892193309</x:v>
      </x:c>
      <x:c r="Q3509" s="9" t="n">
        <x:v>0.292936803</x:v>
      </x:c>
      <x:c r="R3509" s="3" t="b">
        <x:v>0</x:v>
      </x:c>
      <x:c r="S3509" s="3" t="b">
        <x:v>0</x:v>
      </x:c>
      <x:c r="T3509" s="3" t="b">
        <x:v>0</x:v>
      </x:c>
      <x:c r="U3509" s="2" t="str">
        <x:f>IF(T3509=TRUE,"Priority review",IF(R3509=TRUE,"High cost",IF(S3509=TRUE,"Low quality","Benchmark")))</x:f>
        <x:v>Benchmark</x:v>
      </x:c>
    </x:row>
    <x:row r="3510">
      <x:c r="A3510" s="2" t="str">
        <x:v>100142</x:v>
      </x:c>
      <x:c r="B3510" s="2" t="str">
        <x:v>JACKSON HOSPITAL</x:v>
      </x:c>
      <x:c r="C3510" s="2" t="str">
        <x:v>MARIANNA</x:v>
      </x:c>
      <x:c r="D3510" s="2" t="str">
        <x:v>FL</x:v>
      </x:c>
      <x:c r="E3510" s="2" t="str">
        <x:v>Acute Care Hospitals</x:v>
      </x:c>
      <x:c r="F3510" s="2" t="str">
        <x:v>Government</x:v>
      </x:c>
      <x:c r="G3510" s="2" t="str">
        <x:v>Small (&lt;100 beds)</x:v>
      </x:c>
      <x:c r="H3510" s="7" t="n">
        <x:v>1</x:v>
      </x:c>
      <x:c r="I3510" s="7" t="n">
        <x:v>4</x:v>
      </x:c>
      <x:c r="J3510" s="7" t="n">
        <x:v>1.05</x:v>
      </x:c>
      <x:c r="K3510" s="8" t="n">
        <x:v>66</x:v>
      </x:c>
      <x:c r="L3510" s="8" t="n">
        <x:v>2249</x:v>
      </x:c>
      <x:c r="M3510" s="9" t="n">
        <x:v>0.4447342275</x:v>
      </x:c>
      <x:c r="N3510" s="10" t="n">
        <x:v>38865.873277012</x:v>
      </x:c>
      <x:c r="O3510" s="9" t="n">
        <x:v>-0.0615036466</x:v>
      </x:c>
      <x:c r="P3510" s="9" t="n">
        <x:v>0.289048474</x:v>
      </x:c>
      <x:c r="Q3510" s="9" t="n">
        <x:v>0</x:v>
      </x:c>
      <x:c r="R3510" s="3" t="b">
        <x:v>0</x:v>
      </x:c>
      <x:c r="S3510" s="3" t="b">
        <x:v>1</x:v>
      </x:c>
      <x:c r="T3510" s="3" t="b">
        <x:v>0</x:v>
      </x:c>
      <x:c r="U3510" s="2" t="str">
        <x:f>IF(T3510=TRUE,"Priority review",IF(R3510=TRUE,"High cost",IF(S3510=TRUE,"Low quality","Benchmark")))</x:f>
        <x:v>Low quality</x:v>
      </x:c>
    </x:row>
    <x:row r="3511">
      <x:c r="A3511" s="2" t="str">
        <x:v>010039</x:v>
      </x:c>
      <x:c r="B3511" s="2" t="str">
        <x:v>HUNTSVILLE HOSPITAL</x:v>
      </x:c>
      <x:c r="C3511" s="2" t="str">
        <x:v>HUNTSVILLE</x:v>
      </x:c>
      <x:c r="D3511" s="2" t="str">
        <x:v>AL</x:v>
      </x:c>
      <x:c r="E3511" s="2" t="str">
        <x:v>Acute Care Hospitals</x:v>
      </x:c>
      <x:c r="F3511" s="2" t="str">
        <x:v>Government</x:v>
      </x:c>
      <x:c r="G3511" s="2" t="str">
        <x:v>Large (300+ beds)</x:v>
      </x:c>
      <x:c r="H3511" s="7" t="n">
        <x:v>3</x:v>
      </x:c>
      <x:c r="I3511" s="7" t="n">
        <x:v>3</x:v>
      </x:c>
      <x:c r="J3511" s="7" t="n">
        <x:v>1.03</x:v>
      </x:c>
      <x:c r="K3511" s="8" t="n">
        <x:v>905</x:v>
      </x:c>
      <x:c r="L3511" s="8" t="n">
        <x:v>54323</x:v>
      </x:c>
      <x:c r="M3511" s="9" t="n">
        <x:v>0.8607038523</x:v>
      </x:c>
      <x:c r="N3511" s="10" t="n">
        <x:v>29473.3987629549</x:v>
      </x:c>
      <x:c r="O3511" s="9" t="n">
        <x:v>-0.0211516002</x:v>
      </x:c>
      <x:c r="P3511" s="9" t="n">
        <x:v>0.2886435331</x:v>
      </x:c>
      <x:c r="Q3511" s="9" t="n">
        <x:v>0.2570977918</x:v>
      </x:c>
      <x:c r="R3511" s="3" t="b">
        <x:v>0</x:v>
      </x:c>
      <x:c r="S3511" s="3" t="b">
        <x:v>0</x:v>
      </x:c>
      <x:c r="T3511" s="3" t="b">
        <x:v>0</x:v>
      </x:c>
      <x:c r="U3511" s="2" t="str">
        <x:f>IF(T3511=TRUE,"Priority review",IF(R3511=TRUE,"High cost",IF(S3511=TRUE,"Low quality","Benchmark")))</x:f>
        <x:v>Benchmark</x:v>
      </x:c>
    </x:row>
    <x:row r="3512">
      <x:c r="A3512" s="2" t="str">
        <x:v>364049</x:v>
      </x:c>
      <x:c r="B3512" s="2" t="str">
        <x:v>DUBLIN SPRINGS</x:v>
      </x:c>
      <x:c r="C3512" s="2" t="str">
        <x:v>DUBLIN</x:v>
      </x:c>
      <x:c r="D3512" s="2" t="str">
        <x:v>OH</x:v>
      </x:c>
      <x:c r="E3512" s="2" t="str">
        <x:v>Psychiatric</x:v>
      </x:c>
      <x:c r="F3512" s="2" t="str">
        <x:v>Proprietary</x:v>
      </x:c>
      <x:c r="G3512" s="2" t="str">
        <x:v>Medium (100-299 beds)</x:v>
      </x:c>
      <x:c r="H3512" s="7"/>
      <x:c r="I3512" s="7"/>
      <x:c r="J3512" s="7"/>
      <x:c r="K3512" s="8" t="n">
        <x:v>144</x:v>
      </x:c>
      <x:c r="L3512" s="8" t="n">
        <x:v>6211</x:v>
      </x:c>
      <x:c r="M3512" s="9" t="n">
        <x:v>0.8058219178</x:v>
      </x:c>
      <x:c r="N3512" s="10" t="n">
        <x:v>7545.6589921108</x:v>
      </x:c>
      <x:c r="O3512" s="9" t="n">
        <x:v>0.1017309711</x:v>
      </x:c>
      <x:c r="P3512" s="9" t="n">
        <x:v>0.2885572139</x:v>
      </x:c>
      <x:c r="Q3512" s="9" t="n">
        <x:v>0</x:v>
      </x:c>
      <x:c r="R3512" s="3" t="b">
        <x:v>0</x:v>
      </x:c>
      <x:c r="S3512" s="3" t="b">
        <x:v>0</x:v>
      </x:c>
      <x:c r="T3512" s="3" t="b">
        <x:v>0</x:v>
      </x:c>
      <x:c r="U3512" s="2" t="str">
        <x:f>IF(T3512=TRUE,"Priority review",IF(R3512=TRUE,"High cost",IF(S3512=TRUE,"Low quality","Benchmark")))</x:f>
        <x:v>Benchmark</x:v>
      </x:c>
    </x:row>
    <x:row r="3513">
      <x:c r="A3513" s="2" t="str">
        <x:v>240207</x:v>
      </x:c>
      <x:c r="B3513" s="2" t="str">
        <x:v>M HEALTH FAIRVIEW RIDGES HOSPITAL</x:v>
      </x:c>
      <x:c r="C3513" s="2" t="str">
        <x:v>BURNSVILLE</x:v>
      </x:c>
      <x:c r="D3513" s="2" t="str">
        <x:v>MN</x:v>
      </x:c>
      <x:c r="E3513" s="2" t="str">
        <x:v>Acute Care Hospitals</x:v>
      </x:c>
      <x:c r="F3513" s="2" t="str">
        <x:v>Voluntary non-profit</x:v>
      </x:c>
      <x:c r="G3513" s="2" t="str">
        <x:v>Medium (100-299 beds)</x:v>
      </x:c>
      <x:c r="H3513" s="7" t="n">
        <x:v>4</x:v>
      </x:c>
      <x:c r="I3513" s="7" t="n">
        <x:v>3</x:v>
      </x:c>
      <x:c r="J3513" s="7" t="n">
        <x:v>0.86</x:v>
      </x:c>
      <x:c r="K3513" s="8" t="n">
        <x:v>172</x:v>
      </x:c>
      <x:c r="L3513" s="8" t="n">
        <x:v>11496</x:v>
      </x:c>
      <x:c r="M3513" s="9" t="n">
        <x:v>0.8101728301</x:v>
      </x:c>
      <x:c r="N3513" s="10" t="n">
        <x:v>26924.3723034099</x:v>
      </x:c>
      <x:c r="O3513" s="9" t="n">
        <x:v>0.0740878437</x:v>
      </x:c>
      <x:c r="P3513" s="9" t="n">
        <x:v>0.2885085575</x:v>
      </x:c>
      <x:c r="Q3513" s="9" t="n">
        <x:v>0.6022819886</x:v>
      </x:c>
      <x:c r="R3513" s="3" t="b">
        <x:v>0</x:v>
      </x:c>
      <x:c r="S3513" s="3" t="b">
        <x:v>0</x:v>
      </x:c>
      <x:c r="T3513" s="3" t="b">
        <x:v>0</x:v>
      </x:c>
      <x:c r="U3513" s="2" t="str">
        <x:f>IF(T3513=TRUE,"Priority review",IF(R3513=TRUE,"High cost",IF(S3513=TRUE,"Low quality","Benchmark")))</x:f>
        <x:v>Benchmark</x:v>
      </x:c>
    </x:row>
    <x:row r="3514">
      <x:c r="A3514" s="2" t="str">
        <x:v>451362</x:v>
      </x:c>
      <x:c r="B3514" s="2" t="str">
        <x:v>CLAY COUNTY MEMORIAL HOSPITAL</x:v>
      </x:c>
      <x:c r="C3514" s="2" t="str">
        <x:v>HENRIETTA</x:v>
      </x:c>
      <x:c r="D3514" s="2" t="str">
        <x:v>TX</x:v>
      </x:c>
      <x:c r="E3514" s="2" t="str">
        <x:v>Critical Access Hospitals</x:v>
      </x:c>
      <x:c r="F3514" s="2" t="str">
        <x:v>Government</x:v>
      </x:c>
      <x:c r="G3514" s="2" t="str">
        <x:v>Small (&lt;100 beds)</x:v>
      </x:c>
      <x:c r="H3514" s="7"/>
      <x:c r="I3514" s="7"/>
      <x:c r="J3514" s="7"/>
      <x:c r="K3514" s="8" t="n">
        <x:v>25</x:v>
      </x:c>
      <x:c r="L3514" s="8" t="n">
        <x:v>135</x:v>
      </x:c>
      <x:c r="M3514" s="9" t="n">
        <x:v>0.0661202186</x:v>
      </x:c>
      <x:c r="N3514" s="10" t="n">
        <x:v>94209.7851851852</x:v>
      </x:c>
      <x:c r="O3514" s="9" t="n">
        <x:v>-0.3900788821</x:v>
      </x:c>
      <x:c r="P3514" s="9" t="n">
        <x:v>0.2884758364</x:v>
      </x:c>
      <x:c r="Q3514" s="9" t="n">
        <x:v>0.292936803</x:v>
      </x:c>
      <x:c r="R3514" s="3" t="b">
        <x:v>0</x:v>
      </x:c>
      <x:c r="S3514" s="3" t="b">
        <x:v>0</x:v>
      </x:c>
      <x:c r="T3514" s="3" t="b">
        <x:v>0</x:v>
      </x:c>
      <x:c r="U3514" s="2" t="str">
        <x:f>IF(T3514=TRUE,"Priority review",IF(R3514=TRUE,"High cost",IF(S3514=TRUE,"Low quality","Benchmark")))</x:f>
        <x:v>Benchmark</x:v>
      </x:c>
    </x:row>
    <x:row r="3515">
      <x:c r="A3515" s="2" t="str">
        <x:v>140110</x:v>
      </x:c>
      <x:c r="B3515" s="2" t="str">
        <x:v>OSF SAINT ELIZABETH MDL CTR</x:v>
      </x:c>
      <x:c r="C3515" s="2" t="str">
        <x:v>PERU</x:v>
      </x:c>
      <x:c r="D3515" s="2" t="str">
        <x:v>IL</x:v>
      </x:c>
      <x:c r="E3515" s="2" t="str">
        <x:v>Acute Care Hospitals</x:v>
      </x:c>
      <x:c r="F3515" s="2" t="str">
        <x:v>Voluntary non-profit</x:v>
      </x:c>
      <x:c r="G3515" s="2" t="str">
        <x:v>Small (&lt;100 beds)</x:v>
      </x:c>
      <x:c r="H3515" s="7" t="n">
        <x:v>3</x:v>
      </x:c>
      <x:c r="I3515" s="7" t="n">
        <x:v>3</x:v>
      </x:c>
      <x:c r="J3515" s="7" t="n">
        <x:v>1.02</x:v>
      </x:c>
      <x:c r="K3515" s="8" t="n">
        <x:v>91</x:v>
      </x:c>
      <x:c r="L3515" s="8" t="n">
        <x:v>4685</x:v>
      </x:c>
      <x:c r="M3515" s="9" t="n">
        <x:v>0.5973541181</x:v>
      </x:c>
      <x:c r="N3515" s="10" t="n">
        <x:v>38855.8023479189</x:v>
      </x:c>
      <x:c r="O3515" s="9" t="n">
        <x:v>0.2842118168</x:v>
      </x:c>
      <x:c r="P3515" s="9" t="n">
        <x:v>0.2881508079</x:v>
      </x:c>
      <x:c r="Q3515" s="9" t="n">
        <x:v>0.1687612208</x:v>
      </x:c>
      <x:c r="R3515" s="3" t="b">
        <x:v>0</x:v>
      </x:c>
      <x:c r="S3515" s="3" t="b">
        <x:v>0</x:v>
      </x:c>
      <x:c r="T3515" s="3" t="b">
        <x:v>0</x:v>
      </x:c>
      <x:c r="U3515" s="2" t="str">
        <x:f>IF(T3515=TRUE,"Priority review",IF(R3515=TRUE,"High cost",IF(S3515=TRUE,"Low quality","Benchmark")))</x:f>
        <x:v>Benchmark</x:v>
      </x:c>
    </x:row>
    <x:row r="3516">
      <x:c r="A3516" s="2" t="str">
        <x:v>454144</x:v>
      </x:c>
      <x:c r="B3516" s="2" t="str">
        <x:v>WOODLAND SPRINGS</x:v>
      </x:c>
      <x:c r="C3516" s="2" t="str">
        <x:v>CONROE</x:v>
      </x:c>
      <x:c r="D3516" s="2" t="str">
        <x:v>TX</x:v>
      </x:c>
      <x:c r="E3516" s="2" t="str">
        <x:v>Psychiatric</x:v>
      </x:c>
      <x:c r="F3516" s="2" t="str">
        <x:v>Proprietary</x:v>
      </x:c>
      <x:c r="G3516" s="2" t="str">
        <x:v>Small (&lt;100 beds)</x:v>
      </x:c>
      <x:c r="H3516" s="7"/>
      <x:c r="I3516" s="7"/>
      <x:c r="J3516" s="7"/>
      <x:c r="K3516" s="8" t="n">
        <x:v>96</x:v>
      </x:c>
      <x:c r="L3516" s="8" t="n">
        <x:v>3169</x:v>
      </x:c>
      <x:c r="M3516" s="9" t="n">
        <x:v>0.8124143836</x:v>
      </x:c>
      <x:c r="N3516" s="10" t="n">
        <x:v>8724.0930893026</x:v>
      </x:c>
      <x:c r="O3516" s="9" t="n">
        <x:v>-1.0031828018</x:v>
      </x:c>
      <x:c r="P3516" s="9" t="n">
        <x:v>0.28802589</x:v>
      </x:c>
      <x:c r="Q3516" s="9" t="n">
        <x:v>0</x:v>
      </x:c>
      <x:c r="R3516" s="3" t="b">
        <x:v>0</x:v>
      </x:c>
      <x:c r="S3516" s="3" t="b">
        <x:v>0</x:v>
      </x:c>
      <x:c r="T3516" s="3" t="b">
        <x:v>0</x:v>
      </x:c>
      <x:c r="U3516" s="2" t="str">
        <x:f>IF(T3516=TRUE,"Priority review",IF(R3516=TRUE,"High cost",IF(S3516=TRUE,"Low quality","Benchmark")))</x:f>
        <x:v>Benchmark</x:v>
      </x:c>
    </x:row>
    <x:row r="3517">
      <x:c r="A3517" s="2" t="str">
        <x:v>231327</x:v>
      </x:c>
      <x:c r="B3517" s="2" t="str">
        <x:v>UNIVERSITY OF MICHIGAN HEALTH - SPARROW EATON</x:v>
      </x:c>
      <x:c r="C3517" s="2" t="str">
        <x:v>CHARLOTTE</x:v>
      </x:c>
      <x:c r="D3517" s="2" t="str">
        <x:v>MI</x:v>
      </x:c>
      <x:c r="E3517" s="2" t="str">
        <x:v>Critical Access Hospitals</x:v>
      </x:c>
      <x:c r="F3517" s="2" t="str">
        <x:v>Voluntary non-profit</x:v>
      </x:c>
      <x:c r="G3517" s="2" t="str">
        <x:v>Small (&lt;100 beds)</x:v>
      </x:c>
      <x:c r="H3517" s="7" t="n">
        <x:v>1</x:v>
      </x:c>
      <x:c r="I3517" s="7" t="n">
        <x:v>4</x:v>
      </x:c>
      <x:c r="J3517" s="7"/>
      <x:c r="K3517" s="8" t="n">
        <x:v>25</x:v>
      </x:c>
      <x:c r="L3517" s="8" t="n">
        <x:v>836</x:v>
      </x:c>
      <x:c r="M3517" s="9" t="n">
        <x:v>0.3399452055</x:v>
      </x:c>
      <x:c r="N3517" s="10" t="n">
        <x:v>94183.6351674641</x:v>
      </x:c>
      <x:c r="O3517" s="9" t="n">
        <x:v>0.1747108014</x:v>
      </x:c>
      <x:c r="P3517" s="9" t="n">
        <x:v>0.287732342</x:v>
      </x:c>
      <x:c r="Q3517" s="9" t="n">
        <x:v>0</x:v>
      </x:c>
      <x:c r="R3517" s="3" t="b">
        <x:v>0</x:v>
      </x:c>
      <x:c r="S3517" s="3" t="b">
        <x:v>1</x:v>
      </x:c>
      <x:c r="T3517" s="3" t="b">
        <x:v>0</x:v>
      </x:c>
      <x:c r="U3517" s="2" t="str">
        <x:f>IF(T3517=TRUE,"Priority review",IF(R3517=TRUE,"High cost",IF(S3517=TRUE,"Low quality","Benchmark")))</x:f>
        <x:v>Low quality</x:v>
      </x:c>
    </x:row>
    <x:row r="3518">
      <x:c r="A3518" s="2" t="str">
        <x:v>110122</x:v>
      </x:c>
      <x:c r="B3518" s="2" t="str">
        <x:v>SGMC HEALTH</x:v>
      </x:c>
      <x:c r="C3518" s="2" t="str">
        <x:v>VALDOSTA</x:v>
      </x:c>
      <x:c r="D3518" s="2" t="str">
        <x:v>GA</x:v>
      </x:c>
      <x:c r="E3518" s="2" t="str">
        <x:v>Acute Care Hospitals</x:v>
      </x:c>
      <x:c r="F3518" s="2" t="str">
        <x:v>Government</x:v>
      </x:c>
      <x:c r="G3518" s="2" t="str">
        <x:v>Medium (100-299 beds)</x:v>
      </x:c>
      <x:c r="H3518" s="7" t="n">
        <x:v>2</x:v>
      </x:c>
      <x:c r="I3518" s="7" t="n">
        <x:v>3</x:v>
      </x:c>
      <x:c r="J3518" s="7" t="n">
        <x:v>0.95</x:v>
      </x:c>
      <x:c r="K3518" s="8" t="n">
        <x:v>268</x:v>
      </x:c>
      <x:c r="L3518" s="8" t="n">
        <x:v>15915</x:v>
      </x:c>
      <x:c r="M3518" s="9" t="n">
        <x:v>0.7580641568</x:v>
      </x:c>
      <x:c r="N3518" s="10" t="n">
        <x:v>26919.0099277411</x:v>
      </x:c>
      <x:c r="O3518" s="9" t="n">
        <x:v>0.0272601121</x:v>
      </x:c>
      <x:c r="P3518" s="9" t="n">
        <x:v>0.2876935615</x:v>
      </x:c>
      <x:c r="Q3518" s="9" t="n">
        <x:v>0.0782396088</x:v>
      </x:c>
      <x:c r="R3518" s="3" t="b">
        <x:v>0</x:v>
      </x:c>
      <x:c r="S3518" s="3" t="b">
        <x:v>1</x:v>
      </x:c>
      <x:c r="T3518" s="3" t="b">
        <x:v>0</x:v>
      </x:c>
      <x:c r="U3518" s="2" t="str">
        <x:f>IF(T3518=TRUE,"Priority review",IF(R3518=TRUE,"High cost",IF(S3518=TRUE,"Low quality","Benchmark")))</x:f>
        <x:v>Low quality</x:v>
      </x:c>
    </x:row>
    <x:row r="3519">
      <x:c r="A3519" s="2" t="str">
        <x:v>060128</x:v>
      </x:c>
      <x:c r="B3519" s="2" t="str">
        <x:v>LONGS PEAK HOSPITAL</x:v>
      </x:c>
      <x:c r="C3519" s="2" t="str">
        <x:v>LONGMONT</x:v>
      </x:c>
      <x:c r="D3519" s="2" t="str">
        <x:v>CO</x:v>
      </x:c>
      <x:c r="E3519" s="2" t="str">
        <x:v>Acute Care Hospitals</x:v>
      </x:c>
      <x:c r="F3519" s="2" t="str">
        <x:v>Voluntary non-profit</x:v>
      </x:c>
      <x:c r="G3519" s="2" t="str">
        <x:v>Small (&lt;100 beds)</x:v>
      </x:c>
      <x:c r="H3519" s="7" t="n">
        <x:v>5</x:v>
      </x:c>
      <x:c r="I3519" s="7" t="n">
        <x:v>3</x:v>
      </x:c>
      <x:c r="J3519" s="7" t="n">
        <x:v>0.98</x:v>
      </x:c>
      <x:c r="K3519" s="8" t="n">
        <x:v>83</x:v>
      </x:c>
      <x:c r="L3519" s="8" t="n">
        <x:v>5654</x:v>
      </x:c>
      <x:c r="M3519" s="9" t="n">
        <x:v>0.7100181548</x:v>
      </x:c>
      <x:c r="N3519" s="10" t="n">
        <x:v>38765.6351255748</x:v>
      </x:c>
      <x:c r="O3519" s="9" t="n">
        <x:v>0.0538291921</x:v>
      </x:c>
      <x:c r="P3519" s="9" t="n">
        <x:v>0.2872531418</x:v>
      </x:c>
      <x:c r="Q3519" s="9" t="n">
        <x:v>0.6131059246</x:v>
      </x:c>
      <x:c r="R3519" s="3" t="b">
        <x:v>0</x:v>
      </x:c>
      <x:c r="S3519" s="3" t="b">
        <x:v>0</x:v>
      </x:c>
      <x:c r="T3519" s="3" t="b">
        <x:v>0</x:v>
      </x:c>
      <x:c r="U3519" s="2" t="str">
        <x:f>IF(T3519=TRUE,"Priority review",IF(R3519=TRUE,"High cost",IF(S3519=TRUE,"Low quality","Benchmark")))</x:f>
        <x:v>Benchmark</x:v>
      </x:c>
    </x:row>
    <x:row r="3520">
      <x:c r="A3520" s="2" t="str">
        <x:v>100127</x:v>
      </x:c>
      <x:c r="B3520" s="2" t="str">
        <x:v>MORTON PLANT HOSPITAL</x:v>
      </x:c>
      <x:c r="C3520" s="2" t="str">
        <x:v>CLEARWATER</x:v>
      </x:c>
      <x:c r="D3520" s="2" t="str">
        <x:v>FL</x:v>
      </x:c>
      <x:c r="E3520" s="2" t="str">
        <x:v>Acute Care Hospitals</x:v>
      </x:c>
      <x:c r="F3520" s="2" t="str">
        <x:v>Voluntary non-profit</x:v>
      </x:c>
      <x:c r="G3520" s="2" t="str">
        <x:v>Large (300+ beds)</x:v>
      </x:c>
      <x:c r="H3520" s="7" t="n">
        <x:v>4</x:v>
      </x:c>
      <x:c r="I3520" s="7" t="n">
        <x:v>3</x:v>
      </x:c>
      <x:c r="J3520" s="7" t="n">
        <x:v>1.03</x:v>
      </x:c>
      <x:c r="K3520" s="8" t="n">
        <x:v>569</x:v>
      </x:c>
      <x:c r="L3520" s="8" t="n">
        <x:v>27451</x:v>
      </x:c>
      <x:c r="M3520" s="9" t="n">
        <x:v>0.619944875</x:v>
      </x:c>
      <x:c r="N3520" s="10" t="n">
        <x:v>29470.0297256931</x:v>
      </x:c>
      <x:c r="O3520" s="9" t="n">
        <x:v>0.0963011821</x:v>
      </x:c>
      <x:c r="P3520" s="9" t="n">
        <x:v>0.2870662461</x:v>
      </x:c>
      <x:c r="Q3520" s="9" t="n">
        <x:v>0.5899053628</x:v>
      </x:c>
      <x:c r="R3520" s="3" t="b">
        <x:v>0</x:v>
      </x:c>
      <x:c r="S3520" s="3" t="b">
        <x:v>0</x:v>
      </x:c>
      <x:c r="T3520" s="3" t="b">
        <x:v>0</x:v>
      </x:c>
      <x:c r="U3520" s="2" t="str">
        <x:f>IF(T3520=TRUE,"Priority review",IF(R3520=TRUE,"High cost",IF(S3520=TRUE,"Low quality","Benchmark")))</x:f>
        <x:v>Benchmark</x:v>
      </x:c>
    </x:row>
    <x:row r="3521">
      <x:c r="A3521" s="2" t="str">
        <x:v>531305</x:v>
      </x:c>
      <x:c r="B3521" s="2" t="str">
        <x:v>PLATTE COUNTY HOSPITAL</x:v>
      </x:c>
      <x:c r="C3521" s="2" t="str">
        <x:v>WHEATLAND</x:v>
      </x:c>
      <x:c r="D3521" s="2" t="str">
        <x:v>WY</x:v>
      </x:c>
      <x:c r="E3521" s="2" t="str">
        <x:v>Critical Access Hospitals</x:v>
      </x:c>
      <x:c r="F3521" s="2" t="str">
        <x:v>Government</x:v>
      </x:c>
      <x:c r="G3521" s="2" t="str">
        <x:v>Small (&lt;100 beds)</x:v>
      </x:c>
      <x:c r="H3521" s="7" t="n">
        <x:v>4</x:v>
      </x:c>
      <x:c r="I3521" s="7"/>
      <x:c r="J3521" s="7"/>
      <x:c r="K3521" s="8" t="n">
        <x:v>25</x:v>
      </x:c>
      <x:c r="L3521" s="8" t="n">
        <x:v>312</x:v>
      </x:c>
      <x:c r="M3521" s="9" t="n">
        <x:v>0.1772677596</x:v>
      </x:c>
      <x:c r="N3521" s="10" t="n">
        <x:v>94123.7980769231</x:v>
      </x:c>
      <x:c r="O3521" s="9" t="n">
        <x:v>-0.1580745171</x:v>
      </x:c>
      <x:c r="P3521" s="9" t="n">
        <x:v>0.2869888476</x:v>
      </x:c>
      <x:c r="Q3521" s="9" t="n">
        <x:v>0.1657992565</x:v>
      </x:c>
      <x:c r="R3521" s="3" t="b">
        <x:v>0</x:v>
      </x:c>
      <x:c r="S3521" s="3" t="b">
        <x:v>0</x:v>
      </x:c>
      <x:c r="T3521" s="3" t="b">
        <x:v>0</x:v>
      </x:c>
      <x:c r="U3521" s="2" t="str">
        <x:f>IF(T3521=TRUE,"Priority review",IF(R3521=TRUE,"High cost",IF(S3521=TRUE,"Low quality","Benchmark")))</x:f>
        <x:v>Benchmark</x:v>
      </x:c>
    </x:row>
    <x:row r="3522">
      <x:c r="A3522" s="2" t="str">
        <x:v>050102</x:v>
      </x:c>
      <x:c r="B3522" s="2" t="str">
        <x:v>PARKVIEW COMMUNITY HOSPITAL MEDICAL CENTER</x:v>
      </x:c>
      <x:c r="C3522" s="2" t="str">
        <x:v>RIVERSIDE</x:v>
      </x:c>
      <x:c r="D3522" s="2" t="str">
        <x:v>CA</x:v>
      </x:c>
      <x:c r="E3522" s="2" t="str">
        <x:v>Acute Care Hospitals</x:v>
      </x:c>
      <x:c r="F3522" s="2" t="str">
        <x:v>Proprietary</x:v>
      </x:c>
      <x:c r="G3522" s="2" t="str">
        <x:v>Medium (100-299 beds)</x:v>
      </x:c>
      <x:c r="H3522" s="7" t="n">
        <x:v>3</x:v>
      </x:c>
      <x:c r="I3522" s="7" t="n">
        <x:v>3</x:v>
      </x:c>
      <x:c r="J3522" s="7" t="n">
        <x:v>1.43</x:v>
      </x:c>
      <x:c r="K3522" s="8" t="n">
        <x:v>193</x:v>
      </x:c>
      <x:c r="L3522" s="8" t="n">
        <x:v>5262</x:v>
      </x:c>
      <x:c r="M3522" s="9" t="n">
        <x:v>0.3511249911</x:v>
      </x:c>
      <x:c r="N3522" s="10" t="n">
        <x:v>26915.6904218928</x:v>
      </x:c>
      <x:c r="O3522" s="9" t="n">
        <x:v>-0.1464945874</x:v>
      </x:c>
      <x:c r="P3522" s="9" t="n">
        <x:v>0.2868785656</x:v>
      </x:c>
      <x:c r="Q3522" s="9" t="n">
        <x:v>0.3023634882</x:v>
      </x:c>
      <x:c r="R3522" s="3" t="b">
        <x:v>0</x:v>
      </x:c>
      <x:c r="S3522" s="3" t="b">
        <x:v>0</x:v>
      </x:c>
      <x:c r="T3522" s="3" t="b">
        <x:v>0</x:v>
      </x:c>
      <x:c r="U3522" s="2" t="str">
        <x:f>IF(T3522=TRUE,"Priority review",IF(R3522=TRUE,"High cost",IF(S3522=TRUE,"Low quality","Benchmark")))</x:f>
        <x:v>Benchmark</x:v>
      </x:c>
    </x:row>
    <x:row r="3523">
      <x:c r="A3523" s="2" t="str">
        <x:v>240050</x:v>
      </x:c>
      <x:c r="B3523" s="2" t="str">
        <x:v>FAIRVIEW LAKES HEALTH SERVICES</x:v>
      </x:c>
      <x:c r="C3523" s="2" t="str">
        <x:v>WYOMING</x:v>
      </x:c>
      <x:c r="D3523" s="2" t="str">
        <x:v>MN</x:v>
      </x:c>
      <x:c r="E3523" s="2" t="str">
        <x:v>Acute Care Hospitals</x:v>
      </x:c>
      <x:c r="F3523" s="2" t="str">
        <x:v>Voluntary non-profit</x:v>
      </x:c>
      <x:c r="G3523" s="2" t="str">
        <x:v>Small (&lt;100 beds)</x:v>
      </x:c>
      <x:c r="H3523" s="7" t="n">
        <x:v>3</x:v>
      </x:c>
      <x:c r="I3523" s="7" t="n">
        <x:v>3</x:v>
      </x:c>
      <x:c r="J3523" s="7" t="n">
        <x:v>0.9</x:v>
      </x:c>
      <x:c r="K3523" s="8" t="n">
        <x:v>55</x:v>
      </x:c>
      <x:c r="L3523" s="8" t="n">
        <x:v>3013</x:v>
      </x:c>
      <x:c r="M3523" s="9" t="n">
        <x:v>0.4895678092</x:v>
      </x:c>
      <x:c r="N3523" s="10" t="n">
        <x:v>38758.3166279456</x:v>
      </x:c>
      <x:c r="O3523" s="9" t="n">
        <x:v>0.1013357206</x:v>
      </x:c>
      <x:c r="P3523" s="9" t="n">
        <x:v>0.2863554758</x:v>
      </x:c>
      <x:c r="Q3523" s="9" t="n">
        <x:v>0.1687612208</x:v>
      </x:c>
      <x:c r="R3523" s="3" t="b">
        <x:v>0</x:v>
      </x:c>
      <x:c r="S3523" s="3" t="b">
        <x:v>0</x:v>
      </x:c>
      <x:c r="T3523" s="3" t="b">
        <x:v>0</x:v>
      </x:c>
      <x:c r="U3523" s="2" t="str">
        <x:f>IF(T3523=TRUE,"Priority review",IF(R3523=TRUE,"High cost",IF(S3523=TRUE,"Low quality","Benchmark")))</x:f>
        <x:v>Benchmark</x:v>
      </x:c>
    </x:row>
    <x:row r="3524">
      <x:c r="A3524" s="2" t="str">
        <x:v>521338</x:v>
      </x:c>
      <x:c r="B3524" s="2" t="str">
        <x:v>COLUMBUS COMMUNITY HOSPITAL</x:v>
      </x:c>
      <x:c r="C3524" s="2" t="str">
        <x:v>COLUMBUS</x:v>
      </x:c>
      <x:c r="D3524" s="2" t="str">
        <x:v>WI</x:v>
      </x:c>
      <x:c r="E3524" s="2" t="str">
        <x:v>Critical Access Hospitals</x:v>
      </x:c>
      <x:c r="F3524" s="2" t="str">
        <x:v>Voluntary non-profit</x:v>
      </x:c>
      <x:c r="G3524" s="2" t="str">
        <x:v>Small (&lt;100 beds)</x:v>
      </x:c>
      <x:c r="H3524" s="7" t="n">
        <x:v>4</x:v>
      </x:c>
      <x:c r="I3524" s="7" t="n">
        <x:v>5</x:v>
      </x:c>
      <x:c r="J3524" s="7"/>
      <x:c r="K3524" s="8" t="n">
        <x:v>25</x:v>
      </x:c>
      <x:c r="L3524" s="8" t="n">
        <x:v>808</x:v>
      </x:c>
      <x:c r="M3524" s="9" t="n">
        <x:v>0.2877595628</x:v>
      </x:c>
      <x:c r="N3524" s="10" t="n">
        <x:v>94004.7920792079</x:v>
      </x:c>
      <x:c r="O3524" s="9" t="n">
        <x:v>0.0287326869</x:v>
      </x:c>
      <x:c r="P3524" s="9" t="n">
        <x:v>0.2862453532</x:v>
      </x:c>
      <x:c r="Q3524" s="9" t="n">
        <x:v>0.1657992565</x:v>
      </x:c>
      <x:c r="R3524" s="3" t="b">
        <x:v>0</x:v>
      </x:c>
      <x:c r="S3524" s="3" t="b">
        <x:v>0</x:v>
      </x:c>
      <x:c r="T3524" s="3" t="b">
        <x:v>0</x:v>
      </x:c>
      <x:c r="U3524" s="2" t="str">
        <x:f>IF(T3524=TRUE,"Priority review",IF(R3524=TRUE,"High cost",IF(S3524=TRUE,"Low quality","Benchmark")))</x:f>
        <x:v>Benchmark</x:v>
      </x:c>
    </x:row>
    <x:row r="3525">
      <x:c r="A3525" s="2" t="str">
        <x:v>310039</x:v>
      </x:c>
      <x:c r="B3525" s="2" t="str">
        <x:v>RARITAN BAY MEDICAL CENTER</x:v>
      </x:c>
      <x:c r="C3525" s="2" t="str">
        <x:v>PERTH AMBOY</x:v>
      </x:c>
      <x:c r="D3525" s="2" t="str">
        <x:v>NJ</x:v>
      </x:c>
      <x:c r="E3525" s="2" t="str">
        <x:v>Acute Care Hospitals</x:v>
      </x:c>
      <x:c r="F3525" s="2" t="str">
        <x:v>Voluntary non-profit</x:v>
      </x:c>
      <x:c r="G3525" s="2" t="str">
        <x:v>Medium (100-299 beds)</x:v>
      </x:c>
      <x:c r="H3525" s="7" t="n">
        <x:v>4</x:v>
      </x:c>
      <x:c r="I3525" s="7" t="n">
        <x:v>2</x:v>
      </x:c>
      <x:c r="J3525" s="7" t="n">
        <x:v>1.11</x:v>
      </x:c>
      <x:c r="K3525" s="8" t="n">
        <x:v>284</x:v>
      </x:c>
      <x:c r="L3525" s="8" t="n">
        <x:v>12780</x:v>
      </x:c>
      <x:c r="M3525" s="9" t="n">
        <x:v>0.6444624028</x:v>
      </x:c>
      <x:c r="N3525" s="10" t="n">
        <x:v>26824.4908450704</x:v>
      </x:c>
      <x:c r="O3525" s="9" t="n">
        <x:v>-0.0000405072</x:v>
      </x:c>
      <x:c r="P3525" s="9" t="n">
        <x:v>0.2860635697</x:v>
      </x:c>
      <x:c r="Q3525" s="9" t="n">
        <x:v>0.6022819886</x:v>
      </x:c>
      <x:c r="R3525" s="3" t="b">
        <x:v>0</x:v>
      </x:c>
      <x:c r="S3525" s="3" t="b">
        <x:v>0</x:v>
      </x:c>
      <x:c r="T3525" s="3" t="b">
        <x:v>0</x:v>
      </x:c>
      <x:c r="U3525" s="2" t="str">
        <x:f>IF(T3525=TRUE,"Priority review",IF(R3525=TRUE,"High cost",IF(S3525=TRUE,"Low quality","Benchmark")))</x:f>
        <x:v>Benchmark</x:v>
      </x:c>
    </x:row>
    <x:row r="3526">
      <x:c r="A3526" s="2" t="str">
        <x:v>453316</x:v>
      </x:c>
      <x:c r="B3526" s="2" t="str">
        <x:v>CHILDRENS MEDICAL CENTER PLANO</x:v>
      </x:c>
      <x:c r="C3526" s="2" t="str">
        <x:v>PLANO</x:v>
      </x:c>
      <x:c r="D3526" s="2" t="str">
        <x:v>TX</x:v>
      </x:c>
      <x:c r="E3526" s="2" t="str">
        <x:v>Childrens</x:v>
      </x:c>
      <x:c r="F3526" s="2" t="str">
        <x:v>Voluntary non-profit</x:v>
      </x:c>
      <x:c r="G3526" s="2" t="str">
        <x:v>Small (&lt;100 beds)</x:v>
      </x:c>
      <x:c r="H3526" s="7"/>
      <x:c r="I3526" s="7"/>
      <x:c r="J3526" s="7"/>
      <x:c r="K3526" s="8" t="n">
        <x:v>60</x:v>
      </x:c>
      <x:c r="L3526" s="8" t="n">
        <x:v>4580</x:v>
      </x:c>
      <x:c r="M3526" s="9" t="n">
        <x:v>0.2121511514</x:v>
      </x:c>
      <x:c r="N3526" s="10" t="n">
        <x:v>86672.0109170306</x:v>
      </x:c>
      <x:c r="O3526" s="9" t="n">
        <x:v>-0.0082283633</x:v>
      </x:c>
      <x:c r="P3526" s="9" t="n">
        <x:v>0.2857142857</x:v>
      </x:c>
      <x:c r="Q3526" s="9" t="n">
        <x:v>0</x:v>
      </x:c>
      <x:c r="R3526" s="3" t="b">
        <x:v>0</x:v>
      </x:c>
      <x:c r="S3526" s="3" t="b">
        <x:v>0</x:v>
      </x:c>
      <x:c r="T3526" s="3" t="b">
        <x:v>0</x:v>
      </x:c>
      <x:c r="U3526" s="2" t="str">
        <x:f>IF(T3526=TRUE,"Priority review",IF(R3526=TRUE,"High cost",IF(S3526=TRUE,"Low quality","Benchmark")))</x:f>
        <x:v>Benchmark</x:v>
      </x:c>
    </x:row>
    <x:row r="3527">
      <x:c r="A3527" s="2" t="str">
        <x:v>171333</x:v>
      </x:c>
      <x:c r="B3527" s="2" t="str">
        <x:v>CLARA BARTON HOSPITAL</x:v>
      </x:c>
      <x:c r="C3527" s="2" t="str">
        <x:v>HOISINGTON</x:v>
      </x:c>
      <x:c r="D3527" s="2" t="str">
        <x:v>KS</x:v>
      </x:c>
      <x:c r="E3527" s="2" t="str">
        <x:v>Critical Access Hospitals</x:v>
      </x:c>
      <x:c r="F3527" s="2" t="str">
        <x:v>Voluntary non-profit</x:v>
      </x:c>
      <x:c r="G3527" s="2" t="str">
        <x:v>Small (&lt;100 beds)</x:v>
      </x:c>
      <x:c r="H3527" s="7" t="n">
        <x:v>2</x:v>
      </x:c>
      <x:c r="I3527" s="7" t="n">
        <x:v>4</x:v>
      </x:c>
      <x:c r="J3527" s="7"/>
      <x:c r="K3527" s="8" t="n">
        <x:v>18</x:v>
      </x:c>
      <x:c r="L3527" s="8" t="n">
        <x:v>493</x:v>
      </x:c>
      <x:c r="M3527" s="9" t="n">
        <x:v>0.5629933212</x:v>
      </x:c>
      <x:c r="N3527" s="10" t="n">
        <x:v>93994.8498985801</x:v>
      </x:c>
      <x:c r="O3527" s="9" t="n">
        <x:v>-0.1327280069</x:v>
      </x:c>
      <x:c r="P3527" s="9" t="n">
        <x:v>0.2855018587</x:v>
      </x:c>
      <x:c r="Q3527" s="9" t="n">
        <x:v>0.0171003717</x:v>
      </x:c>
      <x:c r="R3527" s="3" t="b">
        <x:v>0</x:v>
      </x:c>
      <x:c r="S3527" s="3" t="b">
        <x:v>1</x:v>
      </x:c>
      <x:c r="T3527" s="3" t="b">
        <x:v>0</x:v>
      </x:c>
      <x:c r="U3527" s="2" t="str">
        <x:f>IF(T3527=TRUE,"Priority review",IF(R3527=TRUE,"High cost",IF(S3527=TRUE,"Low quality","Benchmark")))</x:f>
        <x:v>Low quality</x:v>
      </x:c>
    </x:row>
    <x:row r="3528">
      <x:c r="A3528" s="2" t="str">
        <x:v>100017</x:v>
      </x:c>
      <x:c r="B3528" s="2" t="str">
        <x:v>HALIFAX HEALTH MEDICAL CENTER</x:v>
      </x:c>
      <x:c r="C3528" s="2" t="str">
        <x:v>DAYTONA BEACH</x:v>
      </x:c>
      <x:c r="D3528" s="2" t="str">
        <x:v>FL</x:v>
      </x:c>
      <x:c r="E3528" s="2" t="str">
        <x:v>Acute Care Hospitals</x:v>
      </x:c>
      <x:c r="F3528" s="2" t="str">
        <x:v>Government</x:v>
      </x:c>
      <x:c r="G3528" s="2" t="str">
        <x:v>Large (300+ beds)</x:v>
      </x:c>
      <x:c r="H3528" s="7" t="n">
        <x:v>2</x:v>
      </x:c>
      <x:c r="I3528" s="7" t="n">
        <x:v>2</x:v>
      </x:c>
      <x:c r="J3528" s="7" t="n">
        <x:v>1.03</x:v>
      </x:c>
      <x:c r="K3528" s="8" t="n">
        <x:v>567</x:v>
      </x:c>
      <x:c r="L3528" s="8" t="n">
        <x:v>23761</x:v>
      </x:c>
      <x:c r="M3528" s="9" t="n">
        <x:v>0.6556268733</x:v>
      </x:c>
      <x:c r="N3528" s="10" t="n">
        <x:v>29467.459787046</x:v>
      </x:c>
      <x:c r="O3528" s="9" t="n">
        <x:v>-0.0152972833</x:v>
      </x:c>
      <x:c r="P3528" s="9" t="n">
        <x:v>0.285488959</x:v>
      </x:c>
      <x:c r="Q3528" s="9" t="n">
        <x:v>0.0536277603</x:v>
      </x:c>
      <x:c r="R3528" s="3" t="b">
        <x:v>0</x:v>
      </x:c>
      <x:c r="S3528" s="3" t="b">
        <x:v>1</x:v>
      </x:c>
      <x:c r="T3528" s="3" t="b">
        <x:v>0</x:v>
      </x:c>
      <x:c r="U3528" s="2" t="str">
        <x:f>IF(T3528=TRUE,"Priority review",IF(R3528=TRUE,"High cost",IF(S3528=TRUE,"Low quality","Benchmark")))</x:f>
        <x:v>Low quality</x:v>
      </x:c>
    </x:row>
    <x:row r="3529">
      <x:c r="A3529" s="2" t="str">
        <x:v>110252</x:v>
      </x:c>
      <x:c r="B3529" s="2" t="str">
        <x:v>NORTHSIDE HOSPITAL DULUTH</x:v>
      </x:c>
      <x:c r="C3529" s="2" t="str">
        <x:v>DULUTH</x:v>
      </x:c>
      <x:c r="D3529" s="2" t="str">
        <x:v>GA</x:v>
      </x:c>
      <x:c r="E3529" s="2" t="str">
        <x:v>Acute Care Hospitals</x:v>
      </x:c>
      <x:c r="F3529" s="2" t="str">
        <x:v>Voluntary non-profit</x:v>
      </x:c>
      <x:c r="G3529" s="2" t="str">
        <x:v>Small (&lt;100 beds)</x:v>
      </x:c>
      <x:c r="H3529" s="7" t="n">
        <x:v>4</x:v>
      </x:c>
      <x:c r="I3529" s="7" t="n">
        <x:v>3</x:v>
      </x:c>
      <x:c r="J3529" s="7" t="n">
        <x:v>0.96</x:v>
      </x:c>
      <x:c r="K3529" s="8" t="n">
        <x:v>94</x:v>
      </x:c>
      <x:c r="L3529" s="8" t="n">
        <x:v>5949</x:v>
      </x:c>
      <x:c r="M3529" s="9" t="n">
        <x:v>0.9681432392</x:v>
      </x:c>
      <x:c r="N3529" s="10" t="n">
        <x:v>38753.7918977979</x:v>
      </x:c>
      <x:c r="O3529" s="9" t="n">
        <x:v>-0.0281996395</x:v>
      </x:c>
      <x:c r="P3529" s="9" t="n">
        <x:v>0.2854578097</x:v>
      </x:c>
      <x:c r="Q3529" s="9" t="n">
        <x:v>0.3913824057</x:v>
      </x:c>
      <x:c r="R3529" s="3" t="b">
        <x:v>0</x:v>
      </x:c>
      <x:c r="S3529" s="3" t="b">
        <x:v>0</x:v>
      </x:c>
      <x:c r="T3529" s="3" t="b">
        <x:v>0</x:v>
      </x:c>
      <x:c r="U3529" s="2" t="str">
        <x:f>IF(T3529=TRUE,"Priority review",IF(R3529=TRUE,"High cost",IF(S3529=TRUE,"Low quality","Benchmark")))</x:f>
        <x:v>Benchmark</x:v>
      </x:c>
    </x:row>
    <x:row r="3530">
      <x:c r="A3530" s="2" t="str">
        <x:v>390168</x:v>
      </x:c>
      <x:c r="B3530" s="2" t="str">
        <x:v>INDEPENDENCE HEALTH SYSTEM BUTLER MEMORIAL HOSPITA</x:v>
      </x:c>
      <x:c r="C3530" s="2" t="str">
        <x:v>BUTLER</x:v>
      </x:c>
      <x:c r="D3530" s="2" t="str">
        <x:v>PA</x:v>
      </x:c>
      <x:c r="E3530" s="2" t="str">
        <x:v>Acute Care Hospitals</x:v>
      </x:c>
      <x:c r="F3530" s="2" t="str">
        <x:v>Voluntary non-profit</x:v>
      </x:c>
      <x:c r="G3530" s="2" t="str">
        <x:v>Medium (100-299 beds)</x:v>
      </x:c>
      <x:c r="H3530" s="7" t="n">
        <x:v>2</x:v>
      </x:c>
      <x:c r="I3530" s="7" t="n">
        <x:v>3</x:v>
      </x:c>
      <x:c r="J3530" s="7" t="n">
        <x:v>0.94</x:v>
      </x:c>
      <x:c r="K3530" s="8" t="n">
        <x:v>273</x:v>
      </x:c>
      <x:c r="L3530" s="8" t="n">
        <x:v>10745</x:v>
      </x:c>
      <x:c r="M3530" s="9" t="n">
        <x:v>0.5376878551</x:v>
      </x:c>
      <x:c r="N3530" s="10" t="n">
        <x:v>26803.6769660307</x:v>
      </x:c>
      <x:c r="O3530" s="9" t="n">
        <x:v>0.0177330412</x:v>
      </x:c>
      <x:c r="P3530" s="9" t="n">
        <x:v>0.2852485738</x:v>
      </x:c>
      <x:c r="Q3530" s="9" t="n">
        <x:v>0.0782396088</x:v>
      </x:c>
      <x:c r="R3530" s="3" t="b">
        <x:v>0</x:v>
      </x:c>
      <x:c r="S3530" s="3" t="b">
        <x:v>1</x:v>
      </x:c>
      <x:c r="T3530" s="3" t="b">
        <x:v>0</x:v>
      </x:c>
      <x:c r="U3530" s="2" t="str">
        <x:f>IF(T3530=TRUE,"Priority review",IF(R3530=TRUE,"High cost",IF(S3530=TRUE,"Low quality","Benchmark")))</x:f>
        <x:v>Low quality</x:v>
      </x:c>
    </x:row>
    <x:row r="3531">
      <x:c r="A3531" s="2" t="str">
        <x:v>454155</x:v>
      </x:c>
      <x:c r="B3531" s="2" t="str">
        <x:v>OCEANS BEHAVIORAL HOSPITAL OF CORPUS CHRISTI</x:v>
      </x:c>
      <x:c r="C3531" s="2" t="str">
        <x:v>CORPUS CHRISTI</x:v>
      </x:c>
      <x:c r="D3531" s="2" t="str">
        <x:v>TX</x:v>
      </x:c>
      <x:c r="E3531" s="2" t="str">
        <x:v>Psychiatric</x:v>
      </x:c>
      <x:c r="F3531" s="2" t="str">
        <x:v>Proprietary</x:v>
      </x:c>
      <x:c r="G3531" s="2" t="str">
        <x:v>Small (&lt;100 beds)</x:v>
      </x:c>
      <x:c r="H3531" s="7"/>
      <x:c r="I3531" s="7"/>
      <x:c r="J3531" s="7"/>
      <x:c r="K3531" s="8" t="n">
        <x:v>42</x:v>
      </x:c>
      <x:c r="L3531" s="8" t="n">
        <x:v>1300</x:v>
      </x:c>
      <x:c r="M3531" s="9" t="n">
        <x:v>0.9599271403</x:v>
      </x:c>
      <x:c r="N3531" s="10" t="n">
        <x:v>8600.1815384615</x:v>
      </x:c>
      <x:c r="O3531" s="9" t="n">
        <x:v>0.3279047054</x:v>
      </x:c>
      <x:c r="P3531" s="9" t="n">
        <x:v>0.284789644</x:v>
      </x:c>
      <x:c r="Q3531" s="9" t="n">
        <x:v>0</x:v>
      </x:c>
      <x:c r="R3531" s="3" t="b">
        <x:v>0</x:v>
      </x:c>
      <x:c r="S3531" s="3" t="b">
        <x:v>0</x:v>
      </x:c>
      <x:c r="T3531" s="3" t="b">
        <x:v>0</x:v>
      </x:c>
      <x:c r="U3531" s="2" t="str">
        <x:f>IF(T3531=TRUE,"Priority review",IF(R3531=TRUE,"High cost",IF(S3531=TRUE,"Low quality","Benchmark")))</x:f>
        <x:v>Benchmark</x:v>
      </x:c>
    </x:row>
    <x:row r="3532">
      <x:c r="A3532" s="2" t="str">
        <x:v>151332</x:v>
      </x:c>
      <x:c r="B3532" s="2" t="str">
        <x:v>DECATUR COUNTY MEMORIAL HOSPITAL</x:v>
      </x:c>
      <x:c r="C3532" s="2" t="str">
        <x:v>GREENSBURG</x:v>
      </x:c>
      <x:c r="D3532" s="2" t="str">
        <x:v>IN</x:v>
      </x:c>
      <x:c r="E3532" s="2" t="str">
        <x:v>Critical Access Hospitals</x:v>
      </x:c>
      <x:c r="F3532" s="2" t="str">
        <x:v>Government</x:v>
      </x:c>
      <x:c r="G3532" s="2" t="str">
        <x:v>Small (&lt;100 beds)</x:v>
      </x:c>
      <x:c r="H3532" s="7" t="n">
        <x:v>3</x:v>
      </x:c>
      <x:c r="I3532" s="7" t="n">
        <x:v>4</x:v>
      </x:c>
      <x:c r="J3532" s="7"/>
      <x:c r="K3532" s="8" t="n">
        <x:v>25</x:v>
      </x:c>
      <x:c r="L3532" s="8" t="n">
        <x:v>1090</x:v>
      </x:c>
      <x:c r="M3532" s="9" t="n">
        <x:v>0.3721311475</x:v>
      </x:c>
      <x:c r="N3532" s="10" t="n">
        <x:v>93617.1605504587</x:v>
      </x:c>
      <x:c r="O3532" s="9" t="n">
        <x:v>-0.2145579768</x:v>
      </x:c>
      <x:c r="P3532" s="9" t="n">
        <x:v>0.2847583643</x:v>
      </x:c>
      <x:c r="Q3532" s="9" t="n">
        <x:v>0.0765799257</x:v>
      </x:c>
      <x:c r="R3532" s="3" t="b">
        <x:v>0</x:v>
      </x:c>
      <x:c r="S3532" s="3" t="b">
        <x:v>1</x:v>
      </x:c>
      <x:c r="T3532" s="3" t="b">
        <x:v>0</x:v>
      </x:c>
      <x:c r="U3532" s="2" t="str">
        <x:f>IF(T3532=TRUE,"Priority review",IF(R3532=TRUE,"High cost",IF(S3532=TRUE,"Low quality","Benchmark")))</x:f>
        <x:v>Low quality</x:v>
      </x:c>
    </x:row>
    <x:row r="3533">
      <x:c r="A3533" s="2" t="str">
        <x:v>310060</x:v>
      </x:c>
      <x:c r="B3533" s="2" t="str">
        <x:v>ST LUKE'S WARREN HOSPITAL</x:v>
      </x:c>
      <x:c r="C3533" s="2" t="str">
        <x:v>PHILLIPSBURG</x:v>
      </x:c>
      <x:c r="D3533" s="2" t="str">
        <x:v>NJ</x:v>
      </x:c>
      <x:c r="E3533" s="2" t="str">
        <x:v>Acute Care Hospitals</x:v>
      </x:c>
      <x:c r="F3533" s="2" t="str">
        <x:v>Voluntary non-profit</x:v>
      </x:c>
      <x:c r="G3533" s="2" t="str">
        <x:v>Small (&lt;100 beds)</x:v>
      </x:c>
      <x:c r="H3533" s="7" t="n">
        <x:v>5</x:v>
      </x:c>
      <x:c r="I3533" s="7" t="n">
        <x:v>4</x:v>
      </x:c>
      <x:c r="J3533" s="7" t="n">
        <x:v>0.97</x:v>
      </x:c>
      <x:c r="K3533" s="8" t="n">
        <x:v>92</x:v>
      </x:c>
      <x:c r="L3533" s="8" t="n">
        <x:v>4396</x:v>
      </x:c>
      <x:c r="M3533" s="9" t="n">
        <x:v>0.5528886242</x:v>
      </x:c>
      <x:c r="N3533" s="10" t="n">
        <x:v>38729.9353958144</x:v>
      </x:c>
      <x:c r="O3533" s="9" t="n">
        <x:v>0.278040395</x:v>
      </x:c>
      <x:c r="P3533" s="9" t="n">
        <x:v>0.2845601436</x:v>
      </x:c>
      <x:c r="Q3533" s="9" t="n">
        <x:v>0.6131059246</x:v>
      </x:c>
      <x:c r="R3533" s="3" t="b">
        <x:v>0</x:v>
      </x:c>
      <x:c r="S3533" s="3" t="b">
        <x:v>0</x:v>
      </x:c>
      <x:c r="T3533" s="3" t="b">
        <x:v>0</x:v>
      </x:c>
      <x:c r="U3533" s="2" t="str">
        <x:f>IF(T3533=TRUE,"Priority review",IF(R3533=TRUE,"High cost",IF(S3533=TRUE,"Low quality","Benchmark")))</x:f>
        <x:v>Benchmark</x:v>
      </x:c>
    </x:row>
    <x:row r="3534">
      <x:c r="A3534" s="2" t="str">
        <x:v>450064</x:v>
      </x:c>
      <x:c r="B3534" s="2" t="str">
        <x:v>TEXAS HEALTH ARLINGTON MEMORIAL HOSPITAL</x:v>
      </x:c>
      <x:c r="C3534" s="2" t="str">
        <x:v>ARLINGTON</x:v>
      </x:c>
      <x:c r="D3534" s="2" t="str">
        <x:v>TX</x:v>
      </x:c>
      <x:c r="E3534" s="2" t="str">
        <x:v>Acute Care Hospitals</x:v>
      </x:c>
      <x:c r="F3534" s="2" t="str">
        <x:v>Voluntary non-profit</x:v>
      </x:c>
      <x:c r="G3534" s="2" t="str">
        <x:v>Medium (100-299 beds)</x:v>
      </x:c>
      <x:c r="H3534" s="7" t="n">
        <x:v>4</x:v>
      </x:c>
      <x:c r="I3534" s="7" t="n">
        <x:v>3</x:v>
      </x:c>
      <x:c r="J3534" s="7" t="n">
        <x:v>1.05</x:v>
      </x:c>
      <x:c r="K3534" s="8" t="n">
        <x:v>193</x:v>
      </x:c>
      <x:c r="L3534" s="8" t="n">
        <x:v>12161</x:v>
      </x:c>
      <x:c r="M3534" s="9" t="n">
        <x:v>0.7280002266</x:v>
      </x:c>
      <x:c r="N3534" s="10" t="n">
        <x:v>26791.2399473727</x:v>
      </x:c>
      <x:c r="O3534" s="9" t="n">
        <x:v>0.0027038712</x:v>
      </x:c>
      <x:c r="P3534" s="9" t="n">
        <x:v>0.2844335778</x:v>
      </x:c>
      <x:c r="Q3534" s="9" t="n">
        <x:v>0.6022819886</x:v>
      </x:c>
      <x:c r="R3534" s="3" t="b">
        <x:v>0</x:v>
      </x:c>
      <x:c r="S3534" s="3" t="b">
        <x:v>0</x:v>
      </x:c>
      <x:c r="T3534" s="3" t="b">
        <x:v>0</x:v>
      </x:c>
      <x:c r="U3534" s="2" t="str">
        <x:f>IF(T3534=TRUE,"Priority review",IF(R3534=TRUE,"High cost",IF(S3534=TRUE,"Low quality","Benchmark")))</x:f>
        <x:v>Benchmark</x:v>
      </x:c>
    </x:row>
    <x:row r="3535">
      <x:c r="A3535" s="2" t="str">
        <x:v>241332</x:v>
      </x:c>
      <x:c r="B3535" s="2" t="str">
        <x:v>WINDOM AREA HEALTH</x:v>
      </x:c>
      <x:c r="C3535" s="2" t="str">
        <x:v>WINDOM</x:v>
      </x:c>
      <x:c r="D3535" s="2" t="str">
        <x:v>MN</x:v>
      </x:c>
      <x:c r="E3535" s="2" t="str">
        <x:v>Critical Access Hospitals</x:v>
      </x:c>
      <x:c r="F3535" s="2" t="str">
        <x:v>Government</x:v>
      </x:c>
      <x:c r="G3535" s="2" t="str">
        <x:v>Small (&lt;100 beds)</x:v>
      </x:c>
      <x:c r="H3535" s="7"/>
      <x:c r="I3535" s="7"/>
      <x:c r="J3535" s="7"/>
      <x:c r="K3535" s="8" t="n">
        <x:v>18</x:v>
      </x:c>
      <x:c r="L3535" s="8" t="n">
        <x:v>343</x:v>
      </x:c>
      <x:c r="M3535" s="9" t="n">
        <x:v>0.2053272451</x:v>
      </x:c>
      <x:c r="N3535" s="10" t="n">
        <x:v>93571.638483965</x:v>
      </x:c>
      <x:c r="O3535" s="9" t="n">
        <x:v>0.0201662731</x:v>
      </x:c>
      <x:c r="P3535" s="9" t="n">
        <x:v>0.2840148699</x:v>
      </x:c>
      <x:c r="Q3535" s="9" t="n">
        <x:v>0.292936803</x:v>
      </x:c>
      <x:c r="R3535" s="3" t="b">
        <x:v>0</x:v>
      </x:c>
      <x:c r="S3535" s="3" t="b">
        <x:v>0</x:v>
      </x:c>
      <x:c r="T3535" s="3" t="b">
        <x:v>0</x:v>
      </x:c>
      <x:c r="U3535" s="2" t="str">
        <x:f>IF(T3535=TRUE,"Priority review",IF(R3535=TRUE,"High cost",IF(S3535=TRUE,"Low quality","Benchmark")))</x:f>
        <x:v>Benchmark</x:v>
      </x:c>
    </x:row>
    <x:row r="3536">
      <x:c r="A3536" s="2" t="str">
        <x:v>340032</x:v>
      </x:c>
      <x:c r="B3536" s="2" t="str">
        <x:v>CAROMONT REGIONAL MEDICAL CENTER</x:v>
      </x:c>
      <x:c r="C3536" s="2" t="str">
        <x:v>GASTONIA</x:v>
      </x:c>
      <x:c r="D3536" s="2" t="str">
        <x:v>NC</x:v>
      </x:c>
      <x:c r="E3536" s="2" t="str">
        <x:v>Acute Care Hospitals</x:v>
      </x:c>
      <x:c r="F3536" s="2" t="str">
        <x:v>Voluntary non-profit</x:v>
      </x:c>
      <x:c r="G3536" s="2" t="str">
        <x:v>Large (300+ beds)</x:v>
      </x:c>
      <x:c r="H3536" s="7" t="n">
        <x:v>4</x:v>
      </x:c>
      <x:c r="I3536" s="7" t="n">
        <x:v>3</x:v>
      </x:c>
      <x:c r="J3536" s="7" t="n">
        <x:v>0.95</x:v>
      </x:c>
      <x:c r="K3536" s="8" t="n">
        <x:v>468</x:v>
      </x:c>
      <x:c r="L3536" s="8" t="n">
        <x:v>25440</x:v>
      </x:c>
      <x:c r="M3536" s="9" t="n">
        <x:v>0.7321742185</x:v>
      </x:c>
      <x:c r="N3536" s="10" t="n">
        <x:v>29466.1284984277</x:v>
      </x:c>
      <x:c r="O3536" s="9" t="n">
        <x:v>0.0888153746</x:v>
      </x:c>
      <x:c r="P3536" s="9" t="n">
        <x:v>0.2839116719</x:v>
      </x:c>
      <x:c r="Q3536" s="9" t="n">
        <x:v>0.5899053628</x:v>
      </x:c>
      <x:c r="R3536" s="3" t="b">
        <x:v>0</x:v>
      </x:c>
      <x:c r="S3536" s="3" t="b">
        <x:v>0</x:v>
      </x:c>
      <x:c r="T3536" s="3" t="b">
        <x:v>0</x:v>
      </x:c>
      <x:c r="U3536" s="2" t="str">
        <x:f>IF(T3536=TRUE,"Priority review",IF(R3536=TRUE,"High cost",IF(S3536=TRUE,"Low quality","Benchmark")))</x:f>
        <x:v>Benchmark</x:v>
      </x:c>
    </x:row>
    <x:row r="3537">
      <x:c r="A3537" s="2" t="str">
        <x:v>100150</x:v>
      </x:c>
      <x:c r="B3537" s="2" t="str">
        <x:v>LOWER KEYS MEDICAL CENTER</x:v>
      </x:c>
      <x:c r="C3537" s="2" t="str">
        <x:v>KEY WEST</x:v>
      </x:c>
      <x:c r="D3537" s="2" t="str">
        <x:v>FL</x:v>
      </x:c>
      <x:c r="E3537" s="2" t="str">
        <x:v>Acute Care Hospitals</x:v>
      </x:c>
      <x:c r="F3537" s="2" t="str">
        <x:v>Proprietary</x:v>
      </x:c>
      <x:c r="G3537" s="2" t="str">
        <x:v>Small (&lt;100 beds)</x:v>
      </x:c>
      <x:c r="H3537" s="7" t="n">
        <x:v>4</x:v>
      </x:c>
      <x:c r="I3537" s="7" t="n">
        <x:v>3</x:v>
      </x:c>
      <x:c r="J3537" s="7" t="n">
        <x:v>0.9</x:v>
      </x:c>
      <x:c r="K3537" s="8" t="n">
        <x:v>99</x:v>
      </x:c>
      <x:c r="L3537" s="8" t="n">
        <x:v>2298</x:v>
      </x:c>
      <x:c r="M3537" s="9" t="n">
        <x:v>0.2554230833</x:v>
      </x:c>
      <x:c r="N3537" s="10" t="n">
        <x:v>38643.9316797215</x:v>
      </x:c>
      <x:c r="O3537" s="9" t="n">
        <x:v>0.2374006678</x:v>
      </x:c>
      <x:c r="P3537" s="9" t="n">
        <x:v>0.2836624776</x:v>
      </x:c>
      <x:c r="Q3537" s="9" t="n">
        <x:v>0.3913824057</x:v>
      </x:c>
      <x:c r="R3537" s="3" t="b">
        <x:v>0</x:v>
      </x:c>
      <x:c r="S3537" s="3" t="b">
        <x:v>0</x:v>
      </x:c>
      <x:c r="T3537" s="3" t="b">
        <x:v>0</x:v>
      </x:c>
      <x:c r="U3537" s="2" t="str">
        <x:f>IF(T3537=TRUE,"Priority review",IF(R3537=TRUE,"High cost",IF(S3537=TRUE,"Low quality","Benchmark")))</x:f>
        <x:v>Benchmark</x:v>
      </x:c>
    </x:row>
    <x:row r="3538">
      <x:c r="A3538" s="2" t="str">
        <x:v>490136</x:v>
      </x:c>
      <x:c r="B3538" s="2" t="str">
        <x:v>BON SECOURS ST FRANCIS MEDICAL CENTER</x:v>
      </x:c>
      <x:c r="C3538" s="2" t="str">
        <x:v>MIDLOTHIAN</x:v>
      </x:c>
      <x:c r="D3538" s="2" t="str">
        <x:v>VA</x:v>
      </x:c>
      <x:c r="E3538" s="2" t="str">
        <x:v>Acute Care Hospitals</x:v>
      </x:c>
      <x:c r="F3538" s="2" t="str">
        <x:v>Voluntary non-profit</x:v>
      </x:c>
      <x:c r="G3538" s="2" t="str">
        <x:v>Medium (100-299 beds)</x:v>
      </x:c>
      <x:c r="H3538" s="7" t="n">
        <x:v>3</x:v>
      </x:c>
      <x:c r="I3538" s="7" t="n">
        <x:v>3</x:v>
      </x:c>
      <x:c r="J3538" s="7" t="n">
        <x:v>0.99</x:v>
      </x:c>
      <x:c r="K3538" s="8" t="n">
        <x:v>140</x:v>
      </x:c>
      <x:c r="L3538" s="8" t="n">
        <x:v>3265</x:v>
      </x:c>
      <x:c r="M3538" s="9" t="n">
        <x:v>1.0673469388</x:v>
      </x:c>
      <x:c r="N3538" s="10" t="n">
        <x:v>26770.724042879</x:v>
      </x:c>
      <x:c r="O3538" s="9" t="n">
        <x:v>0.173088613</x:v>
      </x:c>
      <x:c r="P3538" s="9" t="n">
        <x:v>0.2836185819</x:v>
      </x:c>
      <x:c r="Q3538" s="9" t="n">
        <x:v>0.3023634882</x:v>
      </x:c>
      <x:c r="R3538" s="3" t="b">
        <x:v>0</x:v>
      </x:c>
      <x:c r="S3538" s="3" t="b">
        <x:v>0</x:v>
      </x:c>
      <x:c r="T3538" s="3" t="b">
        <x:v>0</x:v>
      </x:c>
      <x:c r="U3538" s="2" t="str">
        <x:f>IF(T3538=TRUE,"Priority review",IF(R3538=TRUE,"High cost",IF(S3538=TRUE,"Low quality","Benchmark")))</x:f>
        <x:v>Benchmark</x:v>
      </x:c>
    </x:row>
    <x:row r="3539">
      <x:c r="A3539" s="2" t="str">
        <x:v>194020</x:v>
      </x:c>
      <x:c r="B3539" s="2" t="str">
        <x:v>BRENTWOOD HOSPITAL</x:v>
      </x:c>
      <x:c r="C3539" s="2" t="str">
        <x:v>SHREVEPORT</x:v>
      </x:c>
      <x:c r="D3539" s="2" t="str">
        <x:v>LA</x:v>
      </x:c>
      <x:c r="E3539" s="2" t="str">
        <x:v>Psychiatric</x:v>
      </x:c>
      <x:c r="F3539" s="2" t="str">
        <x:v>Proprietary</x:v>
      </x:c>
      <x:c r="G3539" s="2" t="str">
        <x:v>Medium (100-299 beds)</x:v>
      </x:c>
      <x:c r="H3539" s="7"/>
      <x:c r="I3539" s="7"/>
      <x:c r="J3539" s="7"/>
      <x:c r="K3539" s="8" t="n">
        <x:v>243</x:v>
      </x:c>
      <x:c r="L3539" s="8" t="n">
        <x:v>6996</x:v>
      </x:c>
      <x:c r="M3539" s="9" t="n">
        <x:v>0.7097416178</x:v>
      </x:c>
      <x:c r="N3539" s="10" t="n">
        <x:v>7527.9591194969</x:v>
      </x:c>
      <x:c r="O3539" s="9" t="n">
        <x:v>0.061341944</x:v>
      </x:c>
      <x:c r="P3539" s="9" t="n">
        <x:v>0.2835820896</x:v>
      </x:c>
      <x:c r="Q3539" s="9" t="n">
        <x:v>0</x:v>
      </x:c>
      <x:c r="R3539" s="3" t="b">
        <x:v>0</x:v>
      </x:c>
      <x:c r="S3539" s="3" t="b">
        <x:v>0</x:v>
      </x:c>
      <x:c r="T3539" s="3" t="b">
        <x:v>0</x:v>
      </x:c>
      <x:c r="U3539" s="2" t="str">
        <x:f>IF(T3539=TRUE,"Priority review",IF(R3539=TRUE,"High cost",IF(S3539=TRUE,"Low quality","Benchmark")))</x:f>
        <x:v>Benchmark</x:v>
      </x:c>
    </x:row>
    <x:row r="3540">
      <x:c r="A3540" s="2" t="str">
        <x:v>431329</x:v>
      </x:c>
      <x:c r="B3540" s="2" t="str">
        <x:v>SANFORD CHAMBERLAIN MEDICAL CENTER</x:v>
      </x:c>
      <x:c r="C3540" s="2" t="str">
        <x:v>CHAMBERLAIN</x:v>
      </x:c>
      <x:c r="D3540" s="2" t="str">
        <x:v>SD</x:v>
      </x:c>
      <x:c r="E3540" s="2" t="str">
        <x:v>Critical Access Hospitals</x:v>
      </x:c>
      <x:c r="F3540" s="2" t="str">
        <x:v>Voluntary non-profit</x:v>
      </x:c>
      <x:c r="G3540" s="2" t="str">
        <x:v>Small (&lt;100 beds)</x:v>
      </x:c>
      <x:c r="H3540" s="7"/>
      <x:c r="I3540" s="7"/>
      <x:c r="J3540" s="7"/>
      <x:c r="K3540" s="8" t="n">
        <x:v>25</x:v>
      </x:c>
      <x:c r="L3540" s="8" t="n">
        <x:v>300</x:v>
      </x:c>
      <x:c r="M3540" s="9" t="n">
        <x:v>0.1873224044</x:v>
      </x:c>
      <x:c r="N3540" s="10" t="n">
        <x:v>93559.2366666667</x:v>
      </x:c>
      <x:c r="O3540" s="9" t="n">
        <x:v>-0.0065235219</x:v>
      </x:c>
      <x:c r="P3540" s="9" t="n">
        <x:v>0.2832713755</x:v>
      </x:c>
      <x:c r="Q3540" s="9" t="n">
        <x:v>0.292936803</x:v>
      </x:c>
      <x:c r="R3540" s="3" t="b">
        <x:v>0</x:v>
      </x:c>
      <x:c r="S3540" s="3" t="b">
        <x:v>0</x:v>
      </x:c>
      <x:c r="T3540" s="3" t="b">
        <x:v>0</x:v>
      </x:c>
      <x:c r="U3540" s="2" t="str">
        <x:f>IF(T3540=TRUE,"Priority review",IF(R3540=TRUE,"High cost",IF(S3540=TRUE,"Low quality","Benchmark")))</x:f>
        <x:v>Benchmark</x:v>
      </x:c>
    </x:row>
    <x:row r="3541">
      <x:c r="A3541" s="2" t="str">
        <x:v>330030</x:v>
      </x:c>
      <x:c r="B3541" s="2" t="str">
        <x:v>NEWARK-WAYNE COMMUNITY HOSPITAL</x:v>
      </x:c>
      <x:c r="C3541" s="2" t="str">
        <x:v>NEWARK</x:v>
      </x:c>
      <x:c r="D3541" s="2" t="str">
        <x:v>NY</x:v>
      </x:c>
      <x:c r="E3541" s="2" t="str">
        <x:v>Acute Care Hospitals</x:v>
      </x:c>
      <x:c r="F3541" s="2" t="str">
        <x:v>Voluntary non-profit</x:v>
      </x:c>
      <x:c r="G3541" s="2" t="str">
        <x:v>Medium (100-299 beds)</x:v>
      </x:c>
      <x:c r="H3541" s="7" t="n">
        <x:v>2</x:v>
      </x:c>
      <x:c r="I3541" s="7" t="n">
        <x:v>3</x:v>
      </x:c>
      <x:c r="J3541" s="7" t="n">
        <x:v>0.86</x:v>
      </x:c>
      <x:c r="K3541" s="8" t="n">
        <x:v>100</x:v>
      </x:c>
      <x:c r="L3541" s="8" t="n">
        <x:v>4636</x:v>
      </x:c>
      <x:c r="M3541" s="9" t="n">
        <x:v>0.5651679922</x:v>
      </x:c>
      <x:c r="N3541" s="10" t="n">
        <x:v>26753.5135893011</x:v>
      </x:c>
      <x:c r="O3541" s="9" t="n">
        <x:v>-0.0527063816</x:v>
      </x:c>
      <x:c r="P3541" s="9" t="n">
        <x:v>0.282803586</x:v>
      </x:c>
      <x:c r="Q3541" s="9" t="n">
        <x:v>0.0782396088</x:v>
      </x:c>
      <x:c r="R3541" s="3" t="b">
        <x:v>0</x:v>
      </x:c>
      <x:c r="S3541" s="3" t="b">
        <x:v>1</x:v>
      </x:c>
      <x:c r="T3541" s="3" t="b">
        <x:v>0</x:v>
      </x:c>
      <x:c r="U3541" s="2" t="str">
        <x:f>IF(T3541=TRUE,"Priority review",IF(R3541=TRUE,"High cost",IF(S3541=TRUE,"Low quality","Benchmark")))</x:f>
        <x:v>Low quality</x:v>
      </x:c>
    </x:row>
    <x:row r="3542">
      <x:c r="A3542" s="2" t="str">
        <x:v>440218</x:v>
      </x:c>
      <x:c r="B3542" s="2" t="str">
        <x:v>SAINT THOMAS HOSPITAL FOR SPINAL SURGERY</x:v>
      </x:c>
      <x:c r="C3542" s="2" t="str">
        <x:v>NASHVILLE</x:v>
      </x:c>
      <x:c r="D3542" s="2" t="str">
        <x:v>TN</x:v>
      </x:c>
      <x:c r="E3542" s="2" t="str">
        <x:v>Acute Care Hospitals</x:v>
      </x:c>
      <x:c r="F3542" s="2" t="str">
        <x:v>Voluntary non-profit</x:v>
      </x:c>
      <x:c r="G3542" s="2" t="str">
        <x:v>Small (&lt;100 beds)</x:v>
      </x:c>
      <x:c r="H3542" s="7"/>
      <x:c r="I3542" s="7" t="n">
        <x:v>4</x:v>
      </x:c>
      <x:c r="J3542" s="7"/>
      <x:c r="K3542" s="8" t="n">
        <x:v>23</x:v>
      </x:c>
      <x:c r="L3542" s="8" t="n">
        <x:v>1170</x:v>
      </x:c>
      <x:c r="M3542" s="9" t="n">
        <x:v>0.2435257781</x:v>
      </x:c>
      <x:c r="N3542" s="10" t="n">
        <x:v>38615.2316239316</x:v>
      </x:c>
      <x:c r="O3542" s="9" t="n">
        <x:v>0.4294862908</x:v>
      </x:c>
      <x:c r="P3542" s="9" t="n">
        <x:v>0.2827648115</x:v>
      </x:c>
      <x:c r="Q3542" s="9" t="n">
        <x:v>0.697486535</x:v>
      </x:c>
      <x:c r="R3542" s="3" t="b">
        <x:v>0</x:v>
      </x:c>
      <x:c r="S3542" s="3" t="b">
        <x:v>0</x:v>
      </x:c>
      <x:c r="T3542" s="3" t="b">
        <x:v>0</x:v>
      </x:c>
      <x:c r="U3542" s="2" t="str">
        <x:f>IF(T3542=TRUE,"Priority review",IF(R3542=TRUE,"High cost",IF(S3542=TRUE,"Low quality","Benchmark")))</x:f>
        <x:v>Benchmark</x:v>
      </x:c>
    </x:row>
    <x:row r="3543">
      <x:c r="A3543" s="2" t="str">
        <x:v>321311</x:v>
      </x:c>
      <x:c r="B3543" s="2" t="str">
        <x:v>GILA REGIONAL MEDICAL CENTER</x:v>
      </x:c>
      <x:c r="C3543" s="2" t="str">
        <x:v>SILVER CITY</x:v>
      </x:c>
      <x:c r="D3543" s="2" t="str">
        <x:v>NM</x:v>
      </x:c>
      <x:c r="E3543" s="2" t="str">
        <x:v>Critical Access Hospitals</x:v>
      </x:c>
      <x:c r="F3543" s="2" t="str">
        <x:v>Government</x:v>
      </x:c>
      <x:c r="G3543" s="2" t="str">
        <x:v>Small (&lt;100 beds)</x:v>
      </x:c>
      <x:c r="H3543" s="7" t="n">
        <x:v>2</x:v>
      </x:c>
      <x:c r="I3543" s="7" t="n">
        <x:v>4</x:v>
      </x:c>
      <x:c r="J3543" s="7"/>
      <x:c r="K3543" s="8" t="n">
        <x:v>25</x:v>
      </x:c>
      <x:c r="L3543" s="8" t="n">
        <x:v>1111</x:v>
      </x:c>
      <x:c r="M3543" s="9" t="n">
        <x:v>0.4523835616</x:v>
      </x:c>
      <x:c r="N3543" s="10" t="n">
        <x:v>93160.6525652565</x:v>
      </x:c>
      <x:c r="O3543" s="9" t="n">
        <x:v>0.136957825</x:v>
      </x:c>
      <x:c r="P3543" s="9" t="n">
        <x:v>0.282527881</x:v>
      </x:c>
      <x:c r="Q3543" s="9" t="n">
        <x:v>0.0171003717</x:v>
      </x:c>
      <x:c r="R3543" s="3" t="b">
        <x:v>0</x:v>
      </x:c>
      <x:c r="S3543" s="3" t="b">
        <x:v>1</x:v>
      </x:c>
      <x:c r="T3543" s="3" t="b">
        <x:v>0</x:v>
      </x:c>
      <x:c r="U3543" s="2" t="str">
        <x:f>IF(T3543=TRUE,"Priority review",IF(R3543=TRUE,"High cost",IF(S3543=TRUE,"Low quality","Benchmark")))</x:f>
        <x:v>Low quality</x:v>
      </x:c>
    </x:row>
    <x:row r="3544">
      <x:c r="A3544" s="2" t="str">
        <x:v>050235</x:v>
      </x:c>
      <x:c r="B3544" s="2" t="str">
        <x:v>PROVIDENCE SAINT JOSEPH MEDICAL CTR</x:v>
      </x:c>
      <x:c r="C3544" s="2" t="str">
        <x:v>BURBANK</x:v>
      </x:c>
      <x:c r="D3544" s="2" t="str">
        <x:v>CA</x:v>
      </x:c>
      <x:c r="E3544" s="2" t="str">
        <x:v>Acute Care Hospitals</x:v>
      </x:c>
      <x:c r="F3544" s="2" t="str">
        <x:v>Voluntary non-profit</x:v>
      </x:c>
      <x:c r="G3544" s="2" t="str">
        <x:v>Large (300+ beds)</x:v>
      </x:c>
      <x:c r="H3544" s="7" t="n">
        <x:v>3</x:v>
      </x:c>
      <x:c r="I3544" s="7" t="n">
        <x:v>3</x:v>
      </x:c>
      <x:c r="J3544" s="7" t="n">
        <x:v>1.01</x:v>
      </x:c>
      <x:c r="K3544" s="8" t="n">
        <x:v>368</x:v>
      </x:c>
      <x:c r="L3544" s="8" t="n">
        <x:v>15900</x:v>
      </x:c>
      <x:c r="M3544" s="9" t="n">
        <x:v>0.5521798527</x:v>
      </x:c>
      <x:c r="N3544" s="10" t="n">
        <x:v>29340.6771069182</x:v>
      </x:c>
      <x:c r="O3544" s="9" t="n">
        <x:v>0.1919411209</x:v>
      </x:c>
      <x:c r="P3544" s="9" t="n">
        <x:v>0.2823343849</x:v>
      </x:c>
      <x:c r="Q3544" s="9" t="n">
        <x:v>0.2570977918</x:v>
      </x:c>
      <x:c r="R3544" s="3" t="b">
        <x:v>0</x:v>
      </x:c>
      <x:c r="S3544" s="3" t="b">
        <x:v>0</x:v>
      </x:c>
      <x:c r="T3544" s="3" t="b">
        <x:v>0</x:v>
      </x:c>
      <x:c r="U3544" s="2" t="str">
        <x:f>IF(T3544=TRUE,"Priority review",IF(R3544=TRUE,"High cost",IF(S3544=TRUE,"Low quality","Benchmark")))</x:f>
        <x:v>Benchmark</x:v>
      </x:c>
    </x:row>
    <x:row r="3545">
      <x:c r="A3545" s="2" t="str">
        <x:v>330019</x:v>
      </x:c>
      <x:c r="B3545" s="2" t="str">
        <x:v>NEW YORK COMMUNITY HOSPITAL OF BROOKLYN, INC.</x:v>
      </x:c>
      <x:c r="C3545" s="2" t="str">
        <x:v>BROOKLYN</x:v>
      </x:c>
      <x:c r="D3545" s="2" t="str">
        <x:v>NY</x:v>
      </x:c>
      <x:c r="E3545" s="2" t="str">
        <x:v>Acute Care Hospitals</x:v>
      </x:c>
      <x:c r="F3545" s="2" t="str">
        <x:v>Voluntary non-profit</x:v>
      </x:c>
      <x:c r="G3545" s="2" t="str">
        <x:v>Medium (100-299 beds)</x:v>
      </x:c>
      <x:c r="H3545" s="7" t="n">
        <x:v>1</x:v>
      </x:c>
      <x:c r="I3545" s="7" t="n">
        <x:v>1</x:v>
      </x:c>
      <x:c r="J3545" s="7" t="n">
        <x:v>1.15</x:v>
      </x:c>
      <x:c r="K3545" s="8" t="n">
        <x:v>134</x:v>
      </x:c>
      <x:c r="L3545" s="8" t="n">
        <x:v>6211</x:v>
      </x:c>
      <x:c r="M3545" s="9" t="n">
        <x:v>0.7158673844</x:v>
      </x:c>
      <x:c r="N3545" s="10" t="n">
        <x:v>26746.7592980196</x:v>
      </x:c>
      <x:c r="O3545" s="9" t="n">
        <x:v>-0.2182586986</x:v>
      </x:c>
      <x:c r="P3545" s="9" t="n">
        <x:v>0.2819885901</x:v>
      </x:c>
      <x:c r="Q3545" s="9" t="n">
        <x:v>0</x:v>
      </x:c>
      <x:c r="R3545" s="3" t="b">
        <x:v>0</x:v>
      </x:c>
      <x:c r="S3545" s="3" t="b">
        <x:v>1</x:v>
      </x:c>
      <x:c r="T3545" s="3" t="b">
        <x:v>0</x:v>
      </x:c>
      <x:c r="U3545" s="2" t="str">
        <x:f>IF(T3545=TRUE,"Priority review",IF(R3545=TRUE,"High cost",IF(S3545=TRUE,"Low quality","Benchmark")))</x:f>
        <x:v>Low quality</x:v>
      </x:c>
    </x:row>
    <x:row r="3546">
      <x:c r="A3546" s="2" t="str">
        <x:v>370023</x:v>
      </x:c>
      <x:c r="B3546" s="2" t="str">
        <x:v>DUNCAN REGIONAL HOSPITAL, INC</x:v>
      </x:c>
      <x:c r="C3546" s="2" t="str">
        <x:v>DUNCAN</x:v>
      </x:c>
      <x:c r="D3546" s="2" t="str">
        <x:v>OK</x:v>
      </x:c>
      <x:c r="E3546" s="2" t="str">
        <x:v>Acute Care Hospitals</x:v>
      </x:c>
      <x:c r="F3546" s="2" t="str">
        <x:v>Voluntary non-profit</x:v>
      </x:c>
      <x:c r="G3546" s="2" t="str">
        <x:v>Small (&lt;100 beds)</x:v>
      </x:c>
      <x:c r="H3546" s="7" t="n">
        <x:v>3</x:v>
      </x:c>
      <x:c r="I3546" s="7" t="n">
        <x:v>3</x:v>
      </x:c>
      <x:c r="J3546" s="7" t="n">
        <x:v>1</x:v>
      </x:c>
      <x:c r="K3546" s="8" t="n">
        <x:v>86</x:v>
      </x:c>
      <x:c r="L3546" s="8" t="n">
        <x:v>4084</x:v>
      </x:c>
      <x:c r="M3546" s="9" t="n">
        <x:v>0.5455559095</x:v>
      </x:c>
      <x:c r="N3546" s="10" t="n">
        <x:v>38596.7889324192</x:v>
      </x:c>
      <x:c r="O3546" s="9" t="n">
        <x:v>-0.0931711578</x:v>
      </x:c>
      <x:c r="P3546" s="9" t="n">
        <x:v>0.2818671454</x:v>
      </x:c>
      <x:c r="Q3546" s="9" t="n">
        <x:v>0.1687612208</x:v>
      </x:c>
      <x:c r="R3546" s="3" t="b">
        <x:v>0</x:v>
      </x:c>
      <x:c r="S3546" s="3" t="b">
        <x:v>0</x:v>
      </x:c>
      <x:c r="T3546" s="3" t="b">
        <x:v>0</x:v>
      </x:c>
      <x:c r="U3546" s="2" t="str">
        <x:f>IF(T3546=TRUE,"Priority review",IF(R3546=TRUE,"High cost",IF(S3546=TRUE,"Low quality","Benchmark")))</x:f>
        <x:v>Benchmark</x:v>
      </x:c>
    </x:row>
    <x:row r="3547">
      <x:c r="A3547" s="2" t="str">
        <x:v>431316</x:v>
      </x:c>
      <x:c r="B3547" s="2" t="str">
        <x:v>COMMUNITY MEMORIAL HOSPITAL</x:v>
      </x:c>
      <x:c r="C3547" s="2" t="str">
        <x:v>REDFIELD</x:v>
      </x:c>
      <x:c r="D3547" s="2" t="str">
        <x:v>SD</x:v>
      </x:c>
      <x:c r="E3547" s="2" t="str">
        <x:v>Critical Access Hospitals</x:v>
      </x:c>
      <x:c r="F3547" s="2" t="str">
        <x:v>Government</x:v>
      </x:c>
      <x:c r="G3547" s="2" t="str">
        <x:v>Small (&lt;100 beds)</x:v>
      </x:c>
      <x:c r="H3547" s="7" t="n">
        <x:v>4</x:v>
      </x:c>
      <x:c r="I3547" s="7"/>
      <x:c r="J3547" s="7"/>
      <x:c r="K3547" s="8" t="n">
        <x:v>25</x:v>
      </x:c>
      <x:c r="L3547" s="8" t="n">
        <x:v>202</x:v>
      </x:c>
      <x:c r="M3547" s="9" t="n">
        <x:v>0.1391256831</x:v>
      </x:c>
      <x:c r="N3547" s="10" t="n">
        <x:v>93053.9752475248</x:v>
      </x:c>
      <x:c r="O3547" s="9" t="n">
        <x:v>-0.1204342827</x:v>
      </x:c>
      <x:c r="P3547" s="9" t="n">
        <x:v>0.2817843866</x:v>
      </x:c>
      <x:c r="Q3547" s="9" t="n">
        <x:v>0.1657992565</x:v>
      </x:c>
      <x:c r="R3547" s="3" t="b">
        <x:v>0</x:v>
      </x:c>
      <x:c r="S3547" s="3" t="b">
        <x:v>0</x:v>
      </x:c>
      <x:c r="T3547" s="3" t="b">
        <x:v>0</x:v>
      </x:c>
      <x:c r="U3547" s="2" t="str">
        <x:f>IF(T3547=TRUE,"Priority review",IF(R3547=TRUE,"High cost",IF(S3547=TRUE,"Low quality","Benchmark")))</x:f>
        <x:v>Benchmark</x:v>
      </x:c>
    </x:row>
    <x:row r="3548">
      <x:c r="A3548" s="2" t="str">
        <x:v>524041</x:v>
      </x:c>
      <x:c r="B3548" s="2" t="str">
        <x:v>SBH Green Bay, LLC d/b/a WILLOW CREEK BEHAVIORAL HEALTH</x:v>
      </x:c>
      <x:c r="C3548" s="2" t="str">
        <x:v>GREEN BAY</x:v>
      </x:c>
      <x:c r="D3548" s="2" t="str">
        <x:v>WI</x:v>
      </x:c>
      <x:c r="E3548" s="2" t="str">
        <x:v>Psychiatric</x:v>
      </x:c>
      <x:c r="F3548" s="2" t="str">
        <x:v>Proprietary</x:v>
      </x:c>
      <x:c r="G3548" s="2" t="str">
        <x:v>Small (&lt;100 beds)</x:v>
      </x:c>
      <x:c r="H3548" s="7"/>
      <x:c r="I3548" s="7"/>
      <x:c r="J3548" s="7"/>
      <x:c r="K3548" s="8" t="n">
        <x:v>72</x:v>
      </x:c>
      <x:c r="L3548" s="8" t="n">
        <x:v>2345</x:v>
      </x:c>
      <x:c r="M3548" s="9" t="n">
        <x:v>0.6910291439</x:v>
      </x:c>
      <x:c r="N3548" s="10" t="n">
        <x:v>8534.8490405117</x:v>
      </x:c>
      <x:c r="O3548" s="9" t="n">
        <x:v>-0.0328552616</x:v>
      </x:c>
      <x:c r="P3548" s="9" t="n">
        <x:v>0.2815533981</x:v>
      </x:c>
      <x:c r="Q3548" s="9" t="n">
        <x:v>0</x:v>
      </x:c>
      <x:c r="R3548" s="3" t="b">
        <x:v>0</x:v>
      </x:c>
      <x:c r="S3548" s="3" t="b">
        <x:v>0</x:v>
      </x:c>
      <x:c r="T3548" s="3" t="b">
        <x:v>0</x:v>
      </x:c>
      <x:c r="U3548" s="2" t="str">
        <x:f>IF(T3548=TRUE,"Priority review",IF(R3548=TRUE,"High cost",IF(S3548=TRUE,"Low quality","Benchmark")))</x:f>
        <x:v>Benchmark</x:v>
      </x:c>
    </x:row>
    <x:row r="3549">
      <x:c r="A3549" s="2" t="str">
        <x:v>390016</x:v>
      </x:c>
      <x:c r="B3549" s="2" t="str">
        <x:v>UPMC JAMESON</x:v>
      </x:c>
      <x:c r="C3549" s="2" t="str">
        <x:v>NEW CASTLE</x:v>
      </x:c>
      <x:c r="D3549" s="2" t="str">
        <x:v>PA</x:v>
      </x:c>
      <x:c r="E3549" s="2" t="str">
        <x:v>Acute Care Hospitals</x:v>
      </x:c>
      <x:c r="F3549" s="2" t="str">
        <x:v>Voluntary non-profit</x:v>
      </x:c>
      <x:c r="G3549" s="2" t="str">
        <x:v>Medium (100-299 beds)</x:v>
      </x:c>
      <x:c r="H3549" s="7" t="n">
        <x:v>3</x:v>
      </x:c>
      <x:c r="I3549" s="7" t="n">
        <x:v>3</x:v>
      </x:c>
      <x:c r="J3549" s="7" t="n">
        <x:v>1.03</x:v>
      </x:c>
      <x:c r="K3549" s="8" t="n">
        <x:v>110</x:v>
      </x:c>
      <x:c r="L3549" s="8" t="n">
        <x:v>6438</x:v>
      </x:c>
      <x:c r="M3549" s="9" t="n">
        <x:v>0.7130243927</x:v>
      </x:c>
      <x:c r="N3549" s="10" t="n">
        <x:v>26695.0361913638</x:v>
      </x:c>
      <x:c r="O3549" s="9" t="n">
        <x:v>-0.1761060063</x:v>
      </x:c>
      <x:c r="P3549" s="9" t="n">
        <x:v>0.2811735941</x:v>
      </x:c>
      <x:c r="Q3549" s="9" t="n">
        <x:v>0.3023634882</x:v>
      </x:c>
      <x:c r="R3549" s="3" t="b">
        <x:v>0</x:v>
      </x:c>
      <x:c r="S3549" s="3" t="b">
        <x:v>0</x:v>
      </x:c>
      <x:c r="T3549" s="3" t="b">
        <x:v>0</x:v>
      </x:c>
      <x:c r="U3549" s="2" t="str">
        <x:f>IF(T3549=TRUE,"Priority review",IF(R3549=TRUE,"High cost",IF(S3549=TRUE,"Low quality","Benchmark")))</x:f>
        <x:v>Benchmark</x:v>
      </x:c>
    </x:row>
    <x:row r="3550">
      <x:c r="A3550" s="2" t="str">
        <x:v>281315</x:v>
      </x:c>
      <x:c r="B3550" s="2" t="str">
        <x:v>BRODSTONE HEALTHCARE</x:v>
      </x:c>
      <x:c r="C3550" s="2" t="str">
        <x:v>SUPERIOR</x:v>
      </x:c>
      <x:c r="D3550" s="2" t="str">
        <x:v>NE</x:v>
      </x:c>
      <x:c r="E3550" s="2" t="str">
        <x:v>Critical Access Hospitals</x:v>
      </x:c>
      <x:c r="F3550" s="2" t="str">
        <x:v>Voluntary non-profit</x:v>
      </x:c>
      <x:c r="G3550" s="2" t="str">
        <x:v>Small (&lt;100 beds)</x:v>
      </x:c>
      <x:c r="H3550" s="7" t="n">
        <x:v>4</x:v>
      </x:c>
      <x:c r="I3550" s="7" t="n">
        <x:v>4</x:v>
      </x:c>
      <x:c r="J3550" s="7"/>
      <x:c r="K3550" s="8" t="n">
        <x:v>25</x:v>
      </x:c>
      <x:c r="L3550" s="8" t="n">
        <x:v>447</x:v>
      </x:c>
      <x:c r="M3550" s="9" t="n">
        <x:v>0.2272876712</x:v>
      </x:c>
      <x:c r="N3550" s="10" t="n">
        <x:v>93013.7986577181</x:v>
      </x:c>
      <x:c r="O3550" s="9" t="n">
        <x:v>-0.048871773</x:v>
      </x:c>
      <x:c r="P3550" s="9" t="n">
        <x:v>0.2810408922</x:v>
      </x:c>
      <x:c r="Q3550" s="9" t="n">
        <x:v>0.1657992565</x:v>
      </x:c>
      <x:c r="R3550" s="3" t="b">
        <x:v>0</x:v>
      </x:c>
      <x:c r="S3550" s="3" t="b">
        <x:v>0</x:v>
      </x:c>
      <x:c r="T3550" s="3" t="b">
        <x:v>0</x:v>
      </x:c>
      <x:c r="U3550" s="2" t="str">
        <x:f>IF(T3550=TRUE,"Priority review",IF(R3550=TRUE,"High cost",IF(S3550=TRUE,"Low quality","Benchmark")))</x:f>
        <x:v>Benchmark</x:v>
      </x:c>
    </x:row>
    <x:row r="3551">
      <x:c r="A3551" s="2" t="str">
        <x:v>390184</x:v>
      </x:c>
      <x:c r="B3551" s="2" t="str">
        <x:v>PENN HIGHLANDS CONNELLSVILLE</x:v>
      </x:c>
      <x:c r="C3551" s="2" t="str">
        <x:v>CONNELLSVILLE</x:v>
      </x:c>
      <x:c r="D3551" s="2" t="str">
        <x:v>PA</x:v>
      </x:c>
      <x:c r="E3551" s="2" t="str">
        <x:v>Acute Care Hospitals</x:v>
      </x:c>
      <x:c r="F3551" s="2" t="str">
        <x:v>Voluntary non-profit</x:v>
      </x:c>
      <x:c r="G3551" s="2" t="str">
        <x:v>Small (&lt;100 beds)</x:v>
      </x:c>
      <x:c r="H3551" s="7"/>
      <x:c r="I3551" s="7"/>
      <x:c r="J3551" s="7" t="n">
        <x:v>0.83</x:v>
      </x:c>
      <x:c r="K3551" s="8" t="n">
        <x:v>46</x:v>
      </x:c>
      <x:c r="L3551" s="8" t="n">
        <x:v>1219</x:v>
      </x:c>
      <x:c r="M3551" s="9" t="n">
        <x:v>0.4216200119</x:v>
      </x:c>
      <x:c r="N3551" s="10" t="n">
        <x:v>38553.5619360131</x:v>
      </x:c>
      <x:c r="O3551" s="9" t="n">
        <x:v>-0.1790530589</x:v>
      </x:c>
      <x:c r="P3551" s="9" t="n">
        <x:v>0.2809694794</x:v>
      </x:c>
      <x:c r="Q3551" s="9" t="n">
        <x:v>0.697486535</x:v>
      </x:c>
      <x:c r="R3551" s="3" t="b">
        <x:v>0</x:v>
      </x:c>
      <x:c r="S3551" s="3" t="b">
        <x:v>0</x:v>
      </x:c>
      <x:c r="T3551" s="3" t="b">
        <x:v>0</x:v>
      </x:c>
      <x:c r="U3551" s="2" t="str">
        <x:f>IF(T3551=TRUE,"Priority review",IF(R3551=TRUE,"High cost",IF(S3551=TRUE,"Low quality","Benchmark")))</x:f>
        <x:v>Benchmark</x:v>
      </x:c>
    </x:row>
    <x:row r="3552">
      <x:c r="A3552" s="2" t="str">
        <x:v>360066</x:v>
      </x:c>
      <x:c r="B3552" s="2" t="str">
        <x:v>MERCY HEALTH ST RITAS MEDICAL CENTER</x:v>
      </x:c>
      <x:c r="C3552" s="2" t="str">
        <x:v>LIMA</x:v>
      </x:c>
      <x:c r="D3552" s="2" t="str">
        <x:v>OH</x:v>
      </x:c>
      <x:c r="E3552" s="2" t="str">
        <x:v>Acute Care Hospitals</x:v>
      </x:c>
      <x:c r="F3552" s="2" t="str">
        <x:v>Voluntary non-profit</x:v>
      </x:c>
      <x:c r="G3552" s="2" t="str">
        <x:v>Large (300+ beds)</x:v>
      </x:c>
      <x:c r="H3552" s="7" t="n">
        <x:v>4</x:v>
      </x:c>
      <x:c r="I3552" s="7" t="n">
        <x:v>3</x:v>
      </x:c>
      <x:c r="J3552" s="7" t="n">
        <x:v>0.99</x:v>
      </x:c>
      <x:c r="K3552" s="8" t="n">
        <x:v>327</x:v>
      </x:c>
      <x:c r="L3552" s="8" t="n">
        <x:v>16604</x:v>
      </x:c>
      <x:c r="M3552" s="9" t="n">
        <x:v>0.6510612922</x:v>
      </x:c>
      <x:c r="N3552" s="10" t="n">
        <x:v>29338.3028788244</x:v>
      </x:c>
      <x:c r="O3552" s="9" t="n">
        <x:v>0.0858837419</x:v>
      </x:c>
      <x:c r="P3552" s="9" t="n">
        <x:v>0.2807570978</x:v>
      </x:c>
      <x:c r="Q3552" s="9" t="n">
        <x:v>0.5899053628</x:v>
      </x:c>
      <x:c r="R3552" s="3" t="b">
        <x:v>0</x:v>
      </x:c>
      <x:c r="S3552" s="3" t="b">
        <x:v>0</x:v>
      </x:c>
      <x:c r="T3552" s="3" t="b">
        <x:v>0</x:v>
      </x:c>
      <x:c r="U3552" s="2" t="str">
        <x:f>IF(T3552=TRUE,"Priority review",IF(R3552=TRUE,"High cost",IF(S3552=TRUE,"Low quality","Benchmark")))</x:f>
        <x:v>Benchmark</x:v>
      </x:c>
    </x:row>
    <x:row r="3553">
      <x:c r="A3553" s="2" t="str">
        <x:v>360132</x:v>
      </x:c>
      <x:c r="B3553" s="2" t="str">
        <x:v>FORT HAMILTON HUGHES MEMORIAL HOSPITAL</x:v>
      </x:c>
      <x:c r="C3553" s="2" t="str">
        <x:v>HAMILTON</x:v>
      </x:c>
      <x:c r="D3553" s="2" t="str">
        <x:v>OH</x:v>
      </x:c>
      <x:c r="E3553" s="2" t="str">
        <x:v>Acute Care Hospitals</x:v>
      </x:c>
      <x:c r="F3553" s="2" t="str">
        <x:v>Voluntary non-profit</x:v>
      </x:c>
      <x:c r="G3553" s="2" t="str">
        <x:v>Medium (100-299 beds)</x:v>
      </x:c>
      <x:c r="H3553" s="7" t="n">
        <x:v>3</x:v>
      </x:c>
      <x:c r="I3553" s="7" t="n">
        <x:v>3</x:v>
      </x:c>
      <x:c r="J3553" s="7" t="n">
        <x:v>1.01</x:v>
      </x:c>
      <x:c r="K3553" s="8" t="n">
        <x:v>138</x:v>
      </x:c>
      <x:c r="L3553" s="8" t="n">
        <x:v>6738</x:v>
      </x:c>
      <x:c r="M3553" s="9" t="n">
        <x:v>0.5317620696</x:v>
      </x:c>
      <x:c r="N3553" s="10" t="n">
        <x:v>26632.785989908</x:v>
      </x:c>
      <x:c r="O3553" s="9" t="n">
        <x:v>-0.0121502044</x:v>
      </x:c>
      <x:c r="P3553" s="9" t="n">
        <x:v>0.2803585982</x:v>
      </x:c>
      <x:c r="Q3553" s="9" t="n">
        <x:v>0.3023634882</x:v>
      </x:c>
      <x:c r="R3553" s="3" t="b">
        <x:v>0</x:v>
      </x:c>
      <x:c r="S3553" s="3" t="b">
        <x:v>0</x:v>
      </x:c>
      <x:c r="T3553" s="3" t="b">
        <x:v>0</x:v>
      </x:c>
      <x:c r="U3553" s="2" t="str">
        <x:f>IF(T3553=TRUE,"Priority review",IF(R3553=TRUE,"High cost",IF(S3553=TRUE,"Low quality","Benchmark")))</x:f>
        <x:v>Benchmark</x:v>
      </x:c>
    </x:row>
    <x:row r="3554">
      <x:c r="A3554" s="2" t="str">
        <x:v>181316</x:v>
      </x:c>
      <x:c r="B3554" s="2" t="str">
        <x:v>MARY BRECKINRIDGE ARH HOSPITAL</x:v>
      </x:c>
      <x:c r="C3554" s="2" t="str">
        <x:v>HYDEN</x:v>
      </x:c>
      <x:c r="D3554" s="2" t="str">
        <x:v>KY</x:v>
      </x:c>
      <x:c r="E3554" s="2" t="str">
        <x:v>Critical Access Hospitals</x:v>
      </x:c>
      <x:c r="F3554" s="2" t="str">
        <x:v>Voluntary non-profit</x:v>
      </x:c>
      <x:c r="G3554" s="2" t="str">
        <x:v>Small (&lt;100 beds)</x:v>
      </x:c>
      <x:c r="H3554" s="7"/>
      <x:c r="I3554" s="7"/>
      <x:c r="J3554" s="7"/>
      <x:c r="K3554" s="8" t="n">
        <x:v>25</x:v>
      </x:c>
      <x:c r="L3554" s="8" t="n">
        <x:v>217</x:v>
      </x:c>
      <x:c r="M3554" s="9" t="n">
        <x:v>0.6150136986</x:v>
      </x:c>
      <x:c r="N3554" s="10" t="n">
        <x:v>92945.1152073733</x:v>
      </x:c>
      <x:c r="O3554" s="9" t="n">
        <x:v>-0.0023506855</x:v>
      </x:c>
      <x:c r="P3554" s="9" t="n">
        <x:v>0.2802973978</x:v>
      </x:c>
      <x:c r="Q3554" s="9" t="n">
        <x:v>0.292936803</x:v>
      </x:c>
      <x:c r="R3554" s="3" t="b">
        <x:v>0</x:v>
      </x:c>
      <x:c r="S3554" s="3" t="b">
        <x:v>0</x:v>
      </x:c>
      <x:c r="T3554" s="3" t="b">
        <x:v>0</x:v>
      </x:c>
      <x:c r="U3554" s="2" t="str">
        <x:f>IF(T3554=TRUE,"Priority review",IF(R3554=TRUE,"High cost",IF(S3554=TRUE,"Low quality","Benchmark")))</x:f>
        <x:v>Benchmark</x:v>
      </x:c>
    </x:row>
    <x:row r="3555">
      <x:c r="A3555" s="2" t="str">
        <x:v>250162</x:v>
      </x:c>
      <x:c r="B3555" s="2" t="str">
        <x:v>OCHSNER MEDICAL CENTER-HANCOCK</x:v>
      </x:c>
      <x:c r="C3555" s="2" t="str">
        <x:v>BAY SAINT LOUIS</x:v>
      </x:c>
      <x:c r="D3555" s="2" t="str">
        <x:v>MS</x:v>
      </x:c>
      <x:c r="E3555" s="2" t="str">
        <x:v>Acute Care Hospitals</x:v>
      </x:c>
      <x:c r="F3555" s="2" t="str">
        <x:v>Government</x:v>
      </x:c>
      <x:c r="G3555" s="2" t="str">
        <x:v>Small (&lt;100 beds)</x:v>
      </x:c>
      <x:c r="H3555" s="7" t="n">
        <x:v>3</x:v>
      </x:c>
      <x:c r="I3555" s="7" t="n">
        <x:v>4</x:v>
      </x:c>
      <x:c r="J3555" s="7" t="n">
        <x:v>0.87</x:v>
      </x:c>
      <x:c r="K3555" s="8" t="n">
        <x:v>41</x:v>
      </x:c>
      <x:c r="L3555" s="8" t="n">
        <x:v>1132</x:v>
      </x:c>
      <x:c r="M3555" s="9" t="n">
        <x:v>0.2605624417</x:v>
      </x:c>
      <x:c r="N3555" s="10" t="n">
        <x:v>38479.7340989399</x:v>
      </x:c>
      <x:c r="O3555" s="9" t="n">
        <x:v>-0.0304897172</x:v>
      </x:c>
      <x:c r="P3555" s="9" t="n">
        <x:v>0.2800718133</x:v>
      </x:c>
      <x:c r="Q3555" s="9" t="n">
        <x:v>0.1687612208</x:v>
      </x:c>
      <x:c r="R3555" s="3" t="b">
        <x:v>0</x:v>
      </x:c>
      <x:c r="S3555" s="3" t="b">
        <x:v>0</x:v>
      </x:c>
      <x:c r="T3555" s="3" t="b">
        <x:v>0</x:v>
      </x:c>
      <x:c r="U3555" s="2" t="str">
        <x:f>IF(T3555=TRUE,"Priority review",IF(R3555=TRUE,"High cost",IF(S3555=TRUE,"Low quality","Benchmark")))</x:f>
        <x:v>Benchmark</x:v>
      </x:c>
    </x:row>
    <x:row r="3556">
      <x:c r="A3556" s="2" t="str">
        <x:v>224032</x:v>
      </x:c>
      <x:c r="B3556" s="2" t="str">
        <x:v>WORCESTER RECOVERY CENTER AND HOSPITAL</x:v>
      </x:c>
      <x:c r="C3556" s="2" t="str">
        <x:v>WORCESTER</x:v>
      </x:c>
      <x:c r="D3556" s="2" t="str">
        <x:v>MA</x:v>
      </x:c>
      <x:c r="E3556" s="2" t="str">
        <x:v>Psychiatric</x:v>
      </x:c>
      <x:c r="F3556" s="2" t="str">
        <x:v>Government</x:v>
      </x:c>
      <x:c r="G3556" s="2" t="str">
        <x:v>Large (300+ beds)</x:v>
      </x:c>
      <x:c r="H3556" s="7"/>
      <x:c r="I3556" s="7"/>
      <x:c r="J3556" s="7"/>
      <x:c r="K3556" s="8" t="n">
        <x:v>320</x:v>
      </x:c>
      <x:c r="L3556" s="8" t="n">
        <x:v>574</x:v>
      </x:c>
      <x:c r="M3556" s="9" t="n">
        <x:v>0.967234589</x:v>
      </x:c>
      <x:c r="N3556" s="10" t="n">
        <x:v>224836.1045296167</x:v>
      </x:c>
      <x:c r="O3556" s="9"/>
      <x:c r="P3556" s="9" t="n">
        <x:v>0.28</x:v>
      </x:c>
      <x:c r="Q3556" s="9" t="n">
        <x:v>0</x:v>
      </x:c>
      <x:c r="R3556" s="3" t="b">
        <x:v>0</x:v>
      </x:c>
      <x:c r="S3556" s="3" t="b">
        <x:v>0</x:v>
      </x:c>
      <x:c r="T3556" s="3" t="b">
        <x:v>0</x:v>
      </x:c>
      <x:c r="U3556" s="2" t="str">
        <x:f>IF(T3556=TRUE,"Priority review",IF(R3556=TRUE,"High cost",IF(S3556=TRUE,"Low quality","Benchmark")))</x:f>
        <x:v>Benchmark</x:v>
      </x:c>
    </x:row>
    <x:row r="3557">
      <x:c r="A3557" s="2" t="str">
        <x:v>151311</x:v>
      </x:c>
      <x:c r="B3557" s="2" t="str">
        <x:v>INDIANA UNIVERSITY HEALTH TIPTON HOSPITAL INC</x:v>
      </x:c>
      <x:c r="C3557" s="2" t="str">
        <x:v>TIPTON</x:v>
      </x:c>
      <x:c r="D3557" s="2" t="str">
        <x:v>IN</x:v>
      </x:c>
      <x:c r="E3557" s="2" t="str">
        <x:v>Critical Access Hospitals</x:v>
      </x:c>
      <x:c r="F3557" s="2" t="str">
        <x:v>Voluntary non-profit</x:v>
      </x:c>
      <x:c r="G3557" s="2" t="str">
        <x:v>Small (&lt;100 beds)</x:v>
      </x:c>
      <x:c r="H3557" s="7" t="n">
        <x:v>3</x:v>
      </x:c>
      <x:c r="I3557" s="7"/>
      <x:c r="J3557" s="7"/>
      <x:c r="K3557" s="8" t="n">
        <x:v>25</x:v>
      </x:c>
      <x:c r="L3557" s="8" t="n">
        <x:v>476</x:v>
      </x:c>
      <x:c r="M3557" s="9" t="n">
        <x:v>0.2044808743</x:v>
      </x:c>
      <x:c r="N3557" s="10" t="n">
        <x:v>92849.6344537815</x:v>
      </x:c>
      <x:c r="O3557" s="9" t="n">
        <x:v>0.0233265928</x:v>
      </x:c>
      <x:c r="P3557" s="9" t="n">
        <x:v>0.2795539033</x:v>
      </x:c>
      <x:c r="Q3557" s="9" t="n">
        <x:v>0.0765799257</x:v>
      </x:c>
      <x:c r="R3557" s="3" t="b">
        <x:v>0</x:v>
      </x:c>
      <x:c r="S3557" s="3" t="b">
        <x:v>1</x:v>
      </x:c>
      <x:c r="T3557" s="3" t="b">
        <x:v>0</x:v>
      </x:c>
      <x:c r="U3557" s="2" t="str">
        <x:f>IF(T3557=TRUE,"Priority review",IF(R3557=TRUE,"High cost",IF(S3557=TRUE,"Low quality","Benchmark")))</x:f>
        <x:v>Low quality</x:v>
      </x:c>
    </x:row>
    <x:row r="3558">
      <x:c r="A3558" s="2" t="str">
        <x:v>390153</x:v>
      </x:c>
      <x:c r="B3558" s="2" t="str">
        <x:v>PAOLI HOSPITAL</x:v>
      </x:c>
      <x:c r="C3558" s="2" t="str">
        <x:v>PAOLI</x:v>
      </x:c>
      <x:c r="D3558" s="2" t="str">
        <x:v>PA</x:v>
      </x:c>
      <x:c r="E3558" s="2" t="str">
        <x:v>Acute Care Hospitals</x:v>
      </x:c>
      <x:c r="F3558" s="2" t="str">
        <x:v>Voluntary non-profit</x:v>
      </x:c>
      <x:c r="G3558" s="2" t="str">
        <x:v>Medium (100-299 beds)</x:v>
      </x:c>
      <x:c r="H3558" s="7" t="n">
        <x:v>5</x:v>
      </x:c>
      <x:c r="I3558" s="7" t="n">
        <x:v>4</x:v>
      </x:c>
      <x:c r="J3558" s="7" t="n">
        <x:v>1</x:v>
      </x:c>
      <x:c r="K3558" s="8" t="n">
        <x:v>261</x:v>
      </x:c>
      <x:c r="L3558" s="8" t="n">
        <x:v>15989</x:v>
      </x:c>
      <x:c r="M3558" s="9" t="n">
        <x:v>0.7859654648</x:v>
      </x:c>
      <x:c r="N3558" s="10" t="n">
        <x:v>26583.6189880543</x:v>
      </x:c>
      <x:c r="O3558" s="9" t="n">
        <x:v>0.0063329792</x:v>
      </x:c>
      <x:c r="P3558" s="9" t="n">
        <x:v>0.2795436023</x:v>
      </x:c>
      <x:c r="Q3558" s="9" t="n">
        <x:v>0.8744906275</x:v>
      </x:c>
      <x:c r="R3558" s="3" t="b">
        <x:v>0</x:v>
      </x:c>
      <x:c r="S3558" s="3" t="b">
        <x:v>0</x:v>
      </x:c>
      <x:c r="T3558" s="3" t="b">
        <x:v>0</x:v>
      </x:c>
      <x:c r="U3558" s="2" t="str">
        <x:f>IF(T3558=TRUE,"Priority review",IF(R3558=TRUE,"High cost",IF(S3558=TRUE,"Low quality","Benchmark")))</x:f>
        <x:v>Benchmark</x:v>
      </x:c>
    </x:row>
    <x:row r="3559">
      <x:c r="A3559" s="2" t="str">
        <x:v>150169</x:v>
      </x:c>
      <x:c r="B3559" s="2" t="str">
        <x:v>COMMUNITY HOSPITAL NORTH</x:v>
      </x:c>
      <x:c r="C3559" s="2" t="str">
        <x:v>INDIANAPOLIS</x:v>
      </x:c>
      <x:c r="D3559" s="2" t="str">
        <x:v>IN</x:v>
      </x:c>
      <x:c r="E3559" s="2" t="str">
        <x:v>Acute Care Hospitals</x:v>
      </x:c>
      <x:c r="F3559" s="2" t="str">
        <x:v>Voluntary non-profit</x:v>
      </x:c>
      <x:c r="G3559" s="2" t="str">
        <x:v>Large (300+ beds)</x:v>
      </x:c>
      <x:c r="H3559" s="7" t="n">
        <x:v>3</x:v>
      </x:c>
      <x:c r="I3559" s="7" t="n">
        <x:v>3</x:v>
      </x:c>
      <x:c r="J3559" s="7" t="n">
        <x:v>1.06</x:v>
      </x:c>
      <x:c r="K3559" s="8" t="n">
        <x:v>340</x:v>
      </x:c>
      <x:c r="L3559" s="8" t="n">
        <x:v>17876</x:v>
      </x:c>
      <x:c r="M3559" s="9" t="n">
        <x:v>0.7618772099</x:v>
      </x:c>
      <x:c r="N3559" s="10" t="n">
        <x:v>29311.6247482658</x:v>
      </x:c>
      <x:c r="O3559" s="9" t="n">
        <x:v>0.1487950037</x:v>
      </x:c>
      <x:c r="P3559" s="9" t="n">
        <x:v>0.2791798107</x:v>
      </x:c>
      <x:c r="Q3559" s="9" t="n">
        <x:v>0.2570977918</x:v>
      </x:c>
      <x:c r="R3559" s="3" t="b">
        <x:v>0</x:v>
      </x:c>
      <x:c r="S3559" s="3" t="b">
        <x:v>0</x:v>
      </x:c>
      <x:c r="T3559" s="3" t="b">
        <x:v>0</x:v>
      </x:c>
      <x:c r="U3559" s="2" t="str">
        <x:f>IF(T3559=TRUE,"Priority review",IF(R3559=TRUE,"High cost",IF(S3559=TRUE,"Low quality","Benchmark")))</x:f>
        <x:v>Benchmark</x:v>
      </x:c>
    </x:row>
    <x:row r="3560">
      <x:c r="A3560" s="2" t="str">
        <x:v>330277</x:v>
      </x:c>
      <x:c r="B3560" s="2" t="str">
        <x:v>CORNING HOSPITAL</x:v>
      </x:c>
      <x:c r="C3560" s="2" t="str">
        <x:v>CORNING</x:v>
      </x:c>
      <x:c r="D3560" s="2" t="str">
        <x:v>NY</x:v>
      </x:c>
      <x:c r="E3560" s="2" t="str">
        <x:v>Acute Care Hospitals</x:v>
      </x:c>
      <x:c r="F3560" s="2" t="str">
        <x:v>Voluntary non-profit</x:v>
      </x:c>
      <x:c r="G3560" s="2" t="str">
        <x:v>Small (&lt;100 beds)</x:v>
      </x:c>
      <x:c r="H3560" s="7" t="n">
        <x:v>3</x:v>
      </x:c>
      <x:c r="I3560" s="7" t="n">
        <x:v>3</x:v>
      </x:c>
      <x:c r="J3560" s="7" t="n">
        <x:v>0.9</x:v>
      </x:c>
      <x:c r="K3560" s="8" t="n">
        <x:v>65</x:v>
      </x:c>
      <x:c r="L3560" s="8" t="n">
        <x:v>4704</x:v>
      </x:c>
      <x:c r="M3560" s="9" t="n">
        <x:v>0.7557409514</x:v>
      </x:c>
      <x:c r="N3560" s="10" t="n">
        <x:v>38406.3907312925</x:v>
      </x:c>
      <x:c r="O3560" s="9" t="n">
        <x:v>0.1423973974</x:v>
      </x:c>
      <x:c r="P3560" s="9" t="n">
        <x:v>0.2791741472</x:v>
      </x:c>
      <x:c r="Q3560" s="9" t="n">
        <x:v>0.1687612208</x:v>
      </x:c>
      <x:c r="R3560" s="3" t="b">
        <x:v>0</x:v>
      </x:c>
      <x:c r="S3560" s="3" t="b">
        <x:v>0</x:v>
      </x:c>
      <x:c r="T3560" s="3" t="b">
        <x:v>0</x:v>
      </x:c>
      <x:c r="U3560" s="2" t="str">
        <x:f>IF(T3560=TRUE,"Priority review",IF(R3560=TRUE,"High cost",IF(S3560=TRUE,"Low quality","Benchmark")))</x:f>
        <x:v>Benchmark</x:v>
      </x:c>
    </x:row>
    <x:row r="3561">
      <x:c r="A3561" s="2" t="str">
        <x:v>441301</x:v>
      </x:c>
      <x:c r="B3561" s="2" t="str">
        <x:v>HIGHPOINT HEALTH-TROUSDALE WITH ASCENSION SAINT</x:v>
      </x:c>
      <x:c r="C3561" s="2" t="str">
        <x:v>HARTSVILLE</x:v>
      </x:c>
      <x:c r="D3561" s="2" t="str">
        <x:v>TN</x:v>
      </x:c>
      <x:c r="E3561" s="2" t="str">
        <x:v>Critical Access Hospitals</x:v>
      </x:c>
      <x:c r="F3561" s="2" t="str">
        <x:v>Voluntary non-profit</x:v>
      </x:c>
      <x:c r="G3561" s="2" t="str">
        <x:v>Small (&lt;100 beds)</x:v>
      </x:c>
      <x:c r="H3561" s="7"/>
      <x:c r="I3561" s="7"/>
      <x:c r="J3561" s="7"/>
      <x:c r="K3561" s="8" t="n">
        <x:v>25</x:v>
      </x:c>
      <x:c r="L3561" s="8" t="n">
        <x:v>119</x:v>
      </x:c>
      <x:c r="M3561" s="9" t="n">
        <x:v>0.112568306</x:v>
      </x:c>
      <x:c r="N3561" s="10" t="n">
        <x:v>92823.3529411765</x:v>
      </x:c>
      <x:c r="O3561" s="9" t="n">
        <x:v>0.0841919085</x:v>
      </x:c>
      <x:c r="P3561" s="9" t="n">
        <x:v>0.2788104089</x:v>
      </x:c>
      <x:c r="Q3561" s="9" t="n">
        <x:v>0.292936803</x:v>
      </x:c>
      <x:c r="R3561" s="3" t="b">
        <x:v>0</x:v>
      </x:c>
      <x:c r="S3561" s="3" t="b">
        <x:v>0</x:v>
      </x:c>
      <x:c r="T3561" s="3" t="b">
        <x:v>0</x:v>
      </x:c>
      <x:c r="U3561" s="2" t="str">
        <x:f>IF(T3561=TRUE,"Priority review",IF(R3561=TRUE,"High cost",IF(S3561=TRUE,"Low quality","Benchmark")))</x:f>
        <x:v>Benchmark</x:v>
      </x:c>
    </x:row>
    <x:row r="3562">
      <x:c r="A3562" s="2" t="str">
        <x:v>310113</x:v>
      </x:c>
      <x:c r="B3562" s="2" t="str">
        <x:v>SOUTHERN OCEAN MEDICAL CENTER</x:v>
      </x:c>
      <x:c r="C3562" s="2" t="str">
        <x:v>MANAHAWKIN</x:v>
      </x:c>
      <x:c r="D3562" s="2" t="str">
        <x:v>NJ</x:v>
      </x:c>
      <x:c r="E3562" s="2" t="str">
        <x:v>Acute Care Hospitals</x:v>
      </x:c>
      <x:c r="F3562" s="2" t="str">
        <x:v>Voluntary non-profit</x:v>
      </x:c>
      <x:c r="G3562" s="2" t="str">
        <x:v>Medium (100-299 beds)</x:v>
      </x:c>
      <x:c r="H3562" s="7" t="n">
        <x:v>4</x:v>
      </x:c>
      <x:c r="I3562" s="7" t="n">
        <x:v>3</x:v>
      </x:c>
      <x:c r="J3562" s="7" t="n">
        <x:v>1.05</x:v>
      </x:c>
      <x:c r="K3562" s="8" t="n">
        <x:v>156</x:v>
      </x:c>
      <x:c r="L3562" s="8" t="n">
        <x:v>9000</x:v>
      </x:c>
      <x:c r="M3562" s="9" t="n">
        <x:v>0.6221801878</x:v>
      </x:c>
      <x:c r="N3562" s="10" t="n">
        <x:v>26574.2224444444</x:v>
      </x:c>
      <x:c r="O3562" s="9" t="n">
        <x:v>0.1342194803</x:v>
      </x:c>
      <x:c r="P3562" s="9" t="n">
        <x:v>0.2787286064</x:v>
      </x:c>
      <x:c r="Q3562" s="9" t="n">
        <x:v>0.6022819886</x:v>
      </x:c>
      <x:c r="R3562" s="3" t="b">
        <x:v>0</x:v>
      </x:c>
      <x:c r="S3562" s="3" t="b">
        <x:v>0</x:v>
      </x:c>
      <x:c r="T3562" s="3" t="b">
        <x:v>0</x:v>
      </x:c>
      <x:c r="U3562" s="2" t="str">
        <x:f>IF(T3562=TRUE,"Priority review",IF(R3562=TRUE,"High cost",IF(S3562=TRUE,"Low quality","Benchmark")))</x:f>
        <x:v>Benchmark</x:v>
      </x:c>
    </x:row>
    <x:row r="3563">
      <x:c r="A3563" s="2" t="str">
        <x:v>454139</x:v>
      </x:c>
      <x:c r="B3563" s="2" t="str">
        <x:v>SUN BEHAVIORAL HOUSTON</x:v>
      </x:c>
      <x:c r="C3563" s="2" t="str">
        <x:v>HOUSTON</x:v>
      </x:c>
      <x:c r="D3563" s="2" t="str">
        <x:v>TX</x:v>
      </x:c>
      <x:c r="E3563" s="2" t="str">
        <x:v>Psychiatric</x:v>
      </x:c>
      <x:c r="F3563" s="2" t="str">
        <x:v>Proprietary</x:v>
      </x:c>
      <x:c r="G3563" s="2" t="str">
        <x:v>Medium (100-299 beds)</x:v>
      </x:c>
      <x:c r="H3563" s="7"/>
      <x:c r="I3563" s="7"/>
      <x:c r="J3563" s="7"/>
      <x:c r="K3563" s="8" t="n">
        <x:v>148</x:v>
      </x:c>
      <x:c r="L3563" s="8" t="n">
        <x:v>4891</x:v>
      </x:c>
      <x:c r="M3563" s="9" t="n">
        <x:v>0.8083924088</x:v>
      </x:c>
      <x:c r="N3563" s="10" t="n">
        <x:v>7503.4498057657</x:v>
      </x:c>
      <x:c r="O3563" s="9" t="n">
        <x:v>0.1336797478</x:v>
      </x:c>
      <x:c r="P3563" s="9" t="n">
        <x:v>0.2786069652</x:v>
      </x:c>
      <x:c r="Q3563" s="9" t="n">
        <x:v>0</x:v>
      </x:c>
      <x:c r="R3563" s="3" t="b">
        <x:v>0</x:v>
      </x:c>
      <x:c r="S3563" s="3" t="b">
        <x:v>0</x:v>
      </x:c>
      <x:c r="T3563" s="3" t="b">
        <x:v>0</x:v>
      </x:c>
      <x:c r="U3563" s="2" t="str">
        <x:f>IF(T3563=TRUE,"Priority review",IF(R3563=TRUE,"High cost",IF(S3563=TRUE,"Low quality","Benchmark")))</x:f>
        <x:v>Benchmark</x:v>
      </x:c>
    </x:row>
    <x:row r="3564">
      <x:c r="A3564" s="2" t="str">
        <x:v>034020</x:v>
      </x:c>
      <x:c r="B3564" s="2" t="str">
        <x:v>HAVEN BEHAVIORAL HOSPITAL OF PHOENIX</x:v>
      </x:c>
      <x:c r="C3564" s="2" t="str">
        <x:v>PHOENIX</x:v>
      </x:c>
      <x:c r="D3564" s="2" t="str">
        <x:v>AZ</x:v>
      </x:c>
      <x:c r="E3564" s="2" t="str">
        <x:v>Psychiatric</x:v>
      </x:c>
      <x:c r="F3564" s="2" t="str">
        <x:v>Proprietary</x:v>
      </x:c>
      <x:c r="G3564" s="2" t="str">
        <x:v>Small (&lt;100 beds)</x:v>
      </x:c>
      <x:c r="H3564" s="7"/>
      <x:c r="I3564" s="7"/>
      <x:c r="J3564" s="7"/>
      <x:c r="K3564" s="8" t="n">
        <x:v>56</x:v>
      </x:c>
      <x:c r="L3564" s="8" t="n">
        <x:v>1843</x:v>
      </x:c>
      <x:c r="M3564" s="9" t="n">
        <x:v>0.9869373777</x:v>
      </x:c>
      <x:c r="N3564" s="10" t="n">
        <x:v>8514.2712967987</x:v>
      </x:c>
      <x:c r="O3564" s="9" t="n">
        <x:v>0.1841640352</x:v>
      </x:c>
      <x:c r="P3564" s="9" t="n">
        <x:v>0.2783171521</x:v>
      </x:c>
      <x:c r="Q3564" s="9" t="n">
        <x:v>0</x:v>
      </x:c>
      <x:c r="R3564" s="3" t="b">
        <x:v>0</x:v>
      </x:c>
      <x:c r="S3564" s="3" t="b">
        <x:v>0</x:v>
      </x:c>
      <x:c r="T3564" s="3" t="b">
        <x:v>0</x:v>
      </x:c>
      <x:c r="U3564" s="2" t="str">
        <x:f>IF(T3564=TRUE,"Priority review",IF(R3564=TRUE,"High cost",IF(S3564=TRUE,"Low quality","Benchmark")))</x:f>
        <x:v>Benchmark</x:v>
      </x:c>
    </x:row>
    <x:row r="3565">
      <x:c r="A3565" s="2" t="str">
        <x:v>330386</x:v>
      </x:c>
      <x:c r="B3565" s="2" t="str">
        <x:v>GARNET HEALTH  MEDICAL CENTER CATSKILLS</x:v>
      </x:c>
      <x:c r="C3565" s="2" t="str">
        <x:v>HARRIS</x:v>
      </x:c>
      <x:c r="D3565" s="2" t="str">
        <x:v>NY</x:v>
      </x:c>
      <x:c r="E3565" s="2" t="str">
        <x:v>Acute Care Hospitals</x:v>
      </x:c>
      <x:c r="F3565" s="2" t="str">
        <x:v>Voluntary non-profit</x:v>
      </x:c>
      <x:c r="G3565" s="2" t="str">
        <x:v>Small (&lt;100 beds)</x:v>
      </x:c>
      <x:c r="H3565" s="7" t="n">
        <x:v>2</x:v>
      </x:c>
      <x:c r="I3565" s="7" t="n">
        <x:v>2</x:v>
      </x:c>
      <x:c r="J3565" s="7" t="n">
        <x:v>0.98</x:v>
      </x:c>
      <x:c r="K3565" s="8" t="n">
        <x:v>76</x:v>
      </x:c>
      <x:c r="L3565" s="8" t="n">
        <x:v>2511</x:v>
      </x:c>
      <x:c r="M3565" s="9" t="n">
        <x:v>0.4145096347</x:v>
      </x:c>
      <x:c r="N3565" s="10" t="n">
        <x:v>38375.3253683791</x:v>
      </x:c>
      <x:c r="O3565" s="9" t="n">
        <x:v>-0.0797771949</x:v>
      </x:c>
      <x:c r="P3565" s="9" t="n">
        <x:v>0.2782764811</x:v>
      </x:c>
      <x:c r="Q3565" s="9" t="n">
        <x:v>0.0350089767</x:v>
      </x:c>
      <x:c r="R3565" s="3" t="b">
        <x:v>0</x:v>
      </x:c>
      <x:c r="S3565" s="3" t="b">
        <x:v>1</x:v>
      </x:c>
      <x:c r="T3565" s="3" t="b">
        <x:v>0</x:v>
      </x:c>
      <x:c r="U3565" s="2" t="str">
        <x:f>IF(T3565=TRUE,"Priority review",IF(R3565=TRUE,"High cost",IF(S3565=TRUE,"Low quality","Benchmark")))</x:f>
        <x:v>Low quality</x:v>
      </x:c>
    </x:row>
    <x:row r="3566">
      <x:c r="A3566" s="2" t="str">
        <x:v>431321</x:v>
      </x:c>
      <x:c r="B3566" s="2" t="str">
        <x:v>MONUMENT HEALTH STURGIS HOSPITAL</x:v>
      </x:c>
      <x:c r="C3566" s="2" t="str">
        <x:v>STURGIS</x:v>
      </x:c>
      <x:c r="D3566" s="2" t="str">
        <x:v>SD</x:v>
      </x:c>
      <x:c r="E3566" s="2" t="str">
        <x:v>Critical Access Hospitals</x:v>
      </x:c>
      <x:c r="F3566" s="2" t="str">
        <x:v>Voluntary non-profit</x:v>
      </x:c>
      <x:c r="G3566" s="2" t="str">
        <x:v>Small (&lt;100 beds)</x:v>
      </x:c>
      <x:c r="H3566" s="7"/>
      <x:c r="I3566" s="7"/>
      <x:c r="J3566" s="7"/>
      <x:c r="K3566" s="8" t="n">
        <x:v>25</x:v>
      </x:c>
      <x:c r="L3566" s="8" t="n">
        <x:v>428</x:v>
      </x:c>
      <x:c r="M3566" s="9" t="n">
        <x:v>0.4066849315</x:v>
      </x:c>
      <x:c r="N3566" s="10" t="n">
        <x:v>92690.5537383178</x:v>
      </x:c>
      <x:c r="O3566" s="9" t="n">
        <x:v>0.0216100278</x:v>
      </x:c>
      <x:c r="P3566" s="9" t="n">
        <x:v>0.2780669145</x:v>
      </x:c>
      <x:c r="Q3566" s="9" t="n">
        <x:v>0.292936803</x:v>
      </x:c>
      <x:c r="R3566" s="3" t="b">
        <x:v>0</x:v>
      </x:c>
      <x:c r="S3566" s="3" t="b">
        <x:v>0</x:v>
      </x:c>
      <x:c r="T3566" s="3" t="b">
        <x:v>0</x:v>
      </x:c>
      <x:c r="U3566" s="2" t="str">
        <x:f>IF(T3566=TRUE,"Priority review",IF(R3566=TRUE,"High cost",IF(S3566=TRUE,"Low quality","Benchmark")))</x:f>
        <x:v>Benchmark</x:v>
      </x:c>
    </x:row>
    <x:row r="3567">
      <x:c r="A3567" s="2" t="str">
        <x:v>520139</x:v>
      </x:c>
      <x:c r="B3567" s="2" t="str">
        <x:v>WEST ALLIS MEMORIAL HOSPITAL</x:v>
      </x:c>
      <x:c r="C3567" s="2" t="str">
        <x:v>WEST ALLIS</x:v>
      </x:c>
      <x:c r="D3567" s="2" t="str">
        <x:v>WI</x:v>
      </x:c>
      <x:c r="E3567" s="2" t="str">
        <x:v>Acute Care Hospitals</x:v>
      </x:c>
      <x:c r="F3567" s="2" t="str">
        <x:v>Voluntary non-profit</x:v>
      </x:c>
      <x:c r="G3567" s="2" t="str">
        <x:v>Medium (100-299 beds)</x:v>
      </x:c>
      <x:c r="H3567" s="7" t="n">
        <x:v>4</x:v>
      </x:c>
      <x:c r="I3567" s="7" t="n">
        <x:v>3</x:v>
      </x:c>
      <x:c r="J3567" s="7" t="n">
        <x:v>0.89</x:v>
      </x:c>
      <x:c r="K3567" s="8" t="n">
        <x:v>202</x:v>
      </x:c>
      <x:c r="L3567" s="8" t="n">
        <x:v>10163</x:v>
      </x:c>
      <x:c r="M3567" s="9" t="n">
        <x:v>0.635624628</x:v>
      </x:c>
      <x:c r="N3567" s="10" t="n">
        <x:v>26572.2392994195</x:v>
      </x:c>
      <x:c r="O3567" s="9" t="n">
        <x:v>0.2131350954</x:v>
      </x:c>
      <x:c r="P3567" s="9" t="n">
        <x:v>0.2779136104</x:v>
      </x:c>
      <x:c r="Q3567" s="9" t="n">
        <x:v>0.6022819886</x:v>
      </x:c>
      <x:c r="R3567" s="3" t="b">
        <x:v>0</x:v>
      </x:c>
      <x:c r="S3567" s="3" t="b">
        <x:v>0</x:v>
      </x:c>
      <x:c r="T3567" s="3" t="b">
        <x:v>0</x:v>
      </x:c>
      <x:c r="U3567" s="2" t="str">
        <x:f>IF(T3567=TRUE,"Priority review",IF(R3567=TRUE,"High cost",IF(S3567=TRUE,"Low quality","Benchmark")))</x:f>
        <x:v>Benchmark</x:v>
      </x:c>
    </x:row>
    <x:row r="3568">
      <x:c r="A3568" s="2" t="str">
        <x:v>440082</x:v>
      </x:c>
      <x:c r="B3568" s="2" t="str">
        <x:v>ASCENSION SAINT THOMAS HOSPITAL</x:v>
      </x:c>
      <x:c r="C3568" s="2" t="str">
        <x:v>NASHVILLE</x:v>
      </x:c>
      <x:c r="D3568" s="2" t="str">
        <x:v>TN</x:v>
      </x:c>
      <x:c r="E3568" s="2" t="str">
        <x:v>Acute Care Hospitals</x:v>
      </x:c>
      <x:c r="F3568" s="2" t="str">
        <x:v>Voluntary non-profit</x:v>
      </x:c>
      <x:c r="G3568" s="2" t="str">
        <x:v>Large (300+ beds)</x:v>
      </x:c>
      <x:c r="H3568" s="7" t="n">
        <x:v>3</x:v>
      </x:c>
      <x:c r="I3568" s="7" t="n">
        <x:v>3</x:v>
      </x:c>
      <x:c r="J3568" s="7" t="n">
        <x:v>1.02</x:v>
      </x:c>
      <x:c r="K3568" s="8" t="n">
        <x:v>704</x:v>
      </x:c>
      <x:c r="L3568" s="8" t="n">
        <x:v>39684</x:v>
      </x:c>
      <x:c r="M3568" s="9" t="n">
        <x:v>0.8559736924</x:v>
      </x:c>
      <x:c r="N3568" s="10" t="n">
        <x:v>29296.3968853946</x:v>
      </x:c>
      <x:c r="O3568" s="9" t="n">
        <x:v>0.0560589392</x:v>
      </x:c>
      <x:c r="P3568" s="9" t="n">
        <x:v>0.2776025237</x:v>
      </x:c>
      <x:c r="Q3568" s="9" t="n">
        <x:v>0.2570977918</x:v>
      </x:c>
      <x:c r="R3568" s="3" t="b">
        <x:v>0</x:v>
      </x:c>
      <x:c r="S3568" s="3" t="b">
        <x:v>0</x:v>
      </x:c>
      <x:c r="T3568" s="3" t="b">
        <x:v>0</x:v>
      </x:c>
      <x:c r="U3568" s="2" t="str">
        <x:f>IF(T3568=TRUE,"Priority review",IF(R3568=TRUE,"High cost",IF(S3568=TRUE,"Low quality","Benchmark")))</x:f>
        <x:v>Benchmark</x:v>
      </x:c>
    </x:row>
    <x:row r="3569">
      <x:c r="A3569" s="2" t="str">
        <x:v>490089</x:v>
      </x:c>
      <x:c r="B3569" s="2" t="str">
        <x:v>CARILION FRANKLIN MEMORIAL HOSPITAL</x:v>
      </x:c>
      <x:c r="C3569" s="2" t="str">
        <x:v>ROCKY MOUNT</x:v>
      </x:c>
      <x:c r="D3569" s="2" t="str">
        <x:v>VA</x:v>
      </x:c>
      <x:c r="E3569" s="2" t="str">
        <x:v>Acute Care Hospitals</x:v>
      </x:c>
      <x:c r="F3569" s="2" t="str">
        <x:v>Voluntary non-profit</x:v>
      </x:c>
      <x:c r="G3569" s="2" t="str">
        <x:v>Small (&lt;100 beds)</x:v>
      </x:c>
      <x:c r="H3569" s="7" t="n">
        <x:v>4</x:v>
      </x:c>
      <x:c r="I3569" s="7" t="n">
        <x:v>4</x:v>
      </x:c>
      <x:c r="J3569" s="7" t="n">
        <x:v>0.91</x:v>
      </x:c>
      <x:c r="K3569" s="8" t="n">
        <x:v>37</x:v>
      </x:c>
      <x:c r="L3569" s="8" t="n">
        <x:v>1871</x:v>
      </x:c>
      <x:c r="M3569" s="9" t="n">
        <x:v>0.4858957318</x:v>
      </x:c>
      <x:c r="N3569" s="10" t="n">
        <x:v>38360.668626403</x:v>
      </x:c>
      <x:c r="O3569" s="9" t="n">
        <x:v>0.1695175733</x:v>
      </x:c>
      <x:c r="P3569" s="9" t="n">
        <x:v>0.2773788151</x:v>
      </x:c>
      <x:c r="Q3569" s="9" t="n">
        <x:v>0.3913824057</x:v>
      </x:c>
      <x:c r="R3569" s="3" t="b">
        <x:v>0</x:v>
      </x:c>
      <x:c r="S3569" s="3" t="b">
        <x:v>0</x:v>
      </x:c>
      <x:c r="T3569" s="3" t="b">
        <x:v>0</x:v>
      </x:c>
      <x:c r="U3569" s="2" t="str">
        <x:f>IF(T3569=TRUE,"Priority review",IF(R3569=TRUE,"High cost",IF(S3569=TRUE,"Low quality","Benchmark")))</x:f>
        <x:v>Benchmark</x:v>
      </x:c>
    </x:row>
    <x:row r="3570">
      <x:c r="A3570" s="2" t="str">
        <x:v>061336</x:v>
      </x:c>
      <x:c r="B3570" s="2" t="str">
        <x:v>ARKANSAS VALLEY REGIONAL MEDICAL CENTER</x:v>
      </x:c>
      <x:c r="C3570" s="2" t="str">
        <x:v>LAJUNA</x:v>
      </x:c>
      <x:c r="D3570" s="2" t="str">
        <x:v>CO</x:v>
      </x:c>
      <x:c r="E3570" s="2" t="str">
        <x:v>Critical Access Hospitals</x:v>
      </x:c>
      <x:c r="F3570" s="2" t="str">
        <x:v>Voluntary non-profit</x:v>
      </x:c>
      <x:c r="G3570" s="2" t="str">
        <x:v>Small (&lt;100 beds)</x:v>
      </x:c>
      <x:c r="H3570" s="7"/>
      <x:c r="I3570" s="7"/>
      <x:c r="J3570" s="7"/>
      <x:c r="K3570" s="8" t="n">
        <x:v>20</x:v>
      </x:c>
      <x:c r="L3570" s="8" t="n">
        <x:v>502</x:v>
      </x:c>
      <x:c r="M3570" s="9" t="n">
        <x:v>0.2587671233</x:v>
      </x:c>
      <x:c r="N3570" s="10" t="n">
        <x:v>92664.0358565737</x:v>
      </x:c>
      <x:c r="O3570" s="9" t="n">
        <x:v>-0.1151790886</x:v>
      </x:c>
      <x:c r="P3570" s="9" t="n">
        <x:v>0.2773234201</x:v>
      </x:c>
      <x:c r="Q3570" s="9" t="n">
        <x:v>0.292936803</x:v>
      </x:c>
      <x:c r="R3570" s="3" t="b">
        <x:v>0</x:v>
      </x:c>
      <x:c r="S3570" s="3" t="b">
        <x:v>0</x:v>
      </x:c>
      <x:c r="T3570" s="3" t="b">
        <x:v>0</x:v>
      </x:c>
      <x:c r="U3570" s="2" t="str">
        <x:f>IF(T3570=TRUE,"Priority review",IF(R3570=TRUE,"High cost",IF(S3570=TRUE,"Low quality","Benchmark")))</x:f>
        <x:v>Benchmark</x:v>
      </x:c>
    </x:row>
    <x:row r="3571">
      <x:c r="A3571" s="2" t="str">
        <x:v>190017</x:v>
      </x:c>
      <x:c r="B3571" s="2" t="str">
        <x:v>OPELOUSAS GENERAL HEALTH SYSTEM</x:v>
      </x:c>
      <x:c r="C3571" s="2" t="str">
        <x:v>OPELOUSAS</x:v>
      </x:c>
      <x:c r="D3571" s="2" t="str">
        <x:v>LA</x:v>
      </x:c>
      <x:c r="E3571" s="2" t="str">
        <x:v>Acute Care Hospitals</x:v>
      </x:c>
      <x:c r="F3571" s="2" t="str">
        <x:v>Government</x:v>
      </x:c>
      <x:c r="G3571" s="2" t="str">
        <x:v>Medium (100-299 beds)</x:v>
      </x:c>
      <x:c r="H3571" s="7" t="n">
        <x:v>2</x:v>
      </x:c>
      <x:c r="I3571" s="7" t="n">
        <x:v>4</x:v>
      </x:c>
      <x:c r="J3571" s="7" t="n">
        <x:v>1.03</x:v>
      </x:c>
      <x:c r="K3571" s="8" t="n">
        <x:v>141</x:v>
      </x:c>
      <x:c r="L3571" s="8" t="n">
        <x:v>7452</x:v>
      </x:c>
      <x:c r="M3571" s="9" t="n">
        <x:v>0.2920819975</x:v>
      </x:c>
      <x:c r="N3571" s="10" t="n">
        <x:v>26564.0293880837</x:v>
      </x:c>
      <x:c r="O3571" s="9" t="n">
        <x:v>-0.1116315019</x:v>
      </x:c>
      <x:c r="P3571" s="9" t="n">
        <x:v>0.2770986145</x:v>
      </x:c>
      <x:c r="Q3571" s="9" t="n">
        <x:v>0.0782396088</x:v>
      </x:c>
      <x:c r="R3571" s="3" t="b">
        <x:v>0</x:v>
      </x:c>
      <x:c r="S3571" s="3" t="b">
        <x:v>1</x:v>
      </x:c>
      <x:c r="T3571" s="3" t="b">
        <x:v>0</x:v>
      </x:c>
      <x:c r="U3571" s="2" t="str">
        <x:f>IF(T3571=TRUE,"Priority review",IF(R3571=TRUE,"High cost",IF(S3571=TRUE,"Low quality","Benchmark")))</x:f>
        <x:v>Low quality</x:v>
      </x:c>
    </x:row>
    <x:row r="3572">
      <x:c r="A3572" s="2" t="str">
        <x:v>371307</x:v>
      </x:c>
      <x:c r="B3572" s="2" t="str">
        <x:v>CIMARRON MEMORIAL HOSPITAL</x:v>
      </x:c>
      <x:c r="C3572" s="2" t="str">
        <x:v>BOISE CITY</x:v>
      </x:c>
      <x:c r="D3572" s="2" t="str">
        <x:v>OK</x:v>
      </x:c>
      <x:c r="E3572" s="2" t="str">
        <x:v>Critical Access Hospitals</x:v>
      </x:c>
      <x:c r="F3572" s="2" t="str">
        <x:v>Government</x:v>
      </x:c>
      <x:c r="G3572" s="2" t="str">
        <x:v>Small (&lt;100 beds)</x:v>
      </x:c>
      <x:c r="H3572" s="7"/>
      <x:c r="I3572" s="7"/>
      <x:c r="J3572" s="7"/>
      <x:c r="K3572" s="8" t="n">
        <x:v>25</x:v>
      </x:c>
      <x:c r="L3572" s="8" t="n">
        <x:v>55</x:v>
      </x:c>
      <x:c r="M3572" s="9" t="n">
        <x:v>0.0910382514</x:v>
      </x:c>
      <x:c r="N3572" s="10" t="n">
        <x:v>92538.6</x:v>
      </x:c>
      <x:c r="O3572" s="9" t="n">
        <x:v>-0.4184951467</x:v>
      </x:c>
      <x:c r="P3572" s="9" t="n">
        <x:v>0.2765799257</x:v>
      </x:c>
      <x:c r="Q3572" s="9" t="n">
        <x:v>0.292936803</x:v>
      </x:c>
      <x:c r="R3572" s="3" t="b">
        <x:v>0</x:v>
      </x:c>
      <x:c r="S3572" s="3" t="b">
        <x:v>0</x:v>
      </x:c>
      <x:c r="T3572" s="3" t="b">
        <x:v>0</x:v>
      </x:c>
      <x:c r="U3572" s="2" t="str">
        <x:f>IF(T3572=TRUE,"Priority review",IF(R3572=TRUE,"High cost",IF(S3572=TRUE,"Low quality","Benchmark")))</x:f>
        <x:v>Benchmark</x:v>
      </x:c>
    </x:row>
    <x:row r="3573">
      <x:c r="A3573" s="2" t="str">
        <x:v>110002</x:v>
      </x:c>
      <x:c r="B3573" s="2" t="str">
        <x:v>UPSON REGIONAL MEDICAL CENTER</x:v>
      </x:c>
      <x:c r="C3573" s="2" t="str">
        <x:v>THOMASTON</x:v>
      </x:c>
      <x:c r="D3573" s="2" t="str">
        <x:v>GA</x:v>
      </x:c>
      <x:c r="E3573" s="2" t="str">
        <x:v>Acute Care Hospitals</x:v>
      </x:c>
      <x:c r="F3573" s="2" t="str">
        <x:v>Voluntary non-profit</x:v>
      </x:c>
      <x:c r="G3573" s="2" t="str">
        <x:v>Small (&lt;100 beds)</x:v>
      </x:c>
      <x:c r="H3573" s="7" t="n">
        <x:v>1</x:v>
      </x:c>
      <x:c r="I3573" s="7" t="n">
        <x:v>4</x:v>
      </x:c>
      <x:c r="J3573" s="7" t="n">
        <x:v>1.02</x:v>
      </x:c>
      <x:c r="K3573" s="8" t="n">
        <x:v>81</x:v>
      </x:c>
      <x:c r="L3573" s="8" t="n">
        <x:v>3276</x:v>
      </x:c>
      <x:c r="M3573" s="9" t="n">
        <x:v>0.4585441544</x:v>
      </x:c>
      <x:c r="N3573" s="10" t="n">
        <x:v>38322.8525641026</x:v>
      </x:c>
      <x:c r="O3573" s="9" t="n">
        <x:v>-0.0251877777</x:v>
      </x:c>
      <x:c r="P3573" s="9" t="n">
        <x:v>0.276481149</x:v>
      </x:c>
      <x:c r="Q3573" s="9" t="n">
        <x:v>0</x:v>
      </x:c>
      <x:c r="R3573" s="3" t="b">
        <x:v>0</x:v>
      </x:c>
      <x:c r="S3573" s="3" t="b">
        <x:v>1</x:v>
      </x:c>
      <x:c r="T3573" s="3" t="b">
        <x:v>0</x:v>
      </x:c>
      <x:c r="U3573" s="2" t="str">
        <x:f>IF(T3573=TRUE,"Priority review",IF(R3573=TRUE,"High cost",IF(S3573=TRUE,"Low quality","Benchmark")))</x:f>
        <x:v>Low quality</x:v>
      </x:c>
    </x:row>
    <x:row r="3574">
      <x:c r="A3574" s="2" t="str">
        <x:v>140202</x:v>
      </x:c>
      <x:c r="B3574" s="2" t="str">
        <x:v>ADVOCATE CONDELL MEDICAL CENTER</x:v>
      </x:c>
      <x:c r="C3574" s="2" t="str">
        <x:v>LIBERTYVILLE</x:v>
      </x:c>
      <x:c r="D3574" s="2" t="str">
        <x:v>IL</x:v>
      </x:c>
      <x:c r="E3574" s="2" t="str">
        <x:v>Acute Care Hospitals</x:v>
      </x:c>
      <x:c r="F3574" s="2" t="str">
        <x:v>Voluntary non-profit</x:v>
      </x:c>
      <x:c r="G3574" s="2" t="str">
        <x:v>Medium (100-299 beds)</x:v>
      </x:c>
      <x:c r="H3574" s="7" t="n">
        <x:v>4</x:v>
      </x:c>
      <x:c r="I3574" s="7" t="n">
        <x:v>3</x:v>
      </x:c>
      <x:c r="J3574" s="7" t="n">
        <x:v>1</x:v>
      </x:c>
      <x:c r="K3574" s="8" t="n">
        <x:v>275</x:v>
      </x:c>
      <x:c r="L3574" s="8" t="n">
        <x:v>16306</x:v>
      </x:c>
      <x:c r="M3574" s="9" t="n">
        <x:v>0.7646299056</x:v>
      </x:c>
      <x:c r="N3574" s="10" t="n">
        <x:v>26542.258003189</x:v>
      </x:c>
      <x:c r="O3574" s="9" t="n">
        <x:v>-0.0230033571</x:v>
      </x:c>
      <x:c r="P3574" s="9" t="n">
        <x:v>0.2762836186</x:v>
      </x:c>
      <x:c r="Q3574" s="9" t="n">
        <x:v>0.6022819886</x:v>
      </x:c>
      <x:c r="R3574" s="3" t="b">
        <x:v>0</x:v>
      </x:c>
      <x:c r="S3574" s="3" t="b">
        <x:v>0</x:v>
      </x:c>
      <x:c r="T3574" s="3" t="b">
        <x:v>0</x:v>
      </x:c>
      <x:c r="U3574" s="2" t="str">
        <x:f>IF(T3574=TRUE,"Priority review",IF(R3574=TRUE,"High cost",IF(S3574=TRUE,"Low quality","Benchmark")))</x:f>
        <x:v>Benchmark</x:v>
      </x:c>
    </x:row>
    <x:row r="3575">
      <x:c r="A3575" s="2" t="str">
        <x:v>450184</x:v>
      </x:c>
      <x:c r="B3575" s="2" t="str">
        <x:v>MEMORIAL HERMANN HOSPITAL SYSTEM</x:v>
      </x:c>
      <x:c r="C3575" s="2" t="str">
        <x:v>HOUSTON</x:v>
      </x:c>
      <x:c r="D3575" s="2" t="str">
        <x:v>TX</x:v>
      </x:c>
      <x:c r="E3575" s="2" t="str">
        <x:v>Acute Care Hospitals</x:v>
      </x:c>
      <x:c r="F3575" s="2" t="str">
        <x:v>Voluntary non-profit</x:v>
      </x:c>
      <x:c r="G3575" s="2" t="str">
        <x:v>Large (300+ beds)</x:v>
      </x:c>
      <x:c r="H3575" s="7" t="n">
        <x:v>3</x:v>
      </x:c>
      <x:c r="I3575" s="7" t="n">
        <x:v>3</x:v>
      </x:c>
      <x:c r="J3575" s="7" t="n">
        <x:v>1</x:v>
      </x:c>
      <x:c r="K3575" s="8" t="n">
        <x:v>1433</x:v>
      </x:c>
      <x:c r="L3575" s="8" t="n">
        <x:v>78729</x:v>
      </x:c>
      <x:c r="M3575" s="9" t="n">
        <x:v>0.7477788718</x:v>
      </x:c>
      <x:c r="N3575" s="10" t="n">
        <x:v>29213.0212374093</x:v>
      </x:c>
      <x:c r="O3575" s="9" t="n">
        <x:v>0.0152559553</x:v>
      </x:c>
      <x:c r="P3575" s="9" t="n">
        <x:v>0.2760252366</x:v>
      </x:c>
      <x:c r="Q3575" s="9" t="n">
        <x:v>0.2570977918</x:v>
      </x:c>
      <x:c r="R3575" s="3" t="b">
        <x:v>0</x:v>
      </x:c>
      <x:c r="S3575" s="3" t="b">
        <x:v>0</x:v>
      </x:c>
      <x:c r="T3575" s="3" t="b">
        <x:v>0</x:v>
      </x:c>
      <x:c r="U3575" s="2" t="str">
        <x:f>IF(T3575=TRUE,"Priority review",IF(R3575=TRUE,"High cost",IF(S3575=TRUE,"Low quality","Benchmark")))</x:f>
        <x:v>Benchmark</x:v>
      </x:c>
    </x:row>
    <x:row r="3576">
      <x:c r="A3576" s="2" t="str">
        <x:v>531306</x:v>
      </x:c>
      <x:c r="B3576" s="2" t="str">
        <x:v>WASHAKIE MEDICAL CENTER</x:v>
      </x:c>
      <x:c r="C3576" s="2" t="str">
        <x:v>WORLAND</x:v>
      </x:c>
      <x:c r="D3576" s="2" t="str">
        <x:v>WY</x:v>
      </x:c>
      <x:c r="E3576" s="2" t="str">
        <x:v>Critical Access Hospitals</x:v>
      </x:c>
      <x:c r="F3576" s="2" t="str">
        <x:v>Government</x:v>
      </x:c>
      <x:c r="G3576" s="2" t="str">
        <x:v>Small (&lt;100 beds)</x:v>
      </x:c>
      <x:c r="H3576" s="7" t="n">
        <x:v>4</x:v>
      </x:c>
      <x:c r="I3576" s="7"/>
      <x:c r="J3576" s="7"/>
      <x:c r="K3576" s="8" t="n">
        <x:v>18</x:v>
      </x:c>
      <x:c r="L3576" s="8" t="n">
        <x:v>340</x:v>
      </x:c>
      <x:c r="M3576" s="9" t="n">
        <x:v>0.2200971463</x:v>
      </x:c>
      <x:c r="N3576" s="10" t="n">
        <x:v>92516.5</x:v>
      </x:c>
      <x:c r="O3576" s="9" t="n">
        <x:v>-0.0025476423</x:v>
      </x:c>
      <x:c r="P3576" s="9" t="n">
        <x:v>0.2758364312</x:v>
      </x:c>
      <x:c r="Q3576" s="9" t="n">
        <x:v>0.1657992565</x:v>
      </x:c>
      <x:c r="R3576" s="3" t="b">
        <x:v>0</x:v>
      </x:c>
      <x:c r="S3576" s="3" t="b">
        <x:v>0</x:v>
      </x:c>
      <x:c r="T3576" s="3" t="b">
        <x:v>0</x:v>
      </x:c>
      <x:c r="U3576" s="2" t="str">
        <x:f>IF(T3576=TRUE,"Priority review",IF(R3576=TRUE,"High cost",IF(S3576=TRUE,"Low quality","Benchmark")))</x:f>
        <x:v>Benchmark</x:v>
      </x:c>
    </x:row>
    <x:row r="3577">
      <x:c r="A3577" s="2" t="str">
        <x:v>110041</x:v>
      </x:c>
      <x:c r="B3577" s="2" t="str">
        <x:v>NORTHEAST GEORGIA MEDICAL CENTER HABERSHAM</x:v>
      </x:c>
      <x:c r="C3577" s="2" t="str">
        <x:v>DEMOREST</x:v>
      </x:c>
      <x:c r="D3577" s="2" t="str">
        <x:v>GA</x:v>
      </x:c>
      <x:c r="E3577" s="2" t="str">
        <x:v>Acute Care Hospitals</x:v>
      </x:c>
      <x:c r="F3577" s="2" t="str">
        <x:v>Government</x:v>
      </x:c>
      <x:c r="G3577" s="2" t="str">
        <x:v>Small (&lt;100 beds)</x:v>
      </x:c>
      <x:c r="H3577" s="7" t="n">
        <x:v>3</x:v>
      </x:c>
      <x:c r="I3577" s="7" t="n">
        <x:v>4</x:v>
      </x:c>
      <x:c r="J3577" s="7" t="n">
        <x:v>0.84</x:v>
      </x:c>
      <x:c r="K3577" s="8" t="n">
        <x:v>49</x:v>
      </x:c>
      <x:c r="L3577" s="8" t="n">
        <x:v>1708</x:v>
      </x:c>
      <x:c r="M3577" s="9" t="n">
        <x:v>0.3068473291</x:v>
      </x:c>
      <x:c r="N3577" s="10" t="n">
        <x:v>38206.4795081967</x:v>
      </x:c>
      <x:c r="O3577" s="9" t="n">
        <x:v>0.0473553952</x:v>
      </x:c>
      <x:c r="P3577" s="9" t="n">
        <x:v>0.2755834829</x:v>
      </x:c>
      <x:c r="Q3577" s="9" t="n">
        <x:v>0.1687612208</x:v>
      </x:c>
      <x:c r="R3577" s="3" t="b">
        <x:v>0</x:v>
      </x:c>
      <x:c r="S3577" s="3" t="b">
        <x:v>0</x:v>
      </x:c>
      <x:c r="T3577" s="3" t="b">
        <x:v>0</x:v>
      </x:c>
      <x:c r="U3577" s="2" t="str">
        <x:f>IF(T3577=TRUE,"Priority review",IF(R3577=TRUE,"High cost",IF(S3577=TRUE,"Low quality","Benchmark")))</x:f>
        <x:v>Benchmark</x:v>
      </x:c>
    </x:row>
    <x:row r="3578">
      <x:c r="A3578" s="2" t="str">
        <x:v>220108</x:v>
      </x:c>
      <x:c r="B3578" s="2" t="str">
        <x:v>BETH ISRAEL DEACONESS HOSPITAL - MILTON</x:v>
      </x:c>
      <x:c r="C3578" s="2" t="str">
        <x:v>MILTON</x:v>
      </x:c>
      <x:c r="D3578" s="2" t="str">
        <x:v>MA</x:v>
      </x:c>
      <x:c r="E3578" s="2" t="str">
        <x:v>Acute Care Hospitals</x:v>
      </x:c>
      <x:c r="F3578" s="2" t="str">
        <x:v>Government</x:v>
      </x:c>
      <x:c r="G3578" s="2" t="str">
        <x:v>Medium (100-299 beds)</x:v>
      </x:c>
      <x:c r="H3578" s="7" t="n">
        <x:v>4</x:v>
      </x:c>
      <x:c r="I3578" s="7" t="n">
        <x:v>3</x:v>
      </x:c>
      <x:c r="J3578" s="7" t="n">
        <x:v>0.92</x:v>
      </x:c>
      <x:c r="K3578" s="8" t="n">
        <x:v>102</x:v>
      </x:c>
      <x:c r="L3578" s="8" t="n">
        <x:v>6494</x:v>
      </x:c>
      <x:c r="M3578" s="9" t="n">
        <x:v>0.7119629272</x:v>
      </x:c>
      <x:c r="N3578" s="10" t="n">
        <x:v>26535.5421927933</x:v>
      </x:c>
      <x:c r="O3578" s="9" t="n">
        <x:v>-0.0963182715</x:v>
      </x:c>
      <x:c r="P3578" s="9" t="n">
        <x:v>0.2754686227</x:v>
      </x:c>
      <x:c r="Q3578" s="9" t="n">
        <x:v>0.6022819886</x:v>
      </x:c>
      <x:c r="R3578" s="3" t="b">
        <x:v>0</x:v>
      </x:c>
      <x:c r="S3578" s="3" t="b">
        <x:v>0</x:v>
      </x:c>
      <x:c r="T3578" s="3" t="b">
        <x:v>0</x:v>
      </x:c>
      <x:c r="U3578" s="2" t="str">
        <x:f>IF(T3578=TRUE,"Priority review",IF(R3578=TRUE,"High cost",IF(S3578=TRUE,"Low quality","Benchmark")))</x:f>
        <x:v>Benchmark</x:v>
      </x:c>
    </x:row>
    <x:row r="3579">
      <x:c r="A3579" s="2" t="str">
        <x:v>161375</x:v>
      </x:c>
      <x:c r="B3579" s="2" t="str">
        <x:v>BUENA VISTA REGIONAL MEDICAL CENTER</x:v>
      </x:c>
      <x:c r="C3579" s="2" t="str">
        <x:v>STORM LAKE</x:v>
      </x:c>
      <x:c r="D3579" s="2" t="str">
        <x:v>IA</x:v>
      </x:c>
      <x:c r="E3579" s="2" t="str">
        <x:v>Critical Access Hospitals</x:v>
      </x:c>
      <x:c r="F3579" s="2" t="str">
        <x:v>Government</x:v>
      </x:c>
      <x:c r="G3579" s="2" t="str">
        <x:v>Small (&lt;100 beds)</x:v>
      </x:c>
      <x:c r="H3579" s="7" t="n">
        <x:v>2</x:v>
      </x:c>
      <x:c r="I3579" s="7" t="n">
        <x:v>5</x:v>
      </x:c>
      <x:c r="J3579" s="7"/>
      <x:c r="K3579" s="8" t="n">
        <x:v>25</x:v>
      </x:c>
      <x:c r="L3579" s="8" t="n">
        <x:v>812</x:v>
      </x:c>
      <x:c r="M3579" s="9" t="n">
        <x:v>0.3400547945</x:v>
      </x:c>
      <x:c r="N3579" s="10" t="n">
        <x:v>92444.4162561576</x:v>
      </x:c>
      <x:c r="O3579" s="9" t="n">
        <x:v>0.032411707</x:v>
      </x:c>
      <x:c r="P3579" s="9" t="n">
        <x:v>0.2750929368</x:v>
      </x:c>
      <x:c r="Q3579" s="9" t="n">
        <x:v>0.0171003717</x:v>
      </x:c>
      <x:c r="R3579" s="3" t="b">
        <x:v>0</x:v>
      </x:c>
      <x:c r="S3579" s="3" t="b">
        <x:v>1</x:v>
      </x:c>
      <x:c r="T3579" s="3" t="b">
        <x:v>0</x:v>
      </x:c>
      <x:c r="U3579" s="2" t="str">
        <x:f>IF(T3579=TRUE,"Priority review",IF(R3579=TRUE,"High cost",IF(S3579=TRUE,"Low quality","Benchmark")))</x:f>
        <x:v>Low quality</x:v>
      </x:c>
    </x:row>
    <x:row r="3580">
      <x:c r="A3580" s="2" t="str">
        <x:v>044005</x:v>
      </x:c>
      <x:c r="B3580" s="2" t="str">
        <x:v>BRIDGEWAY HOSPITAL</x:v>
      </x:c>
      <x:c r="C3580" s="2" t="str">
        <x:v>NORTH LITTLE ROCK</x:v>
      </x:c>
      <x:c r="D3580" s="2" t="str">
        <x:v>AR</x:v>
      </x:c>
      <x:c r="E3580" s="2" t="str">
        <x:v>Psychiatric</x:v>
      </x:c>
      <x:c r="F3580" s="2" t="str">
        <x:v>Proprietary</x:v>
      </x:c>
      <x:c r="G3580" s="2" t="str">
        <x:v>Small (&lt;100 beds)</x:v>
      </x:c>
      <x:c r="H3580" s="7"/>
      <x:c r="I3580" s="7"/>
      <x:c r="J3580" s="7"/>
      <x:c r="K3580" s="8" t="n">
        <x:v>90</x:v>
      </x:c>
      <x:c r="L3580" s="8" t="n">
        <x:v>2255</x:v>
      </x:c>
      <x:c r="M3580" s="9" t="n">
        <x:v>0.4737401336</x:v>
      </x:c>
      <x:c r="N3580" s="10" t="n">
        <x:v>8508.0558758315</x:v>
      </x:c>
      <x:c r="O3580" s="9" t="n">
        <x:v>0.0211310495</x:v>
      </x:c>
      <x:c r="P3580" s="9" t="n">
        <x:v>0.2750809061</x:v>
      </x:c>
      <x:c r="Q3580" s="9" t="n">
        <x:v>0</x:v>
      </x:c>
      <x:c r="R3580" s="3" t="b">
        <x:v>0</x:v>
      </x:c>
      <x:c r="S3580" s="3" t="b">
        <x:v>0</x:v>
      </x:c>
      <x:c r="T3580" s="3" t="b">
        <x:v>0</x:v>
      </x:c>
      <x:c r="U3580" s="2" t="str">
        <x:f>IF(T3580=TRUE,"Priority review",IF(R3580=TRUE,"High cost",IF(S3580=TRUE,"Low quality","Benchmark")))</x:f>
        <x:v>Benchmark</x:v>
      </x:c>
    </x:row>
    <x:row r="3581">
      <x:c r="A3581" s="2" t="str">
        <x:v>210028</x:v>
      </x:c>
      <x:c r="B3581" s="2" t="str">
        <x:v>MEDSTAR SAINT MARY'S HOSPITAL</x:v>
      </x:c>
      <x:c r="C3581" s="2" t="str">
        <x:v>LEONARDTOWN</x:v>
      </x:c>
      <x:c r="D3581" s="2" t="str">
        <x:v>MD</x:v>
      </x:c>
      <x:c r="E3581" s="2" t="str">
        <x:v>Acute Care Hospitals</x:v>
      </x:c>
      <x:c r="F3581" s="2" t="str">
        <x:v>Voluntary non-profit</x:v>
      </x:c>
      <x:c r="G3581" s="2" t="str">
        <x:v>Small (&lt;100 beds)</x:v>
      </x:c>
      <x:c r="H3581" s="7" t="n">
        <x:v>4</x:v>
      </x:c>
      <x:c r="I3581" s="7" t="n">
        <x:v>3</x:v>
      </x:c>
      <x:c r="J3581" s="7"/>
      <x:c r="K3581" s="8" t="n">
        <x:v>94</x:v>
      </x:c>
      <x:c r="L3581" s="8" t="n">
        <x:v>5389</x:v>
      </x:c>
      <x:c r="M3581" s="9" t="n">
        <x:v>0.6728941999</x:v>
      </x:c>
      <x:c r="N3581" s="10" t="n">
        <x:v>38194.0764520319</x:v>
      </x:c>
      <x:c r="O3581" s="9" t="n">
        <x:v>0.1172701025</x:v>
      </x:c>
      <x:c r="P3581" s="9" t="n">
        <x:v>0.2746858169</x:v>
      </x:c>
      <x:c r="Q3581" s="9" t="n">
        <x:v>0.3913824057</x:v>
      </x:c>
      <x:c r="R3581" s="3" t="b">
        <x:v>0</x:v>
      </x:c>
      <x:c r="S3581" s="3" t="b">
        <x:v>0</x:v>
      </x:c>
      <x:c r="T3581" s="3" t="b">
        <x:v>0</x:v>
      </x:c>
      <x:c r="U3581" s="2" t="str">
        <x:f>IF(T3581=TRUE,"Priority review",IF(R3581=TRUE,"High cost",IF(S3581=TRUE,"Low quality","Benchmark")))</x:f>
        <x:v>Benchmark</x:v>
      </x:c>
    </x:row>
    <x:row r="3582">
      <x:c r="A3582" s="2" t="str">
        <x:v>250058</x:v>
      </x:c>
      <x:c r="B3582" s="2" t="str">
        <x:v>SOUTH CENTRAL REG MED CTR</x:v>
      </x:c>
      <x:c r="C3582" s="2" t="str">
        <x:v>LAUREL</x:v>
      </x:c>
      <x:c r="D3582" s="2" t="str">
        <x:v>MS</x:v>
      </x:c>
      <x:c r="E3582" s="2" t="str">
        <x:v>Acute Care Hospitals</x:v>
      </x:c>
      <x:c r="F3582" s="2" t="str">
        <x:v>Government</x:v>
      </x:c>
      <x:c r="G3582" s="2" t="str">
        <x:v>Medium (100-299 beds)</x:v>
      </x:c>
      <x:c r="H3582" s="7" t="n">
        <x:v>1</x:v>
      </x:c>
      <x:c r="I3582" s="7" t="n">
        <x:v>3</x:v>
      </x:c>
      <x:c r="J3582" s="7" t="n">
        <x:v>1</x:v>
      </x:c>
      <x:c r="K3582" s="8" t="n">
        <x:v>268</x:v>
      </x:c>
      <x:c r="L3582" s="8" t="n">
        <x:v>6474</x:v>
      </x:c>
      <x:c r="M3582" s="9" t="n">
        <x:v>0.2971719272</x:v>
      </x:c>
      <x:c r="N3582" s="10" t="n">
        <x:v>26523.8611368551</x:v>
      </x:c>
      <x:c r="O3582" s="9" t="n">
        <x:v>0.1261149897</x:v>
      </x:c>
      <x:c r="P3582" s="9" t="n">
        <x:v>0.2746536267</x:v>
      </x:c>
      <x:c r="Q3582" s="9" t="n">
        <x:v>0</x:v>
      </x:c>
      <x:c r="R3582" s="3" t="b">
        <x:v>0</x:v>
      </x:c>
      <x:c r="S3582" s="3" t="b">
        <x:v>1</x:v>
      </x:c>
      <x:c r="T3582" s="3" t="b">
        <x:v>0</x:v>
      </x:c>
      <x:c r="U3582" s="2" t="str">
        <x:f>IF(T3582=TRUE,"Priority review",IF(R3582=TRUE,"High cost",IF(S3582=TRUE,"Low quality","Benchmark")))</x:f>
        <x:v>Low quality</x:v>
      </x:c>
    </x:row>
    <x:row r="3583">
      <x:c r="A3583" s="2" t="str">
        <x:v>210043</x:v>
      </x:c>
      <x:c r="B3583" s="2" t="str">
        <x:v>UNIVERSITY OF MD BALTIMORE WASHINGTON MEDICAL CENTER</x:v>
      </x:c>
      <x:c r="C3583" s="2" t="str">
        <x:v>GLEN BURNIE</x:v>
      </x:c>
      <x:c r="D3583" s="2" t="str">
        <x:v>MD</x:v>
      </x:c>
      <x:c r="E3583" s="2" t="str">
        <x:v>Acute Care Hospitals</x:v>
      </x:c>
      <x:c r="F3583" s="2" t="str">
        <x:v>Voluntary non-profit</x:v>
      </x:c>
      <x:c r="G3583" s="2" t="str">
        <x:v>Large (300+ beds)</x:v>
      </x:c>
      <x:c r="H3583" s="7" t="n">
        <x:v>5</x:v>
      </x:c>
      <x:c r="I3583" s="7" t="n">
        <x:v>3</x:v>
      </x:c>
      <x:c r="J3583" s="7"/>
      <x:c r="K3583" s="8" t="n">
        <x:v>306</x:v>
      </x:c>
      <x:c r="L3583" s="8" t="n">
        <x:v>15553</x:v>
      </x:c>
      <x:c r="M3583" s="9" t="n">
        <x:v>0.7544990599</x:v>
      </x:c>
      <x:c r="N3583" s="10" t="n">
        <x:v>29185.1803510577</x:v>
      </x:c>
      <x:c r="O3583" s="9" t="n">
        <x:v>0.0641743456</x:v>
      </x:c>
      <x:c r="P3583" s="9" t="n">
        <x:v>0.2744479495</x:v>
      </x:c>
      <x:c r="Q3583" s="9" t="n">
        <x:v>0.8722397476</x:v>
      </x:c>
      <x:c r="R3583" s="3" t="b">
        <x:v>0</x:v>
      </x:c>
      <x:c r="S3583" s="3" t="b">
        <x:v>0</x:v>
      </x:c>
      <x:c r="T3583" s="3" t="b">
        <x:v>0</x:v>
      </x:c>
      <x:c r="U3583" s="2" t="str">
        <x:f>IF(T3583=TRUE,"Priority review",IF(R3583=TRUE,"High cost",IF(S3583=TRUE,"Low quality","Benchmark")))</x:f>
        <x:v>Benchmark</x:v>
      </x:c>
    </x:row>
    <x:row r="3584">
      <x:c r="A3584" s="2" t="str">
        <x:v>521320</x:v>
      </x:c>
      <x:c r="B3584" s="2" t="str">
        <x:v>TOMAH MEMORIAL HOSPITAL</x:v>
      </x:c>
      <x:c r="C3584" s="2" t="str">
        <x:v>TOMAH</x:v>
      </x:c>
      <x:c r="D3584" s="2" t="str">
        <x:v>WI</x:v>
      </x:c>
      <x:c r="E3584" s="2" t="str">
        <x:v>Critical Access Hospitals</x:v>
      </x:c>
      <x:c r="F3584" s="2" t="str">
        <x:v>Voluntary non-profit</x:v>
      </x:c>
      <x:c r="G3584" s="2" t="str">
        <x:v>Small (&lt;100 beds)</x:v>
      </x:c>
      <x:c r="H3584" s="7" t="n">
        <x:v>5</x:v>
      </x:c>
      <x:c r="I3584" s="7" t="n">
        <x:v>5</x:v>
      </x:c>
      <x:c r="J3584" s="7"/>
      <x:c r="K3584" s="8" t="n">
        <x:v>25</x:v>
      </x:c>
      <x:c r="L3584" s="8" t="n">
        <x:v>942</x:v>
      </x:c>
      <x:c r="M3584" s="9" t="n">
        <x:v>0.3581420765</x:v>
      </x:c>
      <x:c r="N3584" s="10" t="n">
        <x:v>92322.338641189</x:v>
      </x:c>
      <x:c r="O3584" s="9" t="n">
        <x:v>0.0331415314</x:v>
      </x:c>
      <x:c r="P3584" s="9" t="n">
        <x:v>0.2743494424</x:v>
      </x:c>
      <x:c r="Q3584" s="9" t="n">
        <x:v>0.2602230483</x:v>
      </x:c>
      <x:c r="R3584" s="3" t="b">
        <x:v>0</x:v>
      </x:c>
      <x:c r="S3584" s="3" t="b">
        <x:v>0</x:v>
      </x:c>
      <x:c r="T3584" s="3" t="b">
        <x:v>0</x:v>
      </x:c>
      <x:c r="U3584" s="2" t="str">
        <x:f>IF(T3584=TRUE,"Priority review",IF(R3584=TRUE,"High cost",IF(S3584=TRUE,"Low quality","Benchmark")))</x:f>
        <x:v>Benchmark</x:v>
      </x:c>
    </x:row>
    <x:row r="3585">
      <x:c r="A3585" s="2" t="str">
        <x:v>250084</x:v>
      </x:c>
      <x:c r="B3585" s="2" t="str">
        <x:v>MERIT HEALTH NATCHEZ</x:v>
      </x:c>
      <x:c r="C3585" s="2" t="str">
        <x:v>NATCHEZ</x:v>
      </x:c>
      <x:c r="D3585" s="2" t="str">
        <x:v>MS</x:v>
      </x:c>
      <x:c r="E3585" s="2" t="str">
        <x:v>Acute Care Hospitals</x:v>
      </x:c>
      <x:c r="F3585" s="2" t="str">
        <x:v>Proprietary</x:v>
      </x:c>
      <x:c r="G3585" s="2" t="str">
        <x:v>Medium (100-299 beds)</x:v>
      </x:c>
      <x:c r="H3585" s="7" t="n">
        <x:v>2</x:v>
      </x:c>
      <x:c r="I3585" s="7" t="n">
        <x:v>2</x:v>
      </x:c>
      <x:c r="J3585" s="7" t="n">
        <x:v>1.17</x:v>
      </x:c>
      <x:c r="K3585" s="8" t="n">
        <x:v>131</x:v>
      </x:c>
      <x:c r="L3585" s="8" t="n">
        <x:v>2276</x:v>
      </x:c>
      <x:c r="M3585" s="9" t="n">
        <x:v>0.2419805615</x:v>
      </x:c>
      <x:c r="N3585" s="10" t="n">
        <x:v>26434.6656414763</x:v>
      </x:c>
      <x:c r="O3585" s="9" t="n">
        <x:v>0.0999452535</x:v>
      </x:c>
      <x:c r="P3585" s="9" t="n">
        <x:v>0.2738386308</x:v>
      </x:c>
      <x:c r="Q3585" s="9" t="n">
        <x:v>0.0782396088</x:v>
      </x:c>
      <x:c r="R3585" s="3" t="b">
        <x:v>0</x:v>
      </x:c>
      <x:c r="S3585" s="3" t="b">
        <x:v>1</x:v>
      </x:c>
      <x:c r="T3585" s="3" t="b">
        <x:v>0</x:v>
      </x:c>
      <x:c r="U3585" s="2" t="str">
        <x:f>IF(T3585=TRUE,"Priority review",IF(R3585=TRUE,"High cost",IF(S3585=TRUE,"Low quality","Benchmark")))</x:f>
        <x:v>Low quality</x:v>
      </x:c>
    </x:row>
    <x:row r="3586">
      <x:c r="A3586" s="2" t="str">
        <x:v>340190</x:v>
      </x:c>
      <x:c r="B3586" s="2" t="str">
        <x:v>NOVANT HEALTH MINT HILL MEDICAL CENTER</x:v>
      </x:c>
      <x:c r="C3586" s="2" t="str">
        <x:v>CHARLOTTE</x:v>
      </x:c>
      <x:c r="D3586" s="2" t="str">
        <x:v>NC</x:v>
      </x:c>
      <x:c r="E3586" s="2" t="str">
        <x:v>Acute Care Hospitals</x:v>
      </x:c>
      <x:c r="F3586" s="2" t="str">
        <x:v>Voluntary non-profit</x:v>
      </x:c>
      <x:c r="G3586" s="2" t="str">
        <x:v>Small (&lt;100 beds)</x:v>
      </x:c>
      <x:c r="H3586" s="7" t="n">
        <x:v>5</x:v>
      </x:c>
      <x:c r="I3586" s="7" t="n">
        <x:v>4</x:v>
      </x:c>
      <x:c r="J3586" s="7" t="n">
        <x:v>0.86</x:v>
      </x:c>
      <x:c r="K3586" s="8" t="n">
        <x:v>36</x:v>
      </x:c>
      <x:c r="L3586" s="8" t="n">
        <x:v>2837</x:v>
      </x:c>
      <x:c r="M3586" s="9" t="n">
        <x:v>0.6486794171</x:v>
      </x:c>
      <x:c r="N3586" s="10" t="n">
        <x:v>38160.054282693</x:v>
      </x:c>
      <x:c r="O3586" s="9" t="n">
        <x:v>0.2839002931</x:v>
      </x:c>
      <x:c r="P3586" s="9" t="n">
        <x:v>0.2737881508</x:v>
      </x:c>
      <x:c r="Q3586" s="9" t="n">
        <x:v>0.6131059246</x:v>
      </x:c>
      <x:c r="R3586" s="3" t="b">
        <x:v>0</x:v>
      </x:c>
      <x:c r="S3586" s="3" t="b">
        <x:v>0</x:v>
      </x:c>
      <x:c r="T3586" s="3" t="b">
        <x:v>0</x:v>
      </x:c>
      <x:c r="U3586" s="2" t="str">
        <x:f>IF(T3586=TRUE,"Priority review",IF(R3586=TRUE,"High cost",IF(S3586=TRUE,"Low quality","Benchmark")))</x:f>
        <x:v>Benchmark</x:v>
      </x:c>
    </x:row>
    <x:row r="3587">
      <x:c r="A3587" s="2" t="str">
        <x:v>184006</x:v>
      </x:c>
      <x:c r="B3587" s="2" t="str">
        <x:v>SUN BEHAVIORAL HEALTH</x:v>
      </x:c>
      <x:c r="C3587" s="2" t="str">
        <x:v>ERLANGER</x:v>
      </x:c>
      <x:c r="D3587" s="2" t="str">
        <x:v>KY</x:v>
      </x:c>
      <x:c r="E3587" s="2" t="str">
        <x:v>Psychiatric</x:v>
      </x:c>
      <x:c r="F3587" s="2" t="str">
        <x:v>Proprietary</x:v>
      </x:c>
      <x:c r="G3587" s="2" t="str">
        <x:v>Medium (100-299 beds)</x:v>
      </x:c>
      <x:c r="H3587" s="7"/>
      <x:c r="I3587" s="7"/>
      <x:c r="J3587" s="7"/>
      <x:c r="K3587" s="8" t="n">
        <x:v>197</x:v>
      </x:c>
      <x:c r="L3587" s="8" t="n">
        <x:v>7078</x:v>
      </x:c>
      <x:c r="M3587" s="9" t="n">
        <x:v>0.5671826024</x:v>
      </x:c>
      <x:c r="N3587" s="10" t="n">
        <x:v>7469.1133088443</x:v>
      </x:c>
      <x:c r="O3587" s="9" t="n">
        <x:v>0.3112999734</x:v>
      </x:c>
      <x:c r="P3587" s="9" t="n">
        <x:v>0.2736318408</x:v>
      </x:c>
      <x:c r="Q3587" s="9" t="n">
        <x:v>0</x:v>
      </x:c>
      <x:c r="R3587" s="3" t="b">
        <x:v>0</x:v>
      </x:c>
      <x:c r="S3587" s="3" t="b">
        <x:v>0</x:v>
      </x:c>
      <x:c r="T3587" s="3" t="b">
        <x:v>0</x:v>
      </x:c>
      <x:c r="U3587" s="2" t="str">
        <x:f>IF(T3587=TRUE,"Priority review",IF(R3587=TRUE,"High cost",IF(S3587=TRUE,"Low quality","Benchmark")))</x:f>
        <x:v>Benchmark</x:v>
      </x:c>
    </x:row>
    <x:row r="3588">
      <x:c r="A3588" s="2" t="str">
        <x:v>431323</x:v>
      </x:c>
      <x:c r="B3588" s="2" t="str">
        <x:v>MONUMENT HEALTH CUSTER HOSPITAL</x:v>
      </x:c>
      <x:c r="C3588" s="2" t="str">
        <x:v>CUSTER</x:v>
      </x:c>
      <x:c r="D3588" s="2" t="str">
        <x:v>SD</x:v>
      </x:c>
      <x:c r="E3588" s="2" t="str">
        <x:v>Critical Access Hospitals</x:v>
      </x:c>
      <x:c r="F3588" s="2" t="str">
        <x:v>Voluntary non-profit</x:v>
      </x:c>
      <x:c r="G3588" s="2" t="str">
        <x:v>Small (&lt;100 beds)</x:v>
      </x:c>
      <x:c r="H3588" s="7"/>
      <x:c r="I3588" s="7"/>
      <x:c r="J3588" s="7"/>
      <x:c r="K3588" s="8" t="n">
        <x:v>12</x:v>
      </x:c>
      <x:c r="L3588" s="8" t="n">
        <x:v>339</x:v>
      </x:c>
      <x:c r="M3588" s="9" t="n">
        <x:v>0.5289954338</x:v>
      </x:c>
      <x:c r="N3588" s="10" t="n">
        <x:v>92261.7551622419</x:v>
      </x:c>
      <x:c r="O3588" s="9" t="n">
        <x:v>-0.0050138331</x:v>
      </x:c>
      <x:c r="P3588" s="9" t="n">
        <x:v>0.273605948</x:v>
      </x:c>
      <x:c r="Q3588" s="9" t="n">
        <x:v>0.292936803</x:v>
      </x:c>
      <x:c r="R3588" s="3" t="b">
        <x:v>0</x:v>
      </x:c>
      <x:c r="S3588" s="3" t="b">
        <x:v>0</x:v>
      </x:c>
      <x:c r="T3588" s="3" t="b">
        <x:v>0</x:v>
      </x:c>
      <x:c r="U3588" s="2" t="str">
        <x:f>IF(T3588=TRUE,"Priority review",IF(R3588=TRUE,"High cost",IF(S3588=TRUE,"Low quality","Benchmark")))</x:f>
        <x:v>Benchmark</x:v>
      </x:c>
    </x:row>
    <x:row r="3589">
      <x:c r="A3589" s="2" t="str">
        <x:v>280130</x:v>
      </x:c>
      <x:c r="B3589" s="2" t="str">
        <x:v>CHI HEALTH LAKESIDE</x:v>
      </x:c>
      <x:c r="C3589" s="2" t="str">
        <x:v>OMAHA</x:v>
      </x:c>
      <x:c r="D3589" s="2" t="str">
        <x:v>NE</x:v>
      </x:c>
      <x:c r="E3589" s="2" t="str">
        <x:v>Acute Care Hospitals</x:v>
      </x:c>
      <x:c r="F3589" s="2" t="str">
        <x:v>Voluntary non-profit</x:v>
      </x:c>
      <x:c r="G3589" s="2" t="str">
        <x:v>Medium (100-299 beds)</x:v>
      </x:c>
      <x:c r="H3589" s="7" t="n">
        <x:v>4</x:v>
      </x:c>
      <x:c r="I3589" s="7" t="n">
        <x:v>3</x:v>
      </x:c>
      <x:c r="J3589" s="7" t="n">
        <x:v>0.96</x:v>
      </x:c>
      <x:c r="K3589" s="8" t="n">
        <x:v>109</x:v>
      </x:c>
      <x:c r="L3589" s="8" t="n">
        <x:v>7128</x:v>
      </x:c>
      <x:c r="M3589" s="9" t="n">
        <x:v>0.7614678899</x:v>
      </x:c>
      <x:c r="N3589" s="10" t="n">
        <x:v>26404.5035072952</x:v>
      </x:c>
      <x:c r="O3589" s="9" t="n">
        <x:v>0.1525806586</x:v>
      </x:c>
      <x:c r="P3589" s="9" t="n">
        <x:v>0.2730236349</x:v>
      </x:c>
      <x:c r="Q3589" s="9" t="n">
        <x:v>0.6022819886</x:v>
      </x:c>
      <x:c r="R3589" s="3" t="b">
        <x:v>0</x:v>
      </x:c>
      <x:c r="S3589" s="3" t="b">
        <x:v>0</x:v>
      </x:c>
      <x:c r="T3589" s="3" t="b">
        <x:v>0</x:v>
      </x:c>
      <x:c r="U3589" s="2" t="str">
        <x:f>IF(T3589=TRUE,"Priority review",IF(R3589=TRUE,"High cost",IF(S3589=TRUE,"Low quality","Benchmark")))</x:f>
        <x:v>Benchmark</x:v>
      </x:c>
    </x:row>
    <x:row r="3590">
      <x:c r="A3590" s="2" t="str">
        <x:v>450747</x:v>
      </x:c>
      <x:c r="B3590" s="2" t="str">
        <x:v>PALESTINE REGIONAL MEDICAL CENTER</x:v>
      </x:c>
      <x:c r="C3590" s="2" t="str">
        <x:v>PALESTINE</x:v>
      </x:c>
      <x:c r="D3590" s="2" t="str">
        <x:v>TX</x:v>
      </x:c>
      <x:c r="E3590" s="2" t="str">
        <x:v>Acute Care Hospitals</x:v>
      </x:c>
      <x:c r="F3590" s="2" t="str">
        <x:v>Proprietary</x:v>
      </x:c>
      <x:c r="G3590" s="2" t="str">
        <x:v>Small (&lt;100 beds)</x:v>
      </x:c>
      <x:c r="H3590" s="7" t="n">
        <x:v>1</x:v>
      </x:c>
      <x:c r="I3590" s="7" t="n">
        <x:v>3</x:v>
      </x:c>
      <x:c r="J3590" s="7" t="n">
        <x:v>1.1</x:v>
      </x:c>
      <x:c r="K3590" s="8" t="n">
        <x:v>78</x:v>
      </x:c>
      <x:c r="L3590" s="8" t="n">
        <x:v>2569</x:v>
      </x:c>
      <x:c r="M3590" s="9" t="n">
        <x:v>0.8272033067</x:v>
      </x:c>
      <x:c r="N3590" s="10" t="n">
        <x:v>38134.3246399377</x:v>
      </x:c>
      <x:c r="O3590" s="9" t="n">
        <x:v>0.0921330843</x:v>
      </x:c>
      <x:c r="P3590" s="9" t="n">
        <x:v>0.2728904847</x:v>
      </x:c>
      <x:c r="Q3590" s="9" t="n">
        <x:v>0</x:v>
      </x:c>
      <x:c r="R3590" s="3" t="b">
        <x:v>0</x:v>
      </x:c>
      <x:c r="S3590" s="3" t="b">
        <x:v>1</x:v>
      </x:c>
      <x:c r="T3590" s="3" t="b">
        <x:v>0</x:v>
      </x:c>
      <x:c r="U3590" s="2" t="str">
        <x:f>IF(T3590=TRUE,"Priority review",IF(R3590=TRUE,"High cost",IF(S3590=TRUE,"Low quality","Benchmark")))</x:f>
        <x:v>Low quality</x:v>
      </x:c>
    </x:row>
    <x:row r="3591">
      <x:c r="A3591" s="2" t="str">
        <x:v>360035</x:v>
      </x:c>
      <x:c r="B3591" s="2" t="str">
        <x:v>MOUNT CARMEL EAST &amp; WEST</x:v>
      </x:c>
      <x:c r="C3591" s="2" t="str">
        <x:v>COLUMBUS</x:v>
      </x:c>
      <x:c r="D3591" s="2" t="str">
        <x:v>OH</x:v>
      </x:c>
      <x:c r="E3591" s="2" t="str">
        <x:v>Acute Care Hospitals</x:v>
      </x:c>
      <x:c r="F3591" s="2" t="str">
        <x:v>Voluntary non-profit</x:v>
      </x:c>
      <x:c r="G3591" s="2" t="str">
        <x:v>Large (300+ beds)</x:v>
      </x:c>
      <x:c r="H3591" s="7" t="n">
        <x:v>2</x:v>
      </x:c>
      <x:c r="I3591" s="7" t="n">
        <x:v>2</x:v>
      </x:c>
      <x:c r="J3591" s="7" t="n">
        <x:v>0.98</x:v>
      </x:c>
      <x:c r="K3591" s="8" t="n">
        <x:v>523</x:v>
      </x:c>
      <x:c r="L3591" s="8" t="n">
        <x:v>29498</x:v>
      </x:c>
      <x:c r="M3591" s="9" t="n">
        <x:v>0.6569828621</x:v>
      </x:c>
      <x:c r="N3591" s="10" t="n">
        <x:v>29179.8842633399</x:v>
      </x:c>
      <x:c r="O3591" s="9" t="n">
        <x:v>-0.0905307387</x:v>
      </x:c>
      <x:c r="P3591" s="9" t="n">
        <x:v>0.2728706625</x:v>
      </x:c>
      <x:c r="Q3591" s="9" t="n">
        <x:v>0.0536277603</x:v>
      </x:c>
      <x:c r="R3591" s="3" t="b">
        <x:v>0</x:v>
      </x:c>
      <x:c r="S3591" s="3" t="b">
        <x:v>1</x:v>
      </x:c>
      <x:c r="T3591" s="3" t="b">
        <x:v>0</x:v>
      </x:c>
      <x:c r="U3591" s="2" t="str">
        <x:f>IF(T3591=TRUE,"Priority review",IF(R3591=TRUE,"High cost",IF(S3591=TRUE,"Low quality","Benchmark")))</x:f>
        <x:v>Low quality</x:v>
      </x:c>
    </x:row>
    <x:row r="3592">
      <x:c r="A3592" s="2" t="str">
        <x:v>271325</x:v>
      </x:c>
      <x:c r="B3592" s="2" t="str">
        <x:v>ST LUKE COMMUNITY HOSPITAL</x:v>
      </x:c>
      <x:c r="C3592" s="2" t="str">
        <x:v>RONAN</x:v>
      </x:c>
      <x:c r="D3592" s="2" t="str">
        <x:v>MT</x:v>
      </x:c>
      <x:c r="E3592" s="2" t="str">
        <x:v>Critical Access Hospitals</x:v>
      </x:c>
      <x:c r="F3592" s="2" t="str">
        <x:v>Voluntary non-profit</x:v>
      </x:c>
      <x:c r="G3592" s="2" t="str">
        <x:v>Small (&lt;100 beds)</x:v>
      </x:c>
      <x:c r="H3592" s="7"/>
      <x:c r="I3592" s="7"/>
      <x:c r="J3592" s="7"/>
      <x:c r="K3592" s="8" t="n">
        <x:v>25</x:v>
      </x:c>
      <x:c r="L3592" s="8" t="n">
        <x:v>526</x:v>
      </x:c>
      <x:c r="M3592" s="9" t="n">
        <x:v>0.3550819672</x:v>
      </x:c>
      <x:c r="N3592" s="10" t="n">
        <x:v>92140.2699619772</x:v>
      </x:c>
      <x:c r="O3592" s="9" t="n">
        <x:v>-0.1398200169</x:v>
      </x:c>
      <x:c r="P3592" s="9" t="n">
        <x:v>0.2728624535</x:v>
      </x:c>
      <x:c r="Q3592" s="9" t="n">
        <x:v>0.292936803</x:v>
      </x:c>
      <x:c r="R3592" s="3" t="b">
        <x:v>0</x:v>
      </x:c>
      <x:c r="S3592" s="3" t="b">
        <x:v>0</x:v>
      </x:c>
      <x:c r="T3592" s="3" t="b">
        <x:v>0</x:v>
      </x:c>
      <x:c r="U3592" s="2" t="str">
        <x:f>IF(T3592=TRUE,"Priority review",IF(R3592=TRUE,"High cost",IF(S3592=TRUE,"Low quality","Benchmark")))</x:f>
        <x:v>Benchmark</x:v>
      </x:c>
    </x:row>
    <x:row r="3593">
      <x:c r="A3593" s="2" t="str">
        <x:v>050272</x:v>
      </x:c>
      <x:c r="B3593" s="2" t="str">
        <x:v>REDLANDS COMMUNITY HOSPITAL</x:v>
      </x:c>
      <x:c r="C3593" s="2" t="str">
        <x:v>REDLANDS</x:v>
      </x:c>
      <x:c r="D3593" s="2" t="str">
        <x:v>CA</x:v>
      </x:c>
      <x:c r="E3593" s="2" t="str">
        <x:v>Acute Care Hospitals</x:v>
      </x:c>
      <x:c r="F3593" s="2" t="str">
        <x:v>Voluntary non-profit</x:v>
      </x:c>
      <x:c r="G3593" s="2" t="str">
        <x:v>Medium (100-299 beds)</x:v>
      </x:c>
      <x:c r="H3593" s="7" t="n">
        <x:v>2</x:v>
      </x:c>
      <x:c r="I3593" s="7" t="n">
        <x:v>3</x:v>
      </x:c>
      <x:c r="J3593" s="7" t="n">
        <x:v>1.05</x:v>
      </x:c>
      <x:c r="K3593" s="8" t="n">
        <x:v>195</x:v>
      </x:c>
      <x:c r="L3593" s="8" t="n">
        <x:v>9695</x:v>
      </x:c>
      <x:c r="M3593" s="9" t="n">
        <x:v>0.6207510158</x:v>
      </x:c>
      <x:c r="N3593" s="10" t="n">
        <x:v>26399.8111397628</x:v>
      </x:c>
      <x:c r="O3593" s="9" t="n">
        <x:v>-0.0590890318</x:v>
      </x:c>
      <x:c r="P3593" s="9" t="n">
        <x:v>0.272208639</x:v>
      </x:c>
      <x:c r="Q3593" s="9" t="n">
        <x:v>0.0782396088</x:v>
      </x:c>
      <x:c r="R3593" s="3" t="b">
        <x:v>0</x:v>
      </x:c>
      <x:c r="S3593" s="3" t="b">
        <x:v>1</x:v>
      </x:c>
      <x:c r="T3593" s="3" t="b">
        <x:v>0</x:v>
      </x:c>
      <x:c r="U3593" s="2" t="str">
        <x:f>IF(T3593=TRUE,"Priority review",IF(R3593=TRUE,"High cost",IF(S3593=TRUE,"Low quality","Benchmark")))</x:f>
        <x:v>Low quality</x:v>
      </x:c>
    </x:row>
    <x:row r="3594">
      <x:c r="A3594" s="2" t="str">
        <x:v>171379</x:v>
      </x:c>
      <x:c r="B3594" s="2" t="str">
        <x:v>MORRIS COUNTY HOSPITAL</x:v>
      </x:c>
      <x:c r="C3594" s="2" t="str">
        <x:v>COUNCIL GROVE</x:v>
      </x:c>
      <x:c r="D3594" s="2" t="str">
        <x:v>KS</x:v>
      </x:c>
      <x:c r="E3594" s="2" t="str">
        <x:v>Critical Access Hospitals</x:v>
      </x:c>
      <x:c r="F3594" s="2" t="str">
        <x:v>Government</x:v>
      </x:c>
      <x:c r="G3594" s="2" t="str">
        <x:v>Small (&lt;100 beds)</x:v>
      </x:c>
      <x:c r="H3594" s="7" t="n">
        <x:v>3</x:v>
      </x:c>
      <x:c r="I3594" s="7"/>
      <x:c r="J3594" s="7"/>
      <x:c r="K3594" s="8" t="n">
        <x:v>21</x:v>
      </x:c>
      <x:c r="L3594" s="8" t="n">
        <x:v>212</x:v>
      </x:c>
      <x:c r="M3594" s="9" t="n">
        <x:v>0.1429872495</x:v>
      </x:c>
      <x:c r="N3594" s="10" t="n">
        <x:v>91623.0660377358</x:v>
      </x:c>
      <x:c r="O3594" s="9" t="n">
        <x:v>-0.0775623859</x:v>
      </x:c>
      <x:c r="P3594" s="9" t="n">
        <x:v>0.2721189591</x:v>
      </x:c>
      <x:c r="Q3594" s="9" t="n">
        <x:v>0.0765799257</x:v>
      </x:c>
      <x:c r="R3594" s="3" t="b">
        <x:v>0</x:v>
      </x:c>
      <x:c r="S3594" s="3" t="b">
        <x:v>1</x:v>
      </x:c>
      <x:c r="T3594" s="3" t="b">
        <x:v>0</x:v>
      </x:c>
      <x:c r="U3594" s="2" t="str">
        <x:f>IF(T3594=TRUE,"Priority review",IF(R3594=TRUE,"High cost",IF(S3594=TRUE,"Low quality","Benchmark")))</x:f>
        <x:v>Low quality</x:v>
      </x:c>
    </x:row>
    <x:row r="3595">
      <x:c r="A3595" s="2" t="str">
        <x:v>450475</x:v>
      </x:c>
      <x:c r="B3595" s="2" t="str">
        <x:v>UT HEALTH EAST TEXAS HENDERSON HOSPITAL</x:v>
      </x:c>
      <x:c r="C3595" s="2" t="str">
        <x:v>HENDERSON</x:v>
      </x:c>
      <x:c r="D3595" s="2" t="str">
        <x:v>TX</x:v>
      </x:c>
      <x:c r="E3595" s="2" t="str">
        <x:v>Acute Care Hospitals</x:v>
      </x:c>
      <x:c r="F3595" s="2" t="str">
        <x:v>Proprietary</x:v>
      </x:c>
      <x:c r="G3595" s="2" t="str">
        <x:v>Small (&lt;100 beds)</x:v>
      </x:c>
      <x:c r="H3595" s="7" t="n">
        <x:v>5</x:v>
      </x:c>
      <x:c r="I3595" s="7" t="n">
        <x:v>4</x:v>
      </x:c>
      <x:c r="J3595" s="7" t="n">
        <x:v>1.03</x:v>
      </x:c>
      <x:c r="K3595" s="8" t="n">
        <x:v>41</x:v>
      </x:c>
      <x:c r="L3595" s="8" t="n">
        <x:v>1113</x:v>
      </x:c>
      <x:c r="M3595" s="9" t="n">
        <x:v>0.3133413301</x:v>
      </x:c>
      <x:c r="N3595" s="10" t="n">
        <x:v>38066.1257861635</x:v>
      </x:c>
      <x:c r="O3595" s="9" t="n">
        <x:v>0.150917542</x:v>
      </x:c>
      <x:c r="P3595" s="9" t="n">
        <x:v>0.2719928187</x:v>
      </x:c>
      <x:c r="Q3595" s="9" t="n">
        <x:v>0.6131059246</x:v>
      </x:c>
      <x:c r="R3595" s="3" t="b">
        <x:v>0</x:v>
      </x:c>
      <x:c r="S3595" s="3" t="b">
        <x:v>0</x:v>
      </x:c>
      <x:c r="T3595" s="3" t="b">
        <x:v>0</x:v>
      </x:c>
      <x:c r="U3595" s="2" t="str">
        <x:f>IF(T3595=TRUE,"Priority review",IF(R3595=TRUE,"High cost",IF(S3595=TRUE,"Low quality","Benchmark")))</x:f>
        <x:v>Benchmark</x:v>
      </x:c>
    </x:row>
    <x:row r="3596">
      <x:c r="A3596" s="2" t="str">
        <x:v>194098</x:v>
      </x:c>
      <x:c r="B3596" s="2" t="str">
        <x:v>OCEANS BEHAVIORAL HOSPITAL OF GREATER NEW ORLEANS</x:v>
      </x:c>
      <x:c r="C3596" s="2" t="str">
        <x:v>KENNER</x:v>
      </x:c>
      <x:c r="D3596" s="2" t="str">
        <x:v>LA</x:v>
      </x:c>
      <x:c r="E3596" s="2" t="str">
        <x:v>Psychiatric</x:v>
      </x:c>
      <x:c r="F3596" s="2" t="str">
        <x:v>Proprietary</x:v>
      </x:c>
      <x:c r="G3596" s="2" t="str">
        <x:v>Small (&lt;100 beds)</x:v>
      </x:c>
      <x:c r="H3596" s="7"/>
      <x:c r="I3596" s="7"/>
      <x:c r="J3596" s="7"/>
      <x:c r="K3596" s="8" t="n">
        <x:v>82</x:v>
      </x:c>
      <x:c r="L3596" s="8" t="n">
        <x:v>2399</x:v>
      </x:c>
      <x:c r="M3596" s="9" t="n">
        <x:v>0.8523590564</x:v>
      </x:c>
      <x:c r="N3596" s="10" t="n">
        <x:v>8470.4176740308</x:v>
      </x:c>
      <x:c r="O3596" s="9" t="n">
        <x:v>0.1567845118</x:v>
      </x:c>
      <x:c r="P3596" s="9" t="n">
        <x:v>0.2718446602</x:v>
      </x:c>
      <x:c r="Q3596" s="9" t="n">
        <x:v>0</x:v>
      </x:c>
      <x:c r="R3596" s="3" t="b">
        <x:v>0</x:v>
      </x:c>
      <x:c r="S3596" s="3" t="b">
        <x:v>0</x:v>
      </x:c>
      <x:c r="T3596" s="3" t="b">
        <x:v>0</x:v>
      </x:c>
      <x:c r="U3596" s="2" t="str">
        <x:f>IF(T3596=TRUE,"Priority review",IF(R3596=TRUE,"High cost",IF(S3596=TRUE,"Low quality","Benchmark")))</x:f>
        <x:v>Benchmark</x:v>
      </x:c>
    </x:row>
    <x:row r="3597">
      <x:c r="A3597" s="2" t="str">
        <x:v>390222</x:v>
      </x:c>
      <x:c r="B3597" s="2" t="str">
        <x:v>RIDDLE MEMORIAL HOSPITAL</x:v>
      </x:c>
      <x:c r="C3597" s="2" t="str">
        <x:v>MEDIA</x:v>
      </x:c>
      <x:c r="D3597" s="2" t="str">
        <x:v>PA</x:v>
      </x:c>
      <x:c r="E3597" s="2" t="str">
        <x:v>Acute Care Hospitals</x:v>
      </x:c>
      <x:c r="F3597" s="2" t="str">
        <x:v>Voluntary non-profit</x:v>
      </x:c>
      <x:c r="G3597" s="2" t="str">
        <x:v>Medium (100-299 beds)</x:v>
      </x:c>
      <x:c r="H3597" s="7" t="n">
        <x:v>4</x:v>
      </x:c>
      <x:c r="I3597" s="7" t="n">
        <x:v>3</x:v>
      </x:c>
      <x:c r="J3597" s="7" t="n">
        <x:v>0.99</x:v>
      </x:c>
      <x:c r="K3597" s="8" t="n">
        <x:v>243</x:v>
      </x:c>
      <x:c r="L3597" s="8" t="n">
        <x:v>12103</x:v>
      </x:c>
      <x:c r="M3597" s="9" t="n">
        <x:v>0.6487613524</x:v>
      </x:c>
      <x:c r="N3597" s="10" t="n">
        <x:v>26370.395273899</x:v>
      </x:c>
      <x:c r="O3597" s="9" t="n">
        <x:v>0.0245205493</x:v>
      </x:c>
      <x:c r="P3597" s="9" t="n">
        <x:v>0.271393643</x:v>
      </x:c>
      <x:c r="Q3597" s="9" t="n">
        <x:v>0.6022819886</x:v>
      </x:c>
      <x:c r="R3597" s="3" t="b">
        <x:v>0</x:v>
      </x:c>
      <x:c r="S3597" s="3" t="b">
        <x:v>0</x:v>
      </x:c>
      <x:c r="T3597" s="3" t="b">
        <x:v>0</x:v>
      </x:c>
      <x:c r="U3597" s="2" t="str">
        <x:f>IF(T3597=TRUE,"Priority review",IF(R3597=TRUE,"High cost",IF(S3597=TRUE,"Low quality","Benchmark")))</x:f>
        <x:v>Benchmark</x:v>
      </x:c>
    </x:row>
    <x:row r="3598">
      <x:c r="A3598" s="2" t="str">
        <x:v>281365</x:v>
      </x:c>
      <x:c r="B3598" s="2" t="str">
        <x:v>JENNIE M MELHAM MEMORIAL MEDICAL CENTER</x:v>
      </x:c>
      <x:c r="C3598" s="2" t="str">
        <x:v>BROKEN BOW</x:v>
      </x:c>
      <x:c r="D3598" s="2" t="str">
        <x:v>NE</x:v>
      </x:c>
      <x:c r="E3598" s="2" t="str">
        <x:v>Critical Access Hospitals</x:v>
      </x:c>
      <x:c r="F3598" s="2" t="str">
        <x:v>Voluntary non-profit</x:v>
      </x:c>
      <x:c r="G3598" s="2" t="str">
        <x:v>Small (&lt;100 beds)</x:v>
      </x:c>
      <x:c r="H3598" s="7" t="n">
        <x:v>4</x:v>
      </x:c>
      <x:c r="I3598" s="7"/>
      <x:c r="J3598" s="7"/>
      <x:c r="K3598" s="8" t="n">
        <x:v>23</x:v>
      </x:c>
      <x:c r="L3598" s="8" t="n">
        <x:v>228</x:v>
      </x:c>
      <x:c r="M3598" s="9" t="n">
        <x:v>0.1291280589</x:v>
      </x:c>
      <x:c r="N3598" s="10" t="n">
        <x:v>91617.3903508772</x:v>
      </x:c>
      <x:c r="O3598" s="9" t="n">
        <x:v>-0.0148358929</x:v>
      </x:c>
      <x:c r="P3598" s="9" t="n">
        <x:v>0.2713754647</x:v>
      </x:c>
      <x:c r="Q3598" s="9" t="n">
        <x:v>0.1657992565</x:v>
      </x:c>
      <x:c r="R3598" s="3" t="b">
        <x:v>0</x:v>
      </x:c>
      <x:c r="S3598" s="3" t="b">
        <x:v>0</x:v>
      </x:c>
      <x:c r="T3598" s="3" t="b">
        <x:v>0</x:v>
      </x:c>
      <x:c r="U3598" s="2" t="str">
        <x:f>IF(T3598=TRUE,"Priority review",IF(R3598=TRUE,"High cost",IF(S3598=TRUE,"Low quality","Benchmark")))</x:f>
        <x:v>Benchmark</x:v>
      </x:c>
    </x:row>
    <x:row r="3599">
      <x:c r="A3599" s="2" t="str">
        <x:v>100090</x:v>
      </x:c>
      <x:c r="B3599" s="2" t="str">
        <x:v>FLAGLER HOSPITAL</x:v>
      </x:c>
      <x:c r="C3599" s="2" t="str">
        <x:v>SAINT AUGUSTINE</x:v>
      </x:c>
      <x:c r="D3599" s="2" t="str">
        <x:v>FL</x:v>
      </x:c>
      <x:c r="E3599" s="2" t="str">
        <x:v>Acute Care Hospitals</x:v>
      </x:c>
      <x:c r="F3599" s="2" t="str">
        <x:v>Voluntary non-profit</x:v>
      </x:c>
      <x:c r="G3599" s="2" t="str">
        <x:v>Large (300+ beds)</x:v>
      </x:c>
      <x:c r="H3599" s="7" t="n">
        <x:v>3</x:v>
      </x:c>
      <x:c r="I3599" s="7" t="n">
        <x:v>3</x:v>
      </x:c>
      <x:c r="J3599" s="7" t="n">
        <x:v>1.08</x:v>
      </x:c>
      <x:c r="K3599" s="8" t="n">
        <x:v>335</x:v>
      </x:c>
      <x:c r="L3599" s="8" t="n">
        <x:v>12156</x:v>
      </x:c>
      <x:c r="M3599" s="9" t="n">
        <x:v>0.5013457304</x:v>
      </x:c>
      <x:c r="N3599" s="10" t="n">
        <x:v>29167.8432872655</x:v>
      </x:c>
      <x:c r="O3599" s="9" t="n">
        <x:v>-0.1901303669</x:v>
      </x:c>
      <x:c r="P3599" s="9" t="n">
        <x:v>0.2712933754</x:v>
      </x:c>
      <x:c r="Q3599" s="9" t="n">
        <x:v>0.2570977918</x:v>
      </x:c>
      <x:c r="R3599" s="3" t="b">
        <x:v>0</x:v>
      </x:c>
      <x:c r="S3599" s="3" t="b">
        <x:v>0</x:v>
      </x:c>
      <x:c r="T3599" s="3" t="b">
        <x:v>0</x:v>
      </x:c>
      <x:c r="U3599" s="2" t="str">
        <x:f>IF(T3599=TRUE,"Priority review",IF(R3599=TRUE,"High cost",IF(S3599=TRUE,"Low quality","Benchmark")))</x:f>
        <x:v>Benchmark</x:v>
      </x:c>
    </x:row>
    <x:row r="3600">
      <x:c r="A3600" s="2" t="str">
        <x:v>670300</x:v>
      </x:c>
      <x:c r="B3600" s="2" t="str">
        <x:v>METHODIST MIDLOTHIAN MEDICAL CENTER</x:v>
      </x:c>
      <x:c r="C3600" s="2" t="str">
        <x:v>MIDLOTHIAN</x:v>
      </x:c>
      <x:c r="D3600" s="2" t="str">
        <x:v>TX</x:v>
      </x:c>
      <x:c r="E3600" s="2" t="str">
        <x:v>Acute Care Hospitals</x:v>
      </x:c>
      <x:c r="F3600" s="2" t="str">
        <x:v>Voluntary non-profit</x:v>
      </x:c>
      <x:c r="G3600" s="2" t="str">
        <x:v>Small (&lt;100 beds)</x:v>
      </x:c>
      <x:c r="H3600" s="7" t="n">
        <x:v>4</x:v>
      </x:c>
      <x:c r="I3600" s="7" t="n">
        <x:v>4</x:v>
      </x:c>
      <x:c r="J3600" s="7" t="n">
        <x:v>1.12</x:v>
      </x:c>
      <x:c r="K3600" s="8" t="n">
        <x:v>62</x:v>
      </x:c>
      <x:c r="L3600" s="8" t="n">
        <x:v>2313</x:v>
      </x:c>
      <x:c r="M3600" s="9" t="n">
        <x:v>0.3326557667</x:v>
      </x:c>
      <x:c r="N3600" s="10" t="n">
        <x:v>37998.4154777345</x:v>
      </x:c>
      <x:c r="O3600" s="9" t="n">
        <x:v>0.0069939828</x:v>
      </x:c>
      <x:c r="P3600" s="9" t="n">
        <x:v>0.2710951526</x:v>
      </x:c>
      <x:c r="Q3600" s="9" t="n">
        <x:v>0.3913824057</x:v>
      </x:c>
      <x:c r="R3600" s="3" t="b">
        <x:v>0</x:v>
      </x:c>
      <x:c r="S3600" s="3" t="b">
        <x:v>0</x:v>
      </x:c>
      <x:c r="T3600" s="3" t="b">
        <x:v>0</x:v>
      </x:c>
      <x:c r="U3600" s="2" t="str">
        <x:f>IF(T3600=TRUE,"Priority review",IF(R3600=TRUE,"High cost",IF(S3600=TRUE,"Low quality","Benchmark")))</x:f>
        <x:v>Benchmark</x:v>
      </x:c>
    </x:row>
    <x:row r="3601">
      <x:c r="A3601" s="2" t="str">
        <x:v>451373</x:v>
      </x:c>
      <x:c r="B3601" s="2" t="str">
        <x:v>WARD MEMORIAL HOSPITAL</x:v>
      </x:c>
      <x:c r="C3601" s="2" t="str">
        <x:v>MONAHANS</x:v>
      </x:c>
      <x:c r="D3601" s="2" t="str">
        <x:v>TX</x:v>
      </x:c>
      <x:c r="E3601" s="2" t="str">
        <x:v>Critical Access Hospitals</x:v>
      </x:c>
      <x:c r="F3601" s="2" t="str">
        <x:v>Government</x:v>
      </x:c>
      <x:c r="G3601" s="2" t="str">
        <x:v>Small (&lt;100 beds)</x:v>
      </x:c>
      <x:c r="H3601" s="7"/>
      <x:c r="I3601" s="7"/>
      <x:c r="J3601" s="7"/>
      <x:c r="K3601" s="8" t="n">
        <x:v>21</x:v>
      </x:c>
      <x:c r="L3601" s="8" t="n">
        <x:v>262</x:v>
      </x:c>
      <x:c r="M3601" s="9" t="n">
        <x:v>0.2438199323</x:v>
      </x:c>
      <x:c r="N3601" s="10" t="n">
        <x:v>91425.3435114504</x:v>
      </x:c>
      <x:c r="O3601" s="9" t="n">
        <x:v>-0.2494188689</x:v>
      </x:c>
      <x:c r="P3601" s="9" t="n">
        <x:v>0.2706319703</x:v>
      </x:c>
      <x:c r="Q3601" s="9" t="n">
        <x:v>0.292936803</x:v>
      </x:c>
      <x:c r="R3601" s="3" t="b">
        <x:v>0</x:v>
      </x:c>
      <x:c r="S3601" s="3" t="b">
        <x:v>0</x:v>
      </x:c>
      <x:c r="T3601" s="3" t="b">
        <x:v>0</x:v>
      </x:c>
      <x:c r="U3601" s="2" t="str">
        <x:f>IF(T3601=TRUE,"Priority review",IF(R3601=TRUE,"High cost",IF(S3601=TRUE,"Low quality","Benchmark")))</x:f>
        <x:v>Benchmark</x:v>
      </x:c>
    </x:row>
    <x:row r="3602">
      <x:c r="A3602" s="2" t="str">
        <x:v>250138</x:v>
      </x:c>
      <x:c r="B3602" s="2" t="str">
        <x:v>MERIT HEALTH RIVER OAKS</x:v>
      </x:c>
      <x:c r="C3602" s="2" t="str">
        <x:v>FLOWOOD</x:v>
      </x:c>
      <x:c r="D3602" s="2" t="str">
        <x:v>MS</x:v>
      </x:c>
      <x:c r="E3602" s="2" t="str">
        <x:v>Acute Care Hospitals</x:v>
      </x:c>
      <x:c r="F3602" s="2" t="str">
        <x:v>Proprietary</x:v>
      </x:c>
      <x:c r="G3602" s="2" t="str">
        <x:v>Medium (100-299 beds)</x:v>
      </x:c>
      <x:c r="H3602" s="7" t="n">
        <x:v>1</x:v>
      </x:c>
      <x:c r="I3602" s="7" t="n">
        <x:v>1</x:v>
      </x:c>
      <x:c r="J3602" s="7" t="n">
        <x:v>1.07</x:v>
      </x:c>
      <x:c r="K3602" s="8" t="n">
        <x:v>158</x:v>
      </x:c>
      <x:c r="L3602" s="8" t="n">
        <x:v>5937</x:v>
      </x:c>
      <x:c r="M3602" s="9" t="n">
        <x:v>0.4385591755</x:v>
      </x:c>
      <x:c r="N3602" s="10" t="n">
        <x:v>26360.971534445</x:v>
      </x:c>
      <x:c r="O3602" s="9" t="n">
        <x:v>0.1497631282</x:v>
      </x:c>
      <x:c r="P3602" s="9" t="n">
        <x:v>0.2705786471</x:v>
      </x:c>
      <x:c r="Q3602" s="9" t="n">
        <x:v>0</x:v>
      </x:c>
      <x:c r="R3602" s="3" t="b">
        <x:v>0</x:v>
      </x:c>
      <x:c r="S3602" s="3" t="b">
        <x:v>1</x:v>
      </x:c>
      <x:c r="T3602" s="3" t="b">
        <x:v>0</x:v>
      </x:c>
      <x:c r="U3602" s="2" t="str">
        <x:f>IF(T3602=TRUE,"Priority review",IF(R3602=TRUE,"High cost",IF(S3602=TRUE,"Low quality","Benchmark")))</x:f>
        <x:v>Low quality</x:v>
      </x:c>
    </x:row>
    <x:row r="3603">
      <x:c r="A3603" s="2" t="str">
        <x:v>370183</x:v>
      </x:c>
      <x:c r="B3603" s="2" t="str">
        <x:v>HILLCREST HOSPITAL HENRYETTA</x:v>
      </x:c>
      <x:c r="C3603" s="2" t="str">
        <x:v>HENRYETTA</x:v>
      </x:c>
      <x:c r="D3603" s="2" t="str">
        <x:v>OK</x:v>
      </x:c>
      <x:c r="E3603" s="2" t="str">
        <x:v>Acute Care Hospitals</x:v>
      </x:c>
      <x:c r="F3603" s="2" t="str">
        <x:v>Proprietary</x:v>
      </x:c>
      <x:c r="G3603" s="2" t="str">
        <x:v>Small (&lt;100 beds)</x:v>
      </x:c>
      <x:c r="H3603" s="7"/>
      <x:c r="I3603" s="7"/>
      <x:c r="J3603" s="7" t="n">
        <x:v>0.79</x:v>
      </x:c>
      <x:c r="K3603" s="8" t="n">
        <x:v>15</x:v>
      </x:c>
      <x:c r="L3603" s="8" t="n">
        <x:v>561</x:v>
      </x:c>
      <x:c r="M3603" s="9" t="n">
        <x:v>0.4016393443</x:v>
      </x:c>
      <x:c r="N3603" s="10" t="n">
        <x:v>37777.8520499109</x:v>
      </x:c>
      <x:c r="O3603" s="9" t="n">
        <x:v>-0.1613258114</x:v>
      </x:c>
      <x:c r="P3603" s="9" t="n">
        <x:v>0.2701974865</x:v>
      </x:c>
      <x:c r="Q3603" s="9" t="n">
        <x:v>0.697486535</x:v>
      </x:c>
      <x:c r="R3603" s="3" t="b">
        <x:v>0</x:v>
      </x:c>
      <x:c r="S3603" s="3" t="b">
        <x:v>0</x:v>
      </x:c>
      <x:c r="T3603" s="3" t="b">
        <x:v>0</x:v>
      </x:c>
      <x:c r="U3603" s="2" t="str">
        <x:f>IF(T3603=TRUE,"Priority review",IF(R3603=TRUE,"High cost",IF(S3603=TRUE,"Low quality","Benchmark")))</x:f>
        <x:v>Benchmark</x:v>
      </x:c>
    </x:row>
    <x:row r="3604">
      <x:c r="A3604" s="2" t="str">
        <x:v>471305</x:v>
      </x:c>
      <x:c r="B3604" s="2" t="str">
        <x:v>COPLEY HOSPITAL</x:v>
      </x:c>
      <x:c r="C3604" s="2" t="str">
        <x:v>MORRISVILLE</x:v>
      </x:c>
      <x:c r="D3604" s="2" t="str">
        <x:v>VT</x:v>
      </x:c>
      <x:c r="E3604" s="2" t="str">
        <x:v>Critical Access Hospitals</x:v>
      </x:c>
      <x:c r="F3604" s="2" t="str">
        <x:v>Voluntary non-profit</x:v>
      </x:c>
      <x:c r="G3604" s="2" t="str">
        <x:v>Small (&lt;100 beds)</x:v>
      </x:c>
      <x:c r="H3604" s="7" t="n">
        <x:v>2</x:v>
      </x:c>
      <x:c r="I3604" s="7" t="n">
        <x:v>5</x:v>
      </x:c>
      <x:c r="J3604" s="7"/>
      <x:c r="K3604" s="8" t="n">
        <x:v>25</x:v>
      </x:c>
      <x:c r="L3604" s="8" t="n">
        <x:v>1141</x:v>
      </x:c>
      <x:c r="M3604" s="9" t="n">
        <x:v>0.6507103825</x:v>
      </x:c>
      <x:c r="N3604" s="10" t="n">
        <x:v>91367.5942156003</x:v>
      </x:c>
      <x:c r="O3604" s="9" t="n">
        <x:v>-0.0079396509</x:v>
      </x:c>
      <x:c r="P3604" s="9" t="n">
        <x:v>0.2698884758</x:v>
      </x:c>
      <x:c r="Q3604" s="9" t="n">
        <x:v>0.0171003717</x:v>
      </x:c>
      <x:c r="R3604" s="3" t="b">
        <x:v>0</x:v>
      </x:c>
      <x:c r="S3604" s="3" t="b">
        <x:v>1</x:v>
      </x:c>
      <x:c r="T3604" s="3" t="b">
        <x:v>0</x:v>
      </x:c>
      <x:c r="U3604" s="2" t="str">
        <x:f>IF(T3604=TRUE,"Priority review",IF(R3604=TRUE,"High cost",IF(S3604=TRUE,"Low quality","Benchmark")))</x:f>
        <x:v>Low quality</x:v>
      </x:c>
    </x:row>
    <x:row r="3605">
      <x:c r="A3605" s="2" t="str">
        <x:v>450272</x:v>
      </x:c>
      <x:c r="B3605" s="2" t="str">
        <x:v>CHRISTUS SANTA ROSA HOSPITAL-SAN MARCOS</x:v>
      </x:c>
      <x:c r="C3605" s="2" t="str">
        <x:v>SAN MARCOS</x:v>
      </x:c>
      <x:c r="D3605" s="2" t="str">
        <x:v>TX</x:v>
      </x:c>
      <x:c r="E3605" s="2" t="str">
        <x:v>Acute Care Hospitals</x:v>
      </x:c>
      <x:c r="F3605" s="2" t="str">
        <x:v>Voluntary non-profit</x:v>
      </x:c>
      <x:c r="G3605" s="2" t="str">
        <x:v>Medium (100-299 beds)</x:v>
      </x:c>
      <x:c r="H3605" s="7" t="n">
        <x:v>4</x:v>
      </x:c>
      <x:c r="I3605" s="7" t="n">
        <x:v>3</x:v>
      </x:c>
      <x:c r="J3605" s="7" t="n">
        <x:v>1.15</x:v>
      </x:c>
      <x:c r="K3605" s="8" t="n">
        <x:v>117</x:v>
      </x:c>
      <x:c r="L3605" s="8" t="n">
        <x:v>6321</x:v>
      </x:c>
      <x:c r="M3605" s="9" t="n">
        <x:v>0.5198220349</x:v>
      </x:c>
      <x:c r="N3605" s="10" t="n">
        <x:v>26286.4342667299</x:v>
      </x:c>
      <x:c r="O3605" s="9" t="n">
        <x:v>-0.0034552285</x:v>
      </x:c>
      <x:c r="P3605" s="9" t="n">
        <x:v>0.2697636512</x:v>
      </x:c>
      <x:c r="Q3605" s="9" t="n">
        <x:v>0.6022819886</x:v>
      </x:c>
      <x:c r="R3605" s="3" t="b">
        <x:v>0</x:v>
      </x:c>
      <x:c r="S3605" s="3" t="b">
        <x:v>0</x:v>
      </x:c>
      <x:c r="T3605" s="3" t="b">
        <x:v>0</x:v>
      </x:c>
      <x:c r="U3605" s="2" t="str">
        <x:f>IF(T3605=TRUE,"Priority review",IF(R3605=TRUE,"High cost",IF(S3605=TRUE,"Low quality","Benchmark")))</x:f>
        <x:v>Benchmark</x:v>
      </x:c>
    </x:row>
    <x:row r="3606">
      <x:c r="A3606" s="2" t="str">
        <x:v>230020</x:v>
      </x:c>
      <x:c r="B3606" s="2" t="str">
        <x:v>BEAUMONT HOSPITAL - DEARBORN</x:v>
      </x:c>
      <x:c r="C3606" s="2" t="str">
        <x:v>DEARBORN</x:v>
      </x:c>
      <x:c r="D3606" s="2" t="str">
        <x:v>MI</x:v>
      </x:c>
      <x:c r="E3606" s="2" t="str">
        <x:v>Acute Care Hospitals</x:v>
      </x:c>
      <x:c r="F3606" s="2" t="str">
        <x:v>Voluntary non-profit</x:v>
      </x:c>
      <x:c r="G3606" s="2" t="str">
        <x:v>Large (300+ beds)</x:v>
      </x:c>
      <x:c r="H3606" s="7" t="n">
        <x:v>2</x:v>
      </x:c>
      <x:c r="I3606" s="7" t="n">
        <x:v>2</x:v>
      </x:c>
      <x:c r="J3606" s="7" t="n">
        <x:v>1.05</x:v>
      </x:c>
      <x:c r="K3606" s="8" t="n">
        <x:v>498</x:v>
      </x:c>
      <x:c r="L3606" s="8" t="n">
        <x:v>24790</x:v>
      </x:c>
      <x:c r="M3606" s="9" t="n">
        <x:v>0.7237595445</x:v>
      </x:c>
      <x:c r="N3606" s="10" t="n">
        <x:v>29167.7884227511</x:v>
      </x:c>
      <x:c r="O3606" s="9" t="n">
        <x:v>0.0310395419</x:v>
      </x:c>
      <x:c r="P3606" s="9" t="n">
        <x:v>0.2697160883</x:v>
      </x:c>
      <x:c r="Q3606" s="9" t="n">
        <x:v>0.0536277603</x:v>
      </x:c>
      <x:c r="R3606" s="3" t="b">
        <x:v>0</x:v>
      </x:c>
      <x:c r="S3606" s="3" t="b">
        <x:v>1</x:v>
      </x:c>
      <x:c r="T3606" s="3" t="b">
        <x:v>0</x:v>
      </x:c>
      <x:c r="U3606" s="2" t="str">
        <x:f>IF(T3606=TRUE,"Priority review",IF(R3606=TRUE,"High cost",IF(S3606=TRUE,"Low quality","Benchmark")))</x:f>
        <x:v>Low quality</x:v>
      </x:c>
    </x:row>
    <x:row r="3607">
      <x:c r="A3607" s="2" t="str">
        <x:v>340087</x:v>
      </x:c>
      <x:c r="B3607" s="2" t="str">
        <x:v>THE MCDOWELL HOSPITAL</x:v>
      </x:c>
      <x:c r="C3607" s="2" t="str">
        <x:v>MARION</x:v>
      </x:c>
      <x:c r="D3607" s="2" t="str">
        <x:v>NC</x:v>
      </x:c>
      <x:c r="E3607" s="2" t="str">
        <x:v>Acute Care Hospitals</x:v>
      </x:c>
      <x:c r="F3607" s="2" t="str">
        <x:v>Voluntary non-profit</x:v>
      </x:c>
      <x:c r="G3607" s="2" t="str">
        <x:v>Small (&lt;100 beds)</x:v>
      </x:c>
      <x:c r="H3607" s="7" t="n">
        <x:v>3</x:v>
      </x:c>
      <x:c r="I3607" s="7" t="n">
        <x:v>4</x:v>
      </x:c>
      <x:c r="J3607" s="7" t="n">
        <x:v>0.96</x:v>
      </x:c>
      <x:c r="K3607" s="8" t="n">
        <x:v>43</x:v>
      </x:c>
      <x:c r="L3607" s="8" t="n">
        <x:v>2223</x:v>
      </x:c>
      <x:c r="M3607" s="9" t="n">
        <x:v>0.5344389376</x:v>
      </x:c>
      <x:c r="N3607" s="10" t="n">
        <x:v>37758.1578947368</x:v>
      </x:c>
      <x:c r="O3607" s="9" t="n">
        <x:v>-0.0410263404</x:v>
      </x:c>
      <x:c r="P3607" s="9" t="n">
        <x:v>0.2692998205</x:v>
      </x:c>
      <x:c r="Q3607" s="9" t="n">
        <x:v>0.1687612208</x:v>
      </x:c>
      <x:c r="R3607" s="3" t="b">
        <x:v>0</x:v>
      </x:c>
      <x:c r="S3607" s="3" t="b">
        <x:v>0</x:v>
      </x:c>
      <x:c r="T3607" s="3" t="b">
        <x:v>0</x:v>
      </x:c>
      <x:c r="U3607" s="2" t="str">
        <x:f>IF(T3607=TRUE,"Priority review",IF(R3607=TRUE,"High cost",IF(S3607=TRUE,"Low quality","Benchmark")))</x:f>
        <x:v>Benchmark</x:v>
      </x:c>
    </x:row>
    <x:row r="3608">
      <x:c r="A3608" s="2" t="str">
        <x:v>371330</x:v>
      </x:c>
      <x:c r="B3608" s="2" t="str">
        <x:v>MANGUM REGIONAL MEDICAL CENTER</x:v>
      </x:c>
      <x:c r="C3608" s="2" t="str">
        <x:v>MANGUM</x:v>
      </x:c>
      <x:c r="D3608" s="2" t="str">
        <x:v>OK</x:v>
      </x:c>
      <x:c r="E3608" s="2" t="str">
        <x:v>Critical Access Hospitals</x:v>
      </x:c>
      <x:c r="F3608" s="2" t="str">
        <x:v>Government</x:v>
      </x:c>
      <x:c r="G3608" s="2" t="str">
        <x:v>Small (&lt;100 beds)</x:v>
      </x:c>
      <x:c r="H3608" s="7"/>
      <x:c r="I3608" s="7"/>
      <x:c r="J3608" s="7"/>
      <x:c r="K3608" s="8" t="n">
        <x:v>18</x:v>
      </x:c>
      <x:c r="L3608" s="8" t="n">
        <x:v>193</x:v>
      </x:c>
      <x:c r="M3608" s="9" t="n">
        <x:v>0.5595021251</x:v>
      </x:c>
      <x:c r="N3608" s="10" t="n">
        <x:v>91340.8911917098</x:v>
      </x:c>
      <x:c r="O3608" s="9" t="n">
        <x:v>-0.0653614742</x:v>
      </x:c>
      <x:c r="P3608" s="9" t="n">
        <x:v>0.2691449814</x:v>
      </x:c>
      <x:c r="Q3608" s="9" t="n">
        <x:v>0.292936803</x:v>
      </x:c>
      <x:c r="R3608" s="3" t="b">
        <x:v>0</x:v>
      </x:c>
      <x:c r="S3608" s="3" t="b">
        <x:v>0</x:v>
      </x:c>
      <x:c r="T3608" s="3" t="b">
        <x:v>0</x:v>
      </x:c>
      <x:c r="U3608" s="2" t="str">
        <x:f>IF(T3608=TRUE,"Priority review",IF(R3608=TRUE,"High cost",IF(S3608=TRUE,"Low quality","Benchmark")))</x:f>
        <x:v>Benchmark</x:v>
      </x:c>
    </x:row>
    <x:row r="3609">
      <x:c r="A3609" s="2" t="str">
        <x:v>140125</x:v>
      </x:c>
      <x:c r="B3609" s="2" t="str">
        <x:v>GATEWAY REGIONAL MEDICAL CENTER</x:v>
      </x:c>
      <x:c r="C3609" s="2" t="str">
        <x:v>GRANITE CITY</x:v>
      </x:c>
      <x:c r="D3609" s="2" t="str">
        <x:v>IL</x:v>
      </x:c>
      <x:c r="E3609" s="2" t="str">
        <x:v>Acute Care Hospitals</x:v>
      </x:c>
      <x:c r="F3609" s="2" t="str">
        <x:v>Voluntary non-profit</x:v>
      </x:c>
      <x:c r="G3609" s="2" t="str">
        <x:v>Medium (100-299 beds)</x:v>
      </x:c>
      <x:c r="H3609" s="7" t="n">
        <x:v>2</x:v>
      </x:c>
      <x:c r="I3609" s="7"/>
      <x:c r="J3609" s="7" t="n">
        <x:v>1</x:v>
      </x:c>
      <x:c r="K3609" s="8" t="n">
        <x:v>288</x:v>
      </x:c>
      <x:c r="L3609" s="8" t="n">
        <x:v>3463</x:v>
      </x:c>
      <x:c r="M3609" s="9" t="n">
        <x:v>0.1250474347</x:v>
      </x:c>
      <x:c r="N3609" s="10" t="n">
        <x:v>26283.6705168929</x:v>
      </x:c>
      <x:c r="O3609" s="9" t="n">
        <x:v>-1.0337369562</x:v>
      </x:c>
      <x:c r="P3609" s="9" t="n">
        <x:v>0.2689486553</x:v>
      </x:c>
      <x:c r="Q3609" s="9" t="n">
        <x:v>0.0782396088</x:v>
      </x:c>
      <x:c r="R3609" s="3" t="b">
        <x:v>0</x:v>
      </x:c>
      <x:c r="S3609" s="3" t="b">
        <x:v>1</x:v>
      </x:c>
      <x:c r="T3609" s="3" t="b">
        <x:v>0</x:v>
      </x:c>
      <x:c r="U3609" s="2" t="str">
        <x:f>IF(T3609=TRUE,"Priority review",IF(R3609=TRUE,"High cost",IF(S3609=TRUE,"Low quality","Benchmark")))</x:f>
        <x:v>Low quality</x:v>
      </x:c>
    </x:row>
    <x:row r="3610">
      <x:c r="A3610" s="2" t="str">
        <x:v>034026</x:v>
      </x:c>
      <x:c r="B3610" s="2" t="str">
        <x:v>VALLEY HOSPITAL</x:v>
      </x:c>
      <x:c r="C3610" s="2" t="str">
        <x:v>PHOENIX</x:v>
      </x:c>
      <x:c r="D3610" s="2" t="str">
        <x:v>AZ</x:v>
      </x:c>
      <x:c r="E3610" s="2" t="str">
        <x:v>Psychiatric</x:v>
      </x:c>
      <x:c r="F3610" s="2" t="str">
        <x:v>Proprietary</x:v>
      </x:c>
      <x:c r="G3610" s="2" t="str">
        <x:v>Medium (100-299 beds)</x:v>
      </x:c>
      <x:c r="H3610" s="7"/>
      <x:c r="I3610" s="7"/>
      <x:c r="J3610" s="7"/>
      <x:c r="K3610" s="8" t="n">
        <x:v>122</x:v>
      </x:c>
      <x:c r="L3610" s="8" t="n">
        <x:v>5047</x:v>
      </x:c>
      <x:c r="M3610" s="9" t="n">
        <x:v>0.9228701962</x:v>
      </x:c>
      <x:c r="N3610" s="10" t="n">
        <x:v>7384.492371706</x:v>
      </x:c>
      <x:c r="O3610" s="9" t="n">
        <x:v>0.142195778</x:v>
      </x:c>
      <x:c r="P3610" s="9" t="n">
        <x:v>0.2686567164</x:v>
      </x:c>
      <x:c r="Q3610" s="9" t="n">
        <x:v>0</x:v>
      </x:c>
      <x:c r="R3610" s="3" t="b">
        <x:v>0</x:v>
      </x:c>
      <x:c r="S3610" s="3" t="b">
        <x:v>0</x:v>
      </x:c>
      <x:c r="T3610" s="3" t="b">
        <x:v>0</x:v>
      </x:c>
      <x:c r="U3610" s="2" t="str">
        <x:f>IF(T3610=TRUE,"Priority review",IF(R3610=TRUE,"High cost",IF(S3610=TRUE,"Low quality","Benchmark")))</x:f>
        <x:v>Benchmark</x:v>
      </x:c>
    </x:row>
    <x:row r="3611">
      <x:c r="A3611" s="2" t="str">
        <x:v>524043</x:v>
      </x:c>
      <x:c r="B3611" s="2" t="str">
        <x:v>GRANITE HILLS HOSPITAL</x:v>
      </x:c>
      <x:c r="C3611" s="2" t="str">
        <x:v>WEST ALLIS</x:v>
      </x:c>
      <x:c r="D3611" s="2" t="str">
        <x:v>WI</x:v>
      </x:c>
      <x:c r="E3611" s="2" t="str">
        <x:v>Psychiatric</x:v>
      </x:c>
      <x:c r="F3611" s="2" t="str">
        <x:v>Proprietary</x:v>
      </x:c>
      <x:c r="G3611" s="2" t="str">
        <x:v>Small (&lt;100 beds)</x:v>
      </x:c>
      <x:c r="H3611" s="7"/>
      <x:c r="I3611" s="7"/>
      <x:c r="J3611" s="7"/>
      <x:c r="K3611" s="8" t="n">
        <x:v>60</x:v>
      </x:c>
      <x:c r="L3611" s="8" t="n">
        <x:v>2086</x:v>
      </x:c>
      <x:c r="M3611" s="9" t="n">
        <x:v>0.9835616438</x:v>
      </x:c>
      <x:c r="N3611" s="10" t="n">
        <x:v>8469.2871524449</x:v>
      </x:c>
      <x:c r="O3611" s="9" t="n">
        <x:v>0.3330233197</x:v>
      </x:c>
      <x:c r="P3611" s="9" t="n">
        <x:v>0.2686084142</x:v>
      </x:c>
      <x:c r="Q3611" s="9" t="n">
        <x:v>0</x:v>
      </x:c>
      <x:c r="R3611" s="3" t="b">
        <x:v>0</x:v>
      </x:c>
      <x:c r="S3611" s="3" t="b">
        <x:v>0</x:v>
      </x:c>
      <x:c r="T3611" s="3" t="b">
        <x:v>0</x:v>
      </x:c>
      <x:c r="U3611" s="2" t="str">
        <x:f>IF(T3611=TRUE,"Priority review",IF(R3611=TRUE,"High cost",IF(S3611=TRUE,"Low quality","Benchmark")))</x:f>
        <x:v>Benchmark</x:v>
      </x:c>
    </x:row>
    <x:row r="3612">
      <x:c r="A3612" s="2" t="str">
        <x:v>190318</x:v>
      </x:c>
      <x:c r="B3612" s="2" t="str">
        <x:v>ACADIAN MEDICAL CENTER</x:v>
      </x:c>
      <x:c r="C3612" s="2" t="str">
        <x:v>EUNICE</x:v>
      </x:c>
      <x:c r="D3612" s="2" t="str">
        <x:v>LA</x:v>
      </x:c>
      <x:c r="E3612" s="2" t="str">
        <x:v>Acute Care Hospitals</x:v>
      </x:c>
      <x:c r="F3612" s="2" t="str">
        <x:v>Proprietary</x:v>
      </x:c>
      <x:c r="G3612" s="2" t="str">
        <x:v>Small (&lt;100 beds)</x:v>
      </x:c>
      <x:c r="H3612" s="7" t="n">
        <x:v>3</x:v>
      </x:c>
      <x:c r="I3612" s="7" t="n">
        <x:v>3</x:v>
      </x:c>
      <x:c r="J3612" s="7" t="n">
        <x:v>1.16</x:v>
      </x:c>
      <x:c r="K3612" s="8" t="n">
        <x:v>49</x:v>
      </x:c>
      <x:c r="L3612" s="8" t="n">
        <x:v>1286</x:v>
      </x:c>
      <x:c r="M3612" s="9" t="n">
        <x:v>0.281476525</x:v>
      </x:c>
      <x:c r="N3612" s="10" t="n">
        <x:v>37720.0497667185</x:v>
      </x:c>
      <x:c r="O3612" s="9" t="n">
        <x:v>-0.0345762677</x:v>
      </x:c>
      <x:c r="P3612" s="9" t="n">
        <x:v>0.2684021544</x:v>
      </x:c>
      <x:c r="Q3612" s="9" t="n">
        <x:v>0.1687612208</x:v>
      </x:c>
      <x:c r="R3612" s="3" t="b">
        <x:v>0</x:v>
      </x:c>
      <x:c r="S3612" s="3" t="b">
        <x:v>0</x:v>
      </x:c>
      <x:c r="T3612" s="3" t="b">
        <x:v>0</x:v>
      </x:c>
      <x:c r="U3612" s="2" t="str">
        <x:f>IF(T3612=TRUE,"Priority review",IF(R3612=TRUE,"High cost",IF(S3612=TRUE,"Low quality","Benchmark")))</x:f>
        <x:v>Benchmark</x:v>
      </x:c>
    </x:row>
    <x:row r="3613">
      <x:c r="A3613" s="2" t="str">
        <x:v>431310</x:v>
      </x:c>
      <x:c r="B3613" s="2" t="str">
        <x:v>AVERA FLANDREAU HOSPITAL - CAH</x:v>
      </x:c>
      <x:c r="C3613" s="2" t="str">
        <x:v>FLANDREAU</x:v>
      </x:c>
      <x:c r="D3613" s="2" t="str">
        <x:v>SD</x:v>
      </x:c>
      <x:c r="E3613" s="2" t="str">
        <x:v>Critical Access Hospitals</x:v>
      </x:c>
      <x:c r="F3613" s="2" t="str">
        <x:v>Voluntary non-profit</x:v>
      </x:c>
      <x:c r="G3613" s="2" t="str">
        <x:v>Small (&lt;100 beds)</x:v>
      </x:c>
      <x:c r="H3613" s="7"/>
      <x:c r="I3613" s="7"/>
      <x:c r="J3613" s="7"/>
      <x:c r="K3613" s="8" t="n">
        <x:v>18</x:v>
      </x:c>
      <x:c r="L3613" s="8" t="n">
        <x:v>109</x:v>
      </x:c>
      <x:c r="M3613" s="9" t="n">
        <x:v>0.0596651446</x:v>
      </x:c>
      <x:c r="N3613" s="10" t="n">
        <x:v>91324.6513761468</x:v>
      </x:c>
      <x:c r="O3613" s="9" t="n">
        <x:v>0.0046526729</x:v>
      </x:c>
      <x:c r="P3613" s="9" t="n">
        <x:v>0.268401487</x:v>
      </x:c>
      <x:c r="Q3613" s="9" t="n">
        <x:v>0.292936803</x:v>
      </x:c>
      <x:c r="R3613" s="3" t="b">
        <x:v>0</x:v>
      </x:c>
      <x:c r="S3613" s="3" t="b">
        <x:v>0</x:v>
      </x:c>
      <x:c r="T3613" s="3" t="b">
        <x:v>0</x:v>
      </x:c>
      <x:c r="U3613" s="2" t="str">
        <x:f>IF(T3613=TRUE,"Priority review",IF(R3613=TRUE,"High cost",IF(S3613=TRUE,"Low quality","Benchmark")))</x:f>
        <x:v>Benchmark</x:v>
      </x:c>
    </x:row>
    <x:row r="3614">
      <x:c r="A3614" s="2" t="str">
        <x:v>100068</x:v>
      </x:c>
      <x:c r="B3614" s="2" t="str">
        <x:v>ADVENTHEALTH DAYTONA BEACH</x:v>
      </x:c>
      <x:c r="C3614" s="2" t="str">
        <x:v>DAYTONA BEACH</x:v>
      </x:c>
      <x:c r="D3614" s="2" t="str">
        <x:v>FL</x:v>
      </x:c>
      <x:c r="E3614" s="2" t="str">
        <x:v>Acute Care Hospitals</x:v>
      </x:c>
      <x:c r="F3614" s="2" t="str">
        <x:v>Voluntary non-profit</x:v>
      </x:c>
      <x:c r="G3614" s="2" t="str">
        <x:v>Large (300+ beds)</x:v>
      </x:c>
      <x:c r="H3614" s="7" t="n">
        <x:v>5</x:v>
      </x:c>
      <x:c r="I3614" s="7" t="n">
        <x:v>3</x:v>
      </x:c>
      <x:c r="J3614" s="7" t="n">
        <x:v>0.97</x:v>
      </x:c>
      <x:c r="K3614" s="8" t="n">
        <x:v>330</x:v>
      </x:c>
      <x:c r="L3614" s="8" t="n">
        <x:v>23594</x:v>
      </x:c>
      <x:c r="M3614" s="9" t="n">
        <x:v>0.9597449909</x:v>
      </x:c>
      <x:c r="N3614" s="10" t="n">
        <x:v>29151.296685598</x:v>
      </x:c>
      <x:c r="O3614" s="9" t="n">
        <x:v>0.0808899973</x:v>
      </x:c>
      <x:c r="P3614" s="9" t="n">
        <x:v>0.2681388013</x:v>
      </x:c>
      <x:c r="Q3614" s="9" t="n">
        <x:v>0.8722397476</x:v>
      </x:c>
      <x:c r="R3614" s="3" t="b">
        <x:v>0</x:v>
      </x:c>
      <x:c r="S3614" s="3" t="b">
        <x:v>0</x:v>
      </x:c>
      <x:c r="T3614" s="3" t="b">
        <x:v>0</x:v>
      </x:c>
      <x:c r="U3614" s="2" t="str">
        <x:f>IF(T3614=TRUE,"Priority review",IF(R3614=TRUE,"High cost",IF(S3614=TRUE,"Low quality","Benchmark")))</x:f>
        <x:v>Benchmark</x:v>
      </x:c>
    </x:row>
    <x:row r="3615">
      <x:c r="A3615" s="2" t="str">
        <x:v>390026</x:v>
      </x:c>
      <x:c r="B3615" s="2" t="str">
        <x:v>TEMPLE HEALTH - CHESTNUT HILL HOSPITAL</x:v>
      </x:c>
      <x:c r="C3615" s="2" t="str">
        <x:v>PHILADELPHIA</x:v>
      </x:c>
      <x:c r="D3615" s="2" t="str">
        <x:v>PA</x:v>
      </x:c>
      <x:c r="E3615" s="2" t="str">
        <x:v>Acute Care Hospitals</x:v>
      </x:c>
      <x:c r="F3615" s="2" t="str">
        <x:v>Voluntary non-profit</x:v>
      </x:c>
      <x:c r="G3615" s="2" t="str">
        <x:v>Medium (100-299 beds)</x:v>
      </x:c>
      <x:c r="H3615" s="7" t="n">
        <x:v>2</x:v>
      </x:c>
      <x:c r="I3615" s="7" t="n">
        <x:v>2</x:v>
      </x:c>
      <x:c r="J3615" s="7" t="n">
        <x:v>0.99</x:v>
      </x:c>
      <x:c r="K3615" s="8" t="n">
        <x:v>128</x:v>
      </x:c>
      <x:c r="L3615" s="8" t="n">
        <x:v>6676</x:v>
      </x:c>
      <x:c r="M3615" s="9" t="n">
        <x:v>0.7173587329</x:v>
      </x:c>
      <x:c r="N3615" s="10" t="n">
        <x:v>26238.462252846</x:v>
      </x:c>
      <x:c r="O3615" s="9" t="n">
        <x:v>0.0162475032</x:v>
      </x:c>
      <x:c r="P3615" s="9" t="n">
        <x:v>0.2681336593</x:v>
      </x:c>
      <x:c r="Q3615" s="9" t="n">
        <x:v>0.0782396088</x:v>
      </x:c>
      <x:c r="R3615" s="3" t="b">
        <x:v>0</x:v>
      </x:c>
      <x:c r="S3615" s="3" t="b">
        <x:v>1</x:v>
      </x:c>
      <x:c r="T3615" s="3" t="b">
        <x:v>0</x:v>
      </x:c>
      <x:c r="U3615" s="2" t="str">
        <x:f>IF(T3615=TRUE,"Priority review",IF(R3615=TRUE,"High cost",IF(S3615=TRUE,"Low quality","Benchmark")))</x:f>
        <x:v>Low quality</x:v>
      </x:c>
    </x:row>
    <x:row r="3616">
      <x:c r="A3616" s="2" t="str">
        <x:v>051316</x:v>
      </x:c>
      <x:c r="B3616" s="2" t="str">
        <x:v>FAIRCHILD MEDICAL CENTER</x:v>
      </x:c>
      <x:c r="C3616" s="2" t="str">
        <x:v>YREKA</x:v>
      </x:c>
      <x:c r="D3616" s="2" t="str">
        <x:v>CA</x:v>
      </x:c>
      <x:c r="E3616" s="2" t="str">
        <x:v>Critical Access Hospitals</x:v>
      </x:c>
      <x:c r="F3616" s="2" t="str">
        <x:v>Voluntary non-profit</x:v>
      </x:c>
      <x:c r="G3616" s="2" t="str">
        <x:v>Small (&lt;100 beds)</x:v>
      </x:c>
      <x:c r="H3616" s="7" t="n">
        <x:v>2</x:v>
      </x:c>
      <x:c r="I3616" s="7" t="n">
        <x:v>3</x:v>
      </x:c>
      <x:c r="J3616" s="7"/>
      <x:c r="K3616" s="8" t="n">
        <x:v>25</x:v>
      </x:c>
      <x:c r="L3616" s="8" t="n">
        <x:v>1336</x:v>
      </x:c>
      <x:c r="M3616" s="9" t="n">
        <x:v>0.5371584699</x:v>
      </x:c>
      <x:c r="N3616" s="10" t="n">
        <x:v>91315.1407185629</x:v>
      </x:c>
      <x:c r="O3616" s="9" t="n">
        <x:v>-0.0117199918</x:v>
      </x:c>
      <x:c r="P3616" s="9" t="n">
        <x:v>0.2676579926</x:v>
      </x:c>
      <x:c r="Q3616" s="9" t="n">
        <x:v>0.0171003717</x:v>
      </x:c>
      <x:c r="R3616" s="3" t="b">
        <x:v>0</x:v>
      </x:c>
      <x:c r="S3616" s="3" t="b">
        <x:v>1</x:v>
      </x:c>
      <x:c r="T3616" s="3" t="b">
        <x:v>0</x:v>
      </x:c>
      <x:c r="U3616" s="2" t="str">
        <x:f>IF(T3616=TRUE,"Priority review",IF(R3616=TRUE,"High cost",IF(S3616=TRUE,"Low quality","Benchmark")))</x:f>
        <x:v>Low quality</x:v>
      </x:c>
    </x:row>
    <x:row r="3617">
      <x:c r="A3617" s="2" t="str">
        <x:v>030007</x:v>
      </x:c>
      <x:c r="B3617" s="2" t="str">
        <x:v>VERDE VALLEY MEDICAL CENTER</x:v>
      </x:c>
      <x:c r="C3617" s="2" t="str">
        <x:v>COTTONWOOD</x:v>
      </x:c>
      <x:c r="D3617" s="2" t="str">
        <x:v>AZ</x:v>
      </x:c>
      <x:c r="E3617" s="2" t="str">
        <x:v>Acute Care Hospitals</x:v>
      </x:c>
      <x:c r="F3617" s="2" t="str">
        <x:v>Voluntary non-profit</x:v>
      </x:c>
      <x:c r="G3617" s="2" t="str">
        <x:v>Small (&lt;100 beds)</x:v>
      </x:c>
      <x:c r="H3617" s="7" t="n">
        <x:v>4</x:v>
      </x:c>
      <x:c r="I3617" s="7" t="n">
        <x:v>3</x:v>
      </x:c>
      <x:c r="J3617" s="7" t="n">
        <x:v>0.99</x:v>
      </x:c>
      <x:c r="K3617" s="8" t="n">
        <x:v>86</x:v>
      </x:c>
      <x:c r="L3617" s="8" t="n">
        <x:v>5115</x:v>
      </x:c>
      <x:c r="M3617" s="9" t="n">
        <x:v>0.6040986982</x:v>
      </x:c>
      <x:c r="N3617" s="10" t="n">
        <x:v>37617.776344086</x:v>
      </x:c>
      <x:c r="O3617" s="9" t="n">
        <x:v>0.0329066973</x:v>
      </x:c>
      <x:c r="P3617" s="9" t="n">
        <x:v>0.2675044883</x:v>
      </x:c>
      <x:c r="Q3617" s="9" t="n">
        <x:v>0.3913824057</x:v>
      </x:c>
      <x:c r="R3617" s="3" t="b">
        <x:v>0</x:v>
      </x:c>
      <x:c r="S3617" s="3" t="b">
        <x:v>0</x:v>
      </x:c>
      <x:c r="T3617" s="3" t="b">
        <x:v>0</x:v>
      </x:c>
      <x:c r="U3617" s="2" t="str">
        <x:f>IF(T3617=TRUE,"Priority review",IF(R3617=TRUE,"High cost",IF(S3617=TRUE,"Low quality","Benchmark")))</x:f>
        <x:v>Benchmark</x:v>
      </x:c>
    </x:row>
    <x:row r="3618">
      <x:c r="A3618" s="2" t="str">
        <x:v>420105</x:v>
      </x:c>
      <x:c r="B3618" s="2" t="str">
        <x:v>MCLEOD LORIS  HOSPITAL</x:v>
      </x:c>
      <x:c r="C3618" s="2" t="str">
        <x:v>LORIS</x:v>
      </x:c>
      <x:c r="D3618" s="2" t="str">
        <x:v>SC</x:v>
      </x:c>
      <x:c r="E3618" s="2" t="str">
        <x:v>Acute Care Hospitals</x:v>
      </x:c>
      <x:c r="F3618" s="2" t="str">
        <x:v>Voluntary non-profit</x:v>
      </x:c>
      <x:c r="G3618" s="2" t="str">
        <x:v>Medium (100-299 beds)</x:v>
      </x:c>
      <x:c r="H3618" s="7" t="n">
        <x:v>4</x:v>
      </x:c>
      <x:c r="I3618" s="7" t="n">
        <x:v>4</x:v>
      </x:c>
      <x:c r="J3618" s="7" t="n">
        <x:v>1</x:v>
      </x:c>
      <x:c r="K3618" s="8" t="n">
        <x:v>205</x:v>
      </x:c>
      <x:c r="L3618" s="8" t="n">
        <x:v>12055</x:v>
      </x:c>
      <x:c r="M3618" s="9" t="n">
        <x:v>0.6848593896</x:v>
      </x:c>
      <x:c r="N3618" s="10" t="n">
        <x:v>26235.2040647034</x:v>
      </x:c>
      <x:c r="O3618" s="9" t="n">
        <x:v>0.1420660385</x:v>
      </x:c>
      <x:c r="P3618" s="9" t="n">
        <x:v>0.2673186634</x:v>
      </x:c>
      <x:c r="Q3618" s="9" t="n">
        <x:v>0.6022819886</x:v>
      </x:c>
      <x:c r="R3618" s="3" t="b">
        <x:v>0</x:v>
      </x:c>
      <x:c r="S3618" s="3" t="b">
        <x:v>0</x:v>
      </x:c>
      <x:c r="T3618" s="3" t="b">
        <x:v>0</x:v>
      </x:c>
      <x:c r="U3618" s="2" t="str">
        <x:f>IF(T3618=TRUE,"Priority review",IF(R3618=TRUE,"High cost",IF(S3618=TRUE,"Low quality","Benchmark")))</x:f>
        <x:v>Benchmark</x:v>
      </x:c>
    </x:row>
    <x:row r="3619">
      <x:c r="A3619" s="2" t="str">
        <x:v>521345</x:v>
      </x:c>
      <x:c r="B3619" s="2" t="str">
        <x:v>WESTFIELDS HOSPITAL AND CLINIC</x:v>
      </x:c>
      <x:c r="C3619" s="2" t="str">
        <x:v>NEW RICHMOND</x:v>
      </x:c>
      <x:c r="D3619" s="2" t="str">
        <x:v>WI</x:v>
      </x:c>
      <x:c r="E3619" s="2" t="str">
        <x:v>Critical Access Hospitals</x:v>
      </x:c>
      <x:c r="F3619" s="2" t="str">
        <x:v>Voluntary non-profit</x:v>
      </x:c>
      <x:c r="G3619" s="2" t="str">
        <x:v>Small (&lt;100 beds)</x:v>
      </x:c>
      <x:c r="H3619" s="7" t="n">
        <x:v>4</x:v>
      </x:c>
      <x:c r="I3619" s="7" t="n">
        <x:v>5</x:v>
      </x:c>
      <x:c r="J3619" s="7"/>
      <x:c r="K3619" s="8" t="n">
        <x:v>25</x:v>
      </x:c>
      <x:c r="L3619" s="8" t="n">
        <x:v>1024</x:v>
      </x:c>
      <x:c r="M3619" s="9" t="n">
        <x:v>0.3524590164</x:v>
      </x:c>
      <x:c r="N3619" s="10" t="n">
        <x:v>91253.21875</x:v>
      </x:c>
      <x:c r="O3619" s="9" t="n">
        <x:v>0.0437391037</x:v>
      </x:c>
      <x:c r="P3619" s="9" t="n">
        <x:v>0.2669144981</x:v>
      </x:c>
      <x:c r="Q3619" s="9" t="n">
        <x:v>0.1657992565</x:v>
      </x:c>
      <x:c r="R3619" s="3" t="b">
        <x:v>0</x:v>
      </x:c>
      <x:c r="S3619" s="3" t="b">
        <x:v>0</x:v>
      </x:c>
      <x:c r="T3619" s="3" t="b">
        <x:v>0</x:v>
      </x:c>
      <x:c r="U3619" s="2" t="str">
        <x:f>IF(T3619=TRUE,"Priority review",IF(R3619=TRUE,"High cost",IF(S3619=TRUE,"Low quality","Benchmark")))</x:f>
        <x:v>Benchmark</x:v>
      </x:c>
    </x:row>
    <x:row r="3620">
      <x:c r="A3620" s="2" t="str">
        <x:v>310115</x:v>
      </x:c>
      <x:c r="B3620" s="2" t="str">
        <x:v>AHS HOSPITAL CORP</x:v>
      </x:c>
      <x:c r="C3620" s="2" t="str">
        <x:v>HACKETTSTOWN</x:v>
      </x:c>
      <x:c r="D3620" s="2" t="str">
        <x:v>NJ</x:v>
      </x:c>
      <x:c r="E3620" s="2" t="str">
        <x:v>Acute Care Hospitals</x:v>
      </x:c>
      <x:c r="F3620" s="2" t="str">
        <x:v>Voluntary non-profit</x:v>
      </x:c>
      <x:c r="G3620" s="2" t="str">
        <x:v>Small (&lt;100 beds)</x:v>
      </x:c>
      <x:c r="H3620" s="7" t="n">
        <x:v>4</x:v>
      </x:c>
      <x:c r="I3620" s="7" t="n">
        <x:v>3</x:v>
      </x:c>
      <x:c r="J3620" s="7" t="n">
        <x:v>1.09</x:v>
      </x:c>
      <x:c r="K3620" s="8" t="n">
        <x:v>93</x:v>
      </x:c>
      <x:c r="L3620" s="8" t="n">
        <x:v>3808</x:v>
      </x:c>
      <x:c r="M3620" s="9" t="n">
        <x:v>0.5931605852</x:v>
      </x:c>
      <x:c r="N3620" s="10" t="n">
        <x:v>37589.2253151261</x:v>
      </x:c>
      <x:c r="O3620" s="9" t="n">
        <x:v>0.0204444869</x:v>
      </x:c>
      <x:c r="P3620" s="9" t="n">
        <x:v>0.2666068223</x:v>
      </x:c>
      <x:c r="Q3620" s="9" t="n">
        <x:v>0.3913824057</x:v>
      </x:c>
      <x:c r="R3620" s="3" t="b">
        <x:v>0</x:v>
      </x:c>
      <x:c r="S3620" s="3" t="b">
        <x:v>0</x:v>
      </x:c>
      <x:c r="T3620" s="3" t="b">
        <x:v>0</x:v>
      </x:c>
      <x:c r="U3620" s="2" t="str">
        <x:f>IF(T3620=TRUE,"Priority review",IF(R3620=TRUE,"High cost",IF(S3620=TRUE,"Low quality","Benchmark")))</x:f>
        <x:v>Benchmark</x:v>
      </x:c>
    </x:row>
    <x:row r="3621">
      <x:c r="A3621" s="2" t="str">
        <x:v>100173</x:v>
      </x:c>
      <x:c r="B3621" s="2" t="str">
        <x:v>ADVENTHEALTH TAMPA</x:v>
      </x:c>
      <x:c r="C3621" s="2" t="str">
        <x:v>TAMPA</x:v>
      </x:c>
      <x:c r="D3621" s="2" t="str">
        <x:v>FL</x:v>
      </x:c>
      <x:c r="E3621" s="2" t="str">
        <x:v>Acute Care Hospitals</x:v>
      </x:c>
      <x:c r="F3621" s="2" t="str">
        <x:v>Voluntary non-profit</x:v>
      </x:c>
      <x:c r="G3621" s="2" t="str">
        <x:v>Large (300+ beds)</x:v>
      </x:c>
      <x:c r="H3621" s="7" t="n">
        <x:v>3</x:v>
      </x:c>
      <x:c r="I3621" s="7" t="n">
        <x:v>2</x:v>
      </x:c>
      <x:c r="J3621" s="7" t="n">
        <x:v>1.04</x:v>
      </x:c>
      <x:c r="K3621" s="8" t="n">
        <x:v>596</x:v>
      </x:c>
      <x:c r="L3621" s="8" t="n">
        <x:v>31826</x:v>
      </x:c>
      <x:c r="M3621" s="9" t="n">
        <x:v>0.709969927</x:v>
      </x:c>
      <x:c r="N3621" s="10" t="n">
        <x:v>29087.0497077861</x:v>
      </x:c>
      <x:c r="O3621" s="9" t="n">
        <x:v>0.0745520003</x:v>
      </x:c>
      <x:c r="P3621" s="9" t="n">
        <x:v>0.2665615142</x:v>
      </x:c>
      <x:c r="Q3621" s="9" t="n">
        <x:v>0.2570977918</x:v>
      </x:c>
      <x:c r="R3621" s="3" t="b">
        <x:v>0</x:v>
      </x:c>
      <x:c r="S3621" s="3" t="b">
        <x:v>0</x:v>
      </x:c>
      <x:c r="T3621" s="3" t="b">
        <x:v>0</x:v>
      </x:c>
      <x:c r="U3621" s="2" t="str">
        <x:f>IF(T3621=TRUE,"Priority review",IF(R3621=TRUE,"High cost",IF(S3621=TRUE,"Low quality","Benchmark")))</x:f>
        <x:v>Benchmark</x:v>
      </x:c>
    </x:row>
    <x:row r="3622">
      <x:c r="A3622" s="2" t="str">
        <x:v>010144</x:v>
      </x:c>
      <x:c r="B3622" s="2" t="str">
        <x:v>SPRINGHILL MEDICAL CENTER</x:v>
      </x:c>
      <x:c r="C3622" s="2" t="str">
        <x:v>MOBILE</x:v>
      </x:c>
      <x:c r="D3622" s="2" t="str">
        <x:v>AL</x:v>
      </x:c>
      <x:c r="E3622" s="2" t="str">
        <x:v>Acute Care Hospitals</x:v>
      </x:c>
      <x:c r="F3622" s="2" t="str">
        <x:v>Proprietary</x:v>
      </x:c>
      <x:c r="G3622" s="2" t="str">
        <x:v>Medium (100-299 beds)</x:v>
      </x:c>
      <x:c r="H3622" s="7" t="n">
        <x:v>3</x:v>
      </x:c>
      <x:c r="I3622" s="7" t="n">
        <x:v>3</x:v>
      </x:c>
      <x:c r="J3622" s="7" t="n">
        <x:v>1</x:v>
      </x:c>
      <x:c r="K3622" s="8" t="n">
        <x:v>187</x:v>
      </x:c>
      <x:c r="L3622" s="8" t="n">
        <x:v>9107</x:v>
      </x:c>
      <x:c r="M3622" s="9" t="n">
        <x:v>0.7549311826</x:v>
      </x:c>
      <x:c r="N3622" s="10" t="n">
        <x:v>26206.8201383551</x:v>
      </x:c>
      <x:c r="O3622" s="9" t="n">
        <x:v>-0.0600937248</x:v>
      </x:c>
      <x:c r="P3622" s="9" t="n">
        <x:v>0.2665036675</x:v>
      </x:c>
      <x:c r="Q3622" s="9" t="n">
        <x:v>0.3023634882</x:v>
      </x:c>
      <x:c r="R3622" s="3" t="b">
        <x:v>0</x:v>
      </x:c>
      <x:c r="S3622" s="3" t="b">
        <x:v>0</x:v>
      </x:c>
      <x:c r="T3622" s="3" t="b">
        <x:v>0</x:v>
      </x:c>
      <x:c r="U3622" s="2" t="str">
        <x:f>IF(T3622=TRUE,"Priority review",IF(R3622=TRUE,"High cost",IF(S3622=TRUE,"Low quality","Benchmark")))</x:f>
        <x:v>Benchmark</x:v>
      </x:c>
    </x:row>
    <x:row r="3623">
      <x:c r="A3623" s="2" t="str">
        <x:v>461300</x:v>
      </x:c>
      <x:c r="B3623" s="2" t="str">
        <x:v>INTERMOUNTAIN HEALTH DELTA COMMUNITY HOSPITAL</x:v>
      </x:c>
      <x:c r="C3623" s="2" t="str">
        <x:v>DELTA</x:v>
      </x:c>
      <x:c r="D3623" s="2" t="str">
        <x:v>UT</x:v>
      </x:c>
      <x:c r="E3623" s="2" t="str">
        <x:v>Critical Access Hospitals</x:v>
      </x:c>
      <x:c r="F3623" s="2" t="str">
        <x:v>Voluntary non-profit</x:v>
      </x:c>
      <x:c r="G3623" s="2" t="str">
        <x:v>Small (&lt;100 beds)</x:v>
      </x:c>
      <x:c r="H3623" s="7"/>
      <x:c r="I3623" s="7"/>
      <x:c r="J3623" s="7"/>
      <x:c r="K3623" s="8" t="n">
        <x:v>18</x:v>
      </x:c>
      <x:c r="L3623" s="8" t="n">
        <x:v>193</x:v>
      </x:c>
      <x:c r="M3623" s="9" t="n">
        <x:v>0.1106557377</x:v>
      </x:c>
      <x:c r="N3623" s="10" t="n">
        <x:v>91122.2590673575</x:v>
      </x:c>
      <x:c r="O3623" s="9" t="n">
        <x:v>0.0558698762</x:v>
      </x:c>
      <x:c r="P3623" s="9" t="n">
        <x:v>0.2661710037</x:v>
      </x:c>
      <x:c r="Q3623" s="9" t="n">
        <x:v>0.292936803</x:v>
      </x:c>
      <x:c r="R3623" s="3" t="b">
        <x:v>0</x:v>
      </x:c>
      <x:c r="S3623" s="3" t="b">
        <x:v>0</x:v>
      </x:c>
      <x:c r="T3623" s="3" t="b">
        <x:v>0</x:v>
      </x:c>
      <x:c r="U3623" s="2" t="str">
        <x:f>IF(T3623=TRUE,"Priority review",IF(R3623=TRUE,"High cost",IF(S3623=TRUE,"Low quality","Benchmark")))</x:f>
        <x:v>Benchmark</x:v>
      </x:c>
    </x:row>
    <x:row r="3624">
      <x:c r="A3624" s="2" t="str">
        <x:v>490143</x:v>
      </x:c>
      <x:c r="B3624" s="2" t="str">
        <x:v>RIVERSIDE DOCTORS' HOSPITAL OF WILLIAMSBURG</x:v>
      </x:c>
      <x:c r="C3624" s="2" t="str">
        <x:v>WILLIAMSBURG</x:v>
      </x:c>
      <x:c r="D3624" s="2" t="str">
        <x:v>VA</x:v>
      </x:c>
      <x:c r="E3624" s="2" t="str">
        <x:v>Acute Care Hospitals</x:v>
      </x:c>
      <x:c r="F3624" s="2" t="str">
        <x:v>Voluntary non-profit</x:v>
      </x:c>
      <x:c r="G3624" s="2" t="str">
        <x:v>Small (&lt;100 beds)</x:v>
      </x:c>
      <x:c r="H3624" s="7" t="n">
        <x:v>5</x:v>
      </x:c>
      <x:c r="I3624" s="7" t="n">
        <x:v>4</x:v>
      </x:c>
      <x:c r="J3624" s="7" t="n">
        <x:v>0.95</x:v>
      </x:c>
      <x:c r="K3624" s="8" t="n">
        <x:v>40</x:v>
      </x:c>
      <x:c r="L3624" s="8" t="n">
        <x:v>2009</x:v>
      </x:c>
      <x:c r="M3624" s="9" t="n">
        <x:v>0.4118169399</x:v>
      </x:c>
      <x:c r="N3624" s="10" t="n">
        <x:v>37554.9795918367</x:v>
      </x:c>
      <x:c r="O3624" s="9" t="n">
        <x:v>0.1638625028</x:v>
      </x:c>
      <x:c r="P3624" s="9" t="n">
        <x:v>0.2657091562</x:v>
      </x:c>
      <x:c r="Q3624" s="9" t="n">
        <x:v>0.6131059246</x:v>
      </x:c>
      <x:c r="R3624" s="3" t="b">
        <x:v>0</x:v>
      </x:c>
      <x:c r="S3624" s="3" t="b">
        <x:v>0</x:v>
      </x:c>
      <x:c r="T3624" s="3" t="b">
        <x:v>0</x:v>
      </x:c>
      <x:c r="U3624" s="2" t="str">
        <x:f>IF(T3624=TRUE,"Priority review",IF(R3624=TRUE,"High cost",IF(S3624=TRUE,"Low quality","Benchmark")))</x:f>
        <x:v>Benchmark</x:v>
      </x:c>
    </x:row>
    <x:row r="3625">
      <x:c r="A3625" s="2" t="str">
        <x:v>670082</x:v>
      </x:c>
      <x:c r="B3625" s="2" t="str">
        <x:v>BAYLOR SCOTT AND WHITE  MEDICAL CENTER  MCKINNEY</x:v>
      </x:c>
      <x:c r="C3625" s="2" t="str">
        <x:v>MC KINNEY</x:v>
      </x:c>
      <x:c r="D3625" s="2" t="str">
        <x:v>TX</x:v>
      </x:c>
      <x:c r="E3625" s="2" t="str">
        <x:v>Acute Care Hospitals</x:v>
      </x:c>
      <x:c r="F3625" s="2" t="str">
        <x:v>Voluntary non-profit</x:v>
      </x:c>
      <x:c r="G3625" s="2" t="str">
        <x:v>Medium (100-299 beds)</x:v>
      </x:c>
      <x:c r="H3625" s="7" t="n">
        <x:v>4</x:v>
      </x:c>
      <x:c r="I3625" s="7" t="n">
        <x:v>4</x:v>
      </x:c>
      <x:c r="J3625" s="7" t="n">
        <x:v>1.06</x:v>
      </x:c>
      <x:c r="K3625" s="8" t="n">
        <x:v>192</x:v>
      </x:c>
      <x:c r="L3625" s="8" t="n">
        <x:v>11479</x:v>
      </x:c>
      <x:c r="M3625" s="9" t="n">
        <x:v>0.8458047945</x:v>
      </x:c>
      <x:c r="N3625" s="10" t="n">
        <x:v>26189.1313703284</x:v>
      </x:c>
      <x:c r="O3625" s="9" t="n">
        <x:v>0.1563261528</x:v>
      </x:c>
      <x:c r="P3625" s="9" t="n">
        <x:v>0.2656886716</x:v>
      </x:c>
      <x:c r="Q3625" s="9" t="n">
        <x:v>0.6022819886</x:v>
      </x:c>
      <x:c r="R3625" s="3" t="b">
        <x:v>0</x:v>
      </x:c>
      <x:c r="S3625" s="3" t="b">
        <x:v>0</x:v>
      </x:c>
      <x:c r="T3625" s="3" t="b">
        <x:v>0</x:v>
      </x:c>
      <x:c r="U3625" s="2" t="str">
        <x:f>IF(T3625=TRUE,"Priority review",IF(R3625=TRUE,"High cost",IF(S3625=TRUE,"Low quality","Benchmark")))</x:f>
        <x:v>Benchmark</x:v>
      </x:c>
    </x:row>
    <x:row r="3626">
      <x:c r="A3626" s="2" t="str">
        <x:v>371340</x:v>
      </x:c>
      <x:c r="B3626" s="2" t="str">
        <x:v>MEMORIAL HOSPITAL OF TEXAS COUNTY AUTHORITY</x:v>
      </x:c>
      <x:c r="C3626" s="2" t="str">
        <x:v>GUYMON</x:v>
      </x:c>
      <x:c r="D3626" s="2" t="str">
        <x:v>OK</x:v>
      </x:c>
      <x:c r="E3626" s="2" t="str">
        <x:v>Critical Access Hospitals</x:v>
      </x:c>
      <x:c r="F3626" s="2" t="str">
        <x:v>Government</x:v>
      </x:c>
      <x:c r="G3626" s="2" t="str">
        <x:v>Small (&lt;100 beds)</x:v>
      </x:c>
      <x:c r="H3626" s="7"/>
      <x:c r="I3626" s="7"/>
      <x:c r="J3626" s="7"/>
      <x:c r="K3626" s="8" t="n">
        <x:v>6</x:v>
      </x:c>
      <x:c r="L3626" s="8" t="n">
        <x:v>121</x:v>
      </x:c>
      <x:c r="M3626" s="9" t="n">
        <x:v>0.2726027397</x:v>
      </x:c>
      <x:c r="N3626" s="10" t="n">
        <x:v>91051.4876033058</x:v>
      </x:c>
      <x:c r="O3626" s="9" t="n">
        <x:v>0.0844563682</x:v>
      </x:c>
      <x:c r="P3626" s="9" t="n">
        <x:v>0.2654275093</x:v>
      </x:c>
      <x:c r="Q3626" s="9" t="n">
        <x:v>0.292936803</x:v>
      </x:c>
      <x:c r="R3626" s="3" t="b">
        <x:v>0</x:v>
      </x:c>
      <x:c r="S3626" s="3" t="b">
        <x:v>0</x:v>
      </x:c>
      <x:c r="T3626" s="3" t="b">
        <x:v>0</x:v>
      </x:c>
      <x:c r="U3626" s="2" t="str">
        <x:f>IF(T3626=TRUE,"Priority review",IF(R3626=TRUE,"High cost",IF(S3626=TRUE,"Low quality","Benchmark")))</x:f>
        <x:v>Benchmark</x:v>
      </x:c>
    </x:row>
    <x:row r="3627">
      <x:c r="A3627" s="2" t="str">
        <x:v>344032</x:v>
      </x:c>
      <x:c r="B3627" s="2" t="str">
        <x:v>TRIANGLE SPRINGS</x:v>
      </x:c>
      <x:c r="C3627" s="2" t="str">
        <x:v>RALEIGH</x:v>
      </x:c>
      <x:c r="D3627" s="2" t="str">
        <x:v>NC</x:v>
      </x:c>
      <x:c r="E3627" s="2" t="str">
        <x:v>Psychiatric</x:v>
      </x:c>
      <x:c r="F3627" s="2" t="str">
        <x:v>Proprietary</x:v>
      </x:c>
      <x:c r="G3627" s="2" t="str">
        <x:v>Small (&lt;100 beds)</x:v>
      </x:c>
      <x:c r="H3627" s="7"/>
      <x:c r="I3627" s="7"/>
      <x:c r="J3627" s="7"/>
      <x:c r="K3627" s="8" t="n">
        <x:v>77</x:v>
      </x:c>
      <x:c r="L3627" s="8" t="n">
        <x:v>3108</x:v>
      </x:c>
      <x:c r="M3627" s="9" t="n">
        <x:v>0.8961038961</x:v>
      </x:c>
      <x:c r="N3627" s="10" t="n">
        <x:v>8425.6525096525</x:v>
      </x:c>
      <x:c r="O3627" s="9" t="n">
        <x:v>-0.859190712</x:v>
      </x:c>
      <x:c r="P3627" s="9" t="n">
        <x:v>0.2653721683</x:v>
      </x:c>
      <x:c r="Q3627" s="9" t="n">
        <x:v>0</x:v>
      </x:c>
      <x:c r="R3627" s="3" t="b">
        <x:v>0</x:v>
      </x:c>
      <x:c r="S3627" s="3" t="b">
        <x:v>0</x:v>
      </x:c>
      <x:c r="T3627" s="3" t="b">
        <x:v>0</x:v>
      </x:c>
      <x:c r="U3627" s="2" t="str">
        <x:f>IF(T3627=TRUE,"Priority review",IF(R3627=TRUE,"High cost",IF(S3627=TRUE,"Low quality","Benchmark")))</x:f>
        <x:v>Benchmark</x:v>
      </x:c>
    </x:row>
    <x:row r="3628">
      <x:c r="A3628" s="2" t="str">
        <x:v>330279</x:v>
      </x:c>
      <x:c r="B3628" s="2" t="str">
        <x:v>MERCY HOSPITAL OF BUFFALO</x:v>
      </x:c>
      <x:c r="C3628" s="2" t="str">
        <x:v>BUFFALO</x:v>
      </x:c>
      <x:c r="D3628" s="2" t="str">
        <x:v>NY</x:v>
      </x:c>
      <x:c r="E3628" s="2" t="str">
        <x:v>Acute Care Hospitals</x:v>
      </x:c>
      <x:c r="F3628" s="2" t="str">
        <x:v>Voluntary non-profit</x:v>
      </x:c>
      <x:c r="G3628" s="2" t="str">
        <x:v>Large (300+ beds)</x:v>
      </x:c>
      <x:c r="H3628" s="7" t="n">
        <x:v>2</x:v>
      </x:c>
      <x:c r="I3628" s="7" t="n">
        <x:v>3</x:v>
      </x:c>
      <x:c r="J3628" s="7" t="n">
        <x:v>0.95</x:v>
      </x:c>
      <x:c r="K3628" s="8" t="n">
        <x:v>364</x:v>
      </x:c>
      <x:c r="L3628" s="8" t="n">
        <x:v>17840</x:v>
      </x:c>
      <x:c r="M3628" s="9" t="n">
        <x:v>0.6467828619</x:v>
      </x:c>
      <x:c r="N3628" s="10" t="n">
        <x:v>29053.9112668161</x:v>
      </x:c>
      <x:c r="O3628" s="9" t="n">
        <x:v>-0.0054178943</x:v>
      </x:c>
      <x:c r="P3628" s="9" t="n">
        <x:v>0.2649842271</x:v>
      </x:c>
      <x:c r="Q3628" s="9" t="n">
        <x:v>0.0536277603</x:v>
      </x:c>
      <x:c r="R3628" s="3" t="b">
        <x:v>0</x:v>
      </x:c>
      <x:c r="S3628" s="3" t="b">
        <x:v>1</x:v>
      </x:c>
      <x:c r="T3628" s="3" t="b">
        <x:v>0</x:v>
      </x:c>
      <x:c r="U3628" s="2" t="str">
        <x:f>IF(T3628=TRUE,"Priority review",IF(R3628=TRUE,"High cost",IF(S3628=TRUE,"Low quality","Benchmark")))</x:f>
        <x:v>Low quality</x:v>
      </x:c>
    </x:row>
    <x:row r="3629">
      <x:c r="A3629" s="2" t="str">
        <x:v>490043</x:v>
      </x:c>
      <x:c r="B3629" s="2" t="str">
        <x:v>INOVA LOUDOUN HOSPITAL</x:v>
      </x:c>
      <x:c r="C3629" s="2" t="str">
        <x:v>LEESBURG</x:v>
      </x:c>
      <x:c r="D3629" s="2" t="str">
        <x:v>VA</x:v>
      </x:c>
      <x:c r="E3629" s="2" t="str">
        <x:v>Acute Care Hospitals</x:v>
      </x:c>
      <x:c r="F3629" s="2" t="str">
        <x:v>Voluntary non-profit</x:v>
      </x:c>
      <x:c r="G3629" s="2" t="str">
        <x:v>Medium (100-299 beds)</x:v>
      </x:c>
      <x:c r="H3629" s="7" t="n">
        <x:v>5</x:v>
      </x:c>
      <x:c r="I3629" s="7" t="n">
        <x:v>4</x:v>
      </x:c>
      <x:c r="J3629" s="7" t="n">
        <x:v>0.99</x:v>
      </x:c>
      <x:c r="K3629" s="8" t="n">
        <x:v>189</x:v>
      </x:c>
      <x:c r="L3629" s="8" t="n">
        <x:v>14940</x:v>
      </x:c>
      <x:c r="M3629" s="9" t="n">
        <x:v>0.9016538006</x:v>
      </x:c>
      <x:c r="N3629" s="10" t="n">
        <x:v>26171.1864792503</x:v>
      </x:c>
      <x:c r="O3629" s="9" t="n">
        <x:v>0.3292934242</x:v>
      </x:c>
      <x:c r="P3629" s="9" t="n">
        <x:v>0.2648736756</x:v>
      </x:c>
      <x:c r="Q3629" s="9" t="n">
        <x:v>0.8744906275</x:v>
      </x:c>
      <x:c r="R3629" s="3" t="b">
        <x:v>0</x:v>
      </x:c>
      <x:c r="S3629" s="3" t="b">
        <x:v>0</x:v>
      </x:c>
      <x:c r="T3629" s="3" t="b">
        <x:v>0</x:v>
      </x:c>
      <x:c r="U3629" s="2" t="str">
        <x:f>IF(T3629=TRUE,"Priority review",IF(R3629=TRUE,"High cost",IF(S3629=TRUE,"Low quality","Benchmark")))</x:f>
        <x:v>Benchmark</x:v>
      </x:c>
    </x:row>
    <x:row r="3630">
      <x:c r="A3630" s="2" t="str">
        <x:v>010099</x:v>
      </x:c>
      <x:c r="B3630" s="2" t="str">
        <x:v>D W MCMILLAN MEMORIAL HOSPITAL</x:v>
      </x:c>
      <x:c r="C3630" s="2" t="str">
        <x:v>BREWTON</x:v>
      </x:c>
      <x:c r="D3630" s="2" t="str">
        <x:v>AL</x:v>
      </x:c>
      <x:c r="E3630" s="2" t="str">
        <x:v>Acute Care Hospitals</x:v>
      </x:c>
      <x:c r="F3630" s="2" t="str">
        <x:v>Government</x:v>
      </x:c>
      <x:c r="G3630" s="2" t="str">
        <x:v>Small (&lt;100 beds)</x:v>
      </x:c>
      <x:c r="H3630" s="7" t="n">
        <x:v>1</x:v>
      </x:c>
      <x:c r="I3630" s="7" t="n">
        <x:v>5</x:v>
      </x:c>
      <x:c r="J3630" s="7" t="n">
        <x:v>0.93</x:v>
      </x:c>
      <x:c r="K3630" s="8" t="n">
        <x:v>46</x:v>
      </x:c>
      <x:c r="L3630" s="8" t="n">
        <x:v>1059</x:v>
      </x:c>
      <x:c r="M3630" s="9" t="n">
        <x:v>0.1963055358</x:v>
      </x:c>
      <x:c r="N3630" s="10" t="n">
        <x:v>37503.0963172805</x:v>
      </x:c>
      <x:c r="O3630" s="9" t="n">
        <x:v>-0.2414615907</x:v>
      </x:c>
      <x:c r="P3630" s="9" t="n">
        <x:v>0.2648114901</x:v>
      </x:c>
      <x:c r="Q3630" s="9" t="n">
        <x:v>0</x:v>
      </x:c>
      <x:c r="R3630" s="3" t="b">
        <x:v>0</x:v>
      </x:c>
      <x:c r="S3630" s="3" t="b">
        <x:v>1</x:v>
      </x:c>
      <x:c r="T3630" s="3" t="b">
        <x:v>0</x:v>
      </x:c>
      <x:c r="U3630" s="2" t="str">
        <x:f>IF(T3630=TRUE,"Priority review",IF(R3630=TRUE,"High cost",IF(S3630=TRUE,"Low quality","Benchmark")))</x:f>
        <x:v>Low quality</x:v>
      </x:c>
    </x:row>
    <x:row r="3631">
      <x:c r="A3631" s="2" t="str">
        <x:v>231320</x:v>
      </x:c>
      <x:c r="B3631" s="2" t="str">
        <x:v>MERCY HEALTH LAKESHORE CAMPUS</x:v>
      </x:c>
      <x:c r="C3631" s="2" t="str">
        <x:v>SHELBY</x:v>
      </x:c>
      <x:c r="D3631" s="2" t="str">
        <x:v>MI</x:v>
      </x:c>
      <x:c r="E3631" s="2" t="str">
        <x:v>Critical Access Hospitals</x:v>
      </x:c>
      <x:c r="F3631" s="2" t="str">
        <x:v>Voluntary non-profit</x:v>
      </x:c>
      <x:c r="G3631" s="2" t="str">
        <x:v>Small (&lt;100 beds)</x:v>
      </x:c>
      <x:c r="H3631" s="7"/>
      <x:c r="I3631" s="7" t="n">
        <x:v>4</x:v>
      </x:c>
      <x:c r="J3631" s="7"/>
      <x:c r="K3631" s="8" t="n">
        <x:v>24</x:v>
      </x:c>
      <x:c r="L3631" s="8" t="n">
        <x:v>442</x:v>
      </x:c>
      <x:c r="M3631" s="9" t="n">
        <x:v>0.1369863014</x:v>
      </x:c>
      <x:c r="N3631" s="10" t="n">
        <x:v>91007.9208144796</x:v>
      </x:c>
      <x:c r="O3631" s="9" t="n">
        <x:v>0.1650950308</x:v>
      </x:c>
      <x:c r="P3631" s="9" t="n">
        <x:v>0.2646840149</x:v>
      </x:c>
      <x:c r="Q3631" s="9" t="n">
        <x:v>0.292936803</x:v>
      </x:c>
      <x:c r="R3631" s="3" t="b">
        <x:v>0</x:v>
      </x:c>
      <x:c r="S3631" s="3" t="b">
        <x:v>0</x:v>
      </x:c>
      <x:c r="T3631" s="3" t="b">
        <x:v>0</x:v>
      </x:c>
      <x:c r="U3631" s="2" t="str">
        <x:f>IF(T3631=TRUE,"Priority review",IF(R3631=TRUE,"High cost",IF(S3631=TRUE,"Low quality","Benchmark")))</x:f>
        <x:v>Benchmark</x:v>
      </x:c>
    </x:row>
    <x:row r="3632">
      <x:c r="A3632" s="2" t="str">
        <x:v>450211</x:v>
      </x:c>
      <x:c r="B3632" s="2" t="str">
        <x:v>CHI ST LUKES HEALTH MEMORIAL LUFKIN</x:v>
      </x:c>
      <x:c r="C3632" s="2" t="str">
        <x:v>LUFKIN</x:v>
      </x:c>
      <x:c r="D3632" s="2" t="str">
        <x:v>TX</x:v>
      </x:c>
      <x:c r="E3632" s="2" t="str">
        <x:v>Acute Care Hospitals</x:v>
      </x:c>
      <x:c r="F3632" s="2" t="str">
        <x:v>Voluntary non-profit</x:v>
      </x:c>
      <x:c r="G3632" s="2" t="str">
        <x:v>Medium (100-299 beds)</x:v>
      </x:c>
      <x:c r="H3632" s="7" t="n">
        <x:v>2</x:v>
      </x:c>
      <x:c r="I3632" s="7" t="n">
        <x:v>4</x:v>
      </x:c>
      <x:c r="J3632" s="7" t="n">
        <x:v>1.04</x:v>
      </x:c>
      <x:c r="K3632" s="8" t="n">
        <x:v>152</x:v>
      </x:c>
      <x:c r="L3632" s="8" t="n">
        <x:v>7735</x:v>
      </x:c>
      <x:c r="M3632" s="9" t="n">
        <x:v>0.5840483057</x:v>
      </x:c>
      <x:c r="N3632" s="10" t="n">
        <x:v>26162.1344537815</x:v>
      </x:c>
      <x:c r="O3632" s="9" t="n">
        <x:v>-0.1076197265</x:v>
      </x:c>
      <x:c r="P3632" s="9" t="n">
        <x:v>0.2640586797</x:v>
      </x:c>
      <x:c r="Q3632" s="9" t="n">
        <x:v>0.0782396088</x:v>
      </x:c>
      <x:c r="R3632" s="3" t="b">
        <x:v>0</x:v>
      </x:c>
      <x:c r="S3632" s="3" t="b">
        <x:v>1</x:v>
      </x:c>
      <x:c r="T3632" s="3" t="b">
        <x:v>0</x:v>
      </x:c>
      <x:c r="U3632" s="2" t="str">
        <x:f>IF(T3632=TRUE,"Priority review",IF(R3632=TRUE,"High cost",IF(S3632=TRUE,"Low quality","Benchmark")))</x:f>
        <x:v>Low quality</x:v>
      </x:c>
    </x:row>
    <x:row r="3633">
      <x:c r="A3633" s="2" t="str">
        <x:v>501336</x:v>
      </x:c>
      <x:c r="B3633" s="2" t="str">
        <x:v>MASON GENERAL HOSPITAL &amp; FAMILY OF CLINICS</x:v>
      </x:c>
      <x:c r="C3633" s="2" t="str">
        <x:v>SHELTON</x:v>
      </x:c>
      <x:c r="D3633" s="2" t="str">
        <x:v>WA</x:v>
      </x:c>
      <x:c r="E3633" s="2" t="str">
        <x:v>Critical Access Hospitals</x:v>
      </x:c>
      <x:c r="F3633" s="2" t="str">
        <x:v>Government</x:v>
      </x:c>
      <x:c r="G3633" s="2" t="str">
        <x:v>Small (&lt;100 beds)</x:v>
      </x:c>
      <x:c r="H3633" s="7" t="n">
        <x:v>2</x:v>
      </x:c>
      <x:c r="I3633" s="7" t="n">
        <x:v>4</x:v>
      </x:c>
      <x:c r="J3633" s="7"/>
      <x:c r="K3633" s="8" t="n">
        <x:v>25</x:v>
      </x:c>
      <x:c r="L3633" s="8" t="n">
        <x:v>1627</x:v>
      </x:c>
      <x:c r="M3633" s="9" t="n">
        <x:v>0.7085245902</x:v>
      </x:c>
      <x:c r="N3633" s="10" t="n">
        <x:v>90951.1825445605</x:v>
      </x:c>
      <x:c r="O3633" s="9" t="n">
        <x:v>-0.0581434321</x:v>
      </x:c>
      <x:c r="P3633" s="9" t="n">
        <x:v>0.2639405204</x:v>
      </x:c>
      <x:c r="Q3633" s="9" t="n">
        <x:v>0.0171003717</x:v>
      </x:c>
      <x:c r="R3633" s="3" t="b">
        <x:v>0</x:v>
      </x:c>
      <x:c r="S3633" s="3" t="b">
        <x:v>1</x:v>
      </x:c>
      <x:c r="T3633" s="3" t="b">
        <x:v>0</x:v>
      </x:c>
      <x:c r="U3633" s="2" t="str">
        <x:f>IF(T3633=TRUE,"Priority review",IF(R3633=TRUE,"High cost",IF(S3633=TRUE,"Low quality","Benchmark")))</x:f>
        <x:v>Low quality</x:v>
      </x:c>
    </x:row>
    <x:row r="3634">
      <x:c r="A3634" s="2" t="str">
        <x:v>050298</x:v>
      </x:c>
      <x:c r="B3634" s="2" t="str">
        <x:v>BARSTOW COMMUNITY HOSPITAL</x:v>
      </x:c>
      <x:c r="C3634" s="2" t="str">
        <x:v>BARSTOW</x:v>
      </x:c>
      <x:c r="D3634" s="2" t="str">
        <x:v>CA</x:v>
      </x:c>
      <x:c r="E3634" s="2" t="str">
        <x:v>Acute Care Hospitals</x:v>
      </x:c>
      <x:c r="F3634" s="2" t="str">
        <x:v>Proprietary</x:v>
      </x:c>
      <x:c r="G3634" s="2" t="str">
        <x:v>Small (&lt;100 beds)</x:v>
      </x:c>
      <x:c r="H3634" s="7" t="n">
        <x:v>1</x:v>
      </x:c>
      <x:c r="I3634" s="7" t="n">
        <x:v>3</x:v>
      </x:c>
      <x:c r="J3634" s="7" t="n">
        <x:v>1.04</x:v>
      </x:c>
      <x:c r="K3634" s="8" t="n">
        <x:v>30</x:v>
      </x:c>
      <x:c r="L3634" s="8" t="n">
        <x:v>1852</x:v>
      </x:c>
      <x:c r="M3634" s="9" t="n">
        <x:v>0.587704918</x:v>
      </x:c>
      <x:c r="N3634" s="10" t="n">
        <x:v>37490.1339092873</x:v>
      </x:c>
      <x:c r="O3634" s="9" t="n">
        <x:v>0.1527431488</x:v>
      </x:c>
      <x:c r="P3634" s="9" t="n">
        <x:v>0.2639138241</x:v>
      </x:c>
      <x:c r="Q3634" s="9" t="n">
        <x:v>0</x:v>
      </x:c>
      <x:c r="R3634" s="3" t="b">
        <x:v>0</x:v>
      </x:c>
      <x:c r="S3634" s="3" t="b">
        <x:v>1</x:v>
      </x:c>
      <x:c r="T3634" s="3" t="b">
        <x:v>0</x:v>
      </x:c>
      <x:c r="U3634" s="2" t="str">
        <x:f>IF(T3634=TRUE,"Priority review",IF(R3634=TRUE,"High cost",IF(S3634=TRUE,"Low quality","Benchmark")))</x:f>
        <x:v>Low quality</x:v>
      </x:c>
    </x:row>
    <x:row r="3635">
      <x:c r="A3635" s="2" t="str">
        <x:v>104017</x:v>
      </x:c>
      <x:c r="B3635" s="2" t="str">
        <x:v>WINDMOOR HEALTHCARE OF CLEARWATER</x:v>
      </x:c>
      <x:c r="C3635" s="2" t="str">
        <x:v>CLEARWATER</x:v>
      </x:c>
      <x:c r="D3635" s="2" t="str">
        <x:v>FL</x:v>
      </x:c>
      <x:c r="E3635" s="2" t="str">
        <x:v>Psychiatric</x:v>
      </x:c>
      <x:c r="F3635" s="2" t="str">
        <x:v>Proprietary</x:v>
      </x:c>
      <x:c r="G3635" s="2" t="str">
        <x:v>Medium (100-299 beds)</x:v>
      </x:c>
      <x:c r="H3635" s="7"/>
      <x:c r="I3635" s="7"/>
      <x:c r="J3635" s="7"/>
      <x:c r="K3635" s="8" t="n">
        <x:v>144</x:v>
      </x:c>
      <x:c r="L3635" s="8" t="n">
        <x:v>3861</x:v>
      </x:c>
      <x:c r="M3635" s="9" t="n">
        <x:v>0.4931697108</x:v>
      </x:c>
      <x:c r="N3635" s="10" t="n">
        <x:v>7328.9585599586</x:v>
      </x:c>
      <x:c r="O3635" s="9" t="n">
        <x:v>0.0385001448</x:v>
      </x:c>
      <x:c r="P3635" s="9" t="n">
        <x:v>0.263681592</x:v>
      </x:c>
      <x:c r="Q3635" s="9" t="n">
        <x:v>0</x:v>
      </x:c>
      <x:c r="R3635" s="3" t="b">
        <x:v>0</x:v>
      </x:c>
      <x:c r="S3635" s="3" t="b">
        <x:v>0</x:v>
      </x:c>
      <x:c r="T3635" s="3" t="b">
        <x:v>0</x:v>
      </x:c>
      <x:c r="U3635" s="2" t="str">
        <x:f>IF(T3635=TRUE,"Priority review",IF(R3635=TRUE,"High cost",IF(S3635=TRUE,"Low quality","Benchmark")))</x:f>
        <x:v>Benchmark</x:v>
      </x:c>
    </x:row>
    <x:row r="3636">
      <x:c r="A3636" s="2" t="str">
        <x:v>010113</x:v>
      </x:c>
      <x:c r="B3636" s="2" t="str">
        <x:v>MOBILE INFIRMARY MEDICAL CENTER</x:v>
      </x:c>
      <x:c r="C3636" s="2" t="str">
        <x:v>MOBILE</x:v>
      </x:c>
      <x:c r="D3636" s="2" t="str">
        <x:v>AL</x:v>
      </x:c>
      <x:c r="E3636" s="2" t="str">
        <x:v>Acute Care Hospitals</x:v>
      </x:c>
      <x:c r="F3636" s="2" t="str">
        <x:v>Voluntary non-profit</x:v>
      </x:c>
      <x:c r="G3636" s="2" t="str">
        <x:v>Large (300+ beds)</x:v>
      </x:c>
      <x:c r="H3636" s="7" t="n">
        <x:v>2</x:v>
      </x:c>
      <x:c r="I3636" s="7" t="n">
        <x:v>3</x:v>
      </x:c>
      <x:c r="J3636" s="7" t="n">
        <x:v>1</x:v>
      </x:c>
      <x:c r="K3636" s="8" t="n">
        <x:v>462</x:v>
      </x:c>
      <x:c r="L3636" s="8" t="n">
        <x:v>20306</x:v>
      </x:c>
      <x:c r="M3636" s="9" t="n">
        <x:v>0.8347684279</x:v>
      </x:c>
      <x:c r="N3636" s="10" t="n">
        <x:v>28924.1521717719</x:v>
      </x:c>
      <x:c r="O3636" s="9" t="n">
        <x:v>-0.0198383227</x:v>
      </x:c>
      <x:c r="P3636" s="9" t="n">
        <x:v>0.2634069401</x:v>
      </x:c>
      <x:c r="Q3636" s="9" t="n">
        <x:v>0.0536277603</x:v>
      </x:c>
      <x:c r="R3636" s="3" t="b">
        <x:v>0</x:v>
      </x:c>
      <x:c r="S3636" s="3" t="b">
        <x:v>1</x:v>
      </x:c>
      <x:c r="T3636" s="3" t="b">
        <x:v>0</x:v>
      </x:c>
      <x:c r="U3636" s="2" t="str">
        <x:f>IF(T3636=TRUE,"Priority review",IF(R3636=TRUE,"High cost",IF(S3636=TRUE,"Low quality","Benchmark")))</x:f>
        <x:v>Low quality</x:v>
      </x:c>
    </x:row>
    <x:row r="3637">
      <x:c r="A3637" s="2" t="str">
        <x:v>100026</x:v>
      </x:c>
      <x:c r="B3637" s="2" t="str">
        <x:v>ASCENSION SACRED HEART BAY</x:v>
      </x:c>
      <x:c r="C3637" s="2" t="str">
        <x:v>PANAMA CITY</x:v>
      </x:c>
      <x:c r="D3637" s="2" t="str">
        <x:v>FL</x:v>
      </x:c>
      <x:c r="E3637" s="2" t="str">
        <x:v>Acute Care Hospitals</x:v>
      </x:c>
      <x:c r="F3637" s="2" t="str">
        <x:v>Voluntary non-profit</x:v>
      </x:c>
      <x:c r="G3637" s="2" t="str">
        <x:v>Medium (100-299 beds)</x:v>
      </x:c>
      <x:c r="H3637" s="7" t="n">
        <x:v>3</x:v>
      </x:c>
      <x:c r="I3637" s="7" t="n">
        <x:v>3</x:v>
      </x:c>
      <x:c r="J3637" s="7" t="n">
        <x:v>1.08</x:v>
      </x:c>
      <x:c r="K3637" s="8" t="n">
        <x:v>149</x:v>
      </x:c>
      <x:c r="L3637" s="8" t="n">
        <x:v>9492</x:v>
      </x:c>
      <x:c r="M3637" s="9" t="n">
        <x:v>0.8346238023</x:v>
      </x:c>
      <x:c r="N3637" s="10" t="n">
        <x:v>26147.3694690265</x:v>
      </x:c>
      <x:c r="O3637" s="9" t="n">
        <x:v>-0.0266012723</x:v>
      </x:c>
      <x:c r="P3637" s="9" t="n">
        <x:v>0.2632436838</x:v>
      </x:c>
      <x:c r="Q3637" s="9" t="n">
        <x:v>0.3023634882</x:v>
      </x:c>
      <x:c r="R3637" s="3" t="b">
        <x:v>0</x:v>
      </x:c>
      <x:c r="S3637" s="3" t="b">
        <x:v>0</x:v>
      </x:c>
      <x:c r="T3637" s="3" t="b">
        <x:v>0</x:v>
      </x:c>
      <x:c r="U3637" s="2" t="str">
        <x:f>IF(T3637=TRUE,"Priority review",IF(R3637=TRUE,"High cost",IF(S3637=TRUE,"Low quality","Benchmark")))</x:f>
        <x:v>Benchmark</x:v>
      </x:c>
    </x:row>
    <x:row r="3638">
      <x:c r="A3638" s="2" t="str">
        <x:v>031317</x:v>
      </x:c>
      <x:c r="B3638" s="2" t="str">
        <x:v>LA PAZ REGIONAL HOSPITAL</x:v>
      </x:c>
      <x:c r="C3638" s="2" t="str">
        <x:v>PARKER</x:v>
      </x:c>
      <x:c r="D3638" s="2" t="str">
        <x:v>AZ</x:v>
      </x:c>
      <x:c r="E3638" s="2" t="str">
        <x:v>Critical Access Hospitals</x:v>
      </x:c>
      <x:c r="F3638" s="2" t="str">
        <x:v>Voluntary non-profit</x:v>
      </x:c>
      <x:c r="G3638" s="2" t="str">
        <x:v>Small (&lt;100 beds)</x:v>
      </x:c>
      <x:c r="H3638" s="7" t="n">
        <x:v>2</x:v>
      </x:c>
      <x:c r="I3638" s="7" t="n">
        <x:v>3</x:v>
      </x:c>
      <x:c r="J3638" s="7"/>
      <x:c r="K3638" s="8" t="n">
        <x:v>25</x:v>
      </x:c>
      <x:c r="L3638" s="8" t="n">
        <x:v>533</x:v>
      </x:c>
      <x:c r="M3638" s="9" t="n">
        <x:v>0.2490710383</x:v>
      </x:c>
      <x:c r="N3638" s="10" t="n">
        <x:v>90534.7617260788</x:v>
      </x:c>
      <x:c r="O3638" s="9" t="n">
        <x:v>-0.0328917448</x:v>
      </x:c>
      <x:c r="P3638" s="9" t="n">
        <x:v>0.263197026</x:v>
      </x:c>
      <x:c r="Q3638" s="9" t="n">
        <x:v>0.0171003717</x:v>
      </x:c>
      <x:c r="R3638" s="3" t="b">
        <x:v>0</x:v>
      </x:c>
      <x:c r="S3638" s="3" t="b">
        <x:v>1</x:v>
      </x:c>
      <x:c r="T3638" s="3" t="b">
        <x:v>0</x:v>
      </x:c>
      <x:c r="U3638" s="2" t="str">
        <x:f>IF(T3638=TRUE,"Priority review",IF(R3638=TRUE,"High cost",IF(S3638=TRUE,"Low quality","Benchmark")))</x:f>
        <x:v>Low quality</x:v>
      </x:c>
    </x:row>
    <x:row r="3639">
      <x:c r="A3639" s="2" t="str">
        <x:v>500015</x:v>
      </x:c>
      <x:c r="B3639" s="2" t="str">
        <x:v>MULTICARE AUBURN MEDICAL CENTER</x:v>
      </x:c>
      <x:c r="C3639" s="2" t="str">
        <x:v>AUBURN</x:v>
      </x:c>
      <x:c r="D3639" s="2" t="str">
        <x:v>WA</x:v>
      </x:c>
      <x:c r="E3639" s="2" t="str">
        <x:v>Acute Care Hospitals</x:v>
      </x:c>
      <x:c r="F3639" s="2" t="str">
        <x:v>Voluntary non-profit</x:v>
      </x:c>
      <x:c r="G3639" s="2" t="str">
        <x:v>Small (&lt;100 beds)</x:v>
      </x:c>
      <x:c r="H3639" s="7" t="n">
        <x:v>2</x:v>
      </x:c>
      <x:c r="I3639" s="7" t="n">
        <x:v>2</x:v>
      </x:c>
      <x:c r="J3639" s="7" t="n">
        <x:v>0.96</x:v>
      </x:c>
      <x:c r="K3639" s="8" t="n">
        <x:v>91</x:v>
      </x:c>
      <x:c r="L3639" s="8" t="n">
        <x:v>7390</x:v>
      </x:c>
      <x:c r="M3639" s="9" t="n">
        <x:v>1.0345283132</x:v>
      </x:c>
      <x:c r="N3639" s="10" t="n">
        <x:v>37454.9420838972</x:v>
      </x:c>
      <x:c r="O3639" s="9" t="n">
        <x:v>-0.1212423526</x:v>
      </x:c>
      <x:c r="P3639" s="9" t="n">
        <x:v>0.263016158</x:v>
      </x:c>
      <x:c r="Q3639" s="9" t="n">
        <x:v>0.0350089767</x:v>
      </x:c>
      <x:c r="R3639" s="3" t="b">
        <x:v>0</x:v>
      </x:c>
      <x:c r="S3639" s="3" t="b">
        <x:v>1</x:v>
      </x:c>
      <x:c r="T3639" s="3" t="b">
        <x:v>0</x:v>
      </x:c>
      <x:c r="U3639" s="2" t="str">
        <x:f>IF(T3639=TRUE,"Priority review",IF(R3639=TRUE,"High cost",IF(S3639=TRUE,"Low quality","Benchmark")))</x:f>
        <x:v>Low quality</x:v>
      </x:c>
    </x:row>
    <x:row r="3640">
      <x:c r="A3640" s="2" t="str">
        <x:v>131322</x:v>
      </x:c>
      <x:c r="B3640" s="2" t="str">
        <x:v>FRANKLIN COUNTY MEDICAL CENTER</x:v>
      </x:c>
      <x:c r="C3640" s="2" t="str">
        <x:v>PRESTON</x:v>
      </x:c>
      <x:c r="D3640" s="2" t="str">
        <x:v>ID</x:v>
      </x:c>
      <x:c r="E3640" s="2" t="str">
        <x:v>Critical Access Hospitals</x:v>
      </x:c>
      <x:c r="F3640" s="2" t="str">
        <x:v>Voluntary non-profit</x:v>
      </x:c>
      <x:c r="G3640" s="2" t="str">
        <x:v>Small (&lt;100 beds)</x:v>
      </x:c>
      <x:c r="H3640" s="7" t="n">
        <x:v>3</x:v>
      </x:c>
      <x:c r="I3640" s="7"/>
      <x:c r="J3640" s="7"/>
      <x:c r="K3640" s="8" t="n">
        <x:v>18</x:v>
      </x:c>
      <x:c r="L3640" s="8" t="n">
        <x:v>489</x:v>
      </x:c>
      <x:c r="M3640" s="9" t="n">
        <x:v>0.4288099575</x:v>
      </x:c>
      <x:c r="N3640" s="10" t="n">
        <x:v>90497.2474437628</x:v>
      </x:c>
      <x:c r="O3640" s="9" t="n">
        <x:v>0.0464771036</x:v>
      </x:c>
      <x:c r="P3640" s="9" t="n">
        <x:v>0.2624535316</x:v>
      </x:c>
      <x:c r="Q3640" s="9" t="n">
        <x:v>0.0765799257</x:v>
      </x:c>
      <x:c r="R3640" s="3" t="b">
        <x:v>0</x:v>
      </x:c>
      <x:c r="S3640" s="3" t="b">
        <x:v>1</x:v>
      </x:c>
      <x:c r="T3640" s="3" t="b">
        <x:v>0</x:v>
      </x:c>
      <x:c r="U3640" s="2" t="str">
        <x:f>IF(T3640=TRUE,"Priority review",IF(R3640=TRUE,"High cost",IF(S3640=TRUE,"Low quality","Benchmark")))</x:f>
        <x:v>Low quality</x:v>
      </x:c>
    </x:row>
    <x:row r="3641">
      <x:c r="A3641" s="2" t="str">
        <x:v>040014</x:v>
      </x:c>
      <x:c r="B3641" s="2" t="str">
        <x:v>WHITE COUNTY MEDICAL CENTER</x:v>
      </x:c>
      <x:c r="C3641" s="2" t="str">
        <x:v>SEARCY</x:v>
      </x:c>
      <x:c r="D3641" s="2" t="str">
        <x:v>AR</x:v>
      </x:c>
      <x:c r="E3641" s="2" t="str">
        <x:v>Acute Care Hospitals</x:v>
      </x:c>
      <x:c r="F3641" s="2" t="str">
        <x:v>Voluntary non-profit</x:v>
      </x:c>
      <x:c r="G3641" s="2" t="str">
        <x:v>Medium (100-299 beds)</x:v>
      </x:c>
      <x:c r="H3641" s="7" t="n">
        <x:v>2</x:v>
      </x:c>
      <x:c r="I3641" s="7" t="n">
        <x:v>3</x:v>
      </x:c>
      <x:c r="J3641" s="7" t="n">
        <x:v>1.04</x:v>
      </x:c>
      <x:c r="K3641" s="8" t="n">
        <x:v>172</x:v>
      </x:c>
      <x:c r="L3641" s="8" t="n">
        <x:v>11619</x:v>
      </x:c>
      <x:c r="M3641" s="9" t="n">
        <x:v>0.6476873223</x:v>
      </x:c>
      <x:c r="N3641" s="10" t="n">
        <x:v>26142.878216714</x:v>
      </x:c>
      <x:c r="O3641" s="9" t="n">
        <x:v>-0.15271425</x:v>
      </x:c>
      <x:c r="P3641" s="9" t="n">
        <x:v>0.2624286879</x:v>
      </x:c>
      <x:c r="Q3641" s="9" t="n">
        <x:v>0.0782396088</x:v>
      </x:c>
      <x:c r="R3641" s="3" t="b">
        <x:v>0</x:v>
      </x:c>
      <x:c r="S3641" s="3" t="b">
        <x:v>1</x:v>
      </x:c>
      <x:c r="T3641" s="3" t="b">
        <x:v>0</x:v>
      </x:c>
      <x:c r="U3641" s="2" t="str">
        <x:f>IF(T3641=TRUE,"Priority review",IF(R3641=TRUE,"High cost",IF(S3641=TRUE,"Low quality","Benchmark")))</x:f>
        <x:v>Low quality</x:v>
      </x:c>
    </x:row>
    <x:row r="3642">
      <x:c r="A3642" s="2" t="str">
        <x:v>154058</x:v>
      </x:c>
      <x:c r="B3642" s="2" t="str">
        <x:v>DOCTORS NEUROPSYCHIATRIC HOSPITAL</x:v>
      </x:c>
      <x:c r="C3642" s="2" t="str">
        <x:v>BREMEN</x:v>
      </x:c>
      <x:c r="D3642" s="2" t="str">
        <x:v>IN</x:v>
      </x:c>
      <x:c r="E3642" s="2" t="str">
        <x:v>Psychiatric</x:v>
      </x:c>
      <x:c r="F3642" s="2" t="str">
        <x:v>Proprietary</x:v>
      </x:c>
      <x:c r="G3642" s="2" t="str">
        <x:v>Small (&lt;100 beds)</x:v>
      </x:c>
      <x:c r="H3642" s="7"/>
      <x:c r="I3642" s="7"/>
      <x:c r="J3642" s="7"/>
      <x:c r="K3642" s="8" t="n">
        <x:v>38</x:v>
      </x:c>
      <x:c r="L3642" s="8" t="n">
        <x:v>942</x:v>
      </x:c>
      <x:c r="M3642" s="9" t="n">
        <x:v>0.8505895887</x:v>
      </x:c>
      <x:c r="N3642" s="10" t="n">
        <x:v>8408.9978768577</x:v>
      </x:c>
      <x:c r="O3642" s="9" t="n">
        <x:v>0.3477107016</x:v>
      </x:c>
      <x:c r="P3642" s="9" t="n">
        <x:v>0.2621359223</x:v>
      </x:c>
      <x:c r="Q3642" s="9" t="n">
        <x:v>0</x:v>
      </x:c>
      <x:c r="R3642" s="3" t="b">
        <x:v>0</x:v>
      </x:c>
      <x:c r="S3642" s="3" t="b">
        <x:v>0</x:v>
      </x:c>
      <x:c r="T3642" s="3" t="b">
        <x:v>0</x:v>
      </x:c>
      <x:c r="U3642" s="2" t="str">
        <x:f>IF(T3642=TRUE,"Priority review",IF(R3642=TRUE,"High cost",IF(S3642=TRUE,"Low quality","Benchmark")))</x:f>
        <x:v>Benchmark</x:v>
      </x:c>
    </x:row>
    <x:row r="3643">
      <x:c r="A3643" s="2" t="str">
        <x:v>240076</x:v>
      </x:c>
      <x:c r="B3643" s="2" t="str">
        <x:v>BUFFALO HOSPITAL</x:v>
      </x:c>
      <x:c r="C3643" s="2" t="str">
        <x:v>BUFFALO</x:v>
      </x:c>
      <x:c r="D3643" s="2" t="str">
        <x:v>MN</x:v>
      </x:c>
      <x:c r="E3643" s="2" t="str">
        <x:v>Acute Care Hospitals</x:v>
      </x:c>
      <x:c r="F3643" s="2" t="str">
        <x:v>Voluntary non-profit</x:v>
      </x:c>
      <x:c r="G3643" s="2" t="str">
        <x:v>Small (&lt;100 beds)</x:v>
      </x:c>
      <x:c r="H3643" s="7" t="n">
        <x:v>5</x:v>
      </x:c>
      <x:c r="I3643" s="7" t="n">
        <x:v>4</x:v>
      </x:c>
      <x:c r="J3643" s="7" t="n">
        <x:v>0.88</x:v>
      </x:c>
      <x:c r="K3643" s="8" t="n">
        <x:v>39</x:v>
      </x:c>
      <x:c r="L3643" s="8" t="n">
        <x:v>2436</x:v>
      </x:c>
      <x:c r="M3643" s="9" t="n">
        <x:v>0.5335575172</x:v>
      </x:c>
      <x:c r="N3643" s="10" t="n">
        <x:v>37356.4556650246</x:v>
      </x:c>
      <x:c r="O3643" s="9" t="n">
        <x:v>0.126320213</x:v>
      </x:c>
      <x:c r="P3643" s="9" t="n">
        <x:v>0.2621184919</x:v>
      </x:c>
      <x:c r="Q3643" s="9" t="n">
        <x:v>0.6131059246</x:v>
      </x:c>
      <x:c r="R3643" s="3" t="b">
        <x:v>0</x:v>
      </x:c>
      <x:c r="S3643" s="3" t="b">
        <x:v>0</x:v>
      </x:c>
      <x:c r="T3643" s="3" t="b">
        <x:v>0</x:v>
      </x:c>
      <x:c r="U3643" s="2" t="str">
        <x:f>IF(T3643=TRUE,"Priority review",IF(R3643=TRUE,"High cost",IF(S3643=TRUE,"Low quality","Benchmark")))</x:f>
        <x:v>Benchmark</x:v>
      </x:c>
    </x:row>
    <x:row r="3644">
      <x:c r="A3644" s="2" t="str">
        <x:v>450869</x:v>
      </x:c>
      <x:c r="B3644" s="2" t="str">
        <x:v>DOCTORS HOSPTAL AT RENAISSANCE</x:v>
      </x:c>
      <x:c r="C3644" s="2" t="str">
        <x:v>EDINBURG</x:v>
      </x:c>
      <x:c r="D3644" s="2" t="str">
        <x:v>TX</x:v>
      </x:c>
      <x:c r="E3644" s="2" t="str">
        <x:v>Acute Care Hospitals</x:v>
      </x:c>
      <x:c r="F3644" s="2" t="str">
        <x:v>Other / unknown</x:v>
      </x:c>
      <x:c r="G3644" s="2" t="str">
        <x:v>Large (300+ beds)</x:v>
      </x:c>
      <x:c r="H3644" s="7" t="n">
        <x:v>3</x:v>
      </x:c>
      <x:c r="I3644" s="7" t="n">
        <x:v>3</x:v>
      </x:c>
      <x:c r="J3644" s="7" t="n">
        <x:v>1.09</x:v>
      </x:c>
      <x:c r="K3644" s="8" t="n">
        <x:v>338</x:v>
      </x:c>
      <x:c r="L3644" s="8" t="n">
        <x:v>31910</x:v>
      </x:c>
      <x:c r="M3644" s="9" t="n">
        <x:v>0.8295307792</x:v>
      </x:c>
      <x:c r="N3644" s="10" t="n">
        <x:v>28874.784612974</x:v>
      </x:c>
      <x:c r="O3644" s="9" t="n">
        <x:v>0.1161817609</x:v>
      </x:c>
      <x:c r="P3644" s="9" t="n">
        <x:v>0.261829653</x:v>
      </x:c>
      <x:c r="Q3644" s="9" t="n">
        <x:v>0.2570977918</x:v>
      </x:c>
      <x:c r="R3644" s="3" t="b">
        <x:v>0</x:v>
      </x:c>
      <x:c r="S3644" s="3" t="b">
        <x:v>0</x:v>
      </x:c>
      <x:c r="T3644" s="3" t="b">
        <x:v>0</x:v>
      </x:c>
      <x:c r="U3644" s="2" t="str">
        <x:f>IF(T3644=TRUE,"Priority review",IF(R3644=TRUE,"High cost",IF(S3644=TRUE,"Low quality","Benchmark")))</x:f>
        <x:v>Benchmark</x:v>
      </x:c>
    </x:row>
    <x:row r="3645">
      <x:c r="A3645" s="2" t="str">
        <x:v>471304</x:v>
      </x:c>
      <x:c r="B3645" s="2" t="str">
        <x:v>NORTH COUNTRY HOSPITAL AND HEALTH CENTER</x:v>
      </x:c>
      <x:c r="C3645" s="2" t="str">
        <x:v>NEWPORT</x:v>
      </x:c>
      <x:c r="D3645" s="2" t="str">
        <x:v>VT</x:v>
      </x:c>
      <x:c r="E3645" s="2" t="str">
        <x:v>Critical Access Hospitals</x:v>
      </x:c>
      <x:c r="F3645" s="2" t="str">
        <x:v>Voluntary non-profit</x:v>
      </x:c>
      <x:c r="G3645" s="2" t="str">
        <x:v>Small (&lt;100 beds)</x:v>
      </x:c>
      <x:c r="H3645" s="7" t="n">
        <x:v>1</x:v>
      </x:c>
      <x:c r="I3645" s="7" t="n">
        <x:v>4</x:v>
      </x:c>
      <x:c r="J3645" s="7"/>
      <x:c r="K3645" s="8" t="n">
        <x:v>25</x:v>
      </x:c>
      <x:c r="L3645" s="8" t="n">
        <x:v>1209</x:v>
      </x:c>
      <x:c r="M3645" s="9" t="n">
        <x:v>0.4794535519</x:v>
      </x:c>
      <x:c r="N3645" s="10" t="n">
        <x:v>90400.835401158</x:v>
      </x:c>
      <x:c r="O3645" s="9" t="n">
        <x:v>-0.2070366662</x:v>
      </x:c>
      <x:c r="P3645" s="9" t="n">
        <x:v>0.2617100372</x:v>
      </x:c>
      <x:c r="Q3645" s="9" t="n">
        <x:v>0</x:v>
      </x:c>
      <x:c r="R3645" s="3" t="b">
        <x:v>0</x:v>
      </x:c>
      <x:c r="S3645" s="3" t="b">
        <x:v>1</x:v>
      </x:c>
      <x:c r="T3645" s="3" t="b">
        <x:v>0</x:v>
      </x:c>
      <x:c r="U3645" s="2" t="str">
        <x:f>IF(T3645=TRUE,"Priority review",IF(R3645=TRUE,"High cost",IF(S3645=TRUE,"Low quality","Benchmark")))</x:f>
        <x:v>Low quality</x:v>
      </x:c>
    </x:row>
    <x:row r="3646">
      <x:c r="A3646" s="2" t="str">
        <x:v>450723</x:v>
      </x:c>
      <x:c r="B3646" s="2" t="str">
        <x:v>METHODIST CHARLTON MEDICAL CENTER</x:v>
      </x:c>
      <x:c r="C3646" s="2" t="str">
        <x:v>DALLAS</x:v>
      </x:c>
      <x:c r="D3646" s="2" t="str">
        <x:v>TX</x:v>
      </x:c>
      <x:c r="E3646" s="2" t="str">
        <x:v>Acute Care Hospitals</x:v>
      </x:c>
      <x:c r="F3646" s="2" t="str">
        <x:v>Voluntary non-profit</x:v>
      </x:c>
      <x:c r="G3646" s="2" t="str">
        <x:v>Medium (100-299 beds)</x:v>
      </x:c>
      <x:c r="H3646" s="7" t="n">
        <x:v>3</x:v>
      </x:c>
      <x:c r="I3646" s="7" t="n">
        <x:v>3</x:v>
      </x:c>
      <x:c r="J3646" s="7" t="n">
        <x:v>1.1</x:v>
      </x:c>
      <x:c r="K3646" s="8" t="n">
        <x:v>296</x:v>
      </x:c>
      <x:c r="L3646" s="8" t="n">
        <x:v>14043</x:v>
      </x:c>
      <x:c r="M3646" s="9" t="n">
        <x:v>0.6839596446</x:v>
      </x:c>
      <x:c r="N3646" s="10" t="n">
        <x:v>26083.521184932</x:v>
      </x:c>
      <x:c r="O3646" s="9" t="n">
        <x:v>-0.0241056993</x:v>
      </x:c>
      <x:c r="P3646" s="9" t="n">
        <x:v>0.2616136919</x:v>
      </x:c>
      <x:c r="Q3646" s="9" t="n">
        <x:v>0.3023634882</x:v>
      </x:c>
      <x:c r="R3646" s="3" t="b">
        <x:v>0</x:v>
      </x:c>
      <x:c r="S3646" s="3" t="b">
        <x:v>0</x:v>
      </x:c>
      <x:c r="T3646" s="3" t="b">
        <x:v>0</x:v>
      </x:c>
      <x:c r="U3646" s="2" t="str">
        <x:f>IF(T3646=TRUE,"Priority review",IF(R3646=TRUE,"High cost",IF(S3646=TRUE,"Low quality","Benchmark")))</x:f>
        <x:v>Benchmark</x:v>
      </x:c>
    </x:row>
    <x:row r="3647">
      <x:c r="A3647" s="2" t="str">
        <x:v>450347</x:v>
      </x:c>
      <x:c r="B3647" s="2" t="str">
        <x:v>HUNTSVILLE MEMORIAL HOSPITAL</x:v>
      </x:c>
      <x:c r="C3647" s="2" t="str">
        <x:v>HUNTSVILLE</x:v>
      </x:c>
      <x:c r="D3647" s="2" t="str">
        <x:v>TX</x:v>
      </x:c>
      <x:c r="E3647" s="2" t="str">
        <x:v>Acute Care Hospitals</x:v>
      </x:c>
      <x:c r="F3647" s="2" t="str">
        <x:v>Voluntary non-profit</x:v>
      </x:c>
      <x:c r="G3647" s="2" t="str">
        <x:v>Small (&lt;100 beds)</x:v>
      </x:c>
      <x:c r="H3647" s="7" t="n">
        <x:v>2</x:v>
      </x:c>
      <x:c r="I3647" s="7" t="n">
        <x:v>3</x:v>
      </x:c>
      <x:c r="J3647" s="7" t="n">
        <x:v>1.13</x:v>
      </x:c>
      <x:c r="K3647" s="8" t="n">
        <x:v>80</x:v>
      </x:c>
      <x:c r="L3647" s="8" t="n">
        <x:v>2569</x:v>
      </x:c>
      <x:c r="M3647" s="9" t="n">
        <x:v>0.5086643836</x:v>
      </x:c>
      <x:c r="N3647" s="10" t="n">
        <x:v>37268.6714674971</x:v>
      </x:c>
      <x:c r="O3647" s="9" t="n">
        <x:v>-0.0424374277</x:v>
      </x:c>
      <x:c r="P3647" s="9" t="n">
        <x:v>0.2612208259</x:v>
      </x:c>
      <x:c r="Q3647" s="9" t="n">
        <x:v>0.0350089767</x:v>
      </x:c>
      <x:c r="R3647" s="3" t="b">
        <x:v>0</x:v>
      </x:c>
      <x:c r="S3647" s="3" t="b">
        <x:v>1</x:v>
      </x:c>
      <x:c r="T3647" s="3" t="b">
        <x:v>0</x:v>
      </x:c>
      <x:c r="U3647" s="2" t="str">
        <x:f>IF(T3647=TRUE,"Priority review",IF(R3647=TRUE,"High cost",IF(S3647=TRUE,"Low quality","Benchmark")))</x:f>
        <x:v>Low quality</x:v>
      </x:c>
    </x:row>
    <x:row r="3648">
      <x:c r="A3648" s="2" t="str">
        <x:v>321304</x:v>
      </x:c>
      <x:c r="B3648" s="2" t="str">
        <x:v>UNION COUNTY GENERAL HOSPITAL</x:v>
      </x:c>
      <x:c r="C3648" s="2" t="str">
        <x:v>CLAYTON</x:v>
      </x:c>
      <x:c r="D3648" s="2" t="str">
        <x:v>NM</x:v>
      </x:c>
      <x:c r="E3648" s="2" t="str">
        <x:v>Critical Access Hospitals</x:v>
      </x:c>
      <x:c r="F3648" s="2" t="str">
        <x:v>Government</x:v>
      </x:c>
      <x:c r="G3648" s="2" t="str">
        <x:v>Small (&lt;100 beds)</x:v>
      </x:c>
      <x:c r="H3648" s="7"/>
      <x:c r="I3648" s="7"/>
      <x:c r="J3648" s="7"/>
      <x:c r="K3648" s="8" t="n">
        <x:v>25</x:v>
      </x:c>
      <x:c r="L3648" s="8" t="n">
        <x:v>190</x:v>
      </x:c>
      <x:c r="M3648" s="9" t="n">
        <x:v>0.12</x:v>
      </x:c>
      <x:c r="N3648" s="10" t="n">
        <x:v>90113.1789473684</x:v>
      </x:c>
      <x:c r="O3648" s="9" t="n">
        <x:v>-0.2052861233</x:v>
      </x:c>
      <x:c r="P3648" s="9" t="n">
        <x:v>0.2609665428</x:v>
      </x:c>
      <x:c r="Q3648" s="9" t="n">
        <x:v>0.292936803</x:v>
      </x:c>
      <x:c r="R3648" s="3" t="b">
        <x:v>0</x:v>
      </x:c>
      <x:c r="S3648" s="3" t="b">
        <x:v>0</x:v>
      </x:c>
      <x:c r="T3648" s="3" t="b">
        <x:v>0</x:v>
      </x:c>
      <x:c r="U3648" s="2" t="str">
        <x:f>IF(T3648=TRUE,"Priority review",IF(R3648=TRUE,"High cost",IF(S3648=TRUE,"Low quality","Benchmark")))</x:f>
        <x:v>Benchmark</x:v>
      </x:c>
    </x:row>
    <x:row r="3649">
      <x:c r="A3649" s="2" t="str">
        <x:v>420098</x:v>
      </x:c>
      <x:c r="B3649" s="2" t="str">
        <x:v>TIDELANDS WACCAMAW COMMUNITY HOSPITAL</x:v>
      </x:c>
      <x:c r="C3649" s="2" t="str">
        <x:v>MURRELLS INLET</x:v>
      </x:c>
      <x:c r="D3649" s="2" t="str">
        <x:v>SC</x:v>
      </x:c>
      <x:c r="E3649" s="2" t="str">
        <x:v>Acute Care Hospitals</x:v>
      </x:c>
      <x:c r="F3649" s="2" t="str">
        <x:v>Voluntary non-profit</x:v>
      </x:c>
      <x:c r="G3649" s="2" t="str">
        <x:v>Medium (100-299 beds)</x:v>
      </x:c>
      <x:c r="H3649" s="7" t="n">
        <x:v>4</x:v>
      </x:c>
      <x:c r="I3649" s="7" t="n">
        <x:v>3</x:v>
      </x:c>
      <x:c r="J3649" s="7" t="n">
        <x:v>0.99</x:v>
      </x:c>
      <x:c r="K3649" s="8" t="n">
        <x:v>120</x:v>
      </x:c>
      <x:c r="L3649" s="8" t="n">
        <x:v>7244</x:v>
      </x:c>
      <x:c r="M3649" s="9" t="n">
        <x:v>0.6967668488</x:v>
      </x:c>
      <x:c r="N3649" s="10" t="n">
        <x:v>26051.9538928769</x:v>
      </x:c>
      <x:c r="O3649" s="9" t="n">
        <x:v>0.1005330838</x:v>
      </x:c>
      <x:c r="P3649" s="9" t="n">
        <x:v>0.260798696</x:v>
      </x:c>
      <x:c r="Q3649" s="9" t="n">
        <x:v>0.6022819886</x:v>
      </x:c>
      <x:c r="R3649" s="3" t="b">
        <x:v>0</x:v>
      </x:c>
      <x:c r="S3649" s="3" t="b">
        <x:v>0</x:v>
      </x:c>
      <x:c r="T3649" s="3" t="b">
        <x:v>0</x:v>
      </x:c>
      <x:c r="U3649" s="2" t="str">
        <x:f>IF(T3649=TRUE,"Priority review",IF(R3649=TRUE,"High cost",IF(S3649=TRUE,"Low quality","Benchmark")))</x:f>
        <x:v>Benchmark</x:v>
      </x:c>
    </x:row>
    <x:row r="3650">
      <x:c r="A3650" s="2" t="str">
        <x:v>440137</x:v>
      </x:c>
      <x:c r="B3650" s="2" t="str">
        <x:v>VANDERBILT BEDFORD HOSPITAL</x:v>
      </x:c>
      <x:c r="C3650" s="2" t="str">
        <x:v>SHELBYVILLE</x:v>
      </x:c>
      <x:c r="D3650" s="2" t="str">
        <x:v>TN</x:v>
      </x:c>
      <x:c r="E3650" s="2" t="str">
        <x:v>Acute Care Hospitals</x:v>
      </x:c>
      <x:c r="F3650" s="2" t="str">
        <x:v>Proprietary</x:v>
      </x:c>
      <x:c r="G3650" s="2" t="str">
        <x:v>Small (&lt;100 beds)</x:v>
      </x:c>
      <x:c r="H3650" s="7" t="n">
        <x:v>4</x:v>
      </x:c>
      <x:c r="I3650" s="7" t="n">
        <x:v>3</x:v>
      </x:c>
      <x:c r="J3650" s="7" t="n">
        <x:v>0.91</x:v>
      </x:c>
      <x:c r="K3650" s="8" t="n">
        <x:v>37</x:v>
      </x:c>
      <x:c r="L3650" s="8" t="n">
        <x:v>1700</x:v>
      </x:c>
      <x:c r="M3650" s="9" t="n">
        <x:v>0.5456821026</x:v>
      </x:c>
      <x:c r="N3650" s="10" t="n">
        <x:v>37192.06</x:v>
      </x:c>
      <x:c r="O3650" s="9" t="n">
        <x:v>0.1012317644</x:v>
      </x:c>
      <x:c r="P3650" s="9" t="n">
        <x:v>0.2603231598</x:v>
      </x:c>
      <x:c r="Q3650" s="9" t="n">
        <x:v>0.3913824057</x:v>
      </x:c>
      <x:c r="R3650" s="3" t="b">
        <x:v>0</x:v>
      </x:c>
      <x:c r="S3650" s="3" t="b">
        <x:v>0</x:v>
      </x:c>
      <x:c r="T3650" s="3" t="b">
        <x:v>0</x:v>
      </x:c>
      <x:c r="U3650" s="2" t="str">
        <x:f>IF(T3650=TRUE,"Priority review",IF(R3650=TRUE,"High cost",IF(S3650=TRUE,"Low quality","Benchmark")))</x:f>
        <x:v>Benchmark</x:v>
      </x:c>
    </x:row>
    <x:row r="3651">
      <x:c r="A3651" s="2" t="str">
        <x:v>310057</x:v>
      </x:c>
      <x:c r="B3651" s="2" t="str">
        <x:v>VIRTUA MOUNT HOLLY HOSPITAL</x:v>
      </x:c>
      <x:c r="C3651" s="2" t="str">
        <x:v>MOUNT HOLLY</x:v>
      </x:c>
      <x:c r="D3651" s="2" t="str">
        <x:v>NJ</x:v>
      </x:c>
      <x:c r="E3651" s="2" t="str">
        <x:v>Acute Care Hospitals</x:v>
      </x:c>
      <x:c r="F3651" s="2" t="str">
        <x:v>Voluntary non-profit</x:v>
      </x:c>
      <x:c r="G3651" s="2" t="str">
        <x:v>Large (300+ beds)</x:v>
      </x:c>
      <x:c r="H3651" s="7" t="n">
        <x:v>3</x:v>
      </x:c>
      <x:c r="I3651" s="7" t="n">
        <x:v>2</x:v>
      </x:c>
      <x:c r="J3651" s="7" t="n">
        <x:v>1.1</x:v>
      </x:c>
      <x:c r="K3651" s="8" t="n">
        <x:v>312</x:v>
      </x:c>
      <x:c r="L3651" s="8" t="n">
        <x:v>14112</x:v>
      </x:c>
      <x:c r="M3651" s="9" t="n">
        <x:v>0.5723167998</x:v>
      </x:c>
      <x:c r="N3651" s="10" t="n">
        <x:v>28764.0861678005</x:v>
      </x:c>
      <x:c r="O3651" s="9" t="n">
        <x:v>0.0797862968</x:v>
      </x:c>
      <x:c r="P3651" s="9" t="n">
        <x:v>0.2602523659</x:v>
      </x:c>
      <x:c r="Q3651" s="9" t="n">
        <x:v>0.2570977918</x:v>
      </x:c>
      <x:c r="R3651" s="3" t="b">
        <x:v>0</x:v>
      </x:c>
      <x:c r="S3651" s="3" t="b">
        <x:v>0</x:v>
      </x:c>
      <x:c r="T3651" s="3" t="b">
        <x:v>0</x:v>
      </x:c>
      <x:c r="U3651" s="2" t="str">
        <x:f>IF(T3651=TRUE,"Priority review",IF(R3651=TRUE,"High cost",IF(S3651=TRUE,"Low quality","Benchmark")))</x:f>
        <x:v>Benchmark</x:v>
      </x:c>
    </x:row>
    <x:row r="3652">
      <x:c r="A3652" s="2" t="str">
        <x:v>431300</x:v>
      </x:c>
      <x:c r="B3652" s="2" t="str">
        <x:v>MADISON REGIONAL HEALTH SYSTEM</x:v>
      </x:c>
      <x:c r="C3652" s="2" t="str">
        <x:v>MADISON</x:v>
      </x:c>
      <x:c r="D3652" s="2" t="str">
        <x:v>SD</x:v>
      </x:c>
      <x:c r="E3652" s="2" t="str">
        <x:v>Critical Access Hospitals</x:v>
      </x:c>
      <x:c r="F3652" s="2" t="str">
        <x:v>Voluntary non-profit</x:v>
      </x:c>
      <x:c r="G3652" s="2" t="str">
        <x:v>Small (&lt;100 beds)</x:v>
      </x:c>
      <x:c r="H3652" s="7"/>
      <x:c r="I3652" s="7"/>
      <x:c r="J3652" s="7"/>
      <x:c r="K3652" s="8" t="n">
        <x:v>22</x:v>
      </x:c>
      <x:c r="L3652" s="8" t="n">
        <x:v>413</x:v>
      </x:c>
      <x:c r="M3652" s="9" t="n">
        <x:v>0.3855541719</x:v>
      </x:c>
      <x:c r="N3652" s="10" t="n">
        <x:v>89751.5205811138</x:v>
      </x:c>
      <x:c r="O3652" s="9" t="n">
        <x:v>-0.0637657757</x:v>
      </x:c>
      <x:c r="P3652" s="9" t="n">
        <x:v>0.2602230483</x:v>
      </x:c>
      <x:c r="Q3652" s="9" t="n">
        <x:v>0.292936803</x:v>
      </x:c>
      <x:c r="R3652" s="3" t="b">
        <x:v>0</x:v>
      </x:c>
      <x:c r="S3652" s="3" t="b">
        <x:v>0</x:v>
      </x:c>
      <x:c r="T3652" s="3" t="b">
        <x:v>0</x:v>
      </x:c>
      <x:c r="U3652" s="2" t="str">
        <x:f>IF(T3652=TRUE,"Priority review",IF(R3652=TRUE,"High cost",IF(S3652=TRUE,"Low quality","Benchmark")))</x:f>
        <x:v>Benchmark</x:v>
      </x:c>
    </x:row>
    <x:row r="3653">
      <x:c r="A3653" s="2" t="str">
        <x:v>100032</x:v>
      </x:c>
      <x:c r="B3653" s="2" t="str">
        <x:v>ORLANDO HEALTH BAYFRONT HOSPITAL</x:v>
      </x:c>
      <x:c r="C3653" s="2" t="str">
        <x:v>SAINT PETERSBURG</x:v>
      </x:c>
      <x:c r="D3653" s="2" t="str">
        <x:v>FL</x:v>
      </x:c>
      <x:c r="E3653" s="2" t="str">
        <x:v>Acute Care Hospitals</x:v>
      </x:c>
      <x:c r="F3653" s="2" t="str">
        <x:v>Voluntary non-profit</x:v>
      </x:c>
      <x:c r="G3653" s="2" t="str">
        <x:v>Medium (100-299 beds)</x:v>
      </x:c>
      <x:c r="H3653" s="7" t="n">
        <x:v>2</x:v>
      </x:c>
      <x:c r="I3653" s="7" t="n">
        <x:v>3</x:v>
      </x:c>
      <x:c r="J3653" s="7" t="n">
        <x:v>1.11</x:v>
      </x:c>
      <x:c r="K3653" s="8" t="n">
        <x:v>264</x:v>
      </x:c>
      <x:c r="L3653" s="8" t="n">
        <x:v>15771</x:v>
      </x:c>
      <x:c r="M3653" s="9" t="n">
        <x:v>0.7163559137</x:v>
      </x:c>
      <x:c r="N3653" s="10" t="n">
        <x:v>26051.6850548475</x:v>
      </x:c>
      <x:c r="O3653" s="9" t="n">
        <x:v>-0.0452352703</x:v>
      </x:c>
      <x:c r="P3653" s="9" t="n">
        <x:v>0.2599837001</x:v>
      </x:c>
      <x:c r="Q3653" s="9" t="n">
        <x:v>0.0782396088</x:v>
      </x:c>
      <x:c r="R3653" s="3" t="b">
        <x:v>0</x:v>
      </x:c>
      <x:c r="S3653" s="3" t="b">
        <x:v>1</x:v>
      </x:c>
      <x:c r="T3653" s="3" t="b">
        <x:v>0</x:v>
      </x:c>
      <x:c r="U3653" s="2" t="str">
        <x:f>IF(T3653=TRUE,"Priority review",IF(R3653=TRUE,"High cost",IF(S3653=TRUE,"Low quality","Benchmark")))</x:f>
        <x:v>Low quality</x:v>
      </x:c>
    </x:row>
    <x:row r="3654">
      <x:c r="A3654" s="2" t="str">
        <x:v>051304</x:v>
      </x:c>
      <x:c r="B3654" s="2" t="str">
        <x:v>JOHN C FREMONT HEALTHCARE DISTRICT</x:v>
      </x:c>
      <x:c r="C3654" s="2" t="str">
        <x:v>MARIPOSA</x:v>
      </x:c>
      <x:c r="D3654" s="2" t="str">
        <x:v>CA</x:v>
      </x:c>
      <x:c r="E3654" s="2" t="str">
        <x:v>Critical Access Hospitals</x:v>
      </x:c>
      <x:c r="F3654" s="2" t="str">
        <x:v>Government</x:v>
      </x:c>
      <x:c r="G3654" s="2" t="str">
        <x:v>Small (&lt;100 beds)</x:v>
      </x:c>
      <x:c r="H3654" s="7"/>
      <x:c r="I3654" s="7"/>
      <x:c r="J3654" s="7"/>
      <x:c r="K3654" s="8" t="n">
        <x:v>18</x:v>
      </x:c>
      <x:c r="L3654" s="8" t="n">
        <x:v>410</x:v>
      </x:c>
      <x:c r="M3654" s="9" t="n">
        <x:v>0.3867579909</x:v>
      </x:c>
      <x:c r="N3654" s="10" t="n">
        <x:v>89690.5024390244</x:v>
      </x:c>
      <x:c r="O3654" s="9" t="n">
        <x:v>-0.2443865968</x:v>
      </x:c>
      <x:c r="P3654" s="9" t="n">
        <x:v>0.2594795539</x:v>
      </x:c>
      <x:c r="Q3654" s="9" t="n">
        <x:v>0.292936803</x:v>
      </x:c>
      <x:c r="R3654" s="3" t="b">
        <x:v>0</x:v>
      </x:c>
      <x:c r="S3654" s="3" t="b">
        <x:v>0</x:v>
      </x:c>
      <x:c r="T3654" s="3" t="b">
        <x:v>0</x:v>
      </x:c>
      <x:c r="U3654" s="2" t="str">
        <x:f>IF(T3654=TRUE,"Priority review",IF(R3654=TRUE,"High cost",IF(S3654=TRUE,"Low quality","Benchmark")))</x:f>
        <x:v>Benchmark</x:v>
      </x:c>
    </x:row>
    <x:row r="3655">
      <x:c r="A3655" s="2" t="str">
        <x:v>490019</x:v>
      </x:c>
      <x:c r="B3655" s="2" t="str">
        <x:v>UVA HEALTH CULPEPER MEDICAL CENTER</x:v>
      </x:c>
      <x:c r="C3655" s="2" t="str">
        <x:v>CULPEPER</x:v>
      </x:c>
      <x:c r="D3655" s="2" t="str">
        <x:v>VA</x:v>
      </x:c>
      <x:c r="E3655" s="2" t="str">
        <x:v>Acute Care Hospitals</x:v>
      </x:c>
      <x:c r="F3655" s="2" t="str">
        <x:v>Voluntary non-profit</x:v>
      </x:c>
      <x:c r="G3655" s="2" t="str">
        <x:v>Small (&lt;100 beds)</x:v>
      </x:c>
      <x:c r="H3655" s="7" t="n">
        <x:v>2</x:v>
      </x:c>
      <x:c r="I3655" s="7" t="n">
        <x:v>2</x:v>
      </x:c>
      <x:c r="J3655" s="7" t="n">
        <x:v>1.02</x:v>
      </x:c>
      <x:c r="K3655" s="8" t="n">
        <x:v>70</x:v>
      </x:c>
      <x:c r="L3655" s="8" t="n">
        <x:v>4472</x:v>
      </x:c>
      <x:c r="M3655" s="9" t="n">
        <x:v>0.5272798434</x:v>
      </x:c>
      <x:c r="N3655" s="10" t="n">
        <x:v>37158.2562611807</x:v>
      </x:c>
      <x:c r="O3655" s="9" t="n">
        <x:v>0.1099834543</x:v>
      </x:c>
      <x:c r="P3655" s="9" t="n">
        <x:v>0.2594254937</x:v>
      </x:c>
      <x:c r="Q3655" s="9" t="n">
        <x:v>0.0350089767</x:v>
      </x:c>
      <x:c r="R3655" s="3" t="b">
        <x:v>0</x:v>
      </x:c>
      <x:c r="S3655" s="3" t="b">
        <x:v>1</x:v>
      </x:c>
      <x:c r="T3655" s="3" t="b">
        <x:v>0</x:v>
      </x:c>
      <x:c r="U3655" s="2" t="str">
        <x:f>IF(T3655=TRUE,"Priority review",IF(R3655=TRUE,"High cost",IF(S3655=TRUE,"Low quality","Benchmark")))</x:f>
        <x:v>Low quality</x:v>
      </x:c>
    </x:row>
    <x:row r="3656">
      <x:c r="A3656" s="2" t="str">
        <x:v>263302</x:v>
      </x:c>
      <x:c r="B3656" s="2" t="str">
        <x:v>THE CHILDREN'S MERCY HOSPITAL</x:v>
      </x:c>
      <x:c r="C3656" s="2" t="str">
        <x:v>KANSAS CITY</x:v>
      </x:c>
      <x:c r="D3656" s="2" t="str">
        <x:v>MO</x:v>
      </x:c>
      <x:c r="E3656" s="2" t="str">
        <x:v>Childrens</x:v>
      </x:c>
      <x:c r="F3656" s="2" t="str">
        <x:v>Voluntary non-profit</x:v>
      </x:c>
      <x:c r="G3656" s="2" t="str">
        <x:v>Large (300+ beds)</x:v>
      </x:c>
      <x:c r="H3656" s="7"/>
      <x:c r="I3656" s="7"/>
      <x:c r="J3656" s="7"/>
      <x:c r="K3656" s="8" t="n">
        <x:v>329</x:v>
      </x:c>
      <x:c r="L3656" s="8" t="n">
        <x:v>13663</x:v>
      </x:c>
      <x:c r="M3656" s="9" t="n">
        <x:v>0.8027980181</x:v>
      </x:c>
      <x:c r="N3656" s="10" t="n">
        <x:v>78736.0308863354</x:v>
      </x:c>
      <x:c r="O3656" s="9" t="n">
        <x:v>0.3158925798</x:v>
      </x:c>
      <x:c r="P3656" s="9" t="n">
        <x:v>0.2592592593</x:v>
      </x:c>
      <x:c r="Q3656" s="9" t="n">
        <x:v>0</x:v>
      </x:c>
      <x:c r="R3656" s="3" t="b">
        <x:v>0</x:v>
      </x:c>
      <x:c r="S3656" s="3" t="b">
        <x:v>0</x:v>
      </x:c>
      <x:c r="T3656" s="3" t="b">
        <x:v>0</x:v>
      </x:c>
      <x:c r="U3656" s="2" t="str">
        <x:f>IF(T3656=TRUE,"Priority review",IF(R3656=TRUE,"High cost",IF(S3656=TRUE,"Low quality","Benchmark")))</x:f>
        <x:v>Benchmark</x:v>
      </x:c>
    </x:row>
    <x:row r="3657">
      <x:c r="A3657" s="2" t="str">
        <x:v>390203</x:v>
      </x:c>
      <x:c r="B3657" s="2" t="str">
        <x:v>DOYLESTOWN HOSPITAL</x:v>
      </x:c>
      <x:c r="C3657" s="2" t="str">
        <x:v>DOYLESTOWN</x:v>
      </x:c>
      <x:c r="D3657" s="2" t="str">
        <x:v>PA</x:v>
      </x:c>
      <x:c r="E3657" s="2" t="str">
        <x:v>Acute Care Hospitals</x:v>
      </x:c>
      <x:c r="F3657" s="2" t="str">
        <x:v>Voluntary non-profit</x:v>
      </x:c>
      <x:c r="G3657" s="2" t="str">
        <x:v>Medium (100-299 beds)</x:v>
      </x:c>
      <x:c r="H3657" s="7" t="n">
        <x:v>4</x:v>
      </x:c>
      <x:c r="I3657" s="7" t="n">
        <x:v>4</x:v>
      </x:c>
      <x:c r="J3657" s="7" t="n">
        <x:v>0.95</x:v>
      </x:c>
      <x:c r="K3657" s="8" t="n">
        <x:v>245</x:v>
      </x:c>
      <x:c r="L3657" s="8" t="n">
        <x:v>15035</x:v>
      </x:c>
      <x:c r="M3657" s="9" t="n">
        <x:v>0.6583729382</x:v>
      </x:c>
      <x:c r="N3657" s="10" t="n">
        <x:v>26028.1447289657</x:v>
      </x:c>
      <x:c r="O3657" s="9" t="n">
        <x:v>-0.0490320595</x:v>
      </x:c>
      <x:c r="P3657" s="9" t="n">
        <x:v>0.2591687042</x:v>
      </x:c>
      <x:c r="Q3657" s="9" t="n">
        <x:v>0.6022819886</x:v>
      </x:c>
      <x:c r="R3657" s="3" t="b">
        <x:v>0</x:v>
      </x:c>
      <x:c r="S3657" s="3" t="b">
        <x:v>0</x:v>
      </x:c>
      <x:c r="T3657" s="3" t="b">
        <x:v>0</x:v>
      </x:c>
      <x:c r="U3657" s="2" t="str">
        <x:f>IF(T3657=TRUE,"Priority review",IF(R3657=TRUE,"High cost",IF(S3657=TRUE,"Low quality","Benchmark")))</x:f>
        <x:v>Benchmark</x:v>
      </x:c>
    </x:row>
    <x:row r="3658">
      <x:c r="A3658" s="2" t="str">
        <x:v>364061</x:v>
      </x:c>
      <x:c r="B3658" s="2" t="str">
        <x:v>RIVER VISTA HEALTH AND WELLNESS LLC</x:v>
      </x:c>
      <x:c r="C3658" s="2" t="str">
        <x:v>COLUMBUS</x:v>
      </x:c>
      <x:c r="D3658" s="2" t="str">
        <x:v>OH</x:v>
      </x:c>
      <x:c r="E3658" s="2" t="str">
        <x:v>Psychiatric</x:v>
      </x:c>
      <x:c r="F3658" s="2" t="str">
        <x:v>Proprietary</x:v>
      </x:c>
      <x:c r="G3658" s="2" t="str">
        <x:v>Small (&lt;100 beds)</x:v>
      </x:c>
      <x:c r="H3658" s="7"/>
      <x:c r="I3658" s="7"/>
      <x:c r="J3658" s="7"/>
      <x:c r="K3658" s="8" t="n">
        <x:v>80</x:v>
      </x:c>
      <x:c r="L3658" s="8" t="n">
        <x:v>2431</x:v>
      </x:c>
      <x:c r="M3658" s="9" t="n">
        <x:v>0.6940753425</x:v>
      </x:c>
      <x:c r="N3658" s="10" t="n">
        <x:v>8403.2167832168</x:v>
      </x:c>
      <x:c r="O3658" s="9" t="n">
        <x:v>0.0464564157</x:v>
      </x:c>
      <x:c r="P3658" s="9" t="n">
        <x:v>0.2588996764</x:v>
      </x:c>
      <x:c r="Q3658" s="9" t="n">
        <x:v>0</x:v>
      </x:c>
      <x:c r="R3658" s="3" t="b">
        <x:v>0</x:v>
      </x:c>
      <x:c r="S3658" s="3" t="b">
        <x:v>0</x:v>
      </x:c>
      <x:c r="T3658" s="3" t="b">
        <x:v>0</x:v>
      </x:c>
      <x:c r="U3658" s="2" t="str">
        <x:f>IF(T3658=TRUE,"Priority review",IF(R3658=TRUE,"High cost",IF(S3658=TRUE,"Low quality","Benchmark")))</x:f>
        <x:v>Benchmark</x:v>
      </x:c>
    </x:row>
    <x:row r="3659">
      <x:c r="A3659" s="2" t="str">
        <x:v>151331</x:v>
      </x:c>
      <x:c r="B3659" s="2" t="str">
        <x:v>HARRISON COUNTY HOSPITAL</x:v>
      </x:c>
      <x:c r="C3659" s="2" t="str">
        <x:v>CORYDON</x:v>
      </x:c>
      <x:c r="D3659" s="2" t="str">
        <x:v>IN</x:v>
      </x:c>
      <x:c r="E3659" s="2" t="str">
        <x:v>Critical Access Hospitals</x:v>
      </x:c>
      <x:c r="F3659" s="2" t="str">
        <x:v>Government</x:v>
      </x:c>
      <x:c r="G3659" s="2" t="str">
        <x:v>Small (&lt;100 beds)</x:v>
      </x:c>
      <x:c r="H3659" s="7" t="n">
        <x:v>3</x:v>
      </x:c>
      <x:c r="I3659" s="7"/>
      <x:c r="J3659" s="7"/>
      <x:c r="K3659" s="8" t="n">
        <x:v>25</x:v>
      </x:c>
      <x:c r="L3659" s="8" t="n">
        <x:v>751</x:v>
      </x:c>
      <x:c r="M3659" s="9" t="n">
        <x:v>0.3296174863</x:v>
      </x:c>
      <x:c r="N3659" s="10" t="n">
        <x:v>89326.930758988</x:v>
      </x:c>
      <x:c r="O3659" s="9" t="n">
        <x:v>-0.1834304626</x:v>
      </x:c>
      <x:c r="P3659" s="9" t="n">
        <x:v>0.2587360595</x:v>
      </x:c>
      <x:c r="Q3659" s="9" t="n">
        <x:v>0.0765799257</x:v>
      </x:c>
      <x:c r="R3659" s="3" t="b">
        <x:v>0</x:v>
      </x:c>
      <x:c r="S3659" s="3" t="b">
        <x:v>1</x:v>
      </x:c>
      <x:c r="T3659" s="3" t="b">
        <x:v>0</x:v>
      </x:c>
      <x:c r="U3659" s="2" t="str">
        <x:f>IF(T3659=TRUE,"Priority review",IF(R3659=TRUE,"High cost",IF(S3659=TRUE,"Low quality","Benchmark")))</x:f>
        <x:v>Low quality</x:v>
      </x:c>
    </x:row>
    <x:row r="3660">
      <x:c r="A3660" s="2" t="str">
        <x:v>454135</x:v>
      </x:c>
      <x:c r="B3660" s="2" t="str">
        <x:v>HOUSTON BEHAVIORAL HEALTHCARE HOSPITAL LLC</x:v>
      </x:c>
      <x:c r="C3660" s="2" t="str">
        <x:v>HOUSTON</x:v>
      </x:c>
      <x:c r="D3660" s="2" t="str">
        <x:v>TX</x:v>
      </x:c>
      <x:c r="E3660" s="2" t="str">
        <x:v>Psychiatric</x:v>
      </x:c>
      <x:c r="F3660" s="2" t="str">
        <x:v>Proprietary</x:v>
      </x:c>
      <x:c r="G3660" s="2" t="str">
        <x:v>Medium (100-299 beds)</x:v>
      </x:c>
      <x:c r="H3660" s="7"/>
      <x:c r="I3660" s="7"/>
      <x:c r="J3660" s="7"/>
      <x:c r="K3660" s="8" t="n">
        <x:v>163</x:v>
      </x:c>
      <x:c r="L3660" s="8" t="n">
        <x:v>4953</x:v>
      </x:c>
      <x:c r="M3660" s="9" t="n">
        <x:v>0.7346206712</x:v>
      </x:c>
      <x:c r="N3660" s="10" t="n">
        <x:v>7183.9854633555</x:v>
      </x:c>
      <x:c r="O3660" s="9" t="n">
        <x:v>-0.0680221374</x:v>
      </x:c>
      <x:c r="P3660" s="9" t="n">
        <x:v>0.2587064677</x:v>
      </x:c>
      <x:c r="Q3660" s="9" t="n">
        <x:v>0</x:v>
      </x:c>
      <x:c r="R3660" s="3" t="b">
        <x:v>0</x:v>
      </x:c>
      <x:c r="S3660" s="3" t="b">
        <x:v>0</x:v>
      </x:c>
      <x:c r="T3660" s="3" t="b">
        <x:v>0</x:v>
      </x:c>
      <x:c r="U3660" s="2" t="str">
        <x:f>IF(T3660=TRUE,"Priority review",IF(R3660=TRUE,"High cost",IF(S3660=TRUE,"Low quality","Benchmark")))</x:f>
        <x:v>Benchmark</x:v>
      </x:c>
    </x:row>
    <x:row r="3661">
      <x:c r="A3661" s="2" t="str">
        <x:v>450462</x:v>
      </x:c>
      <x:c r="B3661" s="2" t="str">
        <x:v>TEXAS HEALTH PRESBYTERIAN HOSPITAL DALLAS</x:v>
      </x:c>
      <x:c r="C3661" s="2" t="str">
        <x:v>DALLAS</x:v>
      </x:c>
      <x:c r="D3661" s="2" t="str">
        <x:v>TX</x:v>
      </x:c>
      <x:c r="E3661" s="2" t="str">
        <x:v>Acute Care Hospitals</x:v>
      </x:c>
      <x:c r="F3661" s="2" t="str">
        <x:v>Voluntary non-profit</x:v>
      </x:c>
      <x:c r="G3661" s="2" t="str">
        <x:v>Large (300+ beds)</x:v>
      </x:c>
      <x:c r="H3661" s="7" t="n">
        <x:v>4</x:v>
      </x:c>
      <x:c r="I3661" s="7" t="n">
        <x:v>3</x:v>
      </x:c>
      <x:c r="J3661" s="7" t="n">
        <x:v>1.04</x:v>
      </x:c>
      <x:c r="K3661" s="8" t="n">
        <x:v>576</x:v>
      </x:c>
      <x:c r="L3661" s="8" t="n">
        <x:v>26251</x:v>
      </x:c>
      <x:c r="M3661" s="9" t="n">
        <x:v>0.6120218579</x:v>
      </x:c>
      <x:c r="N3661" s="10" t="n">
        <x:v>28696.0806064531</x:v>
      </x:c>
      <x:c r="O3661" s="9" t="n">
        <x:v>0.0797829328</x:v>
      </x:c>
      <x:c r="P3661" s="9" t="n">
        <x:v>0.2586750789</x:v>
      </x:c>
      <x:c r="Q3661" s="9" t="n">
        <x:v>0.5899053628</x:v>
      </x:c>
      <x:c r="R3661" s="3" t="b">
        <x:v>0</x:v>
      </x:c>
      <x:c r="S3661" s="3" t="b">
        <x:v>0</x:v>
      </x:c>
      <x:c r="T3661" s="3" t="b">
        <x:v>0</x:v>
      </x:c>
      <x:c r="U3661" s="2" t="str">
        <x:f>IF(T3661=TRUE,"Priority review",IF(R3661=TRUE,"High cost",IF(S3661=TRUE,"Low quality","Benchmark")))</x:f>
        <x:v>Benchmark</x:v>
      </x:c>
    </x:row>
    <x:row r="3662">
      <x:c r="A3662" s="2" t="str">
        <x:v>110111</x:v>
      </x:c>
      <x:c r="B3662" s="2" t="str">
        <x:v>UNIVERSITY MCDUFFIE COUNTY REGIONAL MEDICAL CENTER</x:v>
      </x:c>
      <x:c r="C3662" s="2" t="str">
        <x:v>THOMSON</x:v>
      </x:c>
      <x:c r="D3662" s="2" t="str">
        <x:v>GA</x:v>
      </x:c>
      <x:c r="E3662" s="2" t="str">
        <x:v>Acute Care Hospitals</x:v>
      </x:c>
      <x:c r="F3662" s="2" t="str">
        <x:v>Government</x:v>
      </x:c>
      <x:c r="G3662" s="2" t="str">
        <x:v>Small (&lt;100 beds)</x:v>
      </x:c>
      <x:c r="H3662" s="7"/>
      <x:c r="I3662" s="7" t="n">
        <x:v>3</x:v>
      </x:c>
      <x:c r="J3662" s="7" t="n">
        <x:v>0.89</x:v>
      </x:c>
      <x:c r="K3662" s="8" t="n">
        <x:v>25</x:v>
      </x:c>
      <x:c r="L3662" s="8" t="n">
        <x:v>792</x:v>
      </x:c>
      <x:c r="M3662" s="9" t="n">
        <x:v>0.3822465753</x:v>
      </x:c>
      <x:c r="N3662" s="10" t="n">
        <x:v>37110.5037878788</x:v>
      </x:c>
      <x:c r="O3662" s="9" t="n">
        <x:v>0.1357675221</x:v>
      </x:c>
      <x:c r="P3662" s="9" t="n">
        <x:v>0.2585278276</x:v>
      </x:c>
      <x:c r="Q3662" s="9" t="n">
        <x:v>0.697486535</x:v>
      </x:c>
      <x:c r="R3662" s="3" t="b">
        <x:v>0</x:v>
      </x:c>
      <x:c r="S3662" s="3" t="b">
        <x:v>0</x:v>
      </x:c>
      <x:c r="T3662" s="3" t="b">
        <x:v>0</x:v>
      </x:c>
      <x:c r="U3662" s="2" t="str">
        <x:f>IF(T3662=TRUE,"Priority review",IF(R3662=TRUE,"High cost",IF(S3662=TRUE,"Low quality","Benchmark")))</x:f>
        <x:v>Benchmark</x:v>
      </x:c>
    </x:row>
    <x:row r="3663">
      <x:c r="A3663" s="2" t="str">
        <x:v>220073</x:v>
      </x:c>
      <x:c r="B3663" s="2" t="str">
        <x:v>BROWN UNIVERSITY HEALTH MORTON HOSPITAL</x:v>
      </x:c>
      <x:c r="C3663" s="2" t="str">
        <x:v>TAUNTON</x:v>
      </x:c>
      <x:c r="D3663" s="2" t="str">
        <x:v>MA</x:v>
      </x:c>
      <x:c r="E3663" s="2" t="str">
        <x:v>Acute Care Hospitals</x:v>
      </x:c>
      <x:c r="F3663" s="2" t="str">
        <x:v>Proprietary</x:v>
      </x:c>
      <x:c r="G3663" s="2" t="str">
        <x:v>Medium (100-299 beds)</x:v>
      </x:c>
      <x:c r="H3663" s="7" t="n">
        <x:v>1</x:v>
      </x:c>
      <x:c r="I3663" s="7" t="n">
        <x:v>2</x:v>
      </x:c>
      <x:c r="J3663" s="7" t="n">
        <x:v>1.01</x:v>
      </x:c>
      <x:c r="K3663" s="8" t="n">
        <x:v>125</x:v>
      </x:c>
      <x:c r="L3663" s="8" t="n">
        <x:v>5344</x:v>
      </x:c>
      <x:c r="M3663" s="9" t="n">
        <x:v>0.7503649635</x:v>
      </x:c>
      <x:c r="N3663" s="10" t="n">
        <x:v>25941.2726422156</x:v>
      </x:c>
      <x:c r="O3663" s="9" t="n">
        <x:v>-0.1919489159</x:v>
      </x:c>
      <x:c r="P3663" s="9" t="n">
        <x:v>0.2583537082</x:v>
      </x:c>
      <x:c r="Q3663" s="9" t="n">
        <x:v>0</x:v>
      </x:c>
      <x:c r="R3663" s="3" t="b">
        <x:v>0</x:v>
      </x:c>
      <x:c r="S3663" s="3" t="b">
        <x:v>1</x:v>
      </x:c>
      <x:c r="T3663" s="3" t="b">
        <x:v>0</x:v>
      </x:c>
      <x:c r="U3663" s="2" t="str">
        <x:f>IF(T3663=TRUE,"Priority review",IF(R3663=TRUE,"High cost",IF(S3663=TRUE,"Low quality","Benchmark")))</x:f>
        <x:v>Low quality</x:v>
      </x:c>
    </x:row>
    <x:row r="3664">
      <x:c r="A3664" s="2" t="str">
        <x:v>241340</x:v>
      </x:c>
      <x:c r="B3664" s="2" t="str">
        <x:v>ESSENTIA HEALTH NORTHERN PINES MEDICAL CENTER</x:v>
      </x:c>
      <x:c r="C3664" s="2" t="str">
        <x:v>AURORA</x:v>
      </x:c>
      <x:c r="D3664" s="2" t="str">
        <x:v>MN</x:v>
      </x:c>
      <x:c r="E3664" s="2" t="str">
        <x:v>Critical Access Hospitals</x:v>
      </x:c>
      <x:c r="F3664" s="2" t="str">
        <x:v>Voluntary non-profit</x:v>
      </x:c>
      <x:c r="G3664" s="2" t="str">
        <x:v>Small (&lt;100 beds)</x:v>
      </x:c>
      <x:c r="H3664" s="7"/>
      <x:c r="I3664" s="7"/>
      <x:c r="J3664" s="7"/>
      <x:c r="K3664" s="8" t="n">
        <x:v>16</x:v>
      </x:c>
      <x:c r="L3664" s="8" t="n">
        <x:v>257</x:v>
      </x:c>
      <x:c r="M3664" s="9" t="n">
        <x:v>0.3962328767</x:v>
      </x:c>
      <x:c r="N3664" s="10" t="n">
        <x:v>89275.1712062257</x:v>
      </x:c>
      <x:c r="O3664" s="9" t="n">
        <x:v>0.0721322108</x:v>
      </x:c>
      <x:c r="P3664" s="9" t="n">
        <x:v>0.2579925651</x:v>
      </x:c>
      <x:c r="Q3664" s="9" t="n">
        <x:v>0.292936803</x:v>
      </x:c>
      <x:c r="R3664" s="3" t="b">
        <x:v>0</x:v>
      </x:c>
      <x:c r="S3664" s="3" t="b">
        <x:v>0</x:v>
      </x:c>
      <x:c r="T3664" s="3" t="b">
        <x:v>0</x:v>
      </x:c>
      <x:c r="U3664" s="2" t="str">
        <x:f>IF(T3664=TRUE,"Priority review",IF(R3664=TRUE,"High cost",IF(S3664=TRUE,"Low quality","Benchmark")))</x:f>
        <x:v>Benchmark</x:v>
      </x:c>
    </x:row>
    <x:row r="3665">
      <x:c r="A3665" s="2" t="str">
        <x:v>140034</x:v>
      </x:c>
      <x:c r="B3665" s="2" t="str">
        <x:v>SSM HEALTH ST MARY'S HOSPITAL -CENTRALIA</x:v>
      </x:c>
      <x:c r="C3665" s="2" t="str">
        <x:v>CENTRALIA</x:v>
      </x:c>
      <x:c r="D3665" s="2" t="str">
        <x:v>IL</x:v>
      </x:c>
      <x:c r="E3665" s="2" t="str">
        <x:v>Acute Care Hospitals</x:v>
      </x:c>
      <x:c r="F3665" s="2" t="str">
        <x:v>Voluntary non-profit</x:v>
      </x:c>
      <x:c r="G3665" s="2" t="str">
        <x:v>Small (&lt;100 beds)</x:v>
      </x:c>
      <x:c r="H3665" s="7" t="n">
        <x:v>3</x:v>
      </x:c>
      <x:c r="I3665" s="7" t="n">
        <x:v>3</x:v>
      </x:c>
      <x:c r="J3665" s="7" t="n">
        <x:v>0.92</x:v>
      </x:c>
      <x:c r="K3665" s="8" t="n">
        <x:v>92</x:v>
      </x:c>
      <x:c r="L3665" s="8" t="n">
        <x:v>2613</x:v>
      </x:c>
      <x:c r="M3665" s="9" t="n">
        <x:v>0.2473865526</x:v>
      </x:c>
      <x:c r="N3665" s="10" t="n">
        <x:v>37029.6371986223</x:v>
      </x:c>
      <x:c r="O3665" s="9" t="n">
        <x:v>0.2782331238</x:v>
      </x:c>
      <x:c r="P3665" s="9" t="n">
        <x:v>0.2576301616</x:v>
      </x:c>
      <x:c r="Q3665" s="9" t="n">
        <x:v>0.1687612208</x:v>
      </x:c>
      <x:c r="R3665" s="3" t="b">
        <x:v>0</x:v>
      </x:c>
      <x:c r="S3665" s="3" t="b">
        <x:v>0</x:v>
      </x:c>
      <x:c r="T3665" s="3" t="b">
        <x:v>0</x:v>
      </x:c>
      <x:c r="U3665" s="2" t="str">
        <x:f>IF(T3665=TRUE,"Priority review",IF(R3665=TRUE,"High cost",IF(S3665=TRUE,"Low quality","Benchmark")))</x:f>
        <x:v>Benchmark</x:v>
      </x:c>
    </x:row>
    <x:row r="3666">
      <x:c r="A3666" s="2" t="str">
        <x:v>360012</x:v>
      </x:c>
      <x:c r="B3666" s="2" t="str">
        <x:v>MOUNT CARMEL ST ANN'S</x:v>
      </x:c>
      <x:c r="C3666" s="2" t="str">
        <x:v>WESTERVILLE</x:v>
      </x:c>
      <x:c r="D3666" s="2" t="str">
        <x:v>OH</x:v>
      </x:c>
      <x:c r="E3666" s="2" t="str">
        <x:v>Acute Care Hospitals</x:v>
      </x:c>
      <x:c r="F3666" s="2" t="str">
        <x:v>Voluntary non-profit</x:v>
      </x:c>
      <x:c r="G3666" s="2" t="str">
        <x:v>Medium (100-299 beds)</x:v>
      </x:c>
      <x:c r="H3666" s="7" t="n">
        <x:v>3</x:v>
      </x:c>
      <x:c r="I3666" s="7" t="n">
        <x:v>3</x:v>
      </x:c>
      <x:c r="J3666" s="7" t="n">
        <x:v>1.01</x:v>
      </x:c>
      <x:c r="K3666" s="8" t="n">
        <x:v>263</x:v>
      </x:c>
      <x:c r="L3666" s="8" t="n">
        <x:v>14773</x:v>
      </x:c>
      <x:c r="M3666" s="9" t="n">
        <x:v>0.606868251</x:v>
      </x:c>
      <x:c r="N3666" s="10" t="n">
        <x:v>25901.247343126</x:v>
      </x:c>
      <x:c r="O3666" s="9" t="n">
        <x:v>0.0062547323</x:v>
      </x:c>
      <x:c r="P3666" s="9" t="n">
        <x:v>0.2575387123</x:v>
      </x:c>
      <x:c r="Q3666" s="9" t="n">
        <x:v>0.3023634882</x:v>
      </x:c>
      <x:c r="R3666" s="3" t="b">
        <x:v>0</x:v>
      </x:c>
      <x:c r="S3666" s="3" t="b">
        <x:v>0</x:v>
      </x:c>
      <x:c r="T3666" s="3" t="b">
        <x:v>0</x:v>
      </x:c>
      <x:c r="U3666" s="2" t="str">
        <x:f>IF(T3666=TRUE,"Priority review",IF(R3666=TRUE,"High cost",IF(S3666=TRUE,"Low quality","Benchmark")))</x:f>
        <x:v>Benchmark</x:v>
      </x:c>
    </x:row>
    <x:row r="3667">
      <x:c r="A3667" s="2" t="str">
        <x:v>261335</x:v>
      </x:c>
      <x:c r="B3667" s="2" t="str">
        <x:v>MERCY ST FRANCIS HOSPITAL</x:v>
      </x:c>
      <x:c r="C3667" s="2" t="str">
        <x:v>MOUNTAIN VIEW</x:v>
      </x:c>
      <x:c r="D3667" s="2" t="str">
        <x:v>MO</x:v>
      </x:c>
      <x:c r="E3667" s="2" t="str">
        <x:v>Critical Access Hospitals</x:v>
      </x:c>
      <x:c r="F3667" s="2" t="str">
        <x:v>Voluntary non-profit</x:v>
      </x:c>
      <x:c r="G3667" s="2" t="str">
        <x:v>Small (&lt;100 beds)</x:v>
      </x:c>
      <x:c r="H3667" s="7"/>
      <x:c r="I3667" s="7"/>
      <x:c r="J3667" s="7"/>
      <x:c r="K3667" s="8" t="n">
        <x:v>25</x:v>
      </x:c>
      <x:c r="L3667" s="8" t="n">
        <x:v>223</x:v>
      </x:c>
      <x:c r="M3667" s="9" t="n">
        <x:v>0.0836164384</x:v>
      </x:c>
      <x:c r="N3667" s="10" t="n">
        <x:v>89100.798206278</x:v>
      </x:c>
      <x:c r="O3667" s="9" t="n">
        <x:v>0.2224428685</x:v>
      </x:c>
      <x:c r="P3667" s="9" t="n">
        <x:v>0.2572490706</x:v>
      </x:c>
      <x:c r="Q3667" s="9" t="n">
        <x:v>0.292936803</x:v>
      </x:c>
      <x:c r="R3667" s="3" t="b">
        <x:v>0</x:v>
      </x:c>
      <x:c r="S3667" s="3" t="b">
        <x:v>0</x:v>
      </x:c>
      <x:c r="T3667" s="3" t="b">
        <x:v>0</x:v>
      </x:c>
      <x:c r="U3667" s="2" t="str">
        <x:f>IF(T3667=TRUE,"Priority review",IF(R3667=TRUE,"High cost",IF(S3667=TRUE,"Low quality","Benchmark")))</x:f>
        <x:v>Benchmark</x:v>
      </x:c>
    </x:row>
    <x:row r="3668">
      <x:c r="A3668" s="2" t="str">
        <x:v>490120</x:v>
      </x:c>
      <x:c r="B3668" s="2" t="str">
        <x:v>CHESAPEAKE GENERAL HOSPITAL</x:v>
      </x:c>
      <x:c r="C3668" s="2" t="str">
        <x:v>CHESAPEAKE</x:v>
      </x:c>
      <x:c r="D3668" s="2" t="str">
        <x:v>VA</x:v>
      </x:c>
      <x:c r="E3668" s="2" t="str">
        <x:v>Acute Care Hospitals</x:v>
      </x:c>
      <x:c r="F3668" s="2" t="str">
        <x:v>Government</x:v>
      </x:c>
      <x:c r="G3668" s="2" t="str">
        <x:v>Large (300+ beds)</x:v>
      </x:c>
      <x:c r="H3668" s="7" t="n">
        <x:v>3</x:v>
      </x:c>
      <x:c r="I3668" s="7" t="n">
        <x:v>3</x:v>
      </x:c>
      <x:c r="J3668" s="7" t="n">
        <x:v>0.94</x:v>
      </x:c>
      <x:c r="K3668" s="8" t="n">
        <x:v>310</x:v>
      </x:c>
      <x:c r="L3668" s="8" t="n">
        <x:v>15715</x:v>
      </x:c>
      <x:c r="M3668" s="9" t="n">
        <x:v>0.7707998232</x:v>
      </x:c>
      <x:c r="N3668" s="10" t="n">
        <x:v>28649.3879732739</x:v>
      </x:c>
      <x:c r="O3668" s="9" t="n">
        <x:v>-0.0183055538</x:v>
      </x:c>
      <x:c r="P3668" s="9" t="n">
        <x:v>0.2570977918</x:v>
      </x:c>
      <x:c r="Q3668" s="9" t="n">
        <x:v>0.2570977918</x:v>
      </x:c>
      <x:c r="R3668" s="3" t="b">
        <x:v>0</x:v>
      </x:c>
      <x:c r="S3668" s="3" t="b">
        <x:v>0</x:v>
      </x:c>
      <x:c r="T3668" s="3" t="b">
        <x:v>0</x:v>
      </x:c>
      <x:c r="U3668" s="2" t="str">
        <x:f>IF(T3668=TRUE,"Priority review",IF(R3668=TRUE,"High cost",IF(S3668=TRUE,"Low quality","Benchmark")))</x:f>
        <x:v>Benchmark</x:v>
      </x:c>
    </x:row>
    <x:row r="3669">
      <x:c r="A3669" s="2" t="str">
        <x:v>670128</x:v>
      </x:c>
      <x:c r="B3669" s="2" t="str">
        <x:v>BAYLOR SCOTT &amp; WHITE MEDICAL CENTER PFLUGERVILLE</x:v>
      </x:c>
      <x:c r="C3669" s="2" t="str">
        <x:v>PFLUGERVILLE</x:v>
      </x:c>
      <x:c r="D3669" s="2" t="str">
        <x:v>TX</x:v>
      </x:c>
      <x:c r="E3669" s="2" t="str">
        <x:v>Acute Care Hospitals</x:v>
      </x:c>
      <x:c r="F3669" s="2" t="str">
        <x:v>Voluntary non-profit</x:v>
      </x:c>
      <x:c r="G3669" s="2" t="str">
        <x:v>Small (&lt;100 beds)</x:v>
      </x:c>
      <x:c r="H3669" s="7" t="n">
        <x:v>4</x:v>
      </x:c>
      <x:c r="I3669" s="7" t="n">
        <x:v>4</x:v>
      </x:c>
      <x:c r="J3669" s="7" t="n">
        <x:v>1.05</x:v>
      </x:c>
      <x:c r="K3669" s="8" t="n">
        <x:v>25</x:v>
      </x:c>
      <x:c r="L3669" s="8" t="n">
        <x:v>1329</x:v>
      </x:c>
      <x:c r="M3669" s="9" t="n">
        <x:v>0.4821857923</x:v>
      </x:c>
      <x:c r="N3669" s="10" t="n">
        <x:v>37021.8916478555</x:v>
      </x:c>
      <x:c r="O3669" s="9" t="n">
        <x:v>0.1210327169</x:v>
      </x:c>
      <x:c r="P3669" s="9" t="n">
        <x:v>0.2567324955</x:v>
      </x:c>
      <x:c r="Q3669" s="9" t="n">
        <x:v>0.3913824057</x:v>
      </x:c>
      <x:c r="R3669" s="3" t="b">
        <x:v>0</x:v>
      </x:c>
      <x:c r="S3669" s="3" t="b">
        <x:v>0</x:v>
      </x:c>
      <x:c r="T3669" s="3" t="b">
        <x:v>0</x:v>
      </x:c>
      <x:c r="U3669" s="2" t="str">
        <x:f>IF(T3669=TRUE,"Priority review",IF(R3669=TRUE,"High cost",IF(S3669=TRUE,"Low quality","Benchmark")))</x:f>
        <x:v>Benchmark</x:v>
      </x:c>
    </x:row>
    <x:row r="3670">
      <x:c r="A3670" s="2" t="str">
        <x:v>670041</x:v>
      </x:c>
      <x:c r="B3670" s="2" t="str">
        <x:v>ASCENSION SETON WILLIAMSON</x:v>
      </x:c>
      <x:c r="C3670" s="2" t="str">
        <x:v>ROUND ROCK</x:v>
      </x:c>
      <x:c r="D3670" s="2" t="str">
        <x:v>TX</x:v>
      </x:c>
      <x:c r="E3670" s="2" t="str">
        <x:v>Acute Care Hospitals</x:v>
      </x:c>
      <x:c r="F3670" s="2" t="str">
        <x:v>Voluntary non-profit</x:v>
      </x:c>
      <x:c r="G3670" s="2" t="str">
        <x:v>Medium (100-299 beds)</x:v>
      </x:c>
      <x:c r="H3670" s="7" t="n">
        <x:v>4</x:v>
      </x:c>
      <x:c r="I3670" s="7" t="n">
        <x:v>2</x:v>
      </x:c>
      <x:c r="J3670" s="7" t="n">
        <x:v>1.15</x:v>
      </x:c>
      <x:c r="K3670" s="8" t="n">
        <x:v>181</x:v>
      </x:c>
      <x:c r="L3670" s="8" t="n">
        <x:v>9788</x:v>
      </x:c>
      <x:c r="M3670" s="9" t="n">
        <x:v>0.7971391811</x:v>
      </x:c>
      <x:c r="N3670" s="10" t="n">
        <x:v>25856.7356967716</x:v>
      </x:c>
      <x:c r="O3670" s="9" t="n">
        <x:v>0.0982814006</x:v>
      </x:c>
      <x:c r="P3670" s="9" t="n">
        <x:v>0.2567237164</x:v>
      </x:c>
      <x:c r="Q3670" s="9" t="n">
        <x:v>0.6022819886</x:v>
      </x:c>
      <x:c r="R3670" s="3" t="b">
        <x:v>0</x:v>
      </x:c>
      <x:c r="S3670" s="3" t="b">
        <x:v>0</x:v>
      </x:c>
      <x:c r="T3670" s="3" t="b">
        <x:v>0</x:v>
      </x:c>
      <x:c r="U3670" s="2" t="str">
        <x:f>IF(T3670=TRUE,"Priority review",IF(R3670=TRUE,"High cost",IF(S3670=TRUE,"Low quality","Benchmark")))</x:f>
        <x:v>Benchmark</x:v>
      </x:c>
    </x:row>
    <x:row r="3671">
      <x:c r="A3671" s="2" t="str">
        <x:v>431337</x:v>
      </x:c>
      <x:c r="B3671" s="2" t="str">
        <x:v>AVERA HAND COUNTY MEMORIAL HOSPITAL AND CLINIC</x:v>
      </x:c>
      <x:c r="C3671" s="2" t="str">
        <x:v>MILLER</x:v>
      </x:c>
      <x:c r="D3671" s="2" t="str">
        <x:v>SD</x:v>
      </x:c>
      <x:c r="E3671" s="2" t="str">
        <x:v>Critical Access Hospitals</x:v>
      </x:c>
      <x:c r="F3671" s="2" t="str">
        <x:v>Voluntary non-profit</x:v>
      </x:c>
      <x:c r="G3671" s="2" t="str">
        <x:v>Small (&lt;100 beds)</x:v>
      </x:c>
      <x:c r="H3671" s="7"/>
      <x:c r="I3671" s="7"/>
      <x:c r="J3671" s="7"/>
      <x:c r="K3671" s="8" t="n">
        <x:v>25</x:v>
      </x:c>
      <x:c r="L3671" s="8" t="n">
        <x:v>130</x:v>
      </x:c>
      <x:c r="M3671" s="9" t="n">
        <x:v>0.0796712329</x:v>
      </x:c>
      <x:c r="N3671" s="10" t="n">
        <x:v>89084.0615384615</x:v>
      </x:c>
      <x:c r="O3671" s="9" t="n">
        <x:v>0.0512701516</x:v>
      </x:c>
      <x:c r="P3671" s="9" t="n">
        <x:v>0.2565055762</x:v>
      </x:c>
      <x:c r="Q3671" s="9" t="n">
        <x:v>0.292936803</x:v>
      </x:c>
      <x:c r="R3671" s="3" t="b">
        <x:v>0</x:v>
      </x:c>
      <x:c r="S3671" s="3" t="b">
        <x:v>0</x:v>
      </x:c>
      <x:c r="T3671" s="3" t="b">
        <x:v>0</x:v>
      </x:c>
      <x:c r="U3671" s="2" t="str">
        <x:f>IF(T3671=TRUE,"Priority review",IF(R3671=TRUE,"High cost",IF(S3671=TRUE,"Low quality","Benchmark")))</x:f>
        <x:v>Benchmark</x:v>
      </x:c>
    </x:row>
    <x:row r="3672">
      <x:c r="A3672" s="2" t="str">
        <x:v>450742</x:v>
      </x:c>
      <x:c r="B3672" s="2" t="str">
        <x:v>BAYLOR SCOTT AND WHITE MEDICAL CENTER LAKE POINTE</x:v>
      </x:c>
      <x:c r="C3672" s="2" t="str">
        <x:v>ROWLETT</x:v>
      </x:c>
      <x:c r="D3672" s="2" t="str">
        <x:v>TX</x:v>
      </x:c>
      <x:c r="E3672" s="2" t="str">
        <x:v>Acute Care Hospitals</x:v>
      </x:c>
      <x:c r="F3672" s="2" t="str">
        <x:v>Voluntary non-profit</x:v>
      </x:c>
      <x:c r="G3672" s="2" t="str">
        <x:v>Medium (100-299 beds)</x:v>
      </x:c>
      <x:c r="H3672" s="7" t="n">
        <x:v>4</x:v>
      </x:c>
      <x:c r="I3672" s="7" t="n">
        <x:v>3</x:v>
      </x:c>
      <x:c r="J3672" s="7" t="n">
        <x:v>1.02</x:v>
      </x:c>
      <x:c r="K3672" s="8" t="n">
        <x:v>164</x:v>
      </x:c>
      <x:c r="L3672" s="8" t="n">
        <x:v>9409</x:v>
      </x:c>
      <x:c r="M3672" s="9" t="n">
        <x:v>0.7395589709</x:v>
      </x:c>
      <x:c r="N3672" s="10" t="n">
        <x:v>25835.7828674673</x:v>
      </x:c>
      <x:c r="O3672" s="9" t="n">
        <x:v>0.1848876851</x:v>
      </x:c>
      <x:c r="P3672" s="9" t="n">
        <x:v>0.2559087205</x:v>
      </x:c>
      <x:c r="Q3672" s="9" t="n">
        <x:v>0.6022819886</x:v>
      </x:c>
      <x:c r="R3672" s="3" t="b">
        <x:v>0</x:v>
      </x:c>
      <x:c r="S3672" s="3" t="b">
        <x:v>0</x:v>
      </x:c>
      <x:c r="T3672" s="3" t="b">
        <x:v>0</x:v>
      </x:c>
      <x:c r="U3672" s="2" t="str">
        <x:f>IF(T3672=TRUE,"Priority review",IF(R3672=TRUE,"High cost",IF(S3672=TRUE,"Low quality","Benchmark")))</x:f>
        <x:v>Benchmark</x:v>
      </x:c>
    </x:row>
    <x:row r="3673">
      <x:c r="A3673" s="2" t="str">
        <x:v>420038</x:v>
      </x:c>
      <x:c r="B3673" s="2" t="str">
        <x:v>PRISMA HEALTH LAURENS COUNTY HOSPITAL</x:v>
      </x:c>
      <x:c r="C3673" s="2" t="str">
        <x:v>CLINTON</x:v>
      </x:c>
      <x:c r="D3673" s="2" t="str">
        <x:v>SC</x:v>
      </x:c>
      <x:c r="E3673" s="2" t="str">
        <x:v>Acute Care Hospitals</x:v>
      </x:c>
      <x:c r="F3673" s="2" t="str">
        <x:v>Voluntary non-profit</x:v>
      </x:c>
      <x:c r="G3673" s="2" t="str">
        <x:v>Small (&lt;100 beds)</x:v>
      </x:c>
      <x:c r="H3673" s="7" t="n">
        <x:v>4</x:v>
      </x:c>
      <x:c r="I3673" s="7" t="n">
        <x:v>3</x:v>
      </x:c>
      <x:c r="J3673" s="7" t="n">
        <x:v>0.93</x:v>
      </x:c>
      <x:c r="K3673" s="8" t="n">
        <x:v>49</x:v>
      </x:c>
      <x:c r="L3673" s="8" t="n">
        <x:v>2654</x:v>
      </x:c>
      <x:c r="M3673" s="9" t="n">
        <x:v>0.5268205643</x:v>
      </x:c>
      <x:c r="N3673" s="10" t="n">
        <x:v>36933.1141672946</x:v>
      </x:c>
      <x:c r="O3673" s="9" t="n">
        <x:v>0.167526073</x:v>
      </x:c>
      <x:c r="P3673" s="9" t="n">
        <x:v>0.2558348294</x:v>
      </x:c>
      <x:c r="Q3673" s="9" t="n">
        <x:v>0.3913824057</x:v>
      </x:c>
      <x:c r="R3673" s="3" t="b">
        <x:v>0</x:v>
      </x:c>
      <x:c r="S3673" s="3" t="b">
        <x:v>0</x:v>
      </x:c>
      <x:c r="T3673" s="3" t="b">
        <x:v>0</x:v>
      </x:c>
      <x:c r="U3673" s="2" t="str">
        <x:f>IF(T3673=TRUE,"Priority review",IF(R3673=TRUE,"High cost",IF(S3673=TRUE,"Low quality","Benchmark")))</x:f>
        <x:v>Benchmark</x:v>
      </x:c>
    </x:row>
    <x:row r="3674">
      <x:c r="A3674" s="2" t="str">
        <x:v>161381</x:v>
      </x:c>
      <x:c r="B3674" s="2" t="str">
        <x:v>SANFORD SHELDON MEDICAL CENTER</x:v>
      </x:c>
      <x:c r="C3674" s="2" t="str">
        <x:v>SHELDON</x:v>
      </x:c>
      <x:c r="D3674" s="2" t="str">
        <x:v>IA</x:v>
      </x:c>
      <x:c r="E3674" s="2" t="str">
        <x:v>Critical Access Hospitals</x:v>
      </x:c>
      <x:c r="F3674" s="2" t="str">
        <x:v>Voluntary non-profit</x:v>
      </x:c>
      <x:c r="G3674" s="2" t="str">
        <x:v>Small (&lt;100 beds)</x:v>
      </x:c>
      <x:c r="H3674" s="7"/>
      <x:c r="I3674" s="7"/>
      <x:c r="J3674" s="7"/>
      <x:c r="K3674" s="8" t="n">
        <x:v>25</x:v>
      </x:c>
      <x:c r="L3674" s="8" t="n">
        <x:v>414</x:v>
      </x:c>
      <x:c r="M3674" s="9" t="n">
        <x:v>0.3324590164</x:v>
      </x:c>
      <x:c r="N3674" s="10" t="n">
        <x:v>88980.4033816425</x:v>
      </x:c>
      <x:c r="O3674" s="9" t="n">
        <x:v>0.1507920252</x:v>
      </x:c>
      <x:c r="P3674" s="9" t="n">
        <x:v>0.2557620818</x:v>
      </x:c>
      <x:c r="Q3674" s="9" t="n">
        <x:v>0.292936803</x:v>
      </x:c>
      <x:c r="R3674" s="3" t="b">
        <x:v>0</x:v>
      </x:c>
      <x:c r="S3674" s="3" t="b">
        <x:v>0</x:v>
      </x:c>
      <x:c r="T3674" s="3" t="b">
        <x:v>0</x:v>
      </x:c>
      <x:c r="U3674" s="2" t="str">
        <x:f>IF(T3674=TRUE,"Priority review",IF(R3674=TRUE,"High cost",IF(S3674=TRUE,"Low quality","Benchmark")))</x:f>
        <x:v>Benchmark</x:v>
      </x:c>
    </x:row>
    <x:row r="3675">
      <x:c r="A3675" s="2" t="str">
        <x:v>454128</x:v>
      </x:c>
      <x:c r="B3675" s="2" t="str">
        <x:v>WELLBRIDGE HEALTHCARE FORT WORTH</x:v>
      </x:c>
      <x:c r="C3675" s="2" t="str">
        <x:v>FORT WORTH</x:v>
      </x:c>
      <x:c r="D3675" s="2" t="str">
        <x:v>TX</x:v>
      </x:c>
      <x:c r="E3675" s="2" t="str">
        <x:v>Psychiatric</x:v>
      </x:c>
      <x:c r="F3675" s="2" t="str">
        <x:v>Proprietary</x:v>
      </x:c>
      <x:c r="G3675" s="2" t="str">
        <x:v>Small (&lt;100 beds)</x:v>
      </x:c>
      <x:c r="H3675" s="7"/>
      <x:c r="I3675" s="7"/>
      <x:c r="J3675" s="7"/>
      <x:c r="K3675" s="8" t="n">
        <x:v>48</x:v>
      </x:c>
      <x:c r="L3675" s="8" t="n">
        <x:v>1492</x:v>
      </x:c>
      <x:c r="M3675" s="9" t="n">
        <x:v>0.812043379</x:v>
      </x:c>
      <x:c r="N3675" s="10" t="n">
        <x:v>8310.9644772118</x:v>
      </x:c>
      <x:c r="O3675" s="9" t="n">
        <x:v>-0.1330360505</x:v>
      </x:c>
      <x:c r="P3675" s="9" t="n">
        <x:v>0.2556634304</x:v>
      </x:c>
      <x:c r="Q3675" s="9" t="n">
        <x:v>0</x:v>
      </x:c>
      <x:c r="R3675" s="3" t="b">
        <x:v>0</x:v>
      </x:c>
      <x:c r="S3675" s="3" t="b">
        <x:v>0</x:v>
      </x:c>
      <x:c r="T3675" s="3" t="b">
        <x:v>0</x:v>
      </x:c>
      <x:c r="U3675" s="2" t="str">
        <x:f>IF(T3675=TRUE,"Priority review",IF(R3675=TRUE,"High cost",IF(S3675=TRUE,"Low quality","Benchmark")))</x:f>
        <x:v>Benchmark</x:v>
      </x:c>
    </x:row>
    <x:row r="3676">
      <x:c r="A3676" s="2" t="str">
        <x:v>100012</x:v>
      </x:c>
      <x:c r="B3676" s="2" t="str">
        <x:v>LEE MEMORIAL HOSPITAL</x:v>
      </x:c>
      <x:c r="C3676" s="2" t="str">
        <x:v>FORT MYERS</x:v>
      </x:c>
      <x:c r="D3676" s="2" t="str">
        <x:v>FL</x:v>
      </x:c>
      <x:c r="E3676" s="2" t="str">
        <x:v>Acute Care Hospitals</x:v>
      </x:c>
      <x:c r="F3676" s="2" t="str">
        <x:v>Government</x:v>
      </x:c>
      <x:c r="G3676" s="2" t="str">
        <x:v>Large (300+ beds)</x:v>
      </x:c>
      <x:c r="H3676" s="7" t="n">
        <x:v>5</x:v>
      </x:c>
      <x:c r="I3676" s="7" t="n">
        <x:v>3</x:v>
      </x:c>
      <x:c r="J3676" s="7" t="n">
        <x:v>0.95</x:v>
      </x:c>
      <x:c r="K3676" s="8" t="n">
        <x:v>746</x:v>
      </x:c>
      <x:c r="L3676" s="8" t="n">
        <x:v>51406</x:v>
      </x:c>
      <x:c r="M3676" s="9" t="n">
        <x:v>0.673202504</x:v>
      </x:c>
      <x:c r="N3676" s="10" t="n">
        <x:v>28605.7343306229</x:v>
      </x:c>
      <x:c r="O3676" s="9" t="n">
        <x:v>0.0681343383</x:v>
      </x:c>
      <x:c r="P3676" s="9" t="n">
        <x:v>0.2555205047</x:v>
      </x:c>
      <x:c r="Q3676" s="9" t="n">
        <x:v>0.8722397476</x:v>
      </x:c>
      <x:c r="R3676" s="3" t="b">
        <x:v>0</x:v>
      </x:c>
      <x:c r="S3676" s="3" t="b">
        <x:v>0</x:v>
      </x:c>
      <x:c r="T3676" s="3" t="b">
        <x:v>0</x:v>
      </x:c>
      <x:c r="U3676" s="2" t="str">
        <x:f>IF(T3676=TRUE,"Priority review",IF(R3676=TRUE,"High cost",IF(S3676=TRUE,"Low quality","Benchmark")))</x:f>
        <x:v>Benchmark</x:v>
      </x:c>
    </x:row>
    <x:row r="3677">
      <x:c r="A3677" s="2" t="str">
        <x:v>310084</x:v>
      </x:c>
      <x:c r="B3677" s="2" t="str">
        <x:v>MONMOUTH MEDICAL CENTER-SOUTHERN CAMPUS</x:v>
      </x:c>
      <x:c r="C3677" s="2" t="str">
        <x:v>LAKEWOOD</x:v>
      </x:c>
      <x:c r="D3677" s="2" t="str">
        <x:v>NJ</x:v>
      </x:c>
      <x:c r="E3677" s="2" t="str">
        <x:v>Acute Care Hospitals</x:v>
      </x:c>
      <x:c r="F3677" s="2" t="str">
        <x:v>Voluntary non-profit</x:v>
      </x:c>
      <x:c r="G3677" s="2" t="str">
        <x:v>Medium (100-299 beds)</x:v>
      </x:c>
      <x:c r="H3677" s="7" t="n">
        <x:v>3</x:v>
      </x:c>
      <x:c r="I3677" s="7" t="n">
        <x:v>3</x:v>
      </x:c>
      <x:c r="J3677" s="7" t="n">
        <x:v>1.15</x:v>
      </x:c>
      <x:c r="K3677" s="8" t="n">
        <x:v>201</x:v>
      </x:c>
      <x:c r="L3677" s="8" t="n">
        <x:v>6172</x:v>
      </x:c>
      <x:c r="M3677" s="9" t="n">
        <x:v>0.486692222</x:v>
      </x:c>
      <x:c r="N3677" s="10" t="n">
        <x:v>25812.3674659754</x:v>
      </x:c>
      <x:c r="O3677" s="9" t="n">
        <x:v>0.0044620695</x:v>
      </x:c>
      <x:c r="P3677" s="9" t="n">
        <x:v>0.2550937245</x:v>
      </x:c>
      <x:c r="Q3677" s="9" t="n">
        <x:v>0.3023634882</x:v>
      </x:c>
      <x:c r="R3677" s="3" t="b">
        <x:v>0</x:v>
      </x:c>
      <x:c r="S3677" s="3" t="b">
        <x:v>0</x:v>
      </x:c>
      <x:c r="T3677" s="3" t="b">
        <x:v>0</x:v>
      </x:c>
      <x:c r="U3677" s="2" t="str">
        <x:f>IF(T3677=TRUE,"Priority review",IF(R3677=TRUE,"High cost",IF(S3677=TRUE,"Low quality","Benchmark")))</x:f>
        <x:v>Benchmark</x:v>
      </x:c>
    </x:row>
    <x:row r="3678">
      <x:c r="A3678" s="2" t="str">
        <x:v>361316</x:v>
      </x:c>
      <x:c r="B3678" s="2" t="str">
        <x:v>BUCYRUS COMMUNITY HOSPITAL</x:v>
      </x:c>
      <x:c r="C3678" s="2" t="str">
        <x:v>BUCYRUS</x:v>
      </x:c>
      <x:c r="D3678" s="2" t="str">
        <x:v>OH</x:v>
      </x:c>
      <x:c r="E3678" s="2" t="str">
        <x:v>Critical Access Hospitals</x:v>
      </x:c>
      <x:c r="F3678" s="2" t="str">
        <x:v>Voluntary non-profit</x:v>
      </x:c>
      <x:c r="G3678" s="2" t="str">
        <x:v>Small (&lt;100 beds)</x:v>
      </x:c>
      <x:c r="H3678" s="7"/>
      <x:c r="I3678" s="7"/>
      <x:c r="J3678" s="7"/>
      <x:c r="K3678" s="8" t="n">
        <x:v>25</x:v>
      </x:c>
      <x:c r="L3678" s="8" t="n">
        <x:v>575</x:v>
      </x:c>
      <x:c r="M3678" s="9" t="n">
        <x:v>0.3734794521</x:v>
      </x:c>
      <x:c r="N3678" s="10" t="n">
        <x:v>88868.28</x:v>
      </x:c>
      <x:c r="O3678" s="9" t="n">
        <x:v>0.3507012337</x:v>
      </x:c>
      <x:c r="P3678" s="9" t="n">
        <x:v>0.2550185874</x:v>
      </x:c>
      <x:c r="Q3678" s="9" t="n">
        <x:v>0.292936803</x:v>
      </x:c>
      <x:c r="R3678" s="3" t="b">
        <x:v>0</x:v>
      </x:c>
      <x:c r="S3678" s="3" t="b">
        <x:v>0</x:v>
      </x:c>
      <x:c r="T3678" s="3" t="b">
        <x:v>0</x:v>
      </x:c>
      <x:c r="U3678" s="2" t="str">
        <x:f>IF(T3678=TRUE,"Priority review",IF(R3678=TRUE,"High cost",IF(S3678=TRUE,"Low quality","Benchmark")))</x:f>
        <x:v>Benchmark</x:v>
      </x:c>
    </x:row>
    <x:row r="3679">
      <x:c r="A3679" s="2" t="str">
        <x:v>390138</x:v>
      </x:c>
      <x:c r="B3679" s="2" t="str">
        <x:v>WELLSPAN WAYNESBORO HOSPITAL</x:v>
      </x:c>
      <x:c r="C3679" s="2" t="str">
        <x:v>WAYNESBORO</x:v>
      </x:c>
      <x:c r="D3679" s="2" t="str">
        <x:v>PA</x:v>
      </x:c>
      <x:c r="E3679" s="2" t="str">
        <x:v>Acute Care Hospitals</x:v>
      </x:c>
      <x:c r="F3679" s="2" t="str">
        <x:v>Voluntary non-profit</x:v>
      </x:c>
      <x:c r="G3679" s="2" t="str">
        <x:v>Small (&lt;100 beds)</x:v>
      </x:c>
      <x:c r="H3679" s="7" t="n">
        <x:v>4</x:v>
      </x:c>
      <x:c r="I3679" s="7" t="n">
        <x:v>4</x:v>
      </x:c>
      <x:c r="J3679" s="7" t="n">
        <x:v>0.89</x:v>
      </x:c>
      <x:c r="K3679" s="8" t="n">
        <x:v>57</x:v>
      </x:c>
      <x:c r="L3679" s="8" t="n">
        <x:v>2260</x:v>
      </x:c>
      <x:c r="M3679" s="9" t="n">
        <x:v>0.4115356885</x:v>
      </x:c>
      <x:c r="N3679" s="10" t="n">
        <x:v>36874.0433628319</x:v>
      </x:c>
      <x:c r="O3679" s="9" t="n">
        <x:v>0.2072453458</x:v>
      </x:c>
      <x:c r="P3679" s="9" t="n">
        <x:v>0.2549371634</x:v>
      </x:c>
      <x:c r="Q3679" s="9" t="n">
        <x:v>0.3913824057</x:v>
      </x:c>
      <x:c r="R3679" s="3" t="b">
        <x:v>0</x:v>
      </x:c>
      <x:c r="S3679" s="3" t="b">
        <x:v>0</x:v>
      </x:c>
      <x:c r="T3679" s="3" t="b">
        <x:v>0</x:v>
      </x:c>
      <x:c r="U3679" s="2" t="str">
        <x:f>IF(T3679=TRUE,"Priority review",IF(R3679=TRUE,"High cost",IF(S3679=TRUE,"Low quality","Benchmark")))</x:f>
        <x:v>Benchmark</x:v>
      </x:c>
    </x:row>
    <x:row r="3680">
      <x:c r="A3680" s="2" t="str">
        <x:v>050746</x:v>
      </x:c>
      <x:c r="B3680" s="2" t="str">
        <x:v>ORANGE COUNTY GLOBAL MEDICAL CENTER</x:v>
      </x:c>
      <x:c r="C3680" s="2" t="str">
        <x:v>SANTA ANA</x:v>
      </x:c>
      <x:c r="D3680" s="2" t="str">
        <x:v>CA</x:v>
      </x:c>
      <x:c r="E3680" s="2" t="str">
        <x:v>Acute Care Hospitals</x:v>
      </x:c>
      <x:c r="F3680" s="2" t="str">
        <x:v>Proprietary</x:v>
      </x:c>
      <x:c r="G3680" s="2" t="str">
        <x:v>Medium (100-299 beds)</x:v>
      </x:c>
      <x:c r="H3680" s="7" t="n">
        <x:v>2</x:v>
      </x:c>
      <x:c r="I3680" s="7" t="n">
        <x:v>2</x:v>
      </x:c>
      <x:c r="J3680" s="7" t="n">
        <x:v>1.05</x:v>
      </x:c>
      <x:c r="K3680" s="8" t="n">
        <x:v>254</x:v>
      </x:c>
      <x:c r="L3680" s="8" t="n">
        <x:v>9153</x:v>
      </x:c>
      <x:c r="M3680" s="9" t="n">
        <x:v>0.489017254</x:v>
      </x:c>
      <x:c r="N3680" s="10" t="n">
        <x:v>25779.0071014968</x:v>
      </x:c>
      <x:c r="O3680" s="9" t="n">
        <x:v>0.0029403414</x:v>
      </x:c>
      <x:c r="P3680" s="9" t="n">
        <x:v>0.2542787286</x:v>
      </x:c>
      <x:c r="Q3680" s="9" t="n">
        <x:v>0.0782396088</x:v>
      </x:c>
      <x:c r="R3680" s="3" t="b">
        <x:v>0</x:v>
      </x:c>
      <x:c r="S3680" s="3" t="b">
        <x:v>1</x:v>
      </x:c>
      <x:c r="T3680" s="3" t="b">
        <x:v>0</x:v>
      </x:c>
      <x:c r="U3680" s="2" t="str">
        <x:f>IF(T3680=TRUE,"Priority review",IF(R3680=TRUE,"High cost",IF(S3680=TRUE,"Low quality","Benchmark")))</x:f>
        <x:v>Low quality</x:v>
      </x:c>
    </x:row>
    <x:row r="3681">
      <x:c r="A3681" s="2" t="str">
        <x:v>191310</x:v>
      </x:c>
      <x:c r="B3681" s="2" t="str">
        <x:v>BAYOU BEND HEALTH SYSTEM</x:v>
      </x:c>
      <x:c r="C3681" s="2" t="str">
        <x:v>FRANKLIN</x:v>
      </x:c>
      <x:c r="D3681" s="2" t="str">
        <x:v>LA</x:v>
      </x:c>
      <x:c r="E3681" s="2" t="str">
        <x:v>Critical Access Hospitals</x:v>
      </x:c>
      <x:c r="F3681" s="2" t="str">
        <x:v>Government</x:v>
      </x:c>
      <x:c r="G3681" s="2" t="str">
        <x:v>Small (&lt;100 beds)</x:v>
      </x:c>
      <x:c r="H3681" s="7"/>
      <x:c r="I3681" s="7"/>
      <x:c r="J3681" s="7"/>
      <x:c r="K3681" s="8" t="n">
        <x:v>25</x:v>
      </x:c>
      <x:c r="L3681" s="8" t="n">
        <x:v>444</x:v>
      </x:c>
      <x:c r="M3681" s="9" t="n">
        <x:v>0.343715847</x:v>
      </x:c>
      <x:c r="N3681" s="10" t="n">
        <x:v>88836.7274774775</x:v>
      </x:c>
      <x:c r="O3681" s="9" t="n">
        <x:v>-1.0745518927</x:v>
      </x:c>
      <x:c r="P3681" s="9" t="n">
        <x:v>0.2542750929</x:v>
      </x:c>
      <x:c r="Q3681" s="9" t="n">
        <x:v>0.292936803</x:v>
      </x:c>
      <x:c r="R3681" s="3" t="b">
        <x:v>0</x:v>
      </x:c>
      <x:c r="S3681" s="3" t="b">
        <x:v>0</x:v>
      </x:c>
      <x:c r="T3681" s="3" t="b">
        <x:v>0</x:v>
      </x:c>
      <x:c r="U3681" s="2" t="str">
        <x:f>IF(T3681=TRUE,"Priority review",IF(R3681=TRUE,"High cost",IF(S3681=TRUE,"Low quality","Benchmark")))</x:f>
        <x:v>Benchmark</x:v>
      </x:c>
    </x:row>
    <x:row r="3682">
      <x:c r="A3682" s="2" t="str">
        <x:v>520063</x:v>
      </x:c>
      <x:c r="B3682" s="2" t="str">
        <x:v>ST JOSEPHS COMMUNITY HOSPITAL WEST BEND</x:v>
      </x:c>
      <x:c r="C3682" s="2" t="str">
        <x:v>WEST BEND</x:v>
      </x:c>
      <x:c r="D3682" s="2" t="str">
        <x:v>WI</x:v>
      </x:c>
      <x:c r="E3682" s="2" t="str">
        <x:v>Acute Care Hospitals</x:v>
      </x:c>
      <x:c r="F3682" s="2" t="str">
        <x:v>Voluntary non-profit</x:v>
      </x:c>
      <x:c r="G3682" s="2" t="str">
        <x:v>Small (&lt;100 beds)</x:v>
      </x:c>
      <x:c r="H3682" s="7" t="n">
        <x:v>4</x:v>
      </x:c>
      <x:c r="I3682" s="7" t="n">
        <x:v>4</x:v>
      </x:c>
      <x:c r="J3682" s="7" t="n">
        <x:v>0.92</x:v>
      </x:c>
      <x:c r="K3682" s="8" t="n">
        <x:v>70</x:v>
      </x:c>
      <x:c r="L3682" s="8" t="n">
        <x:v>4473</x:v>
      </x:c>
      <x:c r="M3682" s="9" t="n">
        <x:v>0.6125636008</x:v>
      </x:c>
      <x:c r="N3682" s="10" t="n">
        <x:v>36792.8911245249</x:v>
      </x:c>
      <x:c r="O3682" s="9" t="n">
        <x:v>-0.0992306402</x:v>
      </x:c>
      <x:c r="P3682" s="9" t="n">
        <x:v>0.2540394973</x:v>
      </x:c>
      <x:c r="Q3682" s="9" t="n">
        <x:v>0.3913824057</x:v>
      </x:c>
      <x:c r="R3682" s="3" t="b">
        <x:v>0</x:v>
      </x:c>
      <x:c r="S3682" s="3" t="b">
        <x:v>0</x:v>
      </x:c>
      <x:c r="T3682" s="3" t="b">
        <x:v>0</x:v>
      </x:c>
      <x:c r="U3682" s="2" t="str">
        <x:f>IF(T3682=TRUE,"Priority review",IF(R3682=TRUE,"High cost",IF(S3682=TRUE,"Low quality","Benchmark")))</x:f>
        <x:v>Benchmark</x:v>
      </x:c>
    </x:row>
    <x:row r="3683">
      <x:c r="A3683" s="2" t="str">
        <x:v>250102</x:v>
      </x:c>
      <x:c r="B3683" s="2" t="str">
        <x:v>MISSISSIPPI BAPTIST MEDICAL CENTER</x:v>
      </x:c>
      <x:c r="C3683" s="2" t="str">
        <x:v>JACKSON</x:v>
      </x:c>
      <x:c r="D3683" s="2" t="str">
        <x:v>MS</x:v>
      </x:c>
      <x:c r="E3683" s="2" t="str">
        <x:v>Acute Care Hospitals</x:v>
      </x:c>
      <x:c r="F3683" s="2" t="str">
        <x:v>Voluntary non-profit</x:v>
      </x:c>
      <x:c r="G3683" s="2" t="str">
        <x:v>Large (300+ beds)</x:v>
      </x:c>
      <x:c r="H3683" s="7" t="n">
        <x:v>2</x:v>
      </x:c>
      <x:c r="I3683" s="7" t="n">
        <x:v>3</x:v>
      </x:c>
      <x:c r="J3683" s="7" t="n">
        <x:v>1.03</x:v>
      </x:c>
      <x:c r="K3683" s="8" t="n">
        <x:v>492</x:v>
      </x:c>
      <x:c r="L3683" s="8" t="n">
        <x:v>19887</x:v>
      </x:c>
      <x:c r="M3683" s="9" t="n">
        <x:v>0.8176808098</x:v>
      </x:c>
      <x:c r="N3683" s="10" t="n">
        <x:v>28572.6140694926</x:v>
      </x:c>
      <x:c r="O3683" s="9" t="n">
        <x:v>-0.037612601</x:v>
      </x:c>
      <x:c r="P3683" s="9" t="n">
        <x:v>0.2539432177</x:v>
      </x:c>
      <x:c r="Q3683" s="9" t="n">
        <x:v>0.0536277603</x:v>
      </x:c>
      <x:c r="R3683" s="3" t="b">
        <x:v>0</x:v>
      </x:c>
      <x:c r="S3683" s="3" t="b">
        <x:v>1</x:v>
      </x:c>
      <x:c r="T3683" s="3" t="b">
        <x:v>0</x:v>
      </x:c>
      <x:c r="U3683" s="2" t="str">
        <x:f>IF(T3683=TRUE,"Priority review",IF(R3683=TRUE,"High cost",IF(S3683=TRUE,"Low quality","Benchmark")))</x:f>
        <x:v>Low quality</x:v>
      </x:c>
    </x:row>
    <x:row r="3684">
      <x:c r="A3684" s="2" t="str">
        <x:v>034032</x:v>
      </x:c>
      <x:c r="B3684" s="2" t="str">
        <x:v>COPPER SPRINGS EAST- GILBERT</x:v>
      </x:c>
      <x:c r="C3684" s="2" t="str">
        <x:v>AVONDALE</x:v>
      </x:c>
      <x:c r="D3684" s="2" t="str">
        <x:v>AZ</x:v>
      </x:c>
      <x:c r="E3684" s="2" t="str">
        <x:v>Psychiatric</x:v>
      </x:c>
      <x:c r="F3684" s="2" t="str">
        <x:v>Proprietary</x:v>
      </x:c>
      <x:c r="G3684" s="2" t="str">
        <x:v>Medium (100-299 beds)</x:v>
      </x:c>
      <x:c r="H3684" s="7"/>
      <x:c r="I3684" s="7"/>
      <x:c r="J3684" s="7"/>
      <x:c r="K3684" s="8" t="n">
        <x:v>168</x:v>
      </x:c>
      <x:c r="L3684" s="8" t="n">
        <x:v>6945</x:v>
      </x:c>
      <x:c r="M3684" s="9" t="n">
        <x:v>0.7961024136</x:v>
      </x:c>
      <x:c r="N3684" s="10" t="n">
        <x:v>7173.6290856731</x:v>
      </x:c>
      <x:c r="O3684" s="9" t="n">
        <x:v>0.07280248</x:v>
      </x:c>
      <x:c r="P3684" s="9" t="n">
        <x:v>0.2537313433</x:v>
      </x:c>
      <x:c r="Q3684" s="9" t="n">
        <x:v>0</x:v>
      </x:c>
      <x:c r="R3684" s="3" t="b">
        <x:v>0</x:v>
      </x:c>
      <x:c r="S3684" s="3" t="b">
        <x:v>0</x:v>
      </x:c>
      <x:c r="T3684" s="3" t="b">
        <x:v>0</x:v>
      </x:c>
      <x:c r="U3684" s="2" t="str">
        <x:f>IF(T3684=TRUE,"Priority review",IF(R3684=TRUE,"High cost",IF(S3684=TRUE,"Low quality","Benchmark")))</x:f>
        <x:v>Benchmark</x:v>
      </x:c>
    </x:row>
    <x:row r="3685">
      <x:c r="A3685" s="2" t="str">
        <x:v>051311</x:v>
      </x:c>
      <x:c r="B3685" s="2" t="str">
        <x:v>ORCHARD HOSPITAL</x:v>
      </x:c>
      <x:c r="C3685" s="2" t="str">
        <x:v>GRIDLEY</x:v>
      </x:c>
      <x:c r="D3685" s="2" t="str">
        <x:v>CA</x:v>
      </x:c>
      <x:c r="E3685" s="2" t="str">
        <x:v>Critical Access Hospitals</x:v>
      </x:c>
      <x:c r="F3685" s="2" t="str">
        <x:v>Voluntary non-profit</x:v>
      </x:c>
      <x:c r="G3685" s="2" t="str">
        <x:v>Small (&lt;100 beds)</x:v>
      </x:c>
      <x:c r="H3685" s="7"/>
      <x:c r="I3685" s="7"/>
      <x:c r="J3685" s="7"/>
      <x:c r="K3685" s="8" t="n">
        <x:v>24</x:v>
      </x:c>
      <x:c r="L3685" s="8" t="n">
        <x:v>364</x:v>
      </x:c>
      <x:c r="M3685" s="9" t="n">
        <x:v>0.8505707763</x:v>
      </x:c>
      <x:c r="N3685" s="10" t="n">
        <x:v>88812.2664835165</x:v>
      </x:c>
      <x:c r="O3685" s="9" t="n">
        <x:v>-0.063807491</x:v>
      </x:c>
      <x:c r="P3685" s="9" t="n">
        <x:v>0.2535315985</x:v>
      </x:c>
      <x:c r="Q3685" s="9" t="n">
        <x:v>0.292936803</x:v>
      </x:c>
      <x:c r="R3685" s="3" t="b">
        <x:v>0</x:v>
      </x:c>
      <x:c r="S3685" s="3" t="b">
        <x:v>0</x:v>
      </x:c>
      <x:c r="T3685" s="3" t="b">
        <x:v>0</x:v>
      </x:c>
      <x:c r="U3685" s="2" t="str">
        <x:f>IF(T3685=TRUE,"Priority review",IF(R3685=TRUE,"High cost",IF(S3685=TRUE,"Low quality","Benchmark")))</x:f>
        <x:v>Benchmark</x:v>
      </x:c>
    </x:row>
    <x:row r="3686">
      <x:c r="A3686" s="2" t="str">
        <x:v>030016</x:v>
      </x:c>
      <x:c r="B3686" s="2" t="str">
        <x:v>BANNER CASA GRANDE MEDICAL CENTER</x:v>
      </x:c>
      <x:c r="C3686" s="2" t="str">
        <x:v>CASA GRANDE</x:v>
      </x:c>
      <x:c r="D3686" s="2" t="str">
        <x:v>AZ</x:v>
      </x:c>
      <x:c r="E3686" s="2" t="str">
        <x:v>Acute Care Hospitals</x:v>
      </x:c>
      <x:c r="F3686" s="2" t="str">
        <x:v>Voluntary non-profit</x:v>
      </x:c>
      <x:c r="G3686" s="2" t="str">
        <x:v>Medium (100-299 beds)</x:v>
      </x:c>
      <x:c r="H3686" s="7" t="n">
        <x:v>2</x:v>
      </x:c>
      <x:c r="I3686" s="7" t="n">
        <x:v>2</x:v>
      </x:c>
      <x:c r="J3686" s="7" t="n">
        <x:v>0.93</x:v>
      </x:c>
      <x:c r="K3686" s="8" t="n">
        <x:v>141</x:v>
      </x:c>
      <x:c r="L3686" s="8" t="n">
        <x:v>5923</x:v>
      </x:c>
      <x:c r="M3686" s="9" t="n">
        <x:v>0.4847304577</x:v>
      </x:c>
      <x:c r="N3686" s="10" t="n">
        <x:v>25695.3221340537</x:v>
      </x:c>
      <x:c r="O3686" s="9" t="n">
        <x:v>0.0355210581</x:v>
      </x:c>
      <x:c r="P3686" s="9" t="n">
        <x:v>0.2534637327</x:v>
      </x:c>
      <x:c r="Q3686" s="9" t="n">
        <x:v>0.0782396088</x:v>
      </x:c>
      <x:c r="R3686" s="3" t="b">
        <x:v>0</x:v>
      </x:c>
      <x:c r="S3686" s="3" t="b">
        <x:v>1</x:v>
      </x:c>
      <x:c r="T3686" s="3" t="b">
        <x:v>0</x:v>
      </x:c>
      <x:c r="U3686" s="2" t="str">
        <x:f>IF(T3686=TRUE,"Priority review",IF(R3686=TRUE,"High cost",IF(S3686=TRUE,"Low quality","Benchmark")))</x:f>
        <x:v>Low quality</x:v>
      </x:c>
    </x:row>
    <x:row r="3687">
      <x:c r="A3687" s="2" t="str">
        <x:v>050745</x:v>
      </x:c>
      <x:c r="B3687" s="2" t="str">
        <x:v>CHAPMAN GLOBAL MEDICAL CENTER</x:v>
      </x:c>
      <x:c r="C3687" s="2" t="str">
        <x:v>ORANGE</x:v>
      </x:c>
      <x:c r="D3687" s="2" t="str">
        <x:v>CA</x:v>
      </x:c>
      <x:c r="E3687" s="2" t="str">
        <x:v>Acute Care Hospitals</x:v>
      </x:c>
      <x:c r="F3687" s="2" t="str">
        <x:v>Proprietary</x:v>
      </x:c>
      <x:c r="G3687" s="2" t="str">
        <x:v>Small (&lt;100 beds)</x:v>
      </x:c>
      <x:c r="H3687" s="7" t="n">
        <x:v>2</x:v>
      </x:c>
      <x:c r="I3687" s="7"/>
      <x:c r="J3687" s="7" t="n">
        <x:v>1.42</x:v>
      </x:c>
      <x:c r="K3687" s="8" t="n">
        <x:v>75</x:v>
      </x:c>
      <x:c r="L3687" s="8" t="n">
        <x:v>1515</x:v>
      </x:c>
      <x:c r="M3687" s="9" t="n">
        <x:v>0.1774863388</x:v>
      </x:c>
      <x:c r="N3687" s="10" t="n">
        <x:v>36730.2297029703</x:v>
      </x:c>
      <x:c r="O3687" s="9" t="n">
        <x:v>-0.3564394501</x:v>
      </x:c>
      <x:c r="P3687" s="9" t="n">
        <x:v>0.2531418312</x:v>
      </x:c>
      <x:c r="Q3687" s="9" t="n">
        <x:v>0.0350089767</x:v>
      </x:c>
      <x:c r="R3687" s="3" t="b">
        <x:v>0</x:v>
      </x:c>
      <x:c r="S3687" s="3" t="b">
        <x:v>1</x:v>
      </x:c>
      <x:c r="T3687" s="3" t="b">
        <x:v>0</x:v>
      </x:c>
      <x:c r="U3687" s="2" t="str">
        <x:f>IF(T3687=TRUE,"Priority review",IF(R3687=TRUE,"High cost",IF(S3687=TRUE,"Low quality","Benchmark")))</x:f>
        <x:v>Low quality</x:v>
      </x:c>
    </x:row>
    <x:row r="3688">
      <x:c r="A3688" s="2" t="str">
        <x:v>161382</x:v>
      </x:c>
      <x:c r="B3688" s="2" t="str">
        <x:v>ST ANTHONY REGIONAL HOSPITAL &amp; NURSING HOME</x:v>
      </x:c>
      <x:c r="C3688" s="2" t="str">
        <x:v>CARROLL</x:v>
      </x:c>
      <x:c r="D3688" s="2" t="str">
        <x:v>IA</x:v>
      </x:c>
      <x:c r="E3688" s="2" t="str">
        <x:v>Critical Access Hospitals</x:v>
      </x:c>
      <x:c r="F3688" s="2" t="str">
        <x:v>Voluntary non-profit</x:v>
      </x:c>
      <x:c r="G3688" s="2" t="str">
        <x:v>Small (&lt;100 beds)</x:v>
      </x:c>
      <x:c r="H3688" s="7" t="n">
        <x:v>2</x:v>
      </x:c>
      <x:c r="I3688" s="7" t="n">
        <x:v>5</x:v>
      </x:c>
      <x:c r="J3688" s="7"/>
      <x:c r="K3688" s="8" t="n">
        <x:v>25</x:v>
      </x:c>
      <x:c r="L3688" s="8" t="n">
        <x:v>1336</x:v>
      </x:c>
      <x:c r="M3688" s="9" t="n">
        <x:v>0.6092054795</x:v>
      </x:c>
      <x:c r="N3688" s="10" t="n">
        <x:v>88799.1145209581</x:v>
      </x:c>
      <x:c r="O3688" s="9" t="n">
        <x:v>0.0095150928</x:v>
      </x:c>
      <x:c r="P3688" s="9" t="n">
        <x:v>0.2527881041</x:v>
      </x:c>
      <x:c r="Q3688" s="9" t="n">
        <x:v>0.0171003717</x:v>
      </x:c>
      <x:c r="R3688" s="3" t="b">
        <x:v>0</x:v>
      </x:c>
      <x:c r="S3688" s="3" t="b">
        <x:v>1</x:v>
      </x:c>
      <x:c r="T3688" s="3" t="b">
        <x:v>0</x:v>
      </x:c>
      <x:c r="U3688" s="2" t="str">
        <x:f>IF(T3688=TRUE,"Priority review",IF(R3688=TRUE,"High cost",IF(S3688=TRUE,"Low quality","Benchmark")))</x:f>
        <x:v>Low quality</x:v>
      </x:c>
    </x:row>
    <x:row r="3689">
      <x:c r="A3689" s="2" t="str">
        <x:v>360086</x:v>
      </x:c>
      <x:c r="B3689" s="2" t="str">
        <x:v>SPRINGFIELD REGIONAL MEDICAL CENTER</x:v>
      </x:c>
      <x:c r="C3689" s="2" t="str">
        <x:v>SPRINGFIELD</x:v>
      </x:c>
      <x:c r="D3689" s="2" t="str">
        <x:v>OH</x:v>
      </x:c>
      <x:c r="E3689" s="2" t="str">
        <x:v>Acute Care Hospitals</x:v>
      </x:c>
      <x:c r="F3689" s="2" t="str">
        <x:v>Voluntary non-profit</x:v>
      </x:c>
      <x:c r="G3689" s="2" t="str">
        <x:v>Medium (100-299 beds)</x:v>
      </x:c>
      <x:c r="H3689" s="7" t="n">
        <x:v>4</x:v>
      </x:c>
      <x:c r="I3689" s="7" t="n">
        <x:v>2</x:v>
      </x:c>
      <x:c r="J3689" s="7" t="n">
        <x:v>1.04</x:v>
      </x:c>
      <x:c r="K3689" s="8" t="n">
        <x:v>210</x:v>
      </x:c>
      <x:c r="L3689" s="8" t="n">
        <x:v>12985</x:v>
      </x:c>
      <x:c r="M3689" s="9" t="n">
        <x:v>0.750312256</x:v>
      </x:c>
      <x:c r="N3689" s="10" t="n">
        <x:v>25682.7323835194</x:v>
      </x:c>
      <x:c r="O3689" s="9" t="n">
        <x:v>-0.0067417072</x:v>
      </x:c>
      <x:c r="P3689" s="9" t="n">
        <x:v>0.2526487368</x:v>
      </x:c>
      <x:c r="Q3689" s="9" t="n">
        <x:v>0.6022819886</x:v>
      </x:c>
      <x:c r="R3689" s="3" t="b">
        <x:v>0</x:v>
      </x:c>
      <x:c r="S3689" s="3" t="b">
        <x:v>0</x:v>
      </x:c>
      <x:c r="T3689" s="3" t="b">
        <x:v>0</x:v>
      </x:c>
      <x:c r="U3689" s="2" t="str">
        <x:f>IF(T3689=TRUE,"Priority review",IF(R3689=TRUE,"High cost",IF(S3689=TRUE,"Low quality","Benchmark")))</x:f>
        <x:v>Benchmark</x:v>
      </x:c>
    </x:row>
    <x:row r="3690">
      <x:c r="A3690" s="2" t="str">
        <x:v>184007</x:v>
      </x:c>
      <x:c r="B3690" s="2" t="str">
        <x:v>THE BROOK HOSPITAL - DUPONT</x:v>
      </x:c>
      <x:c r="C3690" s="2" t="str">
        <x:v>LOUISVILLE</x:v>
      </x:c>
      <x:c r="D3690" s="2" t="str">
        <x:v>KY</x:v>
      </x:c>
      <x:c r="E3690" s="2" t="str">
        <x:v>Psychiatric</x:v>
      </x:c>
      <x:c r="F3690" s="2" t="str">
        <x:v>Voluntary non-profit</x:v>
      </x:c>
      <x:c r="G3690" s="2" t="str">
        <x:v>Small (&lt;100 beds)</x:v>
      </x:c>
      <x:c r="H3690" s="7"/>
      <x:c r="I3690" s="7"/>
      <x:c r="J3690" s="7"/>
      <x:c r="K3690" s="8" t="n">
        <x:v>88</x:v>
      </x:c>
      <x:c r="L3690" s="8" t="n">
        <x:v>2528</x:v>
      </x:c>
      <x:c r="M3690" s="9" t="n">
        <x:v>0.580290611</x:v>
      </x:c>
      <x:c r="N3690" s="10" t="n">
        <x:v>8274.5834651899</x:v>
      </x:c>
      <x:c r="O3690" s="9" t="n">
        <x:v>0.3864342439</x:v>
      </x:c>
      <x:c r="P3690" s="9" t="n">
        <x:v>0.2524271845</x:v>
      </x:c>
      <x:c r="Q3690" s="9" t="n">
        <x:v>0</x:v>
      </x:c>
      <x:c r="R3690" s="3" t="b">
        <x:v>0</x:v>
      </x:c>
      <x:c r="S3690" s="3" t="b">
        <x:v>0</x:v>
      </x:c>
      <x:c r="T3690" s="3" t="b">
        <x:v>0</x:v>
      </x:c>
      <x:c r="U3690" s="2" t="str">
        <x:f>IF(T3690=TRUE,"Priority review",IF(R3690=TRUE,"High cost",IF(S3690=TRUE,"Low quality","Benchmark")))</x:f>
        <x:v>Benchmark</x:v>
      </x:c>
    </x:row>
    <x:row r="3691">
      <x:c r="A3691" s="2" t="str">
        <x:v>050238</x:v>
      </x:c>
      <x:c r="B3691" s="2" t="str">
        <x:v>USC ARCADIA HOSPITAL</x:v>
      </x:c>
      <x:c r="C3691" s="2" t="str">
        <x:v>ARCADIA</x:v>
      </x:c>
      <x:c r="D3691" s="2" t="str">
        <x:v>CA</x:v>
      </x:c>
      <x:c r="E3691" s="2" t="str">
        <x:v>Acute Care Hospitals</x:v>
      </x:c>
      <x:c r="F3691" s="2" t="str">
        <x:v>Voluntary non-profit</x:v>
      </x:c>
      <x:c r="G3691" s="2" t="str">
        <x:v>Large (300+ beds)</x:v>
      </x:c>
      <x:c r="H3691" s="7" t="n">
        <x:v>3</x:v>
      </x:c>
      <x:c r="I3691" s="7" t="n">
        <x:v>2</x:v>
      </x:c>
      <x:c r="J3691" s="7" t="n">
        <x:v>1.13</x:v>
      </x:c>
      <x:c r="K3691" s="8" t="n">
        <x:v>318</x:v>
      </x:c>
      <x:c r="L3691" s="8" t="n">
        <x:v>14674</x:v>
      </x:c>
      <x:c r="M3691" s="9" t="n">
        <x:v>0.5982769019</x:v>
      </x:c>
      <x:c r="N3691" s="10" t="n">
        <x:v>28515.1161237563</x:v>
      </x:c>
      <x:c r="O3691" s="9" t="n">
        <x:v>-0.2037104958</x:v>
      </x:c>
      <x:c r="P3691" s="9" t="n">
        <x:v>0.2523659306</x:v>
      </x:c>
      <x:c r="Q3691" s="9" t="n">
        <x:v>0.2570977918</x:v>
      </x:c>
      <x:c r="R3691" s="3" t="b">
        <x:v>0</x:v>
      </x:c>
      <x:c r="S3691" s="3" t="b">
        <x:v>0</x:v>
      </x:c>
      <x:c r="T3691" s="3" t="b">
        <x:v>0</x:v>
      </x:c>
      <x:c r="U3691" s="2" t="str">
        <x:f>IF(T3691=TRUE,"Priority review",IF(R3691=TRUE,"High cost",IF(S3691=TRUE,"Low quality","Benchmark")))</x:f>
        <x:v>Benchmark</x:v>
      </x:c>
    </x:row>
    <x:row r="3692">
      <x:c r="A3692" s="2" t="str">
        <x:v>150086</x:v>
      </x:c>
      <x:c r="B3692" s="2" t="str">
        <x:v>ST ELIZABETH DEARBORN HOSPITAL</x:v>
      </x:c>
      <x:c r="C3692" s="2" t="str">
        <x:v>LAWRENCEBURG</x:v>
      </x:c>
      <x:c r="D3692" s="2" t="str">
        <x:v>IN</x:v>
      </x:c>
      <x:c r="E3692" s="2" t="str">
        <x:v>Acute Care Hospitals</x:v>
      </x:c>
      <x:c r="F3692" s="2" t="str">
        <x:v>Government</x:v>
      </x:c>
      <x:c r="G3692" s="2" t="str">
        <x:v>Small (&lt;100 beds)</x:v>
      </x:c>
      <x:c r="H3692" s="7" t="n">
        <x:v>5</x:v>
      </x:c>
      <x:c r="I3692" s="7" t="n">
        <x:v>4</x:v>
      </x:c>
      <x:c r="J3692" s="7" t="n">
        <x:v>1.04</x:v>
      </x:c>
      <x:c r="K3692" s="8" t="n">
        <x:v>50</x:v>
      </x:c>
      <x:c r="L3692" s="8" t="n">
        <x:v>2698</x:v>
      </x:c>
      <x:c r="M3692" s="9" t="n">
        <x:v>0.5468852459</x:v>
      </x:c>
      <x:c r="N3692" s="10" t="n">
        <x:v>36693.5626389918</x:v>
      </x:c>
      <x:c r="O3692" s="9" t="n">
        <x:v>-0.1481086491</x:v>
      </x:c>
      <x:c r="P3692" s="9" t="n">
        <x:v>0.2522441652</x:v>
      </x:c>
      <x:c r="Q3692" s="9" t="n">
        <x:v>0.6131059246</x:v>
      </x:c>
      <x:c r="R3692" s="3" t="b">
        <x:v>0</x:v>
      </x:c>
      <x:c r="S3692" s="3" t="b">
        <x:v>0</x:v>
      </x:c>
      <x:c r="T3692" s="3" t="b">
        <x:v>0</x:v>
      </x:c>
      <x:c r="U3692" s="2" t="str">
        <x:f>IF(T3692=TRUE,"Priority review",IF(R3692=TRUE,"High cost",IF(S3692=TRUE,"Low quality","Benchmark")))</x:f>
        <x:v>Benchmark</x:v>
      </x:c>
    </x:row>
    <x:row r="3693">
      <x:c r="A3693" s="2" t="str">
        <x:v>351323</x:v>
      </x:c>
      <x:c r="B3693" s="2" t="str">
        <x:v>CAVALIER COUNTY MEMORIAL HOSPITAL ASSOCIATION</x:v>
      </x:c>
      <x:c r="C3693" s="2" t="str">
        <x:v>LANGDON</x:v>
      </x:c>
      <x:c r="D3693" s="2" t="str">
        <x:v>ND</x:v>
      </x:c>
      <x:c r="E3693" s="2" t="str">
        <x:v>Critical Access Hospitals</x:v>
      </x:c>
      <x:c r="F3693" s="2" t="str">
        <x:v>Voluntary non-profit</x:v>
      </x:c>
      <x:c r="G3693" s="2" t="str">
        <x:v>Small (&lt;100 beds)</x:v>
      </x:c>
      <x:c r="H3693" s="7"/>
      <x:c r="I3693" s="7"/>
      <x:c r="J3693" s="7"/>
      <x:c r="K3693" s="8" t="n">
        <x:v>25</x:v>
      </x:c>
      <x:c r="L3693" s="8" t="n">
        <x:v>165</x:v>
      </x:c>
      <x:c r="M3693" s="9" t="n">
        <x:v>0.1246027397</x:v>
      </x:c>
      <x:c r="N3693" s="10" t="n">
        <x:v>88297.0545454545</x:v>
      </x:c>
      <x:c r="O3693" s="9" t="n">
        <x:v>-0.3345855653</x:v>
      </x:c>
      <x:c r="P3693" s="9" t="n">
        <x:v>0.2520446097</x:v>
      </x:c>
      <x:c r="Q3693" s="9" t="n">
        <x:v>0.292936803</x:v>
      </x:c>
      <x:c r="R3693" s="3" t="b">
        <x:v>0</x:v>
      </x:c>
      <x:c r="S3693" s="3" t="b">
        <x:v>0</x:v>
      </x:c>
      <x:c r="T3693" s="3" t="b">
        <x:v>0</x:v>
      </x:c>
      <x:c r="U3693" s="2" t="str">
        <x:f>IF(T3693=TRUE,"Priority review",IF(R3693=TRUE,"High cost",IF(S3693=TRUE,"Low quality","Benchmark")))</x:f>
        <x:v>Benchmark</x:v>
      </x:c>
    </x:row>
    <x:row r="3694">
      <x:c r="A3694" s="2" t="str">
        <x:v>230024</x:v>
      </x:c>
      <x:c r="B3694" s="2" t="str">
        <x:v>SINAI-GRACE HOSPITAL</x:v>
      </x:c>
      <x:c r="C3694" s="2" t="str">
        <x:v>DETROIT</x:v>
      </x:c>
      <x:c r="D3694" s="2" t="str">
        <x:v>MI</x:v>
      </x:c>
      <x:c r="E3694" s="2" t="str">
        <x:v>Acute Care Hospitals</x:v>
      </x:c>
      <x:c r="F3694" s="2" t="str">
        <x:v>Proprietary</x:v>
      </x:c>
      <x:c r="G3694" s="2" t="str">
        <x:v>Medium (100-299 beds)</x:v>
      </x:c>
      <x:c r="H3694" s="7" t="n">
        <x:v>1</x:v>
      </x:c>
      <x:c r="I3694" s="7" t="n">
        <x:v>1</x:v>
      </x:c>
      <x:c r="J3694" s="7" t="n">
        <x:v>1.03</x:v>
      </x:c>
      <x:c r="K3694" s="8" t="n">
        <x:v>242</x:v>
      </x:c>
      <x:c r="L3694" s="8" t="n">
        <x:v>12775</x:v>
      </x:c>
      <x:c r="M3694" s="9" t="n">
        <x:v>0.8844894549</x:v>
      </x:c>
      <x:c r="N3694" s="10" t="n">
        <x:v>25682.6386692759</x:v>
      </x:c>
      <x:c r="O3694" s="9" t="n">
        <x:v>0.0685586771</x:v>
      </x:c>
      <x:c r="P3694" s="9" t="n">
        <x:v>0.2518337408</x:v>
      </x:c>
      <x:c r="Q3694" s="9" t="n">
        <x:v>0</x:v>
      </x:c>
      <x:c r="R3694" s="3" t="b">
        <x:v>0</x:v>
      </x:c>
      <x:c r="S3694" s="3" t="b">
        <x:v>1</x:v>
      </x:c>
      <x:c r="T3694" s="3" t="b">
        <x:v>0</x:v>
      </x:c>
      <x:c r="U3694" s="2" t="str">
        <x:f>IF(T3694=TRUE,"Priority review",IF(R3694=TRUE,"High cost",IF(S3694=TRUE,"Low quality","Benchmark")))</x:f>
        <x:v>Low quality</x:v>
      </x:c>
    </x:row>
    <x:row r="3695">
      <x:c r="A3695" s="2" t="str">
        <x:v>360203</x:v>
      </x:c>
      <x:c r="B3695" s="2" t="str">
        <x:v>SOUTHEASTERN OHIO REGIONAL MEDICAL CENTER</x:v>
      </x:c>
      <x:c r="C3695" s="2" t="str">
        <x:v>CAMBRIDGE</x:v>
      </x:c>
      <x:c r="D3695" s="2" t="str">
        <x:v>OH</x:v>
      </x:c>
      <x:c r="E3695" s="2" t="str">
        <x:v>Acute Care Hospitals</x:v>
      </x:c>
      <x:c r="F3695" s="2" t="str">
        <x:v>Voluntary non-profit</x:v>
      </x:c>
      <x:c r="G3695" s="2" t="str">
        <x:v>Small (&lt;100 beds)</x:v>
      </x:c>
      <x:c r="H3695" s="7" t="n">
        <x:v>4</x:v>
      </x:c>
      <x:c r="I3695" s="7" t="n">
        <x:v>3</x:v>
      </x:c>
      <x:c r="J3695" s="7" t="n">
        <x:v>0.92</x:v>
      </x:c>
      <x:c r="K3695" s="8" t="n">
        <x:v>86</x:v>
      </x:c>
      <x:c r="L3695" s="8" t="n">
        <x:v>2582</x:v>
      </x:c>
      <x:c r="M3695" s="9" t="n">
        <x:v>0.2930815562</x:v>
      </x:c>
      <x:c r="N3695" s="10" t="n">
        <x:v>36662.2862122386</x:v>
      </x:c>
      <x:c r="O3695" s="9" t="n">
        <x:v>0.053875265</x:v>
      </x:c>
      <x:c r="P3695" s="9" t="n">
        <x:v>0.2513464991</x:v>
      </x:c>
      <x:c r="Q3695" s="9" t="n">
        <x:v>0.3913824057</x:v>
      </x:c>
      <x:c r="R3695" s="3" t="b">
        <x:v>0</x:v>
      </x:c>
      <x:c r="S3695" s="3" t="b">
        <x:v>0</x:v>
      </x:c>
      <x:c r="T3695" s="3" t="b">
        <x:v>0</x:v>
      </x:c>
      <x:c r="U3695" s="2" t="str">
        <x:f>IF(T3695=TRUE,"Priority review",IF(R3695=TRUE,"High cost",IF(S3695=TRUE,"Low quality","Benchmark")))</x:f>
        <x:v>Benchmark</x:v>
      </x:c>
    </x:row>
    <x:row r="3696">
      <x:c r="A3696" s="2" t="str">
        <x:v>381315</x:v>
      </x:c>
      <x:c r="B3696" s="2" t="str">
        <x:v>ST. ALPHONSUS MEDICAL CENTER - BAKER CITY</x:v>
      </x:c>
      <x:c r="C3696" s="2" t="str">
        <x:v>BAKER CITY</x:v>
      </x:c>
      <x:c r="D3696" s="2" t="str">
        <x:v>OR</x:v>
      </x:c>
      <x:c r="E3696" s="2" t="str">
        <x:v>Critical Access Hospitals</x:v>
      </x:c>
      <x:c r="F3696" s="2" t="str">
        <x:v>Voluntary non-profit</x:v>
      </x:c>
      <x:c r="G3696" s="2" t="str">
        <x:v>Small (&lt;100 beds)</x:v>
      </x:c>
      <x:c r="H3696" s="7" t="n">
        <x:v>1</x:v>
      </x:c>
      <x:c r="I3696" s="7"/>
      <x:c r="J3696" s="7"/>
      <x:c r="K3696" s="8" t="n">
        <x:v>21</x:v>
      </x:c>
      <x:c r="L3696" s="8" t="n">
        <x:v>430</x:v>
      </x:c>
      <x:c r="M3696" s="9" t="n">
        <x:v>0.2140900196</x:v>
      </x:c>
      <x:c r="N3696" s="10" t="n">
        <x:v>88277.9744186046</x:v>
      </x:c>
      <x:c r="O3696" s="9" t="n">
        <x:v>-0.1766540812</x:v>
      </x:c>
      <x:c r="P3696" s="9" t="n">
        <x:v>0.2513011152</x:v>
      </x:c>
      <x:c r="Q3696" s="9" t="n">
        <x:v>0</x:v>
      </x:c>
      <x:c r="R3696" s="3" t="b">
        <x:v>0</x:v>
      </x:c>
      <x:c r="S3696" s="3" t="b">
        <x:v>1</x:v>
      </x:c>
      <x:c r="T3696" s="3" t="b">
        <x:v>0</x:v>
      </x:c>
      <x:c r="U3696" s="2" t="str">
        <x:f>IF(T3696=TRUE,"Priority review",IF(R3696=TRUE,"High cost",IF(S3696=TRUE,"Low quality","Benchmark")))</x:f>
        <x:v>Low quality</x:v>
      </x:c>
    </x:row>
    <x:row r="3697">
      <x:c r="A3697" s="2" t="str">
        <x:v>130014</x:v>
      </x:c>
      <x:c r="B3697" s="2" t="str">
        <x:v>WEST VALLEY MEDICAL CENTER</x:v>
      </x:c>
      <x:c r="C3697" s="2" t="str">
        <x:v>CALDWELL</x:v>
      </x:c>
      <x:c r="D3697" s="2" t="str">
        <x:v>ID</x:v>
      </x:c>
      <x:c r="E3697" s="2" t="str">
        <x:v>Acute Care Hospitals</x:v>
      </x:c>
      <x:c r="F3697" s="2" t="str">
        <x:v>Proprietary</x:v>
      </x:c>
      <x:c r="G3697" s="2" t="str">
        <x:v>Medium (100-299 beds)</x:v>
      </x:c>
      <x:c r="H3697" s="7" t="n">
        <x:v>5</x:v>
      </x:c>
      <x:c r="I3697" s="7" t="n">
        <x:v>4</x:v>
      </x:c>
      <x:c r="J3697" s="7" t="n">
        <x:v>0.91</x:v>
      </x:c>
      <x:c r="K3697" s="8" t="n">
        <x:v>117</x:v>
      </x:c>
      <x:c r="L3697" s="8" t="n">
        <x:v>3267</x:v>
      </x:c>
      <x:c r="M3697" s="9" t="n">
        <x:v>0.2665347654</x:v>
      </x:c>
      <x:c r="N3697" s="10" t="n">
        <x:v>25660.5901438629</x:v>
      </x:c>
      <x:c r="O3697" s="9" t="n">
        <x:v>0.2985155513</x:v>
      </x:c>
      <x:c r="P3697" s="9" t="n">
        <x:v>0.2510187449</x:v>
      </x:c>
      <x:c r="Q3697" s="9" t="n">
        <x:v>0.8744906275</x:v>
      </x:c>
      <x:c r="R3697" s="3" t="b">
        <x:v>0</x:v>
      </x:c>
      <x:c r="S3697" s="3" t="b">
        <x:v>0</x:v>
      </x:c>
      <x:c r="T3697" s="3" t="b">
        <x:v>0</x:v>
      </x:c>
      <x:c r="U3697" s="2" t="str">
        <x:f>IF(T3697=TRUE,"Priority review",IF(R3697=TRUE,"High cost",IF(S3697=TRUE,"Low quality","Benchmark")))</x:f>
        <x:v>Benchmark</x:v>
      </x:c>
    </x:row>
    <x:row r="3698">
      <x:c r="A3698" s="2" t="str">
        <x:v>360051</x:v>
      </x:c>
      <x:c r="B3698" s="2" t="str">
        <x:v>MIAMI VALLEY HOSPITAL</x:v>
      </x:c>
      <x:c r="C3698" s="2" t="str">
        <x:v>DAYTON</x:v>
      </x:c>
      <x:c r="D3698" s="2" t="str">
        <x:v>OH</x:v>
      </x:c>
      <x:c r="E3698" s="2" t="str">
        <x:v>Acute Care Hospitals</x:v>
      </x:c>
      <x:c r="F3698" s="2" t="str">
        <x:v>Voluntary non-profit</x:v>
      </x:c>
      <x:c r="G3698" s="2" t="str">
        <x:v>Large (300+ beds)</x:v>
      </x:c>
      <x:c r="H3698" s="7" t="n">
        <x:v>3</x:v>
      </x:c>
      <x:c r="I3698" s="7" t="n">
        <x:v>2</x:v>
      </x:c>
      <x:c r="J3698" s="7" t="n">
        <x:v>1.02</x:v>
      </x:c>
      <x:c r="K3698" s="8" t="n">
        <x:v>943</x:v>
      </x:c>
      <x:c r="L3698" s="8" t="n">
        <x:v>45991</x:v>
      </x:c>
      <x:c r="M3698" s="9" t="n">
        <x:v>0.7393998922</x:v>
      </x:c>
      <x:c r="N3698" s="10" t="n">
        <x:v>28471.167750212</x:v>
      </x:c>
      <x:c r="O3698" s="9" t="n">
        <x:v>0.157573807</x:v>
      </x:c>
      <x:c r="P3698" s="9" t="n">
        <x:v>0.2507886435</x:v>
      </x:c>
      <x:c r="Q3698" s="9" t="n">
        <x:v>0.2570977918</x:v>
      </x:c>
      <x:c r="R3698" s="3" t="b">
        <x:v>0</x:v>
      </x:c>
      <x:c r="S3698" s="3" t="b">
        <x:v>0</x:v>
      </x:c>
      <x:c r="T3698" s="3" t="b">
        <x:v>0</x:v>
      </x:c>
      <x:c r="U3698" s="2" t="str">
        <x:f>IF(T3698=TRUE,"Priority review",IF(R3698=TRUE,"High cost",IF(S3698=TRUE,"Low quality","Benchmark")))</x:f>
        <x:v>Benchmark</x:v>
      </x:c>
    </x:row>
    <x:row r="3699">
      <x:c r="A3699" s="2" t="str">
        <x:v>111333</x:v>
      </x:c>
      <x:c r="B3699" s="2" t="str">
        <x:v>JEFF DAVIS HOSPITAL</x:v>
      </x:c>
      <x:c r="C3699" s="2" t="str">
        <x:v>HAZLEHURST</x:v>
      </x:c>
      <x:c r="D3699" s="2" t="str">
        <x:v>GA</x:v>
      </x:c>
      <x:c r="E3699" s="2" t="str">
        <x:v>Critical Access Hospitals</x:v>
      </x:c>
      <x:c r="F3699" s="2" t="str">
        <x:v>Government</x:v>
      </x:c>
      <x:c r="G3699" s="2" t="str">
        <x:v>Small (&lt;100 beds)</x:v>
      </x:c>
      <x:c r="H3699" s="7"/>
      <x:c r="I3699" s="7"/>
      <x:c r="J3699" s="7"/>
      <x:c r="K3699" s="8" t="n">
        <x:v>25</x:v>
      </x:c>
      <x:c r="L3699" s="8" t="n">
        <x:v>319</x:v>
      </x:c>
      <x:c r="M3699" s="9" t="n">
        <x:v>0.2500546448</x:v>
      </x:c>
      <x:c r="N3699" s="10" t="n">
        <x:v>88106.4514106583</x:v>
      </x:c>
      <x:c r="O3699" s="9" t="n">
        <x:v>-0.1136577252</x:v>
      </x:c>
      <x:c r="P3699" s="9" t="n">
        <x:v>0.2505576208</x:v>
      </x:c>
      <x:c r="Q3699" s="9" t="n">
        <x:v>0.292936803</x:v>
      </x:c>
      <x:c r="R3699" s="3" t="b">
        <x:v>0</x:v>
      </x:c>
      <x:c r="S3699" s="3" t="b">
        <x:v>0</x:v>
      </x:c>
      <x:c r="T3699" s="3" t="b">
        <x:v>0</x:v>
      </x:c>
      <x:c r="U3699" s="2" t="str">
        <x:f>IF(T3699=TRUE,"Priority review",IF(R3699=TRUE,"High cost",IF(S3699=TRUE,"Low quality","Benchmark")))</x:f>
        <x:v>Benchmark</x:v>
      </x:c>
    </x:row>
    <x:row r="3700">
      <x:c r="A3700" s="2" t="str">
        <x:v>490084</x:v>
      </x:c>
      <x:c r="B3700" s="2" t="str">
        <x:v>VCU HEALTH TAPPAHANNOCK HOSPITAL</x:v>
      </x:c>
      <x:c r="C3700" s="2" t="str">
        <x:v>TAPPAHANNOCK</x:v>
      </x:c>
      <x:c r="D3700" s="2" t="str">
        <x:v>VA</x:v>
      </x:c>
      <x:c r="E3700" s="2" t="str">
        <x:v>Acute Care Hospitals</x:v>
      </x:c>
      <x:c r="F3700" s="2" t="str">
        <x:v>Voluntary non-profit</x:v>
      </x:c>
      <x:c r="G3700" s="2" t="str">
        <x:v>Small (&lt;100 beds)</x:v>
      </x:c>
      <x:c r="H3700" s="7" t="n">
        <x:v>4</x:v>
      </x:c>
      <x:c r="I3700" s="7" t="n">
        <x:v>4</x:v>
      </x:c>
      <x:c r="J3700" s="7" t="n">
        <x:v>0.96</x:v>
      </x:c>
      <x:c r="K3700" s="8" t="n">
        <x:v>37</x:v>
      </x:c>
      <x:c r="L3700" s="8" t="n">
        <x:v>1926</x:v>
      </x:c>
      <x:c r="M3700" s="9" t="n">
        <x:v>0.4713069234</x:v>
      </x:c>
      <x:c r="N3700" s="10" t="n">
        <x:v>36659.9236760125</x:v>
      </x:c>
      <x:c r="O3700" s="9" t="n">
        <x:v>0.0511633913</x:v>
      </x:c>
      <x:c r="P3700" s="9" t="n">
        <x:v>0.250448833</x:v>
      </x:c>
      <x:c r="Q3700" s="9" t="n">
        <x:v>0.3913824057</x:v>
      </x:c>
      <x:c r="R3700" s="3" t="b">
        <x:v>0</x:v>
      </x:c>
      <x:c r="S3700" s="3" t="b">
        <x:v>0</x:v>
      </x:c>
      <x:c r="T3700" s="3" t="b">
        <x:v>0</x:v>
      </x:c>
      <x:c r="U3700" s="2" t="str">
        <x:f>IF(T3700=TRUE,"Priority review",IF(R3700=TRUE,"High cost",IF(S3700=TRUE,"Low quality","Benchmark")))</x:f>
        <x:v>Benchmark</x:v>
      </x:c>
    </x:row>
    <x:row r="3701">
      <x:c r="A3701" s="2" t="str">
        <x:v>010131</x:v>
      </x:c>
      <x:c r="B3701" s="2" t="str">
        <x:v>CRESTWOOD MEDICAL CENTER</x:v>
      </x:c>
      <x:c r="C3701" s="2" t="str">
        <x:v>HUNTSVILLE</x:v>
      </x:c>
      <x:c r="D3701" s="2" t="str">
        <x:v>AL</x:v>
      </x:c>
      <x:c r="E3701" s="2" t="str">
        <x:v>Acute Care Hospitals</x:v>
      </x:c>
      <x:c r="F3701" s="2" t="str">
        <x:v>Proprietary</x:v>
      </x:c>
      <x:c r="G3701" s="2" t="str">
        <x:v>Medium (100-299 beds)</x:v>
      </x:c>
      <x:c r="H3701" s="7" t="n">
        <x:v>3</x:v>
      </x:c>
      <x:c r="I3701" s="7" t="n">
        <x:v>2</x:v>
      </x:c>
      <x:c r="J3701" s="7" t="n">
        <x:v>0.99</x:v>
      </x:c>
      <x:c r="K3701" s="8" t="n">
        <x:v>157</x:v>
      </x:c>
      <x:c r="L3701" s="8" t="n">
        <x:v>9452</x:v>
      </x:c>
      <x:c r="M3701" s="9" t="n">
        <x:v>0.6961031824</x:v>
      </x:c>
      <x:c r="N3701" s="10" t="n">
        <x:v>25643.334955565</x:v>
      </x:c>
      <x:c r="O3701" s="9" t="n">
        <x:v>0.130026218</x:v>
      </x:c>
      <x:c r="P3701" s="9" t="n">
        <x:v>0.250203749</x:v>
      </x:c>
      <x:c r="Q3701" s="9" t="n">
        <x:v>0.3023634882</x:v>
      </x:c>
      <x:c r="R3701" s="3" t="b">
        <x:v>0</x:v>
      </x:c>
      <x:c r="S3701" s="3" t="b">
        <x:v>0</x:v>
      </x:c>
      <x:c r="T3701" s="3" t="b">
        <x:v>0</x:v>
      </x:c>
      <x:c r="U3701" s="2" t="str">
        <x:f>IF(T3701=TRUE,"Priority review",IF(R3701=TRUE,"High cost",IF(S3701=TRUE,"Low quality","Benchmark")))</x:f>
        <x:v>Benchmark</x:v>
      </x:c>
    </x:row>
    <x:row r="3702">
      <x:c r="A3702" s="2" t="str">
        <x:v>393307</x:v>
      </x:c>
      <x:c r="B3702" s="2" t="str">
        <x:v>ST CHRISTOPHER'S HOSPITAL FOR CHILDREN</x:v>
      </x:c>
      <x:c r="C3702" s="2" t="str">
        <x:v>PHILADELPHIA</x:v>
      </x:c>
      <x:c r="D3702" s="2" t="str">
        <x:v>PA</x:v>
      </x:c>
      <x:c r="E3702" s="2" t="str">
        <x:v>Childrens</x:v>
      </x:c>
      <x:c r="F3702" s="2" t="str">
        <x:v>Proprietary</x:v>
      </x:c>
      <x:c r="G3702" s="2" t="str">
        <x:v>Medium (100-299 beds)</x:v>
      </x:c>
      <x:c r="H3702" s="7"/>
      <x:c r="I3702" s="7"/>
      <x:c r="J3702" s="7"/>
      <x:c r="K3702" s="8" t="n">
        <x:v>178</x:v>
      </x:c>
      <x:c r="L3702" s="8" t="n">
        <x:v>5905</x:v>
      </x:c>
      <x:c r="M3702" s="9" t="n">
        <x:v>0.3503292771</x:v>
      </x:c>
      <x:c r="N3702" s="10" t="n">
        <x:v>66719.3190516511</x:v>
      </x:c>
      <x:c r="O3702" s="9" t="n">
        <x:v>-1.0355810732</x:v>
      </x:c>
      <x:c r="P3702" s="9" t="n">
        <x:v>0.25</x:v>
      </x:c>
      <x:c r="Q3702" s="9" t="n">
        <x:v>0</x:v>
      </x:c>
      <x:c r="R3702" s="3" t="b">
        <x:v>0</x:v>
      </x:c>
      <x:c r="S3702" s="3" t="b">
        <x:v>0</x:v>
      </x:c>
      <x:c r="T3702" s="3" t="b">
        <x:v>0</x:v>
      </x:c>
      <x:c r="U3702" s="2" t="str">
        <x:f>IF(T3702=TRUE,"Priority review",IF(R3702=TRUE,"High cost",IF(S3702=TRUE,"Low quality","Benchmark")))</x:f>
        <x:v>Benchmark</x:v>
      </x:c>
    </x:row>
    <x:row r="3703">
      <x:c r="A3703" s="2" t="str">
        <x:v>151317</x:v>
      </x:c>
      <x:c r="B3703" s="2" t="str">
        <x:v>GREENE COUNTY GENERAL HOSPITAL</x:v>
      </x:c>
      <x:c r="C3703" s="2" t="str">
        <x:v>LINTON</x:v>
      </x:c>
      <x:c r="D3703" s="2" t="str">
        <x:v>IN</x:v>
      </x:c>
      <x:c r="E3703" s="2" t="str">
        <x:v>Critical Access Hospitals</x:v>
      </x:c>
      <x:c r="F3703" s="2" t="str">
        <x:v>Government</x:v>
      </x:c>
      <x:c r="G3703" s="2" t="str">
        <x:v>Small (&lt;100 beds)</x:v>
      </x:c>
      <x:c r="H3703" s="7" t="n">
        <x:v>4</x:v>
      </x:c>
      <x:c r="I3703" s="7" t="n">
        <x:v>5</x:v>
      </x:c>
      <x:c r="J3703" s="7"/>
      <x:c r="K3703" s="8" t="n">
        <x:v>25</x:v>
      </x:c>
      <x:c r="L3703" s="8" t="n">
        <x:v>769</x:v>
      </x:c>
      <x:c r="M3703" s="9" t="n">
        <x:v>0.2854644809</x:v>
      </x:c>
      <x:c r="N3703" s="10" t="n">
        <x:v>88104.7945383615</x:v>
      </x:c>
      <x:c r="O3703" s="9" t="n">
        <x:v>-0.081787328</x:v>
      </x:c>
      <x:c r="P3703" s="9" t="n">
        <x:v>0.2498141264</x:v>
      </x:c>
      <x:c r="Q3703" s="9" t="n">
        <x:v>0.1657992565</x:v>
      </x:c>
      <x:c r="R3703" s="3" t="b">
        <x:v>0</x:v>
      </x:c>
      <x:c r="S3703" s="3" t="b">
        <x:v>0</x:v>
      </x:c>
      <x:c r="T3703" s="3" t="b">
        <x:v>0</x:v>
      </x:c>
      <x:c r="U3703" s="2" t="str">
        <x:f>IF(T3703=TRUE,"Priority review",IF(R3703=TRUE,"High cost",IF(S3703=TRUE,"Low quality","Benchmark")))</x:f>
        <x:v>Benchmark</x:v>
      </x:c>
    </x:row>
    <x:row r="3704">
      <x:c r="A3704" s="2" t="str">
        <x:v>440175</x:v>
      </x:c>
      <x:c r="B3704" s="2" t="str">
        <x:v>SOUTHERN TENNESSEE REGIONAL HEALTH SYSTEM LAWRENCE</x:v>
      </x:c>
      <x:c r="C3704" s="2" t="str">
        <x:v>LAWRENCEBURG</x:v>
      </x:c>
      <x:c r="D3704" s="2" t="str">
        <x:v>TN</x:v>
      </x:c>
      <x:c r="E3704" s="2" t="str">
        <x:v>Acute Care Hospitals</x:v>
      </x:c>
      <x:c r="F3704" s="2" t="str">
        <x:v>Voluntary non-profit</x:v>
      </x:c>
      <x:c r="G3704" s="2" t="str">
        <x:v>Small (&lt;100 beds)</x:v>
      </x:c>
      <x:c r="H3704" s="7" t="n">
        <x:v>3</x:v>
      </x:c>
      <x:c r="I3704" s="7" t="n">
        <x:v>3</x:v>
      </x:c>
      <x:c r="J3704" s="7" t="n">
        <x:v>1.07</x:v>
      </x:c>
      <x:c r="K3704" s="8" t="n">
        <x:v>89</x:v>
      </x:c>
      <x:c r="L3704" s="8" t="n">
        <x:v>1698</x:v>
      </x:c>
      <x:c r="M3704" s="9" t="n">
        <x:v>0.1813716461</x:v>
      </x:c>
      <x:c r="N3704" s="10" t="n">
        <x:v>36654.6866902238</x:v>
      </x:c>
      <x:c r="O3704" s="9" t="n">
        <x:v>0.0780166756</x:v>
      </x:c>
      <x:c r="P3704" s="9" t="n">
        <x:v>0.249551167</x:v>
      </x:c>
      <x:c r="Q3704" s="9" t="n">
        <x:v>0.1687612208</x:v>
      </x:c>
      <x:c r="R3704" s="3" t="b">
        <x:v>0</x:v>
      </x:c>
      <x:c r="S3704" s="3" t="b">
        <x:v>0</x:v>
      </x:c>
      <x:c r="T3704" s="3" t="b">
        <x:v>0</x:v>
      </x:c>
      <x:c r="U3704" s="2" t="str">
        <x:f>IF(T3704=TRUE,"Priority review",IF(R3704=TRUE,"High cost",IF(S3704=TRUE,"Low quality","Benchmark")))</x:f>
        <x:v>Benchmark</x:v>
      </x:c>
    </x:row>
    <x:row r="3705">
      <x:c r="A3705" s="2" t="str">
        <x:v>100286</x:v>
      </x:c>
      <x:c r="B3705" s="2" t="str">
        <x:v>PHYSICIANS REGIONAL MEDICAL CENTER - PINE RIDGE</x:v>
      </x:c>
      <x:c r="C3705" s="2" t="str">
        <x:v>NAPLES</x:v>
      </x:c>
      <x:c r="D3705" s="2" t="str">
        <x:v>FL</x:v>
      </x:c>
      <x:c r="E3705" s="2" t="str">
        <x:v>Acute Care Hospitals</x:v>
      </x:c>
      <x:c r="F3705" s="2" t="str">
        <x:v>Proprietary</x:v>
      </x:c>
      <x:c r="G3705" s="2" t="str">
        <x:v>Medium (100-299 beds)</x:v>
      </x:c>
      <x:c r="H3705" s="7" t="n">
        <x:v>2</x:v>
      </x:c>
      <x:c r="I3705" s="7" t="n">
        <x:v>2</x:v>
      </x:c>
      <x:c r="J3705" s="7" t="n">
        <x:v>1</x:v>
      </x:c>
      <x:c r="K3705" s="8" t="n">
        <x:v>273</x:v>
      </x:c>
      <x:c r="L3705" s="8" t="n">
        <x:v>15354</x:v>
      </x:c>
      <x:c r="M3705" s="9" t="n">
        <x:v>0.7035369003</x:v>
      </x:c>
      <x:c r="N3705" s="10" t="n">
        <x:v>25606.8094958968</x:v>
      </x:c>
      <x:c r="O3705" s="9" t="n">
        <x:v>0.1680411002</x:v>
      </x:c>
      <x:c r="P3705" s="9" t="n">
        <x:v>0.2493887531</x:v>
      </x:c>
      <x:c r="Q3705" s="9" t="n">
        <x:v>0.0782396088</x:v>
      </x:c>
      <x:c r="R3705" s="3" t="b">
        <x:v>0</x:v>
      </x:c>
      <x:c r="S3705" s="3" t="b">
        <x:v>1</x:v>
      </x:c>
      <x:c r="T3705" s="3" t="b">
        <x:v>0</x:v>
      </x:c>
      <x:c r="U3705" s="2" t="str">
        <x:f>IF(T3705=TRUE,"Priority review",IF(R3705=TRUE,"High cost",IF(S3705=TRUE,"Low quality","Benchmark")))</x:f>
        <x:v>Low quality</x:v>
      </x:c>
    </x:row>
    <x:row r="3706">
      <x:c r="A3706" s="2" t="str">
        <x:v>290009</x:v>
      </x:c>
      <x:c r="B3706" s="2" t="str">
        <x:v>SAINT MARY'S REGIONAL MEDICAL CENTER</x:v>
      </x:c>
      <x:c r="C3706" s="2" t="str">
        <x:v>RENO</x:v>
      </x:c>
      <x:c r="D3706" s="2" t="str">
        <x:v>NV</x:v>
      </x:c>
      <x:c r="E3706" s="2" t="str">
        <x:v>Acute Care Hospitals</x:v>
      </x:c>
      <x:c r="F3706" s="2" t="str">
        <x:v>Proprietary</x:v>
      </x:c>
      <x:c r="G3706" s="2" t="str">
        <x:v>Large (300+ beds)</x:v>
      </x:c>
      <x:c r="H3706" s="7" t="n">
        <x:v>4</x:v>
      </x:c>
      <x:c r="I3706" s="7" t="n">
        <x:v>3</x:v>
      </x:c>
      <x:c r="J3706" s="7" t="n">
        <x:v>0.89</x:v>
      </x:c>
      <x:c r="K3706" s="8" t="n">
        <x:v>328</x:v>
      </x:c>
      <x:c r="L3706" s="8" t="n">
        <x:v>7132</x:v>
      </x:c>
      <x:c r="M3706" s="9" t="n">
        <x:v>0.2101909236</x:v>
      </x:c>
      <x:c r="N3706" s="10" t="n">
        <x:v>28442.0745933819</x:v>
      </x:c>
      <x:c r="O3706" s="9" t="n">
        <x:v>-0.1166227583</x:v>
      </x:c>
      <x:c r="P3706" s="9" t="n">
        <x:v>0.2492113565</x:v>
      </x:c>
      <x:c r="Q3706" s="9" t="n">
        <x:v>0.5899053628</x:v>
      </x:c>
      <x:c r="R3706" s="3" t="b">
        <x:v>0</x:v>
      </x:c>
      <x:c r="S3706" s="3" t="b">
        <x:v>0</x:v>
      </x:c>
      <x:c r="T3706" s="3" t="b">
        <x:v>0</x:v>
      </x:c>
      <x:c r="U3706" s="2" t="str">
        <x:f>IF(T3706=TRUE,"Priority review",IF(R3706=TRUE,"High cost",IF(S3706=TRUE,"Low quality","Benchmark")))</x:f>
        <x:v>Benchmark</x:v>
      </x:c>
    </x:row>
    <x:row r="3707">
      <x:c r="A3707" s="2" t="str">
        <x:v>194095</x:v>
      </x:c>
      <x:c r="B3707" s="2" t="str">
        <x:v>OCEANS BEHAVIORAL HOSPITAL OF OPELOUSAS</x:v>
      </x:c>
      <x:c r="C3707" s="2" t="str">
        <x:v>OPELOUSAS</x:v>
      </x:c>
      <x:c r="D3707" s="2" t="str">
        <x:v>LA</x:v>
      </x:c>
      <x:c r="E3707" s="2" t="str">
        <x:v>Psychiatric</x:v>
      </x:c>
      <x:c r="F3707" s="2" t="str">
        <x:v>Proprietary</x:v>
      </x:c>
      <x:c r="G3707" s="2" t="str">
        <x:v>Small (&lt;100 beds)</x:v>
      </x:c>
      <x:c r="H3707" s="7"/>
      <x:c r="I3707" s="7"/>
      <x:c r="J3707" s="7"/>
      <x:c r="K3707" s="8" t="n">
        <x:v>20</x:v>
      </x:c>
      <x:c r="L3707" s="8" t="n">
        <x:v>735</x:v>
      </x:c>
      <x:c r="M3707" s="9" t="n">
        <x:v>0.8068306011</x:v>
      </x:c>
      <x:c r="N3707" s="10" t="n">
        <x:v>8245.6884353741</x:v>
      </x:c>
      <x:c r="O3707" s="9" t="n">
        <x:v>0.1563411658</x:v>
      </x:c>
      <x:c r="P3707" s="9" t="n">
        <x:v>0.2491909385</x:v>
      </x:c>
      <x:c r="Q3707" s="9" t="n">
        <x:v>0</x:v>
      </x:c>
      <x:c r="R3707" s="3" t="b">
        <x:v>0</x:v>
      </x:c>
      <x:c r="S3707" s="3" t="b">
        <x:v>0</x:v>
      </x:c>
      <x:c r="T3707" s="3" t="b">
        <x:v>0</x:v>
      </x:c>
      <x:c r="U3707" s="2" t="str">
        <x:f>IF(T3707=TRUE,"Priority review",IF(R3707=TRUE,"High cost",IF(S3707=TRUE,"Low quality","Benchmark")))</x:f>
        <x:v>Benchmark</x:v>
      </x:c>
    </x:row>
    <x:row r="3708">
      <x:c r="A3708" s="2" t="str">
        <x:v>501309</x:v>
      </x:c>
      <x:c r="B3708" s="2" t="str">
        <x:v>PROVIDENCE ST JOSEPH HOSPITAL</x:v>
      </x:c>
      <x:c r="C3708" s="2" t="str">
        <x:v>CHEWELAH</x:v>
      </x:c>
      <x:c r="D3708" s="2" t="str">
        <x:v>WA</x:v>
      </x:c>
      <x:c r="E3708" s="2" t="str">
        <x:v>Critical Access Hospitals</x:v>
      </x:c>
      <x:c r="F3708" s="2" t="str">
        <x:v>Voluntary non-profit</x:v>
      </x:c>
      <x:c r="G3708" s="2" t="str">
        <x:v>Small (&lt;100 beds)</x:v>
      </x:c>
      <x:c r="H3708" s="7"/>
      <x:c r="I3708" s="7"/>
      <x:c r="J3708" s="7"/>
      <x:c r="K3708" s="8" t="n">
        <x:v>23</x:v>
      </x:c>
      <x:c r="L3708" s="8" t="n">
        <x:v>249</x:v>
      </x:c>
      <x:c r="M3708" s="9" t="n">
        <x:v>0.2059871703</x:v>
      </x:c>
      <x:c r="N3708" s="10" t="n">
        <x:v>87988.1204819277</x:v>
      </x:c>
      <x:c r="O3708" s="9" t="n">
        <x:v>0.0779660312</x:v>
      </x:c>
      <x:c r="P3708" s="9" t="n">
        <x:v>0.249070632</x:v>
      </x:c>
      <x:c r="Q3708" s="9" t="n">
        <x:v>0.292936803</x:v>
      </x:c>
      <x:c r="R3708" s="3" t="b">
        <x:v>0</x:v>
      </x:c>
      <x:c r="S3708" s="3" t="b">
        <x:v>0</x:v>
      </x:c>
      <x:c r="T3708" s="3" t="b">
        <x:v>0</x:v>
      </x:c>
      <x:c r="U3708" s="2" t="str">
        <x:f>IF(T3708=TRUE,"Priority review",IF(R3708=TRUE,"High cost",IF(S3708=TRUE,"Low quality","Benchmark")))</x:f>
        <x:v>Benchmark</x:v>
      </x:c>
    </x:row>
    <x:row r="3709">
      <x:c r="A3709" s="2" t="str">
        <x:v>064007</x:v>
      </x:c>
      <x:c r="B3709" s="2" t="str">
        <x:v>CENTENNIAL PEAKS HOSPITAL</x:v>
      </x:c>
      <x:c r="C3709" s="2" t="str">
        <x:v>LOUISVILLE</x:v>
      </x:c>
      <x:c r="D3709" s="2" t="str">
        <x:v>CO</x:v>
      </x:c>
      <x:c r="E3709" s="2" t="str">
        <x:v>Psychiatric</x:v>
      </x:c>
      <x:c r="F3709" s="2" t="str">
        <x:v>Government</x:v>
      </x:c>
      <x:c r="G3709" s="2" t="str">
        <x:v>Medium (100-299 beds)</x:v>
      </x:c>
      <x:c r="H3709" s="7"/>
      <x:c r="I3709" s="7"/>
      <x:c r="J3709" s="7"/>
      <x:c r="K3709" s="8" t="n">
        <x:v>104</x:v>
      </x:c>
      <x:c r="L3709" s="8" t="n">
        <x:v>3929</x:v>
      </x:c>
      <x:c r="M3709" s="9" t="n">
        <x:v>0.8067465322</x:v>
      </x:c>
      <x:c r="N3709" s="10" t="n">
        <x:v>7055.3446169509</x:v>
      </x:c>
      <x:c r="O3709" s="9" t="n">
        <x:v>0.0538615731</x:v>
      </x:c>
      <x:c r="P3709" s="9" t="n">
        <x:v>0.2487562189</x:v>
      </x:c>
      <x:c r="Q3709" s="9" t="n">
        <x:v>0</x:v>
      </x:c>
      <x:c r="R3709" s="3" t="b">
        <x:v>0</x:v>
      </x:c>
      <x:c r="S3709" s="3" t="b">
        <x:v>0</x:v>
      </x:c>
      <x:c r="T3709" s="3" t="b">
        <x:v>0</x:v>
      </x:c>
      <x:c r="U3709" s="2" t="str">
        <x:f>IF(T3709=TRUE,"Priority review",IF(R3709=TRUE,"High cost",IF(S3709=TRUE,"Low quality","Benchmark")))</x:f>
        <x:v>Benchmark</x:v>
      </x:c>
    </x:row>
    <x:row r="3710">
      <x:c r="A3710" s="2" t="str">
        <x:v>110146</x:v>
      </x:c>
      <x:c r="B3710" s="2" t="str">
        <x:v>SOUTHEAST GEORGIA HEALTH SYSTEM -- CAMDEN CAMPUS</x:v>
      </x:c>
      <x:c r="C3710" s="2" t="str">
        <x:v>SAINT MARYS</x:v>
      </x:c>
      <x:c r="D3710" s="2" t="str">
        <x:v>GA</x:v>
      </x:c>
      <x:c r="E3710" s="2" t="str">
        <x:v>Acute Care Hospitals</x:v>
      </x:c>
      <x:c r="F3710" s="2" t="str">
        <x:v>Government</x:v>
      </x:c>
      <x:c r="G3710" s="2" t="str">
        <x:v>Small (&lt;100 beds)</x:v>
      </x:c>
      <x:c r="H3710" s="7" t="n">
        <x:v>4</x:v>
      </x:c>
      <x:c r="I3710" s="7" t="n">
        <x:v>4</x:v>
      </x:c>
      <x:c r="J3710" s="7" t="n">
        <x:v>0.93</x:v>
      </x:c>
      <x:c r="K3710" s="8" t="n">
        <x:v>40</x:v>
      </x:c>
      <x:c r="L3710" s="8" t="n">
        <x:v>2011</x:v>
      </x:c>
      <x:c r="M3710" s="9" t="n">
        <x:v>0.373630137</x:v>
      </x:c>
      <x:c r="N3710" s="10" t="n">
        <x:v>36620.3888612631</x:v>
      </x:c>
      <x:c r="O3710" s="9" t="n">
        <x:v>0.0618520118</x:v>
      </x:c>
      <x:c r="P3710" s="9" t="n">
        <x:v>0.2486535009</x:v>
      </x:c>
      <x:c r="Q3710" s="9" t="n">
        <x:v>0.3913824057</x:v>
      </x:c>
      <x:c r="R3710" s="3" t="b">
        <x:v>0</x:v>
      </x:c>
      <x:c r="S3710" s="3" t="b">
        <x:v>0</x:v>
      </x:c>
      <x:c r="T3710" s="3" t="b">
        <x:v>0</x:v>
      </x:c>
      <x:c r="U3710" s="2" t="str">
        <x:f>IF(T3710=TRUE,"Priority review",IF(R3710=TRUE,"High cost",IF(S3710=TRUE,"Low quality","Benchmark")))</x:f>
        <x:v>Benchmark</x:v>
      </x:c>
    </x:row>
    <x:row r="3711">
      <x:c r="A3711" s="2" t="str">
        <x:v>190086</x:v>
      </x:c>
      <x:c r="B3711" s="2" t="str">
        <x:v>NORTHERN LOUISIANA MEDICAL CENTER</x:v>
      </x:c>
      <x:c r="C3711" s="2" t="str">
        <x:v>RUSTON</x:v>
      </x:c>
      <x:c r="D3711" s="2" t="str">
        <x:v>LA</x:v>
      </x:c>
      <x:c r="E3711" s="2" t="str">
        <x:v>Acute Care Hospitals</x:v>
      </x:c>
      <x:c r="F3711" s="2" t="str">
        <x:v>Proprietary</x:v>
      </x:c>
      <x:c r="G3711" s="2" t="str">
        <x:v>Medium (100-299 beds)</x:v>
      </x:c>
      <x:c r="H3711" s="7" t="n">
        <x:v>2</x:v>
      </x:c>
      <x:c r="I3711" s="7" t="n">
        <x:v>2</x:v>
      </x:c>
      <x:c r="J3711" s="7" t="n">
        <x:v>1.32</x:v>
      </x:c>
      <x:c r="K3711" s="8" t="n">
        <x:v>122</x:v>
      </x:c>
      <x:c r="L3711" s="8" t="n">
        <x:v>2855</x:v>
      </x:c>
      <x:c r="M3711" s="9" t="n">
        <x:v>0.256606647</x:v>
      </x:c>
      <x:c r="N3711" s="10" t="n">
        <x:v>25576.0921190893</x:v>
      </x:c>
      <x:c r="O3711" s="9" t="n">
        <x:v>-0.1540667642</x:v>
      </x:c>
      <x:c r="P3711" s="9" t="n">
        <x:v>0.2485737571</x:v>
      </x:c>
      <x:c r="Q3711" s="9" t="n">
        <x:v>0.0782396088</x:v>
      </x:c>
      <x:c r="R3711" s="3" t="b">
        <x:v>0</x:v>
      </x:c>
      <x:c r="S3711" s="3" t="b">
        <x:v>1</x:v>
      </x:c>
      <x:c r="T3711" s="3" t="b">
        <x:v>0</x:v>
      </x:c>
      <x:c r="U3711" s="2" t="str">
        <x:f>IF(T3711=TRUE,"Priority review",IF(R3711=TRUE,"High cost",IF(S3711=TRUE,"Low quality","Benchmark")))</x:f>
        <x:v>Low quality</x:v>
      </x:c>
    </x:row>
    <x:row r="3712">
      <x:c r="A3712" s="2" t="str">
        <x:v>171353</x:v>
      </x:c>
      <x:c r="B3712" s="2" t="str">
        <x:v>PHILLIPS COUNTY HOSPITAL</x:v>
      </x:c>
      <x:c r="C3712" s="2" t="str">
        <x:v>PHILLIPSBURG</x:v>
      </x:c>
      <x:c r="D3712" s="2" t="str">
        <x:v>KS</x:v>
      </x:c>
      <x:c r="E3712" s="2" t="str">
        <x:v>Critical Access Hospitals</x:v>
      </x:c>
      <x:c r="F3712" s="2" t="str">
        <x:v>Government</x:v>
      </x:c>
      <x:c r="G3712" s="2" t="str">
        <x:v>Small (&lt;100 beds)</x:v>
      </x:c>
      <x:c r="H3712" s="7"/>
      <x:c r="I3712" s="7"/>
      <x:c r="J3712" s="7"/>
      <x:c r="K3712" s="8" t="n">
        <x:v>25</x:v>
      </x:c>
      <x:c r="L3712" s="8" t="n">
        <x:v>216</x:v>
      </x:c>
      <x:c r="M3712" s="9" t="n">
        <x:v>0.2953424658</x:v>
      </x:c>
      <x:c r="N3712" s="10" t="n">
        <x:v>87761.912037037</x:v>
      </x:c>
      <x:c r="O3712" s="9" t="n">
        <x:v>-0.1567637175</x:v>
      </x:c>
      <x:c r="P3712" s="9" t="n">
        <x:v>0.2483271375</x:v>
      </x:c>
      <x:c r="Q3712" s="9" t="n">
        <x:v>0.292936803</x:v>
      </x:c>
      <x:c r="R3712" s="3" t="b">
        <x:v>0</x:v>
      </x:c>
      <x:c r="S3712" s="3" t="b">
        <x:v>0</x:v>
      </x:c>
      <x:c r="T3712" s="3" t="b">
        <x:v>0</x:v>
      </x:c>
      <x:c r="U3712" s="2" t="str">
        <x:f>IF(T3712=TRUE,"Priority review",IF(R3712=TRUE,"High cost",IF(S3712=TRUE,"Low quality","Benchmark")))</x:f>
        <x:v>Benchmark</x:v>
      </x:c>
    </x:row>
    <x:row r="3713">
      <x:c r="A3713" s="2" t="str">
        <x:v>490101</x:v>
      </x:c>
      <x:c r="B3713" s="2" t="str">
        <x:v>INOVA FAIR OAKS HOSPITAL</x:v>
      </x:c>
      <x:c r="C3713" s="2" t="str">
        <x:v>FAIRFAX</x:v>
      </x:c>
      <x:c r="D3713" s="2" t="str">
        <x:v>VA</x:v>
      </x:c>
      <x:c r="E3713" s="2" t="str">
        <x:v>Acute Care Hospitals</x:v>
      </x:c>
      <x:c r="F3713" s="2" t="str">
        <x:v>Voluntary non-profit</x:v>
      </x:c>
      <x:c r="G3713" s="2" t="str">
        <x:v>Medium (100-299 beds)</x:v>
      </x:c>
      <x:c r="H3713" s="7" t="n">
        <x:v>5</x:v>
      </x:c>
      <x:c r="I3713" s="7" t="n">
        <x:v>4</x:v>
      </x:c>
      <x:c r="J3713" s="7" t="n">
        <x:v>0.93</x:v>
      </x:c>
      <x:c r="K3713" s="8" t="n">
        <x:v>174</x:v>
      </x:c>
      <x:c r="L3713" s="8" t="n">
        <x:v>11631</x:v>
      </x:c>
      <x:c r="M3713" s="9" t="n">
        <x:v>0.7306858866</x:v>
      </x:c>
      <x:c r="N3713" s="10" t="n">
        <x:v>25553.3611039464</x:v>
      </x:c>
      <x:c r="O3713" s="9" t="n">
        <x:v>0.369722817</x:v>
      </x:c>
      <x:c r="P3713" s="9" t="n">
        <x:v>0.2477587612</x:v>
      </x:c>
      <x:c r="Q3713" s="9" t="n">
        <x:v>0.8744906275</x:v>
      </x:c>
      <x:c r="R3713" s="3" t="b">
        <x:v>0</x:v>
      </x:c>
      <x:c r="S3713" s="3" t="b">
        <x:v>0</x:v>
      </x:c>
      <x:c r="T3713" s="3" t="b">
        <x:v>0</x:v>
      </x:c>
      <x:c r="U3713" s="2" t="str">
        <x:f>IF(T3713=TRUE,"Priority review",IF(R3713=TRUE,"High cost",IF(S3713=TRUE,"Low quality","Benchmark")))</x:f>
        <x:v>Benchmark</x:v>
      </x:c>
    </x:row>
    <x:row r="3714">
      <x:c r="A3714" s="2" t="str">
        <x:v>450194</x:v>
      </x:c>
      <x:c r="B3714" s="2" t="str">
        <x:v>UT HEALTH EAST TEXAS JACKSONVILLE HOSPITAL</x:v>
      </x:c>
      <x:c r="C3714" s="2" t="str">
        <x:v>JACKSONVILLE</x:v>
      </x:c>
      <x:c r="D3714" s="2" t="str">
        <x:v>TX</x:v>
      </x:c>
      <x:c r="E3714" s="2" t="str">
        <x:v>Acute Care Hospitals</x:v>
      </x:c>
      <x:c r="F3714" s="2" t="str">
        <x:v>Proprietary</x:v>
      </x:c>
      <x:c r="G3714" s="2" t="str">
        <x:v>Small (&lt;100 beds)</x:v>
      </x:c>
      <x:c r="H3714" s="7"/>
      <x:c r="I3714" s="7" t="n">
        <x:v>4</x:v>
      </x:c>
      <x:c r="J3714" s="7" t="n">
        <x:v>0.96</x:v>
      </x:c>
      <x:c r="K3714" s="8" t="n">
        <x:v>38</x:v>
      </x:c>
      <x:c r="L3714" s="8" t="n">
        <x:v>1313</x:v>
      </x:c>
      <x:c r="M3714" s="9" t="n">
        <x:v>0.3356341674</x:v>
      </x:c>
      <x:c r="N3714" s="10" t="n">
        <x:v>36605.8735719726</x:v>
      </x:c>
      <x:c r="O3714" s="9" t="n">
        <x:v>0.007687916</x:v>
      </x:c>
      <x:c r="P3714" s="9" t="n">
        <x:v>0.2477558348</x:v>
      </x:c>
      <x:c r="Q3714" s="9" t="n">
        <x:v>0.697486535</x:v>
      </x:c>
      <x:c r="R3714" s="3" t="b">
        <x:v>0</x:v>
      </x:c>
      <x:c r="S3714" s="3" t="b">
        <x:v>0</x:v>
      </x:c>
      <x:c r="T3714" s="3" t="b">
        <x:v>0</x:v>
      </x:c>
      <x:c r="U3714" s="2" t="str">
        <x:f>IF(T3714=TRUE,"Priority review",IF(R3714=TRUE,"High cost",IF(S3714=TRUE,"Low quality","Benchmark")))</x:f>
        <x:v>Benchmark</x:v>
      </x:c>
    </x:row>
    <x:row r="3715">
      <x:c r="A3715" s="2" t="str">
        <x:v>450231</x:v>
      </x:c>
      <x:c r="B3715" s="2" t="str">
        <x:v>BSA HOSPITAL</x:v>
      </x:c>
      <x:c r="C3715" s="2" t="str">
        <x:v>AMARILLO</x:v>
      </x:c>
      <x:c r="D3715" s="2" t="str">
        <x:v>TX</x:v>
      </x:c>
      <x:c r="E3715" s="2" t="str">
        <x:v>Acute Care Hospitals</x:v>
      </x:c>
      <x:c r="F3715" s="2" t="str">
        <x:v>Proprietary</x:v>
      </x:c>
      <x:c r="G3715" s="2" t="str">
        <x:v>Large (300+ beds)</x:v>
      </x:c>
      <x:c r="H3715" s="7" t="n">
        <x:v>2</x:v>
      </x:c>
      <x:c r="I3715" s="7" t="n">
        <x:v>3</x:v>
      </x:c>
      <x:c r="J3715" s="7" t="n">
        <x:v>1.06</x:v>
      </x:c>
      <x:c r="K3715" s="8" t="n">
        <x:v>357</x:v>
      </x:c>
      <x:c r="L3715" s="8" t="n">
        <x:v>22682</x:v>
      </x:c>
      <x:c r="M3715" s="9" t="n">
        <x:v>0.8189530963</x:v>
      </x:c>
      <x:c r="N3715" s="10" t="n">
        <x:v>28437.2433647826</x:v>
      </x:c>
      <x:c r="O3715" s="9" t="n">
        <x:v>0.0031049429</x:v>
      </x:c>
      <x:c r="P3715" s="9" t="n">
        <x:v>0.2476340694</x:v>
      </x:c>
      <x:c r="Q3715" s="9" t="n">
        <x:v>0.0536277603</x:v>
      </x:c>
      <x:c r="R3715" s="3" t="b">
        <x:v>0</x:v>
      </x:c>
      <x:c r="S3715" s="3" t="b">
        <x:v>1</x:v>
      </x:c>
      <x:c r="T3715" s="3" t="b">
        <x:v>0</x:v>
      </x:c>
      <x:c r="U3715" s="2" t="str">
        <x:f>IF(T3715=TRUE,"Priority review",IF(R3715=TRUE,"High cost",IF(S3715=TRUE,"Low quality","Benchmark")))</x:f>
        <x:v>Low quality</x:v>
      </x:c>
    </x:row>
    <x:row r="3716">
      <x:c r="A3716" s="2" t="str">
        <x:v>511315</x:v>
      </x:c>
      <x:c r="B3716" s="2" t="str">
        <x:v>POTOMAC VALLEY HOSPITAL</x:v>
      </x:c>
      <x:c r="C3716" s="2" t="str">
        <x:v>KEYSER</x:v>
      </x:c>
      <x:c r="D3716" s="2" t="str">
        <x:v>WV</x:v>
      </x:c>
      <x:c r="E3716" s="2" t="str">
        <x:v>Critical Access Hospitals</x:v>
      </x:c>
      <x:c r="F3716" s="2" t="str">
        <x:v>Voluntary non-profit</x:v>
      </x:c>
      <x:c r="G3716" s="2" t="str">
        <x:v>Small (&lt;100 beds)</x:v>
      </x:c>
      <x:c r="H3716" s="7" t="n">
        <x:v>1</x:v>
      </x:c>
      <x:c r="I3716" s="7" t="n">
        <x:v>5</x:v>
      </x:c>
      <x:c r="J3716" s="7"/>
      <x:c r="K3716" s="8" t="n">
        <x:v>25</x:v>
      </x:c>
      <x:c r="L3716" s="8" t="n">
        <x:v>955</x:v>
      </x:c>
      <x:c r="M3716" s="9" t="n">
        <x:v>0.4416393443</x:v>
      </x:c>
      <x:c r="N3716" s="10" t="n">
        <x:v>87741.0062827225</x:v>
      </x:c>
      <x:c r="O3716" s="9" t="n">
        <x:v>0.0280765602</x:v>
      </x:c>
      <x:c r="P3716" s="9" t="n">
        <x:v>0.2475836431</x:v>
      </x:c>
      <x:c r="Q3716" s="9" t="n">
        <x:v>0</x:v>
      </x:c>
      <x:c r="R3716" s="3" t="b">
        <x:v>0</x:v>
      </x:c>
      <x:c r="S3716" s="3" t="b">
        <x:v>1</x:v>
      </x:c>
      <x:c r="T3716" s="3" t="b">
        <x:v>0</x:v>
      </x:c>
      <x:c r="U3716" s="2" t="str">
        <x:f>IF(T3716=TRUE,"Priority review",IF(R3716=TRUE,"High cost",IF(S3716=TRUE,"Low quality","Benchmark")))</x:f>
        <x:v>Low quality</x:v>
      </x:c>
    </x:row>
    <x:row r="3717">
      <x:c r="A3717" s="2" t="str">
        <x:v>420070</x:v>
      </x:c>
      <x:c r="B3717" s="2" t="str">
        <x:v>PRISMA HEALTH TUOMEY HOSPITAL</x:v>
      </x:c>
      <x:c r="C3717" s="2" t="str">
        <x:v>SUMTER</x:v>
      </x:c>
      <x:c r="D3717" s="2" t="str">
        <x:v>SC</x:v>
      </x:c>
      <x:c r="E3717" s="2" t="str">
        <x:v>Acute Care Hospitals</x:v>
      </x:c>
      <x:c r="F3717" s="2" t="str">
        <x:v>Voluntary non-profit</x:v>
      </x:c>
      <x:c r="G3717" s="2" t="str">
        <x:v>Medium (100-299 beds)</x:v>
      </x:c>
      <x:c r="H3717" s="7" t="n">
        <x:v>3</x:v>
      </x:c>
      <x:c r="I3717" s="7" t="n">
        <x:v>3</x:v>
      </x:c>
      <x:c r="J3717" s="7" t="n">
        <x:v>0.95</x:v>
      </x:c>
      <x:c r="K3717" s="8" t="n">
        <x:v>155</x:v>
      </x:c>
      <x:c r="L3717" s="8" t="n">
        <x:v>8221</x:v>
      </x:c>
      <x:c r="M3717" s="9" t="n">
        <x:v>0.5967918209</x:v>
      </x:c>
      <x:c r="N3717" s="10" t="n">
        <x:v>25541.4726918866</x:v>
      </x:c>
      <x:c r="O3717" s="9" t="n">
        <x:v>-0.0292761017</x:v>
      </x:c>
      <x:c r="P3717" s="9" t="n">
        <x:v>0.2469437653</x:v>
      </x:c>
      <x:c r="Q3717" s="9" t="n">
        <x:v>0.3023634882</x:v>
      </x:c>
      <x:c r="R3717" s="3" t="b">
        <x:v>0</x:v>
      </x:c>
      <x:c r="S3717" s="3" t="b">
        <x:v>0</x:v>
      </x:c>
      <x:c r="T3717" s="3" t="b">
        <x:v>0</x:v>
      </x:c>
      <x:c r="U3717" s="2" t="str">
        <x:f>IF(T3717=TRUE,"Priority review",IF(R3717=TRUE,"High cost",IF(S3717=TRUE,"Low quality","Benchmark")))</x:f>
        <x:v>Benchmark</x:v>
      </x:c>
    </x:row>
    <x:row r="3718">
      <x:c r="A3718" s="2" t="str">
        <x:v>490144</x:v>
      </x:c>
      <x:c r="B3718" s="2" t="str">
        <x:v>UVA HEALTH HAYMARKET MEDICAL CENTER</x:v>
      </x:c>
      <x:c r="C3718" s="2" t="str">
        <x:v>HAYMARKET</x:v>
      </x:c>
      <x:c r="D3718" s="2" t="str">
        <x:v>VA</x:v>
      </x:c>
      <x:c r="E3718" s="2" t="str">
        <x:v>Acute Care Hospitals</x:v>
      </x:c>
      <x:c r="F3718" s="2" t="str">
        <x:v>Voluntary non-profit</x:v>
      </x:c>
      <x:c r="G3718" s="2" t="str">
        <x:v>Small (&lt;100 beds)</x:v>
      </x:c>
      <x:c r="H3718" s="7" t="n">
        <x:v>4</x:v>
      </x:c>
      <x:c r="I3718" s="7" t="n">
        <x:v>4</x:v>
      </x:c>
      <x:c r="J3718" s="7" t="n">
        <x:v>0.96</x:v>
      </x:c>
      <x:c r="K3718" s="8" t="n">
        <x:v>44</x:v>
      </x:c>
      <x:c r="L3718" s="8" t="n">
        <x:v>2509</x:v>
      </x:c>
      <x:c r="M3718" s="9" t="n">
        <x:v>0.5593399751</x:v>
      </x:c>
      <x:c r="N3718" s="10" t="n">
        <x:v>36563.3714627342</x:v>
      </x:c>
      <x:c r="O3718" s="9" t="n">
        <x:v>0.1847663657</x:v>
      </x:c>
      <x:c r="P3718" s="9" t="n">
        <x:v>0.2468581688</x:v>
      </x:c>
      <x:c r="Q3718" s="9" t="n">
        <x:v>0.3913824057</x:v>
      </x:c>
      <x:c r="R3718" s="3" t="b">
        <x:v>0</x:v>
      </x:c>
      <x:c r="S3718" s="3" t="b">
        <x:v>0</x:v>
      </x:c>
      <x:c r="T3718" s="3" t="b">
        <x:v>0</x:v>
      </x:c>
      <x:c r="U3718" s="2" t="str">
        <x:f>IF(T3718=TRUE,"Priority review",IF(R3718=TRUE,"High cost",IF(S3718=TRUE,"Low quality","Benchmark")))</x:f>
        <x:v>Benchmark</x:v>
      </x:c>
    </x:row>
    <x:row r="3719">
      <x:c r="A3719" s="2" t="str">
        <x:v>031304</x:v>
      </x:c>
      <x:c r="B3719" s="2" t="str">
        <x:v>PAGE HOSPITAL</x:v>
      </x:c>
      <x:c r="C3719" s="2" t="str">
        <x:v>PAGE</x:v>
      </x:c>
      <x:c r="D3719" s="2" t="str">
        <x:v>AZ</x:v>
      </x:c>
      <x:c r="E3719" s="2" t="str">
        <x:v>Critical Access Hospitals</x:v>
      </x:c>
      <x:c r="F3719" s="2" t="str">
        <x:v>Government</x:v>
      </x:c>
      <x:c r="G3719" s="2" t="str">
        <x:v>Small (&lt;100 beds)</x:v>
      </x:c>
      <x:c r="H3719" s="7"/>
      <x:c r="I3719" s="7"/>
      <x:c r="J3719" s="7"/>
      <x:c r="K3719" s="8" t="n">
        <x:v>25</x:v>
      </x:c>
      <x:c r="L3719" s="8" t="n">
        <x:v>284</x:v>
      </x:c>
      <x:c r="M3719" s="9" t="n">
        <x:v>0.0956284153</x:v>
      </x:c>
      <x:c r="N3719" s="10" t="n">
        <x:v>87725.9929577465</x:v>
      </x:c>
      <x:c r="O3719" s="9" t="n">
        <x:v>-0.0566951352</x:v>
      </x:c>
      <x:c r="P3719" s="9" t="n">
        <x:v>0.2468401487</x:v>
      </x:c>
      <x:c r="Q3719" s="9" t="n">
        <x:v>0.292936803</x:v>
      </x:c>
      <x:c r="R3719" s="3" t="b">
        <x:v>0</x:v>
      </x:c>
      <x:c r="S3719" s="3" t="b">
        <x:v>0</x:v>
      </x:c>
      <x:c r="T3719" s="3" t="b">
        <x:v>0</x:v>
      </x:c>
      <x:c r="U3719" s="2" t="str">
        <x:f>IF(T3719=TRUE,"Priority review",IF(R3719=TRUE,"High cost",IF(S3719=TRUE,"Low quality","Benchmark")))</x:f>
        <x:v>Benchmark</x:v>
      </x:c>
    </x:row>
    <x:row r="3720">
      <x:c r="A3720" s="2" t="str">
        <x:v>440065</x:v>
      </x:c>
      <x:c r="B3720" s="2" t="str">
        <x:v>TRISTAR NORTHCREST MEDICAL CENTER</x:v>
      </x:c>
      <x:c r="C3720" s="2" t="str">
        <x:v>SPRINGFIELD</x:v>
      </x:c>
      <x:c r="D3720" s="2" t="str">
        <x:v>TN</x:v>
      </x:c>
      <x:c r="E3720" s="2" t="str">
        <x:v>Acute Care Hospitals</x:v>
      </x:c>
      <x:c r="F3720" s="2" t="str">
        <x:v>Voluntary non-profit</x:v>
      </x:c>
      <x:c r="G3720" s="2" t="str">
        <x:v>Medium (100-299 beds)</x:v>
      </x:c>
      <x:c r="H3720" s="7" t="n">
        <x:v>3</x:v>
      </x:c>
      <x:c r="I3720" s="7" t="n">
        <x:v>4</x:v>
      </x:c>
      <x:c r="J3720" s="7" t="n">
        <x:v>0.95</x:v>
      </x:c>
      <x:c r="K3720" s="8" t="n">
        <x:v>109</x:v>
      </x:c>
      <x:c r="L3720" s="8" t="n">
        <x:v>3481</x:v>
      </x:c>
      <x:c r="M3720" s="9" t="n">
        <x:v>0.3153198442</x:v>
      </x:c>
      <x:c r="N3720" s="10" t="n">
        <x:v>25517.1289859236</x:v>
      </x:c>
      <x:c r="O3720" s="9" t="n">
        <x:v>-0.1103021531</x:v>
      </x:c>
      <x:c r="P3720" s="9" t="n">
        <x:v>0.2461287694</x:v>
      </x:c>
      <x:c r="Q3720" s="9" t="n">
        <x:v>0.3023634882</x:v>
      </x:c>
      <x:c r="R3720" s="3" t="b">
        <x:v>0</x:v>
      </x:c>
      <x:c r="S3720" s="3" t="b">
        <x:v>0</x:v>
      </x:c>
      <x:c r="T3720" s="3" t="b">
        <x:v>0</x:v>
      </x:c>
      <x:c r="U3720" s="2" t="str">
        <x:f>IF(T3720=TRUE,"Priority review",IF(R3720=TRUE,"High cost",IF(S3720=TRUE,"Low quality","Benchmark")))</x:f>
        <x:v>Benchmark</x:v>
      </x:c>
    </x:row>
    <x:row r="3721">
      <x:c r="A3721" s="2" t="str">
        <x:v>431301</x:v>
      </x:c>
      <x:c r="B3721" s="2" t="str">
        <x:v>FAULKTON AREA MEDICAL CENTER</x:v>
      </x:c>
      <x:c r="C3721" s="2" t="str">
        <x:v>FAULKTON</x:v>
      </x:c>
      <x:c r="D3721" s="2" t="str">
        <x:v>SD</x:v>
      </x:c>
      <x:c r="E3721" s="2" t="str">
        <x:v>Critical Access Hospitals</x:v>
      </x:c>
      <x:c r="F3721" s="2" t="str">
        <x:v>Voluntary non-profit</x:v>
      </x:c>
      <x:c r="G3721" s="2" t="str">
        <x:v>Small (&lt;100 beds)</x:v>
      </x:c>
      <x:c r="H3721" s="7"/>
      <x:c r="I3721" s="7"/>
      <x:c r="J3721" s="7"/>
      <x:c r="K3721" s="8" t="n">
        <x:v>12</x:v>
      </x:c>
      <x:c r="L3721" s="8" t="n">
        <x:v>139</x:v>
      </x:c>
      <x:c r="M3721" s="9" t="n">
        <x:v>0.1641621129</x:v>
      </x:c>
      <x:c r="N3721" s="10" t="n">
        <x:v>87716.6690647482</x:v>
      </x:c>
      <x:c r="O3721" s="9" t="n">
        <x:v>-0.0724165586</x:v>
      </x:c>
      <x:c r="P3721" s="9" t="n">
        <x:v>0.2460966543</x:v>
      </x:c>
      <x:c r="Q3721" s="9" t="n">
        <x:v>0.292936803</x:v>
      </x:c>
      <x:c r="R3721" s="3" t="b">
        <x:v>0</x:v>
      </x:c>
      <x:c r="S3721" s="3" t="b">
        <x:v>0</x:v>
      </x:c>
      <x:c r="T3721" s="3" t="b">
        <x:v>0</x:v>
      </x:c>
      <x:c r="U3721" s="2" t="str">
        <x:f>IF(T3721=TRUE,"Priority review",IF(R3721=TRUE,"High cost",IF(S3721=TRUE,"Low quality","Benchmark")))</x:f>
        <x:v>Benchmark</x:v>
      </x:c>
    </x:row>
    <x:row r="3722">
      <x:c r="A3722" s="2" t="str">
        <x:v>260020</x:v>
      </x:c>
      <x:c r="B3722" s="2" t="str">
        <x:v>MERCY HOSPITAL ST LOUIS</x:v>
      </x:c>
      <x:c r="C3722" s="2" t="str">
        <x:v>SAINT LOUIS</x:v>
      </x:c>
      <x:c r="D3722" s="2" t="str">
        <x:v>MO</x:v>
      </x:c>
      <x:c r="E3722" s="2" t="str">
        <x:v>Acute Care Hospitals</x:v>
      </x:c>
      <x:c r="F3722" s="2" t="str">
        <x:v>Voluntary non-profit</x:v>
      </x:c>
      <x:c r="G3722" s="2" t="str">
        <x:v>Large (300+ beds)</x:v>
      </x:c>
      <x:c r="H3722" s="7" t="n">
        <x:v>4</x:v>
      </x:c>
      <x:c r="I3722" s="7" t="n">
        <x:v>3</x:v>
      </x:c>
      <x:c r="J3722" s="7" t="n">
        <x:v>1.01</x:v>
      </x:c>
      <x:c r="K3722" s="8" t="n">
        <x:v>782</x:v>
      </x:c>
      <x:c r="L3722" s="8" t="n">
        <x:v>49752</x:v>
      </x:c>
      <x:c r="M3722" s="9" t="n">
        <x:v>0.8025330204</x:v>
      </x:c>
      <x:c r="N3722" s="10" t="n">
        <x:v>28431.2848327705</x:v>
      </x:c>
      <x:c r="O3722" s="9" t="n">
        <x:v>0.1017858496</x:v>
      </x:c>
      <x:c r="P3722" s="9" t="n">
        <x:v>0.2460567823</x:v>
      </x:c>
      <x:c r="Q3722" s="9" t="n">
        <x:v>0.5899053628</x:v>
      </x:c>
      <x:c r="R3722" s="3" t="b">
        <x:v>0</x:v>
      </x:c>
      <x:c r="S3722" s="3" t="b">
        <x:v>0</x:v>
      </x:c>
      <x:c r="T3722" s="3" t="b">
        <x:v>0</x:v>
      </x:c>
      <x:c r="U3722" s="2" t="str">
        <x:f>IF(T3722=TRUE,"Priority review",IF(R3722=TRUE,"High cost",IF(S3722=TRUE,"Low quality","Benchmark")))</x:f>
        <x:v>Benchmark</x:v>
      </x:c>
    </x:row>
    <x:row r="3723">
      <x:c r="A3723" s="2" t="str">
        <x:v>130013</x:v>
      </x:c>
      <x:c r="B3723" s="2" t="str">
        <x:v>SAINT ALPHONSUS MEDICAL CENTER - NAMPA</x:v>
      </x:c>
      <x:c r="C3723" s="2" t="str">
        <x:v>NAMPA</x:v>
      </x:c>
      <x:c r="D3723" s="2" t="str">
        <x:v>ID</x:v>
      </x:c>
      <x:c r="E3723" s="2" t="str">
        <x:v>Acute Care Hospitals</x:v>
      </x:c>
      <x:c r="F3723" s="2" t="str">
        <x:v>Voluntary non-profit</x:v>
      </x:c>
      <x:c r="G3723" s="2" t="str">
        <x:v>Small (&lt;100 beds)</x:v>
      </x:c>
      <x:c r="H3723" s="7" t="n">
        <x:v>3</x:v>
      </x:c>
      <x:c r="I3723" s="7" t="n">
        <x:v>4</x:v>
      </x:c>
      <x:c r="J3723" s="7" t="n">
        <x:v>0.98</x:v>
      </x:c>
      <x:c r="K3723" s="8" t="n">
        <x:v>96</x:v>
      </x:c>
      <x:c r="L3723" s="8" t="n">
        <x:v>7948</x:v>
      </x:c>
      <x:c r="M3723" s="9" t="n">
        <x:v>0.7662671233</x:v>
      </x:c>
      <x:c r="N3723" s="10" t="n">
        <x:v>36557.5493205838</x:v>
      </x:c>
      <x:c r="O3723" s="9" t="n">
        <x:v>0.1394247169</x:v>
      </x:c>
      <x:c r="P3723" s="9" t="n">
        <x:v>0.2459605027</x:v>
      </x:c>
      <x:c r="Q3723" s="9" t="n">
        <x:v>0.1687612208</x:v>
      </x:c>
      <x:c r="R3723" s="3" t="b">
        <x:v>0</x:v>
      </x:c>
      <x:c r="S3723" s="3" t="b">
        <x:v>0</x:v>
      </x:c>
      <x:c r="T3723" s="3" t="b">
        <x:v>0</x:v>
      </x:c>
      <x:c r="U3723" s="2" t="str">
        <x:f>IF(T3723=TRUE,"Priority review",IF(R3723=TRUE,"High cost",IF(S3723=TRUE,"Low quality","Benchmark")))</x:f>
        <x:v>Benchmark</x:v>
      </x:c>
    </x:row>
    <x:row r="3724">
      <x:c r="A3724" s="2" t="str">
        <x:v>054130</x:v>
      </x:c>
      <x:c r="B3724" s="2" t="str">
        <x:v>PACIFIC GROVE HOSPITAL</x:v>
      </x:c>
      <x:c r="C3724" s="2" t="str">
        <x:v>RIVERSIDE</x:v>
      </x:c>
      <x:c r="D3724" s="2" t="str">
        <x:v>CA</x:v>
      </x:c>
      <x:c r="E3724" s="2" t="str">
        <x:v>Psychiatric</x:v>
      </x:c>
      <x:c r="F3724" s="2" t="str">
        <x:v>Proprietary</x:v>
      </x:c>
      <x:c r="G3724" s="2" t="str">
        <x:v>Small (&lt;100 beds)</x:v>
      </x:c>
      <x:c r="H3724" s="7"/>
      <x:c r="I3724" s="7"/>
      <x:c r="J3724" s="7"/>
      <x:c r="K3724" s="8" t="n">
        <x:v>68</x:v>
      </x:c>
      <x:c r="L3724" s="8" t="n">
        <x:v>3114</x:v>
      </x:c>
      <x:c r="M3724" s="9" t="n">
        <x:v>0.9648023144</x:v>
      </x:c>
      <x:c r="N3724" s="10" t="n">
        <x:v>8231.8824662813</x:v>
      </x:c>
      <x:c r="O3724" s="9" t="n">
        <x:v>0.0859669345</x:v>
      </x:c>
      <x:c r="P3724" s="9" t="n">
        <x:v>0.2459546926</x:v>
      </x:c>
      <x:c r="Q3724" s="9" t="n">
        <x:v>0</x:v>
      </x:c>
      <x:c r="R3724" s="3" t="b">
        <x:v>0</x:v>
      </x:c>
      <x:c r="S3724" s="3" t="b">
        <x:v>0</x:v>
      </x:c>
      <x:c r="T3724" s="3" t="b">
        <x:v>0</x:v>
      </x:c>
      <x:c r="U3724" s="2" t="str">
        <x:f>IF(T3724=TRUE,"Priority review",IF(R3724=TRUE,"High cost",IF(S3724=TRUE,"Low quality","Benchmark")))</x:f>
        <x:v>Benchmark</x:v>
      </x:c>
    </x:row>
    <x:row r="3725">
      <x:c r="A3725" s="2" t="str">
        <x:v>231337</x:v>
      </x:c>
      <x:c r="B3725" s="2" t="str">
        <x:v>OSF ST FRANCIS HOSPITAL AND MEDICAL GROUP</x:v>
      </x:c>
      <x:c r="C3725" s="2" t="str">
        <x:v>ESCANABA</x:v>
      </x:c>
      <x:c r="D3725" s="2" t="str">
        <x:v>MI</x:v>
      </x:c>
      <x:c r="E3725" s="2" t="str">
        <x:v>Critical Access Hospitals</x:v>
      </x:c>
      <x:c r="F3725" s="2" t="str">
        <x:v>Voluntary non-profit</x:v>
      </x:c>
      <x:c r="G3725" s="2" t="str">
        <x:v>Small (&lt;100 beds)</x:v>
      </x:c>
      <x:c r="H3725" s="7" t="n">
        <x:v>4</x:v>
      </x:c>
      <x:c r="I3725" s="7" t="n">
        <x:v>4</x:v>
      </x:c>
      <x:c r="J3725" s="7"/>
      <x:c r="K3725" s="8" t="n">
        <x:v>25</x:v>
      </x:c>
      <x:c r="L3725" s="8" t="n">
        <x:v>1356</x:v>
      </x:c>
      <x:c r="M3725" s="9" t="n">
        <x:v>0.5504918033</x:v>
      </x:c>
      <x:c r="N3725" s="10" t="n">
        <x:v>87681.1828908555</x:v>
      </x:c>
      <x:c r="O3725" s="9" t="n">
        <x:v>0.0336648048</x:v>
      </x:c>
      <x:c r="P3725" s="9" t="n">
        <x:v>0.2453531599</x:v>
      </x:c>
      <x:c r="Q3725" s="9" t="n">
        <x:v>0.1657992565</x:v>
      </x:c>
      <x:c r="R3725" s="3" t="b">
        <x:v>0</x:v>
      </x:c>
      <x:c r="S3725" s="3" t="b">
        <x:v>0</x:v>
      </x:c>
      <x:c r="T3725" s="3" t="b">
        <x:v>0</x:v>
      </x:c>
      <x:c r="U3725" s="2" t="str">
        <x:f>IF(T3725=TRUE,"Priority review",IF(R3725=TRUE,"High cost",IF(S3725=TRUE,"Low quality","Benchmark")))</x:f>
        <x:v>Benchmark</x:v>
      </x:c>
    </x:row>
    <x:row r="3726">
      <x:c r="A3726" s="2" t="str">
        <x:v>030094</x:v>
      </x:c>
      <x:c r="B3726" s="2" t="str">
        <x:v>ABRAZO ARROWHEAD HOSPITAL</x:v>
      </x:c>
      <x:c r="C3726" s="2" t="str">
        <x:v>GLENDALE</x:v>
      </x:c>
      <x:c r="D3726" s="2" t="str">
        <x:v>AZ</x:v>
      </x:c>
      <x:c r="E3726" s="2" t="str">
        <x:v>Acute Care Hospitals</x:v>
      </x:c>
      <x:c r="F3726" s="2" t="str">
        <x:v>Proprietary</x:v>
      </x:c>
      <x:c r="G3726" s="2" t="str">
        <x:v>Medium (100-299 beds)</x:v>
      </x:c>
      <x:c r="H3726" s="7" t="n">
        <x:v>2</x:v>
      </x:c>
      <x:c r="I3726" s="7" t="n">
        <x:v>2</x:v>
      </x:c>
      <x:c r="J3726" s="7" t="n">
        <x:v>1.02</x:v>
      </x:c>
      <x:c r="K3726" s="8" t="n">
        <x:v>282</x:v>
      </x:c>
      <x:c r="L3726" s="8" t="n">
        <x:v>16176</x:v>
      </x:c>
      <x:c r="M3726" s="9" t="n">
        <x:v>0.6290974449</x:v>
      </x:c>
      <x:c r="N3726" s="10" t="n">
        <x:v>25505.3040924827</x:v>
      </x:c>
      <x:c r="O3726" s="9" t="n">
        <x:v>0.142796301</x:v>
      </x:c>
      <x:c r="P3726" s="9" t="n">
        <x:v>0.2453137734</x:v>
      </x:c>
      <x:c r="Q3726" s="9" t="n">
        <x:v>0.0782396088</x:v>
      </x:c>
      <x:c r="R3726" s="3" t="b">
        <x:v>0</x:v>
      </x:c>
      <x:c r="S3726" s="3" t="b">
        <x:v>1</x:v>
      </x:c>
      <x:c r="T3726" s="3" t="b">
        <x:v>0</x:v>
      </x:c>
      <x:c r="U3726" s="2" t="str">
        <x:f>IF(T3726=TRUE,"Priority review",IF(R3726=TRUE,"High cost",IF(S3726=TRUE,"Low quality","Benchmark")))</x:f>
        <x:v>Low quality</x:v>
      </x:c>
    </x:row>
    <x:row r="3727">
      <x:c r="A3727" s="2" t="str">
        <x:v>320074</x:v>
      </x:c>
      <x:c r="B3727" s="2" t="str">
        <x:v>LOVELACE WESTSIDE HOSPITAL</x:v>
      </x:c>
      <x:c r="C3727" s="2" t="str">
        <x:v>ALBUQUERQUE</x:v>
      </x:c>
      <x:c r="D3727" s="2" t="str">
        <x:v>NM</x:v>
      </x:c>
      <x:c r="E3727" s="2" t="str">
        <x:v>Acute Care Hospitals</x:v>
      </x:c>
      <x:c r="F3727" s="2" t="str">
        <x:v>Proprietary</x:v>
      </x:c>
      <x:c r="G3727" s="2" t="str">
        <x:v>Small (&lt;100 beds)</x:v>
      </x:c>
      <x:c r="H3727" s="7" t="n">
        <x:v>4</x:v>
      </x:c>
      <x:c r="I3727" s="7" t="n">
        <x:v>3</x:v>
      </x:c>
      <x:c r="J3727" s="7" t="n">
        <x:v>1</x:v>
      </x:c>
      <x:c r="K3727" s="8" t="n">
        <x:v>92</x:v>
      </x:c>
      <x:c r="L3727" s="8" t="n">
        <x:v>1901</x:v>
      </x:c>
      <x:c r="M3727" s="9" t="n">
        <x:v>0.2365169874</x:v>
      </x:c>
      <x:c r="N3727" s="10" t="n">
        <x:v>36540.8837453972</x:v>
      </x:c>
      <x:c r="O3727" s="9" t="n">
        <x:v>0.160374471</x:v>
      </x:c>
      <x:c r="P3727" s="9" t="n">
        <x:v>0.2450628366</x:v>
      </x:c>
      <x:c r="Q3727" s="9" t="n">
        <x:v>0.3913824057</x:v>
      </x:c>
      <x:c r="R3727" s="3" t="b">
        <x:v>0</x:v>
      </x:c>
      <x:c r="S3727" s="3" t="b">
        <x:v>0</x:v>
      </x:c>
      <x:c r="T3727" s="3" t="b">
        <x:v>0</x:v>
      </x:c>
      <x:c r="U3727" s="2" t="str">
        <x:f>IF(T3727=TRUE,"Priority review",IF(R3727=TRUE,"High cost",IF(S3727=TRUE,"Low quality","Benchmark")))</x:f>
        <x:v>Benchmark</x:v>
      </x:c>
    </x:row>
    <x:row r="3728">
      <x:c r="A3728" s="2" t="str">
        <x:v>241367</x:v>
      </x:c>
      <x:c r="B3728" s="2" t="str">
        <x:v>WELIA HEALTH</x:v>
      </x:c>
      <x:c r="C3728" s="2" t="str">
        <x:v>MORA</x:v>
      </x:c>
      <x:c r="D3728" s="2" t="str">
        <x:v>MN</x:v>
      </x:c>
      <x:c r="E3728" s="2" t="str">
        <x:v>Critical Access Hospitals</x:v>
      </x:c>
      <x:c r="F3728" s="2" t="str">
        <x:v>Government</x:v>
      </x:c>
      <x:c r="G3728" s="2" t="str">
        <x:v>Small (&lt;100 beds)</x:v>
      </x:c>
      <x:c r="H3728" s="7" t="n">
        <x:v>3</x:v>
      </x:c>
      <x:c r="I3728" s="7" t="n">
        <x:v>5</x:v>
      </x:c>
      <x:c r="J3728" s="7"/>
      <x:c r="K3728" s="8" t="n">
        <x:v>25</x:v>
      </x:c>
      <x:c r="L3728" s="8" t="n">
        <x:v>1390</x:v>
      </x:c>
      <x:c r="M3728" s="9" t="n">
        <x:v>0.4099726027</x:v>
      </x:c>
      <x:c r="N3728" s="10" t="n">
        <x:v>87626.8316546763</x:v>
      </x:c>
      <x:c r="O3728" s="9" t="n">
        <x:v>-0.0654899118</x:v>
      </x:c>
      <x:c r="P3728" s="9" t="n">
        <x:v>0.2446096654</x:v>
      </x:c>
      <x:c r="Q3728" s="9" t="n">
        <x:v>0.0765799257</x:v>
      </x:c>
      <x:c r="R3728" s="3" t="b">
        <x:v>0</x:v>
      </x:c>
      <x:c r="S3728" s="3" t="b">
        <x:v>1</x:v>
      </x:c>
      <x:c r="T3728" s="3" t="b">
        <x:v>0</x:v>
      </x:c>
      <x:c r="U3728" s="2" t="str">
        <x:f>IF(T3728=TRUE,"Priority review",IF(R3728=TRUE,"High cost",IF(S3728=TRUE,"Low quality","Benchmark")))</x:f>
        <x:v>Low quality</x:v>
      </x:c>
    </x:row>
    <x:row r="3729">
      <x:c r="A3729" s="2" t="str">
        <x:v>460047</x:v>
      </x:c>
      <x:c r="B3729" s="2" t="str">
        <x:v>ST MARK'S HOSPITAL</x:v>
      </x:c>
      <x:c r="C3729" s="2" t="str">
        <x:v>SALT LAKE CITY</x:v>
      </x:c>
      <x:c r="D3729" s="2" t="str">
        <x:v>UT</x:v>
      </x:c>
      <x:c r="E3729" s="2" t="str">
        <x:v>Acute Care Hospitals</x:v>
      </x:c>
      <x:c r="F3729" s="2" t="str">
        <x:v>Proprietary</x:v>
      </x:c>
      <x:c r="G3729" s="2" t="str">
        <x:v>Medium (100-299 beds)</x:v>
      </x:c>
      <x:c r="H3729" s="7" t="n">
        <x:v>4</x:v>
      </x:c>
      <x:c r="I3729" s="7" t="n">
        <x:v>3</x:v>
      </x:c>
      <x:c r="J3729" s="7" t="n">
        <x:v>1.04</x:v>
      </x:c>
      <x:c r="K3729" s="8" t="n">
        <x:v>293</x:v>
      </x:c>
      <x:c r="L3729" s="8" t="n">
        <x:v>13102</x:v>
      </x:c>
      <x:c r="M3729" s="9" t="n">
        <x:v>0.5239329047</x:v>
      </x:c>
      <x:c r="N3729" s="10" t="n">
        <x:v>25496.0172492749</x:v>
      </x:c>
      <x:c r="O3729" s="9" t="n">
        <x:v>0.4740759922</x:v>
      </x:c>
      <x:c r="P3729" s="9" t="n">
        <x:v>0.2444987775</x:v>
      </x:c>
      <x:c r="Q3729" s="9" t="n">
        <x:v>0.6022819886</x:v>
      </x:c>
      <x:c r="R3729" s="3" t="b">
        <x:v>0</x:v>
      </x:c>
      <x:c r="S3729" s="3" t="b">
        <x:v>0</x:v>
      </x:c>
      <x:c r="T3729" s="3" t="b">
        <x:v>0</x:v>
      </x:c>
      <x:c r="U3729" s="2" t="str">
        <x:f>IF(T3729=TRUE,"Priority review",IF(R3729=TRUE,"High cost",IF(S3729=TRUE,"Low quality","Benchmark")))</x:f>
        <x:v>Benchmark</x:v>
      </x:c>
    </x:row>
    <x:row r="3730">
      <x:c r="A3730" s="2" t="str">
        <x:v>170122</x:v>
      </x:c>
      <x:c r="B3730" s="2" t="str">
        <x:v>ASCENSION VIA CHRISTI HOSPITALS WICHITA, INC.</x:v>
      </x:c>
      <x:c r="C3730" s="2" t="str">
        <x:v>WICHITA</x:v>
      </x:c>
      <x:c r="D3730" s="2" t="str">
        <x:v>KS</x:v>
      </x:c>
      <x:c r="E3730" s="2" t="str">
        <x:v>Acute Care Hospitals</x:v>
      </x:c>
      <x:c r="F3730" s="2" t="str">
        <x:v>Voluntary non-profit</x:v>
      </x:c>
      <x:c r="G3730" s="2" t="str">
        <x:v>Large (300+ beds)</x:v>
      </x:c>
      <x:c r="H3730" s="7" t="n">
        <x:v>2</x:v>
      </x:c>
      <x:c r="I3730" s="7" t="n">
        <x:v>2</x:v>
      </x:c>
      <x:c r="J3730" s="7" t="n">
        <x:v>0.96</x:v>
      </x:c>
      <x:c r="K3730" s="8" t="n">
        <x:v>641</x:v>
      </x:c>
      <x:c r="L3730" s="8" t="n">
        <x:v>27121</x:v>
      </x:c>
      <x:c r="M3730" s="9" t="n">
        <x:v>0.6837548912</x:v>
      </x:c>
      <x:c r="N3730" s="10" t="n">
        <x:v>28390.5532981822</x:v>
      </x:c>
      <x:c r="O3730" s="9" t="n">
        <x:v>-0.0984520472</x:v>
      </x:c>
      <x:c r="P3730" s="9" t="n">
        <x:v>0.2444794953</x:v>
      </x:c>
      <x:c r="Q3730" s="9" t="n">
        <x:v>0.0536277603</x:v>
      </x:c>
      <x:c r="R3730" s="3" t="b">
        <x:v>0</x:v>
      </x:c>
      <x:c r="S3730" s="3" t="b">
        <x:v>1</x:v>
      </x:c>
      <x:c r="T3730" s="3" t="b">
        <x:v>0</x:v>
      </x:c>
      <x:c r="U3730" s="2" t="str">
        <x:f>IF(T3730=TRUE,"Priority review",IF(R3730=TRUE,"High cost",IF(S3730=TRUE,"Low quality","Benchmark")))</x:f>
        <x:v>Low quality</x:v>
      </x:c>
    </x:row>
    <x:row r="3731">
      <x:c r="A3731" s="2" t="str">
        <x:v>450395</x:v>
      </x:c>
      <x:c r="B3731" s="2" t="str">
        <x:v>CHI ST LUKES HEALTH MEMORIAL LIVINGSTON</x:v>
      </x:c>
      <x:c r="C3731" s="2" t="str">
        <x:v>LIVINGSTON</x:v>
      </x:c>
      <x:c r="D3731" s="2" t="str">
        <x:v>TX</x:v>
      </x:c>
      <x:c r="E3731" s="2" t="str">
        <x:v>Acute Care Hospitals</x:v>
      </x:c>
      <x:c r="F3731" s="2" t="str">
        <x:v>Voluntary non-profit</x:v>
      </x:c>
      <x:c r="G3731" s="2" t="str">
        <x:v>Small (&lt;100 beds)</x:v>
      </x:c>
      <x:c r="H3731" s="7" t="n">
        <x:v>4</x:v>
      </x:c>
      <x:c r="I3731" s="7" t="n">
        <x:v>4</x:v>
      </x:c>
      <x:c r="J3731" s="7" t="n">
        <x:v>0.97</x:v>
      </x:c>
      <x:c r="K3731" s="8" t="n">
        <x:v>66</x:v>
      </x:c>
      <x:c r="L3731" s="8" t="n">
        <x:v>1639</x:v>
      </x:c>
      <x:c r="M3731" s="9" t="n">
        <x:v>0.2140722291</x:v>
      </x:c>
      <x:c r="N3731" s="10" t="n">
        <x:v>36424.269066504</x:v>
      </x:c>
      <x:c r="O3731" s="9" t="n">
        <x:v>-0.0251008786</x:v>
      </x:c>
      <x:c r="P3731" s="9" t="n">
        <x:v>0.2441651706</x:v>
      </x:c>
      <x:c r="Q3731" s="9" t="n">
        <x:v>0.3913824057</x:v>
      </x:c>
      <x:c r="R3731" s="3" t="b">
        <x:v>0</x:v>
      </x:c>
      <x:c r="S3731" s="3" t="b">
        <x:v>0</x:v>
      </x:c>
      <x:c r="T3731" s="3" t="b">
        <x:v>0</x:v>
      </x:c>
      <x:c r="U3731" s="2" t="str">
        <x:f>IF(T3731=TRUE,"Priority review",IF(R3731=TRUE,"High cost",IF(S3731=TRUE,"Low quality","Benchmark")))</x:f>
        <x:v>Benchmark</x:v>
      </x:c>
    </x:row>
    <x:row r="3732">
      <x:c r="A3732" s="2" t="str">
        <x:v>451323</x:v>
      </x:c>
      <x:c r="B3732" s="2" t="str">
        <x:v>ADVENTHEALTH ROLLINS BROOK</x:v>
      </x:c>
      <x:c r="C3732" s="2" t="str">
        <x:v>LAMPASAS</x:v>
      </x:c>
      <x:c r="D3732" s="2" t="str">
        <x:v>TX</x:v>
      </x:c>
      <x:c r="E3732" s="2" t="str">
        <x:v>Critical Access Hospitals</x:v>
      </x:c>
      <x:c r="F3732" s="2" t="str">
        <x:v>Voluntary non-profit</x:v>
      </x:c>
      <x:c r="G3732" s="2" t="str">
        <x:v>Small (&lt;100 beds)</x:v>
      </x:c>
      <x:c r="H3732" s="7" t="n">
        <x:v>4</x:v>
      </x:c>
      <x:c r="I3732" s="7"/>
      <x:c r="J3732" s="7"/>
      <x:c r="K3732" s="8" t="n">
        <x:v>25</x:v>
      </x:c>
      <x:c r="L3732" s="8" t="n">
        <x:v>260</x:v>
      </x:c>
      <x:c r="M3732" s="9" t="n">
        <x:v>0.2909289617</x:v>
      </x:c>
      <x:c r="N3732" s="10" t="n">
        <x:v>87487.6730769231</x:v>
      </x:c>
      <x:c r="O3732" s="9" t="n">
        <x:v>0.1727511362</x:v>
      </x:c>
      <x:c r="P3732" s="9" t="n">
        <x:v>0.243866171</x:v>
      </x:c>
      <x:c r="Q3732" s="9" t="n">
        <x:v>0.1657992565</x:v>
      </x:c>
      <x:c r="R3732" s="3" t="b">
        <x:v>0</x:v>
      </x:c>
      <x:c r="S3732" s="3" t="b">
        <x:v>0</x:v>
      </x:c>
      <x:c r="T3732" s="3" t="b">
        <x:v>0</x:v>
      </x:c>
      <x:c r="U3732" s="2" t="str">
        <x:f>IF(T3732=TRUE,"Priority review",IF(R3732=TRUE,"High cost",IF(S3732=TRUE,"Low quality","Benchmark")))</x:f>
        <x:v>Benchmark</x:v>
      </x:c>
    </x:row>
    <x:row r="3733">
      <x:c r="A3733" s="2" t="str">
        <x:v>454060</x:v>
      </x:c>
      <x:c r="B3733" s="2" t="str">
        <x:v>LAUREL RIDGE TREATMENT CENTER</x:v>
      </x:c>
      <x:c r="C3733" s="2" t="str">
        <x:v>SAN ANTONIO</x:v>
      </x:c>
      <x:c r="D3733" s="2" t="str">
        <x:v>TX</x:v>
      </x:c>
      <x:c r="E3733" s="2" t="str">
        <x:v>Psychiatric</x:v>
      </x:c>
      <x:c r="F3733" s="2" t="str">
        <x:v>Proprietary</x:v>
      </x:c>
      <x:c r="G3733" s="2" t="str">
        <x:v>Medium (100-299 beds)</x:v>
      </x:c>
      <x:c r="H3733" s="7"/>
      <x:c r="I3733" s="7"/>
      <x:c r="J3733" s="7"/>
      <x:c r="K3733" s="8" t="n">
        <x:v>288</x:v>
      </x:c>
      <x:c r="L3733" s="8" t="n">
        <x:v>10216</x:v>
      </x:c>
      <x:c r="M3733" s="9" t="n">
        <x:v>0.8253453248</x:v>
      </x:c>
      <x:c r="N3733" s="10" t="n">
        <x:v>7049.1023884103</x:v>
      </x:c>
      <x:c r="O3733" s="9" t="n">
        <x:v>0.2701466071</x:v>
      </x:c>
      <x:c r="P3733" s="9" t="n">
        <x:v>0.2437810945</x:v>
      </x:c>
      <x:c r="Q3733" s="9" t="n">
        <x:v>0</x:v>
      </x:c>
      <x:c r="R3733" s="3" t="b">
        <x:v>0</x:v>
      </x:c>
      <x:c r="S3733" s="3" t="b">
        <x:v>0</x:v>
      </x:c>
      <x:c r="T3733" s="3" t="b">
        <x:v>0</x:v>
      </x:c>
      <x:c r="U3733" s="2" t="str">
        <x:f>IF(T3733=TRUE,"Priority review",IF(R3733=TRUE,"High cost",IF(S3733=TRUE,"Low quality","Benchmark")))</x:f>
        <x:v>Benchmark</x:v>
      </x:c>
    </x:row>
    <x:row r="3734">
      <x:c r="A3734" s="2" t="str">
        <x:v>140231</x:v>
      </x:c>
      <x:c r="B3734" s="2" t="str">
        <x:v>EDWARD HOSPITAL</x:v>
      </x:c>
      <x:c r="C3734" s="2" t="str">
        <x:v>NAPERVILLE</x:v>
      </x:c>
      <x:c r="D3734" s="2" t="str">
        <x:v>IL</x:v>
      </x:c>
      <x:c r="E3734" s="2" t="str">
        <x:v>Acute Care Hospitals</x:v>
      </x:c>
      <x:c r="F3734" s="2" t="str">
        <x:v>Voluntary non-profit</x:v>
      </x:c>
      <x:c r="G3734" s="2" t="str">
        <x:v>Medium (100-299 beds)</x:v>
      </x:c>
      <x:c r="H3734" s="7" t="n">
        <x:v>3</x:v>
      </x:c>
      <x:c r="I3734" s="7" t="n">
        <x:v>3</x:v>
      </x:c>
      <x:c r="J3734" s="7" t="n">
        <x:v>0.96</x:v>
      </x:c>
      <x:c r="K3734" s="8" t="n">
        <x:v>294</x:v>
      </x:c>
      <x:c r="L3734" s="8" t="n">
        <x:v>27918</x:v>
      </x:c>
      <x:c r="M3734" s="9" t="n">
        <x:v>0.9390914836</x:v>
      </x:c>
      <x:c r="N3734" s="10" t="n">
        <x:v>25485.6010459202</x:v>
      </x:c>
      <x:c r="O3734" s="9" t="n">
        <x:v>0.2097383853</x:v>
      </x:c>
      <x:c r="P3734" s="9" t="n">
        <x:v>0.2436837816</x:v>
      </x:c>
      <x:c r="Q3734" s="9" t="n">
        <x:v>0.3023634882</x:v>
      </x:c>
      <x:c r="R3734" s="3" t="b">
        <x:v>0</x:v>
      </x:c>
      <x:c r="S3734" s="3" t="b">
        <x:v>0</x:v>
      </x:c>
      <x:c r="T3734" s="3" t="b">
        <x:v>0</x:v>
      </x:c>
      <x:c r="U3734" s="2" t="str">
        <x:f>IF(T3734=TRUE,"Priority review",IF(R3734=TRUE,"High cost",IF(S3734=TRUE,"Low quality","Benchmark")))</x:f>
        <x:v>Benchmark</x:v>
      </x:c>
    </x:row>
    <x:row r="3735">
      <x:c r="A3735" s="2" t="str">
        <x:v>180078</x:v>
      </x:c>
      <x:c r="B3735" s="2" t="str">
        <x:v>PAINTSVILLE ARH HOSPITAL</x:v>
      </x:c>
      <x:c r="C3735" s="2" t="str">
        <x:v>PAINTSVILLE</x:v>
      </x:c>
      <x:c r="D3735" s="2" t="str">
        <x:v>KY</x:v>
      </x:c>
      <x:c r="E3735" s="2" t="str">
        <x:v>Acute Care Hospitals</x:v>
      </x:c>
      <x:c r="F3735" s="2" t="str">
        <x:v>Proprietary</x:v>
      </x:c>
      <x:c r="G3735" s="2" t="str">
        <x:v>Small (&lt;100 beds)</x:v>
      </x:c>
      <x:c r="H3735" s="7" t="n">
        <x:v>2</x:v>
      </x:c>
      <x:c r="I3735" s="7" t="n">
        <x:v>3</x:v>
      </x:c>
      <x:c r="J3735" s="7" t="n">
        <x:v>0.96</x:v>
      </x:c>
      <x:c r="K3735" s="8" t="n">
        <x:v>39</x:v>
      </x:c>
      <x:c r="L3735" s="8" t="n">
        <x:v>1285</x:v>
      </x:c>
      <x:c r="M3735" s="9" t="n">
        <x:v>0.3277133825</x:v>
      </x:c>
      <x:c r="N3735" s="10" t="n">
        <x:v>36417.1369649805</x:v>
      </x:c>
      <x:c r="O3735" s="9" t="n">
        <x:v>-0.1886405125</x:v>
      </x:c>
      <x:c r="P3735" s="9" t="n">
        <x:v>0.2432675045</x:v>
      </x:c>
      <x:c r="Q3735" s="9" t="n">
        <x:v>0.0350089767</x:v>
      </x:c>
      <x:c r="R3735" s="3" t="b">
        <x:v>0</x:v>
      </x:c>
      <x:c r="S3735" s="3" t="b">
        <x:v>1</x:v>
      </x:c>
      <x:c r="T3735" s="3" t="b">
        <x:v>0</x:v>
      </x:c>
      <x:c r="U3735" s="2" t="str">
        <x:f>IF(T3735=TRUE,"Priority review",IF(R3735=TRUE,"High cost",IF(S3735=TRUE,"Low quality","Benchmark")))</x:f>
        <x:v>Low quality</x:v>
      </x:c>
    </x:row>
    <x:row r="3736">
      <x:c r="A3736" s="2" t="str">
        <x:v>141310</x:v>
      </x:c>
      <x:c r="B3736" s="2" t="str">
        <x:v>OSF SAINT PAUL MEDICAL CENTER</x:v>
      </x:c>
      <x:c r="C3736" s="2" t="str">
        <x:v>MENDOTA</x:v>
      </x:c>
      <x:c r="D3736" s="2" t="str">
        <x:v>IL</x:v>
      </x:c>
      <x:c r="E3736" s="2" t="str">
        <x:v>Critical Access Hospitals</x:v>
      </x:c>
      <x:c r="F3736" s="2" t="str">
        <x:v>Voluntary non-profit</x:v>
      </x:c>
      <x:c r="G3736" s="2" t="str">
        <x:v>Small (&lt;100 beds)</x:v>
      </x:c>
      <x:c r="H3736" s="7" t="n">
        <x:v>3</x:v>
      </x:c>
      <x:c r="I3736" s="7"/>
      <x:c r="J3736" s="7"/>
      <x:c r="K3736" s="8" t="n">
        <x:v>25</x:v>
      </x:c>
      <x:c r="L3736" s="8" t="n">
        <x:v>682</x:v>
      </x:c>
      <x:c r="M3736" s="9" t="n">
        <x:v>0.2872131148</x:v>
      </x:c>
      <x:c r="N3736" s="10" t="n">
        <x:v>87475.2741935484</x:v>
      </x:c>
      <x:c r="O3736" s="9" t="n">
        <x:v>0.0066389924</x:v>
      </x:c>
      <x:c r="P3736" s="9" t="n">
        <x:v>0.2431226766</x:v>
      </x:c>
      <x:c r="Q3736" s="9" t="n">
        <x:v>0.0765799257</x:v>
      </x:c>
      <x:c r="R3736" s="3" t="b">
        <x:v>0</x:v>
      </x:c>
      <x:c r="S3736" s="3" t="b">
        <x:v>1</x:v>
      </x:c>
      <x:c r="T3736" s="3" t="b">
        <x:v>0</x:v>
      </x:c>
      <x:c r="U3736" s="2" t="str">
        <x:f>IF(T3736=TRUE,"Priority review",IF(R3736=TRUE,"High cost",IF(S3736=TRUE,"Low quality","Benchmark")))</x:f>
        <x:v>Low quality</x:v>
      </x:c>
    </x:row>
    <x:row r="3737">
      <x:c r="A3737" s="2" t="str">
        <x:v>490022</x:v>
      </x:c>
      <x:c r="B3737" s="2" t="str">
        <x:v>MARY WASHINGTON HOSPITAL</x:v>
      </x:c>
      <x:c r="C3737" s="2" t="str">
        <x:v>FREDERICKSBURG</x:v>
      </x:c>
      <x:c r="D3737" s="2" t="str">
        <x:v>VA</x:v>
      </x:c>
      <x:c r="E3737" s="2" t="str">
        <x:v>Acute Care Hospitals</x:v>
      </x:c>
      <x:c r="F3737" s="2" t="str">
        <x:v>Voluntary non-profit</x:v>
      </x:c>
      <x:c r="G3737" s="2" t="str">
        <x:v>Large (300+ beds)</x:v>
      </x:c>
      <x:c r="H3737" s="7" t="n">
        <x:v>3</x:v>
      </x:c>
      <x:c r="I3737" s="7" t="n">
        <x:v>2</x:v>
      </x:c>
      <x:c r="J3737" s="7" t="n">
        <x:v>0.96</x:v>
      </x:c>
      <x:c r="K3737" s="8" t="n">
        <x:v>435</x:v>
      </x:c>
      <x:c r="L3737" s="8" t="n">
        <x:v>22612</x:v>
      </x:c>
      <x:c r="M3737" s="9" t="n">
        <x:v>0.7205640349</x:v>
      </x:c>
      <x:c r="N3737" s="10" t="n">
        <x:v>28290.8291615072</x:v>
      </x:c>
      <x:c r="O3737" s="9" t="n">
        <x:v>0.0822852636</x:v>
      </x:c>
      <x:c r="P3737" s="9" t="n">
        <x:v>0.2429022082</x:v>
      </x:c>
      <x:c r="Q3737" s="9" t="n">
        <x:v>0.2570977918</x:v>
      </x:c>
      <x:c r="R3737" s="3" t="b">
        <x:v>0</x:v>
      </x:c>
      <x:c r="S3737" s="3" t="b">
        <x:v>0</x:v>
      </x:c>
      <x:c r="T3737" s="3" t="b">
        <x:v>0</x:v>
      </x:c>
      <x:c r="U3737" s="2" t="str">
        <x:f>IF(T3737=TRUE,"Priority review",IF(R3737=TRUE,"High cost",IF(S3737=TRUE,"Low quality","Benchmark")))</x:f>
        <x:v>Benchmark</x:v>
      </x:c>
    </x:row>
    <x:row r="3738">
      <x:c r="A3738" s="2" t="str">
        <x:v>260052</x:v>
      </x:c>
      <x:c r="B3738" s="2" t="str">
        <x:v>MERCY HOSPITAL WASHINGTON</x:v>
      </x:c>
      <x:c r="C3738" s="2" t="str">
        <x:v>WASHINGTON</x:v>
      </x:c>
      <x:c r="D3738" s="2" t="str">
        <x:v>MO</x:v>
      </x:c>
      <x:c r="E3738" s="2" t="str">
        <x:v>Acute Care Hospitals</x:v>
      </x:c>
      <x:c r="F3738" s="2" t="str">
        <x:v>Voluntary non-profit</x:v>
      </x:c>
      <x:c r="G3738" s="2" t="str">
        <x:v>Medium (100-299 beds)</x:v>
      </x:c>
      <x:c r="H3738" s="7" t="n">
        <x:v>4</x:v>
      </x:c>
      <x:c r="I3738" s="7" t="n">
        <x:v>3</x:v>
      </x:c>
      <x:c r="J3738" s="7" t="n">
        <x:v>0.99</x:v>
      </x:c>
      <x:c r="K3738" s="8" t="n">
        <x:v>158</x:v>
      </x:c>
      <x:c r="L3738" s="8" t="n">
        <x:v>7757</x:v>
      </x:c>
      <x:c r="M3738" s="9" t="n">
        <x:v>0.402288885</x:v>
      </x:c>
      <x:c r="N3738" s="10" t="n">
        <x:v>25461.7872889003</x:v>
      </x:c>
      <x:c r="O3738" s="9" t="n">
        <x:v>0.138227696</x:v>
      </x:c>
      <x:c r="P3738" s="9" t="n">
        <x:v>0.2428687857</x:v>
      </x:c>
      <x:c r="Q3738" s="9" t="n">
        <x:v>0.6022819886</x:v>
      </x:c>
      <x:c r="R3738" s="3" t="b">
        <x:v>0</x:v>
      </x:c>
      <x:c r="S3738" s="3" t="b">
        <x:v>0</x:v>
      </x:c>
      <x:c r="T3738" s="3" t="b">
        <x:v>0</x:v>
      </x:c>
      <x:c r="U3738" s="2" t="str">
        <x:f>IF(T3738=TRUE,"Priority review",IF(R3738=TRUE,"High cost",IF(S3738=TRUE,"Low quality","Benchmark")))</x:f>
        <x:v>Benchmark</x:v>
      </x:c>
    </x:row>
    <x:row r="3739">
      <x:c r="A3739" s="2" t="str">
        <x:v>444031</x:v>
      </x:c>
      <x:c r="B3739" s="2" t="str">
        <x:v>KNOXVILLE CENTER FOR BEHAVIORAL MEDICINE</x:v>
      </x:c>
      <x:c r="C3739" s="2" t="str">
        <x:v>KNOXVILLE</x:v>
      </x:c>
      <x:c r="D3739" s="2" t="str">
        <x:v>TN</x:v>
      </x:c>
      <x:c r="E3739" s="2" t="str">
        <x:v>Psychiatric</x:v>
      </x:c>
      <x:c r="F3739" s="2" t="str">
        <x:v>Voluntary non-profit</x:v>
      </x:c>
      <x:c r="G3739" s="2" t="str">
        <x:v>Small (&lt;100 beds)</x:v>
      </x:c>
      <x:c r="H3739" s="7"/>
      <x:c r="I3739" s="7"/>
      <x:c r="J3739" s="7"/>
      <x:c r="K3739" s="8" t="n">
        <x:v>64</x:v>
      </x:c>
      <x:c r="L3739" s="8" t="n">
        <x:v>2095</x:v>
      </x:c>
      <x:c r="M3739" s="9" t="n">
        <x:v>0.7605020492</x:v>
      </x:c>
      <x:c r="N3739" s="10" t="n">
        <x:v>8159.2434367542</x:v>
      </x:c>
      <x:c r="O3739" s="9" t="n">
        <x:v>-0.1748500682</x:v>
      </x:c>
      <x:c r="P3739" s="9" t="n">
        <x:v>0.2427184466</x:v>
      </x:c>
      <x:c r="Q3739" s="9" t="n">
        <x:v>0</x:v>
      </x:c>
      <x:c r="R3739" s="3" t="b">
        <x:v>0</x:v>
      </x:c>
      <x:c r="S3739" s="3" t="b">
        <x:v>0</x:v>
      </x:c>
      <x:c r="T3739" s="3" t="b">
        <x:v>0</x:v>
      </x:c>
      <x:c r="U3739" s="2" t="str">
        <x:f>IF(T3739=TRUE,"Priority review",IF(R3739=TRUE,"High cost",IF(S3739=TRUE,"Low quality","Benchmark")))</x:f>
        <x:v>Benchmark</x:v>
      </x:c>
    </x:row>
    <x:row r="3740">
      <x:c r="A3740" s="2" t="str">
        <x:v>371338</x:v>
      </x:c>
      <x:c r="B3740" s="2" t="str">
        <x:v>HARMON MEMORIAL HOSPITAL</x:v>
      </x:c>
      <x:c r="C3740" s="2" t="str">
        <x:v>HOLLIS</x:v>
      </x:c>
      <x:c r="D3740" s="2" t="str">
        <x:v>OK</x:v>
      </x:c>
      <x:c r="E3740" s="2" t="str">
        <x:v>Critical Access Hospitals</x:v>
      </x:c>
      <x:c r="F3740" s="2" t="str">
        <x:v>Voluntary non-profit</x:v>
      </x:c>
      <x:c r="G3740" s="2" t="str">
        <x:v>Small (&lt;100 beds)</x:v>
      </x:c>
      <x:c r="H3740" s="7"/>
      <x:c r="I3740" s="7"/>
      <x:c r="J3740" s="7"/>
      <x:c r="K3740" s="8" t="n">
        <x:v>22</x:v>
      </x:c>
      <x:c r="L3740" s="8" t="n">
        <x:v>81</x:v>
      </x:c>
      <x:c r="M3740" s="9" t="n">
        <x:v>0.1605230386</x:v>
      </x:c>
      <x:c r="N3740" s="10" t="n">
        <x:v>87387.8888888889</x:v>
      </x:c>
      <x:c r="O3740" s="9" t="n">
        <x:v>-0.0271269978</x:v>
      </x:c>
      <x:c r="P3740" s="9" t="n">
        <x:v>0.2423791822</x:v>
      </x:c>
      <x:c r="Q3740" s="9" t="n">
        <x:v>0.292936803</x:v>
      </x:c>
      <x:c r="R3740" s="3" t="b">
        <x:v>0</x:v>
      </x:c>
      <x:c r="S3740" s="3" t="b">
        <x:v>0</x:v>
      </x:c>
      <x:c r="T3740" s="3" t="b">
        <x:v>0</x:v>
      </x:c>
      <x:c r="U3740" s="2" t="str">
        <x:f>IF(T3740=TRUE,"Priority review",IF(R3740=TRUE,"High cost",IF(S3740=TRUE,"Low quality","Benchmark")))</x:f>
        <x:v>Benchmark</x:v>
      </x:c>
    </x:row>
    <x:row r="3741">
      <x:c r="A3741" s="2" t="str">
        <x:v>100361</x:v>
      </x:c>
      <x:c r="B3741" s="2" t="str">
        <x:v>ASCENSION ST VINCENT'S ST JOHNS COUNTY</x:v>
      </x:c>
      <x:c r="C3741" s="2" t="str">
        <x:v>ST. JOHNS</x:v>
      </x:c>
      <x:c r="D3741" s="2" t="str">
        <x:v>FL</x:v>
      </x:c>
      <x:c r="E3741" s="2" t="str">
        <x:v>Acute Care Hospitals</x:v>
      </x:c>
      <x:c r="F3741" s="2" t="str">
        <x:v>Voluntary non-profit</x:v>
      </x:c>
      <x:c r="G3741" s="2" t="str">
        <x:v>Small (&lt;100 beds)</x:v>
      </x:c>
      <x:c r="H3741" s="7" t="n">
        <x:v>4</x:v>
      </x:c>
      <x:c r="I3741" s="7" t="n">
        <x:v>3</x:v>
      </x:c>
      <x:c r="J3741" s="7" t="n">
        <x:v>0.97</x:v>
      </x:c>
      <x:c r="K3741" s="8" t="n">
        <x:v>56</x:v>
      </x:c>
      <x:c r="L3741" s="8" t="n">
        <x:v>2145</x:v>
      </x:c>
      <x:c r="M3741" s="9" t="n">
        <x:v>0.3806751468</x:v>
      </x:c>
      <x:c r="N3741" s="10" t="n">
        <x:v>36373.0578088578</x:v>
      </x:c>
      <x:c r="O3741" s="9" t="n">
        <x:v>0.055979469</x:v>
      </x:c>
      <x:c r="P3741" s="9" t="n">
        <x:v>0.2423698384</x:v>
      </x:c>
      <x:c r="Q3741" s="9" t="n">
        <x:v>0.3913824057</x:v>
      </x:c>
      <x:c r="R3741" s="3" t="b">
        <x:v>0</x:v>
      </x:c>
      <x:c r="S3741" s="3" t="b">
        <x:v>0</x:v>
      </x:c>
      <x:c r="T3741" s="3" t="b">
        <x:v>0</x:v>
      </x:c>
      <x:c r="U3741" s="2" t="str">
        <x:f>IF(T3741=TRUE,"Priority review",IF(R3741=TRUE,"High cost",IF(S3741=TRUE,"Low quality","Benchmark")))</x:f>
        <x:v>Benchmark</x:v>
      </x:c>
    </x:row>
    <x:row r="3742">
      <x:c r="A3742" s="2" t="str">
        <x:v>390330</x:v>
      </x:c>
      <x:c r="B3742" s="2" t="str">
        <x:v>ST LUKE'S HOSPITAL - MONROE CAMPUS</x:v>
      </x:c>
      <x:c r="C3742" s="2" t="str">
        <x:v>STROUDSBURG</x:v>
      </x:c>
      <x:c r="D3742" s="2" t="str">
        <x:v>PA</x:v>
      </x:c>
      <x:c r="E3742" s="2" t="str">
        <x:v>Acute Care Hospitals</x:v>
      </x:c>
      <x:c r="F3742" s="2" t="str">
        <x:v>Voluntary non-profit</x:v>
      </x:c>
      <x:c r="G3742" s="2" t="str">
        <x:v>Medium (100-299 beds)</x:v>
      </x:c>
      <x:c r="H3742" s="7" t="n">
        <x:v>5</x:v>
      </x:c>
      <x:c r="I3742" s="7" t="n">
        <x:v>3</x:v>
      </x:c>
      <x:c r="J3742" s="7" t="n">
        <x:v>0.92</x:v>
      </x:c>
      <x:c r="K3742" s="8" t="n">
        <x:v>134</x:v>
      </x:c>
      <x:c r="L3742" s="8" t="n">
        <x:v>8323</x:v>
      </x:c>
      <x:c r="M3742" s="9" t="n">
        <x:v>0.639971376</x:v>
      </x:c>
      <x:c r="N3742" s="10" t="n">
        <x:v>25440.4201609996</x:v>
      </x:c>
      <x:c r="O3742" s="9" t="n">
        <x:v>0.1376985236</x:v>
      </x:c>
      <x:c r="P3742" s="9" t="n">
        <x:v>0.2420537897</x:v>
      </x:c>
      <x:c r="Q3742" s="9" t="n">
        <x:v>0.8744906275</x:v>
      </x:c>
      <x:c r="R3742" s="3" t="b">
        <x:v>0</x:v>
      </x:c>
      <x:c r="S3742" s="3" t="b">
        <x:v>0</x:v>
      </x:c>
      <x:c r="T3742" s="3" t="b">
        <x:v>0</x:v>
      </x:c>
      <x:c r="U3742" s="2" t="str">
        <x:f>IF(T3742=TRUE,"Priority review",IF(R3742=TRUE,"High cost",IF(S3742=TRUE,"Low quality","Benchmark")))</x:f>
        <x:v>Benchmark</x:v>
      </x:c>
    </x:row>
    <x:row r="3743">
      <x:c r="A3743" s="2" t="str">
        <x:v>501329</x:v>
      </x:c>
      <x:c r="B3743" s="2" t="str">
        <x:v>PEACEHEALTH UNITED GENERAL MEDICAL CENTER</x:v>
      </x:c>
      <x:c r="C3743" s="2" t="str">
        <x:v>SEDRO WOOLLEY</x:v>
      </x:c>
      <x:c r="D3743" s="2" t="str">
        <x:v>WA</x:v>
      </x:c>
      <x:c r="E3743" s="2" t="str">
        <x:v>Critical Access Hospitals</x:v>
      </x:c>
      <x:c r="F3743" s="2" t="str">
        <x:v>Government</x:v>
      </x:c>
      <x:c r="G3743" s="2" t="str">
        <x:v>Small (&lt;100 beds)</x:v>
      </x:c>
      <x:c r="H3743" s="7" t="n">
        <x:v>3</x:v>
      </x:c>
      <x:c r="I3743" s="7" t="n">
        <x:v>4</x:v>
      </x:c>
      <x:c r="J3743" s="7"/>
      <x:c r="K3743" s="8" t="n">
        <x:v>25</x:v>
      </x:c>
      <x:c r="L3743" s="8" t="n">
        <x:v>1106</x:v>
      </x:c>
      <x:c r="M3743" s="9" t="n">
        <x:v>0.722630137</x:v>
      </x:c>
      <x:c r="N3743" s="10" t="n">
        <x:v>87213.0515370705</x:v>
      </x:c>
      <x:c r="O3743" s="9" t="n">
        <x:v>0.0780589961</x:v>
      </x:c>
      <x:c r="P3743" s="9" t="n">
        <x:v>0.2416356877</x:v>
      </x:c>
      <x:c r="Q3743" s="9" t="n">
        <x:v>0.0765799257</x:v>
      </x:c>
      <x:c r="R3743" s="3" t="b">
        <x:v>0</x:v>
      </x:c>
      <x:c r="S3743" s="3" t="b">
        <x:v>1</x:v>
      </x:c>
      <x:c r="T3743" s="3" t="b">
        <x:v>0</x:v>
      </x:c>
      <x:c r="U3743" s="2" t="str">
        <x:f>IF(T3743=TRUE,"Priority review",IF(R3743=TRUE,"High cost",IF(S3743=TRUE,"Low quality","Benchmark")))</x:f>
        <x:v>Low quality</x:v>
      </x:c>
    </x:row>
    <x:row r="3744">
      <x:c r="A3744" s="2" t="str">
        <x:v>010168</x:v>
      </x:c>
      <x:c r="B3744" s="2" t="str">
        <x:v>JACK HUGHSTON MEMORIAL HOSPITAL</x:v>
      </x:c>
      <x:c r="C3744" s="2" t="str">
        <x:v>PHENIX CITY</x:v>
      </x:c>
      <x:c r="D3744" s="2" t="str">
        <x:v>AL</x:v>
      </x:c>
      <x:c r="E3744" s="2" t="str">
        <x:v>Acute Care Hospitals</x:v>
      </x:c>
      <x:c r="F3744" s="2" t="str">
        <x:v>Government</x:v>
      </x:c>
      <x:c r="G3744" s="2" t="str">
        <x:v>Small (&lt;100 beds)</x:v>
      </x:c>
      <x:c r="H3744" s="7" t="n">
        <x:v>4</x:v>
      </x:c>
      <x:c r="I3744" s="7" t="n">
        <x:v>4</x:v>
      </x:c>
      <x:c r="J3744" s="7" t="n">
        <x:v>0.98</x:v>
      </x:c>
      <x:c r="K3744" s="8" t="n">
        <x:v>47</x:v>
      </x:c>
      <x:c r="L3744" s="8" t="n">
        <x:v>2200</x:v>
      </x:c>
      <x:c r="M3744" s="9" t="n">
        <x:v>0.3134519242</x:v>
      </x:c>
      <x:c r="N3744" s="10" t="n">
        <x:v>36287.9486363636</x:v>
      </x:c>
      <x:c r="O3744" s="9" t="n">
        <x:v>0.0043133313</x:v>
      </x:c>
      <x:c r="P3744" s="9" t="n">
        <x:v>0.2414721724</x:v>
      </x:c>
      <x:c r="Q3744" s="9" t="n">
        <x:v>0.3913824057</x:v>
      </x:c>
      <x:c r="R3744" s="3" t="b">
        <x:v>0</x:v>
      </x:c>
      <x:c r="S3744" s="3" t="b">
        <x:v>0</x:v>
      </x:c>
      <x:c r="T3744" s="3" t="b">
        <x:v>0</x:v>
      </x:c>
      <x:c r="U3744" s="2" t="str">
        <x:f>IF(T3744=TRUE,"Priority review",IF(R3744=TRUE,"High cost",IF(S3744=TRUE,"Low quality","Benchmark")))</x:f>
        <x:v>Benchmark</x:v>
      </x:c>
    </x:row>
    <x:row r="3745">
      <x:c r="A3745" s="2" t="str">
        <x:v>050099</x:v>
      </x:c>
      <x:c r="B3745" s="2" t="str">
        <x:v>SAN ANTONIO REGIONAL HOSPITAL</x:v>
      </x:c>
      <x:c r="C3745" s="2" t="str">
        <x:v>UPLAND</x:v>
      </x:c>
      <x:c r="D3745" s="2" t="str">
        <x:v>CA</x:v>
      </x:c>
      <x:c r="E3745" s="2" t="str">
        <x:v>Acute Care Hospitals</x:v>
      </x:c>
      <x:c r="F3745" s="2" t="str">
        <x:v>Voluntary non-profit</x:v>
      </x:c>
      <x:c r="G3745" s="2" t="str">
        <x:v>Large (300+ beds)</x:v>
      </x:c>
      <x:c r="H3745" s="7" t="n">
        <x:v>3</x:v>
      </x:c>
      <x:c r="I3745" s="7" t="n">
        <x:v>3</x:v>
      </x:c>
      <x:c r="J3745" s="7" t="n">
        <x:v>1.06</x:v>
      </x:c>
      <x:c r="K3745" s="8" t="n">
        <x:v>363</x:v>
      </x:c>
      <x:c r="L3745" s="8" t="n">
        <x:v>16963</x:v>
      </x:c>
      <x:c r="M3745" s="9" t="n">
        <x:v>0.6109681013</x:v>
      </x:c>
      <x:c r="N3745" s="10" t="n">
        <x:v>28289.2660496374</x:v>
      </x:c>
      <x:c r="O3745" s="9" t="n">
        <x:v>0.0035305757</x:v>
      </x:c>
      <x:c r="P3745" s="9" t="n">
        <x:v>0.2413249211</x:v>
      </x:c>
      <x:c r="Q3745" s="9" t="n">
        <x:v>0.2570977918</x:v>
      </x:c>
      <x:c r="R3745" s="3" t="b">
        <x:v>0</x:v>
      </x:c>
      <x:c r="S3745" s="3" t="b">
        <x:v>0</x:v>
      </x:c>
      <x:c r="T3745" s="3" t="b">
        <x:v>0</x:v>
      </x:c>
      <x:c r="U3745" s="2" t="str">
        <x:f>IF(T3745=TRUE,"Priority review",IF(R3745=TRUE,"High cost",IF(S3745=TRUE,"Low quality","Benchmark")))</x:f>
        <x:v>Benchmark</x:v>
      </x:c>
    </x:row>
    <x:row r="3746">
      <x:c r="A3746" s="2" t="str">
        <x:v>100285</x:v>
      </x:c>
      <x:c r="B3746" s="2" t="str">
        <x:v>MEMORIAL HOSPITAL MIRAMAR</x:v>
      </x:c>
      <x:c r="C3746" s="2" t="str">
        <x:v>MIRAMAR</x:v>
      </x:c>
      <x:c r="D3746" s="2" t="str">
        <x:v>FL</x:v>
      </x:c>
      <x:c r="E3746" s="2" t="str">
        <x:v>Acute Care Hospitals</x:v>
      </x:c>
      <x:c r="F3746" s="2" t="str">
        <x:v>Government</x:v>
      </x:c>
      <x:c r="G3746" s="2" t="str">
        <x:v>Medium (100-299 beds)</x:v>
      </x:c>
      <x:c r="H3746" s="7" t="n">
        <x:v>5</x:v>
      </x:c>
      <x:c r="I3746" s="7" t="n">
        <x:v>4</x:v>
      </x:c>
      <x:c r="J3746" s="7" t="n">
        <x:v>1</x:v>
      </x:c>
      <x:c r="K3746" s="8" t="n">
        <x:v>178</x:v>
      </x:c>
      <x:c r="L3746" s="8" t="n">
        <x:v>10251</x:v>
      </x:c>
      <x:c r="M3746" s="9" t="n">
        <x:v>0.7179313529</x:v>
      </x:c>
      <x:c r="N3746" s="10" t="n">
        <x:v>25369.6259877085</x:v>
      </x:c>
      <x:c r="O3746" s="9"/>
      <x:c r="P3746" s="9" t="n">
        <x:v>0.2412387938</x:v>
      </x:c>
      <x:c r="Q3746" s="9" t="n">
        <x:v>0.8744906275</x:v>
      </x:c>
      <x:c r="R3746" s="3" t="b">
        <x:v>0</x:v>
      </x:c>
      <x:c r="S3746" s="3" t="b">
        <x:v>0</x:v>
      </x:c>
      <x:c r="T3746" s="3" t="b">
        <x:v>0</x:v>
      </x:c>
      <x:c r="U3746" s="2" t="str">
        <x:f>IF(T3746=TRUE,"Priority review",IF(R3746=TRUE,"High cost",IF(S3746=TRUE,"Low quality","Benchmark")))</x:f>
        <x:v>Benchmark</x:v>
      </x:c>
    </x:row>
    <x:row r="3747">
      <x:c r="A3747" s="2" t="str">
        <x:v>141348</x:v>
      </x:c>
      <x:c r="B3747" s="2" t="str">
        <x:v>RED BUD REGIONAL HOSPITAL</x:v>
      </x:c>
      <x:c r="C3747" s="2" t="str">
        <x:v>RED BUD</x:v>
      </x:c>
      <x:c r="D3747" s="2" t="str">
        <x:v>IL</x:v>
      </x:c>
      <x:c r="E3747" s="2" t="str">
        <x:v>Critical Access Hospitals</x:v>
      </x:c>
      <x:c r="F3747" s="2" t="str">
        <x:v>Proprietary</x:v>
      </x:c>
      <x:c r="G3747" s="2" t="str">
        <x:v>Small (&lt;100 beds)</x:v>
      </x:c>
      <x:c r="H3747" s="7" t="n">
        <x:v>4</x:v>
      </x:c>
      <x:c r="I3747" s="7" t="n">
        <x:v>4</x:v>
      </x:c>
      <x:c r="J3747" s="7"/>
      <x:c r="K3747" s="8" t="n">
        <x:v>25</x:v>
      </x:c>
      <x:c r="L3747" s="8" t="n">
        <x:v>449</x:v>
      </x:c>
      <x:c r="M3747" s="9" t="n">
        <x:v>0.4893989071</x:v>
      </x:c>
      <x:c r="N3747" s="10" t="n">
        <x:v>87196.6993318485</x:v>
      </x:c>
      <x:c r="O3747" s="9" t="n">
        <x:v>-0.0580689214</x:v>
      </x:c>
      <x:c r="P3747" s="9" t="n">
        <x:v>0.2408921933</x:v>
      </x:c>
      <x:c r="Q3747" s="9" t="n">
        <x:v>0.1657992565</x:v>
      </x:c>
      <x:c r="R3747" s="3" t="b">
        <x:v>0</x:v>
      </x:c>
      <x:c r="S3747" s="3" t="b">
        <x:v>0</x:v>
      </x:c>
      <x:c r="T3747" s="3" t="b">
        <x:v>0</x:v>
      </x:c>
      <x:c r="U3747" s="2" t="str">
        <x:f>IF(T3747=TRUE,"Priority review",IF(R3747=TRUE,"High cost",IF(S3747=TRUE,"Low quality","Benchmark")))</x:f>
        <x:v>Benchmark</x:v>
      </x:c>
    </x:row>
    <x:row r="3748">
      <x:c r="A3748" s="2" t="str">
        <x:v>250038</x:v>
      </x:c>
      <x:c r="B3748" s="2" t="str">
        <x:v>MERIT HEALTH MADISON</x:v>
      </x:c>
      <x:c r="C3748" s="2" t="str">
        <x:v>CANTON</x:v>
      </x:c>
      <x:c r="D3748" s="2" t="str">
        <x:v>MS</x:v>
      </x:c>
      <x:c r="E3748" s="2" t="str">
        <x:v>Acute Care Hospitals</x:v>
      </x:c>
      <x:c r="F3748" s="2" t="str">
        <x:v>Proprietary</x:v>
      </x:c>
      <x:c r="G3748" s="2" t="str">
        <x:v>Small (&lt;100 beds)</x:v>
      </x:c>
      <x:c r="H3748" s="7" t="n">
        <x:v>3</x:v>
      </x:c>
      <x:c r="I3748" s="7" t="n">
        <x:v>4</x:v>
      </x:c>
      <x:c r="J3748" s="7" t="n">
        <x:v>0.95</x:v>
      </x:c>
      <x:c r="K3748" s="8" t="n">
        <x:v>31</x:v>
      </x:c>
      <x:c r="L3748" s="8" t="n">
        <x:v>1078</x:v>
      </x:c>
      <x:c r="M3748" s="9" t="n">
        <x:v>0.3638286621</x:v>
      </x:c>
      <x:c r="N3748" s="10" t="n">
        <x:v>36193.4387755102</x:v>
      </x:c>
      <x:c r="O3748" s="9" t="n">
        <x:v>-0.0313151758</x:v>
      </x:c>
      <x:c r="P3748" s="9" t="n">
        <x:v>0.2405745063</x:v>
      </x:c>
      <x:c r="Q3748" s="9" t="n">
        <x:v>0.1687612208</x:v>
      </x:c>
      <x:c r="R3748" s="3" t="b">
        <x:v>0</x:v>
      </x:c>
      <x:c r="S3748" s="3" t="b">
        <x:v>0</x:v>
      </x:c>
      <x:c r="T3748" s="3" t="b">
        <x:v>0</x:v>
      </x:c>
      <x:c r="U3748" s="2" t="str">
        <x:f>IF(T3748=TRUE,"Priority review",IF(R3748=TRUE,"High cost",IF(S3748=TRUE,"Low quality","Benchmark")))</x:f>
        <x:v>Benchmark</x:v>
      </x:c>
    </x:row>
    <x:row r="3749">
      <x:c r="A3749" s="2" t="str">
        <x:v>450885</x:v>
      </x:c>
      <x:c r="B3749" s="2" t="str">
        <x:v>BAYLOR SCOTT &amp;  WHITE MEDICAL CENTER - CENTENNIAL</x:v>
      </x:c>
      <x:c r="C3749" s="2" t="str">
        <x:v>FRISCO</x:v>
      </x:c>
      <x:c r="D3749" s="2" t="str">
        <x:v>TX</x:v>
      </x:c>
      <x:c r="E3749" s="2" t="str">
        <x:v>Acute Care Hospitals</x:v>
      </x:c>
      <x:c r="F3749" s="2" t="str">
        <x:v>Voluntary non-profit</x:v>
      </x:c>
      <x:c r="G3749" s="2" t="str">
        <x:v>Medium (100-299 beds)</x:v>
      </x:c>
      <x:c r="H3749" s="7" t="n">
        <x:v>5</x:v>
      </x:c>
      <x:c r="I3749" s="7" t="n">
        <x:v>4</x:v>
      </x:c>
      <x:c r="J3749" s="7" t="n">
        <x:v>1.1</x:v>
      </x:c>
      <x:c r="K3749" s="8" t="n">
        <x:v>118</x:v>
      </x:c>
      <x:c r="L3749" s="8" t="n">
        <x:v>5338</x:v>
      </x:c>
      <x:c r="M3749" s="9" t="n">
        <x:v>0.5938936615</x:v>
      </x:c>
      <x:c r="N3749" s="10" t="n">
        <x:v>25355.2442862495</x:v>
      </x:c>
      <x:c r="O3749" s="9" t="n">
        <x:v>0.1641722851</x:v>
      </x:c>
      <x:c r="P3749" s="9" t="n">
        <x:v>0.2404237979</x:v>
      </x:c>
      <x:c r="Q3749" s="9" t="n">
        <x:v>0.8744906275</x:v>
      </x:c>
      <x:c r="R3749" s="3" t="b">
        <x:v>0</x:v>
      </x:c>
      <x:c r="S3749" s="3" t="b">
        <x:v>0</x:v>
      </x:c>
      <x:c r="T3749" s="3" t="b">
        <x:v>0</x:v>
      </x:c>
      <x:c r="U3749" s="2" t="str">
        <x:f>IF(T3749=TRUE,"Priority review",IF(R3749=TRUE,"High cost",IF(S3749=TRUE,"Low quality","Benchmark")))</x:f>
        <x:v>Benchmark</x:v>
      </x:c>
    </x:row>
    <x:row r="3750">
      <x:c r="A3750" s="2" t="str">
        <x:v>391308</x:v>
      </x:c>
      <x:c r="B3750" s="2" t="str">
        <x:v>LECOM HEALTH CORRY MEMORIAL HOSPITAL</x:v>
      </x:c>
      <x:c r="C3750" s="2" t="str">
        <x:v>CORRY</x:v>
      </x:c>
      <x:c r="D3750" s="2" t="str">
        <x:v>PA</x:v>
      </x:c>
      <x:c r="E3750" s="2" t="str">
        <x:v>Critical Access Hospitals</x:v>
      </x:c>
      <x:c r="F3750" s="2" t="str">
        <x:v>Government</x:v>
      </x:c>
      <x:c r="G3750" s="2" t="str">
        <x:v>Small (&lt;100 beds)</x:v>
      </x:c>
      <x:c r="H3750" s="7"/>
      <x:c r="I3750" s="7"/>
      <x:c r="J3750" s="7"/>
      <x:c r="K3750" s="8" t="n">
        <x:v>20</x:v>
      </x:c>
      <x:c r="L3750" s="8" t="n">
        <x:v>383</x:v>
      </x:c>
      <x:c r="M3750" s="9" t="n">
        <x:v>0.2242465753</x:v>
      </x:c>
      <x:c r="N3750" s="10" t="n">
        <x:v>87048.681462141</x:v>
      </x:c>
      <x:c r="O3750" s="9" t="n">
        <x:v>-0.1420586769</x:v>
      </x:c>
      <x:c r="P3750" s="9" t="n">
        <x:v>0.2401486989</x:v>
      </x:c>
      <x:c r="Q3750" s="9" t="n">
        <x:v>0.292936803</x:v>
      </x:c>
      <x:c r="R3750" s="3" t="b">
        <x:v>0</x:v>
      </x:c>
      <x:c r="S3750" s="3" t="b">
        <x:v>0</x:v>
      </x:c>
      <x:c r="T3750" s="3" t="b">
        <x:v>0</x:v>
      </x:c>
      <x:c r="U3750" s="2" t="str">
        <x:f>IF(T3750=TRUE,"Priority review",IF(R3750=TRUE,"High cost",IF(S3750=TRUE,"Low quality","Benchmark")))</x:f>
        <x:v>Benchmark</x:v>
      </x:c>
    </x:row>
    <x:row r="3751">
      <x:c r="A3751" s="2" t="str">
        <x:v>144037</x:v>
      </x:c>
      <x:c r="B3751" s="2" t="str">
        <x:v>ELGIN MENTAL HEALTH CENTER</x:v>
      </x:c>
      <x:c r="C3751" s="2" t="str">
        <x:v>ELGIN</x:v>
      </x:c>
      <x:c r="D3751" s="2" t="str">
        <x:v>IL</x:v>
      </x:c>
      <x:c r="E3751" s="2" t="str">
        <x:v>Psychiatric</x:v>
      </x:c>
      <x:c r="F3751" s="2" t="str">
        <x:v>Government</x:v>
      </x:c>
      <x:c r="G3751" s="2" t="str">
        <x:v>Large (300+ beds)</x:v>
      </x:c>
      <x:c r="H3751" s="7"/>
      <x:c r="I3751" s="7"/>
      <x:c r="J3751" s="7"/>
      <x:c r="K3751" s="8" t="n">
        <x:v>427</x:v>
      </x:c>
      <x:c r="L3751" s="8" t="n">
        <x:v>603</x:v>
      </x:c>
      <x:c r="M3751" s="9" t="n">
        <x:v>0.9824259729</x:v>
      </x:c>
      <x:c r="N3751" s="10" t="n">
        <x:v>151294.4809286899</x:v>
      </x:c>
      <x:c r="O3751" s="9"/>
      <x:c r="P3751" s="9" t="n">
        <x:v>0.24</x:v>
      </x:c>
      <x:c r="Q3751" s="9" t="n">
        <x:v>0</x:v>
      </x:c>
      <x:c r="R3751" s="3" t="b">
        <x:v>0</x:v>
      </x:c>
      <x:c r="S3751" s="3" t="b">
        <x:v>0</x:v>
      </x:c>
      <x:c r="T3751" s="3" t="b">
        <x:v>0</x:v>
      </x:c>
      <x:c r="U3751" s="2" t="str">
        <x:f>IF(T3751=TRUE,"Priority review",IF(R3751=TRUE,"High cost",IF(S3751=TRUE,"Low quality","Benchmark")))</x:f>
        <x:v>Benchmark</x:v>
      </x:c>
    </x:row>
    <x:row r="3752">
      <x:c r="A3752" s="2" t="str">
        <x:v>040114</x:v>
      </x:c>
      <x:c r="B3752" s="2" t="str">
        <x:v>BAPTIST HEALTH MEDICAL CENTER-LITTLE ROCK</x:v>
      </x:c>
      <x:c r="C3752" s="2" t="str">
        <x:v>LITTLE ROCK</x:v>
      </x:c>
      <x:c r="D3752" s="2" t="str">
        <x:v>AR</x:v>
      </x:c>
      <x:c r="E3752" s="2" t="str">
        <x:v>Acute Care Hospitals</x:v>
      </x:c>
      <x:c r="F3752" s="2" t="str">
        <x:v>Voluntary non-profit</x:v>
      </x:c>
      <x:c r="G3752" s="2" t="str">
        <x:v>Large (300+ beds)</x:v>
      </x:c>
      <x:c r="H3752" s="7" t="n">
        <x:v>3</x:v>
      </x:c>
      <x:c r="I3752" s="7" t="n">
        <x:v>2</x:v>
      </x:c>
      <x:c r="J3752" s="7" t="n">
        <x:v>1.09</x:v>
      </x:c>
      <x:c r="K3752" s="8" t="n">
        <x:v>809</x:v>
      </x:c>
      <x:c r="L3752" s="8" t="n">
        <x:v>27275</x:v>
      </x:c>
      <x:c r="M3752" s="9" t="n">
        <x:v>0.5824839409</x:v>
      </x:c>
      <x:c r="N3752" s="10" t="n">
        <x:v>28280.8387534372</x:v>
      </x:c>
      <x:c r="O3752" s="9" t="n">
        <x:v>-0.0107474075</x:v>
      </x:c>
      <x:c r="P3752" s="9" t="n">
        <x:v>0.2397476341</x:v>
      </x:c>
      <x:c r="Q3752" s="9" t="n">
        <x:v>0.2570977918</x:v>
      </x:c>
      <x:c r="R3752" s="3" t="b">
        <x:v>0</x:v>
      </x:c>
      <x:c r="S3752" s="3" t="b">
        <x:v>0</x:v>
      </x:c>
      <x:c r="T3752" s="3" t="b">
        <x:v>0</x:v>
      </x:c>
      <x:c r="U3752" s="2" t="str">
        <x:f>IF(T3752=TRUE,"Priority review",IF(R3752=TRUE,"High cost",IF(S3752=TRUE,"Low quality","Benchmark")))</x:f>
        <x:v>Benchmark</x:v>
      </x:c>
    </x:row>
    <x:row r="3753">
      <x:c r="A3753" s="2" t="str">
        <x:v>230142</x:v>
      </x:c>
      <x:c r="B3753" s="2" t="str">
        <x:v>COREWELL HEALTH WAYNE HOSPITAL</x:v>
      </x:c>
      <x:c r="C3753" s="2" t="str">
        <x:v>WAYNE</x:v>
      </x:c>
      <x:c r="D3753" s="2" t="str">
        <x:v>MI</x:v>
      </x:c>
      <x:c r="E3753" s="2" t="str">
        <x:v>Acute Care Hospitals</x:v>
      </x:c>
      <x:c r="F3753" s="2" t="str">
        <x:v>Voluntary non-profit</x:v>
      </x:c>
      <x:c r="G3753" s="2" t="str">
        <x:v>Small (&lt;100 beds)</x:v>
      </x:c>
      <x:c r="H3753" s="7" t="n">
        <x:v>2</x:v>
      </x:c>
      <x:c r="I3753" s="7" t="n">
        <x:v>1</x:v>
      </x:c>
      <x:c r="J3753" s="7" t="n">
        <x:v>1.03</x:v>
      </x:c>
      <x:c r="K3753" s="8" t="n">
        <x:v>99</x:v>
      </x:c>
      <x:c r="L3753" s="8" t="n">
        <x:v>5791</x:v>
      </x:c>
      <x:c r="M3753" s="9" t="n">
        <x:v>0.8106268161</x:v>
      </x:c>
      <x:c r="N3753" s="10" t="n">
        <x:v>36191.2863063374</x:v>
      </x:c>
      <x:c r="O3753" s="9" t="n">
        <x:v>-0.0426208829</x:v>
      </x:c>
      <x:c r="P3753" s="9" t="n">
        <x:v>0.2396768402</x:v>
      </x:c>
      <x:c r="Q3753" s="9" t="n">
        <x:v>0.0350089767</x:v>
      </x:c>
      <x:c r="R3753" s="3" t="b">
        <x:v>0</x:v>
      </x:c>
      <x:c r="S3753" s="3" t="b">
        <x:v>1</x:v>
      </x:c>
      <x:c r="T3753" s="3" t="b">
        <x:v>0</x:v>
      </x:c>
      <x:c r="U3753" s="2" t="str">
        <x:f>IF(T3753=TRUE,"Priority review",IF(R3753=TRUE,"High cost",IF(S3753=TRUE,"Low quality","Benchmark")))</x:f>
        <x:v>Low quality</x:v>
      </x:c>
    </x:row>
    <x:row r="3754">
      <x:c r="A3754" s="2" t="str">
        <x:v>450743</x:v>
      </x:c>
      <x:c r="B3754" s="2" t="str">
        <x:v>TEXAS HEALTH PRESBYTERIAN HOSPITAL DENTON</x:v>
      </x:c>
      <x:c r="C3754" s="2" t="str">
        <x:v>DENTON</x:v>
      </x:c>
      <x:c r="D3754" s="2" t="str">
        <x:v>TX</x:v>
      </x:c>
      <x:c r="E3754" s="2" t="str">
        <x:v>Acute Care Hospitals</x:v>
      </x:c>
      <x:c r="F3754" s="2" t="str">
        <x:v>Voluntary non-profit</x:v>
      </x:c>
      <x:c r="G3754" s="2" t="str">
        <x:v>Medium (100-299 beds)</x:v>
      </x:c>
      <x:c r="H3754" s="7" t="n">
        <x:v>5</x:v>
      </x:c>
      <x:c r="I3754" s="7" t="n">
        <x:v>4</x:v>
      </x:c>
      <x:c r="J3754" s="7" t="n">
        <x:v>1.05</x:v>
      </x:c>
      <x:c r="K3754" s="8" t="n">
        <x:v>216</x:v>
      </x:c>
      <x:c r="L3754" s="8" t="n">
        <x:v>11470</x:v>
      </x:c>
      <x:c r="M3754" s="9" t="n">
        <x:v>0.6407787925</x:v>
      </x:c>
      <x:c r="N3754" s="10" t="n">
        <x:v>25269.029119442</x:v>
      </x:c>
      <x:c r="O3754" s="9" t="n">
        <x:v>0.0538848586</x:v>
      </x:c>
      <x:c r="P3754" s="9" t="n">
        <x:v>0.239608802</x:v>
      </x:c>
      <x:c r="Q3754" s="9" t="n">
        <x:v>0.8744906275</x:v>
      </x:c>
      <x:c r="R3754" s="3" t="b">
        <x:v>0</x:v>
      </x:c>
      <x:c r="S3754" s="3" t="b">
        <x:v>0</x:v>
      </x:c>
      <x:c r="T3754" s="3" t="b">
        <x:v>0</x:v>
      </x:c>
      <x:c r="U3754" s="2" t="str">
        <x:f>IF(T3754=TRUE,"Priority review",IF(R3754=TRUE,"High cost",IF(S3754=TRUE,"Low quality","Benchmark")))</x:f>
        <x:v>Benchmark</x:v>
      </x:c>
    </x:row>
    <x:row r="3755">
      <x:c r="A3755" s="2" t="str">
        <x:v>194080</x:v>
      </x:c>
      <x:c r="B3755" s="2" t="str">
        <x:v>BEACON BEHAVIORAL HOSPITAL - NORTHSHORE, LLC</x:v>
      </x:c>
      <x:c r="C3755" s="2" t="str">
        <x:v>LACOMBE</x:v>
      </x:c>
      <x:c r="D3755" s="2" t="str">
        <x:v>LA</x:v>
      </x:c>
      <x:c r="E3755" s="2" t="str">
        <x:v>Psychiatric</x:v>
      </x:c>
      <x:c r="F3755" s="2" t="str">
        <x:v>Proprietary</x:v>
      </x:c>
      <x:c r="G3755" s="2" t="str">
        <x:v>Small (&lt;100 beds)</x:v>
      </x:c>
      <x:c r="H3755" s="7"/>
      <x:c r="I3755" s="7"/>
      <x:c r="J3755" s="7"/>
      <x:c r="K3755" s="8" t="n">
        <x:v>22</x:v>
      </x:c>
      <x:c r="L3755" s="8" t="n">
        <x:v>625</x:v>
      </x:c>
      <x:c r="M3755" s="9" t="n">
        <x:v>0.7842771982</x:v>
      </x:c>
      <x:c r="N3755" s="10" t="n">
        <x:v>8106.0752</x:v>
      </x:c>
      <x:c r="O3755" s="9" t="n">
        <x:v>0.0803993512</x:v>
      </x:c>
      <x:c r="P3755" s="9" t="n">
        <x:v>0.2394822006</x:v>
      </x:c>
      <x:c r="Q3755" s="9" t="n">
        <x:v>0</x:v>
      </x:c>
      <x:c r="R3755" s="3" t="b">
        <x:v>0</x:v>
      </x:c>
      <x:c r="S3755" s="3" t="b">
        <x:v>0</x:v>
      </x:c>
      <x:c r="T3755" s="3" t="b">
        <x:v>0</x:v>
      </x:c>
      <x:c r="U3755" s="2" t="str">
        <x:f>IF(T3755=TRUE,"Priority review",IF(R3755=TRUE,"High cost",IF(S3755=TRUE,"Low quality","Benchmark")))</x:f>
        <x:v>Benchmark</x:v>
      </x:c>
    </x:row>
    <x:row r="3756">
      <x:c r="A3756" s="2" t="str">
        <x:v>511317</x:v>
      </x:c>
      <x:c r="B3756" s="2" t="str">
        <x:v>CAMC PLATEAU MEDICAL CENTER, INC</x:v>
      </x:c>
      <x:c r="C3756" s="2" t="str">
        <x:v>OAK HILL</x:v>
      </x:c>
      <x:c r="D3756" s="2" t="str">
        <x:v>WV</x:v>
      </x:c>
      <x:c r="E3756" s="2" t="str">
        <x:v>Critical Access Hospitals</x:v>
      </x:c>
      <x:c r="F3756" s="2" t="str">
        <x:v>Proprietary</x:v>
      </x:c>
      <x:c r="G3756" s="2" t="str">
        <x:v>Small (&lt;100 beds)</x:v>
      </x:c>
      <x:c r="H3756" s="7"/>
      <x:c r="I3756" s="7" t="n">
        <x:v>5</x:v>
      </x:c>
      <x:c r="J3756" s="7"/>
      <x:c r="K3756" s="8" t="n">
        <x:v>25</x:v>
      </x:c>
      <x:c r="L3756" s="8" t="n">
        <x:v>559</x:v>
      </x:c>
      <x:c r="M3756" s="9" t="n">
        <x:v>0.4239344262</x:v>
      </x:c>
      <x:c r="N3756" s="10" t="n">
        <x:v>86911.2808586762</x:v>
      </x:c>
      <x:c r="O3756" s="9" t="n">
        <x:v>0.1019315861</x:v>
      </x:c>
      <x:c r="P3756" s="9" t="n">
        <x:v>0.2394052045</x:v>
      </x:c>
      <x:c r="Q3756" s="9" t="n">
        <x:v>0.292936803</x:v>
      </x:c>
      <x:c r="R3756" s="3" t="b">
        <x:v>0</x:v>
      </x:c>
      <x:c r="S3756" s="3" t="b">
        <x:v>0</x:v>
      </x:c>
      <x:c r="T3756" s="3" t="b">
        <x:v>0</x:v>
      </x:c>
      <x:c r="U3756" s="2" t="str">
        <x:f>IF(T3756=TRUE,"Priority review",IF(R3756=TRUE,"High cost",IF(S3756=TRUE,"Low quality","Benchmark")))</x:f>
        <x:v>Benchmark</x:v>
      </x:c>
    </x:row>
    <x:row r="3757">
      <x:c r="A3757" s="2" t="str">
        <x:v>154051</x:v>
      </x:c>
      <x:c r="B3757" s="2" t="str">
        <x:v>WELLSTONE REGIONAL HOSPITAL</x:v>
      </x:c>
      <x:c r="C3757" s="2" t="str">
        <x:v>JEFFERSONVILLE</x:v>
      </x:c>
      <x:c r="D3757" s="2" t="str">
        <x:v>IN</x:v>
      </x:c>
      <x:c r="E3757" s="2" t="str">
        <x:v>Psychiatric</x:v>
      </x:c>
      <x:c r="F3757" s="2" t="str">
        <x:v>Proprietary</x:v>
      </x:c>
      <x:c r="G3757" s="2" t="str">
        <x:v>Medium (100-299 beds)</x:v>
      </x:c>
      <x:c r="H3757" s="7"/>
      <x:c r="I3757" s="7"/>
      <x:c r="J3757" s="7"/>
      <x:c r="K3757" s="8" t="n">
        <x:v>100</x:v>
      </x:c>
      <x:c r="L3757" s="8" t="n">
        <x:v>2982</x:v>
      </x:c>
      <x:c r="M3757" s="9" t="n">
        <x:v>0.6291256831</x:v>
      </x:c>
      <x:c r="N3757" s="10" t="n">
        <x:v>6993.1924882629</x:v>
      </x:c>
      <x:c r="O3757" s="9" t="n">
        <x:v>0.1667466142</x:v>
      </x:c>
      <x:c r="P3757" s="9" t="n">
        <x:v>0.2388059701</x:v>
      </x:c>
      <x:c r="Q3757" s="9" t="n">
        <x:v>0</x:v>
      </x:c>
      <x:c r="R3757" s="3" t="b">
        <x:v>0</x:v>
      </x:c>
      <x:c r="S3757" s="3" t="b">
        <x:v>0</x:v>
      </x:c>
      <x:c r="T3757" s="3" t="b">
        <x:v>0</x:v>
      </x:c>
      <x:c r="U3757" s="2" t="str">
        <x:f>IF(T3757=TRUE,"Priority review",IF(R3757=TRUE,"High cost",IF(S3757=TRUE,"Low quality","Benchmark")))</x:f>
        <x:v>Benchmark</x:v>
      </x:c>
    </x:row>
    <x:row r="3758">
      <x:c r="A3758" s="2" t="str">
        <x:v>370047</x:v>
      </x:c>
      <x:c r="B3758" s="2" t="str">
        <x:v>MERCY HOSPITAL ARDMORE, INC</x:v>
      </x:c>
      <x:c r="C3758" s="2" t="str">
        <x:v>ARDMORE</x:v>
      </x:c>
      <x:c r="D3758" s="2" t="str">
        <x:v>OK</x:v>
      </x:c>
      <x:c r="E3758" s="2" t="str">
        <x:v>Acute Care Hospitals</x:v>
      </x:c>
      <x:c r="F3758" s="2" t="str">
        <x:v>Voluntary non-profit</x:v>
      </x:c>
      <x:c r="G3758" s="2" t="str">
        <x:v>Medium (100-299 beds)</x:v>
      </x:c>
      <x:c r="H3758" s="7" t="n">
        <x:v>4</x:v>
      </x:c>
      <x:c r="I3758" s="7" t="n">
        <x:v>4</x:v>
      </x:c>
      <x:c r="J3758" s="7" t="n">
        <x:v>1.03</x:v>
      </x:c>
      <x:c r="K3758" s="8" t="n">
        <x:v>140</x:v>
      </x:c>
      <x:c r="L3758" s="8" t="n">
        <x:v>7026</x:v>
      </x:c>
      <x:c r="M3758" s="9" t="n">
        <x:v>0.444109589</x:v>
      </x:c>
      <x:c r="N3758" s="10" t="n">
        <x:v>25178.804440649</x:v>
      </x:c>
      <x:c r="O3758" s="9" t="n">
        <x:v>0.1260174211</x:v>
      </x:c>
      <x:c r="P3758" s="9" t="n">
        <x:v>0.238793806</x:v>
      </x:c>
      <x:c r="Q3758" s="9" t="n">
        <x:v>0.6022819886</x:v>
      </x:c>
      <x:c r="R3758" s="3" t="b">
        <x:v>0</x:v>
      </x:c>
      <x:c r="S3758" s="3" t="b">
        <x:v>0</x:v>
      </x:c>
      <x:c r="T3758" s="3" t="b">
        <x:v>0</x:v>
      </x:c>
      <x:c r="U3758" s="2" t="str">
        <x:f>IF(T3758=TRUE,"Priority review",IF(R3758=TRUE,"High cost",IF(S3758=TRUE,"Low quality","Benchmark")))</x:f>
        <x:v>Benchmark</x:v>
      </x:c>
    </x:row>
    <x:row r="3759">
      <x:c r="A3759" s="2" t="str">
        <x:v>460058</x:v>
      </x:c>
      <x:c r="B3759" s="2" t="str">
        <x:v>INTERMOUNTAIN HEALTH RIVERTON HOSPITAL</x:v>
      </x:c>
      <x:c r="C3759" s="2" t="str">
        <x:v>RIVERTON</x:v>
      </x:c>
      <x:c r="D3759" s="2" t="str">
        <x:v>UT</x:v>
      </x:c>
      <x:c r="E3759" s="2" t="str">
        <x:v>Acute Care Hospitals</x:v>
      </x:c>
      <x:c r="F3759" s="2" t="str">
        <x:v>Voluntary non-profit</x:v>
      </x:c>
      <x:c r="G3759" s="2" t="str">
        <x:v>Small (&lt;100 beds)</x:v>
      </x:c>
      <x:c r="H3759" s="7" t="n">
        <x:v>5</x:v>
      </x:c>
      <x:c r="I3759" s="7" t="n">
        <x:v>4</x:v>
      </x:c>
      <x:c r="J3759" s="7" t="n">
        <x:v>0.94</x:v>
      </x:c>
      <x:c r="K3759" s="8" t="n">
        <x:v>87</x:v>
      </x:c>
      <x:c r="L3759" s="8" t="n">
        <x:v>5425</x:v>
      </x:c>
      <x:c r="M3759" s="9" t="n">
        <x:v>0.5996168582</x:v>
      </x:c>
      <x:c r="N3759" s="10" t="n">
        <x:v>36116.9528110599</x:v>
      </x:c>
      <x:c r="O3759" s="9" t="n">
        <x:v>0.1652063871</x:v>
      </x:c>
      <x:c r="P3759" s="9" t="n">
        <x:v>0.2387791741</x:v>
      </x:c>
      <x:c r="Q3759" s="9" t="n">
        <x:v>0.6131059246</x:v>
      </x:c>
      <x:c r="R3759" s="3" t="b">
        <x:v>0</x:v>
      </x:c>
      <x:c r="S3759" s="3" t="b">
        <x:v>0</x:v>
      </x:c>
      <x:c r="T3759" s="3" t="b">
        <x:v>0</x:v>
      </x:c>
      <x:c r="U3759" s="2" t="str">
        <x:f>IF(T3759=TRUE,"Priority review",IF(R3759=TRUE,"High cost",IF(S3759=TRUE,"Low quality","Benchmark")))</x:f>
        <x:v>Benchmark</x:v>
      </x:c>
    </x:row>
    <x:row r="3760">
      <x:c r="A3760" s="2" t="str">
        <x:v>501312</x:v>
      </x:c>
      <x:c r="B3760" s="2" t="str">
        <x:v>PROSSER MEMORIAL HOSPITAL</x:v>
      </x:c>
      <x:c r="C3760" s="2" t="str">
        <x:v>PROSSER</x:v>
      </x:c>
      <x:c r="D3760" s="2" t="str">
        <x:v>WA</x:v>
      </x:c>
      <x:c r="E3760" s="2" t="str">
        <x:v>Critical Access Hospitals</x:v>
      </x:c>
      <x:c r="F3760" s="2" t="str">
        <x:v>Government</x:v>
      </x:c>
      <x:c r="G3760" s="2" t="str">
        <x:v>Small (&lt;100 beds)</x:v>
      </x:c>
      <x:c r="H3760" s="7" t="n">
        <x:v>3</x:v>
      </x:c>
      <x:c r="I3760" s="7" t="n">
        <x:v>4</x:v>
      </x:c>
      <x:c r="J3760" s="7"/>
      <x:c r="K3760" s="8" t="n">
        <x:v>25</x:v>
      </x:c>
      <x:c r="L3760" s="8" t="n">
        <x:v>1578</x:v>
      </x:c>
      <x:c r="M3760" s="9" t="n">
        <x:v>0.6150819672</x:v>
      </x:c>
      <x:c r="N3760" s="10" t="n">
        <x:v>86868.8751584284</x:v>
      </x:c>
      <x:c r="O3760" s="9" t="n">
        <x:v>0.0654239062</x:v>
      </x:c>
      <x:c r="P3760" s="9" t="n">
        <x:v>0.23866171</x:v>
      </x:c>
      <x:c r="Q3760" s="9" t="n">
        <x:v>0.0765799257</x:v>
      </x:c>
      <x:c r="R3760" s="3" t="b">
        <x:v>0</x:v>
      </x:c>
      <x:c r="S3760" s="3" t="b">
        <x:v>1</x:v>
      </x:c>
      <x:c r="T3760" s="3" t="b">
        <x:v>0</x:v>
      </x:c>
      <x:c r="U3760" s="2" t="str">
        <x:f>IF(T3760=TRUE,"Priority review",IF(R3760=TRUE,"High cost",IF(S3760=TRUE,"Low quality","Benchmark")))</x:f>
        <x:v>Low quality</x:v>
      </x:c>
    </x:row>
    <x:row r="3761">
      <x:c r="A3761" s="2" t="str">
        <x:v>110129</x:v>
      </x:c>
      <x:c r="B3761" s="2" t="str">
        <x:v>ST FRANCIS HOSPITAL- EMORY HEALTHCARE</x:v>
      </x:c>
      <x:c r="C3761" s="2" t="str">
        <x:v>COLUMBUS</x:v>
      </x:c>
      <x:c r="D3761" s="2" t="str">
        <x:v>GA</x:v>
      </x:c>
      <x:c r="E3761" s="2" t="str">
        <x:v>Acute Care Hospitals</x:v>
      </x:c>
      <x:c r="F3761" s="2" t="str">
        <x:v>Voluntary non-profit</x:v>
      </x:c>
      <x:c r="G3761" s="2" t="str">
        <x:v>Large (300+ beds)</x:v>
      </x:c>
      <x:c r="H3761" s="7" t="n">
        <x:v>3</x:v>
      </x:c>
      <x:c r="I3761" s="7" t="n">
        <x:v>3</x:v>
      </x:c>
      <x:c r="J3761" s="7" t="n">
        <x:v>1</x:v>
      </x:c>
      <x:c r="K3761" s="8" t="n">
        <x:v>310</x:v>
      </x:c>
      <x:c r="L3761" s="8" t="n">
        <x:v>11972</x:v>
      </x:c>
      <x:c r="M3761" s="9" t="n">
        <x:v>0.5680546485</x:v>
      </x:c>
      <x:c r="N3761" s="10" t="n">
        <x:v>28224.2361343134</x:v>
      </x:c>
      <x:c r="O3761" s="9" t="n">
        <x:v>-0.1212582456</x:v>
      </x:c>
      <x:c r="P3761" s="9" t="n">
        <x:v>0.238170347</x:v>
      </x:c>
      <x:c r="Q3761" s="9" t="n">
        <x:v>0.2570977918</x:v>
      </x:c>
      <x:c r="R3761" s="3" t="b">
        <x:v>0</x:v>
      </x:c>
      <x:c r="S3761" s="3" t="b">
        <x:v>0</x:v>
      </x:c>
      <x:c r="T3761" s="3" t="b">
        <x:v>0</x:v>
      </x:c>
      <x:c r="U3761" s="2" t="str">
        <x:f>IF(T3761=TRUE,"Priority review",IF(R3761=TRUE,"High cost",IF(S3761=TRUE,"Low quality","Benchmark")))</x:f>
        <x:v>Benchmark</x:v>
      </x:c>
    </x:row>
    <x:row r="3762">
      <x:c r="A3762" s="2" t="str">
        <x:v>340090</x:v>
      </x:c>
      <x:c r="B3762" s="2" t="str">
        <x:v>JOHNSTON HEALTH</x:v>
      </x:c>
      <x:c r="C3762" s="2" t="str">
        <x:v>SMITHFIELD</x:v>
      </x:c>
      <x:c r="D3762" s="2" t="str">
        <x:v>NC</x:v>
      </x:c>
      <x:c r="E3762" s="2" t="str">
        <x:v>Acute Care Hospitals</x:v>
      </x:c>
      <x:c r="F3762" s="2" t="str">
        <x:v>Government</x:v>
      </x:c>
      <x:c r="G3762" s="2" t="str">
        <x:v>Medium (100-299 beds)</x:v>
      </x:c>
      <x:c r="H3762" s="7" t="n">
        <x:v>4</x:v>
      </x:c>
      <x:c r="I3762" s="7" t="n">
        <x:v>4</x:v>
      </x:c>
      <x:c r="J3762" s="7" t="n">
        <x:v>0.95</x:v>
      </x:c>
      <x:c r="K3762" s="8" t="n">
        <x:v>179</x:v>
      </x:c>
      <x:c r="L3762" s="8" t="n">
        <x:v>13989</x:v>
      </x:c>
      <x:c r="M3762" s="9" t="n">
        <x:v>0.7953011403</x:v>
      </x:c>
      <x:c r="N3762" s="10" t="n">
        <x:v>25174.3969547502</x:v>
      </x:c>
      <x:c r="O3762" s="9" t="n">
        <x:v>0.0911456605</x:v>
      </x:c>
      <x:c r="P3762" s="9" t="n">
        <x:v>0.2379788101</x:v>
      </x:c>
      <x:c r="Q3762" s="9" t="n">
        <x:v>0.6022819886</x:v>
      </x:c>
      <x:c r="R3762" s="3" t="b">
        <x:v>0</x:v>
      </x:c>
      <x:c r="S3762" s="3" t="b">
        <x:v>0</x:v>
      </x:c>
      <x:c r="T3762" s="3" t="b">
        <x:v>0</x:v>
      </x:c>
      <x:c r="U3762" s="2" t="str">
        <x:f>IF(T3762=TRUE,"Priority review",IF(R3762=TRUE,"High cost",IF(S3762=TRUE,"Low quality","Benchmark")))</x:f>
        <x:v>Benchmark</x:v>
      </x:c>
    </x:row>
    <x:row r="3763">
      <x:c r="A3763" s="2" t="str">
        <x:v>431326</x:v>
      </x:c>
      <x:c r="B3763" s="2" t="str">
        <x:v>MILBANK AREA HOSPITAL/AVERA HEALTH</x:v>
      </x:c>
      <x:c r="C3763" s="2" t="str">
        <x:v>MILBANK</x:v>
      </x:c>
      <x:c r="D3763" s="2" t="str">
        <x:v>SD</x:v>
      </x:c>
      <x:c r="E3763" s="2" t="str">
        <x:v>Critical Access Hospitals</x:v>
      </x:c>
      <x:c r="F3763" s="2" t="str">
        <x:v>Voluntary non-profit</x:v>
      </x:c>
      <x:c r="G3763" s="2" t="str">
        <x:v>Small (&lt;100 beds)</x:v>
      </x:c>
      <x:c r="H3763" s="7"/>
      <x:c r="I3763" s="7"/>
      <x:c r="J3763" s="7"/>
      <x:c r="K3763" s="8" t="n">
        <x:v>25</x:v>
      </x:c>
      <x:c r="L3763" s="8" t="n">
        <x:v>288</x:v>
      </x:c>
      <x:c r="M3763" s="9" t="n">
        <x:v>0.1237260274</x:v>
      </x:c>
      <x:c r="N3763" s="10" t="n">
        <x:v>86557.6006944444</x:v>
      </x:c>
      <x:c r="O3763" s="9" t="n">
        <x:v>-0.094041119</x:v>
      </x:c>
      <x:c r="P3763" s="9" t="n">
        <x:v>0.2379182156</x:v>
      </x:c>
      <x:c r="Q3763" s="9" t="n">
        <x:v>0.292936803</x:v>
      </x:c>
      <x:c r="R3763" s="3" t="b">
        <x:v>0</x:v>
      </x:c>
      <x:c r="S3763" s="3" t="b">
        <x:v>0</x:v>
      </x:c>
      <x:c r="T3763" s="3" t="b">
        <x:v>0</x:v>
      </x:c>
      <x:c r="U3763" s="2" t="str">
        <x:f>IF(T3763=TRUE,"Priority review",IF(R3763=TRUE,"High cost",IF(S3763=TRUE,"Low quality","Benchmark")))</x:f>
        <x:v>Benchmark</x:v>
      </x:c>
    </x:row>
    <x:row r="3764">
      <x:c r="A3764" s="2" t="str">
        <x:v>310130</x:v>
      </x:c>
      <x:c r="B3764" s="2" t="str">
        <x:v>HACKENSACK MERIDIAN HEALTH PASCACK VALLEY MEDICAL</x:v>
      </x:c>
      <x:c r="C3764" s="2" t="str">
        <x:v>WESTWOOD</x:v>
      </x:c>
      <x:c r="D3764" s="2" t="str">
        <x:v>NJ</x:v>
      </x:c>
      <x:c r="E3764" s="2" t="str">
        <x:v>Acute Care Hospitals</x:v>
      </x:c>
      <x:c r="F3764" s="2" t="str">
        <x:v>Proprietary</x:v>
      </x:c>
      <x:c r="G3764" s="2" t="str">
        <x:v>Small (&lt;100 beds)</x:v>
      </x:c>
      <x:c r="H3764" s="7" t="n">
        <x:v>5</x:v>
      </x:c>
      <x:c r="I3764" s="7" t="n">
        <x:v>3</x:v>
      </x:c>
      <x:c r="J3764" s="7" t="n">
        <x:v>1.04</x:v>
      </x:c>
      <x:c r="K3764" s="8" t="n">
        <x:v>78</x:v>
      </x:c>
      <x:c r="L3764" s="8" t="n">
        <x:v>3698</x:v>
      </x:c>
      <x:c r="M3764" s="9" t="n">
        <x:v>0.5048472076</x:v>
      </x:c>
      <x:c r="N3764" s="10" t="n">
        <x:v>36104.9229313142</x:v>
      </x:c>
      <x:c r="O3764" s="9" t="n">
        <x:v>0.117660441</x:v>
      </x:c>
      <x:c r="P3764" s="9" t="n">
        <x:v>0.2378815081</x:v>
      </x:c>
      <x:c r="Q3764" s="9" t="n">
        <x:v>0.6131059246</x:v>
      </x:c>
      <x:c r="R3764" s="3" t="b">
        <x:v>0</x:v>
      </x:c>
      <x:c r="S3764" s="3" t="b">
        <x:v>0</x:v>
      </x:c>
      <x:c r="T3764" s="3" t="b">
        <x:v>0</x:v>
      </x:c>
      <x:c r="U3764" s="2" t="str">
        <x:f>IF(T3764=TRUE,"Priority review",IF(R3764=TRUE,"High cost",IF(S3764=TRUE,"Low quality","Benchmark")))</x:f>
        <x:v>Benchmark</x:v>
      </x:c>
    </x:row>
    <x:row r="3765">
      <x:c r="A3765" s="2" t="str">
        <x:v>151300</x:v>
      </x:c>
      <x:c r="B3765" s="2" t="str">
        <x:v>COMMUNITY HOSPITAL OF BREMEN INC</x:v>
      </x:c>
      <x:c r="C3765" s="2" t="str">
        <x:v>BREMEN</x:v>
      </x:c>
      <x:c r="D3765" s="2" t="str">
        <x:v>IN</x:v>
      </x:c>
      <x:c r="E3765" s="2" t="str">
        <x:v>Critical Access Hospitals</x:v>
      </x:c>
      <x:c r="F3765" s="2" t="str">
        <x:v>Voluntary non-profit</x:v>
      </x:c>
      <x:c r="G3765" s="2" t="str">
        <x:v>Small (&lt;100 beds)</x:v>
      </x:c>
      <x:c r="H3765" s="7"/>
      <x:c r="I3765" s="7" t="n">
        <x:v>4</x:v>
      </x:c>
      <x:c r="J3765" s="7"/>
      <x:c r="K3765" s="8" t="n">
        <x:v>24</x:v>
      </x:c>
      <x:c r="L3765" s="8" t="n">
        <x:v>335</x:v>
      </x:c>
      <x:c r="M3765" s="9" t="n">
        <x:v>0.2880236794</x:v>
      </x:c>
      <x:c r="N3765" s="10" t="n">
        <x:v>86377.0776119403</x:v>
      </x:c>
      <x:c r="O3765" s="9" t="n">
        <x:v>0.0501734031</x:v>
      </x:c>
      <x:c r="P3765" s="9" t="n">
        <x:v>0.2371747212</x:v>
      </x:c>
      <x:c r="Q3765" s="9" t="n">
        <x:v>0.292936803</x:v>
      </x:c>
      <x:c r="R3765" s="3" t="b">
        <x:v>0</x:v>
      </x:c>
      <x:c r="S3765" s="3" t="b">
        <x:v>0</x:v>
      </x:c>
      <x:c r="T3765" s="3" t="b">
        <x:v>0</x:v>
      </x:c>
      <x:c r="U3765" s="2" t="str">
        <x:f>IF(T3765=TRUE,"Priority review",IF(R3765=TRUE,"High cost",IF(S3765=TRUE,"Low quality","Benchmark")))</x:f>
        <x:v>Benchmark</x:v>
      </x:c>
    </x:row>
    <x:row r="3766">
      <x:c r="A3766" s="2" t="str">
        <x:v>490141</x:v>
      </x:c>
      <x:c r="B3766" s="2" t="str">
        <x:v>SPOTSYLVANIA REGIONAL MEDICAL CENTER</x:v>
      </x:c>
      <x:c r="C3766" s="2" t="str">
        <x:v>FREDERICKSBURG</x:v>
      </x:c>
      <x:c r="D3766" s="2" t="str">
        <x:v>VA</x:v>
      </x:c>
      <x:c r="E3766" s="2" t="str">
        <x:v>Acute Care Hospitals</x:v>
      </x:c>
      <x:c r="F3766" s="2" t="str">
        <x:v>Proprietary</x:v>
      </x:c>
      <x:c r="G3766" s="2" t="str">
        <x:v>Medium (100-299 beds)</x:v>
      </x:c>
      <x:c r="H3766" s="7" t="n">
        <x:v>3</x:v>
      </x:c>
      <x:c r="I3766" s="7" t="n">
        <x:v>2</x:v>
      </x:c>
      <x:c r="J3766" s="7" t="n">
        <x:v>0.98</x:v>
      </x:c>
      <x:c r="K3766" s="8" t="n">
        <x:v>108</x:v>
      </x:c>
      <x:c r="L3766" s="8" t="n">
        <x:v>6887</x:v>
      </x:c>
      <x:c r="M3766" s="9" t="n">
        <x:v>0.6935515388</x:v>
      </x:c>
      <x:c r="N3766" s="10" t="n">
        <x:v>25165.8439088137</x:v>
      </x:c>
      <x:c r="O3766" s="9" t="n">
        <x:v>0.138044238</x:v>
      </x:c>
      <x:c r="P3766" s="9" t="n">
        <x:v>0.2371638142</x:v>
      </x:c>
      <x:c r="Q3766" s="9" t="n">
        <x:v>0.3023634882</x:v>
      </x:c>
      <x:c r="R3766" s="3" t="b">
        <x:v>0</x:v>
      </x:c>
      <x:c r="S3766" s="3" t="b">
        <x:v>0</x:v>
      </x:c>
      <x:c r="T3766" s="3" t="b">
        <x:v>0</x:v>
      </x:c>
      <x:c r="U3766" s="2" t="str">
        <x:f>IF(T3766=TRUE,"Priority review",IF(R3766=TRUE,"High cost",IF(S3766=TRUE,"Low quality","Benchmark")))</x:f>
        <x:v>Benchmark</x:v>
      </x:c>
    </x:row>
    <x:row r="3767">
      <x:c r="A3767" s="2" t="str">
        <x:v>100266</x:v>
      </x:c>
      <x:c r="B3767" s="2" t="str">
        <x:v>GULF BREEZE HOSPITAL</x:v>
      </x:c>
      <x:c r="C3767" s="2" t="str">
        <x:v>GULF BREEZE</x:v>
      </x:c>
      <x:c r="D3767" s="2" t="str">
        <x:v>FL</x:v>
      </x:c>
      <x:c r="E3767" s="2" t="str">
        <x:v>Acute Care Hospitals</x:v>
      </x:c>
      <x:c r="F3767" s="2" t="str">
        <x:v>Voluntary non-profit</x:v>
      </x:c>
      <x:c r="G3767" s="2" t="str">
        <x:v>Small (&lt;100 beds)</x:v>
      </x:c>
      <x:c r="H3767" s="7" t="n">
        <x:v>4</x:v>
      </x:c>
      <x:c r="I3767" s="7" t="n">
        <x:v>4</x:v>
      </x:c>
      <x:c r="J3767" s="7" t="n">
        <x:v>1.05</x:v>
      </x:c>
      <x:c r="K3767" s="8" t="n">
        <x:v>65</x:v>
      </x:c>
      <x:c r="L3767" s="8" t="n">
        <x:v>3147</x:v>
      </x:c>
      <x:c r="M3767" s="9" t="n">
        <x:v>0.4970155528</x:v>
      </x:c>
      <x:c r="N3767" s="10" t="n">
        <x:v>35960.6205910391</x:v>
      </x:c>
      <x:c r="O3767" s="9" t="n">
        <x:v>0.0867241928</x:v>
      </x:c>
      <x:c r="P3767" s="9" t="n">
        <x:v>0.236983842</x:v>
      </x:c>
      <x:c r="Q3767" s="9" t="n">
        <x:v>0.3913824057</x:v>
      </x:c>
      <x:c r="R3767" s="3" t="b">
        <x:v>0</x:v>
      </x:c>
      <x:c r="S3767" s="3" t="b">
        <x:v>0</x:v>
      </x:c>
      <x:c r="T3767" s="3" t="b">
        <x:v>0</x:v>
      </x:c>
      <x:c r="U3767" s="2" t="str">
        <x:f>IF(T3767=TRUE,"Priority review",IF(R3767=TRUE,"High cost",IF(S3767=TRUE,"Low quality","Benchmark")))</x:f>
        <x:v>Benchmark</x:v>
      </x:c>
    </x:row>
    <x:row r="3768">
      <x:c r="A3768" s="2" t="str">
        <x:v>140007</x:v>
      </x:c>
      <x:c r="B3768" s="2" t="str">
        <x:v>SAINT JOSEPH MEDICAL CENTER</x:v>
      </x:c>
      <x:c r="C3768" s="2" t="str">
        <x:v>JOLIET</x:v>
      </x:c>
      <x:c r="D3768" s="2" t="str">
        <x:v>IL</x:v>
      </x:c>
      <x:c r="E3768" s="2" t="str">
        <x:v>Acute Care Hospitals</x:v>
      </x:c>
      <x:c r="F3768" s="2" t="str">
        <x:v>Voluntary non-profit</x:v>
      </x:c>
      <x:c r="G3768" s="2" t="str">
        <x:v>Large (300+ beds)</x:v>
      </x:c>
      <x:c r="H3768" s="7" t="n">
        <x:v>1</x:v>
      </x:c>
      <x:c r="I3768" s="7" t="n">
        <x:v>2</x:v>
      </x:c>
      <x:c r="J3768" s="7" t="n">
        <x:v>1.07</x:v>
      </x:c>
      <x:c r="K3768" s="8" t="n">
        <x:v>425</x:v>
      </x:c>
      <x:c r="L3768" s="8" t="n">
        <x:v>9093</x:v>
      </x:c>
      <x:c r="M3768" s="9" t="n">
        <x:v>0.438392641</x:v>
      </x:c>
      <x:c r="N3768" s="10" t="n">
        <x:v>28122.1869569999</x:v>
      </x:c>
      <x:c r="O3768" s="9" t="n">
        <x:v>-0.284543934</x:v>
      </x:c>
      <x:c r="P3768" s="9" t="n">
        <x:v>0.2365930599</x:v>
      </x:c>
      <x:c r="Q3768" s="9" t="n">
        <x:v>0</x:v>
      </x:c>
      <x:c r="R3768" s="3" t="b">
        <x:v>0</x:v>
      </x:c>
      <x:c r="S3768" s="3" t="b">
        <x:v>1</x:v>
      </x:c>
      <x:c r="T3768" s="3" t="b">
        <x:v>0</x:v>
      </x:c>
      <x:c r="U3768" s="2" t="str">
        <x:f>IF(T3768=TRUE,"Priority review",IF(R3768=TRUE,"High cost",IF(S3768=TRUE,"Low quality","Benchmark")))</x:f>
        <x:v>Low quality</x:v>
      </x:c>
    </x:row>
    <x:row r="3769">
      <x:c r="A3769" s="2" t="str">
        <x:v>171371</x:v>
      </x:c>
      <x:c r="B3769" s="2" t="str">
        <x:v>CLAY COUNTY MEDICAL CENTER</x:v>
      </x:c>
      <x:c r="C3769" s="2" t="str">
        <x:v>CLAY CENTER</x:v>
      </x:c>
      <x:c r="D3769" s="2" t="str">
        <x:v>KS</x:v>
      </x:c>
      <x:c r="E3769" s="2" t="str">
        <x:v>Critical Access Hospitals</x:v>
      </x:c>
      <x:c r="F3769" s="2" t="str">
        <x:v>Government</x:v>
      </x:c>
      <x:c r="G3769" s="2" t="str">
        <x:v>Small (&lt;100 beds)</x:v>
      </x:c>
      <x:c r="H3769" s="7" t="n">
        <x:v>3</x:v>
      </x:c>
      <x:c r="I3769" s="7"/>
      <x:c r="J3769" s="7"/>
      <x:c r="K3769" s="8" t="n">
        <x:v>23</x:v>
      </x:c>
      <x:c r="L3769" s="8" t="n">
        <x:v>438</x:v>
      </x:c>
      <x:c r="M3769" s="9" t="n">
        <x:v>0.2412687099</x:v>
      </x:c>
      <x:c r="N3769" s="10" t="n">
        <x:v>86270.1735159817</x:v>
      </x:c>
      <x:c r="O3769" s="9" t="n">
        <x:v>-0.1054880325</x:v>
      </x:c>
      <x:c r="P3769" s="9" t="n">
        <x:v>0.2364312268</x:v>
      </x:c>
      <x:c r="Q3769" s="9" t="n">
        <x:v>0.0765799257</x:v>
      </x:c>
      <x:c r="R3769" s="3" t="b">
        <x:v>0</x:v>
      </x:c>
      <x:c r="S3769" s="3" t="b">
        <x:v>1</x:v>
      </x:c>
      <x:c r="T3769" s="3" t="b">
        <x:v>0</x:v>
      </x:c>
      <x:c r="U3769" s="2" t="str">
        <x:f>IF(T3769=TRUE,"Priority review",IF(R3769=TRUE,"High cost",IF(S3769=TRUE,"Low quality","Benchmark")))</x:f>
        <x:v>Low quality</x:v>
      </x:c>
    </x:row>
    <x:row r="3770">
      <x:c r="A3770" s="2" t="str">
        <x:v>310075</x:v>
      </x:c>
      <x:c r="B3770" s="2" t="str">
        <x:v>MONMOUTH MEDICAL CENTER</x:v>
      </x:c>
      <x:c r="C3770" s="2" t="str">
        <x:v>LONG BRANCH</x:v>
      </x:c>
      <x:c r="D3770" s="2" t="str">
        <x:v>NJ</x:v>
      </x:c>
      <x:c r="E3770" s="2" t="str">
        <x:v>Acute Care Hospitals</x:v>
      </x:c>
      <x:c r="F3770" s="2" t="str">
        <x:v>Voluntary non-profit</x:v>
      </x:c>
      <x:c r="G3770" s="2" t="str">
        <x:v>Medium (100-299 beds)</x:v>
      </x:c>
      <x:c r="H3770" s="7" t="n">
        <x:v>3</x:v>
      </x:c>
      <x:c r="I3770" s="7" t="n">
        <x:v>3</x:v>
      </x:c>
      <x:c r="J3770" s="7" t="n">
        <x:v>1.08</x:v>
      </x:c>
      <x:c r="K3770" s="8" t="n">
        <x:v>240</x:v>
      </x:c>
      <x:c r="L3770" s="8" t="n">
        <x:v>20898</x:v>
      </x:c>
      <x:c r="M3770" s="9" t="n">
        <x:v>0.7267531876</x:v>
      </x:c>
      <x:c r="N3770" s="10" t="n">
        <x:v>25096.7994544933</x:v>
      </x:c>
      <x:c r="O3770" s="9" t="n">
        <x:v>0.1326954282</x:v>
      </x:c>
      <x:c r="P3770" s="9" t="n">
        <x:v>0.2363488183</x:v>
      </x:c>
      <x:c r="Q3770" s="9" t="n">
        <x:v>0.3023634882</x:v>
      </x:c>
      <x:c r="R3770" s="3" t="b">
        <x:v>0</x:v>
      </x:c>
      <x:c r="S3770" s="3" t="b">
        <x:v>0</x:v>
      </x:c>
      <x:c r="T3770" s="3" t="b">
        <x:v>0</x:v>
      </x:c>
      <x:c r="U3770" s="2" t="str">
        <x:f>IF(T3770=TRUE,"Priority review",IF(R3770=TRUE,"High cost",IF(S3770=TRUE,"Low quality","Benchmark")))</x:f>
        <x:v>Benchmark</x:v>
      </x:c>
    </x:row>
    <x:row r="3771">
      <x:c r="A3771" s="2" t="str">
        <x:v>054032</x:v>
      </x:c>
      <x:c r="B3771" s="2" t="str">
        <x:v>BHC ALHAMBRA HOSPITAL</x:v>
      </x:c>
      <x:c r="C3771" s="2" t="str">
        <x:v>ROSEMEAD</x:v>
      </x:c>
      <x:c r="D3771" s="2" t="str">
        <x:v>CA</x:v>
      </x:c>
      <x:c r="E3771" s="2" t="str">
        <x:v>Psychiatric</x:v>
      </x:c>
      <x:c r="F3771" s="2" t="str">
        <x:v>Proprietary</x:v>
      </x:c>
      <x:c r="G3771" s="2" t="str">
        <x:v>Small (&lt;100 beds)</x:v>
      </x:c>
      <x:c r="H3771" s="7"/>
      <x:c r="I3771" s="7"/>
      <x:c r="J3771" s="7"/>
      <x:c r="K3771" s="8" t="n">
        <x:v>97</x:v>
      </x:c>
      <x:c r="L3771" s="8" t="n">
        <x:v>4307</x:v>
      </x:c>
      <x:c r="M3771" s="9" t="n">
        <x:v>0.9397498732</x:v>
      </x:c>
      <x:c r="N3771" s="10" t="n">
        <x:v>8085.4332482006</x:v>
      </x:c>
      <x:c r="O3771" s="9" t="n">
        <x:v>0.3394064667</x:v>
      </x:c>
      <x:c r="P3771" s="9" t="n">
        <x:v>0.2362459547</x:v>
      </x:c>
      <x:c r="Q3771" s="9" t="n">
        <x:v>0</x:v>
      </x:c>
      <x:c r="R3771" s="3" t="b">
        <x:v>0</x:v>
      </x:c>
      <x:c r="S3771" s="3" t="b">
        <x:v>0</x:v>
      </x:c>
      <x:c r="T3771" s="3" t="b">
        <x:v>0</x:v>
      </x:c>
      <x:c r="U3771" s="2" t="str">
        <x:f>IF(T3771=TRUE,"Priority review",IF(R3771=TRUE,"High cost",IF(S3771=TRUE,"Low quality","Benchmark")))</x:f>
        <x:v>Benchmark</x:v>
      </x:c>
    </x:row>
    <x:row r="3772">
      <x:c r="A3772" s="2" t="str">
        <x:v>450604</x:v>
      </x:c>
      <x:c r="B3772" s="2" t="str">
        <x:v>HILL COUNTRY MEMORIAL HOSPITAL</x:v>
      </x:c>
      <x:c r="C3772" s="2" t="str">
        <x:v>FREDERICKSBURG</x:v>
      </x:c>
      <x:c r="D3772" s="2" t="str">
        <x:v>TX</x:v>
      </x:c>
      <x:c r="E3772" s="2" t="str">
        <x:v>Acute Care Hospitals</x:v>
      </x:c>
      <x:c r="F3772" s="2" t="str">
        <x:v>Proprietary</x:v>
      </x:c>
      <x:c r="G3772" s="2" t="str">
        <x:v>Small (&lt;100 beds)</x:v>
      </x:c>
      <x:c r="H3772" s="7" t="n">
        <x:v>4</x:v>
      </x:c>
      <x:c r="I3772" s="7" t="n">
        <x:v>4</x:v>
      </x:c>
      <x:c r="J3772" s="7" t="n">
        <x:v>1.01</x:v>
      </x:c>
      <x:c r="K3772" s="8" t="n">
        <x:v>57</x:v>
      </x:c>
      <x:c r="L3772" s="8" t="n">
        <x:v>2211</x:v>
      </x:c>
      <x:c r="M3772" s="9" t="n">
        <x:v>0.3238644557</x:v>
      </x:c>
      <x:c r="N3772" s="10" t="n">
        <x:v>35956.9615558571</x:v>
      </x:c>
      <x:c r="O3772" s="9" t="n">
        <x:v>0.1573846467</x:v>
      </x:c>
      <x:c r="P3772" s="9" t="n">
        <x:v>0.2360861759</x:v>
      </x:c>
      <x:c r="Q3772" s="9" t="n">
        <x:v>0.3913824057</x:v>
      </x:c>
      <x:c r="R3772" s="3" t="b">
        <x:v>0</x:v>
      </x:c>
      <x:c r="S3772" s="3" t="b">
        <x:v>0</x:v>
      </x:c>
      <x:c r="T3772" s="3" t="b">
        <x:v>0</x:v>
      </x:c>
      <x:c r="U3772" s="2" t="str">
        <x:f>IF(T3772=TRUE,"Priority review",IF(R3772=TRUE,"High cost",IF(S3772=TRUE,"Low quality","Benchmark")))</x:f>
        <x:v>Benchmark</x:v>
      </x:c>
    </x:row>
    <x:row r="3773">
      <x:c r="A3773" s="2" t="str">
        <x:v>331320</x:v>
      </x:c>
      <x:c r="B3773" s="2" t="str">
        <x:v>COBLESKILL REGIONAL HOSPITAL</x:v>
      </x:c>
      <x:c r="C3773" s="2" t="str">
        <x:v>COBLESKILL</x:v>
      </x:c>
      <x:c r="D3773" s="2" t="str">
        <x:v>NY</x:v>
      </x:c>
      <x:c r="E3773" s="2" t="str">
        <x:v>Critical Access Hospitals</x:v>
      </x:c>
      <x:c r="F3773" s="2" t="str">
        <x:v>Voluntary non-profit</x:v>
      </x:c>
      <x:c r="G3773" s="2" t="str">
        <x:v>Small (&lt;100 beds)</x:v>
      </x:c>
      <x:c r="H3773" s="7" t="n">
        <x:v>4</x:v>
      </x:c>
      <x:c r="I3773" s="7" t="n">
        <x:v>5</x:v>
      </x:c>
      <x:c r="J3773" s="7"/>
      <x:c r="K3773" s="8" t="n">
        <x:v>25</x:v>
      </x:c>
      <x:c r="L3773" s="8" t="n">
        <x:v>461</x:v>
      </x:c>
      <x:c r="M3773" s="9" t="n">
        <x:v>0.4757377049</x:v>
      </x:c>
      <x:c r="N3773" s="10" t="n">
        <x:v>86183.5921908894</x:v>
      </x:c>
      <x:c r="O3773" s="9" t="n">
        <x:v>0.2409736679</x:v>
      </x:c>
      <x:c r="P3773" s="9" t="n">
        <x:v>0.2356877323</x:v>
      </x:c>
      <x:c r="Q3773" s="9" t="n">
        <x:v>0.1657992565</x:v>
      </x:c>
      <x:c r="R3773" s="3" t="b">
        <x:v>0</x:v>
      </x:c>
      <x:c r="S3773" s="3" t="b">
        <x:v>0</x:v>
      </x:c>
      <x:c r="T3773" s="3" t="b">
        <x:v>0</x:v>
      </x:c>
      <x:c r="U3773" s="2" t="str">
        <x:f>IF(T3773=TRUE,"Priority review",IF(R3773=TRUE,"High cost",IF(S3773=TRUE,"Low quality","Benchmark")))</x:f>
        <x:v>Benchmark</x:v>
      </x:c>
    </x:row>
    <x:row r="3774">
      <x:c r="A3774" s="2" t="str">
        <x:v>140046</x:v>
      </x:c>
      <x:c r="B3774" s="2" t="str">
        <x:v>GOOD SAMARITAN REGIONAL HLTH CENTER</x:v>
      </x:c>
      <x:c r="C3774" s="2" t="str">
        <x:v>MOUNT VERNON</x:v>
      </x:c>
      <x:c r="D3774" s="2" t="str">
        <x:v>IL</x:v>
      </x:c>
      <x:c r="E3774" s="2" t="str">
        <x:v>Acute Care Hospitals</x:v>
      </x:c>
      <x:c r="F3774" s="2" t="str">
        <x:v>Voluntary non-profit</x:v>
      </x:c>
      <x:c r="G3774" s="2" t="str">
        <x:v>Medium (100-299 beds)</x:v>
      </x:c>
      <x:c r="H3774" s="7" t="n">
        <x:v>4</x:v>
      </x:c>
      <x:c r="I3774" s="7" t="n">
        <x:v>3</x:v>
      </x:c>
      <x:c r="J3774" s="7" t="n">
        <x:v>0.98</x:v>
      </x:c>
      <x:c r="K3774" s="8" t="n">
        <x:v>111</x:v>
      </x:c>
      <x:c r="L3774" s="8" t="n">
        <x:v>8771</x:v>
      </x:c>
      <x:c r="M3774" s="9" t="n">
        <x:v>0.6986166494</x:v>
      </x:c>
      <x:c r="N3774" s="10" t="n">
        <x:v>25064.2073879831</x:v>
      </x:c>
      <x:c r="O3774" s="9" t="n">
        <x:v>0.1017305405</x:v>
      </x:c>
      <x:c r="P3774" s="9" t="n">
        <x:v>0.2355338223</x:v>
      </x:c>
      <x:c r="Q3774" s="9" t="n">
        <x:v>0.6022819886</x:v>
      </x:c>
      <x:c r="R3774" s="3" t="b">
        <x:v>0</x:v>
      </x:c>
      <x:c r="S3774" s="3" t="b">
        <x:v>0</x:v>
      </x:c>
      <x:c r="T3774" s="3" t="b">
        <x:v>0</x:v>
      </x:c>
      <x:c r="U3774" s="2" t="str">
        <x:f>IF(T3774=TRUE,"Priority review",IF(R3774=TRUE,"High cost",IF(S3774=TRUE,"Low quality","Benchmark")))</x:f>
        <x:v>Benchmark</x:v>
      </x:c>
    </x:row>
    <x:row r="3775">
      <x:c r="A3775" s="2" t="str">
        <x:v>190044</x:v>
      </x:c>
      <x:c r="B3775" s="2" t="str">
        <x:v>ACADIA GENERAL HOSPITAL</x:v>
      </x:c>
      <x:c r="C3775" s="2" t="str">
        <x:v>CROWLEY</x:v>
      </x:c>
      <x:c r="D3775" s="2" t="str">
        <x:v>LA</x:v>
      </x:c>
      <x:c r="E3775" s="2" t="str">
        <x:v>Acute Care Hospitals</x:v>
      </x:c>
      <x:c r="F3775" s="2" t="str">
        <x:v>Voluntary non-profit</x:v>
      </x:c>
      <x:c r="G3775" s="2" t="str">
        <x:v>Small (&lt;100 beds)</x:v>
      </x:c>
      <x:c r="H3775" s="7" t="n">
        <x:v>3</x:v>
      </x:c>
      <x:c r="I3775" s="7" t="n">
        <x:v>4</x:v>
      </x:c>
      <x:c r="J3775" s="7" t="n">
        <x:v>1.09</x:v>
      </x:c>
      <x:c r="K3775" s="8" t="n">
        <x:v>54</x:v>
      </x:c>
      <x:c r="L3775" s="8" t="n">
        <x:v>1711</x:v>
      </x:c>
      <x:c r="M3775" s="9" t="n">
        <x:v>0.4054847197</x:v>
      </x:c>
      <x:c r="N3775" s="10" t="n">
        <x:v>35859.0748100526</x:v>
      </x:c>
      <x:c r="O3775" s="9" t="n">
        <x:v>-0.2282902344</x:v>
      </x:c>
      <x:c r="P3775" s="9" t="n">
        <x:v>0.2351885099</x:v>
      </x:c>
      <x:c r="Q3775" s="9" t="n">
        <x:v>0.1687612208</x:v>
      </x:c>
      <x:c r="R3775" s="3" t="b">
        <x:v>0</x:v>
      </x:c>
      <x:c r="S3775" s="3" t="b">
        <x:v>0</x:v>
      </x:c>
      <x:c r="T3775" s="3" t="b">
        <x:v>0</x:v>
      </x:c>
      <x:c r="U3775" s="2" t="str">
        <x:f>IF(T3775=TRUE,"Priority review",IF(R3775=TRUE,"High cost",IF(S3775=TRUE,"Low quality","Benchmark")))</x:f>
        <x:v>Benchmark</x:v>
      </x:c>
    </x:row>
    <x:row r="3776">
      <x:c r="A3776" s="2" t="str">
        <x:v>100075</x:v>
      </x:c>
      <x:c r="B3776" s="2" t="str">
        <x:v>ST JOSEPHS HOSPITAL</x:v>
      </x:c>
      <x:c r="C3776" s="2" t="str">
        <x:v>TAMPA</x:v>
      </x:c>
      <x:c r="D3776" s="2" t="str">
        <x:v>FL</x:v>
      </x:c>
      <x:c r="E3776" s="2" t="str">
        <x:v>Acute Care Hospitals</x:v>
      </x:c>
      <x:c r="F3776" s="2" t="str">
        <x:v>Voluntary non-profit</x:v>
      </x:c>
      <x:c r="G3776" s="2" t="str">
        <x:v>Large (300+ beds)</x:v>
      </x:c>
      <x:c r="H3776" s="7" t="n">
        <x:v>4</x:v>
      </x:c>
      <x:c r="I3776" s="7" t="n">
        <x:v>3</x:v>
      </x:c>
      <x:c r="J3776" s="7" t="n">
        <x:v>1.01</x:v>
      </x:c>
      <x:c r="K3776" s="8" t="n">
        <x:v>1345</x:v>
      </x:c>
      <x:c r="L3776" s="8" t="n">
        <x:v>57958</x:v>
      </x:c>
      <x:c r="M3776" s="9" t="n">
        <x:v>0.605299937</x:v>
      </x:c>
      <x:c r="N3776" s="10" t="n">
        <x:v>27979.9652679527</x:v>
      </x:c>
      <x:c r="O3776" s="9" t="n">
        <x:v>0.1660074414</x:v>
      </x:c>
      <x:c r="P3776" s="9" t="n">
        <x:v>0.2350157729</x:v>
      </x:c>
      <x:c r="Q3776" s="9" t="n">
        <x:v>0.5899053628</x:v>
      </x:c>
      <x:c r="R3776" s="3" t="b">
        <x:v>0</x:v>
      </x:c>
      <x:c r="S3776" s="3" t="b">
        <x:v>0</x:v>
      </x:c>
      <x:c r="T3776" s="3" t="b">
        <x:v>0</x:v>
      </x:c>
      <x:c r="U3776" s="2" t="str">
        <x:f>IF(T3776=TRUE,"Priority review",IF(R3776=TRUE,"High cost",IF(S3776=TRUE,"Low quality","Benchmark")))</x:f>
        <x:v>Benchmark</x:v>
      </x:c>
    </x:row>
    <x:row r="3777">
      <x:c r="A3777" s="2" t="str">
        <x:v>521336</x:v>
      </x:c>
      <x:c r="B3777" s="2" t="str">
        <x:v>TAMARACK HEALTH HAYWARD MEDICAL CENTER</x:v>
      </x:c>
      <x:c r="C3777" s="2" t="str">
        <x:v>HAYWARD</x:v>
      </x:c>
      <x:c r="D3777" s="2" t="str">
        <x:v>WI</x:v>
      </x:c>
      <x:c r="E3777" s="2" t="str">
        <x:v>Critical Access Hospitals</x:v>
      </x:c>
      <x:c r="F3777" s="2" t="str">
        <x:v>Voluntary non-profit</x:v>
      </x:c>
      <x:c r="G3777" s="2" t="str">
        <x:v>Small (&lt;100 beds)</x:v>
      </x:c>
      <x:c r="H3777" s="7" t="n">
        <x:v>4</x:v>
      </x:c>
      <x:c r="I3777" s="7" t="n">
        <x:v>5</x:v>
      </x:c>
      <x:c r="J3777" s="7"/>
      <x:c r="K3777" s="8" t="n">
        <x:v>25</x:v>
      </x:c>
      <x:c r="L3777" s="8" t="n">
        <x:v>984</x:v>
      </x:c>
      <x:c r="M3777" s="9" t="n">
        <x:v>0.3744657534</x:v>
      </x:c>
      <x:c r="N3777" s="10" t="n">
        <x:v>86033.6808943089</x:v>
      </x:c>
      <x:c r="O3777" s="9" t="n">
        <x:v>0.0626964428</x:v>
      </x:c>
      <x:c r="P3777" s="9" t="n">
        <x:v>0.2349442379</x:v>
      </x:c>
      <x:c r="Q3777" s="9" t="n">
        <x:v>0.1657992565</x:v>
      </x:c>
      <x:c r="R3777" s="3" t="b">
        <x:v>0</x:v>
      </x:c>
      <x:c r="S3777" s="3" t="b">
        <x:v>0</x:v>
      </x:c>
      <x:c r="T3777" s="3" t="b">
        <x:v>0</x:v>
      </x:c>
      <x:c r="U3777" s="2" t="str">
        <x:f>IF(T3777=TRUE,"Priority review",IF(R3777=TRUE,"High cost",IF(S3777=TRUE,"Low quality","Benchmark")))</x:f>
        <x:v>Benchmark</x:v>
      </x:c>
    </x:row>
    <x:row r="3778">
      <x:c r="A3778" s="2" t="str">
        <x:v>110229</x:v>
      </x:c>
      <x:c r="B3778" s="2" t="str">
        <x:v>PIEDMONT NEWNAN HOSPITAL, INC</x:v>
      </x:c>
      <x:c r="C3778" s="2" t="str">
        <x:v>NEWNAN</x:v>
      </x:c>
      <x:c r="D3778" s="2" t="str">
        <x:v>GA</x:v>
      </x:c>
      <x:c r="E3778" s="2" t="str">
        <x:v>Acute Care Hospitals</x:v>
      </x:c>
      <x:c r="F3778" s="2" t="str">
        <x:v>Voluntary non-profit</x:v>
      </x:c>
      <x:c r="G3778" s="2" t="str">
        <x:v>Medium (100-299 beds)</x:v>
      </x:c>
      <x:c r="H3778" s="7" t="n">
        <x:v>4</x:v>
      </x:c>
      <x:c r="I3778" s="7" t="n">
        <x:v>3</x:v>
      </x:c>
      <x:c r="J3778" s="7" t="n">
        <x:v>0.92</x:v>
      </x:c>
      <x:c r="K3778" s="8" t="n">
        <x:v>227</x:v>
      </x:c>
      <x:c r="L3778" s="8" t="n">
        <x:v>13102</x:v>
      </x:c>
      <x:c r="M3778" s="9" t="n">
        <x:v>0.7244583912</x:v>
      </x:c>
      <x:c r="N3778" s="10" t="n">
        <x:v>25051.0906731797</x:v>
      </x:c>
      <x:c r="O3778" s="9" t="n">
        <x:v>0.2190192229</x:v>
      </x:c>
      <x:c r="P3778" s="9" t="n">
        <x:v>0.2347188264</x:v>
      </x:c>
      <x:c r="Q3778" s="9" t="n">
        <x:v>0.6022819886</x:v>
      </x:c>
      <x:c r="R3778" s="3" t="b">
        <x:v>0</x:v>
      </x:c>
      <x:c r="S3778" s="3" t="b">
        <x:v>0</x:v>
      </x:c>
      <x:c r="T3778" s="3" t="b">
        <x:v>0</x:v>
      </x:c>
      <x:c r="U3778" s="2" t="str">
        <x:f>IF(T3778=TRUE,"Priority review",IF(R3778=TRUE,"High cost",IF(S3778=TRUE,"Low quality","Benchmark")))</x:f>
        <x:v>Benchmark</x:v>
      </x:c>
    </x:row>
    <x:row r="3779">
      <x:c r="A3779" s="2" t="str">
        <x:v>240104</x:v>
      </x:c>
      <x:c r="B3779" s="2" t="str">
        <x:v>ST FRANCIS REGIONAL MEDICAL CENTER</x:v>
      </x:c>
      <x:c r="C3779" s="2" t="str">
        <x:v>SHAKOPEE</x:v>
      </x:c>
      <x:c r="D3779" s="2" t="str">
        <x:v>MN</x:v>
      </x:c>
      <x:c r="E3779" s="2" t="str">
        <x:v>Acute Care Hospitals</x:v>
      </x:c>
      <x:c r="F3779" s="2" t="str">
        <x:v>Voluntary non-profit</x:v>
      </x:c>
      <x:c r="G3779" s="2" t="str">
        <x:v>Small (&lt;100 beds)</x:v>
      </x:c>
      <x:c r="H3779" s="7" t="n">
        <x:v>3</x:v>
      </x:c>
      <x:c r="I3779" s="7" t="n">
        <x:v>3</x:v>
      </x:c>
      <x:c r="J3779" s="7" t="n">
        <x:v>0.87</x:v>
      </x:c>
      <x:c r="K3779" s="8" t="n">
        <x:v>89</x:v>
      </x:c>
      <x:c r="L3779" s="8" t="n">
        <x:v>6320</x:v>
      </x:c>
      <x:c r="M3779" s="9" t="n">
        <x:v>0.6999754405</x:v>
      </x:c>
      <x:c r="N3779" s="10" t="n">
        <x:v>35729.3034810127</x:v>
      </x:c>
      <x:c r="O3779" s="9" t="n">
        <x:v>-0.0031853213</x:v>
      </x:c>
      <x:c r="P3779" s="9" t="n">
        <x:v>0.2342908438</x:v>
      </x:c>
      <x:c r="Q3779" s="9" t="n">
        <x:v>0.1687612208</x:v>
      </x:c>
      <x:c r="R3779" s="3" t="b">
        <x:v>0</x:v>
      </x:c>
      <x:c r="S3779" s="3" t="b">
        <x:v>0</x:v>
      </x:c>
      <x:c r="T3779" s="3" t="b">
        <x:v>0</x:v>
      </x:c>
      <x:c r="U3779" s="2" t="str">
        <x:f>IF(T3779=TRUE,"Priority review",IF(R3779=TRUE,"High cost",IF(S3779=TRUE,"Low quality","Benchmark")))</x:f>
        <x:v>Benchmark</x:v>
      </x:c>
    </x:row>
    <x:row r="3780">
      <x:c r="A3780" s="2" t="str">
        <x:v>111318</x:v>
      </x:c>
      <x:c r="B3780" s="2" t="str">
        <x:v>MONROE COUNTY HOSPITAL</x:v>
      </x:c>
      <x:c r="C3780" s="2" t="str">
        <x:v>FORSYTH</x:v>
      </x:c>
      <x:c r="D3780" s="2" t="str">
        <x:v>GA</x:v>
      </x:c>
      <x:c r="E3780" s="2" t="str">
        <x:v>Critical Access Hospitals</x:v>
      </x:c>
      <x:c r="F3780" s="2" t="str">
        <x:v>Government</x:v>
      </x:c>
      <x:c r="G3780" s="2" t="str">
        <x:v>Small (&lt;100 beds)</x:v>
      </x:c>
      <x:c r="H3780" s="7"/>
      <x:c r="I3780" s="7"/>
      <x:c r="J3780" s="7"/>
      <x:c r="K3780" s="8" t="n">
        <x:v>25</x:v>
      </x:c>
      <x:c r="L3780" s="8" t="n">
        <x:v>201</x:v>
      </x:c>
      <x:c r="M3780" s="9" t="n">
        <x:v>0.6457923497</x:v>
      </x:c>
      <x:c r="N3780" s="10" t="n">
        <x:v>85900.855721393</x:v>
      </x:c>
      <x:c r="O3780" s="9" t="n">
        <x:v>-0.01992261</x:v>
      </x:c>
      <x:c r="P3780" s="9" t="n">
        <x:v>0.2342007435</x:v>
      </x:c>
      <x:c r="Q3780" s="9" t="n">
        <x:v>0.292936803</x:v>
      </x:c>
      <x:c r="R3780" s="3" t="b">
        <x:v>0</x:v>
      </x:c>
      <x:c r="S3780" s="3" t="b">
        <x:v>0</x:v>
      </x:c>
      <x:c r="T3780" s="3" t="b">
        <x:v>0</x:v>
      </x:c>
      <x:c r="U3780" s="2" t="str">
        <x:f>IF(T3780=TRUE,"Priority review",IF(R3780=TRUE,"High cost",IF(S3780=TRUE,"Low quality","Benchmark")))</x:f>
        <x:v>Benchmark</x:v>
      </x:c>
    </x:row>
    <x:row r="3781">
      <x:c r="A3781" s="2" t="str">
        <x:v>280020</x:v>
      </x:c>
      <x:c r="B3781" s="2" t="str">
        <x:v>CHI HEALTH ST. ELIZABETH</x:v>
      </x:c>
      <x:c r="C3781" s="2" t="str">
        <x:v>LINCOLN</x:v>
      </x:c>
      <x:c r="D3781" s="2" t="str">
        <x:v>NE</x:v>
      </x:c>
      <x:c r="E3781" s="2" t="str">
        <x:v>Acute Care Hospitals</x:v>
      </x:c>
      <x:c r="F3781" s="2" t="str">
        <x:v>Voluntary non-profit</x:v>
      </x:c>
      <x:c r="G3781" s="2" t="str">
        <x:v>Medium (100-299 beds)</x:v>
      </x:c>
      <x:c r="H3781" s="7" t="n">
        <x:v>4</x:v>
      </x:c>
      <x:c r="I3781" s="7" t="n">
        <x:v>3</x:v>
      </x:c>
      <x:c r="J3781" s="7" t="n">
        <x:v>1.03</x:v>
      </x:c>
      <x:c r="K3781" s="8" t="n">
        <x:v>137</x:v>
      </x:c>
      <x:c r="L3781" s="8" t="n">
        <x:v>8207</x:v>
      </x:c>
      <x:c r="M3781" s="9" t="n">
        <x:v>0.6683731627</x:v>
      </x:c>
      <x:c r="N3781" s="10" t="n">
        <x:v>25037.1386621177</x:v>
      </x:c>
      <x:c r="O3781" s="9" t="n">
        <x:v>-0.0162263888</x:v>
      </x:c>
      <x:c r="P3781" s="9" t="n">
        <x:v>0.2339038305</x:v>
      </x:c>
      <x:c r="Q3781" s="9" t="n">
        <x:v>0.6022819886</x:v>
      </x:c>
      <x:c r="R3781" s="3" t="b">
        <x:v>0</x:v>
      </x:c>
      <x:c r="S3781" s="3" t="b">
        <x:v>0</x:v>
      </x:c>
      <x:c r="T3781" s="3" t="b">
        <x:v>0</x:v>
      </x:c>
      <x:c r="U3781" s="2" t="str">
        <x:f>IF(T3781=TRUE,"Priority review",IF(R3781=TRUE,"High cost",IF(S3781=TRUE,"Low quality","Benchmark")))</x:f>
        <x:v>Benchmark</x:v>
      </x:c>
    </x:row>
    <x:row r="3782">
      <x:c r="A3782" s="2" t="str">
        <x:v>374023</x:v>
      </x:c>
      <x:c r="B3782" s="2" t="str">
        <x:v>CEDAR RIDGE BEHAVIORAL HOSPITAL</x:v>
      </x:c>
      <x:c r="C3782" s="2" t="str">
        <x:v>OKLAHOMA CITY</x:v>
      </x:c>
      <x:c r="D3782" s="2" t="str">
        <x:v>OK</x:v>
      </x:c>
      <x:c r="E3782" s="2" t="str">
        <x:v>Psychiatric</x:v>
      </x:c>
      <x:c r="F3782" s="2" t="str">
        <x:v>Proprietary</x:v>
      </x:c>
      <x:c r="G3782" s="2" t="str">
        <x:v>Medium (100-299 beds)</x:v>
      </x:c>
      <x:c r="H3782" s="7"/>
      <x:c r="I3782" s="7"/>
      <x:c r="J3782" s="7"/>
      <x:c r="K3782" s="8" t="n">
        <x:v>116</x:v>
      </x:c>
      <x:c r="L3782" s="8" t="n">
        <x:v>4576</x:v>
      </x:c>
      <x:c r="M3782" s="9" t="n">
        <x:v>0.7261691072</x:v>
      </x:c>
      <x:c r="N3782" s="10" t="n">
        <x:v>6953.5417395105</x:v>
      </x:c>
      <x:c r="O3782" s="9" t="n">
        <x:v>0.3084586279</x:v>
      </x:c>
      <x:c r="P3782" s="9" t="n">
        <x:v>0.2338308458</x:v>
      </x:c>
      <x:c r="Q3782" s="9" t="n">
        <x:v>0</x:v>
      </x:c>
      <x:c r="R3782" s="3" t="b">
        <x:v>0</x:v>
      </x:c>
      <x:c r="S3782" s="3" t="b">
        <x:v>0</x:v>
      </x:c>
      <x:c r="T3782" s="3" t="b">
        <x:v>0</x:v>
      </x:c>
      <x:c r="U3782" s="2" t="str">
        <x:f>IF(T3782=TRUE,"Priority review",IF(R3782=TRUE,"High cost",IF(S3782=TRUE,"Low quality","Benchmark")))</x:f>
        <x:v>Benchmark</x:v>
      </x:c>
    </x:row>
    <x:row r="3783">
      <x:c r="A3783" s="2" t="str">
        <x:v>251337</x:v>
      </x:c>
      <x:c r="B3783" s="2" t="str">
        <x:v>TIPPAH COUNTY HOSPITAL</x:v>
      </x:c>
      <x:c r="C3783" s="2" t="str">
        <x:v>RIPLEY</x:v>
      </x:c>
      <x:c r="D3783" s="2" t="str">
        <x:v>MS</x:v>
      </x:c>
      <x:c r="E3783" s="2" t="str">
        <x:v>Critical Access Hospitals</x:v>
      </x:c>
      <x:c r="F3783" s="2" t="str">
        <x:v>Government</x:v>
      </x:c>
      <x:c r="G3783" s="2" t="str">
        <x:v>Small (&lt;100 beds)</x:v>
      </x:c>
      <x:c r="H3783" s="7" t="n">
        <x:v>4</x:v>
      </x:c>
      <x:c r="I3783" s="7"/>
      <x:c r="J3783" s="7"/>
      <x:c r="K3783" s="8" t="n">
        <x:v>25</x:v>
      </x:c>
      <x:c r="L3783" s="8" t="n">
        <x:v>293</x:v>
      </x:c>
      <x:c r="M3783" s="9" t="n">
        <x:v>0.5992349727</x:v>
      </x:c>
      <x:c r="N3783" s="10" t="n">
        <x:v>85859.6416382253</x:v>
      </x:c>
      <x:c r="O3783" s="9" t="n">
        <x:v>-0.1278561315</x:v>
      </x:c>
      <x:c r="P3783" s="9" t="n">
        <x:v>0.2334572491</x:v>
      </x:c>
      <x:c r="Q3783" s="9" t="n">
        <x:v>0.1657992565</x:v>
      </x:c>
      <x:c r="R3783" s="3" t="b">
        <x:v>0</x:v>
      </x:c>
      <x:c r="S3783" s="3" t="b">
        <x:v>0</x:v>
      </x:c>
      <x:c r="T3783" s="3" t="b">
        <x:v>0</x:v>
      </x:c>
      <x:c r="U3783" s="2" t="str">
        <x:f>IF(T3783=TRUE,"Priority review",IF(R3783=TRUE,"High cost",IF(S3783=TRUE,"Low quality","Benchmark")))</x:f>
        <x:v>Benchmark</x:v>
      </x:c>
    </x:row>
    <x:row r="3784">
      <x:c r="A3784" s="2" t="str">
        <x:v>450537</x:v>
      </x:c>
      <x:c r="B3784" s="2" t="str">
        <x:v>METHODIST RICHARDSON MEDICAL CENTER</x:v>
      </x:c>
      <x:c r="C3784" s="2" t="str">
        <x:v>RICHARDSON</x:v>
      </x:c>
      <x:c r="D3784" s="2" t="str">
        <x:v>TX</x:v>
      </x:c>
      <x:c r="E3784" s="2" t="str">
        <x:v>Acute Care Hospitals</x:v>
      </x:c>
      <x:c r="F3784" s="2" t="str">
        <x:v>Voluntary non-profit</x:v>
      </x:c>
      <x:c r="G3784" s="2" t="str">
        <x:v>Large (300+ beds)</x:v>
      </x:c>
      <x:c r="H3784" s="7" t="n">
        <x:v>4</x:v>
      </x:c>
      <x:c r="I3784" s="7" t="n">
        <x:v>4</x:v>
      </x:c>
      <x:c r="J3784" s="7" t="n">
        <x:v>1.19</x:v>
      </x:c>
      <x:c r="K3784" s="8" t="n">
        <x:v>322</x:v>
      </x:c>
      <x:c r="L3784" s="8" t="n">
        <x:v>16300</x:v>
      </x:c>
      <x:c r="M3784" s="9" t="n">
        <x:v>0.6493161391</x:v>
      </x:c>
      <x:c r="N3784" s="10" t="n">
        <x:v>27926.5263190184</x:v>
      </x:c>
      <x:c r="O3784" s="9" t="n">
        <x:v>0.1152114507</x:v>
      </x:c>
      <x:c r="P3784" s="9" t="n">
        <x:v>0.2334384858</x:v>
      </x:c>
      <x:c r="Q3784" s="9" t="n">
        <x:v>0.5899053628</x:v>
      </x:c>
      <x:c r="R3784" s="3" t="b">
        <x:v>0</x:v>
      </x:c>
      <x:c r="S3784" s="3" t="b">
        <x:v>0</x:v>
      </x:c>
      <x:c r="T3784" s="3" t="b">
        <x:v>0</x:v>
      </x:c>
      <x:c r="U3784" s="2" t="str">
        <x:f>IF(T3784=TRUE,"Priority review",IF(R3784=TRUE,"High cost",IF(S3784=TRUE,"Low quality","Benchmark")))</x:f>
        <x:v>Benchmark</x:v>
      </x:c>
    </x:row>
    <x:row r="3785">
      <x:c r="A3785" s="2" t="str">
        <x:v>510062</x:v>
      </x:c>
      <x:c r="B3785" s="2" t="str">
        <x:v>BECKLEY ARH HOSPITAL</x:v>
      </x:c>
      <x:c r="C3785" s="2" t="str">
        <x:v>BECKLEY</x:v>
      </x:c>
      <x:c r="D3785" s="2" t="str">
        <x:v>WV</x:v>
      </x:c>
      <x:c r="E3785" s="2" t="str">
        <x:v>Acute Care Hospitals</x:v>
      </x:c>
      <x:c r="F3785" s="2" t="str">
        <x:v>Voluntary non-profit</x:v>
      </x:c>
      <x:c r="G3785" s="2" t="str">
        <x:v>Small (&lt;100 beds)</x:v>
      </x:c>
      <x:c r="H3785" s="7" t="n">
        <x:v>3</x:v>
      </x:c>
      <x:c r="I3785" s="7" t="n">
        <x:v>3</x:v>
      </x:c>
      <x:c r="J3785" s="7" t="n">
        <x:v>1.03</x:v>
      </x:c>
      <x:c r="K3785" s="8" t="n">
        <x:v>57</x:v>
      </x:c>
      <x:c r="L3785" s="8" t="n">
        <x:v>4016</x:v>
      </x:c>
      <x:c r="M3785" s="9" t="n">
        <x:v>0.7909156453</x:v>
      </x:c>
      <x:c r="N3785" s="10" t="n">
        <x:v>35558.937001992</x:v>
      </x:c>
      <x:c r="O3785" s="9" t="n">
        <x:v>-0.2919987679</x:v>
      </x:c>
      <x:c r="P3785" s="9" t="n">
        <x:v>0.2333931777</x:v>
      </x:c>
      <x:c r="Q3785" s="9" t="n">
        <x:v>0.1687612208</x:v>
      </x:c>
      <x:c r="R3785" s="3" t="b">
        <x:v>0</x:v>
      </x:c>
      <x:c r="S3785" s="3" t="b">
        <x:v>0</x:v>
      </x:c>
      <x:c r="T3785" s="3" t="b">
        <x:v>0</x:v>
      </x:c>
      <x:c r="U3785" s="2" t="str">
        <x:f>IF(T3785=TRUE,"Priority review",IF(R3785=TRUE,"High cost",IF(S3785=TRUE,"Low quality","Benchmark")))</x:f>
        <x:v>Benchmark</x:v>
      </x:c>
    </x:row>
    <x:row r="3786">
      <x:c r="A3786" s="2" t="str">
        <x:v>030083</x:v>
      </x:c>
      <x:c r="B3786" s="2" t="str">
        <x:v>ABRAZO SCOTTSDALE CAMPUS</x:v>
      </x:c>
      <x:c r="C3786" s="2" t="str">
        <x:v>PHOENIX</x:v>
      </x:c>
      <x:c r="D3786" s="2" t="str">
        <x:v>AZ</x:v>
      </x:c>
      <x:c r="E3786" s="2" t="str">
        <x:v>Acute Care Hospitals</x:v>
      </x:c>
      <x:c r="F3786" s="2" t="str">
        <x:v>Proprietary</x:v>
      </x:c>
      <x:c r="G3786" s="2" t="str">
        <x:v>Medium (100-299 beds)</x:v>
      </x:c>
      <x:c r="H3786" s="7" t="n">
        <x:v>3</x:v>
      </x:c>
      <x:c r="I3786" s="7" t="n">
        <x:v>2</x:v>
      </x:c>
      <x:c r="J3786" s="7" t="n">
        <x:v>0.97</x:v>
      </x:c>
      <x:c r="K3786" s="8" t="n">
        <x:v>128</x:v>
      </x:c>
      <x:c r="L3786" s="8" t="n">
        <x:v>4675</x:v>
      </x:c>
      <x:c r="M3786" s="9" t="n">
        <x:v>0.384883026</x:v>
      </x:c>
      <x:c r="N3786" s="10" t="n">
        <x:v>25015.4675935829</x:v>
      </x:c>
      <x:c r="O3786" s="9" t="n">
        <x:v>0.0954612512</x:v>
      </x:c>
      <x:c r="P3786" s="9" t="n">
        <x:v>0.2330888346</x:v>
      </x:c>
      <x:c r="Q3786" s="9" t="n">
        <x:v>0.3023634882</x:v>
      </x:c>
      <x:c r="R3786" s="3" t="b">
        <x:v>0</x:v>
      </x:c>
      <x:c r="S3786" s="3" t="b">
        <x:v>0</x:v>
      </x:c>
      <x:c r="T3786" s="3" t="b">
        <x:v>0</x:v>
      </x:c>
      <x:c r="U3786" s="2" t="str">
        <x:f>IF(T3786=TRUE,"Priority review",IF(R3786=TRUE,"High cost",IF(S3786=TRUE,"Low quality","Benchmark")))</x:f>
        <x:v>Benchmark</x:v>
      </x:c>
    </x:row>
    <x:row r="3787">
      <x:c r="A3787" s="2" t="str">
        <x:v>194113</x:v>
      </x:c>
      <x:c r="B3787" s="2" t="str">
        <x:v>PERIMETER BEHAVIORAL HOSPITAL OF NEW ORLEANS</x:v>
      </x:c>
      <x:c r="C3787" s="2" t="str">
        <x:v>KENNER</x:v>
      </x:c>
      <x:c r="D3787" s="2" t="str">
        <x:v>LA</x:v>
      </x:c>
      <x:c r="E3787" s="2" t="str">
        <x:v>Psychiatric</x:v>
      </x:c>
      <x:c r="F3787" s="2" t="str">
        <x:v>Proprietary</x:v>
      </x:c>
      <x:c r="G3787" s="2" t="str">
        <x:v>Small (&lt;100 beds)</x:v>
      </x:c>
      <x:c r="H3787" s="7"/>
      <x:c r="I3787" s="7"/>
      <x:c r="J3787" s="7"/>
      <x:c r="K3787" s="8" t="n">
        <x:v>36</x:v>
      </x:c>
      <x:c r="L3787" s="8" t="n">
        <x:v>1166</x:v>
      </x:c>
      <x:c r="M3787" s="9" t="n">
        <x:v>0.7736035216</x:v>
      </x:c>
      <x:c r="N3787" s="10" t="n">
        <x:v>8051.1132075472</x:v>
      </x:c>
      <x:c r="O3787" s="9" t="n">
        <x:v>-0.169171605</x:v>
      </x:c>
      <x:c r="P3787" s="9" t="n">
        <x:v>0.2330097087</x:v>
      </x:c>
      <x:c r="Q3787" s="9" t="n">
        <x:v>0</x:v>
      </x:c>
      <x:c r="R3787" s="3" t="b">
        <x:v>0</x:v>
      </x:c>
      <x:c r="S3787" s="3" t="b">
        <x:v>0</x:v>
      </x:c>
      <x:c r="T3787" s="3" t="b">
        <x:v>0</x:v>
      </x:c>
      <x:c r="U3787" s="2" t="str">
        <x:f>IF(T3787=TRUE,"Priority review",IF(R3787=TRUE,"High cost",IF(S3787=TRUE,"Low quality","Benchmark")))</x:f>
        <x:v>Benchmark</x:v>
      </x:c>
    </x:row>
    <x:row r="3788">
      <x:c r="A3788" s="2" t="str">
        <x:v>511321</x:v>
      </x:c>
      <x:c r="B3788" s="2" t="str">
        <x:v>ST JOSEPH'S HOSPITAL OF BUCKHANNON, INC</x:v>
      </x:c>
      <x:c r="C3788" s="2" t="str">
        <x:v>BUCKHANNON</x:v>
      </x:c>
      <x:c r="D3788" s="2" t="str">
        <x:v>WV</x:v>
      </x:c>
      <x:c r="E3788" s="2" t="str">
        <x:v>Critical Access Hospitals</x:v>
      </x:c>
      <x:c r="F3788" s="2" t="str">
        <x:v>Voluntary non-profit</x:v>
      </x:c>
      <x:c r="G3788" s="2" t="str">
        <x:v>Small (&lt;100 beds)</x:v>
      </x:c>
      <x:c r="H3788" s="7" t="n">
        <x:v>3</x:v>
      </x:c>
      <x:c r="I3788" s="7" t="n">
        <x:v>5</x:v>
      </x:c>
      <x:c r="J3788" s="7"/>
      <x:c r="K3788" s="8" t="n">
        <x:v>25</x:v>
      </x:c>
      <x:c r="L3788" s="8" t="n">
        <x:v>1259</x:v>
      </x:c>
      <x:c r="M3788" s="9" t="n">
        <x:v>0.4778142077</x:v>
      </x:c>
      <x:c r="N3788" s="10" t="n">
        <x:v>85674.9618745036</x:v>
      </x:c>
      <x:c r="O3788" s="9" t="n">
        <x:v>0.0533784468</x:v>
      </x:c>
      <x:c r="P3788" s="9" t="n">
        <x:v>0.2327137546</x:v>
      </x:c>
      <x:c r="Q3788" s="9" t="n">
        <x:v>0.0765799257</x:v>
      </x:c>
      <x:c r="R3788" s="3" t="b">
        <x:v>0</x:v>
      </x:c>
      <x:c r="S3788" s="3" t="b">
        <x:v>1</x:v>
      </x:c>
      <x:c r="T3788" s="3" t="b">
        <x:v>0</x:v>
      </x:c>
      <x:c r="U3788" s="2" t="str">
        <x:f>IF(T3788=TRUE,"Priority review",IF(R3788=TRUE,"High cost",IF(S3788=TRUE,"Low quality","Benchmark")))</x:f>
        <x:v>Low quality</x:v>
      </x:c>
    </x:row>
    <x:row r="3789">
      <x:c r="A3789" s="2" t="str">
        <x:v>330175</x:v>
      </x:c>
      <x:c r="B3789" s="2" t="str">
        <x:v>GUTHRIE CORTLAND REGIONAL MEDICAL CENTER</x:v>
      </x:c>
      <x:c r="C3789" s="2" t="str">
        <x:v>CORTLAND</x:v>
      </x:c>
      <x:c r="D3789" s="2" t="str">
        <x:v>NY</x:v>
      </x:c>
      <x:c r="E3789" s="2" t="str">
        <x:v>Acute Care Hospitals</x:v>
      </x:c>
      <x:c r="F3789" s="2" t="str">
        <x:v>Voluntary non-profit</x:v>
      </x:c>
      <x:c r="G3789" s="2" t="str">
        <x:v>Small (&lt;100 beds)</x:v>
      </x:c>
      <x:c r="H3789" s="7" t="n">
        <x:v>3</x:v>
      </x:c>
      <x:c r="I3789" s="7" t="n">
        <x:v>3</x:v>
      </x:c>
      <x:c r="J3789" s="7" t="n">
        <x:v>0.95</x:v>
      </x:c>
      <x:c r="K3789" s="8" t="n">
        <x:v>84</x:v>
      </x:c>
      <x:c r="L3789" s="8" t="n">
        <x:v>3861</x:v>
      </x:c>
      <x:c r="M3789" s="9" t="n">
        <x:v>0.4675472929</x:v>
      </x:c>
      <x:c r="N3789" s="10" t="n">
        <x:v>35540.7207977208</x:v>
      </x:c>
      <x:c r="O3789" s="9" t="n">
        <x:v>0.0874088914</x:v>
      </x:c>
      <x:c r="P3789" s="9" t="n">
        <x:v>0.2324955117</x:v>
      </x:c>
      <x:c r="Q3789" s="9" t="n">
        <x:v>0.1687612208</x:v>
      </x:c>
      <x:c r="R3789" s="3" t="b">
        <x:v>0</x:v>
      </x:c>
      <x:c r="S3789" s="3" t="b">
        <x:v>0</x:v>
      </x:c>
      <x:c r="T3789" s="3" t="b">
        <x:v>0</x:v>
      </x:c>
      <x:c r="U3789" s="2" t="str">
        <x:f>IF(T3789=TRUE,"Priority review",IF(R3789=TRUE,"High cost",IF(S3789=TRUE,"Low quality","Benchmark")))</x:f>
        <x:v>Benchmark</x:v>
      </x:c>
    </x:row>
    <x:row r="3790">
      <x:c r="A3790" s="2" t="str">
        <x:v>390041</x:v>
      </x:c>
      <x:c r="B3790" s="2" t="str">
        <x:v>UNIONTOWN HOSPITAL</x:v>
      </x:c>
      <x:c r="C3790" s="2" t="str">
        <x:v>UNIONTOWN</x:v>
      </x:c>
      <x:c r="D3790" s="2" t="str">
        <x:v>PA</x:v>
      </x:c>
      <x:c r="E3790" s="2" t="str">
        <x:v>Acute Care Hospitals</x:v>
      </x:c>
      <x:c r="F3790" s="2" t="str">
        <x:v>Voluntary non-profit</x:v>
      </x:c>
      <x:c r="G3790" s="2" t="str">
        <x:v>Medium (100-299 beds)</x:v>
      </x:c>
      <x:c r="H3790" s="7" t="n">
        <x:v>2</x:v>
      </x:c>
      <x:c r="I3790" s="7" t="n">
        <x:v>3</x:v>
      </x:c>
      <x:c r="J3790" s="7" t="n">
        <x:v>0.93</x:v>
      </x:c>
      <x:c r="K3790" s="8" t="n">
        <x:v>134</x:v>
      </x:c>
      <x:c r="L3790" s="8" t="n">
        <x:v>7705</x:v>
      </x:c>
      <x:c r="M3790" s="9" t="n">
        <x:v>0.6838757034</x:v>
      </x:c>
      <x:c r="N3790" s="10" t="n">
        <x:v>24914.3957170668</x:v>
      </x:c>
      <x:c r="O3790" s="9" t="n">
        <x:v>-0.0358552612</x:v>
      </x:c>
      <x:c r="P3790" s="9" t="n">
        <x:v>0.2322738386</x:v>
      </x:c>
      <x:c r="Q3790" s="9" t="n">
        <x:v>0.0782396088</x:v>
      </x:c>
      <x:c r="R3790" s="3" t="b">
        <x:v>0</x:v>
      </x:c>
      <x:c r="S3790" s="3" t="b">
        <x:v>1</x:v>
      </x:c>
      <x:c r="T3790" s="3" t="b">
        <x:v>0</x:v>
      </x:c>
      <x:c r="U3790" s="2" t="str">
        <x:f>IF(T3790=TRUE,"Priority review",IF(R3790=TRUE,"High cost",IF(S3790=TRUE,"Low quality","Benchmark")))</x:f>
        <x:v>Low quality</x:v>
      </x:c>
    </x:row>
    <x:row r="3791">
      <x:c r="A3791" s="2" t="str">
        <x:v>351326</x:v>
      </x:c>
      <x:c r="B3791" s="2" t="str">
        <x:v>FIRST CARE HEALTH CENTER</x:v>
      </x:c>
      <x:c r="C3791" s="2" t="str">
        <x:v>PARK RIVER</x:v>
      </x:c>
      <x:c r="D3791" s="2" t="str">
        <x:v>ND</x:v>
      </x:c>
      <x:c r="E3791" s="2" t="str">
        <x:v>Critical Access Hospitals</x:v>
      </x:c>
      <x:c r="F3791" s="2" t="str">
        <x:v>Voluntary non-profit</x:v>
      </x:c>
      <x:c r="G3791" s="2" t="str">
        <x:v>Small (&lt;100 beds)</x:v>
      </x:c>
      <x:c r="H3791" s="7"/>
      <x:c r="I3791" s="7"/>
      <x:c r="J3791" s="7"/>
      <x:c r="K3791" s="8" t="n">
        <x:v>14</x:v>
      </x:c>
      <x:c r="L3791" s="8" t="n">
        <x:v>260</x:v>
      </x:c>
      <x:c r="M3791" s="9" t="n">
        <x:v>0.5513270882</x:v>
      </x:c>
      <x:c r="N3791" s="10" t="n">
        <x:v>85643.9307692308</x:v>
      </x:c>
      <x:c r="O3791" s="9" t="n">
        <x:v>-0.1054072487</x:v>
      </x:c>
      <x:c r="P3791" s="9" t="n">
        <x:v>0.2319702602</x:v>
      </x:c>
      <x:c r="Q3791" s="9" t="n">
        <x:v>0.292936803</x:v>
      </x:c>
      <x:c r="R3791" s="3" t="b">
        <x:v>0</x:v>
      </x:c>
      <x:c r="S3791" s="3" t="b">
        <x:v>0</x:v>
      </x:c>
      <x:c r="T3791" s="3" t="b">
        <x:v>0</x:v>
      </x:c>
      <x:c r="U3791" s="2" t="str">
        <x:f>IF(T3791=TRUE,"Priority review",IF(R3791=TRUE,"High cost",IF(S3791=TRUE,"Low quality","Benchmark")))</x:f>
        <x:v>Benchmark</x:v>
      </x:c>
    </x:row>
    <x:row r="3792">
      <x:c r="A3792" s="2" t="str">
        <x:v>210023</x:v>
      </x:c>
      <x:c r="B3792" s="2" t="str">
        <x:v>LUMINIS HEALTH ANNE ARUNDEL MEDICAL CENTER, INC</x:v>
      </x:c>
      <x:c r="C3792" s="2" t="str">
        <x:v>ANNAPOLIS</x:v>
      </x:c>
      <x:c r="D3792" s="2" t="str">
        <x:v>MD</x:v>
      </x:c>
      <x:c r="E3792" s="2" t="str">
        <x:v>Acute Care Hospitals</x:v>
      </x:c>
      <x:c r="F3792" s="2" t="str">
        <x:v>Voluntary non-profit</x:v>
      </x:c>
      <x:c r="G3792" s="2" t="str">
        <x:v>Large (300+ beds)</x:v>
      </x:c>
      <x:c r="H3792" s="7" t="n">
        <x:v>3</x:v>
      </x:c>
      <x:c r="I3792" s="7" t="n">
        <x:v>3</x:v>
      </x:c>
      <x:c r="J3792" s="7"/>
      <x:c r="K3792" s="8" t="n">
        <x:v>412</x:v>
      </x:c>
      <x:c r="L3792" s="8" t="n">
        <x:v>24691</x:v>
      </x:c>
      <x:c r="M3792" s="9" t="n">
        <x:v>0.8127144567</x:v>
      </x:c>
      <x:c r="N3792" s="10" t="n">
        <x:v>27857.1703859706</x:v>
      </x:c>
      <x:c r="O3792" s="9" t="n">
        <x:v>0.0106949453</x:v>
      </x:c>
      <x:c r="P3792" s="9" t="n">
        <x:v>0.2318611987</x:v>
      </x:c>
      <x:c r="Q3792" s="9" t="n">
        <x:v>0.2570977918</x:v>
      </x:c>
      <x:c r="R3792" s="3" t="b">
        <x:v>0</x:v>
      </x:c>
      <x:c r="S3792" s="3" t="b">
        <x:v>0</x:v>
      </x:c>
      <x:c r="T3792" s="3" t="b">
        <x:v>0</x:v>
      </x:c>
      <x:c r="U3792" s="2" t="str">
        <x:f>IF(T3792=TRUE,"Priority review",IF(R3792=TRUE,"High cost",IF(S3792=TRUE,"Low quality","Benchmark")))</x:f>
        <x:v>Benchmark</x:v>
      </x:c>
    </x:row>
    <x:row r="3793">
      <x:c r="A3793" s="2" t="str">
        <x:v>490088</x:v>
      </x:c>
      <x:c r="B3793" s="2" t="str">
        <x:v>CENTRA BEDFORD MEMORIAL HOSPITAL</x:v>
      </x:c>
      <x:c r="C3793" s="2" t="str">
        <x:v>BEDFORD</x:v>
      </x:c>
      <x:c r="D3793" s="2" t="str">
        <x:v>VA</x:v>
      </x:c>
      <x:c r="E3793" s="2" t="str">
        <x:v>Acute Care Hospitals</x:v>
      </x:c>
      <x:c r="F3793" s="2" t="str">
        <x:v>Voluntary non-profit</x:v>
      </x:c>
      <x:c r="G3793" s="2" t="str">
        <x:v>Small (&lt;100 beds)</x:v>
      </x:c>
      <x:c r="H3793" s="7" t="n">
        <x:v>5</x:v>
      </x:c>
      <x:c r="I3793" s="7" t="n">
        <x:v>4</x:v>
      </x:c>
      <x:c r="J3793" s="7" t="n">
        <x:v>0.94</x:v>
      </x:c>
      <x:c r="K3793" s="8" t="n">
        <x:v>33</x:v>
      </x:c>
      <x:c r="L3793" s="8" t="n">
        <x:v>1356</x:v>
      </x:c>
      <x:c r="M3793" s="9" t="n">
        <x:v>0.3715019043</x:v>
      </x:c>
      <x:c r="N3793" s="10" t="n">
        <x:v>35469.3967551622</x:v>
      </x:c>
      <x:c r="O3793" s="9" t="n">
        <x:v>0.0767272958</x:v>
      </x:c>
      <x:c r="P3793" s="9" t="n">
        <x:v>0.2315978456</x:v>
      </x:c>
      <x:c r="Q3793" s="9" t="n">
        <x:v>0.6131059246</x:v>
      </x:c>
      <x:c r="R3793" s="3" t="b">
        <x:v>0</x:v>
      </x:c>
      <x:c r="S3793" s="3" t="b">
        <x:v>0</x:v>
      </x:c>
      <x:c r="T3793" s="3" t="b">
        <x:v>0</x:v>
      </x:c>
      <x:c r="U3793" s="2" t="str">
        <x:f>IF(T3793=TRUE,"Priority review",IF(R3793=TRUE,"High cost",IF(S3793=TRUE,"Low quality","Benchmark")))</x:f>
        <x:v>Benchmark</x:v>
      </x:c>
    </x:row>
    <x:row r="3794">
      <x:c r="A3794" s="2" t="str">
        <x:v>450200</x:v>
      </x:c>
      <x:c r="B3794" s="2" t="str">
        <x:v>WADLEY REGIONAL MEDICAL CENTER</x:v>
      </x:c>
      <x:c r="C3794" s="2" t="str">
        <x:v>TEXARKANA</x:v>
      </x:c>
      <x:c r="D3794" s="2" t="str">
        <x:v>TX</x:v>
      </x:c>
      <x:c r="E3794" s="2" t="str">
        <x:v>Acute Care Hospitals</x:v>
      </x:c>
      <x:c r="F3794" s="2" t="str">
        <x:v>Other / unknown</x:v>
      </x:c>
      <x:c r="G3794" s="2" t="str">
        <x:v>Medium (100-299 beds)</x:v>
      </x:c>
      <x:c r="H3794" s="7"/>
      <x:c r="I3794" s="7"/>
      <x:c r="J3794" s="7"/>
      <x:c r="K3794" s="8" t="n">
        <x:v>185</x:v>
      </x:c>
      <x:c r="L3794" s="8" t="n">
        <x:v>3713</x:v>
      </x:c>
      <x:c r="M3794" s="9" t="n">
        <x:v>0.2677713779</x:v>
      </x:c>
      <x:c r="N3794" s="10" t="n">
        <x:v>24857.7648801508</x:v>
      </x:c>
      <x:c r="O3794" s="9" t="n">
        <x:v>-0.4084547344</x:v>
      </x:c>
      <x:c r="P3794" s="9" t="n">
        <x:v>0.2314588427</x:v>
      </x:c>
      <x:c r="Q3794" s="9" t="n">
        <x:v>0.9616951915</x:v>
      </x:c>
      <x:c r="R3794" s="3" t="b">
        <x:v>0</x:v>
      </x:c>
      <x:c r="S3794" s="3" t="b">
        <x:v>0</x:v>
      </x:c>
      <x:c r="T3794" s="3" t="b">
        <x:v>0</x:v>
      </x:c>
      <x:c r="U3794" s="2" t="str">
        <x:f>IF(T3794=TRUE,"Priority review",IF(R3794=TRUE,"High cost",IF(S3794=TRUE,"Low quality","Benchmark")))</x:f>
        <x:v>Benchmark</x:v>
      </x:c>
    </x:row>
    <x:row r="3795">
      <x:c r="A3795" s="2" t="str">
        <x:v>371328</x:v>
      </x:c>
      <x:c r="B3795" s="2" t="str">
        <x:v>ARBUCKLE MEMORIAL HOSPITAL AUTHORITY</x:v>
      </x:c>
      <x:c r="C3795" s="2" t="str">
        <x:v>SULPHUR</x:v>
      </x:c>
      <x:c r="D3795" s="2" t="str">
        <x:v>OK</x:v>
      </x:c>
      <x:c r="E3795" s="2" t="str">
        <x:v>Critical Access Hospitals</x:v>
      </x:c>
      <x:c r="F3795" s="2" t="str">
        <x:v>Government</x:v>
      </x:c>
      <x:c r="G3795" s="2" t="str">
        <x:v>Small (&lt;100 beds)</x:v>
      </x:c>
      <x:c r="H3795" s="7" t="n">
        <x:v>4</x:v>
      </x:c>
      <x:c r="I3795" s="7"/>
      <x:c r="J3795" s="7"/>
      <x:c r="K3795" s="8" t="n">
        <x:v>25</x:v>
      </x:c>
      <x:c r="L3795" s="8" t="n">
        <x:v>289</x:v>
      </x:c>
      <x:c r="M3795" s="9" t="n">
        <x:v>0.650273224</x:v>
      </x:c>
      <x:c r="N3795" s="10" t="n">
        <x:v>85567.7785467128</x:v>
      </x:c>
      <x:c r="O3795" s="9" t="n">
        <x:v>-0.0579527957</x:v>
      </x:c>
      <x:c r="P3795" s="9" t="n">
        <x:v>0.2312267658</x:v>
      </x:c>
      <x:c r="Q3795" s="9" t="n">
        <x:v>0.1657992565</x:v>
      </x:c>
      <x:c r="R3795" s="3" t="b">
        <x:v>0</x:v>
      </x:c>
      <x:c r="S3795" s="3" t="b">
        <x:v>0</x:v>
      </x:c>
      <x:c r="T3795" s="3" t="b">
        <x:v>0</x:v>
      </x:c>
      <x:c r="U3795" s="2" t="str">
        <x:f>IF(T3795=TRUE,"Priority review",IF(R3795=TRUE,"High cost",IF(S3795=TRUE,"Low quality","Benchmark")))</x:f>
        <x:v>Benchmark</x:v>
      </x:c>
    </x:row>
    <x:row r="3796">
      <x:c r="A3796" s="2" t="str">
        <x:v>340096</x:v>
      </x:c>
      <x:c r="B3796" s="2" t="str">
        <x:v>LEXINGTON MEMORIAL HOSPITAL INC</x:v>
      </x:c>
      <x:c r="C3796" s="2" t="str">
        <x:v>LEXINGTON</x:v>
      </x:c>
      <x:c r="D3796" s="2" t="str">
        <x:v>NC</x:v>
      </x:c>
      <x:c r="E3796" s="2" t="str">
        <x:v>Acute Care Hospitals</x:v>
      </x:c>
      <x:c r="F3796" s="2" t="str">
        <x:v>Voluntary non-profit</x:v>
      </x:c>
      <x:c r="G3796" s="2" t="str">
        <x:v>Small (&lt;100 beds)</x:v>
      </x:c>
      <x:c r="H3796" s="7" t="n">
        <x:v>2</x:v>
      </x:c>
      <x:c r="I3796" s="7" t="n">
        <x:v>3</x:v>
      </x:c>
      <x:c r="J3796" s="7" t="n">
        <x:v>0.88</x:v>
      </x:c>
      <x:c r="K3796" s="8" t="n">
        <x:v>70</x:v>
      </x:c>
      <x:c r="L3796" s="8" t="n">
        <x:v>3884</x:v>
      </x:c>
      <x:c r="M3796" s="9" t="n">
        <x:v>0.5889539422</x:v>
      </x:c>
      <x:c r="N3796" s="10" t="n">
        <x:v>35455.2250257467</x:v>
      </x:c>
      <x:c r="O3796" s="9" t="n">
        <x:v>0.1503657652</x:v>
      </x:c>
      <x:c r="P3796" s="9" t="n">
        <x:v>0.2307001795</x:v>
      </x:c>
      <x:c r="Q3796" s="9" t="n">
        <x:v>0.0350089767</x:v>
      </x:c>
      <x:c r="R3796" s="3" t="b">
        <x:v>0</x:v>
      </x:c>
      <x:c r="S3796" s="3" t="b">
        <x:v>1</x:v>
      </x:c>
      <x:c r="T3796" s="3" t="b">
        <x:v>0</x:v>
      </x:c>
      <x:c r="U3796" s="2" t="str">
        <x:f>IF(T3796=TRUE,"Priority review",IF(R3796=TRUE,"High cost",IF(S3796=TRUE,"Low quality","Benchmark")))</x:f>
        <x:v>Low quality</x:v>
      </x:c>
    </x:row>
    <x:row r="3797">
      <x:c r="A3797" s="2" t="str">
        <x:v>450042</x:v>
      </x:c>
      <x:c r="B3797" s="2" t="str">
        <x:v>ASCENSION PROVIDENCE</x:v>
      </x:c>
      <x:c r="C3797" s="2" t="str">
        <x:v>WACO</x:v>
      </x:c>
      <x:c r="D3797" s="2" t="str">
        <x:v>TX</x:v>
      </x:c>
      <x:c r="E3797" s="2" t="str">
        <x:v>Acute Care Hospitals</x:v>
      </x:c>
      <x:c r="F3797" s="2" t="str">
        <x:v>Voluntary non-profit</x:v>
      </x:c>
      <x:c r="G3797" s="2" t="str">
        <x:v>Medium (100-299 beds)</x:v>
      </x:c>
      <x:c r="H3797" s="7" t="n">
        <x:v>2</x:v>
      </x:c>
      <x:c r="I3797" s="7" t="n">
        <x:v>3</x:v>
      </x:c>
      <x:c r="J3797" s="7" t="n">
        <x:v>0.98</x:v>
      </x:c>
      <x:c r="K3797" s="8" t="n">
        <x:v>224</x:v>
      </x:c>
      <x:c r="L3797" s="8" t="n">
        <x:v>12957</x:v>
      </x:c>
      <x:c r="M3797" s="9" t="n">
        <x:v>0.6619680352</x:v>
      </x:c>
      <x:c r="N3797" s="10" t="n">
        <x:v>24842.1135293664</x:v>
      </x:c>
      <x:c r="O3797" s="9" t="n">
        <x:v>0.073424017</x:v>
      </x:c>
      <x:c r="P3797" s="9" t="n">
        <x:v>0.2306438468</x:v>
      </x:c>
      <x:c r="Q3797" s="9" t="n">
        <x:v>0.0782396088</x:v>
      </x:c>
      <x:c r="R3797" s="3" t="b">
        <x:v>0</x:v>
      </x:c>
      <x:c r="S3797" s="3" t="b">
        <x:v>1</x:v>
      </x:c>
      <x:c r="T3797" s="3" t="b">
        <x:v>0</x:v>
      </x:c>
      <x:c r="U3797" s="2" t="str">
        <x:f>IF(T3797=TRUE,"Priority review",IF(R3797=TRUE,"High cost",IF(S3797=TRUE,"Low quality","Benchmark")))</x:f>
        <x:v>Low quality</x:v>
      </x:c>
    </x:row>
    <x:row r="3798">
      <x:c r="A3798" s="2" t="str">
        <x:v>151307</x:v>
      </x:c>
      <x:c r="B3798" s="2" t="str">
        <x:v>ASCENSION ST VINCENT WILLIAMSPORT</x:v>
      </x:c>
      <x:c r="C3798" s="2" t="str">
        <x:v>WILLIAMSPORT</x:v>
      </x:c>
      <x:c r="D3798" s="2" t="str">
        <x:v>IN</x:v>
      </x:c>
      <x:c r="E3798" s="2" t="str">
        <x:v>Critical Access Hospitals</x:v>
      </x:c>
      <x:c r="F3798" s="2" t="str">
        <x:v>Voluntary non-profit</x:v>
      </x:c>
      <x:c r="G3798" s="2" t="str">
        <x:v>Small (&lt;100 beds)</x:v>
      </x:c>
      <x:c r="H3798" s="7"/>
      <x:c r="I3798" s="7"/>
      <x:c r="J3798" s="7"/>
      <x:c r="K3798" s="8" t="n">
        <x:v>16</x:v>
      </x:c>
      <x:c r="L3798" s="8" t="n">
        <x:v>313</x:v>
      </x:c>
      <x:c r="M3798" s="9" t="n">
        <x:v>0.2244863014</x:v>
      </x:c>
      <x:c r="N3798" s="10" t="n">
        <x:v>85379.1565495208</x:v>
      </x:c>
      <x:c r="O3798" s="9" t="n">
        <x:v>-0.0223842662</x:v>
      </x:c>
      <x:c r="P3798" s="9" t="n">
        <x:v>0.2304832714</x:v>
      </x:c>
      <x:c r="Q3798" s="9" t="n">
        <x:v>0.292936803</x:v>
      </x:c>
      <x:c r="R3798" s="3" t="b">
        <x:v>0</x:v>
      </x:c>
      <x:c r="S3798" s="3" t="b">
        <x:v>0</x:v>
      </x:c>
      <x:c r="T3798" s="3" t="b">
        <x:v>0</x:v>
      </x:c>
      <x:c r="U3798" s="2" t="str">
        <x:f>IF(T3798=TRUE,"Priority review",IF(R3798=TRUE,"High cost",IF(S3798=TRUE,"Low quality","Benchmark")))</x:f>
        <x:v>Benchmark</x:v>
      </x:c>
    </x:row>
    <x:row r="3799">
      <x:c r="A3799" s="2" t="str">
        <x:v>230019</x:v>
      </x:c>
      <x:c r="B3799" s="2" t="str">
        <x:v>ASCENSION PROVIDENCE HOSPITAL, SOUTHFIELD AND NOVI</x:v>
      </x:c>
      <x:c r="C3799" s="2" t="str">
        <x:v>SOUTHFIELD</x:v>
      </x:c>
      <x:c r="D3799" s="2" t="str">
        <x:v>MI</x:v>
      </x:c>
      <x:c r="E3799" s="2" t="str">
        <x:v>Acute Care Hospitals</x:v>
      </x:c>
      <x:c r="F3799" s="2" t="str">
        <x:v>Voluntary non-profit</x:v>
      </x:c>
      <x:c r="G3799" s="2" t="str">
        <x:v>Large (300+ beds)</x:v>
      </x:c>
      <x:c r="H3799" s="7" t="n">
        <x:v>4</x:v>
      </x:c>
      <x:c r="I3799" s="7" t="n">
        <x:v>2</x:v>
      </x:c>
      <x:c r="J3799" s="7" t="n">
        <x:v>0.95</x:v>
      </x:c>
      <x:c r="K3799" s="8" t="n">
        <x:v>566</x:v>
      </x:c>
      <x:c r="L3799" s="8" t="n">
        <x:v>35244</x:v>
      </x:c>
      <x:c r="M3799" s="9" t="n">
        <x:v>0.7074592187</x:v>
      </x:c>
      <x:c r="N3799" s="10" t="n">
        <x:v>27769.9825785949</x:v>
      </x:c>
      <x:c r="O3799" s="9" t="n">
        <x:v>0.0011637851</x:v>
      </x:c>
      <x:c r="P3799" s="9" t="n">
        <x:v>0.2302839117</x:v>
      </x:c>
      <x:c r="Q3799" s="9" t="n">
        <x:v>0.5899053628</x:v>
      </x:c>
      <x:c r="R3799" s="3" t="b">
        <x:v>0</x:v>
      </x:c>
      <x:c r="S3799" s="3" t="b">
        <x:v>0</x:v>
      </x:c>
      <x:c r="T3799" s="3" t="b">
        <x:v>0</x:v>
      </x:c>
      <x:c r="U3799" s="2" t="str">
        <x:f>IF(T3799=TRUE,"Priority review",IF(R3799=TRUE,"High cost",IF(S3799=TRUE,"Low quality","Benchmark")))</x:f>
        <x:v>Benchmark</x:v>
      </x:c>
    </x:row>
    <x:row r="3800">
      <x:c r="A3800" s="2" t="str">
        <x:v>230254</x:v>
      </x:c>
      <x:c r="B3800" s="2" t="str">
        <x:v>ASCENSION PROVIDENCE ROCHESTER HOSPITAL</x:v>
      </x:c>
      <x:c r="C3800" s="2" t="str">
        <x:v>ROCHESTER</x:v>
      </x:c>
      <x:c r="D3800" s="2" t="str">
        <x:v>MI</x:v>
      </x:c>
      <x:c r="E3800" s="2" t="str">
        <x:v>Acute Care Hospitals</x:v>
      </x:c>
      <x:c r="F3800" s="2" t="str">
        <x:v>Voluntary non-profit</x:v>
      </x:c>
      <x:c r="G3800" s="2" t="str">
        <x:v>Medium (100-299 beds)</x:v>
      </x:c>
      <x:c r="H3800" s="7" t="n">
        <x:v>3</x:v>
      </x:c>
      <x:c r="I3800" s="7" t="n">
        <x:v>2</x:v>
      </x:c>
      <x:c r="J3800" s="7" t="n">
        <x:v>1</x:v>
      </x:c>
      <x:c r="K3800" s="8" t="n">
        <x:v>174</x:v>
      </x:c>
      <x:c r="L3800" s="8" t="n">
        <x:v>12130</x:v>
      </x:c>
      <x:c r="M3800" s="9" t="n">
        <x:v>0.7168634861</x:v>
      </x:c>
      <x:c r="N3800" s="10" t="n">
        <x:v>24802.2418796373</x:v>
      </x:c>
      <x:c r="O3800" s="9" t="n">
        <x:v>-0.0216983172</x:v>
      </x:c>
      <x:c r="P3800" s="9" t="n">
        <x:v>0.2298288509</x:v>
      </x:c>
      <x:c r="Q3800" s="9" t="n">
        <x:v>0.3023634882</x:v>
      </x:c>
      <x:c r="R3800" s="3" t="b">
        <x:v>0</x:v>
      </x:c>
      <x:c r="S3800" s="3" t="b">
        <x:v>0</x:v>
      </x:c>
      <x:c r="T3800" s="3" t="b">
        <x:v>0</x:v>
      </x:c>
      <x:c r="U3800" s="2" t="str">
        <x:f>IF(T3800=TRUE,"Priority review",IF(R3800=TRUE,"High cost",IF(S3800=TRUE,"Low quality","Benchmark")))</x:f>
        <x:v>Benchmark</x:v>
      </x:c>
    </x:row>
    <x:row r="3801">
      <x:c r="A3801" s="2" t="str">
        <x:v>340109</x:v>
      </x:c>
      <x:c r="B3801" s="2" t="str">
        <x:v>SENTARA ALBEMARLE MEDICAL CENTER</x:v>
      </x:c>
      <x:c r="C3801" s="2" t="str">
        <x:v>ELIZABETH CITY</x:v>
      </x:c>
      <x:c r="D3801" s="2" t="str">
        <x:v>NC</x:v>
      </x:c>
      <x:c r="E3801" s="2" t="str">
        <x:v>Acute Care Hospitals</x:v>
      </x:c>
      <x:c r="F3801" s="2" t="str">
        <x:v>Government</x:v>
      </x:c>
      <x:c r="G3801" s="2" t="str">
        <x:v>Small (&lt;100 beds)</x:v>
      </x:c>
      <x:c r="H3801" s="7" t="n">
        <x:v>3</x:v>
      </x:c>
      <x:c r="I3801" s="7" t="n">
        <x:v>4</x:v>
      </x:c>
      <x:c r="J3801" s="7" t="n">
        <x:v>0.97</x:v>
      </x:c>
      <x:c r="K3801" s="8" t="n">
        <x:v>98</x:v>
      </x:c>
      <x:c r="L3801" s="8" t="n">
        <x:v>5265</x:v>
      </x:c>
      <x:c r="M3801" s="9" t="n">
        <x:v>0.6743615479</x:v>
      </x:c>
      <x:c r="N3801" s="10" t="n">
        <x:v>35426.6288698955</x:v>
      </x:c>
      <x:c r="O3801" s="9" t="n">
        <x:v>0.0386599941</x:v>
      </x:c>
      <x:c r="P3801" s="9" t="n">
        <x:v>0.2298025135</x:v>
      </x:c>
      <x:c r="Q3801" s="9" t="n">
        <x:v>0.1687612208</x:v>
      </x:c>
      <x:c r="R3801" s="3" t="b">
        <x:v>0</x:v>
      </x:c>
      <x:c r="S3801" s="3" t="b">
        <x:v>0</x:v>
      </x:c>
      <x:c r="T3801" s="3" t="b">
        <x:v>0</x:v>
      </x:c>
      <x:c r="U3801" s="2" t="str">
        <x:f>IF(T3801=TRUE,"Priority review",IF(R3801=TRUE,"High cost",IF(S3801=TRUE,"Low quality","Benchmark")))</x:f>
        <x:v>Benchmark</x:v>
      </x:c>
    </x:row>
    <x:row r="3802">
      <x:c r="A3802" s="2" t="str">
        <x:v>044022</x:v>
      </x:c>
      <x:c r="B3802" s="2" t="str">
        <x:v>CONWAY BEHAVIORAL HEALTH</x:v>
      </x:c>
      <x:c r="C3802" s="2" t="str">
        <x:v>CONWAY</x:v>
      </x:c>
      <x:c r="D3802" s="2" t="str">
        <x:v>AR</x:v>
      </x:c>
      <x:c r="E3802" s="2" t="str">
        <x:v>Psychiatric</x:v>
      </x:c>
      <x:c r="F3802" s="2" t="str">
        <x:v>Proprietary</x:v>
      </x:c>
      <x:c r="G3802" s="2" t="str">
        <x:v>Small (&lt;100 beds)</x:v>
      </x:c>
      <x:c r="H3802" s="7"/>
      <x:c r="I3802" s="7"/>
      <x:c r="J3802" s="7"/>
      <x:c r="K3802" s="8" t="n">
        <x:v>80</x:v>
      </x:c>
      <x:c r="L3802" s="8" t="n">
        <x:v>2251</x:v>
      </x:c>
      <x:c r="M3802" s="9" t="n">
        <x:v>0.7715846995</x:v>
      </x:c>
      <x:c r="N3802" s="10" t="n">
        <x:v>8023.3980453132</x:v>
      </x:c>
      <x:c r="O3802" s="9" t="n">
        <x:v>0.1148178849</x:v>
      </x:c>
      <x:c r="P3802" s="9" t="n">
        <x:v>0.2297734628</x:v>
      </x:c>
      <x:c r="Q3802" s="9" t="n">
        <x:v>0</x:v>
      </x:c>
      <x:c r="R3802" s="3" t="b">
        <x:v>0</x:v>
      </x:c>
      <x:c r="S3802" s="3" t="b">
        <x:v>0</x:v>
      </x:c>
      <x:c r="T3802" s="3" t="b">
        <x:v>0</x:v>
      </x:c>
      <x:c r="U3802" s="2" t="str">
        <x:f>IF(T3802=TRUE,"Priority review",IF(R3802=TRUE,"High cost",IF(S3802=TRUE,"Low quality","Benchmark")))</x:f>
        <x:v>Benchmark</x:v>
      </x:c>
    </x:row>
    <x:row r="3803">
      <x:c r="A3803" s="2" t="str">
        <x:v>451365</x:v>
      </x:c>
      <x:c r="B3803" s="2" t="str">
        <x:v>ASCENSION SETON HIGHLAND LAKES</x:v>
      </x:c>
      <x:c r="C3803" s="2" t="str">
        <x:v>BURNET</x:v>
      </x:c>
      <x:c r="D3803" s="2" t="str">
        <x:v>TX</x:v>
      </x:c>
      <x:c r="E3803" s="2" t="str">
        <x:v>Critical Access Hospitals</x:v>
      </x:c>
      <x:c r="F3803" s="2" t="str">
        <x:v>Voluntary non-profit</x:v>
      </x:c>
      <x:c r="G3803" s="2" t="str">
        <x:v>Small (&lt;100 beds)</x:v>
      </x:c>
      <x:c r="H3803" s="7" t="n">
        <x:v>5</x:v>
      </x:c>
      <x:c r="I3803" s="7"/>
      <x:c r="J3803" s="7"/>
      <x:c r="K3803" s="8" t="n">
        <x:v>25</x:v>
      </x:c>
      <x:c r="L3803" s="8" t="n">
        <x:v>615</x:v>
      </x:c>
      <x:c r="M3803" s="9" t="n">
        <x:v>0.328109589</x:v>
      </x:c>
      <x:c r="N3803" s="10" t="n">
        <x:v>85330.7512195122</x:v>
      </x:c>
      <x:c r="O3803" s="9" t="n">
        <x:v>0.0430957111</x:v>
      </x:c>
      <x:c r="P3803" s="9" t="n">
        <x:v>0.229739777</x:v>
      </x:c>
      <x:c r="Q3803" s="9" t="n">
        <x:v>0.2602230483</x:v>
      </x:c>
      <x:c r="R3803" s="3" t="b">
        <x:v>0</x:v>
      </x:c>
      <x:c r="S3803" s="3" t="b">
        <x:v>0</x:v>
      </x:c>
      <x:c r="T3803" s="3" t="b">
        <x:v>0</x:v>
      </x:c>
      <x:c r="U3803" s="2" t="str">
        <x:f>IF(T3803=TRUE,"Priority review",IF(R3803=TRUE,"High cost",IF(S3803=TRUE,"Low quality","Benchmark")))</x:f>
        <x:v>Benchmark</x:v>
      </x:c>
    </x:row>
    <x:row r="3804">
      <x:c r="A3804" s="2" t="str">
        <x:v>050230</x:v>
      </x:c>
      <x:c r="B3804" s="2" t="str">
        <x:v>GARDEN GROVE HOSPITAL &amp; MEDICAL CENTER</x:v>
      </x:c>
      <x:c r="C3804" s="2" t="str">
        <x:v>GARDEN GROVE</x:v>
      </x:c>
      <x:c r="D3804" s="2" t="str">
        <x:v>CA</x:v>
      </x:c>
      <x:c r="E3804" s="2" t="str">
        <x:v>Acute Care Hospitals</x:v>
      </x:c>
      <x:c r="F3804" s="2" t="str">
        <x:v>Proprietary</x:v>
      </x:c>
      <x:c r="G3804" s="2" t="str">
        <x:v>Medium (100-299 beds)</x:v>
      </x:c>
      <x:c r="H3804" s="7" t="n">
        <x:v>2</x:v>
      </x:c>
      <x:c r="I3804" s="7" t="n">
        <x:v>1</x:v>
      </x:c>
      <x:c r="J3804" s="7" t="n">
        <x:v>1.17</x:v>
      </x:c>
      <x:c r="K3804" s="8" t="n">
        <x:v>167</x:v>
      </x:c>
      <x:c r="L3804" s="8" t="n">
        <x:v>3156</x:v>
      </x:c>
      <x:c r="M3804" s="9" t="n">
        <x:v>0.2271031707</x:v>
      </x:c>
      <x:c r="N3804" s="10" t="n">
        <x:v>24754.9455006337</x:v>
      </x:c>
      <x:c r="O3804" s="9" t="n">
        <x:v>-0.298874032</x:v>
      </x:c>
      <x:c r="P3804" s="9" t="n">
        <x:v>0.2290138549</x:v>
      </x:c>
      <x:c r="Q3804" s="9" t="n">
        <x:v>0.0782396088</x:v>
      </x:c>
      <x:c r="R3804" s="3" t="b">
        <x:v>0</x:v>
      </x:c>
      <x:c r="S3804" s="3" t="b">
        <x:v>1</x:v>
      </x:c>
      <x:c r="T3804" s="3" t="b">
        <x:v>0</x:v>
      </x:c>
      <x:c r="U3804" s="2" t="str">
        <x:f>IF(T3804=TRUE,"Priority review",IF(R3804=TRUE,"High cost",IF(S3804=TRUE,"Low quality","Benchmark")))</x:f>
        <x:v>Low quality</x:v>
      </x:c>
    </x:row>
    <x:row r="3805">
      <x:c r="A3805" s="2" t="str">
        <x:v>041327</x:v>
      </x:c>
      <x:c r="B3805" s="2" t="str">
        <x:v>BRADLEY COUNTY MEDICAL CENTER</x:v>
      </x:c>
      <x:c r="C3805" s="2" t="str">
        <x:v>WARREN</x:v>
      </x:c>
      <x:c r="D3805" s="2" t="str">
        <x:v>AR</x:v>
      </x:c>
      <x:c r="E3805" s="2" t="str">
        <x:v>Critical Access Hospitals</x:v>
      </x:c>
      <x:c r="F3805" s="2" t="str">
        <x:v>Voluntary non-profit</x:v>
      </x:c>
      <x:c r="G3805" s="2" t="str">
        <x:v>Small (&lt;100 beds)</x:v>
      </x:c>
      <x:c r="H3805" s="7"/>
      <x:c r="I3805" s="7"/>
      <x:c r="J3805" s="7"/>
      <x:c r="K3805" s="8" t="n">
        <x:v>25</x:v>
      </x:c>
      <x:c r="L3805" s="8" t="n">
        <x:v>291</x:v>
      </x:c>
      <x:c r="M3805" s="9" t="n">
        <x:v>0.1828415301</x:v>
      </x:c>
      <x:c r="N3805" s="10" t="n">
        <x:v>85289.7250859107</x:v>
      </x:c>
      <x:c r="O3805" s="9" t="n">
        <x:v>-0.0972401036</x:v>
      </x:c>
      <x:c r="P3805" s="9" t="n">
        <x:v>0.2289962825</x:v>
      </x:c>
      <x:c r="Q3805" s="9" t="n">
        <x:v>0.292936803</x:v>
      </x:c>
      <x:c r="R3805" s="3" t="b">
        <x:v>0</x:v>
      </x:c>
      <x:c r="S3805" s="3" t="b">
        <x:v>0</x:v>
      </x:c>
      <x:c r="T3805" s="3" t="b">
        <x:v>0</x:v>
      </x:c>
      <x:c r="U3805" s="2" t="str">
        <x:f>IF(T3805=TRUE,"Priority review",IF(R3805=TRUE,"High cost",IF(S3805=TRUE,"Low quality","Benchmark")))</x:f>
        <x:v>Benchmark</x:v>
      </x:c>
    </x:row>
    <x:row r="3806">
      <x:c r="A3806" s="2" t="str">
        <x:v>100362</x:v>
      </x:c>
      <x:c r="B3806" s="2" t="str">
        <x:v>BAYCARE HOSPITAL WESLEY CHAPEL</x:v>
      </x:c>
      <x:c r="C3806" s="2" t="str">
        <x:v>WESLEY CHAPEL</x:v>
      </x:c>
      <x:c r="D3806" s="2" t="str">
        <x:v>FL</x:v>
      </x:c>
      <x:c r="E3806" s="2" t="str">
        <x:v>Acute Care Hospitals</x:v>
      </x:c>
      <x:c r="F3806" s="2" t="str">
        <x:v>Proprietary</x:v>
      </x:c>
      <x:c r="G3806" s="2" t="str">
        <x:v>Small (&lt;100 beds)</x:v>
      </x:c>
      <x:c r="H3806" s="7"/>
      <x:c r="I3806" s="7" t="n">
        <x:v>4</x:v>
      </x:c>
      <x:c r="J3806" s="7" t="n">
        <x:v>1</x:v>
      </x:c>
      <x:c r="K3806" s="8" t="n">
        <x:v>86</x:v>
      </x:c>
      <x:c r="L3806" s="8" t="n">
        <x:v>2712</x:v>
      </x:c>
      <x:c r="M3806" s="9" t="n">
        <x:v>0.3205616978</x:v>
      </x:c>
      <x:c r="N3806" s="10" t="n">
        <x:v>35413.3502949852</x:v>
      </x:c>
      <x:c r="O3806" s="9" t="n">
        <x:v>-0.1307354155</x:v>
      </x:c>
      <x:c r="P3806" s="9" t="n">
        <x:v>0.2289048474</x:v>
      </x:c>
      <x:c r="Q3806" s="9" t="n">
        <x:v>0.697486535</x:v>
      </x:c>
      <x:c r="R3806" s="3" t="b">
        <x:v>0</x:v>
      </x:c>
      <x:c r="S3806" s="3" t="b">
        <x:v>0</x:v>
      </x:c>
      <x:c r="T3806" s="3" t="b">
        <x:v>0</x:v>
      </x:c>
      <x:c r="U3806" s="2" t="str">
        <x:f>IF(T3806=TRUE,"Priority review",IF(R3806=TRUE,"High cost",IF(S3806=TRUE,"Low quality","Benchmark")))</x:f>
        <x:v>Benchmark</x:v>
      </x:c>
    </x:row>
    <x:row r="3807">
      <x:c r="A3807" s="2" t="str">
        <x:v>104075</x:v>
      </x:c>
      <x:c r="B3807" s="2" t="str">
        <x:v>NORTH TAMPA BEHAVIORAL HEALTH</x:v>
      </x:c>
      <x:c r="C3807" s="2" t="str">
        <x:v>WESLEY CHAPEL</x:v>
      </x:c>
      <x:c r="D3807" s="2" t="str">
        <x:v>FL</x:v>
      </x:c>
      <x:c r="E3807" s="2" t="str">
        <x:v>Psychiatric</x:v>
      </x:c>
      <x:c r="F3807" s="2" t="str">
        <x:v>Proprietary</x:v>
      </x:c>
      <x:c r="G3807" s="2" t="str">
        <x:v>Medium (100-299 beds)</x:v>
      </x:c>
      <x:c r="H3807" s="7"/>
      <x:c r="I3807" s="7"/>
      <x:c r="J3807" s="7"/>
      <x:c r="K3807" s="8" t="n">
        <x:v>126</x:v>
      </x:c>
      <x:c r="L3807" s="8" t="n">
        <x:v>4256</x:v>
      </x:c>
      <x:c r="M3807" s="9" t="n">
        <x:v>0.6401249024</x:v>
      </x:c>
      <x:c r="N3807" s="10" t="n">
        <x:v>6922.8909774436</x:v>
      </x:c>
      <x:c r="O3807" s="9" t="n">
        <x:v>0.055575744</x:v>
      </x:c>
      <x:c r="P3807" s="9" t="n">
        <x:v>0.2288557214</x:v>
      </x:c>
      <x:c r="Q3807" s="9" t="n">
        <x:v>0</x:v>
      </x:c>
      <x:c r="R3807" s="3" t="b">
        <x:v>0</x:v>
      </x:c>
      <x:c r="S3807" s="3" t="b">
        <x:v>0</x:v>
      </x:c>
      <x:c r="T3807" s="3" t="b">
        <x:v>0</x:v>
      </x:c>
      <x:c r="U3807" s="2" t="str">
        <x:f>IF(T3807=TRUE,"Priority review",IF(R3807=TRUE,"High cost",IF(S3807=TRUE,"Low quality","Benchmark")))</x:f>
        <x:v>Benchmark</x:v>
      </x:c>
    </x:row>
    <x:row r="3808">
      <x:c r="A3808" s="2" t="str">
        <x:v>310048</x:v>
      </x:c>
      <x:c r="B3808" s="2" t="str">
        <x:v>ROBERT WOOD JOHNSON UNIVERSITY HOSPITAL - SOMERSET</x:v>
      </x:c>
      <x:c r="C3808" s="2" t="str">
        <x:v>SOMERVILLE</x:v>
      </x:c>
      <x:c r="D3808" s="2" t="str">
        <x:v>NJ</x:v>
      </x:c>
      <x:c r="E3808" s="2" t="str">
        <x:v>Acute Care Hospitals</x:v>
      </x:c>
      <x:c r="F3808" s="2" t="str">
        <x:v>Voluntary non-profit</x:v>
      </x:c>
      <x:c r="G3808" s="2" t="str">
        <x:v>Large (300+ beds)</x:v>
      </x:c>
      <x:c r="H3808" s="7" t="n">
        <x:v>3</x:v>
      </x:c>
      <x:c r="I3808" s="7" t="n">
        <x:v>4</x:v>
      </x:c>
      <x:c r="J3808" s="7" t="n">
        <x:v>1.02</x:v>
      </x:c>
      <x:c r="K3808" s="8" t="n">
        <x:v>314</x:v>
      </x:c>
      <x:c r="L3808" s="8" t="n">
        <x:v>14573</x:v>
      </x:c>
      <x:c r="M3808" s="9" t="n">
        <x:v>0.624395777</x:v>
      </x:c>
      <x:c r="N3808" s="10" t="n">
        <x:v>27761.2218486242</x:v>
      </x:c>
      <x:c r="O3808" s="9" t="n">
        <x:v>0.0129140129</x:v>
      </x:c>
      <x:c r="P3808" s="9" t="n">
        <x:v>0.2287066246</x:v>
      </x:c>
      <x:c r="Q3808" s="9" t="n">
        <x:v>0.2570977918</x:v>
      </x:c>
      <x:c r="R3808" s="3" t="b">
        <x:v>0</x:v>
      </x:c>
      <x:c r="S3808" s="3" t="b">
        <x:v>0</x:v>
      </x:c>
      <x:c r="T3808" s="3" t="b">
        <x:v>0</x:v>
      </x:c>
      <x:c r="U3808" s="2" t="str">
        <x:f>IF(T3808=TRUE,"Priority review",IF(R3808=TRUE,"High cost",IF(S3808=TRUE,"Low quality","Benchmark")))</x:f>
        <x:v>Benchmark</x:v>
      </x:c>
    </x:row>
    <x:row r="3809">
      <x:c r="A3809" s="2" t="str">
        <x:v>271323</x:v>
      </x:c>
      <x:c r="B3809" s="2" t="str">
        <x:v>CLARK FORK VALLEY HOSPITAL</x:v>
      </x:c>
      <x:c r="C3809" s="2" t="str">
        <x:v>PLAINS</x:v>
      </x:c>
      <x:c r="D3809" s="2" t="str">
        <x:v>MT</x:v>
      </x:c>
      <x:c r="E3809" s="2" t="str">
        <x:v>Critical Access Hospitals</x:v>
      </x:c>
      <x:c r="F3809" s="2" t="str">
        <x:v>Voluntary non-profit</x:v>
      </x:c>
      <x:c r="G3809" s="2" t="str">
        <x:v>Small (&lt;100 beds)</x:v>
      </x:c>
      <x:c r="H3809" s="7"/>
      <x:c r="I3809" s="7"/>
      <x:c r="J3809" s="7"/>
      <x:c r="K3809" s="8" t="n">
        <x:v>16</x:v>
      </x:c>
      <x:c r="L3809" s="8" t="n">
        <x:v>392</x:v>
      </x:c>
      <x:c r="M3809" s="9" t="n">
        <x:v>0.3345286885</x:v>
      </x:c>
      <x:c r="N3809" s="10" t="n">
        <x:v>85042.4923469388</x:v>
      </x:c>
      <x:c r="O3809" s="9" t="n">
        <x:v>-0.0862628741</x:v>
      </x:c>
      <x:c r="P3809" s="9" t="n">
        <x:v>0.2282527881</x:v>
      </x:c>
      <x:c r="Q3809" s="9" t="n">
        <x:v>0.292936803</x:v>
      </x:c>
      <x:c r="R3809" s="3" t="b">
        <x:v>0</x:v>
      </x:c>
      <x:c r="S3809" s="3" t="b">
        <x:v>0</x:v>
      </x:c>
      <x:c r="T3809" s="3" t="b">
        <x:v>0</x:v>
      </x:c>
      <x:c r="U3809" s="2" t="str">
        <x:f>IF(T3809=TRUE,"Priority review",IF(R3809=TRUE,"High cost",IF(S3809=TRUE,"Low quality","Benchmark")))</x:f>
        <x:v>Benchmark</x:v>
      </x:c>
    </x:row>
    <x:row r="3810">
      <x:c r="A3810" s="2" t="str">
        <x:v>650001</x:v>
      </x:c>
      <x:c r="B3810" s="2" t="str">
        <x:v>GUAM MEMORIAL  HOSPITAL AUTHORITY</x:v>
      </x:c>
      <x:c r="C3810" s="2" t="str">
        <x:v>TAMUNING</x:v>
      </x:c>
      <x:c r="D3810" s="2" t="str">
        <x:v>GU</x:v>
      </x:c>
      <x:c r="E3810" s="2" t="str">
        <x:v>Acute Care Hospitals</x:v>
      </x:c>
      <x:c r="F3810" s="2" t="str">
        <x:v>Government</x:v>
      </x:c>
      <x:c r="G3810" s="2" t="str">
        <x:v>Medium (100-299 beds)</x:v>
      </x:c>
      <x:c r="H3810" s="7" t="n">
        <x:v>2</x:v>
      </x:c>
      <x:c r="I3810" s="7"/>
      <x:c r="J3810" s="7"/>
      <x:c r="K3810" s="8" t="n">
        <x:v>161</x:v>
      </x:c>
      <x:c r="L3810" s="8" t="n">
        <x:v>8194</x:v>
      </x:c>
      <x:c r="M3810" s="9" t="n">
        <x:v>0.7621084072</x:v>
      </x:c>
      <x:c r="N3810" s="10" t="n">
        <x:v>24700.5014644862</x:v>
      </x:c>
      <x:c r="O3810" s="9" t="n">
        <x:v>-0.4727125051</x:v>
      </x:c>
      <x:c r="P3810" s="9" t="n">
        <x:v>0.228198859</x:v>
      </x:c>
      <x:c r="Q3810" s="9" t="n">
        <x:v>0.0782396088</x:v>
      </x:c>
      <x:c r="R3810" s="3" t="b">
        <x:v>0</x:v>
      </x:c>
      <x:c r="S3810" s="3" t="b">
        <x:v>1</x:v>
      </x:c>
      <x:c r="T3810" s="3" t="b">
        <x:v>0</x:v>
      </x:c>
      <x:c r="U3810" s="2" t="str">
        <x:f>IF(T3810=TRUE,"Priority review",IF(R3810=TRUE,"High cost",IF(S3810=TRUE,"Low quality","Benchmark")))</x:f>
        <x:v>Low quality</x:v>
      </x:c>
    </x:row>
    <x:row r="3811">
      <x:c r="A3811" s="2" t="str">
        <x:v>180050</x:v>
      </x:c>
      <x:c r="B3811" s="2" t="str">
        <x:v>HARLAN ARH HOSPITAL</x:v>
      </x:c>
      <x:c r="C3811" s="2" t="str">
        <x:v>HARLAN</x:v>
      </x:c>
      <x:c r="D3811" s="2" t="str">
        <x:v>KY</x:v>
      </x:c>
      <x:c r="E3811" s="2" t="str">
        <x:v>Acute Care Hospitals</x:v>
      </x:c>
      <x:c r="F3811" s="2" t="str">
        <x:v>Voluntary non-profit</x:v>
      </x:c>
      <x:c r="G3811" s="2" t="str">
        <x:v>Small (&lt;100 beds)</x:v>
      </x:c>
      <x:c r="H3811" s="7" t="n">
        <x:v>2</x:v>
      </x:c>
      <x:c r="I3811" s="7" t="n">
        <x:v>3</x:v>
      </x:c>
      <x:c r="J3811" s="7" t="n">
        <x:v>0.95</x:v>
      </x:c>
      <x:c r="K3811" s="8" t="n">
        <x:v>56</x:v>
      </x:c>
      <x:c r="L3811" s="8" t="n">
        <x:v>2080</x:v>
      </x:c>
      <x:c r="M3811" s="9" t="n">
        <x:v>0.3135518591</x:v>
      </x:c>
      <x:c r="N3811" s="10" t="n">
        <x:v>35396.9817307692</x:v>
      </x:c>
      <x:c r="O3811" s="9" t="n">
        <x:v>0.0746117313</x:v>
      </x:c>
      <x:c r="P3811" s="9" t="n">
        <x:v>0.2280071813</x:v>
      </x:c>
      <x:c r="Q3811" s="9" t="n">
        <x:v>0.0350089767</x:v>
      </x:c>
      <x:c r="R3811" s="3" t="b">
        <x:v>0</x:v>
      </x:c>
      <x:c r="S3811" s="3" t="b">
        <x:v>1</x:v>
      </x:c>
      <x:c r="T3811" s="3" t="b">
        <x:v>0</x:v>
      </x:c>
      <x:c r="U3811" s="2" t="str">
        <x:f>IF(T3811=TRUE,"Priority review",IF(R3811=TRUE,"High cost",IF(S3811=TRUE,"Low quality","Benchmark")))</x:f>
        <x:v>Low quality</x:v>
      </x:c>
    </x:row>
    <x:row r="3812">
      <x:c r="A3812" s="2" t="str">
        <x:v>131328</x:v>
      </x:c>
      <x:c r="B3812" s="2" t="str">
        <x:v>BONNER GENERAL HOSPITAL</x:v>
      </x:c>
      <x:c r="C3812" s="2" t="str">
        <x:v>SANDPOINT</x:v>
      </x:c>
      <x:c r="D3812" s="2" t="str">
        <x:v>ID</x:v>
      </x:c>
      <x:c r="E3812" s="2" t="str">
        <x:v>Critical Access Hospitals</x:v>
      </x:c>
      <x:c r="F3812" s="2" t="str">
        <x:v>Voluntary non-profit</x:v>
      </x:c>
      <x:c r="G3812" s="2" t="str">
        <x:v>Small (&lt;100 beds)</x:v>
      </x:c>
      <x:c r="H3812" s="7" t="n">
        <x:v>2</x:v>
      </x:c>
      <x:c r="I3812" s="7" t="n">
        <x:v>4</x:v>
      </x:c>
      <x:c r="J3812" s="7"/>
      <x:c r="K3812" s="8" t="n">
        <x:v>25</x:v>
      </x:c>
      <x:c r="L3812" s="8" t="n">
        <x:v>794</x:v>
      </x:c>
      <x:c r="M3812" s="9" t="n">
        <x:v>0.3078688525</x:v>
      </x:c>
      <x:c r="N3812" s="10" t="n">
        <x:v>85018.8778337532</x:v>
      </x:c>
      <x:c r="O3812" s="9" t="n">
        <x:v>-0.0648325128</x:v>
      </x:c>
      <x:c r="P3812" s="9" t="n">
        <x:v>0.2275092937</x:v>
      </x:c>
      <x:c r="Q3812" s="9" t="n">
        <x:v>0.0171003717</x:v>
      </x:c>
      <x:c r="R3812" s="3" t="b">
        <x:v>0</x:v>
      </x:c>
      <x:c r="S3812" s="3" t="b">
        <x:v>1</x:v>
      </x:c>
      <x:c r="T3812" s="3" t="b">
        <x:v>0</x:v>
      </x:c>
      <x:c r="U3812" s="2" t="str">
        <x:f>IF(T3812=TRUE,"Priority review",IF(R3812=TRUE,"High cost",IF(S3812=TRUE,"Low quality","Benchmark")))</x:f>
        <x:v>Low quality</x:v>
      </x:c>
    </x:row>
    <x:row r="3813">
      <x:c r="A3813" s="2" t="str">
        <x:v>110018</x:v>
      </x:c>
      <x:c r="B3813" s="2" t="str">
        <x:v>PIEDMONT NEWTON HOSPITAL</x:v>
      </x:c>
      <x:c r="C3813" s="2" t="str">
        <x:v>COVINGTON</x:v>
      </x:c>
      <x:c r="D3813" s="2" t="str">
        <x:v>GA</x:v>
      </x:c>
      <x:c r="E3813" s="2" t="str">
        <x:v>Acute Care Hospitals</x:v>
      </x:c>
      <x:c r="F3813" s="2" t="str">
        <x:v>Voluntary non-profit</x:v>
      </x:c>
      <x:c r="G3813" s="2" t="str">
        <x:v>Medium (100-299 beds)</x:v>
      </x:c>
      <x:c r="H3813" s="7" t="n">
        <x:v>3</x:v>
      </x:c>
      <x:c r="I3813" s="7" t="n">
        <x:v>2</x:v>
      </x:c>
      <x:c r="J3813" s="7" t="n">
        <x:v>0.98</x:v>
      </x:c>
      <x:c r="K3813" s="8" t="n">
        <x:v>100</x:v>
      </x:c>
      <x:c r="L3813" s="8" t="n">
        <x:v>7072</x:v>
      </x:c>
      <x:c r="M3813" s="9" t="n">
        <x:v>0.7398082192</x:v>
      </x:c>
      <x:c r="N3813" s="10" t="n">
        <x:v>24680.8648190045</x:v>
      </x:c>
      <x:c r="O3813" s="9" t="n">
        <x:v>0.1909830134</x:v>
      </x:c>
      <x:c r="P3813" s="9" t="n">
        <x:v>0.2273838631</x:v>
      </x:c>
      <x:c r="Q3813" s="9" t="n">
        <x:v>0.3023634882</x:v>
      </x:c>
      <x:c r="R3813" s="3" t="b">
        <x:v>0</x:v>
      </x:c>
      <x:c r="S3813" s="3" t="b">
        <x:v>0</x:v>
      </x:c>
      <x:c r="T3813" s="3" t="b">
        <x:v>0</x:v>
      </x:c>
      <x:c r="U3813" s="2" t="str">
        <x:f>IF(T3813=TRUE,"Priority review",IF(R3813=TRUE,"High cost",IF(S3813=TRUE,"Low quality","Benchmark")))</x:f>
        <x:v>Benchmark</x:v>
      </x:c>
    </x:row>
    <x:row r="3814">
      <x:c r="A3814" s="2" t="str">
        <x:v>050093</x:v>
      </x:c>
      <x:c r="B3814" s="2" t="str">
        <x:v>SAINT AGNES MEDICAL CENTER</x:v>
      </x:c>
      <x:c r="C3814" s="2" t="str">
        <x:v>FRESNO</x:v>
      </x:c>
      <x:c r="D3814" s="2" t="str">
        <x:v>CA</x:v>
      </x:c>
      <x:c r="E3814" s="2" t="str">
        <x:v>Acute Care Hospitals</x:v>
      </x:c>
      <x:c r="F3814" s="2" t="str">
        <x:v>Voluntary non-profit</x:v>
      </x:c>
      <x:c r="G3814" s="2" t="str">
        <x:v>Large (300+ beds)</x:v>
      </x:c>
      <x:c r="H3814" s="7" t="n">
        <x:v>2</x:v>
      </x:c>
      <x:c r="I3814" s="7" t="n">
        <x:v>3</x:v>
      </x:c>
      <x:c r="J3814" s="7" t="n">
        <x:v>0.99</x:v>
      </x:c>
      <x:c r="K3814" s="8" t="n">
        <x:v>401</x:v>
      </x:c>
      <x:c r="L3814" s="8" t="n">
        <x:v>27211</x:v>
      </x:c>
      <x:c r="M3814" s="9" t="n">
        <x:v>0.6862159669</x:v>
      </x:c>
      <x:c r="N3814" s="10" t="n">
        <x:v>27749.3132924185</x:v>
      </x:c>
      <x:c r="O3814" s="9" t="n">
        <x:v>-0.0858408144</x:v>
      </x:c>
      <x:c r="P3814" s="9" t="n">
        <x:v>0.2271293375</x:v>
      </x:c>
      <x:c r="Q3814" s="9" t="n">
        <x:v>0.0536277603</x:v>
      </x:c>
      <x:c r="R3814" s="3" t="b">
        <x:v>0</x:v>
      </x:c>
      <x:c r="S3814" s="3" t="b">
        <x:v>1</x:v>
      </x:c>
      <x:c r="T3814" s="3" t="b">
        <x:v>0</x:v>
      </x:c>
      <x:c r="U3814" s="2" t="str">
        <x:f>IF(T3814=TRUE,"Priority review",IF(R3814=TRUE,"High cost",IF(S3814=TRUE,"Low quality","Benchmark")))</x:f>
        <x:v>Low quality</x:v>
      </x:c>
    </x:row>
    <x:row r="3815">
      <x:c r="A3815" s="2" t="str">
        <x:v>170175</x:v>
      </x:c>
      <x:c r="B3815" s="2" t="str">
        <x:v>CENTURA ST. CATHERINE-DODGE CITY</x:v>
      </x:c>
      <x:c r="C3815" s="2" t="str">
        <x:v>DODGE CITY</x:v>
      </x:c>
      <x:c r="D3815" s="2" t="str">
        <x:v>KS</x:v>
      </x:c>
      <x:c r="E3815" s="2" t="str">
        <x:v>Acute Care Hospitals</x:v>
      </x:c>
      <x:c r="F3815" s="2" t="str">
        <x:v>Proprietary</x:v>
      </x:c>
      <x:c r="G3815" s="2" t="str">
        <x:v>Small (&lt;100 beds)</x:v>
      </x:c>
      <x:c r="H3815" s="7" t="n">
        <x:v>3</x:v>
      </x:c>
      <x:c r="I3815" s="7" t="n">
        <x:v>3</x:v>
      </x:c>
      <x:c r="J3815" s="7" t="n">
        <x:v>0.95</x:v>
      </x:c>
      <x:c r="K3815" s="8" t="n">
        <x:v>99</x:v>
      </x:c>
      <x:c r="L3815" s="8" t="n">
        <x:v>1287</x:v>
      </x:c>
      <x:c r="M3815" s="9" t="n">
        <x:v>0.1099488031</x:v>
      </x:c>
      <x:c r="N3815" s="10" t="n">
        <x:v>35365.1996891997</x:v>
      </x:c>
      <x:c r="O3815" s="9" t="n">
        <x:v>0.0178913967</x:v>
      </x:c>
      <x:c r="P3815" s="9" t="n">
        <x:v>0.2271095153</x:v>
      </x:c>
      <x:c r="Q3815" s="9" t="n">
        <x:v>0.1687612208</x:v>
      </x:c>
      <x:c r="R3815" s="3" t="b">
        <x:v>0</x:v>
      </x:c>
      <x:c r="S3815" s="3" t="b">
        <x:v>0</x:v>
      </x:c>
      <x:c r="T3815" s="3" t="b">
        <x:v>0</x:v>
      </x:c>
      <x:c r="U3815" s="2" t="str">
        <x:f>IF(T3815=TRUE,"Priority review",IF(R3815=TRUE,"High cost",IF(S3815=TRUE,"Low quality","Benchmark")))</x:f>
        <x:v>Benchmark</x:v>
      </x:c>
    </x:row>
    <x:row r="3816">
      <x:c r="A3816" s="2" t="str">
        <x:v>061303</x:v>
      </x:c>
      <x:c r="B3816" s="2" t="str">
        <x:v>EAST MORGAN COUNTY HOSPITAL</x:v>
      </x:c>
      <x:c r="C3816" s="2" t="str">
        <x:v>BRUSH</x:v>
      </x:c>
      <x:c r="D3816" s="2" t="str">
        <x:v>CO</x:v>
      </x:c>
      <x:c r="E3816" s="2" t="str">
        <x:v>Critical Access Hospitals</x:v>
      </x:c>
      <x:c r="F3816" s="2" t="str">
        <x:v>Voluntary non-profit</x:v>
      </x:c>
      <x:c r="G3816" s="2" t="str">
        <x:v>Small (&lt;100 beds)</x:v>
      </x:c>
      <x:c r="H3816" s="7"/>
      <x:c r="I3816" s="7"/>
      <x:c r="J3816" s="7"/>
      <x:c r="K3816" s="8" t="n">
        <x:v>25</x:v>
      </x:c>
      <x:c r="L3816" s="8" t="n">
        <x:v>478</x:v>
      </x:c>
      <x:c r="M3816" s="9" t="n">
        <x:v>0.1849180328</x:v>
      </x:c>
      <x:c r="N3816" s="10" t="n">
        <x:v>84603.7133891213</x:v>
      </x:c>
      <x:c r="O3816" s="9" t="n">
        <x:v>0.0228947438</x:v>
      </x:c>
      <x:c r="P3816" s="9" t="n">
        <x:v>0.2267657993</x:v>
      </x:c>
      <x:c r="Q3816" s="9" t="n">
        <x:v>0.292936803</x:v>
      </x:c>
      <x:c r="R3816" s="3" t="b">
        <x:v>0</x:v>
      </x:c>
      <x:c r="S3816" s="3" t="b">
        <x:v>0</x:v>
      </x:c>
      <x:c r="T3816" s="3" t="b">
        <x:v>0</x:v>
      </x:c>
      <x:c r="U3816" s="2" t="str">
        <x:f>IF(T3816=TRUE,"Priority review",IF(R3816=TRUE,"High cost",IF(S3816=TRUE,"Low quality","Benchmark")))</x:f>
        <x:v>Benchmark</x:v>
      </x:c>
    </x:row>
    <x:row r="3817">
      <x:c r="A3817" s="2" t="str">
        <x:v>450079</x:v>
      </x:c>
      <x:c r="B3817" s="2" t="str">
        <x:v>BAYLOR SCOTT &amp; WHITE MEDICAL CENTER AT IRVING</x:v>
      </x:c>
      <x:c r="C3817" s="2" t="str">
        <x:v>IRVING</x:v>
      </x:c>
      <x:c r="D3817" s="2" t="str">
        <x:v>TX</x:v>
      </x:c>
      <x:c r="E3817" s="2" t="str">
        <x:v>Acute Care Hospitals</x:v>
      </x:c>
      <x:c r="F3817" s="2" t="str">
        <x:v>Voluntary non-profit</x:v>
      </x:c>
      <x:c r="G3817" s="2" t="str">
        <x:v>Medium (100-299 beds)</x:v>
      </x:c>
      <x:c r="H3817" s="7" t="n">
        <x:v>5</x:v>
      </x:c>
      <x:c r="I3817" s="7" t="n">
        <x:v>3</x:v>
      </x:c>
      <x:c r="J3817" s="7" t="n">
        <x:v>1</x:v>
      </x:c>
      <x:c r="K3817" s="8" t="n">
        <x:v>269</x:v>
      </x:c>
      <x:c r="L3817" s="8" t="n">
        <x:v>12532</x:v>
      </x:c>
      <x:c r="M3817" s="9" t="n">
        <x:v>0.6237408973</x:v>
      </x:c>
      <x:c r="N3817" s="10" t="n">
        <x:v>24657.6038142356</x:v>
      </x:c>
      <x:c r="O3817" s="9" t="n">
        <x:v>-0.0589607075</x:v>
      </x:c>
      <x:c r="P3817" s="9" t="n">
        <x:v>0.2265688672</x:v>
      </x:c>
      <x:c r="Q3817" s="9" t="n">
        <x:v>0.8744906275</x:v>
      </x:c>
      <x:c r="R3817" s="3" t="b">
        <x:v>0</x:v>
      </x:c>
      <x:c r="S3817" s="3" t="b">
        <x:v>0</x:v>
      </x:c>
      <x:c r="T3817" s="3" t="b">
        <x:v>0</x:v>
      </x:c>
      <x:c r="U3817" s="2" t="str">
        <x:f>IF(T3817=TRUE,"Priority review",IF(R3817=TRUE,"High cost",IF(S3817=TRUE,"Low quality","Benchmark")))</x:f>
        <x:v>Benchmark</x:v>
      </x:c>
    </x:row>
    <x:row r="3818">
      <x:c r="A3818" s="2" t="str">
        <x:v>064009</x:v>
      </x:c>
      <x:c r="B3818" s="2" t="str">
        <x:v>CEDAR SPRINGS HOSPITAL</x:v>
      </x:c>
      <x:c r="C3818" s="2" t="str">
        <x:v>COLORADO SPRINGS</x:v>
      </x:c>
      <x:c r="D3818" s="2" t="str">
        <x:v>CO</x:v>
      </x:c>
      <x:c r="E3818" s="2" t="str">
        <x:v>Psychiatric</x:v>
      </x:c>
      <x:c r="F3818" s="2" t="str">
        <x:v>Proprietary</x:v>
      </x:c>
      <x:c r="G3818" s="2" t="str">
        <x:v>Small (&lt;100 beds)</x:v>
      </x:c>
      <x:c r="H3818" s="7"/>
      <x:c r="I3818" s="7"/>
      <x:c r="J3818" s="7"/>
      <x:c r="K3818" s="8" t="n">
        <x:v>86</x:v>
      </x:c>
      <x:c r="L3818" s="8" t="n">
        <x:v>3705</x:v>
      </x:c>
      <x:c r="M3818" s="9" t="n">
        <x:v>0.7161646969</x:v>
      </x:c>
      <x:c r="N3818" s="10" t="n">
        <x:v>8020.1368421053</x:v>
      </x:c>
      <x:c r="O3818" s="9" t="n">
        <x:v>-0.0755843751</x:v>
      </x:c>
      <x:c r="P3818" s="9" t="n">
        <x:v>0.2265372168</x:v>
      </x:c>
      <x:c r="Q3818" s="9" t="n">
        <x:v>0</x:v>
      </x:c>
      <x:c r="R3818" s="3" t="b">
        <x:v>0</x:v>
      </x:c>
      <x:c r="S3818" s="3" t="b">
        <x:v>0</x:v>
      </x:c>
      <x:c r="T3818" s="3" t="b">
        <x:v>0</x:v>
      </x:c>
      <x:c r="U3818" s="2" t="str">
        <x:f>IF(T3818=TRUE,"Priority review",IF(R3818=TRUE,"High cost",IF(S3818=TRUE,"Low quality","Benchmark")))</x:f>
        <x:v>Benchmark</x:v>
      </x:c>
    </x:row>
    <x:row r="3819">
      <x:c r="A3819" s="2" t="str">
        <x:v>410006</x:v>
      </x:c>
      <x:c r="B3819" s="2" t="str">
        <x:v>NEWPORT HOSPITAL</x:v>
      </x:c>
      <x:c r="C3819" s="2" t="str">
        <x:v>NEWPORT</x:v>
      </x:c>
      <x:c r="D3819" s="2" t="str">
        <x:v>RI</x:v>
      </x:c>
      <x:c r="E3819" s="2" t="str">
        <x:v>Acute Care Hospitals</x:v>
      </x:c>
      <x:c r="F3819" s="2" t="str">
        <x:v>Voluntary non-profit</x:v>
      </x:c>
      <x:c r="G3819" s="2" t="str">
        <x:v>Small (&lt;100 beds)</x:v>
      </x:c>
      <x:c r="H3819" s="7" t="n">
        <x:v>4</x:v>
      </x:c>
      <x:c r="I3819" s="7" t="n">
        <x:v>3</x:v>
      </x:c>
      <x:c r="J3819" s="7" t="n">
        <x:v>0.99</x:v>
      </x:c>
      <x:c r="K3819" s="8" t="n">
        <x:v>66</x:v>
      </x:c>
      <x:c r="L3819" s="8" t="n">
        <x:v>4630</x:v>
      </x:c>
      <x:c r="M3819" s="9" t="n">
        <x:v>0.7863056797</x:v>
      </x:c>
      <x:c r="N3819" s="10" t="n">
        <x:v>35340.1727861771</x:v>
      </x:c>
      <x:c r="O3819" s="9" t="n">
        <x:v>-0.1429672629</x:v>
      </x:c>
      <x:c r="P3819" s="9" t="n">
        <x:v>0.2262118492</x:v>
      </x:c>
      <x:c r="Q3819" s="9" t="n">
        <x:v>0.3913824057</x:v>
      </x:c>
      <x:c r="R3819" s="3" t="b">
        <x:v>0</x:v>
      </x:c>
      <x:c r="S3819" s="3" t="b">
        <x:v>0</x:v>
      </x:c>
      <x:c r="T3819" s="3" t="b">
        <x:v>0</x:v>
      </x:c>
      <x:c r="U3819" s="2" t="str">
        <x:f>IF(T3819=TRUE,"Priority review",IF(R3819=TRUE,"High cost",IF(S3819=TRUE,"Low quality","Benchmark")))</x:f>
        <x:v>Benchmark</x:v>
      </x:c>
    </x:row>
    <x:row r="3820">
      <x:c r="A3820" s="2" t="str">
        <x:v>431324</x:v>
      </x:c>
      <x:c r="B3820" s="2" t="str">
        <x:v>AVERA WESKOTA MEMORIAL MEDICAL CENTER - CAH</x:v>
      </x:c>
      <x:c r="C3820" s="2" t="str">
        <x:v>WESSINGTON SPRINGS</x:v>
      </x:c>
      <x:c r="D3820" s="2" t="str">
        <x:v>SD</x:v>
      </x:c>
      <x:c r="E3820" s="2" t="str">
        <x:v>Critical Access Hospitals</x:v>
      </x:c>
      <x:c r="F3820" s="2" t="str">
        <x:v>Voluntary non-profit</x:v>
      </x:c>
      <x:c r="G3820" s="2" t="str">
        <x:v>Small (&lt;100 beds)</x:v>
      </x:c>
      <x:c r="H3820" s="7"/>
      <x:c r="I3820" s="7"/>
      <x:c r="J3820" s="7"/>
      <x:c r="K3820" s="8" t="n">
        <x:v>16</x:v>
      </x:c>
      <x:c r="L3820" s="8" t="n">
        <x:v>56</x:v>
      </x:c>
      <x:c r="M3820" s="9" t="n">
        <x:v>0.0678082192</x:v>
      </x:c>
      <x:c r="N3820" s="10" t="n">
        <x:v>84412.875</x:v>
      </x:c>
      <x:c r="O3820" s="9" t="n">
        <x:v>0.1643493733</x:v>
      </x:c>
      <x:c r="P3820" s="9" t="n">
        <x:v>0.2260223048</x:v>
      </x:c>
      <x:c r="Q3820" s="9" t="n">
        <x:v>0.292936803</x:v>
      </x:c>
      <x:c r="R3820" s="3" t="b">
        <x:v>0</x:v>
      </x:c>
      <x:c r="S3820" s="3" t="b">
        <x:v>0</x:v>
      </x:c>
      <x:c r="T3820" s="3" t="b">
        <x:v>0</x:v>
      </x:c>
      <x:c r="U3820" s="2" t="str">
        <x:f>IF(T3820=TRUE,"Priority review",IF(R3820=TRUE,"High cost",IF(S3820=TRUE,"Low quality","Benchmark")))</x:f>
        <x:v>Benchmark</x:v>
      </x:c>
    </x:row>
    <x:row r="3821">
      <x:c r="A3821" s="2" t="str">
        <x:v>450862</x:v>
      </x:c>
      <x:c r="B3821" s="2" t="str">
        <x:v>ST LUKE'S THE WOODLANDS HOSPITAL</x:v>
      </x:c>
      <x:c r="C3821" s="2" t="str">
        <x:v>THE WOODLANDS</x:v>
      </x:c>
      <x:c r="D3821" s="2" t="str">
        <x:v>TX</x:v>
      </x:c>
      <x:c r="E3821" s="2" t="str">
        <x:v>Acute Care Hospitals</x:v>
      </x:c>
      <x:c r="F3821" s="2" t="str">
        <x:v>Voluntary non-profit</x:v>
      </x:c>
      <x:c r="G3821" s="2" t="str">
        <x:v>Medium (100-299 beds)</x:v>
      </x:c>
      <x:c r="H3821" s="7" t="n">
        <x:v>3</x:v>
      </x:c>
      <x:c r="I3821" s="7" t="n">
        <x:v>4</x:v>
      </x:c>
      <x:c r="J3821" s="7" t="n">
        <x:v>1.06</x:v>
      </x:c>
      <x:c r="K3821" s="8" t="n">
        <x:v>240</x:v>
      </x:c>
      <x:c r="L3821" s="8" t="n">
        <x:v>14252</x:v>
      </x:c>
      <x:c r="M3821" s="9" t="n">
        <x:v>0.6655707763</x:v>
      </x:c>
      <x:c r="N3821" s="10" t="n">
        <x:v>24656.949410609</x:v>
      </x:c>
      <x:c r="O3821" s="9" t="n">
        <x:v>0.0264809673</x:v>
      </x:c>
      <x:c r="P3821" s="9" t="n">
        <x:v>0.2257538712</x:v>
      </x:c>
      <x:c r="Q3821" s="9" t="n">
        <x:v>0.3023634882</x:v>
      </x:c>
      <x:c r="R3821" s="3" t="b">
        <x:v>0</x:v>
      </x:c>
      <x:c r="S3821" s="3" t="b">
        <x:v>0</x:v>
      </x:c>
      <x:c r="T3821" s="3" t="b">
        <x:v>0</x:v>
      </x:c>
      <x:c r="U3821" s="2" t="str">
        <x:f>IF(T3821=TRUE,"Priority review",IF(R3821=TRUE,"High cost",IF(S3821=TRUE,"Low quality","Benchmark")))</x:f>
        <x:v>Benchmark</x:v>
      </x:c>
    </x:row>
    <x:row r="3822">
      <x:c r="A3822" s="2" t="str">
        <x:v>440048</x:v>
      </x:c>
      <x:c r="B3822" s="2" t="str">
        <x:v>BAPTIST MEMORIAL HOSPITAL</x:v>
      </x:c>
      <x:c r="C3822" s="2" t="str">
        <x:v>MEMPHIS</x:v>
      </x:c>
      <x:c r="D3822" s="2" t="str">
        <x:v>TN</x:v>
      </x:c>
      <x:c r="E3822" s="2" t="str">
        <x:v>Acute Care Hospitals</x:v>
      </x:c>
      <x:c r="F3822" s="2" t="str">
        <x:v>Voluntary non-profit</x:v>
      </x:c>
      <x:c r="G3822" s="2" t="str">
        <x:v>Large (300+ beds)</x:v>
      </x:c>
      <x:c r="H3822" s="7" t="n">
        <x:v>3</x:v>
      </x:c>
      <x:c r="I3822" s="7" t="n">
        <x:v>2</x:v>
      </x:c>
      <x:c r="J3822" s="7" t="n">
        <x:v>0.99</x:v>
      </x:c>
      <x:c r="K3822" s="8" t="n">
        <x:v>797</x:v>
      </x:c>
      <x:c r="L3822" s="8" t="n">
        <x:v>34515</x:v>
      </x:c>
      <x:c r="M3822" s="9" t="n">
        <x:v>0.8072450652</x:v>
      </x:c>
      <x:c r="N3822" s="10" t="n">
        <x:v>27702.2013327539</x:v>
      </x:c>
      <x:c r="O3822" s="9" t="n">
        <x:v>-0.0055641315</x:v>
      </x:c>
      <x:c r="P3822" s="9" t="n">
        <x:v>0.2255520505</x:v>
      </x:c>
      <x:c r="Q3822" s="9" t="n">
        <x:v>0.2570977918</x:v>
      </x:c>
      <x:c r="R3822" s="3" t="b">
        <x:v>0</x:v>
      </x:c>
      <x:c r="S3822" s="3" t="b">
        <x:v>0</x:v>
      </x:c>
      <x:c r="T3822" s="3" t="b">
        <x:v>0</x:v>
      </x:c>
      <x:c r="U3822" s="2" t="str">
        <x:f>IF(T3822=TRUE,"Priority review",IF(R3822=TRUE,"High cost",IF(S3822=TRUE,"Low quality","Benchmark")))</x:f>
        <x:v>Benchmark</x:v>
      </x:c>
    </x:row>
    <x:row r="3823">
      <x:c r="A3823" s="2" t="str">
        <x:v>140064</x:v>
      </x:c>
      <x:c r="B3823" s="2" t="str">
        <x:v>ST MARY MEDICAL CENTER</x:v>
      </x:c>
      <x:c r="C3823" s="2" t="str">
        <x:v>GALESBURG</x:v>
      </x:c>
      <x:c r="D3823" s="2" t="str">
        <x:v>IL</x:v>
      </x:c>
      <x:c r="E3823" s="2" t="str">
        <x:v>Acute Care Hospitals</x:v>
      </x:c>
      <x:c r="F3823" s="2" t="str">
        <x:v>Voluntary non-profit</x:v>
      </x:c>
      <x:c r="G3823" s="2" t="str">
        <x:v>Small (&lt;100 beds)</x:v>
      </x:c>
      <x:c r="H3823" s="7" t="n">
        <x:v>2</x:v>
      </x:c>
      <x:c r="I3823" s="7" t="n">
        <x:v>3</x:v>
      </x:c>
      <x:c r="J3823" s="7" t="n">
        <x:v>0.96</x:v>
      </x:c>
      <x:c r="K3823" s="8" t="n">
        <x:v>81</x:v>
      </x:c>
      <x:c r="L3823" s="8" t="n">
        <x:v>4153</x:v>
      </x:c>
      <x:c r="M3823" s="9" t="n">
        <x:v>0.5592660055</x:v>
      </x:c>
      <x:c r="N3823" s="10" t="n">
        <x:v>35297.3214543703</x:v>
      </x:c>
      <x:c r="O3823" s="9" t="n">
        <x:v>0.0866803992</x:v>
      </x:c>
      <x:c r="P3823" s="9" t="n">
        <x:v>0.2253141831</x:v>
      </x:c>
      <x:c r="Q3823" s="9" t="n">
        <x:v>0.0350089767</x:v>
      </x:c>
      <x:c r="R3823" s="3" t="b">
        <x:v>0</x:v>
      </x:c>
      <x:c r="S3823" s="3" t="b">
        <x:v>1</x:v>
      </x:c>
      <x:c r="T3823" s="3" t="b">
        <x:v>0</x:v>
      </x:c>
      <x:c r="U3823" s="2" t="str">
        <x:f>IF(T3823=TRUE,"Priority review",IF(R3823=TRUE,"High cost",IF(S3823=TRUE,"Low quality","Benchmark")))</x:f>
        <x:v>Low quality</x:v>
      </x:c>
    </x:row>
    <x:row r="3824">
      <x:c r="A3824" s="2" t="str">
        <x:v>171330</x:v>
      </x:c>
      <x:c r="B3824" s="2" t="str">
        <x:v>HOSPITAL DISTRICT #1 OF RICE COUNTY</x:v>
      </x:c>
      <x:c r="C3824" s="2" t="str">
        <x:v>LYONS</x:v>
      </x:c>
      <x:c r="D3824" s="2" t="str">
        <x:v>KS</x:v>
      </x:c>
      <x:c r="E3824" s="2" t="str">
        <x:v>Critical Access Hospitals</x:v>
      </x:c>
      <x:c r="F3824" s="2" t="str">
        <x:v>Government</x:v>
      </x:c>
      <x:c r="G3824" s="2" t="str">
        <x:v>Small (&lt;100 beds)</x:v>
      </x:c>
      <x:c r="H3824" s="7"/>
      <x:c r="I3824" s="7"/>
      <x:c r="J3824" s="7"/>
      <x:c r="K3824" s="8" t="n">
        <x:v>25</x:v>
      </x:c>
      <x:c r="L3824" s="8" t="n">
        <x:v>335</x:v>
      </x:c>
      <x:c r="M3824" s="9" t="n">
        <x:v>0.6070136986</x:v>
      </x:c>
      <x:c r="N3824" s="10" t="n">
        <x:v>84315.6567164179</x:v>
      </x:c>
      <x:c r="O3824" s="9" t="n">
        <x:v>-0.3110433072</x:v>
      </x:c>
      <x:c r="P3824" s="9" t="n">
        <x:v>0.2252788104</x:v>
      </x:c>
      <x:c r="Q3824" s="9" t="n">
        <x:v>0.292936803</x:v>
      </x:c>
      <x:c r="R3824" s="3" t="b">
        <x:v>0</x:v>
      </x:c>
      <x:c r="S3824" s="3" t="b">
        <x:v>0</x:v>
      </x:c>
      <x:c r="T3824" s="3" t="b">
        <x:v>0</x:v>
      </x:c>
      <x:c r="U3824" s="2" t="str">
        <x:f>IF(T3824=TRUE,"Priority review",IF(R3824=TRUE,"High cost",IF(S3824=TRUE,"Low quality","Benchmark")))</x:f>
        <x:v>Benchmark</x:v>
      </x:c>
    </x:row>
    <x:row r="3825">
      <x:c r="A3825" s="2" t="str">
        <x:v>050597</x:v>
      </x:c>
      <x:c r="B3825" s="2" t="str">
        <x:v>EMANATE HEALTH FOOTHILL PRESBYTERIAN HOSPITAL</x:v>
      </x:c>
      <x:c r="C3825" s="2" t="str">
        <x:v>GLENDORA</x:v>
      </x:c>
      <x:c r="D3825" s="2" t="str">
        <x:v>CA</x:v>
      </x:c>
      <x:c r="E3825" s="2" t="str">
        <x:v>Acute Care Hospitals</x:v>
      </x:c>
      <x:c r="F3825" s="2" t="str">
        <x:v>Voluntary non-profit</x:v>
      </x:c>
      <x:c r="G3825" s="2" t="str">
        <x:v>Medium (100-299 beds)</x:v>
      </x:c>
      <x:c r="H3825" s="7" t="n">
        <x:v>3</x:v>
      </x:c>
      <x:c r="I3825" s="7" t="n">
        <x:v>2</x:v>
      </x:c>
      <x:c r="J3825" s="7" t="n">
        <x:v>1.16</x:v>
      </x:c>
      <x:c r="K3825" s="8" t="n">
        <x:v>105</x:v>
      </x:c>
      <x:c r="L3825" s="8" t="n">
        <x:v>5444</x:v>
      </x:c>
      <x:c r="M3825" s="9" t="n">
        <x:v>0.7301847515</x:v>
      </x:c>
      <x:c r="N3825" s="10" t="n">
        <x:v>24648.812086701</x:v>
      </x:c>
      <x:c r="O3825" s="9" t="n">
        <x:v>0.0433039836</x:v>
      </x:c>
      <x:c r="P3825" s="9" t="n">
        <x:v>0.2249388753</x:v>
      </x:c>
      <x:c r="Q3825" s="9" t="n">
        <x:v>0.3023634882</x:v>
      </x:c>
      <x:c r="R3825" s="3" t="b">
        <x:v>0</x:v>
      </x:c>
      <x:c r="S3825" s="3" t="b">
        <x:v>0</x:v>
      </x:c>
      <x:c r="T3825" s="3" t="b">
        <x:v>0</x:v>
      </x:c>
      <x:c r="U3825" s="2" t="str">
        <x:f>IF(T3825=TRUE,"Priority review",IF(R3825=TRUE,"High cost",IF(S3825=TRUE,"Low quality","Benchmark")))</x:f>
        <x:v>Benchmark</x:v>
      </x:c>
    </x:row>
    <x:row r="3826">
      <x:c r="A3826" s="2" t="str">
        <x:v>011306</x:v>
      </x:c>
      <x:c r="B3826" s="2" t="str">
        <x:v>TANNER MEDICAL CENTER-EAST ALABAMA</x:v>
      </x:c>
      <x:c r="C3826" s="2" t="str">
        <x:v>WEDOWEE</x:v>
      </x:c>
      <x:c r="D3826" s="2" t="str">
        <x:v>AL</x:v>
      </x:c>
      <x:c r="E3826" s="2" t="str">
        <x:v>Critical Access Hospitals</x:v>
      </x:c>
      <x:c r="F3826" s="2" t="str">
        <x:v>Government</x:v>
      </x:c>
      <x:c r="G3826" s="2" t="str">
        <x:v>Small (&lt;100 beds)</x:v>
      </x:c>
      <x:c r="H3826" s="7"/>
      <x:c r="I3826" s="7"/>
      <x:c r="J3826" s="7"/>
      <x:c r="K3826" s="8" t="n">
        <x:v>15</x:v>
      </x:c>
      <x:c r="L3826" s="8" t="n">
        <x:v>238</x:v>
      </x:c>
      <x:c r="M3826" s="9" t="n">
        <x:v>0.28</x:v>
      </x:c>
      <x:c r="N3826" s="10" t="n">
        <x:v>84235.2478991597</x:v>
      </x:c>
      <x:c r="O3826" s="9" t="n">
        <x:v>-0.738556678</x:v>
      </x:c>
      <x:c r="P3826" s="9" t="n">
        <x:v>0.224535316</x:v>
      </x:c>
      <x:c r="Q3826" s="9" t="n">
        <x:v>0.292936803</x:v>
      </x:c>
      <x:c r="R3826" s="3" t="b">
        <x:v>0</x:v>
      </x:c>
      <x:c r="S3826" s="3" t="b">
        <x:v>0</x:v>
      </x:c>
      <x:c r="T3826" s="3" t="b">
        <x:v>0</x:v>
      </x:c>
      <x:c r="U3826" s="2" t="str">
        <x:f>IF(T3826=TRUE,"Priority review",IF(R3826=TRUE,"High cost",IF(S3826=TRUE,"Low quality","Benchmark")))</x:f>
        <x:v>Benchmark</x:v>
      </x:c>
    </x:row>
    <x:row r="3827">
      <x:c r="A3827" s="2" t="str">
        <x:v>220049</x:v>
      </x:c>
      <x:c r="B3827" s="2" t="str">
        <x:v>MARLBOROUGH HOSPITAL</x:v>
      </x:c>
      <x:c r="C3827" s="2" t="str">
        <x:v>MARLBOROUGH</x:v>
      </x:c>
      <x:c r="D3827" s="2" t="str">
        <x:v>MA</x:v>
      </x:c>
      <x:c r="E3827" s="2" t="str">
        <x:v>Acute Care Hospitals</x:v>
      </x:c>
      <x:c r="F3827" s="2" t="str">
        <x:v>Voluntary non-profit</x:v>
      </x:c>
      <x:c r="G3827" s="2" t="str">
        <x:v>Small (&lt;100 beds)</x:v>
      </x:c>
      <x:c r="H3827" s="7" t="n">
        <x:v>2</x:v>
      </x:c>
      <x:c r="I3827" s="7" t="n">
        <x:v>3</x:v>
      </x:c>
      <x:c r="J3827" s="7" t="n">
        <x:v>0.97</x:v>
      </x:c>
      <x:c r="K3827" s="8" t="n">
        <x:v>67</x:v>
      </x:c>
      <x:c r="L3827" s="8" t="n">
        <x:v>3431</x:v>
      </x:c>
      <x:c r="M3827" s="9" t="n">
        <x:v>0.8024630944</x:v>
      </x:c>
      <x:c r="N3827" s="10" t="n">
        <x:v>35176.3386767706</x:v>
      </x:c>
      <x:c r="O3827" s="9" t="n">
        <x:v>-0.1727985295</x:v>
      </x:c>
      <x:c r="P3827" s="9" t="n">
        <x:v>0.2244165171</x:v>
      </x:c>
      <x:c r="Q3827" s="9" t="n">
        <x:v>0.0350089767</x:v>
      </x:c>
      <x:c r="R3827" s="3" t="b">
        <x:v>0</x:v>
      </x:c>
      <x:c r="S3827" s="3" t="b">
        <x:v>1</x:v>
      </x:c>
      <x:c r="T3827" s="3" t="b">
        <x:v>0</x:v>
      </x:c>
      <x:c r="U3827" s="2" t="str">
        <x:f>IF(T3827=TRUE,"Priority review",IF(R3827=TRUE,"High cost",IF(S3827=TRUE,"Low quality","Benchmark")))</x:f>
        <x:v>Low quality</x:v>
      </x:c>
    </x:row>
    <x:row r="3828">
      <x:c r="A3828" s="2" t="str">
        <x:v>360056</x:v>
      </x:c>
      <x:c r="B3828" s="2" t="str">
        <x:v>MERCY HEALTH - FAIRFIELD HOSPITAL</x:v>
      </x:c>
      <x:c r="C3828" s="2" t="str">
        <x:v>FAIRFIELD</x:v>
      </x:c>
      <x:c r="D3828" s="2" t="str">
        <x:v>OH</x:v>
      </x:c>
      <x:c r="E3828" s="2" t="str">
        <x:v>Acute Care Hospitals</x:v>
      </x:c>
      <x:c r="F3828" s="2" t="str">
        <x:v>Voluntary non-profit</x:v>
      </x:c>
      <x:c r="G3828" s="2" t="str">
        <x:v>Medium (100-299 beds)</x:v>
      </x:c>
      <x:c r="H3828" s="7" t="n">
        <x:v>3</x:v>
      </x:c>
      <x:c r="I3828" s="7" t="n">
        <x:v>3</x:v>
      </x:c>
      <x:c r="J3828" s="7" t="n">
        <x:v>0.99</x:v>
      </x:c>
      <x:c r="K3828" s="8" t="n">
        <x:v>165</x:v>
      </x:c>
      <x:c r="L3828" s="8" t="n">
        <x:v>11858</x:v>
      </x:c>
      <x:c r="M3828" s="9" t="n">
        <x:v>0.7693161119</x:v>
      </x:c>
      <x:c r="N3828" s="10" t="n">
        <x:v>24564.6555068308</x:v>
      </x:c>
      <x:c r="O3828" s="9" t="n">
        <x:v>-0.005150366</x:v>
      </x:c>
      <x:c r="P3828" s="9" t="n">
        <x:v>0.2241238794</x:v>
      </x:c>
      <x:c r="Q3828" s="9" t="n">
        <x:v>0.3023634882</x:v>
      </x:c>
      <x:c r="R3828" s="3" t="b">
        <x:v>0</x:v>
      </x:c>
      <x:c r="S3828" s="3" t="b">
        <x:v>0</x:v>
      </x:c>
      <x:c r="T3828" s="3" t="b">
        <x:v>0</x:v>
      </x:c>
      <x:c r="U3828" s="2" t="str">
        <x:f>IF(T3828=TRUE,"Priority review",IF(R3828=TRUE,"High cost",IF(S3828=TRUE,"Low quality","Benchmark")))</x:f>
        <x:v>Benchmark</x:v>
      </x:c>
    </x:row>
    <x:row r="3829">
      <x:c r="A3829" s="2" t="str">
        <x:v>370114</x:v>
      </x:c>
      <x:c r="B3829" s="2" t="str">
        <x:v>ASCENSION ST JOHN MEDICAL CENTER</x:v>
      </x:c>
      <x:c r="C3829" s="2" t="str">
        <x:v>TULSA</x:v>
      </x:c>
      <x:c r="D3829" s="2" t="str">
        <x:v>OK</x:v>
      </x:c>
      <x:c r="E3829" s="2" t="str">
        <x:v>Acute Care Hospitals</x:v>
      </x:c>
      <x:c r="F3829" s="2" t="str">
        <x:v>Voluntary non-profit</x:v>
      </x:c>
      <x:c r="G3829" s="2" t="str">
        <x:v>Large (300+ beds)</x:v>
      </x:c>
      <x:c r="H3829" s="7" t="n">
        <x:v>3</x:v>
      </x:c>
      <x:c r="I3829" s="7" t="n">
        <x:v>2</x:v>
      </x:c>
      <x:c r="J3829" s="7" t="n">
        <x:v>1.06</x:v>
      </x:c>
      <x:c r="K3829" s="8" t="n">
        <x:v>437</x:v>
      </x:c>
      <x:c r="L3829" s="8" t="n">
        <x:v>23579</x:v>
      </x:c>
      <x:c r="M3829" s="9" t="n">
        <x:v>0.8751655063</x:v>
      </x:c>
      <x:c r="N3829" s="10" t="n">
        <x:v>27597.5501929683</x:v>
      </x:c>
      <x:c r="O3829" s="9" t="n">
        <x:v>-0.0546949468</x:v>
      </x:c>
      <x:c r="P3829" s="9" t="n">
        <x:v>0.2239747634</x:v>
      </x:c>
      <x:c r="Q3829" s="9" t="n">
        <x:v>0.2570977918</x:v>
      </x:c>
      <x:c r="R3829" s="3" t="b">
        <x:v>0</x:v>
      </x:c>
      <x:c r="S3829" s="3" t="b">
        <x:v>0</x:v>
      </x:c>
      <x:c r="T3829" s="3" t="b">
        <x:v>0</x:v>
      </x:c>
      <x:c r="U3829" s="2" t="str">
        <x:f>IF(T3829=TRUE,"Priority review",IF(R3829=TRUE,"High cost",IF(S3829=TRUE,"Low quality","Benchmark")))</x:f>
        <x:v>Benchmark</x:v>
      </x:c>
    </x:row>
    <x:row r="3830">
      <x:c r="A3830" s="2" t="str">
        <x:v>294015</x:v>
      </x:c>
      <x:c r="B3830" s="2" t="str">
        <x:v>RENO BEHAVIORAL HEALTHCARE HOSPITAL, LLC</x:v>
      </x:c>
      <x:c r="C3830" s="2" t="str">
        <x:v>RENO</x:v>
      </x:c>
      <x:c r="D3830" s="2" t="str">
        <x:v>NV</x:v>
      </x:c>
      <x:c r="E3830" s="2" t="str">
        <x:v>Psychiatric</x:v>
      </x:c>
      <x:c r="F3830" s="2" t="str">
        <x:v>Proprietary</x:v>
      </x:c>
      <x:c r="G3830" s="2" t="str">
        <x:v>Medium (100-299 beds)</x:v>
      </x:c>
      <x:c r="H3830" s="7"/>
      <x:c r="I3830" s="7"/>
      <x:c r="J3830" s="7"/>
      <x:c r="K3830" s="8" t="n">
        <x:v>103</x:v>
      </x:c>
      <x:c r="L3830" s="8" t="n">
        <x:v>3911</x:v>
      </x:c>
      <x:c r="M3830" s="9" t="n">
        <x:v>0.5743806037</x:v>
      </x:c>
      <x:c r="N3830" s="10" t="n">
        <x:v>6811.3975965226</x:v>
      </x:c>
      <x:c r="O3830" s="9" t="n">
        <x:v>-0.1675029511</x:v>
      </x:c>
      <x:c r="P3830" s="9" t="n">
        <x:v>0.223880597</x:v>
      </x:c>
      <x:c r="Q3830" s="9" t="n">
        <x:v>0</x:v>
      </x:c>
      <x:c r="R3830" s="3" t="b">
        <x:v>0</x:v>
      </x:c>
      <x:c r="S3830" s="3" t="b">
        <x:v>0</x:v>
      </x:c>
      <x:c r="T3830" s="3" t="b">
        <x:v>0</x:v>
      </x:c>
      <x:c r="U3830" s="2" t="str">
        <x:f>IF(T3830=TRUE,"Priority review",IF(R3830=TRUE,"High cost",IF(S3830=TRUE,"Low quality","Benchmark")))</x:f>
        <x:v>Benchmark</x:v>
      </x:c>
    </x:row>
    <x:row r="3831">
      <x:c r="A3831" s="2" t="str">
        <x:v>231332</x:v>
      </x:c>
      <x:c r="B3831" s="2" t="str">
        <x:v>BRONSON LAKEVIEW HOSPITAL</x:v>
      </x:c>
      <x:c r="C3831" s="2" t="str">
        <x:v>PAW PAW</x:v>
      </x:c>
      <x:c r="D3831" s="2" t="str">
        <x:v>MI</x:v>
      </x:c>
      <x:c r="E3831" s="2" t="str">
        <x:v>Critical Access Hospitals</x:v>
      </x:c>
      <x:c r="F3831" s="2" t="str">
        <x:v>Voluntary non-profit</x:v>
      </x:c>
      <x:c r="G3831" s="2" t="str">
        <x:v>Small (&lt;100 beds)</x:v>
      </x:c>
      <x:c r="H3831" s="7" t="n">
        <x:v>5</x:v>
      </x:c>
      <x:c r="I3831" s="7" t="n">
        <x:v>4</x:v>
      </x:c>
      <x:c r="J3831" s="7"/>
      <x:c r="K3831" s="8" t="n">
        <x:v>16</x:v>
      </x:c>
      <x:c r="L3831" s="8" t="n">
        <x:v>798</x:v>
      </x:c>
      <x:c r="M3831" s="9" t="n">
        <x:v>0.5269808743</x:v>
      </x:c>
      <x:c r="N3831" s="10" t="n">
        <x:v>84092.5350877193</x:v>
      </x:c>
      <x:c r="O3831" s="9" t="n">
        <x:v>0.1948942673</x:v>
      </x:c>
      <x:c r="P3831" s="9" t="n">
        <x:v>0.2237918216</x:v>
      </x:c>
      <x:c r="Q3831" s="9" t="n">
        <x:v>0.2602230483</x:v>
      </x:c>
      <x:c r="R3831" s="3" t="b">
        <x:v>0</x:v>
      </x:c>
      <x:c r="S3831" s="3" t="b">
        <x:v>0</x:v>
      </x:c>
      <x:c r="T3831" s="3" t="b">
        <x:v>0</x:v>
      </x:c>
      <x:c r="U3831" s="2" t="str">
        <x:f>IF(T3831=TRUE,"Priority review",IF(R3831=TRUE,"High cost",IF(S3831=TRUE,"Low quality","Benchmark")))</x:f>
        <x:v>Benchmark</x:v>
      </x:c>
    </x:row>
    <x:row r="3832">
      <x:c r="A3832" s="2" t="str">
        <x:v>140113</x:v>
      </x:c>
      <x:c r="B3832" s="2" t="str">
        <x:v>OSF HEART OF MARY MEDICAL CENTER</x:v>
      </x:c>
      <x:c r="C3832" s="2" t="str">
        <x:v>URBANA</x:v>
      </x:c>
      <x:c r="D3832" s="2" t="str">
        <x:v>IL</x:v>
      </x:c>
      <x:c r="E3832" s="2" t="str">
        <x:v>Acute Care Hospitals</x:v>
      </x:c>
      <x:c r="F3832" s="2" t="str">
        <x:v>Voluntary non-profit</x:v>
      </x:c>
      <x:c r="G3832" s="2" t="str">
        <x:v>Small (&lt;100 beds)</x:v>
      </x:c>
      <x:c r="H3832" s="7" t="n">
        <x:v>3</x:v>
      </x:c>
      <x:c r="I3832" s="7" t="n">
        <x:v>3</x:v>
      </x:c>
      <x:c r="J3832" s="7" t="n">
        <x:v>0.98</x:v>
      </x:c>
      <x:c r="K3832" s="8" t="n">
        <x:v>97</x:v>
      </x:c>
      <x:c r="L3832" s="8" t="n">
        <x:v>3313</x:v>
      </x:c>
      <x:c r="M3832" s="9" t="n">
        <x:v>0.4010478283</x:v>
      </x:c>
      <x:c r="N3832" s="10" t="n">
        <x:v>35109.3296106248</x:v>
      </x:c>
      <x:c r="O3832" s="9" t="n">
        <x:v>-0.1764670143</x:v>
      </x:c>
      <x:c r="P3832" s="9" t="n">
        <x:v>0.223518851</x:v>
      </x:c>
      <x:c r="Q3832" s="9" t="n">
        <x:v>0.1687612208</x:v>
      </x:c>
      <x:c r="R3832" s="3" t="b">
        <x:v>0</x:v>
      </x:c>
      <x:c r="S3832" s="3" t="b">
        <x:v>0</x:v>
      </x:c>
      <x:c r="T3832" s="3" t="b">
        <x:v>0</x:v>
      </x:c>
      <x:c r="U3832" s="2" t="str">
        <x:f>IF(T3832=TRUE,"Priority review",IF(R3832=TRUE,"High cost",IF(S3832=TRUE,"Low quality","Benchmark")))</x:f>
        <x:v>Benchmark</x:v>
      </x:c>
    </x:row>
    <x:row r="3833">
      <x:c r="A3833" s="2" t="str">
        <x:v>050641</x:v>
      </x:c>
      <x:c r="B3833" s="2" t="str">
        <x:v>EAST LOS ANGELES DOCTORS HOSPITAL</x:v>
      </x:c>
      <x:c r="C3833" s="2" t="str">
        <x:v>LOS ANGELES</x:v>
      </x:c>
      <x:c r="D3833" s="2" t="str">
        <x:v>CA</x:v>
      </x:c>
      <x:c r="E3833" s="2" t="str">
        <x:v>Acute Care Hospitals</x:v>
      </x:c>
      <x:c r="F3833" s="2" t="str">
        <x:v>Proprietary</x:v>
      </x:c>
      <x:c r="G3833" s="2" t="str">
        <x:v>Medium (100-299 beds)</x:v>
      </x:c>
      <x:c r="H3833" s="7" t="n">
        <x:v>1</x:v>
      </x:c>
      <x:c r="I3833" s="7" t="n">
        <x:v>1</x:v>
      </x:c>
      <x:c r="J3833" s="7" t="n">
        <x:v>1.19</x:v>
      </x:c>
      <x:c r="K3833" s="8" t="n">
        <x:v>102</x:v>
      </x:c>
      <x:c r="L3833" s="8" t="n">
        <x:v>3130</x:v>
      </x:c>
      <x:c r="M3833" s="9" t="n">
        <x:v>0.2964213008</x:v>
      </x:c>
      <x:c r="N3833" s="10" t="n">
        <x:v>24506.571884984</x:v>
      </x:c>
      <x:c r="O3833" s="9" t="n">
        <x:v>-0.0905678715</x:v>
      </x:c>
      <x:c r="P3833" s="9" t="n">
        <x:v>0.2233088835</x:v>
      </x:c>
      <x:c r="Q3833" s="9" t="n">
        <x:v>0</x:v>
      </x:c>
      <x:c r="R3833" s="3" t="b">
        <x:v>0</x:v>
      </x:c>
      <x:c r="S3833" s="3" t="b">
        <x:v>1</x:v>
      </x:c>
      <x:c r="T3833" s="3" t="b">
        <x:v>0</x:v>
      </x:c>
      <x:c r="U3833" s="2" t="str">
        <x:f>IF(T3833=TRUE,"Priority review",IF(R3833=TRUE,"High cost",IF(S3833=TRUE,"Low quality","Benchmark")))</x:f>
        <x:v>Low quality</x:v>
      </x:c>
    </x:row>
    <x:row r="3834">
      <x:c r="A3834" s="2" t="str">
        <x:v>494032</x:v>
      </x:c>
      <x:c r="B3834" s="2" t="str">
        <x:v>THE PAVILION AT WILLIAMSBURG PLACE</x:v>
      </x:c>
      <x:c r="C3834" s="2" t="str">
        <x:v>WILLIAMSBURG</x:v>
      </x:c>
      <x:c r="D3834" s="2" t="str">
        <x:v>VA</x:v>
      </x:c>
      <x:c r="E3834" s="2" t="str">
        <x:v>Psychiatric</x:v>
      </x:c>
      <x:c r="F3834" s="2" t="str">
        <x:v>Proprietary</x:v>
      </x:c>
      <x:c r="G3834" s="2" t="str">
        <x:v>Small (&lt;100 beds)</x:v>
      </x:c>
      <x:c r="H3834" s="7"/>
      <x:c r="I3834" s="7"/>
      <x:c r="J3834" s="7"/>
      <x:c r="K3834" s="8" t="n">
        <x:v>70</x:v>
      </x:c>
      <x:c r="L3834" s="8" t="n">
        <x:v>2415</x:v>
      </x:c>
      <x:c r="M3834" s="9" t="n">
        <x:v>0.8724824356</x:v>
      </x:c>
      <x:c r="N3834" s="10" t="n">
        <x:v>8005.0571428571</x:v>
      </x:c>
      <x:c r="O3834" s="9" t="n">
        <x:v>0.0762866886</x:v>
      </x:c>
      <x:c r="P3834" s="9" t="n">
        <x:v>0.2233009709</x:v>
      </x:c>
      <x:c r="Q3834" s="9" t="n">
        <x:v>0</x:v>
      </x:c>
      <x:c r="R3834" s="3" t="b">
        <x:v>0</x:v>
      </x:c>
      <x:c r="S3834" s="3" t="b">
        <x:v>0</x:v>
      </x:c>
      <x:c r="T3834" s="3" t="b">
        <x:v>0</x:v>
      </x:c>
      <x:c r="U3834" s="2" t="str">
        <x:f>IF(T3834=TRUE,"Priority review",IF(R3834=TRUE,"High cost",IF(S3834=TRUE,"Low quality","Benchmark")))</x:f>
        <x:v>Benchmark</x:v>
      </x:c>
    </x:row>
    <x:row r="3835">
      <x:c r="A3835" s="2" t="str">
        <x:v>161318</x:v>
      </x:c>
      <x:c r="B3835" s="2" t="str">
        <x:v>VETERANS MEMORIAL HOSPITAL</x:v>
      </x:c>
      <x:c r="C3835" s="2" t="str">
        <x:v>WAUKON</x:v>
      </x:c>
      <x:c r="D3835" s="2" t="str">
        <x:v>IA</x:v>
      </x:c>
      <x:c r="E3835" s="2" t="str">
        <x:v>Critical Access Hospitals</x:v>
      </x:c>
      <x:c r="F3835" s="2" t="str">
        <x:v>Government</x:v>
      </x:c>
      <x:c r="G3835" s="2" t="str">
        <x:v>Small (&lt;100 beds)</x:v>
      </x:c>
      <x:c r="H3835" s="7"/>
      <x:c r="I3835" s="7" t="n">
        <x:v>5</x:v>
      </x:c>
      <x:c r="J3835" s="7"/>
      <x:c r="K3835" s="8" t="n">
        <x:v>25</x:v>
      </x:c>
      <x:c r="L3835" s="8" t="n">
        <x:v>358</x:v>
      </x:c>
      <x:c r="M3835" s="9" t="n">
        <x:v>0.1855342466</x:v>
      </x:c>
      <x:c r="N3835" s="10" t="n">
        <x:v>83991.6312849162</x:v>
      </x:c>
      <x:c r="O3835" s="9" t="n">
        <x:v>-0.0637398689</x:v>
      </x:c>
      <x:c r="P3835" s="9" t="n">
        <x:v>0.2230483271</x:v>
      </x:c>
      <x:c r="Q3835" s="9" t="n">
        <x:v>0.292936803</x:v>
      </x:c>
      <x:c r="R3835" s="3" t="b">
        <x:v>0</x:v>
      </x:c>
      <x:c r="S3835" s="3" t="b">
        <x:v>0</x:v>
      </x:c>
      <x:c r="T3835" s="3" t="b">
        <x:v>0</x:v>
      </x:c>
      <x:c r="U3835" s="2" t="str">
        <x:f>IF(T3835=TRUE,"Priority review",IF(R3835=TRUE,"High cost",IF(S3835=TRUE,"Low quality","Benchmark")))</x:f>
        <x:v>Benchmark</x:v>
      </x:c>
    </x:row>
    <x:row r="3836">
      <x:c r="A3836" s="2" t="str">
        <x:v>010150</x:v>
      </x:c>
      <x:c r="B3836" s="2" t="str">
        <x:v>THE HEALTH CARE AUTHORITY OF THE CITY OF GREENVILLE- LV STABLER HOSPITAL</x:v>
      </x:c>
      <x:c r="C3836" s="2" t="str">
        <x:v>GREENVILLE</x:v>
      </x:c>
      <x:c r="D3836" s="2" t="str">
        <x:v>AL</x:v>
      </x:c>
      <x:c r="E3836" s="2" t="str">
        <x:v>Acute Care Hospitals</x:v>
      </x:c>
      <x:c r="F3836" s="2" t="str">
        <x:v>Proprietary</x:v>
      </x:c>
      <x:c r="G3836" s="2" t="str">
        <x:v>Small (&lt;100 beds)</x:v>
      </x:c>
      <x:c r="H3836" s="7"/>
      <x:c r="I3836" s="7"/>
      <x:c r="J3836" s="7" t="n">
        <x:v>0.96</x:v>
      </x:c>
      <x:c r="K3836" s="8" t="n">
        <x:v>44</x:v>
      </x:c>
      <x:c r="L3836" s="8" t="n">
        <x:v>829</x:v>
      </x:c>
      <x:c r="M3836" s="9" t="n">
        <x:v>0.302533532</x:v>
      </x:c>
      <x:c r="N3836" s="10" t="n">
        <x:v>35077.943305187</x:v>
      </x:c>
      <x:c r="O3836" s="9" t="n">
        <x:v>-0.2279070398</x:v>
      </x:c>
      <x:c r="P3836" s="9" t="n">
        <x:v>0.2226211849</x:v>
      </x:c>
      <x:c r="Q3836" s="9" t="n">
        <x:v>0.697486535</x:v>
      </x:c>
      <x:c r="R3836" s="3" t="b">
        <x:v>0</x:v>
      </x:c>
      <x:c r="S3836" s="3" t="b">
        <x:v>0</x:v>
      </x:c>
      <x:c r="T3836" s="3" t="b">
        <x:v>0</x:v>
      </x:c>
      <x:c r="U3836" s="2" t="str">
        <x:f>IF(T3836=TRUE,"Priority review",IF(R3836=TRUE,"High cost",IF(S3836=TRUE,"Low quality","Benchmark")))</x:f>
        <x:v>Benchmark</x:v>
      </x:c>
    </x:row>
    <x:row r="3837">
      <x:c r="A3837" s="2" t="str">
        <x:v>290042</x:v>
      </x:c>
      <x:c r="B3837" s="2" t="str">
        <x:v>HARMON HOSPITAL</x:v>
      </x:c>
      <x:c r="C3837" s="2" t="str">
        <x:v>LAS VEGAS</x:v>
      </x:c>
      <x:c r="D3837" s="2" t="str">
        <x:v>NV</x:v>
      </x:c>
      <x:c r="E3837" s="2" t="str">
        <x:v>Acute Care Hospitals</x:v>
      </x:c>
      <x:c r="F3837" s="2" t="str">
        <x:v>Proprietary</x:v>
      </x:c>
      <x:c r="G3837" s="2" t="str">
        <x:v>Medium (100-299 beds)</x:v>
      </x:c>
      <x:c r="H3837" s="7"/>
      <x:c r="I3837" s="7"/>
      <x:c r="J3837" s="7"/>
      <x:c r="K3837" s="8" t="n">
        <x:v>108</x:v>
      </x:c>
      <x:c r="L3837" s="8" t="n">
        <x:v>1022</x:v>
      </x:c>
      <x:c r="M3837" s="9" t="n">
        <x:v>0.9068255414</x:v>
      </x:c>
      <x:c r="N3837" s="10" t="n">
        <x:v>24489.7015655577</x:v>
      </x:c>
      <x:c r="O3837" s="9" t="n">
        <x:v>0.3354839248</x:v>
      </x:c>
      <x:c r="P3837" s="9" t="n">
        <x:v>0.2224938875</x:v>
      </x:c>
      <x:c r="Q3837" s="9" t="n">
        <x:v>0.9616951915</x:v>
      </x:c>
      <x:c r="R3837" s="3" t="b">
        <x:v>0</x:v>
      </x:c>
      <x:c r="S3837" s="3" t="b">
        <x:v>0</x:v>
      </x:c>
      <x:c r="T3837" s="3" t="b">
        <x:v>0</x:v>
      </x:c>
      <x:c r="U3837" s="2" t="str">
        <x:f>IF(T3837=TRUE,"Priority review",IF(R3837=TRUE,"High cost",IF(S3837=TRUE,"Low quality","Benchmark")))</x:f>
        <x:v>Benchmark</x:v>
      </x:c>
    </x:row>
    <x:row r="3838">
      <x:c r="A3838" s="2" t="str">
        <x:v>010092</x:v>
      </x:c>
      <x:c r="B3838" s="2" t="str">
        <x:v>DCH REGIONAL MEDICAL CENTER</x:v>
      </x:c>
      <x:c r="C3838" s="2" t="str">
        <x:v>TUSCALOOSA</x:v>
      </x:c>
      <x:c r="D3838" s="2" t="str">
        <x:v>AL</x:v>
      </x:c>
      <x:c r="E3838" s="2" t="str">
        <x:v>Acute Care Hospitals</x:v>
      </x:c>
      <x:c r="F3838" s="2" t="str">
        <x:v>Government</x:v>
      </x:c>
      <x:c r="G3838" s="2" t="str">
        <x:v>Large (300+ beds)</x:v>
      </x:c>
      <x:c r="H3838" s="7" t="n">
        <x:v>2</x:v>
      </x:c>
      <x:c r="I3838" s="7" t="n">
        <x:v>3</x:v>
      </x:c>
      <x:c r="J3838" s="7" t="n">
        <x:v>0.96</x:v>
      </x:c>
      <x:c r="K3838" s="8" t="n">
        <x:v>472</x:v>
      </x:c>
      <x:c r="L3838" s="8" t="n">
        <x:v>23914</x:v>
      </x:c>
      <x:c r="M3838" s="9" t="n">
        <x:v>0.7233873861</x:v>
      </x:c>
      <x:c r="N3838" s="10" t="n">
        <x:v>27558.2636530902</x:v>
      </x:c>
      <x:c r="O3838" s="9" t="n">
        <x:v>-0.1153033136</x:v>
      </x:c>
      <x:c r="P3838" s="9" t="n">
        <x:v>0.2223974763</x:v>
      </x:c>
      <x:c r="Q3838" s="9" t="n">
        <x:v>0.0536277603</x:v>
      </x:c>
      <x:c r="R3838" s="3" t="b">
        <x:v>0</x:v>
      </x:c>
      <x:c r="S3838" s="3" t="b">
        <x:v>1</x:v>
      </x:c>
      <x:c r="T3838" s="3" t="b">
        <x:v>0</x:v>
      </x:c>
      <x:c r="U3838" s="2" t="str">
        <x:f>IF(T3838=TRUE,"Priority review",IF(R3838=TRUE,"High cost",IF(S3838=TRUE,"Low quality","Benchmark")))</x:f>
        <x:v>Low quality</x:v>
      </x:c>
    </x:row>
    <x:row r="3839">
      <x:c r="A3839" s="2" t="str">
        <x:v>451398</x:v>
      </x:c>
      <x:c r="B3839" s="2" t="str">
        <x:v>PAMPA REGIONAL MEDICAL CENTER</x:v>
      </x:c>
      <x:c r="C3839" s="2" t="str">
        <x:v>PAMPA</x:v>
      </x:c>
      <x:c r="D3839" s="2" t="str">
        <x:v>TX</x:v>
      </x:c>
      <x:c r="E3839" s="2" t="str">
        <x:v>Critical Access Hospitals</x:v>
      </x:c>
      <x:c r="F3839" s="2" t="str">
        <x:v>Voluntary non-profit</x:v>
      </x:c>
      <x:c r="G3839" s="2" t="str">
        <x:v>Small (&lt;100 beds)</x:v>
      </x:c>
      <x:c r="H3839" s="7"/>
      <x:c r="I3839" s="7"/>
      <x:c r="J3839" s="7"/>
      <x:c r="K3839" s="8" t="n">
        <x:v>25</x:v>
      </x:c>
      <x:c r="L3839" s="8" t="n">
        <x:v>575</x:v>
      </x:c>
      <x:c r="M3839" s="9" t="n">
        <x:v>0.3433879781</x:v>
      </x:c>
      <x:c r="N3839" s="10" t="n">
        <x:v>83942.48</x:v>
      </x:c>
      <x:c r="O3839" s="9" t="n">
        <x:v>0.0957018917</x:v>
      </x:c>
      <x:c r="P3839" s="9" t="n">
        <x:v>0.2223048327</x:v>
      </x:c>
      <x:c r="Q3839" s="9" t="n">
        <x:v>0.292936803</x:v>
      </x:c>
      <x:c r="R3839" s="3" t="b">
        <x:v>0</x:v>
      </x:c>
      <x:c r="S3839" s="3" t="b">
        <x:v>0</x:v>
      </x:c>
      <x:c r="T3839" s="3" t="b">
        <x:v>0</x:v>
      </x:c>
      <x:c r="U3839" s="2" t="str">
        <x:f>IF(T3839=TRUE,"Priority review",IF(R3839=TRUE,"High cost",IF(S3839=TRUE,"Low quality","Benchmark")))</x:f>
        <x:v>Benchmark</x:v>
      </x:c>
    </x:row>
    <x:row r="3840">
      <x:c r="A3840" s="2" t="str">
        <x:v>243302</x:v>
      </x:c>
      <x:c r="B3840" s="2" t="str">
        <x:v>CHILDREN'S HOSPITALS &amp; CLINICS OF MN</x:v>
      </x:c>
      <x:c r="C3840" s="2" t="str">
        <x:v>MINNEAPOLIS</x:v>
      </x:c>
      <x:c r="D3840" s="2" t="str">
        <x:v>MN</x:v>
      </x:c>
      <x:c r="E3840" s="2" t="str">
        <x:v>Childrens</x:v>
      </x:c>
      <x:c r="F3840" s="2" t="str">
        <x:v>Voluntary non-profit</x:v>
      </x:c>
      <x:c r="G3840" s="2" t="str">
        <x:v>Large (300+ beds)</x:v>
      </x:c>
      <x:c r="H3840" s="7"/>
      <x:c r="I3840" s="7"/>
      <x:c r="J3840" s="7"/>
      <x:c r="K3840" s="8" t="n">
        <x:v>443</x:v>
      </x:c>
      <x:c r="L3840" s="8" t="n">
        <x:v>14246</x:v>
      </x:c>
      <x:c r="M3840" s="9" t="n">
        <x:v>0.6338338351</x:v>
      </x:c>
      <x:c r="N3840" s="10" t="n">
        <x:v>77648.7088305489</x:v>
      </x:c>
      <x:c r="O3840" s="9" t="n">
        <x:v>-0.0496995162</x:v>
      </x:c>
      <x:c r="P3840" s="9" t="n">
        <x:v>0.2222222222</x:v>
      </x:c>
      <x:c r="Q3840" s="9" t="n">
        <x:v>0</x:v>
      </x:c>
      <x:c r="R3840" s="3" t="b">
        <x:v>0</x:v>
      </x:c>
      <x:c r="S3840" s="3" t="b">
        <x:v>0</x:v>
      </x:c>
      <x:c r="T3840" s="3" t="b">
        <x:v>0</x:v>
      </x:c>
      <x:c r="U3840" s="2" t="str">
        <x:f>IF(T3840=TRUE,"Priority review",IF(R3840=TRUE,"High cost",IF(S3840=TRUE,"Low quality","Benchmark")))</x:f>
        <x:v>Benchmark</x:v>
      </x:c>
    </x:row>
    <x:row r="3841">
      <x:c r="A3841" s="2" t="str">
        <x:v>370099</x:v>
      </x:c>
      <x:c r="B3841" s="2" t="str">
        <x:v>HILLCREST HOSPITAL CUSHING</x:v>
      </x:c>
      <x:c r="C3841" s="2" t="str">
        <x:v>CUSHING</x:v>
      </x:c>
      <x:c r="D3841" s="2" t="str">
        <x:v>OK</x:v>
      </x:c>
      <x:c r="E3841" s="2" t="str">
        <x:v>Acute Care Hospitals</x:v>
      </x:c>
      <x:c r="F3841" s="2" t="str">
        <x:v>Proprietary</x:v>
      </x:c>
      <x:c r="G3841" s="2" t="str">
        <x:v>Small (&lt;100 beds)</x:v>
      </x:c>
      <x:c r="H3841" s="7" t="n">
        <x:v>4</x:v>
      </x:c>
      <x:c r="I3841" s="7"/>
      <x:c r="J3841" s="7" t="n">
        <x:v>0.96</x:v>
      </x:c>
      <x:c r="K3841" s="8" t="n">
        <x:v>28</x:v>
      </x:c>
      <x:c r="L3841" s="8" t="n">
        <x:v>562</x:v>
      </x:c>
      <x:c r="M3841" s="9" t="n">
        <x:v>0.1958430913</x:v>
      </x:c>
      <x:c r="N3841" s="10" t="n">
        <x:v>34956.037366548</x:v>
      </x:c>
      <x:c r="O3841" s="9" t="n">
        <x:v>-0.2029331782</x:v>
      </x:c>
      <x:c r="P3841" s="9" t="n">
        <x:v>0.2217235189</x:v>
      </x:c>
      <x:c r="Q3841" s="9" t="n">
        <x:v>0.3913824057</x:v>
      </x:c>
      <x:c r="R3841" s="3" t="b">
        <x:v>0</x:v>
      </x:c>
      <x:c r="S3841" s="3" t="b">
        <x:v>0</x:v>
      </x:c>
      <x:c r="T3841" s="3" t="b">
        <x:v>0</x:v>
      </x:c>
      <x:c r="U3841" s="2" t="str">
        <x:f>IF(T3841=TRUE,"Priority review",IF(R3841=TRUE,"High cost",IF(S3841=TRUE,"Low quality","Benchmark")))</x:f>
        <x:v>Benchmark</x:v>
      </x:c>
    </x:row>
    <x:row r="3842">
      <x:c r="A3842" s="2" t="str">
        <x:v>440193</x:v>
      </x:c>
      <x:c r="B3842" s="2" t="str">
        <x:v>VANDERBILT WILSON COUNTY HOSPITAL</x:v>
      </x:c>
      <x:c r="C3842" s="2" t="str">
        <x:v>LEBANON</x:v>
      </x:c>
      <x:c r="D3842" s="2" t="str">
        <x:v>TN</x:v>
      </x:c>
      <x:c r="E3842" s="2" t="str">
        <x:v>Acute Care Hospitals</x:v>
      </x:c>
      <x:c r="F3842" s="2" t="str">
        <x:v>Voluntary non-profit</x:v>
      </x:c>
      <x:c r="G3842" s="2" t="str">
        <x:v>Medium (100-299 beds)</x:v>
      </x:c>
      <x:c r="H3842" s="7" t="n">
        <x:v>5</x:v>
      </x:c>
      <x:c r="I3842" s="7" t="n">
        <x:v>4</x:v>
      </x:c>
      <x:c r="J3842" s="7" t="n">
        <x:v>0.96</x:v>
      </x:c>
      <x:c r="K3842" s="8" t="n">
        <x:v>117</x:v>
      </x:c>
      <x:c r="L3842" s="8" t="n">
        <x:v>7558</x:v>
      </x:c>
      <x:c r="M3842" s="9" t="n">
        <x:v>0.6173628938</x:v>
      </x:c>
      <x:c r="N3842" s="10" t="n">
        <x:v>24482.3351415718</x:v>
      </x:c>
      <x:c r="O3842" s="9" t="n">
        <x:v>0.0411522081</x:v>
      </x:c>
      <x:c r="P3842" s="9" t="n">
        <x:v>0.2216788916</x:v>
      </x:c>
      <x:c r="Q3842" s="9" t="n">
        <x:v>0.8744906275</x:v>
      </x:c>
      <x:c r="R3842" s="3" t="b">
        <x:v>0</x:v>
      </x:c>
      <x:c r="S3842" s="3" t="b">
        <x:v>0</x:v>
      </x:c>
      <x:c r="T3842" s="3" t="b">
        <x:v>0</x:v>
      </x:c>
      <x:c r="U3842" s="2" t="str">
        <x:f>IF(T3842=TRUE,"Priority review",IF(R3842=TRUE,"High cost",IF(S3842=TRUE,"Low quality","Benchmark")))</x:f>
        <x:v>Benchmark</x:v>
      </x:c>
    </x:row>
    <x:row r="3843">
      <x:c r="A3843" s="2" t="str">
        <x:v>241350</x:v>
      </x:c>
      <x:c r="B3843" s="2" t="str">
        <x:v>ESSENTIA HEALTH MOOSE LAKE</x:v>
      </x:c>
      <x:c r="C3843" s="2" t="str">
        <x:v>MOOSE LAKE</x:v>
      </x:c>
      <x:c r="D3843" s="2" t="str">
        <x:v>MN</x:v>
      </x:c>
      <x:c r="E3843" s="2" t="str">
        <x:v>Critical Access Hospitals</x:v>
      </x:c>
      <x:c r="F3843" s="2" t="str">
        <x:v>Government</x:v>
      </x:c>
      <x:c r="G3843" s="2" t="str">
        <x:v>Small (&lt;100 beds)</x:v>
      </x:c>
      <x:c r="H3843" s="7"/>
      <x:c r="I3843" s="7"/>
      <x:c r="J3843" s="7"/>
      <x:c r="K3843" s="8" t="n">
        <x:v>25</x:v>
      </x:c>
      <x:c r="L3843" s="8" t="n">
        <x:v>521</x:v>
      </x:c>
      <x:c r="M3843" s="9" t="n">
        <x:v>0.3446575342</x:v>
      </x:c>
      <x:c r="N3843" s="10" t="n">
        <x:v>83934.1190019194</x:v>
      </x:c>
      <x:c r="O3843" s="9" t="n">
        <x:v>0.0527839153</x:v>
      </x:c>
      <x:c r="P3843" s="9" t="n">
        <x:v>0.2215613383</x:v>
      </x:c>
      <x:c r="Q3843" s="9" t="n">
        <x:v>0.292936803</x:v>
      </x:c>
      <x:c r="R3843" s="3" t="b">
        <x:v>0</x:v>
      </x:c>
      <x:c r="S3843" s="3" t="b">
        <x:v>0</x:v>
      </x:c>
      <x:c r="T3843" s="3" t="b">
        <x:v>0</x:v>
      </x:c>
      <x:c r="U3843" s="2" t="str">
        <x:f>IF(T3843=TRUE,"Priority review",IF(R3843=TRUE,"High cost",IF(S3843=TRUE,"Low quality","Benchmark")))</x:f>
        <x:v>Benchmark</x:v>
      </x:c>
    </x:row>
    <x:row r="3844">
      <x:c r="A3844" s="2" t="str">
        <x:v>160045</x:v>
      </x:c>
      <x:c r="B3844" s="2" t="str">
        <x:v>ST LUKES HOSPITAL</x:v>
      </x:c>
      <x:c r="C3844" s="2" t="str">
        <x:v>CEDAR RAPIDS</x:v>
      </x:c>
      <x:c r="D3844" s="2" t="str">
        <x:v>IA</x:v>
      </x:c>
      <x:c r="E3844" s="2" t="str">
        <x:v>Acute Care Hospitals</x:v>
      </x:c>
      <x:c r="F3844" s="2" t="str">
        <x:v>Voluntary non-profit</x:v>
      </x:c>
      <x:c r="G3844" s="2" t="str">
        <x:v>Medium (100-299 beds)</x:v>
      </x:c>
      <x:c r="H3844" s="7" t="n">
        <x:v>4</x:v>
      </x:c>
      <x:c r="I3844" s="7" t="n">
        <x:v>4</x:v>
      </x:c>
      <x:c r="J3844" s="7" t="n">
        <x:v>0.95</x:v>
      </x:c>
      <x:c r="K3844" s="8" t="n">
        <x:v>279</x:v>
      </x:c>
      <x:c r="L3844" s="8" t="n">
        <x:v>13324</x:v>
      </x:c>
      <x:c r="M3844" s="9" t="n">
        <x:v>0.5812327399</x:v>
      </x:c>
      <x:c r="N3844" s="10" t="n">
        <x:v>24462.2602821975</x:v>
      </x:c>
      <x:c r="O3844" s="9" t="n">
        <x:v>0.3244263137</x:v>
      </x:c>
      <x:c r="P3844" s="9" t="n">
        <x:v>0.2208638957</x:v>
      </x:c>
      <x:c r="Q3844" s="9" t="n">
        <x:v>0.6022819886</x:v>
      </x:c>
      <x:c r="R3844" s="3" t="b">
        <x:v>0</x:v>
      </x:c>
      <x:c r="S3844" s="3" t="b">
        <x:v>0</x:v>
      </x:c>
      <x:c r="T3844" s="3" t="b">
        <x:v>0</x:v>
      </x:c>
      <x:c r="U3844" s="2" t="str">
        <x:f>IF(T3844=TRUE,"Priority review",IF(R3844=TRUE,"High cost",IF(S3844=TRUE,"Low quality","Benchmark")))</x:f>
        <x:v>Benchmark</x:v>
      </x:c>
    </x:row>
    <x:row r="3845">
      <x:c r="A3845" s="2" t="str">
        <x:v>070011</x:v>
      </x:c>
      <x:c r="B3845" s="2" t="str">
        <x:v>CHARLOTTE HUNGERFORD HOSPITAL</x:v>
      </x:c>
      <x:c r="C3845" s="2" t="str">
        <x:v>TORRINGTON</x:v>
      </x:c>
      <x:c r="D3845" s="2" t="str">
        <x:v>CT</x:v>
      </x:c>
      <x:c r="E3845" s="2" t="str">
        <x:v>Acute Care Hospitals</x:v>
      </x:c>
      <x:c r="F3845" s="2" t="str">
        <x:v>Voluntary non-profit</x:v>
      </x:c>
      <x:c r="G3845" s="2" t="str">
        <x:v>Small (&lt;100 beds)</x:v>
      </x:c>
      <x:c r="H3845" s="7" t="n">
        <x:v>3</x:v>
      </x:c>
      <x:c r="I3845" s="7" t="n">
        <x:v>3</x:v>
      </x:c>
      <x:c r="J3845" s="7" t="n">
        <x:v>0.96</x:v>
      </x:c>
      <x:c r="K3845" s="8" t="n">
        <x:v>96</x:v>
      </x:c>
      <x:c r="L3845" s="8" t="n">
        <x:v>5843</x:v>
      </x:c>
      <x:c r="M3845" s="9" t="n">
        <x:v>0.7769169871</x:v>
      </x:c>
      <x:c r="N3845" s="10" t="n">
        <x:v>34888.6125278111</x:v>
      </x:c>
      <x:c r="O3845" s="9" t="n">
        <x:v>-0.0813813075</x:v>
      </x:c>
      <x:c r="P3845" s="9" t="n">
        <x:v>0.2208258528</x:v>
      </x:c>
      <x:c r="Q3845" s="9" t="n">
        <x:v>0.1687612208</x:v>
      </x:c>
      <x:c r="R3845" s="3" t="b">
        <x:v>0</x:v>
      </x:c>
      <x:c r="S3845" s="3" t="b">
        <x:v>0</x:v>
      </x:c>
      <x:c r="T3845" s="3" t="b">
        <x:v>0</x:v>
      </x:c>
      <x:c r="U3845" s="2" t="str">
        <x:f>IF(T3845=TRUE,"Priority review",IF(R3845=TRUE,"High cost",IF(S3845=TRUE,"Low quality","Benchmark")))</x:f>
        <x:v>Benchmark</x:v>
      </x:c>
    </x:row>
    <x:row r="3846">
      <x:c r="A3846" s="2" t="str">
        <x:v>440017</x:v>
      </x:c>
      <x:c r="B3846" s="2" t="str">
        <x:v>WELLMONT HOLSTON VALLEY MEDICAL CENTER</x:v>
      </x:c>
      <x:c r="C3846" s="2" t="str">
        <x:v>KINGSPORT</x:v>
      </x:c>
      <x:c r="D3846" s="2" t="str">
        <x:v>TN</x:v>
      </x:c>
      <x:c r="E3846" s="2" t="str">
        <x:v>Acute Care Hospitals</x:v>
      </x:c>
      <x:c r="F3846" s="2" t="str">
        <x:v>Voluntary non-profit</x:v>
      </x:c>
      <x:c r="G3846" s="2" t="str">
        <x:v>Large (300+ beds)</x:v>
      </x:c>
      <x:c r="H3846" s="7" t="n">
        <x:v>2</x:v>
      </x:c>
      <x:c r="I3846" s="7" t="n">
        <x:v>3</x:v>
      </x:c>
      <x:c r="J3846" s="7" t="n">
        <x:v>1.1</x:v>
      </x:c>
      <x:c r="K3846" s="8" t="n">
        <x:v>303</x:v>
      </x:c>
      <x:c r="L3846" s="8" t="n">
        <x:v>14222</x:v>
      </x:c>
      <x:c r="M3846" s="9" t="n">
        <x:v>0.6755911208</x:v>
      </x:c>
      <x:c r="N3846" s="10" t="n">
        <x:v>27541.8241456898</x:v>
      </x:c>
      <x:c r="O3846" s="9" t="n">
        <x:v>-0.1464929396</x:v>
      </x:c>
      <x:c r="P3846" s="9" t="n">
        <x:v>0.2208201893</x:v>
      </x:c>
      <x:c r="Q3846" s="9" t="n">
        <x:v>0.0536277603</x:v>
      </x:c>
      <x:c r="R3846" s="3" t="b">
        <x:v>0</x:v>
      </x:c>
      <x:c r="S3846" s="3" t="b">
        <x:v>1</x:v>
      </x:c>
      <x:c r="T3846" s="3" t="b">
        <x:v>0</x:v>
      </x:c>
      <x:c r="U3846" s="2" t="str">
        <x:f>IF(T3846=TRUE,"Priority review",IF(R3846=TRUE,"High cost",IF(S3846=TRUE,"Low quality","Benchmark")))</x:f>
        <x:v>Low quality</x:v>
      </x:c>
    </x:row>
    <x:row r="3847">
      <x:c r="A3847" s="2" t="str">
        <x:v>371302</x:v>
      </x:c>
      <x:c r="B3847" s="2" t="str">
        <x:v>MERCY HOSPITAL WATONGA, INC</x:v>
      </x:c>
      <x:c r="C3847" s="2" t="str">
        <x:v>WATONGA</x:v>
      </x:c>
      <x:c r="D3847" s="2" t="str">
        <x:v>OK</x:v>
      </x:c>
      <x:c r="E3847" s="2" t="str">
        <x:v>Critical Access Hospitals</x:v>
      </x:c>
      <x:c r="F3847" s="2" t="str">
        <x:v>Proprietary</x:v>
      </x:c>
      <x:c r="G3847" s="2" t="str">
        <x:v>Small (&lt;100 beds)</x:v>
      </x:c>
      <x:c r="H3847" s="7"/>
      <x:c r="I3847" s="7"/>
      <x:c r="J3847" s="7"/>
      <x:c r="K3847" s="8" t="n">
        <x:v>25</x:v>
      </x:c>
      <x:c r="L3847" s="8" t="n">
        <x:v>113</x:v>
      </x:c>
      <x:c r="M3847" s="9" t="n">
        <x:v>0.1716164384</x:v>
      </x:c>
      <x:c r="N3847" s="10" t="n">
        <x:v>83861.5663716814</x:v>
      </x:c>
      <x:c r="O3847" s="9" t="n">
        <x:v>0.2272168443</x:v>
      </x:c>
      <x:c r="P3847" s="9" t="n">
        <x:v>0.2208178439</x:v>
      </x:c>
      <x:c r="Q3847" s="9" t="n">
        <x:v>0.292936803</x:v>
      </x:c>
      <x:c r="R3847" s="3" t="b">
        <x:v>0</x:v>
      </x:c>
      <x:c r="S3847" s="3" t="b">
        <x:v>0</x:v>
      </x:c>
      <x:c r="T3847" s="3" t="b">
        <x:v>0</x:v>
      </x:c>
      <x:c r="U3847" s="2" t="str">
        <x:f>IF(T3847=TRUE,"Priority review",IF(R3847=TRUE,"High cost",IF(S3847=TRUE,"Low quality","Benchmark")))</x:f>
        <x:v>Benchmark</x:v>
      </x:c>
    </x:row>
    <x:row r="3848">
      <x:c r="A3848" s="2" t="str">
        <x:v>141342</x:v>
      </x:c>
      <x:c r="B3848" s="2" t="str">
        <x:v>DEACONESS ILLINOIS UNION COUNTY</x:v>
      </x:c>
      <x:c r="C3848" s="2" t="str">
        <x:v>ANNA</x:v>
      </x:c>
      <x:c r="D3848" s="2" t="str">
        <x:v>IL</x:v>
      </x:c>
      <x:c r="E3848" s="2" t="str">
        <x:v>Critical Access Hospitals</x:v>
      </x:c>
      <x:c r="F3848" s="2" t="str">
        <x:v>Proprietary</x:v>
      </x:c>
      <x:c r="G3848" s="2" t="str">
        <x:v>Small (&lt;100 beds)</x:v>
      </x:c>
      <x:c r="H3848" s="7"/>
      <x:c r="I3848" s="7"/>
      <x:c r="J3848" s="7"/>
      <x:c r="K3848" s="8" t="n">
        <x:v>25</x:v>
      </x:c>
      <x:c r="L3848" s="8" t="n">
        <x:v>334</x:v>
      </x:c>
      <x:c r="M3848" s="9" t="n">
        <x:v>0.2992349727</x:v>
      </x:c>
      <x:c r="N3848" s="10" t="n">
        <x:v>83717.3263473054</x:v>
      </x:c>
      <x:c r="O3848" s="9" t="n">
        <x:v>0.0289867806</x:v>
      </x:c>
      <x:c r="P3848" s="9" t="n">
        <x:v>0.2200743494</x:v>
      </x:c>
      <x:c r="Q3848" s="9" t="n">
        <x:v>0.292936803</x:v>
      </x:c>
      <x:c r="R3848" s="3" t="b">
        <x:v>0</x:v>
      </x:c>
      <x:c r="S3848" s="3" t="b">
        <x:v>0</x:v>
      </x:c>
      <x:c r="T3848" s="3" t="b">
        <x:v>0</x:v>
      </x:c>
      <x:c r="U3848" s="2" t="str">
        <x:f>IF(T3848=TRUE,"Priority review",IF(R3848=TRUE,"High cost",IF(S3848=TRUE,"Low quality","Benchmark")))</x:f>
        <x:v>Benchmark</x:v>
      </x:c>
    </x:row>
    <x:row r="3849">
      <x:c r="A3849" s="2" t="str">
        <x:v>154055</x:v>
      </x:c>
      <x:c r="B3849" s="2" t="str">
        <x:v>BRENTWOOD MEADOWS LLC</x:v>
      </x:c>
      <x:c r="C3849" s="2" t="str">
        <x:v>NEWBURGH</x:v>
      </x:c>
      <x:c r="D3849" s="2" t="str">
        <x:v>IN</x:v>
      </x:c>
      <x:c r="E3849" s="2" t="str">
        <x:v>Psychiatric</x:v>
      </x:c>
      <x:c r="F3849" s="2" t="str">
        <x:v>Voluntary non-profit</x:v>
      </x:c>
      <x:c r="G3849" s="2" t="str">
        <x:v>Small (&lt;100 beds)</x:v>
      </x:c>
      <x:c r="H3849" s="7"/>
      <x:c r="I3849" s="7"/>
      <x:c r="J3849" s="7"/>
      <x:c r="K3849" s="8" t="n">
        <x:v>48</x:v>
      </x:c>
      <x:c r="L3849" s="8" t="n">
        <x:v>2038</x:v>
      </x:c>
      <x:c r="M3849" s="9" t="n">
        <x:v>0.749829235</x:v>
      </x:c>
      <x:c r="N3849" s="10" t="n">
        <x:v>7997.2124631992</x:v>
      </x:c>
      <x:c r="O3849" s="9" t="n">
        <x:v>0.0116168826</x:v>
      </x:c>
      <x:c r="P3849" s="9" t="n">
        <x:v>0.2200647249</x:v>
      </x:c>
      <x:c r="Q3849" s="9" t="n">
        <x:v>0</x:v>
      </x:c>
      <x:c r="R3849" s="3" t="b">
        <x:v>0</x:v>
      </x:c>
      <x:c r="S3849" s="3" t="b">
        <x:v>0</x:v>
      </x:c>
      <x:c r="T3849" s="3" t="b">
        <x:v>0</x:v>
      </x:c>
      <x:c r="U3849" s="2" t="str">
        <x:f>IF(T3849=TRUE,"Priority review",IF(R3849=TRUE,"High cost",IF(S3849=TRUE,"Low quality","Benchmark")))</x:f>
        <x:v>Benchmark</x:v>
      </x:c>
    </x:row>
    <x:row r="3850">
      <x:c r="A3850" s="2" t="str">
        <x:v>050701</x:v>
      </x:c>
      <x:c r="B3850" s="2" t="str">
        <x:v>SOUTHWEST HEALTHCARE RANCHO SPRINGS HOSPITAL</x:v>
      </x:c>
      <x:c r="C3850" s="2" t="str">
        <x:v>MURRIETA</x:v>
      </x:c>
      <x:c r="D3850" s="2" t="str">
        <x:v>CA</x:v>
      </x:c>
      <x:c r="E3850" s="2" t="str">
        <x:v>Acute Care Hospitals</x:v>
      </x:c>
      <x:c r="F3850" s="2" t="str">
        <x:v>Proprietary</x:v>
      </x:c>
      <x:c r="G3850" s="2" t="str">
        <x:v>Medium (100-299 beds)</x:v>
      </x:c>
      <x:c r="H3850" s="7" t="n">
        <x:v>3</x:v>
      </x:c>
      <x:c r="I3850" s="7" t="n">
        <x:v>2</x:v>
      </x:c>
      <x:c r="J3850" s="7" t="n">
        <x:v>1.02</x:v>
      </x:c>
      <x:c r="K3850" s="8" t="n">
        <x:v>240</x:v>
      </x:c>
      <x:c r="L3850" s="8" t="n">
        <x:v>17899</x:v>
      </x:c>
      <x:c r="M3850" s="9" t="n">
        <x:v>0.8737818761</x:v>
      </x:c>
      <x:c r="N3850" s="10" t="n">
        <x:v>24390.4768422817</x:v>
      </x:c>
      <x:c r="O3850" s="9" t="n">
        <x:v>0.0523673956</x:v>
      </x:c>
      <x:c r="P3850" s="9" t="n">
        <x:v>0.2200488998</x:v>
      </x:c>
      <x:c r="Q3850" s="9" t="n">
        <x:v>0.3023634882</x:v>
      </x:c>
      <x:c r="R3850" s="3" t="b">
        <x:v>0</x:v>
      </x:c>
      <x:c r="S3850" s="3" t="b">
        <x:v>0</x:v>
      </x:c>
      <x:c r="T3850" s="3" t="b">
        <x:v>0</x:v>
      </x:c>
      <x:c r="U3850" s="2" t="str">
        <x:f>IF(T3850=TRUE,"Priority review",IF(R3850=TRUE,"High cost",IF(S3850=TRUE,"Low quality","Benchmark")))</x:f>
        <x:v>Benchmark</x:v>
      </x:c>
    </x:row>
    <x:row r="3851">
      <x:c r="A3851" s="2" t="str">
        <x:v>360259</x:v>
      </x:c>
      <x:c r="B3851" s="2" t="str">
        <x:v>BAY PARK COMMUNITY HOSPITAL</x:v>
      </x:c>
      <x:c r="C3851" s="2" t="str">
        <x:v>OREGON</x:v>
      </x:c>
      <x:c r="D3851" s="2" t="str">
        <x:v>OH</x:v>
      </x:c>
      <x:c r="E3851" s="2" t="str">
        <x:v>Acute Care Hospitals</x:v>
      </x:c>
      <x:c r="F3851" s="2" t="str">
        <x:v>Voluntary non-profit</x:v>
      </x:c>
      <x:c r="G3851" s="2" t="str">
        <x:v>Small (&lt;100 beds)</x:v>
      </x:c>
      <x:c r="H3851" s="7" t="n">
        <x:v>3</x:v>
      </x:c>
      <x:c r="I3851" s="7" t="n">
        <x:v>3</x:v>
      </x:c>
      <x:c r="J3851" s="7" t="n">
        <x:v>0.97</x:v>
      </x:c>
      <x:c r="K3851" s="8" t="n">
        <x:v>77</x:v>
      </x:c>
      <x:c r="L3851" s="8" t="n">
        <x:v>2573</x:v>
      </x:c>
      <x:c r="M3851" s="9" t="n">
        <x:v>0.3620395997</x:v>
      </x:c>
      <x:c r="N3851" s="10" t="n">
        <x:v>34659.5993004275</x:v>
      </x:c>
      <x:c r="O3851" s="9" t="n">
        <x:v>0.3027135687</x:v>
      </x:c>
      <x:c r="P3851" s="9" t="n">
        <x:v>0.2199281867</x:v>
      </x:c>
      <x:c r="Q3851" s="9" t="n">
        <x:v>0.1687612208</x:v>
      </x:c>
      <x:c r="R3851" s="3" t="b">
        <x:v>0</x:v>
      </x:c>
      <x:c r="S3851" s="3" t="b">
        <x:v>0</x:v>
      </x:c>
      <x:c r="T3851" s="3" t="b">
        <x:v>0</x:v>
      </x:c>
      <x:c r="U3851" s="2" t="str">
        <x:f>IF(T3851=TRUE,"Priority review",IF(R3851=TRUE,"High cost",IF(S3851=TRUE,"Low quality","Benchmark")))</x:f>
        <x:v>Benchmark</x:v>
      </x:c>
    </x:row>
    <x:row r="3852">
      <x:c r="A3852" s="2" t="str">
        <x:v>361311</x:v>
      </x:c>
      <x:c r="B3852" s="2" t="str">
        <x:v>HARRISON COMMUNITY HOSPITAL</x:v>
      </x:c>
      <x:c r="C3852" s="2" t="str">
        <x:v>CADIZ</x:v>
      </x:c>
      <x:c r="D3852" s="2" t="str">
        <x:v>OH</x:v>
      </x:c>
      <x:c r="E3852" s="2" t="str">
        <x:v>Critical Access Hospitals</x:v>
      </x:c>
      <x:c r="F3852" s="2" t="str">
        <x:v>Voluntary non-profit</x:v>
      </x:c>
      <x:c r="G3852" s="2" t="str">
        <x:v>Small (&lt;100 beds)</x:v>
      </x:c>
      <x:c r="H3852" s="7"/>
      <x:c r="I3852" s="7"/>
      <x:c r="J3852" s="7"/>
      <x:c r="K3852" s="8" t="n">
        <x:v>25</x:v>
      </x:c>
      <x:c r="L3852" s="8" t="n">
        <x:v>210</x:v>
      </x:c>
      <x:c r="M3852" s="9" t="n">
        <x:v>0.0931147541</x:v>
      </x:c>
      <x:c r="N3852" s="10" t="n">
        <x:v>83444.1238095238</x:v>
      </x:c>
      <x:c r="O3852" s="9" t="n">
        <x:v>0.0238642979</x:v>
      </x:c>
      <x:c r="P3852" s="9" t="n">
        <x:v>0.219330855</x:v>
      </x:c>
      <x:c r="Q3852" s="9" t="n">
        <x:v>0.292936803</x:v>
      </x:c>
      <x:c r="R3852" s="3" t="b">
        <x:v>0</x:v>
      </x:c>
      <x:c r="S3852" s="3" t="b">
        <x:v>0</x:v>
      </x:c>
      <x:c r="T3852" s="3" t="b">
        <x:v>0</x:v>
      </x:c>
      <x:c r="U3852" s="2" t="str">
        <x:f>IF(T3852=TRUE,"Priority review",IF(R3852=TRUE,"High cost",IF(S3852=TRUE,"Low quality","Benchmark")))</x:f>
        <x:v>Benchmark</x:v>
      </x:c>
    </x:row>
    <x:row r="3853">
      <x:c r="A3853" s="2" t="str">
        <x:v>450135</x:v>
      </x:c>
      <x:c r="B3853" s="2" t="str">
        <x:v>TEXAS HEALTH HARRIS METHODIST FORT WORTH</x:v>
      </x:c>
      <x:c r="C3853" s="2" t="str">
        <x:v>FORT WORTH</x:v>
      </x:c>
      <x:c r="D3853" s="2" t="str">
        <x:v>TX</x:v>
      </x:c>
      <x:c r="E3853" s="2" t="str">
        <x:v>Acute Care Hospitals</x:v>
      </x:c>
      <x:c r="F3853" s="2" t="str">
        <x:v>Voluntary non-profit</x:v>
      </x:c>
      <x:c r="G3853" s="2" t="str">
        <x:v>Large (300+ beds)</x:v>
      </x:c>
      <x:c r="H3853" s="7" t="n">
        <x:v>4</x:v>
      </x:c>
      <x:c r="I3853" s="7" t="n">
        <x:v>3</x:v>
      </x:c>
      <x:c r="J3853" s="7" t="n">
        <x:v>1.04</x:v>
      </x:c>
      <x:c r="K3853" s="8" t="n">
        <x:v>729</x:v>
      </x:c>
      <x:c r="L3853" s="8" t="n">
        <x:v>42270</x:v>
      </x:c>
      <x:c r="M3853" s="9" t="n">
        <x:v>0.9227851612</x:v>
      </x:c>
      <x:c r="N3853" s="10" t="n">
        <x:v>27430.76534185</x:v>
      </x:c>
      <x:c r="O3853" s="9" t="n">
        <x:v>0.0592720722</x:v>
      </x:c>
      <x:c r="P3853" s="9" t="n">
        <x:v>0.2192429022</x:v>
      </x:c>
      <x:c r="Q3853" s="9" t="n">
        <x:v>0.5899053628</x:v>
      </x:c>
      <x:c r="R3853" s="3" t="b">
        <x:v>0</x:v>
      </x:c>
      <x:c r="S3853" s="3" t="b">
        <x:v>0</x:v>
      </x:c>
      <x:c r="T3853" s="3" t="b">
        <x:v>0</x:v>
      </x:c>
      <x:c r="U3853" s="2" t="str">
        <x:f>IF(T3853=TRUE,"Priority review",IF(R3853=TRUE,"High cost",IF(S3853=TRUE,"Low quality","Benchmark")))</x:f>
        <x:v>Benchmark</x:v>
      </x:c>
    </x:row>
    <x:row r="3854">
      <x:c r="A3854" s="2" t="str">
        <x:v>140030</x:v>
      </x:c>
      <x:c r="B3854" s="2" t="str">
        <x:v>ADVOCATE SHERMAN HOSPITAL</x:v>
      </x:c>
      <x:c r="C3854" s="2" t="str">
        <x:v>ELGIN</x:v>
      </x:c>
      <x:c r="D3854" s="2" t="str">
        <x:v>IL</x:v>
      </x:c>
      <x:c r="E3854" s="2" t="str">
        <x:v>Acute Care Hospitals</x:v>
      </x:c>
      <x:c r="F3854" s="2" t="str">
        <x:v>Voluntary non-profit</x:v>
      </x:c>
      <x:c r="G3854" s="2" t="str">
        <x:v>Medium (100-299 beds)</x:v>
      </x:c>
      <x:c r="H3854" s="7" t="n">
        <x:v>4</x:v>
      </x:c>
      <x:c r="I3854" s="7" t="n">
        <x:v>4</x:v>
      </x:c>
      <x:c r="J3854" s="7" t="n">
        <x:v>0.99</x:v>
      </x:c>
      <x:c r="K3854" s="8" t="n">
        <x:v>255</x:v>
      </x:c>
      <x:c r="L3854" s="8" t="n">
        <x:v>15025</x:v>
      </x:c>
      <x:c r="M3854" s="9" t="n">
        <x:v>0.5909996786</x:v>
      </x:c>
      <x:c r="N3854" s="10" t="n">
        <x:v>24385.5810981697</x:v>
      </x:c>
      <x:c r="O3854" s="9" t="n">
        <x:v>0.0671649234</x:v>
      </x:c>
      <x:c r="P3854" s="9" t="n">
        <x:v>0.2192339038</x:v>
      </x:c>
      <x:c r="Q3854" s="9" t="n">
        <x:v>0.6022819886</x:v>
      </x:c>
      <x:c r="R3854" s="3" t="b">
        <x:v>0</x:v>
      </x:c>
      <x:c r="S3854" s="3" t="b">
        <x:v>0</x:v>
      </x:c>
      <x:c r="T3854" s="3" t="b">
        <x:v>0</x:v>
      </x:c>
      <x:c r="U3854" s="2" t="str">
        <x:f>IF(T3854=TRUE,"Priority review",IF(R3854=TRUE,"High cost",IF(S3854=TRUE,"Low quality","Benchmark")))</x:f>
        <x:v>Benchmark</x:v>
      </x:c>
    </x:row>
    <x:row r="3855">
      <x:c r="A3855" s="2" t="str">
        <x:v>440192</x:v>
      </x:c>
      <x:c r="B3855" s="2" t="str">
        <x:v>SAINT THOMAS HIGHLANDS HOSPITAL</x:v>
      </x:c>
      <x:c r="C3855" s="2" t="str">
        <x:v>SPARTA</x:v>
      </x:c>
      <x:c r="D3855" s="2" t="str">
        <x:v>TN</x:v>
      </x:c>
      <x:c r="E3855" s="2" t="str">
        <x:v>Acute Care Hospitals</x:v>
      </x:c>
      <x:c r="F3855" s="2" t="str">
        <x:v>Proprietary</x:v>
      </x:c>
      <x:c r="G3855" s="2" t="str">
        <x:v>Small (&lt;100 beds)</x:v>
      </x:c>
      <x:c r="H3855" s="7"/>
      <x:c r="I3855" s="7" t="n">
        <x:v>4</x:v>
      </x:c>
      <x:c r="J3855" s="7"/>
      <x:c r="K3855" s="8" t="n">
        <x:v>14</x:v>
      </x:c>
      <x:c r="L3855" s="8" t="n">
        <x:v>794</x:v>
      </x:c>
      <x:c r="M3855" s="9" t="n">
        <x:v>0.3344422701</x:v>
      </x:c>
      <x:c r="N3855" s="10" t="n">
        <x:v>34635.3904282116</x:v>
      </x:c>
      <x:c r="O3855" s="9" t="n">
        <x:v>0.0304491942</x:v>
      </x:c>
      <x:c r="P3855" s="9" t="n">
        <x:v>0.2190305206</x:v>
      </x:c>
      <x:c r="Q3855" s="9" t="n">
        <x:v>0.697486535</x:v>
      </x:c>
      <x:c r="R3855" s="3" t="b">
        <x:v>0</x:v>
      </x:c>
      <x:c r="S3855" s="3" t="b">
        <x:v>0</x:v>
      </x:c>
      <x:c r="T3855" s="3" t="b">
        <x:v>0</x:v>
      </x:c>
      <x:c r="U3855" s="2" t="str">
        <x:f>IF(T3855=TRUE,"Priority review",IF(R3855=TRUE,"High cost",IF(S3855=TRUE,"Low quality","Benchmark")))</x:f>
        <x:v>Benchmark</x:v>
      </x:c>
    </x:row>
    <x:row r="3856">
      <x:c r="A3856" s="2" t="str">
        <x:v>114037</x:v>
      </x:c>
      <x:c r="B3856" s="2" t="str">
        <x:v>RIDGEVIEW INSTITUTE MONROE</x:v>
      </x:c>
      <x:c r="C3856" s="2" t="str">
        <x:v>MONROE</x:v>
      </x:c>
      <x:c r="D3856" s="2" t="str">
        <x:v>GA</x:v>
      </x:c>
      <x:c r="E3856" s="2" t="str">
        <x:v>Psychiatric</x:v>
      </x:c>
      <x:c r="F3856" s="2" t="str">
        <x:v>Proprietary</x:v>
      </x:c>
      <x:c r="G3856" s="2" t="str">
        <x:v>Medium (100-299 beds)</x:v>
      </x:c>
      <x:c r="H3856" s="7"/>
      <x:c r="I3856" s="7"/>
      <x:c r="J3856" s="7"/>
      <x:c r="K3856" s="8" t="n">
        <x:v>111</x:v>
      </x:c>
      <x:c r="L3856" s="8" t="n">
        <x:v>3659</x:v>
      </x:c>
      <x:c r="M3856" s="9" t="n">
        <x:v>0.8621326244</x:v>
      </x:c>
      <x:c r="N3856" s="10" t="n">
        <x:v>6781.7879201968</x:v>
      </x:c>
      <x:c r="O3856" s="9" t="n">
        <x:v>0.1431288425</x:v>
      </x:c>
      <x:c r="P3856" s="9" t="n">
        <x:v>0.2189054726</x:v>
      </x:c>
      <x:c r="Q3856" s="9" t="n">
        <x:v>0</x:v>
      </x:c>
      <x:c r="R3856" s="3" t="b">
        <x:v>0</x:v>
      </x:c>
      <x:c r="S3856" s="3" t="b">
        <x:v>0</x:v>
      </x:c>
      <x:c r="T3856" s="3" t="b">
        <x:v>0</x:v>
      </x:c>
      <x:c r="U3856" s="2" t="str">
        <x:f>IF(T3856=TRUE,"Priority review",IF(R3856=TRUE,"High cost",IF(S3856=TRUE,"Low quality","Benchmark")))</x:f>
        <x:v>Benchmark</x:v>
      </x:c>
    </x:row>
    <x:row r="3857">
      <x:c r="A3857" s="2" t="str">
        <x:v>141315</x:v>
      </x:c>
      <x:c r="B3857" s="2" t="str">
        <x:v>ILLINI COMMUNITY HOSPITAL</x:v>
      </x:c>
      <x:c r="C3857" s="2" t="str">
        <x:v>PITTSFIELD</x:v>
      </x:c>
      <x:c r="D3857" s="2" t="str">
        <x:v>IL</x:v>
      </x:c>
      <x:c r="E3857" s="2" t="str">
        <x:v>Critical Access Hospitals</x:v>
      </x:c>
      <x:c r="F3857" s="2" t="str">
        <x:v>Voluntary non-profit</x:v>
      </x:c>
      <x:c r="G3857" s="2" t="str">
        <x:v>Small (&lt;100 beds)</x:v>
      </x:c>
      <x:c r="H3857" s="7" t="n">
        <x:v>3</x:v>
      </x:c>
      <x:c r="I3857" s="7"/>
      <x:c r="J3857" s="7"/>
      <x:c r="K3857" s="8" t="n">
        <x:v>25</x:v>
      </x:c>
      <x:c r="L3857" s="8" t="n">
        <x:v>383</x:v>
      </x:c>
      <x:c r="M3857" s="9" t="n">
        <x:v>0.1866666667</x:v>
      </x:c>
      <x:c r="N3857" s="10" t="n">
        <x:v>83386.7023498694</x:v>
      </x:c>
      <x:c r="O3857" s="9" t="n">
        <x:v>0.0380898227</x:v>
      </x:c>
      <x:c r="P3857" s="9" t="n">
        <x:v>0.2185873606</x:v>
      </x:c>
      <x:c r="Q3857" s="9" t="n">
        <x:v>0.0765799257</x:v>
      </x:c>
      <x:c r="R3857" s="3" t="b">
        <x:v>0</x:v>
      </x:c>
      <x:c r="S3857" s="3" t="b">
        <x:v>1</x:v>
      </x:c>
      <x:c r="T3857" s="3" t="b">
        <x:v>0</x:v>
      </x:c>
      <x:c r="U3857" s="2" t="str">
        <x:f>IF(T3857=TRUE,"Priority review",IF(R3857=TRUE,"High cost",IF(S3857=TRUE,"Low quality","Benchmark")))</x:f>
        <x:v>Low quality</x:v>
      </x:c>
    </x:row>
    <x:row r="3858">
      <x:c r="A3858" s="2" t="str">
        <x:v>420091</x:v>
      </x:c>
      <x:c r="B3858" s="2" t="str">
        <x:v>MUSC HEALTH FLORENCE MEDICAL CENTER</x:v>
      </x:c>
      <x:c r="C3858" s="2" t="str">
        <x:v>FLORENCE</x:v>
      </x:c>
      <x:c r="D3858" s="2" t="str">
        <x:v>SC</x:v>
      </x:c>
      <x:c r="E3858" s="2" t="str">
        <x:v>Acute Care Hospitals</x:v>
      </x:c>
      <x:c r="F3858" s="2" t="str">
        <x:v>Government</x:v>
      </x:c>
      <x:c r="G3858" s="2" t="str">
        <x:v>Medium (100-299 beds)</x:v>
      </x:c>
      <x:c r="H3858" s="7" t="n">
        <x:v>3</x:v>
      </x:c>
      <x:c r="I3858" s="7" t="n">
        <x:v>3</x:v>
      </x:c>
      <x:c r="J3858" s="7" t="n">
        <x:v>0.98</x:v>
      </x:c>
      <x:c r="K3858" s="8" t="n">
        <x:v>248</x:v>
      </x:c>
      <x:c r="L3858" s="8" t="n">
        <x:v>12902</x:v>
      </x:c>
      <x:c r="M3858" s="9" t="n">
        <x:v>0.6814405656</x:v>
      </x:c>
      <x:c r="N3858" s="10" t="n">
        <x:v>24348.0541001395</x:v>
      </x:c>
      <x:c r="O3858" s="9" t="n">
        <x:v>-0.048570179</x:v>
      </x:c>
      <x:c r="P3858" s="9" t="n">
        <x:v>0.2184189079</x:v>
      </x:c>
      <x:c r="Q3858" s="9" t="n">
        <x:v>0.3023634882</x:v>
      </x:c>
      <x:c r="R3858" s="3" t="b">
        <x:v>0</x:v>
      </x:c>
      <x:c r="S3858" s="3" t="b">
        <x:v>0</x:v>
      </x:c>
      <x:c r="T3858" s="3" t="b">
        <x:v>0</x:v>
      </x:c>
      <x:c r="U3858" s="2" t="str">
        <x:f>IF(T3858=TRUE,"Priority review",IF(R3858=TRUE,"High cost",IF(S3858=TRUE,"Low quality","Benchmark")))</x:f>
        <x:v>Benchmark</x:v>
      </x:c>
    </x:row>
    <x:row r="3859">
      <x:c r="A3859" s="2" t="str">
        <x:v>370236</x:v>
      </x:c>
      <x:c r="B3859" s="2" t="str">
        <x:v>INTEGRIS HEALTH EDMOND HOSPITAL</x:v>
      </x:c>
      <x:c r="C3859" s="2" t="str">
        <x:v>EDMOND</x:v>
      </x:c>
      <x:c r="D3859" s="2" t="str">
        <x:v>OK</x:v>
      </x:c>
      <x:c r="E3859" s="2" t="str">
        <x:v>Acute Care Hospitals</x:v>
      </x:c>
      <x:c r="F3859" s="2" t="str">
        <x:v>Voluntary non-profit</x:v>
      </x:c>
      <x:c r="G3859" s="2" t="str">
        <x:v>Small (&lt;100 beds)</x:v>
      </x:c>
      <x:c r="H3859" s="7" t="n">
        <x:v>2</x:v>
      </x:c>
      <x:c r="I3859" s="7" t="n">
        <x:v>3</x:v>
      </x:c>
      <x:c r="J3859" s="7" t="n">
        <x:v>1.02</x:v>
      </x:c>
      <x:c r="K3859" s="8" t="n">
        <x:v>77</x:v>
      </x:c>
      <x:c r="L3859" s="8" t="n">
        <x:v>4482</x:v>
      </x:c>
      <x:c r="M3859" s="9" t="n">
        <x:v>0.5713574097</x:v>
      </x:c>
      <x:c r="N3859" s="10" t="n">
        <x:v>34529.6414547077</x:v>
      </x:c>
      <x:c r="O3859" s="9" t="n">
        <x:v>0.0347254364</x:v>
      </x:c>
      <x:c r="P3859" s="9" t="n">
        <x:v>0.2181328546</x:v>
      </x:c>
      <x:c r="Q3859" s="9" t="n">
        <x:v>0.0350089767</x:v>
      </x:c>
      <x:c r="R3859" s="3" t="b">
        <x:v>0</x:v>
      </x:c>
      <x:c r="S3859" s="3" t="b">
        <x:v>1</x:v>
      </x:c>
      <x:c r="T3859" s="3" t="b">
        <x:v>0</x:v>
      </x:c>
      <x:c r="U3859" s="2" t="str">
        <x:f>IF(T3859=TRUE,"Priority review",IF(R3859=TRUE,"High cost",IF(S3859=TRUE,"Low quality","Benchmark")))</x:f>
        <x:v>Low quality</x:v>
      </x:c>
    </x:row>
    <x:row r="3860">
      <x:c r="A3860" s="2" t="str">
        <x:v>281329</x:v>
      </x:c>
      <x:c r="B3860" s="2" t="str">
        <x:v>AVERA ST ANTHONY'S HOSPITAL</x:v>
      </x:c>
      <x:c r="C3860" s="2" t="str">
        <x:v>O' NEILL</x:v>
      </x:c>
      <x:c r="D3860" s="2" t="str">
        <x:v>NE</x:v>
      </x:c>
      <x:c r="E3860" s="2" t="str">
        <x:v>Critical Access Hospitals</x:v>
      </x:c>
      <x:c r="F3860" s="2" t="str">
        <x:v>Voluntary non-profit</x:v>
      </x:c>
      <x:c r="G3860" s="2" t="str">
        <x:v>Small (&lt;100 beds)</x:v>
      </x:c>
      <x:c r="H3860" s="7" t="n">
        <x:v>4</x:v>
      </x:c>
      <x:c r="I3860" s="7" t="n">
        <x:v>5</x:v>
      </x:c>
      <x:c r="J3860" s="7"/>
      <x:c r="K3860" s="8" t="n">
        <x:v>25</x:v>
      </x:c>
      <x:c r="L3860" s="8" t="n">
        <x:v>544</x:v>
      </x:c>
      <x:c r="M3860" s="9" t="n">
        <x:v>0.3005911206</x:v>
      </x:c>
      <x:c r="N3860" s="10" t="n">
        <x:v>83281.0165441177</x:v>
      </x:c>
      <x:c r="O3860" s="9" t="n">
        <x:v>0.0308671963</x:v>
      </x:c>
      <x:c r="P3860" s="9" t="n">
        <x:v>0.2178438662</x:v>
      </x:c>
      <x:c r="Q3860" s="9" t="n">
        <x:v>0.1657992565</x:v>
      </x:c>
      <x:c r="R3860" s="3" t="b">
        <x:v>0</x:v>
      </x:c>
      <x:c r="S3860" s="3" t="b">
        <x:v>0</x:v>
      </x:c>
      <x:c r="T3860" s="3" t="b">
        <x:v>0</x:v>
      </x:c>
      <x:c r="U3860" s="2" t="str">
        <x:f>IF(T3860=TRUE,"Priority review",IF(R3860=TRUE,"High cost",IF(S3860=TRUE,"Low quality","Benchmark")))</x:f>
        <x:v>Benchmark</x:v>
      </x:c>
    </x:row>
    <x:row r="3861">
      <x:c r="A3861" s="2" t="str">
        <x:v>010085</x:v>
      </x:c>
      <x:c r="B3861" s="2" t="str">
        <x:v>DECATUR MORGAN HOSPITAL - DECATUR CAMPUS</x:v>
      </x:c>
      <x:c r="C3861" s="2" t="str">
        <x:v>DECATUR</x:v>
      </x:c>
      <x:c r="D3861" s="2" t="str">
        <x:v>AL</x:v>
      </x:c>
      <x:c r="E3861" s="2" t="str">
        <x:v>Acute Care Hospitals</x:v>
      </x:c>
      <x:c r="F3861" s="2" t="str">
        <x:v>Government</x:v>
      </x:c>
      <x:c r="G3861" s="2" t="str">
        <x:v>Large (300+ beds)</x:v>
      </x:c>
      <x:c r="H3861" s="7" t="n">
        <x:v>3</x:v>
      </x:c>
      <x:c r="I3861" s="7" t="n">
        <x:v>4</x:v>
      </x:c>
      <x:c r="J3861" s="7" t="n">
        <x:v>1.01</x:v>
      </x:c>
      <x:c r="K3861" s="8" t="n">
        <x:v>310</x:v>
      </x:c>
      <x:c r="L3861" s="8" t="n">
        <x:v>8402</x:v>
      </x:c>
      <x:c r="M3861" s="9" t="n">
        <x:v>0.345532479</x:v>
      </x:c>
      <x:c r="N3861" s="10" t="n">
        <x:v>27283.7745774816</x:v>
      </x:c>
      <x:c r="O3861" s="9" t="n">
        <x:v>-0.1451177362</x:v>
      </x:c>
      <x:c r="P3861" s="9" t="n">
        <x:v>0.2176656151</x:v>
      </x:c>
      <x:c r="Q3861" s="9" t="n">
        <x:v>0.2570977918</x:v>
      </x:c>
      <x:c r="R3861" s="3" t="b">
        <x:v>0</x:v>
      </x:c>
      <x:c r="S3861" s="3" t="b">
        <x:v>0</x:v>
      </x:c>
      <x:c r="T3861" s="3" t="b">
        <x:v>0</x:v>
      </x:c>
      <x:c r="U3861" s="2" t="str">
        <x:f>IF(T3861=TRUE,"Priority review",IF(R3861=TRUE,"High cost",IF(S3861=TRUE,"Low quality","Benchmark")))</x:f>
        <x:v>Benchmark</x:v>
      </x:c>
    </x:row>
    <x:row r="3862">
      <x:c r="A3862" s="2" t="str">
        <x:v>520045</x:v>
      </x:c>
      <x:c r="B3862" s="2" t="str">
        <x:v>THEDACARE REGIONAL MED CTR - NEENAH</x:v>
      </x:c>
      <x:c r="C3862" s="2" t="str">
        <x:v>NEENAH</x:v>
      </x:c>
      <x:c r="D3862" s="2" t="str">
        <x:v>WI</x:v>
      </x:c>
      <x:c r="E3862" s="2" t="str">
        <x:v>Acute Care Hospitals</x:v>
      </x:c>
      <x:c r="F3862" s="2" t="str">
        <x:v>Voluntary non-profit</x:v>
      </x:c>
      <x:c r="G3862" s="2" t="str">
        <x:v>Medium (100-299 beds)</x:v>
      </x:c>
      <x:c r="H3862" s="7" t="n">
        <x:v>4</x:v>
      </x:c>
      <x:c r="I3862" s="7" t="n">
        <x:v>4</x:v>
      </x:c>
      <x:c r="J3862" s="7" t="n">
        <x:v>0.95</x:v>
      </x:c>
      <x:c r="K3862" s="8" t="n">
        <x:v>166</x:v>
      </x:c>
      <x:c r="L3862" s="8" t="n">
        <x:v>11473</x:v>
      </x:c>
      <x:c r="M3862" s="9" t="n">
        <x:v>0.6447103482</x:v>
      </x:c>
      <x:c r="N3862" s="10" t="n">
        <x:v>24298.9090037479</x:v>
      </x:c>
      <x:c r="O3862" s="9" t="n">
        <x:v>0.1367540469</x:v>
      </x:c>
      <x:c r="P3862" s="9" t="n">
        <x:v>0.217603912</x:v>
      </x:c>
      <x:c r="Q3862" s="9" t="n">
        <x:v>0.6022819886</x:v>
      </x:c>
      <x:c r="R3862" s="3" t="b">
        <x:v>0</x:v>
      </x:c>
      <x:c r="S3862" s="3" t="b">
        <x:v>0</x:v>
      </x:c>
      <x:c r="T3862" s="3" t="b">
        <x:v>0</x:v>
      </x:c>
      <x:c r="U3862" s="2" t="str">
        <x:f>IF(T3862=TRUE,"Priority review",IF(R3862=TRUE,"High cost",IF(S3862=TRUE,"Low quality","Benchmark")))</x:f>
        <x:v>Benchmark</x:v>
      </x:c>
    </x:row>
    <x:row r="3863">
      <x:c r="A3863" s="2" t="str">
        <x:v>190114</x:v>
      </x:c>
      <x:c r="B3863" s="2" t="str">
        <x:v>CLAIBORNE MEMORIAL MEDICAL CENTER</x:v>
      </x:c>
      <x:c r="C3863" s="2" t="str">
        <x:v>HOMER</x:v>
      </x:c>
      <x:c r="D3863" s="2" t="str">
        <x:v>LA</x:v>
      </x:c>
      <x:c r="E3863" s="2" t="str">
        <x:v>Acute Care Hospitals</x:v>
      </x:c>
      <x:c r="F3863" s="2" t="str">
        <x:v>Government</x:v>
      </x:c>
      <x:c r="G3863" s="2" t="str">
        <x:v>Small (&lt;100 beds)</x:v>
      </x:c>
      <x:c r="H3863" s="7" t="n">
        <x:v>1</x:v>
      </x:c>
      <x:c r="I3863" s="7" t="n">
        <x:v>3</x:v>
      </x:c>
      <x:c r="J3863" s="7" t="n">
        <x:v>1.02</x:v>
      </x:c>
      <x:c r="K3863" s="8" t="n">
        <x:v>37</x:v>
      </x:c>
      <x:c r="L3863" s="8" t="n">
        <x:v>512</x:v>
      </x:c>
      <x:c r="M3863" s="9" t="n">
        <x:v>0.357373678</x:v>
      </x:c>
      <x:c r="N3863" s="10" t="n">
        <x:v>34528.005859375</x:v>
      </x:c>
      <x:c r="O3863" s="9" t="n">
        <x:v>-0.3649864149</x:v>
      </x:c>
      <x:c r="P3863" s="9" t="n">
        <x:v>0.2172351885</x:v>
      </x:c>
      <x:c r="Q3863" s="9" t="n">
        <x:v>0</x:v>
      </x:c>
      <x:c r="R3863" s="3" t="b">
        <x:v>0</x:v>
      </x:c>
      <x:c r="S3863" s="3" t="b">
        <x:v>1</x:v>
      </x:c>
      <x:c r="T3863" s="3" t="b">
        <x:v>0</x:v>
      </x:c>
      <x:c r="U3863" s="2" t="str">
        <x:f>IF(T3863=TRUE,"Priority review",IF(R3863=TRUE,"High cost",IF(S3863=TRUE,"Low quality","Benchmark")))</x:f>
        <x:v>Low quality</x:v>
      </x:c>
    </x:row>
    <x:row r="3864">
      <x:c r="A3864" s="2" t="str">
        <x:v>261329</x:v>
      </x:c>
      <x:c r="B3864" s="2" t="str">
        <x:v>COX MONETT HOSPITAL</x:v>
      </x:c>
      <x:c r="C3864" s="2" t="str">
        <x:v>MONETT</x:v>
      </x:c>
      <x:c r="D3864" s="2" t="str">
        <x:v>MO</x:v>
      </x:c>
      <x:c r="E3864" s="2" t="str">
        <x:v>Critical Access Hospitals</x:v>
      </x:c>
      <x:c r="F3864" s="2" t="str">
        <x:v>Voluntary non-profit</x:v>
      </x:c>
      <x:c r="G3864" s="2" t="str">
        <x:v>Small (&lt;100 beds)</x:v>
      </x:c>
      <x:c r="H3864" s="7" t="n">
        <x:v>3</x:v>
      </x:c>
      <x:c r="I3864" s="7" t="n">
        <x:v>5</x:v>
      </x:c>
      <x:c r="J3864" s="7"/>
      <x:c r="K3864" s="8" t="n">
        <x:v>25</x:v>
      </x:c>
      <x:c r="L3864" s="8" t="n">
        <x:v>781</x:v>
      </x:c>
      <x:c r="M3864" s="9" t="n">
        <x:v>0.4276502732</x:v>
      </x:c>
      <x:c r="N3864" s="10" t="n">
        <x:v>83253.3137003841</x:v>
      </x:c>
      <x:c r="O3864" s="9" t="n">
        <x:v>0.037815395</x:v>
      </x:c>
      <x:c r="P3864" s="9" t="n">
        <x:v>0.2171003717</x:v>
      </x:c>
      <x:c r="Q3864" s="9" t="n">
        <x:v>0.0765799257</x:v>
      </x:c>
      <x:c r="R3864" s="3" t="b">
        <x:v>0</x:v>
      </x:c>
      <x:c r="S3864" s="3" t="b">
        <x:v>1</x:v>
      </x:c>
      <x:c r="T3864" s="3" t="b">
        <x:v>0</x:v>
      </x:c>
      <x:c r="U3864" s="2" t="str">
        <x:f>IF(T3864=TRUE,"Priority review",IF(R3864=TRUE,"High cost",IF(S3864=TRUE,"Low quality","Benchmark")))</x:f>
        <x:v>Low quality</x:v>
      </x:c>
    </x:row>
    <x:row r="3865">
      <x:c r="A3865" s="2" t="str">
        <x:v>194081</x:v>
      </x:c>
      <x:c r="B3865" s="2" t="str">
        <x:v>OCEANS BEHAVIORAL HOSPITAL OF DERIDDER</x:v>
      </x:c>
      <x:c r="C3865" s="2" t="str">
        <x:v>DERIDDER</x:v>
      </x:c>
      <x:c r="D3865" s="2" t="str">
        <x:v>LA</x:v>
      </x:c>
      <x:c r="E3865" s="2" t="str">
        <x:v>Psychiatric</x:v>
      </x:c>
      <x:c r="F3865" s="2" t="str">
        <x:v>Proprietary</x:v>
      </x:c>
      <x:c r="G3865" s="2" t="str">
        <x:v>Small (&lt;100 beds)</x:v>
      </x:c>
      <x:c r="H3865" s="7"/>
      <x:c r="I3865" s="7"/>
      <x:c r="J3865" s="7"/>
      <x:c r="K3865" s="8" t="n">
        <x:v>20</x:v>
      </x:c>
      <x:c r="L3865" s="8" t="n">
        <x:v>647</x:v>
      </x:c>
      <x:c r="M3865" s="9" t="n">
        <x:v>0.8139344262</x:v>
      </x:c>
      <x:c r="N3865" s="10" t="n">
        <x:v>7967.6692426584</x:v>
      </x:c>
      <x:c r="O3865" s="9" t="n">
        <x:v>0.1723849063</x:v>
      </x:c>
      <x:c r="P3865" s="9" t="n">
        <x:v>0.216828479</x:v>
      </x:c>
      <x:c r="Q3865" s="9" t="n">
        <x:v>0</x:v>
      </x:c>
      <x:c r="R3865" s="3" t="b">
        <x:v>0</x:v>
      </x:c>
      <x:c r="S3865" s="3" t="b">
        <x:v>0</x:v>
      </x:c>
      <x:c r="T3865" s="3" t="b">
        <x:v>0</x:v>
      </x:c>
      <x:c r="U3865" s="2" t="str">
        <x:f>IF(T3865=TRUE,"Priority review",IF(R3865=TRUE,"High cost",IF(S3865=TRUE,"Low quality","Benchmark")))</x:f>
        <x:v>Benchmark</x:v>
      </x:c>
    </x:row>
    <x:row r="3866">
      <x:c r="A3866" s="2" t="str">
        <x:v>320085</x:v>
      </x:c>
      <x:c r="B3866" s="2" t="str">
        <x:v>MOUNTAIN VIEW REGIONAL MEDICAL CENTER</x:v>
      </x:c>
      <x:c r="C3866" s="2" t="str">
        <x:v>LAS CRUCES</x:v>
      </x:c>
      <x:c r="D3866" s="2" t="str">
        <x:v>NM</x:v>
      </x:c>
      <x:c r="E3866" s="2" t="str">
        <x:v>Acute Care Hospitals</x:v>
      </x:c>
      <x:c r="F3866" s="2" t="str">
        <x:v>Proprietary</x:v>
      </x:c>
      <x:c r="G3866" s="2" t="str">
        <x:v>Medium (100-299 beds)</x:v>
      </x:c>
      <x:c r="H3866" s="7" t="n">
        <x:v>2</x:v>
      </x:c>
      <x:c r="I3866" s="7" t="n">
        <x:v>2</x:v>
      </x:c>
      <x:c r="J3866" s="7" t="n">
        <x:v>1.04</x:v>
      </x:c>
      <x:c r="K3866" s="8" t="n">
        <x:v>153</x:v>
      </x:c>
      <x:c r="L3866" s="8" t="n">
        <x:v>8657</x:v>
      </x:c>
      <x:c r="M3866" s="9" t="n">
        <x:v>0.6731847077</x:v>
      </x:c>
      <x:c r="N3866" s="10" t="n">
        <x:v>24297.0852489315</x:v>
      </x:c>
      <x:c r="O3866" s="9" t="n">
        <x:v>0.3766965627</x:v>
      </x:c>
      <x:c r="P3866" s="9" t="n">
        <x:v>0.2167889161</x:v>
      </x:c>
      <x:c r="Q3866" s="9" t="n">
        <x:v>0.0782396088</x:v>
      </x:c>
      <x:c r="R3866" s="3" t="b">
        <x:v>0</x:v>
      </x:c>
      <x:c r="S3866" s="3" t="b">
        <x:v>1</x:v>
      </x:c>
      <x:c r="T3866" s="3" t="b">
        <x:v>0</x:v>
      </x:c>
      <x:c r="U3866" s="2" t="str">
        <x:f>IF(T3866=TRUE,"Priority review",IF(R3866=TRUE,"High cost",IF(S3866=TRUE,"Low quality","Benchmark")))</x:f>
        <x:v>Low quality</x:v>
      </x:c>
    </x:row>
    <x:row r="3867">
      <x:c r="A3867" s="2" t="str">
        <x:v>101305</x:v>
      </x:c>
      <x:c r="B3867" s="2" t="str">
        <x:v>GEORGE E WEEMS MEMORIAL HOSPITAL</x:v>
      </x:c>
      <x:c r="C3867" s="2" t="str">
        <x:v>APALACHICOLA</x:v>
      </x:c>
      <x:c r="D3867" s="2" t="str">
        <x:v>FL</x:v>
      </x:c>
      <x:c r="E3867" s="2" t="str">
        <x:v>Critical Access Hospitals</x:v>
      </x:c>
      <x:c r="F3867" s="2" t="str">
        <x:v>Government</x:v>
      </x:c>
      <x:c r="G3867" s="2" t="str">
        <x:v>Small (&lt;100 beds)</x:v>
      </x:c>
      <x:c r="H3867" s="7"/>
      <x:c r="I3867" s="7"/>
      <x:c r="J3867" s="7"/>
      <x:c r="K3867" s="8" t="n">
        <x:v>25</x:v>
      </x:c>
      <x:c r="L3867" s="8" t="n">
        <x:v>158</x:v>
      </x:c>
      <x:c r="M3867" s="9" t="n">
        <x:v>0.0629508197</x:v>
      </x:c>
      <x:c r="N3867" s="10" t="n">
        <x:v>83208.4936708861</x:v>
      </x:c>
      <x:c r="O3867" s="9" t="n">
        <x:v>-0.3646648138</x:v>
      </x:c>
      <x:c r="P3867" s="9" t="n">
        <x:v>0.2163568773</x:v>
      </x:c>
      <x:c r="Q3867" s="9" t="n">
        <x:v>0.292936803</x:v>
      </x:c>
      <x:c r="R3867" s="3" t="b">
        <x:v>0</x:v>
      </x:c>
      <x:c r="S3867" s="3" t="b">
        <x:v>0</x:v>
      </x:c>
      <x:c r="T3867" s="3" t="b">
        <x:v>0</x:v>
      </x:c>
      <x:c r="U3867" s="2" t="str">
        <x:f>IF(T3867=TRUE,"Priority review",IF(R3867=TRUE,"High cost",IF(S3867=TRUE,"Low quality","Benchmark")))</x:f>
        <x:v>Benchmark</x:v>
      </x:c>
    </x:row>
    <x:row r="3868">
      <x:c r="A3868" s="2" t="str">
        <x:v>010086</x:v>
      </x:c>
      <x:c r="B3868" s="2" t="str">
        <x:v>NORTH MISSISSIPPI HEALTH SERVICES - SOUTH MARION</x:v>
      </x:c>
      <x:c r="C3868" s="2" t="str">
        <x:v>WINFIELD</x:v>
      </x:c>
      <x:c r="D3868" s="2" t="str">
        <x:v>AL</x:v>
      </x:c>
      <x:c r="E3868" s="2" t="str">
        <x:v>Acute Care Hospitals</x:v>
      </x:c>
      <x:c r="F3868" s="2" t="str">
        <x:v>Proprietary</x:v>
      </x:c>
      <x:c r="G3868" s="2" t="str">
        <x:v>Small (&lt;100 beds)</x:v>
      </x:c>
      <x:c r="H3868" s="7" t="n">
        <x:v>4</x:v>
      </x:c>
      <x:c r="I3868" s="7"/>
      <x:c r="J3868" s="7" t="n">
        <x:v>1</x:v>
      </x:c>
      <x:c r="K3868" s="8" t="n">
        <x:v>38</x:v>
      </x:c>
      <x:c r="L3868" s="8" t="n">
        <x:v>829</x:v>
      </x:c>
      <x:c r="M3868" s="9" t="n">
        <x:v>0.304932413</x:v>
      </x:c>
      <x:c r="N3868" s="10" t="n">
        <x:v>34458.5922798552</x:v>
      </x:c>
      <x:c r="O3868" s="9" t="n">
        <x:v>-0.1145964942</x:v>
      </x:c>
      <x:c r="P3868" s="9" t="n">
        <x:v>0.2163375224</x:v>
      </x:c>
      <x:c r="Q3868" s="9" t="n">
        <x:v>0.3913824057</x:v>
      </x:c>
      <x:c r="R3868" s="3" t="b">
        <x:v>0</x:v>
      </x:c>
      <x:c r="S3868" s="3" t="b">
        <x:v>0</x:v>
      </x:c>
      <x:c r="T3868" s="3" t="b">
        <x:v>0</x:v>
      </x:c>
      <x:c r="U3868" s="2" t="str">
        <x:f>IF(T3868=TRUE,"Priority review",IF(R3868=TRUE,"High cost",IF(S3868=TRUE,"Low quality","Benchmark")))</x:f>
        <x:v>Benchmark</x:v>
      </x:c>
    </x:row>
    <x:row r="3869">
      <x:c r="A3869" s="2" t="str">
        <x:v>450137</x:v>
      </x:c>
      <x:c r="B3869" s="2" t="str">
        <x:v>BAYLOR SCOTT AND WHITE ALL SAINTS MEDICAL CENTER</x:v>
      </x:c>
      <x:c r="C3869" s="2" t="str">
        <x:v>FORT WORTH</x:v>
      </x:c>
      <x:c r="D3869" s="2" t="str">
        <x:v>TX</x:v>
      </x:c>
      <x:c r="E3869" s="2" t="str">
        <x:v>Acute Care Hospitals</x:v>
      </x:c>
      <x:c r="F3869" s="2" t="str">
        <x:v>Voluntary non-profit</x:v>
      </x:c>
      <x:c r="G3869" s="2" t="str">
        <x:v>Large (300+ beds)</x:v>
      </x:c>
      <x:c r="H3869" s="7" t="n">
        <x:v>4</x:v>
      </x:c>
      <x:c r="I3869" s="7" t="n">
        <x:v>3</x:v>
      </x:c>
      <x:c r="J3869" s="7" t="n">
        <x:v>1.02</x:v>
      </x:c>
      <x:c r="K3869" s="8" t="n">
        <x:v>448</x:v>
      </x:c>
      <x:c r="L3869" s="8" t="n">
        <x:v>20058</x:v>
      </x:c>
      <x:c r="M3869" s="9" t="n">
        <x:v>0.6915251756</x:v>
      </x:c>
      <x:c r="N3869" s="10" t="n">
        <x:v>27278.5347990827</x:v>
      </x:c>
      <x:c r="O3869" s="9" t="n">
        <x:v>0.0725068214</x:v>
      </x:c>
      <x:c r="P3869" s="9" t="n">
        <x:v>0.2160883281</x:v>
      </x:c>
      <x:c r="Q3869" s="9" t="n">
        <x:v>0.5899053628</x:v>
      </x:c>
      <x:c r="R3869" s="3" t="b">
        <x:v>0</x:v>
      </x:c>
      <x:c r="S3869" s="3" t="b">
        <x:v>0</x:v>
      </x:c>
      <x:c r="T3869" s="3" t="b">
        <x:v>0</x:v>
      </x:c>
      <x:c r="U3869" s="2" t="str">
        <x:f>IF(T3869=TRUE,"Priority review",IF(R3869=TRUE,"High cost",IF(S3869=TRUE,"Low quality","Benchmark")))</x:f>
        <x:v>Benchmark</x:v>
      </x:c>
    </x:row>
    <x:row r="3870">
      <x:c r="A3870" s="2" t="str">
        <x:v>110031</x:v>
      </x:c>
      <x:c r="B3870" s="2" t="str">
        <x:v>WELLSTAR SPALDING MEDICAL CENTER</x:v>
      </x:c>
      <x:c r="C3870" s="2" t="str">
        <x:v>GRIFFIN</x:v>
      </x:c>
      <x:c r="D3870" s="2" t="str">
        <x:v>GA</x:v>
      </x:c>
      <x:c r="E3870" s="2" t="str">
        <x:v>Acute Care Hospitals</x:v>
      </x:c>
      <x:c r="F3870" s="2" t="str">
        <x:v>Voluntary non-profit</x:v>
      </x:c>
      <x:c r="G3870" s="2" t="str">
        <x:v>Medium (100-299 beds)</x:v>
      </x:c>
      <x:c r="H3870" s="7" t="n">
        <x:v>2</x:v>
      </x:c>
      <x:c r="I3870" s="7" t="n">
        <x:v>2</x:v>
      </x:c>
      <x:c r="J3870" s="7" t="n">
        <x:v>1</x:v>
      </x:c>
      <x:c r="K3870" s="8" t="n">
        <x:v>170</x:v>
      </x:c>
      <x:c r="L3870" s="8" t="n">
        <x:v>8587</x:v>
      </x:c>
      <x:c r="M3870" s="9" t="n">
        <x:v>0.6392264303</x:v>
      </x:c>
      <x:c r="N3870" s="10" t="n">
        <x:v>24258.8474438104</x:v>
      </x:c>
      <x:c r="O3870" s="9" t="n">
        <x:v>-0.0410892944</x:v>
      </x:c>
      <x:c r="P3870" s="9" t="n">
        <x:v>0.2159739201</x:v>
      </x:c>
      <x:c r="Q3870" s="9" t="n">
        <x:v>0.0782396088</x:v>
      </x:c>
      <x:c r="R3870" s="3" t="b">
        <x:v>0</x:v>
      </x:c>
      <x:c r="S3870" s="3" t="b">
        <x:v>1</x:v>
      </x:c>
      <x:c r="T3870" s="3" t="b">
        <x:v>0</x:v>
      </x:c>
      <x:c r="U3870" s="2" t="str">
        <x:f>IF(T3870=TRUE,"Priority review",IF(R3870=TRUE,"High cost",IF(S3870=TRUE,"Low quality","Benchmark")))</x:f>
        <x:v>Low quality</x:v>
      </x:c>
    </x:row>
    <x:row r="3871">
      <x:c r="A3871" s="2" t="str">
        <x:v>171367</x:v>
      </x:c>
      <x:c r="B3871" s="2" t="str">
        <x:v>GOVE COUNTY MEDICAL CENTER</x:v>
      </x:c>
      <x:c r="C3871" s="2" t="str">
        <x:v>QUINTER</x:v>
      </x:c>
      <x:c r="D3871" s="2" t="str">
        <x:v>KS</x:v>
      </x:c>
      <x:c r="E3871" s="2" t="str">
        <x:v>Critical Access Hospitals</x:v>
      </x:c>
      <x:c r="F3871" s="2" t="str">
        <x:v>Voluntary non-profit</x:v>
      </x:c>
      <x:c r="G3871" s="2" t="str">
        <x:v>Small (&lt;100 beds)</x:v>
      </x:c>
      <x:c r="H3871" s="7"/>
      <x:c r="I3871" s="7"/>
      <x:c r="J3871" s="7"/>
      <x:c r="K3871" s="8" t="n">
        <x:v>21</x:v>
      </x:c>
      <x:c r="L3871" s="8" t="n">
        <x:v>249</x:v>
      </x:c>
      <x:c r="M3871" s="9" t="n">
        <x:v>0.196070778</x:v>
      </x:c>
      <x:c r="N3871" s="10" t="n">
        <x:v>82757.7309236948</x:v>
      </x:c>
      <x:c r="O3871" s="9" t="n">
        <x:v>-0.2075022896</x:v>
      </x:c>
      <x:c r="P3871" s="9" t="n">
        <x:v>0.2156133829</x:v>
      </x:c>
      <x:c r="Q3871" s="9" t="n">
        <x:v>0.292936803</x:v>
      </x:c>
      <x:c r="R3871" s="3" t="b">
        <x:v>0</x:v>
      </x:c>
      <x:c r="S3871" s="3" t="b">
        <x:v>0</x:v>
      </x:c>
      <x:c r="T3871" s="3" t="b">
        <x:v>0</x:v>
      </x:c>
      <x:c r="U3871" s="2" t="str">
        <x:f>IF(T3871=TRUE,"Priority review",IF(R3871=TRUE,"High cost",IF(S3871=TRUE,"Low quality","Benchmark")))</x:f>
        <x:v>Benchmark</x:v>
      </x:c>
    </x:row>
    <x:row r="3872">
      <x:c r="A3872" s="2" t="str">
        <x:v>390162</x:v>
      </x:c>
      <x:c r="B3872" s="2" t="str">
        <x:v>ST LUKE'S HOSPITAL - EASTON CAMPUS</x:v>
      </x:c>
      <x:c r="C3872" s="2" t="str">
        <x:v>EASTON</x:v>
      </x:c>
      <x:c r="D3872" s="2" t="str">
        <x:v>PA</x:v>
      </x:c>
      <x:c r="E3872" s="2" t="str">
        <x:v>Acute Care Hospitals</x:v>
      </x:c>
      <x:c r="F3872" s="2" t="str">
        <x:v>Voluntary non-profit</x:v>
      </x:c>
      <x:c r="G3872" s="2" t="str">
        <x:v>Small (&lt;100 beds)</x:v>
      </x:c>
      <x:c r="H3872" s="7" t="n">
        <x:v>4</x:v>
      </x:c>
      <x:c r="I3872" s="7" t="n">
        <x:v>4</x:v>
      </x:c>
      <x:c r="J3872" s="7" t="n">
        <x:v>0.95</x:v>
      </x:c>
      <x:c r="K3872" s="8" t="n">
        <x:v>29</x:v>
      </x:c>
      <x:c r="L3872" s="8" t="n">
        <x:v>1917</x:v>
      </x:c>
      <x:c r="M3872" s="9" t="n">
        <x:v>0.5826169107</x:v>
      </x:c>
      <x:c r="N3872" s="10" t="n">
        <x:v>34442.4214919145</x:v>
      </x:c>
      <x:c r="O3872" s="9" t="n">
        <x:v>0.2057738998</x:v>
      </x:c>
      <x:c r="P3872" s="9" t="n">
        <x:v>0.2154398564</x:v>
      </x:c>
      <x:c r="Q3872" s="9" t="n">
        <x:v>0.3913824057</x:v>
      </x:c>
      <x:c r="R3872" s="3" t="b">
        <x:v>0</x:v>
      </x:c>
      <x:c r="S3872" s="3" t="b">
        <x:v>0</x:v>
      </x:c>
      <x:c r="T3872" s="3" t="b">
        <x:v>0</x:v>
      </x:c>
      <x:c r="U3872" s="2" t="str">
        <x:f>IF(T3872=TRUE,"Priority review",IF(R3872=TRUE,"High cost",IF(S3872=TRUE,"Low quality","Benchmark")))</x:f>
        <x:v>Benchmark</x:v>
      </x:c>
    </x:row>
    <x:row r="3873">
      <x:c r="A3873" s="2" t="str">
        <x:v>110030</x:v>
      </x:c>
      <x:c r="B3873" s="2" t="str">
        <x:v>PIEDMONT CARTERSVILLE MEDICAL CENTER</x:v>
      </x:c>
      <x:c r="C3873" s="2" t="str">
        <x:v>CARTERSVILLE</x:v>
      </x:c>
      <x:c r="D3873" s="2" t="str">
        <x:v>GA</x:v>
      </x:c>
      <x:c r="E3873" s="2" t="str">
        <x:v>Acute Care Hospitals</x:v>
      </x:c>
      <x:c r="F3873" s="2" t="str">
        <x:v>Voluntary non-profit</x:v>
      </x:c>
      <x:c r="G3873" s="2" t="str">
        <x:v>Medium (100-299 beds)</x:v>
      </x:c>
      <x:c r="H3873" s="7" t="n">
        <x:v>3</x:v>
      </x:c>
      <x:c r="I3873" s="7" t="n">
        <x:v>3</x:v>
      </x:c>
      <x:c r="J3873" s="7" t="n">
        <x:v>0.94</x:v>
      </x:c>
      <x:c r="K3873" s="8" t="n">
        <x:v>141</x:v>
      </x:c>
      <x:c r="L3873" s="8" t="n">
        <x:v>8296</x:v>
      </x:c>
      <x:c r="M3873" s="9" t="n">
        <x:v>0.7394345672</x:v>
      </x:c>
      <x:c r="N3873" s="10" t="n">
        <x:v>24206.1081243973</x:v>
      </x:c>
      <x:c r="O3873" s="9" t="n">
        <x:v>0.123954344</x:v>
      </x:c>
      <x:c r="P3873" s="9" t="n">
        <x:v>0.2151589242</x:v>
      </x:c>
      <x:c r="Q3873" s="9" t="n">
        <x:v>0.3023634882</x:v>
      </x:c>
      <x:c r="R3873" s="3" t="b">
        <x:v>0</x:v>
      </x:c>
      <x:c r="S3873" s="3" t="b">
        <x:v>0</x:v>
      </x:c>
      <x:c r="T3873" s="3" t="b">
        <x:v>0</x:v>
      </x:c>
      <x:c r="U3873" s="2" t="str">
        <x:f>IF(T3873=TRUE,"Priority review",IF(R3873=TRUE,"High cost",IF(S3873=TRUE,"Low quality","Benchmark")))</x:f>
        <x:v>Benchmark</x:v>
      </x:c>
    </x:row>
    <x:row r="3874">
      <x:c r="A3874" s="2" t="str">
        <x:v>241378</x:v>
      </x:c>
      <x:c r="B3874" s="2" t="str">
        <x:v>NEW ULM MEDICAL CENTER</x:v>
      </x:c>
      <x:c r="C3874" s="2" t="str">
        <x:v>NEW ULM</x:v>
      </x:c>
      <x:c r="D3874" s="2" t="str">
        <x:v>MN</x:v>
      </x:c>
      <x:c r="E3874" s="2" t="str">
        <x:v>Critical Access Hospitals</x:v>
      </x:c>
      <x:c r="F3874" s="2" t="str">
        <x:v>Voluntary non-profit</x:v>
      </x:c>
      <x:c r="G3874" s="2" t="str">
        <x:v>Small (&lt;100 beds)</x:v>
      </x:c>
      <x:c r="H3874" s="7" t="n">
        <x:v>5</x:v>
      </x:c>
      <x:c r="I3874" s="7" t="n">
        <x:v>4</x:v>
      </x:c>
      <x:c r="J3874" s="7"/>
      <x:c r="K3874" s="8" t="n">
        <x:v>24</x:v>
      </x:c>
      <x:c r="L3874" s="8" t="n">
        <x:v>1564</x:v>
      </x:c>
      <x:c r="M3874" s="9" t="n">
        <x:v>0.510359745</x:v>
      </x:c>
      <x:c r="N3874" s="10" t="n">
        <x:v>82747.8810741688</x:v>
      </x:c>
      <x:c r="O3874" s="9" t="n">
        <x:v>0.069173867</x:v>
      </x:c>
      <x:c r="P3874" s="9" t="n">
        <x:v>0.2148698885</x:v>
      </x:c>
      <x:c r="Q3874" s="9" t="n">
        <x:v>0.2602230483</x:v>
      </x:c>
      <x:c r="R3874" s="3" t="b">
        <x:v>0</x:v>
      </x:c>
      <x:c r="S3874" s="3" t="b">
        <x:v>0</x:v>
      </x:c>
      <x:c r="T3874" s="3" t="b">
        <x:v>0</x:v>
      </x:c>
      <x:c r="U3874" s="2" t="str">
        <x:f>IF(T3874=TRUE,"Priority review",IF(R3874=TRUE,"High cost",IF(S3874=TRUE,"Low quality","Benchmark")))</x:f>
        <x:v>Benchmark</x:v>
      </x:c>
    </x:row>
    <x:row r="3875">
      <x:c r="A3875" s="2" t="str">
        <x:v>670309</x:v>
      </x:c>
      <x:c r="B3875" s="2" t="str">
        <x:v>TEXAS HEALTH HOSPITAL MANSFIELD</x:v>
      </x:c>
      <x:c r="C3875" s="2" t="str">
        <x:v>MANSFIELD</x:v>
      </x:c>
      <x:c r="D3875" s="2" t="str">
        <x:v>TX</x:v>
      </x:c>
      <x:c r="E3875" s="2" t="str">
        <x:v>Acute Care Hospitals</x:v>
      </x:c>
      <x:c r="F3875" s="2" t="str">
        <x:v>Voluntary non-profit</x:v>
      </x:c>
      <x:c r="G3875" s="2" t="str">
        <x:v>Small (&lt;100 beds)</x:v>
      </x:c>
      <x:c r="H3875" s="7" t="n">
        <x:v>5</x:v>
      </x:c>
      <x:c r="I3875" s="7" t="n">
        <x:v>4</x:v>
      </x:c>
      <x:c r="J3875" s="7" t="n">
        <x:v>1.14</x:v>
      </x:c>
      <x:c r="K3875" s="8" t="n">
        <x:v>59</x:v>
      </x:c>
      <x:c r="L3875" s="8" t="n">
        <x:v>2453</x:v>
      </x:c>
      <x:c r="M3875" s="9" t="n">
        <x:v>0.2496526813</x:v>
      </x:c>
      <x:c r="N3875" s="10" t="n">
        <x:v>34402.8055442316</x:v>
      </x:c>
      <x:c r="O3875" s="9" t="n">
        <x:v>-0.0172483395</x:v>
      </x:c>
      <x:c r="P3875" s="9" t="n">
        <x:v>0.2145421903</x:v>
      </x:c>
      <x:c r="Q3875" s="9" t="n">
        <x:v>0.6131059246</x:v>
      </x:c>
      <x:c r="R3875" s="3" t="b">
        <x:v>0</x:v>
      </x:c>
      <x:c r="S3875" s="3" t="b">
        <x:v>0</x:v>
      </x:c>
      <x:c r="T3875" s="3" t="b">
        <x:v>0</x:v>
      </x:c>
      <x:c r="U3875" s="2" t="str">
        <x:f>IF(T3875=TRUE,"Priority review",IF(R3875=TRUE,"High cost",IF(S3875=TRUE,"Low quality","Benchmark")))</x:f>
        <x:v>Benchmark</x:v>
      </x:c>
    </x:row>
    <x:row r="3876">
      <x:c r="A3876" s="2" t="str">
        <x:v>140185</x:v>
      </x:c>
      <x:c r="B3876" s="2" t="str">
        <x:v>MEMORIAL HOSPITAL</x:v>
      </x:c>
      <x:c r="C3876" s="2" t="str">
        <x:v>BELLEVILLE</x:v>
      </x:c>
      <x:c r="D3876" s="2" t="str">
        <x:v>IL</x:v>
      </x:c>
      <x:c r="E3876" s="2" t="str">
        <x:v>Acute Care Hospitals</x:v>
      </x:c>
      <x:c r="F3876" s="2" t="str">
        <x:v>Voluntary non-profit</x:v>
      </x:c>
      <x:c r="G3876" s="2" t="str">
        <x:v>Large (300+ beds)</x:v>
      </x:c>
      <x:c r="H3876" s="7" t="n">
        <x:v>5</x:v>
      </x:c>
      <x:c r="I3876" s="7" t="n">
        <x:v>4</x:v>
      </x:c>
      <x:c r="J3876" s="7" t="n">
        <x:v>0.96</x:v>
      </x:c>
      <x:c r="K3876" s="8" t="n">
        <x:v>300</x:v>
      </x:c>
      <x:c r="L3876" s="8" t="n">
        <x:v>18080</x:v>
      </x:c>
      <x:c r="M3876" s="9" t="n">
        <x:v>0.6771038251</x:v>
      </x:c>
      <x:c r="N3876" s="10" t="n">
        <x:v>27246.0469579646</x:v>
      </x:c>
      <x:c r="O3876" s="9" t="n">
        <x:v>-0.0558157197</x:v>
      </x:c>
      <x:c r="P3876" s="9" t="n">
        <x:v>0.214511041</x:v>
      </x:c>
      <x:c r="Q3876" s="9" t="n">
        <x:v>0.8722397476</x:v>
      </x:c>
      <x:c r="R3876" s="3" t="b">
        <x:v>0</x:v>
      </x:c>
      <x:c r="S3876" s="3" t="b">
        <x:v>0</x:v>
      </x:c>
      <x:c r="T3876" s="3" t="b">
        <x:v>0</x:v>
      </x:c>
      <x:c r="U3876" s="2" t="str">
        <x:f>IF(T3876=TRUE,"Priority review",IF(R3876=TRUE,"High cost",IF(S3876=TRUE,"Low quality","Benchmark")))</x:f>
        <x:v>Benchmark</x:v>
      </x:c>
    </x:row>
    <x:row r="3877">
      <x:c r="A3877" s="2" t="str">
        <x:v>210016</x:v>
      </x:c>
      <x:c r="B3877" s="2" t="str">
        <x:v>ADVENTIST HEALTHCARE WHITE OAK MEDICAL CENTER</x:v>
      </x:c>
      <x:c r="C3877" s="2" t="str">
        <x:v>SILVER SPRING</x:v>
      </x:c>
      <x:c r="D3877" s="2" t="str">
        <x:v>MD</x:v>
      </x:c>
      <x:c r="E3877" s="2" t="str">
        <x:v>Acute Care Hospitals</x:v>
      </x:c>
      <x:c r="F3877" s="2" t="str">
        <x:v>Voluntary non-profit</x:v>
      </x:c>
      <x:c r="G3877" s="2" t="str">
        <x:v>Medium (100-299 beds)</x:v>
      </x:c>
      <x:c r="H3877" s="7" t="n">
        <x:v>3</x:v>
      </x:c>
      <x:c r="I3877" s="7" t="n">
        <x:v>3</x:v>
      </x:c>
      <x:c r="J3877" s="7"/>
      <x:c r="K3877" s="8" t="n">
        <x:v>222</x:v>
      </x:c>
      <x:c r="L3877" s="8" t="n">
        <x:v>13477</x:v>
      </x:c>
      <x:c r="M3877" s="9" t="n">
        <x:v>0.7683380101</x:v>
      </x:c>
      <x:c r="N3877" s="10" t="n">
        <x:v>24205.180752393</x:v>
      </x:c>
      <x:c r="O3877" s="9" t="n">
        <x:v>-0.0326807906</x:v>
      </x:c>
      <x:c r="P3877" s="9" t="n">
        <x:v>0.2143439283</x:v>
      </x:c>
      <x:c r="Q3877" s="9" t="n">
        <x:v>0.3023634882</x:v>
      </x:c>
      <x:c r="R3877" s="3" t="b">
        <x:v>0</x:v>
      </x:c>
      <x:c r="S3877" s="3" t="b">
        <x:v>0</x:v>
      </x:c>
      <x:c r="T3877" s="3" t="b">
        <x:v>0</x:v>
      </x:c>
      <x:c r="U3877" s="2" t="str">
        <x:f>IF(T3877=TRUE,"Priority review",IF(R3877=TRUE,"High cost",IF(S3877=TRUE,"Low quality","Benchmark")))</x:f>
        <x:v>Benchmark</x:v>
      </x:c>
    </x:row>
    <x:row r="3878">
      <x:c r="A3878" s="2" t="str">
        <x:v>173300</x:v>
      </x:c>
      <x:c r="B3878" s="2" t="str">
        <x:v>CHILDREN'S MERCY SOUTH</x:v>
      </x:c>
      <x:c r="C3878" s="2" t="str">
        <x:v>OVERLAND PARK</x:v>
      </x:c>
      <x:c r="D3878" s="2" t="str">
        <x:v>KS</x:v>
      </x:c>
      <x:c r="E3878" s="2" t="str">
        <x:v>Childrens</x:v>
      </x:c>
      <x:c r="F3878" s="2" t="str">
        <x:v>Voluntary non-profit</x:v>
      </x:c>
      <x:c r="G3878" s="2" t="str">
        <x:v>Small (&lt;100 beds)</x:v>
      </x:c>
      <x:c r="H3878" s="7"/>
      <x:c r="I3878" s="7"/>
      <x:c r="J3878" s="7"/>
      <x:c r="K3878" s="8" t="n">
        <x:v>42</x:v>
      </x:c>
      <x:c r="L3878" s="8" t="n">
        <x:v>1541</x:v>
      </x:c>
      <x:c r="M3878" s="9" t="n">
        <x:v>0.2173515982</x:v>
      </x:c>
      <x:c r="N3878" s="10" t="n">
        <x:v>65743.0674886437</x:v>
      </x:c>
      <x:c r="O3878" s="9" t="n">
        <x:v>0.3434979964</x:v>
      </x:c>
      <x:c r="P3878" s="9" t="n">
        <x:v>0.2142857143</x:v>
      </x:c>
      <x:c r="Q3878" s="9" t="n">
        <x:v>0</x:v>
      </x:c>
      <x:c r="R3878" s="3" t="b">
        <x:v>0</x:v>
      </x:c>
      <x:c r="S3878" s="3" t="b">
        <x:v>0</x:v>
      </x:c>
      <x:c r="T3878" s="3" t="b">
        <x:v>0</x:v>
      </x:c>
      <x:c r="U3878" s="2" t="str">
        <x:f>IF(T3878=TRUE,"Priority review",IF(R3878=TRUE,"High cost",IF(S3878=TRUE,"Low quality","Benchmark")))</x:f>
        <x:v>Benchmark</x:v>
      </x:c>
    </x:row>
    <x:row r="3879">
      <x:c r="A3879" s="2" t="str">
        <x:v>281342</x:v>
      </x:c>
      <x:c r="B3879" s="2" t="str">
        <x:v>CHI HEALTH ST MARY'S</x:v>
      </x:c>
      <x:c r="C3879" s="2" t="str">
        <x:v>NEBRASKA CITY</x:v>
      </x:c>
      <x:c r="D3879" s="2" t="str">
        <x:v>NE</x:v>
      </x:c>
      <x:c r="E3879" s="2" t="str">
        <x:v>Critical Access Hospitals</x:v>
      </x:c>
      <x:c r="F3879" s="2" t="str">
        <x:v>Voluntary non-profit</x:v>
      </x:c>
      <x:c r="G3879" s="2" t="str">
        <x:v>Small (&lt;100 beds)</x:v>
      </x:c>
      <x:c r="H3879" s="7" t="n">
        <x:v>4</x:v>
      </x:c>
      <x:c r="I3879" s="7"/>
      <x:c r="J3879" s="7"/>
      <x:c r="K3879" s="8" t="n">
        <x:v>18</x:v>
      </x:c>
      <x:c r="L3879" s="8" t="n">
        <x:v>507</x:v>
      </x:c>
      <x:c r="M3879" s="9" t="n">
        <x:v>0.3736681887</x:v>
      </x:c>
      <x:c r="N3879" s="10" t="n">
        <x:v>82745.5029585799</x:v>
      </x:c>
      <x:c r="O3879" s="9" t="n">
        <x:v>0.1059810829</x:v>
      </x:c>
      <x:c r="P3879" s="9" t="n">
        <x:v>0.2141263941</x:v>
      </x:c>
      <x:c r="Q3879" s="9" t="n">
        <x:v>0.1657992565</x:v>
      </x:c>
      <x:c r="R3879" s="3" t="b">
        <x:v>0</x:v>
      </x:c>
      <x:c r="S3879" s="3" t="b">
        <x:v>0</x:v>
      </x:c>
      <x:c r="T3879" s="3" t="b">
        <x:v>0</x:v>
      </x:c>
      <x:c r="U3879" s="2" t="str">
        <x:f>IF(T3879=TRUE,"Priority review",IF(R3879=TRUE,"High cost",IF(S3879=TRUE,"Low quality","Benchmark")))</x:f>
        <x:v>Benchmark</x:v>
      </x:c>
    </x:row>
    <x:row r="3880">
      <x:c r="A3880" s="2" t="str">
        <x:v>364029</x:v>
      </x:c>
      <x:c r="B3880" s="2" t="str">
        <x:v>WINDSOR LAURELWOOD CENTER FOR BEHAVORIAL MEDICINE</x:v>
      </x:c>
      <x:c r="C3880" s="2" t="str">
        <x:v>WILLOUGHBY</x:v>
      </x:c>
      <x:c r="D3880" s="2" t="str">
        <x:v>OH</x:v>
      </x:c>
      <x:c r="E3880" s="2" t="str">
        <x:v>Psychiatric</x:v>
      </x:c>
      <x:c r="F3880" s="2" t="str">
        <x:v>Proprietary</x:v>
      </x:c>
      <x:c r="G3880" s="2" t="str">
        <x:v>Medium (100-299 beds)</x:v>
      </x:c>
      <x:c r="H3880" s="7"/>
      <x:c r="I3880" s="7"/>
      <x:c r="J3880" s="7"/>
      <x:c r="K3880" s="8" t="n">
        <x:v>159</x:v>
      </x:c>
      <x:c r="L3880" s="8" t="n">
        <x:v>4602</x:v>
      </x:c>
      <x:c r="M3880" s="9" t="n">
        <x:v>0.6170567412</x:v>
      </x:c>
      <x:c r="N3880" s="10" t="n">
        <x:v>6571.8207301173</x:v>
      </x:c>
      <x:c r="O3880" s="9" t="n">
        <x:v>0.2493104028</x:v>
      </x:c>
      <x:c r="P3880" s="9" t="n">
        <x:v>0.2139303483</x:v>
      </x:c>
      <x:c r="Q3880" s="9" t="n">
        <x:v>0</x:v>
      </x:c>
      <x:c r="R3880" s="3" t="b">
        <x:v>0</x:v>
      </x:c>
      <x:c r="S3880" s="3" t="b">
        <x:v>0</x:v>
      </x:c>
      <x:c r="T3880" s="3" t="b">
        <x:v>0</x:v>
      </x:c>
      <x:c r="U3880" s="2" t="str">
        <x:f>IF(T3880=TRUE,"Priority review",IF(R3880=TRUE,"High cost",IF(S3880=TRUE,"Low quality","Benchmark")))</x:f>
        <x:v>Benchmark</x:v>
      </x:c>
    </x:row>
    <x:row r="3881">
      <x:c r="A3881" s="2" t="str">
        <x:v>050526</x:v>
      </x:c>
      <x:c r="B3881" s="2" t="str">
        <x:v>HUNTINGTON BEACH HOSPITAL</x:v>
      </x:c>
      <x:c r="C3881" s="2" t="str">
        <x:v>HUNTINGTON BEACH</x:v>
      </x:c>
      <x:c r="D3881" s="2" t="str">
        <x:v>CA</x:v>
      </x:c>
      <x:c r="E3881" s="2" t="str">
        <x:v>Acute Care Hospitals</x:v>
      </x:c>
      <x:c r="F3881" s="2" t="str">
        <x:v>Proprietary</x:v>
      </x:c>
      <x:c r="G3881" s="2" t="str">
        <x:v>Small (&lt;100 beds)</x:v>
      </x:c>
      <x:c r="H3881" s="7" t="n">
        <x:v>1</x:v>
      </x:c>
      <x:c r="I3881" s="7" t="n">
        <x:v>1</x:v>
      </x:c>
      <x:c r="J3881" s="7" t="n">
        <x:v>1.25</x:v>
      </x:c>
      <x:c r="K3881" s="8" t="n">
        <x:v>82</x:v>
      </x:c>
      <x:c r="L3881" s="8" t="n">
        <x:v>2211</x:v>
      </x:c>
      <x:c r="M3881" s="9" t="n">
        <x:v>0.3779155005</x:v>
      </x:c>
      <x:c r="N3881" s="10" t="n">
        <x:v>34324.2985074627</x:v>
      </x:c>
      <x:c r="O3881" s="9" t="n">
        <x:v>-0.1747439011</x:v>
      </x:c>
      <x:c r="P3881" s="9" t="n">
        <x:v>0.2136445242</x:v>
      </x:c>
      <x:c r="Q3881" s="9" t="n">
        <x:v>0</x:v>
      </x:c>
      <x:c r="R3881" s="3" t="b">
        <x:v>0</x:v>
      </x:c>
      <x:c r="S3881" s="3" t="b">
        <x:v>1</x:v>
      </x:c>
      <x:c r="T3881" s="3" t="b">
        <x:v>0</x:v>
      </x:c>
      <x:c r="U3881" s="2" t="str">
        <x:f>IF(T3881=TRUE,"Priority review",IF(R3881=TRUE,"High cost",IF(S3881=TRUE,"Low quality","Benchmark")))</x:f>
        <x:v>Low quality</x:v>
      </x:c>
    </x:row>
    <x:row r="3882">
      <x:c r="A3882" s="2" t="str">
        <x:v>194087</x:v>
      </x:c>
      <x:c r="B3882" s="2" t="str">
        <x:v>FREEDOM BEHAVIORAL HOSPITAL OF MONROE</x:v>
      </x:c>
      <x:c r="C3882" s="2" t="str">
        <x:v>MONROE</x:v>
      </x:c>
      <x:c r="D3882" s="2" t="str">
        <x:v>LA</x:v>
      </x:c>
      <x:c r="E3882" s="2" t="str">
        <x:v>Psychiatric</x:v>
      </x:c>
      <x:c r="F3882" s="2" t="str">
        <x:v>Proprietary</x:v>
      </x:c>
      <x:c r="G3882" s="2" t="str">
        <x:v>Small (&lt;100 beds)</x:v>
      </x:c>
      <x:c r="H3882" s="7"/>
      <x:c r="I3882" s="7"/>
      <x:c r="J3882" s="7"/>
      <x:c r="K3882" s="8" t="n">
        <x:v>42</x:v>
      </x:c>
      <x:c r="L3882" s="8" t="n">
        <x:v>981</x:v>
      </x:c>
      <x:c r="M3882" s="9" t="n">
        <x:v>0.5315508717</x:v>
      </x:c>
      <x:c r="N3882" s="10" t="n">
        <x:v>7932.1661569827</x:v>
      </x:c>
      <x:c r="O3882" s="9" t="n">
        <x:v>0.1098946452</x:v>
      </x:c>
      <x:c r="P3882" s="9" t="n">
        <x:v>0.213592233</x:v>
      </x:c>
      <x:c r="Q3882" s="9" t="n">
        <x:v>0</x:v>
      </x:c>
      <x:c r="R3882" s="3" t="b">
        <x:v>0</x:v>
      </x:c>
      <x:c r="S3882" s="3" t="b">
        <x:v>0</x:v>
      </x:c>
      <x:c r="T3882" s="3" t="b">
        <x:v>0</x:v>
      </x:c>
      <x:c r="U3882" s="2" t="str">
        <x:f>IF(T3882=TRUE,"Priority review",IF(R3882=TRUE,"High cost",IF(S3882=TRUE,"Low quality","Benchmark")))</x:f>
        <x:v>Benchmark</x:v>
      </x:c>
    </x:row>
    <x:row r="3883">
      <x:c r="A3883" s="2" t="str">
        <x:v>670043</x:v>
      </x:c>
      <x:c r="B3883" s="2" t="str">
        <x:v>ASCENSION SETON CEDAR PARK</x:v>
      </x:c>
      <x:c r="C3883" s="2" t="str">
        <x:v>CEDAR PARK</x:v>
      </x:c>
      <x:c r="D3883" s="2" t="str">
        <x:v>TX</x:v>
      </x:c>
      <x:c r="E3883" s="2" t="str">
        <x:v>Acute Care Hospitals</x:v>
      </x:c>
      <x:c r="F3883" s="2" t="str">
        <x:v>Voluntary non-profit</x:v>
      </x:c>
      <x:c r="G3883" s="2" t="str">
        <x:v>Medium (100-299 beds)</x:v>
      </x:c>
      <x:c r="H3883" s="7" t="n">
        <x:v>3</x:v>
      </x:c>
      <x:c r="I3883" s="7" t="n">
        <x:v>2</x:v>
      </x:c>
      <x:c r="J3883" s="7" t="n">
        <x:v>0.96</x:v>
      </x:c>
      <x:c r="K3883" s="8" t="n">
        <x:v>110</x:v>
      </x:c>
      <x:c r="L3883" s="8" t="n">
        <x:v>6918</x:v>
      </x:c>
      <x:c r="M3883" s="9" t="n">
        <x:v>0.6519622454</x:v>
      </x:c>
      <x:c r="N3883" s="10" t="n">
        <x:v>24174.8548713501</x:v>
      </x:c>
      <x:c r="O3883" s="9" t="n">
        <x:v>0.1538472969</x:v>
      </x:c>
      <x:c r="P3883" s="9" t="n">
        <x:v>0.2135289324</x:v>
      </x:c>
      <x:c r="Q3883" s="9" t="n">
        <x:v>0.3023634882</x:v>
      </x:c>
      <x:c r="R3883" s="3" t="b">
        <x:v>0</x:v>
      </x:c>
      <x:c r="S3883" s="3" t="b">
        <x:v>0</x:v>
      </x:c>
      <x:c r="T3883" s="3" t="b">
        <x:v>0</x:v>
      </x:c>
      <x:c r="U3883" s="2" t="str">
        <x:f>IF(T3883=TRUE,"Priority review",IF(R3883=TRUE,"High cost",IF(S3883=TRUE,"Low quality","Benchmark")))</x:f>
        <x:v>Benchmark</x:v>
      </x:c>
    </x:row>
    <x:row r="3884">
      <x:c r="A3884" s="2" t="str">
        <x:v>031319</x:v>
      </x:c>
      <x:c r="B3884" s="2" t="str">
        <x:v>MT. GRAHAM REGIONAL MEDICAL CENTER</x:v>
      </x:c>
      <x:c r="C3884" s="2" t="str">
        <x:v>SAFFORD</x:v>
      </x:c>
      <x:c r="D3884" s="2" t="str">
        <x:v>AZ</x:v>
      </x:c>
      <x:c r="E3884" s="2" t="str">
        <x:v>Critical Access Hospitals</x:v>
      </x:c>
      <x:c r="F3884" s="2" t="str">
        <x:v>Government</x:v>
      </x:c>
      <x:c r="G3884" s="2" t="str">
        <x:v>Small (&lt;100 beds)</x:v>
      </x:c>
      <x:c r="H3884" s="7"/>
      <x:c r="I3884" s="7" t="n">
        <x:v>4</x:v>
      </x:c>
      <x:c r="J3884" s="7"/>
      <x:c r="K3884" s="8" t="n">
        <x:v>25</x:v>
      </x:c>
      <x:c r="L3884" s="8" t="n">
        <x:v>1174</x:v>
      </x:c>
      <x:c r="M3884" s="9" t="n">
        <x:v>0.4273224044</x:v>
      </x:c>
      <x:c r="N3884" s="10" t="n">
        <x:v>82740.5068143101</x:v>
      </x:c>
      <x:c r="O3884" s="9" t="n">
        <x:v>0.1251876982</x:v>
      </x:c>
      <x:c r="P3884" s="9" t="n">
        <x:v>0.2133828996</x:v>
      </x:c>
      <x:c r="Q3884" s="9" t="n">
        <x:v>0.292936803</x:v>
      </x:c>
      <x:c r="R3884" s="3" t="b">
        <x:v>0</x:v>
      </x:c>
      <x:c r="S3884" s="3" t="b">
        <x:v>0</x:v>
      </x:c>
      <x:c r="T3884" s="3" t="b">
        <x:v>0</x:v>
      </x:c>
      <x:c r="U3884" s="2" t="str">
        <x:f>IF(T3884=TRUE,"Priority review",IF(R3884=TRUE,"High cost",IF(S3884=TRUE,"Low quality","Benchmark")))</x:f>
        <x:v>Benchmark</x:v>
      </x:c>
    </x:row>
    <x:row r="3885">
      <x:c r="A3885" s="2" t="str">
        <x:v>040020</x:v>
      </x:c>
      <x:c r="B3885" s="2" t="str">
        <x:v>ST BERNARDS MEDICAL CENTER</x:v>
      </x:c>
      <x:c r="C3885" s="2" t="str">
        <x:v>JONESBORO</x:v>
      </x:c>
      <x:c r="D3885" s="2" t="str">
        <x:v>AR</x:v>
      </x:c>
      <x:c r="E3885" s="2" t="str">
        <x:v>Acute Care Hospitals</x:v>
      </x:c>
      <x:c r="F3885" s="2" t="str">
        <x:v>Voluntary non-profit</x:v>
      </x:c>
      <x:c r="G3885" s="2" t="str">
        <x:v>Large (300+ beds)</x:v>
      </x:c>
      <x:c r="H3885" s="7" t="n">
        <x:v>1</x:v>
      </x:c>
      <x:c r="I3885" s="7" t="n">
        <x:v>4</x:v>
      </x:c>
      <x:c r="J3885" s="7" t="n">
        <x:v>1.06</x:v>
      </x:c>
      <x:c r="K3885" s="8" t="n">
        <x:v>389</x:v>
      </x:c>
      <x:c r="L3885" s="8" t="n">
        <x:v>22262</x:v>
      </x:c>
      <x:c r="M3885" s="9" t="n">
        <x:v>0.7608973549</x:v>
      </x:c>
      <x:c r="N3885" s="10" t="n">
        <x:v>27209.5548468242</x:v>
      </x:c>
      <x:c r="O3885" s="9" t="n">
        <x:v>-0.2186129747</x:v>
      </x:c>
      <x:c r="P3885" s="9" t="n">
        <x:v>0.2129337539</x:v>
      </x:c>
      <x:c r="Q3885" s="9" t="n">
        <x:v>0</x:v>
      </x:c>
      <x:c r="R3885" s="3" t="b">
        <x:v>0</x:v>
      </x:c>
      <x:c r="S3885" s="3" t="b">
        <x:v>1</x:v>
      </x:c>
      <x:c r="T3885" s="3" t="b">
        <x:v>0</x:v>
      </x:c>
      <x:c r="U3885" s="2" t="str">
        <x:f>IF(T3885=TRUE,"Priority review",IF(R3885=TRUE,"High cost",IF(S3885=TRUE,"Low quality","Benchmark")))</x:f>
        <x:v>Low quality</x:v>
      </x:c>
    </x:row>
    <x:row r="3886">
      <x:c r="A3886" s="2" t="str">
        <x:v>150153</x:v>
      </x:c>
      <x:c r="B3886" s="2" t="str">
        <x:v>ST VINCENT HEART CENTER</x:v>
      </x:c>
      <x:c r="C3886" s="2" t="str">
        <x:v>CARMEL</x:v>
      </x:c>
      <x:c r="D3886" s="2" t="str">
        <x:v>IN</x:v>
      </x:c>
      <x:c r="E3886" s="2" t="str">
        <x:v>Acute Care Hospitals</x:v>
      </x:c>
      <x:c r="F3886" s="2" t="str">
        <x:v>Proprietary</x:v>
      </x:c>
      <x:c r="G3886" s="2" t="str">
        <x:v>Small (&lt;100 beds)</x:v>
      </x:c>
      <x:c r="H3886" s="7" t="n">
        <x:v>5</x:v>
      </x:c>
      <x:c r="I3886" s="7" t="n">
        <x:v>4</x:v>
      </x:c>
      <x:c r="J3886" s="7" t="n">
        <x:v>0.97</x:v>
      </x:c>
      <x:c r="K3886" s="8" t="n">
        <x:v>80</x:v>
      </x:c>
      <x:c r="L3886" s="8" t="n">
        <x:v>4144</x:v>
      </x:c>
      <x:c r="M3886" s="9" t="n">
        <x:v>0.7420205479</x:v>
      </x:c>
      <x:c r="N3886" s="10" t="n">
        <x:v>34261.6377895753</x:v>
      </x:c>
      <x:c r="O3886" s="9" t="n">
        <x:v>0.292632387</x:v>
      </x:c>
      <x:c r="P3886" s="9" t="n">
        <x:v>0.2127468582</x:v>
      </x:c>
      <x:c r="Q3886" s="9" t="n">
        <x:v>0.6131059246</x:v>
      </x:c>
      <x:c r="R3886" s="3" t="b">
        <x:v>0</x:v>
      </x:c>
      <x:c r="S3886" s="3" t="b">
        <x:v>0</x:v>
      </x:c>
      <x:c r="T3886" s="3" t="b">
        <x:v>0</x:v>
      </x:c>
      <x:c r="U3886" s="2" t="str">
        <x:f>IF(T3886=TRUE,"Priority review",IF(R3886=TRUE,"High cost",IF(S3886=TRUE,"Low quality","Benchmark")))</x:f>
        <x:v>Benchmark</x:v>
      </x:c>
    </x:row>
    <x:row r="3887">
      <x:c r="A3887" s="2" t="str">
        <x:v>450643</x:v>
      </x:c>
      <x:c r="B3887" s="2" t="str">
        <x:v>DOCTORS HOSPITAL OF LAREDO</x:v>
      </x:c>
      <x:c r="C3887" s="2" t="str">
        <x:v>LAREDO</x:v>
      </x:c>
      <x:c r="D3887" s="2" t="str">
        <x:v>TX</x:v>
      </x:c>
      <x:c r="E3887" s="2" t="str">
        <x:v>Acute Care Hospitals</x:v>
      </x:c>
      <x:c r="F3887" s="2" t="str">
        <x:v>Proprietary</x:v>
      </x:c>
      <x:c r="G3887" s="2" t="str">
        <x:v>Medium (100-299 beds)</x:v>
      </x:c>
      <x:c r="H3887" s="7" t="n">
        <x:v>4</x:v>
      </x:c>
      <x:c r="I3887" s="7" t="n">
        <x:v>3</x:v>
      </x:c>
      <x:c r="J3887" s="7" t="n">
        <x:v>0.89</x:v>
      </x:c>
      <x:c r="K3887" s="8" t="n">
        <x:v>183</x:v>
      </x:c>
      <x:c r="L3887" s="8" t="n">
        <x:v>8249</x:v>
      </x:c>
      <x:c r="M3887" s="9" t="n">
        <x:v>0.5209770372</x:v>
      </x:c>
      <x:c r="N3887" s="10" t="n">
        <x:v>24172.5392168748</x:v>
      </x:c>
      <x:c r="O3887" s="9" t="n">
        <x:v>0.1360261526</x:v>
      </x:c>
      <x:c r="P3887" s="9" t="n">
        <x:v>0.2127139364</x:v>
      </x:c>
      <x:c r="Q3887" s="9" t="n">
        <x:v>0.6022819886</x:v>
      </x:c>
      <x:c r="R3887" s="3" t="b">
        <x:v>0</x:v>
      </x:c>
      <x:c r="S3887" s="3" t="b">
        <x:v>0</x:v>
      </x:c>
      <x:c r="T3887" s="3" t="b">
        <x:v>0</x:v>
      </x:c>
      <x:c r="U3887" s="2" t="str">
        <x:f>IF(T3887=TRUE,"Priority review",IF(R3887=TRUE,"High cost",IF(S3887=TRUE,"Low quality","Benchmark")))</x:f>
        <x:v>Benchmark</x:v>
      </x:c>
    </x:row>
    <x:row r="3888">
      <x:c r="A3888" s="2" t="str">
        <x:v>451356</x:v>
      </x:c>
      <x:c r="B3888" s="2" t="str">
        <x:v>MEMORIAL MEDICAL CENTER</x:v>
      </x:c>
      <x:c r="C3888" s="2" t="str">
        <x:v>PORT LAVACA</x:v>
      </x:c>
      <x:c r="D3888" s="2" t="str">
        <x:v>TX</x:v>
      </x:c>
      <x:c r="E3888" s="2" t="str">
        <x:v>Critical Access Hospitals</x:v>
      </x:c>
      <x:c r="F3888" s="2" t="str">
        <x:v>Government</x:v>
      </x:c>
      <x:c r="G3888" s="2" t="str">
        <x:v>Small (&lt;100 beds)</x:v>
      </x:c>
      <x:c r="H3888" s="7" t="n">
        <x:v>4</x:v>
      </x:c>
      <x:c r="I3888" s="7"/>
      <x:c r="J3888" s="7"/>
      <x:c r="K3888" s="8" t="n">
        <x:v>25</x:v>
      </x:c>
      <x:c r="L3888" s="8" t="n">
        <x:v>448</x:v>
      </x:c>
      <x:c r="M3888" s="9" t="n">
        <x:v>0.2589071038</x:v>
      </x:c>
      <x:c r="N3888" s="10" t="n">
        <x:v>82718.4397321429</x:v>
      </x:c>
      <x:c r="O3888" s="9" t="n">
        <x:v>-0.3646735232</x:v>
      </x:c>
      <x:c r="P3888" s="9" t="n">
        <x:v>0.2126394052</x:v>
      </x:c>
      <x:c r="Q3888" s="9" t="n">
        <x:v>0.1657992565</x:v>
      </x:c>
      <x:c r="R3888" s="3" t="b">
        <x:v>0</x:v>
      </x:c>
      <x:c r="S3888" s="3" t="b">
        <x:v>0</x:v>
      </x:c>
      <x:c r="T3888" s="3" t="b">
        <x:v>0</x:v>
      </x:c>
      <x:c r="U3888" s="2" t="str">
        <x:f>IF(T3888=TRUE,"Priority review",IF(R3888=TRUE,"High cost",IF(S3888=TRUE,"Low quality","Benchmark")))</x:f>
        <x:v>Benchmark</x:v>
      </x:c>
    </x:row>
    <x:row r="3889">
      <x:c r="A3889" s="2" t="str">
        <x:v>100176</x:v>
      </x:c>
      <x:c r="B3889" s="2" t="str">
        <x:v>PALM BEACH GARDENS MEDICAL CENTER</x:v>
      </x:c>
      <x:c r="C3889" s="2" t="str">
        <x:v>PALM BEACH GARDENS</x:v>
      </x:c>
      <x:c r="D3889" s="2" t="str">
        <x:v>FL</x:v>
      </x:c>
      <x:c r="E3889" s="2" t="str">
        <x:v>Acute Care Hospitals</x:v>
      </x:c>
      <x:c r="F3889" s="2" t="str">
        <x:v>Proprietary</x:v>
      </x:c>
      <x:c r="G3889" s="2" t="str">
        <x:v>Medium (100-299 beds)</x:v>
      </x:c>
      <x:c r="H3889" s="7" t="n">
        <x:v>2</x:v>
      </x:c>
      <x:c r="I3889" s="7" t="n">
        <x:v>1</x:v>
      </x:c>
      <x:c r="J3889" s="7" t="n">
        <x:v>0.99</x:v>
      </x:c>
      <x:c r="K3889" s="8" t="n">
        <x:v>199</x:v>
      </x:c>
      <x:c r="L3889" s="8" t="n">
        <x:v>9310</x:v>
      </x:c>
      <x:c r="M3889" s="9" t="n">
        <x:v>0.6059669934</x:v>
      </x:c>
      <x:c r="N3889" s="10" t="n">
        <x:v>24154.2654135338</x:v>
      </x:c>
      <x:c r="O3889" s="9" t="n">
        <x:v>0.0960641202</x:v>
      </x:c>
      <x:c r="P3889" s="9" t="n">
        <x:v>0.2118989405</x:v>
      </x:c>
      <x:c r="Q3889" s="9" t="n">
        <x:v>0.0782396088</x:v>
      </x:c>
      <x:c r="R3889" s="3" t="b">
        <x:v>0</x:v>
      </x:c>
      <x:c r="S3889" s="3" t="b">
        <x:v>1</x:v>
      </x:c>
      <x:c r="T3889" s="3" t="b">
        <x:v>0</x:v>
      </x:c>
      <x:c r="U3889" s="2" t="str">
        <x:f>IF(T3889=TRUE,"Priority review",IF(R3889=TRUE,"High cost",IF(S3889=TRUE,"Low quality","Benchmark")))</x:f>
        <x:v>Low quality</x:v>
      </x:c>
    </x:row>
    <x:row r="3890">
      <x:c r="A3890" s="2" t="str">
        <x:v>171364</x:v>
      </x:c>
      <x:c r="B3890" s="2" t="str">
        <x:v>OSBORNE COUNTY MEMORIAL HOSPITAL</x:v>
      </x:c>
      <x:c r="C3890" s="2" t="str">
        <x:v>OSBORNE</x:v>
      </x:c>
      <x:c r="D3890" s="2" t="str">
        <x:v>KS</x:v>
      </x:c>
      <x:c r="E3890" s="2" t="str">
        <x:v>Critical Access Hospitals</x:v>
      </x:c>
      <x:c r="F3890" s="2" t="str">
        <x:v>Government</x:v>
      </x:c>
      <x:c r="G3890" s="2" t="str">
        <x:v>Small (&lt;100 beds)</x:v>
      </x:c>
      <x:c r="H3890" s="7"/>
      <x:c r="I3890" s="7"/>
      <x:c r="J3890" s="7"/>
      <x:c r="K3890" s="8" t="n">
        <x:v>16</x:v>
      </x:c>
      <x:c r="L3890" s="8" t="n">
        <x:v>139</x:v>
      </x:c>
      <x:c r="M3890" s="9" t="n">
        <x:v>0.2028688525</x:v>
      </x:c>
      <x:c r="N3890" s="10" t="n">
        <x:v>82667.4676258993</x:v>
      </x:c>
      <x:c r="O3890" s="9" t="n">
        <x:v>-0.1950433499</x:v>
      </x:c>
      <x:c r="P3890" s="9" t="n">
        <x:v>0.2118959108</x:v>
      </x:c>
      <x:c r="Q3890" s="9" t="n">
        <x:v>0.292936803</x:v>
      </x:c>
      <x:c r="R3890" s="3" t="b">
        <x:v>0</x:v>
      </x:c>
      <x:c r="S3890" s="3" t="b">
        <x:v>0</x:v>
      </x:c>
      <x:c r="T3890" s="3" t="b">
        <x:v>0</x:v>
      </x:c>
      <x:c r="U3890" s="2" t="str">
        <x:f>IF(T3890=TRUE,"Priority review",IF(R3890=TRUE,"High cost",IF(S3890=TRUE,"Low quality","Benchmark")))</x:f>
        <x:v>Benchmark</x:v>
      </x:c>
    </x:row>
    <x:row r="3891">
      <x:c r="A3891" s="2" t="str">
        <x:v>420104</x:v>
      </x:c>
      <x:c r="B3891" s="2" t="str">
        <x:v>MOUNT PLEASANT HOSPITAL</x:v>
      </x:c>
      <x:c r="C3891" s="2" t="str">
        <x:v>MOUNT PLEASANT</x:v>
      </x:c>
      <x:c r="D3891" s="2" t="str">
        <x:v>SC</x:v>
      </x:c>
      <x:c r="E3891" s="2" t="str">
        <x:v>Acute Care Hospitals</x:v>
      </x:c>
      <x:c r="F3891" s="2" t="str">
        <x:v>Voluntary non-profit</x:v>
      </x:c>
      <x:c r="G3891" s="2" t="str">
        <x:v>Small (&lt;100 beds)</x:v>
      </x:c>
      <x:c r="H3891" s="7" t="n">
        <x:v>5</x:v>
      </x:c>
      <x:c r="I3891" s="7" t="n">
        <x:v>4</x:v>
      </x:c>
      <x:c r="J3891" s="7" t="n">
        <x:v>0.97</x:v>
      </x:c>
      <x:c r="K3891" s="8" t="n">
        <x:v>58</x:v>
      </x:c>
      <x:c r="L3891" s="8" t="n">
        <x:v>3047</x:v>
      </x:c>
      <x:c r="M3891" s="9" t="n">
        <x:v>0.552524967</x:v>
      </x:c>
      <x:c r="N3891" s="10" t="n">
        <x:v>34232.7581227437</x:v>
      </x:c>
      <x:c r="O3891" s="9" t="n">
        <x:v>0.2195936618</x:v>
      </x:c>
      <x:c r="P3891" s="9" t="n">
        <x:v>0.2118491921</x:v>
      </x:c>
      <x:c r="Q3891" s="9" t="n">
        <x:v>0.6131059246</x:v>
      </x:c>
      <x:c r="R3891" s="3" t="b">
        <x:v>0</x:v>
      </x:c>
      <x:c r="S3891" s="3" t="b">
        <x:v>0</x:v>
      </x:c>
      <x:c r="T3891" s="3" t="b">
        <x:v>0</x:v>
      </x:c>
      <x:c r="U3891" s="2" t="str">
        <x:f>IF(T3891=TRUE,"Priority review",IF(R3891=TRUE,"High cost",IF(S3891=TRUE,"Low quality","Benchmark")))</x:f>
        <x:v>Benchmark</x:v>
      </x:c>
    </x:row>
    <x:row r="3892">
      <x:c r="A3892" s="2" t="str">
        <x:v>100067</x:v>
      </x:c>
      <x:c r="B3892" s="2" t="str">
        <x:v>ST ANTHONYS HOSPITAL</x:v>
      </x:c>
      <x:c r="C3892" s="2" t="str">
        <x:v>SAINT PETERSBURG</x:v>
      </x:c>
      <x:c r="D3892" s="2" t="str">
        <x:v>FL</x:v>
      </x:c>
      <x:c r="E3892" s="2" t="str">
        <x:v>Acute Care Hospitals</x:v>
      </x:c>
      <x:c r="F3892" s="2" t="str">
        <x:v>Voluntary non-profit</x:v>
      </x:c>
      <x:c r="G3892" s="2" t="str">
        <x:v>Large (300+ beds)</x:v>
      </x:c>
      <x:c r="H3892" s="7" t="n">
        <x:v>3</x:v>
      </x:c>
      <x:c r="I3892" s="7" t="n">
        <x:v>4</x:v>
      </x:c>
      <x:c r="J3892" s="7" t="n">
        <x:v>1.03</x:v>
      </x:c>
      <x:c r="K3892" s="8" t="n">
        <x:v>441</x:v>
      </x:c>
      <x:c r="L3892" s="8" t="n">
        <x:v>18716</x:v>
      </x:c>
      <x:c r="M3892" s="9" t="n">
        <x:v>0.5328022218</x:v>
      </x:c>
      <x:c r="N3892" s="10" t="n">
        <x:v>27141.7782111562</x:v>
      </x:c>
      <x:c r="O3892" s="9" t="n">
        <x:v>0.0780440112</x:v>
      </x:c>
      <x:c r="P3892" s="9" t="n">
        <x:v>0.2113564669</x:v>
      </x:c>
      <x:c r="Q3892" s="9" t="n">
        <x:v>0.2570977918</x:v>
      </x:c>
      <x:c r="R3892" s="3" t="b">
        <x:v>0</x:v>
      </x:c>
      <x:c r="S3892" s="3" t="b">
        <x:v>0</x:v>
      </x:c>
      <x:c r="T3892" s="3" t="b">
        <x:v>0</x:v>
      </x:c>
      <x:c r="U3892" s="2" t="str">
        <x:f>IF(T3892=TRUE,"Priority review",IF(R3892=TRUE,"High cost",IF(S3892=TRUE,"Low quality","Benchmark")))</x:f>
        <x:v>Benchmark</x:v>
      </x:c>
    </x:row>
    <x:row r="3893">
      <x:c r="A3893" s="2" t="str">
        <x:v>041322</x:v>
      </x:c>
      <x:c r="B3893" s="2" t="str">
        <x:v>BAXTER HEALTH FULTON COUNTY HOSPITAL</x:v>
      </x:c>
      <x:c r="C3893" s="2" t="str">
        <x:v>SALEM</x:v>
      </x:c>
      <x:c r="D3893" s="2" t="str">
        <x:v>AR</x:v>
      </x:c>
      <x:c r="E3893" s="2" t="str">
        <x:v>Critical Access Hospitals</x:v>
      </x:c>
      <x:c r="F3893" s="2" t="str">
        <x:v>Government</x:v>
      </x:c>
      <x:c r="G3893" s="2" t="str">
        <x:v>Small (&lt;100 beds)</x:v>
      </x:c>
      <x:c r="H3893" s="7"/>
      <x:c r="I3893" s="7"/>
      <x:c r="J3893" s="7"/>
      <x:c r="K3893" s="8" t="n">
        <x:v>25</x:v>
      </x:c>
      <x:c r="L3893" s="8" t="n">
        <x:v>76</x:v>
      </x:c>
      <x:c r="M3893" s="9" t="n">
        <x:v>0.325</x:v>
      </x:c>
      <x:c r="N3893" s="10" t="n">
        <x:v>82565.8684210526</x:v>
      </x:c>
      <x:c r="O3893" s="9" t="n">
        <x:v>-0.1760600508</x:v>
      </x:c>
      <x:c r="P3893" s="9" t="n">
        <x:v>0.2111524164</x:v>
      </x:c>
      <x:c r="Q3893" s="9" t="n">
        <x:v>0.292936803</x:v>
      </x:c>
      <x:c r="R3893" s="3" t="b">
        <x:v>0</x:v>
      </x:c>
      <x:c r="S3893" s="3" t="b">
        <x:v>0</x:v>
      </x:c>
      <x:c r="T3893" s="3" t="b">
        <x:v>0</x:v>
      </x:c>
      <x:c r="U3893" s="2" t="str">
        <x:f>IF(T3893=TRUE,"Priority review",IF(R3893=TRUE,"High cost",IF(S3893=TRUE,"Low quality","Benchmark")))</x:f>
        <x:v>Benchmark</x:v>
      </x:c>
    </x:row>
    <x:row r="3894">
      <x:c r="A3894" s="2" t="str">
        <x:v>390035</x:v>
      </x:c>
      <x:c r="B3894" s="2" t="str">
        <x:v>ST LUKE'S HOSPITAL - UPPER BUCKS CAMPUS</x:v>
      </x:c>
      <x:c r="C3894" s="2" t="str">
        <x:v>QUAKERTOWN</x:v>
      </x:c>
      <x:c r="D3894" s="2" t="str">
        <x:v>PA</x:v>
      </x:c>
      <x:c r="E3894" s="2" t="str">
        <x:v>Acute Care Hospitals</x:v>
      </x:c>
      <x:c r="F3894" s="2" t="str">
        <x:v>Proprietary</x:v>
      </x:c>
      <x:c r="G3894" s="2" t="str">
        <x:v>Medium (100-299 beds)</x:v>
      </x:c>
      <x:c r="H3894" s="7" t="n">
        <x:v>5</x:v>
      </x:c>
      <x:c r="I3894" s="7" t="n">
        <x:v>4</x:v>
      </x:c>
      <x:c r="J3894" s="7" t="n">
        <x:v>0.92</x:v>
      </x:c>
      <x:c r="K3894" s="8" t="n">
        <x:v>110</x:v>
      </x:c>
      <x:c r="L3894" s="8" t="n">
        <x:v>7675</x:v>
      </x:c>
      <x:c r="M3894" s="9" t="n">
        <x:v>0.759750934</x:v>
      </x:c>
      <x:c r="N3894" s="10" t="n">
        <x:v>24143.9039739414</x:v>
      </x:c>
      <x:c r="O3894" s="9" t="n">
        <x:v>0.1505108168</x:v>
      </x:c>
      <x:c r="P3894" s="9" t="n">
        <x:v>0.2110839446</x:v>
      </x:c>
      <x:c r="Q3894" s="9" t="n">
        <x:v>0.8744906275</x:v>
      </x:c>
      <x:c r="R3894" s="3" t="b">
        <x:v>0</x:v>
      </x:c>
      <x:c r="S3894" s="3" t="b">
        <x:v>0</x:v>
      </x:c>
      <x:c r="T3894" s="3" t="b">
        <x:v>0</x:v>
      </x:c>
      <x:c r="U3894" s="2" t="str">
        <x:f>IF(T3894=TRUE,"Priority review",IF(R3894=TRUE,"High cost",IF(S3894=TRUE,"Low quality","Benchmark")))</x:f>
        <x:v>Benchmark</x:v>
      </x:c>
    </x:row>
    <x:row r="3895">
      <x:c r="A3895" s="2" t="str">
        <x:v>360089</x:v>
      </x:c>
      <x:c r="B3895" s="2" t="str">
        <x:v>MERCY HEALTH - TIFFIN HOSPITAL</x:v>
      </x:c>
      <x:c r="C3895" s="2" t="str">
        <x:v>TIFFIN</x:v>
      </x:c>
      <x:c r="D3895" s="2" t="str">
        <x:v>OH</x:v>
      </x:c>
      <x:c r="E3895" s="2" t="str">
        <x:v>Acute Care Hospitals</x:v>
      </x:c>
      <x:c r="F3895" s="2" t="str">
        <x:v>Voluntary non-profit</x:v>
      </x:c>
      <x:c r="G3895" s="2" t="str">
        <x:v>Small (&lt;100 beds)</x:v>
      </x:c>
      <x:c r="H3895" s="7" t="n">
        <x:v>3</x:v>
      </x:c>
      <x:c r="I3895" s="7" t="n">
        <x:v>4</x:v>
      </x:c>
      <x:c r="J3895" s="7" t="n">
        <x:v>0.91</x:v>
      </x:c>
      <x:c r="K3895" s="8" t="n">
        <x:v>35</x:v>
      </x:c>
      <x:c r="L3895" s="8" t="n">
        <x:v>2489</x:v>
      </x:c>
      <x:c r="M3895" s="9" t="n">
        <x:v>0.6017954723</x:v>
      </x:c>
      <x:c r="N3895" s="10" t="n">
        <x:v>34213.9485737244</x:v>
      </x:c>
      <x:c r="O3895" s="9" t="n">
        <x:v>0.2481590878</x:v>
      </x:c>
      <x:c r="P3895" s="9" t="n">
        <x:v>0.210951526</x:v>
      </x:c>
      <x:c r="Q3895" s="9" t="n">
        <x:v>0.1687612208</x:v>
      </x:c>
      <x:c r="R3895" s="3" t="b">
        <x:v>0</x:v>
      </x:c>
      <x:c r="S3895" s="3" t="b">
        <x:v>0</x:v>
      </x:c>
      <x:c r="T3895" s="3" t="b">
        <x:v>0</x:v>
      </x:c>
      <x:c r="U3895" s="2" t="str">
        <x:f>IF(T3895=TRUE,"Priority review",IF(R3895=TRUE,"High cost",IF(S3895=TRUE,"Low quality","Benchmark")))</x:f>
        <x:v>Benchmark</x:v>
      </x:c>
    </x:row>
    <x:row r="3896">
      <x:c r="A3896" s="2" t="str">
        <x:v>451385</x:v>
      </x:c>
      <x:c r="B3896" s="2" t="str">
        <x:v>GOODALL WITCHER HOSPITAL</x:v>
      </x:c>
      <x:c r="C3896" s="2" t="str">
        <x:v>CLIFTON</x:v>
      </x:c>
      <x:c r="D3896" s="2" t="str">
        <x:v>TX</x:v>
      </x:c>
      <x:c r="E3896" s="2" t="str">
        <x:v>Critical Access Hospitals</x:v>
      </x:c>
      <x:c r="F3896" s="2" t="str">
        <x:v>Government</x:v>
      </x:c>
      <x:c r="G3896" s="2" t="str">
        <x:v>Small (&lt;100 beds)</x:v>
      </x:c>
      <x:c r="H3896" s="7"/>
      <x:c r="I3896" s="7"/>
      <x:c r="J3896" s="7"/>
      <x:c r="K3896" s="8" t="n">
        <x:v>25</x:v>
      </x:c>
      <x:c r="L3896" s="8" t="n">
        <x:v>543</x:v>
      </x:c>
      <x:c r="M3896" s="9" t="n">
        <x:v>0.1934246575</x:v>
      </x:c>
      <x:c r="N3896" s="10" t="n">
        <x:v>82555.8305709024</x:v>
      </x:c>
      <x:c r="O3896" s="9" t="n">
        <x:v>-0.3301846115</x:v>
      </x:c>
      <x:c r="P3896" s="9" t="n">
        <x:v>0.2104089219</x:v>
      </x:c>
      <x:c r="Q3896" s="9" t="n">
        <x:v>0.292936803</x:v>
      </x:c>
      <x:c r="R3896" s="3" t="b">
        <x:v>0</x:v>
      </x:c>
      <x:c r="S3896" s="3" t="b">
        <x:v>0</x:v>
      </x:c>
      <x:c r="T3896" s="3" t="b">
        <x:v>0</x:v>
      </x:c>
      <x:c r="U3896" s="2" t="str">
        <x:f>IF(T3896=TRUE,"Priority review",IF(R3896=TRUE,"High cost",IF(S3896=TRUE,"Low quality","Benchmark")))</x:f>
        <x:v>Benchmark</x:v>
      </x:c>
    </x:row>
    <x:row r="3897">
      <x:c r="A3897" s="2" t="str">
        <x:v>194107</x:v>
      </x:c>
      <x:c r="B3897" s="2" t="str">
        <x:v>BATON ROUGE BEHAVIORAL HOSPITAL</x:v>
      </x:c>
      <x:c r="C3897" s="2" t="str">
        <x:v>BATON ROUGE</x:v>
      </x:c>
      <x:c r="D3897" s="2" t="str">
        <x:v>LA</x:v>
      </x:c>
      <x:c r="E3897" s="2" t="str">
        <x:v>Psychiatric</x:v>
      </x:c>
      <x:c r="F3897" s="2" t="str">
        <x:v>Proprietary</x:v>
      </x:c>
      <x:c r="G3897" s="2" t="str">
        <x:v>Small (&lt;100 beds)</x:v>
      </x:c>
      <x:c r="H3897" s="7"/>
      <x:c r="I3897" s="7"/>
      <x:c r="J3897" s="7"/>
      <x:c r="K3897" s="8" t="n">
        <x:v>47</x:v>
      </x:c>
      <x:c r="L3897" s="8" t="n">
        <x:v>919</x:v>
      </x:c>
      <x:c r="M3897" s="9" t="n">
        <x:v>0.4390768515</x:v>
      </x:c>
      <x:c r="N3897" s="10" t="n">
        <x:v>7920.1338411317</x:v>
      </x:c>
      <x:c r="O3897" s="9" t="n">
        <x:v>-0.2874350698</x:v>
      </x:c>
      <x:c r="P3897" s="9" t="n">
        <x:v>0.2103559871</x:v>
      </x:c>
      <x:c r="Q3897" s="9" t="n">
        <x:v>0</x:v>
      </x:c>
      <x:c r="R3897" s="3" t="b">
        <x:v>0</x:v>
      </x:c>
      <x:c r="S3897" s="3" t="b">
        <x:v>0</x:v>
      </x:c>
      <x:c r="T3897" s="3" t="b">
        <x:v>0</x:v>
      </x:c>
      <x:c r="U3897" s="2" t="str">
        <x:f>IF(T3897=TRUE,"Priority review",IF(R3897=TRUE,"High cost",IF(S3897=TRUE,"Low quality","Benchmark")))</x:f>
        <x:v>Benchmark</x:v>
      </x:c>
    </x:row>
    <x:row r="3898">
      <x:c r="A3898" s="2" t="str">
        <x:v>450672</x:v>
      </x:c>
      <x:c r="B3898" s="2" t="str">
        <x:v>MEDICAL CITY FORT WORTH</x:v>
      </x:c>
      <x:c r="C3898" s="2" t="str">
        <x:v>FORT WORTH</x:v>
      </x:c>
      <x:c r="D3898" s="2" t="str">
        <x:v>TX</x:v>
      </x:c>
      <x:c r="E3898" s="2" t="str">
        <x:v>Acute Care Hospitals</x:v>
      </x:c>
      <x:c r="F3898" s="2" t="str">
        <x:v>Proprietary</x:v>
      </x:c>
      <x:c r="G3898" s="2" t="str">
        <x:v>Medium (100-299 beds)</x:v>
      </x:c>
      <x:c r="H3898" s="7" t="n">
        <x:v>2</x:v>
      </x:c>
      <x:c r="I3898" s="7" t="n">
        <x:v>3</x:v>
      </x:c>
      <x:c r="J3898" s="7" t="n">
        <x:v>1.09</x:v>
      </x:c>
      <x:c r="K3898" s="8" t="n">
        <x:v>223</x:v>
      </x:c>
      <x:c r="L3898" s="8" t="n">
        <x:v>14567</x:v>
      </x:c>
      <x:c r="M3898" s="9" t="n">
        <x:v>0.8803116686</x:v>
      </x:c>
      <x:c r="N3898" s="10" t="n">
        <x:v>24136.106885426</x:v>
      </x:c>
      <x:c r="O3898" s="9" t="n">
        <x:v>0.2302035907</x:v>
      </x:c>
      <x:c r="P3898" s="9" t="n">
        <x:v>0.2102689487</x:v>
      </x:c>
      <x:c r="Q3898" s="9" t="n">
        <x:v>0.0782396088</x:v>
      </x:c>
      <x:c r="R3898" s="3" t="b">
        <x:v>0</x:v>
      </x:c>
      <x:c r="S3898" s="3" t="b">
        <x:v>1</x:v>
      </x:c>
      <x:c r="T3898" s="3" t="b">
        <x:v>0</x:v>
      </x:c>
      <x:c r="U3898" s="2" t="str">
        <x:f>IF(T3898=TRUE,"Priority review",IF(R3898=TRUE,"High cost",IF(S3898=TRUE,"Low quality","Benchmark")))</x:f>
        <x:v>Low quality</x:v>
      </x:c>
    </x:row>
    <x:row r="3899">
      <x:c r="A3899" s="2" t="str">
        <x:v>030139</x:v>
      </x:c>
      <x:c r="B3899" s="2" t="str">
        <x:v>DIGNITY HEALTH ARIZONA GENERAL HOSPITAL</x:v>
      </x:c>
      <x:c r="C3899" s="2" t="str">
        <x:v>MESA</x:v>
      </x:c>
      <x:c r="D3899" s="2" t="str">
        <x:v>AZ</x:v>
      </x:c>
      <x:c r="E3899" s="2" t="str">
        <x:v>Acute Care Hospitals</x:v>
      </x:c>
      <x:c r="F3899" s="2" t="str">
        <x:v>Voluntary non-profit</x:v>
      </x:c>
      <x:c r="G3899" s="2" t="str">
        <x:v>Small (&lt;100 beds)</x:v>
      </x:c>
      <x:c r="H3899" s="7" t="n">
        <x:v>5</x:v>
      </x:c>
      <x:c r="I3899" s="7" t="n">
        <x:v>4</x:v>
      </x:c>
      <x:c r="J3899" s="7" t="n">
        <x:v>0.94</x:v>
      </x:c>
      <x:c r="K3899" s="8" t="n">
        <x:v>50</x:v>
      </x:c>
      <x:c r="L3899" s="8" t="n">
        <x:v>4144</x:v>
      </x:c>
      <x:c r="M3899" s="9" t="n">
        <x:v>0.6556830601</x:v>
      </x:c>
      <x:c r="N3899" s="10" t="n">
        <x:v>34211.7683397683</x:v>
      </x:c>
      <x:c r="O3899" s="9" t="n">
        <x:v>-0.2374860701</x:v>
      </x:c>
      <x:c r="P3899" s="9" t="n">
        <x:v>0.21005386</x:v>
      </x:c>
      <x:c r="Q3899" s="9" t="n">
        <x:v>0.6131059246</x:v>
      </x:c>
      <x:c r="R3899" s="3" t="b">
        <x:v>0</x:v>
      </x:c>
      <x:c r="S3899" s="3" t="b">
        <x:v>0</x:v>
      </x:c>
      <x:c r="T3899" s="3" t="b">
        <x:v>0</x:v>
      </x:c>
      <x:c r="U3899" s="2" t="str">
        <x:f>IF(T3899=TRUE,"Priority review",IF(R3899=TRUE,"High cost",IF(S3899=TRUE,"Low quality","Benchmark")))</x:f>
        <x:v>Benchmark</x:v>
      </x:c>
    </x:row>
    <x:row r="3900">
      <x:c r="A3900" s="2" t="str">
        <x:v>110028</x:v>
      </x:c>
      <x:c r="B3900" s="2" t="str">
        <x:v>PIEDMONT AUGUSTA HOSPITAL</x:v>
      </x:c>
      <x:c r="C3900" s="2" t="str">
        <x:v>AUGUSTA</x:v>
      </x:c>
      <x:c r="D3900" s="2" t="str">
        <x:v>GA</x:v>
      </x:c>
      <x:c r="E3900" s="2" t="str">
        <x:v>Acute Care Hospitals</x:v>
      </x:c>
      <x:c r="F3900" s="2" t="str">
        <x:v>Government</x:v>
      </x:c>
      <x:c r="G3900" s="2" t="str">
        <x:v>Large (300+ beds)</x:v>
      </x:c>
      <x:c r="H3900" s="7" t="n">
        <x:v>2</x:v>
      </x:c>
      <x:c r="I3900" s="7" t="n">
        <x:v>2</x:v>
      </x:c>
      <x:c r="J3900" s="7" t="n">
        <x:v>1.02</x:v>
      </x:c>
      <x:c r="K3900" s="8" t="n">
        <x:v>423</x:v>
      </x:c>
      <x:c r="L3900" s="8" t="n">
        <x:v>21355</x:v>
      </x:c>
      <x:c r="M3900" s="9" t="n">
        <x:v>0.7262411348</x:v>
      </x:c>
      <x:c r="N3900" s="10" t="n">
        <x:v>27140.2904706158</x:v>
      </x:c>
      <x:c r="O3900" s="9" t="n">
        <x:v>-0.0100565562</x:v>
      </x:c>
      <x:c r="P3900" s="9" t="n">
        <x:v>0.2097791798</x:v>
      </x:c>
      <x:c r="Q3900" s="9" t="n">
        <x:v>0.0536277603</x:v>
      </x:c>
      <x:c r="R3900" s="3" t="b">
        <x:v>0</x:v>
      </x:c>
      <x:c r="S3900" s="3" t="b">
        <x:v>1</x:v>
      </x:c>
      <x:c r="T3900" s="3" t="b">
        <x:v>0</x:v>
      </x:c>
      <x:c r="U3900" s="2" t="str">
        <x:f>IF(T3900=TRUE,"Priority review",IF(R3900=TRUE,"High cost",IF(S3900=TRUE,"Low quality","Benchmark")))</x:f>
        <x:v>Low quality</x:v>
      </x:c>
    </x:row>
    <x:row r="3901">
      <x:c r="A3901" s="2" t="str">
        <x:v>171341</x:v>
      </x:c>
      <x:c r="B3901" s="2" t="str">
        <x:v>HIAWATHA COMMUNITY HOSPITAL</x:v>
      </x:c>
      <x:c r="C3901" s="2" t="str">
        <x:v>HIAWATHA</x:v>
      </x:c>
      <x:c r="D3901" s="2" t="str">
        <x:v>KS</x:v>
      </x:c>
      <x:c r="E3901" s="2" t="str">
        <x:v>Critical Access Hospitals</x:v>
      </x:c>
      <x:c r="F3901" s="2" t="str">
        <x:v>Voluntary non-profit</x:v>
      </x:c>
      <x:c r="G3901" s="2" t="str">
        <x:v>Small (&lt;100 beds)</x:v>
      </x:c>
      <x:c r="H3901" s="7" t="n">
        <x:v>3</x:v>
      </x:c>
      <x:c r="I3901" s="7" t="n">
        <x:v>4</x:v>
      </x:c>
      <x:c r="J3901" s="7"/>
      <x:c r="K3901" s="8" t="n">
        <x:v>25</x:v>
      </x:c>
      <x:c r="L3901" s="8" t="n">
        <x:v>414</x:v>
      </x:c>
      <x:c r="M3901" s="9" t="n">
        <x:v>0.2510382514</x:v>
      </x:c>
      <x:c r="N3901" s="10" t="n">
        <x:v>82486.8140096618</x:v>
      </x:c>
      <x:c r="O3901" s="9" t="n">
        <x:v>-0.0626364623</x:v>
      </x:c>
      <x:c r="P3901" s="9" t="n">
        <x:v>0.2096654275</x:v>
      </x:c>
      <x:c r="Q3901" s="9" t="n">
        <x:v>0.0765799257</x:v>
      </x:c>
      <x:c r="R3901" s="3" t="b">
        <x:v>0</x:v>
      </x:c>
      <x:c r="S3901" s="3" t="b">
        <x:v>1</x:v>
      </x:c>
      <x:c r="T3901" s="3" t="b">
        <x:v>0</x:v>
      </x:c>
      <x:c r="U3901" s="2" t="str">
        <x:f>IF(T3901=TRUE,"Priority review",IF(R3901=TRUE,"High cost",IF(S3901=TRUE,"Low quality","Benchmark")))</x:f>
        <x:v>Low quality</x:v>
      </x:c>
    </x:row>
    <x:row r="3902">
      <x:c r="A3902" s="2" t="str">
        <x:v>210048</x:v>
      </x:c>
      <x:c r="B3902" s="2" t="str">
        <x:v>JOHNS HOPKINS HOWARD COUNTY MEDICAL CENTER</x:v>
      </x:c>
      <x:c r="C3902" s="2" t="str">
        <x:v>COLUMBIA</x:v>
      </x:c>
      <x:c r="D3902" s="2" t="str">
        <x:v>MD</x:v>
      </x:c>
      <x:c r="E3902" s="2" t="str">
        <x:v>Acute Care Hospitals</x:v>
      </x:c>
      <x:c r="F3902" s="2" t="str">
        <x:v>Voluntary non-profit</x:v>
      </x:c>
      <x:c r="G3902" s="2" t="str">
        <x:v>Medium (100-299 beds)</x:v>
      </x:c>
      <x:c r="H3902" s="7" t="n">
        <x:v>3</x:v>
      </x:c>
      <x:c r="I3902" s="7" t="n">
        <x:v>3</x:v>
      </x:c>
      <x:c r="J3902" s="7"/>
      <x:c r="K3902" s="8" t="n">
        <x:v>245</x:v>
      </x:c>
      <x:c r="L3902" s="8" t="n">
        <x:v>14493</x:v>
      </x:c>
      <x:c r="M3902" s="9" t="n">
        <x:v>0.8289740006</x:v>
      </x:c>
      <x:c r="N3902" s="10" t="n">
        <x:v>24134.041468295</x:v>
      </x:c>
      <x:c r="O3902" s="9" t="n">
        <x:v>-0.0298885836</x:v>
      </x:c>
      <x:c r="P3902" s="9" t="n">
        <x:v>0.2094539527</x:v>
      </x:c>
      <x:c r="Q3902" s="9" t="n">
        <x:v>0.3023634882</x:v>
      </x:c>
      <x:c r="R3902" s="3" t="b">
        <x:v>0</x:v>
      </x:c>
      <x:c r="S3902" s="3" t="b">
        <x:v>0</x:v>
      </x:c>
      <x:c r="T3902" s="3" t="b">
        <x:v>0</x:v>
      </x:c>
      <x:c r="U3902" s="2" t="str">
        <x:f>IF(T3902=TRUE,"Priority review",IF(R3902=TRUE,"High cost",IF(S3902=TRUE,"Low quality","Benchmark")))</x:f>
        <x:v>Benchmark</x:v>
      </x:c>
    </x:row>
    <x:row r="3903">
      <x:c r="A3903" s="2" t="str">
        <x:v>490098</x:v>
      </x:c>
      <x:c r="B3903" s="2" t="str">
        <x:v>COMMUNITY MEMORIAL HOSPITAL</x:v>
      </x:c>
      <x:c r="C3903" s="2" t="str">
        <x:v>SOUTH HILL</x:v>
      </x:c>
      <x:c r="D3903" s="2" t="str">
        <x:v>VA</x:v>
      </x:c>
      <x:c r="E3903" s="2" t="str">
        <x:v>Acute Care Hospitals</x:v>
      </x:c>
      <x:c r="F3903" s="2" t="str">
        <x:v>Government</x:v>
      </x:c>
      <x:c r="G3903" s="2" t="str">
        <x:v>Small (&lt;100 beds)</x:v>
      </x:c>
      <x:c r="H3903" s="7" t="n">
        <x:v>4</x:v>
      </x:c>
      <x:c r="I3903" s="7" t="n">
        <x:v>4</x:v>
      </x:c>
      <x:c r="J3903" s="7" t="n">
        <x:v>0.96</x:v>
      </x:c>
      <x:c r="K3903" s="8" t="n">
        <x:v>70</x:v>
      </x:c>
      <x:c r="L3903" s="8" t="n">
        <x:v>3935</x:v>
      </x:c>
      <x:c r="M3903" s="9" t="n">
        <x:v>0.5784735812</x:v>
      </x:c>
      <x:c r="N3903" s="10" t="n">
        <x:v>34120.1143583227</x:v>
      </x:c>
      <x:c r="O3903" s="9" t="n">
        <x:v>0.0657546164</x:v>
      </x:c>
      <x:c r="P3903" s="9" t="n">
        <x:v>0.2091561939</x:v>
      </x:c>
      <x:c r="Q3903" s="9" t="n">
        <x:v>0.3913824057</x:v>
      </x:c>
      <x:c r="R3903" s="3" t="b">
        <x:v>0</x:v>
      </x:c>
      <x:c r="S3903" s="3" t="b">
        <x:v>0</x:v>
      </x:c>
      <x:c r="T3903" s="3" t="b">
        <x:v>0</x:v>
      </x:c>
      <x:c r="U3903" s="2" t="str">
        <x:f>IF(T3903=TRUE,"Priority review",IF(R3903=TRUE,"High cost",IF(S3903=TRUE,"Low quality","Benchmark")))</x:f>
        <x:v>Benchmark</x:v>
      </x:c>
    </x:row>
    <x:row r="3904">
      <x:c r="A3904" s="2" t="str">
        <x:v>454103</x:v>
      </x:c>
      <x:c r="B3904" s="2" t="str">
        <x:v>KINGWOOD PINES HOSPITAL</x:v>
      </x:c>
      <x:c r="C3904" s="2" t="str">
        <x:v>KINGWOOD</x:v>
      </x:c>
      <x:c r="D3904" s="2" t="str">
        <x:v>TX</x:v>
      </x:c>
      <x:c r="E3904" s="2" t="str">
        <x:v>Psychiatric</x:v>
      </x:c>
      <x:c r="F3904" s="2" t="str">
        <x:v>Proprietary</x:v>
      </x:c>
      <x:c r="G3904" s="2" t="str">
        <x:v>Medium (100-299 beds)</x:v>
      </x:c>
      <x:c r="H3904" s="7"/>
      <x:c r="I3904" s="7"/>
      <x:c r="J3904" s="7"/>
      <x:c r="K3904" s="8" t="n">
        <x:v>116</x:v>
      </x:c>
      <x:c r="L3904" s="8" t="n">
        <x:v>3823</x:v>
      </x:c>
      <x:c r="M3904" s="9" t="n">
        <x:v>0.7766887104</x:v>
      </x:c>
      <x:c r="N3904" s="10" t="n">
        <x:v>6569.8085273346</x:v>
      </x:c>
      <x:c r="O3904" s="9" t="n">
        <x:v>0.1041959634</x:v>
      </x:c>
      <x:c r="P3904" s="9" t="n">
        <x:v>0.2089552239</x:v>
      </x:c>
      <x:c r="Q3904" s="9" t="n">
        <x:v>0</x:v>
      </x:c>
      <x:c r="R3904" s="3" t="b">
        <x:v>0</x:v>
      </x:c>
      <x:c r="S3904" s="3" t="b">
        <x:v>0</x:v>
      </x:c>
      <x:c r="T3904" s="3" t="b">
        <x:v>0</x:v>
      </x:c>
      <x:c r="U3904" s="2" t="str">
        <x:f>IF(T3904=TRUE,"Priority review",IF(R3904=TRUE,"High cost",IF(S3904=TRUE,"Low quality","Benchmark")))</x:f>
        <x:v>Benchmark</x:v>
      </x:c>
    </x:row>
    <x:row r="3905">
      <x:c r="A3905" s="2" t="str">
        <x:v>271330</x:v>
      </x:c>
      <x:c r="B3905" s="2" t="str">
        <x:v>STILLWATER BILLINGS CLINIC</x:v>
      </x:c>
      <x:c r="C3905" s="2" t="str">
        <x:v>COLUMBUS</x:v>
      </x:c>
      <x:c r="D3905" s="2" t="str">
        <x:v>MT</x:v>
      </x:c>
      <x:c r="E3905" s="2" t="str">
        <x:v>Critical Access Hospitals</x:v>
      </x:c>
      <x:c r="F3905" s="2" t="str">
        <x:v>Voluntary non-profit</x:v>
      </x:c>
      <x:c r="G3905" s="2" t="str">
        <x:v>Small (&lt;100 beds)</x:v>
      </x:c>
      <x:c r="H3905" s="7"/>
      <x:c r="I3905" s="7"/>
      <x:c r="J3905" s="7"/>
      <x:c r="K3905" s="8" t="n">
        <x:v>16</x:v>
      </x:c>
      <x:c r="L3905" s="8" t="n">
        <x:v>179</x:v>
      </x:c>
      <x:c r="M3905" s="9" t="n">
        <x:v>0.1933060109</x:v>
      </x:c>
      <x:c r="N3905" s="10" t="n">
        <x:v>82474.1787709497</x:v>
      </x:c>
      <x:c r="O3905" s="9" t="n">
        <x:v>0.0254260735</x:v>
      </x:c>
      <x:c r="P3905" s="9" t="n">
        <x:v>0.2089219331</x:v>
      </x:c>
      <x:c r="Q3905" s="9" t="n">
        <x:v>0.292936803</x:v>
      </x:c>
      <x:c r="R3905" s="3" t="b">
        <x:v>0</x:v>
      </x:c>
      <x:c r="S3905" s="3" t="b">
        <x:v>0</x:v>
      </x:c>
      <x:c r="T3905" s="3" t="b">
        <x:v>0</x:v>
      </x:c>
      <x:c r="U3905" s="2" t="str">
        <x:f>IF(T3905=TRUE,"Priority review",IF(R3905=TRUE,"High cost",IF(S3905=TRUE,"Low quality","Benchmark")))</x:f>
        <x:v>Benchmark</x:v>
      </x:c>
    </x:row>
    <x:row r="3906">
      <x:c r="A3906" s="2" t="str">
        <x:v>140200</x:v>
      </x:c>
      <x:c r="B3906" s="2" t="str">
        <x:v>ELMHURST MEMORIAL HOSPITAL</x:v>
      </x:c>
      <x:c r="C3906" s="2" t="str">
        <x:v>ELMHURST</x:v>
      </x:c>
      <x:c r="D3906" s="2" t="str">
        <x:v>IL</x:v>
      </x:c>
      <x:c r="E3906" s="2" t="str">
        <x:v>Acute Care Hospitals</x:v>
      </x:c>
      <x:c r="F3906" s="2" t="str">
        <x:v>Proprietary</x:v>
      </x:c>
      <x:c r="G3906" s="2" t="str">
        <x:v>Medium (100-299 beds)</x:v>
      </x:c>
      <x:c r="H3906" s="7" t="n">
        <x:v>3</x:v>
      </x:c>
      <x:c r="I3906" s="7" t="n">
        <x:v>3</x:v>
      </x:c>
      <x:c r="J3906" s="7" t="n">
        <x:v>0.98</x:v>
      </x:c>
      <x:c r="K3906" s="8" t="n">
        <x:v>258</x:v>
      </x:c>
      <x:c r="L3906" s="8" t="n">
        <x:v>21892</x:v>
      </x:c>
      <x:c r="M3906" s="9" t="n">
        <x:v>0.8672639471</x:v>
      </x:c>
      <x:c r="N3906" s="10" t="n">
        <x:v>24077.0313813265</x:v>
      </x:c>
      <x:c r="O3906" s="9" t="n">
        <x:v>0.1881214173</x:v>
      </x:c>
      <x:c r="P3906" s="9" t="n">
        <x:v>0.2086389568</x:v>
      </x:c>
      <x:c r="Q3906" s="9" t="n">
        <x:v>0.3023634882</x:v>
      </x:c>
      <x:c r="R3906" s="3" t="b">
        <x:v>0</x:v>
      </x:c>
      <x:c r="S3906" s="3" t="b">
        <x:v>0</x:v>
      </x:c>
      <x:c r="T3906" s="3" t="b">
        <x:v>0</x:v>
      </x:c>
      <x:c r="U3906" s="2" t="str">
        <x:f>IF(T3906=TRUE,"Priority review",IF(R3906=TRUE,"High cost",IF(S3906=TRUE,"Low quality","Benchmark")))</x:f>
        <x:v>Benchmark</x:v>
      </x:c>
    </x:row>
    <x:row r="3907">
      <x:c r="A3907" s="2" t="str">
        <x:v>453315</x:v>
      </x:c>
      <x:c r="B3907" s="2" t="str">
        <x:v>CHILDREN'S HOSPITAL OF SAN ANTONIO</x:v>
      </x:c>
      <x:c r="C3907" s="2" t="str">
        <x:v>SAN ANTONIO</x:v>
      </x:c>
      <x:c r="D3907" s="2" t="str">
        <x:v>TX</x:v>
      </x:c>
      <x:c r="E3907" s="2" t="str">
        <x:v>Childrens</x:v>
      </x:c>
      <x:c r="F3907" s="2" t="str">
        <x:v>Voluntary non-profit</x:v>
      </x:c>
      <x:c r="G3907" s="2" t="str">
        <x:v>Medium (100-299 beds)</x:v>
      </x:c>
      <x:c r="H3907" s="7"/>
      <x:c r="I3907" s="7"/>
      <x:c r="J3907" s="7"/>
      <x:c r="K3907" s="8" t="n">
        <x:v>174</x:v>
      </x:c>
      <x:c r="L3907" s="8" t="n">
        <x:v>7466</x:v>
      </x:c>
      <x:c r="M3907" s="9" t="n">
        <x:v>0.681341521</x:v>
      </x:c>
      <x:c r="N3907" s="10" t="n">
        <x:v>62288.4555317439</x:v>
      </x:c>
      <x:c r="O3907" s="9" t="n">
        <x:v>0.0727703666</x:v>
      </x:c>
      <x:c r="P3907" s="9" t="n">
        <x:v>0.2083333333</x:v>
      </x:c>
      <x:c r="Q3907" s="9" t="n">
        <x:v>0</x:v>
      </x:c>
      <x:c r="R3907" s="3" t="b">
        <x:v>0</x:v>
      </x:c>
      <x:c r="S3907" s="3" t="b">
        <x:v>0</x:v>
      </x:c>
      <x:c r="T3907" s="3" t="b">
        <x:v>0</x:v>
      </x:c>
      <x:c r="U3907" s="2" t="str">
        <x:f>IF(T3907=TRUE,"Priority review",IF(R3907=TRUE,"High cost",IF(S3907=TRUE,"Low quality","Benchmark")))</x:f>
        <x:v>Benchmark</x:v>
      </x:c>
    </x:row>
    <x:row r="3908">
      <x:c r="A3908" s="2" t="str">
        <x:v>220135</x:v>
      </x:c>
      <x:c r="B3908" s="2" t="str">
        <x:v>FALMOUTH HOSPITAL</x:v>
      </x:c>
      <x:c r="C3908" s="2" t="str">
        <x:v>FALMOUTH</x:v>
      </x:c>
      <x:c r="D3908" s="2" t="str">
        <x:v>MA</x:v>
      </x:c>
      <x:c r="E3908" s="2" t="str">
        <x:v>Acute Care Hospitals</x:v>
      </x:c>
      <x:c r="F3908" s="2" t="str">
        <x:v>Voluntary non-profit</x:v>
      </x:c>
      <x:c r="G3908" s="2" t="str">
        <x:v>Small (&lt;100 beds)</x:v>
      </x:c>
      <x:c r="H3908" s="7" t="n">
        <x:v>4</x:v>
      </x:c>
      <x:c r="I3908" s="7" t="n">
        <x:v>3</x:v>
      </x:c>
      <x:c r="J3908" s="7" t="n">
        <x:v>0.99</x:v>
      </x:c>
      <x:c r="K3908" s="8" t="n">
        <x:v>81</x:v>
      </x:c>
      <x:c r="L3908" s="8" t="n">
        <x:v>5286</x:v>
      </x:c>
      <x:c r="M3908" s="9" t="n">
        <x:v>0.7970383863</x:v>
      </x:c>
      <x:c r="N3908" s="10" t="n">
        <x:v>34013.3393870602</x:v>
      </x:c>
      <x:c r="O3908" s="9" t="n">
        <x:v>0.0108507647</x:v>
      </x:c>
      <x:c r="P3908" s="9" t="n">
        <x:v>0.2082585278</x:v>
      </x:c>
      <x:c r="Q3908" s="9" t="n">
        <x:v>0.3913824057</x:v>
      </x:c>
      <x:c r="R3908" s="3" t="b">
        <x:v>0</x:v>
      </x:c>
      <x:c r="S3908" s="3" t="b">
        <x:v>0</x:v>
      </x:c>
      <x:c r="T3908" s="3" t="b">
        <x:v>0</x:v>
      </x:c>
      <x:c r="U3908" s="2" t="str">
        <x:f>IF(T3908=TRUE,"Priority review",IF(R3908=TRUE,"High cost",IF(S3908=TRUE,"Low quality","Benchmark")))</x:f>
        <x:v>Benchmark</x:v>
      </x:c>
    </x:row>
    <x:row r="3909">
      <x:c r="A3909" s="2" t="str">
        <x:v>060034</x:v>
      </x:c>
      <x:c r="B3909" s="2" t="str">
        <x:v>HCA-HEALTHONE DBA SWEDISH MEDICAL CENTER</x:v>
      </x:c>
      <x:c r="C3909" s="2" t="str">
        <x:v>ENGLEWOOD</x:v>
      </x:c>
      <x:c r="D3909" s="2" t="str">
        <x:v>CO</x:v>
      </x:c>
      <x:c r="E3909" s="2" t="str">
        <x:v>Acute Care Hospitals</x:v>
      </x:c>
      <x:c r="F3909" s="2" t="str">
        <x:v>Proprietary</x:v>
      </x:c>
      <x:c r="G3909" s="2" t="str">
        <x:v>Large (300+ beds)</x:v>
      </x:c>
      <x:c r="H3909" s="7" t="n">
        <x:v>4</x:v>
      </x:c>
      <x:c r="I3909" s="7" t="n">
        <x:v>2</x:v>
      </x:c>
      <x:c r="J3909" s="7" t="n">
        <x:v>1.08</x:v>
      </x:c>
      <x:c r="K3909" s="8" t="n">
        <x:v>361</x:v>
      </x:c>
      <x:c r="L3909" s="8" t="n">
        <x:v>20482</x:v>
      </x:c>
      <x:c r="M3909" s="9" t="n">
        <x:v>0.8328696436</x:v>
      </x:c>
      <x:c r="N3909" s="10" t="n">
        <x:v>27093.9229079192</x:v>
      </x:c>
      <x:c r="O3909" s="9" t="n">
        <x:v>0.1880436838</x:v>
      </x:c>
      <x:c r="P3909" s="9" t="n">
        <x:v>0.2082018927</x:v>
      </x:c>
      <x:c r="Q3909" s="9" t="n">
        <x:v>0.5899053628</x:v>
      </x:c>
      <x:c r="R3909" s="3" t="b">
        <x:v>0</x:v>
      </x:c>
      <x:c r="S3909" s="3" t="b">
        <x:v>0</x:v>
      </x:c>
      <x:c r="T3909" s="3" t="b">
        <x:v>0</x:v>
      </x:c>
      <x:c r="U3909" s="2" t="str">
        <x:f>IF(T3909=TRUE,"Priority review",IF(R3909=TRUE,"High cost",IF(S3909=TRUE,"Low quality","Benchmark")))</x:f>
        <x:v>Benchmark</x:v>
      </x:c>
    </x:row>
    <x:row r="3910">
      <x:c r="A3910" s="2" t="str">
        <x:v>491308</x:v>
      </x:c>
      <x:c r="B3910" s="2" t="str">
        <x:v>RAPPAHANNOCK GENERAL HOSPITAL</x:v>
      </x:c>
      <x:c r="C3910" s="2" t="str">
        <x:v>KILMARNOCK</x:v>
      </x:c>
      <x:c r="D3910" s="2" t="str">
        <x:v>VA</x:v>
      </x:c>
      <x:c r="E3910" s="2" t="str">
        <x:v>Critical Access Hospitals</x:v>
      </x:c>
      <x:c r="F3910" s="2" t="str">
        <x:v>Voluntary non-profit</x:v>
      </x:c>
      <x:c r="G3910" s="2" t="str">
        <x:v>Small (&lt;100 beds)</x:v>
      </x:c>
      <x:c r="H3910" s="7" t="n">
        <x:v>4</x:v>
      </x:c>
      <x:c r="I3910" s="7" t="n">
        <x:v>3</x:v>
      </x:c>
      <x:c r="J3910" s="7"/>
      <x:c r="K3910" s="8" t="n">
        <x:v>25</x:v>
      </x:c>
      <x:c r="L3910" s="8" t="n">
        <x:v>156</x:v>
      </x:c>
      <x:c r="M3910" s="9" t="n">
        <x:v>0.2773626374</x:v>
      </x:c>
      <x:c r="N3910" s="10" t="n">
        <x:v>82230.8525641026</x:v>
      </x:c>
      <x:c r="O3910" s="9" t="n">
        <x:v>-0.0690473196</x:v>
      </x:c>
      <x:c r="P3910" s="9" t="n">
        <x:v>0.2081784387</x:v>
      </x:c>
      <x:c r="Q3910" s="9" t="n">
        <x:v>0.1657992565</x:v>
      </x:c>
      <x:c r="R3910" s="3" t="b">
        <x:v>0</x:v>
      </x:c>
      <x:c r="S3910" s="3" t="b">
        <x:v>0</x:v>
      </x:c>
      <x:c r="T3910" s="3" t="b">
        <x:v>0</x:v>
      </x:c>
      <x:c r="U3910" s="2" t="str">
        <x:f>IF(T3910=TRUE,"Priority review",IF(R3910=TRUE,"High cost",IF(S3910=TRUE,"Low quality","Benchmark")))</x:f>
        <x:v>Benchmark</x:v>
      </x:c>
    </x:row>
    <x:row r="3911">
      <x:c r="A3911" s="2" t="str">
        <x:v>050776</x:v>
      </x:c>
      <x:c r="B3911" s="2" t="str">
        <x:v>COLLEGE MEDICAL CENTER</x:v>
      </x:c>
      <x:c r="C3911" s="2" t="str">
        <x:v>LONG BEACH</x:v>
      </x:c>
      <x:c r="D3911" s="2" t="str">
        <x:v>CA</x:v>
      </x:c>
      <x:c r="E3911" s="2" t="str">
        <x:v>Acute Care Hospitals</x:v>
      </x:c>
      <x:c r="F3911" s="2" t="str">
        <x:v>Proprietary</x:v>
      </x:c>
      <x:c r="G3911" s="2" t="str">
        <x:v>Medium (100-299 beds)</x:v>
      </x:c>
      <x:c r="H3911" s="7" t="n">
        <x:v>3</x:v>
      </x:c>
      <x:c r="I3911" s="7"/>
      <x:c r="J3911" s="7" t="n">
        <x:v>1.36</x:v>
      </x:c>
      <x:c r="K3911" s="8" t="n">
        <x:v>220</x:v>
      </x:c>
      <x:c r="L3911" s="8" t="n">
        <x:v>7922</x:v>
      </x:c>
      <x:c r="M3911" s="9" t="n">
        <x:v>0.7657352211</x:v>
      </x:c>
      <x:c r="N3911" s="10" t="n">
        <x:v>24018.0074476142</x:v>
      </x:c>
      <x:c r="O3911" s="9" t="n">
        <x:v>-0.0124713134</x:v>
      </x:c>
      <x:c r="P3911" s="9" t="n">
        <x:v>0.2078239609</x:v>
      </x:c>
      <x:c r="Q3911" s="9" t="n">
        <x:v>0.3023634882</x:v>
      </x:c>
      <x:c r="R3911" s="3" t="b">
        <x:v>0</x:v>
      </x:c>
      <x:c r="S3911" s="3" t="b">
        <x:v>0</x:v>
      </x:c>
      <x:c r="T3911" s="3" t="b">
        <x:v>0</x:v>
      </x:c>
      <x:c r="U3911" s="2" t="str">
        <x:f>IF(T3911=TRUE,"Priority review",IF(R3911=TRUE,"High cost",IF(S3911=TRUE,"Low quality","Benchmark")))</x:f>
        <x:v>Benchmark</x:v>
      </x:c>
    </x:row>
    <x:row r="3912">
      <x:c r="A3912" s="2" t="str">
        <x:v>371331</x:v>
      </x:c>
      <x:c r="B3912" s="2" t="str">
        <x:v>DRUMRIGHT REGIONAL HOSPITAL</x:v>
      </x:c>
      <x:c r="C3912" s="2" t="str">
        <x:v>DRUMRIGHT</x:v>
      </x:c>
      <x:c r="D3912" s="2" t="str">
        <x:v>OK</x:v>
      </x:c>
      <x:c r="E3912" s="2" t="str">
        <x:v>Critical Access Hospitals</x:v>
      </x:c>
      <x:c r="F3912" s="2" t="str">
        <x:v>Government</x:v>
      </x:c>
      <x:c r="G3912" s="2" t="str">
        <x:v>Small (&lt;100 beds)</x:v>
      </x:c>
      <x:c r="H3912" s="7"/>
      <x:c r="I3912" s="7"/>
      <x:c r="J3912" s="7"/>
      <x:c r="K3912" s="8" t="n">
        <x:v>15</x:v>
      </x:c>
      <x:c r="L3912" s="8" t="n">
        <x:v>145</x:v>
      </x:c>
      <x:c r="M3912" s="9" t="n">
        <x:v>0.3535519126</x:v>
      </x:c>
      <x:c r="N3912" s="10" t="n">
        <x:v>82151.0344827586</x:v>
      </x:c>
      <x:c r="O3912" s="9" t="n">
        <x:v>-0.3898135333</x:v>
      </x:c>
      <x:c r="P3912" s="9" t="n">
        <x:v>0.2074349442</x:v>
      </x:c>
      <x:c r="Q3912" s="9" t="n">
        <x:v>0.292936803</x:v>
      </x:c>
      <x:c r="R3912" s="3" t="b">
        <x:v>0</x:v>
      </x:c>
      <x:c r="S3912" s="3" t="b">
        <x:v>0</x:v>
      </x:c>
      <x:c r="T3912" s="3" t="b">
        <x:v>0</x:v>
      </x:c>
      <x:c r="U3912" s="2" t="str">
        <x:f>IF(T3912=TRUE,"Priority review",IF(R3912=TRUE,"High cost",IF(S3912=TRUE,"Low quality","Benchmark")))</x:f>
        <x:v>Benchmark</x:v>
      </x:c>
    </x:row>
    <x:row r="3913">
      <x:c r="A3913" s="2" t="str">
        <x:v>370178</x:v>
      </x:c>
      <x:c r="B3913" s="2" t="str">
        <x:v>MEMORIAL HOSPITAL</x:v>
      </x:c>
      <x:c r="C3913" s="2" t="str">
        <x:v>STILWELL</x:v>
      </x:c>
      <x:c r="D3913" s="2" t="str">
        <x:v>OK</x:v>
      </x:c>
      <x:c r="E3913" s="2" t="str">
        <x:v>Acute Care Hospitals</x:v>
      </x:c>
      <x:c r="F3913" s="2" t="str">
        <x:v>Voluntary non-profit</x:v>
      </x:c>
      <x:c r="G3913" s="2" t="str">
        <x:v>Small (&lt;100 beds)</x:v>
      </x:c>
      <x:c r="H3913" s="7" t="n">
        <x:v>4</x:v>
      </x:c>
      <x:c r="I3913" s="7"/>
      <x:c r="J3913" s="7" t="n">
        <x:v>0.81</x:v>
      </x:c>
      <x:c r="K3913" s="8" t="n">
        <x:v>30</x:v>
      </x:c>
      <x:c r="L3913" s="8" t="n">
        <x:v>355</x:v>
      </x:c>
      <x:c r="M3913" s="9" t="n">
        <x:v>0.0994520548</x:v>
      </x:c>
      <x:c r="N3913" s="10" t="n">
        <x:v>34007.0704225352</x:v>
      </x:c>
      <x:c r="O3913" s="9" t="n">
        <x:v>-0.2526864382</x:v>
      </x:c>
      <x:c r="P3913" s="9" t="n">
        <x:v>0.2073608618</x:v>
      </x:c>
      <x:c r="Q3913" s="9" t="n">
        <x:v>0.3913824057</x:v>
      </x:c>
      <x:c r="R3913" s="3" t="b">
        <x:v>0</x:v>
      </x:c>
      <x:c r="S3913" s="3" t="b">
        <x:v>0</x:v>
      </x:c>
      <x:c r="T3913" s="3" t="b">
        <x:v>0</x:v>
      </x:c>
      <x:c r="U3913" s="2" t="str">
        <x:f>IF(T3913=TRUE,"Priority review",IF(R3913=TRUE,"High cost",IF(S3913=TRUE,"Low quality","Benchmark")))</x:f>
        <x:v>Benchmark</x:v>
      </x:c>
    </x:row>
    <x:row r="3914">
      <x:c r="A3914" s="2" t="str">
        <x:v>454151</x:v>
      </x:c>
      <x:c r="B3914" s="2" t="str">
        <x:v>MEDICAL BEHAVIORAL HOSPITAL OF CLEAR LAKE, LLC</x:v>
      </x:c>
      <x:c r="C3914" s="2" t="str">
        <x:v>CLEAR LAKE CITY</x:v>
      </x:c>
      <x:c r="D3914" s="2" t="str">
        <x:v>TX</x:v>
      </x:c>
      <x:c r="E3914" s="2" t="str">
        <x:v>Psychiatric</x:v>
      </x:c>
      <x:c r="F3914" s="2" t="str">
        <x:v>Proprietary</x:v>
      </x:c>
      <x:c r="G3914" s="2" t="str">
        <x:v>Small (&lt;100 beds)</x:v>
      </x:c>
      <x:c r="H3914" s="7"/>
      <x:c r="I3914" s="7"/>
      <x:c r="J3914" s="7"/>
      <x:c r="K3914" s="8" t="n">
        <x:v>92</x:v>
      </x:c>
      <x:c r="L3914" s="8" t="n">
        <x:v>2420</x:v>
      </x:c>
      <x:c r="M3914" s="9" t="n">
        <x:v>0.756147541</x:v>
      </x:c>
      <x:c r="N3914" s="10" t="n">
        <x:v>7898.6516528926</x:v>
      </x:c>
      <x:c r="O3914" s="9" t="n">
        <x:v>-0.0569026758</x:v>
      </x:c>
      <x:c r="P3914" s="9" t="n">
        <x:v>0.2071197411</x:v>
      </x:c>
      <x:c r="Q3914" s="9" t="n">
        <x:v>0</x:v>
      </x:c>
      <x:c r="R3914" s="3" t="b">
        <x:v>0</x:v>
      </x:c>
      <x:c r="S3914" s="3" t="b">
        <x:v>0</x:v>
      </x:c>
      <x:c r="T3914" s="3" t="b">
        <x:v>0</x:v>
      </x:c>
      <x:c r="U3914" s="2" t="str">
        <x:f>IF(T3914=TRUE,"Priority review",IF(R3914=TRUE,"High cost",IF(S3914=TRUE,"Low quality","Benchmark")))</x:f>
        <x:v>Benchmark</x:v>
      </x:c>
    </x:row>
    <x:row r="3915">
      <x:c r="A3915" s="2" t="str">
        <x:v>110191</x:v>
      </x:c>
      <x:c r="B3915" s="2" t="str">
        <x:v>PIEDMONT HENRY HOSPITAL</x:v>
      </x:c>
      <x:c r="C3915" s="2" t="str">
        <x:v>STOCKBRIDGE</x:v>
      </x:c>
      <x:c r="D3915" s="2" t="str">
        <x:v>GA</x:v>
      </x:c>
      <x:c r="E3915" s="2" t="str">
        <x:v>Acute Care Hospitals</x:v>
      </x:c>
      <x:c r="F3915" s="2" t="str">
        <x:v>Government</x:v>
      </x:c>
      <x:c r="G3915" s="2" t="str">
        <x:v>Medium (100-299 beds)</x:v>
      </x:c>
      <x:c r="H3915" s="7" t="n">
        <x:v>2</x:v>
      </x:c>
      <x:c r="I3915" s="7" t="n">
        <x:v>2</x:v>
      </x:c>
      <x:c r="J3915" s="7" t="n">
        <x:v>0.99</x:v>
      </x:c>
      <x:c r="K3915" s="8" t="n">
        <x:v>294</x:v>
      </x:c>
      <x:c r="L3915" s="8" t="n">
        <x:v>19078</x:v>
      </x:c>
      <x:c r="M3915" s="9" t="n">
        <x:v>0.8659491194</x:v>
      </x:c>
      <x:c r="N3915" s="10" t="n">
        <x:v>24003.080249502</x:v>
      </x:c>
      <x:c r="O3915" s="9" t="n">
        <x:v>0.1867306716</x:v>
      </x:c>
      <x:c r="P3915" s="9" t="n">
        <x:v>0.207008965</x:v>
      </x:c>
      <x:c r="Q3915" s="9" t="n">
        <x:v>0.0782396088</x:v>
      </x:c>
      <x:c r="R3915" s="3" t="b">
        <x:v>0</x:v>
      </x:c>
      <x:c r="S3915" s="3" t="b">
        <x:v>1</x:v>
      </x:c>
      <x:c r="T3915" s="3" t="b">
        <x:v>0</x:v>
      </x:c>
      <x:c r="U3915" s="2" t="str">
        <x:f>IF(T3915=TRUE,"Priority review",IF(R3915=TRUE,"High cost",IF(S3915=TRUE,"Low quality","Benchmark")))</x:f>
        <x:v>Low quality</x:v>
      </x:c>
    </x:row>
    <x:row r="3916">
      <x:c r="A3916" s="2" t="str">
        <x:v>251324</x:v>
      </x:c>
      <x:c r="B3916" s="2" t="str">
        <x:v>WALTHALL COUNTY GENERAL HOSPITAL CAH</x:v>
      </x:c>
      <x:c r="C3916" s="2" t="str">
        <x:v>TYLERTOWN</x:v>
      </x:c>
      <x:c r="D3916" s="2" t="str">
        <x:v>MS</x:v>
      </x:c>
      <x:c r="E3916" s="2" t="str">
        <x:v>Critical Access Hospitals</x:v>
      </x:c>
      <x:c r="F3916" s="2" t="str">
        <x:v>Government</x:v>
      </x:c>
      <x:c r="G3916" s="2" t="str">
        <x:v>Small (&lt;100 beds)</x:v>
      </x:c>
      <x:c r="H3916" s="7"/>
      <x:c r="I3916" s="7"/>
      <x:c r="J3916" s="7"/>
      <x:c r="K3916" s="8" t="n">
        <x:v>25</x:v>
      </x:c>
      <x:c r="L3916" s="8" t="n">
        <x:v>149</x:v>
      </x:c>
      <x:c r="M3916" s="9" t="n">
        <x:v>0.1679781421</x:v>
      </x:c>
      <x:c r="N3916" s="10" t="n">
        <x:v>82026.1409395973</x:v>
      </x:c>
      <x:c r="O3916" s="9" t="n">
        <x:v>-0.0357974399</x:v>
      </x:c>
      <x:c r="P3916" s="9" t="n">
        <x:v>0.2066914498</x:v>
      </x:c>
      <x:c r="Q3916" s="9" t="n">
        <x:v>0.292936803</x:v>
      </x:c>
      <x:c r="R3916" s="3" t="b">
        <x:v>0</x:v>
      </x:c>
      <x:c r="S3916" s="3" t="b">
        <x:v>0</x:v>
      </x:c>
      <x:c r="T3916" s="3" t="b">
        <x:v>0</x:v>
      </x:c>
      <x:c r="U3916" s="2" t="str">
        <x:f>IF(T3916=TRUE,"Priority review",IF(R3916=TRUE,"High cost",IF(S3916=TRUE,"Low quality","Benchmark")))</x:f>
        <x:v>Benchmark</x:v>
      </x:c>
    </x:row>
    <x:row r="3917">
      <x:c r="A3917" s="2" t="str">
        <x:v>450034</x:v>
      </x:c>
      <x:c r="B3917" s="2" t="str">
        <x:v>CHRISTUS SOUTHEAST TEXAS- ST ELIZABETH</x:v>
      </x:c>
      <x:c r="C3917" s="2" t="str">
        <x:v>BEAUMONT</x:v>
      </x:c>
      <x:c r="D3917" s="2" t="str">
        <x:v>TX</x:v>
      </x:c>
      <x:c r="E3917" s="2" t="str">
        <x:v>Acute Care Hospitals</x:v>
      </x:c>
      <x:c r="F3917" s="2" t="str">
        <x:v>Voluntary non-profit</x:v>
      </x:c>
      <x:c r="G3917" s="2" t="str">
        <x:v>Large (300+ beds)</x:v>
      </x:c>
      <x:c r="H3917" s="7" t="n">
        <x:v>4</x:v>
      </x:c>
      <x:c r="I3917" s="7" t="n">
        <x:v>3</x:v>
      </x:c>
      <x:c r="J3917" s="7" t="n">
        <x:v>1.09</x:v>
      </x:c>
      <x:c r="K3917" s="8" t="n">
        <x:v>349</x:v>
      </x:c>
      <x:c r="L3917" s="8" t="n">
        <x:v>16126</x:v>
      </x:c>
      <x:c r="M3917" s="9" t="n">
        <x:v>0.5891745496</x:v>
      </x:c>
      <x:c r="N3917" s="10" t="n">
        <x:v>26940.7125139526</x:v>
      </x:c>
      <x:c r="O3917" s="9" t="n">
        <x:v>0.0079980787</x:v>
      </x:c>
      <x:c r="P3917" s="9" t="n">
        <x:v>0.2066246057</x:v>
      </x:c>
      <x:c r="Q3917" s="9" t="n">
        <x:v>0.5899053628</x:v>
      </x:c>
      <x:c r="R3917" s="3" t="b">
        <x:v>0</x:v>
      </x:c>
      <x:c r="S3917" s="3" t="b">
        <x:v>0</x:v>
      </x:c>
      <x:c r="T3917" s="3" t="b">
        <x:v>0</x:v>
      </x:c>
      <x:c r="U3917" s="2" t="str">
        <x:f>IF(T3917=TRUE,"Priority review",IF(R3917=TRUE,"High cost",IF(S3917=TRUE,"Low quality","Benchmark")))</x:f>
        <x:v>Benchmark</x:v>
      </x:c>
    </x:row>
    <x:row r="3918">
      <x:c r="A3918" s="2" t="str">
        <x:v>010079</x:v>
      </x:c>
      <x:c r="B3918" s="2" t="str">
        <x:v>ATHENS LIMESTONE HOSPITAL</x:v>
      </x:c>
      <x:c r="C3918" s="2" t="str">
        <x:v>ATHENS</x:v>
      </x:c>
      <x:c r="D3918" s="2" t="str">
        <x:v>AL</x:v>
      </x:c>
      <x:c r="E3918" s="2" t="str">
        <x:v>Acute Care Hospitals</x:v>
      </x:c>
      <x:c r="F3918" s="2" t="str">
        <x:v>Government</x:v>
      </x:c>
      <x:c r="G3918" s="2" t="str">
        <x:v>Small (&lt;100 beds)</x:v>
      </x:c>
      <x:c r="H3918" s="7" t="n">
        <x:v>2</x:v>
      </x:c>
      <x:c r="I3918" s="7" t="n">
        <x:v>4</x:v>
      </x:c>
      <x:c r="J3918" s="7" t="n">
        <x:v>1.06</x:v>
      </x:c>
      <x:c r="K3918" s="8" t="n">
        <x:v>66</x:v>
      </x:c>
      <x:c r="L3918" s="8" t="n">
        <x:v>3497</x:v>
      </x:c>
      <x:c r="M3918" s="9" t="n">
        <x:v>0.5830220008</x:v>
      </x:c>
      <x:c r="N3918" s="10" t="n">
        <x:v>33971.8933371461</x:v>
      </x:c>
      <x:c r="O3918" s="9" t="n">
        <x:v>-0.0628613044</x:v>
      </x:c>
      <x:c r="P3918" s="9" t="n">
        <x:v>0.2064631957</x:v>
      </x:c>
      <x:c r="Q3918" s="9" t="n">
        <x:v>0.0350089767</x:v>
      </x:c>
      <x:c r="R3918" s="3" t="b">
        <x:v>0</x:v>
      </x:c>
      <x:c r="S3918" s="3" t="b">
        <x:v>1</x:v>
      </x:c>
      <x:c r="T3918" s="3" t="b">
        <x:v>0</x:v>
      </x:c>
      <x:c r="U3918" s="2" t="str">
        <x:f>IF(T3918=TRUE,"Priority review",IF(R3918=TRUE,"High cost",IF(S3918=TRUE,"Low quality","Benchmark")))</x:f>
        <x:v>Low quality</x:v>
      </x:c>
    </x:row>
    <x:row r="3919">
      <x:c r="A3919" s="2" t="str">
        <x:v>390334</x:v>
      </x:c>
      <x:c r="B3919" s="2" t="str">
        <x:v>AHN WEXFORD HOSPITAL</x:v>
      </x:c>
      <x:c r="C3919" s="2" t="str">
        <x:v>WEXFORD</x:v>
      </x:c>
      <x:c r="D3919" s="2" t="str">
        <x:v>PA</x:v>
      </x:c>
      <x:c r="E3919" s="2" t="str">
        <x:v>Acute Care Hospitals</x:v>
      </x:c>
      <x:c r="F3919" s="2" t="str">
        <x:v>Voluntary non-profit</x:v>
      </x:c>
      <x:c r="G3919" s="2" t="str">
        <x:v>Medium (100-299 beds)</x:v>
      </x:c>
      <x:c r="H3919" s="7" t="n">
        <x:v>5</x:v>
      </x:c>
      <x:c r="I3919" s="7" t="n">
        <x:v>5</x:v>
      </x:c>
      <x:c r="J3919" s="7" t="n">
        <x:v>0.96</x:v>
      </x:c>
      <x:c r="K3919" s="8" t="n">
        <x:v>144</x:v>
      </x:c>
      <x:c r="L3919" s="8" t="n">
        <x:v>8222</x:v>
      </x:c>
      <x:c r="M3919" s="9" t="n">
        <x:v>0.490848554</x:v>
      </x:c>
      <x:c r="N3919" s="10" t="n">
        <x:v>23986.1138409146</x:v>
      </x:c>
      <x:c r="O3919" s="9" t="n">
        <x:v>0.1537659181</x:v>
      </x:c>
      <x:c r="P3919" s="9" t="n">
        <x:v>0.206193969</x:v>
      </x:c>
      <x:c r="Q3919" s="9" t="n">
        <x:v>0.8744906275</x:v>
      </x:c>
      <x:c r="R3919" s="3" t="b">
        <x:v>0</x:v>
      </x:c>
      <x:c r="S3919" s="3" t="b">
        <x:v>0</x:v>
      </x:c>
      <x:c r="T3919" s="3" t="b">
        <x:v>0</x:v>
      </x:c>
      <x:c r="U3919" s="2" t="str">
        <x:f>IF(T3919=TRUE,"Priority review",IF(R3919=TRUE,"High cost",IF(S3919=TRUE,"Low quality","Benchmark")))</x:f>
        <x:v>Benchmark</x:v>
      </x:c>
    </x:row>
    <x:row r="3920">
      <x:c r="A3920" s="2" t="str">
        <x:v>231333</x:v>
      </x:c>
      <x:c r="B3920" s="2" t="str">
        <x:v>ASPIRUS IRONWOOD HOSPITAL</x:v>
      </x:c>
      <x:c r="C3920" s="2" t="str">
        <x:v>IRONWOOD</x:v>
      </x:c>
      <x:c r="D3920" s="2" t="str">
        <x:v>MI</x:v>
      </x:c>
      <x:c r="E3920" s="2" t="str">
        <x:v>Critical Access Hospitals</x:v>
      </x:c>
      <x:c r="F3920" s="2" t="str">
        <x:v>Voluntary non-profit</x:v>
      </x:c>
      <x:c r="G3920" s="2" t="str">
        <x:v>Small (&lt;100 beds)</x:v>
      </x:c>
      <x:c r="H3920" s="7"/>
      <x:c r="I3920" s="7" t="n">
        <x:v>4</x:v>
      </x:c>
      <x:c r="J3920" s="7"/>
      <x:c r="K3920" s="8" t="n">
        <x:v>25</x:v>
      </x:c>
      <x:c r="L3920" s="8" t="n">
        <x:v>969</x:v>
      </x:c>
      <x:c r="M3920" s="9" t="n">
        <x:v>0.5223013699</x:v>
      </x:c>
      <x:c r="N3920" s="10" t="n">
        <x:v>81960.7667698658</x:v>
      </x:c>
      <x:c r="O3920" s="9" t="n">
        <x:v>0.0691892347</x:v>
      </x:c>
      <x:c r="P3920" s="9" t="n">
        <x:v>0.2059479554</x:v>
      </x:c>
      <x:c r="Q3920" s="9" t="n">
        <x:v>0.292936803</x:v>
      </x:c>
      <x:c r="R3920" s="3" t="b">
        <x:v>0</x:v>
      </x:c>
      <x:c r="S3920" s="3" t="b">
        <x:v>0</x:v>
      </x:c>
      <x:c r="T3920" s="3" t="b">
        <x:v>0</x:v>
      </x:c>
      <x:c r="U3920" s="2" t="str">
        <x:f>IF(T3920=TRUE,"Priority review",IF(R3920=TRUE,"High cost",IF(S3920=TRUE,"Low quality","Benchmark")))</x:f>
        <x:v>Benchmark</x:v>
      </x:c>
    </x:row>
    <x:row r="3921">
      <x:c r="A3921" s="2" t="str">
        <x:v>040050</x:v>
      </x:c>
      <x:c r="B3921" s="2" t="str">
        <x:v>OUACHITA COUNTY MEDICAL CENTER</x:v>
      </x:c>
      <x:c r="C3921" s="2" t="str">
        <x:v>CAMDEN</x:v>
      </x:c>
      <x:c r="D3921" s="2" t="str">
        <x:v>AR</x:v>
      </x:c>
      <x:c r="E3921" s="2" t="str">
        <x:v>Acute Care Hospitals</x:v>
      </x:c>
      <x:c r="F3921" s="2" t="str">
        <x:v>Voluntary non-profit</x:v>
      </x:c>
      <x:c r="G3921" s="2" t="str">
        <x:v>Small (&lt;100 beds)</x:v>
      </x:c>
      <x:c r="H3921" s="7" t="n">
        <x:v>2</x:v>
      </x:c>
      <x:c r="I3921" s="7"/>
      <x:c r="J3921" s="7" t="n">
        <x:v>1.04</x:v>
      </x:c>
      <x:c r="K3921" s="8" t="n">
        <x:v>50</x:v>
      </x:c>
      <x:c r="L3921" s="8" t="n">
        <x:v>939</x:v>
      </x:c>
      <x:c r="M3921" s="9" t="n">
        <x:v>0.2031693989</x:v>
      </x:c>
      <x:c r="N3921" s="10" t="n">
        <x:v>33940.2609158679</x:v>
      </x:c>
      <x:c r="O3921" s="9" t="n">
        <x:v>-0.146859318</x:v>
      </x:c>
      <x:c r="P3921" s="9" t="n">
        <x:v>0.2055655296</x:v>
      </x:c>
      <x:c r="Q3921" s="9" t="n">
        <x:v>0.0350089767</x:v>
      </x:c>
      <x:c r="R3921" s="3" t="b">
        <x:v>0</x:v>
      </x:c>
      <x:c r="S3921" s="3" t="b">
        <x:v>1</x:v>
      </x:c>
      <x:c r="T3921" s="3" t="b">
        <x:v>0</x:v>
      </x:c>
      <x:c r="U3921" s="2" t="str">
        <x:f>IF(T3921=TRUE,"Priority review",IF(R3921=TRUE,"High cost",IF(S3921=TRUE,"Low quality","Benchmark")))</x:f>
        <x:v>Low quality</x:v>
      </x:c>
    </x:row>
    <x:row r="3922">
      <x:c r="A3922" s="2" t="str">
        <x:v>050755</x:v>
      </x:c>
      <x:c r="B3922" s="2" t="str">
        <x:v>SHERMAN OAKS HOSPITAL</x:v>
      </x:c>
      <x:c r="C3922" s="2" t="str">
        <x:v>SHERMAN OAKS</x:v>
      </x:c>
      <x:c r="D3922" s="2" t="str">
        <x:v>CA</x:v>
      </x:c>
      <x:c r="E3922" s="2" t="str">
        <x:v>Acute Care Hospitals</x:v>
      </x:c>
      <x:c r="F3922" s="2" t="str">
        <x:v>Voluntary non-profit</x:v>
      </x:c>
      <x:c r="G3922" s="2" t="str">
        <x:v>Medium (100-299 beds)</x:v>
      </x:c>
      <x:c r="H3922" s="7" t="n">
        <x:v>2</x:v>
      </x:c>
      <x:c r="I3922" s="7" t="n">
        <x:v>1</x:v>
      </x:c>
      <x:c r="J3922" s="7" t="n">
        <x:v>1.19</x:v>
      </x:c>
      <x:c r="K3922" s="8" t="n">
        <x:v>112</x:v>
      </x:c>
      <x:c r="L3922" s="8" t="n">
        <x:v>4318</x:v>
      </x:c>
      <x:c r="M3922" s="9" t="n">
        <x:v>0.4782640515</x:v>
      </x:c>
      <x:c r="N3922" s="10" t="n">
        <x:v>23976.211208893</x:v>
      </x:c>
      <x:c r="O3922" s="9" t="n">
        <x:v>0.0798577324</x:v>
      </x:c>
      <x:c r="P3922" s="9" t="n">
        <x:v>0.2053789731</x:v>
      </x:c>
      <x:c r="Q3922" s="9" t="n">
        <x:v>0.0782396088</x:v>
      </x:c>
      <x:c r="R3922" s="3" t="b">
        <x:v>0</x:v>
      </x:c>
      <x:c r="S3922" s="3" t="b">
        <x:v>1</x:v>
      </x:c>
      <x:c r="T3922" s="3" t="b">
        <x:v>0</x:v>
      </x:c>
      <x:c r="U3922" s="2" t="str">
        <x:f>IF(T3922=TRUE,"Priority review",IF(R3922=TRUE,"High cost",IF(S3922=TRUE,"Low quality","Benchmark")))</x:f>
        <x:v>Low quality</x:v>
      </x:c>
    </x:row>
    <x:row r="3923">
      <x:c r="A3923" s="2" t="str">
        <x:v>271300</x:v>
      </x:c>
      <x:c r="B3923" s="2" t="str">
        <x:v>POPLAR COMMUNITY HOSPITAL</x:v>
      </x:c>
      <x:c r="C3923" s="2" t="str">
        <x:v>POPLAR</x:v>
      </x:c>
      <x:c r="D3923" s="2" t="str">
        <x:v>MT</x:v>
      </x:c>
      <x:c r="E3923" s="2" t="str">
        <x:v>Critical Access Hospitals</x:v>
      </x:c>
      <x:c r="F3923" s="2" t="str">
        <x:v>Voluntary non-profit</x:v>
      </x:c>
      <x:c r="G3923" s="2" t="str">
        <x:v>Small (&lt;100 beds)</x:v>
      </x:c>
      <x:c r="H3923" s="7"/>
      <x:c r="I3923" s="7"/>
      <x:c r="J3923" s="7"/>
      <x:c r="K3923" s="8" t="n">
        <x:v>20</x:v>
      </x:c>
      <x:c r="L3923" s="8" t="n">
        <x:v>163</x:v>
      </x:c>
      <x:c r="M3923" s="9" t="n">
        <x:v>0.0598630137</x:v>
      </x:c>
      <x:c r="N3923" s="10" t="n">
        <x:v>81793.1349693252</x:v>
      </x:c>
      <x:c r="O3923" s="9" t="n">
        <x:v>-0.0456971473</x:v>
      </x:c>
      <x:c r="P3923" s="9" t="n">
        <x:v>0.205204461</x:v>
      </x:c>
      <x:c r="Q3923" s="9" t="n">
        <x:v>0.292936803</x:v>
      </x:c>
      <x:c r="R3923" s="3" t="b">
        <x:v>0</x:v>
      </x:c>
      <x:c r="S3923" s="3" t="b">
        <x:v>0</x:v>
      </x:c>
      <x:c r="T3923" s="3" t="b">
        <x:v>0</x:v>
      </x:c>
      <x:c r="U3923" s="2" t="str">
        <x:f>IF(T3923=TRUE,"Priority review",IF(R3923=TRUE,"High cost",IF(S3923=TRUE,"Low quality","Benchmark")))</x:f>
        <x:v>Benchmark</x:v>
      </x:c>
    </x:row>
    <x:row r="3924">
      <x:c r="A3924" s="2" t="str">
        <x:v>390258</x:v>
      </x:c>
      <x:c r="B3924" s="2" t="str">
        <x:v>ST MARY MEDICAL CENTER</x:v>
      </x:c>
      <x:c r="C3924" s="2" t="str">
        <x:v>LANGHORNE</x:v>
      </x:c>
      <x:c r="D3924" s="2" t="str">
        <x:v>PA</x:v>
      </x:c>
      <x:c r="E3924" s="2" t="str">
        <x:v>Acute Care Hospitals</x:v>
      </x:c>
      <x:c r="F3924" s="2" t="str">
        <x:v>Voluntary non-profit</x:v>
      </x:c>
      <x:c r="G3924" s="2" t="str">
        <x:v>Large (300+ beds)</x:v>
      </x:c>
      <x:c r="H3924" s="7" t="n">
        <x:v>2</x:v>
      </x:c>
      <x:c r="I3924" s="7" t="n">
        <x:v>2</x:v>
      </x:c>
      <x:c r="J3924" s="7" t="n">
        <x:v>1.07</x:v>
      </x:c>
      <x:c r="K3924" s="8" t="n">
        <x:v>348</x:v>
      </x:c>
      <x:c r="L3924" s="8" t="n">
        <x:v>15218</x:v>
      </x:c>
      <x:c r="M3924" s="9" t="n">
        <x:v>0.5316091954</x:v>
      </x:c>
      <x:c r="N3924" s="10" t="n">
        <x:v>26895.7241424629</x:v>
      </x:c>
      <x:c r="O3924" s="9" t="n">
        <x:v>-0.0725463143</x:v>
      </x:c>
      <x:c r="P3924" s="9" t="n">
        <x:v>0.2050473186</x:v>
      </x:c>
      <x:c r="Q3924" s="9" t="n">
        <x:v>0.0536277603</x:v>
      </x:c>
      <x:c r="R3924" s="3" t="b">
        <x:v>0</x:v>
      </x:c>
      <x:c r="S3924" s="3" t="b">
        <x:v>1</x:v>
      </x:c>
      <x:c r="T3924" s="3" t="b">
        <x:v>0</x:v>
      </x:c>
      <x:c r="U3924" s="2" t="str">
        <x:f>IF(T3924=TRUE,"Priority review",IF(R3924=TRUE,"High cost",IF(S3924=TRUE,"Low quality","Benchmark")))</x:f>
        <x:v>Low quality</x:v>
      </x:c>
    </x:row>
    <x:row r="3925">
      <x:c r="A3925" s="2" t="str">
        <x:v>250020</x:v>
      </x:c>
      <x:c r="B3925" s="2" t="str">
        <x:v>WEBSTER GENERAL HOSPITAL/ SWING BED</x:v>
      </x:c>
      <x:c r="C3925" s="2" t="str">
        <x:v>EUPORA</x:v>
      </x:c>
      <x:c r="D3925" s="2" t="str">
        <x:v>MS</x:v>
      </x:c>
      <x:c r="E3925" s="2" t="str">
        <x:v>Acute Care Hospitals</x:v>
      </x:c>
      <x:c r="F3925" s="2" t="str">
        <x:v>Voluntary non-profit</x:v>
      </x:c>
      <x:c r="G3925" s="2" t="str">
        <x:v>Small (&lt;100 beds)</x:v>
      </x:c>
      <x:c r="H3925" s="7" t="n">
        <x:v>4</x:v>
      </x:c>
      <x:c r="I3925" s="7" t="n">
        <x:v>4</x:v>
      </x:c>
      <x:c r="J3925" s="7" t="n">
        <x:v>0.91</x:v>
      </x:c>
      <x:c r="K3925" s="8" t="n">
        <x:v>38</x:v>
      </x:c>
      <x:c r="L3925" s="8" t="n">
        <x:v>738</x:v>
      </x:c>
      <x:c r="M3925" s="9" t="n">
        <x:v>0.3646102962</x:v>
      </x:c>
      <x:c r="N3925" s="10" t="n">
        <x:v>33896.0081300813</x:v>
      </x:c>
      <x:c r="O3925" s="9" t="n">
        <x:v>-0.0382510377</x:v>
      </x:c>
      <x:c r="P3925" s="9" t="n">
        <x:v>0.2046678636</x:v>
      </x:c>
      <x:c r="Q3925" s="9" t="n">
        <x:v>0.3913824057</x:v>
      </x:c>
      <x:c r="R3925" s="3" t="b">
        <x:v>0</x:v>
      </x:c>
      <x:c r="S3925" s="3" t="b">
        <x:v>0</x:v>
      </x:c>
      <x:c r="T3925" s="3" t="b">
        <x:v>0</x:v>
      </x:c>
      <x:c r="U3925" s="2" t="str">
        <x:f>IF(T3925=TRUE,"Priority review",IF(R3925=TRUE,"High cost",IF(S3925=TRUE,"Low quality","Benchmark")))</x:f>
        <x:v>Benchmark</x:v>
      </x:c>
    </x:row>
    <x:row r="3926">
      <x:c r="A3926" s="2" t="str">
        <x:v>030085</x:v>
      </x:c>
      <x:c r="B3926" s="2" t="str">
        <x:v>NORTHWEST MEDICAL CENTER</x:v>
      </x:c>
      <x:c r="C3926" s="2" t="str">
        <x:v>TUCSON</x:v>
      </x:c>
      <x:c r="D3926" s="2" t="str">
        <x:v>AZ</x:v>
      </x:c>
      <x:c r="E3926" s="2" t="str">
        <x:v>Acute Care Hospitals</x:v>
      </x:c>
      <x:c r="F3926" s="2" t="str">
        <x:v>Proprietary</x:v>
      </x:c>
      <x:c r="G3926" s="2" t="str">
        <x:v>Medium (100-299 beds)</x:v>
      </x:c>
      <x:c r="H3926" s="7" t="n">
        <x:v>2</x:v>
      </x:c>
      <x:c r="I3926" s="7" t="n">
        <x:v>1</x:v>
      </x:c>
      <x:c r="J3926" s="7" t="n">
        <x:v>1.01</x:v>
      </x:c>
      <x:c r="K3926" s="8" t="n">
        <x:v>252</x:v>
      </x:c>
      <x:c r="L3926" s="8" t="n">
        <x:v>13486</x:v>
      </x:c>
      <x:c r="M3926" s="9" t="n">
        <x:v>0.6604432301</x:v>
      </x:c>
      <x:c r="N3926" s="10" t="n">
        <x:v>23975.9081269465</x:v>
      </x:c>
      <x:c r="O3926" s="9" t="n">
        <x:v>0.0495452342</x:v>
      </x:c>
      <x:c r="P3926" s="9" t="n">
        <x:v>0.2045639772</x:v>
      </x:c>
      <x:c r="Q3926" s="9" t="n">
        <x:v>0.0782396088</x:v>
      </x:c>
      <x:c r="R3926" s="3" t="b">
        <x:v>0</x:v>
      </x:c>
      <x:c r="S3926" s="3" t="b">
        <x:v>1</x:v>
      </x:c>
      <x:c r="T3926" s="3" t="b">
        <x:v>0</x:v>
      </x:c>
      <x:c r="U3926" s="2" t="str">
        <x:f>IF(T3926=TRUE,"Priority review",IF(R3926=TRUE,"High cost",IF(S3926=TRUE,"Low quality","Benchmark")))</x:f>
        <x:v>Low quality</x:v>
      </x:c>
    </x:row>
    <x:row r="3927">
      <x:c r="A3927" s="2" t="str">
        <x:v>041306</x:v>
      </x:c>
      <x:c r="B3927" s="2" t="str">
        <x:v>IZARD REGIONAL HOSPITAL LLC</x:v>
      </x:c>
      <x:c r="C3927" s="2" t="str">
        <x:v>CALICO ROCK</x:v>
      </x:c>
      <x:c r="D3927" s="2" t="str">
        <x:v>AR</x:v>
      </x:c>
      <x:c r="E3927" s="2" t="str">
        <x:v>Critical Access Hospitals</x:v>
      </x:c>
      <x:c r="F3927" s="2" t="str">
        <x:v>Voluntary non-profit</x:v>
      </x:c>
      <x:c r="G3927" s="2" t="str">
        <x:v>Small (&lt;100 beds)</x:v>
      </x:c>
      <x:c r="H3927" s="7"/>
      <x:c r="I3927" s="7"/>
      <x:c r="J3927" s="7"/>
      <x:c r="K3927" s="8" t="n">
        <x:v>25</x:v>
      </x:c>
      <x:c r="L3927" s="8" t="n">
        <x:v>135</x:v>
      </x:c>
      <x:c r="M3927" s="9" t="n">
        <x:v>0.0734246575</x:v>
      </x:c>
      <x:c r="N3927" s="10" t="n">
        <x:v>81248.4814814815</x:v>
      </x:c>
      <x:c r="O3927" s="9" t="n">
        <x:v>-0.1888714888</x:v>
      </x:c>
      <x:c r="P3927" s="9" t="n">
        <x:v>0.2044609665</x:v>
      </x:c>
      <x:c r="Q3927" s="9" t="n">
        <x:v>0.292936803</x:v>
      </x:c>
      <x:c r="R3927" s="3" t="b">
        <x:v>0</x:v>
      </x:c>
      <x:c r="S3927" s="3" t="b">
        <x:v>0</x:v>
      </x:c>
      <x:c r="T3927" s="3" t="b">
        <x:v>0</x:v>
      </x:c>
      <x:c r="U3927" s="2" t="str">
        <x:f>IF(T3927=TRUE,"Priority review",IF(R3927=TRUE,"High cost",IF(S3927=TRUE,"Low quality","Benchmark")))</x:f>
        <x:v>Benchmark</x:v>
      </x:c>
    </x:row>
    <x:row r="3928">
      <x:c r="A3928" s="2" t="str">
        <x:v>054053</x:v>
      </x:c>
      <x:c r="B3928" s="2" t="str">
        <x:v>DEL AMO HOSPITAL</x:v>
      </x:c>
      <x:c r="C3928" s="2" t="str">
        <x:v>TORRANCE</x:v>
      </x:c>
      <x:c r="D3928" s="2" t="str">
        <x:v>CA</x:v>
      </x:c>
      <x:c r="E3928" s="2" t="str">
        <x:v>Psychiatric</x:v>
      </x:c>
      <x:c r="F3928" s="2" t="str">
        <x:v>Proprietary</x:v>
      </x:c>
      <x:c r="G3928" s="2" t="str">
        <x:v>Medium (100-299 beds)</x:v>
      </x:c>
      <x:c r="H3928" s="7"/>
      <x:c r="I3928" s="7"/>
      <x:c r="J3928" s="7"/>
      <x:c r="K3928" s="8" t="n">
        <x:v>166</x:v>
      </x:c>
      <x:c r="L3928" s="8" t="n">
        <x:v>6981</x:v>
      </x:c>
      <x:c r="M3928" s="9" t="n">
        <x:v>0.8707123576</x:v>
      </x:c>
      <x:c r="N3928" s="10" t="n">
        <x:v>6557.5898868357</x:v>
      </x:c>
      <x:c r="O3928" s="9" t="n">
        <x:v>0.2194342504</x:v>
      </x:c>
      <x:c r="P3928" s="9" t="n">
        <x:v>0.2039800995</x:v>
      </x:c>
      <x:c r="Q3928" s="9" t="n">
        <x:v>0</x:v>
      </x:c>
      <x:c r="R3928" s="3" t="b">
        <x:v>0</x:v>
      </x:c>
      <x:c r="S3928" s="3" t="b">
        <x:v>0</x:v>
      </x:c>
      <x:c r="T3928" s="3" t="b">
        <x:v>0</x:v>
      </x:c>
      <x:c r="U3928" s="2" t="str">
        <x:f>IF(T3928=TRUE,"Priority review",IF(R3928=TRUE,"High cost",IF(S3928=TRUE,"Low quality","Benchmark")))</x:f>
        <x:v>Benchmark</x:v>
      </x:c>
    </x:row>
    <x:row r="3929">
      <x:c r="A3929" s="2" t="str">
        <x:v>034035</x:v>
      </x:c>
      <x:c r="B3929" s="2" t="str">
        <x:v>AVENIR BEHAVIORAL HEALTH CENTER</x:v>
      </x:c>
      <x:c r="C3929" s="2" t="str">
        <x:v>SURPRISE</x:v>
      </x:c>
      <x:c r="D3929" s="2" t="str">
        <x:v>AZ</x:v>
      </x:c>
      <x:c r="E3929" s="2" t="str">
        <x:v>Psychiatric</x:v>
      </x:c>
      <x:c r="F3929" s="2" t="str">
        <x:v>Proprietary</x:v>
      </x:c>
      <x:c r="G3929" s="2" t="str">
        <x:v>Small (&lt;100 beds)</x:v>
      </x:c>
      <x:c r="H3929" s="7"/>
      <x:c r="I3929" s="7"/>
      <x:c r="J3929" s="7"/>
      <x:c r="K3929" s="8" t="n">
        <x:v>32</x:v>
      </x:c>
      <x:c r="L3929" s="8" t="n">
        <x:v>1304</x:v>
      </x:c>
      <x:c r="M3929" s="9" t="n">
        <x:v>0.9435621585</x:v>
      </x:c>
      <x:c r="N3929" s="10" t="n">
        <x:v>7825.8496932515</x:v>
      </x:c>
      <x:c r="O3929" s="9" t="n">
        <x:v>-0.142628791</x:v>
      </x:c>
      <x:c r="P3929" s="9" t="n">
        <x:v>0.2038834951</x:v>
      </x:c>
      <x:c r="Q3929" s="9" t="n">
        <x:v>0</x:v>
      </x:c>
      <x:c r="R3929" s="3" t="b">
        <x:v>0</x:v>
      </x:c>
      <x:c r="S3929" s="3" t="b">
        <x:v>0</x:v>
      </x:c>
      <x:c r="T3929" s="3" t="b">
        <x:v>0</x:v>
      </x:c>
      <x:c r="U3929" s="2" t="str">
        <x:f>IF(T3929=TRUE,"Priority review",IF(R3929=TRUE,"High cost",IF(S3929=TRUE,"Low quality","Benchmark")))</x:f>
        <x:v>Benchmark</x:v>
      </x:c>
    </x:row>
    <x:row r="3930">
      <x:c r="A3930" s="2" t="str">
        <x:v>150006</x:v>
      </x:c>
      <x:c r="B3930" s="2" t="str">
        <x:v>NORTHWEST HEALTH-LA PORTE</x:v>
      </x:c>
      <x:c r="C3930" s="2" t="str">
        <x:v>LA PORTE</x:v>
      </x:c>
      <x:c r="D3930" s="2" t="str">
        <x:v>IN</x:v>
      </x:c>
      <x:c r="E3930" s="2" t="str">
        <x:v>Acute Care Hospitals</x:v>
      </x:c>
      <x:c r="F3930" s="2" t="str">
        <x:v>Voluntary non-profit</x:v>
      </x:c>
      <x:c r="G3930" s="2" t="str">
        <x:v>Small (&lt;100 beds)</x:v>
      </x:c>
      <x:c r="H3930" s="7" t="n">
        <x:v>3</x:v>
      </x:c>
      <x:c r="I3930" s="7" t="n">
        <x:v>3</x:v>
      </x:c>
      <x:c r="J3930" s="7" t="n">
        <x:v>1.03</x:v>
      </x:c>
      <x:c r="K3930" s="8" t="n">
        <x:v>80</x:v>
      </x:c>
      <x:c r="L3930" s="8" t="n">
        <x:v>4632</x:v>
      </x:c>
      <x:c r="M3930" s="9" t="n">
        <x:v>0.7261270492</x:v>
      </x:c>
      <x:c r="N3930" s="10" t="n">
        <x:v>33784.4574697755</x:v>
      </x:c>
      <x:c r="O3930" s="9" t="n">
        <x:v>0.1093717716</x:v>
      </x:c>
      <x:c r="P3930" s="9" t="n">
        <x:v>0.2037701975</x:v>
      </x:c>
      <x:c r="Q3930" s="9" t="n">
        <x:v>0.1687612208</x:v>
      </x:c>
      <x:c r="R3930" s="3" t="b">
        <x:v>0</x:v>
      </x:c>
      <x:c r="S3930" s="3" t="b">
        <x:v>0</x:v>
      </x:c>
      <x:c r="T3930" s="3" t="b">
        <x:v>0</x:v>
      </x:c>
      <x:c r="U3930" s="2" t="str">
        <x:f>IF(T3930=TRUE,"Priority review",IF(R3930=TRUE,"High cost",IF(S3930=TRUE,"Low quality","Benchmark")))</x:f>
        <x:v>Benchmark</x:v>
      </x:c>
    </x:row>
    <x:row r="3931">
      <x:c r="A3931" s="2" t="str">
        <x:v>110165</x:v>
      </x:c>
      <x:c r="B3931" s="2" t="str">
        <x:v>SOUTHERN REGIONAL MEDICAL CENTER</x:v>
      </x:c>
      <x:c r="C3931" s="2" t="str">
        <x:v>RIVERDALE</x:v>
      </x:c>
      <x:c r="D3931" s="2" t="str">
        <x:v>GA</x:v>
      </x:c>
      <x:c r="E3931" s="2" t="str">
        <x:v>Acute Care Hospitals</x:v>
      </x:c>
      <x:c r="F3931" s="2" t="str">
        <x:v>Voluntary non-profit</x:v>
      </x:c>
      <x:c r="G3931" s="2" t="str">
        <x:v>Medium (100-299 beds)</x:v>
      </x:c>
      <x:c r="H3931" s="7" t="n">
        <x:v>1</x:v>
      </x:c>
      <x:c r="I3931" s="7" t="n">
        <x:v>2</x:v>
      </x:c>
      <x:c r="J3931" s="7" t="n">
        <x:v>1.05</x:v>
      </x:c>
      <x:c r="K3931" s="8" t="n">
        <x:v>233</x:v>
      </x:c>
      <x:c r="L3931" s="8" t="n">
        <x:v>5571</x:v>
      </x:c>
      <x:c r="M3931" s="9" t="n">
        <x:v>0.331234316</x:v>
      </x:c>
      <x:c r="N3931" s="10" t="n">
        <x:v>23971.6971818345</x:v>
      </x:c>
      <x:c r="O3931" s="9" t="n">
        <x:v>0.0526238685</x:v>
      </x:c>
      <x:c r="P3931" s="9" t="n">
        <x:v>0.2037489813</x:v>
      </x:c>
      <x:c r="Q3931" s="9" t="n">
        <x:v>0</x:v>
      </x:c>
      <x:c r="R3931" s="3" t="b">
        <x:v>0</x:v>
      </x:c>
      <x:c r="S3931" s="3" t="b">
        <x:v>1</x:v>
      </x:c>
      <x:c r="T3931" s="3" t="b">
        <x:v>0</x:v>
      </x:c>
      <x:c r="U3931" s="2" t="str">
        <x:f>IF(T3931=TRUE,"Priority review",IF(R3931=TRUE,"High cost",IF(S3931=TRUE,"Low quality","Benchmark")))</x:f>
        <x:v>Low quality</x:v>
      </x:c>
    </x:row>
    <x:row r="3932">
      <x:c r="A3932" s="2" t="str">
        <x:v>051337</x:v>
      </x:c>
      <x:c r="B3932" s="2" t="str">
        <x:v>HAZEL HAWKINS MEMORIAL HOSPITAL</x:v>
      </x:c>
      <x:c r="C3932" s="2" t="str">
        <x:v>HOLLISTER</x:v>
      </x:c>
      <x:c r="D3932" s="2" t="str">
        <x:v>CA</x:v>
      </x:c>
      <x:c r="E3932" s="2" t="str">
        <x:v>Critical Access Hospitals</x:v>
      </x:c>
      <x:c r="F3932" s="2" t="str">
        <x:v>Government</x:v>
      </x:c>
      <x:c r="G3932" s="2" t="str">
        <x:v>Small (&lt;100 beds)</x:v>
      </x:c>
      <x:c r="H3932" s="7"/>
      <x:c r="I3932" s="7"/>
      <x:c r="J3932" s="7"/>
      <x:c r="K3932" s="8" t="n">
        <x:v>25</x:v>
      </x:c>
      <x:c r="L3932" s="8" t="n">
        <x:v>1968</x:v>
      </x:c>
      <x:c r="M3932" s="9" t="n">
        <x:v>0.6603835616</x:v>
      </x:c>
      <x:c r="N3932" s="10" t="n">
        <x:v>81207.6961382114</x:v>
      </x:c>
      <x:c r="O3932" s="9" t="n">
        <x:v>-0.036236862</x:v>
      </x:c>
      <x:c r="P3932" s="9" t="n">
        <x:v>0.2037174721</x:v>
      </x:c>
      <x:c r="Q3932" s="9" t="n">
        <x:v>0.292936803</x:v>
      </x:c>
      <x:c r="R3932" s="3" t="b">
        <x:v>0</x:v>
      </x:c>
      <x:c r="S3932" s="3" t="b">
        <x:v>0</x:v>
      </x:c>
      <x:c r="T3932" s="3" t="b">
        <x:v>0</x:v>
      </x:c>
      <x:c r="U3932" s="2" t="str">
        <x:f>IF(T3932=TRUE,"Priority review",IF(R3932=TRUE,"High cost",IF(S3932=TRUE,"Low quality","Benchmark")))</x:f>
        <x:v>Benchmark</x:v>
      </x:c>
    </x:row>
    <x:row r="3933">
      <x:c r="A3933" s="2" t="str">
        <x:v>290045</x:v>
      </x:c>
      <x:c r="B3933" s="2" t="str">
        <x:v>SAINT ROSE DOMINICAN HOSPITALS - SIENA CAMPUS</x:v>
      </x:c>
      <x:c r="C3933" s="2" t="str">
        <x:v>HENDERSON</x:v>
      </x:c>
      <x:c r="D3933" s="2" t="str">
        <x:v>NV</x:v>
      </x:c>
      <x:c r="E3933" s="2" t="str">
        <x:v>Acute Care Hospitals</x:v>
      </x:c>
      <x:c r="F3933" s="2" t="str">
        <x:v>Voluntary non-profit</x:v>
      </x:c>
      <x:c r="G3933" s="2" t="str">
        <x:v>Large (300+ beds)</x:v>
      </x:c>
      <x:c r="H3933" s="7" t="n">
        <x:v>3</x:v>
      </x:c>
      <x:c r="I3933" s="7" t="n">
        <x:v>2</x:v>
      </x:c>
      <x:c r="J3933" s="7" t="n">
        <x:v>1.17</x:v>
      </x:c>
      <x:c r="K3933" s="8" t="n">
        <x:v>366</x:v>
      </x:c>
      <x:c r="L3933" s="8" t="n">
        <x:v>22136</x:v>
      </x:c>
      <x:c r="M3933" s="9" t="n">
        <x:v>0.8417665022</x:v>
      </x:c>
      <x:c r="N3933" s="10" t="n">
        <x:v>26888.3054752439</x:v>
      </x:c>
      <x:c r="O3933" s="9" t="n">
        <x:v>-0.0354312142</x:v>
      </x:c>
      <x:c r="P3933" s="9" t="n">
        <x:v>0.2034700315</x:v>
      </x:c>
      <x:c r="Q3933" s="9" t="n">
        <x:v>0.2570977918</x:v>
      </x:c>
      <x:c r="R3933" s="3" t="b">
        <x:v>0</x:v>
      </x:c>
      <x:c r="S3933" s="3" t="b">
        <x:v>0</x:v>
      </x:c>
      <x:c r="T3933" s="3" t="b">
        <x:v>0</x:v>
      </x:c>
      <x:c r="U3933" s="2" t="str">
        <x:f>IF(T3933=TRUE,"Priority review",IF(R3933=TRUE,"High cost",IF(S3933=TRUE,"Low quality","Benchmark")))</x:f>
        <x:v>Benchmark</x:v>
      </x:c>
    </x:row>
    <x:row r="3934">
      <x:c r="A3934" s="2" t="str">
        <x:v>261303</x:v>
      </x:c>
      <x:c r="B3934" s="2" t="str">
        <x:v>COMMUNITY HOSPITAL ASSOCIATION</x:v>
      </x:c>
      <x:c r="C3934" s="2" t="str">
        <x:v>FAIRFAX</x:v>
      </x:c>
      <x:c r="D3934" s="2" t="str">
        <x:v>MO</x:v>
      </x:c>
      <x:c r="E3934" s="2" t="str">
        <x:v>Critical Access Hospitals</x:v>
      </x:c>
      <x:c r="F3934" s="2" t="str">
        <x:v>Voluntary non-profit</x:v>
      </x:c>
      <x:c r="G3934" s="2" t="str">
        <x:v>Small (&lt;100 beds)</x:v>
      </x:c>
      <x:c r="H3934" s="7" t="n">
        <x:v>3</x:v>
      </x:c>
      <x:c r="I3934" s="7"/>
      <x:c r="J3934" s="7"/>
      <x:c r="K3934" s="8" t="n">
        <x:v>16</x:v>
      </x:c>
      <x:c r="L3934" s="8" t="n">
        <x:v>334</x:v>
      </x:c>
      <x:c r="M3934" s="9" t="n">
        <x:v>0.3186643836</x:v>
      </x:c>
      <x:c r="N3934" s="10" t="n">
        <x:v>81167.2814371258</x:v>
      </x:c>
      <x:c r="O3934" s="9" t="n">
        <x:v>-0.07383632</x:v>
      </x:c>
      <x:c r="P3934" s="9" t="n">
        <x:v>0.2029739777</x:v>
      </x:c>
      <x:c r="Q3934" s="9" t="n">
        <x:v>0.0765799257</x:v>
      </x:c>
      <x:c r="R3934" s="3" t="b">
        <x:v>0</x:v>
      </x:c>
      <x:c r="S3934" s="3" t="b">
        <x:v>1</x:v>
      </x:c>
      <x:c r="T3934" s="3" t="b">
        <x:v>0</x:v>
      </x:c>
      <x:c r="U3934" s="2" t="str">
        <x:f>IF(T3934=TRUE,"Priority review",IF(R3934=TRUE,"High cost",IF(S3934=TRUE,"Low quality","Benchmark")))</x:f>
        <x:v>Low quality</x:v>
      </x:c>
    </x:row>
    <x:row r="3935">
      <x:c r="A3935" s="2" t="str">
        <x:v>360239</x:v>
      </x:c>
      <x:c r="B3935" s="2" t="str">
        <x:v>KETTERING HEALTH MIAMISBURG</x:v>
      </x:c>
      <x:c r="C3935" s="2" t="str">
        <x:v>MIAMISBURG</x:v>
      </x:c>
      <x:c r="D3935" s="2" t="str">
        <x:v>OH</x:v>
      </x:c>
      <x:c r="E3935" s="2" t="str">
        <x:v>Acute Care Hospitals</x:v>
      </x:c>
      <x:c r="F3935" s="2" t="str">
        <x:v>Voluntary non-profit</x:v>
      </x:c>
      <x:c r="G3935" s="2" t="str">
        <x:v>Medium (100-299 beds)</x:v>
      </x:c>
      <x:c r="H3935" s="7" t="n">
        <x:v>4</x:v>
      </x:c>
      <x:c r="I3935" s="7" t="n">
        <x:v>4</x:v>
      </x:c>
      <x:c r="J3935" s="7" t="n">
        <x:v>1.04</x:v>
      </x:c>
      <x:c r="K3935" s="8" t="n">
        <x:v>165</x:v>
      </x:c>
      <x:c r="L3935" s="8" t="n">
        <x:v>7574</x:v>
      </x:c>
      <x:c r="M3935" s="9" t="n">
        <x:v>0.514290715</x:v>
      </x:c>
      <x:c r="N3935" s="10" t="n">
        <x:v>23951.35146554</x:v>
      </x:c>
      <x:c r="O3935" s="9" t="n">
        <x:v>0.1394388728</x:v>
      </x:c>
      <x:c r="P3935" s="9" t="n">
        <x:v>0.2029339853</x:v>
      </x:c>
      <x:c r="Q3935" s="9" t="n">
        <x:v>0.6022819886</x:v>
      </x:c>
      <x:c r="R3935" s="3" t="b">
        <x:v>0</x:v>
      </x:c>
      <x:c r="S3935" s="3" t="b">
        <x:v>0</x:v>
      </x:c>
      <x:c r="T3935" s="3" t="b">
        <x:v>0</x:v>
      </x:c>
      <x:c r="U3935" s="2" t="str">
        <x:f>IF(T3935=TRUE,"Priority review",IF(R3935=TRUE,"High cost",IF(S3935=TRUE,"Low quality","Benchmark")))</x:f>
        <x:v>Benchmark</x:v>
      </x:c>
    </x:row>
    <x:row r="3936">
      <x:c r="A3936" s="2" t="str">
        <x:v>260022</x:v>
      </x:c>
      <x:c r="B3936" s="2" t="str">
        <x:v>NORTHEAST REGIONAL MEDICAL CENTER</x:v>
      </x:c>
      <x:c r="C3936" s="2" t="str">
        <x:v>KIRKSVILLE</x:v>
      </x:c>
      <x:c r="D3936" s="2" t="str">
        <x:v>MO</x:v>
      </x:c>
      <x:c r="E3936" s="2" t="str">
        <x:v>Acute Care Hospitals</x:v>
      </x:c>
      <x:c r="F3936" s="2" t="str">
        <x:v>Proprietary</x:v>
      </x:c>
      <x:c r="G3936" s="2" t="str">
        <x:v>Small (&lt;100 beds)</x:v>
      </x:c>
      <x:c r="H3936" s="7" t="n">
        <x:v>2</x:v>
      </x:c>
      <x:c r="I3936" s="7" t="n">
        <x:v>3</x:v>
      </x:c>
      <x:c r="J3936" s="7" t="n">
        <x:v>0.98</x:v>
      </x:c>
      <x:c r="K3936" s="8" t="n">
        <x:v>51</x:v>
      </x:c>
      <x:c r="L3936" s="8" t="n">
        <x:v>1964</x:v>
      </x:c>
      <x:c r="M3936" s="9" t="n">
        <x:v>0.452269675</x:v>
      </x:c>
      <x:c r="N3936" s="10" t="n">
        <x:v>33753.3436863544</x:v>
      </x:c>
      <x:c r="O3936" s="9" t="n">
        <x:v>0.2054045144</x:v>
      </x:c>
      <x:c r="P3936" s="9" t="n">
        <x:v>0.2028725314</x:v>
      </x:c>
      <x:c r="Q3936" s="9" t="n">
        <x:v>0.0350089767</x:v>
      </x:c>
      <x:c r="R3936" s="3" t="b">
        <x:v>0</x:v>
      </x:c>
      <x:c r="S3936" s="3" t="b">
        <x:v>1</x:v>
      </x:c>
      <x:c r="T3936" s="3" t="b">
        <x:v>0</x:v>
      </x:c>
      <x:c r="U3936" s="2" t="str">
        <x:f>IF(T3936=TRUE,"Priority review",IF(R3936=TRUE,"High cost",IF(S3936=TRUE,"Low quality","Benchmark")))</x:f>
        <x:v>Low quality</x:v>
      </x:c>
    </x:row>
    <x:row r="3937">
      <x:c r="A3937" s="2" t="str">
        <x:v>351330</x:v>
      </x:c>
      <x:c r="B3937" s="2" t="str">
        <x:v>WEST RIVER REGIONAL MEDICAL CENTER</x:v>
      </x:c>
      <x:c r="C3937" s="2" t="str">
        <x:v>HETTINGER</x:v>
      </x:c>
      <x:c r="D3937" s="2" t="str">
        <x:v>ND</x:v>
      </x:c>
      <x:c r="E3937" s="2" t="str">
        <x:v>Critical Access Hospitals</x:v>
      </x:c>
      <x:c r="F3937" s="2" t="str">
        <x:v>Voluntary non-profit</x:v>
      </x:c>
      <x:c r="G3937" s="2" t="str">
        <x:v>Small (&lt;100 beds)</x:v>
      </x:c>
      <x:c r="H3937" s="7" t="n">
        <x:v>4</x:v>
      </x:c>
      <x:c r="I3937" s="7" t="n">
        <x:v>4</x:v>
      </x:c>
      <x:c r="J3937" s="7"/>
      <x:c r="K3937" s="8" t="n">
        <x:v>25</x:v>
      </x:c>
      <x:c r="L3937" s="8" t="n">
        <x:v>383</x:v>
      </x:c>
      <x:c r="M3937" s="9" t="n">
        <x:v>0.2195068493</x:v>
      </x:c>
      <x:c r="N3937" s="10" t="n">
        <x:v>81129.4229765013</x:v>
      </x:c>
      <x:c r="O3937" s="9" t="n">
        <x:v>-0.0486985182</x:v>
      </x:c>
      <x:c r="P3937" s="9" t="n">
        <x:v>0.2022304833</x:v>
      </x:c>
      <x:c r="Q3937" s="9" t="n">
        <x:v>0.1657992565</x:v>
      </x:c>
      <x:c r="R3937" s="3" t="b">
        <x:v>0</x:v>
      </x:c>
      <x:c r="S3937" s="3" t="b">
        <x:v>0</x:v>
      </x:c>
      <x:c r="T3937" s="3" t="b">
        <x:v>0</x:v>
      </x:c>
      <x:c r="U3937" s="2" t="str">
        <x:f>IF(T3937=TRUE,"Priority review",IF(R3937=TRUE,"High cost",IF(S3937=TRUE,"Low quality","Benchmark")))</x:f>
        <x:v>Benchmark</x:v>
      </x:c>
    </x:row>
    <x:row r="3938">
      <x:c r="A3938" s="2" t="str">
        <x:v>450684</x:v>
      </x:c>
      <x:c r="B3938" s="2" t="str">
        <x:v>MEMORIAL HERMANN NORTHEAST HOSPITAL</x:v>
      </x:c>
      <x:c r="C3938" s="2" t="str">
        <x:v>HUMBLE</x:v>
      </x:c>
      <x:c r="D3938" s="2" t="str">
        <x:v>TX</x:v>
      </x:c>
      <x:c r="E3938" s="2" t="str">
        <x:v>Acute Care Hospitals</x:v>
      </x:c>
      <x:c r="F3938" s="2" t="str">
        <x:v>Voluntary non-profit</x:v>
      </x:c>
      <x:c r="G3938" s="2" t="str">
        <x:v>Medium (100-299 beds)</x:v>
      </x:c>
      <x:c r="H3938" s="7" t="n">
        <x:v>3</x:v>
      </x:c>
      <x:c r="I3938" s="7" t="n">
        <x:v>3</x:v>
      </x:c>
      <x:c r="J3938" s="7" t="n">
        <x:v>0.99</x:v>
      </x:c>
      <x:c r="K3938" s="8" t="n">
        <x:v>250</x:v>
      </x:c>
      <x:c r="L3938" s="8" t="n">
        <x:v>16858</x:v>
      </x:c>
      <x:c r="M3938" s="9" t="n">
        <x:v>0.8860874317</x:v>
      </x:c>
      <x:c r="N3938" s="10" t="n">
        <x:v>23941.6220785384</x:v>
      </x:c>
      <x:c r="O3938" s="9" t="n">
        <x:v>0.0899391445</x:v>
      </x:c>
      <x:c r="P3938" s="9" t="n">
        <x:v>0.2021189894</x:v>
      </x:c>
      <x:c r="Q3938" s="9" t="n">
        <x:v>0.3023634882</x:v>
      </x:c>
      <x:c r="R3938" s="3" t="b">
        <x:v>0</x:v>
      </x:c>
      <x:c r="S3938" s="3" t="b">
        <x:v>0</x:v>
      </x:c>
      <x:c r="T3938" s="3" t="b">
        <x:v>0</x:v>
      </x:c>
      <x:c r="U3938" s="2" t="str">
        <x:f>IF(T3938=TRUE,"Priority review",IF(R3938=TRUE,"High cost",IF(S3938=TRUE,"Low quality","Benchmark")))</x:f>
        <x:v>Benchmark</x:v>
      </x:c>
    </x:row>
    <x:row r="3939">
      <x:c r="A3939" s="2" t="str">
        <x:v>420011</x:v>
      </x:c>
      <x:c r="B3939" s="2" t="str">
        <x:v>CANNON MEMORIAL HOSPITAL</x:v>
      </x:c>
      <x:c r="C3939" s="2" t="str">
        <x:v>PICKENS</x:v>
      </x:c>
      <x:c r="D3939" s="2" t="str">
        <x:v>SC</x:v>
      </x:c>
      <x:c r="E3939" s="2" t="str">
        <x:v>Acute Care Hospitals</x:v>
      </x:c>
      <x:c r="F3939" s="2" t="str">
        <x:v>Voluntary non-profit</x:v>
      </x:c>
      <x:c r="G3939" s="2" t="str">
        <x:v>Small (&lt;100 beds)</x:v>
      </x:c>
      <x:c r="H3939" s="7"/>
      <x:c r="I3939" s="7"/>
      <x:c r="J3939" s="7" t="n">
        <x:v>1.06</x:v>
      </x:c>
      <x:c r="K3939" s="8" t="n">
        <x:v>42</x:v>
      </x:c>
      <x:c r="L3939" s="8" t="n">
        <x:v>795</x:v>
      </x:c>
      <x:c r="M3939" s="9" t="n">
        <x:v>0.1156648452</x:v>
      </x:c>
      <x:c r="N3939" s="10" t="n">
        <x:v>33656.1949685535</x:v>
      </x:c>
      <x:c r="O3939" s="9" t="n">
        <x:v>0.1083146429</x:v>
      </x:c>
      <x:c r="P3939" s="9" t="n">
        <x:v>0.2019748654</x:v>
      </x:c>
      <x:c r="Q3939" s="9" t="n">
        <x:v>0.697486535</x:v>
      </x:c>
      <x:c r="R3939" s="3" t="b">
        <x:v>0</x:v>
      </x:c>
      <x:c r="S3939" s="3" t="b">
        <x:v>0</x:v>
      </x:c>
      <x:c r="T3939" s="3" t="b">
        <x:v>0</x:v>
      </x:c>
      <x:c r="U3939" s="2" t="str">
        <x:f>IF(T3939=TRUE,"Priority review",IF(R3939=TRUE,"High cost",IF(S3939=TRUE,"Low quality","Benchmark")))</x:f>
        <x:v>Benchmark</x:v>
      </x:c>
    </x:row>
    <x:row r="3940">
      <x:c r="A3940" s="2" t="str">
        <x:v>050382</x:v>
      </x:c>
      <x:c r="B3940" s="2" t="str">
        <x:v>EMANATE HEALTH INTER-COMMUNITY HOSPITAL</x:v>
      </x:c>
      <x:c r="C3940" s="2" t="str">
        <x:v>COVINA</x:v>
      </x:c>
      <x:c r="D3940" s="2" t="str">
        <x:v>CA</x:v>
      </x:c>
      <x:c r="E3940" s="2" t="str">
        <x:v>Acute Care Hospitals</x:v>
      </x:c>
      <x:c r="F3940" s="2" t="str">
        <x:v>Proprietary</x:v>
      </x:c>
      <x:c r="G3940" s="2" t="str">
        <x:v>Large (300+ beds)</x:v>
      </x:c>
      <x:c r="H3940" s="7" t="n">
        <x:v>1</x:v>
      </x:c>
      <x:c r="I3940" s="7" t="n">
        <x:v>2</x:v>
      </x:c>
      <x:c r="J3940" s="7" t="n">
        <x:v>1.18</x:v>
      </x:c>
      <x:c r="K3940" s="8" t="n">
        <x:v>481</x:v>
      </x:c>
      <x:c r="L3940" s="8" t="n">
        <x:v>22871</x:v>
      </x:c>
      <x:c r="M3940" s="9" t="n">
        <x:v>0.6181907002</x:v>
      </x:c>
      <x:c r="N3940" s="10" t="n">
        <x:v>26662.6752218967</x:v>
      </x:c>
      <x:c r="O3940" s="9" t="n">
        <x:v>-0.0250936245</x:v>
      </x:c>
      <x:c r="P3940" s="9" t="n">
        <x:v>0.2018927445</x:v>
      </x:c>
      <x:c r="Q3940" s="9" t="n">
        <x:v>0</x:v>
      </x:c>
      <x:c r="R3940" s="3" t="b">
        <x:v>0</x:v>
      </x:c>
      <x:c r="S3940" s="3" t="b">
        <x:v>1</x:v>
      </x:c>
      <x:c r="T3940" s="3" t="b">
        <x:v>0</x:v>
      </x:c>
      <x:c r="U3940" s="2" t="str">
        <x:f>IF(T3940=TRUE,"Priority review",IF(R3940=TRUE,"High cost",IF(S3940=TRUE,"Low quality","Benchmark")))</x:f>
        <x:v>Low quality</x:v>
      </x:c>
    </x:row>
    <x:row r="3941">
      <x:c r="A3941" s="2" t="str">
        <x:v>231340</x:v>
      </x:c>
      <x:c r="B3941" s="2" t="str">
        <x:v>MCLAREN THUMB REGION</x:v>
      </x:c>
      <x:c r="C3941" s="2" t="str">
        <x:v>BAD AXE</x:v>
      </x:c>
      <x:c r="D3941" s="2" t="str">
        <x:v>MI</x:v>
      </x:c>
      <x:c r="E3941" s="2" t="str">
        <x:v>Critical Access Hospitals</x:v>
      </x:c>
      <x:c r="F3941" s="2" t="str">
        <x:v>Voluntary non-profit</x:v>
      </x:c>
      <x:c r="G3941" s="2" t="str">
        <x:v>Small (&lt;100 beds)</x:v>
      </x:c>
      <x:c r="H3941" s="7" t="n">
        <x:v>5</x:v>
      </x:c>
      <x:c r="I3941" s="7" t="n">
        <x:v>3</x:v>
      </x:c>
      <x:c r="J3941" s="7"/>
      <x:c r="K3941" s="8" t="n">
        <x:v>25</x:v>
      </x:c>
      <x:c r="L3941" s="8" t="n">
        <x:v>611</x:v>
      </x:c>
      <x:c r="M3941" s="9" t="n">
        <x:v>0.4722404372</x:v>
      </x:c>
      <x:c r="N3941" s="10" t="n">
        <x:v>81109.464811784</x:v>
      </x:c>
      <x:c r="O3941" s="9" t="n">
        <x:v>-0.0148770415</x:v>
      </x:c>
      <x:c r="P3941" s="9" t="n">
        <x:v>0.2014869888</x:v>
      </x:c>
      <x:c r="Q3941" s="9" t="n">
        <x:v>0.2602230483</x:v>
      </x:c>
      <x:c r="R3941" s="3" t="b">
        <x:v>0</x:v>
      </x:c>
      <x:c r="S3941" s="3" t="b">
        <x:v>0</x:v>
      </x:c>
      <x:c r="T3941" s="3" t="b">
        <x:v>0</x:v>
      </x:c>
      <x:c r="U3941" s="2" t="str">
        <x:f>IF(T3941=TRUE,"Priority review",IF(R3941=TRUE,"High cost",IF(S3941=TRUE,"Low quality","Benchmark")))</x:f>
        <x:v>Benchmark</x:v>
      </x:c>
    </x:row>
    <x:row r="3942">
      <x:c r="A3942" s="2" t="str">
        <x:v>340173</x:v>
      </x:c>
      <x:c r="B3942" s="2" t="str">
        <x:v>WAKEMED, CARY HOSPITAL</x:v>
      </x:c>
      <x:c r="C3942" s="2" t="str">
        <x:v>CARY</x:v>
      </x:c>
      <x:c r="D3942" s="2" t="str">
        <x:v>NC</x:v>
      </x:c>
      <x:c r="E3942" s="2" t="str">
        <x:v>Acute Care Hospitals</x:v>
      </x:c>
      <x:c r="F3942" s="2" t="str">
        <x:v>Voluntary non-profit</x:v>
      </x:c>
      <x:c r="G3942" s="2" t="str">
        <x:v>Medium (100-299 beds)</x:v>
      </x:c>
      <x:c r="H3942" s="7" t="n">
        <x:v>5</x:v>
      </x:c>
      <x:c r="I3942" s="7" t="n">
        <x:v>3</x:v>
      </x:c>
      <x:c r="J3942" s="7" t="n">
        <x:v>0.98</x:v>
      </x:c>
      <x:c r="K3942" s="8" t="n">
        <x:v>225</x:v>
      </x:c>
      <x:c r="L3942" s="8" t="n">
        <x:v>15497</x:v>
      </x:c>
      <x:c r="M3942" s="9" t="n">
        <x:v>0.8902489375</x:v>
      </x:c>
      <x:c r="N3942" s="10" t="n">
        <x:v>23910.5924372459</x:v>
      </x:c>
      <x:c r="O3942" s="9" t="n">
        <x:v>0.0993621536</x:v>
      </x:c>
      <x:c r="P3942" s="9" t="n">
        <x:v>0.2013039935</x:v>
      </x:c>
      <x:c r="Q3942" s="9" t="n">
        <x:v>0.8744906275</x:v>
      </x:c>
      <x:c r="R3942" s="3" t="b">
        <x:v>0</x:v>
      </x:c>
      <x:c r="S3942" s="3" t="b">
        <x:v>0</x:v>
      </x:c>
      <x:c r="T3942" s="3" t="b">
        <x:v>0</x:v>
      </x:c>
      <x:c r="U3942" s="2" t="str">
        <x:f>IF(T3942=TRUE,"Priority review",IF(R3942=TRUE,"High cost",IF(S3942=TRUE,"Low quality","Benchmark")))</x:f>
        <x:v>Benchmark</x:v>
      </x:c>
    </x:row>
    <x:row r="3943">
      <x:c r="A3943" s="2" t="str">
        <x:v>140145</x:v>
      </x:c>
      <x:c r="B3943" s="2" t="str">
        <x:v>ST JOSEPHS HOSPITAL</x:v>
      </x:c>
      <x:c r="C3943" s="2" t="str">
        <x:v>BREESE</x:v>
      </x:c>
      <x:c r="D3943" s="2" t="str">
        <x:v>IL</x:v>
      </x:c>
      <x:c r="E3943" s="2" t="str">
        <x:v>Acute Care Hospitals</x:v>
      </x:c>
      <x:c r="F3943" s="2" t="str">
        <x:v>Voluntary non-profit</x:v>
      </x:c>
      <x:c r="G3943" s="2" t="str">
        <x:v>Small (&lt;100 beds)</x:v>
      </x:c>
      <x:c r="H3943" s="7" t="n">
        <x:v>4</x:v>
      </x:c>
      <x:c r="I3943" s="7" t="n">
        <x:v>4</x:v>
      </x:c>
      <x:c r="J3943" s="7" t="n">
        <x:v>0.97</x:v>
      </x:c>
      <x:c r="K3943" s="8" t="n">
        <x:v>36</x:v>
      </x:c>
      <x:c r="L3943" s="8" t="n">
        <x:v>1800</x:v>
      </x:c>
      <x:c r="M3943" s="9" t="n">
        <x:v>0.4208523592</x:v>
      </x:c>
      <x:c r="N3943" s="10" t="n">
        <x:v>33653.415</x:v>
      </x:c>
      <x:c r="O3943" s="9" t="n">
        <x:v>0.2140498345</x:v>
      </x:c>
      <x:c r="P3943" s="9" t="n">
        <x:v>0.2010771993</x:v>
      </x:c>
      <x:c r="Q3943" s="9" t="n">
        <x:v>0.3913824057</x:v>
      </x:c>
      <x:c r="R3943" s="3" t="b">
        <x:v>0</x:v>
      </x:c>
      <x:c r="S3943" s="3" t="b">
        <x:v>0</x:v>
      </x:c>
      <x:c r="T3943" s="3" t="b">
        <x:v>0</x:v>
      </x:c>
      <x:c r="U3943" s="2" t="str">
        <x:f>IF(T3943=TRUE,"Priority review",IF(R3943=TRUE,"High cost",IF(S3943=TRUE,"Low quality","Benchmark")))</x:f>
        <x:v>Benchmark</x:v>
      </x:c>
    </x:row>
    <x:row r="3944">
      <x:c r="A3944" s="2" t="str">
        <x:v>241362</x:v>
      </x:c>
      <x:c r="B3944" s="2" t="str">
        <x:v>CENTRACARE HEALTH - MONTICELLO</x:v>
      </x:c>
      <x:c r="C3944" s="2" t="str">
        <x:v>MONTICELLO</x:v>
      </x:c>
      <x:c r="D3944" s="2" t="str">
        <x:v>MN</x:v>
      </x:c>
      <x:c r="E3944" s="2" t="str">
        <x:v>Critical Access Hospitals</x:v>
      </x:c>
      <x:c r="F3944" s="2" t="str">
        <x:v>Voluntary non-profit</x:v>
      </x:c>
      <x:c r="G3944" s="2" t="str">
        <x:v>Small (&lt;100 beds)</x:v>
      </x:c>
      <x:c r="H3944" s="7"/>
      <x:c r="I3944" s="7" t="n">
        <x:v>4</x:v>
      </x:c>
      <x:c r="J3944" s="7"/>
      <x:c r="K3944" s="8" t="n">
        <x:v>25</x:v>
      </x:c>
      <x:c r="L3944" s="8" t="n">
        <x:v>1070</x:v>
      </x:c>
      <x:c r="M3944" s="9" t="n">
        <x:v>0.4833972603</x:v>
      </x:c>
      <x:c r="N3944" s="10" t="n">
        <x:v>81050.6785046729</x:v>
      </x:c>
      <x:c r="O3944" s="9" t="n">
        <x:v>0.1281312557</x:v>
      </x:c>
      <x:c r="P3944" s="9" t="n">
        <x:v>0.2007434944</x:v>
      </x:c>
      <x:c r="Q3944" s="9" t="n">
        <x:v>0.292936803</x:v>
      </x:c>
      <x:c r="R3944" s="3" t="b">
        <x:v>0</x:v>
      </x:c>
      <x:c r="S3944" s="3" t="b">
        <x:v>0</x:v>
      </x:c>
      <x:c r="T3944" s="3" t="b">
        <x:v>0</x:v>
      </x:c>
      <x:c r="U3944" s="2" t="str">
        <x:f>IF(T3944=TRUE,"Priority review",IF(R3944=TRUE,"High cost",IF(S3944=TRUE,"Low quality","Benchmark")))</x:f>
        <x:v>Benchmark</x:v>
      </x:c>
    </x:row>
    <x:row r="3945">
      <x:c r="A3945" s="2" t="str">
        <x:v>444030</x:v>
      </x:c>
      <x:c r="B3945" s="2" t="str">
        <x:v>ASCENSION SAINT THOMAS BEHAVIORAL HEALTH HOSPITAL</x:v>
      </x:c>
      <x:c r="C3945" s="2" t="str">
        <x:v>NASHVILLE</x:v>
      </x:c>
      <x:c r="D3945" s="2" t="str">
        <x:v>TN</x:v>
      </x:c>
      <x:c r="E3945" s="2" t="str">
        <x:v>Psychiatric</x:v>
      </x:c>
      <x:c r="F3945" s="2" t="str">
        <x:v>Proprietary</x:v>
      </x:c>
      <x:c r="G3945" s="2" t="str">
        <x:v>Small (&lt;100 beds)</x:v>
      </x:c>
      <x:c r="H3945" s="7"/>
      <x:c r="I3945" s="7"/>
      <x:c r="J3945" s="7"/>
      <x:c r="K3945" s="8" t="n">
        <x:v>90</x:v>
      </x:c>
      <x:c r="L3945" s="8" t="n">
        <x:v>3041</x:v>
      </x:c>
      <x:c r="M3945" s="9" t="n">
        <x:v>0.7105343048</x:v>
      </x:c>
      <x:c r="N3945" s="10" t="n">
        <x:v>7823.0739888195</x:v>
      </x:c>
      <x:c r="O3945" s="9" t="n">
        <x:v>-0.0852387533</x:v>
      </x:c>
      <x:c r="P3945" s="9" t="n">
        <x:v>0.2006472492</x:v>
      </x:c>
      <x:c r="Q3945" s="9" t="n">
        <x:v>0</x:v>
      </x:c>
      <x:c r="R3945" s="3" t="b">
        <x:v>0</x:v>
      </x:c>
      <x:c r="S3945" s="3" t="b">
        <x:v>0</x:v>
      </x:c>
      <x:c r="T3945" s="3" t="b">
        <x:v>0</x:v>
      </x:c>
      <x:c r="U3945" s="2" t="str">
        <x:f>IF(T3945=TRUE,"Priority review",IF(R3945=TRUE,"High cost",IF(S3945=TRUE,"Low quality","Benchmark")))</x:f>
        <x:v>Benchmark</x:v>
      </x:c>
    </x:row>
    <x:row r="3946">
      <x:c r="A3946" s="2" t="str">
        <x:v>050393</x:v>
      </x:c>
      <x:c r="B3946" s="2" t="str">
        <x:v>PIH HEALTH DOWNEY HOSPITAL</x:v>
      </x:c>
      <x:c r="C3946" s="2" t="str">
        <x:v>DOWNEY</x:v>
      </x:c>
      <x:c r="D3946" s="2" t="str">
        <x:v>CA</x:v>
      </x:c>
      <x:c r="E3946" s="2" t="str">
        <x:v>Acute Care Hospitals</x:v>
      </x:c>
      <x:c r="F3946" s="2" t="str">
        <x:v>Voluntary non-profit</x:v>
      </x:c>
      <x:c r="G3946" s="2" t="str">
        <x:v>Medium (100-299 beds)</x:v>
      </x:c>
      <x:c r="H3946" s="7" t="n">
        <x:v>4</x:v>
      </x:c>
      <x:c r="I3946" s="7" t="n">
        <x:v>3</x:v>
      </x:c>
      <x:c r="J3946" s="7" t="n">
        <x:v>0.99</x:v>
      </x:c>
      <x:c r="K3946" s="8" t="n">
        <x:v>141</x:v>
      </x:c>
      <x:c r="L3946" s="8" t="n">
        <x:v>9096</x:v>
      </x:c>
      <x:c r="M3946" s="9" t="n">
        <x:v>0.5980893695</x:v>
      </x:c>
      <x:c r="N3946" s="10" t="n">
        <x:v>23897.7836411609</x:v>
      </x:c>
      <x:c r="O3946" s="9" t="n">
        <x:v>-0.0287120196</x:v>
      </x:c>
      <x:c r="P3946" s="9" t="n">
        <x:v>0.2004889976</x:v>
      </x:c>
      <x:c r="Q3946" s="9" t="n">
        <x:v>0.6022819886</x:v>
      </x:c>
      <x:c r="R3946" s="3" t="b">
        <x:v>0</x:v>
      </x:c>
      <x:c r="S3946" s="3" t="b">
        <x:v>0</x:v>
      </x:c>
      <x:c r="T3946" s="3" t="b">
        <x:v>0</x:v>
      </x:c>
      <x:c r="U3946" s="2" t="str">
        <x:f>IF(T3946=TRUE,"Priority review",IF(R3946=TRUE,"High cost",IF(S3946=TRUE,"Low quality","Benchmark")))</x:f>
        <x:v>Benchmark</x:v>
      </x:c>
    </x:row>
    <x:row r="3947">
      <x:c r="A3947" s="2" t="str">
        <x:v>330208</x:v>
      </x:c>
      <x:c r="B3947" s="2" t="str">
        <x:v>ST JOHN'S RIVERSIDE HOSPITAL</x:v>
      </x:c>
      <x:c r="C3947" s="2" t="str">
        <x:v>YONKERS</x:v>
      </x:c>
      <x:c r="D3947" s="2" t="str">
        <x:v>NY</x:v>
      </x:c>
      <x:c r="E3947" s="2" t="str">
        <x:v>Acute Care Hospitals</x:v>
      </x:c>
      <x:c r="F3947" s="2" t="str">
        <x:v>Voluntary non-profit</x:v>
      </x:c>
      <x:c r="G3947" s="2" t="str">
        <x:v>Large (300+ beds)</x:v>
      </x:c>
      <x:c r="H3947" s="7" t="n">
        <x:v>3</x:v>
      </x:c>
      <x:c r="I3947" s="7" t="n">
        <x:v>3</x:v>
      </x:c>
      <x:c r="J3947" s="7" t="n">
        <x:v>1.14</x:v>
      </x:c>
      <x:c r="K3947" s="8" t="n">
        <x:v>319</x:v>
      </x:c>
      <x:c r="L3947" s="8" t="n">
        <x:v>14329</x:v>
      </x:c>
      <x:c r="M3947" s="9" t="n">
        <x:v>0.7263391404</x:v>
      </x:c>
      <x:c r="N3947" s="10" t="n">
        <x:v>26645.9916951637</x:v>
      </x:c>
      <x:c r="O3947" s="9" t="n">
        <x:v>-0.4895268927</x:v>
      </x:c>
      <x:c r="P3947" s="9" t="n">
        <x:v>0.2003154574</x:v>
      </x:c>
      <x:c r="Q3947" s="9" t="n">
        <x:v>0.2570977918</x:v>
      </x:c>
      <x:c r="R3947" s="3" t="b">
        <x:v>0</x:v>
      </x:c>
      <x:c r="S3947" s="3" t="b">
        <x:v>0</x:v>
      </x:c>
      <x:c r="T3947" s="3" t="b">
        <x:v>0</x:v>
      </x:c>
      <x:c r="U3947" s="2" t="str">
        <x:f>IF(T3947=TRUE,"Priority review",IF(R3947=TRUE,"High cost",IF(S3947=TRUE,"Low quality","Benchmark")))</x:f>
        <x:v>Benchmark</x:v>
      </x:c>
    </x:row>
    <x:row r="3948">
      <x:c r="A3948" s="2" t="str">
        <x:v>450447</x:v>
      </x:c>
      <x:c r="B3948" s="2" t="str">
        <x:v>NAVARRO REGIONAL HOSPITAL</x:v>
      </x:c>
      <x:c r="C3948" s="2" t="str">
        <x:v>CORSICANA</x:v>
      </x:c>
      <x:c r="D3948" s="2" t="str">
        <x:v>TX</x:v>
      </x:c>
      <x:c r="E3948" s="2" t="str">
        <x:v>Acute Care Hospitals</x:v>
      </x:c>
      <x:c r="F3948" s="2" t="str">
        <x:v>Government</x:v>
      </x:c>
      <x:c r="G3948" s="2" t="str">
        <x:v>Small (&lt;100 beds)</x:v>
      </x:c>
      <x:c r="H3948" s="7" t="n">
        <x:v>2</x:v>
      </x:c>
      <x:c r="I3948" s="7" t="n">
        <x:v>3</x:v>
      </x:c>
      <x:c r="J3948" s="7" t="n">
        <x:v>1.02</x:v>
      </x:c>
      <x:c r="K3948" s="8" t="n">
        <x:v>48</x:v>
      </x:c>
      <x:c r="L3948" s="8" t="n">
        <x:v>2437</x:v>
      </x:c>
      <x:c r="M3948" s="9" t="n">
        <x:v>0.4885018215</x:v>
      </x:c>
      <x:c r="N3948" s="10" t="n">
        <x:v>33594.109150595</x:v>
      </x:c>
      <x:c r="O3948" s="9" t="n">
        <x:v>0.1685091452</x:v>
      </x:c>
      <x:c r="P3948" s="9" t="n">
        <x:v>0.2001795332</x:v>
      </x:c>
      <x:c r="Q3948" s="9" t="n">
        <x:v>0.0350089767</x:v>
      </x:c>
      <x:c r="R3948" s="3" t="b">
        <x:v>0</x:v>
      </x:c>
      <x:c r="S3948" s="3" t="b">
        <x:v>1</x:v>
      </x:c>
      <x:c r="T3948" s="3" t="b">
        <x:v>0</x:v>
      </x:c>
      <x:c r="U3948" s="2" t="str">
        <x:f>IF(T3948=TRUE,"Priority review",IF(R3948=TRUE,"High cost",IF(S3948=TRUE,"Low quality","Benchmark")))</x:f>
        <x:v>Low quality</x:v>
      </x:c>
    </x:row>
    <x:row r="3949">
      <x:c r="A3949" s="2" t="str">
        <x:v>344026</x:v>
      </x:c>
      <x:c r="B3949" s="2" t="str">
        <x:v>CHERRY HOSPITAL</x:v>
      </x:c>
      <x:c r="C3949" s="2" t="str">
        <x:v>GOLDSBORO</x:v>
      </x:c>
      <x:c r="D3949" s="2" t="str">
        <x:v>NC</x:v>
      </x:c>
      <x:c r="E3949" s="2" t="str">
        <x:v>Psychiatric</x:v>
      </x:c>
      <x:c r="F3949" s="2" t="str">
        <x:v>Government</x:v>
      </x:c>
      <x:c r="G3949" s="2" t="str">
        <x:v>Large (300+ beds)</x:v>
      </x:c>
      <x:c r="H3949" s="7"/>
      <x:c r="I3949" s="7"/>
      <x:c r="J3949" s="7"/>
      <x:c r="K3949" s="8" t="n">
        <x:v>314</x:v>
      </x:c>
      <x:c r="L3949" s="8" t="n">
        <x:v>390</x:v>
      </x:c>
      <x:c r="M3949" s="9" t="n">
        <x:v>0.4668702556</x:v>
      </x:c>
      <x:c r="N3949" s="10" t="n">
        <x:v>141157.7538461538</x:v>
      </x:c>
      <x:c r="O3949" s="9" t="n">
        <x:v>-10.682385424</x:v>
      </x:c>
      <x:c r="P3949" s="9" t="n">
        <x:v>0.2</x:v>
      </x:c>
      <x:c r="Q3949" s="9" t="n">
        <x:v>0</x:v>
      </x:c>
      <x:c r="R3949" s="3" t="b">
        <x:v>0</x:v>
      </x:c>
      <x:c r="S3949" s="3" t="b">
        <x:v>0</x:v>
      </x:c>
      <x:c r="T3949" s="3" t="b">
        <x:v>0</x:v>
      </x:c>
      <x:c r="U3949" s="2" t="str">
        <x:f>IF(T3949=TRUE,"Priority review",IF(R3949=TRUE,"High cost",IF(S3949=TRUE,"Low quality","Benchmark")))</x:f>
        <x:v>Benchmark</x:v>
      </x:c>
    </x:row>
    <x:row r="3950">
      <x:c r="A3950" s="2" t="str">
        <x:v>051310</x:v>
      </x:c>
      <x:c r="B3950" s="2" t="str">
        <x:v>ADVENTIST HEALTH HOWARD MEMORIAL</x:v>
      </x:c>
      <x:c r="C3950" s="2" t="str">
        <x:v>WILLITS</x:v>
      </x:c>
      <x:c r="D3950" s="2" t="str">
        <x:v>CA</x:v>
      </x:c>
      <x:c r="E3950" s="2" t="str">
        <x:v>Critical Access Hospitals</x:v>
      </x:c>
      <x:c r="F3950" s="2" t="str">
        <x:v>Voluntary non-profit</x:v>
      </x:c>
      <x:c r="G3950" s="2" t="str">
        <x:v>Small (&lt;100 beds)</x:v>
      </x:c>
      <x:c r="H3950" s="7" t="n">
        <x:v>5</x:v>
      </x:c>
      <x:c r="I3950" s="7" t="n">
        <x:v>4</x:v>
      </x:c>
      <x:c r="J3950" s="7"/>
      <x:c r="K3950" s="8" t="n">
        <x:v>25</x:v>
      </x:c>
      <x:c r="L3950" s="8" t="n">
        <x:v>1194</x:v>
      </x:c>
      <x:c r="M3950" s="9" t="n">
        <x:v>0.5723497268</x:v>
      </x:c>
      <x:c r="N3950" s="10" t="n">
        <x:v>80862.0125628141</x:v>
      </x:c>
      <x:c r="O3950" s="9" t="n">
        <x:v>-0.10601591</x:v>
      </x:c>
      <x:c r="P3950" s="9" t="n">
        <x:v>0.2</x:v>
      </x:c>
      <x:c r="Q3950" s="9" t="n">
        <x:v>0.2602230483</x:v>
      </x:c>
      <x:c r="R3950" s="3" t="b">
        <x:v>0</x:v>
      </x:c>
      <x:c r="S3950" s="3" t="b">
        <x:v>0</x:v>
      </x:c>
      <x:c r="T3950" s="3" t="b">
        <x:v>0</x:v>
      </x:c>
      <x:c r="U3950" s="2" t="str">
        <x:f>IF(T3950=TRUE,"Priority review",IF(R3950=TRUE,"High cost",IF(S3950=TRUE,"Low quality","Benchmark")))</x:f>
        <x:v>Benchmark</x:v>
      </x:c>
    </x:row>
    <x:row r="3951">
      <x:c r="A3951" s="2" t="str">
        <x:v>360076</x:v>
      </x:c>
      <x:c r="B3951" s="2" t="str">
        <x:v>ATRIUM MEDICAL CENTER</x:v>
      </x:c>
      <x:c r="C3951" s="2" t="str">
        <x:v>FRANKLIN</x:v>
      </x:c>
      <x:c r="D3951" s="2" t="str">
        <x:v>OH</x:v>
      </x:c>
      <x:c r="E3951" s="2" t="str">
        <x:v>Acute Care Hospitals</x:v>
      </x:c>
      <x:c r="F3951" s="2" t="str">
        <x:v>Voluntary non-profit</x:v>
      </x:c>
      <x:c r="G3951" s="2" t="str">
        <x:v>Medium (100-299 beds)</x:v>
      </x:c>
      <x:c r="H3951" s="7" t="n">
        <x:v>4</x:v>
      </x:c>
      <x:c r="I3951" s="7" t="n">
        <x:v>2</x:v>
      </x:c>
      <x:c r="J3951" s="7" t="n">
        <x:v>1.01</x:v>
      </x:c>
      <x:c r="K3951" s="8" t="n">
        <x:v>244</x:v>
      </x:c>
      <x:c r="L3951" s="8" t="n">
        <x:v>10070</x:v>
      </x:c>
      <x:c r="M3951" s="9" t="n">
        <x:v>0.4649735734</x:v>
      </x:c>
      <x:c r="N3951" s="10" t="n">
        <x:v>23881.5367428004</x:v>
      </x:c>
      <x:c r="O3951" s="9" t="n">
        <x:v>0.103790776</x:v>
      </x:c>
      <x:c r="P3951" s="9" t="n">
        <x:v>0.1996740016</x:v>
      </x:c>
      <x:c r="Q3951" s="9" t="n">
        <x:v>0.6022819886</x:v>
      </x:c>
      <x:c r="R3951" s="3" t="b">
        <x:v>0</x:v>
      </x:c>
      <x:c r="S3951" s="3" t="b">
        <x:v>0</x:v>
      </x:c>
      <x:c r="T3951" s="3" t="b">
        <x:v>0</x:v>
      </x:c>
      <x:c r="U3951" s="2" t="str">
        <x:f>IF(T3951=TRUE,"Priority review",IF(R3951=TRUE,"High cost",IF(S3951=TRUE,"Low quality","Benchmark")))</x:f>
        <x:v>Benchmark</x:v>
      </x:c>
    </x:row>
    <x:row r="3952">
      <x:c r="A3952" s="2" t="str">
        <x:v>460060</x:v>
      </x:c>
      <x:c r="B3952" s="2" t="str">
        <x:v>LONE PEAK HOSPITAL</x:v>
      </x:c>
      <x:c r="C3952" s="2" t="str">
        <x:v>DRAPER</x:v>
      </x:c>
      <x:c r="D3952" s="2" t="str">
        <x:v>UT</x:v>
      </x:c>
      <x:c r="E3952" s="2" t="str">
        <x:v>Acute Care Hospitals</x:v>
      </x:c>
      <x:c r="F3952" s="2" t="str">
        <x:v>Proprietary</x:v>
      </x:c>
      <x:c r="G3952" s="2" t="str">
        <x:v>Small (&lt;100 beds)</x:v>
      </x:c>
      <x:c r="H3952" s="7" t="n">
        <x:v>5</x:v>
      </x:c>
      <x:c r="I3952" s="7" t="n">
        <x:v>4</x:v>
      </x:c>
      <x:c r="J3952" s="7" t="n">
        <x:v>0.94</x:v>
      </x:c>
      <x:c r="K3952" s="8" t="n">
        <x:v>61</x:v>
      </x:c>
      <x:c r="L3952" s="8" t="n">
        <x:v>3654</x:v>
      </x:c>
      <x:c r="M3952" s="9" t="n">
        <x:v>0.6435661352</x:v>
      </x:c>
      <x:c r="N3952" s="10" t="n">
        <x:v>33528.0736179529</x:v>
      </x:c>
      <x:c r="O3952" s="9" t="n">
        <x:v>0.2973914922</x:v>
      </x:c>
      <x:c r="P3952" s="9" t="n">
        <x:v>0.1992818671</x:v>
      </x:c>
      <x:c r="Q3952" s="9" t="n">
        <x:v>0.6131059246</x:v>
      </x:c>
      <x:c r="R3952" s="3" t="b">
        <x:v>0</x:v>
      </x:c>
      <x:c r="S3952" s="3" t="b">
        <x:v>0</x:v>
      </x:c>
      <x:c r="T3952" s="3" t="b">
        <x:v>0</x:v>
      </x:c>
      <x:c r="U3952" s="2" t="str">
        <x:f>IF(T3952=TRUE,"Priority review",IF(R3952=TRUE,"High cost",IF(S3952=TRUE,"Low quality","Benchmark")))</x:f>
        <x:v>Benchmark</x:v>
      </x:c>
    </x:row>
    <x:row r="3953">
      <x:c r="A3953" s="2" t="str">
        <x:v>521311</x:v>
      </x:c>
      <x:c r="B3953" s="2" t="str">
        <x:v>ASPIRUS STANLEY HOSPITAL</x:v>
      </x:c>
      <x:c r="C3953" s="2" t="str">
        <x:v>STANLEY</x:v>
      </x:c>
      <x:c r="D3953" s="2" t="str">
        <x:v>WI</x:v>
      </x:c>
      <x:c r="E3953" s="2" t="str">
        <x:v>Critical Access Hospitals</x:v>
      </x:c>
      <x:c r="F3953" s="2" t="str">
        <x:v>Voluntary non-profit</x:v>
      </x:c>
      <x:c r="G3953" s="2" t="str">
        <x:v>Small (&lt;100 beds)</x:v>
      </x:c>
      <x:c r="H3953" s="7"/>
      <x:c r="I3953" s="7"/>
      <x:c r="J3953" s="7"/>
      <x:c r="K3953" s="8" t="n">
        <x:v>24</x:v>
      </x:c>
      <x:c r="L3953" s="8" t="n">
        <x:v>327</x:v>
      </x:c>
      <x:c r="M3953" s="9" t="n">
        <x:v>0.2474885845</x:v>
      </x:c>
      <x:c r="N3953" s="10" t="n">
        <x:v>80753.8899082569</x:v>
      </x:c>
      <x:c r="O3953" s="9" t="n">
        <x:v>0.0714008836</x:v>
      </x:c>
      <x:c r="P3953" s="9" t="n">
        <x:v>0.1992565056</x:v>
      </x:c>
      <x:c r="Q3953" s="9" t="n">
        <x:v>0.292936803</x:v>
      </x:c>
      <x:c r="R3953" s="3" t="b">
        <x:v>0</x:v>
      </x:c>
      <x:c r="S3953" s="3" t="b">
        <x:v>0</x:v>
      </x:c>
      <x:c r="T3953" s="3" t="b">
        <x:v>0</x:v>
      </x:c>
      <x:c r="U3953" s="2" t="str">
        <x:f>IF(T3953=TRUE,"Priority review",IF(R3953=TRUE,"High cost",IF(S3953=TRUE,"Low quality","Benchmark")))</x:f>
        <x:v>Benchmark</x:v>
      </x:c>
    </x:row>
    <x:row r="3954">
      <x:c r="A3954" s="2" t="str">
        <x:v>364058</x:v>
      </x:c>
      <x:c r="B3954" s="2" t="str">
        <x:v>SUN BEHAVIORAL COLUMBUS</x:v>
      </x:c>
      <x:c r="C3954" s="2" t="str">
        <x:v>COLUMBUS</x:v>
      </x:c>
      <x:c r="D3954" s="2" t="str">
        <x:v>OH</x:v>
      </x:c>
      <x:c r="E3954" s="2" t="str">
        <x:v>Psychiatric</x:v>
      </x:c>
      <x:c r="F3954" s="2" t="str">
        <x:v>Voluntary non-profit</x:v>
      </x:c>
      <x:c r="G3954" s="2" t="str">
        <x:v>Medium (100-299 beds)</x:v>
      </x:c>
      <x:c r="H3954" s="7"/>
      <x:c r="I3954" s="7"/>
      <x:c r="J3954" s="7"/>
      <x:c r="K3954" s="8" t="n">
        <x:v>126</x:v>
      </x:c>
      <x:c r="L3954" s="8" t="n">
        <x:v>4671</x:v>
      </x:c>
      <x:c r="M3954" s="9" t="n">
        <x:v>0.5529100529</x:v>
      </x:c>
      <x:c r="N3954" s="10" t="n">
        <x:v>6472.7949047313</x:v>
      </x:c>
      <x:c r="O3954" s="9" t="n">
        <x:v>-0.3341113996</x:v>
      </x:c>
      <x:c r="P3954" s="9" t="n">
        <x:v>0.1990049751</x:v>
      </x:c>
      <x:c r="Q3954" s="9" t="n">
        <x:v>0</x:v>
      </x:c>
      <x:c r="R3954" s="3" t="b">
        <x:v>0</x:v>
      </x:c>
      <x:c r="S3954" s="3" t="b">
        <x:v>0</x:v>
      </x:c>
      <x:c r="T3954" s="3" t="b">
        <x:v>0</x:v>
      </x:c>
      <x:c r="U3954" s="2" t="str">
        <x:f>IF(T3954=TRUE,"Priority review",IF(R3954=TRUE,"High cost",IF(S3954=TRUE,"Low quality","Benchmark")))</x:f>
        <x:v>Benchmark</x:v>
      </x:c>
    </x:row>
    <x:row r="3955">
      <x:c r="A3955" s="2" t="str">
        <x:v>450644</x:v>
      </x:c>
      <x:c r="B3955" s="2" t="str">
        <x:v>HCA HOUSTON HEALTHCARE WEST</x:v>
      </x:c>
      <x:c r="C3955" s="2" t="str">
        <x:v>HOUSTON</x:v>
      </x:c>
      <x:c r="D3955" s="2" t="str">
        <x:v>TX</x:v>
      </x:c>
      <x:c r="E3955" s="2" t="str">
        <x:v>Acute Care Hospitals</x:v>
      </x:c>
      <x:c r="F3955" s="2" t="str">
        <x:v>Proprietary</x:v>
      </x:c>
      <x:c r="G3955" s="2" t="str">
        <x:v>Medium (100-299 beds)</x:v>
      </x:c>
      <x:c r="H3955" s="7" t="n">
        <x:v>1</x:v>
      </x:c>
      <x:c r="I3955" s="7" t="n">
        <x:v>2</x:v>
      </x:c>
      <x:c r="J3955" s="7" t="n">
        <x:v>1</x:v>
      </x:c>
      <x:c r="K3955" s="8" t="n">
        <x:v>223</x:v>
      </x:c>
      <x:c r="L3955" s="8" t="n">
        <x:v>10413</x:v>
      </x:c>
      <x:c r="M3955" s="9" t="n">
        <x:v>0.5280207797</x:v>
      </x:c>
      <x:c r="N3955" s="10" t="n">
        <x:v>23852.3554211082</x:v>
      </x:c>
      <x:c r="O3955" s="9" t="n">
        <x:v>0.0707969006</x:v>
      </x:c>
      <x:c r="P3955" s="9" t="n">
        <x:v>0.1988590057</x:v>
      </x:c>
      <x:c r="Q3955" s="9" t="n">
        <x:v>0</x:v>
      </x:c>
      <x:c r="R3955" s="3" t="b">
        <x:v>0</x:v>
      </x:c>
      <x:c r="S3955" s="3" t="b">
        <x:v>1</x:v>
      </x:c>
      <x:c r="T3955" s="3" t="b">
        <x:v>0</x:v>
      </x:c>
      <x:c r="U3955" s="2" t="str">
        <x:f>IF(T3955=TRUE,"Priority review",IF(R3955=TRUE,"High cost",IF(S3955=TRUE,"Low quality","Benchmark")))</x:f>
        <x:v>Low quality</x:v>
      </x:c>
    </x:row>
    <x:row r="3956">
      <x:c r="A3956" s="2" t="str">
        <x:v>440002</x:v>
      </x:c>
      <x:c r="B3956" s="2" t="str">
        <x:v>JACKSON-MADISON COUNTY GENERAL HOSPITAL</x:v>
      </x:c>
      <x:c r="C3956" s="2" t="str">
        <x:v>JACKSON</x:v>
      </x:c>
      <x:c r="D3956" s="2" t="str">
        <x:v>TN</x:v>
      </x:c>
      <x:c r="E3956" s="2" t="str">
        <x:v>Acute Care Hospitals</x:v>
      </x:c>
      <x:c r="F3956" s="2" t="str">
        <x:v>Government</x:v>
      </x:c>
      <x:c r="G3956" s="2" t="str">
        <x:v>Large (300+ beds)</x:v>
      </x:c>
      <x:c r="H3956" s="7" t="n">
        <x:v>3</x:v>
      </x:c>
      <x:c r="I3956" s="7" t="n">
        <x:v>3</x:v>
      </x:c>
      <x:c r="J3956" s="7" t="n">
        <x:v>1.1</x:v>
      </x:c>
      <x:c r="K3956" s="8" t="n">
        <x:v>588</x:v>
      </x:c>
      <x:c r="L3956" s="8" t="n">
        <x:v>26715</x:v>
      </x:c>
      <x:c r="M3956" s="9" t="n">
        <x:v>0.6790047526</x:v>
      </x:c>
      <x:c r="N3956" s="10" t="n">
        <x:v>26624.8357102751</x:v>
      </x:c>
      <x:c r="O3956" s="9" t="n">
        <x:v>0.1006305896</x:v>
      </x:c>
      <x:c r="P3956" s="9" t="n">
        <x:v>0.1987381703</x:v>
      </x:c>
      <x:c r="Q3956" s="9" t="n">
        <x:v>0.2570977918</x:v>
      </x:c>
      <x:c r="R3956" s="3" t="b">
        <x:v>0</x:v>
      </x:c>
      <x:c r="S3956" s="3" t="b">
        <x:v>0</x:v>
      </x:c>
      <x:c r="T3956" s="3" t="b">
        <x:v>0</x:v>
      </x:c>
      <x:c r="U3956" s="2" t="str">
        <x:f>IF(T3956=TRUE,"Priority review",IF(R3956=TRUE,"High cost",IF(S3956=TRUE,"Low quality","Benchmark")))</x:f>
        <x:v>Benchmark</x:v>
      </x:c>
    </x:row>
    <x:row r="3957">
      <x:c r="A3957" s="2" t="str">
        <x:v>381324</x:v>
      </x:c>
      <x:c r="B3957" s="2" t="str">
        <x:v>ST CHARLES MADRAS</x:v>
      </x:c>
      <x:c r="C3957" s="2" t="str">
        <x:v>MADRAS</x:v>
      </x:c>
      <x:c r="D3957" s="2" t="str">
        <x:v>OR</x:v>
      </x:c>
      <x:c r="E3957" s="2" t="str">
        <x:v>Critical Access Hospitals</x:v>
      </x:c>
      <x:c r="F3957" s="2" t="str">
        <x:v>Voluntary non-profit</x:v>
      </x:c>
      <x:c r="G3957" s="2" t="str">
        <x:v>Small (&lt;100 beds)</x:v>
      </x:c>
      <x:c r="H3957" s="7"/>
      <x:c r="I3957" s="7" t="n">
        <x:v>4</x:v>
      </x:c>
      <x:c r="J3957" s="7"/>
      <x:c r="K3957" s="8" t="n">
        <x:v>25</x:v>
      </x:c>
      <x:c r="L3957" s="8" t="n">
        <x:v>643</x:v>
      </x:c>
      <x:c r="M3957" s="9" t="n">
        <x:v>0.3731147541</x:v>
      </x:c>
      <x:c r="N3957" s="10" t="n">
        <x:v>80748.2752721617</x:v>
      </x:c>
      <x:c r="O3957" s="9" t="n">
        <x:v>0.2526752508</x:v>
      </x:c>
      <x:c r="P3957" s="9" t="n">
        <x:v>0.1985130112</x:v>
      </x:c>
      <x:c r="Q3957" s="9" t="n">
        <x:v>0.292936803</x:v>
      </x:c>
      <x:c r="R3957" s="3" t="b">
        <x:v>0</x:v>
      </x:c>
      <x:c r="S3957" s="3" t="b">
        <x:v>0</x:v>
      </x:c>
      <x:c r="T3957" s="3" t="b">
        <x:v>0</x:v>
      </x:c>
      <x:c r="U3957" s="2" t="str">
        <x:f>IF(T3957=TRUE,"Priority review",IF(R3957=TRUE,"High cost",IF(S3957=TRUE,"Low quality","Benchmark")))</x:f>
        <x:v>Benchmark</x:v>
      </x:c>
    </x:row>
    <x:row r="3958">
      <x:c r="A3958" s="2" t="str">
        <x:v>370039</x:v>
      </x:c>
      <x:c r="B3958" s="2" t="str">
        <x:v>HILLCREST HOSPITAL CLAREMORE</x:v>
      </x:c>
      <x:c r="C3958" s="2" t="str">
        <x:v>CLAREMORE</x:v>
      </x:c>
      <x:c r="D3958" s="2" t="str">
        <x:v>OK</x:v>
      </x:c>
      <x:c r="E3958" s="2" t="str">
        <x:v>Acute Care Hospitals</x:v>
      </x:c>
      <x:c r="F3958" s="2" t="str">
        <x:v>Proprietary</x:v>
      </x:c>
      <x:c r="G3958" s="2" t="str">
        <x:v>Small (&lt;100 beds)</x:v>
      </x:c>
      <x:c r="H3958" s="7" t="n">
        <x:v>4</x:v>
      </x:c>
      <x:c r="I3958" s="7" t="n">
        <x:v>3</x:v>
      </x:c>
      <x:c r="J3958" s="7" t="n">
        <x:v>0.91</x:v>
      </x:c>
      <x:c r="K3958" s="8" t="n">
        <x:v>41</x:v>
      </x:c>
      <x:c r="L3958" s="8" t="n">
        <x:v>2016</x:v>
      </x:c>
      <x:c r="M3958" s="9" t="n">
        <x:v>0.4258963081</x:v>
      </x:c>
      <x:c r="N3958" s="10" t="n">
        <x:v>33503.806547619</x:v>
      </x:c>
      <x:c r="O3958" s="9" t="n">
        <x:v>0.0635599937</x:v>
      </x:c>
      <x:c r="P3958" s="9" t="n">
        <x:v>0.1983842011</x:v>
      </x:c>
      <x:c r="Q3958" s="9" t="n">
        <x:v>0.3913824057</x:v>
      </x:c>
      <x:c r="R3958" s="3" t="b">
        <x:v>0</x:v>
      </x:c>
      <x:c r="S3958" s="3" t="b">
        <x:v>0</x:v>
      </x:c>
      <x:c r="T3958" s="3" t="b">
        <x:v>0</x:v>
      </x:c>
      <x:c r="U3958" s="2" t="str">
        <x:f>IF(T3958=TRUE,"Priority review",IF(R3958=TRUE,"High cost",IF(S3958=TRUE,"Low quality","Benchmark")))</x:f>
        <x:v>Benchmark</x:v>
      </x:c>
    </x:row>
    <x:row r="3959">
      <x:c r="A3959" s="2" t="str">
        <x:v>100014</x:v>
      </x:c>
      <x:c r="B3959" s="2" t="str">
        <x:v>ADVENTHEALTH NEW SMYRNA BEACH</x:v>
      </x:c>
      <x:c r="C3959" s="2" t="str">
        <x:v>NEW SMYRNA BEACH</x:v>
      </x:c>
      <x:c r="D3959" s="2" t="str">
        <x:v>FL</x:v>
      </x:c>
      <x:c r="E3959" s="2" t="str">
        <x:v>Acute Care Hospitals</x:v>
      </x:c>
      <x:c r="F3959" s="2" t="str">
        <x:v>Voluntary non-profit</x:v>
      </x:c>
      <x:c r="G3959" s="2" t="str">
        <x:v>Medium (100-299 beds)</x:v>
      </x:c>
      <x:c r="H3959" s="7" t="n">
        <x:v>4</x:v>
      </x:c>
      <x:c r="I3959" s="7" t="n">
        <x:v>3</x:v>
      </x:c>
      <x:c r="J3959" s="7" t="n">
        <x:v>0.97</x:v>
      </x:c>
      <x:c r="K3959" s="8" t="n">
        <x:v>109</x:v>
      </x:c>
      <x:c r="L3959" s="8" t="n">
        <x:v>7744</x:v>
      </x:c>
      <x:c r="M3959" s="9" t="n">
        <x:v>0.7447485837</x:v>
      </x:c>
      <x:c r="N3959" s="10" t="n">
        <x:v>23819.8212809917</x:v>
      </x:c>
      <x:c r="O3959" s="9" t="n">
        <x:v>0.1111138225</x:v>
      </x:c>
      <x:c r="P3959" s="9" t="n">
        <x:v>0.1980440098</x:v>
      </x:c>
      <x:c r="Q3959" s="9" t="n">
        <x:v>0.6022819886</x:v>
      </x:c>
      <x:c r="R3959" s="3" t="b">
        <x:v>0</x:v>
      </x:c>
      <x:c r="S3959" s="3" t="b">
        <x:v>0</x:v>
      </x:c>
      <x:c r="T3959" s="3" t="b">
        <x:v>0</x:v>
      </x:c>
      <x:c r="U3959" s="2" t="str">
        <x:f>IF(T3959=TRUE,"Priority review",IF(R3959=TRUE,"High cost",IF(S3959=TRUE,"Low quality","Benchmark")))</x:f>
        <x:v>Benchmark</x:v>
      </x:c>
    </x:row>
    <x:row r="3960">
      <x:c r="A3960" s="2" t="str">
        <x:v>491302</x:v>
      </x:c>
      <x:c r="B3960" s="2" t="str">
        <x:v>CARILION GILES COMMUNITY HOSPITAL</x:v>
      </x:c>
      <x:c r="C3960" s="2" t="str">
        <x:v>PEARISBURG</x:v>
      </x:c>
      <x:c r="D3960" s="2" t="str">
        <x:v>VA</x:v>
      </x:c>
      <x:c r="E3960" s="2" t="str">
        <x:v>Critical Access Hospitals</x:v>
      </x:c>
      <x:c r="F3960" s="2" t="str">
        <x:v>Voluntary non-profit</x:v>
      </x:c>
      <x:c r="G3960" s="2" t="str">
        <x:v>Small (&lt;100 beds)</x:v>
      </x:c>
      <x:c r="H3960" s="7" t="n">
        <x:v>4</x:v>
      </x:c>
      <x:c r="I3960" s="7" t="n">
        <x:v>5</x:v>
      </x:c>
      <x:c r="J3960" s="7"/>
      <x:c r="K3960" s="8" t="n">
        <x:v>25</x:v>
      </x:c>
      <x:c r="L3960" s="8" t="n">
        <x:v>1185</x:v>
      </x:c>
      <x:c r="M3960" s="9" t="n">
        <x:v>0.6722404372</x:v>
      </x:c>
      <x:c r="N3960" s="10" t="n">
        <x:v>80448.3080168776</x:v>
      </x:c>
      <x:c r="O3960" s="9" t="n">
        <x:v>-0.1217906812</x:v>
      </x:c>
      <x:c r="P3960" s="9" t="n">
        <x:v>0.1977695167</x:v>
      </x:c>
      <x:c r="Q3960" s="9" t="n">
        <x:v>0.1657992565</x:v>
      </x:c>
      <x:c r="R3960" s="3" t="b">
        <x:v>0</x:v>
      </x:c>
      <x:c r="S3960" s="3" t="b">
        <x:v>0</x:v>
      </x:c>
      <x:c r="T3960" s="3" t="b">
        <x:v>0</x:v>
      </x:c>
      <x:c r="U3960" s="2" t="str">
        <x:f>IF(T3960=TRUE,"Priority review",IF(R3960=TRUE,"High cost",IF(S3960=TRUE,"Low quality","Benchmark")))</x:f>
        <x:v>Benchmark</x:v>
      </x:c>
    </x:row>
    <x:row r="3961">
      <x:c r="A3961" s="2" t="str">
        <x:v>230003</x:v>
      </x:c>
      <x:c r="B3961" s="2" t="str">
        <x:v>COREWELL HEALTH ZEELAND HOSPITAL</x:v>
      </x:c>
      <x:c r="C3961" s="2" t="str">
        <x:v>ZEELAND</x:v>
      </x:c>
      <x:c r="D3961" s="2" t="str">
        <x:v>MI</x:v>
      </x:c>
      <x:c r="E3961" s="2" t="str">
        <x:v>Acute Care Hospitals</x:v>
      </x:c>
      <x:c r="F3961" s="2" t="str">
        <x:v>Voluntary non-profit</x:v>
      </x:c>
      <x:c r="G3961" s="2" t="str">
        <x:v>Small (&lt;100 beds)</x:v>
      </x:c>
      <x:c r="H3961" s="7" t="n">
        <x:v>5</x:v>
      </x:c>
      <x:c r="I3961" s="7" t="n">
        <x:v>5</x:v>
      </x:c>
      <x:c r="J3961" s="7" t="n">
        <x:v>0.86</x:v>
      </x:c>
      <x:c r="K3961" s="8" t="n">
        <x:v>55</x:v>
      </x:c>
      <x:c r="L3961" s="8" t="n">
        <x:v>2857</x:v>
      </x:c>
      <x:c r="M3961" s="9" t="n">
        <x:v>0.4329763387</x:v>
      </x:c>
      <x:c r="N3961" s="10" t="n">
        <x:v>33495.203360168</x:v>
      </x:c>
      <x:c r="O3961" s="9" t="n">
        <x:v>0.2001575951</x:v>
      </x:c>
      <x:c r="P3961" s="9" t="n">
        <x:v>0.197486535</x:v>
      </x:c>
      <x:c r="Q3961" s="9" t="n">
        <x:v>0.6131059246</x:v>
      </x:c>
      <x:c r="R3961" s="3" t="b">
        <x:v>0</x:v>
      </x:c>
      <x:c r="S3961" s="3" t="b">
        <x:v>0</x:v>
      </x:c>
      <x:c r="T3961" s="3" t="b">
        <x:v>0</x:v>
      </x:c>
      <x:c r="U3961" s="2" t="str">
        <x:f>IF(T3961=TRUE,"Priority review",IF(R3961=TRUE,"High cost",IF(S3961=TRUE,"Low quality","Benchmark")))</x:f>
        <x:v>Benchmark</x:v>
      </x:c>
    </x:row>
    <x:row r="3962">
      <x:c r="A3962" s="2" t="str">
        <x:v>444027</x:v>
      </x:c>
      <x:c r="B3962" s="2" t="str">
        <x:v>CREEKSIDE BEHAVIORAL HEALTH</x:v>
      </x:c>
      <x:c r="C3962" s="2" t="str">
        <x:v>KINGSPORT</x:v>
      </x:c>
      <x:c r="D3962" s="2" t="str">
        <x:v>TN</x:v>
      </x:c>
      <x:c r="E3962" s="2" t="str">
        <x:v>Psychiatric</x:v>
      </x:c>
      <x:c r="F3962" s="2" t="str">
        <x:v>Proprietary</x:v>
      </x:c>
      <x:c r="G3962" s="2" t="str">
        <x:v>Small (&lt;100 beds)</x:v>
      </x:c>
      <x:c r="H3962" s="7"/>
      <x:c r="I3962" s="7"/>
      <x:c r="J3962" s="7"/>
      <x:c r="K3962" s="8" t="n">
        <x:v>94</x:v>
      </x:c>
      <x:c r="L3962" s="8" t="n">
        <x:v>2697</x:v>
      </x:c>
      <x:c r="M3962" s="9" t="n">
        <x:v>0.7131147541</x:v>
      </x:c>
      <x:c r="N3962" s="10" t="n">
        <x:v>7800.2840192807</x:v>
      </x:c>
      <x:c r="O3962" s="9" t="n">
        <x:v>0.1026484952</x:v>
      </x:c>
      <x:c r="P3962" s="9" t="n">
        <x:v>0.1974110032</x:v>
      </x:c>
      <x:c r="Q3962" s="9" t="n">
        <x:v>0</x:v>
      </x:c>
      <x:c r="R3962" s="3" t="b">
        <x:v>0</x:v>
      </x:c>
      <x:c r="S3962" s="3" t="b">
        <x:v>0</x:v>
      </x:c>
      <x:c r="T3962" s="3" t="b">
        <x:v>0</x:v>
      </x:c>
      <x:c r="U3962" s="2" t="str">
        <x:f>IF(T3962=TRUE,"Priority review",IF(R3962=TRUE,"High cost",IF(S3962=TRUE,"Low quality","Benchmark")))</x:f>
        <x:v>Benchmark</x:v>
      </x:c>
    </x:row>
    <x:row r="3963">
      <x:c r="A3963" s="2" t="str">
        <x:v>040118</x:v>
      </x:c>
      <x:c r="B3963" s="2" t="str">
        <x:v>BAPTIST MEMORIAL HOSPITAL JONESBORO, INC.</x:v>
      </x:c>
      <x:c r="C3963" s="2" t="str">
        <x:v>JONESBORO</x:v>
      </x:c>
      <x:c r="D3963" s="2" t="str">
        <x:v>AR</x:v>
      </x:c>
      <x:c r="E3963" s="2" t="str">
        <x:v>Acute Care Hospitals</x:v>
      </x:c>
      <x:c r="F3963" s="2" t="str">
        <x:v>Voluntary non-profit</x:v>
      </x:c>
      <x:c r="G3963" s="2" t="str">
        <x:v>Medium (100-299 beds)</x:v>
      </x:c>
      <x:c r="H3963" s="7" t="n">
        <x:v>3</x:v>
      </x:c>
      <x:c r="I3963" s="7" t="n">
        <x:v>4</x:v>
      </x:c>
      <x:c r="J3963" s="7" t="n">
        <x:v>1.01</x:v>
      </x:c>
      <x:c r="K3963" s="8" t="n">
        <x:v>180</x:v>
      </x:c>
      <x:c r="L3963" s="8" t="n">
        <x:v>11334</x:v>
      </x:c>
      <x:c r="M3963" s="9" t="n">
        <x:v>0.7714480874</x:v>
      </x:c>
      <x:c r="N3963" s="10" t="n">
        <x:v>23704.9233280395</x:v>
      </x:c>
      <x:c r="O3963" s="9" t="n">
        <x:v>0.0101749846</x:v>
      </x:c>
      <x:c r="P3963" s="9" t="n">
        <x:v>0.1972290139</x:v>
      </x:c>
      <x:c r="Q3963" s="9" t="n">
        <x:v>0.3023634882</x:v>
      </x:c>
      <x:c r="R3963" s="3" t="b">
        <x:v>0</x:v>
      </x:c>
      <x:c r="S3963" s="3" t="b">
        <x:v>0</x:v>
      </x:c>
      <x:c r="T3963" s="3" t="b">
        <x:v>0</x:v>
      </x:c>
      <x:c r="U3963" s="2" t="str">
        <x:f>IF(T3963=TRUE,"Priority review",IF(R3963=TRUE,"High cost",IF(S3963=TRUE,"Low quality","Benchmark")))</x:f>
        <x:v>Benchmark</x:v>
      </x:c>
    </x:row>
    <x:row r="3964">
      <x:c r="A3964" s="2" t="str">
        <x:v>440161</x:v>
      </x:c>
      <x:c r="B3964" s="2" t="str">
        <x:v>TRISTAR CENTENNIAL MEDICAL CENTER</x:v>
      </x:c>
      <x:c r="C3964" s="2" t="str">
        <x:v>NASHVILLE</x:v>
      </x:c>
      <x:c r="D3964" s="2" t="str">
        <x:v>TN</x:v>
      </x:c>
      <x:c r="E3964" s="2" t="str">
        <x:v>Acute Care Hospitals</x:v>
      </x:c>
      <x:c r="F3964" s="2" t="str">
        <x:v>Proprietary</x:v>
      </x:c>
      <x:c r="G3964" s="2" t="str">
        <x:v>Large (300+ beds)</x:v>
      </x:c>
      <x:c r="H3964" s="7" t="n">
        <x:v>4</x:v>
      </x:c>
      <x:c r="I3964" s="7" t="n">
        <x:v>3</x:v>
      </x:c>
      <x:c r="J3964" s="7" t="n">
        <x:v>1</x:v>
      </x:c>
      <x:c r="K3964" s="8" t="n">
        <x:v>635</x:v>
      </x:c>
      <x:c r="L3964" s="8" t="n">
        <x:v>28465</x:v>
      </x:c>
      <x:c r="M3964" s="9" t="n">
        <x:v>0.7135020008</x:v>
      </x:c>
      <x:c r="N3964" s="10" t="n">
        <x:v>26620.0798173195</x:v>
      </x:c>
      <x:c r="O3964" s="9" t="n">
        <x:v>0.3399436135</x:v>
      </x:c>
      <x:c r="P3964" s="9" t="n">
        <x:v>0.1971608833</x:v>
      </x:c>
      <x:c r="Q3964" s="9" t="n">
        <x:v>0.5899053628</x:v>
      </x:c>
      <x:c r="R3964" s="3" t="b">
        <x:v>0</x:v>
      </x:c>
      <x:c r="S3964" s="3" t="b">
        <x:v>0</x:v>
      </x:c>
      <x:c r="T3964" s="3" t="b">
        <x:v>0</x:v>
      </x:c>
      <x:c r="U3964" s="2" t="str">
        <x:f>IF(T3964=TRUE,"Priority review",IF(R3964=TRUE,"High cost",IF(S3964=TRUE,"Low quality","Benchmark")))</x:f>
        <x:v>Benchmark</x:v>
      </x:c>
    </x:row>
    <x:row r="3965">
      <x:c r="A3965" s="2" t="str">
        <x:v>251312</x:v>
      </x:c>
      <x:c r="B3965" s="2" t="str">
        <x:v>TYLER HOLMES MEMORIAL HOSPITAL CAH</x:v>
      </x:c>
      <x:c r="C3965" s="2" t="str">
        <x:v>WINONA</x:v>
      </x:c>
      <x:c r="D3965" s="2" t="str">
        <x:v>MS</x:v>
      </x:c>
      <x:c r="E3965" s="2" t="str">
        <x:v>Critical Access Hospitals</x:v>
      </x:c>
      <x:c r="F3965" s="2" t="str">
        <x:v>Government</x:v>
      </x:c>
      <x:c r="G3965" s="2" t="str">
        <x:v>Small (&lt;100 beds)</x:v>
      </x:c>
      <x:c r="H3965" s="7"/>
      <x:c r="I3965" s="7"/>
      <x:c r="J3965" s="7"/>
      <x:c r="K3965" s="8" t="n">
        <x:v>25</x:v>
      </x:c>
      <x:c r="L3965" s="8" t="n">
        <x:v>260</x:v>
      </x:c>
      <x:c r="M3965" s="9" t="n">
        <x:v>0.3922404372</x:v>
      </x:c>
      <x:c r="N3965" s="10" t="n">
        <x:v>80142.2153846154</x:v>
      </x:c>
      <x:c r="O3965" s="9" t="n">
        <x:v>-0.1143816744</x:v>
      </x:c>
      <x:c r="P3965" s="9" t="n">
        <x:v>0.1970260223</x:v>
      </x:c>
      <x:c r="Q3965" s="9" t="n">
        <x:v>0.292936803</x:v>
      </x:c>
      <x:c r="R3965" s="3" t="b">
        <x:v>0</x:v>
      </x:c>
      <x:c r="S3965" s="3" t="b">
        <x:v>0</x:v>
      </x:c>
      <x:c r="T3965" s="3" t="b">
        <x:v>0</x:v>
      </x:c>
      <x:c r="U3965" s="2" t="str">
        <x:f>IF(T3965=TRUE,"Priority review",IF(R3965=TRUE,"High cost",IF(S3965=TRUE,"Low quality","Benchmark")))</x:f>
        <x:v>Benchmark</x:v>
      </x:c>
    </x:row>
    <x:row r="3966">
      <x:c r="A3966" s="2" t="str">
        <x:v>240069</x:v>
      </x:c>
      <x:c r="B3966" s="2" t="str">
        <x:v>OWATONNA HOSPITAL</x:v>
      </x:c>
      <x:c r="C3966" s="2" t="str">
        <x:v>OWATONNA</x:v>
      </x:c>
      <x:c r="D3966" s="2" t="str">
        <x:v>MN</x:v>
      </x:c>
      <x:c r="E3966" s="2" t="str">
        <x:v>Acute Care Hospitals</x:v>
      </x:c>
      <x:c r="F3966" s="2" t="str">
        <x:v>Voluntary non-profit</x:v>
      </x:c>
      <x:c r="G3966" s="2" t="str">
        <x:v>Small (&lt;100 beds)</x:v>
      </x:c>
      <x:c r="H3966" s="7" t="n">
        <x:v>5</x:v>
      </x:c>
      <x:c r="I3966" s="7" t="n">
        <x:v>4</x:v>
      </x:c>
      <x:c r="J3966" s="7" t="n">
        <x:v>0.9</x:v>
      </x:c>
      <x:c r="K3966" s="8" t="n">
        <x:v>29</x:v>
      </x:c>
      <x:c r="L3966" s="8" t="n">
        <x:v>1822</x:v>
      </x:c>
      <x:c r="M3966" s="9" t="n">
        <x:v>0.5732052007</x:v>
      </x:c>
      <x:c r="N3966" s="10" t="n">
        <x:v>33457.1059275521</x:v>
      </x:c>
      <x:c r="O3966" s="9" t="n">
        <x:v>-0.0496263821</x:v>
      </x:c>
      <x:c r="P3966" s="9" t="n">
        <x:v>0.1965888689</x:v>
      </x:c>
      <x:c r="Q3966" s="9" t="n">
        <x:v>0.6131059246</x:v>
      </x:c>
      <x:c r="R3966" s="3" t="b">
        <x:v>0</x:v>
      </x:c>
      <x:c r="S3966" s="3" t="b">
        <x:v>0</x:v>
      </x:c>
      <x:c r="T3966" s="3" t="b">
        <x:v>0</x:v>
      </x:c>
      <x:c r="U3966" s="2" t="str">
        <x:f>IF(T3966=TRUE,"Priority review",IF(R3966=TRUE,"High cost",IF(S3966=TRUE,"Low quality","Benchmark")))</x:f>
        <x:v>Benchmark</x:v>
      </x:c>
    </x:row>
    <x:row r="3967">
      <x:c r="A3967" s="2" t="str">
        <x:v>450661</x:v>
      </x:c>
      <x:c r="B3967" s="2" t="str">
        <x:v>ODESSA REGIONAL MEDICAL CENTER</x:v>
      </x:c>
      <x:c r="C3967" s="2" t="str">
        <x:v>ODESSA</x:v>
      </x:c>
      <x:c r="D3967" s="2" t="str">
        <x:v>TX</x:v>
      </x:c>
      <x:c r="E3967" s="2" t="str">
        <x:v>Acute Care Hospitals</x:v>
      </x:c>
      <x:c r="F3967" s="2" t="str">
        <x:v>Proprietary</x:v>
      </x:c>
      <x:c r="G3967" s="2" t="str">
        <x:v>Medium (100-299 beds)</x:v>
      </x:c>
      <x:c r="H3967" s="7" t="n">
        <x:v>3</x:v>
      </x:c>
      <x:c r="I3967" s="7" t="n">
        <x:v>2</x:v>
      </x:c>
      <x:c r="J3967" s="7" t="n">
        <x:v>0.99</x:v>
      </x:c>
      <x:c r="K3967" s="8" t="n">
        <x:v>208</x:v>
      </x:c>
      <x:c r="L3967" s="8" t="n">
        <x:v>4711</x:v>
      </x:c>
      <x:c r="M3967" s="9" t="n">
        <x:v>0.2891915022</x:v>
      </x:c>
      <x:c r="N3967" s="10" t="n">
        <x:v>23684.464232647</x:v>
      </x:c>
      <x:c r="O3967" s="9" t="n">
        <x:v>0.0947013052</x:v>
      </x:c>
      <x:c r="P3967" s="9" t="n">
        <x:v>0.1964140179</x:v>
      </x:c>
      <x:c r="Q3967" s="9" t="n">
        <x:v>0.3023634882</x:v>
      </x:c>
      <x:c r="R3967" s="3" t="b">
        <x:v>0</x:v>
      </x:c>
      <x:c r="S3967" s="3" t="b">
        <x:v>0</x:v>
      </x:c>
      <x:c r="T3967" s="3" t="b">
        <x:v>0</x:v>
      </x:c>
      <x:c r="U3967" s="2" t="str">
        <x:f>IF(T3967=TRUE,"Priority review",IF(R3967=TRUE,"High cost",IF(S3967=TRUE,"Low quality","Benchmark")))</x:f>
        <x:v>Benchmark</x:v>
      </x:c>
    </x:row>
    <x:row r="3968">
      <x:c r="A3968" s="2" t="str">
        <x:v>231331</x:v>
      </x:c>
      <x:c r="B3968" s="2" t="str">
        <x:v>SPARROW IONIA HOSPITAL</x:v>
      </x:c>
      <x:c r="C3968" s="2" t="str">
        <x:v>IONIA</x:v>
      </x:c>
      <x:c r="D3968" s="2" t="str">
        <x:v>MI</x:v>
      </x:c>
      <x:c r="E3968" s="2" t="str">
        <x:v>Critical Access Hospitals</x:v>
      </x:c>
      <x:c r="F3968" s="2" t="str">
        <x:v>Voluntary non-profit</x:v>
      </x:c>
      <x:c r="G3968" s="2" t="str">
        <x:v>Small (&lt;100 beds)</x:v>
      </x:c>
      <x:c r="H3968" s="7" t="n">
        <x:v>2</x:v>
      </x:c>
      <x:c r="I3968" s="7" t="n">
        <x:v>4</x:v>
      </x:c>
      <x:c r="J3968" s="7"/>
      <x:c r="K3968" s="8" t="n">
        <x:v>22</x:v>
      </x:c>
      <x:c r="L3968" s="8" t="n">
        <x:v>762</x:v>
      </x:c>
      <x:c r="M3968" s="9" t="n">
        <x:v>0.302739726</x:v>
      </x:c>
      <x:c r="N3968" s="10" t="n">
        <x:v>80141.7887139108</x:v>
      </x:c>
      <x:c r="O3968" s="9" t="n">
        <x:v>0.1720178373</x:v>
      </x:c>
      <x:c r="P3968" s="9" t="n">
        <x:v>0.1962825279</x:v>
      </x:c>
      <x:c r="Q3968" s="9" t="n">
        <x:v>0.0171003717</x:v>
      </x:c>
      <x:c r="R3968" s="3" t="b">
        <x:v>0</x:v>
      </x:c>
      <x:c r="S3968" s="3" t="b">
        <x:v>1</x:v>
      </x:c>
      <x:c r="T3968" s="3" t="b">
        <x:v>0</x:v>
      </x:c>
      <x:c r="U3968" s="2" t="str">
        <x:f>IF(T3968=TRUE,"Priority review",IF(R3968=TRUE,"High cost",IF(S3968=TRUE,"Low quality","Benchmark")))</x:f>
        <x:v>Low quality</x:v>
      </x:c>
    </x:row>
    <x:row r="3969">
      <x:c r="A3969" s="2" t="str">
        <x:v>340188</x:v>
      </x:c>
      <x:c r="B3969" s="2" t="str">
        <x:v>CAPE FEAR VALLEY HOKE HOSPITAL</x:v>
      </x:c>
      <x:c r="C3969" s="2" t="str">
        <x:v>RAEFORD</x:v>
      </x:c>
      <x:c r="D3969" s="2" t="str">
        <x:v>NC</x:v>
      </x:c>
      <x:c r="E3969" s="2" t="str">
        <x:v>Acute Care Hospitals</x:v>
      </x:c>
      <x:c r="F3969" s="2" t="str">
        <x:v>Voluntary non-profit</x:v>
      </x:c>
      <x:c r="G3969" s="2" t="str">
        <x:v>Small (&lt;100 beds)</x:v>
      </x:c>
      <x:c r="H3969" s="7" t="n">
        <x:v>4</x:v>
      </x:c>
      <x:c r="I3969" s="7" t="n">
        <x:v>4</x:v>
      </x:c>
      <x:c r="J3969" s="7" t="n">
        <x:v>0.72</x:v>
      </x:c>
      <x:c r="K3969" s="8" t="n">
        <x:v>37</x:v>
      </x:c>
      <x:c r="L3969" s="8" t="n">
        <x:v>1726</x:v>
      </x:c>
      <x:c r="M3969" s="9" t="n">
        <x:v>0.3777137794</x:v>
      </x:c>
      <x:c r="N3969" s="10" t="n">
        <x:v>33453.7560834299</x:v>
      </x:c>
      <x:c r="O3969" s="9" t="n">
        <x:v>0.2526236334</x:v>
      </x:c>
      <x:c r="P3969" s="9" t="n">
        <x:v>0.1956912029</x:v>
      </x:c>
      <x:c r="Q3969" s="9" t="n">
        <x:v>0.3913824057</x:v>
      </x:c>
      <x:c r="R3969" s="3" t="b">
        <x:v>0</x:v>
      </x:c>
      <x:c r="S3969" s="3" t="b">
        <x:v>0</x:v>
      </x:c>
      <x:c r="T3969" s="3" t="b">
        <x:v>0</x:v>
      </x:c>
      <x:c r="U3969" s="2" t="str">
        <x:f>IF(T3969=TRUE,"Priority review",IF(R3969=TRUE,"High cost",IF(S3969=TRUE,"Low quality","Benchmark")))</x:f>
        <x:v>Benchmark</x:v>
      </x:c>
    </x:row>
    <x:row r="3970">
      <x:c r="A3970" s="2" t="str">
        <x:v>060065</x:v>
      </x:c>
      <x:c r="B3970" s="2" t="str">
        <x:v>HCA HEALTHONE MOUNTAIN RIDGE</x:v>
      </x:c>
      <x:c r="C3970" s="2" t="str">
        <x:v>THORNTON</x:v>
      </x:c>
      <x:c r="D3970" s="2" t="str">
        <x:v>CO</x:v>
      </x:c>
      <x:c r="E3970" s="2" t="str">
        <x:v>Acute Care Hospitals</x:v>
      </x:c>
      <x:c r="F3970" s="2" t="str">
        <x:v>Voluntary non-profit</x:v>
      </x:c>
      <x:c r="G3970" s="2" t="str">
        <x:v>Medium (100-299 beds)</x:v>
      </x:c>
      <x:c r="H3970" s="7" t="n">
        <x:v>3</x:v>
      </x:c>
      <x:c r="I3970" s="7" t="n">
        <x:v>2</x:v>
      </x:c>
      <x:c r="J3970" s="7" t="n">
        <x:v>1.01</x:v>
      </x:c>
      <x:c r="K3970" s="8" t="n">
        <x:v>136</x:v>
      </x:c>
      <x:c r="L3970" s="8" t="n">
        <x:v>8150</x:v>
      </x:c>
      <x:c r="M3970" s="9" t="n">
        <x:v>0.6470095861</x:v>
      </x:c>
      <x:c r="N3970" s="10" t="n">
        <x:v>23683.6514110429</x:v>
      </x:c>
      <x:c r="O3970" s="9" t="n">
        <x:v>0.1328011273</x:v>
      </x:c>
      <x:c r="P3970" s="9" t="n">
        <x:v>0.195599022</x:v>
      </x:c>
      <x:c r="Q3970" s="9" t="n">
        <x:v>0.3023634882</x:v>
      </x:c>
      <x:c r="R3970" s="3" t="b">
        <x:v>0</x:v>
      </x:c>
      <x:c r="S3970" s="3" t="b">
        <x:v>0</x:v>
      </x:c>
      <x:c r="T3970" s="3" t="b">
        <x:v>0</x:v>
      </x:c>
      <x:c r="U3970" s="2" t="str">
        <x:f>IF(T3970=TRUE,"Priority review",IF(R3970=TRUE,"High cost",IF(S3970=TRUE,"Low quality","Benchmark")))</x:f>
        <x:v>Benchmark</x:v>
      </x:c>
    </x:row>
    <x:row r="3971">
      <x:c r="A3971" s="2" t="str">
        <x:v>230197</x:v>
      </x:c>
      <x:c r="B3971" s="2" t="str">
        <x:v>ASCENSION GENESYS HOSPITAL</x:v>
      </x:c>
      <x:c r="C3971" s="2" t="str">
        <x:v>GRAND BLANC</x:v>
      </x:c>
      <x:c r="D3971" s="2" t="str">
        <x:v>MI</x:v>
      </x:c>
      <x:c r="E3971" s="2" t="str">
        <x:v>Acute Care Hospitals</x:v>
      </x:c>
      <x:c r="F3971" s="2" t="str">
        <x:v>Voluntary non-profit</x:v>
      </x:c>
      <x:c r="G3971" s="2" t="str">
        <x:v>Large (300+ beds)</x:v>
      </x:c>
      <x:c r="H3971" s="7" t="n">
        <x:v>3</x:v>
      </x:c>
      <x:c r="I3971" s="7" t="n">
        <x:v>2</x:v>
      </x:c>
      <x:c r="J3971" s="7" t="n">
        <x:v>0.94</x:v>
      </x:c>
      <x:c r="K3971" s="8" t="n">
        <x:v>306</x:v>
      </x:c>
      <x:c r="L3971" s="8" t="n">
        <x:v>16160</x:v>
      </x:c>
      <x:c r="M3971" s="9" t="n">
        <x:v>0.6710806697</x:v>
      </x:c>
      <x:c r="N3971" s="10" t="n">
        <x:v>26517.3179455446</x:v>
      </x:c>
      <x:c r="O3971" s="9" t="n">
        <x:v>-0.1296528366</x:v>
      </x:c>
      <x:c r="P3971" s="9" t="n">
        <x:v>0.1955835962</x:v>
      </x:c>
      <x:c r="Q3971" s="9" t="n">
        <x:v>0.2570977918</x:v>
      </x:c>
      <x:c r="R3971" s="3" t="b">
        <x:v>0</x:v>
      </x:c>
      <x:c r="S3971" s="3" t="b">
        <x:v>0</x:v>
      </x:c>
      <x:c r="T3971" s="3" t="b">
        <x:v>0</x:v>
      </x:c>
      <x:c r="U3971" s="2" t="str">
        <x:f>IF(T3971=TRUE,"Priority review",IF(R3971=TRUE,"High cost",IF(S3971=TRUE,"Low quality","Benchmark")))</x:f>
        <x:v>Benchmark</x:v>
      </x:c>
    </x:row>
    <x:row r="3972">
      <x:c r="A3972" s="2" t="str">
        <x:v>151306</x:v>
      </x:c>
      <x:c r="B3972" s="2" t="str">
        <x:v>INDIANA UNIVERSITY HEALTH PAOLI HOSPITAL</x:v>
      </x:c>
      <x:c r="C3972" s="2" t="str">
        <x:v>PAOLI</x:v>
      </x:c>
      <x:c r="D3972" s="2" t="str">
        <x:v>IN</x:v>
      </x:c>
      <x:c r="E3972" s="2" t="str">
        <x:v>Critical Access Hospitals</x:v>
      </x:c>
      <x:c r="F3972" s="2" t="str">
        <x:v>Voluntary non-profit</x:v>
      </x:c>
      <x:c r="G3972" s="2" t="str">
        <x:v>Small (&lt;100 beds)</x:v>
      </x:c>
      <x:c r="H3972" s="7"/>
      <x:c r="I3972" s="7"/>
      <x:c r="J3972" s="7"/>
      <x:c r="K3972" s="8" t="n">
        <x:v>24</x:v>
      </x:c>
      <x:c r="L3972" s="8" t="n">
        <x:v>447</x:v>
      </x:c>
      <x:c r="M3972" s="9" t="n">
        <x:v>0.1937613843</x:v>
      </x:c>
      <x:c r="N3972" s="10" t="n">
        <x:v>80017.4944071588</x:v>
      </x:c>
      <x:c r="O3972" s="9" t="n">
        <x:v>0.0340902401</x:v>
      </x:c>
      <x:c r="P3972" s="9" t="n">
        <x:v>0.1955390335</x:v>
      </x:c>
      <x:c r="Q3972" s="9" t="n">
        <x:v>0.292936803</x:v>
      </x:c>
      <x:c r="R3972" s="3" t="b">
        <x:v>0</x:v>
      </x:c>
      <x:c r="S3972" s="3" t="b">
        <x:v>0</x:v>
      </x:c>
      <x:c r="T3972" s="3" t="b">
        <x:v>0</x:v>
      </x:c>
      <x:c r="U3972" s="2" t="str">
        <x:f>IF(T3972=TRUE,"Priority review",IF(R3972=TRUE,"High cost",IF(S3972=TRUE,"Low quality","Benchmark")))</x:f>
        <x:v>Benchmark</x:v>
      </x:c>
    </x:row>
    <x:row r="3973">
      <x:c r="A3973" s="2" t="str">
        <x:v>341328</x:v>
      </x:c>
      <x:c r="B3973" s="2" t="str">
        <x:v>ERLANGER MURPHY MEDICAL CENTER</x:v>
      </x:c>
      <x:c r="C3973" s="2" t="str">
        <x:v>MURPHY</x:v>
      </x:c>
      <x:c r="D3973" s="2" t="str">
        <x:v>NC</x:v>
      </x:c>
      <x:c r="E3973" s="2" t="str">
        <x:v>Critical Access Hospitals</x:v>
      </x:c>
      <x:c r="F3973" s="2" t="str">
        <x:v>Voluntary non-profit</x:v>
      </x:c>
      <x:c r="G3973" s="2" t="str">
        <x:v>Small (&lt;100 beds)</x:v>
      </x:c>
      <x:c r="H3973" s="7" t="n">
        <x:v>4</x:v>
      </x:c>
      <x:c r="I3973" s="7" t="n">
        <x:v>4</x:v>
      </x:c>
      <x:c r="J3973" s="7"/>
      <x:c r="K3973" s="8" t="n">
        <x:v>25</x:v>
      </x:c>
      <x:c r="L3973" s="8" t="n">
        <x:v>944</x:v>
      </x:c>
      <x:c r="M3973" s="9" t="n">
        <x:v>0.4323287671</x:v>
      </x:c>
      <x:c r="N3973" s="10" t="n">
        <x:v>79995.343220339</x:v>
      </x:c>
      <x:c r="O3973" s="9" t="n">
        <x:v>-0.0710210404</x:v>
      </x:c>
      <x:c r="P3973" s="9" t="n">
        <x:v>0.194795539</x:v>
      </x:c>
      <x:c r="Q3973" s="9" t="n">
        <x:v>0.1657992565</x:v>
      </x:c>
      <x:c r="R3973" s="3" t="b">
        <x:v>0</x:v>
      </x:c>
      <x:c r="S3973" s="3" t="b">
        <x:v>0</x:v>
      </x:c>
      <x:c r="T3973" s="3" t="b">
        <x:v>0</x:v>
      </x:c>
      <x:c r="U3973" s="2" t="str">
        <x:f>IF(T3973=TRUE,"Priority review",IF(R3973=TRUE,"High cost",IF(S3973=TRUE,"Low quality","Benchmark")))</x:f>
        <x:v>Benchmark</x:v>
      </x:c>
    </x:row>
    <x:row r="3974">
      <x:c r="A3974" s="2" t="str">
        <x:v>360368</x:v>
      </x:c>
      <x:c r="B3974" s="2" t="str">
        <x:v>KETTERING HEALTH TROY</x:v>
      </x:c>
      <x:c r="C3974" s="2" t="str">
        <x:v>TROY</x:v>
      </x:c>
      <x:c r="D3974" s="2" t="str">
        <x:v>OH</x:v>
      </x:c>
      <x:c r="E3974" s="2" t="str">
        <x:v>Acute Care Hospitals</x:v>
      </x:c>
      <x:c r="F3974" s="2" t="str">
        <x:v>Voluntary non-profit</x:v>
      </x:c>
      <x:c r="G3974" s="2" t="str">
        <x:v>Small (&lt;100 beds)</x:v>
      </x:c>
      <x:c r="H3974" s="7" t="n">
        <x:v>5</x:v>
      </x:c>
      <x:c r="I3974" s="7" t="n">
        <x:v>5</x:v>
      </x:c>
      <x:c r="J3974" s="7" t="n">
        <x:v>0.92</x:v>
      </x:c>
      <x:c r="K3974" s="8" t="n">
        <x:v>28</x:v>
      </x:c>
      <x:c r="L3974" s="8" t="n">
        <x:v>1940</x:v>
      </x:c>
      <x:c r="M3974" s="9" t="n">
        <x:v>0.5351288056</x:v>
      </x:c>
      <x:c r="N3974" s="10" t="n">
        <x:v>33364.0798969072</x:v>
      </x:c>
      <x:c r="O3974" s="9" t="n">
        <x:v>0.1155641425</x:v>
      </x:c>
      <x:c r="P3974" s="9" t="n">
        <x:v>0.1947935368</x:v>
      </x:c>
      <x:c r="Q3974" s="9" t="n">
        <x:v>0.6131059246</x:v>
      </x:c>
      <x:c r="R3974" s="3" t="b">
        <x:v>0</x:v>
      </x:c>
      <x:c r="S3974" s="3" t="b">
        <x:v>0</x:v>
      </x:c>
      <x:c r="T3974" s="3" t="b">
        <x:v>0</x:v>
      </x:c>
      <x:c r="U3974" s="2" t="str">
        <x:f>IF(T3974=TRUE,"Priority review",IF(R3974=TRUE,"High cost",IF(S3974=TRUE,"Low quality","Benchmark")))</x:f>
        <x:v>Benchmark</x:v>
      </x:c>
    </x:row>
    <x:row r="3975">
      <x:c r="A3975" s="2" t="str">
        <x:v>040036</x:v>
      </x:c>
      <x:c r="B3975" s="2" t="str">
        <x:v>BAPTIST HEALTH MEDICAL CENTER NORTH LITTLE ROCK</x:v>
      </x:c>
      <x:c r="C3975" s="2" t="str">
        <x:v>NORTH LITTLE ROCK</x:v>
      </x:c>
      <x:c r="D3975" s="2" t="str">
        <x:v>AR</x:v>
      </x:c>
      <x:c r="E3975" s="2" t="str">
        <x:v>Acute Care Hospitals</x:v>
      </x:c>
      <x:c r="F3975" s="2" t="str">
        <x:v>Voluntary non-profit</x:v>
      </x:c>
      <x:c r="G3975" s="2" t="str">
        <x:v>Medium (100-299 beds)</x:v>
      </x:c>
      <x:c r="H3975" s="7" t="n">
        <x:v>1</x:v>
      </x:c>
      <x:c r="I3975" s="7" t="n">
        <x:v>2</x:v>
      </x:c>
      <x:c r="J3975" s="7" t="n">
        <x:v>1.05</x:v>
      </x:c>
      <x:c r="K3975" s="8" t="n">
        <x:v>190</x:v>
      </x:c>
      <x:c r="L3975" s="8" t="n">
        <x:v>13070</x:v>
      </x:c>
      <x:c r="M3975" s="9" t="n">
        <x:v>0.8311763014</x:v>
      </x:c>
      <x:c r="N3975" s="10" t="n">
        <x:v>23646.2575363428</x:v>
      </x:c>
      <x:c r="O3975" s="9" t="n">
        <x:v>0.0387608257</x:v>
      </x:c>
      <x:c r="P3975" s="9" t="n">
        <x:v>0.1947840261</x:v>
      </x:c>
      <x:c r="Q3975" s="9" t="n">
        <x:v>0</x:v>
      </x:c>
      <x:c r="R3975" s="3" t="b">
        <x:v>0</x:v>
      </x:c>
      <x:c r="S3975" s="3" t="b">
        <x:v>1</x:v>
      </x:c>
      <x:c r="T3975" s="3" t="b">
        <x:v>0</x:v>
      </x:c>
      <x:c r="U3975" s="2" t="str">
        <x:f>IF(T3975=TRUE,"Priority review",IF(R3975=TRUE,"High cost",IF(S3975=TRUE,"Low quality","Benchmark")))</x:f>
        <x:v>Low quality</x:v>
      </x:c>
    </x:row>
    <x:row r="3976">
      <x:c r="A3976" s="2" t="str">
        <x:v>154068</x:v>
      </x:c>
      <x:c r="B3976" s="2" t="str">
        <x:v>MEDICAL BEHAVIORAL HOSPITAL OF INDIANAPOLIS</x:v>
      </x:c>
      <x:c r="C3976" s="2" t="str">
        <x:v>GREENWOOD</x:v>
      </x:c>
      <x:c r="D3976" s="2" t="str">
        <x:v>IN</x:v>
      </x:c>
      <x:c r="E3976" s="2" t="str">
        <x:v>Psychiatric</x:v>
      </x:c>
      <x:c r="F3976" s="2" t="str">
        <x:v>Proprietary</x:v>
      </x:c>
      <x:c r="G3976" s="2" t="str">
        <x:v>Small (&lt;100 beds)</x:v>
      </x:c>
      <x:c r="H3976" s="7"/>
      <x:c r="I3976" s="7"/>
      <x:c r="J3976" s="7"/>
      <x:c r="K3976" s="8" t="n">
        <x:v>64</x:v>
      </x:c>
      <x:c r="L3976" s="8" t="n">
        <x:v>1732</x:v>
      </x:c>
      <x:c r="M3976" s="9" t="n">
        <x:v>0.7573855874</x:v>
      </x:c>
      <x:c r="N3976" s="10" t="n">
        <x:v>7763.3648960739</x:v>
      </x:c>
      <x:c r="O3976" s="9" t="n">
        <x:v>0.2107299629</x:v>
      </x:c>
      <x:c r="P3976" s="9" t="n">
        <x:v>0.1941747573</x:v>
      </x:c>
      <x:c r="Q3976" s="9" t="n">
        <x:v>0</x:v>
      </x:c>
      <x:c r="R3976" s="3" t="b">
        <x:v>0</x:v>
      </x:c>
      <x:c r="S3976" s="3" t="b">
        <x:v>0</x:v>
      </x:c>
      <x:c r="T3976" s="3" t="b">
        <x:v>0</x:v>
      </x:c>
      <x:c r="U3976" s="2" t="str">
        <x:f>IF(T3976=TRUE,"Priority review",IF(R3976=TRUE,"High cost",IF(S3976=TRUE,"Low quality","Benchmark")))</x:f>
        <x:v>Benchmark</x:v>
      </x:c>
    </x:row>
    <x:row r="3977">
      <x:c r="A3977" s="2" t="str">
        <x:v>281341</x:v>
      </x:c>
      <x:c r="B3977" s="2" t="str">
        <x:v>CHADRON HOSPITAL</x:v>
      </x:c>
      <x:c r="C3977" s="2" t="str">
        <x:v>CHADRON</x:v>
      </x:c>
      <x:c r="D3977" s="2" t="str">
        <x:v>NE</x:v>
      </x:c>
      <x:c r="E3977" s="2" t="str">
        <x:v>Critical Access Hospitals</x:v>
      </x:c>
      <x:c r="F3977" s="2" t="str">
        <x:v>Voluntary non-profit</x:v>
      </x:c>
      <x:c r="G3977" s="2" t="str">
        <x:v>Small (&lt;100 beds)</x:v>
      </x:c>
      <x:c r="H3977" s="7" t="n">
        <x:v>3</x:v>
      </x:c>
      <x:c r="I3977" s="7"/>
      <x:c r="J3977" s="7"/>
      <x:c r="K3977" s="8" t="n">
        <x:v>25</x:v>
      </x:c>
      <x:c r="L3977" s="8" t="n">
        <x:v>417</x:v>
      </x:c>
      <x:c r="M3977" s="9" t="n">
        <x:v>0.1913661202</x:v>
      </x:c>
      <x:c r="N3977" s="10" t="n">
        <x:v>79807.6354916067</x:v>
      </x:c>
      <x:c r="O3977" s="9" t="n">
        <x:v>-0.0633001242</x:v>
      </x:c>
      <x:c r="P3977" s="9" t="n">
        <x:v>0.1940520446</x:v>
      </x:c>
      <x:c r="Q3977" s="9" t="n">
        <x:v>0.0765799257</x:v>
      </x:c>
      <x:c r="R3977" s="3" t="b">
        <x:v>0</x:v>
      </x:c>
      <x:c r="S3977" s="3" t="b">
        <x:v>1</x:v>
      </x:c>
      <x:c r="T3977" s="3" t="b">
        <x:v>0</x:v>
      </x:c>
      <x:c r="U3977" s="2" t="str">
        <x:f>IF(T3977=TRUE,"Priority review",IF(R3977=TRUE,"High cost",IF(S3977=TRUE,"Low quality","Benchmark")))</x:f>
        <x:v>Low quality</x:v>
      </x:c>
    </x:row>
    <x:row r="3978">
      <x:c r="A3978" s="2" t="str">
        <x:v>034033</x:v>
      </x:c>
      <x:c r="B3978" s="2" t="str">
        <x:v>EL DORADO SPRINGS</x:v>
      </x:c>
      <x:c r="C3978" s="2" t="str">
        <x:v>TUCSON</x:v>
      </x:c>
      <x:c r="D3978" s="2" t="str">
        <x:v>AZ</x:v>
      </x:c>
      <x:c r="E3978" s="2" t="str">
        <x:v>Psychiatric</x:v>
      </x:c>
      <x:c r="F3978" s="2" t="str">
        <x:v>Proprietary</x:v>
      </x:c>
      <x:c r="G3978" s="2" t="str">
        <x:v>Medium (100-299 beds)</x:v>
      </x:c>
      <x:c r="H3978" s="7"/>
      <x:c r="I3978" s="7"/>
      <x:c r="J3978" s="7"/>
      <x:c r="K3978" s="8" t="n">
        <x:v>106</x:v>
      </x:c>
      <x:c r="L3978" s="8" t="n">
        <x:v>3765</x:v>
      </x:c>
      <x:c r="M3978" s="9" t="n">
        <x:v>0.6456707159</x:v>
      </x:c>
      <x:c r="N3978" s="10" t="n">
        <x:v>6470.7768924303</x:v>
      </x:c>
      <x:c r="O3978" s="9" t="n">
        <x:v>0.0177243235</x:v>
      </x:c>
      <x:c r="P3978" s="9" t="n">
        <x:v>0.1940298507</x:v>
      </x:c>
      <x:c r="Q3978" s="9" t="n">
        <x:v>0</x:v>
      </x:c>
      <x:c r="R3978" s="3" t="b">
        <x:v>0</x:v>
      </x:c>
      <x:c r="S3978" s="3" t="b">
        <x:v>0</x:v>
      </x:c>
      <x:c r="T3978" s="3" t="b">
        <x:v>0</x:v>
      </x:c>
      <x:c r="U3978" s="2" t="str">
        <x:f>IF(T3978=TRUE,"Priority review",IF(R3978=TRUE,"High cost",IF(S3978=TRUE,"Low quality","Benchmark")))</x:f>
        <x:v>Benchmark</x:v>
      </x:c>
    </x:row>
    <x:row r="3979">
      <x:c r="A3979" s="2" t="str">
        <x:v>420002</x:v>
      </x:c>
      <x:c r="B3979" s="2" t="str">
        <x:v>PIEDMONT MEDICAL CENTER</x:v>
      </x:c>
      <x:c r="C3979" s="2" t="str">
        <x:v>ROCK HILL</x:v>
      </x:c>
      <x:c r="D3979" s="2" t="str">
        <x:v>SC</x:v>
      </x:c>
      <x:c r="E3979" s="2" t="str">
        <x:v>Acute Care Hospitals</x:v>
      </x:c>
      <x:c r="F3979" s="2" t="str">
        <x:v>Proprietary</x:v>
      </x:c>
      <x:c r="G3979" s="2" t="str">
        <x:v>Large (300+ beds)</x:v>
      </x:c>
      <x:c r="H3979" s="7" t="n">
        <x:v>2</x:v>
      </x:c>
      <x:c r="I3979" s="7" t="n">
        <x:v>1</x:v>
      </x:c>
      <x:c r="J3979" s="7" t="n">
        <x:v>1.03</x:v>
      </x:c>
      <x:c r="K3979" s="8" t="n">
        <x:v>374</x:v>
      </x:c>
      <x:c r="L3979" s="8" t="n">
        <x:v>15214</x:v>
      </x:c>
      <x:c r="M3979" s="9" t="n">
        <x:v>0.555190096</x:v>
      </x:c>
      <x:c r="N3979" s="10" t="n">
        <x:v>26406.5642828973</x:v>
      </x:c>
      <x:c r="O3979" s="9" t="n">
        <x:v>0.1720690754</x:v>
      </x:c>
      <x:c r="P3979" s="9" t="n">
        <x:v>0.1940063091</x:v>
      </x:c>
      <x:c r="Q3979" s="9" t="n">
        <x:v>0.0536277603</x:v>
      </x:c>
      <x:c r="R3979" s="3" t="b">
        <x:v>0</x:v>
      </x:c>
      <x:c r="S3979" s="3" t="b">
        <x:v>1</x:v>
      </x:c>
      <x:c r="T3979" s="3" t="b">
        <x:v>0</x:v>
      </x:c>
      <x:c r="U3979" s="2" t="str">
        <x:f>IF(T3979=TRUE,"Priority review",IF(R3979=TRUE,"High cost",IF(S3979=TRUE,"Low quality","Benchmark")))</x:f>
        <x:v>Low quality</x:v>
      </x:c>
    </x:row>
    <x:row r="3980">
      <x:c r="A3980" s="2" t="str">
        <x:v>220111</x:v>
      </x:c>
      <x:c r="B3980" s="2" t="str">
        <x:v>GOOD SAMARITAN MEDICAL CENTER</x:v>
      </x:c>
      <x:c r="C3980" s="2" t="str">
        <x:v>BROCKTON</x:v>
      </x:c>
      <x:c r="D3980" s="2" t="str">
        <x:v>MA</x:v>
      </x:c>
      <x:c r="E3980" s="2" t="str">
        <x:v>Acute Care Hospitals</x:v>
      </x:c>
      <x:c r="F3980" s="2" t="str">
        <x:v>Proprietary</x:v>
      </x:c>
      <x:c r="G3980" s="2" t="str">
        <x:v>Medium (100-299 beds)</x:v>
      </x:c>
      <x:c r="H3980" s="7" t="n">
        <x:v>2</x:v>
      </x:c>
      <x:c r="I3980" s="7" t="n">
        <x:v>2</x:v>
      </x:c>
      <x:c r="J3980" s="7" t="n">
        <x:v>1</x:v>
      </x:c>
      <x:c r="K3980" s="8" t="n">
        <x:v>208</x:v>
      </x:c>
      <x:c r="L3980" s="8" t="n">
        <x:v>9892</x:v>
      </x:c>
      <x:c r="M3980" s="9" t="n">
        <x:v>0.7855839416</x:v>
      </x:c>
      <x:c r="N3980" s="10" t="n">
        <x:v>23646.0400323494</x:v>
      </x:c>
      <x:c r="O3980" s="9" t="n">
        <x:v>-0.2666815747</x:v>
      </x:c>
      <x:c r="P3980" s="9" t="n">
        <x:v>0.1939690302</x:v>
      </x:c>
      <x:c r="Q3980" s="9" t="n">
        <x:v>0.0782396088</x:v>
      </x:c>
      <x:c r="R3980" s="3" t="b">
        <x:v>0</x:v>
      </x:c>
      <x:c r="S3980" s="3" t="b">
        <x:v>1</x:v>
      </x:c>
      <x:c r="T3980" s="3" t="b">
        <x:v>0</x:v>
      </x:c>
      <x:c r="U3980" s="2" t="str">
        <x:f>IF(T3980=TRUE,"Priority review",IF(R3980=TRUE,"High cost",IF(S3980=TRUE,"Low quality","Benchmark")))</x:f>
        <x:v>Low quality</x:v>
      </x:c>
    </x:row>
    <x:row r="3981">
      <x:c r="A3981" s="2" t="str">
        <x:v>340142</x:v>
      </x:c>
      <x:c r="B3981" s="2" t="str">
        <x:v>CARTERET GENERAL HOSPITAL</x:v>
      </x:c>
      <x:c r="C3981" s="2" t="str">
        <x:v>MOREHEAD CITY</x:v>
      </x:c>
      <x:c r="D3981" s="2" t="str">
        <x:v>NC</x:v>
      </x:c>
      <x:c r="E3981" s="2" t="str">
        <x:v>Acute Care Hospitals</x:v>
      </x:c>
      <x:c r="F3981" s="2" t="str">
        <x:v>Proprietary</x:v>
      </x:c>
      <x:c r="G3981" s="2" t="str">
        <x:v>Small (&lt;100 beds)</x:v>
      </x:c>
      <x:c r="H3981" s="7" t="n">
        <x:v>2</x:v>
      </x:c>
      <x:c r="I3981" s="7" t="n">
        <x:v>4</x:v>
      </x:c>
      <x:c r="J3981" s="7" t="n">
        <x:v>0.92</x:v>
      </x:c>
      <x:c r="K3981" s="8" t="n">
        <x:v>99</x:v>
      </x:c>
      <x:c r="L3981" s="8" t="n">
        <x:v>6022</x:v>
      </x:c>
      <x:c r="M3981" s="9" t="n">
        <x:v>0.7824695038</x:v>
      </x:c>
      <x:c r="N3981" s="10" t="n">
        <x:v>33201.1223845898</x:v>
      </x:c>
      <x:c r="O3981" s="9" t="n">
        <x:v>0.0366232579</x:v>
      </x:c>
      <x:c r="P3981" s="9" t="n">
        <x:v>0.1938958707</x:v>
      </x:c>
      <x:c r="Q3981" s="9" t="n">
        <x:v>0.0350089767</x:v>
      </x:c>
      <x:c r="R3981" s="3" t="b">
        <x:v>0</x:v>
      </x:c>
      <x:c r="S3981" s="3" t="b">
        <x:v>1</x:v>
      </x:c>
      <x:c r="T3981" s="3" t="b">
        <x:v>0</x:v>
      </x:c>
      <x:c r="U3981" s="2" t="str">
        <x:f>IF(T3981=TRUE,"Priority review",IF(R3981=TRUE,"High cost",IF(S3981=TRUE,"Low quality","Benchmark")))</x:f>
        <x:v>Low quality</x:v>
      </x:c>
    </x:row>
    <x:row r="3982">
      <x:c r="A3982" s="2" t="str">
        <x:v>521350</x:v>
      </x:c>
      <x:c r="B3982" s="2" t="str">
        <x:v>LANGLADE HOSPITAL</x:v>
      </x:c>
      <x:c r="C3982" s="2" t="str">
        <x:v>ANTIGO</x:v>
      </x:c>
      <x:c r="D3982" s="2" t="str">
        <x:v>WI</x:v>
      </x:c>
      <x:c r="E3982" s="2" t="str">
        <x:v>Critical Access Hospitals</x:v>
      </x:c>
      <x:c r="F3982" s="2" t="str">
        <x:v>Voluntary non-profit</x:v>
      </x:c>
      <x:c r="G3982" s="2" t="str">
        <x:v>Small (&lt;100 beds)</x:v>
      </x:c>
      <x:c r="H3982" s="7"/>
      <x:c r="I3982" s="7" t="n">
        <x:v>3</x:v>
      </x:c>
      <x:c r="J3982" s="7"/>
      <x:c r="K3982" s="8" t="n">
        <x:v>25</x:v>
      </x:c>
      <x:c r="L3982" s="8" t="n">
        <x:v>1296</x:v>
      </x:c>
      <x:c r="M3982" s="9" t="n">
        <x:v>0.5808219178</x:v>
      </x:c>
      <x:c r="N3982" s="10" t="n">
        <x:v>79662.4783950617</x:v>
      </x:c>
      <x:c r="O3982" s="9" t="n">
        <x:v>0.1078952167</x:v>
      </x:c>
      <x:c r="P3982" s="9" t="n">
        <x:v>0.1933085502</x:v>
      </x:c>
      <x:c r="Q3982" s="9" t="n">
        <x:v>0.292936803</x:v>
      </x:c>
      <x:c r="R3982" s="3" t="b">
        <x:v>0</x:v>
      </x:c>
      <x:c r="S3982" s="3" t="b">
        <x:v>0</x:v>
      </x:c>
      <x:c r="T3982" s="3" t="b">
        <x:v>0</x:v>
      </x:c>
      <x:c r="U3982" s="2" t="str">
        <x:f>IF(T3982=TRUE,"Priority review",IF(R3982=TRUE,"High cost",IF(S3982=TRUE,"Low quality","Benchmark")))</x:f>
        <x:v>Benchmark</x:v>
      </x:c>
    </x:row>
    <x:row r="3983">
      <x:c r="A3983" s="2" t="str">
        <x:v>450563</x:v>
      </x:c>
      <x:c r="B3983" s="2" t="str">
        <x:v>BAYLOR SCOTT &amp; WHITE MEDICAL CENTER  GRAPEVINE</x:v>
      </x:c>
      <x:c r="C3983" s="2" t="str">
        <x:v>GRAPEVINE</x:v>
      </x:c>
      <x:c r="D3983" s="2" t="str">
        <x:v>TX</x:v>
      </x:c>
      <x:c r="E3983" s="2" t="str">
        <x:v>Acute Care Hospitals</x:v>
      </x:c>
      <x:c r="F3983" s="2" t="str">
        <x:v>Voluntary non-profit</x:v>
      </x:c>
      <x:c r="G3983" s="2" t="str">
        <x:v>Medium (100-299 beds)</x:v>
      </x:c>
      <x:c r="H3983" s="7" t="n">
        <x:v>4</x:v>
      </x:c>
      <x:c r="I3983" s="7" t="n">
        <x:v>4</x:v>
      </x:c>
      <x:c r="J3983" s="7" t="n">
        <x:v>1.04</x:v>
      </x:c>
      <x:c r="K3983" s="8" t="n">
        <x:v>289</x:v>
      </x:c>
      <x:c r="L3983" s="8" t="n">
        <x:v>13916</x:v>
      </x:c>
      <x:c r="M3983" s="9" t="n">
        <x:v>0.6377968432</x:v>
      </x:c>
      <x:c r="N3983" s="10" t="n">
        <x:v>23642.4477579764</x:v>
      </x:c>
      <x:c r="O3983" s="9" t="n">
        <x:v>0.2366926517</x:v>
      </x:c>
      <x:c r="P3983" s="9" t="n">
        <x:v>0.1931540342</x:v>
      </x:c>
      <x:c r="Q3983" s="9" t="n">
        <x:v>0.6022819886</x:v>
      </x:c>
      <x:c r="R3983" s="3" t="b">
        <x:v>0</x:v>
      </x:c>
      <x:c r="S3983" s="3" t="b">
        <x:v>0</x:v>
      </x:c>
      <x:c r="T3983" s="3" t="b">
        <x:v>0</x:v>
      </x:c>
      <x:c r="U3983" s="2" t="str">
        <x:f>IF(T3983=TRUE,"Priority review",IF(R3983=TRUE,"High cost",IF(S3983=TRUE,"Low quality","Benchmark")))</x:f>
        <x:v>Benchmark</x:v>
      </x:c>
    </x:row>
    <x:row r="3984">
      <x:c r="A3984" s="2" t="str">
        <x:v>440061</x:v>
      </x:c>
      <x:c r="B3984" s="2" t="str">
        <x:v>VOLUNTEER COMMUNITY HOSPITAL</x:v>
      </x:c>
      <x:c r="C3984" s="2" t="str">
        <x:v>MARTIN</x:v>
      </x:c>
      <x:c r="D3984" s="2" t="str">
        <x:v>TN</x:v>
      </x:c>
      <x:c r="E3984" s="2" t="str">
        <x:v>Acute Care Hospitals</x:v>
      </x:c>
      <x:c r="F3984" s="2" t="str">
        <x:v>Proprietary</x:v>
      </x:c>
      <x:c r="G3984" s="2" t="str">
        <x:v>Small (&lt;100 beds)</x:v>
      </x:c>
      <x:c r="H3984" s="7" t="n">
        <x:v>2</x:v>
      </x:c>
      <x:c r="I3984" s="7" t="n">
        <x:v>4</x:v>
      </x:c>
      <x:c r="J3984" s="7" t="n">
        <x:v>1.2</x:v>
      </x:c>
      <x:c r="K3984" s="8" t="n">
        <x:v>20</x:v>
      </x:c>
      <x:c r="L3984" s="8" t="n">
        <x:v>998</x:v>
      </x:c>
      <x:c r="M3984" s="9" t="n">
        <x:v>0.4421917808</x:v>
      </x:c>
      <x:c r="N3984" s="10" t="n">
        <x:v>33177.8837675351</x:v>
      </x:c>
      <x:c r="O3984" s="9" t="n">
        <x:v>0.0182839512</x:v>
      </x:c>
      <x:c r="P3984" s="9" t="n">
        <x:v>0.1929982047</x:v>
      </x:c>
      <x:c r="Q3984" s="9" t="n">
        <x:v>0.0350089767</x:v>
      </x:c>
      <x:c r="R3984" s="3" t="b">
        <x:v>0</x:v>
      </x:c>
      <x:c r="S3984" s="3" t="b">
        <x:v>1</x:v>
      </x:c>
      <x:c r="T3984" s="3" t="b">
        <x:v>0</x:v>
      </x:c>
      <x:c r="U3984" s="2" t="str">
        <x:f>IF(T3984=TRUE,"Priority review",IF(R3984=TRUE,"High cost",IF(S3984=TRUE,"Low quality","Benchmark")))</x:f>
        <x:v>Low quality</x:v>
      </x:c>
    </x:row>
    <x:row r="3985">
      <x:c r="A3985" s="2" t="str">
        <x:v>521325</x:v>
      </x:c>
      <x:c r="B3985" s="2" t="str">
        <x:v>FLAMBEAU HOSPITAL</x:v>
      </x:c>
      <x:c r="C3985" s="2" t="str">
        <x:v>PARK FALLS</x:v>
      </x:c>
      <x:c r="D3985" s="2" t="str">
        <x:v>WI</x:v>
      </x:c>
      <x:c r="E3985" s="2" t="str">
        <x:v>Critical Access Hospitals</x:v>
      </x:c>
      <x:c r="F3985" s="2" t="str">
        <x:v>Voluntary non-profit</x:v>
      </x:c>
      <x:c r="G3985" s="2" t="str">
        <x:v>Small (&lt;100 beds)</x:v>
      </x:c>
      <x:c r="H3985" s="7" t="n">
        <x:v>3</x:v>
      </x:c>
      <x:c r="I3985" s="7" t="n">
        <x:v>5</x:v>
      </x:c>
      <x:c r="J3985" s="7"/>
      <x:c r="K3985" s="8" t="n">
        <x:v>20</x:v>
      </x:c>
      <x:c r="L3985" s="8" t="n">
        <x:v>401</x:v>
      </x:c>
      <x:c r="M3985" s="9" t="n">
        <x:v>0.2609289617</x:v>
      </x:c>
      <x:c r="N3985" s="10" t="n">
        <x:v>79581.0548628429</x:v>
      </x:c>
      <x:c r="O3985" s="9" t="n">
        <x:v>0.1228262244</x:v>
      </x:c>
      <x:c r="P3985" s="9" t="n">
        <x:v>0.1925650558</x:v>
      </x:c>
      <x:c r="Q3985" s="9" t="n">
        <x:v>0.0765799257</x:v>
      </x:c>
      <x:c r="R3985" s="3" t="b">
        <x:v>0</x:v>
      </x:c>
      <x:c r="S3985" s="3" t="b">
        <x:v>1</x:v>
      </x:c>
      <x:c r="T3985" s="3" t="b">
        <x:v>0</x:v>
      </x:c>
      <x:c r="U3985" s="2" t="str">
        <x:f>IF(T3985=TRUE,"Priority review",IF(R3985=TRUE,"High cost",IF(S3985=TRUE,"Low quality","Benchmark")))</x:f>
        <x:v>Low quality</x:v>
      </x:c>
    </x:row>
    <x:row r="3986">
      <x:c r="A3986" s="2" t="str">
        <x:v>190125</x:v>
      </x:c>
      <x:c r="B3986" s="2" t="str">
        <x:v>FMOL HEALTH ST FRANCIS</x:v>
      </x:c>
      <x:c r="C3986" s="2" t="str">
        <x:v>MONROE</x:v>
      </x:c>
      <x:c r="D3986" s="2" t="str">
        <x:v>LA</x:v>
      </x:c>
      <x:c r="E3986" s="2" t="str">
        <x:v>Acute Care Hospitals</x:v>
      </x:c>
      <x:c r="F3986" s="2" t="str">
        <x:v>Voluntary non-profit</x:v>
      </x:c>
      <x:c r="G3986" s="2" t="str">
        <x:v>Large (300+ beds)</x:v>
      </x:c>
      <x:c r="H3986" s="7" t="n">
        <x:v>3</x:v>
      </x:c>
      <x:c r="I3986" s="7" t="n">
        <x:v>4</x:v>
      </x:c>
      <x:c r="J3986" s="7" t="n">
        <x:v>1.08</x:v>
      </x:c>
      <x:c r="K3986" s="8" t="n">
        <x:v>342</x:v>
      </x:c>
      <x:c r="L3986" s="8" t="n">
        <x:v>15250</x:v>
      </x:c>
      <x:c r="M3986" s="9" t="n">
        <x:v>0.7021148762</x:v>
      </x:c>
      <x:c r="N3986" s="10" t="n">
        <x:v>26394.4367213115</x:v>
      </x:c>
      <x:c r="O3986" s="9" t="n">
        <x:v>0.0780989974</x:v>
      </x:c>
      <x:c r="P3986" s="9" t="n">
        <x:v>0.1924290221</x:v>
      </x:c>
      <x:c r="Q3986" s="9" t="n">
        <x:v>0.2570977918</x:v>
      </x:c>
      <x:c r="R3986" s="3" t="b">
        <x:v>0</x:v>
      </x:c>
      <x:c r="S3986" s="3" t="b">
        <x:v>0</x:v>
      </x:c>
      <x:c r="T3986" s="3" t="b">
        <x:v>0</x:v>
      </x:c>
      <x:c r="U3986" s="2" t="str">
        <x:f>IF(T3986=TRUE,"Priority review",IF(R3986=TRUE,"High cost",IF(S3986=TRUE,"Low quality","Benchmark")))</x:f>
        <x:v>Benchmark</x:v>
      </x:c>
    </x:row>
    <x:row r="3987">
      <x:c r="A3987" s="2" t="str">
        <x:v>050735</x:v>
      </x:c>
      <x:c r="B3987" s="2" t="str">
        <x:v>WHITTIER HOSPITAL MEDICAL CENTER</x:v>
      </x:c>
      <x:c r="C3987" s="2" t="str">
        <x:v>WHITTIER</x:v>
      </x:c>
      <x:c r="D3987" s="2" t="str">
        <x:v>CA</x:v>
      </x:c>
      <x:c r="E3987" s="2" t="str">
        <x:v>Acute Care Hospitals</x:v>
      </x:c>
      <x:c r="F3987" s="2" t="str">
        <x:v>Proprietary</x:v>
      </x:c>
      <x:c r="G3987" s="2" t="str">
        <x:v>Medium (100-299 beds)</x:v>
      </x:c>
      <x:c r="H3987" s="7" t="n">
        <x:v>4</x:v>
      </x:c>
      <x:c r="I3987" s="7" t="n">
        <x:v>2</x:v>
      </x:c>
      <x:c r="J3987" s="7" t="n">
        <x:v>1.34</x:v>
      </x:c>
      <x:c r="K3987" s="8" t="n">
        <x:v>148</x:v>
      </x:c>
      <x:c r="L3987" s="8" t="n">
        <x:v>5563</x:v>
      </x:c>
      <x:c r="M3987" s="9" t="n">
        <x:v>0.4187152906</x:v>
      </x:c>
      <x:c r="N3987" s="10" t="n">
        <x:v>23609.534423872</x:v>
      </x:c>
      <x:c r="O3987" s="9" t="n">
        <x:v>-0.1580786924</x:v>
      </x:c>
      <x:c r="P3987" s="9" t="n">
        <x:v>0.1923390383</x:v>
      </x:c>
      <x:c r="Q3987" s="9" t="n">
        <x:v>0.6022819886</x:v>
      </x:c>
      <x:c r="R3987" s="3" t="b">
        <x:v>0</x:v>
      </x:c>
      <x:c r="S3987" s="3" t="b">
        <x:v>0</x:v>
      </x:c>
      <x:c r="T3987" s="3" t="b">
        <x:v>0</x:v>
      </x:c>
      <x:c r="U3987" s="2" t="str">
        <x:f>IF(T3987=TRUE,"Priority review",IF(R3987=TRUE,"High cost",IF(S3987=TRUE,"Low quality","Benchmark")))</x:f>
        <x:v>Benchmark</x:v>
      </x:c>
    </x:row>
    <x:row r="3988">
      <x:c r="A3988" s="2" t="str">
        <x:v>280133</x:v>
      </x:c>
      <x:c r="B3988" s="2" t="str">
        <x:v>NEBRASKA SPINE HOSPITAL, LLC</x:v>
      </x:c>
      <x:c r="C3988" s="2" t="str">
        <x:v>OMAHA</x:v>
      </x:c>
      <x:c r="D3988" s="2" t="str">
        <x:v>NE</x:v>
      </x:c>
      <x:c r="E3988" s="2" t="str">
        <x:v>Acute Care Hospitals</x:v>
      </x:c>
      <x:c r="F3988" s="2" t="str">
        <x:v>Proprietary</x:v>
      </x:c>
      <x:c r="G3988" s="2" t="str">
        <x:v>Small (&lt;100 beds)</x:v>
      </x:c>
      <x:c r="H3988" s="7"/>
      <x:c r="I3988" s="7" t="n">
        <x:v>5</x:v>
      </x:c>
      <x:c r="J3988" s="7" t="n">
        <x:v>0.9</x:v>
      </x:c>
      <x:c r="K3988" s="8" t="n">
        <x:v>34</x:v>
      </x:c>
      <x:c r="L3988" s="8" t="n">
        <x:v>1002</x:v>
      </x:c>
      <x:c r="M3988" s="9" t="n">
        <x:v>0.2136772742</x:v>
      </x:c>
      <x:c r="N3988" s="10" t="n">
        <x:v>33162.9510978044</x:v>
      </x:c>
      <x:c r="O3988" s="9" t="n">
        <x:v>0.4949851604</x:v>
      </x:c>
      <x:c r="P3988" s="9" t="n">
        <x:v>0.1921005386</x:v>
      </x:c>
      <x:c r="Q3988" s="9" t="n">
        <x:v>0.697486535</x:v>
      </x:c>
      <x:c r="R3988" s="3" t="b">
        <x:v>0</x:v>
      </x:c>
      <x:c r="S3988" s="3" t="b">
        <x:v>0</x:v>
      </x:c>
      <x:c r="T3988" s="3" t="b">
        <x:v>0</x:v>
      </x:c>
      <x:c r="U3988" s="2" t="str">
        <x:f>IF(T3988=TRUE,"Priority review",IF(R3988=TRUE,"High cost",IF(S3988=TRUE,"Low quality","Benchmark")))</x:f>
        <x:v>Benchmark</x:v>
      </x:c>
    </x:row>
    <x:row r="3989">
      <x:c r="A3989" s="2" t="str">
        <x:v>061308</x:v>
      </x:c>
      <x:c r="B3989" s="2" t="str">
        <x:v>SAN LUIS VALLEY HEALTH CONEJOS COUNTY HOSPITAL</x:v>
      </x:c>
      <x:c r="C3989" s="2" t="str">
        <x:v>LA JARA</x:v>
      </x:c>
      <x:c r="D3989" s="2" t="str">
        <x:v>CO</x:v>
      </x:c>
      <x:c r="E3989" s="2" t="str">
        <x:v>Critical Access Hospitals</x:v>
      </x:c>
      <x:c r="F3989" s="2" t="str">
        <x:v>Voluntary non-profit</x:v>
      </x:c>
      <x:c r="G3989" s="2" t="str">
        <x:v>Small (&lt;100 beds)</x:v>
      </x:c>
      <x:c r="H3989" s="7"/>
      <x:c r="I3989" s="7"/>
      <x:c r="J3989" s="7"/>
      <x:c r="K3989" s="8" t="n">
        <x:v>17</x:v>
      </x:c>
      <x:c r="L3989" s="8" t="n">
        <x:v>186</x:v>
      </x:c>
      <x:c r="M3989" s="9" t="n">
        <x:v>0.1896857373</x:v>
      </x:c>
      <x:c r="N3989" s="10" t="n">
        <x:v>79422.2903225807</x:v>
      </x:c>
      <x:c r="O3989" s="9" t="n">
        <x:v>0.0439435753</x:v>
      </x:c>
      <x:c r="P3989" s="9" t="n">
        <x:v>0.1918215613</x:v>
      </x:c>
      <x:c r="Q3989" s="9" t="n">
        <x:v>0.292936803</x:v>
      </x:c>
      <x:c r="R3989" s="3" t="b">
        <x:v>0</x:v>
      </x:c>
      <x:c r="S3989" s="3" t="b">
        <x:v>0</x:v>
      </x:c>
      <x:c r="T3989" s="3" t="b">
        <x:v>0</x:v>
      </x:c>
      <x:c r="U3989" s="2" t="str">
        <x:f>IF(T3989=TRUE,"Priority review",IF(R3989=TRUE,"High cost",IF(S3989=TRUE,"Low quality","Benchmark")))</x:f>
        <x:v>Benchmark</x:v>
      </x:c>
    </x:row>
    <x:row r="3990">
      <x:c r="A3990" s="2" t="str">
        <x:v>110006</x:v>
      </x:c>
      <x:c r="B3990" s="2" t="str">
        <x:v>ST MARY'S HOSPITAL</x:v>
      </x:c>
      <x:c r="C3990" s="2" t="str">
        <x:v>ATHENS</x:v>
      </x:c>
      <x:c r="D3990" s="2" t="str">
        <x:v>GA</x:v>
      </x:c>
      <x:c r="E3990" s="2" t="str">
        <x:v>Acute Care Hospitals</x:v>
      </x:c>
      <x:c r="F3990" s="2" t="str">
        <x:v>Voluntary non-profit</x:v>
      </x:c>
      <x:c r="G3990" s="2" t="str">
        <x:v>Medium (100-299 beds)</x:v>
      </x:c>
      <x:c r="H3990" s="7" t="n">
        <x:v>1</x:v>
      </x:c>
      <x:c r="I3990" s="7" t="n">
        <x:v>3</x:v>
      </x:c>
      <x:c r="J3990" s="7" t="n">
        <x:v>0.99</x:v>
      </x:c>
      <x:c r="K3990" s="8" t="n">
        <x:v>161</x:v>
      </x:c>
      <x:c r="L3990" s="8" t="n">
        <x:v>10081</x:v>
      </x:c>
      <x:c r="M3990" s="9" t="n">
        <x:v>0.7637709521</x:v>
      </x:c>
      <x:c r="N3990" s="10" t="n">
        <x:v>23542.0429520881</x:v>
      </x:c>
      <x:c r="O3990" s="9" t="n">
        <x:v>0.1395261085</x:v>
      </x:c>
      <x:c r="P3990" s="9" t="n">
        <x:v>0.1915240424</x:v>
      </x:c>
      <x:c r="Q3990" s="9" t="n">
        <x:v>0</x:v>
      </x:c>
      <x:c r="R3990" s="3" t="b">
        <x:v>0</x:v>
      </x:c>
      <x:c r="S3990" s="3" t="b">
        <x:v>1</x:v>
      </x:c>
      <x:c r="T3990" s="3" t="b">
        <x:v>0</x:v>
      </x:c>
      <x:c r="U3990" s="2" t="str">
        <x:f>IF(T3990=TRUE,"Priority review",IF(R3990=TRUE,"High cost",IF(S3990=TRUE,"Low quality","Benchmark")))</x:f>
        <x:v>Low quality</x:v>
      </x:c>
    </x:row>
    <x:row r="3991">
      <x:c r="A3991" s="2" t="str">
        <x:v>440008</x:v>
      </x:c>
      <x:c r="B3991" s="2" t="str">
        <x:v>HENDERSON COUNTY COMMUNITY HOSPITAL</x:v>
      </x:c>
      <x:c r="C3991" s="2" t="str">
        <x:v>LEXINGTON</x:v>
      </x:c>
      <x:c r="D3991" s="2" t="str">
        <x:v>TN</x:v>
      </x:c>
      <x:c r="E3991" s="2" t="str">
        <x:v>Acute Care Hospitals</x:v>
      </x:c>
      <x:c r="F3991" s="2" t="str">
        <x:v>Proprietary</x:v>
      </x:c>
      <x:c r="G3991" s="2" t="str">
        <x:v>Small (&lt;100 beds)</x:v>
      </x:c>
      <x:c r="H3991" s="7"/>
      <x:c r="I3991" s="7" t="n">
        <x:v>4</x:v>
      </x:c>
      <x:c r="J3991" s="7" t="n">
        <x:v>1.2</x:v>
      </x:c>
      <x:c r="K3991" s="8" t="n">
        <x:v>36</x:v>
      </x:c>
      <x:c r="L3991" s="8" t="n">
        <x:v>801</x:v>
      </x:c>
      <x:c r="M3991" s="9" t="n">
        <x:v>0.4317698846</x:v>
      </x:c>
      <x:c r="N3991" s="10" t="n">
        <x:v>33117.0948813983</x:v>
      </x:c>
      <x:c r="O3991" s="9" t="n">
        <x:v>0.0372543064</x:v>
      </x:c>
      <x:c r="P3991" s="9" t="n">
        <x:v>0.1912028725</x:v>
      </x:c>
      <x:c r="Q3991" s="9" t="n">
        <x:v>0.697486535</x:v>
      </x:c>
      <x:c r="R3991" s="3" t="b">
        <x:v>0</x:v>
      </x:c>
      <x:c r="S3991" s="3" t="b">
        <x:v>0</x:v>
      </x:c>
      <x:c r="T3991" s="3" t="b">
        <x:v>0</x:v>
      </x:c>
      <x:c r="U3991" s="2" t="str">
        <x:f>IF(T3991=TRUE,"Priority review",IF(R3991=TRUE,"High cost",IF(S3991=TRUE,"Low quality","Benchmark")))</x:f>
        <x:v>Benchmark</x:v>
      </x:c>
    </x:row>
    <x:row r="3992">
      <x:c r="A3992" s="2" t="str">
        <x:v>241371</x:v>
      </x:c>
      <x:c r="B3992" s="2" t="str">
        <x:v>SANFORD LUVERNE MEDICAL CENTER</x:v>
      </x:c>
      <x:c r="C3992" s="2" t="str">
        <x:v>LUVERNE</x:v>
      </x:c>
      <x:c r="D3992" s="2" t="str">
        <x:v>MN</x:v>
      </x:c>
      <x:c r="E3992" s="2" t="str">
        <x:v>Critical Access Hospitals</x:v>
      </x:c>
      <x:c r="F3992" s="2" t="str">
        <x:v>Voluntary non-profit</x:v>
      </x:c>
      <x:c r="G3992" s="2" t="str">
        <x:v>Small (&lt;100 beds)</x:v>
      </x:c>
      <x:c r="H3992" s="7"/>
      <x:c r="I3992" s="7"/>
      <x:c r="J3992" s="7"/>
      <x:c r="K3992" s="8" t="n">
        <x:v>25</x:v>
      </x:c>
      <x:c r="L3992" s="8" t="n">
        <x:v>376</x:v>
      </x:c>
      <x:c r="M3992" s="9" t="n">
        <x:v>0.2170491803</x:v>
      </x:c>
      <x:c r="N3992" s="10" t="n">
        <x:v>79387.0531914894</x:v>
      </x:c>
      <x:c r="O3992" s="9" t="n">
        <x:v>0.1134770442</x:v>
      </x:c>
      <x:c r="P3992" s="9" t="n">
        <x:v>0.1910780669</x:v>
      </x:c>
      <x:c r="Q3992" s="9" t="n">
        <x:v>0.292936803</x:v>
      </x:c>
      <x:c r="R3992" s="3" t="b">
        <x:v>0</x:v>
      </x:c>
      <x:c r="S3992" s="3" t="b">
        <x:v>0</x:v>
      </x:c>
      <x:c r="T3992" s="3" t="b">
        <x:v>0</x:v>
      </x:c>
      <x:c r="U3992" s="2" t="str">
        <x:f>IF(T3992=TRUE,"Priority review",IF(R3992=TRUE,"High cost",IF(S3992=TRUE,"Low quality","Benchmark")))</x:f>
        <x:v>Benchmark</x:v>
      </x:c>
    </x:row>
    <x:row r="3993">
      <x:c r="A3993" s="2" t="str">
        <x:v>034038</x:v>
      </x:c>
      <x:c r="B3993" s="2" t="str">
        <x:v>PHOENIX MEDICAL PSYCHIATRIC HOSPITAL, LLC</x:v>
      </x:c>
      <x:c r="C3993" s="2" t="str">
        <x:v>PHOENIX</x:v>
      </x:c>
      <x:c r="D3993" s="2" t="str">
        <x:v>AZ</x:v>
      </x:c>
      <x:c r="E3993" s="2" t="str">
        <x:v>Psychiatric</x:v>
      </x:c>
      <x:c r="F3993" s="2" t="str">
        <x:v>Proprietary</x:v>
      </x:c>
      <x:c r="G3993" s="2" t="str">
        <x:v>Small (&lt;100 beds)</x:v>
      </x:c>
      <x:c r="H3993" s="7"/>
      <x:c r="I3993" s="7"/>
      <x:c r="J3993" s="7"/>
      <x:c r="K3993" s="8" t="n">
        <x:v>96</x:v>
      </x:c>
      <x:c r="L3993" s="8" t="n">
        <x:v>2458</x:v>
      </x:c>
      <x:c r="M3993" s="9" t="n">
        <x:v>0.6507285974</x:v>
      </x:c>
      <x:c r="N3993" s="10" t="n">
        <x:v>7761.2599674532</x:v>
      </x:c>
      <x:c r="O3993" s="9" t="n">
        <x:v>-0.0607426175</x:v>
      </x:c>
      <x:c r="P3993" s="9" t="n">
        <x:v>0.1909385113</x:v>
      </x:c>
      <x:c r="Q3993" s="9" t="n">
        <x:v>0</x:v>
      </x:c>
      <x:c r="R3993" s="3" t="b">
        <x:v>0</x:v>
      </x:c>
      <x:c r="S3993" s="3" t="b">
        <x:v>0</x:v>
      </x:c>
      <x:c r="T3993" s="3" t="b">
        <x:v>0</x:v>
      </x:c>
      <x:c r="U3993" s="2" t="str">
        <x:f>IF(T3993=TRUE,"Priority review",IF(R3993=TRUE,"High cost",IF(S3993=TRUE,"Low quality","Benchmark")))</x:f>
        <x:v>Benchmark</x:v>
      </x:c>
    </x:row>
    <x:row r="3994">
      <x:c r="A3994" s="2" t="str">
        <x:v>010001</x:v>
      </x:c>
      <x:c r="B3994" s="2" t="str">
        <x:v>SOUTHEAST HEALTH MEDICAL CENTER</x:v>
      </x:c>
      <x:c r="C3994" s="2" t="str">
        <x:v>DOTHAN</x:v>
      </x:c>
      <x:c r="D3994" s="2" t="str">
        <x:v>AL</x:v>
      </x:c>
      <x:c r="E3994" s="2" t="str">
        <x:v>Acute Care Hospitals</x:v>
      </x:c>
      <x:c r="F3994" s="2" t="str">
        <x:v>Government</x:v>
      </x:c>
      <x:c r="G3994" s="2" t="str">
        <x:v>Large (300+ beds)</x:v>
      </x:c>
      <x:c r="H3994" s="7" t="n">
        <x:v>4</x:v>
      </x:c>
      <x:c r="I3994" s="7" t="n">
        <x:v>4</x:v>
      </x:c>
      <x:c r="J3994" s="7" t="n">
        <x:v>0.99</x:v>
      </x:c>
      <x:c r="K3994" s="8" t="n">
        <x:v>334</x:v>
      </x:c>
      <x:c r="L3994" s="8" t="n">
        <x:v>18479</x:v>
      </x:c>
      <x:c r="M3994" s="9" t="n">
        <x:v>0.8664883348</x:v>
      </x:c>
      <x:c r="N3994" s="10" t="n">
        <x:v>26376.7512311272</x:v>
      </x:c>
      <x:c r="O3994" s="9" t="n">
        <x:v>0.0076781187</x:v>
      </x:c>
      <x:c r="P3994" s="9" t="n">
        <x:v>0.190851735</x:v>
      </x:c>
      <x:c r="Q3994" s="9" t="n">
        <x:v>0.5899053628</x:v>
      </x:c>
      <x:c r="R3994" s="3" t="b">
        <x:v>0</x:v>
      </x:c>
      <x:c r="S3994" s="3" t="b">
        <x:v>0</x:v>
      </x:c>
      <x:c r="T3994" s="3" t="b">
        <x:v>0</x:v>
      </x:c>
      <x:c r="U3994" s="2" t="str">
        <x:f>IF(T3994=TRUE,"Priority review",IF(R3994=TRUE,"High cost",IF(S3994=TRUE,"Low quality","Benchmark")))</x:f>
        <x:v>Benchmark</x:v>
      </x:c>
    </x:row>
    <x:row r="3995">
      <x:c r="A3995" s="2" t="str">
        <x:v>490107</x:v>
      </x:c>
      <x:c r="B3995" s="2" t="str">
        <x:v>RESTON HOSPITAL CENTER</x:v>
      </x:c>
      <x:c r="C3995" s="2" t="str">
        <x:v>RESTON</x:v>
      </x:c>
      <x:c r="D3995" s="2" t="str">
        <x:v>VA</x:v>
      </x:c>
      <x:c r="E3995" s="2" t="str">
        <x:v>Acute Care Hospitals</x:v>
      </x:c>
      <x:c r="F3995" s="2" t="str">
        <x:v>Voluntary non-profit</x:v>
      </x:c>
      <x:c r="G3995" s="2" t="str">
        <x:v>Medium (100-299 beds)</x:v>
      </x:c>
      <x:c r="H3995" s="7" t="n">
        <x:v>3</x:v>
      </x:c>
      <x:c r="I3995" s="7" t="n">
        <x:v>2</x:v>
      </x:c>
      <x:c r="J3995" s="7" t="n">
        <x:v>1.03</x:v>
      </x:c>
      <x:c r="K3995" s="8" t="n">
        <x:v>203</x:v>
      </x:c>
      <x:c r="L3995" s="8" t="n">
        <x:v>10979</x:v>
      </x:c>
      <x:c r="M3995" s="9" t="n">
        <x:v>0.6702064659</x:v>
      </x:c>
      <x:c r="N3995" s="10" t="n">
        <x:v>23510.7425084252</x:v>
      </x:c>
      <x:c r="O3995" s="9" t="n">
        <x:v>0.404720235</x:v>
      </x:c>
      <x:c r="P3995" s="9" t="n">
        <x:v>0.1907090465</x:v>
      </x:c>
      <x:c r="Q3995" s="9" t="n">
        <x:v>0.3023634882</x:v>
      </x:c>
      <x:c r="R3995" s="3" t="b">
        <x:v>0</x:v>
      </x:c>
      <x:c r="S3995" s="3" t="b">
        <x:v>0</x:v>
      </x:c>
      <x:c r="T3995" s="3" t="b">
        <x:v>0</x:v>
      </x:c>
      <x:c r="U3995" s="2" t="str">
        <x:f>IF(T3995=TRUE,"Priority review",IF(R3995=TRUE,"High cost",IF(S3995=TRUE,"Low quality","Benchmark")))</x:f>
        <x:v>Benchmark</x:v>
      </x:c>
    </x:row>
    <x:row r="3996">
      <x:c r="A3996" s="2" t="str">
        <x:v>351335</x:v>
      </x:c>
      <x:c r="B3996" s="2" t="str">
        <x:v>JAMESTOWN REGIONAL MEDICAL CENTER</x:v>
      </x:c>
      <x:c r="C3996" s="2" t="str">
        <x:v>JAMESTOWN</x:v>
      </x:c>
      <x:c r="D3996" s="2" t="str">
        <x:v>ND</x:v>
      </x:c>
      <x:c r="E3996" s="2" t="str">
        <x:v>Critical Access Hospitals</x:v>
      </x:c>
      <x:c r="F3996" s="2" t="str">
        <x:v>Voluntary non-profit</x:v>
      </x:c>
      <x:c r="G3996" s="2" t="str">
        <x:v>Small (&lt;100 beds)</x:v>
      </x:c>
      <x:c r="H3996" s="7" t="n">
        <x:v>4</x:v>
      </x:c>
      <x:c r="I3996" s="7" t="n">
        <x:v>4</x:v>
      </x:c>
      <x:c r="J3996" s="7"/>
      <x:c r="K3996" s="8" t="n">
        <x:v>25</x:v>
      </x:c>
      <x:c r="L3996" s="8" t="n">
        <x:v>1049</x:v>
      </x:c>
      <x:c r="M3996" s="9" t="n">
        <x:v>0.4074520548</x:v>
      </x:c>
      <x:c r="N3996" s="10" t="n">
        <x:v>79370.6863679695</x:v>
      </x:c>
      <x:c r="O3996" s="9" t="n">
        <x:v>-0.0381713966</x:v>
      </x:c>
      <x:c r="P3996" s="9" t="n">
        <x:v>0.1903345725</x:v>
      </x:c>
      <x:c r="Q3996" s="9" t="n">
        <x:v>0.1657992565</x:v>
      </x:c>
      <x:c r="R3996" s="3" t="b">
        <x:v>0</x:v>
      </x:c>
      <x:c r="S3996" s="3" t="b">
        <x:v>0</x:v>
      </x:c>
      <x:c r="T3996" s="3" t="b">
        <x:v>0</x:v>
      </x:c>
      <x:c r="U3996" s="2" t="str">
        <x:f>IF(T3996=TRUE,"Priority review",IF(R3996=TRUE,"High cost",IF(S3996=TRUE,"Low quality","Benchmark")))</x:f>
        <x:v>Benchmark</x:v>
      </x:c>
    </x:row>
    <x:row r="3997">
      <x:c r="A3997" s="2" t="str">
        <x:v>370228</x:v>
      </x:c>
      <x:c r="B3997" s="2" t="str">
        <x:v>BAILEY MEDICAL CENTER, LLC</x:v>
      </x:c>
      <x:c r="C3997" s="2" t="str">
        <x:v>OWASSO</x:v>
      </x:c>
      <x:c r="D3997" s="2" t="str">
        <x:v>OK</x:v>
      </x:c>
      <x:c r="E3997" s="2" t="str">
        <x:v>Acute Care Hospitals</x:v>
      </x:c>
      <x:c r="F3997" s="2" t="str">
        <x:v>Proprietary</x:v>
      </x:c>
      <x:c r="G3997" s="2" t="str">
        <x:v>Small (&lt;100 beds)</x:v>
      </x:c>
      <x:c r="H3997" s="7" t="n">
        <x:v>5</x:v>
      </x:c>
      <x:c r="I3997" s="7" t="n">
        <x:v>4</x:v>
      </x:c>
      <x:c r="J3997" s="7" t="n">
        <x:v>0.89</x:v>
      </x:c>
      <x:c r="K3997" s="8" t="n">
        <x:v>41</x:v>
      </x:c>
      <x:c r="L3997" s="8" t="n">
        <x:v>1658</x:v>
      </x:c>
      <x:c r="M3997" s="9" t="n">
        <x:v>0.3070105291</x:v>
      </x:c>
      <x:c r="N3997" s="10" t="n">
        <x:v>32948.712907117</x:v>
      </x:c>
      <x:c r="O3997" s="9" t="n">
        <x:v>0.2200957115</x:v>
      </x:c>
      <x:c r="P3997" s="9" t="n">
        <x:v>0.1903052065</x:v>
      </x:c>
      <x:c r="Q3997" s="9" t="n">
        <x:v>0.6131059246</x:v>
      </x:c>
      <x:c r="R3997" s="3" t="b">
        <x:v>0</x:v>
      </x:c>
      <x:c r="S3997" s="3" t="b">
        <x:v>0</x:v>
      </x:c>
      <x:c r="T3997" s="3" t="b">
        <x:v>0</x:v>
      </x:c>
      <x:c r="U3997" s="2" t="str">
        <x:f>IF(T3997=TRUE,"Priority review",IF(R3997=TRUE,"High cost",IF(S3997=TRUE,"Low quality","Benchmark")))</x:f>
        <x:v>Benchmark</x:v>
      </x:c>
    </x:row>
    <x:row r="3998">
      <x:c r="A3998" s="2" t="str">
        <x:v>100360</x:v>
      </x:c>
      <x:c r="B3998" s="2" t="str">
        <x:v>HCA FLORIDA UNIVERSITY HOSPITAL</x:v>
      </x:c>
      <x:c r="C3998" s="2" t="str">
        <x:v>DAVIE</x:v>
      </x:c>
      <x:c r="D3998" s="2" t="str">
        <x:v>FL</x:v>
      </x:c>
      <x:c r="E3998" s="2" t="str">
        <x:v>Acute Care Hospitals</x:v>
      </x:c>
      <x:c r="F3998" s="2" t="str">
        <x:v>Proprietary</x:v>
      </x:c>
      <x:c r="G3998" s="2" t="str">
        <x:v>Medium (100-299 beds)</x:v>
      </x:c>
      <x:c r="H3998" s="7" t="n">
        <x:v>3</x:v>
      </x:c>
      <x:c r="I3998" s="7" t="n">
        <x:v>2</x:v>
      </x:c>
      <x:c r="J3998" s="7" t="n">
        <x:v>0.99</x:v>
      </x:c>
      <x:c r="K3998" s="8" t="n">
        <x:v>155</x:v>
      </x:c>
      <x:c r="L3998" s="8" t="n">
        <x:v>6884</x:v>
      </x:c>
      <x:c r="M3998" s="9" t="n">
        <x:v>0.5078441742</x:v>
      </x:c>
      <x:c r="N3998" s="10" t="n">
        <x:v>23477.9719639744</x:v>
      </x:c>
      <x:c r="O3998" s="9" t="n">
        <x:v>0.0386056364</x:v>
      </x:c>
      <x:c r="P3998" s="9" t="n">
        <x:v>0.1898940505</x:v>
      </x:c>
      <x:c r="Q3998" s="9" t="n">
        <x:v>0.3023634882</x:v>
      </x:c>
      <x:c r="R3998" s="3" t="b">
        <x:v>0</x:v>
      </x:c>
      <x:c r="S3998" s="3" t="b">
        <x:v>0</x:v>
      </x:c>
      <x:c r="T3998" s="3" t="b">
        <x:v>0</x:v>
      </x:c>
      <x:c r="U3998" s="2" t="str">
        <x:f>IF(T3998=TRUE,"Priority review",IF(R3998=TRUE,"High cost",IF(S3998=TRUE,"Low quality","Benchmark")))</x:f>
        <x:v>Benchmark</x:v>
      </x:c>
    </x:row>
    <x:row r="3999">
      <x:c r="A3999" s="2" t="str">
        <x:v>151322</x:v>
      </x:c>
      <x:c r="B3999" s="2" t="str">
        <x:v>PERRY COUNTY MEMORIAL HOSPITAL</x:v>
      </x:c>
      <x:c r="C3999" s="2" t="str">
        <x:v>TELL CITY</x:v>
      </x:c>
      <x:c r="D3999" s="2" t="str">
        <x:v>IN</x:v>
      </x:c>
      <x:c r="E3999" s="2" t="str">
        <x:v>Critical Access Hospitals</x:v>
      </x:c>
      <x:c r="F3999" s="2" t="str">
        <x:v>Voluntary non-profit</x:v>
      </x:c>
      <x:c r="G3999" s="2" t="str">
        <x:v>Small (&lt;100 beds)</x:v>
      </x:c>
      <x:c r="H3999" s="7" t="n">
        <x:v>2</x:v>
      </x:c>
      <x:c r="I3999" s="7" t="n">
        <x:v>4</x:v>
      </x:c>
      <x:c r="J3999" s="7"/>
      <x:c r="K3999" s="8" t="n">
        <x:v>25</x:v>
      </x:c>
      <x:c r="L3999" s="8" t="n">
        <x:v>663</x:v>
      </x:c>
      <x:c r="M3999" s="9" t="n">
        <x:v>0.526557377</x:v>
      </x:c>
      <x:c r="N3999" s="10" t="n">
        <x:v>79358.7330316742</x:v>
      </x:c>
      <x:c r="O3999" s="9" t="n">
        <x:v>-0.0149679436</x:v>
      </x:c>
      <x:c r="P3999" s="9" t="n">
        <x:v>0.1895910781</x:v>
      </x:c>
      <x:c r="Q3999" s="9" t="n">
        <x:v>0.0171003717</x:v>
      </x:c>
      <x:c r="R3999" s="3" t="b">
        <x:v>0</x:v>
      </x:c>
      <x:c r="S3999" s="3" t="b">
        <x:v>1</x:v>
      </x:c>
      <x:c r="T3999" s="3" t="b">
        <x:v>0</x:v>
      </x:c>
      <x:c r="U3999" s="2" t="str">
        <x:f>IF(T3999=TRUE,"Priority review",IF(R3999=TRUE,"High cost",IF(S3999=TRUE,"Low quality","Benchmark")))</x:f>
        <x:v>Low quality</x:v>
      </x:c>
    </x:row>
    <x:row r="4000">
      <x:c r="A4000" s="2" t="str">
        <x:v>210035</x:v>
      </x:c>
      <x:c r="B4000" s="2" t="str">
        <x:v>UNIVERSITY OF MD CHARLES REGIONAL  MEDICAL CENTER</x:v>
      </x:c>
      <x:c r="C4000" s="2" t="str">
        <x:v>LA PLATA</x:v>
      </x:c>
      <x:c r="D4000" s="2" t="str">
        <x:v>MD</x:v>
      </x:c>
      <x:c r="E4000" s="2" t="str">
        <x:v>Acute Care Hospitals</x:v>
      </x:c>
      <x:c r="F4000" s="2" t="str">
        <x:v>Voluntary non-profit</x:v>
      </x:c>
      <x:c r="G4000" s="2" t="str">
        <x:v>Small (&lt;100 beds)</x:v>
      </x:c>
      <x:c r="H4000" s="7" t="n">
        <x:v>3</x:v>
      </x:c>
      <x:c r="I4000" s="7" t="n">
        <x:v>3</x:v>
      </x:c>
      <x:c r="J4000" s="7"/>
      <x:c r="K4000" s="8" t="n">
        <x:v>93</x:v>
      </x:c>
      <x:c r="L4000" s="8" t="n">
        <x:v>5118</x:v>
      </x:c>
      <x:c r="M4000" s="9" t="n">
        <x:v>0.8508764177</x:v>
      </x:c>
      <x:c r="N4000" s="10" t="n">
        <x:v>32928.8993747558</x:v>
      </x:c>
      <x:c r="O4000" s="9" t="n">
        <x:v>0.0844645135</x:v>
      </x:c>
      <x:c r="P4000" s="9" t="n">
        <x:v>0.1894075404</x:v>
      </x:c>
      <x:c r="Q4000" s="9" t="n">
        <x:v>0.1687612208</x:v>
      </x:c>
      <x:c r="R4000" s="3" t="b">
        <x:v>0</x:v>
      </x:c>
      <x:c r="S4000" s="3" t="b">
        <x:v>0</x:v>
      </x:c>
      <x:c r="T4000" s="3" t="b">
        <x:v>0</x:v>
      </x:c>
      <x:c r="U4000" s="2" t="str">
        <x:f>IF(T4000=TRUE,"Priority review",IF(R4000=TRUE,"High cost",IF(S4000=TRUE,"Low quality","Benchmark")))</x:f>
        <x:v>Benchmark</x:v>
      </x:c>
    </x:row>
    <x:row r="4001">
      <x:c r="A4001" s="2" t="str">
        <x:v>030089</x:v>
      </x:c>
      <x:c r="B4001" s="2" t="str">
        <x:v>BANNER THUNDERBIRD MEDICAL CENTER</x:v>
      </x:c>
      <x:c r="C4001" s="2" t="str">
        <x:v>GLENDALE</x:v>
      </x:c>
      <x:c r="D4001" s="2" t="str">
        <x:v>AZ</x:v>
      </x:c>
      <x:c r="E4001" s="2" t="str">
        <x:v>Acute Care Hospitals</x:v>
      </x:c>
      <x:c r="F4001" s="2" t="str">
        <x:v>Government</x:v>
      </x:c>
      <x:c r="G4001" s="2" t="str">
        <x:v>Large (300+ beds)</x:v>
      </x:c>
      <x:c r="H4001" s="7" t="n">
        <x:v>4</x:v>
      </x:c>
      <x:c r="I4001" s="7" t="n">
        <x:v>2</x:v>
      </x:c>
      <x:c r="J4001" s="7" t="n">
        <x:v>1.05</x:v>
      </x:c>
      <x:c r="K4001" s="8" t="n">
        <x:v>539</x:v>
      </x:c>
      <x:c r="L4001" s="8" t="n">
        <x:v>26639</x:v>
      </x:c>
      <x:c r="M4001" s="9" t="n">
        <x:v>0.6955503513</x:v>
      </x:c>
      <x:c r="N4001" s="10" t="n">
        <x:v>26375.5395097414</x:v>
      </x:c>
      <x:c r="O4001" s="9" t="n">
        <x:v>0.1563178264</x:v>
      </x:c>
      <x:c r="P4001" s="9" t="n">
        <x:v>0.1892744479</x:v>
      </x:c>
      <x:c r="Q4001" s="9" t="n">
        <x:v>0.5899053628</x:v>
      </x:c>
      <x:c r="R4001" s="3" t="b">
        <x:v>0</x:v>
      </x:c>
      <x:c r="S4001" s="3" t="b">
        <x:v>0</x:v>
      </x:c>
      <x:c r="T4001" s="3" t="b">
        <x:v>0</x:v>
      </x:c>
      <x:c r="U4001" s="2" t="str">
        <x:f>IF(T4001=TRUE,"Priority review",IF(R4001=TRUE,"High cost",IF(S4001=TRUE,"Low quality","Benchmark")))</x:f>
        <x:v>Benchmark</x:v>
      </x:c>
    </x:row>
    <x:row r="4002">
      <x:c r="A4002" s="2" t="str">
        <x:v>450638</x:v>
      </x:c>
      <x:c r="B4002" s="2" t="str">
        <x:v>HCA HOUSTON HEALTHCARE NORTHWEST</x:v>
      </x:c>
      <x:c r="C4002" s="2" t="str">
        <x:v>HOUSTON</x:v>
      </x:c>
      <x:c r="D4002" s="2" t="str">
        <x:v>TX</x:v>
      </x:c>
      <x:c r="E4002" s="2" t="str">
        <x:v>Acute Care Hospitals</x:v>
      </x:c>
      <x:c r="F4002" s="2" t="str">
        <x:v>Proprietary</x:v>
      </x:c>
      <x:c r="G4002" s="2" t="str">
        <x:v>Medium (100-299 beds)</x:v>
      </x:c>
      <x:c r="H4002" s="7" t="n">
        <x:v>2</x:v>
      </x:c>
      <x:c r="I4002" s="7" t="n">
        <x:v>2</x:v>
      </x:c>
      <x:c r="J4002" s="7" t="n">
        <x:v>1.07</x:v>
      </x:c>
      <x:c r="K4002" s="8" t="n">
        <x:v>298</x:v>
      </x:c>
      <x:c r="L4002" s="8" t="n">
        <x:v>16601</x:v>
      </x:c>
      <x:c r="M4002" s="9" t="n">
        <x:v>0.8052648917</x:v>
      </x:c>
      <x:c r="N4002" s="10" t="n">
        <x:v>23458.9022348051</x:v>
      </x:c>
      <x:c r="O4002" s="9" t="n">
        <x:v>0.1312040236</x:v>
      </x:c>
      <x:c r="P4002" s="9" t="n">
        <x:v>0.1890790546</x:v>
      </x:c>
      <x:c r="Q4002" s="9" t="n">
        <x:v>0.0782396088</x:v>
      </x:c>
      <x:c r="R4002" s="3" t="b">
        <x:v>0</x:v>
      </x:c>
      <x:c r="S4002" s="3" t="b">
        <x:v>1</x:v>
      </x:c>
      <x:c r="T4002" s="3" t="b">
        <x:v>0</x:v>
      </x:c>
      <x:c r="U4002" s="2" t="str">
        <x:f>IF(T4002=TRUE,"Priority review",IF(R4002=TRUE,"High cost",IF(S4002=TRUE,"Low quality","Benchmark")))</x:f>
        <x:v>Low quality</x:v>
      </x:c>
    </x:row>
    <x:row r="4003">
      <x:c r="A4003" s="2" t="str">
        <x:v>104074</x:v>
      </x:c>
      <x:c r="B4003" s="2" t="str">
        <x:v>PARK ROYAL HOSPITAL</x:v>
      </x:c>
      <x:c r="C4003" s="2" t="str">
        <x:v>FORT MYERS</x:v>
      </x:c>
      <x:c r="D4003" s="2" t="str">
        <x:v>FL</x:v>
      </x:c>
      <x:c r="E4003" s="2" t="str">
        <x:v>Psychiatric</x:v>
      </x:c>
      <x:c r="F4003" s="2" t="str">
        <x:v>Proprietary</x:v>
      </x:c>
      <x:c r="G4003" s="2" t="str">
        <x:v>Medium (100-299 beds)</x:v>
      </x:c>
      <x:c r="H4003" s="7"/>
      <x:c r="I4003" s="7"/>
      <x:c r="J4003" s="7"/>
      <x:c r="K4003" s="8" t="n">
        <x:v>126</x:v>
      </x:c>
      <x:c r="L4003" s="8" t="n">
        <x:v>4574</x:v>
      </x:c>
      <x:c r="M4003" s="9" t="n">
        <x:v>0.8120608899</x:v>
      </x:c>
      <x:c r="N4003" s="10" t="n">
        <x:v>6426.9341932663</x:v>
      </x:c>
      <x:c r="O4003" s="9" t="n">
        <x:v>0.2530631875</x:v>
      </x:c>
      <x:c r="P4003" s="9" t="n">
        <x:v>0.1890547264</x:v>
      </x:c>
      <x:c r="Q4003" s="9" t="n">
        <x:v>0</x:v>
      </x:c>
      <x:c r="R4003" s="3" t="b">
        <x:v>0</x:v>
      </x:c>
      <x:c r="S4003" s="3" t="b">
        <x:v>0</x:v>
      </x:c>
      <x:c r="T4003" s="3" t="b">
        <x:v>0</x:v>
      </x:c>
      <x:c r="U4003" s="2" t="str">
        <x:f>IF(T4003=TRUE,"Priority review",IF(R4003=TRUE,"High cost",IF(S4003=TRUE,"Low quality","Benchmark")))</x:f>
        <x:v>Benchmark</x:v>
      </x:c>
    </x:row>
    <x:row r="4004">
      <x:c r="A4004" s="2" t="str">
        <x:v>521357</x:v>
      </x:c>
      <x:c r="B4004" s="2" t="str">
        <x:v>MERCY WALWORTH HOSPITAL &amp; MEDICAL CENTER</x:v>
      </x:c>
      <x:c r="C4004" s="2" t="str">
        <x:v>LAKE GENEVA</x:v>
      </x:c>
      <x:c r="D4004" s="2" t="str">
        <x:v>WI</x:v>
      </x:c>
      <x:c r="E4004" s="2" t="str">
        <x:v>Critical Access Hospitals</x:v>
      </x:c>
      <x:c r="F4004" s="2" t="str">
        <x:v>Voluntary non-profit</x:v>
      </x:c>
      <x:c r="G4004" s="2" t="str">
        <x:v>Small (&lt;100 beds)</x:v>
      </x:c>
      <x:c r="H4004" s="7" t="n">
        <x:v>3</x:v>
      </x:c>
      <x:c r="I4004" s="7" t="n">
        <x:v>4</x:v>
      </x:c>
      <x:c r="J4004" s="7"/>
      <x:c r="K4004" s="8" t="n">
        <x:v>25</x:v>
      </x:c>
      <x:c r="L4004" s="8" t="n">
        <x:v>1006</x:v>
      </x:c>
      <x:c r="M4004" s="9" t="n">
        <x:v>0.3185753425</x:v>
      </x:c>
      <x:c r="N4004" s="10" t="n">
        <x:v>79308.1123260437</x:v>
      </x:c>
      <x:c r="O4004" s="9"/>
      <x:c r="P4004" s="9" t="n">
        <x:v>0.1888475836</x:v>
      </x:c>
      <x:c r="Q4004" s="9" t="n">
        <x:v>0.0765799257</x:v>
      </x:c>
      <x:c r="R4004" s="3" t="b">
        <x:v>0</x:v>
      </x:c>
      <x:c r="S4004" s="3" t="b">
        <x:v>1</x:v>
      </x:c>
      <x:c r="T4004" s="3" t="b">
        <x:v>0</x:v>
      </x:c>
      <x:c r="U4004" s="2" t="str">
        <x:f>IF(T4004=TRUE,"Priority review",IF(R4004=TRUE,"High cost",IF(S4004=TRUE,"Low quality","Benchmark")))</x:f>
        <x:v>Low quality</x:v>
      </x:c>
    </x:row>
    <x:row r="4005">
      <x:c r="A4005" s="2" t="str">
        <x:v>460061</x:v>
      </x:c>
      <x:c r="B4005" s="2" t="str">
        <x:v>INTERMOUNTAIN HEALTH LAYTON HOSPITAL</x:v>
      </x:c>
      <x:c r="C4005" s="2" t="str">
        <x:v>LAYTON</x:v>
      </x:c>
      <x:c r="D4005" s="2" t="str">
        <x:v>UT</x:v>
      </x:c>
      <x:c r="E4005" s="2" t="str">
        <x:v>Acute Care Hospitals</x:v>
      </x:c>
      <x:c r="F4005" s="2" t="str">
        <x:v>Voluntary non-profit</x:v>
      </x:c>
      <x:c r="G4005" s="2" t="str">
        <x:v>Small (&lt;100 beds)</x:v>
      </x:c>
      <x:c r="H4005" s="7" t="n">
        <x:v>5</x:v>
      </x:c>
      <x:c r="I4005" s="7" t="n">
        <x:v>4</x:v>
      </x:c>
      <x:c r="J4005" s="7" t="n">
        <x:v>0.9</x:v>
      </x:c>
      <x:c r="K4005" s="8" t="n">
        <x:v>37</x:v>
      </x:c>
      <x:c r="L4005" s="8" t="n">
        <x:v>4231</x:v>
      </x:c>
      <x:c r="M4005" s="9" t="n">
        <x:v>0.8058632403</x:v>
      </x:c>
      <x:c r="N4005" s="10" t="n">
        <x:v>32927.439376034</x:v>
      </x:c>
      <x:c r="O4005" s="9" t="n">
        <x:v>0.1717094426</x:v>
      </x:c>
      <x:c r="P4005" s="9" t="n">
        <x:v>0.1885098743</x:v>
      </x:c>
      <x:c r="Q4005" s="9" t="n">
        <x:v>0.6131059246</x:v>
      </x:c>
      <x:c r="R4005" s="3" t="b">
        <x:v>0</x:v>
      </x:c>
      <x:c r="S4005" s="3" t="b">
        <x:v>0</x:v>
      </x:c>
      <x:c r="T4005" s="3" t="b">
        <x:v>0</x:v>
      </x:c>
      <x:c r="U4005" s="2" t="str">
        <x:f>IF(T4005=TRUE,"Priority review",IF(R4005=TRUE,"High cost",IF(S4005=TRUE,"Low quality","Benchmark")))</x:f>
        <x:v>Benchmark</x:v>
      </x:c>
    </x:row>
    <x:row r="4006">
      <x:c r="A4006" s="2" t="str">
        <x:v>010035</x:v>
      </x:c>
      <x:c r="B4006" s="2" t="str">
        <x:v>CULLMAN REGIONAL MEDICAL CENTER</x:v>
      </x:c>
      <x:c r="C4006" s="2" t="str">
        <x:v>CULLMAN</x:v>
      </x:c>
      <x:c r="D4006" s="2" t="str">
        <x:v>AL</x:v>
      </x:c>
      <x:c r="E4006" s="2" t="str">
        <x:v>Acute Care Hospitals</x:v>
      </x:c>
      <x:c r="F4006" s="2" t="str">
        <x:v>Government</x:v>
      </x:c>
      <x:c r="G4006" s="2" t="str">
        <x:v>Medium (100-299 beds)</x:v>
      </x:c>
      <x:c r="H4006" s="7" t="n">
        <x:v>2</x:v>
      </x:c>
      <x:c r="I4006" s="7" t="n">
        <x:v>3</x:v>
      </x:c>
      <x:c r="J4006" s="7" t="n">
        <x:v>0.99</x:v>
      </x:c>
      <x:c r="K4006" s="8" t="n">
        <x:v>162</x:v>
      </x:c>
      <x:c r="L4006" s="8" t="n">
        <x:v>8924</x:v>
      </x:c>
      <x:c r="M4006" s="9" t="n">
        <x:v>0.5178589548</x:v>
      </x:c>
      <x:c r="N4006" s="10" t="n">
        <x:v>23400.8261990139</x:v>
      </x:c>
      <x:c r="O4006" s="9" t="n">
        <x:v>-0.0800377264</x:v>
      </x:c>
      <x:c r="P4006" s="9" t="n">
        <x:v>0.1882640587</x:v>
      </x:c>
      <x:c r="Q4006" s="9" t="n">
        <x:v>0.0782396088</x:v>
      </x:c>
      <x:c r="R4006" s="3" t="b">
        <x:v>0</x:v>
      </x:c>
      <x:c r="S4006" s="3" t="b">
        <x:v>1</x:v>
      </x:c>
      <x:c r="T4006" s="3" t="b">
        <x:v>0</x:v>
      </x:c>
      <x:c r="U4006" s="2" t="str">
        <x:f>IF(T4006=TRUE,"Priority review",IF(R4006=TRUE,"High cost",IF(S4006=TRUE,"Low quality","Benchmark")))</x:f>
        <x:v>Low quality</x:v>
      </x:c>
    </x:row>
    <x:row r="4007">
      <x:c r="A4007" s="2" t="str">
        <x:v>431340</x:v>
      </x:c>
      <x:c r="B4007" s="2" t="str">
        <x:v>AVERA QUEEN OF PEACE</x:v>
      </x:c>
      <x:c r="C4007" s="2" t="str">
        <x:v>MITCHELL</x:v>
      </x:c>
      <x:c r="D4007" s="2" t="str">
        <x:v>SD</x:v>
      </x:c>
      <x:c r="E4007" s="2" t="str">
        <x:v>Critical Access Hospitals</x:v>
      </x:c>
      <x:c r="F4007" s="2" t="str">
        <x:v>Voluntary non-profit</x:v>
      </x:c>
      <x:c r="G4007" s="2" t="str">
        <x:v>Small (&lt;100 beds)</x:v>
      </x:c>
      <x:c r="H4007" s="7" t="n">
        <x:v>4</x:v>
      </x:c>
      <x:c r="I4007" s="7" t="n">
        <x:v>4</x:v>
      </x:c>
      <x:c r="J4007" s="7"/>
      <x:c r="K4007" s="8" t="n">
        <x:v>25</x:v>
      </x:c>
      <x:c r="L4007" s="8" t="n">
        <x:v>1748</x:v>
      </x:c>
      <x:c r="M4007" s="9" t="n">
        <x:v>0.7215342466</x:v>
      </x:c>
      <x:c r="N4007" s="10" t="n">
        <x:v>78938.7025171625</x:v>
      </x:c>
      <x:c r="O4007" s="9" t="n">
        <x:v>-0.0910821852</x:v>
      </x:c>
      <x:c r="P4007" s="9" t="n">
        <x:v>0.1881040892</x:v>
      </x:c>
      <x:c r="Q4007" s="9" t="n">
        <x:v>0.1657992565</x:v>
      </x:c>
      <x:c r="R4007" s="3" t="b">
        <x:v>0</x:v>
      </x:c>
      <x:c r="S4007" s="3" t="b">
        <x:v>0</x:v>
      </x:c>
      <x:c r="T4007" s="3" t="b">
        <x:v>0</x:v>
      </x:c>
      <x:c r="U4007" s="2" t="str">
        <x:f>IF(T4007=TRUE,"Priority review",IF(R4007=TRUE,"High cost",IF(S4007=TRUE,"Low quality","Benchmark")))</x:f>
        <x:v>Benchmark</x:v>
      </x:c>
    </x:row>
    <x:row r="4008">
      <x:c r="A4008" s="2" t="str">
        <x:v>154059</x:v>
      </x:c>
      <x:c r="B4008" s="2" t="str">
        <x:v>SYCAMORE SPRINGS</x:v>
      </x:c>
      <x:c r="C4008" s="2" t="str">
        <x:v>LAFAYETTE</x:v>
      </x:c>
      <x:c r="D4008" s="2" t="str">
        <x:v>IN</x:v>
      </x:c>
      <x:c r="E4008" s="2" t="str">
        <x:v>Psychiatric</x:v>
      </x:c>
      <x:c r="F4008" s="2" t="str">
        <x:v>Proprietary</x:v>
      </x:c>
      <x:c r="G4008" s="2" t="str">
        <x:v>Small (&lt;100 beds)</x:v>
      </x:c>
      <x:c r="H4008" s="7"/>
      <x:c r="I4008" s="7"/>
      <x:c r="J4008" s="7"/>
      <x:c r="K4008" s="8" t="n">
        <x:v>48</x:v>
      </x:c>
      <x:c r="L4008" s="8" t="n">
        <x:v>2204</x:v>
      </x:c>
      <x:c r="M4008" s="9" t="n">
        <x:v>0.8864412568</x:v>
      </x:c>
      <x:c r="N4008" s="10" t="n">
        <x:v>7737.6356624319</x:v>
      </x:c>
      <x:c r="O4008" s="9" t="n">
        <x:v>0.0967906307</x:v>
      </x:c>
      <x:c r="P4008" s="9" t="n">
        <x:v>0.1877022654</x:v>
      </x:c>
      <x:c r="Q4008" s="9" t="n">
        <x:v>0</x:v>
      </x:c>
      <x:c r="R4008" s="3" t="b">
        <x:v>0</x:v>
      </x:c>
      <x:c r="S4008" s="3" t="b">
        <x:v>0</x:v>
      </x:c>
      <x:c r="T4008" s="3" t="b">
        <x:v>0</x:v>
      </x:c>
      <x:c r="U4008" s="2" t="str">
        <x:f>IF(T4008=TRUE,"Priority review",IF(R4008=TRUE,"High cost",IF(S4008=TRUE,"Low quality","Benchmark")))</x:f>
        <x:v>Benchmark</x:v>
      </x:c>
    </x:row>
    <x:row r="4009">
      <x:c r="A4009" s="2" t="str">
        <x:v>440063</x:v>
      </x:c>
      <x:c r="B4009" s="2" t="str">
        <x:v>JOHNSON CITY MEDICAL CENTER</x:v>
      </x:c>
      <x:c r="C4009" s="2" t="str">
        <x:v>JOHNSON CITY</x:v>
      </x:c>
      <x:c r="D4009" s="2" t="str">
        <x:v>TN</x:v>
      </x:c>
      <x:c r="E4009" s="2" t="str">
        <x:v>Acute Care Hospitals</x:v>
      </x:c>
      <x:c r="F4009" s="2" t="str">
        <x:v>Voluntary non-profit</x:v>
      </x:c>
      <x:c r="G4009" s="2" t="str">
        <x:v>Large (300+ beds)</x:v>
      </x:c>
      <x:c r="H4009" s="7" t="n">
        <x:v>1</x:v>
      </x:c>
      <x:c r="I4009" s="7" t="n">
        <x:v>2</x:v>
      </x:c>
      <x:c r="J4009" s="7" t="n">
        <x:v>1.06</x:v>
      </x:c>
      <x:c r="K4009" s="8" t="n">
        <x:v>569</x:v>
      </x:c>
      <x:c r="L4009" s="8" t="n">
        <x:v>27066</x:v>
      </x:c>
      <x:c r="M4009" s="9" t="n">
        <x:v>0.7798733659</x:v>
      </x:c>
      <x:c r="N4009" s="10" t="n">
        <x:v>26374.41882805</x:v>
      </x:c>
      <x:c r="O4009" s="9" t="n">
        <x:v>-0.0080415932</x:v>
      </x:c>
      <x:c r="P4009" s="9" t="n">
        <x:v>0.1876971609</x:v>
      </x:c>
      <x:c r="Q4009" s="9" t="n">
        <x:v>0</x:v>
      </x:c>
      <x:c r="R4009" s="3" t="b">
        <x:v>0</x:v>
      </x:c>
      <x:c r="S4009" s="3" t="b">
        <x:v>1</x:v>
      </x:c>
      <x:c r="T4009" s="3" t="b">
        <x:v>0</x:v>
      </x:c>
      <x:c r="U4009" s="2" t="str">
        <x:f>IF(T4009=TRUE,"Priority review",IF(R4009=TRUE,"High cost",IF(S4009=TRUE,"Low quality","Benchmark")))</x:f>
        <x:v>Low quality</x:v>
      </x:c>
    </x:row>
    <x:row r="4010">
      <x:c r="A4010" s="2" t="str">
        <x:v>440238</x:v>
      </x:c>
      <x:c r="B4010" s="2" t="str">
        <x:v>HAYWOOD COUNTY COMMUNITY HOSPITAL</x:v>
      </x:c>
      <x:c r="C4010" s="2" t="str">
        <x:v>BROWNSVILLE</x:v>
      </x:c>
      <x:c r="D4010" s="2" t="str">
        <x:v>TN</x:v>
      </x:c>
      <x:c r="E4010" s="2" t="str">
        <x:v>Acute Care Hospitals</x:v>
      </x:c>
      <x:c r="F4010" s="2" t="str">
        <x:v>Proprietary</x:v>
      </x:c>
      <x:c r="G4010" s="2" t="str">
        <x:v>Small (&lt;100 beds)</x:v>
      </x:c>
      <x:c r="H4010" s="7"/>
      <x:c r="I4010" s="7"/>
      <x:c r="J4010" s="7" t="n">
        <x:v>1.06</x:v>
      </x:c>
      <x:c r="K4010" s="8" t="n">
        <x:v>9</x:v>
      </x:c>
      <x:c r="L4010" s="8" t="n">
        <x:v>301</x:v>
      </x:c>
      <x:c r="M4010" s="9" t="n">
        <x:v>0.5652701882</x:v>
      </x:c>
      <x:c r="N4010" s="10" t="n">
        <x:v>32855.0166112957</x:v>
      </x:c>
      <x:c r="O4010" s="9" t="n">
        <x:v>-0.7986498522</x:v>
      </x:c>
      <x:c r="P4010" s="9" t="n">
        <x:v>0.1876122083</x:v>
      </x:c>
      <x:c r="Q4010" s="9" t="n">
        <x:v>0.697486535</x:v>
      </x:c>
      <x:c r="R4010" s="3" t="b">
        <x:v>0</x:v>
      </x:c>
      <x:c r="S4010" s="3" t="b">
        <x:v>0</x:v>
      </x:c>
      <x:c r="T4010" s="3" t="b">
        <x:v>0</x:v>
      </x:c>
      <x:c r="U4010" s="2" t="str">
        <x:f>IF(T4010=TRUE,"Priority review",IF(R4010=TRUE,"High cost",IF(S4010=TRUE,"Low quality","Benchmark")))</x:f>
        <x:v>Benchmark</x:v>
      </x:c>
    </x:row>
    <x:row r="4011">
      <x:c r="A4011" s="2" t="str">
        <x:v>440003</x:v>
      </x:c>
      <x:c r="B4011" s="2" t="str">
        <x:v>HIGHPOINT HEALTH-SUMNER WITH ASCENSION SAINT THOMA</x:v>
      </x:c>
      <x:c r="C4011" s="2" t="str">
        <x:v>GALLATIN</x:v>
      </x:c>
      <x:c r="D4011" s="2" t="str">
        <x:v>TN</x:v>
      </x:c>
      <x:c r="E4011" s="2" t="str">
        <x:v>Acute Care Hospitals</x:v>
      </x:c>
      <x:c r="F4011" s="2" t="str">
        <x:v>Proprietary</x:v>
      </x:c>
      <x:c r="G4011" s="2" t="str">
        <x:v>Medium (100-299 beds)</x:v>
      </x:c>
      <x:c r="H4011" s="7" t="n">
        <x:v>3</x:v>
      </x:c>
      <x:c r="I4011" s="7" t="n">
        <x:v>2</x:v>
      </x:c>
      <x:c r="J4011" s="7" t="n">
        <x:v>1.01</x:v>
      </x:c>
      <x:c r="K4011" s="8" t="n">
        <x:v>138</x:v>
      </x:c>
      <x:c r="L4011" s="8" t="n">
        <x:v>8280</x:v>
      </x:c>
      <x:c r="M4011" s="9" t="n">
        <x:v>0.7020845742</x:v>
      </x:c>
      <x:c r="N4011" s="10" t="n">
        <x:v>23333.0193236715</x:v>
      </x:c>
      <x:c r="O4011" s="9" t="n">
        <x:v>0.015319385</x:v>
      </x:c>
      <x:c r="P4011" s="9" t="n">
        <x:v>0.1874490628</x:v>
      </x:c>
      <x:c r="Q4011" s="9" t="n">
        <x:v>0.3023634882</x:v>
      </x:c>
      <x:c r="R4011" s="3" t="b">
        <x:v>0</x:v>
      </x:c>
      <x:c r="S4011" s="3" t="b">
        <x:v>0</x:v>
      </x:c>
      <x:c r="T4011" s="3" t="b">
        <x:v>0</x:v>
      </x:c>
      <x:c r="U4011" s="2" t="str">
        <x:f>IF(T4011=TRUE,"Priority review",IF(R4011=TRUE,"High cost",IF(S4011=TRUE,"Low quality","Benchmark")))</x:f>
        <x:v>Benchmark</x:v>
      </x:c>
    </x:row>
    <x:row r="4012">
      <x:c r="A4012" s="2" t="str">
        <x:v>161353</x:v>
      </x:c>
      <x:c r="B4012" s="2" t="str">
        <x:v>KOSSUTH REGIONAL HEALTH CENTER</x:v>
      </x:c>
      <x:c r="C4012" s="2" t="str">
        <x:v>ALGONA</x:v>
      </x:c>
      <x:c r="D4012" s="2" t="str">
        <x:v>IA</x:v>
      </x:c>
      <x:c r="E4012" s="2" t="str">
        <x:v>Critical Access Hospitals</x:v>
      </x:c>
      <x:c r="F4012" s="2" t="str">
        <x:v>Government</x:v>
      </x:c>
      <x:c r="G4012" s="2" t="str">
        <x:v>Small (&lt;100 beds)</x:v>
      </x:c>
      <x:c r="H4012" s="7" t="n">
        <x:v>1</x:v>
      </x:c>
      <x:c r="I4012" s="7"/>
      <x:c r="J4012" s="7"/>
      <x:c r="K4012" s="8" t="n">
        <x:v>24</x:v>
      </x:c>
      <x:c r="L4012" s="8" t="n">
        <x:v>595</x:v>
      </x:c>
      <x:c r="M4012" s="9" t="n">
        <x:v>0.3657534247</x:v>
      </x:c>
      <x:c r="N4012" s="10" t="n">
        <x:v>78875.9613445378</x:v>
      </x:c>
      <x:c r="O4012" s="9" t="n">
        <x:v>-0.0321214935</x:v>
      </x:c>
      <x:c r="P4012" s="9" t="n">
        <x:v>0.1873605948</x:v>
      </x:c>
      <x:c r="Q4012" s="9" t="n">
        <x:v>0</x:v>
      </x:c>
      <x:c r="R4012" s="3" t="b">
        <x:v>0</x:v>
      </x:c>
      <x:c r="S4012" s="3" t="b">
        <x:v>1</x:v>
      </x:c>
      <x:c r="T4012" s="3" t="b">
        <x:v>0</x:v>
      </x:c>
      <x:c r="U4012" s="2" t="str">
        <x:f>IF(T4012=TRUE,"Priority review",IF(R4012=TRUE,"High cost",IF(S4012=TRUE,"Low quality","Benchmark")))</x:f>
        <x:v>Low quality</x:v>
      </x:c>
    </x:row>
    <x:row r="4013">
      <x:c r="A4013" s="2" t="str">
        <x:v>360010</x:v>
      </x:c>
      <x:c r="B4013" s="2" t="str">
        <x:v>UNION HOSPITAL</x:v>
      </x:c>
      <x:c r="C4013" s="2" t="str">
        <x:v>DOVER</x:v>
      </x:c>
      <x:c r="D4013" s="2" t="str">
        <x:v>OH</x:v>
      </x:c>
      <x:c r="E4013" s="2" t="str">
        <x:v>Acute Care Hospitals</x:v>
      </x:c>
      <x:c r="F4013" s="2" t="str">
        <x:v>Voluntary non-profit</x:v>
      </x:c>
      <x:c r="G4013" s="2" t="str">
        <x:v>Small (&lt;100 beds)</x:v>
      </x:c>
      <x:c r="H4013" s="7" t="n">
        <x:v>3</x:v>
      </x:c>
      <x:c r="I4013" s="7" t="n">
        <x:v>3</x:v>
      </x:c>
      <x:c r="J4013" s="7" t="n">
        <x:v>1.01</x:v>
      </x:c>
      <x:c r="K4013" s="8" t="n">
        <x:v>77</x:v>
      </x:c>
      <x:c r="L4013" s="8" t="n">
        <x:v>3880</x:v>
      </x:c>
      <x:c r="M4013" s="9" t="n">
        <x:v>0.4290681996</x:v>
      </x:c>
      <x:c r="N4013" s="10" t="n">
        <x:v>32799.2577319588</x:v>
      </x:c>
      <x:c r="O4013" s="9" t="n">
        <x:v>0.0996264919</x:v>
      </x:c>
      <x:c r="P4013" s="9" t="n">
        <x:v>0.1867145422</x:v>
      </x:c>
      <x:c r="Q4013" s="9" t="n">
        <x:v>0.1687612208</x:v>
      </x:c>
      <x:c r="R4013" s="3" t="b">
        <x:v>0</x:v>
      </x:c>
      <x:c r="S4013" s="3" t="b">
        <x:v>0</x:v>
      </x:c>
      <x:c r="T4013" s="3" t="b">
        <x:v>0</x:v>
      </x:c>
      <x:c r="U4013" s="2" t="str">
        <x:f>IF(T4013=TRUE,"Priority review",IF(R4013=TRUE,"High cost",IF(S4013=TRUE,"Low quality","Benchmark")))</x:f>
        <x:v>Benchmark</x:v>
      </x:c>
    </x:row>
    <x:row r="4014">
      <x:c r="A4014" s="2" t="str">
        <x:v>100363</x:v>
      </x:c>
      <x:c r="B4014" s="2" t="str">
        <x:v>ADVENTHEALTH PALM COAST PARKWAY</x:v>
      </x:c>
      <x:c r="C4014" s="2" t="str">
        <x:v>PALM COAST</x:v>
      </x:c>
      <x:c r="D4014" s="2" t="str">
        <x:v>FL</x:v>
      </x:c>
      <x:c r="E4014" s="2" t="str">
        <x:v>Acute Care Hospitals</x:v>
      </x:c>
      <x:c r="F4014" s="2" t="str">
        <x:v>Voluntary non-profit</x:v>
      </x:c>
      <x:c r="G4014" s="2" t="str">
        <x:v>Medium (100-299 beds)</x:v>
      </x:c>
      <x:c r="H4014" s="7" t="n">
        <x:v>4</x:v>
      </x:c>
      <x:c r="I4014" s="7" t="n">
        <x:v>4</x:v>
      </x:c>
      <x:c r="J4014" s="7" t="n">
        <x:v>0.88</x:v>
      </x:c>
      <x:c r="K4014" s="8" t="n">
        <x:v>100</x:v>
      </x:c>
      <x:c r="L4014" s="8" t="n">
        <x:v>5918</x:v>
      </x:c>
      <x:c r="M4014" s="9" t="n">
        <x:v>0.646109589</x:v>
      </x:c>
      <x:c r="N4014" s="10" t="n">
        <x:v>23310.0660696181</x:v>
      </x:c>
      <x:c r="O4014" s="9" t="n">
        <x:v>0.0107934533</x:v>
      </x:c>
      <x:c r="P4014" s="9" t="n">
        <x:v>0.1866340668</x:v>
      </x:c>
      <x:c r="Q4014" s="9" t="n">
        <x:v>0.6022819886</x:v>
      </x:c>
      <x:c r="R4014" s="3" t="b">
        <x:v>0</x:v>
      </x:c>
      <x:c r="S4014" s="3" t="b">
        <x:v>0</x:v>
      </x:c>
      <x:c r="T4014" s="3" t="b">
        <x:v>0</x:v>
      </x:c>
      <x:c r="U4014" s="2" t="str">
        <x:f>IF(T4014=TRUE,"Priority review",IF(R4014=TRUE,"High cost",IF(S4014=TRUE,"Low quality","Benchmark")))</x:f>
        <x:v>Benchmark</x:v>
      </x:c>
    </x:row>
    <x:row r="4015">
      <x:c r="A4015" s="2" t="str">
        <x:v>501326</x:v>
      </x:c>
      <x:c r="B4015" s="2" t="str">
        <x:v>PROVIDENCE MOUNT CARMEL HOSPITAL</x:v>
      </x:c>
      <x:c r="C4015" s="2" t="str">
        <x:v>COLVILLE</x:v>
      </x:c>
      <x:c r="D4015" s="2" t="str">
        <x:v>WA</x:v>
      </x:c>
      <x:c r="E4015" s="2" t="str">
        <x:v>Critical Access Hospitals</x:v>
      </x:c>
      <x:c r="F4015" s="2" t="str">
        <x:v>Voluntary non-profit</x:v>
      </x:c>
      <x:c r="G4015" s="2" t="str">
        <x:v>Small (&lt;100 beds)</x:v>
      </x:c>
      <x:c r="H4015" s="7" t="n">
        <x:v>3</x:v>
      </x:c>
      <x:c r="I4015" s="7" t="n">
        <x:v>4</x:v>
      </x:c>
      <x:c r="J4015" s="7"/>
      <x:c r="K4015" s="8" t="n">
        <x:v>25</x:v>
      </x:c>
      <x:c r="L4015" s="8" t="n">
        <x:v>783</x:v>
      </x:c>
      <x:c r="M4015" s="9" t="n">
        <x:v>0.446557377</x:v>
      </x:c>
      <x:c r="N4015" s="10" t="n">
        <x:v>78206.3026819923</x:v>
      </x:c>
      <x:c r="O4015" s="9" t="n">
        <x:v>0.1041008196</x:v>
      </x:c>
      <x:c r="P4015" s="9" t="n">
        <x:v>0.1866171004</x:v>
      </x:c>
      <x:c r="Q4015" s="9" t="n">
        <x:v>0.0765799257</x:v>
      </x:c>
      <x:c r="R4015" s="3" t="b">
        <x:v>0</x:v>
      </x:c>
      <x:c r="S4015" s="3" t="b">
        <x:v>1</x:v>
      </x:c>
      <x:c r="T4015" s="3" t="b">
        <x:v>0</x:v>
      </x:c>
      <x:c r="U4015" s="2" t="str">
        <x:f>IF(T4015=TRUE,"Priority review",IF(R4015=TRUE,"High cost",IF(S4015=TRUE,"Low quality","Benchmark")))</x:f>
        <x:v>Low quality</x:v>
      </x:c>
    </x:row>
    <x:row r="4016">
      <x:c r="A4016" s="2" t="str">
        <x:v>450431</x:v>
      </x:c>
      <x:c r="B4016" s="2" t="str">
        <x:v>ST DAVID'S MEDICAL CENTER</x:v>
      </x:c>
      <x:c r="C4016" s="2" t="str">
        <x:v>AUSTIN</x:v>
      </x:c>
      <x:c r="D4016" s="2" t="str">
        <x:v>TX</x:v>
      </x:c>
      <x:c r="E4016" s="2" t="str">
        <x:v>Acute Care Hospitals</x:v>
      </x:c>
      <x:c r="F4016" s="2" t="str">
        <x:v>Proprietary</x:v>
      </x:c>
      <x:c r="G4016" s="2" t="str">
        <x:v>Large (300+ beds)</x:v>
      </x:c>
      <x:c r="H4016" s="7" t="n">
        <x:v>4</x:v>
      </x:c>
      <x:c r="I4016" s="7" t="n">
        <x:v>3</x:v>
      </x:c>
      <x:c r="J4016" s="7" t="n">
        <x:v>1.06</x:v>
      </x:c>
      <x:c r="K4016" s="8" t="n">
        <x:v>514</x:v>
      </x:c>
      <x:c r="L4016" s="8" t="n">
        <x:v>28664</x:v>
      </x:c>
      <x:c r="M4016" s="9" t="n">
        <x:v>0.7562221926</x:v>
      </x:c>
      <x:c r="N4016" s="10" t="n">
        <x:v>26364.1645269327</x:v>
      </x:c>
      <x:c r="O4016" s="9" t="n">
        <x:v>0.2530771079</x:v>
      </x:c>
      <x:c r="P4016" s="9" t="n">
        <x:v>0.1861198738</x:v>
      </x:c>
      <x:c r="Q4016" s="9" t="n">
        <x:v>0.5899053628</x:v>
      </x:c>
      <x:c r="R4016" s="3" t="b">
        <x:v>0</x:v>
      </x:c>
      <x:c r="S4016" s="3" t="b">
        <x:v>0</x:v>
      </x:c>
      <x:c r="T4016" s="3" t="b">
        <x:v>0</x:v>
      </x:c>
      <x:c r="U4016" s="2" t="str">
        <x:f>IF(T4016=TRUE,"Priority review",IF(R4016=TRUE,"High cost",IF(S4016=TRUE,"Low quality","Benchmark")))</x:f>
        <x:v>Benchmark</x:v>
      </x:c>
    </x:row>
    <x:row r="4017">
      <x:c r="A4017" s="2" t="str">
        <x:v>141337</x:v>
      </x:c>
      <x:c r="B4017" s="2" t="str">
        <x:v>OSF SAINT CLARE MEDICAL CENTER</x:v>
      </x:c>
      <x:c r="C4017" s="2" t="str">
        <x:v>PRINCETON</x:v>
      </x:c>
      <x:c r="D4017" s="2" t="str">
        <x:v>IL</x:v>
      </x:c>
      <x:c r="E4017" s="2" t="str">
        <x:v>Critical Access Hospitals</x:v>
      </x:c>
      <x:c r="F4017" s="2" t="str">
        <x:v>Voluntary non-profit</x:v>
      </x:c>
      <x:c r="G4017" s="2" t="str">
        <x:v>Small (&lt;100 beds)</x:v>
      </x:c>
      <x:c r="H4017" s="7" t="n">
        <x:v>2</x:v>
      </x:c>
      <x:c r="I4017" s="7" t="n">
        <x:v>4</x:v>
      </x:c>
      <x:c r="J4017" s="7"/>
      <x:c r="K4017" s="8" t="n">
        <x:v>25</x:v>
      </x:c>
      <x:c r="L4017" s="8" t="n">
        <x:v>654</x:v>
      </x:c>
      <x:c r="M4017" s="9" t="n">
        <x:v>0.1993442623</x:v>
      </x:c>
      <x:c r="N4017" s="10" t="n">
        <x:v>78045.9418960245</x:v>
      </x:c>
      <x:c r="O4017" s="9" t="n">
        <x:v>0.295229515</x:v>
      </x:c>
      <x:c r="P4017" s="9" t="n">
        <x:v>0.1858736059</x:v>
      </x:c>
      <x:c r="Q4017" s="9" t="n">
        <x:v>0.0171003717</x:v>
      </x:c>
      <x:c r="R4017" s="3" t="b">
        <x:v>0</x:v>
      </x:c>
      <x:c r="S4017" s="3" t="b">
        <x:v>1</x:v>
      </x:c>
      <x:c r="T4017" s="3" t="b">
        <x:v>0</x:v>
      </x:c>
      <x:c r="U4017" s="2" t="str">
        <x:f>IF(T4017=TRUE,"Priority review",IF(R4017=TRUE,"High cost",IF(S4017=TRUE,"Low quality","Benchmark")))</x:f>
        <x:v>Low quality</x:v>
      </x:c>
    </x:row>
    <x:row r="4018">
      <x:c r="A4018" s="2" t="str">
        <x:v>110215</x:v>
      </x:c>
      <x:c r="B4018" s="2" t="str">
        <x:v>PIEDMONT FAYETTE HOSPITAL</x:v>
      </x:c>
      <x:c r="C4018" s="2" t="str">
        <x:v>FAYETTEVILLE</x:v>
      </x:c>
      <x:c r="D4018" s="2" t="str">
        <x:v>GA</x:v>
      </x:c>
      <x:c r="E4018" s="2" t="str">
        <x:v>Acute Care Hospitals</x:v>
      </x:c>
      <x:c r="F4018" s="2" t="str">
        <x:v>Voluntary non-profit</x:v>
      </x:c>
      <x:c r="G4018" s="2" t="str">
        <x:v>Medium (100-299 beds)</x:v>
      </x:c>
      <x:c r="H4018" s="7" t="n">
        <x:v>3</x:v>
      </x:c>
      <x:c r="I4018" s="7" t="n">
        <x:v>3</x:v>
      </x:c>
      <x:c r="J4018" s="7" t="n">
        <x:v>0.93</x:v>
      </x:c>
      <x:c r="K4018" s="8" t="n">
        <x:v>299</x:v>
      </x:c>
      <x:c r="L4018" s="8" t="n">
        <x:v>21367</x:v>
      </x:c>
      <x:c r="M4018" s="9" t="n">
        <x:v>0.925101938</x:v>
      </x:c>
      <x:c r="N4018" s="10" t="n">
        <x:v>23264.5778068985</x:v>
      </x:c>
      <x:c r="O4018" s="9" t="n">
        <x:v>0.1984515724</x:v>
      </x:c>
      <x:c r="P4018" s="9" t="n">
        <x:v>0.1858190709</x:v>
      </x:c>
      <x:c r="Q4018" s="9" t="n">
        <x:v>0.3023634882</x:v>
      </x:c>
      <x:c r="R4018" s="3" t="b">
        <x:v>0</x:v>
      </x:c>
      <x:c r="S4018" s="3" t="b">
        <x:v>0</x:v>
      </x:c>
      <x:c r="T4018" s="3" t="b">
        <x:v>0</x:v>
      </x:c>
      <x:c r="U4018" s="2" t="str">
        <x:f>IF(T4018=TRUE,"Priority review",IF(R4018=TRUE,"High cost",IF(S4018=TRUE,"Low quality","Benchmark")))</x:f>
        <x:v>Benchmark</x:v>
      </x:c>
    </x:row>
    <x:row r="4019">
      <x:c r="A4019" s="2" t="str">
        <x:v>440084</x:v>
      </x:c>
      <x:c r="B4019" s="2" t="str">
        <x:v>SWEETWATER HOSPITAL ASSOCIATION</x:v>
      </x:c>
      <x:c r="C4019" s="2" t="str">
        <x:v>SWEETWATER</x:v>
      </x:c>
      <x:c r="D4019" s="2" t="str">
        <x:v>TN</x:v>
      </x:c>
      <x:c r="E4019" s="2" t="str">
        <x:v>Acute Care Hospitals</x:v>
      </x:c>
      <x:c r="F4019" s="2" t="str">
        <x:v>Voluntary non-profit</x:v>
      </x:c>
      <x:c r="G4019" s="2" t="str">
        <x:v>Small (&lt;100 beds)</x:v>
      </x:c>
      <x:c r="H4019" s="7" t="n">
        <x:v>1</x:v>
      </x:c>
      <x:c r="I4019" s="7" t="n">
        <x:v>3</x:v>
      </x:c>
      <x:c r="J4019" s="7" t="n">
        <x:v>1</x:v>
      </x:c>
      <x:c r="K4019" s="8" t="n">
        <x:v>55</x:v>
      </x:c>
      <x:c r="L4019" s="8" t="n">
        <x:v>2080</x:v>
      </x:c>
      <x:c r="M4019" s="9" t="n">
        <x:v>0.5361892902</x:v>
      </x:c>
      <x:c r="N4019" s="10" t="n">
        <x:v>32718.2875</x:v>
      </x:c>
      <x:c r="O4019" s="9" t="n">
        <x:v>-0.0034113815</x:v>
      </x:c>
      <x:c r="P4019" s="9" t="n">
        <x:v>0.1858168761</x:v>
      </x:c>
      <x:c r="Q4019" s="9" t="n">
        <x:v>0</x:v>
      </x:c>
      <x:c r="R4019" s="3" t="b">
        <x:v>0</x:v>
      </x:c>
      <x:c r="S4019" s="3" t="b">
        <x:v>1</x:v>
      </x:c>
      <x:c r="T4019" s="3" t="b">
        <x:v>0</x:v>
      </x:c>
      <x:c r="U4019" s="2" t="str">
        <x:f>IF(T4019=TRUE,"Priority review",IF(R4019=TRUE,"High cost",IF(S4019=TRUE,"Low quality","Benchmark")))</x:f>
        <x:v>Low quality</x:v>
      </x:c>
    </x:row>
    <x:row r="4020">
      <x:c r="A4020" s="2" t="str">
        <x:v>393302</x:v>
      </x:c>
      <x:c r="B4020" s="2" t="str">
        <x:v>UPMC CHILDREN'S HOSPITAL OF PITTSBURGH</x:v>
      </x:c>
      <x:c r="C4020" s="2" t="str">
        <x:v>PITTSBURGH</x:v>
      </x:c>
      <x:c r="D4020" s="2" t="str">
        <x:v>PA</x:v>
      </x:c>
      <x:c r="E4020" s="2" t="str">
        <x:v>Childrens</x:v>
      </x:c>
      <x:c r="F4020" s="2" t="str">
        <x:v>Voluntary non-profit</x:v>
      </x:c>
      <x:c r="G4020" s="2" t="str">
        <x:v>Large (300+ beds)</x:v>
      </x:c>
      <x:c r="H4020" s="7"/>
      <x:c r="I4020" s="7"/>
      <x:c r="J4020" s="7"/>
      <x:c r="K4020" s="8" t="n">
        <x:v>313</x:v>
      </x:c>
      <x:c r="L4020" s="8" t="n">
        <x:v>13248</x:v>
      </x:c>
      <x:c r="M4020" s="9" t="n">
        <x:v>0.742560487</x:v>
      </x:c>
      <x:c r="N4020" s="10" t="n">
        <x:v>74880.9864130435</x:v>
      </x:c>
      <x:c r="O4020" s="9" t="n">
        <x:v>-0.0009877772</x:v>
      </x:c>
      <x:c r="P4020" s="9" t="n">
        <x:v>0.1851851852</x:v>
      </x:c>
      <x:c r="Q4020" s="9" t="n">
        <x:v>0</x:v>
      </x:c>
      <x:c r="R4020" s="3" t="b">
        <x:v>0</x:v>
      </x:c>
      <x:c r="S4020" s="3" t="b">
        <x:v>0</x:v>
      </x:c>
      <x:c r="T4020" s="3" t="b">
        <x:v>0</x:v>
      </x:c>
      <x:c r="U4020" s="2" t="str">
        <x:f>IF(T4020=TRUE,"Priority review",IF(R4020=TRUE,"High cost",IF(S4020=TRUE,"Low quality","Benchmark")))</x:f>
        <x:v>Benchmark</x:v>
      </x:c>
    </x:row>
    <x:row r="4021">
      <x:c r="A4021" s="2" t="str">
        <x:v>251327</x:v>
      </x:c>
      <x:c r="B4021" s="2" t="str">
        <x:v>COPIAH COUNTY MEDICAL CENTER</x:v>
      </x:c>
      <x:c r="C4021" s="2" t="str">
        <x:v>HAZLEHURST</x:v>
      </x:c>
      <x:c r="D4021" s="2" t="str">
        <x:v>MS</x:v>
      </x:c>
      <x:c r="E4021" s="2" t="str">
        <x:v>Critical Access Hospitals</x:v>
      </x:c>
      <x:c r="F4021" s="2" t="str">
        <x:v>Government</x:v>
      </x:c>
      <x:c r="G4021" s="2" t="str">
        <x:v>Small (&lt;100 beds)</x:v>
      </x:c>
      <x:c r="H4021" s="7"/>
      <x:c r="I4021" s="7"/>
      <x:c r="J4021" s="7"/>
      <x:c r="K4021" s="8" t="n">
        <x:v>25</x:v>
      </x:c>
      <x:c r="L4021" s="8" t="n">
        <x:v>374</x:v>
      </x:c>
      <x:c r="M4021" s="9" t="n">
        <x:v>0.5609836066</x:v>
      </x:c>
      <x:c r="N4021" s="10" t="n">
        <x:v>77990.1310160428</x:v>
      </x:c>
      <x:c r="O4021" s="9" t="n">
        <x:v>-0.2442517844</x:v>
      </x:c>
      <x:c r="P4021" s="9" t="n">
        <x:v>0.1851301115</x:v>
      </x:c>
      <x:c r="Q4021" s="9" t="n">
        <x:v>0.292936803</x:v>
      </x:c>
      <x:c r="R4021" s="3" t="b">
        <x:v>0</x:v>
      </x:c>
      <x:c r="S4021" s="3" t="b">
        <x:v>0</x:v>
      </x:c>
      <x:c r="T4021" s="3" t="b">
        <x:v>0</x:v>
      </x:c>
      <x:c r="U4021" s="2" t="str">
        <x:f>IF(T4021=TRUE,"Priority review",IF(R4021=TRUE,"High cost",IF(S4021=TRUE,"Low quality","Benchmark")))</x:f>
        <x:v>Benchmark</x:v>
      </x:c>
    </x:row>
    <x:row r="4022">
      <x:c r="A4022" s="2" t="str">
        <x:v>370094</x:v>
      </x:c>
      <x:c r="B4022" s="2" t="str">
        <x:v>SSM HEALTH ST ANTHONY HOSPITAL - MIDWEST</x:v>
      </x:c>
      <x:c r="C4022" s="2" t="str">
        <x:v>MIDWEST CITY</x:v>
      </x:c>
      <x:c r="D4022" s="2" t="str">
        <x:v>OK</x:v>
      </x:c>
      <x:c r="E4022" s="2" t="str">
        <x:v>Acute Care Hospitals</x:v>
      </x:c>
      <x:c r="F4022" s="2" t="str">
        <x:v>Voluntary non-profit</x:v>
      </x:c>
      <x:c r="G4022" s="2" t="str">
        <x:v>Medium (100-299 beds)</x:v>
      </x:c>
      <x:c r="H4022" s="7" t="n">
        <x:v>2</x:v>
      </x:c>
      <x:c r="I4022" s="7" t="n">
        <x:v>2</x:v>
      </x:c>
      <x:c r="J4022" s="7"/>
      <x:c r="K4022" s="8" t="n">
        <x:v>164</x:v>
      </x:c>
      <x:c r="L4022" s="8" t="n">
        <x:v>7281</x:v>
      </x:c>
      <x:c r="M4022" s="9" t="n">
        <x:v>0.537418366</x:v>
      </x:c>
      <x:c r="N4022" s="10" t="n">
        <x:v>23258.6677654168</x:v>
      </x:c>
      <x:c r="O4022" s="9" t="n">
        <x:v>0.0334246376</x:v>
      </x:c>
      <x:c r="P4022" s="9" t="n">
        <x:v>0.185004075</x:v>
      </x:c>
      <x:c r="Q4022" s="9" t="n">
        <x:v>0.0782396088</x:v>
      </x:c>
      <x:c r="R4022" s="3" t="b">
        <x:v>0</x:v>
      </x:c>
      <x:c r="S4022" s="3" t="b">
        <x:v>1</x:v>
      </x:c>
      <x:c r="T4022" s="3" t="b">
        <x:v>0</x:v>
      </x:c>
      <x:c r="U4022" s="2" t="str">
        <x:f>IF(T4022=TRUE,"Priority review",IF(R4022=TRUE,"High cost",IF(S4022=TRUE,"Low quality","Benchmark")))</x:f>
        <x:v>Low quality</x:v>
      </x:c>
    </x:row>
    <x:row r="4023">
      <x:c r="A4023" s="2" t="str">
        <x:v>040164</x:v>
      </x:c>
      <x:c r="B4023" s="2" t="str">
        <x:v>UNITY HEALTH - JACKSONVILLE</x:v>
      </x:c>
      <x:c r="C4023" s="2" t="str">
        <x:v>JACKSONVILLE</x:v>
      </x:c>
      <x:c r="D4023" s="2" t="str">
        <x:v>AR</x:v>
      </x:c>
      <x:c r="E4023" s="2" t="str">
        <x:v>Acute Care Hospitals</x:v>
      </x:c>
      <x:c r="F4023" s="2" t="str">
        <x:v>Voluntary non-profit</x:v>
      </x:c>
      <x:c r="G4023" s="2" t="str">
        <x:v>Small (&lt;100 beds)</x:v>
      </x:c>
      <x:c r="H4023" s="7"/>
      <x:c r="I4023" s="7"/>
      <x:c r="J4023" s="7" t="n">
        <x:v>0.82</x:v>
      </x:c>
      <x:c r="K4023" s="8" t="n">
        <x:v>29</x:v>
      </x:c>
      <x:c r="L4023" s="8" t="n">
        <x:v>641</x:v>
      </x:c>
      <x:c r="M4023" s="9" t="n">
        <x:v>0.355285472</x:v>
      </x:c>
      <x:c r="N4023" s="10" t="n">
        <x:v>32710.7987519501</x:v>
      </x:c>
      <x:c r="O4023" s="9" t="n">
        <x:v>-1.0399809619</x:v>
      </x:c>
      <x:c r="P4023" s="9" t="n">
        <x:v>0.1849192101</x:v>
      </x:c>
      <x:c r="Q4023" s="9" t="n">
        <x:v>0.697486535</x:v>
      </x:c>
      <x:c r="R4023" s="3" t="b">
        <x:v>0</x:v>
      </x:c>
      <x:c r="S4023" s="3" t="b">
        <x:v>0</x:v>
      </x:c>
      <x:c r="T4023" s="3" t="b">
        <x:v>0</x:v>
      </x:c>
      <x:c r="U4023" s="2" t="str">
        <x:f>IF(T4023=TRUE,"Priority review",IF(R4023=TRUE,"High cost",IF(S4023=TRUE,"Low quality","Benchmark")))</x:f>
        <x:v>Benchmark</x:v>
      </x:c>
    </x:row>
    <x:row r="4024">
      <x:c r="A4024" s="2" t="str">
        <x:v>030011</x:v>
      </x:c>
      <x:c r="B4024" s="2" t="str">
        <x:v>ST JOSEPH'S HOSPITAL</x:v>
      </x:c>
      <x:c r="C4024" s="2" t="str">
        <x:v>TUCSON</x:v>
      </x:c>
      <x:c r="D4024" s="2" t="str">
        <x:v>AZ</x:v>
      </x:c>
      <x:c r="E4024" s="2" t="str">
        <x:v>Acute Care Hospitals</x:v>
      </x:c>
      <x:c r="F4024" s="2" t="str">
        <x:v>Voluntary non-profit</x:v>
      </x:c>
      <x:c r="G4024" s="2" t="str">
        <x:v>Large (300+ beds)</x:v>
      </x:c>
      <x:c r="H4024" s="7" t="n">
        <x:v>3</x:v>
      </x:c>
      <x:c r="I4024" s="7" t="n">
        <x:v>2</x:v>
      </x:c>
      <x:c r="J4024" s="7" t="n">
        <x:v>1.07</x:v>
      </x:c>
      <x:c r="K4024" s="8" t="n">
        <x:v>430</x:v>
      </x:c>
      <x:c r="L4024" s="8" t="n">
        <x:v>10620</x:v>
      </x:c>
      <x:c r="M4024" s="9" t="n">
        <x:v>0.3233768716</x:v>
      </x:c>
      <x:c r="N4024" s="10" t="n">
        <x:v>26322.6874764595</x:v>
      </x:c>
      <x:c r="O4024" s="9" t="n">
        <x:v>0.0843649312</x:v>
      </x:c>
      <x:c r="P4024" s="9" t="n">
        <x:v>0.1845425868</x:v>
      </x:c>
      <x:c r="Q4024" s="9" t="n">
        <x:v>0.2570977918</x:v>
      </x:c>
      <x:c r="R4024" s="3" t="b">
        <x:v>0</x:v>
      </x:c>
      <x:c r="S4024" s="3" t="b">
        <x:v>0</x:v>
      </x:c>
      <x:c r="T4024" s="3" t="b">
        <x:v>0</x:v>
      </x:c>
      <x:c r="U4024" s="2" t="str">
        <x:f>IF(T4024=TRUE,"Priority review",IF(R4024=TRUE,"High cost",IF(S4024=TRUE,"Low quality","Benchmark")))</x:f>
        <x:v>Benchmark</x:v>
      </x:c>
    </x:row>
    <x:row r="4025">
      <x:c r="A4025" s="2" t="str">
        <x:v>374025</x:v>
      </x:c>
      <x:c r="B4025" s="2" t="str">
        <x:v>OAKWOOD SPRINGS, LLC</x:v>
      </x:c>
      <x:c r="C4025" s="2" t="str">
        <x:v>OKLAHOMA CITY</x:v>
      </x:c>
      <x:c r="D4025" s="2" t="str">
        <x:v>OK</x:v>
      </x:c>
      <x:c r="E4025" s="2" t="str">
        <x:v>Psychiatric</x:v>
      </x:c>
      <x:c r="F4025" s="2" t="str">
        <x:v>Proprietary</x:v>
      </x:c>
      <x:c r="G4025" s="2" t="str">
        <x:v>Small (&lt;100 beds)</x:v>
      </x:c>
      <x:c r="H4025" s="7"/>
      <x:c r="I4025" s="7"/>
      <x:c r="J4025" s="7"/>
      <x:c r="K4025" s="8" t="n">
        <x:v>72</x:v>
      </x:c>
      <x:c r="L4025" s="8" t="n">
        <x:v>3196</x:v>
      </x:c>
      <x:c r="M4025" s="9" t="n">
        <x:v>0.8601217656</x:v>
      </x:c>
      <x:c r="N4025" s="10" t="n">
        <x:v>7655.3313516896</x:v>
      </x:c>
      <x:c r="O4025" s="9"/>
      <x:c r="P4025" s="9" t="n">
        <x:v>0.1844660194</x:v>
      </x:c>
      <x:c r="Q4025" s="9" t="n">
        <x:v>0</x:v>
      </x:c>
      <x:c r="R4025" s="3" t="b">
        <x:v>0</x:v>
      </x:c>
      <x:c r="S4025" s="3" t="b">
        <x:v>0</x:v>
      </x:c>
      <x:c r="T4025" s="3" t="b">
        <x:v>0</x:v>
      </x:c>
      <x:c r="U4025" s="2" t="str">
        <x:f>IF(T4025=TRUE,"Priority review",IF(R4025=TRUE,"High cost",IF(S4025=TRUE,"Low quality","Benchmark")))</x:f>
        <x:v>Benchmark</x:v>
      </x:c>
    </x:row>
    <x:row r="4026">
      <x:c r="A4026" s="2" t="str">
        <x:v>301307</x:v>
      </x:c>
      <x:c r="B4026" s="2" t="str">
        <x:v>MEMORIAL HOSPITAL, THE</x:v>
      </x:c>
      <x:c r="C4026" s="2" t="str">
        <x:v>NORTH CONWAY</x:v>
      </x:c>
      <x:c r="D4026" s="2" t="str">
        <x:v>NH</x:v>
      </x:c>
      <x:c r="E4026" s="2" t="str">
        <x:v>Critical Access Hospitals</x:v>
      </x:c>
      <x:c r="F4026" s="2" t="str">
        <x:v>Voluntary non-profit</x:v>
      </x:c>
      <x:c r="G4026" s="2" t="str">
        <x:v>Small (&lt;100 beds)</x:v>
      </x:c>
      <x:c r="H4026" s="7" t="n">
        <x:v>4</x:v>
      </x:c>
      <x:c r="I4026" s="7" t="n">
        <x:v>4</x:v>
      </x:c>
      <x:c r="J4026" s="7"/>
      <x:c r="K4026" s="8" t="n">
        <x:v>25</x:v>
      </x:c>
      <x:c r="L4026" s="8" t="n">
        <x:v>1460</x:v>
      </x:c>
      <x:c r="M4026" s="9" t="n">
        <x:v>0.6915846995</x:v>
      </x:c>
      <x:c r="N4026" s="10" t="n">
        <x:v>77957.0089041096</x:v>
      </x:c>
      <x:c r="O4026" s="9" t="n">
        <x:v>0.0090104662</x:v>
      </x:c>
      <x:c r="P4026" s="9" t="n">
        <x:v>0.1843866171</x:v>
      </x:c>
      <x:c r="Q4026" s="9" t="n">
        <x:v>0.1657992565</x:v>
      </x:c>
      <x:c r="R4026" s="3" t="b">
        <x:v>0</x:v>
      </x:c>
      <x:c r="S4026" s="3" t="b">
        <x:v>0</x:v>
      </x:c>
      <x:c r="T4026" s="3" t="b">
        <x:v>0</x:v>
      </x:c>
      <x:c r="U4026" s="2" t="str">
        <x:f>IF(T4026=TRUE,"Priority review",IF(R4026=TRUE,"High cost",IF(S4026=TRUE,"Low quality","Benchmark")))</x:f>
        <x:v>Benchmark</x:v>
      </x:c>
    </x:row>
    <x:row r="4027">
      <x:c r="A4027" s="2" t="str">
        <x:v>290021</x:v>
      </x:c>
      <x:c r="B4027" s="2" t="str">
        <x:v>VALLEY HOSPITAL MEDICAL CENTER</x:v>
      </x:c>
      <x:c r="C4027" s="2" t="str">
        <x:v>LAS VEGAS</x:v>
      </x:c>
      <x:c r="D4027" s="2" t="str">
        <x:v>NV</x:v>
      </x:c>
      <x:c r="E4027" s="2" t="str">
        <x:v>Acute Care Hospitals</x:v>
      </x:c>
      <x:c r="F4027" s="2" t="str">
        <x:v>Proprietary</x:v>
      </x:c>
      <x:c r="G4027" s="2" t="str">
        <x:v>Medium (100-299 beds)</x:v>
      </x:c>
      <x:c r="H4027" s="7" t="n">
        <x:v>2</x:v>
      </x:c>
      <x:c r="I4027" s="7" t="n">
        <x:v>2</x:v>
      </x:c>
      <x:c r="J4027" s="7" t="n">
        <x:v>1.13</x:v>
      </x:c>
      <x:c r="K4027" s="8" t="n">
        <x:v>256</x:v>
      </x:c>
      <x:c r="L4027" s="8" t="n">
        <x:v>15315</x:v>
      </x:c>
      <x:c r="M4027" s="9" t="n">
        <x:v>0.8766436134</x:v>
      </x:c>
      <x:c r="N4027" s="10" t="n">
        <x:v>23205.1834802481</x:v>
      </x:c>
      <x:c r="O4027" s="9" t="n">
        <x:v>0.1120354219</x:v>
      </x:c>
      <x:c r="P4027" s="9" t="n">
        <x:v>0.1841890791</x:v>
      </x:c>
      <x:c r="Q4027" s="9" t="n">
        <x:v>0.0782396088</x:v>
      </x:c>
      <x:c r="R4027" s="3" t="b">
        <x:v>0</x:v>
      </x:c>
      <x:c r="S4027" s="3" t="b">
        <x:v>1</x:v>
      </x:c>
      <x:c r="T4027" s="3" t="b">
        <x:v>0</x:v>
      </x:c>
      <x:c r="U4027" s="2" t="str">
        <x:f>IF(T4027=TRUE,"Priority review",IF(R4027=TRUE,"High cost",IF(S4027=TRUE,"Low quality","Benchmark")))</x:f>
        <x:v>Low quality</x:v>
      </x:c>
    </x:row>
    <x:row r="4028">
      <x:c r="A4028" s="2" t="str">
        <x:v>034031</x:v>
      </x:c>
      <x:c r="B4028" s="2" t="str">
        <x:v>QUAIL RUN BEHAVIORAL HEALTH</x:v>
      </x:c>
      <x:c r="C4028" s="2" t="str">
        <x:v>PHOENIX</x:v>
      </x:c>
      <x:c r="D4028" s="2" t="str">
        <x:v>AZ</x:v>
      </x:c>
      <x:c r="E4028" s="2" t="str">
        <x:v>Psychiatric</x:v>
      </x:c>
      <x:c r="F4028" s="2" t="str">
        <x:v>Voluntary non-profit</x:v>
      </x:c>
      <x:c r="G4028" s="2" t="str">
        <x:v>Medium (100-299 beds)</x:v>
      </x:c>
      <x:c r="H4028" s="7"/>
      <x:c r="I4028" s="7"/>
      <x:c r="J4028" s="7"/>
      <x:c r="K4028" s="8" t="n">
        <x:v>116</x:v>
      </x:c>
      <x:c r="L4028" s="8" t="n">
        <x:v>4007</x:v>
      </x:c>
      <x:c r="M4028" s="9" t="n">
        <x:v>0.7431506849</x:v>
      </x:c>
      <x:c r="N4028" s="10" t="n">
        <x:v>6414.3868230596</x:v>
      </x:c>
      <x:c r="O4028" s="9" t="n">
        <x:v>0.1073260091</x:v>
      </x:c>
      <x:c r="P4028" s="9" t="n">
        <x:v>0.184079602</x:v>
      </x:c>
      <x:c r="Q4028" s="9" t="n">
        <x:v>0</x:v>
      </x:c>
      <x:c r="R4028" s="3" t="b">
        <x:v>0</x:v>
      </x:c>
      <x:c r="S4028" s="3" t="b">
        <x:v>0</x:v>
      </x:c>
      <x:c r="T4028" s="3" t="b">
        <x:v>0</x:v>
      </x:c>
      <x:c r="U4028" s="2" t="str">
        <x:f>IF(T4028=TRUE,"Priority review",IF(R4028=TRUE,"High cost",IF(S4028=TRUE,"Low quality","Benchmark")))</x:f>
        <x:v>Benchmark</x:v>
      </x:c>
    </x:row>
    <x:row r="4029">
      <x:c r="A4029" s="2" t="str">
        <x:v>450351</x:v>
      </x:c>
      <x:c r="B4029" s="2" t="str">
        <x:v>TEXAS HEALTH HARRIS METHODIST HOSPITAL STEPHENVILL</x:v>
      </x:c>
      <x:c r="C4029" s="2" t="str">
        <x:v>STEPHENVILLE</x:v>
      </x:c>
      <x:c r="D4029" s="2" t="str">
        <x:v>TX</x:v>
      </x:c>
      <x:c r="E4029" s="2" t="str">
        <x:v>Acute Care Hospitals</x:v>
      </x:c>
      <x:c r="F4029" s="2" t="str">
        <x:v>Voluntary non-profit</x:v>
      </x:c>
      <x:c r="G4029" s="2" t="str">
        <x:v>Small (&lt;100 beds)</x:v>
      </x:c>
      <x:c r="H4029" s="7" t="n">
        <x:v>4</x:v>
      </x:c>
      <x:c r="I4029" s="7" t="n">
        <x:v>4</x:v>
      </x:c>
      <x:c r="J4029" s="7" t="n">
        <x:v>0.89</x:v>
      </x:c>
      <x:c r="K4029" s="8" t="n">
        <x:v>35</x:v>
      </x:c>
      <x:c r="L4029" s="8" t="n">
        <x:v>1910</x:v>
      </x:c>
      <x:c r="M4029" s="9" t="n">
        <x:v>0.2719082188</x:v>
      </x:c>
      <x:c r="N4029" s="10" t="n">
        <x:v>32707.4246073298</x:v>
      </x:c>
      <x:c r="O4029" s="9" t="n">
        <x:v>0.1453420614</x:v>
      </x:c>
      <x:c r="P4029" s="9" t="n">
        <x:v>0.184021544</x:v>
      </x:c>
      <x:c r="Q4029" s="9" t="n">
        <x:v>0.3913824057</x:v>
      </x:c>
      <x:c r="R4029" s="3" t="b">
        <x:v>0</x:v>
      </x:c>
      <x:c r="S4029" s="3" t="b">
        <x:v>0</x:v>
      </x:c>
      <x:c r="T4029" s="3" t="b">
        <x:v>0</x:v>
      </x:c>
      <x:c r="U4029" s="2" t="str">
        <x:f>IF(T4029=TRUE,"Priority review",IF(R4029=TRUE,"High cost",IF(S4029=TRUE,"Low quality","Benchmark")))</x:f>
        <x:v>Benchmark</x:v>
      </x:c>
    </x:row>
    <x:row r="4030">
      <x:c r="A4030" s="2" t="str">
        <x:v>191327</x:v>
      </x:c>
      <x:c r="B4030" s="2" t="str">
        <x:v>WEST CARROLL MEMORIAL HOSPITAL</x:v>
      </x:c>
      <x:c r="C4030" s="2" t="str">
        <x:v>OAK GROVE</x:v>
      </x:c>
      <x:c r="D4030" s="2" t="str">
        <x:v>LA</x:v>
      </x:c>
      <x:c r="E4030" s="2" t="str">
        <x:v>Critical Access Hospitals</x:v>
      </x:c>
      <x:c r="F4030" s="2" t="str">
        <x:v>Proprietary</x:v>
      </x:c>
      <x:c r="G4030" s="2" t="str">
        <x:v>Small (&lt;100 beds)</x:v>
      </x:c>
      <x:c r="H4030" s="7"/>
      <x:c r="I4030" s="7"/>
      <x:c r="J4030" s="7"/>
      <x:c r="K4030" s="8" t="n">
        <x:v>25</x:v>
      </x:c>
      <x:c r="L4030" s="8" t="n">
        <x:v>447</x:v>
      </x:c>
      <x:c r="M4030" s="9" t="n">
        <x:v>0.5257452575</x:v>
      </x:c>
      <x:c r="N4030" s="10" t="n">
        <x:v>77712.6219239374</x:v>
      </x:c>
      <x:c r="O4030" s="9" t="n">
        <x:v>-0.2871765027</x:v>
      </x:c>
      <x:c r="P4030" s="9" t="n">
        <x:v>0.1836431227</x:v>
      </x:c>
      <x:c r="Q4030" s="9" t="n">
        <x:v>0.292936803</x:v>
      </x:c>
      <x:c r="R4030" s="3" t="b">
        <x:v>0</x:v>
      </x:c>
      <x:c r="S4030" s="3" t="b">
        <x:v>0</x:v>
      </x:c>
      <x:c r="T4030" s="3" t="b">
        <x:v>0</x:v>
      </x:c>
      <x:c r="U4030" s="2" t="str">
        <x:f>IF(T4030=TRUE,"Priority review",IF(R4030=TRUE,"High cost",IF(S4030=TRUE,"Low quality","Benchmark")))</x:f>
        <x:v>Benchmark</x:v>
      </x:c>
    </x:row>
    <x:row r="4031">
      <x:c r="A4031" s="2" t="str">
        <x:v>420086</x:v>
      </x:c>
      <x:c r="B4031" s="2" t="str">
        <x:v>PRISMA HEALTH BAPTIST</x:v>
      </x:c>
      <x:c r="C4031" s="2" t="str">
        <x:v>COLUMBIA</x:v>
      </x:c>
      <x:c r="D4031" s="2" t="str">
        <x:v>SC</x:v>
      </x:c>
      <x:c r="E4031" s="2" t="str">
        <x:v>Acute Care Hospitals</x:v>
      </x:c>
      <x:c r="F4031" s="2" t="str">
        <x:v>Voluntary non-profit</x:v>
      </x:c>
      <x:c r="G4031" s="2" t="str">
        <x:v>Medium (100-299 beds)</x:v>
      </x:c>
      <x:c r="H4031" s="7" t="n">
        <x:v>4</x:v>
      </x:c>
      <x:c r="I4031" s="7" t="n">
        <x:v>3</x:v>
      </x:c>
      <x:c r="J4031" s="7" t="n">
        <x:v>1.04</x:v>
      </x:c>
      <x:c r="K4031" s="8" t="n">
        <x:v>230</x:v>
      </x:c>
      <x:c r="L4031" s="8" t="n">
        <x:v>11528</x:v>
      </x:c>
      <x:c r="M4031" s="9" t="n">
        <x:v>0.6108458066</x:v>
      </x:c>
      <x:c r="N4031" s="10" t="n">
        <x:v>23191.9035392089</x:v>
      </x:c>
      <x:c r="O4031" s="9" t="n">
        <x:v>0.1151078973</x:v>
      </x:c>
      <x:c r="P4031" s="9" t="n">
        <x:v>0.1833740831</x:v>
      </x:c>
      <x:c r="Q4031" s="9" t="n">
        <x:v>0.6022819886</x:v>
      </x:c>
      <x:c r="R4031" s="3" t="b">
        <x:v>0</x:v>
      </x:c>
      <x:c r="S4031" s="3" t="b">
        <x:v>0</x:v>
      </x:c>
      <x:c r="T4031" s="3" t="b">
        <x:v>0</x:v>
      </x:c>
      <x:c r="U4031" s="2" t="str">
        <x:f>IF(T4031=TRUE,"Priority review",IF(R4031=TRUE,"High cost",IF(S4031=TRUE,"Low quality","Benchmark")))</x:f>
        <x:v>Benchmark</x:v>
      </x:c>
    </x:row>
    <x:row r="4032">
      <x:c r="A4032" s="2" t="str">
        <x:v>360078</x:v>
      </x:c>
      <x:c r="B4032" s="2" t="str">
        <x:v>UNIVERSITY HOSPITALS PORTAGE MEDICAL CENTER</x:v>
      </x:c>
      <x:c r="C4032" s="2" t="str">
        <x:v>RAVENNA</x:v>
      </x:c>
      <x:c r="D4032" s="2" t="str">
        <x:v>OH</x:v>
      </x:c>
      <x:c r="E4032" s="2" t="str">
        <x:v>Acute Care Hospitals</x:v>
      </x:c>
      <x:c r="F4032" s="2" t="str">
        <x:v>Voluntary non-profit</x:v>
      </x:c>
      <x:c r="G4032" s="2" t="str">
        <x:v>Small (&lt;100 beds)</x:v>
      </x:c>
      <x:c r="H4032" s="7" t="n">
        <x:v>3</x:v>
      </x:c>
      <x:c r="I4032" s="7" t="n">
        <x:v>3</x:v>
      </x:c>
      <x:c r="J4032" s="7" t="n">
        <x:v>0.95</x:v>
      </x:c>
      <x:c r="K4032" s="8" t="n">
        <x:v>99</x:v>
      </x:c>
      <x:c r="L4032" s="8" t="n">
        <x:v>5449</x:v>
      </x:c>
      <x:c r="M4032" s="9" t="n">
        <x:v>0.6410553624</x:v>
      </x:c>
      <x:c r="N4032" s="10" t="n">
        <x:v>32623.7619746743</x:v>
      </x:c>
      <x:c r="O4032" s="9" t="n">
        <x:v>-0.0709644259</x:v>
      </x:c>
      <x:c r="P4032" s="9" t="n">
        <x:v>0.1831238779</x:v>
      </x:c>
      <x:c r="Q4032" s="9" t="n">
        <x:v>0.1687612208</x:v>
      </x:c>
      <x:c r="R4032" s="3" t="b">
        <x:v>0</x:v>
      </x:c>
      <x:c r="S4032" s="3" t="b">
        <x:v>0</x:v>
      </x:c>
      <x:c r="T4032" s="3" t="b">
        <x:v>0</x:v>
      </x:c>
      <x:c r="U4032" s="2" t="str">
        <x:f>IF(T4032=TRUE,"Priority review",IF(R4032=TRUE,"High cost",IF(S4032=TRUE,"Low quality","Benchmark")))</x:f>
        <x:v>Benchmark</x:v>
      </x:c>
    </x:row>
    <x:row r="4033">
      <x:c r="A4033" s="2" t="str">
        <x:v>190102</x:v>
      </x:c>
      <x:c r="B4033" s="2" t="str">
        <x:v>OUR LADY OF LOURDES REGIONAL MEDICAL CENTER, INC</x:v>
      </x:c>
      <x:c r="C4033" s="2" t="str">
        <x:v>LAFAYETTE</x:v>
      </x:c>
      <x:c r="D4033" s="2" t="str">
        <x:v>LA</x:v>
      </x:c>
      <x:c r="E4033" s="2" t="str">
        <x:v>Acute Care Hospitals</x:v>
      </x:c>
      <x:c r="F4033" s="2" t="str">
        <x:v>Voluntary non-profit</x:v>
      </x:c>
      <x:c r="G4033" s="2" t="str">
        <x:v>Large (300+ beds)</x:v>
      </x:c>
      <x:c r="H4033" s="7" t="n">
        <x:v>3</x:v>
      </x:c>
      <x:c r="I4033" s="7" t="n">
        <x:v>4</x:v>
      </x:c>
      <x:c r="J4033" s="7" t="n">
        <x:v>1.04</x:v>
      </x:c>
      <x:c r="K4033" s="8" t="n">
        <x:v>396</x:v>
      </x:c>
      <x:c r="L4033" s="8" t="n">
        <x:v>19534</x:v>
      </x:c>
      <x:c r="M4033" s="9" t="n">
        <x:v>0.6939947419</x:v>
      </x:c>
      <x:c r="N4033" s="10" t="n">
        <x:v>26307.9687212041</x:v>
      </x:c>
      <x:c r="O4033" s="9" t="n">
        <x:v>0.151805208</x:v>
      </x:c>
      <x:c r="P4033" s="9" t="n">
        <x:v>0.1829652997</x:v>
      </x:c>
      <x:c r="Q4033" s="9" t="n">
        <x:v>0.2570977918</x:v>
      </x:c>
      <x:c r="R4033" s="3" t="b">
        <x:v>0</x:v>
      </x:c>
      <x:c r="S4033" s="3" t="b">
        <x:v>0</x:v>
      </x:c>
      <x:c r="T4033" s="3" t="b">
        <x:v>0</x:v>
      </x:c>
      <x:c r="U4033" s="2" t="str">
        <x:f>IF(T4033=TRUE,"Priority review",IF(R4033=TRUE,"High cost",IF(S4033=TRUE,"Low quality","Benchmark")))</x:f>
        <x:v>Benchmark</x:v>
      </x:c>
    </x:row>
    <x:row r="4034">
      <x:c r="A4034" s="2" t="str">
        <x:v>451386</x:v>
      </x:c>
      <x:c r="B4034" s="2" t="str">
        <x:v>MEMORIAL HOSPITAL</x:v>
      </x:c>
      <x:c r="C4034" s="2" t="str">
        <x:v>DUMAS</x:v>
      </x:c>
      <x:c r="D4034" s="2" t="str">
        <x:v>TX</x:v>
      </x:c>
      <x:c r="E4034" s="2" t="str">
        <x:v>Critical Access Hospitals</x:v>
      </x:c>
      <x:c r="F4034" s="2" t="str">
        <x:v>Government</x:v>
      </x:c>
      <x:c r="G4034" s="2" t="str">
        <x:v>Small (&lt;100 beds)</x:v>
      </x:c>
      <x:c r="H4034" s="7"/>
      <x:c r="I4034" s="7"/>
      <x:c r="J4034" s="7"/>
      <x:c r="K4034" s="8" t="n">
        <x:v>19</x:v>
      </x:c>
      <x:c r="L4034" s="8" t="n">
        <x:v>776</x:v>
      </x:c>
      <x:c r="M4034" s="9" t="n">
        <x:v>0.3976928623</x:v>
      </x:c>
      <x:c r="N4034" s="10" t="n">
        <x:v>77573.1932989691</x:v>
      </x:c>
      <x:c r="O4034" s="9" t="n">
        <x:v>-0.2354607676</x:v>
      </x:c>
      <x:c r="P4034" s="9" t="n">
        <x:v>0.1828996283</x:v>
      </x:c>
      <x:c r="Q4034" s="9" t="n">
        <x:v>0.292936803</x:v>
      </x:c>
      <x:c r="R4034" s="3" t="b">
        <x:v>0</x:v>
      </x:c>
      <x:c r="S4034" s="3" t="b">
        <x:v>0</x:v>
      </x:c>
      <x:c r="T4034" s="3" t="b">
        <x:v>0</x:v>
      </x:c>
      <x:c r="U4034" s="2" t="str">
        <x:f>IF(T4034=TRUE,"Priority review",IF(R4034=TRUE,"High cost",IF(S4034=TRUE,"Low quality","Benchmark")))</x:f>
        <x:v>Benchmark</x:v>
      </x:c>
    </x:row>
    <x:row r="4035">
      <x:c r="A4035" s="2" t="str">
        <x:v>230176</x:v>
      </x:c>
      <x:c r="B4035" s="2" t="str">
        <x:v>COREWELL HEALTH TRENTON HOSPITAL</x:v>
      </x:c>
      <x:c r="C4035" s="2" t="str">
        <x:v>TRENTON</x:v>
      </x:c>
      <x:c r="D4035" s="2" t="str">
        <x:v>MI</x:v>
      </x:c>
      <x:c r="E4035" s="2" t="str">
        <x:v>Acute Care Hospitals</x:v>
      </x:c>
      <x:c r="F4035" s="2" t="str">
        <x:v>Voluntary non-profit</x:v>
      </x:c>
      <x:c r="G4035" s="2" t="str">
        <x:v>Medium (100-299 beds)</x:v>
      </x:c>
      <x:c r="H4035" s="7" t="n">
        <x:v>3</x:v>
      </x:c>
      <x:c r="I4035" s="7" t="n">
        <x:v>3</x:v>
      </x:c>
      <x:c r="J4035" s="7" t="n">
        <x:v>1.01</x:v>
      </x:c>
      <x:c r="K4035" s="8" t="n">
        <x:v>193</x:v>
      </x:c>
      <x:c r="L4035" s="8" t="n">
        <x:v>9464</x:v>
      </x:c>
      <x:c r="M4035" s="9" t="n">
        <x:v>0.5418837391</x:v>
      </x:c>
      <x:c r="N4035" s="10" t="n">
        <x:v>23177.7823330516</x:v>
      </x:c>
      <x:c r="O4035" s="9" t="n">
        <x:v>0.0045951856</x:v>
      </x:c>
      <x:c r="P4035" s="9" t="n">
        <x:v>0.1825590872</x:v>
      </x:c>
      <x:c r="Q4035" s="9" t="n">
        <x:v>0.3023634882</x:v>
      </x:c>
      <x:c r="R4035" s="3" t="b">
        <x:v>0</x:v>
      </x:c>
      <x:c r="S4035" s="3" t="b">
        <x:v>0</x:v>
      </x:c>
      <x:c r="T4035" s="3" t="b">
        <x:v>0</x:v>
      </x:c>
      <x:c r="U4035" s="2" t="str">
        <x:f>IF(T4035=TRUE,"Priority review",IF(R4035=TRUE,"High cost",IF(S4035=TRUE,"Low quality","Benchmark")))</x:f>
        <x:v>Benchmark</x:v>
      </x:c>
    </x:row>
    <x:row r="4036">
      <x:c r="A4036" s="2" t="str">
        <x:v>250002</x:v>
      </x:c>
      <x:c r="B4036" s="2" t="str">
        <x:v>TISHOMINGO HEALTH SERVICES INC</x:v>
      </x:c>
      <x:c r="C4036" s="2" t="str">
        <x:v>IUKA</x:v>
      </x:c>
      <x:c r="D4036" s="2" t="str">
        <x:v>MS</x:v>
      </x:c>
      <x:c r="E4036" s="2" t="str">
        <x:v>Acute Care Hospitals</x:v>
      </x:c>
      <x:c r="F4036" s="2" t="str">
        <x:v>Voluntary non-profit</x:v>
      </x:c>
      <x:c r="G4036" s="2" t="str">
        <x:v>Small (&lt;100 beds)</x:v>
      </x:c>
      <x:c r="H4036" s="7" t="n">
        <x:v>2</x:v>
      </x:c>
      <x:c r="I4036" s="7" t="n">
        <x:v>5</x:v>
      </x:c>
      <x:c r="J4036" s="7" t="n">
        <x:v>1.02</x:v>
      </x:c>
      <x:c r="K4036" s="8" t="n">
        <x:v>48</x:v>
      </x:c>
      <x:c r="L4036" s="8" t="n">
        <x:v>584</x:v>
      </x:c>
      <x:c r="M4036" s="9" t="n">
        <x:v>0.2593351548</x:v>
      </x:c>
      <x:c r="N4036" s="10" t="n">
        <x:v>32532.7654109589</x:v>
      </x:c>
      <x:c r="O4036" s="9" t="n">
        <x:v>-0.1050551654</x:v>
      </x:c>
      <x:c r="P4036" s="9" t="n">
        <x:v>0.1822262118</x:v>
      </x:c>
      <x:c r="Q4036" s="9" t="n">
        <x:v>0.0350089767</x:v>
      </x:c>
      <x:c r="R4036" s="3" t="b">
        <x:v>0</x:v>
      </x:c>
      <x:c r="S4036" s="3" t="b">
        <x:v>1</x:v>
      </x:c>
      <x:c r="T4036" s="3" t="b">
        <x:v>0</x:v>
      </x:c>
      <x:c r="U4036" s="2" t="str">
        <x:f>IF(T4036=TRUE,"Priority review",IF(R4036=TRUE,"High cost",IF(S4036=TRUE,"Low quality","Benchmark")))</x:f>
        <x:v>Low quality</x:v>
      </x:c>
    </x:row>
    <x:row r="4037">
      <x:c r="A4037" s="2" t="str">
        <x:v>181328</x:v>
      </x:c>
      <x:c r="B4037" s="2" t="str">
        <x:v>KNOX COUNTY HOSPITAL</x:v>
      </x:c>
      <x:c r="C4037" s="2" t="str">
        <x:v>BARBOURVILLE</x:v>
      </x:c>
      <x:c r="D4037" s="2" t="str">
        <x:v>KY</x:v>
      </x:c>
      <x:c r="E4037" s="2" t="str">
        <x:v>Critical Access Hospitals</x:v>
      </x:c>
      <x:c r="F4037" s="2" t="str">
        <x:v>Government</x:v>
      </x:c>
      <x:c r="G4037" s="2" t="str">
        <x:v>Small (&lt;100 beds)</x:v>
      </x:c>
      <x:c r="H4037" s="7"/>
      <x:c r="I4037" s="7"/>
      <x:c r="J4037" s="7"/>
      <x:c r="K4037" s="8" t="n">
        <x:v>25</x:v>
      </x:c>
      <x:c r="L4037" s="8" t="n">
        <x:v>537</x:v>
      </x:c>
      <x:c r="M4037" s="9" t="n">
        <x:v>0.5901369863</x:v>
      </x:c>
      <x:c r="N4037" s="10" t="n">
        <x:v>77557.4823091248</x:v>
      </x:c>
      <x:c r="O4037" s="9" t="n">
        <x:v>-0.0105588981</x:v>
      </x:c>
      <x:c r="P4037" s="9" t="n">
        <x:v>0.1821561338</x:v>
      </x:c>
      <x:c r="Q4037" s="9" t="n">
        <x:v>0.292936803</x:v>
      </x:c>
      <x:c r="R4037" s="3" t="b">
        <x:v>0</x:v>
      </x:c>
      <x:c r="S4037" s="3" t="b">
        <x:v>0</x:v>
      </x:c>
      <x:c r="T4037" s="3" t="b">
        <x:v>0</x:v>
      </x:c>
      <x:c r="U4037" s="2" t="str">
        <x:f>IF(T4037=TRUE,"Priority review",IF(R4037=TRUE,"High cost",IF(S4037=TRUE,"Low quality","Benchmark")))</x:f>
        <x:v>Benchmark</x:v>
      </x:c>
    </x:row>
    <x:row r="4038">
      <x:c r="A4038" s="2" t="str">
        <x:v>360174</x:v>
      </x:c>
      <x:c r="B4038" s="2" t="str">
        <x:v>UPPER VALLEY MEDICAL CENTER</x:v>
      </x:c>
      <x:c r="C4038" s="2" t="str">
        <x:v>TROY</x:v>
      </x:c>
      <x:c r="D4038" s="2" t="str">
        <x:v>OH</x:v>
      </x:c>
      <x:c r="E4038" s="2" t="str">
        <x:v>Acute Care Hospitals</x:v>
      </x:c>
      <x:c r="F4038" s="2" t="str">
        <x:v>Voluntary non-profit</x:v>
      </x:c>
      <x:c r="G4038" s="2" t="str">
        <x:v>Medium (100-299 beds)</x:v>
      </x:c>
      <x:c r="H4038" s="7" t="n">
        <x:v>4</x:v>
      </x:c>
      <x:c r="I4038" s="7" t="n">
        <x:v>3</x:v>
      </x:c>
      <x:c r="J4038" s="7" t="n">
        <x:v>0.95</x:v>
      </x:c>
      <x:c r="K4038" s="8" t="n">
        <x:v>121</x:v>
      </x:c>
      <x:c r="L4038" s="8" t="n">
        <x:v>6090</x:v>
      </x:c>
      <x:c r="M4038" s="9" t="n">
        <x:v>0.5368921309</x:v>
      </x:c>
      <x:c r="N4038" s="10" t="n">
        <x:v>23136.402134647</x:v>
      </x:c>
      <x:c r="O4038" s="9" t="n">
        <x:v>0.1794136771</x:v>
      </x:c>
      <x:c r="P4038" s="9" t="n">
        <x:v>0.1817440913</x:v>
      </x:c>
      <x:c r="Q4038" s="9" t="n">
        <x:v>0.6022819886</x:v>
      </x:c>
      <x:c r="R4038" s="3" t="b">
        <x:v>0</x:v>
      </x:c>
      <x:c r="S4038" s="3" t="b">
        <x:v>0</x:v>
      </x:c>
      <x:c r="T4038" s="3" t="b">
        <x:v>0</x:v>
      </x:c>
      <x:c r="U4038" s="2" t="str">
        <x:f>IF(T4038=TRUE,"Priority review",IF(R4038=TRUE,"High cost",IF(S4038=TRUE,"Low quality","Benchmark")))</x:f>
        <x:v>Benchmark</x:v>
      </x:c>
    </x:row>
    <x:row r="4039">
      <x:c r="A4039" s="2" t="str">
        <x:v>451376</x:v>
      </x:c>
      <x:c r="B4039" s="2" t="str">
        <x:v>LAVACA MEDICAL CENTER</x:v>
      </x:c>
      <x:c r="C4039" s="2" t="str">
        <x:v>HALLETTSVILLE</x:v>
      </x:c>
      <x:c r="D4039" s="2" t="str">
        <x:v>TX</x:v>
      </x:c>
      <x:c r="E4039" s="2" t="str">
        <x:v>Critical Access Hospitals</x:v>
      </x:c>
      <x:c r="F4039" s="2" t="str">
        <x:v>Government</x:v>
      </x:c>
      <x:c r="G4039" s="2" t="str">
        <x:v>Small (&lt;100 beds)</x:v>
      </x:c>
      <x:c r="H4039" s="7" t="n">
        <x:v>4</x:v>
      </x:c>
      <x:c r="I4039" s="7"/>
      <x:c r="J4039" s="7"/>
      <x:c r="K4039" s="8" t="n">
        <x:v>25</x:v>
      </x:c>
      <x:c r="L4039" s="8" t="n">
        <x:v>334</x:v>
      </x:c>
      <x:c r="M4039" s="9" t="n">
        <x:v>0.1714754098</x:v>
      </x:c>
      <x:c r="N4039" s="10" t="n">
        <x:v>77358.9281437126</x:v>
      </x:c>
      <x:c r="O4039" s="9" t="n">
        <x:v>-0.4049808697</x:v>
      </x:c>
      <x:c r="P4039" s="9" t="n">
        <x:v>0.1814126394</x:v>
      </x:c>
      <x:c r="Q4039" s="9" t="n">
        <x:v>0.1657992565</x:v>
      </x:c>
      <x:c r="R4039" s="3" t="b">
        <x:v>0</x:v>
      </x:c>
      <x:c r="S4039" s="3" t="b">
        <x:v>0</x:v>
      </x:c>
      <x:c r="T4039" s="3" t="b">
        <x:v>0</x:v>
      </x:c>
      <x:c r="U4039" s="2" t="str">
        <x:f>IF(T4039=TRUE,"Priority review",IF(R4039=TRUE,"High cost",IF(S4039=TRUE,"Low quality","Benchmark")))</x:f>
        <x:v>Benchmark</x:v>
      </x:c>
    </x:row>
    <x:row r="4040">
      <x:c r="A4040" s="2" t="str">
        <x:v>050570</x:v>
      </x:c>
      <x:c r="B4040" s="2" t="str">
        <x:v>UCI HEALTH - FOUNTAIN VALLEY</x:v>
      </x:c>
      <x:c r="C4040" s="2" t="str">
        <x:v>FOUNTAIN VALLEY</x:v>
      </x:c>
      <x:c r="D4040" s="2" t="str">
        <x:v>CA</x:v>
      </x:c>
      <x:c r="E4040" s="2" t="str">
        <x:v>Acute Care Hospitals</x:v>
      </x:c>
      <x:c r="F4040" s="2" t="str">
        <x:v>Proprietary</x:v>
      </x:c>
      <x:c r="G4040" s="2" t="str">
        <x:v>Large (300+ beds)</x:v>
      </x:c>
      <x:c r="H4040" s="7" t="n">
        <x:v>2</x:v>
      </x:c>
      <x:c r="I4040" s="7"/>
      <x:c r="J4040" s="7" t="n">
        <x:v>1.11</x:v>
      </x:c>
      <x:c r="K4040" s="8" t="n">
        <x:v>400</x:v>
      </x:c>
      <x:c r="L4040" s="8" t="n">
        <x:v>12537</x:v>
      </x:c>
      <x:c r="M4040" s="9" t="n">
        <x:v>0.5965510949</x:v>
      </x:c>
      <x:c r="N4040" s="10" t="n">
        <x:v>26210.7850362926</x:v>
      </x:c>
      <x:c r="O4040" s="9" t="n">
        <x:v>-0.3802723342</x:v>
      </x:c>
      <x:c r="P4040" s="9" t="n">
        <x:v>0.1813880126</x:v>
      </x:c>
      <x:c r="Q4040" s="9" t="n">
        <x:v>0.0536277603</x:v>
      </x:c>
      <x:c r="R4040" s="3" t="b">
        <x:v>0</x:v>
      </x:c>
      <x:c r="S4040" s="3" t="b">
        <x:v>1</x:v>
      </x:c>
      <x:c r="T4040" s="3" t="b">
        <x:v>0</x:v>
      </x:c>
      <x:c r="U4040" s="2" t="str">
        <x:f>IF(T4040=TRUE,"Priority review",IF(R4040=TRUE,"High cost",IF(S4040=TRUE,"Low quality","Benchmark")))</x:f>
        <x:v>Low quality</x:v>
      </x:c>
    </x:row>
    <x:row r="4041">
      <x:c r="A4041" s="2" t="str">
        <x:v>230071</x:v>
      </x:c>
      <x:c r="B4041" s="2" t="str">
        <x:v>STRAITH HOSPITAL FOR SPECIAL SURGERY</x:v>
      </x:c>
      <x:c r="C4041" s="2" t="str">
        <x:v>SOUTHFIELD</x:v>
      </x:c>
      <x:c r="D4041" s="2" t="str">
        <x:v>MI</x:v>
      </x:c>
      <x:c r="E4041" s="2" t="str">
        <x:v>Acute Care Hospitals</x:v>
      </x:c>
      <x:c r="F4041" s="2" t="str">
        <x:v>Voluntary non-profit</x:v>
      </x:c>
      <x:c r="G4041" s="2" t="str">
        <x:v>Small (&lt;100 beds)</x:v>
      </x:c>
      <x:c r="H4041" s="7"/>
      <x:c r="I4041" s="7"/>
      <x:c r="J4041" s="7" t="n">
        <x:v>1.01</x:v>
      </x:c>
      <x:c r="K4041" s="8" t="n">
        <x:v>34</x:v>
      </x:c>
      <x:c r="L4041" s="8" t="n">
        <x:v>456</x:v>
      </x:c>
      <x:c r="M4041" s="9" t="n">
        <x:v>0.243812279</x:v>
      </x:c>
      <x:c r="N4041" s="10" t="n">
        <x:v>32486.8377192982</x:v>
      </x:c>
      <x:c r="O4041" s="9" t="n">
        <x:v>-0.0003318234</x:v>
      </x:c>
      <x:c r="P4041" s="9" t="n">
        <x:v>0.1813285458</x:v>
      </x:c>
      <x:c r="Q4041" s="9" t="n">
        <x:v>0.697486535</x:v>
      </x:c>
      <x:c r="R4041" s="3" t="b">
        <x:v>0</x:v>
      </x:c>
      <x:c r="S4041" s="3" t="b">
        <x:v>0</x:v>
      </x:c>
      <x:c r="T4041" s="3" t="b">
        <x:v>0</x:v>
      </x:c>
      <x:c r="U4041" s="2" t="str">
        <x:f>IF(T4041=TRUE,"Priority review",IF(R4041=TRUE,"High cost",IF(S4041=TRUE,"Low quality","Benchmark")))</x:f>
        <x:v>Benchmark</x:v>
      </x:c>
    </x:row>
    <x:row r="4042">
      <x:c r="A4042" s="2" t="str">
        <x:v>424014</x:v>
      </x:c>
      <x:c r="B4042" s="2" t="str">
        <x:v>REBOUND BEHAVIORAL HEALTH</x:v>
      </x:c>
      <x:c r="C4042" s="2" t="str">
        <x:v>LANCASTER</x:v>
      </x:c>
      <x:c r="D4042" s="2" t="str">
        <x:v>SC</x:v>
      </x:c>
      <x:c r="E4042" s="2" t="str">
        <x:v>Psychiatric</x:v>
      </x:c>
      <x:c r="F4042" s="2" t="str">
        <x:v>Proprietary</x:v>
      </x:c>
      <x:c r="G4042" s="2" t="str">
        <x:v>Small (&lt;100 beds)</x:v>
      </x:c>
      <x:c r="H4042" s="7"/>
      <x:c r="I4042" s="7"/>
      <x:c r="J4042" s="7"/>
      <x:c r="K4042" s="8" t="n">
        <x:v>63</x:v>
      </x:c>
      <x:c r="L4042" s="8" t="n">
        <x:v>2080</x:v>
      </x:c>
      <x:c r="M4042" s="9" t="n">
        <x:v>0.8203226646</x:v>
      </x:c>
      <x:c r="N4042" s="10" t="n">
        <x:v>7647.9067307692</x:v>
      </x:c>
      <x:c r="O4042" s="9" t="n">
        <x:v>-0.0974604966</x:v>
      </x:c>
      <x:c r="P4042" s="9" t="n">
        <x:v>0.1812297735</x:v>
      </x:c>
      <x:c r="Q4042" s="9" t="n">
        <x:v>0</x:v>
      </x:c>
      <x:c r="R4042" s="3" t="b">
        <x:v>0</x:v>
      </x:c>
      <x:c r="S4042" s="3" t="b">
        <x:v>0</x:v>
      </x:c>
      <x:c r="T4042" s="3" t="b">
        <x:v>0</x:v>
      </x:c>
      <x:c r="U4042" s="2" t="str">
        <x:f>IF(T4042=TRUE,"Priority review",IF(R4042=TRUE,"High cost",IF(S4042=TRUE,"Low quality","Benchmark")))</x:f>
        <x:v>Benchmark</x:v>
      </x:c>
    </x:row>
    <x:row r="4043">
      <x:c r="A4043" s="2" t="str">
        <x:v>100276</x:v>
      </x:c>
      <x:c r="B4043" s="2" t="str">
        <x:v>BROWARD HEALTH CORAL SPRINGS</x:v>
      </x:c>
      <x:c r="C4043" s="2" t="str">
        <x:v>CORAL SPRINGS</x:v>
      </x:c>
      <x:c r="D4043" s="2" t="str">
        <x:v>FL</x:v>
      </x:c>
      <x:c r="E4043" s="2" t="str">
        <x:v>Acute Care Hospitals</x:v>
      </x:c>
      <x:c r="F4043" s="2" t="str">
        <x:v>Government</x:v>
      </x:c>
      <x:c r="G4043" s="2" t="str">
        <x:v>Medium (100-299 beds)</x:v>
      </x:c>
      <x:c r="H4043" s="7" t="n">
        <x:v>4</x:v>
      </x:c>
      <x:c r="I4043" s="7" t="n">
        <x:v>3</x:v>
      </x:c>
      <x:c r="J4043" s="7" t="n">
        <x:v>1.05</x:v>
      </x:c>
      <x:c r="K4043" s="8" t="n">
        <x:v>224</x:v>
      </x:c>
      <x:c r="L4043" s="8" t="n">
        <x:v>10984</x:v>
      </x:c>
      <x:c r="M4043" s="9" t="n">
        <x:v>0.6290606654</x:v>
      </x:c>
      <x:c r="N4043" s="10" t="n">
        <x:v>22989.829024035</x:v>
      </x:c>
      <x:c r="O4043" s="9" t="n">
        <x:v>-0.0469315351</x:v>
      </x:c>
      <x:c r="P4043" s="9" t="n">
        <x:v>0.1809290954</x:v>
      </x:c>
      <x:c r="Q4043" s="9" t="n">
        <x:v>0.6022819886</x:v>
      </x:c>
      <x:c r="R4043" s="3" t="b">
        <x:v>0</x:v>
      </x:c>
      <x:c r="S4043" s="3" t="b">
        <x:v>0</x:v>
      </x:c>
      <x:c r="T4043" s="3" t="b">
        <x:v>0</x:v>
      </x:c>
      <x:c r="U4043" s="2" t="str">
        <x:f>IF(T4043=TRUE,"Priority review",IF(R4043=TRUE,"High cost",IF(S4043=TRUE,"Low quality","Benchmark")))</x:f>
        <x:v>Benchmark</x:v>
      </x:c>
    </x:row>
    <x:row r="4044">
      <x:c r="A4044" s="2" t="str">
        <x:v>051318</x:v>
      </x:c>
      <x:c r="B4044" s="2" t="str">
        <x:v>PROVIDENCE REDWOOD MEMORIAL HOSPITAL</x:v>
      </x:c>
      <x:c r="C4044" s="2" t="str">
        <x:v>FORTUNA</x:v>
      </x:c>
      <x:c r="D4044" s="2" t="str">
        <x:v>CA</x:v>
      </x:c>
      <x:c r="E4044" s="2" t="str">
        <x:v>Critical Access Hospitals</x:v>
      </x:c>
      <x:c r="F4044" s="2" t="str">
        <x:v>Voluntary non-profit</x:v>
      </x:c>
      <x:c r="G4044" s="2" t="str">
        <x:v>Small (&lt;100 beds)</x:v>
      </x:c>
      <x:c r="H4044" s="7" t="n">
        <x:v>4</x:v>
      </x:c>
      <x:c r="I4044" s="7" t="n">
        <x:v>4</x:v>
      </x:c>
      <x:c r="J4044" s="7"/>
      <x:c r="K4044" s="8" t="n">
        <x:v>19</x:v>
      </x:c>
      <x:c r="L4044" s="8" t="n">
        <x:v>760</x:v>
      </x:c>
      <x:c r="M4044" s="9" t="n">
        <x:v>0.6341744773</x:v>
      </x:c>
      <x:c r="N4044" s="10" t="n">
        <x:v>77329.2276315789</x:v>
      </x:c>
      <x:c r="O4044" s="9" t="n">
        <x:v>-0.0941326146</x:v>
      </x:c>
      <x:c r="P4044" s="9" t="n">
        <x:v>0.180669145</x:v>
      </x:c>
      <x:c r="Q4044" s="9" t="n">
        <x:v>0.1657992565</x:v>
      </x:c>
      <x:c r="R4044" s="3" t="b">
        <x:v>0</x:v>
      </x:c>
      <x:c r="S4044" s="3" t="b">
        <x:v>0</x:v>
      </x:c>
      <x:c r="T4044" s="3" t="b">
        <x:v>0</x:v>
      </x:c>
      <x:c r="U4044" s="2" t="str">
        <x:f>IF(T4044=TRUE,"Priority review",IF(R4044=TRUE,"High cost",IF(S4044=TRUE,"Low quality","Benchmark")))</x:f>
        <x:v>Benchmark</x:v>
      </x:c>
    </x:row>
    <x:row r="4045">
      <x:c r="A4045" s="2" t="str">
        <x:v>440057</x:v>
      </x:c>
      <x:c r="B4045" s="2" t="str">
        <x:v>CLAIBORNE MEDICAL CENTER</x:v>
      </x:c>
      <x:c r="C4045" s="2" t="str">
        <x:v>TAZEWELL</x:v>
      </x:c>
      <x:c r="D4045" s="2" t="str">
        <x:v>TN</x:v>
      </x:c>
      <x:c r="E4045" s="2" t="str">
        <x:v>Acute Care Hospitals</x:v>
      </x:c>
      <x:c r="F4045" s="2" t="str">
        <x:v>Government</x:v>
      </x:c>
      <x:c r="G4045" s="2" t="str">
        <x:v>Small (&lt;100 beds)</x:v>
      </x:c>
      <x:c r="H4045" s="7"/>
      <x:c r="I4045" s="7" t="n">
        <x:v>4</x:v>
      </x:c>
      <x:c r="J4045" s="7" t="n">
        <x:v>1.02</x:v>
      </x:c>
      <x:c r="K4045" s="8" t="n">
        <x:v>26</x:v>
      </x:c>
      <x:c r="L4045" s="8" t="n">
        <x:v>1093</x:v>
      </x:c>
      <x:c r="M4045" s="9" t="n">
        <x:v>0.4062170706</x:v>
      </x:c>
      <x:c r="N4045" s="10" t="n">
        <x:v>32409.0311070448</x:v>
      </x:c>
      <x:c r="O4045" s="9" t="n">
        <x:v>-0.1037754354</x:v>
      </x:c>
      <x:c r="P4045" s="9" t="n">
        <x:v>0.1804308797</x:v>
      </x:c>
      <x:c r="Q4045" s="9" t="n">
        <x:v>0.697486535</x:v>
      </x:c>
      <x:c r="R4045" s="3" t="b">
        <x:v>0</x:v>
      </x:c>
      <x:c r="S4045" s="3" t="b">
        <x:v>0</x:v>
      </x:c>
      <x:c r="T4045" s="3" t="b">
        <x:v>0</x:v>
      </x:c>
      <x:c r="U4045" s="2" t="str">
        <x:f>IF(T4045=TRUE,"Priority review",IF(R4045=TRUE,"High cost",IF(S4045=TRUE,"Low quality","Benchmark")))</x:f>
        <x:v>Benchmark</x:v>
      </x:c>
    </x:row>
    <x:row r="4046">
      <x:c r="A4046" s="2" t="str">
        <x:v>010016</x:v>
      </x:c>
      <x:c r="B4046" s="2" t="str">
        <x:v>SHELBY BAPTIST MEDICAL CENTER</x:v>
      </x:c>
      <x:c r="C4046" s="2" t="str">
        <x:v>ALABASTER</x:v>
      </x:c>
      <x:c r="D4046" s="2" t="str">
        <x:v>AL</x:v>
      </x:c>
      <x:c r="E4046" s="2" t="str">
        <x:v>Acute Care Hospitals</x:v>
      </x:c>
      <x:c r="F4046" s="2" t="str">
        <x:v>Voluntary non-profit</x:v>
      </x:c>
      <x:c r="G4046" s="2" t="str">
        <x:v>Medium (100-299 beds)</x:v>
      </x:c>
      <x:c r="H4046" s="7" t="n">
        <x:v>2</x:v>
      </x:c>
      <x:c r="I4046" s="7" t="n">
        <x:v>3</x:v>
      </x:c>
      <x:c r="J4046" s="7" t="n">
        <x:v>1.02</x:v>
      </x:c>
      <x:c r="K4046" s="8" t="n">
        <x:v>212</x:v>
      </x:c>
      <x:c r="L4046" s="8" t="n">
        <x:v>7127</x:v>
      </x:c>
      <x:c r="M4046" s="9" t="n">
        <x:v>0.4614135478</x:v>
      </x:c>
      <x:c r="N4046" s="10" t="n">
        <x:v>22985.8937842009</x:v>
      </x:c>
      <x:c r="O4046" s="9" t="n">
        <x:v>-0.007972553</x:v>
      </x:c>
      <x:c r="P4046" s="9" t="n">
        <x:v>0.1801140994</x:v>
      </x:c>
      <x:c r="Q4046" s="9" t="n">
        <x:v>0.0782396088</x:v>
      </x:c>
      <x:c r="R4046" s="3" t="b">
        <x:v>0</x:v>
      </x:c>
      <x:c r="S4046" s="3" t="b">
        <x:v>1</x:v>
      </x:c>
      <x:c r="T4046" s="3" t="b">
        <x:v>0</x:v>
      </x:c>
      <x:c r="U4046" s="2" t="str">
        <x:f>IF(T4046=TRUE,"Priority review",IF(R4046=TRUE,"High cost",IF(S4046=TRUE,"Low quality","Benchmark")))</x:f>
        <x:v>Low quality</x:v>
      </x:c>
    </x:row>
    <x:row r="4047">
      <x:c r="A4047" s="2" t="str">
        <x:v>501328</x:v>
      </x:c>
      <x:c r="B4047" s="2" t="str">
        <x:v>MID VALLEY HOSPITAL &amp; CLINIC</x:v>
      </x:c>
      <x:c r="C4047" s="2" t="str">
        <x:v>OMAK</x:v>
      </x:c>
      <x:c r="D4047" s="2" t="str">
        <x:v>WA</x:v>
      </x:c>
      <x:c r="E4047" s="2" t="str">
        <x:v>Critical Access Hospitals</x:v>
      </x:c>
      <x:c r="F4047" s="2" t="str">
        <x:v>Government</x:v>
      </x:c>
      <x:c r="G4047" s="2" t="str">
        <x:v>Small (&lt;100 beds)</x:v>
      </x:c>
      <x:c r="H4047" s="7"/>
      <x:c r="I4047" s="7"/>
      <x:c r="J4047" s="7"/>
      <x:c r="K4047" s="8" t="n">
        <x:v>25</x:v>
      </x:c>
      <x:c r="L4047" s="8" t="n">
        <x:v>675</x:v>
      </x:c>
      <x:c r="M4047" s="9" t="n">
        <x:v>0.2890710383</x:v>
      </x:c>
      <x:c r="N4047" s="10" t="n">
        <x:v>77245.2503703704</x:v>
      </x:c>
      <x:c r="O4047" s="9" t="n">
        <x:v>-0.0455534084</x:v>
      </x:c>
      <x:c r="P4047" s="9" t="n">
        <x:v>0.1799256506</x:v>
      </x:c>
      <x:c r="Q4047" s="9" t="n">
        <x:v>0.292936803</x:v>
      </x:c>
      <x:c r="R4047" s="3" t="b">
        <x:v>0</x:v>
      </x:c>
      <x:c r="S4047" s="3" t="b">
        <x:v>0</x:v>
      </x:c>
      <x:c r="T4047" s="3" t="b">
        <x:v>0</x:v>
      </x:c>
      <x:c r="U4047" s="2" t="str">
        <x:f>IF(T4047=TRUE,"Priority review",IF(R4047=TRUE,"High cost",IF(S4047=TRUE,"Low quality","Benchmark")))</x:f>
        <x:v>Benchmark</x:v>
      </x:c>
    </x:row>
    <x:row r="4048">
      <x:c r="A4048" s="2" t="str">
        <x:v>360070</x:v>
      </x:c>
      <x:c r="B4048" s="2" t="str">
        <x:v>MERCY MEDICAL CENTER</x:v>
      </x:c>
      <x:c r="C4048" s="2" t="str">
        <x:v>CANTON</x:v>
      </x:c>
      <x:c r="D4048" s="2" t="str">
        <x:v>OH</x:v>
      </x:c>
      <x:c r="E4048" s="2" t="str">
        <x:v>Acute Care Hospitals</x:v>
      </x:c>
      <x:c r="F4048" s="2" t="str">
        <x:v>Voluntary non-profit</x:v>
      </x:c>
      <x:c r="G4048" s="2" t="str">
        <x:v>Large (300+ beds)</x:v>
      </x:c>
      <x:c r="H4048" s="7" t="n">
        <x:v>3</x:v>
      </x:c>
      <x:c r="I4048" s="7" t="n">
        <x:v>3</x:v>
      </x:c>
      <x:c r="J4048" s="7" t="n">
        <x:v>1</x:v>
      </x:c>
      <x:c r="K4048" s="8" t="n">
        <x:v>317</x:v>
      </x:c>
      <x:c r="L4048" s="8" t="n">
        <x:v>16626</x:v>
      </x:c>
      <x:c r="M4048" s="9" t="n">
        <x:v>0.6429529044</x:v>
      </x:c>
      <x:c r="N4048" s="10" t="n">
        <x:v>26170.4583784434</x:v>
      </x:c>
      <x:c r="O4048" s="9" t="n">
        <x:v>-0.0135471131</x:v>
      </x:c>
      <x:c r="P4048" s="9" t="n">
        <x:v>0.1798107256</x:v>
      </x:c>
      <x:c r="Q4048" s="9" t="n">
        <x:v>0.2570977918</x:v>
      </x:c>
      <x:c r="R4048" s="3" t="b">
        <x:v>0</x:v>
      </x:c>
      <x:c r="S4048" s="3" t="b">
        <x:v>0</x:v>
      </x:c>
      <x:c r="T4048" s="3" t="b">
        <x:v>0</x:v>
      </x:c>
      <x:c r="U4048" s="2" t="str">
        <x:f>IF(T4048=TRUE,"Priority review",IF(R4048=TRUE,"High cost",IF(S4048=TRUE,"Low quality","Benchmark")))</x:f>
        <x:v>Benchmark</x:v>
      </x:c>
    </x:row>
    <x:row r="4049">
      <x:c r="A4049" s="2" t="str">
        <x:v>230193</x:v>
      </x:c>
      <x:c r="B4049" s="2" t="str">
        <x:v>MCLAREN LAPEER REGION</x:v>
      </x:c>
      <x:c r="C4049" s="2" t="str">
        <x:v>LAPEER</x:v>
      </x:c>
      <x:c r="D4049" s="2" t="str">
        <x:v>MI</x:v>
      </x:c>
      <x:c r="E4049" s="2" t="str">
        <x:v>Acute Care Hospitals</x:v>
      </x:c>
      <x:c r="F4049" s="2" t="str">
        <x:v>Voluntary non-profit</x:v>
      </x:c>
      <x:c r="G4049" s="2" t="str">
        <x:v>Small (&lt;100 beds)</x:v>
      </x:c>
      <x:c r="H4049" s="7" t="n">
        <x:v>2</x:v>
      </x:c>
      <x:c r="I4049" s="7" t="n">
        <x:v>2</x:v>
      </x:c>
      <x:c r="J4049" s="7" t="n">
        <x:v>0.94</x:v>
      </x:c>
      <x:c r="K4049" s="8" t="n">
        <x:v>92</x:v>
      </x:c>
      <x:c r="L4049" s="8" t="n">
        <x:v>4182</x:v>
      </x:c>
      <x:c r="M4049" s="9" t="n">
        <x:v>0.6523818009</x:v>
      </x:c>
      <x:c r="N4049" s="10" t="n">
        <x:v>32408.4531324725</x:v>
      </x:c>
      <x:c r="O4049" s="9" t="n">
        <x:v>0.0767732688</x:v>
      </x:c>
      <x:c r="P4049" s="9" t="n">
        <x:v>0.1795332136</x:v>
      </x:c>
      <x:c r="Q4049" s="9" t="n">
        <x:v>0.0350089767</x:v>
      </x:c>
      <x:c r="R4049" s="3" t="b">
        <x:v>0</x:v>
      </x:c>
      <x:c r="S4049" s="3" t="b">
        <x:v>1</x:v>
      </x:c>
      <x:c r="T4049" s="3" t="b">
        <x:v>0</x:v>
      </x:c>
      <x:c r="U4049" s="2" t="str">
        <x:f>IF(T4049=TRUE,"Priority review",IF(R4049=TRUE,"High cost",IF(S4049=TRUE,"Low quality","Benchmark")))</x:f>
        <x:v>Low quality</x:v>
      </x:c>
    </x:row>
    <x:row r="4050">
      <x:c r="A4050" s="2" t="str">
        <x:v>050390</x:v>
      </x:c>
      <x:c r="B4050" s="2" t="str">
        <x:v>HEMET GLOBAL MEDICAL CENTER</x:v>
      </x:c>
      <x:c r="C4050" s="2" t="str">
        <x:v>HEMET</x:v>
      </x:c>
      <x:c r="D4050" s="2" t="str">
        <x:v>CA</x:v>
      </x:c>
      <x:c r="E4050" s="2" t="str">
        <x:v>Acute Care Hospitals</x:v>
      </x:c>
      <x:c r="F4050" s="2" t="str">
        <x:v>Proprietary</x:v>
      </x:c>
      <x:c r="G4050" s="2" t="str">
        <x:v>Medium (100-299 beds)</x:v>
      </x:c>
      <x:c r="H4050" s="7" t="n">
        <x:v>1</x:v>
      </x:c>
      <x:c r="I4050" s="7" t="n">
        <x:v>1</x:v>
      </x:c>
      <x:c r="J4050" s="7" t="n">
        <x:v>1.09</x:v>
      </x:c>
      <x:c r="K4050" s="8" t="n">
        <x:v>230</x:v>
      </x:c>
      <x:c r="L4050" s="8" t="n">
        <x:v>6707</x:v>
      </x:c>
      <x:c r="M4050" s="9" t="n">
        <x:v>0.4317533856</x:v>
      </x:c>
      <x:c r="N4050" s="10" t="n">
        <x:v>22951.9106903235</x:v>
      </x:c>
      <x:c r="O4050" s="9" t="n">
        <x:v>0.1385179612</x:v>
      </x:c>
      <x:c r="P4050" s="9" t="n">
        <x:v>0.1792991035</x:v>
      </x:c>
      <x:c r="Q4050" s="9" t="n">
        <x:v>0</x:v>
      </x:c>
      <x:c r="R4050" s="3" t="b">
        <x:v>0</x:v>
      </x:c>
      <x:c r="S4050" s="3" t="b">
        <x:v>1</x:v>
      </x:c>
      <x:c r="T4050" s="3" t="b">
        <x:v>0</x:v>
      </x:c>
      <x:c r="U4050" s="2" t="str">
        <x:f>IF(T4050=TRUE,"Priority review",IF(R4050=TRUE,"High cost",IF(S4050=TRUE,"Low quality","Benchmark")))</x:f>
        <x:v>Low quality</x:v>
      </x:c>
    </x:row>
    <x:row r="4051">
      <x:c r="A4051" s="2" t="str">
        <x:v>361330</x:v>
      </x:c>
      <x:c r="B4051" s="2" t="str">
        <x:v>HOCKING VALLEY COMMUNITY HOSPITAL</x:v>
      </x:c>
      <x:c r="C4051" s="2" t="str">
        <x:v>LOGAN</x:v>
      </x:c>
      <x:c r="D4051" s="2" t="str">
        <x:v>OH</x:v>
      </x:c>
      <x:c r="E4051" s="2" t="str">
        <x:v>Critical Access Hospitals</x:v>
      </x:c>
      <x:c r="F4051" s="2" t="str">
        <x:v>Voluntary non-profit</x:v>
      </x:c>
      <x:c r="G4051" s="2" t="str">
        <x:v>Small (&lt;100 beds)</x:v>
      </x:c>
      <x:c r="H4051" s="7"/>
      <x:c r="I4051" s="7"/>
      <x:c r="J4051" s="7"/>
      <x:c r="K4051" s="8" t="n">
        <x:v>25</x:v>
      </x:c>
      <x:c r="L4051" s="8" t="n">
        <x:v>623</x:v>
      </x:c>
      <x:c r="M4051" s="9" t="n">
        <x:v>0.4864480874</x:v>
      </x:c>
      <x:c r="N4051" s="10" t="n">
        <x:v>76809.7255216693</x:v>
      </x:c>
      <x:c r="O4051" s="9" t="n">
        <x:v>-0.0074949774</x:v>
      </x:c>
      <x:c r="P4051" s="9" t="n">
        <x:v>0.1791821561</x:v>
      </x:c>
      <x:c r="Q4051" s="9" t="n">
        <x:v>0.292936803</x:v>
      </x:c>
      <x:c r="R4051" s="3" t="b">
        <x:v>0</x:v>
      </x:c>
      <x:c r="S4051" s="3" t="b">
        <x:v>0</x:v>
      </x:c>
      <x:c r="T4051" s="3" t="b">
        <x:v>0</x:v>
      </x:c>
      <x:c r="U4051" s="2" t="str">
        <x:f>IF(T4051=TRUE,"Priority review",IF(R4051=TRUE,"High cost",IF(S4051=TRUE,"Low quality","Benchmark")))</x:f>
        <x:v>Benchmark</x:v>
      </x:c>
    </x:row>
    <x:row r="4052">
      <x:c r="A4052" s="2" t="str">
        <x:v>194031</x:v>
      </x:c>
      <x:c r="B4052" s="2" t="str">
        <x:v>RIVER OAKS HOSPITAL</x:v>
      </x:c>
      <x:c r="C4052" s="2" t="str">
        <x:v>NEW ORLEANS</x:v>
      </x:c>
      <x:c r="D4052" s="2" t="str">
        <x:v>LA</x:v>
      </x:c>
      <x:c r="E4052" s="2" t="str">
        <x:v>Psychiatric</x:v>
      </x:c>
      <x:c r="F4052" s="2" t="str">
        <x:v>Proprietary</x:v>
      </x:c>
      <x:c r="G4052" s="2" t="str">
        <x:v>Medium (100-299 beds)</x:v>
      </x:c>
      <x:c r="H4052" s="7"/>
      <x:c r="I4052" s="7"/>
      <x:c r="J4052" s="7"/>
      <x:c r="K4052" s="8" t="n">
        <x:v>121</x:v>
      </x:c>
      <x:c r="L4052" s="8" t="n">
        <x:v>4255</x:v>
      </x:c>
      <x:c r="M4052" s="9" t="n">
        <x:v>0.6785891704</x:v>
      </x:c>
      <x:c r="N4052" s="10" t="n">
        <x:v>6401.8162162162</x:v>
      </x:c>
      <x:c r="O4052" s="9" t="n">
        <x:v>-0.0313738813</x:v>
      </x:c>
      <x:c r="P4052" s="9" t="n">
        <x:v>0.1791044776</x:v>
      </x:c>
      <x:c r="Q4052" s="9" t="n">
        <x:v>0</x:v>
      </x:c>
      <x:c r="R4052" s="3" t="b">
        <x:v>0</x:v>
      </x:c>
      <x:c r="S4052" s="3" t="b">
        <x:v>0</x:v>
      </x:c>
      <x:c r="T4052" s="3" t="b">
        <x:v>0</x:v>
      </x:c>
      <x:c r="U4052" s="2" t="str">
        <x:f>IF(T4052=TRUE,"Priority review",IF(R4052=TRUE,"High cost",IF(S4052=TRUE,"Low quality","Benchmark")))</x:f>
        <x:v>Benchmark</x:v>
      </x:c>
    </x:row>
    <x:row r="4053">
      <x:c r="A4053" s="2" t="str">
        <x:v>660001</x:v>
      </x:c>
      <x:c r="B4053" s="2" t="str">
        <x:v>COMMONWEALTH HEALTH CENTER</x:v>
      </x:c>
      <x:c r="C4053" s="2" t="str">
        <x:v>GARAPAN</x:v>
      </x:c>
      <x:c r="D4053" s="2" t="str">
        <x:v>MP</x:v>
      </x:c>
      <x:c r="E4053" s="2" t="str">
        <x:v>Acute Care Hospitals</x:v>
      </x:c>
      <x:c r="F4053" s="2" t="str">
        <x:v>Government</x:v>
      </x:c>
      <x:c r="G4053" s="2" t="str">
        <x:v>Small (&lt;100 beds)</x:v>
      </x:c>
      <x:c r="H4053" s="7"/>
      <x:c r="I4053" s="7"/>
      <x:c r="J4053" s="7"/>
      <x:c r="K4053" s="8" t="n">
        <x:v>74</x:v>
      </x:c>
      <x:c r="L4053" s="8" t="n">
        <x:v>3458</x:v>
      </x:c>
      <x:c r="M4053" s="9" t="n">
        <x:v>0.54393738</x:v>
      </x:c>
      <x:c r="N4053" s="10" t="n">
        <x:v>32405.2345286293</x:v>
      </x:c>
      <x:c r="O4053" s="9"/>
      <x:c r="P4053" s="9" t="n">
        <x:v>0.1786355476</x:v>
      </x:c>
      <x:c r="Q4053" s="9" t="n">
        <x:v>0.697486535</x:v>
      </x:c>
      <x:c r="R4053" s="3" t="b">
        <x:v>0</x:v>
      </x:c>
      <x:c r="S4053" s="3" t="b">
        <x:v>0</x:v>
      </x:c>
      <x:c r="T4053" s="3" t="b">
        <x:v>0</x:v>
      </x:c>
      <x:c r="U4053" s="2" t="str">
        <x:f>IF(T4053=TRUE,"Priority review",IF(R4053=TRUE,"High cost",IF(S4053=TRUE,"Low quality","Benchmark")))</x:f>
        <x:v>Benchmark</x:v>
      </x:c>
    </x:row>
    <x:row r="4054">
      <x:c r="A4054" s="2" t="str">
        <x:v>340123</x:v>
      </x:c>
      <x:c r="B4054" s="2" t="str">
        <x:v>RANDOLPH HOSPITAL</x:v>
      </x:c>
      <x:c r="C4054" s="2" t="str">
        <x:v>ASHEBORO</x:v>
      </x:c>
      <x:c r="D4054" s="2" t="str">
        <x:v>NC</x:v>
      </x:c>
      <x:c r="E4054" s="2" t="str">
        <x:v>Acute Care Hospitals</x:v>
      </x:c>
      <x:c r="F4054" s="2" t="str">
        <x:v>Voluntary non-profit</x:v>
      </x:c>
      <x:c r="G4054" s="2" t="str">
        <x:v>Medium (100-299 beds)</x:v>
      </x:c>
      <x:c r="H4054" s="7" t="n">
        <x:v>4</x:v>
      </x:c>
      <x:c r="I4054" s="7" t="n">
        <x:v>3</x:v>
      </x:c>
      <x:c r="J4054" s="7" t="n">
        <x:v>0.9</x:v>
      </x:c>
      <x:c r="K4054" s="8" t="n">
        <x:v>145</x:v>
      </x:c>
      <x:c r="L4054" s="8" t="n">
        <x:v>5282</x:v>
      </x:c>
      <x:c r="M4054" s="9" t="n">
        <x:v>0.3090069719</x:v>
      </x:c>
      <x:c r="N4054" s="10" t="n">
        <x:v>22925.6953805377</x:v>
      </x:c>
      <x:c r="O4054" s="9" t="n">
        <x:v>-0.125880257</x:v>
      </x:c>
      <x:c r="P4054" s="9" t="n">
        <x:v>0.1784841076</x:v>
      </x:c>
      <x:c r="Q4054" s="9" t="n">
        <x:v>0.6022819886</x:v>
      </x:c>
      <x:c r="R4054" s="3" t="b">
        <x:v>0</x:v>
      </x:c>
      <x:c r="S4054" s="3" t="b">
        <x:v>0</x:v>
      </x:c>
      <x:c r="T4054" s="3" t="b">
        <x:v>0</x:v>
      </x:c>
      <x:c r="U4054" s="2" t="str">
        <x:f>IF(T4054=TRUE,"Priority review",IF(R4054=TRUE,"High cost",IF(S4054=TRUE,"Low quality","Benchmark")))</x:f>
        <x:v>Benchmark</x:v>
      </x:c>
    </x:row>
    <x:row r="4055">
      <x:c r="A4055" s="2" t="str">
        <x:v>521341</x:v>
      </x:c>
      <x:c r="B4055" s="2" t="str">
        <x:v>RICHLAND HOSPITAL</x:v>
      </x:c>
      <x:c r="C4055" s="2" t="str">
        <x:v>RICHLAND CENTER</x:v>
      </x:c>
      <x:c r="D4055" s="2" t="str">
        <x:v>WI</x:v>
      </x:c>
      <x:c r="E4055" s="2" t="str">
        <x:v>Critical Access Hospitals</x:v>
      </x:c>
      <x:c r="F4055" s="2" t="str">
        <x:v>Voluntary non-profit</x:v>
      </x:c>
      <x:c r="G4055" s="2" t="str">
        <x:v>Small (&lt;100 beds)</x:v>
      </x:c>
      <x:c r="H4055" s="7" t="n">
        <x:v>1</x:v>
      </x:c>
      <x:c r="I4055" s="7" t="n">
        <x:v>4</x:v>
      </x:c>
      <x:c r="J4055" s="7"/>
      <x:c r="K4055" s="8" t="n">
        <x:v>25</x:v>
      </x:c>
      <x:c r="L4055" s="8" t="n">
        <x:v>965</x:v>
      </x:c>
      <x:c r="M4055" s="9" t="n">
        <x:v>0.4254644809</x:v>
      </x:c>
      <x:c r="N4055" s="10" t="n">
        <x:v>76793.0341968912</x:v>
      </x:c>
      <x:c r="O4055" s="9" t="n">
        <x:v>0.0436346429</x:v>
      </x:c>
      <x:c r="P4055" s="9" t="n">
        <x:v>0.1784386617</x:v>
      </x:c>
      <x:c r="Q4055" s="9" t="n">
        <x:v>0</x:v>
      </x:c>
      <x:c r="R4055" s="3" t="b">
        <x:v>0</x:v>
      </x:c>
      <x:c r="S4055" s="3" t="b">
        <x:v>1</x:v>
      </x:c>
      <x:c r="T4055" s="3" t="b">
        <x:v>0</x:v>
      </x:c>
      <x:c r="U4055" s="2" t="str">
        <x:f>IF(T4055=TRUE,"Priority review",IF(R4055=TRUE,"High cost",IF(S4055=TRUE,"Low quality","Benchmark")))</x:f>
        <x:v>Low quality</x:v>
      </x:c>
    </x:row>
    <x:row r="4056">
      <x:c r="A4056" s="2" t="str">
        <x:v>340002</x:v>
      </x:c>
      <x:c r="B4056" s="2" t="str">
        <x:v>MEMORIAL MISSION HOSPITAL AND ASHEVILLE SURGERY CE</x:v>
      </x:c>
      <x:c r="C4056" s="2" t="str">
        <x:v>ASHEVILLE</x:v>
      </x:c>
      <x:c r="D4056" s="2" t="str">
        <x:v>NC</x:v>
      </x:c>
      <x:c r="E4056" s="2" t="str">
        <x:v>Acute Care Hospitals</x:v>
      </x:c>
      <x:c r="F4056" s="2" t="str">
        <x:v>Voluntary non-profit</x:v>
      </x:c>
      <x:c r="G4056" s="2" t="str">
        <x:v>Large (300+ beds)</x:v>
      </x:c>
      <x:c r="H4056" s="7" t="n">
        <x:v>3</x:v>
      </x:c>
      <x:c r="I4056" s="7" t="n">
        <x:v>2</x:v>
      </x:c>
      <x:c r="J4056" s="7" t="n">
        <x:v>0.99</x:v>
      </x:c>
      <x:c r="K4056" s="8" t="n">
        <x:v>717</x:v>
      </x:c>
      <x:c r="L4056" s="8" t="n">
        <x:v>47277</x:v>
      </x:c>
      <x:c r="M4056" s="9" t="n">
        <x:v>0.9388307505</x:v>
      </x:c>
      <x:c r="N4056" s="10" t="n">
        <x:v>26112.1030733761</x:v>
      </x:c>
      <x:c r="O4056" s="9" t="n">
        <x:v>0.1420059854</x:v>
      </x:c>
      <x:c r="P4056" s="9" t="n">
        <x:v>0.1782334385</x:v>
      </x:c>
      <x:c r="Q4056" s="9" t="n">
        <x:v>0.2570977918</x:v>
      </x:c>
      <x:c r="R4056" s="3" t="b">
        <x:v>0</x:v>
      </x:c>
      <x:c r="S4056" s="3" t="b">
        <x:v>0</x:v>
      </x:c>
      <x:c r="T4056" s="3" t="b">
        <x:v>0</x:v>
      </x:c>
      <x:c r="U4056" s="2" t="str">
        <x:f>IF(T4056=TRUE,"Priority review",IF(R4056=TRUE,"High cost",IF(S4056=TRUE,"Low quality","Benchmark")))</x:f>
        <x:v>Benchmark</x:v>
      </x:c>
    </x:row>
    <x:row r="4057">
      <x:c r="A4057" s="2" t="str">
        <x:v>104070</x:v>
      </x:c>
      <x:c r="B4057" s="2" t="str">
        <x:v>PORT ST LUCIE HOSPITAL</x:v>
      </x:c>
      <x:c r="C4057" s="2" t="str">
        <x:v>PORT SAINT LUCIE</x:v>
      </x:c>
      <x:c r="D4057" s="2" t="str">
        <x:v>FL</x:v>
      </x:c>
      <x:c r="E4057" s="2" t="str">
        <x:v>Psychiatric</x:v>
      </x:c>
      <x:c r="F4057" s="2" t="str">
        <x:v>Proprietary</x:v>
      </x:c>
      <x:c r="G4057" s="2" t="str">
        <x:v>Small (&lt;100 beds)</x:v>
      </x:c>
      <x:c r="H4057" s="7"/>
      <x:c r="I4057" s="7"/>
      <x:c r="J4057" s="7"/>
      <x:c r="K4057" s="8" t="n">
        <x:v>75</x:v>
      </x:c>
      <x:c r="L4057" s="8" t="n">
        <x:v>1985</x:v>
      </x:c>
      <x:c r="M4057" s="9" t="n">
        <x:v>0.7872495446</x:v>
      </x:c>
      <x:c r="N4057" s="10" t="n">
        <x:v>7589.9622166247</x:v>
      </x:c>
      <x:c r="O4057" s="9" t="n">
        <x:v>0.1623529392</x:v>
      </x:c>
      <x:c r="P4057" s="9" t="n">
        <x:v>0.1779935275</x:v>
      </x:c>
      <x:c r="Q4057" s="9" t="n">
        <x:v>0</x:v>
      </x:c>
      <x:c r="R4057" s="3" t="b">
        <x:v>0</x:v>
      </x:c>
      <x:c r="S4057" s="3" t="b">
        <x:v>0</x:v>
      </x:c>
      <x:c r="T4057" s="3" t="b">
        <x:v>0</x:v>
      </x:c>
      <x:c r="U4057" s="2" t="str">
        <x:f>IF(T4057=TRUE,"Priority review",IF(R4057=TRUE,"High cost",IF(S4057=TRUE,"Low quality","Benchmark")))</x:f>
        <x:v>Benchmark</x:v>
      </x:c>
    </x:row>
    <x:row r="4058">
      <x:c r="A4058" s="2" t="str">
        <x:v>370214</x:v>
      </x:c>
      <x:c r="B4058" s="2" t="str">
        <x:v>LINDSAY MUNICIPAL HOSPITAL</x:v>
      </x:c>
      <x:c r="C4058" s="2" t="str">
        <x:v>LINDSAY</x:v>
      </x:c>
      <x:c r="D4058" s="2" t="str">
        <x:v>OK</x:v>
      </x:c>
      <x:c r="E4058" s="2" t="str">
        <x:v>Acute Care Hospitals</x:v>
      </x:c>
      <x:c r="F4058" s="2" t="str">
        <x:v>Government</x:v>
      </x:c>
      <x:c r="G4058" s="2" t="str">
        <x:v>Small (&lt;100 beds)</x:v>
      </x:c>
      <x:c r="H4058" s="7"/>
      <x:c r="I4058" s="7"/>
      <x:c r="J4058" s="7"/>
      <x:c r="K4058" s="8" t="n">
        <x:v>26</x:v>
      </x:c>
      <x:c r="L4058" s="8" t="n">
        <x:v>664</x:v>
      </x:c>
      <x:c r="M4058" s="9" t="n">
        <x:v>0.7304531085</x:v>
      </x:c>
      <x:c r="N4058" s="10" t="n">
        <x:v>32405.1189759036</x:v>
      </x:c>
      <x:c r="O4058" s="9" t="n">
        <x:v>-0.038309807</x:v>
      </x:c>
      <x:c r="P4058" s="9" t="n">
        <x:v>0.1777378815</x:v>
      </x:c>
      <x:c r="Q4058" s="9" t="n">
        <x:v>0.697486535</x:v>
      </x:c>
      <x:c r="R4058" s="3" t="b">
        <x:v>0</x:v>
      </x:c>
      <x:c r="S4058" s="3" t="b">
        <x:v>0</x:v>
      </x:c>
      <x:c r="T4058" s="3" t="b">
        <x:v>0</x:v>
      </x:c>
      <x:c r="U4058" s="2" t="str">
        <x:f>IF(T4058=TRUE,"Priority review",IF(R4058=TRUE,"High cost",IF(S4058=TRUE,"Low quality","Benchmark")))</x:f>
        <x:v>Benchmark</x:v>
      </x:c>
    </x:row>
    <x:row r="4059">
      <x:c r="A4059" s="2" t="str">
        <x:v>451359</x:v>
      </x:c>
      <x:c r="B4059" s="2" t="str">
        <x:v>OCHILTREE GENERAL HOSPITAL</x:v>
      </x:c>
      <x:c r="C4059" s="2" t="str">
        <x:v>PERRYTON</x:v>
      </x:c>
      <x:c r="D4059" s="2" t="str">
        <x:v>TX</x:v>
      </x:c>
      <x:c r="E4059" s="2" t="str">
        <x:v>Critical Access Hospitals</x:v>
      </x:c>
      <x:c r="F4059" s="2" t="str">
        <x:v>Government</x:v>
      </x:c>
      <x:c r="G4059" s="2" t="str">
        <x:v>Small (&lt;100 beds)</x:v>
      </x:c>
      <x:c r="H4059" s="7"/>
      <x:c r="I4059" s="7"/>
      <x:c r="J4059" s="7"/>
      <x:c r="K4059" s="8" t="n">
        <x:v>25</x:v>
      </x:c>
      <x:c r="L4059" s="8" t="n">
        <x:v>398</x:v>
      </x:c>
      <x:c r="M4059" s="9" t="n">
        <x:v>0.1641530055</x:v>
      </x:c>
      <x:c r="N4059" s="10" t="n">
        <x:v>76513.8492462312</x:v>
      </x:c>
      <x:c r="O4059" s="9" t="n">
        <x:v>-0.3067816631</x:v>
      </x:c>
      <x:c r="P4059" s="9" t="n">
        <x:v>0.1776951673</x:v>
      </x:c>
      <x:c r="Q4059" s="9" t="n">
        <x:v>0.292936803</x:v>
      </x:c>
      <x:c r="R4059" s="3" t="b">
        <x:v>0</x:v>
      </x:c>
      <x:c r="S4059" s="3" t="b">
        <x:v>0</x:v>
      </x:c>
      <x:c r="T4059" s="3" t="b">
        <x:v>0</x:v>
      </x:c>
      <x:c r="U4059" s="2" t="str">
        <x:f>IF(T4059=TRUE,"Priority review",IF(R4059=TRUE,"High cost",IF(S4059=TRUE,"Low quality","Benchmark")))</x:f>
        <x:v>Benchmark</x:v>
      </x:c>
    </x:row>
    <x:row r="4060">
      <x:c r="A4060" s="2" t="str">
        <x:v>140002</x:v>
      </x:c>
      <x:c r="B4060" s="2" t="str">
        <x:v>ALTON MEMORIAL HOSPITAL</x:v>
      </x:c>
      <x:c r="C4060" s="2" t="str">
        <x:v>ALTON</x:v>
      </x:c>
      <x:c r="D4060" s="2" t="str">
        <x:v>IL</x:v>
      </x:c>
      <x:c r="E4060" s="2" t="str">
        <x:v>Acute Care Hospitals</x:v>
      </x:c>
      <x:c r="F4060" s="2" t="str">
        <x:v>Voluntary non-profit</x:v>
      </x:c>
      <x:c r="G4060" s="2" t="str">
        <x:v>Medium (100-299 beds)</x:v>
      </x:c>
      <x:c r="H4060" s="7" t="n">
        <x:v>4</x:v>
      </x:c>
      <x:c r="I4060" s="7" t="n">
        <x:v>4</x:v>
      </x:c>
      <x:c r="J4060" s="7" t="n">
        <x:v>0.93</x:v>
      </x:c>
      <x:c r="K4060" s="8" t="n">
        <x:v>122</x:v>
      </x:c>
      <x:c r="L4060" s="8" t="n">
        <x:v>8283</x:v>
      </x:c>
      <x:c r="M4060" s="9" t="n">
        <x:v>0.6674057153</x:v>
      </x:c>
      <x:c r="N4060" s="10" t="n">
        <x:v>22864.9081250755</x:v>
      </x:c>
      <x:c r="O4060" s="9" t="n">
        <x:v>0.0480853572</x:v>
      </x:c>
      <x:c r="P4060" s="9" t="n">
        <x:v>0.1776691117</x:v>
      </x:c>
      <x:c r="Q4060" s="9" t="n">
        <x:v>0.6022819886</x:v>
      </x:c>
      <x:c r="R4060" s="3" t="b">
        <x:v>0</x:v>
      </x:c>
      <x:c r="S4060" s="3" t="b">
        <x:v>0</x:v>
      </x:c>
      <x:c r="T4060" s="3" t="b">
        <x:v>0</x:v>
      </x:c>
      <x:c r="U4060" s="2" t="str">
        <x:f>IF(T4060=TRUE,"Priority review",IF(R4060=TRUE,"High cost",IF(S4060=TRUE,"Low quality","Benchmark")))</x:f>
        <x:v>Benchmark</x:v>
      </x:c>
    </x:row>
    <x:row r="4061">
      <x:c r="A4061" s="2" t="str">
        <x:v>371312</x:v>
      </x:c>
      <x:c r="B4061" s="2" t="str">
        <x:v>ASCENSION ST JOHN SAPULPA</x:v>
      </x:c>
      <x:c r="C4061" s="2" t="str">
        <x:v>SAPULPA</x:v>
      </x:c>
      <x:c r="D4061" s="2" t="str">
        <x:v>OK</x:v>
      </x:c>
      <x:c r="E4061" s="2" t="str">
        <x:v>Critical Access Hospitals</x:v>
      </x:c>
      <x:c r="F4061" s="2" t="str">
        <x:v>Voluntary non-profit</x:v>
      </x:c>
      <x:c r="G4061" s="2" t="str">
        <x:v>Small (&lt;100 beds)</x:v>
      </x:c>
      <x:c r="H4061" s="7"/>
      <x:c r="I4061" s="7"/>
      <x:c r="J4061" s="7"/>
      <x:c r="K4061" s="8" t="n">
        <x:v>25</x:v>
      </x:c>
      <x:c r="L4061" s="8" t="n">
        <x:v>359</x:v>
      </x:c>
      <x:c r="M4061" s="9" t="n">
        <x:v>0.5256986301</x:v>
      </x:c>
      <x:c r="N4061" s="10" t="n">
        <x:v>76366.6490250696</x:v>
      </x:c>
      <x:c r="O4061" s="9" t="n">
        <x:v>0.2517338689</x:v>
      </x:c>
      <x:c r="P4061" s="9" t="n">
        <x:v>0.1769516729</x:v>
      </x:c>
      <x:c r="Q4061" s="9" t="n">
        <x:v>0.292936803</x:v>
      </x:c>
      <x:c r="R4061" s="3" t="b">
        <x:v>0</x:v>
      </x:c>
      <x:c r="S4061" s="3" t="b">
        <x:v>0</x:v>
      </x:c>
      <x:c r="T4061" s="3" t="b">
        <x:v>0</x:v>
      </x:c>
      <x:c r="U4061" s="2" t="str">
        <x:f>IF(T4061=TRUE,"Priority review",IF(R4061=TRUE,"High cost",IF(S4061=TRUE,"Low quality","Benchmark")))</x:f>
        <x:v>Benchmark</x:v>
      </x:c>
    </x:row>
    <x:row r="4062">
      <x:c r="A4062" s="2" t="str">
        <x:v>010100</x:v>
      </x:c>
      <x:c r="B4062" s="2" t="str">
        <x:v>THOMAS HOSPITAL</x:v>
      </x:c>
      <x:c r="C4062" s="2" t="str">
        <x:v>FAIRHOPE</x:v>
      </x:c>
      <x:c r="D4062" s="2" t="str">
        <x:v>AL</x:v>
      </x:c>
      <x:c r="E4062" s="2" t="str">
        <x:v>Acute Care Hospitals</x:v>
      </x:c>
      <x:c r="F4062" s="2" t="str">
        <x:v>Voluntary non-profit</x:v>
      </x:c>
      <x:c r="G4062" s="2" t="str">
        <x:v>Medium (100-299 beds)</x:v>
      </x:c>
      <x:c r="H4062" s="7" t="n">
        <x:v>2</x:v>
      </x:c>
      <x:c r="I4062" s="7" t="n">
        <x:v>3</x:v>
      </x:c>
      <x:c r="J4062" s="7" t="n">
        <x:v>0.93</x:v>
      </x:c>
      <x:c r="K4062" s="8" t="n">
        <x:v>169</x:v>
      </x:c>
      <x:c r="L4062" s="8" t="n">
        <x:v>11198</x:v>
      </x:c>
      <x:c r="M4062" s="9" t="n">
        <x:v>0.8811218286</x:v>
      </x:c>
      <x:c r="N4062" s="10" t="n">
        <x:v>22840.694945526</x:v>
      </x:c>
      <x:c r="O4062" s="9" t="n">
        <x:v>0.0485578254</x:v>
      </x:c>
      <x:c r="P4062" s="9" t="n">
        <x:v>0.1768541157</x:v>
      </x:c>
      <x:c r="Q4062" s="9" t="n">
        <x:v>0.0782396088</x:v>
      </x:c>
      <x:c r="R4062" s="3" t="b">
        <x:v>0</x:v>
      </x:c>
      <x:c r="S4062" s="3" t="b">
        <x:v>1</x:v>
      </x:c>
      <x:c r="T4062" s="3" t="b">
        <x:v>0</x:v>
      </x:c>
      <x:c r="U4062" s="2" t="str">
        <x:f>IF(T4062=TRUE,"Priority review",IF(R4062=TRUE,"High cost",IF(S4062=TRUE,"Low quality","Benchmark")))</x:f>
        <x:v>Low quality</x:v>
      </x:c>
    </x:row>
    <x:row r="4063">
      <x:c r="A4063" s="2" t="str">
        <x:v>440187</x:v>
      </x:c>
      <x:c r="B4063" s="2" t="str">
        <x:v>LIVINGSTON REGIONAL HOSPITAL</x:v>
      </x:c>
      <x:c r="C4063" s="2" t="str">
        <x:v>LIVINGSTON</x:v>
      </x:c>
      <x:c r="D4063" s="2" t="str">
        <x:v>TN</x:v>
      </x:c>
      <x:c r="E4063" s="2" t="str">
        <x:v>Acute Care Hospitals</x:v>
      </x:c>
      <x:c r="F4063" s="2" t="str">
        <x:v>Proprietary</x:v>
      </x:c>
      <x:c r="G4063" s="2" t="str">
        <x:v>Small (&lt;100 beds)</x:v>
      </x:c>
      <x:c r="H4063" s="7" t="n">
        <x:v>2</x:v>
      </x:c>
      <x:c r="I4063" s="7" t="n">
        <x:v>3</x:v>
      </x:c>
      <x:c r="J4063" s="7" t="n">
        <x:v>1.09</x:v>
      </x:c>
      <x:c r="K4063" s="8" t="n">
        <x:v>88</x:v>
      </x:c>
      <x:c r="L4063" s="8" t="n">
        <x:v>1508</x:v>
      </x:c>
      <x:c r="M4063" s="9" t="n">
        <x:v>0.2018057285</x:v>
      </x:c>
      <x:c r="N4063" s="10" t="n">
        <x:v>32311.5072944297</x:v>
      </x:c>
      <x:c r="O4063" s="9" t="n">
        <x:v>-0.0634872313</x:v>
      </x:c>
      <x:c r="P4063" s="9" t="n">
        <x:v>0.1768402154</x:v>
      </x:c>
      <x:c r="Q4063" s="9" t="n">
        <x:v>0.0350089767</x:v>
      </x:c>
      <x:c r="R4063" s="3" t="b">
        <x:v>0</x:v>
      </x:c>
      <x:c r="S4063" s="3" t="b">
        <x:v>1</x:v>
      </x:c>
      <x:c r="T4063" s="3" t="b">
        <x:v>0</x:v>
      </x:c>
      <x:c r="U4063" s="2" t="str">
        <x:f>IF(T4063=TRUE,"Priority review",IF(R4063=TRUE,"High cost",IF(S4063=TRUE,"Low quality","Benchmark")))</x:f>
        <x:v>Low quality</x:v>
      </x:c>
    </x:row>
    <x:row r="4064">
      <x:c r="A4064" s="2" t="str">
        <x:v>230195</x:v>
      </x:c>
      <x:c r="B4064" s="2" t="str">
        <x:v>Henry Ford Health Warren Hospital</x:v>
      </x:c>
      <x:c r="C4064" s="2" t="str">
        <x:v>WARREN</x:v>
      </x:c>
      <x:c r="D4064" s="2" t="str">
        <x:v>MI</x:v>
      </x:c>
      <x:c r="E4064" s="2" t="str">
        <x:v>Acute Care Hospitals</x:v>
      </x:c>
      <x:c r="F4064" s="2" t="str">
        <x:v>Voluntary non-profit</x:v>
      </x:c>
      <x:c r="G4064" s="2" t="str">
        <x:v>Large (300+ beds)</x:v>
      </x:c>
      <x:c r="H4064" s="7" t="n">
        <x:v>1</x:v>
      </x:c>
      <x:c r="I4064" s="7" t="n">
        <x:v>2</x:v>
      </x:c>
      <x:c r="J4064" s="7" t="n">
        <x:v>0.99</x:v>
      </x:c>
      <x:c r="K4064" s="8" t="n">
        <x:v>395</x:v>
      </x:c>
      <x:c r="L4064" s="8" t="n">
        <x:v>19210</x:v>
      </x:c>
      <x:c r="M4064" s="9" t="n">
        <x:v>0.6826911739</x:v>
      </x:c>
      <x:c r="N4064" s="10" t="n">
        <x:v>26083.9687662676</x:v>
      </x:c>
      <x:c r="O4064" s="9" t="n">
        <x:v>-0.0196036605</x:v>
      </x:c>
      <x:c r="P4064" s="9" t="n">
        <x:v>0.1766561514</x:v>
      </x:c>
      <x:c r="Q4064" s="9" t="n">
        <x:v>0</x:v>
      </x:c>
      <x:c r="R4064" s="3" t="b">
        <x:v>0</x:v>
      </x:c>
      <x:c r="S4064" s="3" t="b">
        <x:v>1</x:v>
      </x:c>
      <x:c r="T4064" s="3" t="b">
        <x:v>0</x:v>
      </x:c>
      <x:c r="U4064" s="2" t="str">
        <x:f>IF(T4064=TRUE,"Priority review",IF(R4064=TRUE,"High cost",IF(S4064=TRUE,"Low quality","Benchmark")))</x:f>
        <x:v>Low quality</x:v>
      </x:c>
    </x:row>
    <x:row r="4065">
      <x:c r="A4065" s="2" t="str">
        <x:v>331302</x:v>
      </x:c>
      <x:c r="B4065" s="2" t="str">
        <x:v>ELIZABETHTOWN COMMUNITY HOSPITAL</x:v>
      </x:c>
      <x:c r="C4065" s="2" t="str">
        <x:v>ELIZABETHTOWN</x:v>
      </x:c>
      <x:c r="D4065" s="2" t="str">
        <x:v>NY</x:v>
      </x:c>
      <x:c r="E4065" s="2" t="str">
        <x:v>Critical Access Hospitals</x:v>
      </x:c>
      <x:c r="F4065" s="2" t="str">
        <x:v>Voluntary non-profit</x:v>
      </x:c>
      <x:c r="G4065" s="2" t="str">
        <x:v>Small (&lt;100 beds)</x:v>
      </x:c>
      <x:c r="H4065" s="7" t="n">
        <x:v>4</x:v>
      </x:c>
      <x:c r="I4065" s="7"/>
      <x:c r="J4065" s="7"/>
      <x:c r="K4065" s="8" t="n">
        <x:v>25</x:v>
      </x:c>
      <x:c r="L4065" s="8" t="n">
        <x:v>829</x:v>
      </x:c>
      <x:c r="M4065" s="9" t="n">
        <x:v>0.5170491803</x:v>
      </x:c>
      <x:c r="N4065" s="10" t="n">
        <x:v>76244.9951749095</x:v>
      </x:c>
      <x:c r="O4065" s="9" t="n">
        <x:v>0.1719131148</x:v>
      </x:c>
      <x:c r="P4065" s="9" t="n">
        <x:v>0.1762081784</x:v>
      </x:c>
      <x:c r="Q4065" s="9" t="n">
        <x:v>0.1657992565</x:v>
      </x:c>
      <x:c r="R4065" s="3" t="b">
        <x:v>0</x:v>
      </x:c>
      <x:c r="S4065" s="3" t="b">
        <x:v>0</x:v>
      </x:c>
      <x:c r="T4065" s="3" t="b">
        <x:v>0</x:v>
      </x:c>
      <x:c r="U4065" s="2" t="str">
        <x:f>IF(T4065=TRUE,"Priority review",IF(R4065=TRUE,"High cost",IF(S4065=TRUE,"Low quality","Benchmark")))</x:f>
        <x:v>Benchmark</x:v>
      </x:c>
    </x:row>
    <x:row r="4066">
      <x:c r="A4066" s="2" t="str">
        <x:v>290047</x:v>
      </x:c>
      <x:c r="B4066" s="2" t="str">
        <x:v>SOUTHERN HILLS HOSPITAL AND MEDICAL CENTER</x:v>
      </x:c>
      <x:c r="C4066" s="2" t="str">
        <x:v>LAS VEGAS</x:v>
      </x:c>
      <x:c r="D4066" s="2" t="str">
        <x:v>NV</x:v>
      </x:c>
      <x:c r="E4066" s="2" t="str">
        <x:v>Acute Care Hospitals</x:v>
      </x:c>
      <x:c r="F4066" s="2" t="str">
        <x:v>Proprietary</x:v>
      </x:c>
      <x:c r="G4066" s="2" t="str">
        <x:v>Medium (100-299 beds)</x:v>
      </x:c>
      <x:c r="H4066" s="7" t="n">
        <x:v>4</x:v>
      </x:c>
      <x:c r="I4066" s="7" t="n">
        <x:v>3</x:v>
      </x:c>
      <x:c r="J4066" s="7" t="n">
        <x:v>1.09</x:v>
      </x:c>
      <x:c r="K4066" s="8" t="n">
        <x:v>231</x:v>
      </x:c>
      <x:c r="L4066" s="8" t="n">
        <x:v>15867</x:v>
      </x:c>
      <x:c r="M4066" s="9" t="n">
        <x:v>0.7882930714</x:v>
      </x:c>
      <x:c r="N4066" s="10" t="n">
        <x:v>22805.9483204134</x:v>
      </x:c>
      <x:c r="O4066" s="9" t="n">
        <x:v>0.2197473898</x:v>
      </x:c>
      <x:c r="P4066" s="9" t="n">
        <x:v>0.1760391198</x:v>
      </x:c>
      <x:c r="Q4066" s="9" t="n">
        <x:v>0.6022819886</x:v>
      </x:c>
      <x:c r="R4066" s="3" t="b">
        <x:v>0</x:v>
      </x:c>
      <x:c r="S4066" s="3" t="b">
        <x:v>0</x:v>
      </x:c>
      <x:c r="T4066" s="3" t="b">
        <x:v>0</x:v>
      </x:c>
      <x:c r="U4066" s="2" t="str">
        <x:f>IF(T4066=TRUE,"Priority review",IF(R4066=TRUE,"High cost",IF(S4066=TRUE,"Low quality","Benchmark")))</x:f>
        <x:v>Benchmark</x:v>
      </x:c>
    </x:row>
    <x:row r="4067">
      <x:c r="A4067" s="2" t="str">
        <x:v>010073</x:v>
      </x:c>
      <x:c r="B4067" s="2" t="str">
        <x:v>CLAY COUNTY HOSPITAL</x:v>
      </x:c>
      <x:c r="C4067" s="2" t="str">
        <x:v>ASHLAND</x:v>
      </x:c>
      <x:c r="D4067" s="2" t="str">
        <x:v>AL</x:v>
      </x:c>
      <x:c r="E4067" s="2" t="str">
        <x:v>Acute Care Hospitals</x:v>
      </x:c>
      <x:c r="F4067" s="2" t="str">
        <x:v>Government</x:v>
      </x:c>
      <x:c r="G4067" s="2" t="str">
        <x:v>Small (&lt;100 beds)</x:v>
      </x:c>
      <x:c r="H4067" s="7"/>
      <x:c r="I4067" s="7"/>
      <x:c r="J4067" s="7" t="n">
        <x:v>1.04</x:v>
      </x:c>
      <x:c r="K4067" s="8" t="n">
        <x:v>46</x:v>
      </x:c>
      <x:c r="L4067" s="8" t="n">
        <x:v>665</x:v>
      </x:c>
      <x:c r="M4067" s="9" t="n">
        <x:v>0.2261225944</x:v>
      </x:c>
      <x:c r="N4067" s="10" t="n">
        <x:v>32301.8556390977</x:v>
      </x:c>
      <x:c r="O4067" s="9" t="n">
        <x:v>-0.1058557644</x:v>
      </x:c>
      <x:c r="P4067" s="9" t="n">
        <x:v>0.1759425494</x:v>
      </x:c>
      <x:c r="Q4067" s="9" t="n">
        <x:v>0.697486535</x:v>
      </x:c>
      <x:c r="R4067" s="3" t="b">
        <x:v>0</x:v>
      </x:c>
      <x:c r="S4067" s="3" t="b">
        <x:v>0</x:v>
      </x:c>
      <x:c r="T4067" s="3" t="b">
        <x:v>0</x:v>
      </x:c>
      <x:c r="U4067" s="2" t="str">
        <x:f>IF(T4067=TRUE,"Priority review",IF(R4067=TRUE,"High cost",IF(S4067=TRUE,"Low quality","Benchmark")))</x:f>
        <x:v>Benchmark</x:v>
      </x:c>
    </x:row>
    <x:row r="4068">
      <x:c r="A4068" s="2" t="str">
        <x:v>161302</x:v>
      </x:c>
      <x:c r="B4068" s="2" t="str">
        <x:v>IOWA SPECIALTY HOSPITAL - CLARION</x:v>
      </x:c>
      <x:c r="C4068" s="2" t="str">
        <x:v>CLARION</x:v>
      </x:c>
      <x:c r="D4068" s="2" t="str">
        <x:v>IA</x:v>
      </x:c>
      <x:c r="E4068" s="2" t="str">
        <x:v>Critical Access Hospitals</x:v>
      </x:c>
      <x:c r="F4068" s="2" t="str">
        <x:v>Government</x:v>
      </x:c>
      <x:c r="G4068" s="2" t="str">
        <x:v>Small (&lt;100 beds)</x:v>
      </x:c>
      <x:c r="H4068" s="7"/>
      <x:c r="I4068" s="7" t="n">
        <x:v>4</x:v>
      </x:c>
      <x:c r="J4068" s="7"/>
      <x:c r="K4068" s="8" t="n">
        <x:v>25</x:v>
      </x:c>
      <x:c r="L4068" s="8" t="n">
        <x:v>1254</x:v>
      </x:c>
      <x:c r="M4068" s="9" t="n">
        <x:v>0.4716712329</x:v>
      </x:c>
      <x:c r="N4068" s="10" t="n">
        <x:v>76062.3452950558</x:v>
      </x:c>
      <x:c r="O4068" s="9" t="n">
        <x:v>0.0336645029</x:v>
      </x:c>
      <x:c r="P4068" s="9" t="n">
        <x:v>0.175464684</x:v>
      </x:c>
      <x:c r="Q4068" s="9" t="n">
        <x:v>0.292936803</x:v>
      </x:c>
      <x:c r="R4068" s="3" t="b">
        <x:v>0</x:v>
      </x:c>
      <x:c r="S4068" s="3" t="b">
        <x:v>0</x:v>
      </x:c>
      <x:c r="T4068" s="3" t="b">
        <x:v>0</x:v>
      </x:c>
      <x:c r="U4068" s="2" t="str">
        <x:f>IF(T4068=TRUE,"Priority review",IF(R4068=TRUE,"High cost",IF(S4068=TRUE,"Low quality","Benchmark")))</x:f>
        <x:v>Benchmark</x:v>
      </x:c>
    </x:row>
    <x:row r="4069">
      <x:c r="A4069" s="2" t="str">
        <x:v>010024</x:v>
      </x:c>
      <x:c r="B4069" s="2" t="str">
        <x:v>JACKSON HOSPITAL &amp; CLINIC INC</x:v>
      </x:c>
      <x:c r="C4069" s="2" t="str">
        <x:v>MONTGOMERY</x:v>
      </x:c>
      <x:c r="D4069" s="2" t="str">
        <x:v>AL</x:v>
      </x:c>
      <x:c r="E4069" s="2" t="str">
        <x:v>Acute Care Hospitals</x:v>
      </x:c>
      <x:c r="F4069" s="2" t="str">
        <x:v>Voluntary non-profit</x:v>
      </x:c>
      <x:c r="G4069" s="2" t="str">
        <x:v>Medium (100-299 beds)</x:v>
      </x:c>
      <x:c r="H4069" s="7" t="n">
        <x:v>2</x:v>
      </x:c>
      <x:c r="I4069" s="7" t="n">
        <x:v>3</x:v>
      </x:c>
      <x:c r="J4069" s="7" t="n">
        <x:v>1.02</x:v>
      </x:c>
      <x:c r="K4069" s="8" t="n">
        <x:v>278</x:v>
      </x:c>
      <x:c r="L4069" s="8" t="n">
        <x:v>13824</x:v>
      </x:c>
      <x:c r="M4069" s="9" t="n">
        <x:v>0.5671167984</x:v>
      </x:c>
      <x:c r="N4069" s="10" t="n">
        <x:v>22782.3773871528</x:v>
      </x:c>
      <x:c r="O4069" s="9" t="n">
        <x:v>-0.4229872557</x:v>
      </x:c>
      <x:c r="P4069" s="9" t="n">
        <x:v>0.1752241239</x:v>
      </x:c>
      <x:c r="Q4069" s="9" t="n">
        <x:v>0.0782396088</x:v>
      </x:c>
      <x:c r="R4069" s="3" t="b">
        <x:v>0</x:v>
      </x:c>
      <x:c r="S4069" s="3" t="b">
        <x:v>1</x:v>
      </x:c>
      <x:c r="T4069" s="3" t="b">
        <x:v>0</x:v>
      </x:c>
      <x:c r="U4069" s="2" t="str">
        <x:f>IF(T4069=TRUE,"Priority review",IF(R4069=TRUE,"High cost",IF(S4069=TRUE,"Low quality","Benchmark")))</x:f>
        <x:v>Low quality</x:v>
      </x:c>
    </x:row>
    <x:row r="4070">
      <x:c r="A4070" s="2" t="str">
        <x:v>420079</x:v>
      </x:c>
      <x:c r="B4070" s="2" t="str">
        <x:v>TRIDENT MEDICAL CENTER</x:v>
      </x:c>
      <x:c r="C4070" s="2" t="str">
        <x:v>CHARLESTON</x:v>
      </x:c>
      <x:c r="D4070" s="2" t="str">
        <x:v>SC</x:v>
      </x:c>
      <x:c r="E4070" s="2" t="str">
        <x:v>Acute Care Hospitals</x:v>
      </x:c>
      <x:c r="F4070" s="2" t="str">
        <x:v>Proprietary</x:v>
      </x:c>
      <x:c r="G4070" s="2" t="str">
        <x:v>Large (300+ beds)</x:v>
      </x:c>
      <x:c r="H4070" s="7" t="n">
        <x:v>3</x:v>
      </x:c>
      <x:c r="I4070" s="7" t="n">
        <x:v>3</x:v>
      </x:c>
      <x:c r="J4070" s="7" t="n">
        <x:v>1.01</x:v>
      </x:c>
      <x:c r="K4070" s="8" t="n">
        <x:v>395</x:v>
      </x:c>
      <x:c r="L4070" s="8" t="n">
        <x:v>25149</x:v>
      </x:c>
      <x:c r="M4070" s="9" t="n">
        <x:v>0.8395816986</x:v>
      </x:c>
      <x:c r="N4070" s="10" t="n">
        <x:v>25997.8964173526</x:v>
      </x:c>
      <x:c r="O4070" s="9" t="n">
        <x:v>0.2851354956</x:v>
      </x:c>
      <x:c r="P4070" s="9" t="n">
        <x:v>0.1750788644</x:v>
      </x:c>
      <x:c r="Q4070" s="9" t="n">
        <x:v>0.2570977918</x:v>
      </x:c>
      <x:c r="R4070" s="3" t="b">
        <x:v>0</x:v>
      </x:c>
      <x:c r="S4070" s="3" t="b">
        <x:v>0</x:v>
      </x:c>
      <x:c r="T4070" s="3" t="b">
        <x:v>0</x:v>
      </x:c>
      <x:c r="U4070" s="2" t="str">
        <x:f>IF(T4070=TRUE,"Priority review",IF(R4070=TRUE,"High cost",IF(S4070=TRUE,"Low quality","Benchmark")))</x:f>
        <x:v>Benchmark</x:v>
      </x:c>
    </x:row>
    <x:row r="4071">
      <x:c r="A4071" s="2" t="str">
        <x:v>370006</x:v>
      </x:c>
      <x:c r="B4071" s="2" t="str">
        <x:v>INTEGRIS HEALTH PONCA CITY</x:v>
      </x:c>
      <x:c r="C4071" s="2" t="str">
        <x:v>PONCA CITY</x:v>
      </x:c>
      <x:c r="D4071" s="2" t="str">
        <x:v>OK</x:v>
      </x:c>
      <x:c r="E4071" s="2" t="str">
        <x:v>Acute Care Hospitals</x:v>
      </x:c>
      <x:c r="F4071" s="2" t="str">
        <x:v>Voluntary non-profit</x:v>
      </x:c>
      <x:c r="G4071" s="2" t="str">
        <x:v>Small (&lt;100 beds)</x:v>
      </x:c>
      <x:c r="H4071" s="7" t="n">
        <x:v>2</x:v>
      </x:c>
      <x:c r="I4071" s="7" t="n">
        <x:v>3</x:v>
      </x:c>
      <x:c r="J4071" s="7" t="n">
        <x:v>1</x:v>
      </x:c>
      <x:c r="K4071" s="8" t="n">
        <x:v>47</x:v>
      </x:c>
      <x:c r="L4071" s="8" t="n">
        <x:v>1847</x:v>
      </x:c>
      <x:c r="M4071" s="9" t="n">
        <x:v>0.37831536</x:v>
      </x:c>
      <x:c r="N4071" s="10" t="n">
        <x:v>32268.0151597185</x:v>
      </x:c>
      <x:c r="O4071" s="9" t="n">
        <x:v>-0.0994807064</x:v>
      </x:c>
      <x:c r="P4071" s="9" t="n">
        <x:v>0.1750448833</x:v>
      </x:c>
      <x:c r="Q4071" s="9" t="n">
        <x:v>0.0350089767</x:v>
      </x:c>
      <x:c r="R4071" s="3" t="b">
        <x:v>0</x:v>
      </x:c>
      <x:c r="S4071" s="3" t="b">
        <x:v>1</x:v>
      </x:c>
      <x:c r="T4071" s="3" t="b">
        <x:v>0</x:v>
      </x:c>
      <x:c r="U4071" s="2" t="str">
        <x:f>IF(T4071=TRUE,"Priority review",IF(R4071=TRUE,"High cost",IF(S4071=TRUE,"Low quality","Benchmark")))</x:f>
        <x:v>Low quality</x:v>
      </x:c>
    </x:row>
    <x:row r="4072">
      <x:c r="A4072" s="2" t="str">
        <x:v>104057</x:v>
      </x:c>
      <x:c r="B4072" s="2" t="str">
        <x:v>SPRINGBROOK HOSPITAL</x:v>
      </x:c>
      <x:c r="C4072" s="2" t="str">
        <x:v>BROOKSVILLE</x:v>
      </x:c>
      <x:c r="D4072" s="2" t="str">
        <x:v>FL</x:v>
      </x:c>
      <x:c r="E4072" s="2" t="str">
        <x:v>Psychiatric</x:v>
      </x:c>
      <x:c r="F4072" s="2" t="str">
        <x:v>Voluntary non-profit</x:v>
      </x:c>
      <x:c r="G4072" s="2" t="str">
        <x:v>Small (&lt;100 beds)</x:v>
      </x:c>
      <x:c r="H4072" s="7"/>
      <x:c r="I4072" s="7"/>
      <x:c r="J4072" s="7"/>
      <x:c r="K4072" s="8" t="n">
        <x:v>66</x:v>
      </x:c>
      <x:c r="L4072" s="8" t="n">
        <x:v>1973</x:v>
      </x:c>
      <x:c r="M4072" s="9" t="n">
        <x:v>0.7807998013</x:v>
      </x:c>
      <x:c r="N4072" s="10" t="n">
        <x:v>7545.0922453117</x:v>
      </x:c>
      <x:c r="O4072" s="9" t="n">
        <x:v>-0.089091727</x:v>
      </x:c>
      <x:c r="P4072" s="9" t="n">
        <x:v>0.1747572816</x:v>
      </x:c>
      <x:c r="Q4072" s="9" t="n">
        <x:v>0</x:v>
      </x:c>
      <x:c r="R4072" s="3" t="b">
        <x:v>0</x:v>
      </x:c>
      <x:c r="S4072" s="3" t="b">
        <x:v>0</x:v>
      </x:c>
      <x:c r="T4072" s="3" t="b">
        <x:v>0</x:v>
      </x:c>
      <x:c r="U4072" s="2" t="str">
        <x:f>IF(T4072=TRUE,"Priority review",IF(R4072=TRUE,"High cost",IF(S4072=TRUE,"Low quality","Benchmark")))</x:f>
        <x:v>Benchmark</x:v>
      </x:c>
    </x:row>
    <x:row r="4073">
      <x:c r="A4073" s="2" t="str">
        <x:v>431330</x:v>
      </x:c>
      <x:c r="B4073" s="2" t="str">
        <x:v>AVERA ST BENEDICT HEALTH CENTER - CAH</x:v>
      </x:c>
      <x:c r="C4073" s="2" t="str">
        <x:v>PARKSTON</x:v>
      </x:c>
      <x:c r="D4073" s="2" t="str">
        <x:v>SD</x:v>
      </x:c>
      <x:c r="E4073" s="2" t="str">
        <x:v>Critical Access Hospitals</x:v>
      </x:c>
      <x:c r="F4073" s="2" t="str">
        <x:v>Voluntary non-profit</x:v>
      </x:c>
      <x:c r="G4073" s="2" t="str">
        <x:v>Small (&lt;100 beds)</x:v>
      </x:c>
      <x:c r="H4073" s="7" t="n">
        <x:v>5</x:v>
      </x:c>
      <x:c r="I4073" s="7"/>
      <x:c r="J4073" s="7"/>
      <x:c r="K4073" s="8" t="n">
        <x:v>25</x:v>
      </x:c>
      <x:c r="L4073" s="8" t="n">
        <x:v>351</x:v>
      </x:c>
      <x:c r="M4073" s="9" t="n">
        <x:v>0.3046575342</x:v>
      </x:c>
      <x:c r="N4073" s="10" t="n">
        <x:v>75813.5071225071</x:v>
      </x:c>
      <x:c r="O4073" s="9" t="n">
        <x:v>0.1372347578</x:v>
      </x:c>
      <x:c r="P4073" s="9" t="n">
        <x:v>0.1747211896</x:v>
      </x:c>
      <x:c r="Q4073" s="9" t="n">
        <x:v>0.2602230483</x:v>
      </x:c>
      <x:c r="R4073" s="3" t="b">
        <x:v>0</x:v>
      </x:c>
      <x:c r="S4073" s="3" t="b">
        <x:v>0</x:v>
      </x:c>
      <x:c r="T4073" s="3" t="b">
        <x:v>0</x:v>
      </x:c>
      <x:c r="U4073" s="2" t="str">
        <x:f>IF(T4073=TRUE,"Priority review",IF(R4073=TRUE,"High cost",IF(S4073=TRUE,"Low quality","Benchmark")))</x:f>
        <x:v>Benchmark</x:v>
      </x:c>
    </x:row>
    <x:row r="4074">
      <x:c r="A4074" s="2" t="str">
        <x:v>040010</x:v>
      </x:c>
      <x:c r="B4074" s="2" t="str">
        <x:v>MERCY HOSPITAL NORTHWEST ARKANSAS</x:v>
      </x:c>
      <x:c r="C4074" s="2" t="str">
        <x:v>ROGERS</x:v>
      </x:c>
      <x:c r="D4074" s="2" t="str">
        <x:v>AR</x:v>
      </x:c>
      <x:c r="E4074" s="2" t="str">
        <x:v>Acute Care Hospitals</x:v>
      </x:c>
      <x:c r="F4074" s="2" t="str">
        <x:v>Voluntary non-profit</x:v>
      </x:c>
      <x:c r="G4074" s="2" t="str">
        <x:v>Medium (100-299 beds)</x:v>
      </x:c>
      <x:c r="H4074" s="7" t="n">
        <x:v>5</x:v>
      </x:c>
      <x:c r="I4074" s="7" t="n">
        <x:v>3</x:v>
      </x:c>
      <x:c r="J4074" s="7" t="n">
        <x:v>1.02</x:v>
      </x:c>
      <x:c r="K4074" s="8" t="n">
        <x:v>263</x:v>
      </x:c>
      <x:c r="L4074" s="8" t="n">
        <x:v>18427</x:v>
      </x:c>
      <x:c r="M4074" s="9" t="n">
        <x:v>0.6615969582</x:v>
      </x:c>
      <x:c r="N4074" s="10" t="n">
        <x:v>22731.3715743203</x:v>
      </x:c>
      <x:c r="O4074" s="9" t="n">
        <x:v>0.0379056254</x:v>
      </x:c>
      <x:c r="P4074" s="9" t="n">
        <x:v>0.174409128</x:v>
      </x:c>
      <x:c r="Q4074" s="9" t="n">
        <x:v>0.8744906275</x:v>
      </x:c>
      <x:c r="R4074" s="3" t="b">
        <x:v>0</x:v>
      </x:c>
      <x:c r="S4074" s="3" t="b">
        <x:v>0</x:v>
      </x:c>
      <x:c r="T4074" s="3" t="b">
        <x:v>0</x:v>
      </x:c>
      <x:c r="U4074" s="2" t="str">
        <x:f>IF(T4074=TRUE,"Priority review",IF(R4074=TRUE,"High cost",IF(S4074=TRUE,"Low quality","Benchmark")))</x:f>
        <x:v>Benchmark</x:v>
      </x:c>
    </x:row>
    <x:row r="4075">
      <x:c r="A4075" s="2" t="str">
        <x:v>150149</x:v>
      </x:c>
      <x:c r="B4075" s="2" t="str">
        <x:v>THE WOMEN'S HOSPITAL</x:v>
      </x:c>
      <x:c r="C4075" s="2" t="str">
        <x:v>NEWBURGH</x:v>
      </x:c>
      <x:c r="D4075" s="2" t="str">
        <x:v>IN</x:v>
      </x:c>
      <x:c r="E4075" s="2" t="str">
        <x:v>Acute Care Hospitals</x:v>
      </x:c>
      <x:c r="F4075" s="2" t="str">
        <x:v>Proprietary</x:v>
      </x:c>
      <x:c r="G4075" s="2" t="str">
        <x:v>Small (&lt;100 beds)</x:v>
      </x:c>
      <x:c r="H4075" s="7" t="n">
        <x:v>5</x:v>
      </x:c>
      <x:c r="I4075" s="7" t="n">
        <x:v>4</x:v>
      </x:c>
      <x:c r="J4075" s="7"/>
      <x:c r="K4075" s="8" t="n">
        <x:v>74</x:v>
      </x:c>
      <x:c r="L4075" s="8" t="n">
        <x:v>3841</x:v>
      </x:c>
      <x:c r="M4075" s="9" t="n">
        <x:v>0.8723969872</x:v>
      </x:c>
      <x:c r="N4075" s="10" t="n">
        <x:v>32230.1952616506</x:v>
      </x:c>
      <x:c r="O4075" s="9" t="n">
        <x:v>0.0958343694</x:v>
      </x:c>
      <x:c r="P4075" s="9" t="n">
        <x:v>0.1741472172</x:v>
      </x:c>
      <x:c r="Q4075" s="9" t="n">
        <x:v>0.6131059246</x:v>
      </x:c>
      <x:c r="R4075" s="3" t="b">
        <x:v>0</x:v>
      </x:c>
      <x:c r="S4075" s="3" t="b">
        <x:v>0</x:v>
      </x:c>
      <x:c r="T4075" s="3" t="b">
        <x:v>0</x:v>
      </x:c>
      <x:c r="U4075" s="2" t="str">
        <x:f>IF(T4075=TRUE,"Priority review",IF(R4075=TRUE,"High cost",IF(S4075=TRUE,"Low quality","Benchmark")))</x:f>
        <x:v>Benchmark</x:v>
      </x:c>
    </x:row>
    <x:row r="4076">
      <x:c r="A4076" s="2" t="str">
        <x:v>114032</x:v>
      </x:c>
      <x:c r="B4076" s="2" t="str">
        <x:v>SO CRESCENT BEH HLTH SYS - ANCHOR HOSPITAL CAMPUS</x:v>
      </x:c>
      <x:c r="C4076" s="2" t="str">
        <x:v>COLLEGE PARK</x:v>
      </x:c>
      <x:c r="D4076" s="2" t="str">
        <x:v>GA</x:v>
      </x:c>
      <x:c r="E4076" s="2" t="str">
        <x:v>Psychiatric</x:v>
      </x:c>
      <x:c r="F4076" s="2" t="str">
        <x:v>Government</x:v>
      </x:c>
      <x:c r="G4076" s="2" t="str">
        <x:v>Medium (100-299 beds)</x:v>
      </x:c>
      <x:c r="H4076" s="7"/>
      <x:c r="I4076" s="7"/>
      <x:c r="J4076" s="7"/>
      <x:c r="K4076" s="8" t="n">
        <x:v>122</x:v>
      </x:c>
      <x:c r="L4076" s="8" t="n">
        <x:v>4128</x:v>
      </x:c>
      <x:c r="M4076" s="9" t="n">
        <x:v>0.740952253</x:v>
      </x:c>
      <x:c r="N4076" s="10" t="n">
        <x:v>6391.6753875969</x:v>
      </x:c>
      <x:c r="O4076" s="9" t="n">
        <x:v>0.0065709799</x:v>
      </x:c>
      <x:c r="P4076" s="9" t="n">
        <x:v>0.1741293532</x:v>
      </x:c>
      <x:c r="Q4076" s="9" t="n">
        <x:v>0</x:v>
      </x:c>
      <x:c r="R4076" s="3" t="b">
        <x:v>0</x:v>
      </x:c>
      <x:c r="S4076" s="3" t="b">
        <x:v>0</x:v>
      </x:c>
      <x:c r="T4076" s="3" t="b">
        <x:v>0</x:v>
      </x:c>
      <x:c r="U4076" s="2" t="str">
        <x:f>IF(T4076=TRUE,"Priority review",IF(R4076=TRUE,"High cost",IF(S4076=TRUE,"Low quality","Benchmark")))</x:f>
        <x:v>Benchmark</x:v>
      </x:c>
    </x:row>
    <x:row r="4077">
      <x:c r="A4077" s="2" t="str">
        <x:v>391305</x:v>
      </x:c>
      <x:c r="B4077" s="2" t="str">
        <x:v>TROY COMMUNITY HOSPITAL</x:v>
      </x:c>
      <x:c r="C4077" s="2" t="str">
        <x:v>TROY</x:v>
      </x:c>
      <x:c r="D4077" s="2" t="str">
        <x:v>PA</x:v>
      </x:c>
      <x:c r="E4077" s="2" t="str">
        <x:v>Critical Access Hospitals</x:v>
      </x:c>
      <x:c r="F4077" s="2" t="str">
        <x:v>Voluntary non-profit</x:v>
      </x:c>
      <x:c r="G4077" s="2" t="str">
        <x:v>Small (&lt;100 beds)</x:v>
      </x:c>
      <x:c r="H4077" s="7" t="n">
        <x:v>4</x:v>
      </x:c>
      <x:c r="I4077" s="7"/>
      <x:c r="J4077" s="7"/>
      <x:c r="K4077" s="8" t="n">
        <x:v>25</x:v>
      </x:c>
      <x:c r="L4077" s="8" t="n">
        <x:v>416</x:v>
      </x:c>
      <x:c r="M4077" s="9" t="n">
        <x:v>0.7296438356</x:v>
      </x:c>
      <x:c r="N4077" s="10" t="n">
        <x:v>75781.1754807692</x:v>
      </x:c>
      <x:c r="O4077" s="9" t="n">
        <x:v>0.1280643624</x:v>
      </x:c>
      <x:c r="P4077" s="9" t="n">
        <x:v>0.1739776952</x:v>
      </x:c>
      <x:c r="Q4077" s="9" t="n">
        <x:v>0.1657992565</x:v>
      </x:c>
      <x:c r="R4077" s="3" t="b">
        <x:v>0</x:v>
      </x:c>
      <x:c r="S4077" s="3" t="b">
        <x:v>0</x:v>
      </x:c>
      <x:c r="T4077" s="3" t="b">
        <x:v>0</x:v>
      </x:c>
      <x:c r="U4077" s="2" t="str">
        <x:f>IF(T4077=TRUE,"Priority review",IF(R4077=TRUE,"High cost",IF(S4077=TRUE,"Low quality","Benchmark")))</x:f>
        <x:v>Benchmark</x:v>
      </x:c>
    </x:row>
    <x:row r="4078">
      <x:c r="A4078" s="2" t="str">
        <x:v>460052</x:v>
      </x:c>
      <x:c r="B4078" s="2" t="str">
        <x:v>TIMPANOGOS REGIONAL HOSPITAL</x:v>
      </x:c>
      <x:c r="C4078" s="2" t="str">
        <x:v>OREM</x:v>
      </x:c>
      <x:c r="D4078" s="2" t="str">
        <x:v>UT</x:v>
      </x:c>
      <x:c r="E4078" s="2" t="str">
        <x:v>Acute Care Hospitals</x:v>
      </x:c>
      <x:c r="F4078" s="2" t="str">
        <x:v>Proprietary</x:v>
      </x:c>
      <x:c r="G4078" s="2" t="str">
        <x:v>Medium (100-299 beds)</x:v>
      </x:c>
      <x:c r="H4078" s="7" t="n">
        <x:v>4</x:v>
      </x:c>
      <x:c r="I4078" s="7" t="n">
        <x:v>3</x:v>
      </x:c>
      <x:c r="J4078" s="7" t="n">
        <x:v>1.08</x:v>
      </x:c>
      <x:c r="K4078" s="8" t="n">
        <x:v>117</x:v>
      </x:c>
      <x:c r="L4078" s="8" t="n">
        <x:v>4467</x:v>
      </x:c>
      <x:c r="M4078" s="9" t="n">
        <x:v>0.4005184251</x:v>
      </x:c>
      <x:c r="N4078" s="10" t="n">
        <x:v>22623.0467875532</x:v>
      </x:c>
      <x:c r="O4078" s="9" t="n">
        <x:v>0.4496306003</x:v>
      </x:c>
      <x:c r="P4078" s="9" t="n">
        <x:v>0.173594132</x:v>
      </x:c>
      <x:c r="Q4078" s="9" t="n">
        <x:v>0.6022819886</x:v>
      </x:c>
      <x:c r="R4078" s="3" t="b">
        <x:v>0</x:v>
      </x:c>
      <x:c r="S4078" s="3" t="b">
        <x:v>0</x:v>
      </x:c>
      <x:c r="T4078" s="3" t="b">
        <x:v>0</x:v>
      </x:c>
      <x:c r="U4078" s="2" t="str">
        <x:f>IF(T4078=TRUE,"Priority review",IF(R4078=TRUE,"High cost",IF(S4078=TRUE,"Low quality","Benchmark")))</x:f>
        <x:v>Benchmark</x:v>
      </x:c>
    </x:row>
    <x:row r="4079">
      <x:c r="A4079" s="2" t="str">
        <x:v>210004</x:v>
      </x:c>
      <x:c r="B4079" s="2" t="str">
        <x:v>HOLY CROSS HOSPITAL</x:v>
      </x:c>
      <x:c r="C4079" s="2" t="str">
        <x:v>SILVER SPRING</x:v>
      </x:c>
      <x:c r="D4079" s="2" t="str">
        <x:v>MD</x:v>
      </x:c>
      <x:c r="E4079" s="2" t="str">
        <x:v>Acute Care Hospitals</x:v>
      </x:c>
      <x:c r="F4079" s="2" t="str">
        <x:v>Voluntary non-profit</x:v>
      </x:c>
      <x:c r="G4079" s="2" t="str">
        <x:v>Large (300+ beds)</x:v>
      </x:c>
      <x:c r="H4079" s="7" t="n">
        <x:v>2</x:v>
      </x:c>
      <x:c r="I4079" s="7" t="n">
        <x:v>3</x:v>
      </x:c>
      <x:c r="J4079" s="7"/>
      <x:c r="K4079" s="8" t="n">
        <x:v>392</x:v>
      </x:c>
      <x:c r="L4079" s="8" t="n">
        <x:v>20479</x:v>
      </x:c>
      <x:c r="M4079" s="9" t="n">
        <x:v>0.8607771876</x:v>
      </x:c>
      <x:c r="N4079" s="10" t="n">
        <x:v>25913.0669954588</x:v>
      </x:c>
      <x:c r="O4079" s="9" t="n">
        <x:v>0.0845738247</x:v>
      </x:c>
      <x:c r="P4079" s="9" t="n">
        <x:v>0.1735015773</x:v>
      </x:c>
      <x:c r="Q4079" s="9" t="n">
        <x:v>0.0536277603</x:v>
      </x:c>
      <x:c r="R4079" s="3" t="b">
        <x:v>0</x:v>
      </x:c>
      <x:c r="S4079" s="3" t="b">
        <x:v>1</x:v>
      </x:c>
      <x:c r="T4079" s="3" t="b">
        <x:v>0</x:v>
      </x:c>
      <x:c r="U4079" s="2" t="str">
        <x:f>IF(T4079=TRUE,"Priority review",IF(R4079=TRUE,"High cost",IF(S4079=TRUE,"Low quality","Benchmark")))</x:f>
        <x:v>Low quality</x:v>
      </x:c>
    </x:row>
    <x:row r="4080">
      <x:c r="A4080" s="2" t="str">
        <x:v>010061</x:v>
      </x:c>
      <x:c r="B4080" s="2" t="str">
        <x:v>HIGHLANDS MEDICAL CENTER</x:v>
      </x:c>
      <x:c r="C4080" s="2" t="str">
        <x:v>SCOTTSBORO</x:v>
      </x:c>
      <x:c r="D4080" s="2" t="str">
        <x:v>AL</x:v>
      </x:c>
      <x:c r="E4080" s="2" t="str">
        <x:v>Acute Care Hospitals</x:v>
      </x:c>
      <x:c r="F4080" s="2" t="str">
        <x:v>Government</x:v>
      </x:c>
      <x:c r="G4080" s="2" t="str">
        <x:v>Small (&lt;100 beds)</x:v>
      </x:c>
      <x:c r="H4080" s="7" t="n">
        <x:v>3</x:v>
      </x:c>
      <x:c r="I4080" s="7" t="n">
        <x:v>4</x:v>
      </x:c>
      <x:c r="J4080" s="7" t="n">
        <x:v>0.94</x:v>
      </x:c>
      <x:c r="K4080" s="8" t="n">
        <x:v>45</x:v>
      </x:c>
      <x:c r="L4080" s="8" t="n">
        <x:v>2090</x:v>
      </x:c>
      <x:c r="M4080" s="9" t="n">
        <x:v>0.4424408015</x:v>
      </x:c>
      <x:c r="N4080" s="10" t="n">
        <x:v>32096.1636363636</x:v>
      </x:c>
      <x:c r="O4080" s="9" t="n">
        <x:v>-0.3190726261</x:v>
      </x:c>
      <x:c r="P4080" s="9" t="n">
        <x:v>0.1732495512</x:v>
      </x:c>
      <x:c r="Q4080" s="9" t="n">
        <x:v>0.1687612208</x:v>
      </x:c>
      <x:c r="R4080" s="3" t="b">
        <x:v>0</x:v>
      </x:c>
      <x:c r="S4080" s="3" t="b">
        <x:v>0</x:v>
      </x:c>
      <x:c r="T4080" s="3" t="b">
        <x:v>0</x:v>
      </x:c>
      <x:c r="U4080" s="2" t="str">
        <x:f>IF(T4080=TRUE,"Priority review",IF(R4080=TRUE,"High cost",IF(S4080=TRUE,"Low quality","Benchmark")))</x:f>
        <x:v>Benchmark</x:v>
      </x:c>
    </x:row>
    <x:row r="4081">
      <x:c r="A4081" s="2" t="str">
        <x:v>381318</x:v>
      </x:c>
      <x:c r="B4081" s="2" t="str">
        <x:v>PROVIDENCE HOOD RIVER MEMORIAL HOSPITAL</x:v>
      </x:c>
      <x:c r="C4081" s="2" t="str">
        <x:v>HOOD RIVER</x:v>
      </x:c>
      <x:c r="D4081" s="2" t="str">
        <x:v>OR</x:v>
      </x:c>
      <x:c r="E4081" s="2" t="str">
        <x:v>Critical Access Hospitals</x:v>
      </x:c>
      <x:c r="F4081" s="2" t="str">
        <x:v>Voluntary non-profit</x:v>
      </x:c>
      <x:c r="G4081" s="2" t="str">
        <x:v>Small (&lt;100 beds)</x:v>
      </x:c>
      <x:c r="H4081" s="7" t="n">
        <x:v>4</x:v>
      </x:c>
      <x:c r="I4081" s="7" t="n">
        <x:v>5</x:v>
      </x:c>
      <x:c r="J4081" s="7"/>
      <x:c r="K4081" s="8" t="n">
        <x:v>25</x:v>
      </x:c>
      <x:c r="L4081" s="8" t="n">
        <x:v>1629</x:v>
      </x:c>
      <x:c r="M4081" s="9" t="n">
        <x:v>0.5526775956</x:v>
      </x:c>
      <x:c r="N4081" s="10" t="n">
        <x:v>75701.2750153468</x:v>
      </x:c>
      <x:c r="O4081" s="9" t="n">
        <x:v>0.0909702158</x:v>
      </x:c>
      <x:c r="P4081" s="9" t="n">
        <x:v>0.1732342007</x:v>
      </x:c>
      <x:c r="Q4081" s="9" t="n">
        <x:v>0.1657992565</x:v>
      </x:c>
      <x:c r="R4081" s="3" t="b">
        <x:v>0</x:v>
      </x:c>
      <x:c r="S4081" s="3" t="b">
        <x:v>0</x:v>
      </x:c>
      <x:c r="T4081" s="3" t="b">
        <x:v>0</x:v>
      </x:c>
      <x:c r="U4081" s="2" t="str">
        <x:f>IF(T4081=TRUE,"Priority review",IF(R4081=TRUE,"High cost",IF(S4081=TRUE,"Low quality","Benchmark")))</x:f>
        <x:v>Benchmark</x:v>
      </x:c>
    </x:row>
    <x:row r="4082">
      <x:c r="A4082" s="2" t="str">
        <x:v>490020</x:v>
      </x:c>
      <x:c r="B4082" s="2" t="str">
        <x:v>JOHN RANDOLPH MEDICAL CENTER</x:v>
      </x:c>
      <x:c r="C4082" s="2" t="str">
        <x:v>HOPEWELL</x:v>
      </x:c>
      <x:c r="D4082" s="2" t="str">
        <x:v>VA</x:v>
      </x:c>
      <x:c r="E4082" s="2" t="str">
        <x:v>Acute Care Hospitals</x:v>
      </x:c>
      <x:c r="F4082" s="2" t="str">
        <x:v>Proprietary</x:v>
      </x:c>
      <x:c r="G4082" s="2" t="str">
        <x:v>Medium (100-299 beds)</x:v>
      </x:c>
      <x:c r="H4082" s="7" t="n">
        <x:v>3</x:v>
      </x:c>
      <x:c r="I4082" s="7" t="n">
        <x:v>3</x:v>
      </x:c>
      <x:c r="J4082" s="7" t="n">
        <x:v>1.05</x:v>
      </x:c>
      <x:c r="K4082" s="8" t="n">
        <x:v>107</x:v>
      </x:c>
      <x:c r="L4082" s="8" t="n">
        <x:v>4715</x:v>
      </x:c>
      <x:c r="M4082" s="9" t="n">
        <x:v>0.4337623206</x:v>
      </x:c>
      <x:c r="N4082" s="10" t="n">
        <x:v>22597.3751855779</x:v>
      </x:c>
      <x:c r="O4082" s="9" t="n">
        <x:v>0.3413529923</x:v>
      </x:c>
      <x:c r="P4082" s="9" t="n">
        <x:v>0.1727791361</x:v>
      </x:c>
      <x:c r="Q4082" s="9" t="n">
        <x:v>0.3023634882</x:v>
      </x:c>
      <x:c r="R4082" s="3" t="b">
        <x:v>0</x:v>
      </x:c>
      <x:c r="S4082" s="3" t="b">
        <x:v>0</x:v>
      </x:c>
      <x:c r="T4082" s="3" t="b">
        <x:v>0</x:v>
      </x:c>
      <x:c r="U4082" s="2" t="str">
        <x:f>IF(T4082=TRUE,"Priority review",IF(R4082=TRUE,"High cost",IF(S4082=TRUE,"Low quality","Benchmark")))</x:f>
        <x:v>Benchmark</x:v>
      </x:c>
    </x:row>
    <x:row r="4083">
      <x:c r="A4083" s="2" t="str">
        <x:v>351306</x:v>
      </x:c>
      <x:c r="B4083" s="2" t="str">
        <x:v>COOPERSTOWN MEDICAL CENTER</x:v>
      </x:c>
      <x:c r="C4083" s="2" t="str">
        <x:v>COOPERSTOWN</x:v>
      </x:c>
      <x:c r="D4083" s="2" t="str">
        <x:v>ND</x:v>
      </x:c>
      <x:c r="E4083" s="2" t="str">
        <x:v>Critical Access Hospitals</x:v>
      </x:c>
      <x:c r="F4083" s="2" t="str">
        <x:v>Voluntary non-profit</x:v>
      </x:c>
      <x:c r="G4083" s="2" t="str">
        <x:v>Small (&lt;100 beds)</x:v>
      </x:c>
      <x:c r="H4083" s="7"/>
      <x:c r="I4083" s="7"/>
      <x:c r="J4083" s="7"/>
      <x:c r="K4083" s="8" t="n">
        <x:v>9</x:v>
      </x:c>
      <x:c r="L4083" s="8" t="n">
        <x:v>131</x:v>
      </x:c>
      <x:c r="M4083" s="9" t="n">
        <x:v>0.3318112633</x:v>
      </x:c>
      <x:c r="N4083" s="10" t="n">
        <x:v>75621.534351145</x:v>
      </x:c>
      <x:c r="O4083" s="9" t="n">
        <x:v>-0.1438455733</x:v>
      </x:c>
      <x:c r="P4083" s="9" t="n">
        <x:v>0.1724907063</x:v>
      </x:c>
      <x:c r="Q4083" s="9" t="n">
        <x:v>0.292936803</x:v>
      </x:c>
      <x:c r="R4083" s="3" t="b">
        <x:v>0</x:v>
      </x:c>
      <x:c r="S4083" s="3" t="b">
        <x:v>0</x:v>
      </x:c>
      <x:c r="T4083" s="3" t="b">
        <x:v>0</x:v>
      </x:c>
      <x:c r="U4083" s="2" t="str">
        <x:f>IF(T4083=TRUE,"Priority review",IF(R4083=TRUE,"High cost",IF(S4083=TRUE,"Low quality","Benchmark")))</x:f>
        <x:v>Benchmark</x:v>
      </x:c>
    </x:row>
    <x:row r="4084">
      <x:c r="A4084" s="2" t="str">
        <x:v>210039</x:v>
      </x:c>
      <x:c r="B4084" s="2" t="str">
        <x:v>CALVERTHEALTH MEDICAL CENTER</x:v>
      </x:c>
      <x:c r="C4084" s="2" t="str">
        <x:v>PRINCE FREDERICK</x:v>
      </x:c>
      <x:c r="D4084" s="2" t="str">
        <x:v>MD</x:v>
      </x:c>
      <x:c r="E4084" s="2" t="str">
        <x:v>Acute Care Hospitals</x:v>
      </x:c>
      <x:c r="F4084" s="2" t="str">
        <x:v>Voluntary non-profit</x:v>
      </x:c>
      <x:c r="G4084" s="2" t="str">
        <x:v>Small (&lt;100 beds)</x:v>
      </x:c>
      <x:c r="H4084" s="7" t="n">
        <x:v>5</x:v>
      </x:c>
      <x:c r="I4084" s="7" t="n">
        <x:v>4</x:v>
      </x:c>
      <x:c r="J4084" s="7"/>
      <x:c r="K4084" s="8" t="n">
        <x:v>79</x:v>
      </x:c>
      <x:c r="L4084" s="8" t="n">
        <x:v>5224</x:v>
      </x:c>
      <x:c r="M4084" s="9" t="n">
        <x:v>0.7162476157</x:v>
      </x:c>
      <x:c r="N4084" s="10" t="n">
        <x:v>32093.9915773354</x:v>
      </x:c>
      <x:c r="O4084" s="9" t="n">
        <x:v>-0.0023082639</x:v>
      </x:c>
      <x:c r="P4084" s="9" t="n">
        <x:v>0.1723518851</x:v>
      </x:c>
      <x:c r="Q4084" s="9" t="n">
        <x:v>0.6131059246</x:v>
      </x:c>
      <x:c r="R4084" s="3" t="b">
        <x:v>0</x:v>
      </x:c>
      <x:c r="S4084" s="3" t="b">
        <x:v>0</x:v>
      </x:c>
      <x:c r="T4084" s="3" t="b">
        <x:v>0</x:v>
      </x:c>
      <x:c r="U4084" s="2" t="str">
        <x:f>IF(T4084=TRUE,"Priority review",IF(R4084=TRUE,"High cost",IF(S4084=TRUE,"Low quality","Benchmark")))</x:f>
        <x:v>Benchmark</x:v>
      </x:c>
    </x:row>
    <x:row r="4085">
      <x:c r="A4085" s="2" t="str">
        <x:v>670023</x:v>
      </x:c>
      <x:c r="B4085" s="2" t="str">
        <x:v>METHODIST MANSFIELD MEDICAL CENTER</x:v>
      </x:c>
      <x:c r="C4085" s="2" t="str">
        <x:v>MANSFIELD</x:v>
      </x:c>
      <x:c r="D4085" s="2" t="str">
        <x:v>TX</x:v>
      </x:c>
      <x:c r="E4085" s="2" t="str">
        <x:v>Acute Care Hospitals</x:v>
      </x:c>
      <x:c r="F4085" s="2" t="str">
        <x:v>Voluntary non-profit</x:v>
      </x:c>
      <x:c r="G4085" s="2" t="str">
        <x:v>Medium (100-299 beds)</x:v>
      </x:c>
      <x:c r="H4085" s="7" t="n">
        <x:v>4</x:v>
      </x:c>
      <x:c r="I4085" s="7" t="n">
        <x:v>4</x:v>
      </x:c>
      <x:c r="J4085" s="7" t="n">
        <x:v>1.13</x:v>
      </x:c>
      <x:c r="K4085" s="8" t="n">
        <x:v>294</x:v>
      </x:c>
      <x:c r="L4085" s="8" t="n">
        <x:v>14898</x:v>
      </x:c>
      <x:c r="M4085" s="9" t="n">
        <x:v>0.6372006337</x:v>
      </x:c>
      <x:c r="N4085" s="10" t="n">
        <x:v>22597.0557121761</x:v>
      </x:c>
      <x:c r="O4085" s="9" t="n">
        <x:v>0.1301944256</x:v>
      </x:c>
      <x:c r="P4085" s="9" t="n">
        <x:v>0.1719641402</x:v>
      </x:c>
      <x:c r="Q4085" s="9" t="n">
        <x:v>0.6022819886</x:v>
      </x:c>
      <x:c r="R4085" s="3" t="b">
        <x:v>0</x:v>
      </x:c>
      <x:c r="S4085" s="3" t="b">
        <x:v>0</x:v>
      </x:c>
      <x:c r="T4085" s="3" t="b">
        <x:v>0</x:v>
      </x:c>
      <x:c r="U4085" s="2" t="str">
        <x:f>IF(T4085=TRUE,"Priority review",IF(R4085=TRUE,"High cost",IF(S4085=TRUE,"Low quality","Benchmark")))</x:f>
        <x:v>Benchmark</x:v>
      </x:c>
    </x:row>
    <x:row r="4086">
      <x:c r="A4086" s="2" t="str">
        <x:v>390231</x:v>
      </x:c>
      <x:c r="B4086" s="2" t="str">
        <x:v>JEFFERSON ABINGTON HOSPITAL</x:v>
      </x:c>
      <x:c r="C4086" s="2" t="str">
        <x:v>ABINGTON</x:v>
      </x:c>
      <x:c r="D4086" s="2" t="str">
        <x:v>PA</x:v>
      </x:c>
      <x:c r="E4086" s="2" t="str">
        <x:v>Acute Care Hospitals</x:v>
      </x:c>
      <x:c r="F4086" s="2" t="str">
        <x:v>Voluntary non-profit</x:v>
      </x:c>
      <x:c r="G4086" s="2" t="str">
        <x:v>Large (300+ beds)</x:v>
      </x:c>
      <x:c r="H4086" s="7" t="n">
        <x:v>3</x:v>
      </x:c>
      <x:c r="I4086" s="7" t="n">
        <x:v>2</x:v>
      </x:c>
      <x:c r="J4086" s="7" t="n">
        <x:v>0.97</x:v>
      </x:c>
      <x:c r="K4086" s="8" t="n">
        <x:v>611</x:v>
      </x:c>
      <x:c r="L4086" s="8" t="n">
        <x:v>35357</x:v>
      </x:c>
      <x:c r="M4086" s="9" t="n">
        <x:v>0.7792076766</x:v>
      </x:c>
      <x:c r="N4086" s="10" t="n">
        <x:v>25911.9122097463</x:v>
      </x:c>
      <x:c r="O4086" s="9" t="n">
        <x:v>-0.1771851175</x:v>
      </x:c>
      <x:c r="P4086" s="9" t="n">
        <x:v>0.1719242902</x:v>
      </x:c>
      <x:c r="Q4086" s="9" t="n">
        <x:v>0.2570977918</x:v>
      </x:c>
      <x:c r="R4086" s="3" t="b">
        <x:v>0</x:v>
      </x:c>
      <x:c r="S4086" s="3" t="b">
        <x:v>0</x:v>
      </x:c>
      <x:c r="T4086" s="3" t="b">
        <x:v>0</x:v>
      </x:c>
      <x:c r="U4086" s="2" t="str">
        <x:f>IF(T4086=TRUE,"Priority review",IF(R4086=TRUE,"High cost",IF(S4086=TRUE,"Low quality","Benchmark")))</x:f>
        <x:v>Benchmark</x:v>
      </x:c>
    </x:row>
    <x:row r="4087">
      <x:c r="A4087" s="2" t="str">
        <x:v>201309</x:v>
      </x:c>
      <x:c r="B4087" s="2" t="str">
        <x:v>NORTHERN LIGHT MAYO HOSPITAL</x:v>
      </x:c>
      <x:c r="C4087" s="2" t="str">
        <x:v>DOVER FOXCROFT</x:v>
      </x:c>
      <x:c r="D4087" s="2" t="str">
        <x:v>ME</x:v>
      </x:c>
      <x:c r="E4087" s="2" t="str">
        <x:v>Critical Access Hospitals</x:v>
      </x:c>
      <x:c r="F4087" s="2" t="str">
        <x:v>Government</x:v>
      </x:c>
      <x:c r="G4087" s="2" t="str">
        <x:v>Small (&lt;100 beds)</x:v>
      </x:c>
      <x:c r="H4087" s="7" t="n">
        <x:v>2</x:v>
      </x:c>
      <x:c r="I4087" s="7" t="n">
        <x:v>3</x:v>
      </x:c>
      <x:c r="J4087" s="7"/>
      <x:c r="K4087" s="8" t="n">
        <x:v>25</x:v>
      </x:c>
      <x:c r="L4087" s="8" t="n">
        <x:v>868</x:v>
      </x:c>
      <x:c r="M4087" s="9" t="n">
        <x:v>0.3854644809</x:v>
      </x:c>
      <x:c r="N4087" s="10" t="n">
        <x:v>75499.4470046083</x:v>
      </x:c>
      <x:c r="O4087" s="9" t="n">
        <x:v>0.0784351716</x:v>
      </x:c>
      <x:c r="P4087" s="9" t="n">
        <x:v>0.1717472119</x:v>
      </x:c>
      <x:c r="Q4087" s="9" t="n">
        <x:v>0.0171003717</x:v>
      </x:c>
      <x:c r="R4087" s="3" t="b">
        <x:v>0</x:v>
      </x:c>
      <x:c r="S4087" s="3" t="b">
        <x:v>1</x:v>
      </x:c>
      <x:c r="T4087" s="3" t="b">
        <x:v>0</x:v>
      </x:c>
      <x:c r="U4087" s="2" t="str">
        <x:f>IF(T4087=TRUE,"Priority review",IF(R4087=TRUE,"High cost",IF(S4087=TRUE,"Low quality","Benchmark")))</x:f>
        <x:v>Low quality</x:v>
      </x:c>
    </x:row>
    <x:row r="4088">
      <x:c r="A4088" s="2" t="str">
        <x:v>194116</x:v>
      </x:c>
      <x:c r="B4088" s="2" t="str">
        <x:v>LOUISIANA BEHAVIORAL HEALTH</x:v>
      </x:c>
      <x:c r="C4088" s="2" t="str">
        <x:v>SHREVEPORT</x:v>
      </x:c>
      <x:c r="D4088" s="2" t="str">
        <x:v>LA</x:v>
      </x:c>
      <x:c r="E4088" s="2" t="str">
        <x:v>Psychiatric</x:v>
      </x:c>
      <x:c r="F4088" s="2" t="str">
        <x:v>Proprietary</x:v>
      </x:c>
      <x:c r="G4088" s="2" t="str">
        <x:v>Small (&lt;100 beds)</x:v>
      </x:c>
      <x:c r="H4088" s="7"/>
      <x:c r="I4088" s="7"/>
      <x:c r="J4088" s="7"/>
      <x:c r="K4088" s="8" t="n">
        <x:v>89</x:v>
      </x:c>
      <x:c r="L4088" s="8" t="n">
        <x:v>3052</x:v>
      </x:c>
      <x:c r="M4088" s="9" t="n">
        <x:v>0.8241849328</x:v>
      </x:c>
      <x:c r="N4088" s="10" t="n">
        <x:v>7423.6661205767</x:v>
      </x:c>
      <x:c r="O4088" s="9" t="n">
        <x:v>0.0503237245</x:v>
      </x:c>
      <x:c r="P4088" s="9" t="n">
        <x:v>0.1715210356</x:v>
      </x:c>
      <x:c r="Q4088" s="9" t="n">
        <x:v>0</x:v>
      </x:c>
      <x:c r="R4088" s="3" t="b">
        <x:v>0</x:v>
      </x:c>
      <x:c r="S4088" s="3" t="b">
        <x:v>0</x:v>
      </x:c>
      <x:c r="T4088" s="3" t="b">
        <x:v>0</x:v>
      </x:c>
      <x:c r="U4088" s="2" t="str">
        <x:f>IF(T4088=TRUE,"Priority review",IF(R4088=TRUE,"High cost",IF(S4088=TRUE,"Low quality","Benchmark")))</x:f>
        <x:v>Benchmark</x:v>
      </x:c>
    </x:row>
    <x:row r="4089">
      <x:c r="A4089" s="2" t="str">
        <x:v>160117</x:v>
      </x:c>
      <x:c r="B4089" s="2" t="str">
        <x:v>FINLEY HOSPITAL</x:v>
      </x:c>
      <x:c r="C4089" s="2" t="str">
        <x:v>DUBUQUE</x:v>
      </x:c>
      <x:c r="D4089" s="2" t="str">
        <x:v>IA</x:v>
      </x:c>
      <x:c r="E4089" s="2" t="str">
        <x:v>Acute Care Hospitals</x:v>
      </x:c>
      <x:c r="F4089" s="2" t="str">
        <x:v>Voluntary non-profit</x:v>
      </x:c>
      <x:c r="G4089" s="2" t="str">
        <x:v>Small (&lt;100 beds)</x:v>
      </x:c>
      <x:c r="H4089" s="7" t="n">
        <x:v>3</x:v>
      </x:c>
      <x:c r="I4089" s="7" t="n">
        <x:v>4</x:v>
      </x:c>
      <x:c r="J4089" s="7" t="n">
        <x:v>0.9</x:v>
      </x:c>
      <x:c r="K4089" s="8" t="n">
        <x:v>66</x:v>
      </x:c>
      <x:c r="L4089" s="8" t="n">
        <x:v>4008</x:v>
      </x:c>
      <x:c r="M4089" s="9" t="n">
        <x:v>0.6271733731</x:v>
      </x:c>
      <x:c r="N4089" s="10" t="n">
        <x:v>32072.4106786427</x:v>
      </x:c>
      <x:c r="O4089" s="9" t="n">
        <x:v>0.134678043</x:v>
      </x:c>
      <x:c r="P4089" s="9" t="n">
        <x:v>0.171454219</x:v>
      </x:c>
      <x:c r="Q4089" s="9" t="n">
        <x:v>0.1687612208</x:v>
      </x:c>
      <x:c r="R4089" s="3" t="b">
        <x:v>0</x:v>
      </x:c>
      <x:c r="S4089" s="3" t="b">
        <x:v>0</x:v>
      </x:c>
      <x:c r="T4089" s="3" t="b">
        <x:v>0</x:v>
      </x:c>
      <x:c r="U4089" s="2" t="str">
        <x:f>IF(T4089=TRUE,"Priority review",IF(R4089=TRUE,"High cost",IF(S4089=TRUE,"Low quality","Benchmark")))</x:f>
        <x:v>Benchmark</x:v>
      </x:c>
    </x:row>
    <x:row r="4090">
      <x:c r="A4090" s="2" t="str">
        <x:v>370202</x:v>
      </x:c>
      <x:c r="B4090" s="2" t="str">
        <x:v>HILLCREST HOSPITAL SOUTH</x:v>
      </x:c>
      <x:c r="C4090" s="2" t="str">
        <x:v>TULSA</x:v>
      </x:c>
      <x:c r="D4090" s="2" t="str">
        <x:v>OK</x:v>
      </x:c>
      <x:c r="E4090" s="2" t="str">
        <x:v>Acute Care Hospitals</x:v>
      </x:c>
      <x:c r="F4090" s="2" t="str">
        <x:v>Proprietary</x:v>
      </x:c>
      <x:c r="G4090" s="2" t="str">
        <x:v>Medium (100-299 beds)</x:v>
      </x:c>
      <x:c r="H4090" s="7" t="n">
        <x:v>3</x:v>
      </x:c>
      <x:c r="I4090" s="7" t="n">
        <x:v>3</x:v>
      </x:c>
      <x:c r="J4090" s="7" t="n">
        <x:v>0.99</x:v>
      </x:c>
      <x:c r="K4090" s="8" t="n">
        <x:v>180</x:v>
      </x:c>
      <x:c r="L4090" s="8" t="n">
        <x:v>10164</x:v>
      </x:c>
      <x:c r="M4090" s="9" t="n">
        <x:v>0.7674695883</x:v>
      </x:c>
      <x:c r="N4090" s="10" t="n">
        <x:v>22586.1040928768</x:v>
      </x:c>
      <x:c r="O4090" s="9" t="n">
        <x:v>0.1510448766</x:v>
      </x:c>
      <x:c r="P4090" s="9" t="n">
        <x:v>0.1711491443</x:v>
      </x:c>
      <x:c r="Q4090" s="9" t="n">
        <x:v>0.3023634882</x:v>
      </x:c>
      <x:c r="R4090" s="3" t="b">
        <x:v>0</x:v>
      </x:c>
      <x:c r="S4090" s="3" t="b">
        <x:v>0</x:v>
      </x:c>
      <x:c r="T4090" s="3" t="b">
        <x:v>0</x:v>
      </x:c>
      <x:c r="U4090" s="2" t="str">
        <x:f>IF(T4090=TRUE,"Priority review",IF(R4090=TRUE,"High cost",IF(S4090=TRUE,"Low quality","Benchmark")))</x:f>
        <x:v>Benchmark</x:v>
      </x:c>
    </x:row>
    <x:row r="4091">
      <x:c r="A4091" s="2" t="str">
        <x:v>461303</x:v>
      </x:c>
      <x:c r="B4091" s="2" t="str">
        <x:v>INTERMOUNTAIN HEALTH SANPETE VALLEY HOSPITAL</x:v>
      </x:c>
      <x:c r="C4091" s="2" t="str">
        <x:v>MOUNT PLEASANT</x:v>
      </x:c>
      <x:c r="D4091" s="2" t="str">
        <x:v>UT</x:v>
      </x:c>
      <x:c r="E4091" s="2" t="str">
        <x:v>Critical Access Hospitals</x:v>
      </x:c>
      <x:c r="F4091" s="2" t="str">
        <x:v>Voluntary non-profit</x:v>
      </x:c>
      <x:c r="G4091" s="2" t="str">
        <x:v>Small (&lt;100 beds)</x:v>
      </x:c>
      <x:c r="H4091" s="7"/>
      <x:c r="I4091" s="7"/>
      <x:c r="J4091" s="7"/>
      <x:c r="K4091" s="8" t="n">
        <x:v>18</x:v>
      </x:c>
      <x:c r="L4091" s="8" t="n">
        <x:v>424</x:v>
      </x:c>
      <x:c r="M4091" s="9" t="n">
        <x:v>0.2002125076</x:v>
      </x:c>
      <x:c r="N4091" s="10" t="n">
        <x:v>75468.5424528302</x:v>
      </x:c>
      <x:c r="O4091" s="9" t="n">
        <x:v>0.1018953803</x:v>
      </x:c>
      <x:c r="P4091" s="9" t="n">
        <x:v>0.1710037175</x:v>
      </x:c>
      <x:c r="Q4091" s="9" t="n">
        <x:v>0.292936803</x:v>
      </x:c>
      <x:c r="R4091" s="3" t="b">
        <x:v>0</x:v>
      </x:c>
      <x:c r="S4091" s="3" t="b">
        <x:v>0</x:v>
      </x:c>
      <x:c r="T4091" s="3" t="b">
        <x:v>0</x:v>
      </x:c>
      <x:c r="U4091" s="2" t="str">
        <x:f>IF(T4091=TRUE,"Priority review",IF(R4091=TRUE,"High cost",IF(S4091=TRUE,"Low quality","Benchmark")))</x:f>
        <x:v>Benchmark</x:v>
      </x:c>
    </x:row>
    <x:row r="4092">
      <x:c r="A4092" s="2" t="str">
        <x:v>170198</x:v>
      </x:c>
      <x:c r="B4092" s="2" t="str">
        <x:v>SUMMIT SURGICAL, LLC</x:v>
      </x:c>
      <x:c r="C4092" s="2" t="str">
        <x:v>HUTCHINSON</x:v>
      </x:c>
      <x:c r="D4092" s="2" t="str">
        <x:v>KS</x:v>
      </x:c>
      <x:c r="E4092" s="2" t="str">
        <x:v>Acute Care Hospitals</x:v>
      </x:c>
      <x:c r="F4092" s="2" t="str">
        <x:v>Other / unknown</x:v>
      </x:c>
      <x:c r="G4092" s="2" t="str">
        <x:v>Small (&lt;100 beds)</x:v>
      </x:c>
      <x:c r="H4092" s="7"/>
      <x:c r="I4092" s="7" t="n">
        <x:v>4</x:v>
      </x:c>
      <x:c r="J4092" s="7" t="n">
        <x:v>0.91</x:v>
      </x:c>
      <x:c r="K4092" s="8" t="n">
        <x:v>10</x:v>
      </x:c>
      <x:c r="L4092" s="8" t="n">
        <x:v>557</x:v>
      </x:c>
      <x:c r="M4092" s="9" t="n">
        <x:v>0.2710382514</x:v>
      </x:c>
      <x:c r="N4092" s="10" t="n">
        <x:v>31982.5421903052</x:v>
      </x:c>
      <x:c r="O4092" s="9" t="n">
        <x:v>-0.0277154656</x:v>
      </x:c>
      <x:c r="P4092" s="9" t="n">
        <x:v>0.170556553</x:v>
      </x:c>
      <x:c r="Q4092" s="9" t="n">
        <x:v>0.697486535</x:v>
      </x:c>
      <x:c r="R4092" s="3" t="b">
        <x:v>0</x:v>
      </x:c>
      <x:c r="S4092" s="3" t="b">
        <x:v>0</x:v>
      </x:c>
      <x:c r="T4092" s="3" t="b">
        <x:v>0</x:v>
      </x:c>
      <x:c r="U4092" s="2" t="str">
        <x:f>IF(T4092=TRUE,"Priority review",IF(R4092=TRUE,"High cost",IF(S4092=TRUE,"Low quality","Benchmark")))</x:f>
        <x:v>Benchmark</x:v>
      </x:c>
    </x:row>
    <x:row r="4093">
      <x:c r="A4093" s="2" t="str">
        <x:v>040004</x:v>
      </x:c>
      <x:c r="B4093" s="2" t="str">
        <x:v>WASHINGTON REGIONAL MEDICAL CENTER</x:v>
      </x:c>
      <x:c r="C4093" s="2" t="str">
        <x:v>FAYETTEVILLE</x:v>
      </x:c>
      <x:c r="D4093" s="2" t="str">
        <x:v>AR</x:v>
      </x:c>
      <x:c r="E4093" s="2" t="str">
        <x:v>Acute Care Hospitals</x:v>
      </x:c>
      <x:c r="F4093" s="2" t="str">
        <x:v>Voluntary non-profit</x:v>
      </x:c>
      <x:c r="G4093" s="2" t="str">
        <x:v>Large (300+ beds)</x:v>
      </x:c>
      <x:c r="H4093" s="7" t="n">
        <x:v>4</x:v>
      </x:c>
      <x:c r="I4093" s="7" t="n">
        <x:v>3</x:v>
      </x:c>
      <x:c r="J4093" s="7" t="n">
        <x:v>1.04</x:v>
      </x:c>
      <x:c r="K4093" s="8" t="n">
        <x:v>377</x:v>
      </x:c>
      <x:c r="L4093" s="8" t="n">
        <x:v>15673</x:v>
      </x:c>
      <x:c r="M4093" s="9" t="n">
        <x:v>0.5769303242</x:v>
      </x:c>
      <x:c r="N4093" s="10" t="n">
        <x:v>25877.9328781982</x:v>
      </x:c>
      <x:c r="O4093" s="9" t="n">
        <x:v>0.0440947141</x:v>
      </x:c>
      <x:c r="P4093" s="9" t="n">
        <x:v>0.1703470032</x:v>
      </x:c>
      <x:c r="Q4093" s="9" t="n">
        <x:v>0.5899053628</x:v>
      </x:c>
      <x:c r="R4093" s="3" t="b">
        <x:v>0</x:v>
      </x:c>
      <x:c r="S4093" s="3" t="b">
        <x:v>0</x:v>
      </x:c>
      <x:c r="T4093" s="3" t="b">
        <x:v>0</x:v>
      </x:c>
      <x:c r="U4093" s="2" t="str">
        <x:f>IF(T4093=TRUE,"Priority review",IF(R4093=TRUE,"High cost",IF(S4093=TRUE,"Low quality","Benchmark")))</x:f>
        <x:v>Benchmark</x:v>
      </x:c>
    </x:row>
    <x:row r="4094">
      <x:c r="A4094" s="2" t="str">
        <x:v>020017</x:v>
      </x:c>
      <x:c r="B4094" s="2" t="str">
        <x:v>ALASKA REGIONAL HOSPITAL</x:v>
      </x:c>
      <x:c r="C4094" s="2" t="str">
        <x:v>ANCHORAGE</x:v>
      </x:c>
      <x:c r="D4094" s="2" t="str">
        <x:v>AK</x:v>
      </x:c>
      <x:c r="E4094" s="2" t="str">
        <x:v>Acute Care Hospitals</x:v>
      </x:c>
      <x:c r="F4094" s="2" t="str">
        <x:v>Proprietary</x:v>
      </x:c>
      <x:c r="G4094" s="2" t="str">
        <x:v>Medium (100-299 beds)</x:v>
      </x:c>
      <x:c r="H4094" s="7" t="n">
        <x:v>1</x:v>
      </x:c>
      <x:c r="I4094" s="7" t="n">
        <x:v>3</x:v>
      </x:c>
      <x:c r="J4094" s="7" t="n">
        <x:v>0.88</x:v>
      </x:c>
      <x:c r="K4094" s="8" t="n">
        <x:v>170</x:v>
      </x:c>
      <x:c r="L4094" s="8" t="n">
        <x:v>7272</x:v>
      </x:c>
      <x:c r="M4094" s="9" t="n">
        <x:v>0.6401639344</x:v>
      </x:c>
      <x:c r="N4094" s="10" t="n">
        <x:v>22517.9158415842</x:v>
      </x:c>
      <x:c r="O4094" s="9" t="n">
        <x:v>0.5479226316</x:v>
      </x:c>
      <x:c r="P4094" s="9" t="n">
        <x:v>0.1703341483</x:v>
      </x:c>
      <x:c r="Q4094" s="9" t="n">
        <x:v>0</x:v>
      </x:c>
      <x:c r="R4094" s="3" t="b">
        <x:v>0</x:v>
      </x:c>
      <x:c r="S4094" s="3" t="b">
        <x:v>1</x:v>
      </x:c>
      <x:c r="T4094" s="3" t="b">
        <x:v>0</x:v>
      </x:c>
      <x:c r="U4094" s="2" t="str">
        <x:f>IF(T4094=TRUE,"Priority review",IF(R4094=TRUE,"High cost",IF(S4094=TRUE,"Low quality","Benchmark")))</x:f>
        <x:v>Low quality</x:v>
      </x:c>
    </x:row>
    <x:row r="4095">
      <x:c r="A4095" s="2" t="str">
        <x:v>301306</x:v>
      </x:c>
      <x:c r="B4095" s="2" t="str">
        <x:v>CONCORD HOSPITAL- FRANKLIN</x:v>
      </x:c>
      <x:c r="C4095" s="2" t="str">
        <x:v>FRANKLIN</x:v>
      </x:c>
      <x:c r="D4095" s="2" t="str">
        <x:v>NH</x:v>
      </x:c>
      <x:c r="E4095" s="2" t="str">
        <x:v>Critical Access Hospitals</x:v>
      </x:c>
      <x:c r="F4095" s="2" t="str">
        <x:v>Voluntary non-profit</x:v>
      </x:c>
      <x:c r="G4095" s="2" t="str">
        <x:v>Small (&lt;100 beds)</x:v>
      </x:c>
      <x:c r="H4095" s="7"/>
      <x:c r="I4095" s="7"/>
      <x:c r="J4095" s="7"/>
      <x:c r="K4095" s="8" t="n">
        <x:v>25</x:v>
      </x:c>
      <x:c r="L4095" s="8" t="n">
        <x:v>344</x:v>
      </x:c>
      <x:c r="M4095" s="9" t="n">
        <x:v>0.4157377049</x:v>
      </x:c>
      <x:c r="N4095" s="10" t="n">
        <x:v>75100.6598837209</x:v>
      </x:c>
      <x:c r="O4095" s="9" t="n">
        <x:v>0.314432712</x:v>
      </x:c>
      <x:c r="P4095" s="9" t="n">
        <x:v>0.170260223</x:v>
      </x:c>
      <x:c r="Q4095" s="9" t="n">
        <x:v>0.292936803</x:v>
      </x:c>
      <x:c r="R4095" s="3" t="b">
        <x:v>0</x:v>
      </x:c>
      <x:c r="S4095" s="3" t="b">
        <x:v>0</x:v>
      </x:c>
      <x:c r="T4095" s="3" t="b">
        <x:v>0</x:v>
      </x:c>
      <x:c r="U4095" s="2" t="str">
        <x:f>IF(T4095=TRUE,"Priority review",IF(R4095=TRUE,"High cost",IF(S4095=TRUE,"Low quality","Benchmark")))</x:f>
        <x:v>Benchmark</x:v>
      </x:c>
    </x:row>
    <x:row r="4096">
      <x:c r="A4096" s="2" t="str">
        <x:v>100118</x:v>
      </x:c>
      <x:c r="B4096" s="2" t="str">
        <x:v>AdventHealth Palm Coast</x:v>
      </x:c>
      <x:c r="C4096" s="2" t="str">
        <x:v>PALM COAST</x:v>
      </x:c>
      <x:c r="D4096" s="2" t="str">
        <x:v>FL</x:v>
      </x:c>
      <x:c r="E4096" s="2" t="str">
        <x:v>Acute Care Hospitals</x:v>
      </x:c>
      <x:c r="F4096" s="2" t="str">
        <x:v>Voluntary non-profit</x:v>
      </x:c>
      <x:c r="G4096" s="2" t="str">
        <x:v>Small (&lt;100 beds)</x:v>
      </x:c>
      <x:c r="H4096" s="7" t="n">
        <x:v>5</x:v>
      </x:c>
      <x:c r="I4096" s="7" t="n">
        <x:v>3</x:v>
      </x:c>
      <x:c r="J4096" s="7" t="n">
        <x:v>0.93</x:v>
      </x:c>
      <x:c r="K4096" s="8" t="n">
        <x:v>99</x:v>
      </x:c>
      <x:c r="L4096" s="8" t="n">
        <x:v>7670</x:v>
      </x:c>
      <x:c r="M4096" s="9" t="n">
        <x:v>0.9743059005</x:v>
      </x:c>
      <x:c r="N4096" s="10" t="n">
        <x:v>31913.705345502</x:v>
      </x:c>
      <x:c r="O4096" s="9" t="n">
        <x:v>0.1433578963</x:v>
      </x:c>
      <x:c r="P4096" s="9" t="n">
        <x:v>0.1696588869</x:v>
      </x:c>
      <x:c r="Q4096" s="9" t="n">
        <x:v>0.6131059246</x:v>
      </x:c>
      <x:c r="R4096" s="3" t="b">
        <x:v>0</x:v>
      </x:c>
      <x:c r="S4096" s="3" t="b">
        <x:v>0</x:v>
      </x:c>
      <x:c r="T4096" s="3" t="b">
        <x:v>0</x:v>
      </x:c>
      <x:c r="U4096" s="2" t="str">
        <x:f>IF(T4096=TRUE,"Priority review",IF(R4096=TRUE,"High cost",IF(S4096=TRUE,"Low quality","Benchmark")))</x:f>
        <x:v>Benchmark</x:v>
      </x:c>
    </x:row>
    <x:row r="4097">
      <x:c r="A4097" s="2" t="str">
        <x:v>110091</x:v>
      </x:c>
      <x:c r="B4097" s="2" t="str">
        <x:v>PIEDMONT ROCKDALE HOSPITAL</x:v>
      </x:c>
      <x:c r="C4097" s="2" t="str">
        <x:v>CONYERS</x:v>
      </x:c>
      <x:c r="D4097" s="2" t="str">
        <x:v>GA</x:v>
      </x:c>
      <x:c r="E4097" s="2" t="str">
        <x:v>Acute Care Hospitals</x:v>
      </x:c>
      <x:c r="F4097" s="2" t="str">
        <x:v>Proprietary</x:v>
      </x:c>
      <x:c r="G4097" s="2" t="str">
        <x:v>Medium (100-299 beds)</x:v>
      </x:c>
      <x:c r="H4097" s="7" t="n">
        <x:v>3</x:v>
      </x:c>
      <x:c r="I4097" s="7" t="n">
        <x:v>2</x:v>
      </x:c>
      <x:c r="J4097" s="7" t="n">
        <x:v>0.96</x:v>
      </x:c>
      <x:c r="K4097" s="8" t="n">
        <x:v>181</x:v>
      </x:c>
      <x:c r="L4097" s="8" t="n">
        <x:v>10938</x:v>
      </x:c>
      <x:c r="M4097" s="9" t="n">
        <x:v>0.7659880421</x:v>
      </x:c>
      <x:c r="N4097" s="10" t="n">
        <x:v>22463.2932894496</x:v>
      </x:c>
      <x:c r="O4097" s="9" t="n">
        <x:v>0.074208522</x:v>
      </x:c>
      <x:c r="P4097" s="9" t="n">
        <x:v>0.1695191524</x:v>
      </x:c>
      <x:c r="Q4097" s="9" t="n">
        <x:v>0.3023634882</x:v>
      </x:c>
      <x:c r="R4097" s="3" t="b">
        <x:v>0</x:v>
      </x:c>
      <x:c r="S4097" s="3" t="b">
        <x:v>0</x:v>
      </x:c>
      <x:c r="T4097" s="3" t="b">
        <x:v>0</x:v>
      </x:c>
      <x:c r="U4097" s="2" t="str">
        <x:f>IF(T4097=TRUE,"Priority review",IF(R4097=TRUE,"High cost",IF(S4097=TRUE,"Low quality","Benchmark")))</x:f>
        <x:v>Benchmark</x:v>
      </x:c>
    </x:row>
    <x:row r="4098">
      <x:c r="A4098" s="2" t="str">
        <x:v>201315</x:v>
      </x:c>
      <x:c r="B4098" s="2" t="str">
        <x:v>MAINEHEALTH STEPHENS HOSPITAL</x:v>
      </x:c>
      <x:c r="C4098" s="2" t="str">
        <x:v>NORWAY</x:v>
      </x:c>
      <x:c r="D4098" s="2" t="str">
        <x:v>ME</x:v>
      </x:c>
      <x:c r="E4098" s="2" t="str">
        <x:v>Critical Access Hospitals</x:v>
      </x:c>
      <x:c r="F4098" s="2" t="str">
        <x:v>Voluntary non-profit</x:v>
      </x:c>
      <x:c r="G4098" s="2" t="str">
        <x:v>Small (&lt;100 beds)</x:v>
      </x:c>
      <x:c r="H4098" s="7" t="n">
        <x:v>4</x:v>
      </x:c>
      <x:c r="I4098" s="7" t="n">
        <x:v>5</x:v>
      </x:c>
      <x:c r="J4098" s="7"/>
      <x:c r="K4098" s="8" t="n">
        <x:v>25</x:v>
      </x:c>
      <x:c r="L4098" s="8" t="n">
        <x:v>1505</x:v>
      </x:c>
      <x:c r="M4098" s="9" t="n">
        <x:v>0.7128961749</x:v>
      </x:c>
      <x:c r="N4098" s="10" t="n">
        <x:v>75037.0850498339</x:v>
      </x:c>
      <x:c r="O4098" s="9" t="n">
        <x:v>0.0470710197</x:v>
      </x:c>
      <x:c r="P4098" s="9" t="n">
        <x:v>0.1695167286</x:v>
      </x:c>
      <x:c r="Q4098" s="9" t="n">
        <x:v>0.1657992565</x:v>
      </x:c>
      <x:c r="R4098" s="3" t="b">
        <x:v>0</x:v>
      </x:c>
      <x:c r="S4098" s="3" t="b">
        <x:v>0</x:v>
      </x:c>
      <x:c r="T4098" s="3" t="b">
        <x:v>0</x:v>
      </x:c>
      <x:c r="U4098" s="2" t="str">
        <x:f>IF(T4098=TRUE,"Priority review",IF(R4098=TRUE,"High cost",IF(S4098=TRUE,"Low quality","Benchmark")))</x:f>
        <x:v>Benchmark</x:v>
      </x:c>
    </x:row>
    <x:row r="4099">
      <x:c r="A4099" s="2" t="str">
        <x:v>454107</x:v>
      </x:c>
      <x:c r="B4099" s="2" t="str">
        <x:v>BEHAVIORAL HOSPITAL OF BELLAIRE</x:v>
      </x:c>
      <x:c r="C4099" s="2" t="str">
        <x:v>HOUSTON</x:v>
      </x:c>
      <x:c r="D4099" s="2" t="str">
        <x:v>TX</x:v>
      </x:c>
      <x:c r="E4099" s="2" t="str">
        <x:v>Psychiatric</x:v>
      </x:c>
      <x:c r="F4099" s="2" t="str">
        <x:v>Proprietary</x:v>
      </x:c>
      <x:c r="G4099" s="2" t="str">
        <x:v>Medium (100-299 beds)</x:v>
      </x:c>
      <x:c r="H4099" s="7"/>
      <x:c r="I4099" s="7"/>
      <x:c r="J4099" s="7"/>
      <x:c r="K4099" s="8" t="n">
        <x:v>122</x:v>
      </x:c>
      <x:c r="L4099" s="8" t="n">
        <x:v>4652</x:v>
      </x:c>
      <x:c r="M4099" s="9" t="n">
        <x:v>0.8996461525</x:v>
      </x:c>
      <x:c r="N4099" s="10" t="n">
        <x:v>6281.627472055</x:v>
      </x:c>
      <x:c r="O4099" s="9" t="n">
        <x:v>0.1151175383</x:v>
      </x:c>
      <x:c r="P4099" s="9" t="n">
        <x:v>0.1691542289</x:v>
      </x:c>
      <x:c r="Q4099" s="9" t="n">
        <x:v>0</x:v>
      </x:c>
      <x:c r="R4099" s="3" t="b">
        <x:v>0</x:v>
      </x:c>
      <x:c r="S4099" s="3" t="b">
        <x:v>0</x:v>
      </x:c>
      <x:c r="T4099" s="3" t="b">
        <x:v>0</x:v>
      </x:c>
      <x:c r="U4099" s="2" t="str">
        <x:f>IF(T4099=TRUE,"Priority review",IF(R4099=TRUE,"High cost",IF(S4099=TRUE,"Low quality","Benchmark")))</x:f>
        <x:v>Benchmark</x:v>
      </x:c>
    </x:row>
    <x:row r="4100">
      <x:c r="A4100" s="2" t="str">
        <x:v>341304</x:v>
      </x:c>
      <x:c r="B4100" s="2" t="str">
        <x:v>ECU HEALTH BERTIE HOSPITAL</x:v>
      </x:c>
      <x:c r="C4100" s="2" t="str">
        <x:v>WINDSOR</x:v>
      </x:c>
      <x:c r="D4100" s="2" t="str">
        <x:v>NC</x:v>
      </x:c>
      <x:c r="E4100" s="2" t="str">
        <x:v>Critical Access Hospitals</x:v>
      </x:c>
      <x:c r="F4100" s="2" t="str">
        <x:v>Voluntary non-profit</x:v>
      </x:c>
      <x:c r="G4100" s="2" t="str">
        <x:v>Small (&lt;100 beds)</x:v>
      </x:c>
      <x:c r="H4100" s="7" t="n">
        <x:v>4</x:v>
      </x:c>
      <x:c r="I4100" s="7"/>
      <x:c r="J4100" s="7"/>
      <x:c r="K4100" s="8" t="n">
        <x:v>6</x:v>
      </x:c>
      <x:c r="L4100" s="8" t="n">
        <x:v>356</x:v>
      </x:c>
      <x:c r="M4100" s="9" t="n">
        <x:v>0.628870674</x:v>
      </x:c>
      <x:c r="N4100" s="10" t="n">
        <x:v>74926.7078651685</x:v>
      </x:c>
      <x:c r="O4100" s="9" t="n">
        <x:v>0.238322238</x:v>
      </x:c>
      <x:c r="P4100" s="9" t="n">
        <x:v>0.1687732342</x:v>
      </x:c>
      <x:c r="Q4100" s="9" t="n">
        <x:v>0.1657992565</x:v>
      </x:c>
      <x:c r="R4100" s="3" t="b">
        <x:v>0</x:v>
      </x:c>
      <x:c r="S4100" s="3" t="b">
        <x:v>0</x:v>
      </x:c>
      <x:c r="T4100" s="3" t="b">
        <x:v>0</x:v>
      </x:c>
      <x:c r="U4100" s="2" t="str">
        <x:f>IF(T4100=TRUE,"Priority review",IF(R4100=TRUE,"High cost",IF(S4100=TRUE,"Low quality","Benchmark")))</x:f>
        <x:v>Benchmark</x:v>
      </x:c>
    </x:row>
    <x:row r="4101">
      <x:c r="A4101" s="2" t="str">
        <x:v>450132</x:v>
      </x:c>
      <x:c r="B4101" s="2" t="str">
        <x:v>MEDICAL CENTER HOSPITAL</x:v>
      </x:c>
      <x:c r="C4101" s="2" t="str">
        <x:v>ODESSA</x:v>
      </x:c>
      <x:c r="D4101" s="2" t="str">
        <x:v>TX</x:v>
      </x:c>
      <x:c r="E4101" s="2" t="str">
        <x:v>Acute Care Hospitals</x:v>
      </x:c>
      <x:c r="F4101" s="2" t="str">
        <x:v>Government</x:v>
      </x:c>
      <x:c r="G4101" s="2" t="str">
        <x:v>Large (300+ beds)</x:v>
      </x:c>
      <x:c r="H4101" s="7" t="n">
        <x:v>3</x:v>
      </x:c>
      <x:c r="I4101" s="7" t="n">
        <x:v>3</x:v>
      </x:c>
      <x:c r="J4101" s="7" t="n">
        <x:v>1.11</x:v>
      </x:c>
      <x:c r="K4101" s="8" t="n">
        <x:v>330</x:v>
      </x:c>
      <x:c r="L4101" s="8" t="n">
        <x:v>14101</x:v>
      </x:c>
      <x:c r="M4101" s="9" t="n">
        <x:v>0.5838963405</x:v>
      </x:c>
      <x:c r="N4101" s="10" t="n">
        <x:v>25850.4625203886</x:v>
      </x:c>
      <x:c r="O4101" s="9" t="n">
        <x:v>-0.3453478104</x:v>
      </x:c>
      <x:c r="P4101" s="9" t="n">
        <x:v>0.1687697161</x:v>
      </x:c>
      <x:c r="Q4101" s="9" t="n">
        <x:v>0.2570977918</x:v>
      </x:c>
      <x:c r="R4101" s="3" t="b">
        <x:v>0</x:v>
      </x:c>
      <x:c r="S4101" s="3" t="b">
        <x:v>0</x:v>
      </x:c>
      <x:c r="T4101" s="3" t="b">
        <x:v>0</x:v>
      </x:c>
      <x:c r="U4101" s="2" t="str">
        <x:f>IF(T4101=TRUE,"Priority review",IF(R4101=TRUE,"High cost",IF(S4101=TRUE,"Low quality","Benchmark")))</x:f>
        <x:v>Benchmark</x:v>
      </x:c>
    </x:row>
    <x:row r="4102">
      <x:c r="A4102" s="2" t="str">
        <x:v>150146</x:v>
      </x:c>
      <x:c r="B4102" s="2" t="str">
        <x:v>PARKVIEW NOBLE HOSPITAL</x:v>
      </x:c>
      <x:c r="C4102" s="2" t="str">
        <x:v>KENDALLVILLE</x:v>
      </x:c>
      <x:c r="D4102" s="2" t="str">
        <x:v>IN</x:v>
      </x:c>
      <x:c r="E4102" s="2" t="str">
        <x:v>Acute Care Hospitals</x:v>
      </x:c>
      <x:c r="F4102" s="2" t="str">
        <x:v>Voluntary non-profit</x:v>
      </x:c>
      <x:c r="G4102" s="2" t="str">
        <x:v>Small (&lt;100 beds)</x:v>
      </x:c>
      <x:c r="H4102" s="7" t="n">
        <x:v>3</x:v>
      </x:c>
      <x:c r="I4102" s="7" t="n">
        <x:v>3</x:v>
      </x:c>
      <x:c r="J4102" s="7" t="n">
        <x:v>0.9</x:v>
      </x:c>
      <x:c r="K4102" s="8" t="n">
        <x:v>31</x:v>
      </x:c>
      <x:c r="L4102" s="8" t="n">
        <x:v>2106</x:v>
      </x:c>
      <x:c r="M4102" s="9" t="n">
        <x:v>0.481667548</x:v>
      </x:c>
      <x:c r="N4102" s="10" t="n">
        <x:v>31869.7245963913</x:v>
      </x:c>
      <x:c r="O4102" s="9" t="n">
        <x:v>0.1334424453</x:v>
      </x:c>
      <x:c r="P4102" s="9" t="n">
        <x:v>0.1687612208</x:v>
      </x:c>
      <x:c r="Q4102" s="9" t="n">
        <x:v>0.1687612208</x:v>
      </x:c>
      <x:c r="R4102" s="3" t="b">
        <x:v>0</x:v>
      </x:c>
      <x:c r="S4102" s="3" t="b">
        <x:v>0</x:v>
      </x:c>
      <x:c r="T4102" s="3" t="b">
        <x:v>0</x:v>
      </x:c>
      <x:c r="U4102" s="2" t="str">
        <x:f>IF(T4102=TRUE,"Priority review",IF(R4102=TRUE,"High cost",IF(S4102=TRUE,"Low quality","Benchmark")))</x:f>
        <x:v>Benchmark</x:v>
      </x:c>
    </x:row>
    <x:row r="4103">
      <x:c r="A4103" s="2" t="str">
        <x:v>050115</x:v>
      </x:c>
      <x:c r="B4103" s="2" t="str">
        <x:v>PALOMAR HEALTH DOWNTOWN CAMPUS</x:v>
      </x:c>
      <x:c r="C4103" s="2" t="str">
        <x:v>ESCONDIDO</x:v>
      </x:c>
      <x:c r="D4103" s="2" t="str">
        <x:v>CA</x:v>
      </x:c>
      <x:c r="E4103" s="2" t="str">
        <x:v>Acute Care Hospitals</x:v>
      </x:c>
      <x:c r="F4103" s="2" t="str">
        <x:v>Government</x:v>
      </x:c>
      <x:c r="G4103" s="2" t="str">
        <x:v>Medium (100-299 beds)</x:v>
      </x:c>
      <x:c r="H4103" s="7" t="n">
        <x:v>3</x:v>
      </x:c>
      <x:c r="I4103" s="7" t="n">
        <x:v>2</x:v>
      </x:c>
      <x:c r="J4103" s="7" t="n">
        <x:v>1.12</x:v>
      </x:c>
      <x:c r="K4103" s="8" t="n">
        <x:v>292</x:v>
      </x:c>
      <x:c r="L4103" s="8" t="n">
        <x:v>29984</x:v>
      </x:c>
      <x:c r="M4103" s="9" t="n">
        <x:v>0.9112685307</x:v>
      </x:c>
      <x:c r="N4103" s="10" t="n">
        <x:v>22460.3013273746</x:v>
      </x:c>
      <x:c r="O4103" s="9" t="n">
        <x:v>-0.0710725504</x:v>
      </x:c>
      <x:c r="P4103" s="9" t="n">
        <x:v>0.1687041565</x:v>
      </x:c>
      <x:c r="Q4103" s="9" t="n">
        <x:v>0.3023634882</x:v>
      </x:c>
      <x:c r="R4103" s="3" t="b">
        <x:v>0</x:v>
      </x:c>
      <x:c r="S4103" s="3" t="b">
        <x:v>0</x:v>
      </x:c>
      <x:c r="T4103" s="3" t="b">
        <x:v>0</x:v>
      </x:c>
      <x:c r="U4103" s="2" t="str">
        <x:f>IF(T4103=TRUE,"Priority review",IF(R4103=TRUE,"High cost",IF(S4103=TRUE,"Low quality","Benchmark")))</x:f>
        <x:v>Benchmark</x:v>
      </x:c>
    </x:row>
    <x:row r="4104">
      <x:c r="A4104" s="2" t="str">
        <x:v>194073</x:v>
      </x:c>
      <x:c r="B4104" s="2" t="str">
        <x:v>OCEANS HOSPITAL OF BROUSSARD</x:v>
      </x:c>
      <x:c r="C4104" s="2" t="str">
        <x:v>BROUSSARD</x:v>
      </x:c>
      <x:c r="D4104" s="2" t="str">
        <x:v>LA</x:v>
      </x:c>
      <x:c r="E4104" s="2" t="str">
        <x:v>Psychiatric</x:v>
      </x:c>
      <x:c r="F4104" s="2" t="str">
        <x:v>Proprietary</x:v>
      </x:c>
      <x:c r="G4104" s="2" t="str">
        <x:v>Small (&lt;100 beds)</x:v>
      </x:c>
      <x:c r="H4104" s="7"/>
      <x:c r="I4104" s="7"/>
      <x:c r="J4104" s="7"/>
      <x:c r="K4104" s="8" t="n">
        <x:v>38</x:v>
      </x:c>
      <x:c r="L4104" s="8" t="n">
        <x:v>1382</x:v>
      </x:c>
      <x:c r="M4104" s="9" t="n">
        <x:v>0.8590739143</x:v>
      </x:c>
      <x:c r="N4104" s="10" t="n">
        <x:v>7417.0383502171</x:v>
      </x:c>
      <x:c r="O4104" s="9" t="n">
        <x:v>0.1661468887</x:v>
      </x:c>
      <x:c r="P4104" s="9" t="n">
        <x:v>0.1682847896</x:v>
      </x:c>
      <x:c r="Q4104" s="9" t="n">
        <x:v>0</x:v>
      </x:c>
      <x:c r="R4104" s="3" t="b">
        <x:v>0</x:v>
      </x:c>
      <x:c r="S4104" s="3" t="b">
        <x:v>0</x:v>
      </x:c>
      <x:c r="T4104" s="3" t="b">
        <x:v>0</x:v>
      </x:c>
      <x:c r="U4104" s="2" t="str">
        <x:f>IF(T4104=TRUE,"Priority review",IF(R4104=TRUE,"High cost",IF(S4104=TRUE,"Low quality","Benchmark")))</x:f>
        <x:v>Benchmark</x:v>
      </x:c>
    </x:row>
    <x:row r="4105">
      <x:c r="A4105" s="2" t="str">
        <x:v>041312</x:v>
      </x:c>
      <x:c r="B4105" s="2" t="str">
        <x:v>BAPTIST HEALTH MEDICAL CENTER HEBER SPRINGS</x:v>
      </x:c>
      <x:c r="C4105" s="2" t="str">
        <x:v>HEBER SPRINGS</x:v>
      </x:c>
      <x:c r="D4105" s="2" t="str">
        <x:v>AR</x:v>
      </x:c>
      <x:c r="E4105" s="2" t="str">
        <x:v>Critical Access Hospitals</x:v>
      </x:c>
      <x:c r="F4105" s="2" t="str">
        <x:v>Voluntary non-profit</x:v>
      </x:c>
      <x:c r="G4105" s="2" t="str">
        <x:v>Small (&lt;100 beds)</x:v>
      </x:c>
      <x:c r="H4105" s="7" t="n">
        <x:v>3</x:v>
      </x:c>
      <x:c r="I4105" s="7"/>
      <x:c r="J4105" s="7"/>
      <x:c r="K4105" s="8" t="n">
        <x:v>25</x:v>
      </x:c>
      <x:c r="L4105" s="8" t="n">
        <x:v>385</x:v>
      </x:c>
      <x:c r="M4105" s="9" t="n">
        <x:v>0.1143169399</x:v>
      </x:c>
      <x:c r="N4105" s="10" t="n">
        <x:v>74317.6285714286</x:v>
      </x:c>
      <x:c r="O4105" s="9" t="n">
        <x:v>-0.0301319947</x:v>
      </x:c>
      <x:c r="P4105" s="9" t="n">
        <x:v>0.1680297398</x:v>
      </x:c>
      <x:c r="Q4105" s="9" t="n">
        <x:v>0.0765799257</x:v>
      </x:c>
      <x:c r="R4105" s="3" t="b">
        <x:v>0</x:v>
      </x:c>
      <x:c r="S4105" s="3" t="b">
        <x:v>1</x:v>
      </x:c>
      <x:c r="T4105" s="3" t="b">
        <x:v>0</x:v>
      </x:c>
      <x:c r="U4105" s="2" t="str">
        <x:f>IF(T4105=TRUE,"Priority review",IF(R4105=TRUE,"High cost",IF(S4105=TRUE,"Low quality","Benchmark")))</x:f>
        <x:v>Low quality</x:v>
      </x:c>
    </x:row>
    <x:row r="4106">
      <x:c r="A4106" s="2" t="str">
        <x:v>100117</x:v>
      </x:c>
      <x:c r="B4106" s="2" t="str">
        <x:v>BAPTIST MEDICAL CENTER  BEACHES</x:v>
      </x:c>
      <x:c r="C4106" s="2" t="str">
        <x:v>JACKSONVILLE BEACH</x:v>
      </x:c>
      <x:c r="D4106" s="2" t="str">
        <x:v>FL</x:v>
      </x:c>
      <x:c r="E4106" s="2" t="str">
        <x:v>Acute Care Hospitals</x:v>
      </x:c>
      <x:c r="F4106" s="2" t="str">
        <x:v>Voluntary non-profit</x:v>
      </x:c>
      <x:c r="G4106" s="2" t="str">
        <x:v>Medium (100-299 beds)</x:v>
      </x:c>
      <x:c r="H4106" s="7" t="n">
        <x:v>4</x:v>
      </x:c>
      <x:c r="I4106" s="7" t="n">
        <x:v>4</x:v>
      </x:c>
      <x:c r="J4106" s="7" t="n">
        <x:v>1</x:v>
      </x:c>
      <x:c r="K4106" s="8" t="n">
        <x:v>135</x:v>
      </x:c>
      <x:c r="L4106" s="8" t="n">
        <x:v>8135</x:v>
      </x:c>
      <x:c r="M4106" s="9" t="n">
        <x:v>0.7230924914</x:v>
      </x:c>
      <x:c r="N4106" s="10" t="n">
        <x:v>22431.3851259988</x:v>
      </x:c>
      <x:c r="O4106" s="9" t="n">
        <x:v>0.1423113628</x:v>
      </x:c>
      <x:c r="P4106" s="9" t="n">
        <x:v>0.1678891606</x:v>
      </x:c>
      <x:c r="Q4106" s="9" t="n">
        <x:v>0.6022819886</x:v>
      </x:c>
      <x:c r="R4106" s="3" t="b">
        <x:v>0</x:v>
      </x:c>
      <x:c r="S4106" s="3" t="b">
        <x:v>0</x:v>
      </x:c>
      <x:c r="T4106" s="3" t="b">
        <x:v>0</x:v>
      </x:c>
      <x:c r="U4106" s="2" t="str">
        <x:f>IF(T4106=TRUE,"Priority review",IF(R4106=TRUE,"High cost",IF(S4106=TRUE,"Low quality","Benchmark")))</x:f>
        <x:v>Benchmark</x:v>
      </x:c>
    </x:row>
    <x:row r="4107">
      <x:c r="A4107" s="2" t="str">
        <x:v>520091</x:v>
      </x:c>
      <x:c r="B4107" s="2" t="str">
        <x:v>HOWARD YOUNG MEDICAL CENTER</x:v>
      </x:c>
      <x:c r="C4107" s="2" t="str">
        <x:v>WOODRUFF</x:v>
      </x:c>
      <x:c r="D4107" s="2" t="str">
        <x:v>WI</x:v>
      </x:c>
      <x:c r="E4107" s="2" t="str">
        <x:v>Acute Care Hospitals</x:v>
      </x:c>
      <x:c r="F4107" s="2" t="str">
        <x:v>Voluntary non-profit</x:v>
      </x:c>
      <x:c r="G4107" s="2" t="str">
        <x:v>Small (&lt;100 beds)</x:v>
      </x:c>
      <x:c r="H4107" s="7" t="n">
        <x:v>4</x:v>
      </x:c>
      <x:c r="I4107" s="7" t="n">
        <x:v>4</x:v>
      </x:c>
      <x:c r="J4107" s="7" t="n">
        <x:v>0.94</x:v>
      </x:c>
      <x:c r="K4107" s="8" t="n">
        <x:v>42</x:v>
      </x:c>
      <x:c r="L4107" s="8" t="n">
        <x:v>1304</x:v>
      </x:c>
      <x:c r="M4107" s="9" t="n">
        <x:v>0.344357469</x:v>
      </x:c>
      <x:c r="N4107" s="10" t="n">
        <x:v>31700.7208588957</x:v>
      </x:c>
      <x:c r="O4107" s="9" t="n">
        <x:v>-0.0586956679</x:v>
      </x:c>
      <x:c r="P4107" s="9" t="n">
        <x:v>0.1678635548</x:v>
      </x:c>
      <x:c r="Q4107" s="9" t="n">
        <x:v>0.3913824057</x:v>
      </x:c>
      <x:c r="R4107" s="3" t="b">
        <x:v>0</x:v>
      </x:c>
      <x:c r="S4107" s="3" t="b">
        <x:v>0</x:v>
      </x:c>
      <x:c r="T4107" s="3" t="b">
        <x:v>0</x:v>
      </x:c>
      <x:c r="U4107" s="2" t="str">
        <x:f>IF(T4107=TRUE,"Priority review",IF(R4107=TRUE,"High cost",IF(S4107=TRUE,"Low quality","Benchmark")))</x:f>
        <x:v>Benchmark</x:v>
      </x:c>
    </x:row>
    <x:row r="4108">
      <x:c r="A4108" s="2" t="str">
        <x:v>521326</x:v>
      </x:c>
      <x:c r="B4108" s="2" t="str">
        <x:v>THEDACARE MEDICAL CENTER - NEW LONDON</x:v>
      </x:c>
      <x:c r="C4108" s="2" t="str">
        <x:v>NEW LONDON</x:v>
      </x:c>
      <x:c r="D4108" s="2" t="str">
        <x:v>WI</x:v>
      </x:c>
      <x:c r="E4108" s="2" t="str">
        <x:v>Critical Access Hospitals</x:v>
      </x:c>
      <x:c r="F4108" s="2" t="str">
        <x:v>Voluntary non-profit</x:v>
      </x:c>
      <x:c r="G4108" s="2" t="str">
        <x:v>Small (&lt;100 beds)</x:v>
      </x:c>
      <x:c r="H4108" s="7"/>
      <x:c r="I4108" s="7"/>
      <x:c r="J4108" s="7"/>
      <x:c r="K4108" s="8" t="n">
        <x:v>17</x:v>
      </x:c>
      <x:c r="L4108" s="8" t="n">
        <x:v>462</x:v>
      </x:c>
      <x:c r="M4108" s="9" t="n">
        <x:v>0.3553585818</x:v>
      </x:c>
      <x:c r="N4108" s="10" t="n">
        <x:v>73858.0800865801</x:v>
      </x:c>
      <x:c r="O4108" s="9" t="n">
        <x:v>0.098486617</x:v>
      </x:c>
      <x:c r="P4108" s="9" t="n">
        <x:v>0.1672862454</x:v>
      </x:c>
      <x:c r="Q4108" s="9" t="n">
        <x:v>0.292936803</x:v>
      </x:c>
      <x:c r="R4108" s="3" t="b">
        <x:v>0</x:v>
      </x:c>
      <x:c r="S4108" s="3" t="b">
        <x:v>0</x:v>
      </x:c>
      <x:c r="T4108" s="3" t="b">
        <x:v>0</x:v>
      </x:c>
      <x:c r="U4108" s="2" t="str">
        <x:f>IF(T4108=TRUE,"Priority review",IF(R4108=TRUE,"High cost",IF(S4108=TRUE,"Low quality","Benchmark")))</x:f>
        <x:v>Benchmark</x:v>
      </x:c>
    </x:row>
    <x:row r="4109">
      <x:c r="A4109" s="2" t="str">
        <x:v>520083</x:v>
      </x:c>
      <x:c r="B4109" s="2" t="str">
        <x:v>SSM HEALTH ST MARY'S HOSPITAL - MADISON</x:v>
      </x:c>
      <x:c r="C4109" s="2" t="str">
        <x:v>MADISON</x:v>
      </x:c>
      <x:c r="D4109" s="2" t="str">
        <x:v>WI</x:v>
      </x:c>
      <x:c r="E4109" s="2" t="str">
        <x:v>Acute Care Hospitals</x:v>
      </x:c>
      <x:c r="F4109" s="2" t="str">
        <x:v>Voluntary non-profit</x:v>
      </x:c>
      <x:c r="G4109" s="2" t="str">
        <x:v>Large (300+ beds)</x:v>
      </x:c>
      <x:c r="H4109" s="7" t="n">
        <x:v>4</x:v>
      </x:c>
      <x:c r="I4109" s="7" t="n">
        <x:v>4</x:v>
      </x:c>
      <x:c r="J4109" s="7" t="n">
        <x:v>0.93</x:v>
      </x:c>
      <x:c r="K4109" s="8" t="n">
        <x:v>354</x:v>
      </x:c>
      <x:c r="L4109" s="8" t="n">
        <x:v>18233</x:v>
      </x:c>
      <x:c r="M4109" s="9" t="n">
        <x:v>0.6786838937</x:v>
      </x:c>
      <x:c r="N4109" s="10" t="n">
        <x:v>25849.3822190534</x:v>
      </x:c>
      <x:c r="O4109" s="9" t="n">
        <x:v>0.2287104092</x:v>
      </x:c>
      <x:c r="P4109" s="9" t="n">
        <x:v>0.167192429</x:v>
      </x:c>
      <x:c r="Q4109" s="9" t="n">
        <x:v>0.5899053628</x:v>
      </x:c>
      <x:c r="R4109" s="3" t="b">
        <x:v>0</x:v>
      </x:c>
      <x:c r="S4109" s="3" t="b">
        <x:v>0</x:v>
      </x:c>
      <x:c r="T4109" s="3" t="b">
        <x:v>0</x:v>
      </x:c>
      <x:c r="U4109" s="2" t="str">
        <x:f>IF(T4109=TRUE,"Priority review",IF(R4109=TRUE,"High cost",IF(S4109=TRUE,"Low quality","Benchmark")))</x:f>
        <x:v>Benchmark</x:v>
      </x:c>
    </x:row>
    <x:row r="4110">
      <x:c r="A4110" s="2" t="str">
        <x:v>490048</x:v>
      </x:c>
      <x:c r="B4110" s="2" t="str">
        <x:v>LEWISGALE MEDICAL CENTER</x:v>
      </x:c>
      <x:c r="C4110" s="2" t="str">
        <x:v>SALEM</x:v>
      </x:c>
      <x:c r="D4110" s="2" t="str">
        <x:v>VA</x:v>
      </x:c>
      <x:c r="E4110" s="2" t="str">
        <x:v>Acute Care Hospitals</x:v>
      </x:c>
      <x:c r="F4110" s="2" t="str">
        <x:v>Proprietary</x:v>
      </x:c>
      <x:c r="G4110" s="2" t="str">
        <x:v>Medium (100-299 beds)</x:v>
      </x:c>
      <x:c r="H4110" s="7" t="n">
        <x:v>2</x:v>
      </x:c>
      <x:c r="I4110" s="7" t="n">
        <x:v>2</x:v>
      </x:c>
      <x:c r="J4110" s="7" t="n">
        <x:v>1.05</x:v>
      </x:c>
      <x:c r="K4110" s="8" t="n">
        <x:v>271</x:v>
      </x:c>
      <x:c r="L4110" s="8" t="n">
        <x:v>16639</x:v>
      </x:c>
      <x:c r="M4110" s="9" t="n">
        <x:v>0.7714193535</x:v>
      </x:c>
      <x:c r="N4110" s="10" t="n">
        <x:v>22417.0581765731</x:v>
      </x:c>
      <x:c r="O4110" s="9" t="n">
        <x:v>0.3078658506</x:v>
      </x:c>
      <x:c r="P4110" s="9" t="n">
        <x:v>0.1670741646</x:v>
      </x:c>
      <x:c r="Q4110" s="9" t="n">
        <x:v>0.0782396088</x:v>
      </x:c>
      <x:c r="R4110" s="3" t="b">
        <x:v>0</x:v>
      </x:c>
      <x:c r="S4110" s="3" t="b">
        <x:v>1</x:v>
      </x:c>
      <x:c r="T4110" s="3" t="b">
        <x:v>0</x:v>
      </x:c>
      <x:c r="U4110" s="2" t="str">
        <x:f>IF(T4110=TRUE,"Priority review",IF(R4110=TRUE,"High cost",IF(S4110=TRUE,"Low quality","Benchmark")))</x:f>
        <x:v>Low quality</x:v>
      </x:c>
    </x:row>
    <x:row r="4111">
      <x:c r="A4111" s="2" t="str">
        <x:v>170142</x:v>
      </x:c>
      <x:c r="B4111" s="2" t="str">
        <x:v>ASCENSION VIA CHRISTI HOSPITAL MANHATTAN, INC</x:v>
      </x:c>
      <x:c r="C4111" s="2" t="str">
        <x:v>MANHATTAN</x:v>
      </x:c>
      <x:c r="D4111" s="2" t="str">
        <x:v>KS</x:v>
      </x:c>
      <x:c r="E4111" s="2" t="str">
        <x:v>Acute Care Hospitals</x:v>
      </x:c>
      <x:c r="F4111" s="2" t="str">
        <x:v>Voluntary non-profit</x:v>
      </x:c>
      <x:c r="G4111" s="2" t="str">
        <x:v>Small (&lt;100 beds)</x:v>
      </x:c>
      <x:c r="H4111" s="7" t="n">
        <x:v>4</x:v>
      </x:c>
      <x:c r="I4111" s="7" t="n">
        <x:v>3</x:v>
      </x:c>
      <x:c r="J4111" s="7" t="n">
        <x:v>0.94</x:v>
      </x:c>
      <x:c r="K4111" s="8" t="n">
        <x:v>84</x:v>
      </x:c>
      <x:c r="L4111" s="8" t="n">
        <x:v>3259</x:v>
      </x:c>
      <x:c r="M4111" s="9" t="n">
        <x:v>0.4076647097</x:v>
      </x:c>
      <x:c r="N4111" s="10" t="n">
        <x:v>31650.0764038048</x:v>
      </x:c>
      <x:c r="O4111" s="9" t="n">
        <x:v>-0.0164289386</x:v>
      </x:c>
      <x:c r="P4111" s="9" t="n">
        <x:v>0.1669658887</x:v>
      </x:c>
      <x:c r="Q4111" s="9" t="n">
        <x:v>0.3913824057</x:v>
      </x:c>
      <x:c r="R4111" s="3" t="b">
        <x:v>0</x:v>
      </x:c>
      <x:c r="S4111" s="3" t="b">
        <x:v>0</x:v>
      </x:c>
      <x:c r="T4111" s="3" t="b">
        <x:v>0</x:v>
      </x:c>
      <x:c r="U4111" s="2" t="str">
        <x:f>IF(T4111=TRUE,"Priority review",IF(R4111=TRUE,"High cost",IF(S4111=TRUE,"Low quality","Benchmark")))</x:f>
        <x:v>Benchmark</x:v>
      </x:c>
    </x:row>
    <x:row r="4112">
      <x:c r="A4112" s="2" t="str">
        <x:v>123300</x:v>
      </x:c>
      <x:c r="B4112" s="2" t="str">
        <x:v>KAPIOLANI MEDICAL CENTER FOR WOMEN &amp; CHILDREN</x:v>
      </x:c>
      <x:c r="C4112" s="2" t="str">
        <x:v>HONOLULU</x:v>
      </x:c>
      <x:c r="D4112" s="2" t="str">
        <x:v>HI</x:v>
      </x:c>
      <x:c r="E4112" s="2" t="str">
        <x:v>Childrens</x:v>
      </x:c>
      <x:c r="F4112" s="2" t="str">
        <x:v>Voluntary non-profit</x:v>
      </x:c>
      <x:c r="G4112" s="2" t="str">
        <x:v>Medium (100-299 beds)</x:v>
      </x:c>
      <x:c r="H4112" s="7"/>
      <x:c r="I4112" s="7"/>
      <x:c r="J4112" s="7"/>
      <x:c r="K4112" s="8" t="n">
        <x:v>253</x:v>
      </x:c>
      <x:c r="L4112" s="8" t="n">
        <x:v>8763</x:v>
      </x:c>
      <x:c r="M4112" s="9" t="n">
        <x:v>0.6928366452</x:v>
      </x:c>
      <x:c r="N4112" s="10" t="n">
        <x:v>50117.6522880292</x:v>
      </x:c>
      <x:c r="O4112" s="9" t="n">
        <x:v>0.0263155684</x:v>
      </x:c>
      <x:c r="P4112" s="9" t="n">
        <x:v>0.1666666667</x:v>
      </x:c>
      <x:c r="Q4112" s="9" t="n">
        <x:v>0</x:v>
      </x:c>
      <x:c r="R4112" s="3" t="b">
        <x:v>0</x:v>
      </x:c>
      <x:c r="S4112" s="3" t="b">
        <x:v>0</x:v>
      </x:c>
      <x:c r="T4112" s="3" t="b">
        <x:v>0</x:v>
      </x:c>
      <x:c r="U4112" s="2" t="str">
        <x:f>IF(T4112=TRUE,"Priority review",IF(R4112=TRUE,"High cost",IF(S4112=TRUE,"Low quality","Benchmark")))</x:f>
        <x:v>Benchmark</x:v>
      </x:c>
    </x:row>
    <x:row r="4113">
      <x:c r="A4113" s="2" t="str">
        <x:v>511309</x:v>
      </x:c>
      <x:c r="B4113" s="2" t="str">
        <x:v>VALLEY HEALTH WAR MEMORIAL HOSPITAL</x:v>
      </x:c>
      <x:c r="C4113" s="2" t="str">
        <x:v>BERKELEY SPRINGS</x:v>
      </x:c>
      <x:c r="D4113" s="2" t="str">
        <x:v>WV</x:v>
      </x:c>
      <x:c r="E4113" s="2" t="str">
        <x:v>Critical Access Hospitals</x:v>
      </x:c>
      <x:c r="F4113" s="2" t="str">
        <x:v>Voluntary non-profit</x:v>
      </x:c>
      <x:c r="G4113" s="2" t="str">
        <x:v>Small (&lt;100 beds)</x:v>
      </x:c>
      <x:c r="H4113" s="7" t="n">
        <x:v>5</x:v>
      </x:c>
      <x:c r="I4113" s="7" t="n">
        <x:v>5</x:v>
      </x:c>
      <x:c r="J4113" s="7"/>
      <x:c r="K4113" s="8" t="n">
        <x:v>25</x:v>
      </x:c>
      <x:c r="L4113" s="8" t="n">
        <x:v>491</x:v>
      </x:c>
      <x:c r="M4113" s="9" t="n">
        <x:v>0.4229508197</x:v>
      </x:c>
      <x:c r="N4113" s="10" t="n">
        <x:v>73845.4114052953</x:v>
      </x:c>
      <x:c r="O4113" s="9" t="n">
        <x:v>0.0353901627</x:v>
      </x:c>
      <x:c r="P4113" s="9" t="n">
        <x:v>0.1665427509</x:v>
      </x:c>
      <x:c r="Q4113" s="9" t="n">
        <x:v>0.2602230483</x:v>
      </x:c>
      <x:c r="R4113" s="3" t="b">
        <x:v>0</x:v>
      </x:c>
      <x:c r="S4113" s="3" t="b">
        <x:v>0</x:v>
      </x:c>
      <x:c r="T4113" s="3" t="b">
        <x:v>0</x:v>
      </x:c>
      <x:c r="U4113" s="2" t="str">
        <x:f>IF(T4113=TRUE,"Priority review",IF(R4113=TRUE,"High cost",IF(S4113=TRUE,"Low quality","Benchmark")))</x:f>
        <x:v>Benchmark</x:v>
      </x:c>
    </x:row>
    <x:row r="4114">
      <x:c r="A4114" s="2" t="str">
        <x:v>450669</x:v>
      </x:c>
      <x:c r="B4114" s="2" t="str">
        <x:v>MEDICAL CITY LEWISVILLE</x:v>
      </x:c>
      <x:c r="C4114" s="2" t="str">
        <x:v>LEWISVILLE</x:v>
      </x:c>
      <x:c r="D4114" s="2" t="str">
        <x:v>TX</x:v>
      </x:c>
      <x:c r="E4114" s="2" t="str">
        <x:v>Acute Care Hospitals</x:v>
      </x:c>
      <x:c r="F4114" s="2" t="str">
        <x:v>Voluntary non-profit</x:v>
      </x:c>
      <x:c r="G4114" s="2" t="str">
        <x:v>Medium (100-299 beds)</x:v>
      </x:c>
      <x:c r="H4114" s="7" t="n">
        <x:v>3</x:v>
      </x:c>
      <x:c r="I4114" s="7" t="n">
        <x:v>3</x:v>
      </x:c>
      <x:c r="J4114" s="7" t="n">
        <x:v>1.1</x:v>
      </x:c>
      <x:c r="K4114" s="8" t="n">
        <x:v>148</x:v>
      </x:c>
      <x:c r="L4114" s="8" t="n">
        <x:v>8135</x:v>
      </x:c>
      <x:c r="M4114" s="9" t="n">
        <x:v>0.6677380399</x:v>
      </x:c>
      <x:c r="N4114" s="10" t="n">
        <x:v>22400.0859250154</x:v>
      </x:c>
      <x:c r="O4114" s="9" t="n">
        <x:v>0.1697064914</x:v>
      </x:c>
      <x:c r="P4114" s="9" t="n">
        <x:v>0.1662591687</x:v>
      </x:c>
      <x:c r="Q4114" s="9" t="n">
        <x:v>0.3023634882</x:v>
      </x:c>
      <x:c r="R4114" s="3" t="b">
        <x:v>0</x:v>
      </x:c>
      <x:c r="S4114" s="3" t="b">
        <x:v>0</x:v>
      </x:c>
      <x:c r="T4114" s="3" t="b">
        <x:v>0</x:v>
      </x:c>
      <x:c r="U4114" s="2" t="str">
        <x:f>IF(T4114=TRUE,"Priority review",IF(R4114=TRUE,"High cost",IF(S4114=TRUE,"Low quality","Benchmark")))</x:f>
        <x:v>Benchmark</x:v>
      </x:c>
    </x:row>
    <x:row r="4115">
      <x:c r="A4115" s="2" t="str">
        <x:v>460023</x:v>
      </x:c>
      <x:c r="B4115" s="2" t="str">
        <x:v>AMERICAN FORK HOSPITAL</x:v>
      </x:c>
      <x:c r="C4115" s="2" t="str">
        <x:v>AMERICAN FORK</x:v>
      </x:c>
      <x:c r="D4115" s="2" t="str">
        <x:v>UT</x:v>
      </x:c>
      <x:c r="E4115" s="2" t="str">
        <x:v>Acute Care Hospitals</x:v>
      </x:c>
      <x:c r="F4115" s="2" t="str">
        <x:v>Voluntary non-profit</x:v>
      </x:c>
      <x:c r="G4115" s="2" t="str">
        <x:v>Small (&lt;100 beds)</x:v>
      </x:c>
      <x:c r="H4115" s="7" t="n">
        <x:v>4</x:v>
      </x:c>
      <x:c r="I4115" s="7" t="n">
        <x:v>4</x:v>
      </x:c>
      <x:c r="J4115" s="7" t="n">
        <x:v>0.88</x:v>
      </x:c>
      <x:c r="K4115" s="8" t="n">
        <x:v>89</x:v>
      </x:c>
      <x:c r="L4115" s="8" t="n">
        <x:v>6687</x:v>
      </x:c>
      <x:c r="M4115" s="9" t="n">
        <x:v>0.6982255787</x:v>
      </x:c>
      <x:c r="N4115" s="10" t="n">
        <x:v>31619.0167489158</x:v>
      </x:c>
      <x:c r="O4115" s="9" t="n">
        <x:v>0.243172496</x:v>
      </x:c>
      <x:c r="P4115" s="9" t="n">
        <x:v>0.1660682226</x:v>
      </x:c>
      <x:c r="Q4115" s="9" t="n">
        <x:v>0.3913824057</x:v>
      </x:c>
      <x:c r="R4115" s="3" t="b">
        <x:v>0</x:v>
      </x:c>
      <x:c r="S4115" s="3" t="b">
        <x:v>0</x:v>
      </x:c>
      <x:c r="T4115" s="3" t="b">
        <x:v>0</x:v>
      </x:c>
      <x:c r="U4115" s="2" t="str">
        <x:f>IF(T4115=TRUE,"Priority review",IF(R4115=TRUE,"High cost",IF(S4115=TRUE,"Low quality","Benchmark")))</x:f>
        <x:v>Benchmark</x:v>
      </x:c>
    </x:row>
    <x:row r="4116">
      <x:c r="A4116" s="2" t="str">
        <x:v>511320</x:v>
      </x:c>
      <x:c r="B4116" s="2" t="str">
        <x:v>JACKSON GENERAL HOSPITAL</x:v>
      </x:c>
      <x:c r="C4116" s="2" t="str">
        <x:v>RIPLEY</x:v>
      </x:c>
      <x:c r="D4116" s="2" t="str">
        <x:v>WV</x:v>
      </x:c>
      <x:c r="E4116" s="2" t="str">
        <x:v>Critical Access Hospitals</x:v>
      </x:c>
      <x:c r="F4116" s="2" t="str">
        <x:v>Voluntary non-profit</x:v>
      </x:c>
      <x:c r="G4116" s="2" t="str">
        <x:v>Small (&lt;100 beds)</x:v>
      </x:c>
      <x:c r="H4116" s="7" t="n">
        <x:v>3</x:v>
      </x:c>
      <x:c r="I4116" s="7" t="n">
        <x:v>5</x:v>
      </x:c>
      <x:c r="J4116" s="7"/>
      <x:c r="K4116" s="8" t="n">
        <x:v>25</x:v>
      </x:c>
      <x:c r="L4116" s="8" t="n">
        <x:v>708</x:v>
      </x:c>
      <x:c r="M4116" s="9" t="n">
        <x:v>0.4106010929</x:v>
      </x:c>
      <x:c r="N4116" s="10" t="n">
        <x:v>73647.3192090395</x:v>
      </x:c>
      <x:c r="O4116" s="9" t="n">
        <x:v>0.0084354948</x:v>
      </x:c>
      <x:c r="P4116" s="9" t="n">
        <x:v>0.1657992565</x:v>
      </x:c>
      <x:c r="Q4116" s="9" t="n">
        <x:v>0.0765799257</x:v>
      </x:c>
      <x:c r="R4116" s="3" t="b">
        <x:v>0</x:v>
      </x:c>
      <x:c r="S4116" s="3" t="b">
        <x:v>1</x:v>
      </x:c>
      <x:c r="T4116" s="3" t="b">
        <x:v>0</x:v>
      </x:c>
      <x:c r="U4116" s="2" t="str">
        <x:f>IF(T4116=TRUE,"Priority review",IF(R4116=TRUE,"High cost",IF(S4116=TRUE,"Low quality","Benchmark")))</x:f>
        <x:v>Low quality</x:v>
      </x:c>
    </x:row>
    <x:row r="4117">
      <x:c r="A4117" s="2" t="str">
        <x:v>490067</x:v>
      </x:c>
      <x:c r="B4117" s="2" t="str">
        <x:v>BON SECOURS SOUTHSIDE MEDICAL CENTER</x:v>
      </x:c>
      <x:c r="C4117" s="2" t="str">
        <x:v>PETERSBURG</x:v>
      </x:c>
      <x:c r="D4117" s="2" t="str">
        <x:v>VA</x:v>
      </x:c>
      <x:c r="E4117" s="2" t="str">
        <x:v>Acute Care Hospitals</x:v>
      </x:c>
      <x:c r="F4117" s="2" t="str">
        <x:v>Proprietary</x:v>
      </x:c>
      <x:c r="G4117" s="2" t="str">
        <x:v>Large (300+ beds)</x:v>
      </x:c>
      <x:c r="H4117" s="7" t="n">
        <x:v>2</x:v>
      </x:c>
      <x:c r="I4117" s="7" t="n">
        <x:v>3</x:v>
      </x:c>
      <x:c r="J4117" s="7" t="n">
        <x:v>1.11</x:v>
      </x:c>
      <x:c r="K4117" s="8" t="n">
        <x:v>300</x:v>
      </x:c>
      <x:c r="L4117" s="8" t="n">
        <x:v>11489</x:v>
      </x:c>
      <x:c r="M4117" s="9" t="n">
        <x:v>0.540582878</x:v>
      </x:c>
      <x:c r="N4117" s="10" t="n">
        <x:v>25828.5334667943</x:v>
      </x:c>
      <x:c r="O4117" s="9" t="n">
        <x:v>-0.030181961</x:v>
      </x:c>
      <x:c r="P4117" s="9" t="n">
        <x:v>0.165615142</x:v>
      </x:c>
      <x:c r="Q4117" s="9" t="n">
        <x:v>0.0536277603</x:v>
      </x:c>
      <x:c r="R4117" s="3" t="b">
        <x:v>0</x:v>
      </x:c>
      <x:c r="S4117" s="3" t="b">
        <x:v>1</x:v>
      </x:c>
      <x:c r="T4117" s="3" t="b">
        <x:v>0</x:v>
      </x:c>
      <x:c r="U4117" s="2" t="str">
        <x:f>IF(T4117=TRUE,"Priority review",IF(R4117=TRUE,"High cost",IF(S4117=TRUE,"Low quality","Benchmark")))</x:f>
        <x:v>Low quality</x:v>
      </x:c>
    </x:row>
    <x:row r="4118">
      <x:c r="A4118" s="2" t="str">
        <x:v>100321</x:v>
      </x:c>
      <x:c r="B4118" s="2" t="str">
        <x:v>ASCENSION ST VINCENT'S CLAY COUNTY</x:v>
      </x:c>
      <x:c r="C4118" s="2" t="str">
        <x:v>MIDDLEBURG</x:v>
      </x:c>
      <x:c r="D4118" s="2" t="str">
        <x:v>FL</x:v>
      </x:c>
      <x:c r="E4118" s="2" t="str">
        <x:v>Acute Care Hospitals</x:v>
      </x:c>
      <x:c r="F4118" s="2" t="str">
        <x:v>Voluntary non-profit</x:v>
      </x:c>
      <x:c r="G4118" s="2" t="str">
        <x:v>Medium (100-299 beds)</x:v>
      </x:c>
      <x:c r="H4118" s="7" t="n">
        <x:v>3</x:v>
      </x:c>
      <x:c r="I4118" s="7" t="n">
        <x:v>3</x:v>
      </x:c>
      <x:c r="J4118" s="7" t="n">
        <x:v>0.89</x:v>
      </x:c>
      <x:c r="K4118" s="8" t="n">
        <x:v>126</x:v>
      </x:c>
      <x:c r="L4118" s="8" t="n">
        <x:v>6772</x:v>
      </x:c>
      <x:c r="M4118" s="9" t="n">
        <x:v>0.6204392259</x:v>
      </x:c>
      <x:c r="N4118" s="10" t="n">
        <x:v>22369.127731837</x:v>
      </x:c>
      <x:c r="O4118" s="9" t="n">
        <x:v>0.0313852847</x:v>
      </x:c>
      <x:c r="P4118" s="9" t="n">
        <x:v>0.1654441728</x:v>
      </x:c>
      <x:c r="Q4118" s="9" t="n">
        <x:v>0.3023634882</x:v>
      </x:c>
      <x:c r="R4118" s="3" t="b">
        <x:v>0</x:v>
      </x:c>
      <x:c r="S4118" s="3" t="b">
        <x:v>0</x:v>
      </x:c>
      <x:c r="T4118" s="3" t="b">
        <x:v>0</x:v>
      </x:c>
      <x:c r="U4118" s="2" t="str">
        <x:f>IF(T4118=TRUE,"Priority review",IF(R4118=TRUE,"High cost",IF(S4118=TRUE,"Low quality","Benchmark")))</x:f>
        <x:v>Benchmark</x:v>
      </x:c>
    </x:row>
    <x:row r="4119">
      <x:c r="A4119" s="2" t="str">
        <x:v>170186</x:v>
      </x:c>
      <x:c r="B4119" s="2" t="str">
        <x:v>KANSAS HEART HOSPITAL</x:v>
      </x:c>
      <x:c r="C4119" s="2" t="str">
        <x:v>WICHITA</x:v>
      </x:c>
      <x:c r="D4119" s="2" t="str">
        <x:v>KS</x:v>
      </x:c>
      <x:c r="E4119" s="2" t="str">
        <x:v>Acute Care Hospitals</x:v>
      </x:c>
      <x:c r="F4119" s="2" t="str">
        <x:v>Proprietary</x:v>
      </x:c>
      <x:c r="G4119" s="2" t="str">
        <x:v>Small (&lt;100 beds)</x:v>
      </x:c>
      <x:c r="H4119" s="7" t="n">
        <x:v>4</x:v>
      </x:c>
      <x:c r="I4119" s="7" t="n">
        <x:v>5</x:v>
      </x:c>
      <x:c r="J4119" s="7" t="n">
        <x:v>1.02</x:v>
      </x:c>
      <x:c r="K4119" s="8" t="n">
        <x:v>46</x:v>
      </x:c>
      <x:c r="L4119" s="8" t="n">
        <x:v>1457</x:v>
      </x:c>
      <x:c r="M4119" s="9" t="n">
        <x:v>0.3709313376</x:v>
      </x:c>
      <x:c r="N4119" s="10" t="n">
        <x:v>31509.8874399451</x:v>
      </x:c>
      <x:c r="O4119" s="9" t="n">
        <x:v>-0.001535815</x:v>
      </x:c>
      <x:c r="P4119" s="9" t="n">
        <x:v>0.1651705566</x:v>
      </x:c>
      <x:c r="Q4119" s="9" t="n">
        <x:v>0.3913824057</x:v>
      </x:c>
      <x:c r="R4119" s="3" t="b">
        <x:v>0</x:v>
      </x:c>
      <x:c r="S4119" s="3" t="b">
        <x:v>0</x:v>
      </x:c>
      <x:c r="T4119" s="3" t="b">
        <x:v>0</x:v>
      </x:c>
      <x:c r="U4119" s="2" t="str">
        <x:f>IF(T4119=TRUE,"Priority review",IF(R4119=TRUE,"High cost",IF(S4119=TRUE,"Low quality","Benchmark")))</x:f>
        <x:v>Benchmark</x:v>
      </x:c>
    </x:row>
    <x:row r="4120">
      <x:c r="A4120" s="2" t="str">
        <x:v>431325</x:v>
      </x:c>
      <x:c r="B4120" s="2" t="str">
        <x:v>MOBRIDGE REGIONAL HOSPITAL - CAH</x:v>
      </x:c>
      <x:c r="C4120" s="2" t="str">
        <x:v>MOBRIDGE</x:v>
      </x:c>
      <x:c r="D4120" s="2" t="str">
        <x:v>SD</x:v>
      </x:c>
      <x:c r="E4120" s="2" t="str">
        <x:v>Critical Access Hospitals</x:v>
      </x:c>
      <x:c r="F4120" s="2" t="str">
        <x:v>Voluntary non-profit</x:v>
      </x:c>
      <x:c r="G4120" s="2" t="str">
        <x:v>Small (&lt;100 beds)</x:v>
      </x:c>
      <x:c r="H4120" s="7"/>
      <x:c r="I4120" s="7"/>
      <x:c r="J4120" s="7"/>
      <x:c r="K4120" s="8" t="n">
        <x:v>25</x:v>
      </x:c>
      <x:c r="L4120" s="8" t="n">
        <x:v>416</x:v>
      </x:c>
      <x:c r="M4120" s="9" t="n">
        <x:v>0.2232786885</x:v>
      </x:c>
      <x:c r="N4120" s="10" t="n">
        <x:v>73603.1947115385</x:v>
      </x:c>
      <x:c r="O4120" s="9" t="n">
        <x:v>-0.0687036806</x:v>
      </x:c>
      <x:c r="P4120" s="9" t="n">
        <x:v>0.1650557621</x:v>
      </x:c>
      <x:c r="Q4120" s="9" t="n">
        <x:v>0.292936803</x:v>
      </x:c>
      <x:c r="R4120" s="3" t="b">
        <x:v>0</x:v>
      </x:c>
      <x:c r="S4120" s="3" t="b">
        <x:v>0</x:v>
      </x:c>
      <x:c r="T4120" s="3" t="b">
        <x:v>0</x:v>
      </x:c>
      <x:c r="U4120" s="2" t="str">
        <x:f>IF(T4120=TRUE,"Priority review",IF(R4120=TRUE,"High cost",IF(S4120=TRUE,"Low quality","Benchmark")))</x:f>
        <x:v>Benchmark</x:v>
      </x:c>
    </x:row>
    <x:row r="4121">
      <x:c r="A4121" s="2" t="str">
        <x:v>454141</x:v>
      </x:c>
      <x:c r="B4121" s="2" t="str">
        <x:v>PALMS BEHAVIORAL HEALTH</x:v>
      </x:c>
      <x:c r="C4121" s="2" t="str">
        <x:v>HARLINGEN</x:v>
      </x:c>
      <x:c r="D4121" s="2" t="str">
        <x:v>TX</x:v>
      </x:c>
      <x:c r="E4121" s="2" t="str">
        <x:v>Psychiatric</x:v>
      </x:c>
      <x:c r="F4121" s="2" t="str">
        <x:v>Proprietary</x:v>
      </x:c>
      <x:c r="G4121" s="2" t="str">
        <x:v>Small (&lt;100 beds)</x:v>
      </x:c>
      <x:c r="H4121" s="7"/>
      <x:c r="I4121" s="7"/>
      <x:c r="J4121" s="7"/>
      <x:c r="K4121" s="8" t="n">
        <x:v>94</x:v>
      </x:c>
      <x:c r="L4121" s="8" t="n">
        <x:v>2924</x:v>
      </x:c>
      <x:c r="M4121" s="9" t="n">
        <x:v>0.7540983607</x:v>
      </x:c>
      <x:c r="N4121" s="10" t="n">
        <x:v>7411.1963064295</x:v>
      </x:c>
      <x:c r="O4121" s="9" t="n">
        <x:v>0.0208453664</x:v>
      </x:c>
      <x:c r="P4121" s="9" t="n">
        <x:v>0.1650485437</x:v>
      </x:c>
      <x:c r="Q4121" s="9" t="n">
        <x:v>0</x:v>
      </x:c>
      <x:c r="R4121" s="3" t="b">
        <x:v>0</x:v>
      </x:c>
      <x:c r="S4121" s="3" t="b">
        <x:v>0</x:v>
      </x:c>
      <x:c r="T4121" s="3" t="b">
        <x:v>0</x:v>
      </x:c>
      <x:c r="U4121" s="2" t="str">
        <x:f>IF(T4121=TRUE,"Priority review",IF(R4121=TRUE,"High cost",IF(S4121=TRUE,"Low quality","Benchmark")))</x:f>
        <x:v>Benchmark</x:v>
      </x:c>
    </x:row>
    <x:row r="4122">
      <x:c r="A4122" s="2" t="str">
        <x:v>110069</x:v>
      </x:c>
      <x:c r="B4122" s="2" t="str">
        <x:v>EMORY HOUSTON HOSPITAL WARNER ROBINS</x:v>
      </x:c>
      <x:c r="C4122" s="2" t="str">
        <x:v>WARNER ROBINS</x:v>
      </x:c>
      <x:c r="D4122" s="2" t="str">
        <x:v>GA</x:v>
      </x:c>
      <x:c r="E4122" s="2" t="str">
        <x:v>Acute Care Hospitals</x:v>
      </x:c>
      <x:c r="F4122" s="2" t="str">
        <x:v>Voluntary non-profit</x:v>
      </x:c>
      <x:c r="G4122" s="2" t="str">
        <x:v>Medium (100-299 beds)</x:v>
      </x:c>
      <x:c r="H4122" s="7" t="n">
        <x:v>2</x:v>
      </x:c>
      <x:c r="I4122" s="7" t="n">
        <x:v>2</x:v>
      </x:c>
      <x:c r="J4122" s="7" t="n">
        <x:v>0.94</x:v>
      </x:c>
      <x:c r="K4122" s="8" t="n">
        <x:v>267</x:v>
      </x:c>
      <x:c r="L4122" s="8" t="n">
        <x:v>13844</x:v>
      </x:c>
      <x:c r="M4122" s="9" t="n">
        <x:v>0.6712101676</x:v>
      </x:c>
      <x:c r="N4122" s="10" t="n">
        <x:v>22368.0623374747</x:v>
      </x:c>
      <x:c r="O4122" s="9" t="n">
        <x:v>-0.0627261391</x:v>
      </x:c>
      <x:c r="P4122" s="9" t="n">
        <x:v>0.1646291769</x:v>
      </x:c>
      <x:c r="Q4122" s="9" t="n">
        <x:v>0.0782396088</x:v>
      </x:c>
      <x:c r="R4122" s="3" t="b">
        <x:v>0</x:v>
      </x:c>
      <x:c r="S4122" s="3" t="b">
        <x:v>1</x:v>
      </x:c>
      <x:c r="T4122" s="3" t="b">
        <x:v>0</x:v>
      </x:c>
      <x:c r="U4122" s="2" t="str">
        <x:f>IF(T4122=TRUE,"Priority review",IF(R4122=TRUE,"High cost",IF(S4122=TRUE,"Low quality","Benchmark")))</x:f>
        <x:v>Low quality</x:v>
      </x:c>
    </x:row>
    <x:row r="4123">
      <x:c r="A4123" s="2" t="str">
        <x:v>521321</x:v>
      </x:c>
      <x:c r="B4123" s="2" t="str">
        <x:v>RIPON MEDICAL CENTER</x:v>
      </x:c>
      <x:c r="C4123" s="2" t="str">
        <x:v>RIPON</x:v>
      </x:c>
      <x:c r="D4123" s="2" t="str">
        <x:v>WI</x:v>
      </x:c>
      <x:c r="E4123" s="2" t="str">
        <x:v>Critical Access Hospitals</x:v>
      </x:c>
      <x:c r="F4123" s="2" t="str">
        <x:v>Voluntary non-profit</x:v>
      </x:c>
      <x:c r="G4123" s="2" t="str">
        <x:v>Small (&lt;100 beds)</x:v>
      </x:c>
      <x:c r="H4123" s="7"/>
      <x:c r="I4123" s="7" t="n">
        <x:v>5</x:v>
      </x:c>
      <x:c r="J4123" s="7"/>
      <x:c r="K4123" s="8" t="n">
        <x:v>15</x:v>
      </x:c>
      <x:c r="L4123" s="8" t="n">
        <x:v>469</x:v>
      </x:c>
      <x:c r="M4123" s="9" t="n">
        <x:v>0.3109289617</x:v>
      </x:c>
      <x:c r="N4123" s="10" t="n">
        <x:v>73462.7441364605</x:v>
      </x:c>
      <x:c r="O4123" s="9" t="n">
        <x:v>0.0113940661</x:v>
      </x:c>
      <x:c r="P4123" s="9" t="n">
        <x:v>0.1643122677</x:v>
      </x:c>
      <x:c r="Q4123" s="9" t="n">
        <x:v>0.292936803</x:v>
      </x:c>
      <x:c r="R4123" s="3" t="b">
        <x:v>0</x:v>
      </x:c>
      <x:c r="S4123" s="3" t="b">
        <x:v>0</x:v>
      </x:c>
      <x:c r="T4123" s="3" t="b">
        <x:v>0</x:v>
      </x:c>
      <x:c r="U4123" s="2" t="str">
        <x:f>IF(T4123=TRUE,"Priority review",IF(R4123=TRUE,"High cost",IF(S4123=TRUE,"Low quality","Benchmark")))</x:f>
        <x:v>Benchmark</x:v>
      </x:c>
    </x:row>
    <x:row r="4124">
      <x:c r="A4124" s="2" t="str">
        <x:v>010128</x:v>
      </x:c>
      <x:c r="B4124" s="2" t="str">
        <x:v>JACKSON MEDICAL CENTER</x:v>
      </x:c>
      <x:c r="C4124" s="2" t="str">
        <x:v>JACKSON</x:v>
      </x:c>
      <x:c r="D4124" s="2" t="str">
        <x:v>AL</x:v>
      </x:c>
      <x:c r="E4124" s="2" t="str">
        <x:v>Acute Care Hospitals</x:v>
      </x:c>
      <x:c r="F4124" s="2" t="str">
        <x:v>Proprietary</x:v>
      </x:c>
      <x:c r="G4124" s="2" t="str">
        <x:v>Small (&lt;100 beds)</x:v>
      </x:c>
      <x:c r="H4124" s="7"/>
      <x:c r="I4124" s="7"/>
      <x:c r="J4124" s="7" t="n">
        <x:v>0.88</x:v>
      </x:c>
      <x:c r="K4124" s="8" t="n">
        <x:v>35</x:v>
      </x:c>
      <x:c r="L4124" s="8" t="n">
        <x:v>371</x:v>
      </x:c>
      <x:c r="M4124" s="9" t="n">
        <x:v>0.1663003663</x:v>
      </x:c>
      <x:c r="N4124" s="10" t="n">
        <x:v>31499.0889487871</x:v>
      </x:c>
      <x:c r="O4124" s="9" t="n">
        <x:v>-0.1789688433</x:v>
      </x:c>
      <x:c r="P4124" s="9" t="n">
        <x:v>0.1642728905</x:v>
      </x:c>
      <x:c r="Q4124" s="9" t="n">
        <x:v>0.697486535</x:v>
      </x:c>
      <x:c r="R4124" s="3" t="b">
        <x:v>0</x:v>
      </x:c>
      <x:c r="S4124" s="3" t="b">
        <x:v>0</x:v>
      </x:c>
      <x:c r="T4124" s="3" t="b">
        <x:v>0</x:v>
      </x:c>
      <x:c r="U4124" s="2" t="str">
        <x:f>IF(T4124=TRUE,"Priority review",IF(R4124=TRUE,"High cost",IF(S4124=TRUE,"Low quality","Benchmark")))</x:f>
        <x:v>Benchmark</x:v>
      </x:c>
    </x:row>
    <x:row r="4125">
      <x:c r="A4125" s="2" t="str">
        <x:v>324010</x:v>
      </x:c>
      <x:c r="B4125" s="2" t="str">
        <x:v>BHC MESILLA VALLEY HOSPITAL, LLC</x:v>
      </x:c>
      <x:c r="C4125" s="2" t="str">
        <x:v>LAS CRUCES</x:v>
      </x:c>
      <x:c r="D4125" s="2" t="str">
        <x:v>NM</x:v>
      </x:c>
      <x:c r="E4125" s="2" t="str">
        <x:v>Psychiatric</x:v>
      </x:c>
      <x:c r="F4125" s="2" t="str">
        <x:v>Proprietary</x:v>
      </x:c>
      <x:c r="G4125" s="2" t="str">
        <x:v>Medium (100-299 beds)</x:v>
      </x:c>
      <x:c r="H4125" s="7"/>
      <x:c r="I4125" s="7"/>
      <x:c r="J4125" s="7"/>
      <x:c r="K4125" s="8" t="n">
        <x:v>120</x:v>
      </x:c>
      <x:c r="L4125" s="8" t="n">
        <x:v>4109</x:v>
      </x:c>
      <x:c r="M4125" s="9" t="n">
        <x:v>0.7317167577</x:v>
      </x:c>
      <x:c r="N4125" s="10" t="n">
        <x:v>6236.4770017036</x:v>
      </x:c>
      <x:c r="O4125" s="9" t="n">
        <x:v>0.3991877282</x:v>
      </x:c>
      <x:c r="P4125" s="9" t="n">
        <x:v>0.1641791045</x:v>
      </x:c>
      <x:c r="Q4125" s="9" t="n">
        <x:v>0</x:v>
      </x:c>
      <x:c r="R4125" s="3" t="b">
        <x:v>0</x:v>
      </x:c>
      <x:c r="S4125" s="3" t="b">
        <x:v>0</x:v>
      </x:c>
      <x:c r="T4125" s="3" t="b">
        <x:v>0</x:v>
      </x:c>
      <x:c r="U4125" s="2" t="str">
        <x:f>IF(T4125=TRUE,"Priority review",IF(R4125=TRUE,"High cost",IF(S4125=TRUE,"Low quality","Benchmark")))</x:f>
        <x:v>Benchmark</x:v>
      </x:c>
    </x:row>
    <x:row r="4126">
      <x:c r="A4126" s="2" t="str">
        <x:v>030061</x:v>
      </x:c>
      <x:c r="B4126" s="2" t="str">
        <x:v>BANNER BOSWELL MEDICAL CENTER</x:v>
      </x:c>
      <x:c r="C4126" s="2" t="str">
        <x:v>SUN CITY</x:v>
      </x:c>
      <x:c r="D4126" s="2" t="str">
        <x:v>AZ</x:v>
      </x:c>
      <x:c r="E4126" s="2" t="str">
        <x:v>Acute Care Hospitals</x:v>
      </x:c>
      <x:c r="F4126" s="2" t="str">
        <x:v>Voluntary non-profit</x:v>
      </x:c>
      <x:c r="G4126" s="2" t="str">
        <x:v>Large (300+ beds)</x:v>
      </x:c>
      <x:c r="H4126" s="7" t="n">
        <x:v>3</x:v>
      </x:c>
      <x:c r="I4126" s="7" t="n">
        <x:v>2</x:v>
      </x:c>
      <x:c r="J4126" s="7" t="n">
        <x:v>0.99</x:v>
      </x:c>
      <x:c r="K4126" s="8" t="n">
        <x:v>410</x:v>
      </x:c>
      <x:c r="L4126" s="8" t="n">
        <x:v>17121</x:v>
      </x:c>
      <x:c r="M4126" s="9" t="n">
        <x:v>0.6753501664</x:v>
      </x:c>
      <x:c r="N4126" s="10" t="n">
        <x:v>25826.6179545587</x:v>
      </x:c>
      <x:c r="O4126" s="9" t="n">
        <x:v>-0.0602034165</x:v>
      </x:c>
      <x:c r="P4126" s="9" t="n">
        <x:v>0.1640378549</x:v>
      </x:c>
      <x:c r="Q4126" s="9" t="n">
        <x:v>0.2570977918</x:v>
      </x:c>
      <x:c r="R4126" s="3" t="b">
        <x:v>0</x:v>
      </x:c>
      <x:c r="S4126" s="3" t="b">
        <x:v>0</x:v>
      </x:c>
      <x:c r="T4126" s="3" t="b">
        <x:v>0</x:v>
      </x:c>
      <x:c r="U4126" s="2" t="str">
        <x:f>IF(T4126=TRUE,"Priority review",IF(R4126=TRUE,"High cost",IF(S4126=TRUE,"Low quality","Benchmark")))</x:f>
        <x:v>Benchmark</x:v>
      </x:c>
    </x:row>
    <x:row r="4127">
      <x:c r="A4127" s="2" t="str">
        <x:v>370218</x:v>
      </x:c>
      <x:c r="B4127" s="2" t="str">
        <x:v>SAINT FRANCIS HOSPITAL SOUTH, LLC</x:v>
      </x:c>
      <x:c r="C4127" s="2" t="str">
        <x:v>TULSA</x:v>
      </x:c>
      <x:c r="D4127" s="2" t="str">
        <x:v>OK</x:v>
      </x:c>
      <x:c r="E4127" s="2" t="str">
        <x:v>Acute Care Hospitals</x:v>
      </x:c>
      <x:c r="F4127" s="2" t="str">
        <x:v>Voluntary non-profit</x:v>
      </x:c>
      <x:c r="G4127" s="2" t="str">
        <x:v>Medium (100-299 beds)</x:v>
      </x:c>
      <x:c r="H4127" s="7" t="n">
        <x:v>5</x:v>
      </x:c>
      <x:c r="I4127" s="7" t="n">
        <x:v>3</x:v>
      </x:c>
      <x:c r="J4127" s="7" t="n">
        <x:v>0.93</x:v>
      </x:c>
      <x:c r="K4127" s="8" t="n">
        <x:v>104</x:v>
      </x:c>
      <x:c r="L4127" s="8" t="n">
        <x:v>6935</x:v>
      </x:c>
      <x:c r="M4127" s="9" t="n">
        <x:v>0.7109469797</x:v>
      </x:c>
      <x:c r="N4127" s="10" t="n">
        <x:v>22364.5317952415</x:v>
      </x:c>
      <x:c r="O4127" s="9" t="n">
        <x:v>0.3347343437</x:v>
      </x:c>
      <x:c r="P4127" s="9" t="n">
        <x:v>0.1638141809</x:v>
      </x:c>
      <x:c r="Q4127" s="9" t="n">
        <x:v>0.8744906275</x:v>
      </x:c>
      <x:c r="R4127" s="3" t="b">
        <x:v>0</x:v>
      </x:c>
      <x:c r="S4127" s="3" t="b">
        <x:v>0</x:v>
      </x:c>
      <x:c r="T4127" s="3" t="b">
        <x:v>0</x:v>
      </x:c>
      <x:c r="U4127" s="2" t="str">
        <x:f>IF(T4127=TRUE,"Priority review",IF(R4127=TRUE,"High cost",IF(S4127=TRUE,"Low quality","Benchmark")))</x:f>
        <x:v>Benchmark</x:v>
      </x:c>
    </x:row>
    <x:row r="4128">
      <x:c r="A4128" s="2" t="str">
        <x:v>171384</x:v>
      </x:c>
      <x:c r="B4128" s="2" t="str">
        <x:v>NEWMAN REGIONAL HEALTH</x:v>
      </x:c>
      <x:c r="C4128" s="2" t="str">
        <x:v>EMPORIA</x:v>
      </x:c>
      <x:c r="D4128" s="2" t="str">
        <x:v>KS</x:v>
      </x:c>
      <x:c r="E4128" s="2" t="str">
        <x:v>Critical Access Hospitals</x:v>
      </x:c>
      <x:c r="F4128" s="2" t="str">
        <x:v>Government</x:v>
      </x:c>
      <x:c r="G4128" s="2" t="str">
        <x:v>Small (&lt;100 beds)</x:v>
      </x:c>
      <x:c r="H4128" s="7" t="n">
        <x:v>2</x:v>
      </x:c>
      <x:c r="I4128" s="7" t="n">
        <x:v>4</x:v>
      </x:c>
      <x:c r="J4128" s="7"/>
      <x:c r="K4128" s="8" t="n">
        <x:v>25</x:v>
      </x:c>
      <x:c r="L4128" s="8" t="n">
        <x:v>1274</x:v>
      </x:c>
      <x:c r="M4128" s="9" t="n">
        <x:v>0.7160655738</x:v>
      </x:c>
      <x:c r="N4128" s="10" t="n">
        <x:v>73289.8131868132</x:v>
      </x:c>
      <x:c r="O4128" s="9" t="n">
        <x:v>-0.0702589867</x:v>
      </x:c>
      <x:c r="P4128" s="9" t="n">
        <x:v>0.1635687732</x:v>
      </x:c>
      <x:c r="Q4128" s="9" t="n">
        <x:v>0.0171003717</x:v>
      </x:c>
      <x:c r="R4128" s="3" t="b">
        <x:v>0</x:v>
      </x:c>
      <x:c r="S4128" s="3" t="b">
        <x:v>1</x:v>
      </x:c>
      <x:c r="T4128" s="3" t="b">
        <x:v>0</x:v>
      </x:c>
      <x:c r="U4128" s="2" t="str">
        <x:f>IF(T4128=TRUE,"Priority review",IF(R4128=TRUE,"High cost",IF(S4128=TRUE,"Low quality","Benchmark")))</x:f>
        <x:v>Low quality</x:v>
      </x:c>
    </x:row>
    <x:row r="4129">
      <x:c r="A4129" s="2" t="str">
        <x:v>670080</x:v>
      </x:c>
      <x:c r="B4129" s="2" t="str">
        <x:v>SETON MEDICAL CENTER HARKER HEIGHTS</x:v>
      </x:c>
      <x:c r="C4129" s="2" t="str">
        <x:v>HARKER HEIGHTS</x:v>
      </x:c>
      <x:c r="D4129" s="2" t="str">
        <x:v>TX</x:v>
      </x:c>
      <x:c r="E4129" s="2" t="str">
        <x:v>Acute Care Hospitals</x:v>
      </x:c>
      <x:c r="F4129" s="2" t="str">
        <x:v>Proprietary</x:v>
      </x:c>
      <x:c r="G4129" s="2" t="str">
        <x:v>Small (&lt;100 beds)</x:v>
      </x:c>
      <x:c r="H4129" s="7" t="n">
        <x:v>4</x:v>
      </x:c>
      <x:c r="I4129" s="7" t="n">
        <x:v>4</x:v>
      </x:c>
      <x:c r="J4129" s="7" t="n">
        <x:v>1.01</x:v>
      </x:c>
      <x:c r="K4129" s="8" t="n">
        <x:v>65</x:v>
      </x:c>
      <x:c r="L4129" s="8" t="n">
        <x:v>3529</x:v>
      </x:c>
      <x:c r="M4129" s="9" t="n">
        <x:v>0.4204847208</x:v>
      </x:c>
      <x:c r="N4129" s="10" t="n">
        <x:v>31447.8415981865</x:v>
      </x:c>
      <x:c r="O4129" s="9" t="n">
        <x:v>0.038574281</x:v>
      </x:c>
      <x:c r="P4129" s="9" t="n">
        <x:v>0.1633752244</x:v>
      </x:c>
      <x:c r="Q4129" s="9" t="n">
        <x:v>0.3913824057</x:v>
      </x:c>
      <x:c r="R4129" s="3" t="b">
        <x:v>0</x:v>
      </x:c>
      <x:c r="S4129" s="3" t="b">
        <x:v>0</x:v>
      </x:c>
      <x:c r="T4129" s="3" t="b">
        <x:v>0</x:v>
      </x:c>
      <x:c r="U4129" s="2" t="str">
        <x:f>IF(T4129=TRUE,"Priority review",IF(R4129=TRUE,"High cost",IF(S4129=TRUE,"Low quality","Benchmark")))</x:f>
        <x:v>Benchmark</x:v>
      </x:c>
    </x:row>
    <x:row r="4130">
      <x:c r="A4130" s="2" t="str">
        <x:v>010011</x:v>
      </x:c>
      <x:c r="B4130" s="2" t="str">
        <x:v>ST. VINCENT'S EAST</x:v>
      </x:c>
      <x:c r="C4130" s="2" t="str">
        <x:v>BIRMINGHAM</x:v>
      </x:c>
      <x:c r="D4130" s="2" t="str">
        <x:v>AL</x:v>
      </x:c>
      <x:c r="E4130" s="2" t="str">
        <x:v>Acute Care Hospitals</x:v>
      </x:c>
      <x:c r="F4130" s="2" t="str">
        <x:v>Voluntary non-profit</x:v>
      </x:c>
      <x:c r="G4130" s="2" t="str">
        <x:v>Medium (100-299 beds)</x:v>
      </x:c>
      <x:c r="H4130" s="7" t="n">
        <x:v>3</x:v>
      </x:c>
      <x:c r="I4130" s="7" t="n">
        <x:v>3</x:v>
      </x:c>
      <x:c r="J4130" s="7" t="n">
        <x:v>0.96</x:v>
      </x:c>
      <x:c r="K4130" s="8" t="n">
        <x:v>280</x:v>
      </x:c>
      <x:c r="L4130" s="8" t="n">
        <x:v>13441</x:v>
      </x:c>
      <x:c r="M4130" s="9" t="n">
        <x:v>0.70018591</x:v>
      </x:c>
      <x:c r="N4130" s="10" t="n">
        <x:v>22364.030578082</x:v>
      </x:c>
      <x:c r="O4130" s="9" t="n">
        <x:v>-0.142185109</x:v>
      </x:c>
      <x:c r="P4130" s="9" t="n">
        <x:v>0.162999185</x:v>
      </x:c>
      <x:c r="Q4130" s="9" t="n">
        <x:v>0.3023634882</x:v>
      </x:c>
      <x:c r="R4130" s="3" t="b">
        <x:v>0</x:v>
      </x:c>
      <x:c r="S4130" s="3" t="b">
        <x:v>0</x:v>
      </x:c>
      <x:c r="T4130" s="3" t="b">
        <x:v>0</x:v>
      </x:c>
      <x:c r="U4130" s="2" t="str">
        <x:f>IF(T4130=TRUE,"Priority review",IF(R4130=TRUE,"High cost",IF(S4130=TRUE,"Low quality","Benchmark")))</x:f>
        <x:v>Benchmark</x:v>
      </x:c>
    </x:row>
    <x:row r="4131">
      <x:c r="A4131" s="2" t="str">
        <x:v>101314</x:v>
      </x:c>
      <x:c r="B4131" s="2" t="str">
        <x:v>DOCTORS MEMORIAL HOSPITAL INC</x:v>
      </x:c>
      <x:c r="C4131" s="2" t="str">
        <x:v>PERRY</x:v>
      </x:c>
      <x:c r="D4131" s="2" t="str">
        <x:v>FL</x:v>
      </x:c>
      <x:c r="E4131" s="2" t="str">
        <x:v>Critical Access Hospitals</x:v>
      </x:c>
      <x:c r="F4131" s="2" t="str">
        <x:v>Voluntary non-profit</x:v>
      </x:c>
      <x:c r="G4131" s="2" t="str">
        <x:v>Small (&lt;100 beds)</x:v>
      </x:c>
      <x:c r="H4131" s="7"/>
      <x:c r="I4131" s="7"/>
      <x:c r="J4131" s="7"/>
      <x:c r="K4131" s="8" t="n">
        <x:v>25</x:v>
      </x:c>
      <x:c r="L4131" s="8" t="n">
        <x:v>386</x:v>
      </x:c>
      <x:c r="M4131" s="9" t="n">
        <x:v>0.4003287671</x:v>
      </x:c>
      <x:c r="N4131" s="10" t="n">
        <x:v>73041.207253886</x:v>
      </x:c>
      <x:c r="O4131" s="9" t="n">
        <x:v>-0.1713636244</x:v>
      </x:c>
      <x:c r="P4131" s="9" t="n">
        <x:v>0.1628252788</x:v>
      </x:c>
      <x:c r="Q4131" s="9" t="n">
        <x:v>0.292936803</x:v>
      </x:c>
      <x:c r="R4131" s="3" t="b">
        <x:v>0</x:v>
      </x:c>
      <x:c r="S4131" s="3" t="b">
        <x:v>0</x:v>
      </x:c>
      <x:c r="T4131" s="3" t="b">
        <x:v>0</x:v>
      </x:c>
      <x:c r="U4131" s="2" t="str">
        <x:f>IF(T4131=TRUE,"Priority review",IF(R4131=TRUE,"High cost",IF(S4131=TRUE,"Low quality","Benchmark")))</x:f>
        <x:v>Benchmark</x:v>
      </x:c>
    </x:row>
    <x:row r="4132">
      <x:c r="A4132" s="2" t="str">
        <x:v>030114</x:v>
      </x:c>
      <x:c r="B4132" s="2" t="str">
        <x:v>ORO VALLEY HOSPITAL</x:v>
      </x:c>
      <x:c r="C4132" s="2" t="str">
        <x:v>ORO VALLEY</x:v>
      </x:c>
      <x:c r="D4132" s="2" t="str">
        <x:v>AZ</x:v>
      </x:c>
      <x:c r="E4132" s="2" t="str">
        <x:v>Acute Care Hospitals</x:v>
      </x:c>
      <x:c r="F4132" s="2" t="str">
        <x:v>Proprietary</x:v>
      </x:c>
      <x:c r="G4132" s="2" t="str">
        <x:v>Small (&lt;100 beds)</x:v>
      </x:c>
      <x:c r="H4132" s="7" t="n">
        <x:v>3</x:v>
      </x:c>
      <x:c r="I4132" s="7" t="n">
        <x:v>2</x:v>
      </x:c>
      <x:c r="J4132" s="7" t="n">
        <x:v>0.95</x:v>
      </x:c>
      <x:c r="K4132" s="8" t="n">
        <x:v>78</x:v>
      </x:c>
      <x:c r="L4132" s="8" t="n">
        <x:v>4422</x:v>
      </x:c>
      <x:c r="M4132" s="9" t="n">
        <x:v>0.5979403111</x:v>
      </x:c>
      <x:c r="N4132" s="10" t="n">
        <x:v>31435.895070104</x:v>
      </x:c>
      <x:c r="O4132" s="9" t="n">
        <x:v>0.1468502064</x:v>
      </x:c>
      <x:c r="P4132" s="9" t="n">
        <x:v>0.1624775583</x:v>
      </x:c>
      <x:c r="Q4132" s="9" t="n">
        <x:v>0.1687612208</x:v>
      </x:c>
      <x:c r="R4132" s="3" t="b">
        <x:v>0</x:v>
      </x:c>
      <x:c r="S4132" s="3" t="b">
        <x:v>0</x:v>
      </x:c>
      <x:c r="T4132" s="3" t="b">
        <x:v>0</x:v>
      </x:c>
      <x:c r="U4132" s="2" t="str">
        <x:f>IF(T4132=TRUE,"Priority review",IF(R4132=TRUE,"High cost",IF(S4132=TRUE,"Low quality","Benchmark")))</x:f>
        <x:v>Benchmark</x:v>
      </x:c>
    </x:row>
    <x:row r="4133">
      <x:c r="A4133" s="2" t="str">
        <x:v>510070</x:v>
      </x:c>
      <x:c r="B4133" s="2" t="str">
        <x:v>RALEIGH GENERAL HOSPITAL</x:v>
      </x:c>
      <x:c r="C4133" s="2" t="str">
        <x:v>BECKLEY</x:v>
      </x:c>
      <x:c r="D4133" s="2" t="str">
        <x:v>WV</x:v>
      </x:c>
      <x:c r="E4133" s="2" t="str">
        <x:v>Acute Care Hospitals</x:v>
      </x:c>
      <x:c r="F4133" s="2" t="str">
        <x:v>Proprietary</x:v>
      </x:c>
      <x:c r="G4133" s="2" t="str">
        <x:v>Large (300+ beds)</x:v>
      </x:c>
      <x:c r="H4133" s="7" t="n">
        <x:v>2</x:v>
      </x:c>
      <x:c r="I4133" s="7" t="n">
        <x:v>2</x:v>
      </x:c>
      <x:c r="J4133" s="7" t="n">
        <x:v>1.03</x:v>
      </x:c>
      <x:c r="K4133" s="8" t="n">
        <x:v>300</x:v>
      </x:c>
      <x:c r="L4133" s="8" t="n">
        <x:v>8473</x:v>
      </x:c>
      <x:c r="M4133" s="9" t="n">
        <x:v>0.3828493151</x:v>
      </x:c>
      <x:c r="N4133" s="10" t="n">
        <x:v>25650.2972972973</x:v>
      </x:c>
      <x:c r="O4133" s="9" t="n">
        <x:v>-0.048679969</x:v>
      </x:c>
      <x:c r="P4133" s="9" t="n">
        <x:v>0.1624605678</x:v>
      </x:c>
      <x:c r="Q4133" s="9" t="n">
        <x:v>0.0536277603</x:v>
      </x:c>
      <x:c r="R4133" s="3" t="b">
        <x:v>0</x:v>
      </x:c>
      <x:c r="S4133" s="3" t="b">
        <x:v>1</x:v>
      </x:c>
      <x:c r="T4133" s="3" t="b">
        <x:v>0</x:v>
      </x:c>
      <x:c r="U4133" s="2" t="str">
        <x:f>IF(T4133=TRUE,"Priority review",IF(R4133=TRUE,"High cost",IF(S4133=TRUE,"Low quality","Benchmark")))</x:f>
        <x:v>Low quality</x:v>
      </x:c>
    </x:row>
    <x:row r="4134">
      <x:c r="A4134" s="2" t="str">
        <x:v>360144</x:v>
      </x:c>
      <x:c r="B4134" s="2" t="str">
        <x:v>SOUTH POINTE HOSPITAL</x:v>
      </x:c>
      <x:c r="C4134" s="2" t="str">
        <x:v>WARRENSVILLE HEIGHTS</x:v>
      </x:c>
      <x:c r="D4134" s="2" t="str">
        <x:v>OH</x:v>
      </x:c>
      <x:c r="E4134" s="2" t="str">
        <x:v>Acute Care Hospitals</x:v>
      </x:c>
      <x:c r="F4134" s="2" t="str">
        <x:v>Voluntary non-profit</x:v>
      </x:c>
      <x:c r="G4134" s="2" t="str">
        <x:v>Medium (100-299 beds)</x:v>
      </x:c>
      <x:c r="H4134" s="7" t="n">
        <x:v>5</x:v>
      </x:c>
      <x:c r="I4134" s="7" t="n">
        <x:v>3</x:v>
      </x:c>
      <x:c r="J4134" s="7" t="n">
        <x:v>0.96</x:v>
      </x:c>
      <x:c r="K4134" s="8" t="n">
        <x:v>172</x:v>
      </x:c>
      <x:c r="L4134" s="8" t="n">
        <x:v>7253</x:v>
      </x:c>
      <x:c r="M4134" s="9" t="n">
        <x:v>0.6412016819</x:v>
      </x:c>
      <x:c r="N4134" s="10" t="n">
        <x:v>22328.5297118434</x:v>
      </x:c>
      <x:c r="O4134" s="9" t="n">
        <x:v>-0.0436327287</x:v>
      </x:c>
      <x:c r="P4134" s="9" t="n">
        <x:v>0.1621841891</x:v>
      </x:c>
      <x:c r="Q4134" s="9" t="n">
        <x:v>0.8744906275</x:v>
      </x:c>
      <x:c r="R4134" s="3" t="b">
        <x:v>0</x:v>
      </x:c>
      <x:c r="S4134" s="3" t="b">
        <x:v>0</x:v>
      </x:c>
      <x:c r="T4134" s="3" t="b">
        <x:v>0</x:v>
      </x:c>
      <x:c r="U4134" s="2" t="str">
        <x:f>IF(T4134=TRUE,"Priority review",IF(R4134=TRUE,"High cost",IF(S4134=TRUE,"Low quality","Benchmark")))</x:f>
        <x:v>Benchmark</x:v>
      </x:c>
    </x:row>
    <x:row r="4135">
      <x:c r="A4135" s="2" t="str">
        <x:v>201307</x:v>
      </x:c>
      <x:c r="B4135" s="2" t="str">
        <x:v>MILLINOCKET REGIONAL HOSPITAL</x:v>
      </x:c>
      <x:c r="C4135" s="2" t="str">
        <x:v>MILLINOCKET</x:v>
      </x:c>
      <x:c r="D4135" s="2" t="str">
        <x:v>ME</x:v>
      </x:c>
      <x:c r="E4135" s="2" t="str">
        <x:v>Critical Access Hospitals</x:v>
      </x:c>
      <x:c r="F4135" s="2" t="str">
        <x:v>Voluntary non-profit</x:v>
      </x:c>
      <x:c r="G4135" s="2" t="str">
        <x:v>Small (&lt;100 beds)</x:v>
      </x:c>
      <x:c r="H4135" s="7"/>
      <x:c r="I4135" s="7"/>
      <x:c r="J4135" s="7"/>
      <x:c r="K4135" s="8" t="n">
        <x:v>25</x:v>
      </x:c>
      <x:c r="L4135" s="8" t="n">
        <x:v>428</x:v>
      </x:c>
      <x:c r="M4135" s="9" t="n">
        <x:v>0.2054794521</x:v>
      </x:c>
      <x:c r="N4135" s="10" t="n">
        <x:v>72758.3855140187</x:v>
      </x:c>
      <x:c r="O4135" s="9" t="n">
        <x:v>-0.0278839778</x:v>
      </x:c>
      <x:c r="P4135" s="9" t="n">
        <x:v>0.1620817844</x:v>
      </x:c>
      <x:c r="Q4135" s="9" t="n">
        <x:v>0.292936803</x:v>
      </x:c>
      <x:c r="R4135" s="3" t="b">
        <x:v>0</x:v>
      </x:c>
      <x:c r="S4135" s="3" t="b">
        <x:v>0</x:v>
      </x:c>
      <x:c r="T4135" s="3" t="b">
        <x:v>0</x:v>
      </x:c>
      <x:c r="U4135" s="2" t="str">
        <x:f>IF(T4135=TRUE,"Priority review",IF(R4135=TRUE,"High cost",IF(S4135=TRUE,"Low quality","Benchmark")))</x:f>
        <x:v>Benchmark</x:v>
      </x:c>
    </x:row>
    <x:row r="4136">
      <x:c r="A4136" s="2" t="str">
        <x:v>324013</x:v>
      </x:c>
      <x:c r="B4136" s="2" t="str">
        <x:v>HAVEN BEHAVIORAL HOSPITAL OF ALBUQUERQUE</x:v>
      </x:c>
      <x:c r="C4136" s="2" t="str">
        <x:v>ALBUQUERQUE</x:v>
      </x:c>
      <x:c r="D4136" s="2" t="str">
        <x:v>NM</x:v>
      </x:c>
      <x:c r="E4136" s="2" t="str">
        <x:v>Psychiatric</x:v>
      </x:c>
      <x:c r="F4136" s="2" t="str">
        <x:v>Proprietary</x:v>
      </x:c>
      <x:c r="G4136" s="2" t="str">
        <x:v>Small (&lt;100 beds)</x:v>
      </x:c>
      <x:c r="H4136" s="7"/>
      <x:c r="I4136" s="7"/>
      <x:c r="J4136" s="7"/>
      <x:c r="K4136" s="8" t="n">
        <x:v>48</x:v>
      </x:c>
      <x:c r="L4136" s="8" t="n">
        <x:v>2148</x:v>
      </x:c>
      <x:c r="M4136" s="9" t="n">
        <x:v>0.8721539162</x:v>
      </x:c>
      <x:c r="N4136" s="10" t="n">
        <x:v>7378.4306331471</x:v>
      </x:c>
      <x:c r="O4136" s="9" t="n">
        <x:v>-0.0716008946</x:v>
      </x:c>
      <x:c r="P4136" s="9" t="n">
        <x:v>0.1618122977</x:v>
      </x:c>
      <x:c r="Q4136" s="9" t="n">
        <x:v>0</x:v>
      </x:c>
      <x:c r="R4136" s="3" t="b">
        <x:v>0</x:v>
      </x:c>
      <x:c r="S4136" s="3" t="b">
        <x:v>0</x:v>
      </x:c>
      <x:c r="T4136" s="3" t="b">
        <x:v>0</x:v>
      </x:c>
      <x:c r="U4136" s="2" t="str">
        <x:f>IF(T4136=TRUE,"Priority review",IF(R4136=TRUE,"High cost",IF(S4136=TRUE,"Low quality","Benchmark")))</x:f>
        <x:v>Benchmark</x:v>
      </x:c>
    </x:row>
    <x:row r="4137">
      <x:c r="A4137" s="2" t="str">
        <x:v>450840</x:v>
      </x:c>
      <x:c r="B4137" s="2" t="str">
        <x:v>TEXAS HEALTH PRESBYTERIAN HOSPITAL ALLEN</x:v>
      </x:c>
      <x:c r="C4137" s="2" t="str">
        <x:v>ALLEN</x:v>
      </x:c>
      <x:c r="D4137" s="2" t="str">
        <x:v>TX</x:v>
      </x:c>
      <x:c r="E4137" s="2" t="str">
        <x:v>Acute Care Hospitals</x:v>
      </x:c>
      <x:c r="F4137" s="2" t="str">
        <x:v>Voluntary non-profit</x:v>
      </x:c>
      <x:c r="G4137" s="2" t="str">
        <x:v>Small (&lt;100 beds)</x:v>
      </x:c>
      <x:c r="H4137" s="7" t="n">
        <x:v>4</x:v>
      </x:c>
      <x:c r="I4137" s="7" t="n">
        <x:v>4</x:v>
      </x:c>
      <x:c r="J4137" s="7" t="n">
        <x:v>1.07</x:v>
      </x:c>
      <x:c r="K4137" s="8" t="n">
        <x:v>59</x:v>
      </x:c>
      <x:c r="L4137" s="8" t="n">
        <x:v>3921</x:v>
      </x:c>
      <x:c r="M4137" s="9" t="n">
        <x:v>0.5537649347</x:v>
      </x:c>
      <x:c r="N4137" s="10" t="n">
        <x:v>31355.6597806682</x:v>
      </x:c>
      <x:c r="O4137" s="9" t="n">
        <x:v>0.0978355053</x:v>
      </x:c>
      <x:c r="P4137" s="9" t="n">
        <x:v>0.1615798923</x:v>
      </x:c>
      <x:c r="Q4137" s="9" t="n">
        <x:v>0.3913824057</x:v>
      </x:c>
      <x:c r="R4137" s="3" t="b">
        <x:v>0</x:v>
      </x:c>
      <x:c r="S4137" s="3" t="b">
        <x:v>0</x:v>
      </x:c>
      <x:c r="T4137" s="3" t="b">
        <x:v>0</x:v>
      </x:c>
      <x:c r="U4137" s="2" t="str">
        <x:f>IF(T4137=TRUE,"Priority review",IF(R4137=TRUE,"High cost",IF(S4137=TRUE,"Low quality","Benchmark")))</x:f>
        <x:v>Benchmark</x:v>
      </x:c>
    </x:row>
    <x:row r="4138">
      <x:c r="A4138" s="2" t="str">
        <x:v>450010</x:v>
      </x:c>
      <x:c r="B4138" s="2" t="str">
        <x:v>UNITED REGIONAL HEALTH CARE SYSTEM</x:v>
      </x:c>
      <x:c r="C4138" s="2" t="str">
        <x:v>WICHITA FALLS</x:v>
      </x:c>
      <x:c r="D4138" s="2" t="str">
        <x:v>TX</x:v>
      </x:c>
      <x:c r="E4138" s="2" t="str">
        <x:v>Acute Care Hospitals</x:v>
      </x:c>
      <x:c r="F4138" s="2" t="str">
        <x:v>Voluntary non-profit</x:v>
      </x:c>
      <x:c r="G4138" s="2" t="str">
        <x:v>Medium (100-299 beds)</x:v>
      </x:c>
      <x:c r="H4138" s="7" t="n">
        <x:v>3</x:v>
      </x:c>
      <x:c r="I4138" s="7" t="n">
        <x:v>4</x:v>
      </x:c>
      <x:c r="J4138" s="7" t="n">
        <x:v>1.18</x:v>
      </x:c>
      <x:c r="K4138" s="8" t="n">
        <x:v>244</x:v>
      </x:c>
      <x:c r="L4138" s="8" t="n">
        <x:v>18556</x:v>
      </x:c>
      <x:c r="M4138" s="9" t="n">
        <x:v>0.7255554063</x:v>
      </x:c>
      <x:c r="N4138" s="10" t="n">
        <x:v>22299.3765358914</x:v>
      </x:c>
      <x:c r="O4138" s="9" t="n">
        <x:v>0.1677486265</x:v>
      </x:c>
      <x:c r="P4138" s="9" t="n">
        <x:v>0.1613691932</x:v>
      </x:c>
      <x:c r="Q4138" s="9" t="n">
        <x:v>0.3023634882</x:v>
      </x:c>
      <x:c r="R4138" s="3" t="b">
        <x:v>0</x:v>
      </x:c>
      <x:c r="S4138" s="3" t="b">
        <x:v>0</x:v>
      </x:c>
      <x:c r="T4138" s="3" t="b">
        <x:v>0</x:v>
      </x:c>
      <x:c r="U4138" s="2" t="str">
        <x:f>IF(T4138=TRUE,"Priority review",IF(R4138=TRUE,"High cost",IF(S4138=TRUE,"Low quality","Benchmark")))</x:f>
        <x:v>Benchmark</x:v>
      </x:c>
    </x:row>
    <x:row r="4139">
      <x:c r="A4139" s="2" t="str">
        <x:v>111325</x:v>
      </x:c>
      <x:c r="B4139" s="2" t="str">
        <x:v>WILLS MEMORIAL HOSPITAL</x:v>
      </x:c>
      <x:c r="C4139" s="2" t="str">
        <x:v>WASHINGTON</x:v>
      </x:c>
      <x:c r="D4139" s="2" t="str">
        <x:v>GA</x:v>
      </x:c>
      <x:c r="E4139" s="2" t="str">
        <x:v>Critical Access Hospitals</x:v>
      </x:c>
      <x:c r="F4139" s="2" t="str">
        <x:v>Government</x:v>
      </x:c>
      <x:c r="G4139" s="2" t="str">
        <x:v>Small (&lt;100 beds)</x:v>
      </x:c>
      <x:c r="H4139" s="7"/>
      <x:c r="I4139" s="7"/>
      <x:c r="J4139" s="7"/>
      <x:c r="K4139" s="8" t="n">
        <x:v>25</x:v>
      </x:c>
      <x:c r="L4139" s="8" t="n">
        <x:v>238</x:v>
      </x:c>
      <x:c r="M4139" s="9" t="n">
        <x:v>0.2295890411</x:v>
      </x:c>
      <x:c r="N4139" s="10" t="n">
        <x:v>72646.256302521</x:v>
      </x:c>
      <x:c r="O4139" s="9" t="n">
        <x:v>-0.1773143522</x:v>
      </x:c>
      <x:c r="P4139" s="9" t="n">
        <x:v>0.16133829</x:v>
      </x:c>
      <x:c r="Q4139" s="9" t="n">
        <x:v>0.292936803</x:v>
      </x:c>
      <x:c r="R4139" s="3" t="b">
        <x:v>0</x:v>
      </x:c>
      <x:c r="S4139" s="3" t="b">
        <x:v>0</x:v>
      </x:c>
      <x:c r="T4139" s="3" t="b">
        <x:v>0</x:v>
      </x:c>
      <x:c r="U4139" s="2" t="str">
        <x:f>IF(T4139=TRUE,"Priority review",IF(R4139=TRUE,"High cost",IF(S4139=TRUE,"Low quality","Benchmark")))</x:f>
        <x:v>Benchmark</x:v>
      </x:c>
    </x:row>
    <x:row r="4140">
      <x:c r="A4140" s="2" t="str">
        <x:v>230156</x:v>
      </x:c>
      <x:c r="B4140" s="2" t="str">
        <x:v>TRINITY HEALTH ANN ARBOR HOSPITAL</x:v>
      </x:c>
      <x:c r="C4140" s="2" t="str">
        <x:v>ANN ARBOR</x:v>
      </x:c>
      <x:c r="D4140" s="2" t="str">
        <x:v>MI</x:v>
      </x:c>
      <x:c r="E4140" s="2" t="str">
        <x:v>Acute Care Hospitals</x:v>
      </x:c>
      <x:c r="F4140" s="2" t="str">
        <x:v>Voluntary non-profit</x:v>
      </x:c>
      <x:c r="G4140" s="2" t="str">
        <x:v>Large (300+ beds)</x:v>
      </x:c>
      <x:c r="H4140" s="7" t="n">
        <x:v>4</x:v>
      </x:c>
      <x:c r="I4140" s="7" t="n">
        <x:v>3</x:v>
      </x:c>
      <x:c r="J4140" s="7" t="n">
        <x:v>0.92</x:v>
      </x:c>
      <x:c r="K4140" s="8" t="n">
        <x:v>479</x:v>
      </x:c>
      <x:c r="L4140" s="8" t="n">
        <x:v>46156</x:v>
      </x:c>
      <x:c r="M4140" s="9" t="n">
        <x:v>0.8942031058</x:v>
      </x:c>
      <x:c r="N4140" s="10" t="n">
        <x:v>25585.0352500217</x:v>
      </x:c>
      <x:c r="O4140" s="9" t="n">
        <x:v>-0.0066267606</x:v>
      </x:c>
      <x:c r="P4140" s="9" t="n">
        <x:v>0.1608832808</x:v>
      </x:c>
      <x:c r="Q4140" s="9" t="n">
        <x:v>0.5899053628</x:v>
      </x:c>
      <x:c r="R4140" s="3" t="b">
        <x:v>0</x:v>
      </x:c>
      <x:c r="S4140" s="3" t="b">
        <x:v>0</x:v>
      </x:c>
      <x:c r="T4140" s="3" t="b">
        <x:v>0</x:v>
      </x:c>
      <x:c r="U4140" s="2" t="str">
        <x:f>IF(T4140=TRUE,"Priority review",IF(R4140=TRUE,"High cost",IF(S4140=TRUE,"Low quality","Benchmark")))</x:f>
        <x:v>Benchmark</x:v>
      </x:c>
    </x:row>
    <x:row r="4141">
      <x:c r="A4141" s="2" t="str">
        <x:v>360046</x:v>
      </x:c>
      <x:c r="B4141" s="2" t="str">
        <x:v>MCCULLOUGH-HYDE MEMORIAL HOSPITAL</x:v>
      </x:c>
      <x:c r="C4141" s="2" t="str">
        <x:v>OXFORD</x:v>
      </x:c>
      <x:c r="D4141" s="2" t="str">
        <x:v>OH</x:v>
      </x:c>
      <x:c r="E4141" s="2" t="str">
        <x:v>Acute Care Hospitals</x:v>
      </x:c>
      <x:c r="F4141" s="2" t="str">
        <x:v>Voluntary non-profit</x:v>
      </x:c>
      <x:c r="G4141" s="2" t="str">
        <x:v>Small (&lt;100 beds)</x:v>
      </x:c>
      <x:c r="H4141" s="7" t="n">
        <x:v>3</x:v>
      </x:c>
      <x:c r="I4141" s="7" t="n">
        <x:v>4</x:v>
      </x:c>
      <x:c r="J4141" s="7" t="n">
        <x:v>0.93</x:v>
      </x:c>
      <x:c r="K4141" s="8" t="n">
        <x:v>52</x:v>
      </x:c>
      <x:c r="L4141" s="8" t="n">
        <x:v>1688</x:v>
      </x:c>
      <x:c r="M4141" s="9" t="n">
        <x:v>0.294625922</x:v>
      </x:c>
      <x:c r="N4141" s="10" t="n">
        <x:v>31296.3696682464</x:v>
      </x:c>
      <x:c r="O4141" s="9" t="n">
        <x:v>0.1015197059</x:v>
      </x:c>
      <x:c r="P4141" s="9" t="n">
        <x:v>0.1606822262</x:v>
      </x:c>
      <x:c r="Q4141" s="9" t="n">
        <x:v>0.1687612208</x:v>
      </x:c>
      <x:c r="R4141" s="3" t="b">
        <x:v>0</x:v>
      </x:c>
      <x:c r="S4141" s="3" t="b">
        <x:v>0</x:v>
      </x:c>
      <x:c r="T4141" s="3" t="b">
        <x:v>0</x:v>
      </x:c>
      <x:c r="U4141" s="2" t="str">
        <x:f>IF(T4141=TRUE,"Priority review",IF(R4141=TRUE,"High cost",IF(S4141=TRUE,"Low quality","Benchmark")))</x:f>
        <x:v>Benchmark</x:v>
      </x:c>
    </x:row>
    <x:row r="4142">
      <x:c r="A4142" s="2" t="str">
        <x:v>521342</x:v>
      </x:c>
      <x:c r="B4142" s="2" t="str">
        <x:v>INDIANHEAD MEDICAL CTR</x:v>
      </x:c>
      <x:c r="C4142" s="2" t="str">
        <x:v>SHELL LAKE</x:v>
      </x:c>
      <x:c r="D4142" s="2" t="str">
        <x:v>WI</x:v>
      </x:c>
      <x:c r="E4142" s="2" t="str">
        <x:v>Critical Access Hospitals</x:v>
      </x:c>
      <x:c r="F4142" s="2" t="str">
        <x:v>Proprietary</x:v>
      </x:c>
      <x:c r="G4142" s="2" t="str">
        <x:v>Small (&lt;100 beds)</x:v>
      </x:c>
      <x:c r="H4142" s="7"/>
      <x:c r="I4142" s="7"/>
      <x:c r="J4142" s="7"/>
      <x:c r="K4142" s="8" t="n">
        <x:v>25</x:v>
      </x:c>
      <x:c r="L4142" s="8" t="n">
        <x:v>175</x:v>
      </x:c>
      <x:c r="M4142" s="9" t="n">
        <x:v>0.1007123288</x:v>
      </x:c>
      <x:c r="N4142" s="10" t="n">
        <x:v>72477.0457142857</x:v>
      </x:c>
      <x:c r="O4142" s="9" t="n">
        <x:v>-0.1068150613</x:v>
      </x:c>
      <x:c r="P4142" s="9" t="n">
        <x:v>0.1605947955</x:v>
      </x:c>
      <x:c r="Q4142" s="9" t="n">
        <x:v>0.292936803</x:v>
      </x:c>
      <x:c r="R4142" s="3" t="b">
        <x:v>0</x:v>
      </x:c>
      <x:c r="S4142" s="3" t="b">
        <x:v>0</x:v>
      </x:c>
      <x:c r="T4142" s="3" t="b">
        <x:v>0</x:v>
      </x:c>
      <x:c r="U4142" s="2" t="str">
        <x:f>IF(T4142=TRUE,"Priority review",IF(R4142=TRUE,"High cost",IF(S4142=TRUE,"Low quality","Benchmark")))</x:f>
        <x:v>Benchmark</x:v>
      </x:c>
    </x:row>
    <x:row r="4143">
      <x:c r="A4143" s="2" t="str">
        <x:v>050024</x:v>
      </x:c>
      <x:c r="B4143" s="2" t="str">
        <x:v>PARADISE VALLEY HOSPITAL</x:v>
      </x:c>
      <x:c r="C4143" s="2" t="str">
        <x:v>NATIONAL CITY</x:v>
      </x:c>
      <x:c r="D4143" s="2" t="str">
        <x:v>CA</x:v>
      </x:c>
      <x:c r="E4143" s="2" t="str">
        <x:v>Acute Care Hospitals</x:v>
      </x:c>
      <x:c r="F4143" s="2" t="str">
        <x:v>Proprietary</x:v>
      </x:c>
      <x:c r="G4143" s="2" t="str">
        <x:v>Medium (100-299 beds)</x:v>
      </x:c>
      <x:c r="H4143" s="7" t="n">
        <x:v>3</x:v>
      </x:c>
      <x:c r="I4143" s="7" t="n">
        <x:v>2</x:v>
      </x:c>
      <x:c r="J4143" s="7" t="n">
        <x:v>1.07</x:v>
      </x:c>
      <x:c r="K4143" s="8" t="n">
        <x:v>244</x:v>
      </x:c>
      <x:c r="L4143" s="8" t="n">
        <x:v>6864</x:v>
      </x:c>
      <x:c r="M4143" s="9" t="n">
        <x:v>0.4650748396</x:v>
      </x:c>
      <x:c r="N4143" s="10" t="n">
        <x:v>22281.8645104895</x:v>
      </x:c>
      <x:c r="O4143" s="9" t="n">
        <x:v>0.0308456808</x:v>
      </x:c>
      <x:c r="P4143" s="9" t="n">
        <x:v>0.1605541972</x:v>
      </x:c>
      <x:c r="Q4143" s="9" t="n">
        <x:v>0.3023634882</x:v>
      </x:c>
      <x:c r="R4143" s="3" t="b">
        <x:v>0</x:v>
      </x:c>
      <x:c r="S4143" s="3" t="b">
        <x:v>0</x:v>
      </x:c>
      <x:c r="T4143" s="3" t="b">
        <x:v>0</x:v>
      </x:c>
      <x:c r="U4143" s="2" t="str">
        <x:f>IF(T4143=TRUE,"Priority review",IF(R4143=TRUE,"High cost",IF(S4143=TRUE,"Low quality","Benchmark")))</x:f>
        <x:v>Benchmark</x:v>
      </x:c>
    </x:row>
    <x:row r="4144">
      <x:c r="A4144" s="2" t="str">
        <x:v>424005</x:v>
      </x:c>
      <x:c r="B4144" s="2" t="str">
        <x:v>G WERBER BRYAN PSYCH HOSP</x:v>
      </x:c>
      <x:c r="C4144" s="2" t="str">
        <x:v>COLUMBIA</x:v>
      </x:c>
      <x:c r="D4144" s="2" t="str">
        <x:v>SC</x:v>
      </x:c>
      <x:c r="E4144" s="2" t="str">
        <x:v>Psychiatric</x:v>
      </x:c>
      <x:c r="F4144" s="2" t="str">
        <x:v>Government</x:v>
      </x:c>
      <x:c r="G4144" s="2" t="str">
        <x:v>Large (300+ beds)</x:v>
      </x:c>
      <x:c r="H4144" s="7"/>
      <x:c r="I4144" s="7"/>
      <x:c r="J4144" s="7"/>
      <x:c r="K4144" s="8" t="n">
        <x:v>378</x:v>
      </x:c>
      <x:c r="L4144" s="8" t="n">
        <x:v>788</x:v>
      </x:c>
      <x:c r="M4144" s="9" t="n">
        <x:v>0.8817279119</x:v>
      </x:c>
      <x:c r="N4144" s="10" t="n">
        <x:v>133847.288071066</x:v>
      </x:c>
      <x:c r="O4144" s="9" t="n">
        <x:v>-0.9939159017</x:v>
      </x:c>
      <x:c r="P4144" s="9" t="n">
        <x:v>0.16</x:v>
      </x:c>
      <x:c r="Q4144" s="9" t="n">
        <x:v>0</x:v>
      </x:c>
      <x:c r="R4144" s="3" t="b">
        <x:v>0</x:v>
      </x:c>
      <x:c r="S4144" s="3" t="b">
        <x:v>0</x:v>
      </x:c>
      <x:c r="T4144" s="3" t="b">
        <x:v>0</x:v>
      </x:c>
      <x:c r="U4144" s="2" t="str">
        <x:f>IF(T4144=TRUE,"Priority review",IF(R4144=TRUE,"High cost",IF(S4144=TRUE,"Low quality","Benchmark")))</x:f>
        <x:v>Benchmark</x:v>
      </x:c>
    </x:row>
    <x:row r="4145">
      <x:c r="A4145" s="2" t="str">
        <x:v>181327</x:v>
      </x:c>
      <x:c r="B4145" s="2" t="str">
        <x:v>MARSHALL COUNTY HOSPITAL</x:v>
      </x:c>
      <x:c r="C4145" s="2" t="str">
        <x:v>BENTON</x:v>
      </x:c>
      <x:c r="D4145" s="2" t="str">
        <x:v>KY</x:v>
      </x:c>
      <x:c r="E4145" s="2" t="str">
        <x:v>Critical Access Hospitals</x:v>
      </x:c>
      <x:c r="F4145" s="2" t="str">
        <x:v>Government</x:v>
      </x:c>
      <x:c r="G4145" s="2" t="str">
        <x:v>Small (&lt;100 beds)</x:v>
      </x:c>
      <x:c r="H4145" s="7" t="n">
        <x:v>2</x:v>
      </x:c>
      <x:c r="I4145" s="7"/>
      <x:c r="J4145" s="7"/>
      <x:c r="K4145" s="8" t="n">
        <x:v>25</x:v>
      </x:c>
      <x:c r="L4145" s="8" t="n">
        <x:v>386</x:v>
      </x:c>
      <x:c r="M4145" s="9" t="n">
        <x:v>0.1389071038</x:v>
      </x:c>
      <x:c r="N4145" s="10" t="n">
        <x:v>72416.8082901554</x:v>
      </x:c>
      <x:c r="O4145" s="9" t="n">
        <x:v>-0.3049517827</x:v>
      </x:c>
      <x:c r="P4145" s="9" t="n">
        <x:v>0.1598513011</x:v>
      </x:c>
      <x:c r="Q4145" s="9" t="n">
        <x:v>0.0171003717</x:v>
      </x:c>
      <x:c r="R4145" s="3" t="b">
        <x:v>0</x:v>
      </x:c>
      <x:c r="S4145" s="3" t="b">
        <x:v>1</x:v>
      </x:c>
      <x:c r="T4145" s="3" t="b">
        <x:v>0</x:v>
      </x:c>
      <x:c r="U4145" s="2" t="str">
        <x:f>IF(T4145=TRUE,"Priority review",IF(R4145=TRUE,"High cost",IF(S4145=TRUE,"Low quality","Benchmark")))</x:f>
        <x:v>Low quality</x:v>
      </x:c>
    </x:row>
    <x:row r="4146">
      <x:c r="A4146" s="2" t="str">
        <x:v>340024</x:v>
      </x:c>
      <x:c r="B4146" s="2" t="str">
        <x:v>SAMPSON REGIONAL MEDICAL CENTER</x:v>
      </x:c>
      <x:c r="C4146" s="2" t="str">
        <x:v>CLINTON</x:v>
      </x:c>
      <x:c r="D4146" s="2" t="str">
        <x:v>NC</x:v>
      </x:c>
      <x:c r="E4146" s="2" t="str">
        <x:v>Acute Care Hospitals</x:v>
      </x:c>
      <x:c r="F4146" s="2" t="str">
        <x:v>Government</x:v>
      </x:c>
      <x:c r="G4146" s="2" t="str">
        <x:v>Small (&lt;100 beds)</x:v>
      </x:c>
      <x:c r="H4146" s="7" t="n">
        <x:v>2</x:v>
      </x:c>
      <x:c r="I4146" s="7" t="n">
        <x:v>4</x:v>
      </x:c>
      <x:c r="J4146" s="7" t="n">
        <x:v>0.96</x:v>
      </x:c>
      <x:c r="K4146" s="8" t="n">
        <x:v>67</x:v>
      </x:c>
      <x:c r="L4146" s="8" t="n">
        <x:v>2549</x:v>
      </x:c>
      <x:c r="M4146" s="9" t="n">
        <x:v>0.4210504853</x:v>
      </x:c>
      <x:c r="N4146" s="10" t="n">
        <x:v>31271.0376618282</x:v>
      </x:c>
      <x:c r="O4146" s="9" t="n">
        <x:v>-0.0427011174</x:v>
      </x:c>
      <x:c r="P4146" s="9" t="n">
        <x:v>0.1597845601</x:v>
      </x:c>
      <x:c r="Q4146" s="9" t="n">
        <x:v>0.0350089767</x:v>
      </x:c>
      <x:c r="R4146" s="3" t="b">
        <x:v>0</x:v>
      </x:c>
      <x:c r="S4146" s="3" t="b">
        <x:v>1</x:v>
      </x:c>
      <x:c r="T4146" s="3" t="b">
        <x:v>0</x:v>
      </x:c>
      <x:c r="U4146" s="2" t="str">
        <x:f>IF(T4146=TRUE,"Priority review",IF(R4146=TRUE,"High cost",IF(S4146=TRUE,"Low quality","Benchmark")))</x:f>
        <x:v>Low quality</x:v>
      </x:c>
    </x:row>
    <x:row r="4147">
      <x:c r="A4147" s="2" t="str">
        <x:v>450779</x:v>
      </x:c>
      <x:c r="B4147" s="2" t="str">
        <x:v>TEXAS HEALTH HARRIS METHODIST HOSPITAL SOUTHWEST F</x:v>
      </x:c>
      <x:c r="C4147" s="2" t="str">
        <x:v>FORT WORTH</x:v>
      </x:c>
      <x:c r="D4147" s="2" t="str">
        <x:v>TX</x:v>
      </x:c>
      <x:c r="E4147" s="2" t="str">
        <x:v>Acute Care Hospitals</x:v>
      </x:c>
      <x:c r="F4147" s="2" t="str">
        <x:v>Voluntary non-profit</x:v>
      </x:c>
      <x:c r="G4147" s="2" t="str">
        <x:v>Medium (100-299 beds)</x:v>
      </x:c>
      <x:c r="H4147" s="7" t="n">
        <x:v>5</x:v>
      </x:c>
      <x:c r="I4147" s="7" t="n">
        <x:v>4</x:v>
      </x:c>
      <x:c r="J4147" s="7" t="n">
        <x:v>1</x:v>
      </x:c>
      <x:c r="K4147" s="8" t="n">
        <x:v>243</x:v>
      </x:c>
      <x:c r="L4147" s="8" t="n">
        <x:v>15844</x:v>
      </x:c>
      <x:c r="M4147" s="9" t="n">
        <x:v>0.64646158</x:v>
      </x:c>
      <x:c r="N4147" s="10" t="n">
        <x:v>22245.3715602121</x:v>
      </x:c>
      <x:c r="O4147" s="9" t="n">
        <x:v>0.1078525515</x:v>
      </x:c>
      <x:c r="P4147" s="9" t="n">
        <x:v>0.1597392013</x:v>
      </x:c>
      <x:c r="Q4147" s="9" t="n">
        <x:v>0.8744906275</x:v>
      </x:c>
      <x:c r="R4147" s="3" t="b">
        <x:v>0</x:v>
      </x:c>
      <x:c r="S4147" s="3" t="b">
        <x:v>0</x:v>
      </x:c>
      <x:c r="T4147" s="3" t="b">
        <x:v>0</x:v>
      </x:c>
      <x:c r="U4147" s="2" t="str">
        <x:f>IF(T4147=TRUE,"Priority review",IF(R4147=TRUE,"High cost",IF(S4147=TRUE,"Low quality","Benchmark")))</x:f>
        <x:v>Benchmark</x:v>
      </x:c>
    </x:row>
    <x:row r="4148">
      <x:c r="A4148" s="2" t="str">
        <x:v>030065</x:v>
      </x:c>
      <x:c r="B4148" s="2" t="str">
        <x:v>BANNER DESERT MEDICAL CENTER</x:v>
      </x:c>
      <x:c r="C4148" s="2" t="str">
        <x:v>MESA</x:v>
      </x:c>
      <x:c r="D4148" s="2" t="str">
        <x:v>AZ</x:v>
      </x:c>
      <x:c r="E4148" s="2" t="str">
        <x:v>Acute Care Hospitals</x:v>
      </x:c>
      <x:c r="F4148" s="2" t="str">
        <x:v>Voluntary non-profit</x:v>
      </x:c>
      <x:c r="G4148" s="2" t="str">
        <x:v>Large (300+ beds)</x:v>
      </x:c>
      <x:c r="H4148" s="7" t="n">
        <x:v>2</x:v>
      </x:c>
      <x:c r="I4148" s="7" t="n">
        <x:v>2</x:v>
      </x:c>
      <x:c r="J4148" s="7" t="n">
        <x:v>1.04</x:v>
      </x:c>
      <x:c r="K4148" s="8" t="n">
        <x:v>629</x:v>
      </x:c>
      <x:c r="L4148" s="8" t="n">
        <x:v>33761</x:v>
      </x:c>
      <x:c r="M4148" s="9" t="n">
        <x:v>0.7998080047</x:v>
      </x:c>
      <x:c r="N4148" s="10" t="n">
        <x:v>25409.7072954</x:v>
      </x:c>
      <x:c r="O4148" s="9" t="n">
        <x:v>0.16504682</x:v>
      </x:c>
      <x:c r="P4148" s="9" t="n">
        <x:v>0.1593059937</x:v>
      </x:c>
      <x:c r="Q4148" s="9" t="n">
        <x:v>0.0536277603</x:v>
      </x:c>
      <x:c r="R4148" s="3" t="b">
        <x:v>0</x:v>
      </x:c>
      <x:c r="S4148" s="3" t="b">
        <x:v>1</x:v>
      </x:c>
      <x:c r="T4148" s="3" t="b">
        <x:v>0</x:v>
      </x:c>
      <x:c r="U4148" s="2" t="str">
        <x:f>IF(T4148=TRUE,"Priority review",IF(R4148=TRUE,"High cost",IF(S4148=TRUE,"Low quality","Benchmark")))</x:f>
        <x:v>Low quality</x:v>
      </x:c>
    </x:row>
    <x:row r="4149">
      <x:c r="A4149" s="2" t="str">
        <x:v>444007</x:v>
      </x:c>
      <x:c r="B4149" s="2" t="str">
        <x:v>ROLLING HILLS PSYCHIATRIC HOSPITAL</x:v>
      </x:c>
      <x:c r="C4149" s="2" t="str">
        <x:v>FRANKLIN</x:v>
      </x:c>
      <x:c r="D4149" s="2" t="str">
        <x:v>TN</x:v>
      </x:c>
      <x:c r="E4149" s="2" t="str">
        <x:v>Psychiatric</x:v>
      </x:c>
      <x:c r="F4149" s="2" t="str">
        <x:v>Voluntary non-profit</x:v>
      </x:c>
      <x:c r="G4149" s="2" t="str">
        <x:v>Medium (100-299 beds)</x:v>
      </x:c>
      <x:c r="H4149" s="7"/>
      <x:c r="I4149" s="7"/>
      <x:c r="J4149" s="7"/>
      <x:c r="K4149" s="8" t="n">
        <x:v>130</x:v>
      </x:c>
      <x:c r="L4149" s="8" t="n">
        <x:v>4576</x:v>
      </x:c>
      <x:c r="M4149" s="9" t="n">
        <x:v>0.6906849315</x:v>
      </x:c>
      <x:c r="N4149" s="10" t="n">
        <x:v>6181.6236888112</x:v>
      </x:c>
      <x:c r="O4149" s="9" t="n">
        <x:v>0.1479373459</x:v>
      </x:c>
      <x:c r="P4149" s="9" t="n">
        <x:v>0.1592039801</x:v>
      </x:c>
      <x:c r="Q4149" s="9" t="n">
        <x:v>0</x:v>
      </x:c>
      <x:c r="R4149" s="3" t="b">
        <x:v>0</x:v>
      </x:c>
      <x:c r="S4149" s="3" t="b">
        <x:v>0</x:v>
      </x:c>
      <x:c r="T4149" s="3" t="b">
        <x:v>0</x:v>
      </x:c>
      <x:c r="U4149" s="2" t="str">
        <x:f>IF(T4149=TRUE,"Priority review",IF(R4149=TRUE,"High cost",IF(S4149=TRUE,"Low quality","Benchmark")))</x:f>
        <x:v>Benchmark</x:v>
      </x:c>
    </x:row>
    <x:row r="4150">
      <x:c r="A4150" s="2" t="str">
        <x:v>461307</x:v>
      </x:c>
      <x:c r="B4150" s="2" t="str">
        <x:v>INTERMOUNTAIN HEALTH HEBER VALLEY HOSPITAL</x:v>
      </x:c>
      <x:c r="C4150" s="2" t="str">
        <x:v>HEBER CITY</x:v>
      </x:c>
      <x:c r="D4150" s="2" t="str">
        <x:v>UT</x:v>
      </x:c>
      <x:c r="E4150" s="2" t="str">
        <x:v>Critical Access Hospitals</x:v>
      </x:c>
      <x:c r="F4150" s="2" t="str">
        <x:v>Voluntary non-profit</x:v>
      </x:c>
      <x:c r="G4150" s="2" t="str">
        <x:v>Small (&lt;100 beds)</x:v>
      </x:c>
      <x:c r="H4150" s="7"/>
      <x:c r="I4150" s="7" t="n">
        <x:v>5</x:v>
      </x:c>
      <x:c r="J4150" s="7"/>
      <x:c r="K4150" s="8" t="n">
        <x:v>19</x:v>
      </x:c>
      <x:c r="L4150" s="8" t="n">
        <x:v>795</x:v>
      </x:c>
      <x:c r="M4150" s="9" t="n">
        <x:v>0.2935001438</x:v>
      </x:c>
      <x:c r="N4150" s="10" t="n">
        <x:v>72396.3081761006</x:v>
      </x:c>
      <x:c r="O4150" s="9" t="n">
        <x:v>0.0256856267</x:v>
      </x:c>
      <x:c r="P4150" s="9" t="n">
        <x:v>0.1591078067</x:v>
      </x:c>
      <x:c r="Q4150" s="9" t="n">
        <x:v>0.292936803</x:v>
      </x:c>
      <x:c r="R4150" s="3" t="b">
        <x:v>0</x:v>
      </x:c>
      <x:c r="S4150" s="3" t="b">
        <x:v>0</x:v>
      </x:c>
      <x:c r="T4150" s="3" t="b">
        <x:v>0</x:v>
      </x:c>
      <x:c r="U4150" s="2" t="str">
        <x:f>IF(T4150=TRUE,"Priority review",IF(R4150=TRUE,"High cost",IF(S4150=TRUE,"Low quality","Benchmark")))</x:f>
        <x:v>Benchmark</x:v>
      </x:c>
    </x:row>
    <x:row r="4151">
      <x:c r="A4151" s="2" t="str">
        <x:v>050580</x:v>
      </x:c>
      <x:c r="B4151" s="2" t="str">
        <x:v>LA PALMA INTERCOMMUNITY HOSPITAL</x:v>
      </x:c>
      <x:c r="C4151" s="2" t="str">
        <x:v>LA PALMA</x:v>
      </x:c>
      <x:c r="D4151" s="2" t="str">
        <x:v>CA</x:v>
      </x:c>
      <x:c r="E4151" s="2" t="str">
        <x:v>Acute Care Hospitals</x:v>
      </x:c>
      <x:c r="F4151" s="2" t="str">
        <x:v>Proprietary</x:v>
      </x:c>
      <x:c r="G4151" s="2" t="str">
        <x:v>Medium (100-299 beds)</x:v>
      </x:c>
      <x:c r="H4151" s="7" t="n">
        <x:v>3</x:v>
      </x:c>
      <x:c r="I4151" s="7" t="n">
        <x:v>2</x:v>
      </x:c>
      <x:c r="J4151" s="7" t="n">
        <x:v>1.18</x:v>
      </x:c>
      <x:c r="K4151" s="8" t="n">
        <x:v>115</x:v>
      </x:c>
      <x:c r="L4151" s="8" t="n">
        <x:v>2984</x:v>
      </x:c>
      <x:c r="M4151" s="9" t="n">
        <x:v>0.2736754574</x:v>
      </x:c>
      <x:c r="N4151" s="10" t="n">
        <x:v>22201.3391420912</x:v>
      </x:c>
      <x:c r="O4151" s="9" t="n">
        <x:v>-0.0262335307</x:v>
      </x:c>
      <x:c r="P4151" s="9" t="n">
        <x:v>0.1589242054</x:v>
      </x:c>
      <x:c r="Q4151" s="9" t="n">
        <x:v>0.3023634882</x:v>
      </x:c>
      <x:c r="R4151" s="3" t="b">
        <x:v>0</x:v>
      </x:c>
      <x:c r="S4151" s="3" t="b">
        <x:v>0</x:v>
      </x:c>
      <x:c r="T4151" s="3" t="b">
        <x:v>0</x:v>
      </x:c>
      <x:c r="U4151" s="2" t="str">
        <x:f>IF(T4151=TRUE,"Priority review",IF(R4151=TRUE,"High cost",IF(S4151=TRUE,"Low quality","Benchmark")))</x:f>
        <x:v>Benchmark</x:v>
      </x:c>
    </x:row>
    <x:row r="4152">
      <x:c r="A4152" s="2" t="str">
        <x:v>370237</x:v>
      </x:c>
      <x:c r="B4152" s="2" t="str">
        <x:v>SAINT FRANCIS HOSPITAL VINITA, INC</x:v>
      </x:c>
      <x:c r="C4152" s="2" t="str">
        <x:v>VINITA</x:v>
      </x:c>
      <x:c r="D4152" s="2" t="str">
        <x:v>OK</x:v>
      </x:c>
      <x:c r="E4152" s="2" t="str">
        <x:v>Acute Care Hospitals</x:v>
      </x:c>
      <x:c r="F4152" s="2" t="str">
        <x:v>Voluntary non-profit</x:v>
      </x:c>
      <x:c r="G4152" s="2" t="str">
        <x:v>Small (&lt;100 beds)</x:v>
      </x:c>
      <x:c r="H4152" s="7" t="n">
        <x:v>3</x:v>
      </x:c>
      <x:c r="I4152" s="7" t="n">
        <x:v>5</x:v>
      </x:c>
      <x:c r="J4152" s="7" t="n">
        <x:v>0.83</x:v>
      </x:c>
      <x:c r="K4152" s="8" t="n">
        <x:v>30</x:v>
      </x:c>
      <x:c r="L4152" s="8" t="n">
        <x:v>822</x:v>
      </x:c>
      <x:c r="M4152" s="9" t="n">
        <x:v>0.2186869613</x:v>
      </x:c>
      <x:c r="N4152" s="10" t="n">
        <x:v>31230.2591240876</x:v>
      </x:c>
      <x:c r="O4152" s="9" t="n">
        <x:v>0.1283284437</x:v>
      </x:c>
      <x:c r="P4152" s="9" t="n">
        <x:v>0.1588868941</x:v>
      </x:c>
      <x:c r="Q4152" s="9" t="n">
        <x:v>0.1687612208</x:v>
      </x:c>
      <x:c r="R4152" s="3" t="b">
        <x:v>0</x:v>
      </x:c>
      <x:c r="S4152" s="3" t="b">
        <x:v>0</x:v>
      </x:c>
      <x:c r="T4152" s="3" t="b">
        <x:v>0</x:v>
      </x:c>
      <x:c r="U4152" s="2" t="str">
        <x:f>IF(T4152=TRUE,"Priority review",IF(R4152=TRUE,"High cost",IF(S4152=TRUE,"Low quality","Benchmark")))</x:f>
        <x:v>Benchmark</x:v>
      </x:c>
    </x:row>
    <x:row r="4153">
      <x:c r="A4153" s="2" t="str">
        <x:v>064024</x:v>
      </x:c>
      <x:c r="B4153" s="2" t="str">
        <x:v>HIGHLANDS BEHAVIORAL HEALTH SYSTEM</x:v>
      </x:c>
      <x:c r="C4153" s="2" t="str">
        <x:v>HIGHLANDS RANCH</x:v>
      </x:c>
      <x:c r="D4153" s="2" t="str">
        <x:v>CO</x:v>
      </x:c>
      <x:c r="E4153" s="2" t="str">
        <x:v>Psychiatric</x:v>
      </x:c>
      <x:c r="F4153" s="2" t="str">
        <x:v>Proprietary</x:v>
      </x:c>
      <x:c r="G4153" s="2" t="str">
        <x:v>Small (&lt;100 beds)</x:v>
      </x:c>
      <x:c r="H4153" s="7"/>
      <x:c r="I4153" s="7"/>
      <x:c r="J4153" s="7"/>
      <x:c r="K4153" s="8" t="n">
        <x:v>86</x:v>
      </x:c>
      <x:c r="L4153" s="8" t="n">
        <x:v>3090</x:v>
      </x:c>
      <x:c r="M4153" s="9" t="n">
        <x:v>0.7030435888</x:v>
      </x:c>
      <x:c r="N4153" s="10" t="n">
        <x:v>7313.1731391586</x:v>
      </x:c>
      <x:c r="O4153" s="9" t="n">
        <x:v>0.008608782</x:v>
      </x:c>
      <x:c r="P4153" s="9" t="n">
        <x:v>0.1585760518</x:v>
      </x:c>
      <x:c r="Q4153" s="9" t="n">
        <x:v>0</x:v>
      </x:c>
      <x:c r="R4153" s="3" t="b">
        <x:v>0</x:v>
      </x:c>
      <x:c r="S4153" s="3" t="b">
        <x:v>0</x:v>
      </x:c>
      <x:c r="T4153" s="3" t="b">
        <x:v>0</x:v>
      </x:c>
      <x:c r="U4153" s="2" t="str">
        <x:f>IF(T4153=TRUE,"Priority review",IF(R4153=TRUE,"High cost",IF(S4153=TRUE,"Low quality","Benchmark")))</x:f>
        <x:v>Benchmark</x:v>
      </x:c>
    </x:row>
    <x:row r="4154">
      <x:c r="A4154" s="2" t="str">
        <x:v>391312</x:v>
      </x:c>
      <x:c r="B4154" s="2" t="str">
        <x:v>PENN HIGHLANDS BROOKVILLE</x:v>
      </x:c>
      <x:c r="C4154" s="2" t="str">
        <x:v>BROOKVILLE</x:v>
      </x:c>
      <x:c r="D4154" s="2" t="str">
        <x:v>PA</x:v>
      </x:c>
      <x:c r="E4154" s="2" t="str">
        <x:v>Critical Access Hospitals</x:v>
      </x:c>
      <x:c r="F4154" s="2" t="str">
        <x:v>Voluntary non-profit</x:v>
      </x:c>
      <x:c r="G4154" s="2" t="str">
        <x:v>Small (&lt;100 beds)</x:v>
      </x:c>
      <x:c r="H4154" s="7" t="n">
        <x:v>4</x:v>
      </x:c>
      <x:c r="I4154" s="7" t="n">
        <x:v>4</x:v>
      </x:c>
      <x:c r="J4154" s="7"/>
      <x:c r="K4154" s="8" t="n">
        <x:v>25</x:v>
      </x:c>
      <x:c r="L4154" s="8" t="n">
        <x:v>455</x:v>
      </x:c>
      <x:c r="M4154" s="9" t="n">
        <x:v>0.3374246575</x:v>
      </x:c>
      <x:c r="N4154" s="10" t="n">
        <x:v>72358.4989010989</x:v>
      </x:c>
      <x:c r="O4154" s="9" t="n">
        <x:v>0.0395035053</x:v>
      </x:c>
      <x:c r="P4154" s="9" t="n">
        <x:v>0.1583643123</x:v>
      </x:c>
      <x:c r="Q4154" s="9" t="n">
        <x:v>0.1657992565</x:v>
      </x:c>
      <x:c r="R4154" s="3" t="b">
        <x:v>0</x:v>
      </x:c>
      <x:c r="S4154" s="3" t="b">
        <x:v>0</x:v>
      </x:c>
      <x:c r="T4154" s="3" t="b">
        <x:v>0</x:v>
      </x:c>
      <x:c r="U4154" s="2" t="str">
        <x:f>IF(T4154=TRUE,"Priority review",IF(R4154=TRUE,"High cost",IF(S4154=TRUE,"Low quality","Benchmark")))</x:f>
        <x:v>Benchmark</x:v>
      </x:c>
    </x:row>
    <x:row r="4155">
      <x:c r="A4155" s="2" t="str">
        <x:v>420009</x:v>
      </x:c>
      <x:c r="B4155" s="2" t="str">
        <x:v>PRISMA HEALTH OCONEE MEMORIAL HOSPITAL</x:v>
      </x:c>
      <x:c r="C4155" s="2" t="str">
        <x:v>SENECA</x:v>
      </x:c>
      <x:c r="D4155" s="2" t="str">
        <x:v>SC</x:v>
      </x:c>
      <x:c r="E4155" s="2" t="str">
        <x:v>Acute Care Hospitals</x:v>
      </x:c>
      <x:c r="F4155" s="2" t="str">
        <x:v>Voluntary non-profit</x:v>
      </x:c>
      <x:c r="G4155" s="2" t="str">
        <x:v>Medium (100-299 beds)</x:v>
      </x:c>
      <x:c r="H4155" s="7" t="n">
        <x:v>4</x:v>
      </x:c>
      <x:c r="I4155" s="7" t="n">
        <x:v>4</x:v>
      </x:c>
      <x:c r="J4155" s="7" t="n">
        <x:v>1</x:v>
      </x:c>
      <x:c r="K4155" s="8" t="n">
        <x:v>131</x:v>
      </x:c>
      <x:c r="L4155" s="8" t="n">
        <x:v>7146</x:v>
      </x:c>
      <x:c r="M4155" s="9" t="n">
        <x:v>0.6248365186</x:v>
      </x:c>
      <x:c r="N4155" s="10" t="n">
        <x:v>22174.7422334173</x:v>
      </x:c>
      <x:c r="O4155" s="9" t="n">
        <x:v>0.1873863979</x:v>
      </x:c>
      <x:c r="P4155" s="9" t="n">
        <x:v>0.1581092095</x:v>
      </x:c>
      <x:c r="Q4155" s="9" t="n">
        <x:v>0.6022819886</x:v>
      </x:c>
      <x:c r="R4155" s="3" t="b">
        <x:v>0</x:v>
      </x:c>
      <x:c r="S4155" s="3" t="b">
        <x:v>0</x:v>
      </x:c>
      <x:c r="T4155" s="3" t="b">
        <x:v>0</x:v>
      </x:c>
      <x:c r="U4155" s="2" t="str">
        <x:f>IF(T4155=TRUE,"Priority review",IF(R4155=TRUE,"High cost",IF(S4155=TRUE,"Low quality","Benchmark")))</x:f>
        <x:v>Benchmark</x:v>
      </x:c>
    </x:row>
    <x:row r="4156">
      <x:c r="A4156" s="2" t="str">
        <x:v>190053</x:v>
      </x:c>
      <x:c r="B4156" s="2" t="str">
        <x:v>OCHSNER AMERICAN LEGION HOSPITAL</x:v>
      </x:c>
      <x:c r="C4156" s="2" t="str">
        <x:v>JENNINGS</x:v>
      </x:c>
      <x:c r="D4156" s="2" t="str">
        <x:v>LA</x:v>
      </x:c>
      <x:c r="E4156" s="2" t="str">
        <x:v>Acute Care Hospitals</x:v>
      </x:c>
      <x:c r="F4156" s="2" t="str">
        <x:v>Voluntary non-profit</x:v>
      </x:c>
      <x:c r="G4156" s="2" t="str">
        <x:v>Small (&lt;100 beds)</x:v>
      </x:c>
      <x:c r="H4156" s="7" t="n">
        <x:v>2</x:v>
      </x:c>
      <x:c r="I4156" s="7" t="n">
        <x:v>4</x:v>
      </x:c>
      <x:c r="J4156" s="7" t="n">
        <x:v>1.09</x:v>
      </x:c>
      <x:c r="K4156" s="8" t="n">
        <x:v>49</x:v>
      </x:c>
      <x:c r="L4156" s="8" t="n">
        <x:v>2451</x:v>
      </x:c>
      <x:c r="M4156" s="9" t="n">
        <x:v>0.4621389539</x:v>
      </x:c>
      <x:c r="N4156" s="10" t="n">
        <x:v>31179.8935128519</x:v>
      </x:c>
      <x:c r="O4156" s="9" t="n">
        <x:v>-0.2604528452</x:v>
      </x:c>
      <x:c r="P4156" s="9" t="n">
        <x:v>0.157989228</x:v>
      </x:c>
      <x:c r="Q4156" s="9" t="n">
        <x:v>0.0350089767</x:v>
      </x:c>
      <x:c r="R4156" s="3" t="b">
        <x:v>0</x:v>
      </x:c>
      <x:c r="S4156" s="3" t="b">
        <x:v>1</x:v>
      </x:c>
      <x:c r="T4156" s="3" t="b">
        <x:v>0</x:v>
      </x:c>
      <x:c r="U4156" s="2" t="str">
        <x:f>IF(T4156=TRUE,"Priority review",IF(R4156=TRUE,"High cost",IF(S4156=TRUE,"Low quality","Benchmark")))</x:f>
        <x:v>Low quality</x:v>
      </x:c>
    </x:row>
    <x:row r="4157">
      <x:c r="A4157" s="2" t="str">
        <x:v>490040</x:v>
      </x:c>
      <x:c r="B4157" s="2" t="str">
        <x:v>INOVA ALEXANDRIA HOSPITAL</x:v>
      </x:c>
      <x:c r="C4157" s="2" t="str">
        <x:v>ALEXANDRIA</x:v>
      </x:c>
      <x:c r="D4157" s="2" t="str">
        <x:v>VA</x:v>
      </x:c>
      <x:c r="E4157" s="2" t="str">
        <x:v>Acute Care Hospitals</x:v>
      </x:c>
      <x:c r="F4157" s="2" t="str">
        <x:v>Voluntary non-profit</x:v>
      </x:c>
      <x:c r="G4157" s="2" t="str">
        <x:v>Large (300+ beds)</x:v>
      </x:c>
      <x:c r="H4157" s="7" t="n">
        <x:v>5</x:v>
      </x:c>
      <x:c r="I4157" s="7" t="n">
        <x:v>3</x:v>
      </x:c>
      <x:c r="J4157" s="7" t="n">
        <x:v>0.94</x:v>
      </x:c>
      <x:c r="K4157" s="8" t="n">
        <x:v>303</x:v>
      </x:c>
      <x:c r="L4157" s="8" t="n">
        <x:v>14411</x:v>
      </x:c>
      <x:c r="M4157" s="9" t="n">
        <x:v>0.5960882974</x:v>
      </x:c>
      <x:c r="N4157" s="10" t="n">
        <x:v>25343.4660328915</x:v>
      </x:c>
      <x:c r="O4157" s="9" t="n">
        <x:v>0.3520287494</x:v>
      </x:c>
      <x:c r="P4157" s="9" t="n">
        <x:v>0.1577287066</x:v>
      </x:c>
      <x:c r="Q4157" s="9" t="n">
        <x:v>0.8722397476</x:v>
      </x:c>
      <x:c r="R4157" s="3" t="b">
        <x:v>0</x:v>
      </x:c>
      <x:c r="S4157" s="3" t="b">
        <x:v>0</x:v>
      </x:c>
      <x:c r="T4157" s="3" t="b">
        <x:v>0</x:v>
      </x:c>
      <x:c r="U4157" s="2" t="str">
        <x:f>IF(T4157=TRUE,"Priority review",IF(R4157=TRUE,"High cost",IF(S4157=TRUE,"Low quality","Benchmark")))</x:f>
        <x:v>Benchmark</x:v>
      </x:c>
    </x:row>
    <x:row r="4158">
      <x:c r="A4158" s="2" t="str">
        <x:v>241380</x:v>
      </x:c>
      <x:c r="B4158" s="2" t="str">
        <x:v>ST JOSEPHS AREA  HEALTH SERVICES</x:v>
      </x:c>
      <x:c r="C4158" s="2" t="str">
        <x:v>PARK RAPIDS</x:v>
      </x:c>
      <x:c r="D4158" s="2" t="str">
        <x:v>MN</x:v>
      </x:c>
      <x:c r="E4158" s="2" t="str">
        <x:v>Critical Access Hospitals</x:v>
      </x:c>
      <x:c r="F4158" s="2" t="str">
        <x:v>Voluntary non-profit</x:v>
      </x:c>
      <x:c r="G4158" s="2" t="str">
        <x:v>Small (&lt;100 beds)</x:v>
      </x:c>
      <x:c r="H4158" s="7" t="n">
        <x:v>3</x:v>
      </x:c>
      <x:c r="I4158" s="7" t="n">
        <x:v>5</x:v>
      </x:c>
      <x:c r="J4158" s="7"/>
      <x:c r="K4158" s="8" t="n">
        <x:v>25</x:v>
      </x:c>
      <x:c r="L4158" s="8" t="n">
        <x:v>739</x:v>
      </x:c>
      <x:c r="M4158" s="9" t="n">
        <x:v>0.3185753425</x:v>
      </x:c>
      <x:c r="N4158" s="10" t="n">
        <x:v>72226.2435723951</x:v>
      </x:c>
      <x:c r="O4158" s="9" t="n">
        <x:v>-0.2129288588</x:v>
      </x:c>
      <x:c r="P4158" s="9" t="n">
        <x:v>0.1576208178</x:v>
      </x:c>
      <x:c r="Q4158" s="9" t="n">
        <x:v>0.0765799257</x:v>
      </x:c>
      <x:c r="R4158" s="3" t="b">
        <x:v>0</x:v>
      </x:c>
      <x:c r="S4158" s="3" t="b">
        <x:v>1</x:v>
      </x:c>
      <x:c r="T4158" s="3" t="b">
        <x:v>0</x:v>
      </x:c>
      <x:c r="U4158" s="2" t="str">
        <x:f>IF(T4158=TRUE,"Priority review",IF(R4158=TRUE,"High cost",IF(S4158=TRUE,"Low quality","Benchmark")))</x:f>
        <x:v>Low quality</x:v>
      </x:c>
    </x:row>
    <x:row r="4159">
      <x:c r="A4159" s="2" t="str">
        <x:v>030119</x:v>
      </x:c>
      <x:c r="B4159" s="2" t="str">
        <x:v>MERCY GILBERT MEDICAL CENTER</x:v>
      </x:c>
      <x:c r="C4159" s="2" t="str">
        <x:v>GILBERT</x:v>
      </x:c>
      <x:c r="D4159" s="2" t="str">
        <x:v>AZ</x:v>
      </x:c>
      <x:c r="E4159" s="2" t="str">
        <x:v>Acute Care Hospitals</x:v>
      </x:c>
      <x:c r="F4159" s="2" t="str">
        <x:v>Voluntary non-profit</x:v>
      </x:c>
      <x:c r="G4159" s="2" t="str">
        <x:v>Medium (100-299 beds)</x:v>
      </x:c>
      <x:c r="H4159" s="7" t="n">
        <x:v>5</x:v>
      </x:c>
      <x:c r="I4159" s="7" t="n">
        <x:v>3</x:v>
      </x:c>
      <x:c r="J4159" s="7" t="n">
        <x:v>1.03</x:v>
      </x:c>
      <x:c r="K4159" s="8" t="n">
        <x:v>197</x:v>
      </x:c>
      <x:c r="L4159" s="8" t="n">
        <x:v>19928</x:v>
      </x:c>
      <x:c r="M4159" s="9" t="n">
        <x:v>1.0408316529</x:v>
      </x:c>
      <x:c r="N4159" s="10" t="n">
        <x:v>22157.0009032517</x:v>
      </x:c>
      <x:c r="O4159" s="9" t="n">
        <x:v>-0.024246303</x:v>
      </x:c>
      <x:c r="P4159" s="9" t="n">
        <x:v>0.1572942135</x:v>
      </x:c>
      <x:c r="Q4159" s="9" t="n">
        <x:v>0.8744906275</x:v>
      </x:c>
      <x:c r="R4159" s="3" t="b">
        <x:v>0</x:v>
      </x:c>
      <x:c r="S4159" s="3" t="b">
        <x:v>0</x:v>
      </x:c>
      <x:c r="T4159" s="3" t="b">
        <x:v>0</x:v>
      </x:c>
      <x:c r="U4159" s="2" t="str">
        <x:f>IF(T4159=TRUE,"Priority review",IF(R4159=TRUE,"High cost",IF(S4159=TRUE,"Low quality","Benchmark")))</x:f>
        <x:v>Benchmark</x:v>
      </x:c>
    </x:row>
    <x:row r="4160">
      <x:c r="A4160" s="2" t="str">
        <x:v>450419</x:v>
      </x:c>
      <x:c r="B4160" s="2" t="str">
        <x:v>TEXAS HEALTH HARRIS METHODIST HOSPITAL AZLE</x:v>
      </x:c>
      <x:c r="C4160" s="2" t="str">
        <x:v>AZLE</x:v>
      </x:c>
      <x:c r="D4160" s="2" t="str">
        <x:v>TX</x:v>
      </x:c>
      <x:c r="E4160" s="2" t="str">
        <x:v>Acute Care Hospitals</x:v>
      </x:c>
      <x:c r="F4160" s="2" t="str">
        <x:v>Voluntary non-profit</x:v>
      </x:c>
      <x:c r="G4160" s="2" t="str">
        <x:v>Small (&lt;100 beds)</x:v>
      </x:c>
      <x:c r="H4160" s="7" t="n">
        <x:v>4</x:v>
      </x:c>
      <x:c r="I4160" s="7" t="n">
        <x:v>3</x:v>
      </x:c>
      <x:c r="J4160" s="7" t="n">
        <x:v>1.02</x:v>
      </x:c>
      <x:c r="K4160" s="8" t="n">
        <x:v>31</x:v>
      </x:c>
      <x:c r="L4160" s="8" t="n">
        <x:v>1519</x:v>
      </x:c>
      <x:c r="M4160" s="9" t="n">
        <x:v>0.4375991539</x:v>
      </x:c>
      <x:c r="N4160" s="10" t="n">
        <x:v>31083.0737327189</x:v>
      </x:c>
      <x:c r="O4160" s="9" t="n">
        <x:v>0.1361456931</x:v>
      </x:c>
      <x:c r="P4160" s="9" t="n">
        <x:v>0.1570915619</x:v>
      </x:c>
      <x:c r="Q4160" s="9" t="n">
        <x:v>0.3913824057</x:v>
      </x:c>
      <x:c r="R4160" s="3" t="b">
        <x:v>0</x:v>
      </x:c>
      <x:c r="S4160" s="3" t="b">
        <x:v>0</x:v>
      </x:c>
      <x:c r="T4160" s="3" t="b">
        <x:v>0</x:v>
      </x:c>
      <x:c r="U4160" s="2" t="str">
        <x:f>IF(T4160=TRUE,"Priority review",IF(R4160=TRUE,"High cost",IF(S4160=TRUE,"Low quality","Benchmark")))</x:f>
        <x:v>Benchmark</x:v>
      </x:c>
    </x:row>
    <x:row r="4161">
      <x:c r="A4161" s="2" t="str">
        <x:v>431309</x:v>
      </x:c>
      <x:c r="B4161" s="2" t="str">
        <x:v>COMMUNITY MEMORIAL HOSPITAL</x:v>
      </x:c>
      <x:c r="C4161" s="2" t="str">
        <x:v>BURKE</x:v>
      </x:c>
      <x:c r="D4161" s="2" t="str">
        <x:v>SD</x:v>
      </x:c>
      <x:c r="E4161" s="2" t="str">
        <x:v>Critical Access Hospitals</x:v>
      </x:c>
      <x:c r="F4161" s="2" t="str">
        <x:v>Voluntary non-profit</x:v>
      </x:c>
      <x:c r="G4161" s="2" t="str">
        <x:v>Small (&lt;100 beds)</x:v>
      </x:c>
      <x:c r="H4161" s="7"/>
      <x:c r="I4161" s="7"/>
      <x:c r="J4161" s="7"/>
      <x:c r="K4161" s="8" t="n">
        <x:v>16</x:v>
      </x:c>
      <x:c r="L4161" s="8" t="n">
        <x:v>113</x:v>
      </x:c>
      <x:c r="M4161" s="9" t="n">
        <x:v>0.1651297814</x:v>
      </x:c>
      <x:c r="N4161" s="10" t="n">
        <x:v>72214.9734513274</x:v>
      </x:c>
      <x:c r="O4161" s="9" t="n">
        <x:v>-0.1037246262</x:v>
      </x:c>
      <x:c r="P4161" s="9" t="n">
        <x:v>0.1568773234</x:v>
      </x:c>
      <x:c r="Q4161" s="9" t="n">
        <x:v>0.292936803</x:v>
      </x:c>
      <x:c r="R4161" s="3" t="b">
        <x:v>0</x:v>
      </x:c>
      <x:c r="S4161" s="3" t="b">
        <x:v>0</x:v>
      </x:c>
      <x:c r="T4161" s="3" t="b">
        <x:v>0</x:v>
      </x:c>
      <x:c r="U4161" s="2" t="str">
        <x:f>IF(T4161=TRUE,"Priority review",IF(R4161=TRUE,"High cost",IF(S4161=TRUE,"Low quality","Benchmark")))</x:f>
        <x:v>Benchmark</x:v>
      </x:c>
    </x:row>
    <x:row r="4162">
      <x:c r="A4162" s="2" t="str">
        <x:v>250094</x:v>
      </x:c>
      <x:c r="B4162" s="2" t="str">
        <x:v>MERIT HEALTH WESLEY</x:v>
      </x:c>
      <x:c r="C4162" s="2" t="str">
        <x:v>HATTIESBURG</x:v>
      </x:c>
      <x:c r="D4162" s="2" t="str">
        <x:v>MS</x:v>
      </x:c>
      <x:c r="E4162" s="2" t="str">
        <x:v>Acute Care Hospitals</x:v>
      </x:c>
      <x:c r="F4162" s="2" t="str">
        <x:v>Voluntary non-profit</x:v>
      </x:c>
      <x:c r="G4162" s="2" t="str">
        <x:v>Medium (100-299 beds)</x:v>
      </x:c>
      <x:c r="H4162" s="7" t="n">
        <x:v>2</x:v>
      </x:c>
      <x:c r="I4162" s="7" t="n">
        <x:v>2</x:v>
      </x:c>
      <x:c r="J4162" s="7" t="n">
        <x:v>0.99</x:v>
      </x:c>
      <x:c r="K4162" s="8" t="n">
        <x:v>136</x:v>
      </x:c>
      <x:c r="L4162" s="8" t="n">
        <x:v>6738</x:v>
      </x:c>
      <x:c r="M4162" s="9" t="n">
        <x:v>0.5771958098</x:v>
      </x:c>
      <x:c r="N4162" s="10" t="n">
        <x:v>22131.3790442268</x:v>
      </x:c>
      <x:c r="O4162" s="9" t="n">
        <x:v>0.1323323204</x:v>
      </x:c>
      <x:c r="P4162" s="9" t="n">
        <x:v>0.1564792176</x:v>
      </x:c>
      <x:c r="Q4162" s="9" t="n">
        <x:v>0.0782396088</x:v>
      </x:c>
      <x:c r="R4162" s="3" t="b">
        <x:v>0</x:v>
      </x:c>
      <x:c r="S4162" s="3" t="b">
        <x:v>1</x:v>
      </x:c>
      <x:c r="T4162" s="3" t="b">
        <x:v>0</x:v>
      </x:c>
      <x:c r="U4162" s="2" t="str">
        <x:f>IF(T4162=TRUE,"Priority review",IF(R4162=TRUE,"High cost",IF(S4162=TRUE,"Low quality","Benchmark")))</x:f>
        <x:v>Low quality</x:v>
      </x:c>
    </x:row>
    <x:row r="4163">
      <x:c r="A4163" s="2" t="str">
        <x:v>150183</x:v>
      </x:c>
      <x:c r="B4163" s="2" t="str">
        <x:v>MONROE HOSPITAL</x:v>
      </x:c>
      <x:c r="C4163" s="2" t="str">
        <x:v>BLOOMINGTON</x:v>
      </x:c>
      <x:c r="D4163" s="2" t="str">
        <x:v>IN</x:v>
      </x:c>
      <x:c r="E4163" s="2" t="str">
        <x:v>Acute Care Hospitals</x:v>
      </x:c>
      <x:c r="F4163" s="2" t="str">
        <x:v>Proprietary</x:v>
      </x:c>
      <x:c r="G4163" s="2" t="str">
        <x:v>Small (&lt;100 beds)</x:v>
      </x:c>
      <x:c r="H4163" s="7" t="n">
        <x:v>4</x:v>
      </x:c>
      <x:c r="I4163" s="7" t="n">
        <x:v>4</x:v>
      </x:c>
      <x:c r="J4163" s="7" t="n">
        <x:v>0.91</x:v>
      </x:c>
      <x:c r="K4163" s="8" t="n">
        <x:v>32</x:v>
      </x:c>
      <x:c r="L4163" s="8" t="n">
        <x:v>1334</x:v>
      </x:c>
      <x:c r="M4163" s="9" t="n">
        <x:v>0.3740607923</x:v>
      </x:c>
      <x:c r="N4163" s="10" t="n">
        <x:v>31046.6859070465</x:v>
      </x:c>
      <x:c r="O4163" s="9" t="n">
        <x:v>-0.2366491846</x:v>
      </x:c>
      <x:c r="P4163" s="9" t="n">
        <x:v>0.1561938959</x:v>
      </x:c>
      <x:c r="Q4163" s="9" t="n">
        <x:v>0.3913824057</x:v>
      </x:c>
      <x:c r="R4163" s="3" t="b">
        <x:v>0</x:v>
      </x:c>
      <x:c r="S4163" s="3" t="b">
        <x:v>0</x:v>
      </x:c>
      <x:c r="T4163" s="3" t="b">
        <x:v>0</x:v>
      </x:c>
      <x:c r="U4163" s="2" t="str">
        <x:f>IF(T4163=TRUE,"Priority review",IF(R4163=TRUE,"High cost",IF(S4163=TRUE,"Low quality","Benchmark")))</x:f>
        <x:v>Benchmark</x:v>
      </x:c>
    </x:row>
    <x:row r="4164">
      <x:c r="A4164" s="2" t="str">
        <x:v>100002</x:v>
      </x:c>
      <x:c r="B4164" s="2" t="str">
        <x:v>BETHESDA HOSPITAL EAST</x:v>
      </x:c>
      <x:c r="C4164" s="2" t="str">
        <x:v>BOYNTON BEACH</x:v>
      </x:c>
      <x:c r="D4164" s="2" t="str">
        <x:v>FL</x:v>
      </x:c>
      <x:c r="E4164" s="2" t="str">
        <x:v>Acute Care Hospitals</x:v>
      </x:c>
      <x:c r="F4164" s="2" t="str">
        <x:v>Voluntary non-profit</x:v>
      </x:c>
      <x:c r="G4164" s="2" t="str">
        <x:v>Large (300+ beds)</x:v>
      </x:c>
      <x:c r="H4164" s="7" t="n">
        <x:v>2</x:v>
      </x:c>
      <x:c r="I4164" s="7" t="n">
        <x:v>2</x:v>
      </x:c>
      <x:c r="J4164" s="7" t="n">
        <x:v>1.02</x:v>
      </x:c>
      <x:c r="K4164" s="8" t="n">
        <x:v>367</x:v>
      </x:c>
      <x:c r="L4164" s="8" t="n">
        <x:v>18866</x:v>
      </x:c>
      <x:c r="M4164" s="9" t="n">
        <x:v>0.6450171975</x:v>
      </x:c>
      <x:c r="N4164" s="10" t="n">
        <x:v>25315.3717799216</x:v>
      </x:c>
      <x:c r="O4164" s="9" t="n">
        <x:v>-0.2021971451</x:v>
      </x:c>
      <x:c r="P4164" s="9" t="n">
        <x:v>0.1561514196</x:v>
      </x:c>
      <x:c r="Q4164" s="9" t="n">
        <x:v>0.0536277603</x:v>
      </x:c>
      <x:c r="R4164" s="3" t="b">
        <x:v>0</x:v>
      </x:c>
      <x:c r="S4164" s="3" t="b">
        <x:v>1</x:v>
      </x:c>
      <x:c r="T4164" s="3" t="b">
        <x:v>0</x:v>
      </x:c>
      <x:c r="U4164" s="2" t="str">
        <x:f>IF(T4164=TRUE,"Priority review",IF(R4164=TRUE,"High cost",IF(S4164=TRUE,"Low quality","Benchmark")))</x:f>
        <x:v>Low quality</x:v>
      </x:c>
    </x:row>
    <x:row r="4165">
      <x:c r="A4165" s="2" t="str">
        <x:v>231326</x:v>
      </x:c>
      <x:c r="B4165" s="2" t="str">
        <x:v>UNIVERSITY OF MICHIGAN HEALTH- SPARROW CLINTON</x:v>
      </x:c>
      <x:c r="C4165" s="2" t="str">
        <x:v>SAINT JOHNS</x:v>
      </x:c>
      <x:c r="D4165" s="2" t="str">
        <x:v>MI</x:v>
      </x:c>
      <x:c r="E4165" s="2" t="str">
        <x:v>Critical Access Hospitals</x:v>
      </x:c>
      <x:c r="F4165" s="2" t="str">
        <x:v>Proprietary</x:v>
      </x:c>
      <x:c r="G4165" s="2" t="str">
        <x:v>Small (&lt;100 beds)</x:v>
      </x:c>
      <x:c r="H4165" s="7" t="n">
        <x:v>4</x:v>
      </x:c>
      <x:c r="I4165" s="7" t="n">
        <x:v>4</x:v>
      </x:c>
      <x:c r="J4165" s="7"/>
      <x:c r="K4165" s="8" t="n">
        <x:v>25</x:v>
      </x:c>
      <x:c r="L4165" s="8" t="n">
        <x:v>875</x:v>
      </x:c>
      <x:c r="M4165" s="9" t="n">
        <x:v>0.3558356164</x:v>
      </x:c>
      <x:c r="N4165" s="10" t="n">
        <x:v>72057.4</x:v>
      </x:c>
      <x:c r="O4165" s="9" t="n">
        <x:v>0.2330496892</x:v>
      </x:c>
      <x:c r="P4165" s="9" t="n">
        <x:v>0.156133829</x:v>
      </x:c>
      <x:c r="Q4165" s="9" t="n">
        <x:v>0.1657992565</x:v>
      </x:c>
      <x:c r="R4165" s="3" t="b">
        <x:v>0</x:v>
      </x:c>
      <x:c r="S4165" s="3" t="b">
        <x:v>0</x:v>
      </x:c>
      <x:c r="T4165" s="3" t="b">
        <x:v>0</x:v>
      </x:c>
      <x:c r="U4165" s="2" t="str">
        <x:f>IF(T4165=TRUE,"Priority review",IF(R4165=TRUE,"High cost",IF(S4165=TRUE,"Low quality","Benchmark")))</x:f>
        <x:v>Benchmark</x:v>
      </x:c>
    </x:row>
    <x:row r="4166">
      <x:c r="A4166" s="2" t="str">
        <x:v>100177</x:v>
      </x:c>
      <x:c r="B4166" s="2" t="str">
        <x:v>CAPE CANAVERAL HOSPITAL</x:v>
      </x:c>
      <x:c r="C4166" s="2" t="str">
        <x:v>COCOA BEACH</x:v>
      </x:c>
      <x:c r="D4166" s="2" t="str">
        <x:v>FL</x:v>
      </x:c>
      <x:c r="E4166" s="2" t="str">
        <x:v>Acute Care Hospitals</x:v>
      </x:c>
      <x:c r="F4166" s="2" t="str">
        <x:v>Voluntary non-profit</x:v>
      </x:c>
      <x:c r="G4166" s="2" t="str">
        <x:v>Medium (100-299 beds)</x:v>
      </x:c>
      <x:c r="H4166" s="7" t="n">
        <x:v>3</x:v>
      </x:c>
      <x:c r="I4166" s="7" t="n">
        <x:v>3</x:v>
      </x:c>
      <x:c r="J4166" s="7" t="n">
        <x:v>1.04</x:v>
      </x:c>
      <x:c r="K4166" s="8" t="n">
        <x:v>150</x:v>
      </x:c>
      <x:c r="L4166" s="8" t="n">
        <x:v>8427</x:v>
      </x:c>
      <x:c r="M4166" s="9" t="n">
        <x:v>0.5359198543</x:v>
      </x:c>
      <x:c r="N4166" s="10" t="n">
        <x:v>22106.2267710929</x:v>
      </x:c>
      <x:c r="O4166" s="9" t="n">
        <x:v>0.0284487065</x:v>
      </x:c>
      <x:c r="P4166" s="9" t="n">
        <x:v>0.1556642217</x:v>
      </x:c>
      <x:c r="Q4166" s="9" t="n">
        <x:v>0.3023634882</x:v>
      </x:c>
      <x:c r="R4166" s="3" t="b">
        <x:v>0</x:v>
      </x:c>
      <x:c r="S4166" s="3" t="b">
        <x:v>0</x:v>
      </x:c>
      <x:c r="T4166" s="3" t="b">
        <x:v>0</x:v>
      </x:c>
      <x:c r="U4166" s="2" t="str">
        <x:f>IF(T4166=TRUE,"Priority review",IF(R4166=TRUE,"High cost",IF(S4166=TRUE,"Low quality","Benchmark")))</x:f>
        <x:v>Benchmark</x:v>
      </x:c>
    </x:row>
    <x:row r="4167">
      <x:c r="A4167" s="2" t="str">
        <x:v>451346</x:v>
      </x:c>
      <x:c r="B4167" s="2" t="str">
        <x:v>YOAKUM COMMUNITY HOSPITAL</x:v>
      </x:c>
      <x:c r="C4167" s="2" t="str">
        <x:v>YOAKUM</x:v>
      </x:c>
      <x:c r="D4167" s="2" t="str">
        <x:v>TX</x:v>
      </x:c>
      <x:c r="E4167" s="2" t="str">
        <x:v>Critical Access Hospitals</x:v>
      </x:c>
      <x:c r="F4167" s="2" t="str">
        <x:v>Voluntary non-profit</x:v>
      </x:c>
      <x:c r="G4167" s="2" t="str">
        <x:v>Small (&lt;100 beds)</x:v>
      </x:c>
      <x:c r="H4167" s="7" t="n">
        <x:v>3</x:v>
      </x:c>
      <x:c r="I4167" s="7"/>
      <x:c r="J4167" s="7"/>
      <x:c r="K4167" s="8" t="n">
        <x:v>23</x:v>
      </x:c>
      <x:c r="L4167" s="8" t="n">
        <x:v>342</x:v>
      </x:c>
      <x:c r="M4167" s="9" t="n">
        <x:v>0.4053603335</x:v>
      </x:c>
      <x:c r="N4167" s="10" t="n">
        <x:v>72022.365497076</x:v>
      </x:c>
      <x:c r="O4167" s="9" t="n">
        <x:v>-0.0411915219</x:v>
      </x:c>
      <x:c r="P4167" s="9" t="n">
        <x:v>0.1553903346</x:v>
      </x:c>
      <x:c r="Q4167" s="9" t="n">
        <x:v>0.0765799257</x:v>
      </x:c>
      <x:c r="R4167" s="3" t="b">
        <x:v>0</x:v>
      </x:c>
      <x:c r="S4167" s="3" t="b">
        <x:v>1</x:v>
      </x:c>
      <x:c r="T4167" s="3" t="b">
        <x:v>0</x:v>
      </x:c>
      <x:c r="U4167" s="2" t="str">
        <x:f>IF(T4167=TRUE,"Priority review",IF(R4167=TRUE,"High cost",IF(S4167=TRUE,"Low quality","Benchmark")))</x:f>
        <x:v>Low quality</x:v>
      </x:c>
    </x:row>
    <x:row r="4168">
      <x:c r="A4168" s="2" t="str">
        <x:v>194115</x:v>
      </x:c>
      <x:c r="B4168" s="2" t="str">
        <x:v>REGIONS BEHAVIORAL HOSPITAL</x:v>
      </x:c>
      <x:c r="C4168" s="2" t="str">
        <x:v>BATON ROUGE</x:v>
      </x:c>
      <x:c r="D4168" s="2" t="str">
        <x:v>LA</x:v>
      </x:c>
      <x:c r="E4168" s="2" t="str">
        <x:v>Psychiatric</x:v>
      </x:c>
      <x:c r="F4168" s="2" t="str">
        <x:v>Proprietary</x:v>
      </x:c>
      <x:c r="G4168" s="2" t="str">
        <x:v>Small (&lt;100 beds)</x:v>
      </x:c>
      <x:c r="H4168" s="7"/>
      <x:c r="I4168" s="7"/>
      <x:c r="J4168" s="7"/>
      <x:c r="K4168" s="8" t="n">
        <x:v>24</x:v>
      </x:c>
      <x:c r="L4168" s="8" t="n">
        <x:v>989</x:v>
      </x:c>
      <x:c r="M4168" s="9" t="n">
        <x:v>0.8123861566</x:v>
      </x:c>
      <x:c r="N4168" s="10" t="n">
        <x:v>7251.193124368</x:v>
      </x:c>
      <x:c r="O4168" s="9" t="n">
        <x:v>0.0163069816</x:v>
      </x:c>
      <x:c r="P4168" s="9" t="n">
        <x:v>0.1553398058</x:v>
      </x:c>
      <x:c r="Q4168" s="9" t="n">
        <x:v>0</x:v>
      </x:c>
      <x:c r="R4168" s="3" t="b">
        <x:v>0</x:v>
      </x:c>
      <x:c r="S4168" s="3" t="b">
        <x:v>0</x:v>
      </x:c>
      <x:c r="T4168" s="3" t="b">
        <x:v>0</x:v>
      </x:c>
      <x:c r="U4168" s="2" t="str">
        <x:f>IF(T4168=TRUE,"Priority review",IF(R4168=TRUE,"High cost",IF(S4168=TRUE,"Low quality","Benchmark")))</x:f>
        <x:v>Benchmark</x:v>
      </x:c>
    </x:row>
    <x:row r="4169">
      <x:c r="A4169" s="2" t="str">
        <x:v>450236</x:v>
      </x:c>
      <x:c r="B4169" s="2" t="str">
        <x:v>CHRISTUS MOTHER FRANCES HOSPITAL SULPHUR SPRINGS</x:v>
      </x:c>
      <x:c r="C4169" s="2" t="str">
        <x:v>SULPHUR SPRINGS</x:v>
      </x:c>
      <x:c r="D4169" s="2" t="str">
        <x:v>TX</x:v>
      </x:c>
      <x:c r="E4169" s="2" t="str">
        <x:v>Acute Care Hospitals</x:v>
      </x:c>
      <x:c r="F4169" s="2" t="str">
        <x:v>Voluntary non-profit</x:v>
      </x:c>
      <x:c r="G4169" s="2" t="str">
        <x:v>Small (&lt;100 beds)</x:v>
      </x:c>
      <x:c r="H4169" s="7" t="n">
        <x:v>4</x:v>
      </x:c>
      <x:c r="I4169" s="7" t="n">
        <x:v>4</x:v>
      </x:c>
      <x:c r="J4169" s="7" t="n">
        <x:v>1.04</x:v>
      </x:c>
      <x:c r="K4169" s="8" t="n">
        <x:v>56</x:v>
      </x:c>
      <x:c r="L4169" s="8" t="n">
        <x:v>3912</x:v>
      </x:c>
      <x:c r="M4169" s="9" t="n">
        <x:v>0.527739726</x:v>
      </x:c>
      <x:c r="N4169" s="10" t="n">
        <x:v>30931.1952965235</x:v>
      </x:c>
      <x:c r="O4169" s="9" t="n">
        <x:v>0.0877093727</x:v>
      </x:c>
      <x:c r="P4169" s="9" t="n">
        <x:v>0.1552962298</x:v>
      </x:c>
      <x:c r="Q4169" s="9" t="n">
        <x:v>0.3913824057</x:v>
      </x:c>
      <x:c r="R4169" s="3" t="b">
        <x:v>0</x:v>
      </x:c>
      <x:c r="S4169" s="3" t="b">
        <x:v>0</x:v>
      </x:c>
      <x:c r="T4169" s="3" t="b">
        <x:v>0</x:v>
      </x:c>
      <x:c r="U4169" s="2" t="str">
        <x:f>IF(T4169=TRUE,"Priority review",IF(R4169=TRUE,"High cost",IF(S4169=TRUE,"Low quality","Benchmark")))</x:f>
        <x:v>Benchmark</x:v>
      </x:c>
    </x:row>
    <x:row r="4170">
      <x:c r="A4170" s="2" t="str">
        <x:v>410011</x:v>
      </x:c>
      <x:c r="B4170" s="2" t="str">
        <x:v>LANDMARK MEDICAL CENTER</x:v>
      </x:c>
      <x:c r="C4170" s="2" t="str">
        <x:v>WOONSOCKET</x:v>
      </x:c>
      <x:c r="D4170" s="2" t="str">
        <x:v>RI</x:v>
      </x:c>
      <x:c r="E4170" s="2" t="str">
        <x:v>Acute Care Hospitals</x:v>
      </x:c>
      <x:c r="F4170" s="2" t="str">
        <x:v>Voluntary non-profit</x:v>
      </x:c>
      <x:c r="G4170" s="2" t="str">
        <x:v>Medium (100-299 beds)</x:v>
      </x:c>
      <x:c r="H4170" s="7" t="n">
        <x:v>2</x:v>
      </x:c>
      <x:c r="I4170" s="7" t="n">
        <x:v>2</x:v>
      </x:c>
      <x:c r="J4170" s="7" t="n">
        <x:v>0.97</x:v>
      </x:c>
      <x:c r="K4170" s="8" t="n">
        <x:v>113</x:v>
      </x:c>
      <x:c r="L4170" s="8" t="n">
        <x:v>6366</x:v>
      </x:c>
      <x:c r="M4170" s="9" t="n">
        <x:v>0.5457227139</x:v>
      </x:c>
      <x:c r="N4170" s="10" t="n">
        <x:v>22072.2835375432</x:v>
      </x:c>
      <x:c r="O4170" s="9" t="n">
        <x:v>0.1239513662</x:v>
      </x:c>
      <x:c r="P4170" s="9" t="n">
        <x:v>0.1548492258</x:v>
      </x:c>
      <x:c r="Q4170" s="9" t="n">
        <x:v>0.0782396088</x:v>
      </x:c>
      <x:c r="R4170" s="3" t="b">
        <x:v>0</x:v>
      </x:c>
      <x:c r="S4170" s="3" t="b">
        <x:v>1</x:v>
      </x:c>
      <x:c r="T4170" s="3" t="b">
        <x:v>0</x:v>
      </x:c>
      <x:c r="U4170" s="2" t="str">
        <x:f>IF(T4170=TRUE,"Priority review",IF(R4170=TRUE,"High cost",IF(S4170=TRUE,"Low quality","Benchmark")))</x:f>
        <x:v>Low quality</x:v>
      </x:c>
    </x:row>
    <x:row r="4171">
      <x:c r="A4171" s="2" t="str">
        <x:v>231315</x:v>
      </x:c>
      <x:c r="B4171" s="2" t="str">
        <x:v>ASCENSION BORGESS LEE HOSPITAL</x:v>
      </x:c>
      <x:c r="C4171" s="2" t="str">
        <x:v>DOWAGIAC</x:v>
      </x:c>
      <x:c r="D4171" s="2" t="str">
        <x:v>MI</x:v>
      </x:c>
      <x:c r="E4171" s="2" t="str">
        <x:v>Critical Access Hospitals</x:v>
      </x:c>
      <x:c r="F4171" s="2" t="str">
        <x:v>Voluntary non-profit</x:v>
      </x:c>
      <x:c r="G4171" s="2" t="str">
        <x:v>Small (&lt;100 beds)</x:v>
      </x:c>
      <x:c r="H4171" s="7"/>
      <x:c r="I4171" s="7"/>
      <x:c r="J4171" s="7"/>
      <x:c r="K4171" s="8" t="n">
        <x:v>25</x:v>
      </x:c>
      <x:c r="L4171" s="8" t="n">
        <x:v>249</x:v>
      </x:c>
      <x:c r="M4171" s="9" t="n">
        <x:v>0.1388493151</x:v>
      </x:c>
      <x:c r="N4171" s="10" t="n">
        <x:v>71881.8273092369</x:v>
      </x:c>
      <x:c r="O4171" s="9" t="n">
        <x:v>-0.1238116472</x:v>
      </x:c>
      <x:c r="P4171" s="9" t="n">
        <x:v>0.1546468401</x:v>
      </x:c>
      <x:c r="Q4171" s="9" t="n">
        <x:v>0.292936803</x:v>
      </x:c>
      <x:c r="R4171" s="3" t="b">
        <x:v>0</x:v>
      </x:c>
      <x:c r="S4171" s="3" t="b">
        <x:v>0</x:v>
      </x:c>
      <x:c r="T4171" s="3" t="b">
        <x:v>0</x:v>
      </x:c>
      <x:c r="U4171" s="2" t="str">
        <x:f>IF(T4171=TRUE,"Priority review",IF(R4171=TRUE,"High cost",IF(S4171=TRUE,"Low quality","Benchmark")))</x:f>
        <x:v>Benchmark</x:v>
      </x:c>
    </x:row>
    <x:row r="4172">
      <x:c r="A4172" s="2" t="str">
        <x:v>220033</x:v>
      </x:c>
      <x:c r="B4172" s="2" t="str">
        <x:v>NORTHEAST HOSPITAL CORPORATION</x:v>
      </x:c>
      <x:c r="C4172" s="2" t="str">
        <x:v>BEVERLY</x:v>
      </x:c>
      <x:c r="D4172" s="2" t="str">
        <x:v>MA</x:v>
      </x:c>
      <x:c r="E4172" s="2" t="str">
        <x:v>Acute Care Hospitals</x:v>
      </x:c>
      <x:c r="F4172" s="2" t="str">
        <x:v>Voluntary non-profit</x:v>
      </x:c>
      <x:c r="G4172" s="2" t="str">
        <x:v>Large (300+ beds)</x:v>
      </x:c>
      <x:c r="H4172" s="7" t="n">
        <x:v>3</x:v>
      </x:c>
      <x:c r="I4172" s="7" t="n">
        <x:v>3</x:v>
      </x:c>
      <x:c r="J4172" s="7" t="n">
        <x:v>0.98</x:v>
      </x:c>
      <x:c r="K4172" s="8" t="n">
        <x:v>335</x:v>
      </x:c>
      <x:c r="L4172" s="8" t="n">
        <x:v>19609</x:v>
      </x:c>
      <x:c r="M4172" s="9" t="n">
        <x:v>0.6867547508</x:v>
      </x:c>
      <x:c r="N4172" s="10" t="n">
        <x:v>25215.6594930899</x:v>
      </x:c>
      <x:c r="O4172" s="9" t="n">
        <x:v>-0.1318934107</x:v>
      </x:c>
      <x:c r="P4172" s="9" t="n">
        <x:v>0.1545741325</x:v>
      </x:c>
      <x:c r="Q4172" s="9" t="n">
        <x:v>0.2570977918</x:v>
      </x:c>
      <x:c r="R4172" s="3" t="b">
        <x:v>0</x:v>
      </x:c>
      <x:c r="S4172" s="3" t="b">
        <x:v>0</x:v>
      </x:c>
      <x:c r="T4172" s="3" t="b">
        <x:v>0</x:v>
      </x:c>
      <x:c r="U4172" s="2" t="str">
        <x:f>IF(T4172=TRUE,"Priority review",IF(R4172=TRUE,"High cost",IF(S4172=TRUE,"Low quality","Benchmark")))</x:f>
        <x:v>Benchmark</x:v>
      </x:c>
    </x:row>
    <x:row r="4173">
      <x:c r="A4173" s="2" t="str">
        <x:v>450596</x:v>
      </x:c>
      <x:c r="B4173" s="2" t="str">
        <x:v>LAKE GRANBURY MEDICAL CENTER</x:v>
      </x:c>
      <x:c r="C4173" s="2" t="str">
        <x:v>GRANBURY</x:v>
      </x:c>
      <x:c r="D4173" s="2" t="str">
        <x:v>TX</x:v>
      </x:c>
      <x:c r="E4173" s="2" t="str">
        <x:v>Acute Care Hospitals</x:v>
      </x:c>
      <x:c r="F4173" s="2" t="str">
        <x:v>Proprietary</x:v>
      </x:c>
      <x:c r="G4173" s="2" t="str">
        <x:v>Small (&lt;100 beds)</x:v>
      </x:c>
      <x:c r="H4173" s="7" t="n">
        <x:v>3</x:v>
      </x:c>
      <x:c r="I4173" s="7" t="n">
        <x:v>2</x:v>
      </x:c>
      <x:c r="J4173" s="7" t="n">
        <x:v>0.99</x:v>
      </x:c>
      <x:c r="K4173" s="8" t="n">
        <x:v>54</x:v>
      </x:c>
      <x:c r="L4173" s="8" t="n">
        <x:v>3096</x:v>
      </x:c>
      <x:c r="M4173" s="9" t="n">
        <x:v>0.581866019</x:v>
      </x:c>
      <x:c r="N4173" s="10" t="n">
        <x:v>30920.4263565891</x:v>
      </x:c>
      <x:c r="O4173" s="9" t="n">
        <x:v>0.4538388235</x:v>
      </x:c>
      <x:c r="P4173" s="9" t="n">
        <x:v>0.1543985637</x:v>
      </x:c>
      <x:c r="Q4173" s="9" t="n">
        <x:v>0.1687612208</x:v>
      </x:c>
      <x:c r="R4173" s="3" t="b">
        <x:v>0</x:v>
      </x:c>
      <x:c r="S4173" s="3" t="b">
        <x:v>0</x:v>
      </x:c>
      <x:c r="T4173" s="3" t="b">
        <x:v>0</x:v>
      </x:c>
      <x:c r="U4173" s="2" t="str">
        <x:f>IF(T4173=TRUE,"Priority review",IF(R4173=TRUE,"High cost",IF(S4173=TRUE,"Low quality","Benchmark")))</x:f>
        <x:v>Benchmark</x:v>
      </x:c>
    </x:row>
    <x:row r="4174">
      <x:c r="A4174" s="2" t="str">
        <x:v>114036</x:v>
      </x:c>
      <x:c r="B4174" s="2" t="str">
        <x:v>GREENLEAF CENTER</x:v>
      </x:c>
      <x:c r="C4174" s="2" t="str">
        <x:v>VALDOSTA</x:v>
      </x:c>
      <x:c r="D4174" s="2" t="str">
        <x:v>GA</x:v>
      </x:c>
      <x:c r="E4174" s="2" t="str">
        <x:v>Psychiatric</x:v>
      </x:c>
      <x:c r="F4174" s="2" t="str">
        <x:v>Proprietary</x:v>
      </x:c>
      <x:c r="G4174" s="2" t="str">
        <x:v>Medium (100-299 beds)</x:v>
      </x:c>
      <x:c r="H4174" s="7"/>
      <x:c r="I4174" s="7"/>
      <x:c r="J4174" s="7"/>
      <x:c r="K4174" s="8" t="n">
        <x:v>113</x:v>
      </x:c>
      <x:c r="L4174" s="8" t="n">
        <x:v>4053</x:v>
      </x:c>
      <x:c r="M4174" s="9" t="n">
        <x:v>0.8770250012</x:v>
      </x:c>
      <x:c r="N4174" s="10" t="n">
        <x:v>6140.9264742166</x:v>
      </x:c>
      <x:c r="O4174" s="9" t="n">
        <x:v>0.106262421</x:v>
      </x:c>
      <x:c r="P4174" s="9" t="n">
        <x:v>0.1542288557</x:v>
      </x:c>
      <x:c r="Q4174" s="9" t="n">
        <x:v>0</x:v>
      </x:c>
      <x:c r="R4174" s="3" t="b">
        <x:v>0</x:v>
      </x:c>
      <x:c r="S4174" s="3" t="b">
        <x:v>0</x:v>
      </x:c>
      <x:c r="T4174" s="3" t="b">
        <x:v>0</x:v>
      </x:c>
      <x:c r="U4174" s="2" t="str">
        <x:f>IF(T4174=TRUE,"Priority review",IF(R4174=TRUE,"High cost",IF(S4174=TRUE,"Low quality","Benchmark")))</x:f>
        <x:v>Benchmark</x:v>
      </x:c>
    </x:row>
    <x:row r="4175">
      <x:c r="A4175" s="2" t="str">
        <x:v>050426</x:v>
      </x:c>
      <x:c r="B4175" s="2" t="str">
        <x:v>WEST ANAHEIM MEDICAL CENTER</x:v>
      </x:c>
      <x:c r="C4175" s="2" t="str">
        <x:v>ANAHEIM</x:v>
      </x:c>
      <x:c r="D4175" s="2" t="str">
        <x:v>CA</x:v>
      </x:c>
      <x:c r="E4175" s="2" t="str">
        <x:v>Acute Care Hospitals</x:v>
      </x:c>
      <x:c r="F4175" s="2" t="str">
        <x:v>Proprietary</x:v>
      </x:c>
      <x:c r="G4175" s="2" t="str">
        <x:v>Medium (100-299 beds)</x:v>
      </x:c>
      <x:c r="H4175" s="7" t="n">
        <x:v>2</x:v>
      </x:c>
      <x:c r="I4175" s="7" t="n">
        <x:v>2</x:v>
      </x:c>
      <x:c r="J4175" s="7" t="n">
        <x:v>1.23</x:v>
      </x:c>
      <x:c r="K4175" s="8" t="n">
        <x:v>167</x:v>
      </x:c>
      <x:c r="L4175" s="8" t="n">
        <x:v>6994</x:v>
      </x:c>
      <x:c r="M4175" s="9" t="n">
        <x:v>0.5281731619</x:v>
      </x:c>
      <x:c r="N4175" s="10" t="n">
        <x:v>22022.228767515</x:v>
      </x:c>
      <x:c r="O4175" s="9" t="n">
        <x:v>0.0456575773</x:v>
      </x:c>
      <x:c r="P4175" s="9" t="n">
        <x:v>0.1540342298</x:v>
      </x:c>
      <x:c r="Q4175" s="9" t="n">
        <x:v>0.0782396088</x:v>
      </x:c>
      <x:c r="R4175" s="3" t="b">
        <x:v>0</x:v>
      </x:c>
      <x:c r="S4175" s="3" t="b">
        <x:v>1</x:v>
      </x:c>
      <x:c r="T4175" s="3" t="b">
        <x:v>0</x:v>
      </x:c>
      <x:c r="U4175" s="2" t="str">
        <x:f>IF(T4175=TRUE,"Priority review",IF(R4175=TRUE,"High cost",IF(S4175=TRUE,"Low quality","Benchmark")))</x:f>
        <x:v>Low quality</x:v>
      </x:c>
    </x:row>
    <x:row r="4176">
      <x:c r="A4176" s="2" t="str">
        <x:v>341320</x:v>
      </x:c>
      <x:c r="B4176" s="2" t="str">
        <x:v>ALLEGHANY  MEMORIAL HOSPITAL</x:v>
      </x:c>
      <x:c r="C4176" s="2" t="str">
        <x:v>SPARTA</x:v>
      </x:c>
      <x:c r="D4176" s="2" t="str">
        <x:v>NC</x:v>
      </x:c>
      <x:c r="E4176" s="2" t="str">
        <x:v>Critical Access Hospitals</x:v>
      </x:c>
      <x:c r="F4176" s="2" t="str">
        <x:v>Voluntary non-profit</x:v>
      </x:c>
      <x:c r="G4176" s="2" t="str">
        <x:v>Small (&lt;100 beds)</x:v>
      </x:c>
      <x:c r="H4176" s="7"/>
      <x:c r="I4176" s="7"/>
      <x:c r="J4176" s="7"/>
      <x:c r="K4176" s="8" t="n">
        <x:v>25</x:v>
      </x:c>
      <x:c r="L4176" s="8" t="n">
        <x:v>215</x:v>
      </x:c>
      <x:c r="M4176" s="9" t="n">
        <x:v>0.0755191257</x:v>
      </x:c>
      <x:c r="N4176" s="10" t="n">
        <x:v>71753.0558139535</x:v>
      </x:c>
      <x:c r="O4176" s="9" t="n">
        <x:v>-0.176059367</x:v>
      </x:c>
      <x:c r="P4176" s="9" t="n">
        <x:v>0.1539033457</x:v>
      </x:c>
      <x:c r="Q4176" s="9" t="n">
        <x:v>0.292936803</x:v>
      </x:c>
      <x:c r="R4176" s="3" t="b">
        <x:v>0</x:v>
      </x:c>
      <x:c r="S4176" s="3" t="b">
        <x:v>0</x:v>
      </x:c>
      <x:c r="T4176" s="3" t="b">
        <x:v>0</x:v>
      </x:c>
      <x:c r="U4176" s="2" t="str">
        <x:f>IF(T4176=TRUE,"Priority review",IF(R4176=TRUE,"High cost",IF(S4176=TRUE,"Low quality","Benchmark")))</x:f>
        <x:v>Benchmark</x:v>
      </x:c>
    </x:row>
    <x:row r="4177">
      <x:c r="A4177" s="2" t="str">
        <x:v>220083</x:v>
      </x:c>
      <x:c r="B4177" s="2" t="str">
        <x:v>BETH ISRAEL DEACONESS HOSPITAL - NEEDHAM</x:v>
      </x:c>
      <x:c r="C4177" s="2" t="str">
        <x:v>NEEDHAM</x:v>
      </x:c>
      <x:c r="D4177" s="2" t="str">
        <x:v>MA</x:v>
      </x:c>
      <x:c r="E4177" s="2" t="str">
        <x:v>Acute Care Hospitals</x:v>
      </x:c>
      <x:c r="F4177" s="2" t="str">
        <x:v>Voluntary non-profit</x:v>
      </x:c>
      <x:c r="G4177" s="2" t="str">
        <x:v>Small (&lt;100 beds)</x:v>
      </x:c>
      <x:c r="H4177" s="7" t="n">
        <x:v>5</x:v>
      </x:c>
      <x:c r="I4177" s="7" t="n">
        <x:v>3</x:v>
      </x:c>
      <x:c r="J4177" s="7" t="n">
        <x:v>0.89</x:v>
      </x:c>
      <x:c r="K4177" s="8" t="n">
        <x:v>73</x:v>
      </x:c>
      <x:c r="L4177" s="8" t="n">
        <x:v>5290</x:v>
      </x:c>
      <x:c r="M4177" s="9" t="n">
        <x:v>0.7712777903</x:v>
      </x:c>
      <x:c r="N4177" s="10" t="n">
        <x:v>30878.4706994329</x:v>
      </x:c>
      <x:c r="O4177" s="9" t="n">
        <x:v>-0.0897368872</x:v>
      </x:c>
      <x:c r="P4177" s="9" t="n">
        <x:v>0.1535008977</x:v>
      </x:c>
      <x:c r="Q4177" s="9" t="n">
        <x:v>0.6131059246</x:v>
      </x:c>
      <x:c r="R4177" s="3" t="b">
        <x:v>0</x:v>
      </x:c>
      <x:c r="S4177" s="3" t="b">
        <x:v>0</x:v>
      </x:c>
      <x:c r="T4177" s="3" t="b">
        <x:v>0</x:v>
      </x:c>
      <x:c r="U4177" s="2" t="str">
        <x:f>IF(T4177=TRUE,"Priority review",IF(R4177=TRUE,"High cost",IF(S4177=TRUE,"Low quality","Benchmark")))</x:f>
        <x:v>Benchmark</x:v>
      </x:c>
    </x:row>
    <x:row r="4178">
      <x:c r="A4178" s="2" t="str">
        <x:v>260023</x:v>
      </x:c>
      <x:c r="B4178" s="2" t="str">
        <x:v>MERCY HOSPITAL JEFFERSON</x:v>
      </x:c>
      <x:c r="C4178" s="2" t="str">
        <x:v>CRYSTAL CITY</x:v>
      </x:c>
      <x:c r="D4178" s="2" t="str">
        <x:v>MO</x:v>
      </x:c>
      <x:c r="E4178" s="2" t="str">
        <x:v>Acute Care Hospitals</x:v>
      </x:c>
      <x:c r="F4178" s="2" t="str">
        <x:v>Voluntary non-profit</x:v>
      </x:c>
      <x:c r="G4178" s="2" t="str">
        <x:v>Medium (100-299 beds)</x:v>
      </x:c>
      <x:c r="H4178" s="7" t="n">
        <x:v>4</x:v>
      </x:c>
      <x:c r="I4178" s="7" t="n">
        <x:v>4</x:v>
      </x:c>
      <x:c r="J4178" s="7" t="n">
        <x:v>0.96</x:v>
      </x:c>
      <x:c r="K4178" s="8" t="n">
        <x:v>188</x:v>
      </x:c>
      <x:c r="L4178" s="8" t="n">
        <x:v>12081</x:v>
      </x:c>
      <x:c r="M4178" s="9" t="n">
        <x:v>0.6913436316</x:v>
      </x:c>
      <x:c r="N4178" s="10" t="n">
        <x:v>22013.1972518831</x:v>
      </x:c>
      <x:c r="O4178" s="9" t="n">
        <x:v>0.0539884025</x:v>
      </x:c>
      <x:c r="P4178" s="9" t="n">
        <x:v>0.1532192339</x:v>
      </x:c>
      <x:c r="Q4178" s="9" t="n">
        <x:v>0.6022819886</x:v>
      </x:c>
      <x:c r="R4178" s="3" t="b">
        <x:v>0</x:v>
      </x:c>
      <x:c r="S4178" s="3" t="b">
        <x:v>0</x:v>
      </x:c>
      <x:c r="T4178" s="3" t="b">
        <x:v>0</x:v>
      </x:c>
      <x:c r="U4178" s="2" t="str">
        <x:f>IF(T4178=TRUE,"Priority review",IF(R4178=TRUE,"High cost",IF(S4178=TRUE,"Low quality","Benchmark")))</x:f>
        <x:v>Benchmark</x:v>
      </x:c>
    </x:row>
    <x:row r="4179">
      <x:c r="A4179" s="2" t="str">
        <x:v>451391</x:v>
      </x:c>
      <x:c r="B4179" s="2" t="str">
        <x:v>FRIO REGIONAL HOSPITAL</x:v>
      </x:c>
      <x:c r="C4179" s="2" t="str">
        <x:v>PEARSALL</x:v>
      </x:c>
      <x:c r="D4179" s="2" t="str">
        <x:v>TX</x:v>
      </x:c>
      <x:c r="E4179" s="2" t="str">
        <x:v>Critical Access Hospitals</x:v>
      </x:c>
      <x:c r="F4179" s="2" t="str">
        <x:v>Voluntary non-profit</x:v>
      </x:c>
      <x:c r="G4179" s="2" t="str">
        <x:v>Small (&lt;100 beds)</x:v>
      </x:c>
      <x:c r="H4179" s="7"/>
      <x:c r="I4179" s="7"/>
      <x:c r="J4179" s="7"/>
      <x:c r="K4179" s="8" t="n">
        <x:v>22</x:v>
      </x:c>
      <x:c r="L4179" s="8" t="n">
        <x:v>416</x:v>
      </x:c>
      <x:c r="M4179" s="9" t="n">
        <x:v>0.3431445604</x:v>
      </x:c>
      <x:c r="N4179" s="10" t="n">
        <x:v>71713.2139423077</x:v>
      </x:c>
      <x:c r="O4179" s="9" t="n">
        <x:v>-0.1216884747</x:v>
      </x:c>
      <x:c r="P4179" s="9" t="n">
        <x:v>0.1531598513</x:v>
      </x:c>
      <x:c r="Q4179" s="9" t="n">
        <x:v>0.292936803</x:v>
      </x:c>
      <x:c r="R4179" s="3" t="b">
        <x:v>0</x:v>
      </x:c>
      <x:c r="S4179" s="3" t="b">
        <x:v>0</x:v>
      </x:c>
      <x:c r="T4179" s="3" t="b">
        <x:v>0</x:v>
      </x:c>
      <x:c r="U4179" s="2" t="str">
        <x:f>IF(T4179=TRUE,"Priority review",IF(R4179=TRUE,"High cost",IF(S4179=TRUE,"Low quality","Benchmark")))</x:f>
        <x:v>Benchmark</x:v>
      </x:c>
    </x:row>
    <x:row r="4180">
      <x:c r="A4180" s="2" t="str">
        <x:v>100087</x:v>
      </x:c>
      <x:c r="B4180" s="2" t="str">
        <x:v>SARASOTA MEMORIAL HOSPITAL</x:v>
      </x:c>
      <x:c r="C4180" s="2" t="str">
        <x:v>SARASOTA</x:v>
      </x:c>
      <x:c r="D4180" s="2" t="str">
        <x:v>FL</x:v>
      </x:c>
      <x:c r="E4180" s="2" t="str">
        <x:v>Acute Care Hospitals</x:v>
      </x:c>
      <x:c r="F4180" s="2" t="str">
        <x:v>Government</x:v>
      </x:c>
      <x:c r="G4180" s="2" t="str">
        <x:v>Large (300+ beds)</x:v>
      </x:c>
      <x:c r="H4180" s="7" t="n">
        <x:v>5</x:v>
      </x:c>
      <x:c r="I4180" s="7" t="n">
        <x:v>3</x:v>
      </x:c>
      <x:c r="J4180" s="7" t="n">
        <x:v>1.05</x:v>
      </x:c>
      <x:c r="K4180" s="8" t="n">
        <x:v>791</x:v>
      </x:c>
      <x:c r="L4180" s="8" t="n">
        <x:v>48722</x:v>
      </x:c>
      <x:c r="M4180" s="9" t="n">
        <x:v>0.7689654933</x:v>
      </x:c>
      <x:c r="N4180" s="10" t="n">
        <x:v>25207.5235212019</x:v>
      </x:c>
      <x:c r="O4180" s="9" t="n">
        <x:v>0.1103988325</x:v>
      </x:c>
      <x:c r="P4180" s="9" t="n">
        <x:v>0.1529968454</x:v>
      </x:c>
      <x:c r="Q4180" s="9" t="n">
        <x:v>0.8722397476</x:v>
      </x:c>
      <x:c r="R4180" s="3" t="b">
        <x:v>0</x:v>
      </x:c>
      <x:c r="S4180" s="3" t="b">
        <x:v>0</x:v>
      </x:c>
      <x:c r="T4180" s="3" t="b">
        <x:v>0</x:v>
      </x:c>
      <x:c r="U4180" s="2" t="str">
        <x:f>IF(T4180=TRUE,"Priority review",IF(R4180=TRUE,"High cost",IF(S4180=TRUE,"Low quality","Benchmark")))</x:f>
        <x:v>Benchmark</x:v>
      </x:c>
    </x:row>
    <x:row r="4181">
      <x:c r="A4181" s="2" t="str">
        <x:v>370018</x:v>
      </x:c>
      <x:c r="B4181" s="2" t="str">
        <x:v>ASCENSION ST JOHN JANE PHILLIPS</x:v>
      </x:c>
      <x:c r="C4181" s="2" t="str">
        <x:v>BARTLESVILLE</x:v>
      </x:c>
      <x:c r="D4181" s="2" t="str">
        <x:v>OK</x:v>
      </x:c>
      <x:c r="E4181" s="2" t="str">
        <x:v>Acute Care Hospitals</x:v>
      </x:c>
      <x:c r="F4181" s="2" t="str">
        <x:v>Voluntary non-profit</x:v>
      </x:c>
      <x:c r="G4181" s="2" t="str">
        <x:v>Small (&lt;100 beds)</x:v>
      </x:c>
      <x:c r="H4181" s="7" t="n">
        <x:v>3</x:v>
      </x:c>
      <x:c r="I4181" s="7" t="n">
        <x:v>3</x:v>
      </x:c>
      <x:c r="J4181" s="7" t="n">
        <x:v>0.98</x:v>
      </x:c>
      <x:c r="K4181" s="8" t="n">
        <x:v>81</x:v>
      </x:c>
      <x:c r="L4181" s="8" t="n">
        <x:v>4425</x:v>
      </x:c>
      <x:c r="M4181" s="9" t="n">
        <x:v>0.4846609166</x:v>
      </x:c>
      <x:c r="N4181" s="10" t="n">
        <x:v>30869.7315254237</x:v>
      </x:c>
      <x:c r="O4181" s="9" t="n">
        <x:v>-0.0298416962</x:v>
      </x:c>
      <x:c r="P4181" s="9" t="n">
        <x:v>0.1526032316</x:v>
      </x:c>
      <x:c r="Q4181" s="9" t="n">
        <x:v>0.1687612208</x:v>
      </x:c>
      <x:c r="R4181" s="3" t="b">
        <x:v>0</x:v>
      </x:c>
      <x:c r="S4181" s="3" t="b">
        <x:v>0</x:v>
      </x:c>
      <x:c r="T4181" s="3" t="b">
        <x:v>0</x:v>
      </x:c>
      <x:c r="U4181" s="2" t="str">
        <x:f>IF(T4181=TRUE,"Priority review",IF(R4181=TRUE,"High cost",IF(S4181=TRUE,"Low quality","Benchmark")))</x:f>
        <x:v>Benchmark</x:v>
      </x:c>
    </x:row>
    <x:row r="4182">
      <x:c r="A4182" s="2" t="str">
        <x:v>011302</x:v>
      </x:c>
      <x:c r="B4182" s="2" t="str">
        <x:v>RED BAY HOSPITAL</x:v>
      </x:c>
      <x:c r="C4182" s="2" t="str">
        <x:v>RED BAY</x:v>
      </x:c>
      <x:c r="D4182" s="2" t="str">
        <x:v>AL</x:v>
      </x:c>
      <x:c r="E4182" s="2" t="str">
        <x:v>Critical Access Hospitals</x:v>
      </x:c>
      <x:c r="F4182" s="2" t="str">
        <x:v>Government</x:v>
      </x:c>
      <x:c r="G4182" s="2" t="str">
        <x:v>Small (&lt;100 beds)</x:v>
      </x:c>
      <x:c r="H4182" s="7"/>
      <x:c r="I4182" s="7"/>
      <x:c r="J4182" s="7"/>
      <x:c r="K4182" s="8" t="n">
        <x:v>25</x:v>
      </x:c>
      <x:c r="L4182" s="8" t="n">
        <x:v>138</x:v>
      </x:c>
      <x:c r="M4182" s="9" t="n">
        <x:v>0.2747540984</x:v>
      </x:c>
      <x:c r="N4182" s="10" t="n">
        <x:v>71648.8550724638</x:v>
      </x:c>
      <x:c r="O4182" s="9" t="n">
        <x:v>-0.424616461</x:v>
      </x:c>
      <x:c r="P4182" s="9" t="n">
        <x:v>0.1524163569</x:v>
      </x:c>
      <x:c r="Q4182" s="9" t="n">
        <x:v>0.292936803</x:v>
      </x:c>
      <x:c r="R4182" s="3" t="b">
        <x:v>0</x:v>
      </x:c>
      <x:c r="S4182" s="3" t="b">
        <x:v>0</x:v>
      </x:c>
      <x:c r="T4182" s="3" t="b">
        <x:v>0</x:v>
      </x:c>
      <x:c r="U4182" s="2" t="str">
        <x:f>IF(T4182=TRUE,"Priority review",IF(R4182=TRUE,"High cost",IF(S4182=TRUE,"Low quality","Benchmark")))</x:f>
        <x:v>Benchmark</x:v>
      </x:c>
    </x:row>
    <x:row r="4183">
      <x:c r="A4183" s="2" t="str">
        <x:v>320017</x:v>
      </x:c>
      <x:c r="B4183" s="2" t="str">
        <x:v>LOVELACE WOMEN'S HOSPITAL</x:v>
      </x:c>
      <x:c r="C4183" s="2" t="str">
        <x:v>ALBUQUERQUE</x:v>
      </x:c>
      <x:c r="D4183" s="2" t="str">
        <x:v>NM</x:v>
      </x:c>
      <x:c r="E4183" s="2" t="str">
        <x:v>Acute Care Hospitals</x:v>
      </x:c>
      <x:c r="F4183" s="2" t="str">
        <x:v>Proprietary</x:v>
      </x:c>
      <x:c r="G4183" s="2" t="str">
        <x:v>Medium (100-299 beds)</x:v>
      </x:c>
      <x:c r="H4183" s="7" t="n">
        <x:v>4</x:v>
      </x:c>
      <x:c r="I4183" s="7" t="n">
        <x:v>2</x:v>
      </x:c>
      <x:c r="J4183" s="7" t="n">
        <x:v>0.99</x:v>
      </x:c>
      <x:c r="K4183" s="8" t="n">
        <x:v>162</x:v>
      </x:c>
      <x:c r="L4183" s="8" t="n">
        <x:v>9103</x:v>
      </x:c>
      <x:c r="M4183" s="9" t="n">
        <x:v>0.4940301032</x:v>
      </x:c>
      <x:c r="N4183" s="10" t="n">
        <x:v>21955.6101285291</x:v>
      </x:c>
      <x:c r="O4183" s="9" t="n">
        <x:v>0.1757852544</x:v>
      </x:c>
      <x:c r="P4183" s="9" t="n">
        <x:v>0.152404238</x:v>
      </x:c>
      <x:c r="Q4183" s="9" t="n">
        <x:v>0.6022819886</x:v>
      </x:c>
      <x:c r="R4183" s="3" t="b">
        <x:v>0</x:v>
      </x:c>
      <x:c r="S4183" s="3" t="b">
        <x:v>0</x:v>
      </x:c>
      <x:c r="T4183" s="3" t="b">
        <x:v>0</x:v>
      </x:c>
      <x:c r="U4183" s="2" t="str">
        <x:f>IF(T4183=TRUE,"Priority review",IF(R4183=TRUE,"High cost",IF(S4183=TRUE,"Low quality","Benchmark")))</x:f>
        <x:v>Benchmark</x:v>
      </x:c>
    </x:row>
    <x:row r="4184">
      <x:c r="A4184" s="2" t="str">
        <x:v>194102</x:v>
      </x:c>
      <x:c r="B4184" s="2" t="str">
        <x:v>BEACON BEHAVIORAL HOSPITAL, LLC</x:v>
      </x:c>
      <x:c r="C4184" s="2" t="str">
        <x:v>LUTCHER</x:v>
      </x:c>
      <x:c r="D4184" s="2" t="str">
        <x:v>LA</x:v>
      </x:c>
      <x:c r="E4184" s="2" t="str">
        <x:v>Psychiatric</x:v>
      </x:c>
      <x:c r="F4184" s="2" t="str">
        <x:v>Proprietary</x:v>
      </x:c>
      <x:c r="G4184" s="2" t="str">
        <x:v>Small (&lt;100 beds)</x:v>
      </x:c>
      <x:c r="H4184" s="7"/>
      <x:c r="I4184" s="7"/>
      <x:c r="J4184" s="7"/>
      <x:c r="K4184" s="8" t="n">
        <x:v>19</x:v>
      </x:c>
      <x:c r="L4184" s="8" t="n">
        <x:v>844</x:v>
      </x:c>
      <x:c r="M4184" s="9" t="n">
        <x:v>0.9153005464</x:v>
      </x:c>
      <x:c r="N4184" s="10" t="n">
        <x:v>7219.3116113744</x:v>
      </x:c>
      <x:c r="O4184" s="9" t="n">
        <x:v>0.2285190097</x:v>
      </x:c>
      <x:c r="P4184" s="9" t="n">
        <x:v>0.1521035599</x:v>
      </x:c>
      <x:c r="Q4184" s="9" t="n">
        <x:v>0</x:v>
      </x:c>
      <x:c r="R4184" s="3" t="b">
        <x:v>0</x:v>
      </x:c>
      <x:c r="S4184" s="3" t="b">
        <x:v>0</x:v>
      </x:c>
      <x:c r="T4184" s="3" t="b">
        <x:v>0</x:v>
      </x:c>
      <x:c r="U4184" s="2" t="str">
        <x:f>IF(T4184=TRUE,"Priority review",IF(R4184=TRUE,"High cost",IF(S4184=TRUE,"Low quality","Benchmark")))</x:f>
        <x:v>Benchmark</x:v>
      </x:c>
    </x:row>
    <x:row r="4185">
      <x:c r="A4185" s="2" t="str">
        <x:v>360075</x:v>
      </x:c>
      <x:c r="B4185" s="2" t="str">
        <x:v>UH REGIONAL HOSPITALS</x:v>
      </x:c>
      <x:c r="C4185" s="2" t="str">
        <x:v>CHARDON</x:v>
      </x:c>
      <x:c r="D4185" s="2" t="str">
        <x:v>OH</x:v>
      </x:c>
      <x:c r="E4185" s="2" t="str">
        <x:v>Acute Care Hospitals</x:v>
      </x:c>
      <x:c r="F4185" s="2" t="str">
        <x:v>Proprietary</x:v>
      </x:c>
      <x:c r="G4185" s="2" t="str">
        <x:v>Small (&lt;100 beds)</x:v>
      </x:c>
      <x:c r="H4185" s="7" t="n">
        <x:v>4</x:v>
      </x:c>
      <x:c r="I4185" s="7" t="n">
        <x:v>4</x:v>
      </x:c>
      <x:c r="J4185" s="7" t="n">
        <x:v>0.98</x:v>
      </x:c>
      <x:c r="K4185" s="8" t="n">
        <x:v>98</x:v>
      </x:c>
      <x:c r="L4185" s="8" t="n">
        <x:v>6221</x:v>
      </x:c>
      <x:c r="M4185" s="9" t="n">
        <x:v>0.6648265864</x:v>
      </x:c>
      <x:c r="N4185" s="10" t="n">
        <x:v>30767.1808390934</x:v>
      </x:c>
      <x:c r="O4185" s="9" t="n">
        <x:v>0.0862015782</x:v>
      </x:c>
      <x:c r="P4185" s="9" t="n">
        <x:v>0.1517055655</x:v>
      </x:c>
      <x:c r="Q4185" s="9" t="n">
        <x:v>0.3913824057</x:v>
      </x:c>
      <x:c r="R4185" s="3" t="b">
        <x:v>0</x:v>
      </x:c>
      <x:c r="S4185" s="3" t="b">
        <x:v>0</x:v>
      </x:c>
      <x:c r="T4185" s="3" t="b">
        <x:v>0</x:v>
      </x:c>
      <x:c r="U4185" s="2" t="str">
        <x:f>IF(T4185=TRUE,"Priority review",IF(R4185=TRUE,"High cost",IF(S4185=TRUE,"Low quality","Benchmark")))</x:f>
        <x:v>Benchmark</x:v>
      </x:c>
    </x:row>
    <x:row r="4186">
      <x:c r="A4186" s="2" t="str">
        <x:v>451330</x:v>
      </x:c>
      <x:c r="B4186" s="2" t="str">
        <x:v>MEDINA REGIONAL HOSPITAL</x:v>
      </x:c>
      <x:c r="C4186" s="2" t="str">
        <x:v>HONDO</x:v>
      </x:c>
      <x:c r="D4186" s="2" t="str">
        <x:v>TX</x:v>
      </x:c>
      <x:c r="E4186" s="2" t="str">
        <x:v>Critical Access Hospitals</x:v>
      </x:c>
      <x:c r="F4186" s="2" t="str">
        <x:v>Government</x:v>
      </x:c>
      <x:c r="G4186" s="2" t="str">
        <x:v>Small (&lt;100 beds)</x:v>
      </x:c>
      <x:c r="H4186" s="7"/>
      <x:c r="I4186" s="7"/>
      <x:c r="J4186" s="7"/>
      <x:c r="K4186" s="8" t="n">
        <x:v>25</x:v>
      </x:c>
      <x:c r="L4186" s="8" t="n">
        <x:v>564</x:v>
      </x:c>
      <x:c r="M4186" s="9" t="n">
        <x:v>0.3268852459</x:v>
      </x:c>
      <x:c r="N4186" s="10" t="n">
        <x:v>71381.1063829787</x:v>
      </x:c>
      <x:c r="O4186" s="9" t="n">
        <x:v>-0.07335176</x:v>
      </x:c>
      <x:c r="P4186" s="9" t="n">
        <x:v>0.1516728625</x:v>
      </x:c>
      <x:c r="Q4186" s="9" t="n">
        <x:v>0.292936803</x:v>
      </x:c>
      <x:c r="R4186" s="3" t="b">
        <x:v>0</x:v>
      </x:c>
      <x:c r="S4186" s="3" t="b">
        <x:v>0</x:v>
      </x:c>
      <x:c r="T4186" s="3" t="b">
        <x:v>0</x:v>
      </x:c>
      <x:c r="U4186" s="2" t="str">
        <x:f>IF(T4186=TRUE,"Priority review",IF(R4186=TRUE,"High cost",IF(S4186=TRUE,"Low quality","Benchmark")))</x:f>
        <x:v>Benchmark</x:v>
      </x:c>
    </x:row>
    <x:row r="4187">
      <x:c r="A4187" s="2" t="str">
        <x:v>100049</x:v>
      </x:c>
      <x:c r="B4187" s="2" t="str">
        <x:v>HCA FLORIDA HIGHLANDS HOSPITAL</x:v>
      </x:c>
      <x:c r="C4187" s="2" t="str">
        <x:v>SEBRING</x:v>
      </x:c>
      <x:c r="D4187" s="2" t="str">
        <x:v>FL</x:v>
      </x:c>
      <x:c r="E4187" s="2" t="str">
        <x:v>Acute Care Hospitals</x:v>
      </x:c>
      <x:c r="F4187" s="2" t="str">
        <x:v>Proprietary</x:v>
      </x:c>
      <x:c r="G4187" s="2" t="str">
        <x:v>Medium (100-299 beds)</x:v>
      </x:c>
      <x:c r="H4187" s="7" t="n">
        <x:v>3</x:v>
      </x:c>
      <x:c r="I4187" s="7" t="n">
        <x:v>2</x:v>
      </x:c>
      <x:c r="J4187" s="7" t="n">
        <x:v>1.01</x:v>
      </x:c>
      <x:c r="K4187" s="8" t="n">
        <x:v>109</x:v>
      </x:c>
      <x:c r="L4187" s="8" t="n">
        <x:v>3790</x:v>
      </x:c>
      <x:c r="M4187" s="9" t="n">
        <x:v>0.3695543189</x:v>
      </x:c>
      <x:c r="N4187" s="10" t="n">
        <x:v>21938.5266490765</x:v>
      </x:c>
      <x:c r="O4187" s="9" t="n">
        <x:v>-0.0564919063</x:v>
      </x:c>
      <x:c r="P4187" s="9" t="n">
        <x:v>0.1515892421</x:v>
      </x:c>
      <x:c r="Q4187" s="9" t="n">
        <x:v>0.3023634882</x:v>
      </x:c>
      <x:c r="R4187" s="3" t="b">
        <x:v>0</x:v>
      </x:c>
      <x:c r="S4187" s="3" t="b">
        <x:v>0</x:v>
      </x:c>
      <x:c r="T4187" s="3" t="b">
        <x:v>0</x:v>
      </x:c>
      <x:c r="U4187" s="2" t="str">
        <x:f>IF(T4187=TRUE,"Priority review",IF(R4187=TRUE,"High cost",IF(S4187=TRUE,"Low quality","Benchmark")))</x:f>
        <x:v>Benchmark</x:v>
      </x:c>
    </x:row>
    <x:row r="4188">
      <x:c r="A4188" s="2" t="str">
        <x:v>220100</x:v>
      </x:c>
      <x:c r="B4188" s="2" t="str">
        <x:v>SOUTH SHORE HOSPITAL</x:v>
      </x:c>
      <x:c r="C4188" s="2" t="str">
        <x:v>SOUTH WEYMOUTH</x:v>
      </x:c>
      <x:c r="D4188" s="2" t="str">
        <x:v>MA</x:v>
      </x:c>
      <x:c r="E4188" s="2" t="str">
        <x:v>Acute Care Hospitals</x:v>
      </x:c>
      <x:c r="F4188" s="2" t="str">
        <x:v>Voluntary non-profit</x:v>
      </x:c>
      <x:c r="G4188" s="2" t="str">
        <x:v>Large (300+ beds)</x:v>
      </x:c>
      <x:c r="H4188" s="7" t="n">
        <x:v>2</x:v>
      </x:c>
      <x:c r="I4188" s="7" t="n">
        <x:v>3</x:v>
      </x:c>
      <x:c r="J4188" s="7" t="n">
        <x:v>0.99</x:v>
      </x:c>
      <x:c r="K4188" s="8" t="n">
        <x:v>394</x:v>
      </x:c>
      <x:c r="L4188" s="8" t="n">
        <x:v>35980</x:v>
      </x:c>
      <x:c r="M4188" s="9" t="n">
        <x:v>1.0664822058</x:v>
      </x:c>
      <x:c r="N4188" s="10" t="n">
        <x:v>25047.7178988327</x:v>
      </x:c>
      <x:c r="O4188" s="9" t="n">
        <x:v>-0.1052270904</x:v>
      </x:c>
      <x:c r="P4188" s="9" t="n">
        <x:v>0.1514195584</x:v>
      </x:c>
      <x:c r="Q4188" s="9" t="n">
        <x:v>0.0536277603</x:v>
      </x:c>
      <x:c r="R4188" s="3" t="b">
        <x:v>0</x:v>
      </x:c>
      <x:c r="S4188" s="3" t="b">
        <x:v>1</x:v>
      </x:c>
      <x:c r="T4188" s="3" t="b">
        <x:v>0</x:v>
      </x:c>
      <x:c r="U4188" s="2" t="str">
        <x:f>IF(T4188=TRUE,"Priority review",IF(R4188=TRUE,"High cost",IF(S4188=TRUE,"Low quality","Benchmark")))</x:f>
        <x:v>Low quality</x:v>
      </x:c>
    </x:row>
    <x:row r="4189">
      <x:c r="A4189" s="2" t="str">
        <x:v>431335</x:v>
      </x:c>
      <x:c r="B4189" s="2" t="str">
        <x:v>HURON REGIONAL MEDICAL CENTER</x:v>
      </x:c>
      <x:c r="C4189" s="2" t="str">
        <x:v>HURON</x:v>
      </x:c>
      <x:c r="D4189" s="2" t="str">
        <x:v>SD</x:v>
      </x:c>
      <x:c r="E4189" s="2" t="str">
        <x:v>Critical Access Hospitals</x:v>
      </x:c>
      <x:c r="F4189" s="2" t="str">
        <x:v>Voluntary non-profit</x:v>
      </x:c>
      <x:c r="G4189" s="2" t="str">
        <x:v>Small (&lt;100 beds)</x:v>
      </x:c>
      <x:c r="H4189" s="7" t="n">
        <x:v>2</x:v>
      </x:c>
      <x:c r="I4189" s="7" t="n">
        <x:v>3</x:v>
      </x:c>
      <x:c r="J4189" s="7"/>
      <x:c r="K4189" s="8" t="n">
        <x:v>25</x:v>
      </x:c>
      <x:c r="L4189" s="8" t="n">
        <x:v>819</x:v>
      </x:c>
      <x:c r="M4189" s="9" t="n">
        <x:v>0.4118356164</x:v>
      </x:c>
      <x:c r="N4189" s="10" t="n">
        <x:v>71052.1514041514</x:v>
      </x:c>
      <x:c r="O4189" s="9" t="n">
        <x:v>-0.158647162</x:v>
      </x:c>
      <x:c r="P4189" s="9" t="n">
        <x:v>0.150929368</x:v>
      </x:c>
      <x:c r="Q4189" s="9" t="n">
        <x:v>0.0171003717</x:v>
      </x:c>
      <x:c r="R4189" s="3" t="b">
        <x:v>0</x:v>
      </x:c>
      <x:c r="S4189" s="3" t="b">
        <x:v>1</x:v>
      </x:c>
      <x:c r="T4189" s="3" t="b">
        <x:v>0</x:v>
      </x:c>
      <x:c r="U4189" s="2" t="str">
        <x:f>IF(T4189=TRUE,"Priority review",IF(R4189=TRUE,"High cost",IF(S4189=TRUE,"Low quality","Benchmark")))</x:f>
        <x:v>Low quality</x:v>
      </x:c>
    </x:row>
    <x:row r="4190">
      <x:c r="A4190" s="2" t="str">
        <x:v>670044</x:v>
      </x:c>
      <x:c r="B4190" s="2" t="str">
        <x:v>TEXAS HEALTH PRESBYTERIAN HOSPITAL ROCKWALL</x:v>
      </x:c>
      <x:c r="C4190" s="2" t="str">
        <x:v>ROCKWALL</x:v>
      </x:c>
      <x:c r="D4190" s="2" t="str">
        <x:v>TX</x:v>
      </x:c>
      <x:c r="E4190" s="2" t="str">
        <x:v>Acute Care Hospitals</x:v>
      </x:c>
      <x:c r="F4190" s="2" t="str">
        <x:v>Proprietary</x:v>
      </x:c>
      <x:c r="G4190" s="2" t="str">
        <x:v>Small (&lt;100 beds)</x:v>
      </x:c>
      <x:c r="H4190" s="7" t="n">
        <x:v>5</x:v>
      </x:c>
      <x:c r="I4190" s="7" t="n">
        <x:v>4</x:v>
      </x:c>
      <x:c r="J4190" s="7" t="n">
        <x:v>0.96</x:v>
      </x:c>
      <x:c r="K4190" s="8" t="n">
        <x:v>53</x:v>
      </x:c>
      <x:c r="L4190" s="8" t="n">
        <x:v>4860</x:v>
      </x:c>
      <x:c r="M4190" s="9" t="n">
        <x:v>0.838127642</x:v>
      </x:c>
      <x:c r="N4190" s="10" t="n">
        <x:v>30494.3798353909</x:v>
      </x:c>
      <x:c r="O4190" s="9" t="n">
        <x:v>0.1081753254</x:v>
      </x:c>
      <x:c r="P4190" s="9" t="n">
        <x:v>0.1508078995</x:v>
      </x:c>
      <x:c r="Q4190" s="9" t="n">
        <x:v>0.6131059246</x:v>
      </x:c>
      <x:c r="R4190" s="3" t="b">
        <x:v>0</x:v>
      </x:c>
      <x:c r="S4190" s="3" t="b">
        <x:v>0</x:v>
      </x:c>
      <x:c r="T4190" s="3" t="b">
        <x:v>0</x:v>
      </x:c>
      <x:c r="U4190" s="2" t="str">
        <x:f>IF(T4190=TRUE,"Priority review",IF(R4190=TRUE,"High cost",IF(S4190=TRUE,"Low quality","Benchmark")))</x:f>
        <x:v>Benchmark</x:v>
      </x:c>
    </x:row>
    <x:row r="4191">
      <x:c r="A4191" s="2" t="str">
        <x:v>280081</x:v>
      </x:c>
      <x:c r="B4191" s="2" t="str">
        <x:v>CHI HEALTH IMMANUEL</x:v>
      </x:c>
      <x:c r="C4191" s="2" t="str">
        <x:v>OMAHA</x:v>
      </x:c>
      <x:c r="D4191" s="2" t="str">
        <x:v>NE</x:v>
      </x:c>
      <x:c r="E4191" s="2" t="str">
        <x:v>Acute Care Hospitals</x:v>
      </x:c>
      <x:c r="F4191" s="2" t="str">
        <x:v>Voluntary non-profit</x:v>
      </x:c>
      <x:c r="G4191" s="2" t="str">
        <x:v>Medium (100-299 beds)</x:v>
      </x:c>
      <x:c r="H4191" s="7" t="n">
        <x:v>3</x:v>
      </x:c>
      <x:c r="I4191" s="7" t="n">
        <x:v>3</x:v>
      </x:c>
      <x:c r="J4191" s="7" t="n">
        <x:v>1.03</x:v>
      </x:c>
      <x:c r="K4191" s="8" t="n">
        <x:v>177</x:v>
      </x:c>
      <x:c r="L4191" s="8" t="n">
        <x:v>10330</x:v>
      </x:c>
      <x:c r="M4191" s="9" t="n">
        <x:v>0.6714031422</x:v>
      </x:c>
      <x:c r="N4191" s="10" t="n">
        <x:v>21892.2118102614</x:v>
      </x:c>
      <x:c r="O4191" s="9"/>
      <x:c r="P4191" s="9" t="n">
        <x:v>0.1507742461</x:v>
      </x:c>
      <x:c r="Q4191" s="9" t="n">
        <x:v>0.3023634882</x:v>
      </x:c>
      <x:c r="R4191" s="3" t="b">
        <x:v>0</x:v>
      </x:c>
      <x:c r="S4191" s="3" t="b">
        <x:v>0</x:v>
      </x:c>
      <x:c r="T4191" s="3" t="b">
        <x:v>0</x:v>
      </x:c>
      <x:c r="U4191" s="2" t="str">
        <x:f>IF(T4191=TRUE,"Priority review",IF(R4191=TRUE,"High cost",IF(S4191=TRUE,"Low quality","Benchmark")))</x:f>
        <x:v>Benchmark</x:v>
      </x:c>
    </x:row>
    <x:row r="4192">
      <x:c r="A4192" s="2" t="str">
        <x:v>321310</x:v>
      </x:c>
      <x:c r="B4192" s="2" t="str">
        <x:v>HOLY CROSS HOSPITAL A DIV OF TAOS HEALTH SYSTEMS</x:v>
      </x:c>
      <x:c r="C4192" s="2" t="str">
        <x:v>TAOS</x:v>
      </x:c>
      <x:c r="D4192" s="2" t="str">
        <x:v>NM</x:v>
      </x:c>
      <x:c r="E4192" s="2" t="str">
        <x:v>Critical Access Hospitals</x:v>
      </x:c>
      <x:c r="F4192" s="2" t="str">
        <x:v>Voluntary non-profit</x:v>
      </x:c>
      <x:c r="G4192" s="2" t="str">
        <x:v>Small (&lt;100 beds)</x:v>
      </x:c>
      <x:c r="H4192" s="7" t="n">
        <x:v>1</x:v>
      </x:c>
      <x:c r="I4192" s="7" t="n">
        <x:v>4</x:v>
      </x:c>
      <x:c r="J4192" s="7"/>
      <x:c r="K4192" s="8" t="n">
        <x:v>25</x:v>
      </x:c>
      <x:c r="L4192" s="8" t="n">
        <x:v>1416</x:v>
      </x:c>
      <x:c r="M4192" s="9" t="n">
        <x:v>0.485369863</x:v>
      </x:c>
      <x:c r="N4192" s="10" t="n">
        <x:v>70790.9731638418</x:v>
      </x:c>
      <x:c r="O4192" s="9" t="n">
        <x:v>-0.2084724707</x:v>
      </x:c>
      <x:c r="P4192" s="9" t="n">
        <x:v>0.1501858736</x:v>
      </x:c>
      <x:c r="Q4192" s="9" t="n">
        <x:v>0</x:v>
      </x:c>
      <x:c r="R4192" s="3" t="b">
        <x:v>0</x:v>
      </x:c>
      <x:c r="S4192" s="3" t="b">
        <x:v>1</x:v>
      </x:c>
      <x:c r="T4192" s="3" t="b">
        <x:v>0</x:v>
      </x:c>
      <x:c r="U4192" s="2" t="str">
        <x:f>IF(T4192=TRUE,"Priority review",IF(R4192=TRUE,"High cost",IF(S4192=TRUE,"Low quality","Benchmark")))</x:f>
        <x:v>Low quality</x:v>
      </x:c>
    </x:row>
    <x:row r="4193">
      <x:c r="A4193" s="2" t="str">
        <x:v>670075</x:v>
      </x:c>
      <x:c r="B4193" s="2" t="str">
        <x:v>ST LUKE'S HOSPITAL AT THE VINTAGE</x:v>
      </x:c>
      <x:c r="C4193" s="2" t="str">
        <x:v>HOUSTON</x:v>
      </x:c>
      <x:c r="D4193" s="2" t="str">
        <x:v>TX</x:v>
      </x:c>
      <x:c r="E4193" s="2" t="str">
        <x:v>Acute Care Hospitals</x:v>
      </x:c>
      <x:c r="F4193" s="2" t="str">
        <x:v>Voluntary non-profit</x:v>
      </x:c>
      <x:c r="G4193" s="2" t="str">
        <x:v>Medium (100-299 beds)</x:v>
      </x:c>
      <x:c r="H4193" s="7" t="n">
        <x:v>4</x:v>
      </x:c>
      <x:c r="I4193" s="7" t="n">
        <x:v>3</x:v>
      </x:c>
      <x:c r="J4193" s="7" t="n">
        <x:v>1.09</x:v>
      </x:c>
      <x:c r="K4193" s="8" t="n">
        <x:v>102</x:v>
      </x:c>
      <x:c r="L4193" s="8" t="n">
        <x:v>5436</x:v>
      </x:c>
      <x:c r="M4193" s="9" t="n">
        <x:v>0.6388933656</x:v>
      </x:c>
      <x:c r="N4193" s="10" t="n">
        <x:v>21872.044518028</x:v>
      </x:c>
      <x:c r="O4193" s="9" t="n">
        <x:v>-0.068330318</x:v>
      </x:c>
      <x:c r="P4193" s="9" t="n">
        <x:v>0.1499592502</x:v>
      </x:c>
      <x:c r="Q4193" s="9" t="n">
        <x:v>0.6022819886</x:v>
      </x:c>
      <x:c r="R4193" s="3" t="b">
        <x:v>0</x:v>
      </x:c>
      <x:c r="S4193" s="3" t="b">
        <x:v>0</x:v>
      </x:c>
      <x:c r="T4193" s="3" t="b">
        <x:v>0</x:v>
      </x:c>
      <x:c r="U4193" s="2" t="str">
        <x:f>IF(T4193=TRUE,"Priority review",IF(R4193=TRUE,"High cost",IF(S4193=TRUE,"Low quality","Benchmark")))</x:f>
        <x:v>Benchmark</x:v>
      </x:c>
    </x:row>
    <x:row r="4194">
      <x:c r="A4194" s="2" t="str">
        <x:v>360123</x:v>
      </x:c>
      <x:c r="B4194" s="2" t="str">
        <x:v>UH ST JOHN MEDICAL CENTER</x:v>
      </x:c>
      <x:c r="C4194" s="2" t="str">
        <x:v>WESTLAKE</x:v>
      </x:c>
      <x:c r="D4194" s="2" t="str">
        <x:v>OH</x:v>
      </x:c>
      <x:c r="E4194" s="2" t="str">
        <x:v>Acute Care Hospitals</x:v>
      </x:c>
      <x:c r="F4194" s="2" t="str">
        <x:v>Voluntary non-profit</x:v>
      </x:c>
      <x:c r="G4194" s="2" t="str">
        <x:v>Small (&lt;100 beds)</x:v>
      </x:c>
      <x:c r="H4194" s="7" t="n">
        <x:v>4</x:v>
      </x:c>
      <x:c r="I4194" s="7" t="n">
        <x:v>4</x:v>
      </x:c>
      <x:c r="J4194" s="7" t="n">
        <x:v>1.06</x:v>
      </x:c>
      <x:c r="K4194" s="8" t="n">
        <x:v>98</x:v>
      </x:c>
      <x:c r="L4194" s="8" t="n">
        <x:v>6620</x:v>
      </x:c>
      <x:c r="M4194" s="9" t="n">
        <x:v>0.724824356</x:v>
      </x:c>
      <x:c r="N4194" s="10" t="n">
        <x:v>30458.6264350453</x:v>
      </x:c>
      <x:c r="O4194" s="9" t="n">
        <x:v>0.1029123026</x:v>
      </x:c>
      <x:c r="P4194" s="9" t="n">
        <x:v>0.1499102334</x:v>
      </x:c>
      <x:c r="Q4194" s="9" t="n">
        <x:v>0.3913824057</x:v>
      </x:c>
      <x:c r="R4194" s="3" t="b">
        <x:v>0</x:v>
      </x:c>
      <x:c r="S4194" s="3" t="b">
        <x:v>0</x:v>
      </x:c>
      <x:c r="T4194" s="3" t="b">
        <x:v>0</x:v>
      </x:c>
      <x:c r="U4194" s="2" t="str">
        <x:f>IF(T4194=TRUE,"Priority review",IF(R4194=TRUE,"High cost",IF(S4194=TRUE,"Low quality","Benchmark")))</x:f>
        <x:v>Benchmark</x:v>
      </x:c>
    </x:row>
    <x:row r="4195">
      <x:c r="A4195" s="2" t="str">
        <x:v>250048</x:v>
      </x:c>
      <x:c r="B4195" s="2" t="str">
        <x:v>ST DOMINIC-JACKSON MEMORIAL HOSPITAL</x:v>
      </x:c>
      <x:c r="C4195" s="2" t="str">
        <x:v>JACKSON</x:v>
      </x:c>
      <x:c r="D4195" s="2" t="str">
        <x:v>MS</x:v>
      </x:c>
      <x:c r="E4195" s="2" t="str">
        <x:v>Acute Care Hospitals</x:v>
      </x:c>
      <x:c r="F4195" s="2" t="str">
        <x:v>Voluntary non-profit</x:v>
      </x:c>
      <x:c r="G4195" s="2" t="str">
        <x:v>Large (300+ beds)</x:v>
      </x:c>
      <x:c r="H4195" s="7" t="n">
        <x:v>2</x:v>
      </x:c>
      <x:c r="I4195" s="7" t="n">
        <x:v>3</x:v>
      </x:c>
      <x:c r="J4195" s="7" t="n">
        <x:v>1.02</x:v>
      </x:c>
      <x:c r="K4195" s="8" t="n">
        <x:v>407</x:v>
      </x:c>
      <x:c r="L4195" s="8" t="n">
        <x:v>20189</x:v>
      </x:c>
      <x:c r="M4195" s="9" t="n">
        <x:v>0.7672963575</x:v>
      </x:c>
      <x:c r="N4195" s="10" t="n">
        <x:v>24986.1455743227</x:v>
      </x:c>
      <x:c r="O4195" s="9" t="n">
        <x:v>0.0572529082</x:v>
      </x:c>
      <x:c r="P4195" s="9" t="n">
        <x:v>0.1498422713</x:v>
      </x:c>
      <x:c r="Q4195" s="9" t="n">
        <x:v>0.0536277603</x:v>
      </x:c>
      <x:c r="R4195" s="3" t="b">
        <x:v>0</x:v>
      </x:c>
      <x:c r="S4195" s="3" t="b">
        <x:v>1</x:v>
      </x:c>
      <x:c r="T4195" s="3" t="b">
        <x:v>0</x:v>
      </x:c>
      <x:c r="U4195" s="2" t="str">
        <x:f>IF(T4195=TRUE,"Priority review",IF(R4195=TRUE,"High cost",IF(S4195=TRUE,"Low quality","Benchmark")))</x:f>
        <x:v>Low quality</x:v>
      </x:c>
    </x:row>
    <x:row r="4196">
      <x:c r="A4196" s="2" t="str">
        <x:v>171357</x:v>
      </x:c>
      <x:c r="B4196" s="2" t="str">
        <x:v>HILLSBORO COMMUNITY HOSPITAL</x:v>
      </x:c>
      <x:c r="C4196" s="2" t="str">
        <x:v>HILLSBORO</x:v>
      </x:c>
      <x:c r="D4196" s="2" t="str">
        <x:v>KS</x:v>
      </x:c>
      <x:c r="E4196" s="2" t="str">
        <x:v>Critical Access Hospitals</x:v>
      </x:c>
      <x:c r="F4196" s="2" t="str">
        <x:v>Proprietary</x:v>
      </x:c>
      <x:c r="G4196" s="2" t="str">
        <x:v>Small (&lt;100 beds)</x:v>
      </x:c>
      <x:c r="H4196" s="7"/>
      <x:c r="I4196" s="7"/>
      <x:c r="J4196" s="7"/>
      <x:c r="K4196" s="8" t="n">
        <x:v>15</x:v>
      </x:c>
      <x:c r="L4196" s="8" t="n">
        <x:v>137</x:v>
      </x:c>
      <x:c r="M4196" s="9" t="n">
        <x:v>0.2198542805</x:v>
      </x:c>
      <x:c r="N4196" s="10" t="n">
        <x:v>70774.9270072993</x:v>
      </x:c>
      <x:c r="O4196" s="9" t="n">
        <x:v>-0.048514149</x:v>
      </x:c>
      <x:c r="P4196" s="9" t="n">
        <x:v>0.1494423792</x:v>
      </x:c>
      <x:c r="Q4196" s="9" t="n">
        <x:v>0.292936803</x:v>
      </x:c>
      <x:c r="R4196" s="3" t="b">
        <x:v>0</x:v>
      </x:c>
      <x:c r="S4196" s="3" t="b">
        <x:v>0</x:v>
      </x:c>
      <x:c r="T4196" s="3" t="b">
        <x:v>0</x:v>
      </x:c>
      <x:c r="U4196" s="2" t="str">
        <x:f>IF(T4196=TRUE,"Priority review",IF(R4196=TRUE,"High cost",IF(S4196=TRUE,"Low quality","Benchmark")))</x:f>
        <x:v>Benchmark</x:v>
      </x:c>
    </x:row>
    <x:row r="4197">
      <x:c r="A4197" s="2" t="str">
        <x:v>114016</x:v>
      </x:c>
      <x:c r="B4197" s="2" t="str">
        <x:v>ST SIMONS-BY-THE-SEA</x:v>
      </x:c>
      <x:c r="C4197" s="2" t="str">
        <x:v>SAINT SIMONS ISLAND</x:v>
      </x:c>
      <x:c r="D4197" s="2" t="str">
        <x:v>GA</x:v>
      </x:c>
      <x:c r="E4197" s="2" t="str">
        <x:v>Psychiatric</x:v>
      </x:c>
      <x:c r="F4197" s="2" t="str">
        <x:v>Government</x:v>
      </x:c>
      <x:c r="G4197" s="2" t="str">
        <x:v>Medium (100-299 beds)</x:v>
      </x:c>
      <x:c r="H4197" s="7"/>
      <x:c r="I4197" s="7"/>
      <x:c r="J4197" s="7"/>
      <x:c r="K4197" s="8" t="n">
        <x:v>101</x:v>
      </x:c>
      <x:c r="L4197" s="8" t="n">
        <x:v>2407</x:v>
      </x:c>
      <x:c r="M4197" s="9" t="n">
        <x:v>0.4552832332</x:v>
      </x:c>
      <x:c r="N4197" s="10" t="n">
        <x:v>6026.0016618197</x:v>
      </x:c>
      <x:c r="O4197" s="9" t="n">
        <x:v>-0.1198827599</x:v>
      </x:c>
      <x:c r="P4197" s="9" t="n">
        <x:v>0.1492537313</x:v>
      </x:c>
      <x:c r="Q4197" s="9" t="n">
        <x:v>0</x:v>
      </x:c>
      <x:c r="R4197" s="3" t="b">
        <x:v>0</x:v>
      </x:c>
      <x:c r="S4197" s="3" t="b">
        <x:v>0</x:v>
      </x:c>
      <x:c r="T4197" s="3" t="b">
        <x:v>0</x:v>
      </x:c>
      <x:c r="U4197" s="2" t="str">
        <x:f>IF(T4197=TRUE,"Priority review",IF(R4197=TRUE,"High cost",IF(S4197=TRUE,"Low quality","Benchmark")))</x:f>
        <x:v>Benchmark</x:v>
      </x:c>
    </x:row>
    <x:row r="4198">
      <x:c r="A4198" s="2" t="str">
        <x:v>050534</x:v>
      </x:c>
      <x:c r="B4198" s="2" t="str">
        <x:v>JOHN F KENNEDY MEMORIAL HOSPITAL</x:v>
      </x:c>
      <x:c r="C4198" s="2" t="str">
        <x:v>INDIO</x:v>
      </x:c>
      <x:c r="D4198" s="2" t="str">
        <x:v>CA</x:v>
      </x:c>
      <x:c r="E4198" s="2" t="str">
        <x:v>Acute Care Hospitals</x:v>
      </x:c>
      <x:c r="F4198" s="2" t="str">
        <x:v>Proprietary</x:v>
      </x:c>
      <x:c r="G4198" s="2" t="str">
        <x:v>Medium (100-299 beds)</x:v>
      </x:c>
      <x:c r="H4198" s="7" t="n">
        <x:v>2</x:v>
      </x:c>
      <x:c r="I4198" s="7" t="n">
        <x:v>2</x:v>
      </x:c>
      <x:c r="J4198" s="7" t="n">
        <x:v>0.97</x:v>
      </x:c>
      <x:c r="K4198" s="8" t="n">
        <x:v>130</x:v>
      </x:c>
      <x:c r="L4198" s="8" t="n">
        <x:v>6787</x:v>
      </x:c>
      <x:c r="M4198" s="9" t="n">
        <x:v>0.4230347734</x:v>
      </x:c>
      <x:c r="N4198" s="10" t="n">
        <x:v>21827.3030794165</x:v>
      </x:c>
      <x:c r="O4198" s="9" t="n">
        <x:v>-0.010324705</x:v>
      </x:c>
      <x:c r="P4198" s="9" t="n">
        <x:v>0.1491442543</x:v>
      </x:c>
      <x:c r="Q4198" s="9" t="n">
        <x:v>0.0782396088</x:v>
      </x:c>
      <x:c r="R4198" s="3" t="b">
        <x:v>0</x:v>
      </x:c>
      <x:c r="S4198" s="3" t="b">
        <x:v>1</x:v>
      </x:c>
      <x:c r="T4198" s="3" t="b">
        <x:v>0</x:v>
      </x:c>
      <x:c r="U4198" s="2" t="str">
        <x:f>IF(T4198=TRUE,"Priority review",IF(R4198=TRUE,"High cost",IF(S4198=TRUE,"Low quality","Benchmark")))</x:f>
        <x:v>Low quality</x:v>
      </x:c>
    </x:row>
    <x:row r="4199">
      <x:c r="A4199" s="2" t="str">
        <x:v>250136</x:v>
      </x:c>
      <x:c r="B4199" s="2" t="str">
        <x:v>MERIT HEALTH WOMEN'S HOSPITAL</x:v>
      </x:c>
      <x:c r="C4199" s="2" t="str">
        <x:v>FLOWOOD</x:v>
      </x:c>
      <x:c r="D4199" s="2" t="str">
        <x:v>MS</x:v>
      </x:c>
      <x:c r="E4199" s="2" t="str">
        <x:v>Acute Care Hospitals</x:v>
      </x:c>
      <x:c r="F4199" s="2" t="str">
        <x:v>Proprietary</x:v>
      </x:c>
      <x:c r="G4199" s="2" t="str">
        <x:v>Small (&lt;100 beds)</x:v>
      </x:c>
      <x:c r="H4199" s="7"/>
      <x:c r="I4199" s="7"/>
      <x:c r="J4199" s="7"/>
      <x:c r="K4199" s="8" t="n">
        <x:v>34</x:v>
      </x:c>
      <x:c r="L4199" s="8" t="n">
        <x:v>1049</x:v>
      </x:c>
      <x:c r="M4199" s="9" t="n">
        <x:v>0.3819511411</x:v>
      </x:c>
      <x:c r="N4199" s="10" t="n">
        <x:v>30361.9332697807</x:v>
      </x:c>
      <x:c r="O4199" s="9" t="n">
        <x:v>0.0738352892</x:v>
      </x:c>
      <x:c r="P4199" s="9" t="n">
        <x:v>0.1490125673</x:v>
      </x:c>
      <x:c r="Q4199" s="9" t="n">
        <x:v>0.697486535</x:v>
      </x:c>
      <x:c r="R4199" s="3" t="b">
        <x:v>0</x:v>
      </x:c>
      <x:c r="S4199" s="3" t="b">
        <x:v>0</x:v>
      </x:c>
      <x:c r="T4199" s="3" t="b">
        <x:v>0</x:v>
      </x:c>
      <x:c r="U4199" s="2" t="str">
        <x:f>IF(T4199=TRUE,"Priority review",IF(R4199=TRUE,"High cost",IF(S4199=TRUE,"Low quality","Benchmark")))</x:f>
        <x:v>Benchmark</x:v>
      </x:c>
    </x:row>
    <x:row r="4200">
      <x:c r="A4200" s="2" t="str">
        <x:v>364048</x:v>
      </x:c>
      <x:c r="B4200" s="2" t="str">
        <x:v>HAVEN BEHAVIORAL HOSPITAL OF DAYTON</x:v>
      </x:c>
      <x:c r="C4200" s="2" t="str">
        <x:v>DAYTON</x:v>
      </x:c>
      <x:c r="D4200" s="2" t="str">
        <x:v>OH</x:v>
      </x:c>
      <x:c r="E4200" s="2" t="str">
        <x:v>Psychiatric</x:v>
      </x:c>
      <x:c r="F4200" s="2" t="str">
        <x:v>Proprietary</x:v>
      </x:c>
      <x:c r="G4200" s="2" t="str">
        <x:v>Small (&lt;100 beds)</x:v>
      </x:c>
      <x:c r="H4200" s="7"/>
      <x:c r="I4200" s="7"/>
      <x:c r="J4200" s="7"/>
      <x:c r="K4200" s="8" t="n">
        <x:v>59</x:v>
      </x:c>
      <x:c r="L4200" s="8" t="n">
        <x:v>1935</x:v>
      </x:c>
      <x:c r="M4200" s="9" t="n">
        <x:v>0.7631286468</x:v>
      </x:c>
      <x:c r="N4200" s="10" t="n">
        <x:v>7212.645994832</x:v>
      </x:c>
      <x:c r="O4200" s="9" t="n">
        <x:v>-0.0016660858</x:v>
      </x:c>
      <x:c r="P4200" s="9" t="n">
        <x:v>0.1488673139</x:v>
      </x:c>
      <x:c r="Q4200" s="9" t="n">
        <x:v>0</x:v>
      </x:c>
      <x:c r="R4200" s="3" t="b">
        <x:v>0</x:v>
      </x:c>
      <x:c r="S4200" s="3" t="b">
        <x:v>0</x:v>
      </x:c>
      <x:c r="T4200" s="3" t="b">
        <x:v>0</x:v>
      </x:c>
      <x:c r="U4200" s="2" t="str">
        <x:f>IF(T4200=TRUE,"Priority review",IF(R4200=TRUE,"High cost",IF(S4200=TRUE,"Low quality","Benchmark")))</x:f>
        <x:v>Benchmark</x:v>
      </x:c>
    </x:row>
    <x:row r="4201">
      <x:c r="A4201" s="2" t="str">
        <x:v>201308</x:v>
      </x:c>
      <x:c r="B4201" s="2" t="str">
        <x:v>HOULTON REGIONAL HOSPITAL</x:v>
      </x:c>
      <x:c r="C4201" s="2" t="str">
        <x:v>HOULTON</x:v>
      </x:c>
      <x:c r="D4201" s="2" t="str">
        <x:v>ME</x:v>
      </x:c>
      <x:c r="E4201" s="2" t="str">
        <x:v>Critical Access Hospitals</x:v>
      </x:c>
      <x:c r="F4201" s="2" t="str">
        <x:v>Voluntary non-profit</x:v>
      </x:c>
      <x:c r="G4201" s="2" t="str">
        <x:v>Small (&lt;100 beds)</x:v>
      </x:c>
      <x:c r="H4201" s="7" t="n">
        <x:v>3</x:v>
      </x:c>
      <x:c r="I4201" s="7" t="n">
        <x:v>4</x:v>
      </x:c>
      <x:c r="J4201" s="7"/>
      <x:c r="K4201" s="8" t="n">
        <x:v>25</x:v>
      </x:c>
      <x:c r="L4201" s="8" t="n">
        <x:v>811</x:v>
      </x:c>
      <x:c r="M4201" s="9" t="n">
        <x:v>0.4981420765</x:v>
      </x:c>
      <x:c r="N4201" s="10" t="n">
        <x:v>70740.251541307</x:v>
      </x:c>
      <x:c r="O4201" s="9" t="n">
        <x:v>-0.0532409657</x:v>
      </x:c>
      <x:c r="P4201" s="9" t="n">
        <x:v>0.1486988848</x:v>
      </x:c>
      <x:c r="Q4201" s="9" t="n">
        <x:v>0.0765799257</x:v>
      </x:c>
      <x:c r="R4201" s="3" t="b">
        <x:v>0</x:v>
      </x:c>
      <x:c r="S4201" s="3" t="b">
        <x:v>1</x:v>
      </x:c>
      <x:c r="T4201" s="3" t="b">
        <x:v>0</x:v>
      </x:c>
      <x:c r="U4201" s="2" t="str">
        <x:f>IF(T4201=TRUE,"Priority review",IF(R4201=TRUE,"High cost",IF(S4201=TRUE,"Low quality","Benchmark")))</x:f>
        <x:v>Low quality</x:v>
      </x:c>
    </x:row>
    <x:row r="4202">
      <x:c r="A4202" s="2" t="str">
        <x:v>170146</x:v>
      </x:c>
      <x:c r="B4202" s="2" t="str">
        <x:v>PROVIDENCE MEDICAL CENTER</x:v>
      </x:c>
      <x:c r="C4202" s="2" t="str">
        <x:v>KANSAS CITY</x:v>
      </x:c>
      <x:c r="D4202" s="2" t="str">
        <x:v>KS</x:v>
      </x:c>
      <x:c r="E4202" s="2" t="str">
        <x:v>Acute Care Hospitals</x:v>
      </x:c>
      <x:c r="F4202" s="2" t="str">
        <x:v>Voluntary non-profit</x:v>
      </x:c>
      <x:c r="G4202" s="2" t="str">
        <x:v>Medium (100-299 beds)</x:v>
      </x:c>
      <x:c r="H4202" s="7" t="n">
        <x:v>3</x:v>
      </x:c>
      <x:c r="I4202" s="7" t="n">
        <x:v>2</x:v>
      </x:c>
      <x:c r="J4202" s="7" t="n">
        <x:v>0.97</x:v>
      </x:c>
      <x:c r="K4202" s="8" t="n">
        <x:v>176</x:v>
      </x:c>
      <x:c r="L4202" s="8" t="n">
        <x:v>4965</x:v>
      </x:c>
      <x:c r="M4202" s="9" t="n">
        <x:v>0.2989474665</x:v>
      </x:c>
      <x:c r="N4202" s="10" t="n">
        <x:v>21814.4314199396</x:v>
      </x:c>
      <x:c r="O4202" s="9" t="n">
        <x:v>0.0496343104</x:v>
      </x:c>
      <x:c r="P4202" s="9" t="n">
        <x:v>0.1483292584</x:v>
      </x:c>
      <x:c r="Q4202" s="9" t="n">
        <x:v>0.3023634882</x:v>
      </x:c>
      <x:c r="R4202" s="3" t="b">
        <x:v>0</x:v>
      </x:c>
      <x:c r="S4202" s="3" t="b">
        <x:v>0</x:v>
      </x:c>
      <x:c r="T4202" s="3" t="b">
        <x:v>0</x:v>
      </x:c>
      <x:c r="U4202" s="2" t="str">
        <x:f>IF(T4202=TRUE,"Priority review",IF(R4202=TRUE,"High cost",IF(S4202=TRUE,"Low quality","Benchmark")))</x:f>
        <x:v>Benchmark</x:v>
      </x:c>
    </x:row>
    <x:row r="4203">
      <x:c r="A4203" s="2" t="str">
        <x:v>490118</x:v>
      </x:c>
      <x:c r="B4203" s="2" t="str">
        <x:v>HENRICO DOCTORS' HOSPITAL</x:v>
      </x:c>
      <x:c r="C4203" s="2" t="str">
        <x:v>RICHMOND</x:v>
      </x:c>
      <x:c r="D4203" s="2" t="str">
        <x:v>VA</x:v>
      </x:c>
      <x:c r="E4203" s="2" t="str">
        <x:v>Acute Care Hospitals</x:v>
      </x:c>
      <x:c r="F4203" s="2" t="str">
        <x:v>Voluntary non-profit</x:v>
      </x:c>
      <x:c r="G4203" s="2" t="str">
        <x:v>Large (300+ beds)</x:v>
      </x:c>
      <x:c r="H4203" s="7" t="n">
        <x:v>4</x:v>
      </x:c>
      <x:c r="I4203" s="7" t="n">
        <x:v>2</x:v>
      </x:c>
      <x:c r="J4203" s="7" t="n">
        <x:v>1.06</x:v>
      </x:c>
      <x:c r="K4203" s="8" t="n">
        <x:v>686</x:v>
      </x:c>
      <x:c r="L4203" s="8" t="n">
        <x:v>21951</x:v>
      </x:c>
      <x:c r="M4203" s="9" t="n">
        <x:v>0.4103638324</x:v>
      </x:c>
      <x:c r="N4203" s="10" t="n">
        <x:v>24833.1199945333</x:v>
      </x:c>
      <x:c r="O4203" s="9" t="n">
        <x:v>0.3528625829</x:v>
      </x:c>
      <x:c r="P4203" s="9" t="n">
        <x:v>0.1482649842</x:v>
      </x:c>
      <x:c r="Q4203" s="9" t="n">
        <x:v>0.5899053628</x:v>
      </x:c>
      <x:c r="R4203" s="3" t="b">
        <x:v>0</x:v>
      </x:c>
      <x:c r="S4203" s="3" t="b">
        <x:v>0</x:v>
      </x:c>
      <x:c r="T4203" s="3" t="b">
        <x:v>0</x:v>
      </x:c>
      <x:c r="U4203" s="2" t="str">
        <x:f>IF(T4203=TRUE,"Priority review",IF(R4203=TRUE,"High cost",IF(S4203=TRUE,"Low quality","Benchmark")))</x:f>
        <x:v>Benchmark</x:v>
      </x:c>
    </x:row>
    <x:row r="4204">
      <x:c r="A4204" s="2" t="str">
        <x:v>263301</x:v>
      </x:c>
      <x:c r="B4204" s="2" t="str">
        <x:v>ST LOUIS CHILDRENS HOSPITAL</x:v>
      </x:c>
      <x:c r="C4204" s="2" t="str">
        <x:v>SAINT LOUIS</x:v>
      </x:c>
      <x:c r="D4204" s="2" t="str">
        <x:v>MO</x:v>
      </x:c>
      <x:c r="E4204" s="2" t="str">
        <x:v>Childrens</x:v>
      </x:c>
      <x:c r="F4204" s="2" t="str">
        <x:v>Voluntary non-profit</x:v>
      </x:c>
      <x:c r="G4204" s="2" t="str">
        <x:v>Large (300+ beds)</x:v>
      </x:c>
      <x:c r="H4204" s="7"/>
      <x:c r="I4204" s="7"/>
      <x:c r="J4204" s="7"/>
      <x:c r="K4204" s="8" t="n">
        <x:v>460</x:v>
      </x:c>
      <x:c r="L4204" s="8" t="n">
        <x:v>13117</x:v>
      </x:c>
      <x:c r="M4204" s="9" t="n">
        <x:v>0.6598808815</x:v>
      </x:c>
      <x:c r="N4204" s="10" t="n">
        <x:v>73570.0888160403</x:v>
      </x:c>
      <x:c r="O4204" s="9" t="n">
        <x:v>0.076692707</x:v>
      </x:c>
      <x:c r="P4204" s="9" t="n">
        <x:v>0.1481481481</x:v>
      </x:c>
      <x:c r="Q4204" s="9" t="n">
        <x:v>0</x:v>
      </x:c>
      <x:c r="R4204" s="3" t="b">
        <x:v>0</x:v>
      </x:c>
      <x:c r="S4204" s="3" t="b">
        <x:v>0</x:v>
      </x:c>
      <x:c r="T4204" s="3" t="b">
        <x:v>0</x:v>
      </x:c>
      <x:c r="U4204" s="2" t="str">
        <x:f>IF(T4204=TRUE,"Priority review",IF(R4204=TRUE,"High cost",IF(S4204=TRUE,"Low quality","Benchmark")))</x:f>
        <x:v>Benchmark</x:v>
      </x:c>
    </x:row>
    <x:row r="4205">
      <x:c r="A4205" s="2" t="str">
        <x:v>340064</x:v>
      </x:c>
      <x:c r="B4205" s="2" t="str">
        <x:v>WILKES REGIONAL MEDICAL CENTER</x:v>
      </x:c>
      <x:c r="C4205" s="2" t="str">
        <x:v>NORTH WILKESBORO</x:v>
      </x:c>
      <x:c r="D4205" s="2" t="str">
        <x:v>NC</x:v>
      </x:c>
      <x:c r="E4205" s="2" t="str">
        <x:v>Acute Care Hospitals</x:v>
      </x:c>
      <x:c r="F4205" s="2" t="str">
        <x:v>Government</x:v>
      </x:c>
      <x:c r="G4205" s="2" t="str">
        <x:v>Small (&lt;100 beds)</x:v>
      </x:c>
      <x:c r="H4205" s="7" t="n">
        <x:v>3</x:v>
      </x:c>
      <x:c r="I4205" s="7" t="n">
        <x:v>3</x:v>
      </x:c>
      <x:c r="J4205" s="7" t="n">
        <x:v>1.02</x:v>
      </x:c>
      <x:c r="K4205" s="8" t="n">
        <x:v>77</x:v>
      </x:c>
      <x:c r="L4205" s="8" t="n">
        <x:v>4623</x:v>
      </x:c>
      <x:c r="M4205" s="9" t="n">
        <x:v>0.5973671138</x:v>
      </x:c>
      <x:c r="N4205" s="10" t="n">
        <x:v>30341.0687865023</x:v>
      </x:c>
      <x:c r="O4205" s="9" t="n">
        <x:v>0.0895010615</x:v>
      </x:c>
      <x:c r="P4205" s="9" t="n">
        <x:v>0.1481149013</x:v>
      </x:c>
      <x:c r="Q4205" s="9" t="n">
        <x:v>0.1687612208</x:v>
      </x:c>
      <x:c r="R4205" s="3" t="b">
        <x:v>0</x:v>
      </x:c>
      <x:c r="S4205" s="3" t="b">
        <x:v>0</x:v>
      </x:c>
      <x:c r="T4205" s="3" t="b">
        <x:v>0</x:v>
      </x:c>
      <x:c r="U4205" s="2" t="str">
        <x:f>IF(T4205=TRUE,"Priority review",IF(R4205=TRUE,"High cost",IF(S4205=TRUE,"Low quality","Benchmark")))</x:f>
        <x:v>Benchmark</x:v>
      </x:c>
    </x:row>
    <x:row r="4206">
      <x:c r="A4206" s="2" t="str">
        <x:v>051329</x:v>
      </x:c>
      <x:c r="B4206" s="2" t="str">
        <x:v>SUTTER LAKESIDE HOSPITAL</x:v>
      </x:c>
      <x:c r="C4206" s="2" t="str">
        <x:v>LAKEPORT</x:v>
      </x:c>
      <x:c r="D4206" s="2" t="str">
        <x:v>CA</x:v>
      </x:c>
      <x:c r="E4206" s="2" t="str">
        <x:v>Critical Access Hospitals</x:v>
      </x:c>
      <x:c r="F4206" s="2" t="str">
        <x:v>Voluntary non-profit</x:v>
      </x:c>
      <x:c r="G4206" s="2" t="str">
        <x:v>Small (&lt;100 beds)</x:v>
      </x:c>
      <x:c r="H4206" s="7" t="n">
        <x:v>4</x:v>
      </x:c>
      <x:c r="I4206" s="7" t="n">
        <x:v>4</x:v>
      </x:c>
      <x:c r="J4206" s="7"/>
      <x:c r="K4206" s="8" t="n">
        <x:v>25</x:v>
      </x:c>
      <x:c r="L4206" s="8" t="n">
        <x:v>1607</x:v>
      </x:c>
      <x:c r="M4206" s="9" t="n">
        <x:v>0.8186885246</x:v>
      </x:c>
      <x:c r="N4206" s="10" t="n">
        <x:v>70598.2588674549</x:v>
      </x:c>
      <x:c r="O4206" s="9" t="n">
        <x:v>0.0601216473</x:v>
      </x:c>
      <x:c r="P4206" s="9" t="n">
        <x:v>0.1479553903</x:v>
      </x:c>
      <x:c r="Q4206" s="9" t="n">
        <x:v>0.1657992565</x:v>
      </x:c>
      <x:c r="R4206" s="3" t="b">
        <x:v>0</x:v>
      </x:c>
      <x:c r="S4206" s="3" t="b">
        <x:v>0</x:v>
      </x:c>
      <x:c r="T4206" s="3" t="b">
        <x:v>0</x:v>
      </x:c>
      <x:c r="U4206" s="2" t="str">
        <x:f>IF(T4206=TRUE,"Priority review",IF(R4206=TRUE,"High cost",IF(S4206=TRUE,"Low quality","Benchmark")))</x:f>
        <x:v>Benchmark</x:v>
      </x:c>
    </x:row>
    <x:row r="4207">
      <x:c r="A4207" s="2" t="str">
        <x:v>100072</x:v>
      </x:c>
      <x:c r="B4207" s="2" t="str">
        <x:v>ADVENTHEALTH FISH MEMORIAL</x:v>
      </x:c>
      <x:c r="C4207" s="2" t="str">
        <x:v>ORANGE CITY</x:v>
      </x:c>
      <x:c r="D4207" s="2" t="str">
        <x:v>FL</x:v>
      </x:c>
      <x:c r="E4207" s="2" t="str">
        <x:v>Acute Care Hospitals</x:v>
      </x:c>
      <x:c r="F4207" s="2" t="str">
        <x:v>Voluntary non-profit</x:v>
      </x:c>
      <x:c r="G4207" s="2" t="str">
        <x:v>Medium (100-299 beds)</x:v>
      </x:c>
      <x:c r="H4207" s="7" t="n">
        <x:v>5</x:v>
      </x:c>
      <x:c r="I4207" s="7" t="n">
        <x:v>4</x:v>
      </x:c>
      <x:c r="J4207" s="7" t="n">
        <x:v>0.95</x:v>
      </x:c>
      <x:c r="K4207" s="8" t="n">
        <x:v>253</x:v>
      </x:c>
      <x:c r="L4207" s="8" t="n">
        <x:v>12378</x:v>
      </x:c>
      <x:c r="M4207" s="9" t="n">
        <x:v>0.593133761</x:v>
      </x:c>
      <x:c r="N4207" s="10" t="n">
        <x:v>21749.5692357408</x:v>
      </x:c>
      <x:c r="O4207" s="9" t="n">
        <x:v>0.1547760299</x:v>
      </x:c>
      <x:c r="P4207" s="9" t="n">
        <x:v>0.1475142624</x:v>
      </x:c>
      <x:c r="Q4207" s="9" t="n">
        <x:v>0.8744906275</x:v>
      </x:c>
      <x:c r="R4207" s="3" t="b">
        <x:v>0</x:v>
      </x:c>
      <x:c r="S4207" s="3" t="b">
        <x:v>0</x:v>
      </x:c>
      <x:c r="T4207" s="3" t="b">
        <x:v>0</x:v>
      </x:c>
      <x:c r="U4207" s="2" t="str">
        <x:f>IF(T4207=TRUE,"Priority review",IF(R4207=TRUE,"High cost",IF(S4207=TRUE,"Low quality","Benchmark")))</x:f>
        <x:v>Benchmark</x:v>
      </x:c>
    </x:row>
    <x:row r="4208">
      <x:c r="A4208" s="2" t="str">
        <x:v>010157</x:v>
      </x:c>
      <x:c r="B4208" s="2" t="str">
        <x:v>NORTH ALABAMA SHOALS HOSPITAL</x:v>
      </x:c>
      <x:c r="C4208" s="2" t="str">
        <x:v>MUSCLE SHOALS</x:v>
      </x:c>
      <x:c r="D4208" s="2" t="str">
        <x:v>AL</x:v>
      </x:c>
      <x:c r="E4208" s="2" t="str">
        <x:v>Acute Care Hospitals</x:v>
      </x:c>
      <x:c r="F4208" s="2" t="str">
        <x:v>Proprietary</x:v>
      </x:c>
      <x:c r="G4208" s="2" t="str">
        <x:v>Small (&lt;100 beds)</x:v>
      </x:c>
      <x:c r="H4208" s="7"/>
      <x:c r="I4208" s="7"/>
      <x:c r="J4208" s="7" t="n">
        <x:v>0.97</x:v>
      </x:c>
      <x:c r="K4208" s="8" t="n">
        <x:v>47</x:v>
      </x:c>
      <x:c r="L4208" s="8" t="n">
        <x:v>1644</x:v>
      </x:c>
      <x:c r="M4208" s="9" t="n">
        <x:v>0.5438647625</x:v>
      </x:c>
      <x:c r="N4208" s="10" t="n">
        <x:v>30281.4598540146</x:v>
      </x:c>
      <x:c r="O4208" s="9" t="n">
        <x:v>-0.1207362038</x:v>
      </x:c>
      <x:c r="P4208" s="9" t="n">
        <x:v>0.1472172352</x:v>
      </x:c>
      <x:c r="Q4208" s="9" t="n">
        <x:v>0.697486535</x:v>
      </x:c>
      <x:c r="R4208" s="3" t="b">
        <x:v>0</x:v>
      </x:c>
      <x:c r="S4208" s="3" t="b">
        <x:v>0</x:v>
      </x:c>
      <x:c r="T4208" s="3" t="b">
        <x:v>0</x:v>
      </x:c>
      <x:c r="U4208" s="2" t="str">
        <x:f>IF(T4208=TRUE,"Priority review",IF(R4208=TRUE,"High cost",IF(S4208=TRUE,"Low quality","Benchmark")))</x:f>
        <x:v>Benchmark</x:v>
      </x:c>
    </x:row>
    <x:row r="4209">
      <x:c r="A4209" s="2" t="str">
        <x:v>171382</x:v>
      </x:c>
      <x:c r="B4209" s="2" t="str">
        <x:v>AMBERWELL ATCHISON ASSOCIATION</x:v>
      </x:c>
      <x:c r="C4209" s="2" t="str">
        <x:v>ATCHISON</x:v>
      </x:c>
      <x:c r="D4209" s="2" t="str">
        <x:v>KS</x:v>
      </x:c>
      <x:c r="E4209" s="2" t="str">
        <x:v>Critical Access Hospitals</x:v>
      </x:c>
      <x:c r="F4209" s="2" t="str">
        <x:v>Voluntary non-profit</x:v>
      </x:c>
      <x:c r="G4209" s="2" t="str">
        <x:v>Small (&lt;100 beds)</x:v>
      </x:c>
      <x:c r="H4209" s="7"/>
      <x:c r="I4209" s="7" t="n">
        <x:v>4</x:v>
      </x:c>
      <x:c r="J4209" s="7"/>
      <x:c r="K4209" s="8" t="n">
        <x:v>25</x:v>
      </x:c>
      <x:c r="L4209" s="8" t="n">
        <x:v>886</x:v>
      </x:c>
      <x:c r="M4209" s="9" t="n">
        <x:v>0.3261202186</x:v>
      </x:c>
      <x:c r="N4209" s="10" t="n">
        <x:v>70472.2291196388</x:v>
      </x:c>
      <x:c r="O4209" s="9" t="n">
        <x:v>-0.178798611</x:v>
      </x:c>
      <x:c r="P4209" s="9" t="n">
        <x:v>0.1472118959</x:v>
      </x:c>
      <x:c r="Q4209" s="9" t="n">
        <x:v>0.292936803</x:v>
      </x:c>
      <x:c r="R4209" s="3" t="b">
        <x:v>0</x:v>
      </x:c>
      <x:c r="S4209" s="3" t="b">
        <x:v>0</x:v>
      </x:c>
      <x:c r="T4209" s="3" t="b">
        <x:v>0</x:v>
      </x:c>
      <x:c r="U4209" s="2" t="str">
        <x:f>IF(T4209=TRUE,"Priority review",IF(R4209=TRUE,"High cost",IF(S4209=TRUE,"Low quality","Benchmark")))</x:f>
        <x:v>Benchmark</x:v>
      </x:c>
    </x:row>
    <x:row r="4210">
      <x:c r="A4210" s="2" t="str">
        <x:v>450718</x:v>
      </x:c>
      <x:c r="B4210" s="2" t="str">
        <x:v>ROUND ROCK MEDICAL CENTER</x:v>
      </x:c>
      <x:c r="C4210" s="2" t="str">
        <x:v>ROUND ROCK</x:v>
      </x:c>
      <x:c r="D4210" s="2" t="str">
        <x:v>TX</x:v>
      </x:c>
      <x:c r="E4210" s="2" t="str">
        <x:v>Acute Care Hospitals</x:v>
      </x:c>
      <x:c r="F4210" s="2" t="str">
        <x:v>Proprietary</x:v>
      </x:c>
      <x:c r="G4210" s="2" t="str">
        <x:v>Medium (100-299 beds)</x:v>
      </x:c>
      <x:c r="H4210" s="7" t="n">
        <x:v>3</x:v>
      </x:c>
      <x:c r="I4210" s="7" t="n">
        <x:v>3</x:v>
      </x:c>
      <x:c r="J4210" s="7" t="n">
        <x:v>1.05</x:v>
      </x:c>
      <x:c r="K4210" s="8" t="n">
        <x:v>195</x:v>
      </x:c>
      <x:c r="L4210" s="8" t="n">
        <x:v>13256</x:v>
      </x:c>
      <x:c r="M4210" s="9" t="n">
        <x:v>0.8879662803</x:v>
      </x:c>
      <x:c r="N4210" s="10" t="n">
        <x:v>21742.1302806276</x:v>
      </x:c>
      <x:c r="O4210" s="9" t="n">
        <x:v>0.2210671546</x:v>
      </x:c>
      <x:c r="P4210" s="9" t="n">
        <x:v>0.1466992665</x:v>
      </x:c>
      <x:c r="Q4210" s="9" t="n">
        <x:v>0.3023634882</x:v>
      </x:c>
      <x:c r="R4210" s="3" t="b">
        <x:v>0</x:v>
      </x:c>
      <x:c r="S4210" s="3" t="b">
        <x:v>0</x:v>
      </x:c>
      <x:c r="T4210" s="3" t="b">
        <x:v>0</x:v>
      </x:c>
      <x:c r="U4210" s="2" t="str">
        <x:f>IF(T4210=TRUE,"Priority review",IF(R4210=TRUE,"High cost",IF(S4210=TRUE,"Low quality","Benchmark")))</x:f>
        <x:v>Benchmark</x:v>
      </x:c>
    </x:row>
    <x:row r="4211">
      <x:c r="A4211" s="2" t="str">
        <x:v>370001</x:v>
      </x:c>
      <x:c r="B4211" s="2" t="str">
        <x:v>HILLCREST MEDICAL CENTER</x:v>
      </x:c>
      <x:c r="C4211" s="2" t="str">
        <x:v>TULSA</x:v>
      </x:c>
      <x:c r="D4211" s="2" t="str">
        <x:v>OK</x:v>
      </x:c>
      <x:c r="E4211" s="2" t="str">
        <x:v>Acute Care Hospitals</x:v>
      </x:c>
      <x:c r="F4211" s="2" t="str">
        <x:v>Proprietary</x:v>
      </x:c>
      <x:c r="G4211" s="2" t="str">
        <x:v>Large (300+ beds)</x:v>
      </x:c>
      <x:c r="H4211" s="7" t="n">
        <x:v>3</x:v>
      </x:c>
      <x:c r="I4211" s="7" t="n">
        <x:v>3</x:v>
      </x:c>
      <x:c r="J4211" s="7" t="n">
        <x:v>1.04</x:v>
      </x:c>
      <x:c r="K4211" s="8" t="n">
        <x:v>447</x:v>
      </x:c>
      <x:c r="L4211" s="8" t="n">
        <x:v>25060</x:v>
      </x:c>
      <x:c r="M4211" s="9" t="n">
        <x:v>0.7871042873</x:v>
      </x:c>
      <x:c r="N4211" s="10" t="n">
        <x:v>24791.3003591381</x:v>
      </x:c>
      <x:c r="O4211" s="9" t="n">
        <x:v>0.0106015889</x:v>
      </x:c>
      <x:c r="P4211" s="9" t="n">
        <x:v>0.1466876972</x:v>
      </x:c>
      <x:c r="Q4211" s="9" t="n">
        <x:v>0.2570977918</x:v>
      </x:c>
      <x:c r="R4211" s="3" t="b">
        <x:v>0</x:v>
      </x:c>
      <x:c r="S4211" s="3" t="b">
        <x:v>0</x:v>
      </x:c>
      <x:c r="T4211" s="3" t="b">
        <x:v>0</x:v>
      </x:c>
      <x:c r="U4211" s="2" t="str">
        <x:f>IF(T4211=TRUE,"Priority review",IF(R4211=TRUE,"High cost",IF(S4211=TRUE,"Low quality","Benchmark")))</x:f>
        <x:v>Benchmark</x:v>
      </x:c>
    </x:row>
    <x:row r="4212">
      <x:c r="A4212" s="2" t="str">
        <x:v>321308</x:v>
      </x:c>
      <x:c r="B4212" s="2" t="str">
        <x:v>CIBOLA GENERAL HOSPITAL</x:v>
      </x:c>
      <x:c r="C4212" s="2" t="str">
        <x:v>GRANTS</x:v>
      </x:c>
      <x:c r="D4212" s="2" t="str">
        <x:v>NM</x:v>
      </x:c>
      <x:c r="E4212" s="2" t="str">
        <x:v>Critical Access Hospitals</x:v>
      </x:c>
      <x:c r="F4212" s="2" t="str">
        <x:v>Voluntary non-profit</x:v>
      </x:c>
      <x:c r="G4212" s="2" t="str">
        <x:v>Small (&lt;100 beds)</x:v>
      </x:c>
      <x:c r="H4212" s="7"/>
      <x:c r="I4212" s="7"/>
      <x:c r="J4212" s="7"/>
      <x:c r="K4212" s="8" t="n">
        <x:v>25</x:v>
      </x:c>
      <x:c r="L4212" s="8" t="n">
        <x:v>879</x:v>
      </x:c>
      <x:c r="M4212" s="9" t="n">
        <x:v>0.2647671233</x:v>
      </x:c>
      <x:c r="N4212" s="10" t="n">
        <x:v>70430.9772468715</x:v>
      </x:c>
      <x:c r="O4212" s="9" t="n">
        <x:v>-0.3056654064</x:v>
      </x:c>
      <x:c r="P4212" s="9" t="n">
        <x:v>0.1464684015</x:v>
      </x:c>
      <x:c r="Q4212" s="9" t="n">
        <x:v>0.292936803</x:v>
      </x:c>
      <x:c r="R4212" s="3" t="b">
        <x:v>0</x:v>
      </x:c>
      <x:c r="S4212" s="3" t="b">
        <x:v>0</x:v>
      </x:c>
      <x:c r="T4212" s="3" t="b">
        <x:v>0</x:v>
      </x:c>
      <x:c r="U4212" s="2" t="str">
        <x:f>IF(T4212=TRUE,"Priority review",IF(R4212=TRUE,"High cost",IF(S4212=TRUE,"Low quality","Benchmark")))</x:f>
        <x:v>Benchmark</x:v>
      </x:c>
    </x:row>
    <x:row r="4213">
      <x:c r="A4213" s="2" t="str">
        <x:v>390116</x:v>
      </x:c>
      <x:c r="B4213" s="2" t="str">
        <x:v>SUBURBAN COMMUNITY HOSPITAL</x:v>
      </x:c>
      <x:c r="C4213" s="2" t="str">
        <x:v>NORRISTOWN</x:v>
      </x:c>
      <x:c r="D4213" s="2" t="str">
        <x:v>PA</x:v>
      </x:c>
      <x:c r="E4213" s="2" t="str">
        <x:v>Acute Care Hospitals</x:v>
      </x:c>
      <x:c r="F4213" s="2" t="str">
        <x:v>Voluntary non-profit</x:v>
      </x:c>
      <x:c r="G4213" s="2" t="str">
        <x:v>Small (&lt;100 beds)</x:v>
      </x:c>
      <x:c r="H4213" s="7" t="n">
        <x:v>4</x:v>
      </x:c>
      <x:c r="I4213" s="7"/>
      <x:c r="J4213" s="7" t="n">
        <x:v>0.9</x:v>
      </x:c>
      <x:c r="K4213" s="8" t="n">
        <x:v>60</x:v>
      </x:c>
      <x:c r="L4213" s="8" t="n">
        <x:v>1557</x:v>
      </x:c>
      <x:c r="M4213" s="9" t="n">
        <x:v>0.1577105724</x:v>
      </x:c>
      <x:c r="N4213" s="10" t="n">
        <x:v>29932.9184328838</x:v>
      </x:c>
      <x:c r="O4213" s="9" t="n">
        <x:v>-0.7276077105</x:v>
      </x:c>
      <x:c r="P4213" s="9" t="n">
        <x:v>0.1463195691</x:v>
      </x:c>
      <x:c r="Q4213" s="9" t="n">
        <x:v>0.3913824057</x:v>
      </x:c>
      <x:c r="R4213" s="3" t="b">
        <x:v>0</x:v>
      </x:c>
      <x:c r="S4213" s="3" t="b">
        <x:v>0</x:v>
      </x:c>
      <x:c r="T4213" s="3" t="b">
        <x:v>0</x:v>
      </x:c>
      <x:c r="U4213" s="2" t="str">
        <x:f>IF(T4213=TRUE,"Priority review",IF(R4213=TRUE,"High cost",IF(S4213=TRUE,"Low quality","Benchmark")))</x:f>
        <x:v>Benchmark</x:v>
      </x:c>
    </x:row>
    <x:row r="4214">
      <x:c r="A4214" s="2" t="str">
        <x:v>390070</x:v>
      </x:c>
      <x:c r="B4214" s="2" t="str">
        <x:v>LOWER BUCKS HOSPITAL</x:v>
      </x:c>
      <x:c r="C4214" s="2" t="str">
        <x:v>BRISTOL</x:v>
      </x:c>
      <x:c r="D4214" s="2" t="str">
        <x:v>PA</x:v>
      </x:c>
      <x:c r="E4214" s="2" t="str">
        <x:v>Acute Care Hospitals</x:v>
      </x:c>
      <x:c r="F4214" s="2" t="str">
        <x:v>Voluntary non-profit</x:v>
      </x:c>
      <x:c r="G4214" s="2" t="str">
        <x:v>Medium (100-299 beds)</x:v>
      </x:c>
      <x:c r="H4214" s="7" t="n">
        <x:v>3</x:v>
      </x:c>
      <x:c r="I4214" s="7" t="n">
        <x:v>2</x:v>
      </x:c>
      <x:c r="J4214" s="7" t="n">
        <x:v>0.94</x:v>
      </x:c>
      <x:c r="K4214" s="8" t="n">
        <x:v>105</x:v>
      </x:c>
      <x:c r="L4214" s="8" t="n">
        <x:v>3324</x:v>
      </x:c>
      <x:c r="M4214" s="9" t="n">
        <x:v>0.2578194119</x:v>
      </x:c>
      <x:c r="N4214" s="10" t="n">
        <x:v>21667.1925391095</x:v>
      </x:c>
      <x:c r="O4214" s="9" t="n">
        <x:v>0.0005058827</x:v>
      </x:c>
      <x:c r="P4214" s="9" t="n">
        <x:v>0.1458842706</x:v>
      </x:c>
      <x:c r="Q4214" s="9" t="n">
        <x:v>0.3023634882</x:v>
      </x:c>
      <x:c r="R4214" s="3" t="b">
        <x:v>0</x:v>
      </x:c>
      <x:c r="S4214" s="3" t="b">
        <x:v>0</x:v>
      </x:c>
      <x:c r="T4214" s="3" t="b">
        <x:v>0</x:v>
      </x:c>
      <x:c r="U4214" s="2" t="str">
        <x:f>IF(T4214=TRUE,"Priority review",IF(R4214=TRUE,"High cost",IF(S4214=TRUE,"Low quality","Benchmark")))</x:f>
        <x:v>Benchmark</x:v>
      </x:c>
    </x:row>
    <x:row r="4215">
      <x:c r="A4215" s="2" t="str">
        <x:v>251305</x:v>
      </x:c>
      <x:c r="B4215" s="2" t="str">
        <x:v>LAWRENCE COUNTY HOSPITAL CAH</x:v>
      </x:c>
      <x:c r="C4215" s="2" t="str">
        <x:v>MONTICELLO</x:v>
      </x:c>
      <x:c r="D4215" s="2" t="str">
        <x:v>MS</x:v>
      </x:c>
      <x:c r="E4215" s="2" t="str">
        <x:v>Critical Access Hospitals</x:v>
      </x:c>
      <x:c r="F4215" s="2" t="str">
        <x:v>Government</x:v>
      </x:c>
      <x:c r="G4215" s="2" t="str">
        <x:v>Small (&lt;100 beds)</x:v>
      </x:c>
      <x:c r="H4215" s="7"/>
      <x:c r="I4215" s="7"/>
      <x:c r="J4215" s="7"/>
      <x:c r="K4215" s="8" t="n">
        <x:v>25</x:v>
      </x:c>
      <x:c r="L4215" s="8" t="n">
        <x:v>169</x:v>
      </x:c>
      <x:c r="M4215" s="9" t="n">
        <x:v>0.2449180328</x:v>
      </x:c>
      <x:c r="N4215" s="10" t="n">
        <x:v>70331.0236686391</x:v>
      </x:c>
      <x:c r="O4215" s="9" t="n">
        <x:v>0.1233628247</x:v>
      </x:c>
      <x:c r="P4215" s="9" t="n">
        <x:v>0.1457249071</x:v>
      </x:c>
      <x:c r="Q4215" s="9" t="n">
        <x:v>0.292936803</x:v>
      </x:c>
      <x:c r="R4215" s="3" t="b">
        <x:v>0</x:v>
      </x:c>
      <x:c r="S4215" s="3" t="b">
        <x:v>0</x:v>
      </x:c>
      <x:c r="T4215" s="3" t="b">
        <x:v>0</x:v>
      </x:c>
      <x:c r="U4215" s="2" t="str">
        <x:f>IF(T4215=TRUE,"Priority review",IF(R4215=TRUE,"High cost",IF(S4215=TRUE,"Low quality","Benchmark")))</x:f>
        <x:v>Benchmark</x:v>
      </x:c>
    </x:row>
    <x:row r="4216">
      <x:c r="A4216" s="2" t="str">
        <x:v>364062</x:v>
      </x:c>
      <x:c r="B4216" s="2" t="str">
        <x:v>MOUNT CARMEL BEHAVIORAL HEALTH</x:v>
      </x:c>
      <x:c r="C4216" s="2" t="str">
        <x:v>COLUMBUS</x:v>
      </x:c>
      <x:c r="D4216" s="2" t="str">
        <x:v>OH</x:v>
      </x:c>
      <x:c r="E4216" s="2" t="str">
        <x:v>Psychiatric</x:v>
      </x:c>
      <x:c r="F4216" s="2" t="str">
        <x:v>Proprietary</x:v>
      </x:c>
      <x:c r="G4216" s="2" t="str">
        <x:v>Small (&lt;100 beds)</x:v>
      </x:c>
      <x:c r="H4216" s="7"/>
      <x:c r="I4216" s="7"/>
      <x:c r="J4216" s="7"/>
      <x:c r="K4216" s="8" t="n">
        <x:v>80</x:v>
      </x:c>
      <x:c r="L4216" s="8" t="n">
        <x:v>2976</x:v>
      </x:c>
      <x:c r="M4216" s="9" t="n">
        <x:v>0.7421106557</x:v>
      </x:c>
      <x:c r="N4216" s="10" t="n">
        <x:v>7161.3555107527</x:v>
      </x:c>
      <x:c r="O4216" s="9" t="n">
        <x:v>0.0265442416</x:v>
      </x:c>
      <x:c r="P4216" s="9" t="n">
        <x:v>0.145631068</x:v>
      </x:c>
      <x:c r="Q4216" s="9" t="n">
        <x:v>0</x:v>
      </x:c>
      <x:c r="R4216" s="3" t="b">
        <x:v>0</x:v>
      </x:c>
      <x:c r="S4216" s="3" t="b">
        <x:v>0</x:v>
      </x:c>
      <x:c r="T4216" s="3" t="b">
        <x:v>0</x:v>
      </x:c>
      <x:c r="U4216" s="2" t="str">
        <x:f>IF(T4216=TRUE,"Priority review",IF(R4216=TRUE,"High cost",IF(S4216=TRUE,"Low quality","Benchmark")))</x:f>
        <x:v>Benchmark</x:v>
      </x:c>
    </x:row>
    <x:row r="4217">
      <x:c r="A4217" s="2" t="str">
        <x:v>450678</x:v>
      </x:c>
      <x:c r="B4217" s="2" t="str">
        <x:v>WHITE ROCK MEDICAL CENTER</x:v>
      </x:c>
      <x:c r="C4217" s="2" t="str">
        <x:v>DALLAS</x:v>
      </x:c>
      <x:c r="D4217" s="2" t="str">
        <x:v>TX</x:v>
      </x:c>
      <x:c r="E4217" s="2" t="str">
        <x:v>Acute Care Hospitals</x:v>
      </x:c>
      <x:c r="F4217" s="2" t="str">
        <x:v>Proprietary</x:v>
      </x:c>
      <x:c r="G4217" s="2" t="str">
        <x:v>Small (&lt;100 beds)</x:v>
      </x:c>
      <x:c r="H4217" s="7" t="n">
        <x:v>2</x:v>
      </x:c>
      <x:c r="I4217" s="7"/>
      <x:c r="J4217" s="7" t="n">
        <x:v>1.04</x:v>
      </x:c>
      <x:c r="K4217" s="8" t="n">
        <x:v>64</x:v>
      </x:c>
      <x:c r="L4217" s="8" t="n">
        <x:v>1807</x:v>
      </x:c>
      <x:c r="M4217" s="9" t="n">
        <x:v>0.2495291096</x:v>
      </x:c>
      <x:c r="N4217" s="10" t="n">
        <x:v>29786.7022689541</x:v>
      </x:c>
      <x:c r="O4217" s="9" t="n">
        <x:v>-0.6928051387</x:v>
      </x:c>
      <x:c r="P4217" s="9" t="n">
        <x:v>0.1454219031</x:v>
      </x:c>
      <x:c r="Q4217" s="9" t="n">
        <x:v>0.0350089767</x:v>
      </x:c>
      <x:c r="R4217" s="3" t="b">
        <x:v>0</x:v>
      </x:c>
      <x:c r="S4217" s="3" t="b">
        <x:v>1</x:v>
      </x:c>
      <x:c r="T4217" s="3" t="b">
        <x:v>0</x:v>
      </x:c>
      <x:c r="U4217" s="2" t="str">
        <x:f>IF(T4217=TRUE,"Priority review",IF(R4217=TRUE,"High cost",IF(S4217=TRUE,"Low quality","Benchmark")))</x:f>
        <x:v>Low quality</x:v>
      </x:c>
    </x:row>
    <x:row r="4218">
      <x:c r="A4218" s="2" t="str">
        <x:v>140213</x:v>
      </x:c>
      <x:c r="B4218" s="2" t="str">
        <x:v>SILVER CROSS HOSPITAL  AND MEDICAL CENTERS</x:v>
      </x:c>
      <x:c r="C4218" s="2" t="str">
        <x:v>NEW LENOX</x:v>
      </x:c>
      <x:c r="D4218" s="2" t="str">
        <x:v>IL</x:v>
      </x:c>
      <x:c r="E4218" s="2" t="str">
        <x:v>Acute Care Hospitals</x:v>
      </x:c>
      <x:c r="F4218" s="2" t="str">
        <x:v>Voluntary non-profit</x:v>
      </x:c>
      <x:c r="G4218" s="2" t="str">
        <x:v>Large (300+ beds)</x:v>
      </x:c>
      <x:c r="H4218" s="7" t="n">
        <x:v>5</x:v>
      </x:c>
      <x:c r="I4218" s="7" t="n">
        <x:v>3</x:v>
      </x:c>
      <x:c r="J4218" s="7" t="n">
        <x:v>0.97</x:v>
      </x:c>
      <x:c r="K4218" s="8" t="n">
        <x:v>320</x:v>
      </x:c>
      <x:c r="L4218" s="8" t="n">
        <x:v>21510</x:v>
      </x:c>
      <x:c r="M4218" s="9" t="n">
        <x:v>0.846806694</x:v>
      </x:c>
      <x:c r="N4218" s="10" t="n">
        <x:v>24680.1263133426</x:v>
      </x:c>
      <x:c r="O4218" s="9" t="n">
        <x:v>0.0225829841</x:v>
      </x:c>
      <x:c r="P4218" s="9" t="n">
        <x:v>0.1451104101</x:v>
      </x:c>
      <x:c r="Q4218" s="9" t="n">
        <x:v>0.8722397476</x:v>
      </x:c>
      <x:c r="R4218" s="3" t="b">
        <x:v>0</x:v>
      </x:c>
      <x:c r="S4218" s="3" t="b">
        <x:v>0</x:v>
      </x:c>
      <x:c r="T4218" s="3" t="b">
        <x:v>0</x:v>
      </x:c>
      <x:c r="U4218" s="2" t="str">
        <x:f>IF(T4218=TRUE,"Priority review",IF(R4218=TRUE,"High cost",IF(S4218=TRUE,"Low quality","Benchmark")))</x:f>
        <x:v>Benchmark</x:v>
      </x:c>
    </x:row>
    <x:row r="4219">
      <x:c r="A4219" s="2" t="str">
        <x:v>260081</x:v>
      </x:c>
      <x:c r="B4219" s="2" t="str">
        <x:v>SSM ST CLARE HEALTH CENTER</x:v>
      </x:c>
      <x:c r="C4219" s="2" t="str">
        <x:v>FENTON</x:v>
      </x:c>
      <x:c r="D4219" s="2" t="str">
        <x:v>MO</x:v>
      </x:c>
      <x:c r="E4219" s="2" t="str">
        <x:v>Acute Care Hospitals</x:v>
      </x:c>
      <x:c r="F4219" s="2" t="str">
        <x:v>Voluntary non-profit</x:v>
      </x:c>
      <x:c r="G4219" s="2" t="str">
        <x:v>Medium (100-299 beds)</x:v>
      </x:c>
      <x:c r="H4219" s="7" t="n">
        <x:v>4</x:v>
      </x:c>
      <x:c r="I4219" s="7" t="n">
        <x:v>4</x:v>
      </x:c>
      <x:c r="J4219" s="7" t="n">
        <x:v>0.99</x:v>
      </x:c>
      <x:c r="K4219" s="8" t="n">
        <x:v>180</x:v>
      </x:c>
      <x:c r="L4219" s="8" t="n">
        <x:v>11282</x:v>
      </x:c>
      <x:c r="M4219" s="9" t="n">
        <x:v>0.6500910747</x:v>
      </x:c>
      <x:c r="N4219" s="10" t="n">
        <x:v>21648.5033681971</x:v>
      </x:c>
      <x:c r="O4219" s="9" t="n">
        <x:v>0.0544254581</x:v>
      </x:c>
      <x:c r="P4219" s="9" t="n">
        <x:v>0.1450692747</x:v>
      </x:c>
      <x:c r="Q4219" s="9" t="n">
        <x:v>0.6022819886</x:v>
      </x:c>
      <x:c r="R4219" s="3" t="b">
        <x:v>0</x:v>
      </x:c>
      <x:c r="S4219" s="3" t="b">
        <x:v>0</x:v>
      </x:c>
      <x:c r="T4219" s="3" t="b">
        <x:v>0</x:v>
      </x:c>
      <x:c r="U4219" s="2" t="str">
        <x:f>IF(T4219=TRUE,"Priority review",IF(R4219=TRUE,"High cost",IF(S4219=TRUE,"Low quality","Benchmark")))</x:f>
        <x:v>Benchmark</x:v>
      </x:c>
    </x:row>
    <x:row r="4220">
      <x:c r="A4220" s="2" t="str">
        <x:v>141350</x:v>
      </x:c>
      <x:c r="B4220" s="2" t="str">
        <x:v>ST FRANCIS HOSPITAL</x:v>
      </x:c>
      <x:c r="C4220" s="2" t="str">
        <x:v>LITCHFIELD</x:v>
      </x:c>
      <x:c r="D4220" s="2" t="str">
        <x:v>IL</x:v>
      </x:c>
      <x:c r="E4220" s="2" t="str">
        <x:v>Critical Access Hospitals</x:v>
      </x:c>
      <x:c r="F4220" s="2" t="str">
        <x:v>Voluntary non-profit</x:v>
      </x:c>
      <x:c r="G4220" s="2" t="str">
        <x:v>Small (&lt;100 beds)</x:v>
      </x:c>
      <x:c r="H4220" s="7" t="n">
        <x:v>2</x:v>
      </x:c>
      <x:c r="I4220" s="7" t="n">
        <x:v>4</x:v>
      </x:c>
      <x:c r="J4220" s="7"/>
      <x:c r="K4220" s="8" t="n">
        <x:v>25</x:v>
      </x:c>
      <x:c r="L4220" s="8" t="n">
        <x:v>730</x:v>
      </x:c>
      <x:c r="M4220" s="9" t="n">
        <x:v>0.3294246575</x:v>
      </x:c>
      <x:c r="N4220" s="10" t="n">
        <x:v>70069.498630137</x:v>
      </x:c>
      <x:c r="O4220" s="9" t="n">
        <x:v>0.1323917151</x:v>
      </x:c>
      <x:c r="P4220" s="9" t="n">
        <x:v>0.1449814126</x:v>
      </x:c>
      <x:c r="Q4220" s="9" t="n">
        <x:v>0.0171003717</x:v>
      </x:c>
      <x:c r="R4220" s="3" t="b">
        <x:v>0</x:v>
      </x:c>
      <x:c r="S4220" s="3" t="b">
        <x:v>1</x:v>
      </x:c>
      <x:c r="T4220" s="3" t="b">
        <x:v>0</x:v>
      </x:c>
      <x:c r="U4220" s="2" t="str">
        <x:f>IF(T4220=TRUE,"Priority review",IF(R4220=TRUE,"High cost",IF(S4220=TRUE,"Low quality","Benchmark")))</x:f>
        <x:v>Low quality</x:v>
      </x:c>
    </x:row>
    <x:row r="4221">
      <x:c r="A4221" s="2" t="str">
        <x:v>260160</x:v>
      </x:c>
      <x:c r="B4221" s="2" t="str">
        <x:v>MERCY HOSPITAL STODDARD</x:v>
      </x:c>
      <x:c r="C4221" s="2" t="str">
        <x:v>DEXTER</x:v>
      </x:c>
      <x:c r="D4221" s="2" t="str">
        <x:v>MO</x:v>
      </x:c>
      <x:c r="E4221" s="2" t="str">
        <x:v>Acute Care Hospitals</x:v>
      </x:c>
      <x:c r="F4221" s="2" t="str">
        <x:v>Voluntary non-profit</x:v>
      </x:c>
      <x:c r="G4221" s="2" t="str">
        <x:v>Small (&lt;100 beds)</x:v>
      </x:c>
      <x:c r="H4221" s="7" t="n">
        <x:v>2</x:v>
      </x:c>
      <x:c r="I4221" s="7"/>
      <x:c r="J4221" s="7" t="n">
        <x:v>0.94</x:v>
      </x:c>
      <x:c r="K4221" s="8" t="n">
        <x:v>43</x:v>
      </x:c>
      <x:c r="L4221" s="8" t="n">
        <x:v>1524</x:v>
      </x:c>
      <x:c r="M4221" s="9" t="n">
        <x:v>0.3450883213</x:v>
      </x:c>
      <x:c r="N4221" s="10" t="n">
        <x:v>29748.1686351706</x:v>
      </x:c>
      <x:c r="O4221" s="9" t="n">
        <x:v>-0.1252422396</x:v>
      </x:c>
      <x:c r="P4221" s="9" t="n">
        <x:v>0.144524237</x:v>
      </x:c>
      <x:c r="Q4221" s="9" t="n">
        <x:v>0.0350089767</x:v>
      </x:c>
      <x:c r="R4221" s="3" t="b">
        <x:v>0</x:v>
      </x:c>
      <x:c r="S4221" s="3" t="b">
        <x:v>1</x:v>
      </x:c>
      <x:c r="T4221" s="3" t="b">
        <x:v>0</x:v>
      </x:c>
      <x:c r="U4221" s="2" t="str">
        <x:f>IF(T4221=TRUE,"Priority review",IF(R4221=TRUE,"High cost",IF(S4221=TRUE,"Low quality","Benchmark")))</x:f>
        <x:v>Low quality</x:v>
      </x:c>
    </x:row>
    <x:row r="4222">
      <x:c r="A4222" s="2" t="str">
        <x:v>344014</x:v>
      </x:c>
      <x:c r="B4222" s="2" t="str">
        <x:v>HOLLY HILL MENTAL HEALTH SERVICES</x:v>
      </x:c>
      <x:c r="C4222" s="2" t="str">
        <x:v>RALEIGH</x:v>
      </x:c>
      <x:c r="D4222" s="2" t="str">
        <x:v>NC</x:v>
      </x:c>
      <x:c r="E4222" s="2" t="str">
        <x:v>Psychiatric</x:v>
      </x:c>
      <x:c r="F4222" s="2" t="str">
        <x:v>Proprietary</x:v>
      </x:c>
      <x:c r="G4222" s="2" t="str">
        <x:v>Medium (100-299 beds)</x:v>
      </x:c>
      <x:c r="H4222" s="7"/>
      <x:c r="I4222" s="7"/>
      <x:c r="J4222" s="7"/>
      <x:c r="K4222" s="8" t="n">
        <x:v>296</x:v>
      </x:c>
      <x:c r="L4222" s="8" t="n">
        <x:v>7941</x:v>
      </x:c>
      <x:c r="M4222" s="9" t="n">
        <x:v>0.7093763846</x:v>
      </x:c>
      <x:c r="N4222" s="10" t="n">
        <x:v>6016.9653696008</x:v>
      </x:c>
      <x:c r="O4222" s="9" t="n">
        <x:v>0.2306675497</x:v>
      </x:c>
      <x:c r="P4222" s="9" t="n">
        <x:v>0.144278607</x:v>
      </x:c>
      <x:c r="Q4222" s="9" t="n">
        <x:v>0</x:v>
      </x:c>
      <x:c r="R4222" s="3" t="b">
        <x:v>0</x:v>
      </x:c>
      <x:c r="S4222" s="3" t="b">
        <x:v>0</x:v>
      </x:c>
      <x:c r="T4222" s="3" t="b">
        <x:v>0</x:v>
      </x:c>
      <x:c r="U4222" s="2" t="str">
        <x:f>IF(T4222=TRUE,"Priority review",IF(R4222=TRUE,"High cost",IF(S4222=TRUE,"Low quality","Benchmark")))</x:f>
        <x:v>Benchmark</x:v>
      </x:c>
    </x:row>
    <x:row r="4223">
      <x:c r="A4223" s="2" t="str">
        <x:v>670120</x:v>
      </x:c>
      <x:c r="B4223" s="2" t="str">
        <x:v>THE HOSPITALS OF PROVIDENCE TRANSMOUNTAIN CAMPUS</x:v>
      </x:c>
      <x:c r="C4223" s="2" t="str">
        <x:v>EL PASO</x:v>
      </x:c>
      <x:c r="D4223" s="2" t="str">
        <x:v>TX</x:v>
      </x:c>
      <x:c r="E4223" s="2" t="str">
        <x:v>Acute Care Hospitals</x:v>
      </x:c>
      <x:c r="F4223" s="2" t="str">
        <x:v>Proprietary</x:v>
      </x:c>
      <x:c r="G4223" s="2" t="str">
        <x:v>Medium (100-299 beds)</x:v>
      </x:c>
      <x:c r="H4223" s="7" t="n">
        <x:v>2</x:v>
      </x:c>
      <x:c r="I4223" s="7" t="n">
        <x:v>2</x:v>
      </x:c>
      <x:c r="J4223" s="7" t="n">
        <x:v>0.97</x:v>
      </x:c>
      <x:c r="K4223" s="8" t="n">
        <x:v>108</x:v>
      </x:c>
      <x:c r="L4223" s="8" t="n">
        <x:v>6829</x:v>
      </x:c>
      <x:c r="M4223" s="9" t="n">
        <x:v>0.6713974904</x:v>
      </x:c>
      <x:c r="N4223" s="10" t="n">
        <x:v>21626.6563186411</x:v>
      </x:c>
      <x:c r="O4223" s="9" t="n">
        <x:v>0.1321806058</x:v>
      </x:c>
      <x:c r="P4223" s="9" t="n">
        <x:v>0.1442542787</x:v>
      </x:c>
      <x:c r="Q4223" s="9" t="n">
        <x:v>0.0782396088</x:v>
      </x:c>
      <x:c r="R4223" s="3" t="b">
        <x:v>0</x:v>
      </x:c>
      <x:c r="S4223" s="3" t="b">
        <x:v>1</x:v>
      </x:c>
      <x:c r="T4223" s="3" t="b">
        <x:v>0</x:v>
      </x:c>
      <x:c r="U4223" s="2" t="str">
        <x:f>IF(T4223=TRUE,"Priority review",IF(R4223=TRUE,"High cost",IF(S4223=TRUE,"Low quality","Benchmark")))</x:f>
        <x:v>Low quality</x:v>
      </x:c>
    </x:row>
    <x:row r="4224">
      <x:c r="A4224" s="2" t="str">
        <x:v>531307</x:v>
      </x:c>
      <x:c r="B4224" s="2" t="str">
        <x:v>COMMUNITY HOSPITAL</x:v>
      </x:c>
      <x:c r="C4224" s="2" t="str">
        <x:v>TORRINGTON</x:v>
      </x:c>
      <x:c r="D4224" s="2" t="str">
        <x:v>WY</x:v>
      </x:c>
      <x:c r="E4224" s="2" t="str">
        <x:v>Critical Access Hospitals</x:v>
      </x:c>
      <x:c r="F4224" s="2" t="str">
        <x:v>Voluntary non-profit</x:v>
      </x:c>
      <x:c r="G4224" s="2" t="str">
        <x:v>Small (&lt;100 beds)</x:v>
      </x:c>
      <x:c r="H4224" s="7" t="n">
        <x:v>2</x:v>
      </x:c>
      <x:c r="I4224" s="7" t="n">
        <x:v>4</x:v>
      </x:c>
      <x:c r="J4224" s="7"/>
      <x:c r="K4224" s="8" t="n">
        <x:v>25</x:v>
      </x:c>
      <x:c r="L4224" s="8" t="n">
        <x:v>653</x:v>
      </x:c>
      <x:c r="M4224" s="9" t="n">
        <x:v>0.3542076503</x:v>
      </x:c>
      <x:c r="N4224" s="10" t="n">
        <x:v>69953.6049004594</x:v>
      </x:c>
      <x:c r="O4224" s="9" t="n">
        <x:v>-0.0549245353</x:v>
      </x:c>
      <x:c r="P4224" s="9" t="n">
        <x:v>0.1442379182</x:v>
      </x:c>
      <x:c r="Q4224" s="9" t="n">
        <x:v>0.0171003717</x:v>
      </x:c>
      <x:c r="R4224" s="3" t="b">
        <x:v>0</x:v>
      </x:c>
      <x:c r="S4224" s="3" t="b">
        <x:v>1</x:v>
      </x:c>
      <x:c r="T4224" s="3" t="b">
        <x:v>0</x:v>
      </x:c>
      <x:c r="U4224" s="2" t="str">
        <x:f>IF(T4224=TRUE,"Priority review",IF(R4224=TRUE,"High cost",IF(S4224=TRUE,"Low quality","Benchmark")))</x:f>
        <x:v>Low quality</x:v>
      </x:c>
    </x:row>
    <x:row r="4225">
      <x:c r="A4225" s="2" t="str">
        <x:v>150133</x:v>
      </x:c>
      <x:c r="B4225" s="2" t="str">
        <x:v>KOSCIUSKO COMMUNITY HOSPITAL</x:v>
      </x:c>
      <x:c r="C4225" s="2" t="str">
        <x:v>WARSAW</x:v>
      </x:c>
      <x:c r="D4225" s="2" t="str">
        <x:v>IN</x:v>
      </x:c>
      <x:c r="E4225" s="2" t="str">
        <x:v>Acute Care Hospitals</x:v>
      </x:c>
      <x:c r="F4225" s="2" t="str">
        <x:v>Proprietary</x:v>
      </x:c>
      <x:c r="G4225" s="2" t="str">
        <x:v>Small (&lt;100 beds)</x:v>
      </x:c>
      <x:c r="H4225" s="7" t="n">
        <x:v>4</x:v>
      </x:c>
      <x:c r="I4225" s="7" t="n">
        <x:v>3</x:v>
      </x:c>
      <x:c r="J4225" s="7" t="n">
        <x:v>0.97</x:v>
      </x:c>
      <x:c r="K4225" s="8" t="n">
        <x:v>72</x:v>
      </x:c>
      <x:c r="L4225" s="8" t="n">
        <x:v>3280</x:v>
      </x:c>
      <x:c r="M4225" s="9" t="n">
        <x:v>0.4232496195</x:v>
      </x:c>
      <x:c r="N4225" s="10" t="n">
        <x:v>29738.2716463415</x:v>
      </x:c>
      <x:c r="O4225" s="9" t="n">
        <x:v>0.2044867953</x:v>
      </x:c>
      <x:c r="P4225" s="9" t="n">
        <x:v>0.1436265709</x:v>
      </x:c>
      <x:c r="Q4225" s="9" t="n">
        <x:v>0.3913824057</x:v>
      </x:c>
      <x:c r="R4225" s="3" t="b">
        <x:v>0</x:v>
      </x:c>
      <x:c r="S4225" s="3" t="b">
        <x:v>0</x:v>
      </x:c>
      <x:c r="T4225" s="3" t="b">
        <x:v>0</x:v>
      </x:c>
      <x:c r="U4225" s="2" t="str">
        <x:f>IF(T4225=TRUE,"Priority review",IF(R4225=TRUE,"High cost",IF(S4225=TRUE,"Low quality","Benchmark")))</x:f>
        <x:v>Benchmark</x:v>
      </x:c>
    </x:row>
    <x:row r="4226">
      <x:c r="A4226" s="2" t="str">
        <x:v>160033</x:v>
      </x:c>
      <x:c r="B4226" s="2" t="str">
        <x:v>GENESIS MEDICAL CENTER-DAVENPORT</x:v>
      </x:c>
      <x:c r="C4226" s="2" t="str">
        <x:v>DAVENPORT</x:v>
      </x:c>
      <x:c r="D4226" s="2" t="str">
        <x:v>IA</x:v>
      </x:c>
      <x:c r="E4226" s="2" t="str">
        <x:v>Acute Care Hospitals</x:v>
      </x:c>
      <x:c r="F4226" s="2" t="str">
        <x:v>Voluntary non-profit</x:v>
      </x:c>
      <x:c r="G4226" s="2" t="str">
        <x:v>Large (300+ beds)</x:v>
      </x:c>
      <x:c r="H4226" s="7" t="n">
        <x:v>2</x:v>
      </x:c>
      <x:c r="I4226" s="7" t="n">
        <x:v>2</x:v>
      </x:c>
      <x:c r="J4226" s="7" t="n">
        <x:v>0.96</x:v>
      </x:c>
      <x:c r="K4226" s="8" t="n">
        <x:v>308</x:v>
      </x:c>
      <x:c r="L4226" s="8" t="n">
        <x:v>18805</x:v>
      </x:c>
      <x:c r="M4226" s="9" t="n">
        <x:v>0.6212506671</x:v>
      </x:c>
      <x:c r="N4226" s="10" t="n">
        <x:v>24665.6432331827</x:v>
      </x:c>
      <x:c r="O4226" s="9" t="n">
        <x:v>0.0631841511</x:v>
      </x:c>
      <x:c r="P4226" s="9" t="n">
        <x:v>0.143533123</x:v>
      </x:c>
      <x:c r="Q4226" s="9" t="n">
        <x:v>0.0536277603</x:v>
      </x:c>
      <x:c r="R4226" s="3" t="b">
        <x:v>0</x:v>
      </x:c>
      <x:c r="S4226" s="3" t="b">
        <x:v>1</x:v>
      </x:c>
      <x:c r="T4226" s="3" t="b">
        <x:v>0</x:v>
      </x:c>
      <x:c r="U4226" s="2" t="str">
        <x:f>IF(T4226=TRUE,"Priority review",IF(R4226=TRUE,"High cost",IF(S4226=TRUE,"Low quality","Benchmark")))</x:f>
        <x:v>Low quality</x:v>
      </x:c>
    </x:row>
    <x:row r="4227">
      <x:c r="A4227" s="2" t="str">
        <x:v>391306</x:v>
      </x:c>
      <x:c r="B4227" s="2" t="str">
        <x:v>ENDLESS MOUNTAINS HEALTH SYSTEMS</x:v>
      </x:c>
      <x:c r="C4227" s="2" t="str">
        <x:v>MONTROSE</x:v>
      </x:c>
      <x:c r="D4227" s="2" t="str">
        <x:v>PA</x:v>
      </x:c>
      <x:c r="E4227" s="2" t="str">
        <x:v>Critical Access Hospitals</x:v>
      </x:c>
      <x:c r="F4227" s="2" t="str">
        <x:v>Voluntary non-profit</x:v>
      </x:c>
      <x:c r="G4227" s="2" t="str">
        <x:v>Small (&lt;100 beds)</x:v>
      </x:c>
      <x:c r="H4227" s="7" t="n">
        <x:v>1</x:v>
      </x:c>
      <x:c r="I4227" s="7"/>
      <x:c r="J4227" s="7"/>
      <x:c r="K4227" s="8" t="n">
        <x:v>25</x:v>
      </x:c>
      <x:c r="L4227" s="8" t="n">
        <x:v>355</x:v>
      </x:c>
      <x:c r="M4227" s="9" t="n">
        <x:v>0.1906849315</x:v>
      </x:c>
      <x:c r="N4227" s="10" t="n">
        <x:v>69727.1436619718</x:v>
      </x:c>
      <x:c r="O4227" s="9" t="n">
        <x:v>-0.232653521</x:v>
      </x:c>
      <x:c r="P4227" s="9" t="n">
        <x:v>0.1434944238</x:v>
      </x:c>
      <x:c r="Q4227" s="9" t="n">
        <x:v>0</x:v>
      </x:c>
      <x:c r="R4227" s="3" t="b">
        <x:v>0</x:v>
      </x:c>
      <x:c r="S4227" s="3" t="b">
        <x:v>1</x:v>
      </x:c>
      <x:c r="T4227" s="3" t="b">
        <x:v>0</x:v>
      </x:c>
      <x:c r="U4227" s="2" t="str">
        <x:f>IF(T4227=TRUE,"Priority review",IF(R4227=TRUE,"High cost",IF(S4227=TRUE,"Low quality","Benchmark")))</x:f>
        <x:v>Low quality</x:v>
      </x:c>
    </x:row>
    <x:row r="4228">
      <x:c r="A4228" s="2" t="str">
        <x:v>050771</x:v>
      </x:c>
      <x:c r="B4228" s="2" t="str">
        <x:v>COAST PLAZA HOSPITAL</x:v>
      </x:c>
      <x:c r="C4228" s="2" t="str">
        <x:v>NORWALK</x:v>
      </x:c>
      <x:c r="D4228" s="2" t="str">
        <x:v>CA</x:v>
      </x:c>
      <x:c r="E4228" s="2" t="str">
        <x:v>Acute Care Hospitals</x:v>
      </x:c>
      <x:c r="F4228" s="2" t="str">
        <x:v>Proprietary</x:v>
      </x:c>
      <x:c r="G4228" s="2" t="str">
        <x:v>Medium (100-299 beds)</x:v>
      </x:c>
      <x:c r="H4228" s="7" t="n">
        <x:v>1</x:v>
      </x:c>
      <x:c r="I4228" s="7" t="n">
        <x:v>1</x:v>
      </x:c>
      <x:c r="J4228" s="7" t="n">
        <x:v>1.35</x:v>
      </x:c>
      <x:c r="K4228" s="8" t="n">
        <x:v>117</x:v>
      </x:c>
      <x:c r="L4228" s="8" t="n">
        <x:v>2998</x:v>
      </x:c>
      <x:c r="M4228" s="9" t="n">
        <x:v>0.407967867</x:v>
      </x:c>
      <x:c r="N4228" s="10" t="n">
        <x:v>21586.6240827218</x:v>
      </x:c>
      <x:c r="O4228" s="9" t="n">
        <x:v>-0.2793917337</x:v>
      </x:c>
      <x:c r="P4228" s="9" t="n">
        <x:v>0.1434392828</x:v>
      </x:c>
      <x:c r="Q4228" s="9" t="n">
        <x:v>0</x:v>
      </x:c>
      <x:c r="R4228" s="3" t="b">
        <x:v>0</x:v>
      </x:c>
      <x:c r="S4228" s="3" t="b">
        <x:v>1</x:v>
      </x:c>
      <x:c r="T4228" s="3" t="b">
        <x:v>0</x:v>
      </x:c>
      <x:c r="U4228" s="2" t="str">
        <x:f>IF(T4228=TRUE,"Priority review",IF(R4228=TRUE,"High cost",IF(S4228=TRUE,"Low quality","Benchmark")))</x:f>
        <x:v>Low quality</x:v>
      </x:c>
    </x:row>
    <x:row r="4229">
      <x:c r="A4229" s="2" t="str">
        <x:v>043301</x:v>
      </x:c>
      <x:c r="B4229" s="2" t="str">
        <x:v>ARKANSAS CHILDREN'S NORTHWEST, INC</x:v>
      </x:c>
      <x:c r="C4229" s="2" t="str">
        <x:v>SPRINGDALE</x:v>
      </x:c>
      <x:c r="D4229" s="2" t="str">
        <x:v>AR</x:v>
      </x:c>
      <x:c r="E4229" s="2" t="str">
        <x:v>Childrens</x:v>
      </x:c>
      <x:c r="F4229" s="2" t="str">
        <x:v>Voluntary non-profit</x:v>
      </x:c>
      <x:c r="G4229" s="2" t="str">
        <x:v>Small (&lt;100 beds)</x:v>
      </x:c>
      <x:c r="H4229" s="7"/>
      <x:c r="I4229" s="7"/>
      <x:c r="J4229" s="7"/>
      <x:c r="K4229" s="8" t="n">
        <x:v>25</x:v>
      </x:c>
      <x:c r="L4229" s="8" t="n">
        <x:v>2366</x:v>
      </x:c>
      <x:c r="M4229" s="9" t="n">
        <x:v>0.7063013699</x:v>
      </x:c>
      <x:c r="N4229" s="10" t="n">
        <x:v>50600.5050718512</x:v>
      </x:c>
      <x:c r="O4229" s="9" t="n">
        <x:v>0.0434035422</x:v>
      </x:c>
      <x:c r="P4229" s="9" t="n">
        <x:v>0.1428571429</x:v>
      </x:c>
      <x:c r="Q4229" s="9" t="n">
        <x:v>0</x:v>
      </x:c>
      <x:c r="R4229" s="3" t="b">
        <x:v>0</x:v>
      </x:c>
      <x:c r="S4229" s="3" t="b">
        <x:v>0</x:v>
      </x:c>
      <x:c r="T4229" s="3" t="b">
        <x:v>0</x:v>
      </x:c>
      <x:c r="U4229" s="2" t="str">
        <x:f>IF(T4229=TRUE,"Priority review",IF(R4229=TRUE,"High cost",IF(S4229=TRUE,"Low quality","Benchmark")))</x:f>
        <x:v>Benchmark</x:v>
      </x:c>
    </x:row>
    <x:row r="4230">
      <x:c r="A4230" s="2" t="str">
        <x:v>181305</x:v>
      </x:c>
      <x:c r="B4230" s="2" t="str">
        <x:v>ARH OUR LADY OF THE WAY</x:v>
      </x:c>
      <x:c r="C4230" s="2" t="str">
        <x:v>MARTIN</x:v>
      </x:c>
      <x:c r="D4230" s="2" t="str">
        <x:v>KY</x:v>
      </x:c>
      <x:c r="E4230" s="2" t="str">
        <x:v>Critical Access Hospitals</x:v>
      </x:c>
      <x:c r="F4230" s="2" t="str">
        <x:v>Voluntary non-profit</x:v>
      </x:c>
      <x:c r="G4230" s="2" t="str">
        <x:v>Small (&lt;100 beds)</x:v>
      </x:c>
      <x:c r="H4230" s="7"/>
      <x:c r="I4230" s="7"/>
      <x:c r="J4230" s="7"/>
      <x:c r="K4230" s="8" t="n">
        <x:v>25</x:v>
      </x:c>
      <x:c r="L4230" s="8" t="n">
        <x:v>341</x:v>
      </x:c>
      <x:c r="M4230" s="9" t="n">
        <x:v>0.4983013699</x:v>
      </x:c>
      <x:c r="N4230" s="10" t="n">
        <x:v>69528.8504398827</x:v>
      </x:c>
      <x:c r="O4230" s="9" t="n">
        <x:v>0.078754256</x:v>
      </x:c>
      <x:c r="P4230" s="9" t="n">
        <x:v>0.1427509294</x:v>
      </x:c>
      <x:c r="Q4230" s="9" t="n">
        <x:v>0.292936803</x:v>
      </x:c>
      <x:c r="R4230" s="3" t="b">
        <x:v>0</x:v>
      </x:c>
      <x:c r="S4230" s="3" t="b">
        <x:v>0</x:v>
      </x:c>
      <x:c r="T4230" s="3" t="b">
        <x:v>0</x:v>
      </x:c>
      <x:c r="U4230" s="2" t="str">
        <x:f>IF(T4230=TRUE,"Priority review",IF(R4230=TRUE,"High cost",IF(S4230=TRUE,"Low quality","Benchmark")))</x:f>
        <x:v>Benchmark</x:v>
      </x:c>
    </x:row>
    <x:row r="4231">
      <x:c r="A4231" s="2" t="str">
        <x:v>360148</x:v>
      </x:c>
      <x:c r="B4231" s="2" t="str">
        <x:v>POMERENE HOSPITAL</x:v>
      </x:c>
      <x:c r="C4231" s="2" t="str">
        <x:v>MILLERSBURG</x:v>
      </x:c>
      <x:c r="D4231" s="2" t="str">
        <x:v>OH</x:v>
      </x:c>
      <x:c r="E4231" s="2" t="str">
        <x:v>Acute Care Hospitals</x:v>
      </x:c>
      <x:c r="F4231" s="2" t="str">
        <x:v>Voluntary non-profit</x:v>
      </x:c>
      <x:c r="G4231" s="2" t="str">
        <x:v>Small (&lt;100 beds)</x:v>
      </x:c>
      <x:c r="H4231" s="7" t="n">
        <x:v>3</x:v>
      </x:c>
      <x:c r="I4231" s="7" t="n">
        <x:v>4</x:v>
      </x:c>
      <x:c r="J4231" s="7" t="n">
        <x:v>0.84</x:v>
      </x:c>
      <x:c r="K4231" s="8" t="n">
        <x:v>41</x:v>
      </x:c>
      <x:c r="L4231" s="8" t="n">
        <x:v>1409</x:v>
      </x:c>
      <x:c r="M4231" s="9" t="n">
        <x:v>0.218979075</x:v>
      </x:c>
      <x:c r="N4231" s="10" t="n">
        <x:v>29722.4208658623</x:v>
      </x:c>
      <x:c r="O4231" s="9" t="n">
        <x:v>0.0186196543</x:v>
      </x:c>
      <x:c r="P4231" s="9" t="n">
        <x:v>0.1427289048</x:v>
      </x:c>
      <x:c r="Q4231" s="9" t="n">
        <x:v>0.1687612208</x:v>
      </x:c>
      <x:c r="R4231" s="3" t="b">
        <x:v>0</x:v>
      </x:c>
      <x:c r="S4231" s="3" t="b">
        <x:v>0</x:v>
      </x:c>
      <x:c r="T4231" s="3" t="b">
        <x:v>0</x:v>
      </x:c>
      <x:c r="U4231" s="2" t="str">
        <x:f>IF(T4231=TRUE,"Priority review",IF(R4231=TRUE,"High cost",IF(S4231=TRUE,"Low quality","Benchmark")))</x:f>
        <x:v>Benchmark</x:v>
      </x:c>
    </x:row>
    <x:row r="4232">
      <x:c r="A4232" s="2" t="str">
        <x:v>360091</x:v>
      </x:c>
      <x:c r="B4232" s="2" t="str">
        <x:v>MEDINA HOSPITAL</x:v>
      </x:c>
      <x:c r="C4232" s="2" t="str">
        <x:v>MEDINA</x:v>
      </x:c>
      <x:c r="D4232" s="2" t="str">
        <x:v>OH</x:v>
      </x:c>
      <x:c r="E4232" s="2" t="str">
        <x:v>Acute Care Hospitals</x:v>
      </x:c>
      <x:c r="F4232" s="2" t="str">
        <x:v>Voluntary non-profit</x:v>
      </x:c>
      <x:c r="G4232" s="2" t="str">
        <x:v>Medium (100-299 beds)</x:v>
      </x:c>
      <x:c r="H4232" s="7" t="n">
        <x:v>5</x:v>
      </x:c>
      <x:c r="I4232" s="7" t="n">
        <x:v>3</x:v>
      </x:c>
      <x:c r="J4232" s="7" t="n">
        <x:v>1.05</x:v>
      </x:c>
      <x:c r="K4232" s="8" t="n">
        <x:v>148</x:v>
      </x:c>
      <x:c r="L4232" s="8" t="n">
        <x:v>8283</x:v>
      </x:c>
      <x:c r="M4232" s="9" t="n">
        <x:v>0.6508639787</x:v>
      </x:c>
      <x:c r="N4232" s="10" t="n">
        <x:v>21573.9261137269</x:v>
      </x:c>
      <x:c r="O4232" s="9" t="n">
        <x:v>0.0858082504</x:v>
      </x:c>
      <x:c r="P4232" s="9" t="n">
        <x:v>0.1426242869</x:v>
      </x:c>
      <x:c r="Q4232" s="9" t="n">
        <x:v>0.8744906275</x:v>
      </x:c>
      <x:c r="R4232" s="3" t="b">
        <x:v>0</x:v>
      </x:c>
      <x:c r="S4232" s="3" t="b">
        <x:v>0</x:v>
      </x:c>
      <x:c r="T4232" s="3" t="b">
        <x:v>0</x:v>
      </x:c>
      <x:c r="U4232" s="2" t="str">
        <x:f>IF(T4232=TRUE,"Priority review",IF(R4232=TRUE,"High cost",IF(S4232=TRUE,"Low quality","Benchmark")))</x:f>
        <x:v>Benchmark</x:v>
      </x:c>
    </x:row>
    <x:row r="4233">
      <x:c r="A4233" s="2" t="str">
        <x:v>454159</x:v>
      </x:c>
      <x:c r="B4233" s="2" t="str">
        <x:v>CEDAR HILLS BEHAVIORAL</x:v>
      </x:c>
      <x:c r="C4233" s="2" t="str">
        <x:v>SAN ANTONIO</x:v>
      </x:c>
      <x:c r="D4233" s="2" t="str">
        <x:v>TX</x:v>
      </x:c>
      <x:c r="E4233" s="2" t="str">
        <x:v>Psychiatric</x:v>
      </x:c>
      <x:c r="F4233" s="2" t="str">
        <x:v>Voluntary non-profit</x:v>
      </x:c>
      <x:c r="G4233" s="2" t="str">
        <x:v>Small (&lt;100 beds)</x:v>
      </x:c>
      <x:c r="H4233" s="7"/>
      <x:c r="I4233" s="7"/>
      <x:c r="J4233" s="7"/>
      <x:c r="K4233" s="8" t="n">
        <x:v>35</x:v>
      </x:c>
      <x:c r="L4233" s="8" t="n">
        <x:v>1012</x:v>
      </x:c>
      <x:c r="M4233" s="9" t="n">
        <x:v>0.5729128015</x:v>
      </x:c>
      <x:c r="N4233" s="10" t="n">
        <x:v>7135.6719367589</x:v>
      </x:c>
      <x:c r="O4233" s="9" t="n">
        <x:v>-0.1886097695</x:v>
      </x:c>
      <x:c r="P4233" s="9" t="n">
        <x:v>0.142394822</x:v>
      </x:c>
      <x:c r="Q4233" s="9" t="n">
        <x:v>0</x:v>
      </x:c>
      <x:c r="R4233" s="3" t="b">
        <x:v>0</x:v>
      </x:c>
      <x:c r="S4233" s="3" t="b">
        <x:v>0</x:v>
      </x:c>
      <x:c r="T4233" s="3" t="b">
        <x:v>0</x:v>
      </x:c>
      <x:c r="U4233" s="2" t="str">
        <x:f>IF(T4233=TRUE,"Priority review",IF(R4233=TRUE,"High cost",IF(S4233=TRUE,"Low quality","Benchmark")))</x:f>
        <x:v>Benchmark</x:v>
      </x:c>
    </x:row>
    <x:row r="4234">
      <x:c r="A4234" s="2" t="str">
        <x:v>451351</x:v>
      </x:c>
      <x:c r="B4234" s="2" t="str">
        <x:v>LYNN COUNTY HOSPITAL DISTRICT</x:v>
      </x:c>
      <x:c r="C4234" s="2" t="str">
        <x:v>TAHOKA</x:v>
      </x:c>
      <x:c r="D4234" s="2" t="str">
        <x:v>TX</x:v>
      </x:c>
      <x:c r="E4234" s="2" t="str">
        <x:v>Critical Access Hospitals</x:v>
      </x:c>
      <x:c r="F4234" s="2" t="str">
        <x:v>Government</x:v>
      </x:c>
      <x:c r="G4234" s="2" t="str">
        <x:v>Small (&lt;100 beds)</x:v>
      </x:c>
      <x:c r="H4234" s="7"/>
      <x:c r="I4234" s="7"/>
      <x:c r="J4234" s="7"/>
      <x:c r="K4234" s="8" t="n">
        <x:v>24</x:v>
      </x:c>
      <x:c r="L4234" s="8" t="n">
        <x:v>342</x:v>
      </x:c>
      <x:c r="M4234" s="9" t="n">
        <x:v>0.1807832423</x:v>
      </x:c>
      <x:c r="N4234" s="10" t="n">
        <x:v>69444.3918128655</x:v>
      </x:c>
      <x:c r="O4234" s="9" t="n">
        <x:v>-0.4427701548</x:v>
      </x:c>
      <x:c r="P4234" s="9" t="n">
        <x:v>0.1420074349</x:v>
      </x:c>
      <x:c r="Q4234" s="9" t="n">
        <x:v>0.292936803</x:v>
      </x:c>
      <x:c r="R4234" s="3" t="b">
        <x:v>0</x:v>
      </x:c>
      <x:c r="S4234" s="3" t="b">
        <x:v>0</x:v>
      </x:c>
      <x:c r="T4234" s="3" t="b">
        <x:v>0</x:v>
      </x:c>
      <x:c r="U4234" s="2" t="str">
        <x:f>IF(T4234=TRUE,"Priority review",IF(R4234=TRUE,"High cost",IF(S4234=TRUE,"Low quality","Benchmark")))</x:f>
        <x:v>Benchmark</x:v>
      </x:c>
    </x:row>
    <x:row r="4235">
      <x:c r="A4235" s="2" t="str">
        <x:v>160082</x:v>
      </x:c>
      <x:c r="B4235" s="2" t="str">
        <x:v>UNITYPOINT HEALTH - DES MOINES IOWA METHODIST MEDI</x:v>
      </x:c>
      <x:c r="C4235" s="2" t="str">
        <x:v>DES MOINES</x:v>
      </x:c>
      <x:c r="D4235" s="2" t="str">
        <x:v>IA</x:v>
      </x:c>
      <x:c r="E4235" s="2" t="str">
        <x:v>Acute Care Hospitals</x:v>
      </x:c>
      <x:c r="F4235" s="2" t="str">
        <x:v>Voluntary non-profit</x:v>
      </x:c>
      <x:c r="G4235" s="2" t="str">
        <x:v>Large (300+ beds)</x:v>
      </x:c>
      <x:c r="H4235" s="7" t="n">
        <x:v>3</x:v>
      </x:c>
      <x:c r="I4235" s="7" t="n">
        <x:v>3</x:v>
      </x:c>
      <x:c r="J4235" s="7" t="n">
        <x:v>0.97</x:v>
      </x:c>
      <x:c r="K4235" s="8" t="n">
        <x:v>597</x:v>
      </x:c>
      <x:c r="L4235" s="8" t="n">
        <x:v>36576</x:v>
      </x:c>
      <x:c r="M4235" s="9" t="n">
        <x:v>0.8586352646</x:v>
      </x:c>
      <x:c r="N4235" s="10" t="n">
        <x:v>24654.4748742345</x:v>
      </x:c>
      <x:c r="O4235" s="9" t="n">
        <x:v>0.2152981034</x:v>
      </x:c>
      <x:c r="P4235" s="9" t="n">
        <x:v>0.141955836</x:v>
      </x:c>
      <x:c r="Q4235" s="9" t="n">
        <x:v>0.2570977918</x:v>
      </x:c>
      <x:c r="R4235" s="3" t="b">
        <x:v>0</x:v>
      </x:c>
      <x:c r="S4235" s="3" t="b">
        <x:v>0</x:v>
      </x:c>
      <x:c r="T4235" s="3" t="b">
        <x:v>0</x:v>
      </x:c>
      <x:c r="U4235" s="2" t="str">
        <x:f>IF(T4235=TRUE,"Priority review",IF(R4235=TRUE,"High cost",IF(S4235=TRUE,"Low quality","Benchmark")))</x:f>
        <x:v>Benchmark</x:v>
      </x:c>
    </x:row>
    <x:row r="4236">
      <x:c r="A4236" s="2" t="str">
        <x:v>370227</x:v>
      </x:c>
      <x:c r="B4236" s="2" t="str">
        <x:v>ST JOHN OWASSO</x:v>
      </x:c>
      <x:c r="C4236" s="2" t="str">
        <x:v>OWASSO</x:v>
      </x:c>
      <x:c r="D4236" s="2" t="str">
        <x:v>OK</x:v>
      </x:c>
      <x:c r="E4236" s="2" t="str">
        <x:v>Acute Care Hospitals</x:v>
      </x:c>
      <x:c r="F4236" s="2" t="str">
        <x:v>Voluntary non-profit</x:v>
      </x:c>
      <x:c r="G4236" s="2" t="str">
        <x:v>Small (&lt;100 beds)</x:v>
      </x:c>
      <x:c r="H4236" s="7" t="n">
        <x:v>5</x:v>
      </x:c>
      <x:c r="I4236" s="7" t="n">
        <x:v>3</x:v>
      </x:c>
      <x:c r="J4236" s="7" t="n">
        <x:v>0.8</x:v>
      </x:c>
      <x:c r="K4236" s="8" t="n">
        <x:v>54</x:v>
      </x:c>
      <x:c r="L4236" s="8" t="n">
        <x:v>1565</x:v>
      </x:c>
      <x:c r="M4236" s="9" t="n">
        <x:v>0.2436326738</x:v>
      </x:c>
      <x:c r="N4236" s="10" t="n">
        <x:v>29600.7840255591</x:v>
      </x:c>
      <x:c r="O4236" s="9" t="n">
        <x:v>0.0491866034</x:v>
      </x:c>
      <x:c r="P4236" s="9" t="n">
        <x:v>0.1418312388</x:v>
      </x:c>
      <x:c r="Q4236" s="9" t="n">
        <x:v>0.6131059246</x:v>
      </x:c>
      <x:c r="R4236" s="3" t="b">
        <x:v>0</x:v>
      </x:c>
      <x:c r="S4236" s="3" t="b">
        <x:v>0</x:v>
      </x:c>
      <x:c r="T4236" s="3" t="b">
        <x:v>0</x:v>
      </x:c>
      <x:c r="U4236" s="2" t="str">
        <x:f>IF(T4236=TRUE,"Priority review",IF(R4236=TRUE,"High cost",IF(S4236=TRUE,"Low quality","Benchmark")))</x:f>
        <x:v>Benchmark</x:v>
      </x:c>
    </x:row>
    <x:row r="4237">
      <x:c r="A4237" s="2" t="str">
        <x:v>100268</x:v>
      </x:c>
      <x:c r="B4237" s="2" t="str">
        <x:v>WEST BOCA MEDICAL CENTER</x:v>
      </x:c>
      <x:c r="C4237" s="2" t="str">
        <x:v>BOCA RATON</x:v>
      </x:c>
      <x:c r="D4237" s="2" t="str">
        <x:v>FL</x:v>
      </x:c>
      <x:c r="E4237" s="2" t="str">
        <x:v>Acute Care Hospitals</x:v>
      </x:c>
      <x:c r="F4237" s="2" t="str">
        <x:v>Proprietary</x:v>
      </x:c>
      <x:c r="G4237" s="2" t="str">
        <x:v>Medium (100-299 beds)</x:v>
      </x:c>
      <x:c r="H4237" s="7" t="n">
        <x:v>3</x:v>
      </x:c>
      <x:c r="I4237" s="7" t="n">
        <x:v>1</x:v>
      </x:c>
      <x:c r="J4237" s="7" t="n">
        <x:v>1</x:v>
      </x:c>
      <x:c r="K4237" s="8" t="n">
        <x:v>195</x:v>
      </x:c>
      <x:c r="L4237" s="8" t="n">
        <x:v>9170</x:v>
      </x:c>
      <x:c r="M4237" s="9" t="n">
        <x:v>0.4442202606</x:v>
      </x:c>
      <x:c r="N4237" s="10" t="n">
        <x:v>21557.3538713195</x:v>
      </x:c>
      <x:c r="O4237" s="9" t="n">
        <x:v>0.2245880165</x:v>
      </x:c>
      <x:c r="P4237" s="9" t="n">
        <x:v>0.141809291</x:v>
      </x:c>
      <x:c r="Q4237" s="9" t="n">
        <x:v>0.3023634882</x:v>
      </x:c>
      <x:c r="R4237" s="3" t="b">
        <x:v>0</x:v>
      </x:c>
      <x:c r="S4237" s="3" t="b">
        <x:v>0</x:v>
      </x:c>
      <x:c r="T4237" s="3" t="b">
        <x:v>0</x:v>
      </x:c>
      <x:c r="U4237" s="2" t="str">
        <x:f>IF(T4237=TRUE,"Priority review",IF(R4237=TRUE,"High cost",IF(S4237=TRUE,"Low quality","Benchmark")))</x:f>
        <x:v>Benchmark</x:v>
      </x:c>
    </x:row>
    <x:row r="4238">
      <x:c r="A4238" s="2" t="str">
        <x:v>231339</x:v>
      </x:c>
      <x:c r="B4238" s="2" t="str">
        <x:v>COREWELL HEALTH PENNOCK HOSPITAL</x:v>
      </x:c>
      <x:c r="C4238" s="2" t="str">
        <x:v>HASTINGS</x:v>
      </x:c>
      <x:c r="D4238" s="2" t="str">
        <x:v>MI</x:v>
      </x:c>
      <x:c r="E4238" s="2" t="str">
        <x:v>Critical Access Hospitals</x:v>
      </x:c>
      <x:c r="F4238" s="2" t="str">
        <x:v>Voluntary non-profit</x:v>
      </x:c>
      <x:c r="G4238" s="2" t="str">
        <x:v>Small (&lt;100 beds)</x:v>
      </x:c>
      <x:c r="H4238" s="7" t="n">
        <x:v>3</x:v>
      </x:c>
      <x:c r="I4238" s="7" t="n">
        <x:v>4</x:v>
      </x:c>
      <x:c r="J4238" s="7"/>
      <x:c r="K4238" s="8" t="n">
        <x:v>25</x:v>
      </x:c>
      <x:c r="L4238" s="8" t="n">
        <x:v>1531</x:v>
      </x:c>
      <x:c r="M4238" s="9" t="n">
        <x:v>0.5473224044</x:v>
      </x:c>
      <x:c r="N4238" s="10" t="n">
        <x:v>69376.8693664272</x:v>
      </x:c>
      <x:c r="O4238" s="9" t="n">
        <x:v>0.101855756</x:v>
      </x:c>
      <x:c r="P4238" s="9" t="n">
        <x:v>0.1412639405</x:v>
      </x:c>
      <x:c r="Q4238" s="9" t="n">
        <x:v>0.0765799257</x:v>
      </x:c>
      <x:c r="R4238" s="3" t="b">
        <x:v>0</x:v>
      </x:c>
      <x:c r="S4238" s="3" t="b">
        <x:v>1</x:v>
      </x:c>
      <x:c r="T4238" s="3" t="b">
        <x:v>0</x:v>
      </x:c>
      <x:c r="U4238" s="2" t="str">
        <x:f>IF(T4238=TRUE,"Priority review",IF(R4238=TRUE,"High cost",IF(S4238=TRUE,"Low quality","Benchmark")))</x:f>
        <x:v>Low quality</x:v>
      </x:c>
    </x:row>
    <x:row r="4239">
      <x:c r="A4239" s="2" t="str">
        <x:v>240214</x:v>
      </x:c>
      <x:c r="B4239" s="2" t="str">
        <x:v>MAPLE GROVE HOSPITAL</x:v>
      </x:c>
      <x:c r="C4239" s="2" t="str">
        <x:v>MAPLE GROVE</x:v>
      </x:c>
      <x:c r="D4239" s="2" t="str">
        <x:v>MN</x:v>
      </x:c>
      <x:c r="E4239" s="2" t="str">
        <x:v>Acute Care Hospitals</x:v>
      </x:c>
      <x:c r="F4239" s="2" t="str">
        <x:v>Voluntary non-profit</x:v>
      </x:c>
      <x:c r="G4239" s="2" t="str">
        <x:v>Medium (100-299 beds)</x:v>
      </x:c>
      <x:c r="H4239" s="7" t="n">
        <x:v>5</x:v>
      </x:c>
      <x:c r="I4239" s="7" t="n">
        <x:v>4</x:v>
      </x:c>
      <x:c r="J4239" s="7" t="n">
        <x:v>0.84</x:v>
      </x:c>
      <x:c r="K4239" s="8" t="n">
        <x:v>148</x:v>
      </x:c>
      <x:c r="L4239" s="8" t="n">
        <x:v>10936</x:v>
      </x:c>
      <x:c r="M4239" s="9" t="n">
        <x:v>0.8066570669</x:v>
      </x:c>
      <x:c r="N4239" s="10" t="n">
        <x:v>21546.3519568398</x:v>
      </x:c>
      <x:c r="O4239" s="9" t="n">
        <x:v>0.1623597901</x:v>
      </x:c>
      <x:c r="P4239" s="9" t="n">
        <x:v>0.140994295</x:v>
      </x:c>
      <x:c r="Q4239" s="9" t="n">
        <x:v>0.8744906275</x:v>
      </x:c>
      <x:c r="R4239" s="3" t="b">
        <x:v>0</x:v>
      </x:c>
      <x:c r="S4239" s="3" t="b">
        <x:v>0</x:v>
      </x:c>
      <x:c r="T4239" s="3" t="b">
        <x:v>0</x:v>
      </x:c>
      <x:c r="U4239" s="2" t="str">
        <x:f>IF(T4239=TRUE,"Priority review",IF(R4239=TRUE,"High cost",IF(S4239=TRUE,"Low quality","Benchmark")))</x:f>
        <x:v>Benchmark</x:v>
      </x:c>
    </x:row>
    <x:row r="4240">
      <x:c r="A4240" s="2" t="str">
        <x:v>440033</x:v>
      </x:c>
      <x:c r="B4240" s="2" t="str">
        <x:v>LAFOLLETTE MEDICAL CENTER</x:v>
      </x:c>
      <x:c r="C4240" s="2" t="str">
        <x:v>LA FOLLETTE</x:v>
      </x:c>
      <x:c r="D4240" s="2" t="str">
        <x:v>TN</x:v>
      </x:c>
      <x:c r="E4240" s="2" t="str">
        <x:v>Acute Care Hospitals</x:v>
      </x:c>
      <x:c r="F4240" s="2" t="str">
        <x:v>Voluntary non-profit</x:v>
      </x:c>
      <x:c r="G4240" s="2" t="str">
        <x:v>Small (&lt;100 beds)</x:v>
      </x:c>
      <x:c r="H4240" s="7" t="n">
        <x:v>3</x:v>
      </x:c>
      <x:c r="I4240" s="7" t="n">
        <x:v>3</x:v>
      </x:c>
      <x:c r="J4240" s="7" t="n">
        <x:v>1.11</x:v>
      </x:c>
      <x:c r="K4240" s="8" t="n">
        <x:v>48</x:v>
      </x:c>
      <x:c r="L4240" s="8" t="n">
        <x:v>1626</x:v>
      </x:c>
      <x:c r="M4240" s="9" t="n">
        <x:v>0.4618624772</x:v>
      </x:c>
      <x:c r="N4240" s="10" t="n">
        <x:v>29585.4944649446</x:v>
      </x:c>
      <x:c r="O4240" s="9" t="n">
        <x:v>-0.0134918295</x:v>
      </x:c>
      <x:c r="P4240" s="9" t="n">
        <x:v>0.1409335727</x:v>
      </x:c>
      <x:c r="Q4240" s="9" t="n">
        <x:v>0.1687612208</x:v>
      </x:c>
      <x:c r="R4240" s="3" t="b">
        <x:v>0</x:v>
      </x:c>
      <x:c r="S4240" s="3" t="b">
        <x:v>0</x:v>
      </x:c>
      <x:c r="T4240" s="3" t="b">
        <x:v>0</x:v>
      </x:c>
      <x:c r="U4240" s="2" t="str">
        <x:f>IF(T4240=TRUE,"Priority review",IF(R4240=TRUE,"High cost",IF(S4240=TRUE,"Low quality","Benchmark")))</x:f>
        <x:v>Benchmark</x:v>
      </x:c>
    </x:row>
    <x:row r="4241">
      <x:c r="A4241" s="2" t="str">
        <x:v>331315</x:v>
      </x:c>
      <x:c r="B4241" s="2" t="str">
        <x:v>GOUVERNEUR HOSPITAL</x:v>
      </x:c>
      <x:c r="C4241" s="2" t="str">
        <x:v>GOUVERNEUR</x:v>
      </x:c>
      <x:c r="D4241" s="2" t="str">
        <x:v>NY</x:v>
      </x:c>
      <x:c r="E4241" s="2" t="str">
        <x:v>Critical Access Hospitals</x:v>
      </x:c>
      <x:c r="F4241" s="2" t="str">
        <x:v>Voluntary non-profit</x:v>
      </x:c>
      <x:c r="G4241" s="2" t="str">
        <x:v>Small (&lt;100 beds)</x:v>
      </x:c>
      <x:c r="H4241" s="7"/>
      <x:c r="I4241" s="7"/>
      <x:c r="J4241" s="7"/>
      <x:c r="K4241" s="8" t="n">
        <x:v>25</x:v>
      </x:c>
      <x:c r="L4241" s="8" t="n">
        <x:v>491</x:v>
      </x:c>
      <x:c r="M4241" s="9" t="n">
        <x:v>0.6537704918</x:v>
      </x:c>
      <x:c r="N4241" s="10" t="n">
        <x:v>69373.7128309572</x:v>
      </x:c>
      <x:c r="O4241" s="9" t="n">
        <x:v>-0.0469998764</x:v>
      </x:c>
      <x:c r="P4241" s="9" t="n">
        <x:v>0.1405204461</x:v>
      </x:c>
      <x:c r="Q4241" s="9" t="n">
        <x:v>0.292936803</x:v>
      </x:c>
      <x:c r="R4241" s="3" t="b">
        <x:v>0</x:v>
      </x:c>
      <x:c r="S4241" s="3" t="b">
        <x:v>0</x:v>
      </x:c>
      <x:c r="T4241" s="3" t="b">
        <x:v>0</x:v>
      </x:c>
      <x:c r="U4241" s="2" t="str">
        <x:f>IF(T4241=TRUE,"Priority review",IF(R4241=TRUE,"High cost",IF(S4241=TRUE,"Low quality","Benchmark")))</x:f>
        <x:v>Benchmark</x:v>
      </x:c>
    </x:row>
    <x:row r="4242">
      <x:c r="A4242" s="2" t="str">
        <x:v>100287</x:v>
      </x:c>
      <x:c r="B4242" s="2" t="str">
        <x:v>GOOD SAMARITAN MEDICAL CENTER</x:v>
      </x:c>
      <x:c r="C4242" s="2" t="str">
        <x:v>WEST PALM BEACH</x:v>
      </x:c>
      <x:c r="D4242" s="2" t="str">
        <x:v>FL</x:v>
      </x:c>
      <x:c r="E4242" s="2" t="str">
        <x:v>Acute Care Hospitals</x:v>
      </x:c>
      <x:c r="F4242" s="2" t="str">
        <x:v>Proprietary</x:v>
      </x:c>
      <x:c r="G4242" s="2" t="str">
        <x:v>Large (300+ beds)</x:v>
      </x:c>
      <x:c r="H4242" s="7" t="n">
        <x:v>2</x:v>
      </x:c>
      <x:c r="I4242" s="7" t="n">
        <x:v>2</x:v>
      </x:c>
      <x:c r="J4242" s="7" t="n">
        <x:v>1</x:v>
      </x:c>
      <x:c r="K4242" s="8" t="n">
        <x:v>333</x:v>
      </x:c>
      <x:c r="L4242" s="8" t="n">
        <x:v>10484</x:v>
      </x:c>
      <x:c r="M4242" s="9" t="n">
        <x:v>0.3725369205</x:v>
      </x:c>
      <x:c r="N4242" s="10" t="n">
        <x:v>24467.1616749332</x:v>
      </x:c>
      <x:c r="O4242" s="9" t="n">
        <x:v>0.0914140004</x:v>
      </x:c>
      <x:c r="P4242" s="9" t="n">
        <x:v>0.1403785489</x:v>
      </x:c>
      <x:c r="Q4242" s="9" t="n">
        <x:v>0.0536277603</x:v>
      </x:c>
      <x:c r="R4242" s="3" t="b">
        <x:v>0</x:v>
      </x:c>
      <x:c r="S4242" s="3" t="b">
        <x:v>1</x:v>
      </x:c>
      <x:c r="T4242" s="3" t="b">
        <x:v>0</x:v>
      </x:c>
      <x:c r="U4242" s="2" t="str">
        <x:f>IF(T4242=TRUE,"Priority review",IF(R4242=TRUE,"High cost",IF(S4242=TRUE,"Low quality","Benchmark")))</x:f>
        <x:v>Low quality</x:v>
      </x:c>
    </x:row>
    <x:row r="4243">
      <x:c r="A4243" s="2" t="str">
        <x:v>670103</x:v>
      </x:c>
      <x:c r="B4243" s="2" t="str">
        <x:v>MEDICAL CITY ALLIANCE</x:v>
      </x:c>
      <x:c r="C4243" s="2" t="str">
        <x:v>FORT WORTH</x:v>
      </x:c>
      <x:c r="D4243" s="2" t="str">
        <x:v>TX</x:v>
      </x:c>
      <x:c r="E4243" s="2" t="str">
        <x:v>Acute Care Hospitals</x:v>
      </x:c>
      <x:c r="F4243" s="2" t="str">
        <x:v>Voluntary non-profit</x:v>
      </x:c>
      <x:c r="G4243" s="2" t="str">
        <x:v>Medium (100-299 beds)</x:v>
      </x:c>
      <x:c r="H4243" s="7" t="n">
        <x:v>3</x:v>
      </x:c>
      <x:c r="I4243" s="7" t="n">
        <x:v>3</x:v>
      </x:c>
      <x:c r="J4243" s="7" t="n">
        <x:v>0.97</x:v>
      </x:c>
      <x:c r="K4243" s="8" t="n">
        <x:v>130</x:v>
      </x:c>
      <x:c r="L4243" s="8" t="n">
        <x:v>7609</x:v>
      </x:c>
      <x:c r="M4243" s="9" t="n">
        <x:v>0.6710062561</x:v>
      </x:c>
      <x:c r="N4243" s="10" t="n">
        <x:v>21502.9484820607</x:v>
      </x:c>
      <x:c r="O4243" s="9" t="n">
        <x:v>0.2889633824</x:v>
      </x:c>
      <x:c r="P4243" s="9" t="n">
        <x:v>0.1401792991</x:v>
      </x:c>
      <x:c r="Q4243" s="9" t="n">
        <x:v>0.3023634882</x:v>
      </x:c>
      <x:c r="R4243" s="3" t="b">
        <x:v>0</x:v>
      </x:c>
      <x:c r="S4243" s="3" t="b">
        <x:v>0</x:v>
      </x:c>
      <x:c r="T4243" s="3" t="b">
        <x:v>0</x:v>
      </x:c>
      <x:c r="U4243" s="2" t="str">
        <x:f>IF(T4243=TRUE,"Priority review",IF(R4243=TRUE,"High cost",IF(S4243=TRUE,"Low quality","Benchmark")))</x:f>
        <x:v>Benchmark</x:v>
      </x:c>
    </x:row>
    <x:row r="4244">
      <x:c r="A4244" s="2" t="str">
        <x:v>490045</x:v>
      </x:c>
      <x:c r="B4244" s="2" t="str">
        <x:v>UVA HEALTH PRINCE WILLIAM MEDICAL CENTER</x:v>
      </x:c>
      <x:c r="C4244" s="2" t="str">
        <x:v>MANASSAS</x:v>
      </x:c>
      <x:c r="D4244" s="2" t="str">
        <x:v>VA</x:v>
      </x:c>
      <x:c r="E4244" s="2" t="str">
        <x:v>Acute Care Hospitals</x:v>
      </x:c>
      <x:c r="F4244" s="2" t="str">
        <x:v>Voluntary non-profit</x:v>
      </x:c>
      <x:c r="G4244" s="2" t="str">
        <x:v>Small (&lt;100 beds)</x:v>
      </x:c>
      <x:c r="H4244" s="7" t="n">
        <x:v>3</x:v>
      </x:c>
      <x:c r="I4244" s="7" t="n">
        <x:v>3</x:v>
      </x:c>
      <x:c r="J4244" s="7" t="n">
        <x:v>1.04</x:v>
      </x:c>
      <x:c r="K4244" s="8" t="n">
        <x:v>92</x:v>
      </x:c>
      <x:c r="L4244" s="8" t="n">
        <x:v>8717</x:v>
      </x:c>
      <x:c r="M4244" s="9" t="n">
        <x:v>0.9157534247</x:v>
      </x:c>
      <x:c r="N4244" s="10" t="n">
        <x:v>29474.6142021338</x:v>
      </x:c>
      <x:c r="O4244" s="9" t="n">
        <x:v>-0.0802469076</x:v>
      </x:c>
      <x:c r="P4244" s="9" t="n">
        <x:v>0.1400359066</x:v>
      </x:c>
      <x:c r="Q4244" s="9" t="n">
        <x:v>0.1687612208</x:v>
      </x:c>
      <x:c r="R4244" s="3" t="b">
        <x:v>0</x:v>
      </x:c>
      <x:c r="S4244" s="3" t="b">
        <x:v>0</x:v>
      </x:c>
      <x:c r="T4244" s="3" t="b">
        <x:v>0</x:v>
      </x:c>
      <x:c r="U4244" s="2" t="str">
        <x:f>IF(T4244=TRUE,"Priority review",IF(R4244=TRUE,"High cost",IF(S4244=TRUE,"Low quality","Benchmark")))</x:f>
        <x:v>Benchmark</x:v>
      </x:c>
    </x:row>
    <x:row r="4245">
      <x:c r="A4245" s="2" t="str">
        <x:v>031311</x:v>
      </x:c>
      <x:c r="B4245" s="2" t="str">
        <x:v>LITTLE COLORADO MEDICAL CENTER</x:v>
      </x:c>
      <x:c r="C4245" s="2" t="str">
        <x:v>WINSLOW</x:v>
      </x:c>
      <x:c r="D4245" s="2" t="str">
        <x:v>AZ</x:v>
      </x:c>
      <x:c r="E4245" s="2" t="str">
        <x:v>Critical Access Hospitals</x:v>
      </x:c>
      <x:c r="F4245" s="2" t="str">
        <x:v>Voluntary non-profit</x:v>
      </x:c>
      <x:c r="G4245" s="2" t="str">
        <x:v>Small (&lt;100 beds)</x:v>
      </x:c>
      <x:c r="H4245" s="7"/>
      <x:c r="I4245" s="7"/>
      <x:c r="J4245" s="7"/>
      <x:c r="K4245" s="8" t="n">
        <x:v>25</x:v>
      </x:c>
      <x:c r="L4245" s="8" t="n">
        <x:v>612</x:v>
      </x:c>
      <x:c r="M4245" s="9" t="n">
        <x:v>0.3351912568</x:v>
      </x:c>
      <x:c r="N4245" s="10" t="n">
        <x:v>69291.3153594771</x:v>
      </x:c>
      <x:c r="O4245" s="9" t="n">
        <x:v>-0.0382725461</x:v>
      </x:c>
      <x:c r="P4245" s="9" t="n">
        <x:v>0.1397769517</x:v>
      </x:c>
      <x:c r="Q4245" s="9" t="n">
        <x:v>0.292936803</x:v>
      </x:c>
      <x:c r="R4245" s="3" t="b">
        <x:v>0</x:v>
      </x:c>
      <x:c r="S4245" s="3" t="b">
        <x:v>0</x:v>
      </x:c>
      <x:c r="T4245" s="3" t="b">
        <x:v>0</x:v>
      </x:c>
      <x:c r="U4245" s="2" t="str">
        <x:f>IF(T4245=TRUE,"Priority review",IF(R4245=TRUE,"High cost",IF(S4245=TRUE,"Low quality","Benchmark")))</x:f>
        <x:v>Benchmark</x:v>
      </x:c>
    </x:row>
    <x:row r="4246">
      <x:c r="A4246" s="2" t="str">
        <x:v>440006</x:v>
      </x:c>
      <x:c r="B4246" s="2" t="str">
        <x:v>TRISTAR SKYLINE MEDICAL CENTER</x:v>
      </x:c>
      <x:c r="C4246" s="2" t="str">
        <x:v>NASHVILLE</x:v>
      </x:c>
      <x:c r="D4246" s="2" t="str">
        <x:v>TN</x:v>
      </x:c>
      <x:c r="E4246" s="2" t="str">
        <x:v>Acute Care Hospitals</x:v>
      </x:c>
      <x:c r="F4246" s="2" t="str">
        <x:v>Voluntary non-profit</x:v>
      </x:c>
      <x:c r="G4246" s="2" t="str">
        <x:v>Medium (100-299 beds)</x:v>
      </x:c>
      <x:c r="H4246" s="7" t="n">
        <x:v>2</x:v>
      </x:c>
      <x:c r="I4246" s="7" t="n">
        <x:v>3</x:v>
      </x:c>
      <x:c r="J4246" s="7" t="n">
        <x:v>1.07</x:v>
      </x:c>
      <x:c r="K4246" s="8" t="n">
        <x:v>239</x:v>
      </x:c>
      <x:c r="L4246" s="8" t="n">
        <x:v>15060</x:v>
      </x:c>
      <x:c r="M4246" s="9" t="n">
        <x:v>0.8693106668</x:v>
      </x:c>
      <x:c r="N4246" s="10" t="n">
        <x:v>21448.5888446215</x:v>
      </x:c>
      <x:c r="O4246" s="9" t="n">
        <x:v>0.2918198583</x:v>
      </x:c>
      <x:c r="P4246" s="9" t="n">
        <x:v>0.1393643032</x:v>
      </x:c>
      <x:c r="Q4246" s="9" t="n">
        <x:v>0.0782396088</x:v>
      </x:c>
      <x:c r="R4246" s="3" t="b">
        <x:v>0</x:v>
      </x:c>
      <x:c r="S4246" s="3" t="b">
        <x:v>1</x:v>
      </x:c>
      <x:c r="T4246" s="3" t="b">
        <x:v>0</x:v>
      </x:c>
      <x:c r="U4246" s="2" t="str">
        <x:f>IF(T4246=TRUE,"Priority review",IF(R4246=TRUE,"High cost",IF(S4246=TRUE,"Low quality","Benchmark")))</x:f>
        <x:v>Low quality</x:v>
      </x:c>
    </x:row>
    <x:row r="4247">
      <x:c r="A4247" s="2" t="str">
        <x:v>104072</x:v>
      </x:c>
      <x:c r="B4247" s="2" t="str">
        <x:v>CENTRAL FLORIDA BEHAVIORAL HOSPITAL</x:v>
      </x:c>
      <x:c r="C4247" s="2" t="str">
        <x:v>ORLANDO</x:v>
      </x:c>
      <x:c r="D4247" s="2" t="str">
        <x:v>FL</x:v>
      </x:c>
      <x:c r="E4247" s="2" t="str">
        <x:v>Psychiatric</x:v>
      </x:c>
      <x:c r="F4247" s="2" t="str">
        <x:v>Proprietary</x:v>
      </x:c>
      <x:c r="G4247" s="2" t="str">
        <x:v>Medium (100-299 beds)</x:v>
      </x:c>
      <x:c r="H4247" s="7"/>
      <x:c r="I4247" s="7"/>
      <x:c r="J4247" s="7"/>
      <x:c r="K4247" s="8" t="n">
        <x:v>174</x:v>
      </x:c>
      <x:c r="L4247" s="8" t="n">
        <x:v>7735</x:v>
      </x:c>
      <x:c r="M4247" s="9" t="n">
        <x:v>0.7036461278</x:v>
      </x:c>
      <x:c r="N4247" s="10" t="n">
        <x:v>5953.4733031674</x:v>
      </x:c>
      <x:c r="O4247" s="9" t="n">
        <x:v>0.0758131168</x:v>
      </x:c>
      <x:c r="P4247" s="9" t="n">
        <x:v>0.1393034826</x:v>
      </x:c>
      <x:c r="Q4247" s="9" t="n">
        <x:v>0</x:v>
      </x:c>
      <x:c r="R4247" s="3" t="b">
        <x:v>0</x:v>
      </x:c>
      <x:c r="S4247" s="3" t="b">
        <x:v>0</x:v>
      </x:c>
      <x:c r="T4247" s="3" t="b">
        <x:v>0</x:v>
      </x:c>
      <x:c r="U4247" s="2" t="str">
        <x:f>IF(T4247=TRUE,"Priority review",IF(R4247=TRUE,"High cost",IF(S4247=TRUE,"Low quality","Benchmark")))</x:f>
        <x:v>Benchmark</x:v>
      </x:c>
    </x:row>
    <x:row r="4248">
      <x:c r="A4248" s="2" t="str">
        <x:v>344029</x:v>
      </x:c>
      <x:c r="B4248" s="2" t="str">
        <x:v>GOOD HOPE HOSPITAL, INC</x:v>
      </x:c>
      <x:c r="C4248" s="2" t="str">
        <x:v>ERWIN</x:v>
      </x:c>
      <x:c r="D4248" s="2" t="str">
        <x:v>NC</x:v>
      </x:c>
      <x:c r="E4248" s="2" t="str">
        <x:v>Psychiatric</x:v>
      </x:c>
      <x:c r="F4248" s="2" t="str">
        <x:v>Voluntary non-profit</x:v>
      </x:c>
      <x:c r="G4248" s="2" t="str">
        <x:v>Small (&lt;100 beds)</x:v>
      </x:c>
      <x:c r="H4248" s="7"/>
      <x:c r="I4248" s="7"/>
      <x:c r="J4248" s="7"/>
      <x:c r="K4248" s="8" t="n">
        <x:v>16</x:v>
      </x:c>
      <x:c r="L4248" s="8" t="n">
        <x:v>471</x:v>
      </x:c>
      <x:c r="M4248" s="9" t="n">
        <x:v>0.9071038251</x:v>
      </x:c>
      <x:c r="N4248" s="10" t="n">
        <x:v>7098.881104034</x:v>
      </x:c>
      <x:c r="O4248" s="9" t="n">
        <x:v>0.2417041157</x:v>
      </x:c>
      <x:c r="P4248" s="9" t="n">
        <x:v>0.1391585761</x:v>
      </x:c>
      <x:c r="Q4248" s="9" t="n">
        <x:v>0</x:v>
      </x:c>
      <x:c r="R4248" s="3" t="b">
        <x:v>0</x:v>
      </x:c>
      <x:c r="S4248" s="3" t="b">
        <x:v>0</x:v>
      </x:c>
      <x:c r="T4248" s="3" t="b">
        <x:v>0</x:v>
      </x:c>
      <x:c r="U4248" s="2" t="str">
        <x:f>IF(T4248=TRUE,"Priority review",IF(R4248=TRUE,"High cost",IF(S4248=TRUE,"Low quality","Benchmark")))</x:f>
        <x:v>Benchmark</x:v>
      </x:c>
    </x:row>
    <x:row r="4249">
      <x:c r="A4249" s="2" t="str">
        <x:v>450090</x:v>
      </x:c>
      <x:c r="B4249" s="2" t="str">
        <x:v>NORTH TEXAS MEDICAL CENTER</x:v>
      </x:c>
      <x:c r="C4249" s="2" t="str">
        <x:v>GAINESVILLE</x:v>
      </x:c>
      <x:c r="D4249" s="2" t="str">
        <x:v>TX</x:v>
      </x:c>
      <x:c r="E4249" s="2" t="str">
        <x:v>Acute Care Hospitals</x:v>
      </x:c>
      <x:c r="F4249" s="2" t="str">
        <x:v>Voluntary non-profit</x:v>
      </x:c>
      <x:c r="G4249" s="2" t="str">
        <x:v>Small (&lt;100 beds)</x:v>
      </x:c>
      <x:c r="H4249" s="7" t="n">
        <x:v>4</x:v>
      </x:c>
      <x:c r="I4249" s="7" t="n">
        <x:v>4</x:v>
      </x:c>
      <x:c r="J4249" s="7" t="n">
        <x:v>1.04</x:v>
      </x:c>
      <x:c r="K4249" s="8" t="n">
        <x:v>35</x:v>
      </x:c>
      <x:c r="L4249" s="8" t="n">
        <x:v>1679</x:v>
      </x:c>
      <x:c r="M4249" s="9" t="n">
        <x:v>0.5638563622</x:v>
      </x:c>
      <x:c r="N4249" s="10" t="n">
        <x:v>29369.2382370459</x:v>
      </x:c>
      <x:c r="O4249" s="9" t="n">
        <x:v>-0.0485045076</x:v>
      </x:c>
      <x:c r="P4249" s="9" t="n">
        <x:v>0.1391382406</x:v>
      </x:c>
      <x:c r="Q4249" s="9" t="n">
        <x:v>0.3913824057</x:v>
      </x:c>
      <x:c r="R4249" s="3" t="b">
        <x:v>0</x:v>
      </x:c>
      <x:c r="S4249" s="3" t="b">
        <x:v>0</x:v>
      </x:c>
      <x:c r="T4249" s="3" t="b">
        <x:v>0</x:v>
      </x:c>
      <x:c r="U4249" s="2" t="str">
        <x:f>IF(T4249=TRUE,"Priority review",IF(R4249=TRUE,"High cost",IF(S4249=TRUE,"Low quality","Benchmark")))</x:f>
        <x:v>Benchmark</x:v>
      </x:c>
    </x:row>
    <x:row r="4250">
      <x:c r="A4250" s="2" t="str">
        <x:v>361321</x:v>
      </x:c>
      <x:c r="B4250" s="2" t="str">
        <x:v>BARNESVILLE HOSPITAL ASSOCIATION, INC</x:v>
      </x:c>
      <x:c r="C4250" s="2" t="str">
        <x:v>BARNESVILLE</x:v>
      </x:c>
      <x:c r="D4250" s="2" t="str">
        <x:v>OH</x:v>
      </x:c>
      <x:c r="E4250" s="2" t="str">
        <x:v>Critical Access Hospitals</x:v>
      </x:c>
      <x:c r="F4250" s="2" t="str">
        <x:v>Voluntary non-profit</x:v>
      </x:c>
      <x:c r="G4250" s="2" t="str">
        <x:v>Small (&lt;100 beds)</x:v>
      </x:c>
      <x:c r="H4250" s="7"/>
      <x:c r="I4250" s="7"/>
      <x:c r="J4250" s="7"/>
      <x:c r="K4250" s="8" t="n">
        <x:v>25</x:v>
      </x:c>
      <x:c r="L4250" s="8" t="n">
        <x:v>376</x:v>
      </x:c>
      <x:c r="M4250" s="9" t="n">
        <x:v>0.1314754098</x:v>
      </x:c>
      <x:c r="N4250" s="10" t="n">
        <x:v>69086.4414893617</x:v>
      </x:c>
      <x:c r="O4250" s="9" t="n">
        <x:v>-0.0604574388</x:v>
      </x:c>
      <x:c r="P4250" s="9" t="n">
        <x:v>0.1390334572</x:v>
      </x:c>
      <x:c r="Q4250" s="9" t="n">
        <x:v>0.292936803</x:v>
      </x:c>
      <x:c r="R4250" s="3" t="b">
        <x:v>0</x:v>
      </x:c>
      <x:c r="S4250" s="3" t="b">
        <x:v>0</x:v>
      </x:c>
      <x:c r="T4250" s="3" t="b">
        <x:v>0</x:v>
      </x:c>
      <x:c r="U4250" s="2" t="str">
        <x:f>IF(T4250=TRUE,"Priority review",IF(R4250=TRUE,"High cost",IF(S4250=TRUE,"Low quality","Benchmark")))</x:f>
        <x:v>Benchmark</x:v>
      </x:c>
    </x:row>
    <x:row r="4251">
      <x:c r="A4251" s="2" t="str">
        <x:v>030006</x:v>
      </x:c>
      <x:c r="B4251" s="2" t="str">
        <x:v>TUCSON MEDICAL CENTER</x:v>
      </x:c>
      <x:c r="C4251" s="2" t="str">
        <x:v>TUCSON</x:v>
      </x:c>
      <x:c r="D4251" s="2" t="str">
        <x:v>AZ</x:v>
      </x:c>
      <x:c r="E4251" s="2" t="str">
        <x:v>Acute Care Hospitals</x:v>
      </x:c>
      <x:c r="F4251" s="2" t="str">
        <x:v>Voluntary non-profit</x:v>
      </x:c>
      <x:c r="G4251" s="2" t="str">
        <x:v>Large (300+ beds)</x:v>
      </x:c>
      <x:c r="H4251" s="7" t="n">
        <x:v>2</x:v>
      </x:c>
      <x:c r="I4251" s="7" t="n">
        <x:v>2</x:v>
      </x:c>
      <x:c r="J4251" s="7" t="n">
        <x:v>1.04</x:v>
      </x:c>
      <x:c r="K4251" s="8" t="n">
        <x:v>501</x:v>
      </x:c>
      <x:c r="L4251" s="8" t="n">
        <x:v>38885</x:v>
      </x:c>
      <x:c r="M4251" s="9" t="n">
        <x:v>0.8541752151</x:v>
      </x:c>
      <x:c r="N4251" s="10" t="n">
        <x:v>24340.8087951652</x:v>
      </x:c>
      <x:c r="O4251" s="9" t="n">
        <x:v>-0.0398005013</x:v>
      </x:c>
      <x:c r="P4251" s="9" t="n">
        <x:v>0.1388012618</x:v>
      </x:c>
      <x:c r="Q4251" s="9" t="n">
        <x:v>0.0536277603</x:v>
      </x:c>
      <x:c r="R4251" s="3" t="b">
        <x:v>0</x:v>
      </x:c>
      <x:c r="S4251" s="3" t="b">
        <x:v>1</x:v>
      </x:c>
      <x:c r="T4251" s="3" t="b">
        <x:v>0</x:v>
      </x:c>
      <x:c r="U4251" s="2" t="str">
        <x:f>IF(T4251=TRUE,"Priority review",IF(R4251=TRUE,"High cost",IF(S4251=TRUE,"Low quality","Benchmark")))</x:f>
        <x:v>Low quality</x:v>
      </x:c>
    </x:row>
    <x:row r="4252">
      <x:c r="A4252" s="2" t="str">
        <x:v>450389</x:v>
      </x:c>
      <x:c r="B4252" s="2" t="str">
        <x:v>UT HEALTH EAST TEXAS ATHENS HOSPITAL</x:v>
      </x:c>
      <x:c r="C4252" s="2" t="str">
        <x:v>ATHENS</x:v>
      </x:c>
      <x:c r="D4252" s="2" t="str">
        <x:v>TX</x:v>
      </x:c>
      <x:c r="E4252" s="2" t="str">
        <x:v>Acute Care Hospitals</x:v>
      </x:c>
      <x:c r="F4252" s="2" t="str">
        <x:v>Proprietary</x:v>
      </x:c>
      <x:c r="G4252" s="2" t="str">
        <x:v>Medium (100-299 beds)</x:v>
      </x:c>
      <x:c r="H4252" s="7" t="n">
        <x:v>2</x:v>
      </x:c>
      <x:c r="I4252" s="7" t="n">
        <x:v>4</x:v>
      </x:c>
      <x:c r="J4252" s="7" t="n">
        <x:v>1.08</x:v>
      </x:c>
      <x:c r="K4252" s="8" t="n">
        <x:v>127</x:v>
      </x:c>
      <x:c r="L4252" s="8" t="n">
        <x:v>4850</x:v>
      </x:c>
      <x:c r="M4252" s="9" t="n">
        <x:v>0.3701218854</x:v>
      </x:c>
      <x:c r="N4252" s="10" t="n">
        <x:v>21448.0371134021</x:v>
      </x:c>
      <x:c r="O4252" s="9" t="n">
        <x:v>0.1345557097</x:v>
      </x:c>
      <x:c r="P4252" s="9" t="n">
        <x:v>0.1385493073</x:v>
      </x:c>
      <x:c r="Q4252" s="9" t="n">
        <x:v>0.0782396088</x:v>
      </x:c>
      <x:c r="R4252" s="3" t="b">
        <x:v>0</x:v>
      </x:c>
      <x:c r="S4252" s="3" t="b">
        <x:v>1</x:v>
      </x:c>
      <x:c r="T4252" s="3" t="b">
        <x:v>0</x:v>
      </x:c>
      <x:c r="U4252" s="2" t="str">
        <x:f>IF(T4252=TRUE,"Priority review",IF(R4252=TRUE,"High cost",IF(S4252=TRUE,"Low quality","Benchmark")))</x:f>
        <x:v>Low quality</x:v>
      </x:c>
    </x:row>
    <x:row r="4253">
      <x:c r="A4253" s="2" t="str">
        <x:v>521355</x:v>
      </x:c>
      <x:c r="B4253" s="2" t="str">
        <x:v>THEDACARE MEDICAL CENTER - BERLIN INC</x:v>
      </x:c>
      <x:c r="C4253" s="2" t="str">
        <x:v>BERLIN</x:v>
      </x:c>
      <x:c r="D4253" s="2" t="str">
        <x:v>WI</x:v>
      </x:c>
      <x:c r="E4253" s="2" t="str">
        <x:v>Critical Access Hospitals</x:v>
      </x:c>
      <x:c r="F4253" s="2" t="str">
        <x:v>Voluntary non-profit</x:v>
      </x:c>
      <x:c r="G4253" s="2" t="str">
        <x:v>Small (&lt;100 beds)</x:v>
      </x:c>
      <x:c r="H4253" s="7" t="n">
        <x:v>3</x:v>
      </x:c>
      <x:c r="I4253" s="7" t="n">
        <x:v>4</x:v>
      </x:c>
      <x:c r="J4253" s="7"/>
      <x:c r="K4253" s="8" t="n">
        <x:v>23</x:v>
      </x:c>
      <x:c r="L4253" s="8" t="n">
        <x:v>853</x:v>
      </x:c>
      <x:c r="M4253" s="9" t="n">
        <x:v>0.3185892726</x:v>
      </x:c>
      <x:c r="N4253" s="10" t="n">
        <x:v>69024.2368112544</x:v>
      </x:c>
      <x:c r="O4253" s="9" t="n">
        <x:v>0.119841643</x:v>
      </x:c>
      <x:c r="P4253" s="9" t="n">
        <x:v>0.1382899628</x:v>
      </x:c>
      <x:c r="Q4253" s="9" t="n">
        <x:v>0.0765799257</x:v>
      </x:c>
      <x:c r="R4253" s="3" t="b">
        <x:v>0</x:v>
      </x:c>
      <x:c r="S4253" s="3" t="b">
        <x:v>1</x:v>
      </x:c>
      <x:c r="T4253" s="3" t="b">
        <x:v>0</x:v>
      </x:c>
      <x:c r="U4253" s="2" t="str">
        <x:f>IF(T4253=TRUE,"Priority review",IF(R4253=TRUE,"High cost",IF(S4253=TRUE,"Low quality","Benchmark")))</x:f>
        <x:v>Low quality</x:v>
      </x:c>
    </x:row>
    <x:row r="4254">
      <x:c r="A4254" s="2" t="str">
        <x:v>490140</x:v>
      </x:c>
      <x:c r="B4254" s="2" t="str">
        <x:v>STAFFORD HOSPITAL, LLC</x:v>
      </x:c>
      <x:c r="C4254" s="2" t="str">
        <x:v>STAFFORD</x:v>
      </x:c>
      <x:c r="D4254" s="2" t="str">
        <x:v>VA</x:v>
      </x:c>
      <x:c r="E4254" s="2" t="str">
        <x:v>Acute Care Hospitals</x:v>
      </x:c>
      <x:c r="F4254" s="2" t="str">
        <x:v>Voluntary non-profit</x:v>
      </x:c>
      <x:c r="G4254" s="2" t="str">
        <x:v>Small (&lt;100 beds)</x:v>
      </x:c>
      <x:c r="H4254" s="7" t="n">
        <x:v>4</x:v>
      </x:c>
      <x:c r="I4254" s="7" t="n">
        <x:v>3</x:v>
      </x:c>
      <x:c r="J4254" s="7" t="n">
        <x:v>0.87</x:v>
      </x:c>
      <x:c r="K4254" s="8" t="n">
        <x:v>81</x:v>
      </x:c>
      <x:c r="L4254" s="8" t="n">
        <x:v>4569</x:v>
      </x:c>
      <x:c r="M4254" s="9" t="n">
        <x:v>0.5443230115</x:v>
      </x:c>
      <x:c r="N4254" s="10" t="n">
        <x:v>29331.0523090392</x:v>
      </x:c>
      <x:c r="O4254" s="9" t="n">
        <x:v>0.1045245587</x:v>
      </x:c>
      <x:c r="P4254" s="9" t="n">
        <x:v>0.1382405745</x:v>
      </x:c>
      <x:c r="Q4254" s="9" t="n">
        <x:v>0.3913824057</x:v>
      </x:c>
      <x:c r="R4254" s="3" t="b">
        <x:v>0</x:v>
      </x:c>
      <x:c r="S4254" s="3" t="b">
        <x:v>0</x:v>
      </x:c>
      <x:c r="T4254" s="3" t="b">
        <x:v>0</x:v>
      </x:c>
      <x:c r="U4254" s="2" t="str">
        <x:f>IF(T4254=TRUE,"Priority review",IF(R4254=TRUE,"High cost",IF(S4254=TRUE,"Low quality","Benchmark")))</x:f>
        <x:v>Benchmark</x:v>
      </x:c>
    </x:row>
    <x:row r="4255">
      <x:c r="A4255" s="2" t="str">
        <x:v>050543</x:v>
      </x:c>
      <x:c r="B4255" s="2" t="str">
        <x:v>COLLEGE HOSPITAL COSTA MESA</x:v>
      </x:c>
      <x:c r="C4255" s="2" t="str">
        <x:v>COSTA MESA</x:v>
      </x:c>
      <x:c r="D4255" s="2" t="str">
        <x:v>CA</x:v>
      </x:c>
      <x:c r="E4255" s="2" t="str">
        <x:v>Acute Care Hospitals</x:v>
      </x:c>
      <x:c r="F4255" s="2" t="str">
        <x:v>Proprietary</x:v>
      </x:c>
      <x:c r="G4255" s="2" t="str">
        <x:v>Medium (100-299 beds)</x:v>
      </x:c>
      <x:c r="H4255" s="7"/>
      <x:c r="I4255" s="7"/>
      <x:c r="J4255" s="7" t="n">
        <x:v>1.13</x:v>
      </x:c>
      <x:c r="K4255" s="8" t="n">
        <x:v>122</x:v>
      </x:c>
      <x:c r="L4255" s="8" t="n">
        <x:v>4195</x:v>
      </x:c>
      <x:c r="M4255" s="9" t="n">
        <x:v>0.9207202365</x:v>
      </x:c>
      <x:c r="N4255" s="10" t="n">
        <x:v>21414.2915375447</x:v>
      </x:c>
      <x:c r="O4255" s="9" t="n">
        <x:v>-0.9656618285</x:v>
      </x:c>
      <x:c r="P4255" s="9" t="n">
        <x:v>0.1377343113</x:v>
      </x:c>
      <x:c r="Q4255" s="9" t="n">
        <x:v>0.9616951915</x:v>
      </x:c>
      <x:c r="R4255" s="3" t="b">
        <x:v>0</x:v>
      </x:c>
      <x:c r="S4255" s="3" t="b">
        <x:v>0</x:v>
      </x:c>
      <x:c r="T4255" s="3" t="b">
        <x:v>0</x:v>
      </x:c>
      <x:c r="U4255" s="2" t="str">
        <x:f>IF(T4255=TRUE,"Priority review",IF(R4255=TRUE,"High cost",IF(S4255=TRUE,"Low quality","Benchmark")))</x:f>
        <x:v>Benchmark</x:v>
      </x:c>
    </x:row>
    <x:row r="4256">
      <x:c r="A4256" s="2" t="str">
        <x:v>281352</x:v>
      </x:c>
      <x:c r="B4256" s="2" t="str">
        <x:v>COMMUNITY MEDICAL CENTER, INC</x:v>
      </x:c>
      <x:c r="C4256" s="2" t="str">
        <x:v>FALLS CITY</x:v>
      </x:c>
      <x:c r="D4256" s="2" t="str">
        <x:v>NE</x:v>
      </x:c>
      <x:c r="E4256" s="2" t="str">
        <x:v>Critical Access Hospitals</x:v>
      </x:c>
      <x:c r="F4256" s="2" t="str">
        <x:v>Voluntary non-profit</x:v>
      </x:c>
      <x:c r="G4256" s="2" t="str">
        <x:v>Small (&lt;100 beds)</x:v>
      </x:c>
      <x:c r="H4256" s="7" t="n">
        <x:v>4</x:v>
      </x:c>
      <x:c r="I4256" s="7" t="n">
        <x:v>5</x:v>
      </x:c>
      <x:c r="J4256" s="7"/>
      <x:c r="K4256" s="8" t="n">
        <x:v>22</x:v>
      </x:c>
      <x:c r="L4256" s="8" t="n">
        <x:v>596</x:v>
      </x:c>
      <x:c r="M4256" s="9" t="n">
        <x:v>0.3312577833</x:v>
      </x:c>
      <x:c r="N4256" s="10" t="n">
        <x:v>68805.7583892617</x:v>
      </x:c>
      <x:c r="O4256" s="9" t="n">
        <x:v>0.0513617571</x:v>
      </x:c>
      <x:c r="P4256" s="9" t="n">
        <x:v>0.1375464684</x:v>
      </x:c>
      <x:c r="Q4256" s="9" t="n">
        <x:v>0.1657992565</x:v>
      </x:c>
      <x:c r="R4256" s="3" t="b">
        <x:v>0</x:v>
      </x:c>
      <x:c r="S4256" s="3" t="b">
        <x:v>0</x:v>
      </x:c>
      <x:c r="T4256" s="3" t="b">
        <x:v>0</x:v>
      </x:c>
      <x:c r="U4256" s="2" t="str">
        <x:f>IF(T4256=TRUE,"Priority review",IF(R4256=TRUE,"High cost",IF(S4256=TRUE,"Low quality","Benchmark")))</x:f>
        <x:v>Benchmark</x:v>
      </x:c>
    </x:row>
    <x:row r="4257">
      <x:c r="A4257" s="2" t="str">
        <x:v>140011</x:v>
      </x:c>
      <x:c r="B4257" s="2" t="str">
        <x:v>HERRIN HOSPITAL</x:v>
      </x:c>
      <x:c r="C4257" s="2" t="str">
        <x:v>HERRIN</x:v>
      </x:c>
      <x:c r="D4257" s="2" t="str">
        <x:v>IL</x:v>
      </x:c>
      <x:c r="E4257" s="2" t="str">
        <x:v>Acute Care Hospitals</x:v>
      </x:c>
      <x:c r="F4257" s="2" t="str">
        <x:v>Voluntary non-profit</x:v>
      </x:c>
      <x:c r="G4257" s="2" t="str">
        <x:v>Small (&lt;100 beds)</x:v>
      </x:c>
      <x:c r="H4257" s="7" t="n">
        <x:v>1</x:v>
      </x:c>
      <x:c r="I4257" s="7" t="n">
        <x:v>2</x:v>
      </x:c>
      <x:c r="J4257" s="7" t="n">
        <x:v>1.01</x:v>
      </x:c>
      <x:c r="K4257" s="8" t="n">
        <x:v>85</x:v>
      </x:c>
      <x:c r="L4257" s="8" t="n">
        <x:v>5067</x:v>
      </x:c>
      <x:c r="M4257" s="9" t="n">
        <x:v>0.7449153908</x:v>
      </x:c>
      <x:c r="N4257" s="10" t="n">
        <x:v>29184.8796131833</x:v>
      </x:c>
      <x:c r="O4257" s="9" t="n">
        <x:v>0.262735908</x:v>
      </x:c>
      <x:c r="P4257" s="9" t="n">
        <x:v>0.1373429084</x:v>
      </x:c>
      <x:c r="Q4257" s="9" t="n">
        <x:v>0</x:v>
      </x:c>
      <x:c r="R4257" s="3" t="b">
        <x:v>0</x:v>
      </x:c>
      <x:c r="S4257" s="3" t="b">
        <x:v>1</x:v>
      </x:c>
      <x:c r="T4257" s="3" t="b">
        <x:v>0</x:v>
      </x:c>
      <x:c r="U4257" s="2" t="str">
        <x:f>IF(T4257=TRUE,"Priority review",IF(R4257=TRUE,"High cost",IF(S4257=TRUE,"Low quality","Benchmark")))</x:f>
        <x:v>Low quality</x:v>
      </x:c>
    </x:row>
    <x:row r="4258">
      <x:c r="A4258" s="2" t="str">
        <x:v>100018</x:v>
      </x:c>
      <x:c r="B4258" s="2" t="str">
        <x:v>NAPLES COMMUNITY HOSPITAL</x:v>
      </x:c>
      <x:c r="C4258" s="2" t="str">
        <x:v>NAPLES</x:v>
      </x:c>
      <x:c r="D4258" s="2" t="str">
        <x:v>FL</x:v>
      </x:c>
      <x:c r="E4258" s="2" t="str">
        <x:v>Acute Care Hospitals</x:v>
      </x:c>
      <x:c r="F4258" s="2" t="str">
        <x:v>Voluntary non-profit</x:v>
      </x:c>
      <x:c r="G4258" s="2" t="str">
        <x:v>Large (300+ beds)</x:v>
      </x:c>
      <x:c r="H4258" s="7" t="n">
        <x:v>3</x:v>
      </x:c>
      <x:c r="I4258" s="7" t="n">
        <x:v>2</x:v>
      </x:c>
      <x:c r="J4258" s="7" t="n">
        <x:v>1.02</x:v>
      </x:c>
      <x:c r="K4258" s="8" t="n">
        <x:v>500</x:v>
      </x:c>
      <x:c r="L4258" s="8" t="n">
        <x:v>32569</x:v>
      </x:c>
      <x:c r="M4258" s="9" t="n">
        <x:v>0.7573442623</x:v>
      </x:c>
      <x:c r="N4258" s="10" t="n">
        <x:v>24262.1065737358</x:v>
      </x:c>
      <x:c r="O4258" s="9" t="n">
        <x:v>-0.0048632393</x:v>
      </x:c>
      <x:c r="P4258" s="9" t="n">
        <x:v>0.1372239748</x:v>
      </x:c>
      <x:c r="Q4258" s="9" t="n">
        <x:v>0.2570977918</x:v>
      </x:c>
      <x:c r="R4258" s="3" t="b">
        <x:v>0</x:v>
      </x:c>
      <x:c r="S4258" s="3" t="b">
        <x:v>0</x:v>
      </x:c>
      <x:c r="T4258" s="3" t="b">
        <x:v>0</x:v>
      </x:c>
      <x:c r="U4258" s="2" t="str">
        <x:f>IF(T4258=TRUE,"Priority review",IF(R4258=TRUE,"High cost",IF(S4258=TRUE,"Low quality","Benchmark")))</x:f>
        <x:v>Benchmark</x:v>
      </x:c>
    </x:row>
    <x:row r="4259">
      <x:c r="A4259" s="2" t="str">
        <x:v>190316</x:v>
      </x:c>
      <x:c r="B4259" s="2" t="str">
        <x:v>THE GENERAL</x:v>
      </x:c>
      <x:c r="C4259" s="2" t="str">
        <x:v>BATON ROUGE</x:v>
      </x:c>
      <x:c r="D4259" s="2" t="str">
        <x:v>LA</x:v>
      </x:c>
      <x:c r="E4259" s="2" t="str">
        <x:v>Acute Care Hospitals</x:v>
      </x:c>
      <x:c r="F4259" s="2" t="str">
        <x:v>Voluntary non-profit</x:v>
      </x:c>
      <x:c r="G4259" s="2" t="str">
        <x:v>Medium (100-299 beds)</x:v>
      </x:c>
      <x:c r="H4259" s="7"/>
      <x:c r="I4259" s="7"/>
      <x:c r="J4259" s="7" t="n">
        <x:v>1.01</x:v>
      </x:c>
      <x:c r="K4259" s="8" t="n">
        <x:v>169</x:v>
      </x:c>
      <x:c r="L4259" s="8" t="n">
        <x:v>1905</x:v>
      </x:c>
      <x:c r="M4259" s="9" t="n">
        <x:v>0.1877485692</x:v>
      </x:c>
      <x:c r="N4259" s="10" t="n">
        <x:v>21409.6950131234</x:v>
      </x:c>
      <x:c r="O4259" s="9" t="n">
        <x:v>-0.0147078829</x:v>
      </x:c>
      <x:c r="P4259" s="9" t="n">
        <x:v>0.1369193154</x:v>
      </x:c>
      <x:c r="Q4259" s="9" t="n">
        <x:v>0.9616951915</x:v>
      </x:c>
      <x:c r="R4259" s="3" t="b">
        <x:v>0</x:v>
      </x:c>
      <x:c r="S4259" s="3" t="b">
        <x:v>0</x:v>
      </x:c>
      <x:c r="T4259" s="3" t="b">
        <x:v>0</x:v>
      </x:c>
      <x:c r="U4259" s="2" t="str">
        <x:f>IF(T4259=TRUE,"Priority review",IF(R4259=TRUE,"High cost",IF(S4259=TRUE,"Low quality","Benchmark")))</x:f>
        <x:v>Benchmark</x:v>
      </x:c>
    </x:row>
    <x:row r="4260">
      <x:c r="A4260" s="2" t="str">
        <x:v>041323</x:v>
      </x:c>
      <x:c r="B4260" s="2" t="str">
        <x:v>ASHLEY COUNTY MEDICAL CENTER</x:v>
      </x:c>
      <x:c r="C4260" s="2" t="str">
        <x:v>CROSSETT</x:v>
      </x:c>
      <x:c r="D4260" s="2" t="str">
        <x:v>AR</x:v>
      </x:c>
      <x:c r="E4260" s="2" t="str">
        <x:v>Critical Access Hospitals</x:v>
      </x:c>
      <x:c r="F4260" s="2" t="str">
        <x:v>Voluntary non-profit</x:v>
      </x:c>
      <x:c r="G4260" s="2" t="str">
        <x:v>Small (&lt;100 beds)</x:v>
      </x:c>
      <x:c r="H4260" s="7" t="n">
        <x:v>4</x:v>
      </x:c>
      <x:c r="I4260" s="7"/>
      <x:c r="J4260" s="7"/>
      <x:c r="K4260" s="8" t="n">
        <x:v>25</x:v>
      </x:c>
      <x:c r="L4260" s="8" t="n">
        <x:v>580</x:v>
      </x:c>
      <x:c r="M4260" s="9" t="n">
        <x:v>0.4194535519</x:v>
      </x:c>
      <x:c r="N4260" s="10" t="n">
        <x:v>68796.6155172414</x:v>
      </x:c>
      <x:c r="O4260" s="9" t="n">
        <x:v>-0.1530378482</x:v>
      </x:c>
      <x:c r="P4260" s="9" t="n">
        <x:v>0.136802974</x:v>
      </x:c>
      <x:c r="Q4260" s="9" t="n">
        <x:v>0.1657992565</x:v>
      </x:c>
      <x:c r="R4260" s="3" t="b">
        <x:v>0</x:v>
      </x:c>
      <x:c r="S4260" s="3" t="b">
        <x:v>0</x:v>
      </x:c>
      <x:c r="T4260" s="3" t="b">
        <x:v>0</x:v>
      </x:c>
      <x:c r="U4260" s="2" t="str">
        <x:f>IF(T4260=TRUE,"Priority review",IF(R4260=TRUE,"High cost",IF(S4260=TRUE,"Low quality","Benchmark")))</x:f>
        <x:v>Benchmark</x:v>
      </x:c>
    </x:row>
    <x:row r="4261">
      <x:c r="A4261" s="2" t="str">
        <x:v>450082</x:v>
      </x:c>
      <x:c r="B4261" s="2" t="str">
        <x:v>CHRISTUS SPOHN HOSPITAL BEEVILLE</x:v>
      </x:c>
      <x:c r="C4261" s="2" t="str">
        <x:v>BEEVILLE</x:v>
      </x:c>
      <x:c r="D4261" s="2" t="str">
        <x:v>TX</x:v>
      </x:c>
      <x:c r="E4261" s="2" t="str">
        <x:v>Acute Care Hospitals</x:v>
      </x:c>
      <x:c r="F4261" s="2" t="str">
        <x:v>Voluntary non-profit</x:v>
      </x:c>
      <x:c r="G4261" s="2" t="str">
        <x:v>Small (&lt;100 beds)</x:v>
      </x:c>
      <x:c r="H4261" s="7" t="n">
        <x:v>2</x:v>
      </x:c>
      <x:c r="I4261" s="7" t="n">
        <x:v>2</x:v>
      </x:c>
      <x:c r="J4261" s="7" t="n">
        <x:v>1.16</x:v>
      </x:c>
      <x:c r="K4261" s="8" t="n">
        <x:v>40</x:v>
      </x:c>
      <x:c r="L4261" s="8" t="n">
        <x:v>1403</x:v>
      </x:c>
      <x:c r="M4261" s="9" t="n">
        <x:v>0.3095890411</x:v>
      </x:c>
      <x:c r="N4261" s="10" t="n">
        <x:v>29116.5203136137</x:v>
      </x:c>
      <x:c r="O4261" s="9" t="n">
        <x:v>0.1160130661</x:v>
      </x:c>
      <x:c r="P4261" s="9" t="n">
        <x:v>0.1364452424</x:v>
      </x:c>
      <x:c r="Q4261" s="9" t="n">
        <x:v>0.0350089767</x:v>
      </x:c>
      <x:c r="R4261" s="3" t="b">
        <x:v>0</x:v>
      </x:c>
      <x:c r="S4261" s="3" t="b">
        <x:v>1</x:v>
      </x:c>
      <x:c r="T4261" s="3" t="b">
        <x:v>0</x:v>
      </x:c>
      <x:c r="U4261" s="2" t="str">
        <x:f>IF(T4261=TRUE,"Priority review",IF(R4261=TRUE,"High cost",IF(S4261=TRUE,"Low quality","Benchmark")))</x:f>
        <x:v>Low quality</x:v>
      </x:c>
    </x:row>
    <x:row r="4262">
      <x:c r="A4262" s="2" t="str">
        <x:v>110200</x:v>
      </x:c>
      <x:c r="B4262" s="2" t="str">
        <x:v>PIEDMONT COLUMBUS REGIONAL NORTHSIDE</x:v>
      </x:c>
      <x:c r="C4262" s="2" t="str">
        <x:v>COLUMBUS</x:v>
      </x:c>
      <x:c r="D4262" s="2" t="str">
        <x:v>GA</x:v>
      </x:c>
      <x:c r="E4262" s="2" t="str">
        <x:v>Acute Care Hospitals</x:v>
      </x:c>
      <x:c r="F4262" s="2" t="str">
        <x:v>Proprietary</x:v>
      </x:c>
      <x:c r="G4262" s="2" t="str">
        <x:v>Medium (100-299 beds)</x:v>
      </x:c>
      <x:c r="H4262" s="7" t="n">
        <x:v>5</x:v>
      </x:c>
      <x:c r="I4262" s="7" t="n">
        <x:v>3</x:v>
      </x:c>
      <x:c r="J4262" s="7" t="n">
        <x:v>1.07</x:v>
      </x:c>
      <x:c r="K4262" s="8" t="n">
        <x:v>100</x:v>
      </x:c>
      <x:c r="L4262" s="8" t="n">
        <x:v>5736</x:v>
      </x:c>
      <x:c r="M4262" s="9" t="n">
        <x:v>0.598109589</x:v>
      </x:c>
      <x:c r="N4262" s="10" t="n">
        <x:v>21237.5482914923</x:v>
      </x:c>
      <x:c r="O4262" s="9" t="n">
        <x:v>0.2070658006</x:v>
      </x:c>
      <x:c r="P4262" s="9" t="n">
        <x:v>0.1361043195</x:v>
      </x:c>
      <x:c r="Q4262" s="9" t="n">
        <x:v>0.8744906275</x:v>
      </x:c>
      <x:c r="R4262" s="3" t="b">
        <x:v>0</x:v>
      </x:c>
      <x:c r="S4262" s="3" t="b">
        <x:v>0</x:v>
      </x:c>
      <x:c r="T4262" s="3" t="b">
        <x:v>0</x:v>
      </x:c>
      <x:c r="U4262" s="2" t="str">
        <x:f>IF(T4262=TRUE,"Priority review",IF(R4262=TRUE,"High cost",IF(S4262=TRUE,"Low quality","Benchmark")))</x:f>
        <x:v>Benchmark</x:v>
      </x:c>
    </x:row>
    <x:row r="4263">
      <x:c r="A4263" s="2" t="str">
        <x:v>391315</x:v>
      </x:c>
      <x:c r="B4263" s="2" t="str">
        <x:v>PENN HIGHLANDS ELK</x:v>
      </x:c>
      <x:c r="C4263" s="2" t="str">
        <x:v>SAINT MARYS</x:v>
      </x:c>
      <x:c r="D4263" s="2" t="str">
        <x:v>PA</x:v>
      </x:c>
      <x:c r="E4263" s="2" t="str">
        <x:v>Critical Access Hospitals</x:v>
      </x:c>
      <x:c r="F4263" s="2" t="str">
        <x:v>Voluntary non-profit</x:v>
      </x:c>
      <x:c r="G4263" s="2" t="str">
        <x:v>Small (&lt;100 beds)</x:v>
      </x:c>
      <x:c r="H4263" s="7" t="n">
        <x:v>4</x:v>
      </x:c>
      <x:c r="I4263" s="7" t="n">
        <x:v>4</x:v>
      </x:c>
      <x:c r="J4263" s="7"/>
      <x:c r="K4263" s="8" t="n">
        <x:v>25</x:v>
      </x:c>
      <x:c r="L4263" s="8" t="n">
        <x:v>939</x:v>
      </x:c>
      <x:c r="M4263" s="9" t="n">
        <x:v>0.4774794521</x:v>
      </x:c>
      <x:c r="N4263" s="10" t="n">
        <x:v>68751.6762513312</x:v>
      </x:c>
      <x:c r="O4263" s="9" t="n">
        <x:v>0.0608244877</x:v>
      </x:c>
      <x:c r="P4263" s="9" t="n">
        <x:v>0.1360594796</x:v>
      </x:c>
      <x:c r="Q4263" s="9" t="n">
        <x:v>0.1657992565</x:v>
      </x:c>
      <x:c r="R4263" s="3" t="b">
        <x:v>0</x:v>
      </x:c>
      <x:c r="S4263" s="3" t="b">
        <x:v>0</x:v>
      </x:c>
      <x:c r="T4263" s="3" t="b">
        <x:v>0</x:v>
      </x:c>
      <x:c r="U4263" s="2" t="str">
        <x:f>IF(T4263=TRUE,"Priority review",IF(R4263=TRUE,"High cost",IF(S4263=TRUE,"Low quality","Benchmark")))</x:f>
        <x:v>Benchmark</x:v>
      </x:c>
    </x:row>
    <x:row r="4264">
      <x:c r="A4264" s="2" t="str">
        <x:v>154065</x:v>
      </x:c>
      <x:c r="B4264" s="2" t="str">
        <x:v>NEURO BEHAVIORAL HOSPITAL</x:v>
      </x:c>
      <x:c r="C4264" s="2" t="str">
        <x:v>CROWN POINT</x:v>
      </x:c>
      <x:c r="D4264" s="2" t="str">
        <x:v>IN</x:v>
      </x:c>
      <x:c r="E4264" s="2" t="str">
        <x:v>Psychiatric</x:v>
      </x:c>
      <x:c r="F4264" s="2" t="str">
        <x:v>Proprietary</x:v>
      </x:c>
      <x:c r="G4264" s="2" t="str">
        <x:v>Small (&lt;100 beds)</x:v>
      </x:c>
      <x:c r="H4264" s="7"/>
      <x:c r="I4264" s="7"/>
      <x:c r="J4264" s="7"/>
      <x:c r="K4264" s="8" t="n">
        <x:v>70</x:v>
      </x:c>
      <x:c r="L4264" s="8" t="n">
        <x:v>1809</x:v>
      </x:c>
      <x:c r="M4264" s="9" t="n">
        <x:v>0.8325917252</x:v>
      </x:c>
      <x:c r="N4264" s="10" t="n">
        <x:v>7076.8955223881</x:v>
      </x:c>
      <x:c r="O4264" s="9" t="n">
        <x:v>0.3419731424</x:v>
      </x:c>
      <x:c r="P4264" s="9" t="n">
        <x:v>0.1359223301</x:v>
      </x:c>
      <x:c r="Q4264" s="9" t="n">
        <x:v>0</x:v>
      </x:c>
      <x:c r="R4264" s="3" t="b">
        <x:v>0</x:v>
      </x:c>
      <x:c r="S4264" s="3" t="b">
        <x:v>0</x:v>
      </x:c>
      <x:c r="T4264" s="3" t="b">
        <x:v>0</x:v>
      </x:c>
      <x:c r="U4264" s="2" t="str">
        <x:f>IF(T4264=TRUE,"Priority review",IF(R4264=TRUE,"High cost",IF(S4264=TRUE,"Low quality","Benchmark")))</x:f>
        <x:v>Benchmark</x:v>
      </x:c>
    </x:row>
    <x:row r="4265">
      <x:c r="A4265" s="2" t="str">
        <x:v>390179</x:v>
      </x:c>
      <x:c r="B4265" s="2" t="str">
        <x:v>CHESTER COUNTY HOSPITAL</x:v>
      </x:c>
      <x:c r="C4265" s="2" t="str">
        <x:v>WEST CHESTER</x:v>
      </x:c>
      <x:c r="D4265" s="2" t="str">
        <x:v>PA</x:v>
      </x:c>
      <x:c r="E4265" s="2" t="str">
        <x:v>Acute Care Hospitals</x:v>
      </x:c>
      <x:c r="F4265" s="2" t="str">
        <x:v>Voluntary non-profit</x:v>
      </x:c>
      <x:c r="G4265" s="2" t="str">
        <x:v>Large (300+ beds)</x:v>
      </x:c>
      <x:c r="H4265" s="7" t="n">
        <x:v>5</x:v>
      </x:c>
      <x:c r="I4265" s="7" t="n">
        <x:v>4</x:v>
      </x:c>
      <x:c r="J4265" s="7" t="n">
        <x:v>0.97</x:v>
      </x:c>
      <x:c r="K4265" s="8" t="n">
        <x:v>309</x:v>
      </x:c>
      <x:c r="L4265" s="8" t="n">
        <x:v>20941</x:v>
      </x:c>
      <x:c r="M4265" s="9" t="n">
        <x:v>0.6702753026</x:v>
      </x:c>
      <x:c r="N4265" s="10" t="n">
        <x:v>24246.6109068335</x:v>
      </x:c>
      <x:c r="O4265" s="9" t="n">
        <x:v>-0.1117052611</x:v>
      </x:c>
      <x:c r="P4265" s="9" t="n">
        <x:v>0.1356466877</x:v>
      </x:c>
      <x:c r="Q4265" s="9" t="n">
        <x:v>0.8722397476</x:v>
      </x:c>
      <x:c r="R4265" s="3" t="b">
        <x:v>0</x:v>
      </x:c>
      <x:c r="S4265" s="3" t="b">
        <x:v>0</x:v>
      </x:c>
      <x:c r="T4265" s="3" t="b">
        <x:v>0</x:v>
      </x:c>
      <x:c r="U4265" s="2" t="str">
        <x:f>IF(T4265=TRUE,"Priority review",IF(R4265=TRUE,"High cost",IF(S4265=TRUE,"Low quality","Benchmark")))</x:f>
        <x:v>Benchmark</x:v>
      </x:c>
    </x:row>
    <x:row r="4266">
      <x:c r="A4266" s="2" t="str">
        <x:v>220030</x:v>
      </x:c>
      <x:c r="B4266" s="2" t="str">
        <x:v>BAYSTATE WING HOSPITAL</x:v>
      </x:c>
      <x:c r="C4266" s="2" t="str">
        <x:v>PALMER</x:v>
      </x:c>
      <x:c r="D4266" s="2" t="str">
        <x:v>MA</x:v>
      </x:c>
      <x:c r="E4266" s="2" t="str">
        <x:v>Acute Care Hospitals</x:v>
      </x:c>
      <x:c r="F4266" s="2" t="str">
        <x:v>Voluntary non-profit</x:v>
      </x:c>
      <x:c r="G4266" s="2" t="str">
        <x:v>Small (&lt;100 beds)</x:v>
      </x:c>
      <x:c r="H4266" s="7" t="n">
        <x:v>4</x:v>
      </x:c>
      <x:c r="I4266" s="7" t="n">
        <x:v>3</x:v>
      </x:c>
      <x:c r="J4266" s="7" t="n">
        <x:v>0.99</x:v>
      </x:c>
      <x:c r="K4266" s="8" t="n">
        <x:v>41</x:v>
      </x:c>
      <x:c r="L4266" s="8" t="n">
        <x:v>3580</x:v>
      </x:c>
      <x:c r="M4266" s="9" t="n">
        <x:v>0.9656803945</x:v>
      </x:c>
      <x:c r="N4266" s="10" t="n">
        <x:v>29087.8751396648</x:v>
      </x:c>
      <x:c r="O4266" s="9" t="n">
        <x:v>-0.0566324322</x:v>
      </x:c>
      <x:c r="P4266" s="9" t="n">
        <x:v>0.1355475763</x:v>
      </x:c>
      <x:c r="Q4266" s="9" t="n">
        <x:v>0.3913824057</x:v>
      </x:c>
      <x:c r="R4266" s="3" t="b">
        <x:v>0</x:v>
      </x:c>
      <x:c r="S4266" s="3" t="b">
        <x:v>0</x:v>
      </x:c>
      <x:c r="T4266" s="3" t="b">
        <x:v>0</x:v>
      </x:c>
      <x:c r="U4266" s="2" t="str">
        <x:f>IF(T4266=TRUE,"Priority review",IF(R4266=TRUE,"High cost",IF(S4266=TRUE,"Low quality","Benchmark")))</x:f>
        <x:v>Benchmark</x:v>
      </x:c>
    </x:row>
    <x:row r="4267">
      <x:c r="A4267" s="2" t="str">
        <x:v>051320</x:v>
      </x:c>
      <x:c r="B4267" s="2" t="str">
        <x:v>BANNER LASSEN MEDICAL CENTER</x:v>
      </x:c>
      <x:c r="C4267" s="2" t="str">
        <x:v>SUSANVILLE</x:v>
      </x:c>
      <x:c r="D4267" s="2" t="str">
        <x:v>CA</x:v>
      </x:c>
      <x:c r="E4267" s="2" t="str">
        <x:v>Critical Access Hospitals</x:v>
      </x:c>
      <x:c r="F4267" s="2" t="str">
        <x:v>Voluntary non-profit</x:v>
      </x:c>
      <x:c r="G4267" s="2" t="str">
        <x:v>Small (&lt;100 beds)</x:v>
      </x:c>
      <x:c r="H4267" s="7" t="n">
        <x:v>3</x:v>
      </x:c>
      <x:c r="I4267" s="7"/>
      <x:c r="J4267" s="7"/>
      <x:c r="K4267" s="8" t="n">
        <x:v>25</x:v>
      </x:c>
      <x:c r="L4267" s="8" t="n">
        <x:v>730</x:v>
      </x:c>
      <x:c r="M4267" s="9" t="n">
        <x:v>0.3104918033</x:v>
      </x:c>
      <x:c r="N4267" s="10" t="n">
        <x:v>68512.4301369863</x:v>
      </x:c>
      <x:c r="O4267" s="9" t="n">
        <x:v>-0.1601977822</x:v>
      </x:c>
      <x:c r="P4267" s="9" t="n">
        <x:v>0.1353159851</x:v>
      </x:c>
      <x:c r="Q4267" s="9" t="n">
        <x:v>0.0765799257</x:v>
      </x:c>
      <x:c r="R4267" s="3" t="b">
        <x:v>0</x:v>
      </x:c>
      <x:c r="S4267" s="3" t="b">
        <x:v>1</x:v>
      </x:c>
      <x:c r="T4267" s="3" t="b">
        <x:v>0</x:v>
      </x:c>
      <x:c r="U4267" s="2" t="str">
        <x:f>IF(T4267=TRUE,"Priority review",IF(R4267=TRUE,"High cost",IF(S4267=TRUE,"Low quality","Benchmark")))</x:f>
        <x:v>Low quality</x:v>
      </x:c>
    </x:row>
    <x:row r="4268">
      <x:c r="A4268" s="2" t="str">
        <x:v>170176</x:v>
      </x:c>
      <x:c r="B4268" s="2" t="str">
        <x:v>OVERLAND PARK REG MED CTR</x:v>
      </x:c>
      <x:c r="C4268" s="2" t="str">
        <x:v>OVERLAND PARK</x:v>
      </x:c>
      <x:c r="D4268" s="2" t="str">
        <x:v>KS</x:v>
      </x:c>
      <x:c r="E4268" s="2" t="str">
        <x:v>Acute Care Hospitals</x:v>
      </x:c>
      <x:c r="F4268" s="2" t="str">
        <x:v>Proprietary</x:v>
      </x:c>
      <x:c r="G4268" s="2" t="str">
        <x:v>Medium (100-299 beds)</x:v>
      </x:c>
      <x:c r="H4268" s="7" t="n">
        <x:v>4</x:v>
      </x:c>
      <x:c r="I4268" s="7" t="n">
        <x:v>3</x:v>
      </x:c>
      <x:c r="J4268" s="7" t="n">
        <x:v>1.03</x:v>
      </x:c>
      <x:c r="K4268" s="8" t="n">
        <x:v>265</x:v>
      </x:c>
      <x:c r="L4268" s="8" t="n">
        <x:v>14095</x:v>
      </x:c>
      <x:c r="M4268" s="9" t="n">
        <x:v>0.7615119708</x:v>
      </x:c>
      <x:c r="N4268" s="10" t="n">
        <x:v>21171.3371408301</x:v>
      </x:c>
      <x:c r="O4268" s="9" t="n">
        <x:v>0.4080553216</x:v>
      </x:c>
      <x:c r="P4268" s="9" t="n">
        <x:v>0.1352893236</x:v>
      </x:c>
      <x:c r="Q4268" s="9" t="n">
        <x:v>0.6022819886</x:v>
      </x:c>
      <x:c r="R4268" s="3" t="b">
        <x:v>0</x:v>
      </x:c>
      <x:c r="S4268" s="3" t="b">
        <x:v>0</x:v>
      </x:c>
      <x:c r="T4268" s="3" t="b">
        <x:v>0</x:v>
      </x:c>
      <x:c r="U4268" s="2" t="str">
        <x:f>IF(T4268=TRUE,"Priority review",IF(R4268=TRUE,"High cost",IF(S4268=TRUE,"Low quality","Benchmark")))</x:f>
        <x:v>Benchmark</x:v>
      </x:c>
    </x:row>
    <x:row r="4269">
      <x:c r="A4269" s="2" t="str">
        <x:v>440081</x:v>
      </x:c>
      <x:c r="B4269" s="2" t="str">
        <x:v>LECONTE MEDICAL CENTER</x:v>
      </x:c>
      <x:c r="C4269" s="2" t="str">
        <x:v>SEVIERVILLE</x:v>
      </x:c>
      <x:c r="D4269" s="2" t="str">
        <x:v>TN</x:v>
      </x:c>
      <x:c r="E4269" s="2" t="str">
        <x:v>Acute Care Hospitals</x:v>
      </x:c>
      <x:c r="F4269" s="2" t="str">
        <x:v>Voluntary non-profit</x:v>
      </x:c>
      <x:c r="G4269" s="2" t="str">
        <x:v>Small (&lt;100 beds)</x:v>
      </x:c>
      <x:c r="H4269" s="7" t="n">
        <x:v>5</x:v>
      </x:c>
      <x:c r="I4269" s="7" t="n">
        <x:v>4</x:v>
      </x:c>
      <x:c r="J4269" s="7" t="n">
        <x:v>0.94</x:v>
      </x:c>
      <x:c r="K4269" s="8" t="n">
        <x:v>62</x:v>
      </x:c>
      <x:c r="L4269" s="8" t="n">
        <x:v>4180</x:v>
      </x:c>
      <x:c r="M4269" s="9" t="n">
        <x:v>0.7466933681</x:v>
      </x:c>
      <x:c r="N4269" s="10" t="n">
        <x:v>29043.8370813397</x:v>
      </x:c>
      <x:c r="O4269" s="9" t="n">
        <x:v>0.17066317</x:v>
      </x:c>
      <x:c r="P4269" s="9" t="n">
        <x:v>0.1346499102</x:v>
      </x:c>
      <x:c r="Q4269" s="9" t="n">
        <x:v>0.6131059246</x:v>
      </x:c>
      <x:c r="R4269" s="3" t="b">
        <x:v>0</x:v>
      </x:c>
      <x:c r="S4269" s="3" t="b">
        <x:v>0</x:v>
      </x:c>
      <x:c r="T4269" s="3" t="b">
        <x:v>0</x:v>
      </x:c>
      <x:c r="U4269" s="2" t="str">
        <x:f>IF(T4269=TRUE,"Priority review",IF(R4269=TRUE,"High cost",IF(S4269=TRUE,"Low quality","Benchmark")))</x:f>
        <x:v>Benchmark</x:v>
      </x:c>
    </x:row>
    <x:row r="4270">
      <x:c r="A4270" s="2" t="str">
        <x:v>361331</x:v>
      </x:c>
      <x:c r="B4270" s="2" t="str">
        <x:v>ADENA FAYETTE MEDICAL CENTER</x:v>
      </x:c>
      <x:c r="C4270" s="2" t="str">
        <x:v>WASHINGTON CH</x:v>
      </x:c>
      <x:c r="D4270" s="2" t="str">
        <x:v>OH</x:v>
      </x:c>
      <x:c r="E4270" s="2" t="str">
        <x:v>Critical Access Hospitals</x:v>
      </x:c>
      <x:c r="F4270" s="2" t="str">
        <x:v>Government</x:v>
      </x:c>
      <x:c r="G4270" s="2" t="str">
        <x:v>Small (&lt;100 beds)</x:v>
      </x:c>
      <x:c r="H4270" s="7" t="n">
        <x:v>3</x:v>
      </x:c>
      <x:c r="I4270" s="7" t="n">
        <x:v>3</x:v>
      </x:c>
      <x:c r="J4270" s="7"/>
      <x:c r="K4270" s="8" t="n">
        <x:v>25</x:v>
      </x:c>
      <x:c r="L4270" s="8" t="n">
        <x:v>802</x:v>
      </x:c>
      <x:c r="M4270" s="9" t="n">
        <x:v>0.4338797814</x:v>
      </x:c>
      <x:c r="N4270" s="10" t="n">
        <x:v>68465.0162094763</x:v>
      </x:c>
      <x:c r="O4270" s="9" t="n">
        <x:v>0.1348574442</x:v>
      </x:c>
      <x:c r="P4270" s="9" t="n">
        <x:v>0.1345724907</x:v>
      </x:c>
      <x:c r="Q4270" s="9" t="n">
        <x:v>0.0765799257</x:v>
      </x:c>
      <x:c r="R4270" s="3" t="b">
        <x:v>0</x:v>
      </x:c>
      <x:c r="S4270" s="3" t="b">
        <x:v>1</x:v>
      </x:c>
      <x:c r="T4270" s="3" t="b">
        <x:v>0</x:v>
      </x:c>
      <x:c r="U4270" s="2" t="str">
        <x:f>IF(T4270=TRUE,"Priority review",IF(R4270=TRUE,"High cost",IF(S4270=TRUE,"Low quality","Benchmark")))</x:f>
        <x:v>Low quality</x:v>
      </x:c>
    </x:row>
    <x:row r="4271">
      <x:c r="A4271" s="2" t="str">
        <x:v>440012</x:v>
      </x:c>
      <x:c r="B4271" s="2" t="str">
        <x:v>WELLMONT BRISTOL REGIONAL MEDICAL CENTER</x:v>
      </x:c>
      <x:c r="C4271" s="2" t="str">
        <x:v>BRISTOL</x:v>
      </x:c>
      <x:c r="D4271" s="2" t="str">
        <x:v>TN</x:v>
      </x:c>
      <x:c r="E4271" s="2" t="str">
        <x:v>Acute Care Hospitals</x:v>
      </x:c>
      <x:c r="F4271" s="2" t="str">
        <x:v>Government</x:v>
      </x:c>
      <x:c r="G4271" s="2" t="str">
        <x:v>Medium (100-299 beds)</x:v>
      </x:c>
      <x:c r="H4271" s="7" t="n">
        <x:v>2</x:v>
      </x:c>
      <x:c r="I4271" s="7" t="n">
        <x:v>2</x:v>
      </x:c>
      <x:c r="J4271" s="7" t="n">
        <x:v>1.04</x:v>
      </x:c>
      <x:c r="K4271" s="8" t="n">
        <x:v>244</x:v>
      </x:c>
      <x:c r="L4271" s="8" t="n">
        <x:v>14792</x:v>
      </x:c>
      <x:c r="M4271" s="9" t="n">
        <x:v>0.784471143</x:v>
      </x:c>
      <x:c r="N4271" s="10" t="n">
        <x:v>21087.5400892374</x:v>
      </x:c>
      <x:c r="O4271" s="9" t="n">
        <x:v>0.0418921613</x:v>
      </x:c>
      <x:c r="P4271" s="9" t="n">
        <x:v>0.1344743276</x:v>
      </x:c>
      <x:c r="Q4271" s="9" t="n">
        <x:v>0.0782396088</x:v>
      </x:c>
      <x:c r="R4271" s="3" t="b">
        <x:v>0</x:v>
      </x:c>
      <x:c r="S4271" s="3" t="b">
        <x:v>1</x:v>
      </x:c>
      <x:c r="T4271" s="3" t="b">
        <x:v>0</x:v>
      </x:c>
      <x:c r="U4271" s="2" t="str">
        <x:f>IF(T4271=TRUE,"Priority review",IF(R4271=TRUE,"High cost",IF(S4271=TRUE,"Low quality","Benchmark")))</x:f>
        <x:v>Low quality</x:v>
      </x:c>
    </x:row>
    <x:row r="4272">
      <x:c r="A4272" s="2" t="str">
        <x:v>114035</x:v>
      </x:c>
      <x:c r="B4272" s="2" t="str">
        <x:v>RIVERWOODS BEHAVIORAL HEALTH SYSTEM</x:v>
      </x:c>
      <x:c r="C4272" s="2" t="str">
        <x:v>RIVERDALE</x:v>
      </x:c>
      <x:c r="D4272" s="2" t="str">
        <x:v>GA</x:v>
      </x:c>
      <x:c r="E4272" s="2" t="str">
        <x:v>Psychiatric</x:v>
      </x:c>
      <x:c r="F4272" s="2" t="str">
        <x:v>Proprietary</x:v>
      </x:c>
      <x:c r="G4272" s="2" t="str">
        <x:v>Medium (100-299 beds)</x:v>
      </x:c>
      <x:c r="H4272" s="7"/>
      <x:c r="I4272" s="7"/>
      <x:c r="J4272" s="7"/>
      <x:c r="K4272" s="8" t="n">
        <x:v>233</x:v>
      </x:c>
      <x:c r="L4272" s="8" t="n">
        <x:v>7625</x:v>
      </x:c>
      <x:c r="M4272" s="9" t="n">
        <x:v>0.6519735453</x:v>
      </x:c>
      <x:c r="N4272" s="10" t="n">
        <x:v>5935.1735081967</x:v>
      </x:c>
      <x:c r="O4272" s="9" t="n">
        <x:v>-0.0284658036</x:v>
      </x:c>
      <x:c r="P4272" s="9" t="n">
        <x:v>0.1343283582</x:v>
      </x:c>
      <x:c r="Q4272" s="9" t="n">
        <x:v>0</x:v>
      </x:c>
      <x:c r="R4272" s="3" t="b">
        <x:v>0</x:v>
      </x:c>
      <x:c r="S4272" s="3" t="b">
        <x:v>0</x:v>
      </x:c>
      <x:c r="T4272" s="3" t="b">
        <x:v>0</x:v>
      </x:c>
      <x:c r="U4272" s="2" t="str">
        <x:f>IF(T4272=TRUE,"Priority review",IF(R4272=TRUE,"High cost",IF(S4272=TRUE,"Low quality","Benchmark")))</x:f>
        <x:v>Benchmark</x:v>
      </x:c>
    </x:row>
    <x:row r="4273">
      <x:c r="A4273" s="2" t="str">
        <x:v>100062</x:v>
      </x:c>
      <x:c r="B4273" s="2" t="str">
        <x:v>ADVENTHEALTH OCALA</x:v>
      </x:c>
      <x:c r="C4273" s="2" t="str">
        <x:v>OCALA</x:v>
      </x:c>
      <x:c r="D4273" s="2" t="str">
        <x:v>FL</x:v>
      </x:c>
      <x:c r="E4273" s="2" t="str">
        <x:v>Acute Care Hospitals</x:v>
      </x:c>
      <x:c r="F4273" s="2" t="str">
        <x:v>Government</x:v>
      </x:c>
      <x:c r="G4273" s="2" t="str">
        <x:v>Large (300+ beds)</x:v>
      </x:c>
      <x:c r="H4273" s="7" t="n">
        <x:v>4</x:v>
      </x:c>
      <x:c r="I4273" s="7" t="n">
        <x:v>3</x:v>
      </x:c>
      <x:c r="J4273" s="7" t="n">
        <x:v>1.01</x:v>
      </x:c>
      <x:c r="K4273" s="8" t="n">
        <x:v>351</x:v>
      </x:c>
      <x:c r="L4273" s="8" t="n">
        <x:v>20188</x:v>
      </x:c>
      <x:c r="M4273" s="9" t="n">
        <x:v>0.7487569762</x:v>
      </x:c>
      <x:c r="N4273" s="10" t="n">
        <x:v>24203.5200118882</x:v>
      </x:c>
      <x:c r="O4273" s="9" t="n">
        <x:v>0.068602481</x:v>
      </x:c>
      <x:c r="P4273" s="9" t="n">
        <x:v>0.1340694006</x:v>
      </x:c>
      <x:c r="Q4273" s="9" t="n">
        <x:v>0.5899053628</x:v>
      </x:c>
      <x:c r="R4273" s="3" t="b">
        <x:v>0</x:v>
      </x:c>
      <x:c r="S4273" s="3" t="b">
        <x:v>0</x:v>
      </x:c>
      <x:c r="T4273" s="3" t="b">
        <x:v>0</x:v>
      </x:c>
      <x:c r="U4273" s="2" t="str">
        <x:f>IF(T4273=TRUE,"Priority review",IF(R4273=TRUE,"High cost",IF(S4273=TRUE,"Low quality","Benchmark")))</x:f>
        <x:v>Benchmark</x:v>
      </x:c>
    </x:row>
    <x:row r="4274">
      <x:c r="A4274" s="2" t="str">
        <x:v>171351</x:v>
      </x:c>
      <x:c r="B4274" s="2" t="str">
        <x:v>WASHINGTON COUNTY HOSPITAL</x:v>
      </x:c>
      <x:c r="C4274" s="2" t="str">
        <x:v>WASHINGTON</x:v>
      </x:c>
      <x:c r="D4274" s="2" t="str">
        <x:v>KS</x:v>
      </x:c>
      <x:c r="E4274" s="2" t="str">
        <x:v>Critical Access Hospitals</x:v>
      </x:c>
      <x:c r="F4274" s="2" t="str">
        <x:v>Government</x:v>
      </x:c>
      <x:c r="G4274" s="2" t="str">
        <x:v>Small (&lt;100 beds)</x:v>
      </x:c>
      <x:c r="H4274" s="7"/>
      <x:c r="I4274" s="7"/>
      <x:c r="J4274" s="7"/>
      <x:c r="K4274" s="8" t="n">
        <x:v>25</x:v>
      </x:c>
      <x:c r="L4274" s="8" t="n">
        <x:v>130</x:v>
      </x:c>
      <x:c r="M4274" s="9" t="n">
        <x:v>0.1220765027</x:v>
      </x:c>
      <x:c r="N4274" s="10" t="n">
        <x:v>68411.6153846154</x:v>
      </x:c>
      <x:c r="O4274" s="9" t="n">
        <x:v>-0.038191295</x:v>
      </x:c>
      <x:c r="P4274" s="9" t="n">
        <x:v>0.1338289963</x:v>
      </x:c>
      <x:c r="Q4274" s="9" t="n">
        <x:v>0.292936803</x:v>
      </x:c>
      <x:c r="R4274" s="3" t="b">
        <x:v>0</x:v>
      </x:c>
      <x:c r="S4274" s="3" t="b">
        <x:v>0</x:v>
      </x:c>
      <x:c r="T4274" s="3" t="b">
        <x:v>0</x:v>
      </x:c>
      <x:c r="U4274" s="2" t="str">
        <x:f>IF(T4274=TRUE,"Priority review",IF(R4274=TRUE,"High cost",IF(S4274=TRUE,"Low quality","Benchmark")))</x:f>
        <x:v>Benchmark</x:v>
      </x:c>
    </x:row>
    <x:row r="4275">
      <x:c r="A4275" s="2" t="str">
        <x:v>190266</x:v>
      </x:c>
      <x:c r="B4275" s="2" t="str">
        <x:v>THE SPINE HOSPITAL OF LOUISIANA</x:v>
      </x:c>
      <x:c r="C4275" s="2" t="str">
        <x:v>BATON ROUGE</x:v>
      </x:c>
      <x:c r="D4275" s="2" t="str">
        <x:v>LA</x:v>
      </x:c>
      <x:c r="E4275" s="2" t="str">
        <x:v>Acute Care Hospitals</x:v>
      </x:c>
      <x:c r="F4275" s="2" t="str">
        <x:v>Other / unknown</x:v>
      </x:c>
      <x:c r="G4275" s="2" t="str">
        <x:v>Small (&lt;100 beds)</x:v>
      </x:c>
      <x:c r="H4275" s="7"/>
      <x:c r="I4275" s="7" t="n">
        <x:v>4</x:v>
      </x:c>
      <x:c r="J4275" s="7" t="n">
        <x:v>0.99</x:v>
      </x:c>
      <x:c r="K4275" s="8" t="n">
        <x:v>23</x:v>
      </x:c>
      <x:c r="L4275" s="8" t="n">
        <x:v>1482</x:v>
      </x:c>
      <x:c r="M4275" s="9" t="n">
        <x:v>0.2973390354</x:v>
      </x:c>
      <x:c r="N4275" s="10" t="n">
        <x:v>28845.7145748988</x:v>
      </x:c>
      <x:c r="O4275" s="9" t="n">
        <x:v>0.3615958912</x:v>
      </x:c>
      <x:c r="P4275" s="9" t="n">
        <x:v>0.1337522442</x:v>
      </x:c>
      <x:c r="Q4275" s="9" t="n">
        <x:v>0.697486535</x:v>
      </x:c>
      <x:c r="R4275" s="3" t="b">
        <x:v>0</x:v>
      </x:c>
      <x:c r="S4275" s="3" t="b">
        <x:v>0</x:v>
      </x:c>
      <x:c r="T4275" s="3" t="b">
        <x:v>0</x:v>
      </x:c>
      <x:c r="U4275" s="2" t="str">
        <x:f>IF(T4275=TRUE,"Priority review",IF(R4275=TRUE,"High cost",IF(S4275=TRUE,"Low quality","Benchmark")))</x:f>
        <x:v>Benchmark</x:v>
      </x:c>
    </x:row>
    <x:row r="4276">
      <x:c r="A4276" s="2" t="str">
        <x:v>250072</x:v>
      </x:c>
      <x:c r="B4276" s="2" t="str">
        <x:v>MERIT HEALTH CENTRAL</x:v>
      </x:c>
      <x:c r="C4276" s="2" t="str">
        <x:v>JACKSON</x:v>
      </x:c>
      <x:c r="D4276" s="2" t="str">
        <x:v>MS</x:v>
      </x:c>
      <x:c r="E4276" s="2" t="str">
        <x:v>Acute Care Hospitals</x:v>
      </x:c>
      <x:c r="F4276" s="2" t="str">
        <x:v>Proprietary</x:v>
      </x:c>
      <x:c r="G4276" s="2" t="str">
        <x:v>Medium (100-299 beds)</x:v>
      </x:c>
      <x:c r="H4276" s="7" t="n">
        <x:v>3</x:v>
      </x:c>
      <x:c r="I4276" s="7"/>
      <x:c r="J4276" s="7" t="n">
        <x:v>0.91</x:v>
      </x:c>
      <x:c r="K4276" s="8" t="n">
        <x:v>238</x:v>
      </x:c>
      <x:c r="L4276" s="8" t="n">
        <x:v>4605</x:v>
      </x:c>
      <x:c r="M4276" s="9" t="n">
        <x:v>0.3579349773</x:v>
      </x:c>
      <x:c r="N4276" s="10" t="n">
        <x:v>21069.0525515744</x:v>
      </x:c>
      <x:c r="O4276" s="9" t="n">
        <x:v>-0.0007396808</x:v>
      </x:c>
      <x:c r="P4276" s="9" t="n">
        <x:v>0.1336593317</x:v>
      </x:c>
      <x:c r="Q4276" s="9" t="n">
        <x:v>0.3023634882</x:v>
      </x:c>
      <x:c r="R4276" s="3" t="b">
        <x:v>0</x:v>
      </x:c>
      <x:c r="S4276" s="3" t="b">
        <x:v>0</x:v>
      </x:c>
      <x:c r="T4276" s="3" t="b">
        <x:v>0</x:v>
      </x:c>
      <x:c r="U4276" s="2" t="str">
        <x:f>IF(T4276=TRUE,"Priority review",IF(R4276=TRUE,"High cost",IF(S4276=TRUE,"Low quality","Benchmark")))</x:f>
        <x:v>Benchmark</x:v>
      </x:c>
    </x:row>
    <x:row r="4277">
      <x:c r="A4277" s="2" t="str">
        <x:v>451378</x:v>
      </x:c>
      <x:c r="B4277" s="2" t="str">
        <x:v>BIG BEND REGIONAL MEDICAL CENTER</x:v>
      </x:c>
      <x:c r="C4277" s="2" t="str">
        <x:v>ALPINE</x:v>
      </x:c>
      <x:c r="D4277" s="2" t="str">
        <x:v>TX</x:v>
      </x:c>
      <x:c r="E4277" s="2" t="str">
        <x:v>Critical Access Hospitals</x:v>
      </x:c>
      <x:c r="F4277" s="2" t="str">
        <x:v>Proprietary</x:v>
      </x:c>
      <x:c r="G4277" s="2" t="str">
        <x:v>Small (&lt;100 beds)</x:v>
      </x:c>
      <x:c r="H4277" s="7"/>
      <x:c r="I4277" s="7" t="n">
        <x:v>4</x:v>
      </x:c>
      <x:c r="J4277" s="7"/>
      <x:c r="K4277" s="8" t="n">
        <x:v>25</x:v>
      </x:c>
      <x:c r="L4277" s="8" t="n">
        <x:v>436</x:v>
      </x:c>
      <x:c r="M4277" s="9" t="n">
        <x:v>0.3064480874</x:v>
      </x:c>
      <x:c r="N4277" s="10" t="n">
        <x:v>68376.8302752294</x:v>
      </x:c>
      <x:c r="O4277" s="9" t="n">
        <x:v>0.0467075382</x:v>
      </x:c>
      <x:c r="P4277" s="9" t="n">
        <x:v>0.1330855019</x:v>
      </x:c>
      <x:c r="Q4277" s="9" t="n">
        <x:v>0.292936803</x:v>
      </x:c>
      <x:c r="R4277" s="3" t="b">
        <x:v>0</x:v>
      </x:c>
      <x:c r="S4277" s="3" t="b">
        <x:v>0</x:v>
      </x:c>
      <x:c r="T4277" s="3" t="b">
        <x:v>0</x:v>
      </x:c>
      <x:c r="U4277" s="2" t="str">
        <x:f>IF(T4277=TRUE,"Priority review",IF(R4277=TRUE,"High cost",IF(S4277=TRUE,"Low quality","Benchmark")))</x:f>
        <x:v>Benchmark</x:v>
      </x:c>
    </x:row>
    <x:row r="4278">
      <x:c r="A4278" s="2" t="str">
        <x:v>240213</x:v>
      </x:c>
      <x:c r="B4278" s="2" t="str">
        <x:v>M HEALTH FAIRVIEW WOODWINDS HOSPITAL</x:v>
      </x:c>
      <x:c r="C4278" s="2" t="str">
        <x:v>WOODBURY</x:v>
      </x:c>
      <x:c r="D4278" s="2" t="str">
        <x:v>MN</x:v>
      </x:c>
      <x:c r="E4278" s="2" t="str">
        <x:v>Acute Care Hospitals</x:v>
      </x:c>
      <x:c r="F4278" s="2" t="str">
        <x:v>Voluntary non-profit</x:v>
      </x:c>
      <x:c r="G4278" s="2" t="str">
        <x:v>Small (&lt;100 beds)</x:v>
      </x:c>
      <x:c r="H4278" s="7" t="n">
        <x:v>4</x:v>
      </x:c>
      <x:c r="I4278" s="7" t="n">
        <x:v>3</x:v>
      </x:c>
      <x:c r="J4278" s="7" t="n">
        <x:v>0.9</x:v>
      </x:c>
      <x:c r="K4278" s="8" t="n">
        <x:v>86</x:v>
      </x:c>
      <x:c r="L4278" s="8" t="n">
        <x:v>7441</x:v>
      </x:c>
      <x:c r="M4278" s="9" t="n">
        <x:v>0.872728428</x:v>
      </x:c>
      <x:c r="N4278" s="10" t="n">
        <x:v>28752.3756215562</x:v>
      </x:c>
      <x:c r="O4278" s="9" t="n">
        <x:v>0.0240380411</x:v>
      </x:c>
      <x:c r="P4278" s="9" t="n">
        <x:v>0.1328545781</x:v>
      </x:c>
      <x:c r="Q4278" s="9" t="n">
        <x:v>0.3913824057</x:v>
      </x:c>
      <x:c r="R4278" s="3" t="b">
        <x:v>0</x:v>
      </x:c>
      <x:c r="S4278" s="3" t="b">
        <x:v>0</x:v>
      </x:c>
      <x:c r="T4278" s="3" t="b">
        <x:v>0</x:v>
      </x:c>
      <x:c r="U4278" s="2" t="str">
        <x:f>IF(T4278=TRUE,"Priority review",IF(R4278=TRUE,"High cost",IF(S4278=TRUE,"Low quality","Benchmark")))</x:f>
        <x:v>Benchmark</x:v>
      </x:c>
    </x:row>
    <x:row r="4279">
      <x:c r="A4279" s="2" t="str">
        <x:v>100161</x:v>
      </x:c>
      <x:c r="B4279" s="2" t="str">
        <x:v>CENTRAL FLORIDA LAKE MONROE HOSPITAL</x:v>
      </x:c>
      <x:c r="C4279" s="2" t="str">
        <x:v>SANFORD</x:v>
      </x:c>
      <x:c r="D4279" s="2" t="str">
        <x:v>FL</x:v>
      </x:c>
      <x:c r="E4279" s="2" t="str">
        <x:v>Acute Care Hospitals</x:v>
      </x:c>
      <x:c r="F4279" s="2" t="str">
        <x:v>Proprietary</x:v>
      </x:c>
      <x:c r="G4279" s="2" t="str">
        <x:v>Medium (100-299 beds)</x:v>
      </x:c>
      <x:c r="H4279" s="7" t="n">
        <x:v>2</x:v>
      </x:c>
      <x:c r="I4279" s="7" t="n">
        <x:v>1</x:v>
      </x:c>
      <x:c r="J4279" s="7" t="n">
        <x:v>1.06</x:v>
      </x:c>
      <x:c r="K4279" s="8" t="n">
        <x:v>199</x:v>
      </x:c>
      <x:c r="L4279" s="8" t="n">
        <x:v>9920</x:v>
      </x:c>
      <x:c r="M4279" s="9" t="n">
        <x:v>0.5939147794</x:v>
      </x:c>
      <x:c r="N4279" s="10" t="n">
        <x:v>21044.8290322581</x:v>
      </x:c>
      <x:c r="O4279" s="9" t="n">
        <x:v>0.2124565561</x:v>
      </x:c>
      <x:c r="P4279" s="9" t="n">
        <x:v>0.1328443358</x:v>
      </x:c>
      <x:c r="Q4279" s="9" t="n">
        <x:v>0.0782396088</x:v>
      </x:c>
      <x:c r="R4279" s="3" t="b">
        <x:v>0</x:v>
      </x:c>
      <x:c r="S4279" s="3" t="b">
        <x:v>1</x:v>
      </x:c>
      <x:c r="T4279" s="3" t="b">
        <x:v>0</x:v>
      </x:c>
      <x:c r="U4279" s="2" t="str">
        <x:f>IF(T4279=TRUE,"Priority review",IF(R4279=TRUE,"High cost",IF(S4279=TRUE,"Low quality","Benchmark")))</x:f>
        <x:v>Low quality</x:v>
      </x:c>
    </x:row>
    <x:row r="4280">
      <x:c r="A4280" s="2" t="str">
        <x:v>194091</x:v>
      </x:c>
      <x:c r="B4280" s="2" t="str">
        <x:v>OCEANS BEHAVIORAL HOSPITAL OF KENTWOOD</x:v>
      </x:c>
      <x:c r="C4280" s="2" t="str">
        <x:v>KENTWOOD</x:v>
      </x:c>
      <x:c r="D4280" s="2" t="str">
        <x:v>LA</x:v>
      </x:c>
      <x:c r="E4280" s="2" t="str">
        <x:v>Psychiatric</x:v>
      </x:c>
      <x:c r="F4280" s="2" t="str">
        <x:v>Proprietary</x:v>
      </x:c>
      <x:c r="G4280" s="2" t="str">
        <x:v>Small (&lt;100 beds)</x:v>
      </x:c>
      <x:c r="H4280" s="7"/>
      <x:c r="I4280" s="7"/>
      <x:c r="J4280" s="7"/>
      <x:c r="K4280" s="8" t="n">
        <x:v>52</x:v>
      </x:c>
      <x:c r="L4280" s="8" t="n">
        <x:v>1653</x:v>
      </x:c>
      <x:c r="M4280" s="9" t="n">
        <x:v>0.834962169</x:v>
      </x:c>
      <x:c r="N4280" s="10" t="n">
        <x:v>7068.9503932244</x:v>
      </x:c>
      <x:c r="O4280" s="9" t="n">
        <x:v>0.2294710131</x:v>
      </x:c>
      <x:c r="P4280" s="9" t="n">
        <x:v>0.1326860841</x:v>
      </x:c>
      <x:c r="Q4280" s="9" t="n">
        <x:v>0</x:v>
      </x:c>
      <x:c r="R4280" s="3" t="b">
        <x:v>0</x:v>
      </x:c>
      <x:c r="S4280" s="3" t="b">
        <x:v>0</x:v>
      </x:c>
      <x:c r="T4280" s="3" t="b">
        <x:v>0</x:v>
      </x:c>
      <x:c r="U4280" s="2" t="str">
        <x:f>IF(T4280=TRUE,"Priority review",IF(R4280=TRUE,"High cost",IF(S4280=TRUE,"Low quality","Benchmark")))</x:f>
        <x:v>Benchmark</x:v>
      </x:c>
    </x:row>
    <x:row r="4281">
      <x:c r="A4281" s="2" t="str">
        <x:v>030010</x:v>
      </x:c>
      <x:c r="B4281" s="2" t="str">
        <x:v>ST. MARY'S HOSPITAL</x:v>
      </x:c>
      <x:c r="C4281" s="2" t="str">
        <x:v>TUCSON</x:v>
      </x:c>
      <x:c r="D4281" s="2" t="str">
        <x:v>AZ</x:v>
      </x:c>
      <x:c r="E4281" s="2" t="str">
        <x:v>Acute Care Hospitals</x:v>
      </x:c>
      <x:c r="F4281" s="2" t="str">
        <x:v>Voluntary non-profit</x:v>
      </x:c>
      <x:c r="G4281" s="2" t="str">
        <x:v>Large (300+ beds)</x:v>
      </x:c>
      <x:c r="H4281" s="7" t="n">
        <x:v>2</x:v>
      </x:c>
      <x:c r="I4281" s="7" t="n">
        <x:v>2</x:v>
      </x:c>
      <x:c r="J4281" s="7" t="n">
        <x:v>0.98</x:v>
      </x:c>
      <x:c r="K4281" s="8" t="n">
        <x:v>357</x:v>
      </x:c>
      <x:c r="L4281" s="8" t="n">
        <x:v>8807</x:v>
      </x:c>
      <x:c r="M4281" s="9" t="n">
        <x:v>0.3123824872</x:v>
      </x:c>
      <x:c r="N4281" s="10" t="n">
        <x:v>24095.5007380493</x:v>
      </x:c>
      <x:c r="O4281" s="9" t="n">
        <x:v>0.117603386</x:v>
      </x:c>
      <x:c r="P4281" s="9" t="n">
        <x:v>0.1324921136</x:v>
      </x:c>
      <x:c r="Q4281" s="9" t="n">
        <x:v>0.0536277603</x:v>
      </x:c>
      <x:c r="R4281" s="3" t="b">
        <x:v>0</x:v>
      </x:c>
      <x:c r="S4281" s="3" t="b">
        <x:v>1</x:v>
      </x:c>
      <x:c r="T4281" s="3" t="b">
        <x:v>0</x:v>
      </x:c>
      <x:c r="U4281" s="2" t="str">
        <x:f>IF(T4281=TRUE,"Priority review",IF(R4281=TRUE,"High cost",IF(S4281=TRUE,"Low quality","Benchmark")))</x:f>
        <x:v>Low quality</x:v>
      </x:c>
    </x:row>
    <x:row r="4282">
      <x:c r="A4282" s="2" t="str">
        <x:v>171315</x:v>
      </x:c>
      <x:c r="B4282" s="2" t="str">
        <x:v>NEMAHA VALLEY COMMUNITY HOSPITAL</x:v>
      </x:c>
      <x:c r="C4282" s="2" t="str">
        <x:v>SENECA</x:v>
      </x:c>
      <x:c r="D4282" s="2" t="str">
        <x:v>KS</x:v>
      </x:c>
      <x:c r="E4282" s="2" t="str">
        <x:v>Critical Access Hospitals</x:v>
      </x:c>
      <x:c r="F4282" s="2" t="str">
        <x:v>Voluntary non-profit</x:v>
      </x:c>
      <x:c r="G4282" s="2" t="str">
        <x:v>Small (&lt;100 beds)</x:v>
      </x:c>
      <x:c r="H4282" s="7"/>
      <x:c r="I4282" s="7"/>
      <x:c r="J4282" s="7"/>
      <x:c r="K4282" s="8" t="n">
        <x:v>18</x:v>
      </x:c>
      <x:c r="L4282" s="8" t="n">
        <x:v>416</x:v>
      </x:c>
      <x:c r="M4282" s="9" t="n">
        <x:v>0.3054794521</x:v>
      </x:c>
      <x:c r="N4282" s="10" t="n">
        <x:v>67882.5240384615</x:v>
      </x:c>
      <x:c r="O4282" s="9" t="n">
        <x:v>-0.1075604113</x:v>
      </x:c>
      <x:c r="P4282" s="9" t="n">
        <x:v>0.1323420074</x:v>
      </x:c>
      <x:c r="Q4282" s="9" t="n">
        <x:v>0.292936803</x:v>
      </x:c>
      <x:c r="R4282" s="3" t="b">
        <x:v>0</x:v>
      </x:c>
      <x:c r="S4282" s="3" t="b">
        <x:v>0</x:v>
      </x:c>
      <x:c r="T4282" s="3" t="b">
        <x:v>0</x:v>
      </x:c>
      <x:c r="U4282" s="2" t="str">
        <x:f>IF(T4282=TRUE,"Priority review",IF(R4282=TRUE,"High cost",IF(S4282=TRUE,"Low quality","Benchmark")))</x:f>
        <x:v>Benchmark</x:v>
      </x:c>
    </x:row>
    <x:row r="4283">
      <x:c r="A4283" s="2" t="str">
        <x:v>100166</x:v>
      </x:c>
      <x:c r="B4283" s="2" t="str">
        <x:v>HCA FLORIDA SARASOTA DOCTORS HOSPITAL</x:v>
      </x:c>
      <x:c r="C4283" s="2" t="str">
        <x:v>SARASOTA</x:v>
      </x:c>
      <x:c r="D4283" s="2" t="str">
        <x:v>FL</x:v>
      </x:c>
      <x:c r="E4283" s="2" t="str">
        <x:v>Acute Care Hospitals</x:v>
      </x:c>
      <x:c r="F4283" s="2" t="str">
        <x:v>Proprietary</x:v>
      </x:c>
      <x:c r="G4283" s="2" t="str">
        <x:v>Medium (100-299 beds)</x:v>
      </x:c>
      <x:c r="H4283" s="7" t="n">
        <x:v>4</x:v>
      </x:c>
      <x:c r="I4283" s="7" t="n">
        <x:v>3</x:v>
      </x:c>
      <x:c r="J4283" s="7" t="n">
        <x:v>1.03</x:v>
      </x:c>
      <x:c r="K4283" s="8" t="n">
        <x:v>139</x:v>
      </x:c>
      <x:c r="L4283" s="8" t="n">
        <x:v>7965</x:v>
      </x:c>
      <x:c r="M4283" s="9" t="n">
        <x:v>0.6451429021</x:v>
      </x:c>
      <x:c r="N4283" s="10" t="n">
        <x:v>21037.8490897677</x:v>
      </x:c>
      <x:c r="O4283" s="9" t="n">
        <x:v>0.1789788279</x:v>
      </x:c>
      <x:c r="P4283" s="9" t="n">
        <x:v>0.1320293399</x:v>
      </x:c>
      <x:c r="Q4283" s="9" t="n">
        <x:v>0.6022819886</x:v>
      </x:c>
      <x:c r="R4283" s="3" t="b">
        <x:v>0</x:v>
      </x:c>
      <x:c r="S4283" s="3" t="b">
        <x:v>0</x:v>
      </x:c>
      <x:c r="T4283" s="3" t="b">
        <x:v>0</x:v>
      </x:c>
      <x:c r="U4283" s="2" t="str">
        <x:f>IF(T4283=TRUE,"Priority review",IF(R4283=TRUE,"High cost",IF(S4283=TRUE,"Low quality","Benchmark")))</x:f>
        <x:v>Benchmark</x:v>
      </x:c>
    </x:row>
    <x:row r="4284">
      <x:c r="A4284" s="2" t="str">
        <x:v>110225</x:v>
      </x:c>
      <x:c r="B4284" s="2" t="str">
        <x:v>PIEDMONT MOUNTAINSIDE HOSPITAL INC</x:v>
      </x:c>
      <x:c r="C4284" s="2" t="str">
        <x:v>JASPER</x:v>
      </x:c>
      <x:c r="D4284" s="2" t="str">
        <x:v>GA</x:v>
      </x:c>
      <x:c r="E4284" s="2" t="str">
        <x:v>Acute Care Hospitals</x:v>
      </x:c>
      <x:c r="F4284" s="2" t="str">
        <x:v>Voluntary non-profit</x:v>
      </x:c>
      <x:c r="G4284" s="2" t="str">
        <x:v>Small (&lt;100 beds)</x:v>
      </x:c>
      <x:c r="H4284" s="7" t="n">
        <x:v>4</x:v>
      </x:c>
      <x:c r="I4284" s="7" t="n">
        <x:v>3</x:v>
      </x:c>
      <x:c r="J4284" s="7" t="n">
        <x:v>0.91</x:v>
      </x:c>
      <x:c r="K4284" s="8" t="n">
        <x:v>65</x:v>
      </x:c>
      <x:c r="L4284" s="8" t="n">
        <x:v>4829</x:v>
      </x:c>
      <x:c r="M4284" s="9" t="n">
        <x:v>0.8394251931</x:v>
      </x:c>
      <x:c r="N4284" s="10" t="n">
        <x:v>28729.007869124</x:v>
      </x:c>
      <x:c r="O4284" s="9" t="n">
        <x:v>0.1588419646</x:v>
      </x:c>
      <x:c r="P4284" s="9" t="n">
        <x:v>0.131956912</x:v>
      </x:c>
      <x:c r="Q4284" s="9" t="n">
        <x:v>0.3913824057</x:v>
      </x:c>
      <x:c r="R4284" s="3" t="b">
        <x:v>0</x:v>
      </x:c>
      <x:c r="S4284" s="3" t="b">
        <x:v>0</x:v>
      </x:c>
      <x:c r="T4284" s="3" t="b">
        <x:v>0</x:v>
      </x:c>
      <x:c r="U4284" s="2" t="str">
        <x:f>IF(T4284=TRUE,"Priority review",IF(R4284=TRUE,"High cost",IF(S4284=TRUE,"Low quality","Benchmark")))</x:f>
        <x:v>Benchmark</x:v>
      </x:c>
    </x:row>
    <x:row r="4285">
      <x:c r="A4285" s="2" t="str">
        <x:v>511308</x:v>
      </x:c>
      <x:c r="B4285" s="2" t="str">
        <x:v>BRAXTON COUNTY MEMORIAL HOSPITAL, INC</x:v>
      </x:c>
      <x:c r="C4285" s="2" t="str">
        <x:v>GASSAWAY</x:v>
      </x:c>
      <x:c r="D4285" s="2" t="str">
        <x:v>WV</x:v>
      </x:c>
      <x:c r="E4285" s="2" t="str">
        <x:v>Critical Access Hospitals</x:v>
      </x:c>
      <x:c r="F4285" s="2" t="str">
        <x:v>Voluntary non-profit</x:v>
      </x:c>
      <x:c r="G4285" s="2" t="str">
        <x:v>Small (&lt;100 beds)</x:v>
      </x:c>
      <x:c r="H4285" s="7"/>
      <x:c r="I4285" s="7" t="n">
        <x:v>4</x:v>
      </x:c>
      <x:c r="J4285" s="7"/>
      <x:c r="K4285" s="8" t="n">
        <x:v>25</x:v>
      </x:c>
      <x:c r="L4285" s="8" t="n">
        <x:v>436</x:v>
      </x:c>
      <x:c r="M4285" s="9" t="n">
        <x:v>0.2220765027</x:v>
      </x:c>
      <x:c r="N4285" s="10" t="n">
        <x:v>67841.8417431193</x:v>
      </x:c>
      <x:c r="O4285" s="9" t="n">
        <x:v>0.134666538</x:v>
      </x:c>
      <x:c r="P4285" s="9" t="n">
        <x:v>0.131598513</x:v>
      </x:c>
      <x:c r="Q4285" s="9" t="n">
        <x:v>0.292936803</x:v>
      </x:c>
      <x:c r="R4285" s="3" t="b">
        <x:v>0</x:v>
      </x:c>
      <x:c r="S4285" s="3" t="b">
        <x:v>0</x:v>
      </x:c>
      <x:c r="T4285" s="3" t="b">
        <x:v>0</x:v>
      </x:c>
      <x:c r="U4285" s="2" t="str">
        <x:f>IF(T4285=TRUE,"Priority review",IF(R4285=TRUE,"High cost",IF(S4285=TRUE,"Low quality","Benchmark")))</x:f>
        <x:v>Benchmark</x:v>
      </x:c>
    </x:row>
    <x:row r="4286">
      <x:c r="A4286" s="2" t="str">
        <x:v>100045</x:v>
      </x:c>
      <x:c r="B4286" s="2" t="str">
        <x:v>ADVENTHEALTH DELAND</x:v>
      </x:c>
      <x:c r="C4286" s="2" t="str">
        <x:v>DELAND</x:v>
      </x:c>
      <x:c r="D4286" s="2" t="str">
        <x:v>FL</x:v>
      </x:c>
      <x:c r="E4286" s="2" t="str">
        <x:v>Acute Care Hospitals</x:v>
      </x:c>
      <x:c r="F4286" s="2" t="str">
        <x:v>Voluntary non-profit</x:v>
      </x:c>
      <x:c r="G4286" s="2" t="str">
        <x:v>Medium (100-299 beds)</x:v>
      </x:c>
      <x:c r="H4286" s="7" t="n">
        <x:v>4</x:v>
      </x:c>
      <x:c r="I4286" s="7" t="n">
        <x:v>4</x:v>
      </x:c>
      <x:c r="J4286" s="7" t="n">
        <x:v>1</x:v>
      </x:c>
      <x:c r="K4286" s="8" t="n">
        <x:v>143</x:v>
      </x:c>
      <x:c r="L4286" s="8" t="n">
        <x:v>10263</x:v>
      </x:c>
      <x:c r="M4286" s="9" t="n">
        <x:v>0.8079406932</x:v>
      </x:c>
      <x:c r="N4286" s="10" t="n">
        <x:v>21001.5165156387</x:v>
      </x:c>
      <x:c r="O4286" s="9" t="n">
        <x:v>0.2044403024</x:v>
      </x:c>
      <x:c r="P4286" s="9" t="n">
        <x:v>0.1312143439</x:v>
      </x:c>
      <x:c r="Q4286" s="9" t="n">
        <x:v>0.6022819886</x:v>
      </x:c>
      <x:c r="R4286" s="3" t="b">
        <x:v>0</x:v>
      </x:c>
      <x:c r="S4286" s="3" t="b">
        <x:v>0</x:v>
      </x:c>
      <x:c r="T4286" s="3" t="b">
        <x:v>0</x:v>
      </x:c>
      <x:c r="U4286" s="2" t="str">
        <x:f>IF(T4286=TRUE,"Priority review",IF(R4286=TRUE,"High cost",IF(S4286=TRUE,"Low quality","Benchmark")))</x:f>
        <x:v>Benchmark</x:v>
      </x:c>
    </x:row>
    <x:row r="4287">
      <x:c r="A4287" s="2" t="str">
        <x:v>420037</x:v>
      </x:c>
      <x:c r="B4287" s="2" t="str">
        <x:v>PRISMA HEALTH HILLCREST HOSPITAL</x:v>
      </x:c>
      <x:c r="C4287" s="2" t="str">
        <x:v>SIMPSONVILLE</x:v>
      </x:c>
      <x:c r="D4287" s="2" t="str">
        <x:v>SC</x:v>
      </x:c>
      <x:c r="E4287" s="2" t="str">
        <x:v>Acute Care Hospitals</x:v>
      </x:c>
      <x:c r="F4287" s="2" t="str">
        <x:v>Voluntary non-profit</x:v>
      </x:c>
      <x:c r="G4287" s="2" t="str">
        <x:v>Small (&lt;100 beds)</x:v>
      </x:c>
      <x:c r="H4287" s="7" t="n">
        <x:v>4</x:v>
      </x:c>
      <x:c r="I4287" s="7" t="n">
        <x:v>4</x:v>
      </x:c>
      <x:c r="J4287" s="7" t="n">
        <x:v>0.98</x:v>
      </x:c>
      <x:c r="K4287" s="8" t="n">
        <x:v>43</x:v>
      </x:c>
      <x:c r="L4287" s="8" t="n">
        <x:v>3334</x:v>
      </x:c>
      <x:c r="M4287" s="9" t="n">
        <x:v>0.6928453425</x:v>
      </x:c>
      <x:c r="N4287" s="10" t="n">
        <x:v>28689.7570485903</x:v>
      </x:c>
      <x:c r="O4287" s="9" t="n">
        <x:v>0.2878423723</x:v>
      </x:c>
      <x:c r="P4287" s="9" t="n">
        <x:v>0.131059246</x:v>
      </x:c>
      <x:c r="Q4287" s="9" t="n">
        <x:v>0.3913824057</x:v>
      </x:c>
      <x:c r="R4287" s="3" t="b">
        <x:v>0</x:v>
      </x:c>
      <x:c r="S4287" s="3" t="b">
        <x:v>0</x:v>
      </x:c>
      <x:c r="T4287" s="3" t="b">
        <x:v>0</x:v>
      </x:c>
      <x:c r="U4287" s="2" t="str">
        <x:f>IF(T4287=TRUE,"Priority review",IF(R4287=TRUE,"High cost",IF(S4287=TRUE,"Low quality","Benchmark")))</x:f>
        <x:v>Benchmark</x:v>
      </x:c>
    </x:row>
    <x:row r="4288">
      <x:c r="A4288" s="2" t="str">
        <x:v>450771</x:v>
      </x:c>
      <x:c r="B4288" s="2" t="str">
        <x:v>TEXAS HEALTH PRESBYTERIAN HOSPITAL PLANO</x:v>
      </x:c>
      <x:c r="C4288" s="2" t="str">
        <x:v>PLANO</x:v>
      </x:c>
      <x:c r="D4288" s="2" t="str">
        <x:v>TX</x:v>
      </x:c>
      <x:c r="E4288" s="2" t="str">
        <x:v>Acute Care Hospitals</x:v>
      </x:c>
      <x:c r="F4288" s="2" t="str">
        <x:v>Voluntary non-profit</x:v>
      </x:c>
      <x:c r="G4288" s="2" t="str">
        <x:v>Large (300+ beds)</x:v>
      </x:c>
      <x:c r="H4288" s="7" t="n">
        <x:v>4</x:v>
      </x:c>
      <x:c r="I4288" s="7" t="n">
        <x:v>3</x:v>
      </x:c>
      <x:c r="J4288" s="7" t="n">
        <x:v>1.07</x:v>
      </x:c>
      <x:c r="K4288" s="8" t="n">
        <x:v>316</x:v>
      </x:c>
      <x:c r="L4288" s="8" t="n">
        <x:v>19886</x:v>
      </x:c>
      <x:c r="M4288" s="9" t="n">
        <x:v>0.7978545147</x:v>
      </x:c>
      <x:c r="N4288" s="10" t="n">
        <x:v>24080.0240872976</x:v>
      </x:c>
      <x:c r="O4288" s="9" t="n">
        <x:v>0.1549828794</x:v>
      </x:c>
      <x:c r="P4288" s="9" t="n">
        <x:v>0.1309148265</x:v>
      </x:c>
      <x:c r="Q4288" s="9" t="n">
        <x:v>0.5899053628</x:v>
      </x:c>
      <x:c r="R4288" s="3" t="b">
        <x:v>0</x:v>
      </x:c>
      <x:c r="S4288" s="3" t="b">
        <x:v>0</x:v>
      </x:c>
      <x:c r="T4288" s="3" t="b">
        <x:v>0</x:v>
      </x:c>
      <x:c r="U4288" s="2" t="str">
        <x:f>IF(T4288=TRUE,"Priority review",IF(R4288=TRUE,"High cost",IF(S4288=TRUE,"Low quality","Benchmark")))</x:f>
        <x:v>Benchmark</x:v>
      </x:c>
    </x:row>
    <x:row r="4289">
      <x:c r="A4289" s="2" t="str">
        <x:v>511316</x:v>
      </x:c>
      <x:c r="B4289" s="2" t="str">
        <x:v>GRANT MEMORIAL HOSPITAL</x:v>
      </x:c>
      <x:c r="C4289" s="2" t="str">
        <x:v>PETERSBURG</x:v>
      </x:c>
      <x:c r="D4289" s="2" t="str">
        <x:v>WV</x:v>
      </x:c>
      <x:c r="E4289" s="2" t="str">
        <x:v>Critical Access Hospitals</x:v>
      </x:c>
      <x:c r="F4289" s="2" t="str">
        <x:v>Voluntary non-profit</x:v>
      </x:c>
      <x:c r="G4289" s="2" t="str">
        <x:v>Small (&lt;100 beds)</x:v>
      </x:c>
      <x:c r="H4289" s="7" t="n">
        <x:v>3</x:v>
      </x:c>
      <x:c r="I4289" s="7" t="n">
        <x:v>5</x:v>
      </x:c>
      <x:c r="J4289" s="7"/>
      <x:c r="K4289" s="8" t="n">
        <x:v>25</x:v>
      </x:c>
      <x:c r="L4289" s="8" t="n">
        <x:v>891</x:v>
      </x:c>
      <x:c r="M4289" s="9" t="n">
        <x:v>0.5733333333</x:v>
      </x:c>
      <x:c r="N4289" s="10" t="n">
        <x:v>67803.088664422</x:v>
      </x:c>
      <x:c r="O4289" s="9" t="n">
        <x:v>-0.0544667636</x:v>
      </x:c>
      <x:c r="P4289" s="9" t="n">
        <x:v>0.1308550186</x:v>
      </x:c>
      <x:c r="Q4289" s="9" t="n">
        <x:v>0.0765799257</x:v>
      </x:c>
      <x:c r="R4289" s="3" t="b">
        <x:v>0</x:v>
      </x:c>
      <x:c r="S4289" s="3" t="b">
        <x:v>1</x:v>
      </x:c>
      <x:c r="T4289" s="3" t="b">
        <x:v>0</x:v>
      </x:c>
      <x:c r="U4289" s="2" t="str">
        <x:f>IF(T4289=TRUE,"Priority review",IF(R4289=TRUE,"High cost",IF(S4289=TRUE,"Low quality","Benchmark")))</x:f>
        <x:v>Low quality</x:v>
      </x:c>
    </x:row>
    <x:row r="4290">
      <x:c r="A4290" s="2" t="str">
        <x:v>100077</x:v>
      </x:c>
      <x:c r="B4290" s="2" t="str">
        <x:v>Adventhealth Port Charlotte</x:v>
      </x:c>
      <x:c r="C4290" s="2" t="str">
        <x:v>PORT CHARLOTTE</x:v>
      </x:c>
      <x:c r="D4290" s="2" t="str">
        <x:v>FL</x:v>
      </x:c>
      <x:c r="E4290" s="2" t="str">
        <x:v>Acute Care Hospitals</x:v>
      </x:c>
      <x:c r="F4290" s="2" t="str">
        <x:v>Proprietary</x:v>
      </x:c>
      <x:c r="G4290" s="2" t="str">
        <x:v>Medium (100-299 beds)</x:v>
      </x:c>
      <x:c r="H4290" s="7" t="n">
        <x:v>1</x:v>
      </x:c>
      <x:c r="I4290" s="7" t="n">
        <x:v>1</x:v>
      </x:c>
      <x:c r="J4290" s="7" t="n">
        <x:v>1.01</x:v>
      </x:c>
      <x:c r="K4290" s="8" t="n">
        <x:v>247</x:v>
      </x:c>
      <x:c r="L4290" s="8" t="n">
        <x:v>10468</x:v>
      </x:c>
      <x:c r="M4290" s="9" t="n">
        <x:v>0.4992522029</x:v>
      </x:c>
      <x:c r="N4290" s="10" t="n">
        <x:v>21001.3166794039</x:v>
      </x:c>
      <x:c r="O4290" s="9" t="n">
        <x:v>0.0760163474</x:v>
      </x:c>
      <x:c r="P4290" s="9" t="n">
        <x:v>0.130399348</x:v>
      </x:c>
      <x:c r="Q4290" s="9" t="n">
        <x:v>0</x:v>
      </x:c>
      <x:c r="R4290" s="3" t="b">
        <x:v>0</x:v>
      </x:c>
      <x:c r="S4290" s="3" t="b">
        <x:v>1</x:v>
      </x:c>
      <x:c r="T4290" s="3" t="b">
        <x:v>0</x:v>
      </x:c>
      <x:c r="U4290" s="2" t="str">
        <x:f>IF(T4290=TRUE,"Priority review",IF(R4290=TRUE,"High cost",IF(S4290=TRUE,"Low quality","Benchmark")))</x:f>
        <x:v>Low quality</x:v>
      </x:c>
    </x:row>
    <x:row r="4291">
      <x:c r="A4291" s="2" t="str">
        <x:v>390233</x:v>
      </x:c>
      <x:c r="B4291" s="2" t="str">
        <x:v>UPMC HANOVER</x:v>
      </x:c>
      <x:c r="C4291" s="2" t="str">
        <x:v>HANOVER</x:v>
      </x:c>
      <x:c r="D4291" s="2" t="str">
        <x:v>PA</x:v>
      </x:c>
      <x:c r="E4291" s="2" t="str">
        <x:v>Acute Care Hospitals</x:v>
      </x:c>
      <x:c r="F4291" s="2" t="str">
        <x:v>Voluntary non-profit</x:v>
      </x:c>
      <x:c r="G4291" s="2" t="str">
        <x:v>Small (&lt;100 beds)</x:v>
      </x:c>
      <x:c r="H4291" s="7" t="n">
        <x:v>4</x:v>
      </x:c>
      <x:c r="I4291" s="7" t="n">
        <x:v>3</x:v>
      </x:c>
      <x:c r="J4291" s="7" t="n">
        <x:v>1.01</x:v>
      </x:c>
      <x:c r="K4291" s="8" t="n">
        <x:v>80</x:v>
      </x:c>
      <x:c r="L4291" s="8" t="n">
        <x:v>6222</x:v>
      </x:c>
      <x:c r="M4291" s="9" t="n">
        <x:v>0.841130137</x:v>
      </x:c>
      <x:c r="N4291" s="10" t="n">
        <x:v>28677.9058180649</x:v>
      </x:c>
      <x:c r="O4291" s="9" t="n">
        <x:v>0.2588227497</x:v>
      </x:c>
      <x:c r="P4291" s="9" t="n">
        <x:v>0.1301615799</x:v>
      </x:c>
      <x:c r="Q4291" s="9" t="n">
        <x:v>0.3913824057</x:v>
      </x:c>
      <x:c r="R4291" s="3" t="b">
        <x:v>0</x:v>
      </x:c>
      <x:c r="S4291" s="3" t="b">
        <x:v>0</x:v>
      </x:c>
      <x:c r="T4291" s="3" t="b">
        <x:v>0</x:v>
      </x:c>
      <x:c r="U4291" s="2" t="str">
        <x:f>IF(T4291=TRUE,"Priority review",IF(R4291=TRUE,"High cost",IF(S4291=TRUE,"Low quality","Benchmark")))</x:f>
        <x:v>Benchmark</x:v>
      </x:c>
    </x:row>
    <x:row r="4292">
      <x:c r="A4292" s="2" t="str">
        <x:v>341325</x:v>
      </x:c>
      <x:c r="B4292" s="2" t="str">
        <x:v>ASHE MEMORIAL HOSPITAL</x:v>
      </x:c>
      <x:c r="C4292" s="2" t="str">
        <x:v>JEFFERSON</x:v>
      </x:c>
      <x:c r="D4292" s="2" t="str">
        <x:v>NC</x:v>
      </x:c>
      <x:c r="E4292" s="2" t="str">
        <x:v>Critical Access Hospitals</x:v>
      </x:c>
      <x:c r="F4292" s="2" t="str">
        <x:v>Voluntary non-profit</x:v>
      </x:c>
      <x:c r="G4292" s="2" t="str">
        <x:v>Small (&lt;100 beds)</x:v>
      </x:c>
      <x:c r="H4292" s="7" t="n">
        <x:v>3</x:v>
      </x:c>
      <x:c r="I4292" s="7"/>
      <x:c r="J4292" s="7"/>
      <x:c r="K4292" s="8" t="n">
        <x:v>25</x:v>
      </x:c>
      <x:c r="L4292" s="8" t="n">
        <x:v>797</x:v>
      </x:c>
      <x:c r="M4292" s="9" t="n">
        <x:v>0.3155191257</x:v>
      </x:c>
      <x:c r="N4292" s="10" t="n">
        <x:v>67730.0928481807</x:v>
      </x:c>
      <x:c r="O4292" s="9" t="n">
        <x:v>-0.035557683</x:v>
      </x:c>
      <x:c r="P4292" s="9" t="n">
        <x:v>0.1301115242</x:v>
      </x:c>
      <x:c r="Q4292" s="9" t="n">
        <x:v>0.0765799257</x:v>
      </x:c>
      <x:c r="R4292" s="3" t="b">
        <x:v>0</x:v>
      </x:c>
      <x:c r="S4292" s="3" t="b">
        <x:v>1</x:v>
      </x:c>
      <x:c r="T4292" s="3" t="b">
        <x:v>0</x:v>
      </x:c>
      <x:c r="U4292" s="2" t="str">
        <x:f>IF(T4292=TRUE,"Priority review",IF(R4292=TRUE,"High cost",IF(S4292=TRUE,"Low quality","Benchmark")))</x:f>
        <x:v>Low quality</x:v>
      </x:c>
    </x:row>
    <x:row r="4293">
      <x:c r="A4293" s="2" t="str">
        <x:v>100057</x:v>
      </x:c>
      <x:c r="B4293" s="2" t="str">
        <x:v>ADVENTHEALTH WATERMAN</x:v>
      </x:c>
      <x:c r="C4293" s="2" t="str">
        <x:v>TAVARES</x:v>
      </x:c>
      <x:c r="D4293" s="2" t="str">
        <x:v>FL</x:v>
      </x:c>
      <x:c r="E4293" s="2" t="str">
        <x:v>Acute Care Hospitals</x:v>
      </x:c>
      <x:c r="F4293" s="2" t="str">
        <x:v>Voluntary non-profit</x:v>
      </x:c>
      <x:c r="G4293" s="2" t="str">
        <x:v>Medium (100-299 beds)</x:v>
      </x:c>
      <x:c r="H4293" s="7" t="n">
        <x:v>4</x:v>
      </x:c>
      <x:c r="I4293" s="7" t="n">
        <x:v>3</x:v>
      </x:c>
      <x:c r="J4293" s="7" t="n">
        <x:v>1.01</x:v>
      </x:c>
      <x:c r="K4293" s="8" t="n">
        <x:v>288</x:v>
      </x:c>
      <x:c r="L4293" s="8" t="n">
        <x:v>19091</x:v>
      </x:c>
      <x:c r="M4293" s="9" t="n">
        <x:v>0.8036486794</x:v>
      </x:c>
      <x:c r="N4293" s="10" t="n">
        <x:v>20982.1671468231</x:v>
      </x:c>
      <x:c r="O4293" s="9" t="n">
        <x:v>0.1095989726</x:v>
      </x:c>
      <x:c r="P4293" s="9" t="n">
        <x:v>0.1295843521</x:v>
      </x:c>
      <x:c r="Q4293" s="9" t="n">
        <x:v>0.6022819886</x:v>
      </x:c>
      <x:c r="R4293" s="3" t="b">
        <x:v>0</x:v>
      </x:c>
      <x:c r="S4293" s="3" t="b">
        <x:v>0</x:v>
      </x:c>
      <x:c r="T4293" s="3" t="b">
        <x:v>0</x:v>
      </x:c>
      <x:c r="U4293" s="2" t="str">
        <x:f>IF(T4293=TRUE,"Priority review",IF(R4293=TRUE,"High cost",IF(S4293=TRUE,"Low quality","Benchmark")))</x:f>
        <x:v>Benchmark</x:v>
      </x:c>
    </x:row>
    <x:row r="4294">
      <x:c r="A4294" s="2" t="str">
        <x:v>194090</x:v>
      </x:c>
      <x:c r="B4294" s="2" t="str">
        <x:v>OCEANS BEHAVIORAL HOSPITAL OF LAKE CHARLES</x:v>
      </x:c>
      <x:c r="C4294" s="2" t="str">
        <x:v>LAKE CHARLES</x:v>
      </x:c>
      <x:c r="D4294" s="2" t="str">
        <x:v>LA</x:v>
      </x:c>
      <x:c r="E4294" s="2" t="str">
        <x:v>Psychiatric</x:v>
      </x:c>
      <x:c r="F4294" s="2" t="str">
        <x:v>Proprietary</x:v>
      </x:c>
      <x:c r="G4294" s="2" t="str">
        <x:v>Small (&lt;100 beds)</x:v>
      </x:c>
      <x:c r="H4294" s="7"/>
      <x:c r="I4294" s="7"/>
      <x:c r="J4294" s="7"/>
      <x:c r="K4294" s="8" t="n">
        <x:v>20</x:v>
      </x:c>
      <x:c r="L4294" s="8" t="n">
        <x:v>792</x:v>
      </x:c>
      <x:c r="M4294" s="9" t="n">
        <x:v>0.9116120219</x:v>
      </x:c>
      <x:c r="N4294" s="10" t="n">
        <x:v>7052.8055555556</x:v>
      </x:c>
      <x:c r="O4294" s="9" t="n">
        <x:v>0.1997918189</x:v>
      </x:c>
      <x:c r="P4294" s="9" t="n">
        <x:v>0.1294498382</x:v>
      </x:c>
      <x:c r="Q4294" s="9" t="n">
        <x:v>0</x:v>
      </x:c>
      <x:c r="R4294" s="3" t="b">
        <x:v>0</x:v>
      </x:c>
      <x:c r="S4294" s="3" t="b">
        <x:v>0</x:v>
      </x:c>
      <x:c r="T4294" s="3" t="b">
        <x:v>0</x:v>
      </x:c>
      <x:c r="U4294" s="2" t="str">
        <x:f>IF(T4294=TRUE,"Priority review",IF(R4294=TRUE,"High cost",IF(S4294=TRUE,"Low quality","Benchmark")))</x:f>
        <x:v>Benchmark</x:v>
      </x:c>
    </x:row>
    <x:row r="4295">
      <x:c r="A4295" s="2" t="str">
        <x:v>111327</x:v>
      </x:c>
      <x:c r="B4295" s="2" t="str">
        <x:v>BACON COUNTY HOSPITAL</x:v>
      </x:c>
      <x:c r="C4295" s="2" t="str">
        <x:v>ALMA</x:v>
      </x:c>
      <x:c r="D4295" s="2" t="str">
        <x:v>GA</x:v>
      </x:c>
      <x:c r="E4295" s="2" t="str">
        <x:v>Critical Access Hospitals</x:v>
      </x:c>
      <x:c r="F4295" s="2" t="str">
        <x:v>Voluntary non-profit</x:v>
      </x:c>
      <x:c r="G4295" s="2" t="str">
        <x:v>Small (&lt;100 beds)</x:v>
      </x:c>
      <x:c r="H4295" s="7"/>
      <x:c r="I4295" s="7" t="n">
        <x:v>3</x:v>
      </x:c>
      <x:c r="J4295" s="7"/>
      <x:c r="K4295" s="8" t="n">
        <x:v>25</x:v>
      </x:c>
      <x:c r="L4295" s="8" t="n">
        <x:v>767</x:v>
      </x:c>
      <x:c r="M4295" s="9" t="n">
        <x:v>0.384109589</x:v>
      </x:c>
      <x:c r="N4295" s="10" t="n">
        <x:v>67404.3402868318</x:v>
      </x:c>
      <x:c r="O4295" s="9" t="n">
        <x:v>-0.052060643</x:v>
      </x:c>
      <x:c r="P4295" s="9" t="n">
        <x:v>0.1293680297</x:v>
      </x:c>
      <x:c r="Q4295" s="9" t="n">
        <x:v>0.292936803</x:v>
      </x:c>
      <x:c r="R4295" s="3" t="b">
        <x:v>0</x:v>
      </x:c>
      <x:c r="S4295" s="3" t="b">
        <x:v>0</x:v>
      </x:c>
      <x:c r="T4295" s="3" t="b">
        <x:v>0</x:v>
      </x:c>
      <x:c r="U4295" s="2" t="str">
        <x:f>IF(T4295=TRUE,"Priority review",IF(R4295=TRUE,"High cost",IF(S4295=TRUE,"Low quality","Benchmark")))</x:f>
        <x:v>Benchmark</x:v>
      </x:c>
    </x:row>
    <x:row r="4296">
      <x:c r="A4296" s="2" t="str">
        <x:v>194022</x:v>
      </x:c>
      <x:c r="B4296" s="2" t="str">
        <x:v>LONGLEAF HOSPITAL</x:v>
      </x:c>
      <x:c r="C4296" s="2" t="str">
        <x:v>ALEXANDRIA</x:v>
      </x:c>
      <x:c r="D4296" s="2" t="str">
        <x:v>LA</x:v>
      </x:c>
      <x:c r="E4296" s="2" t="str">
        <x:v>Psychiatric</x:v>
      </x:c>
      <x:c r="F4296" s="2" t="str">
        <x:v>Proprietary</x:v>
      </x:c>
      <x:c r="G4296" s="2" t="str">
        <x:v>Medium (100-299 beds)</x:v>
      </x:c>
      <x:c r="H4296" s="7"/>
      <x:c r="I4296" s="7"/>
      <x:c r="J4296" s="7"/>
      <x:c r="K4296" s="8" t="n">
        <x:v>139</x:v>
      </x:c>
      <x:c r="L4296" s="8" t="n">
        <x:v>5108</x:v>
      </x:c>
      <x:c r="M4296" s="9" t="n">
        <x:v>0.8343947793</x:v>
      </x:c>
      <x:c r="N4296" s="10" t="n">
        <x:v>5846.3664839468</x:v>
      </x:c>
      <x:c r="O4296" s="9" t="n">
        <x:v>0.2629085548</x:v>
      </x:c>
      <x:c r="P4296" s="9" t="n">
        <x:v>0.1293532338</x:v>
      </x:c>
      <x:c r="Q4296" s="9" t="n">
        <x:v>0</x:v>
      </x:c>
      <x:c r="R4296" s="3" t="b">
        <x:v>0</x:v>
      </x:c>
      <x:c r="S4296" s="3" t="b">
        <x:v>0</x:v>
      </x:c>
      <x:c r="T4296" s="3" t="b">
        <x:v>0</x:v>
      </x:c>
      <x:c r="U4296" s="2" t="str">
        <x:f>IF(T4296=TRUE,"Priority review",IF(R4296=TRUE,"High cost",IF(S4296=TRUE,"Low quality","Benchmark")))</x:f>
        <x:v>Benchmark</x:v>
      </x:c>
    </x:row>
    <x:row r="4297">
      <x:c r="A4297" s="2" t="str">
        <x:v>050104</x:v>
      </x:c>
      <x:c r="B4297" s="2" t="str">
        <x:v>SAINT FRANCIS MEDICAL CENTER</x:v>
      </x:c>
      <x:c r="C4297" s="2" t="str">
        <x:v>LYNWOOD</x:v>
      </x:c>
      <x:c r="D4297" s="2" t="str">
        <x:v>CA</x:v>
      </x:c>
      <x:c r="E4297" s="2" t="str">
        <x:v>Acute Care Hospitals</x:v>
      </x:c>
      <x:c r="F4297" s="2" t="str">
        <x:v>Voluntary non-profit</x:v>
      </x:c>
      <x:c r="G4297" s="2" t="str">
        <x:v>Large (300+ beds)</x:v>
      </x:c>
      <x:c r="H4297" s="7" t="n">
        <x:v>3</x:v>
      </x:c>
      <x:c r="I4297" s="7" t="n">
        <x:v>2</x:v>
      </x:c>
      <x:c r="J4297" s="7" t="n">
        <x:v>1.11</x:v>
      </x:c>
      <x:c r="K4297" s="8" t="n">
        <x:v>321</x:v>
      </x:c>
      <x:c r="L4297" s="8" t="n">
        <x:v>16064</x:v>
      </x:c>
      <x:c r="M4297" s="9" t="n">
        <x:v>0.7638066661</x:v>
      </x:c>
      <x:c r="N4297" s="10" t="n">
        <x:v>24040.9463396414</x:v>
      </x:c>
      <x:c r="O4297" s="9" t="n">
        <x:v>0.1883586669</x:v>
      </x:c>
      <x:c r="P4297" s="9" t="n">
        <x:v>0.1293375394</x:v>
      </x:c>
      <x:c r="Q4297" s="9" t="n">
        <x:v>0.2570977918</x:v>
      </x:c>
      <x:c r="R4297" s="3" t="b">
        <x:v>0</x:v>
      </x:c>
      <x:c r="S4297" s="3" t="b">
        <x:v>0</x:v>
      </x:c>
      <x:c r="T4297" s="3" t="b">
        <x:v>0</x:v>
      </x:c>
      <x:c r="U4297" s="2" t="str">
        <x:f>IF(T4297=TRUE,"Priority review",IF(R4297=TRUE,"High cost",IF(S4297=TRUE,"Low quality","Benchmark")))</x:f>
        <x:v>Benchmark</x:v>
      </x:c>
    </x:row>
    <x:row r="4298">
      <x:c r="A4298" s="2" t="str">
        <x:v>670068</x:v>
      </x:c>
      <x:c r="B4298" s="2" t="str">
        <x:v>TEXAS HEALTH PRESBYTERIAN HOSPITAL FLOWER MOUND</x:v>
      </x:c>
      <x:c r="C4298" s="2" t="str">
        <x:v>FLOWER MOUND</x:v>
      </x:c>
      <x:c r="D4298" s="2" t="str">
        <x:v>TX</x:v>
      </x:c>
      <x:c r="E4298" s="2" t="str">
        <x:v>Acute Care Hospitals</x:v>
      </x:c>
      <x:c r="F4298" s="2" t="str">
        <x:v>Proprietary</x:v>
      </x:c>
      <x:c r="G4298" s="2" t="str">
        <x:v>Small (&lt;100 beds)</x:v>
      </x:c>
      <x:c r="H4298" s="7" t="n">
        <x:v>5</x:v>
      </x:c>
      <x:c r="I4298" s="7" t="n">
        <x:v>4</x:v>
      </x:c>
      <x:c r="J4298" s="7" t="n">
        <x:v>1.07</x:v>
      </x:c>
      <x:c r="K4298" s="8" t="n">
        <x:v>99</x:v>
      </x:c>
      <x:c r="L4298" s="8" t="n">
        <x:v>5689</x:v>
      </x:c>
      <x:c r="M4298" s="9" t="n">
        <x:v>0.5284539383</x:v>
      </x:c>
      <x:c r="N4298" s="10" t="n">
        <x:v>28649.6231323607</x:v>
      </x:c>
      <x:c r="O4298" s="9" t="n">
        <x:v>0.287510957</x:v>
      </x:c>
      <x:c r="P4298" s="9" t="n">
        <x:v>0.1292639138</x:v>
      </x:c>
      <x:c r="Q4298" s="9" t="n">
        <x:v>0.6131059246</x:v>
      </x:c>
      <x:c r="R4298" s="3" t="b">
        <x:v>0</x:v>
      </x:c>
      <x:c r="S4298" s="3" t="b">
        <x:v>0</x:v>
      </x:c>
      <x:c r="T4298" s="3" t="b">
        <x:v>0</x:v>
      </x:c>
      <x:c r="U4298" s="2" t="str">
        <x:f>IF(T4298=TRUE,"Priority review",IF(R4298=TRUE,"High cost",IF(S4298=TRUE,"Low quality","Benchmark")))</x:f>
        <x:v>Benchmark</x:v>
      </x:c>
    </x:row>
    <x:row r="4299">
      <x:c r="A4299" s="2" t="str">
        <x:v>420082</x:v>
      </x:c>
      <x:c r="B4299" s="2" t="str">
        <x:v>AIKEN REGIONAL MEDICAL CENTER</x:v>
      </x:c>
      <x:c r="C4299" s="2" t="str">
        <x:v>AIKEN</x:v>
      </x:c>
      <x:c r="D4299" s="2" t="str">
        <x:v>SC</x:v>
      </x:c>
      <x:c r="E4299" s="2" t="str">
        <x:v>Acute Care Hospitals</x:v>
      </x:c>
      <x:c r="F4299" s="2" t="str">
        <x:v>Proprietary</x:v>
      </x:c>
      <x:c r="G4299" s="2" t="str">
        <x:v>Medium (100-299 beds)</x:v>
      </x:c>
      <x:c r="H4299" s="7" t="n">
        <x:v>2</x:v>
      </x:c>
      <x:c r="I4299" s="7" t="n">
        <x:v>2</x:v>
      </x:c>
      <x:c r="J4299" s="7" t="n">
        <x:v>0.95</x:v>
      </x:c>
      <x:c r="K4299" s="8" t="n">
        <x:v>197</x:v>
      </x:c>
      <x:c r="L4299" s="8" t="n">
        <x:v>11304</x:v>
      </x:c>
      <x:c r="M4299" s="9" t="n">
        <x:v>0.7722910836</x:v>
      </x:c>
      <x:c r="N4299" s="10" t="n">
        <x:v>20916.2107218684</x:v>
      </x:c>
      <x:c r="O4299" s="9" t="n">
        <x:v>0.1428958401</x:v>
      </x:c>
      <x:c r="P4299" s="9" t="n">
        <x:v>0.1287693562</x:v>
      </x:c>
      <x:c r="Q4299" s="9" t="n">
        <x:v>0.0782396088</x:v>
      </x:c>
      <x:c r="R4299" s="3" t="b">
        <x:v>0</x:v>
      </x:c>
      <x:c r="S4299" s="3" t="b">
        <x:v>1</x:v>
      </x:c>
      <x:c r="T4299" s="3" t="b">
        <x:v>0</x:v>
      </x:c>
      <x:c r="U4299" s="2" t="str">
        <x:f>IF(T4299=TRUE,"Priority review",IF(R4299=TRUE,"High cost",IF(S4299=TRUE,"Low quality","Benchmark")))</x:f>
        <x:v>Low quality</x:v>
      </x:c>
    </x:row>
    <x:row r="4300">
      <x:c r="A4300" s="2" t="str">
        <x:v>441316</x:v>
      </x:c>
      <x:c r="B4300" s="2" t="str">
        <x:v>WEST TENNESSEE HEALTHCARE CAMDEN HOSPITAL</x:v>
      </x:c>
      <x:c r="C4300" s="2" t="str">
        <x:v>CAMDEN</x:v>
      </x:c>
      <x:c r="D4300" s="2" t="str">
        <x:v>TN</x:v>
      </x:c>
      <x:c r="E4300" s="2" t="str">
        <x:v>Critical Access Hospitals</x:v>
      </x:c>
      <x:c r="F4300" s="2" t="str">
        <x:v>Government</x:v>
      </x:c>
      <x:c r="G4300" s="2" t="str">
        <x:v>Small (&lt;100 beds)</x:v>
      </x:c>
      <x:c r="H4300" s="7"/>
      <x:c r="I4300" s="7"/>
      <x:c r="J4300" s="7"/>
      <x:c r="K4300" s="8" t="n">
        <x:v>25</x:v>
      </x:c>
      <x:c r="L4300" s="8" t="n">
        <x:v>161</x:v>
      </x:c>
      <x:c r="M4300" s="9" t="n">
        <x:v>0.1094794521</x:v>
      </x:c>
      <x:c r="N4300" s="10" t="n">
        <x:v>67221.149068323</x:v>
      </x:c>
      <x:c r="O4300" s="9" t="n">
        <x:v>0.1959934004</x:v>
      </x:c>
      <x:c r="P4300" s="9" t="n">
        <x:v>0.1286245353</x:v>
      </x:c>
      <x:c r="Q4300" s="9" t="n">
        <x:v>0.292936803</x:v>
      </x:c>
      <x:c r="R4300" s="3" t="b">
        <x:v>0</x:v>
      </x:c>
      <x:c r="S4300" s="3" t="b">
        <x:v>0</x:v>
      </x:c>
      <x:c r="T4300" s="3" t="b">
        <x:v>0</x:v>
      </x:c>
      <x:c r="U4300" s="2" t="str">
        <x:f>IF(T4300=TRUE,"Priority review",IF(R4300=TRUE,"High cost",IF(S4300=TRUE,"Low quality","Benchmark")))</x:f>
        <x:v>Benchmark</x:v>
      </x:c>
    </x:row>
    <x:row r="4301">
      <x:c r="A4301" s="2" t="str">
        <x:v>250151</x:v>
      </x:c>
      <x:c r="B4301" s="2" t="str">
        <x:v>ALLIANCE HEALTH CENTER</x:v>
      </x:c>
      <x:c r="C4301" s="2" t="str">
        <x:v>MERIDIAN</x:v>
      </x:c>
      <x:c r="D4301" s="2" t="str">
        <x:v>MS</x:v>
      </x:c>
      <x:c r="E4301" s="2" t="str">
        <x:v>Acute Care Hospitals</x:v>
      </x:c>
      <x:c r="F4301" s="2" t="str">
        <x:v>Proprietary</x:v>
      </x:c>
      <x:c r="G4301" s="2" t="str">
        <x:v>Small (&lt;100 beds)</x:v>
      </x:c>
      <x:c r="H4301" s="7"/>
      <x:c r="I4301" s="7"/>
      <x:c r="J4301" s="7" t="n">
        <x:v>0.93</x:v>
      </x:c>
      <x:c r="K4301" s="8" t="n">
        <x:v>79</x:v>
      </x:c>
      <x:c r="L4301" s="8" t="n">
        <x:v>1184</x:v>
      </x:c>
      <x:c r="M4301" s="9" t="n">
        <x:v>0.1884900048</x:v>
      </x:c>
      <x:c r="N4301" s="10" t="n">
        <x:v>28623.7618243243</x:v>
      </x:c>
      <x:c r="O4301" s="9" t="n">
        <x:v>0.367980946</x:v>
      </x:c>
      <x:c r="P4301" s="9" t="n">
        <x:v>0.1283662478</x:v>
      </x:c>
      <x:c r="Q4301" s="9" t="n">
        <x:v>0.697486535</x:v>
      </x:c>
      <x:c r="R4301" s="3" t="b">
        <x:v>0</x:v>
      </x:c>
      <x:c r="S4301" s="3" t="b">
        <x:v>0</x:v>
      </x:c>
      <x:c r="T4301" s="3" t="b">
        <x:v>0</x:v>
      </x:c>
      <x:c r="U4301" s="2" t="str">
        <x:f>IF(T4301=TRUE,"Priority review",IF(R4301=TRUE,"High cost",IF(S4301=TRUE,"Low quality","Benchmark")))</x:f>
        <x:v>Benchmark</x:v>
      </x:c>
    </x:row>
    <x:row r="4302">
      <x:c r="A4302" s="2" t="str">
        <x:v>250034</x:v>
      </x:c>
      <x:c r="B4302" s="2" t="str">
        <x:v>BAPTIST MEMORIAL HOSPITAL NORTH MS</x:v>
      </x:c>
      <x:c r="C4302" s="2" t="str">
        <x:v>OXFORD</x:v>
      </x:c>
      <x:c r="D4302" s="2" t="str">
        <x:v>MS</x:v>
      </x:c>
      <x:c r="E4302" s="2" t="str">
        <x:v>Acute Care Hospitals</x:v>
      </x:c>
      <x:c r="F4302" s="2" t="str">
        <x:v>Voluntary non-profit</x:v>
      </x:c>
      <x:c r="G4302" s="2" t="str">
        <x:v>Medium (100-299 beds)</x:v>
      </x:c>
      <x:c r="H4302" s="7" t="n">
        <x:v>4</x:v>
      </x:c>
      <x:c r="I4302" s="7" t="n">
        <x:v>4</x:v>
      </x:c>
      <x:c r="J4302" s="7" t="n">
        <x:v>0.97</x:v>
      </x:c>
      <x:c r="K4302" s="8" t="n">
        <x:v>168</x:v>
      </x:c>
      <x:c r="L4302" s="8" t="n">
        <x:v>11795</x:v>
      </x:c>
      <x:c r="M4302" s="9" t="n">
        <x:v>0.7935303245</x:v>
      </x:c>
      <x:c r="N4302" s="10" t="n">
        <x:v>20884.6812208563</x:v>
      </x:c>
      <x:c r="O4302" s="9" t="n">
        <x:v>0.1867813978</x:v>
      </x:c>
      <x:c r="P4302" s="9" t="n">
        <x:v>0.1279543602</x:v>
      </x:c>
      <x:c r="Q4302" s="9" t="n">
        <x:v>0.6022819886</x:v>
      </x:c>
      <x:c r="R4302" s="3" t="b">
        <x:v>0</x:v>
      </x:c>
      <x:c r="S4302" s="3" t="b">
        <x:v>0</x:v>
      </x:c>
      <x:c r="T4302" s="3" t="b">
        <x:v>0</x:v>
      </x:c>
      <x:c r="U4302" s="2" t="str">
        <x:f>IF(T4302=TRUE,"Priority review",IF(R4302=TRUE,"High cost",IF(S4302=TRUE,"Low quality","Benchmark")))</x:f>
        <x:v>Benchmark</x:v>
      </x:c>
    </x:row>
    <x:row r="4303">
      <x:c r="A4303" s="2" t="str">
        <x:v>451384</x:v>
      </x:c>
      <x:c r="B4303" s="2" t="str">
        <x:v>COGDELL MEMORIAL HOSPITAL</x:v>
      </x:c>
      <x:c r="C4303" s="2" t="str">
        <x:v>SNYDER</x:v>
      </x:c>
      <x:c r="D4303" s="2" t="str">
        <x:v>TX</x:v>
      </x:c>
      <x:c r="E4303" s="2" t="str">
        <x:v>Critical Access Hospitals</x:v>
      </x:c>
      <x:c r="F4303" s="2" t="str">
        <x:v>Government</x:v>
      </x:c>
      <x:c r="G4303" s="2" t="str">
        <x:v>Small (&lt;100 beds)</x:v>
      </x:c>
      <x:c r="H4303" s="7"/>
      <x:c r="I4303" s="7"/>
      <x:c r="J4303" s="7"/>
      <x:c r="K4303" s="8" t="n">
        <x:v>25</x:v>
      </x:c>
      <x:c r="L4303" s="8" t="n">
        <x:v>466</x:v>
      </x:c>
      <x:c r="M4303" s="9" t="n">
        <x:v>0.2767883212</x:v>
      </x:c>
      <x:c r="N4303" s="10" t="n">
        <x:v>66943.7596566524</x:v>
      </x:c>
      <x:c r="O4303" s="9" t="n">
        <x:v>-0.3496145336</x:v>
      </x:c>
      <x:c r="P4303" s="9" t="n">
        <x:v>0.1278810409</x:v>
      </x:c>
      <x:c r="Q4303" s="9" t="n">
        <x:v>0.292936803</x:v>
      </x:c>
      <x:c r="R4303" s="3" t="b">
        <x:v>0</x:v>
      </x:c>
      <x:c r="S4303" s="3" t="b">
        <x:v>0</x:v>
      </x:c>
      <x:c r="T4303" s="3" t="b">
        <x:v>0</x:v>
      </x:c>
      <x:c r="U4303" s="2" t="str">
        <x:f>IF(T4303=TRUE,"Priority review",IF(R4303=TRUE,"High cost",IF(S4303=TRUE,"Low quality","Benchmark")))</x:f>
        <x:v>Benchmark</x:v>
      </x:c>
    </x:row>
    <x:row r="4304">
      <x:c r="A4304" s="2" t="str">
        <x:v>140290</x:v>
      </x:c>
      <x:c r="B4304" s="2" t="str">
        <x:v>ST ALEXIUS MEDICAL CENTER</x:v>
      </x:c>
      <x:c r="C4304" s="2" t="str">
        <x:v>HOFFMAN ESTATES</x:v>
      </x:c>
      <x:c r="D4304" s="2" t="str">
        <x:v>IL</x:v>
      </x:c>
      <x:c r="E4304" s="2" t="str">
        <x:v>Acute Care Hospitals</x:v>
      </x:c>
      <x:c r="F4304" s="2" t="str">
        <x:v>Voluntary non-profit</x:v>
      </x:c>
      <x:c r="G4304" s="2" t="str">
        <x:v>Large (300+ beds)</x:v>
      </x:c>
      <x:c r="H4304" s="7" t="n">
        <x:v>5</x:v>
      </x:c>
      <x:c r="I4304" s="7" t="n">
        <x:v>2</x:v>
      </x:c>
      <x:c r="J4304" s="7" t="n">
        <x:v>1.05</x:v>
      </x:c>
      <x:c r="K4304" s="8" t="n">
        <x:v>313</x:v>
      </x:c>
      <x:c r="L4304" s="8" t="n">
        <x:v>17535</x:v>
      </x:c>
      <x:c r="M4304" s="9" t="n">
        <x:v>0.6191168104</x:v>
      </x:c>
      <x:c r="N4304" s="10" t="n">
        <x:v>23974.0484174508</x:v>
      </x:c>
      <x:c r="O4304" s="9" t="n">
        <x:v>-0.1240168835</x:v>
      </x:c>
      <x:c r="P4304" s="9" t="n">
        <x:v>0.1277602524</x:v>
      </x:c>
      <x:c r="Q4304" s="9" t="n">
        <x:v>0.8722397476</x:v>
      </x:c>
      <x:c r="R4304" s="3" t="b">
        <x:v>0</x:v>
      </x:c>
      <x:c r="S4304" s="3" t="b">
        <x:v>0</x:v>
      </x:c>
      <x:c r="T4304" s="3" t="b">
        <x:v>0</x:v>
      </x:c>
      <x:c r="U4304" s="2" t="str">
        <x:f>IF(T4304=TRUE,"Priority review",IF(R4304=TRUE,"High cost",IF(S4304=TRUE,"Low quality","Benchmark")))</x:f>
        <x:v>Benchmark</x:v>
      </x:c>
    </x:row>
    <x:row r="4305">
      <x:c r="A4305" s="2" t="str">
        <x:v>420005</x:v>
      </x:c>
      <x:c r="B4305" s="2" t="str">
        <x:v>MCLEOD MEDICAL CENTER - DILLON</x:v>
      </x:c>
      <x:c r="C4305" s="2" t="str">
        <x:v>DILLON</x:v>
      </x:c>
      <x:c r="D4305" s="2" t="str">
        <x:v>SC</x:v>
      </x:c>
      <x:c r="E4305" s="2" t="str">
        <x:v>Acute Care Hospitals</x:v>
      </x:c>
      <x:c r="F4305" s="2" t="str">
        <x:v>Voluntary non-profit</x:v>
      </x:c>
      <x:c r="G4305" s="2" t="str">
        <x:v>Small (&lt;100 beds)</x:v>
      </x:c>
      <x:c r="H4305" s="7" t="n">
        <x:v>3</x:v>
      </x:c>
      <x:c r="I4305" s="7" t="n">
        <x:v>4</x:v>
      </x:c>
      <x:c r="J4305" s="7" t="n">
        <x:v>0.87</x:v>
      </x:c>
      <x:c r="K4305" s="8" t="n">
        <x:v>36</x:v>
      </x:c>
      <x:c r="L4305" s="8" t="n">
        <x:v>1951</x:v>
      </x:c>
      <x:c r="M4305" s="9" t="n">
        <x:v>0.5517607772</x:v>
      </x:c>
      <x:c r="N4305" s="10" t="n">
        <x:v>28543.9395181958</x:v>
      </x:c>
      <x:c r="O4305" s="9" t="n">
        <x:v>0.1450452372</x:v>
      </x:c>
      <x:c r="P4305" s="9" t="n">
        <x:v>0.1274685817</x:v>
      </x:c>
      <x:c r="Q4305" s="9" t="n">
        <x:v>0.1687612208</x:v>
      </x:c>
      <x:c r="R4305" s="3" t="b">
        <x:v>0</x:v>
      </x:c>
      <x:c r="S4305" s="3" t="b">
        <x:v>0</x:v>
      </x:c>
      <x:c r="T4305" s="3" t="b">
        <x:v>0</x:v>
      </x:c>
      <x:c r="U4305" s="2" t="str">
        <x:f>IF(T4305=TRUE,"Priority review",IF(R4305=TRUE,"High cost",IF(S4305=TRUE,"Low quality","Benchmark")))</x:f>
        <x:v>Benchmark</x:v>
      </x:c>
    </x:row>
    <x:row r="4306">
      <x:c r="A4306" s="2" t="str">
        <x:v>010006</x:v>
      </x:c>
      <x:c r="B4306" s="2" t="str">
        <x:v>NORTH ALABAMA MEDICAL CENTER</x:v>
      </x:c>
      <x:c r="C4306" s="2" t="str">
        <x:v>FLORENCE</x:v>
      </x:c>
      <x:c r="D4306" s="2" t="str">
        <x:v>AL</x:v>
      </x:c>
      <x:c r="E4306" s="2" t="str">
        <x:v>Acute Care Hospitals</x:v>
      </x:c>
      <x:c r="F4306" s="2" t="str">
        <x:v>Proprietary</x:v>
      </x:c>
      <x:c r="G4306" s="2" t="str">
        <x:v>Medium (100-299 beds)</x:v>
      </x:c>
      <x:c r="H4306" s="7" t="n">
        <x:v>2</x:v>
      </x:c>
      <x:c r="I4306" s="7" t="n">
        <x:v>2</x:v>
      </x:c>
      <x:c r="J4306" s="7" t="n">
        <x:v>1.01</x:v>
      </x:c>
      <x:c r="K4306" s="8" t="n">
        <x:v>223</x:v>
      </x:c>
      <x:c r="L4306" s="8" t="n">
        <x:v>14476</x:v>
      </x:c>
      <x:c r="M4306" s="9" t="n">
        <x:v>0.83932674</x:v>
      </x:c>
      <x:c r="N4306" s="10" t="n">
        <x:v>20881.9107488256</x:v>
      </x:c>
      <x:c r="O4306" s="9" t="n">
        <x:v>-0.0657586239</x:v>
      </x:c>
      <x:c r="P4306" s="9" t="n">
        <x:v>0.1271393643</x:v>
      </x:c>
      <x:c r="Q4306" s="9" t="n">
        <x:v>0.0782396088</x:v>
      </x:c>
      <x:c r="R4306" s="3" t="b">
        <x:v>0</x:v>
      </x:c>
      <x:c r="S4306" s="3" t="b">
        <x:v>1</x:v>
      </x:c>
      <x:c r="T4306" s="3" t="b">
        <x:v>0</x:v>
      </x:c>
      <x:c r="U4306" s="2" t="str">
        <x:f>IF(T4306=TRUE,"Priority review",IF(R4306=TRUE,"High cost",IF(S4306=TRUE,"Low quality","Benchmark")))</x:f>
        <x:v>Low quality</x:v>
      </x:c>
    </x:row>
    <x:row r="4307">
      <x:c r="A4307" s="2" t="str">
        <x:v>261338</x:v>
      </x:c>
      <x:c r="B4307" s="2" t="str">
        <x:v>MERCY HOSPITAL CARTHAGE</x:v>
      </x:c>
      <x:c r="C4307" s="2" t="str">
        <x:v>CARTHAGE</x:v>
      </x:c>
      <x:c r="D4307" s="2" t="str">
        <x:v>MO</x:v>
      </x:c>
      <x:c r="E4307" s="2" t="str">
        <x:v>Critical Access Hospitals</x:v>
      </x:c>
      <x:c r="F4307" s="2" t="str">
        <x:v>Voluntary non-profit</x:v>
      </x:c>
      <x:c r="G4307" s="2" t="str">
        <x:v>Small (&lt;100 beds)</x:v>
      </x:c>
      <x:c r="H4307" s="7" t="n">
        <x:v>4</x:v>
      </x:c>
      <x:c r="I4307" s="7" t="n">
        <x:v>4</x:v>
      </x:c>
      <x:c r="J4307" s="7"/>
      <x:c r="K4307" s="8" t="n">
        <x:v>25</x:v>
      </x:c>
      <x:c r="L4307" s="8" t="n">
        <x:v>978</x:v>
      </x:c>
      <x:c r="M4307" s="9" t="n">
        <x:v>0.5164931507</x:v>
      </x:c>
      <x:c r="N4307" s="10" t="n">
        <x:v>66905.5981595092</x:v>
      </x:c>
      <x:c r="O4307" s="9" t="n">
        <x:v>0.1374031329</x:v>
      </x:c>
      <x:c r="P4307" s="9" t="n">
        <x:v>0.1271375465</x:v>
      </x:c>
      <x:c r="Q4307" s="9" t="n">
        <x:v>0.1657992565</x:v>
      </x:c>
      <x:c r="R4307" s="3" t="b">
        <x:v>0</x:v>
      </x:c>
      <x:c r="S4307" s="3" t="b">
        <x:v>0</x:v>
      </x:c>
      <x:c r="T4307" s="3" t="b">
        <x:v>0</x:v>
      </x:c>
      <x:c r="U4307" s="2" t="str">
        <x:f>IF(T4307=TRUE,"Priority review",IF(R4307=TRUE,"High cost",IF(S4307=TRUE,"Low quality","Benchmark")))</x:f>
        <x:v>Benchmark</x:v>
      </x:c>
    </x:row>
    <x:row r="4308">
      <x:c r="A4308" s="2" t="str">
        <x:v>110132</x:v>
      </x:c>
      <x:c r="B4308" s="2" t="str">
        <x:v>MEMORIAL HOSPITAL AND MANOR</x:v>
      </x:c>
      <x:c r="C4308" s="2" t="str">
        <x:v>BAINBRIDGE</x:v>
      </x:c>
      <x:c r="D4308" s="2" t="str">
        <x:v>GA</x:v>
      </x:c>
      <x:c r="E4308" s="2" t="str">
        <x:v>Acute Care Hospitals</x:v>
      </x:c>
      <x:c r="F4308" s="2" t="str">
        <x:v>Government</x:v>
      </x:c>
      <x:c r="G4308" s="2" t="str">
        <x:v>Small (&lt;100 beds)</x:v>
      </x:c>
      <x:c r="H4308" s="7" t="n">
        <x:v>1</x:v>
      </x:c>
      <x:c r="I4308" s="7" t="n">
        <x:v>3</x:v>
      </x:c>
      <x:c r="J4308" s="7" t="n">
        <x:v>0.88</x:v>
      </x:c>
      <x:c r="K4308" s="8" t="n">
        <x:v>80</x:v>
      </x:c>
      <x:c r="L4308" s="8" t="n">
        <x:v>2073</x:v>
      </x:c>
      <x:c r="M4308" s="9" t="n">
        <x:v>0.181420765</x:v>
      </x:c>
      <x:c r="N4308" s="10" t="n">
        <x:v>28532.522431259</x:v>
      </x:c>
      <x:c r="O4308" s="9" t="n">
        <x:v>-0.2302444749</x:v>
      </x:c>
      <x:c r="P4308" s="9" t="n">
        <x:v>0.1265709156</x:v>
      </x:c>
      <x:c r="Q4308" s="9" t="n">
        <x:v>0</x:v>
      </x:c>
      <x:c r="R4308" s="3" t="b">
        <x:v>0</x:v>
      </x:c>
      <x:c r="S4308" s="3" t="b">
        <x:v>1</x:v>
      </x:c>
      <x:c r="T4308" s="3" t="b">
        <x:v>0</x:v>
      </x:c>
      <x:c r="U4308" s="2" t="str">
        <x:f>IF(T4308=TRUE,"Priority review",IF(R4308=TRUE,"High cost",IF(S4308=TRUE,"Low quality","Benchmark")))</x:f>
        <x:v>Low quality</x:v>
      </x:c>
    </x:row>
    <x:row r="4309">
      <x:c r="A4309" s="2" t="str">
        <x:v>461301</x:v>
      </x:c>
      <x:c r="B4309" s="2" t="str">
        <x:v>INTERMOUNTAIN HEALTH FILLMORE COMMUNITY HOSPITAL</x:v>
      </x:c>
      <x:c r="C4309" s="2" t="str">
        <x:v>FILLMORE</x:v>
      </x:c>
      <x:c r="D4309" s="2" t="str">
        <x:v>UT</x:v>
      </x:c>
      <x:c r="E4309" s="2" t="str">
        <x:v>Critical Access Hospitals</x:v>
      </x:c>
      <x:c r="F4309" s="2" t="str">
        <x:v>Voluntary non-profit</x:v>
      </x:c>
      <x:c r="G4309" s="2" t="str">
        <x:v>Small (&lt;100 beds)</x:v>
      </x:c>
      <x:c r="H4309" s="7"/>
      <x:c r="I4309" s="7"/>
      <x:c r="J4309" s="7"/>
      <x:c r="K4309" s="8" t="n">
        <x:v>19</x:v>
      </x:c>
      <x:c r="L4309" s="8" t="n">
        <x:v>228</x:v>
      </x:c>
      <x:c r="M4309" s="9" t="n">
        <x:v>0.1206499856</x:v>
      </x:c>
      <x:c r="N4309" s="10" t="n">
        <x:v>66452.0438596491</x:v>
      </x:c>
      <x:c r="O4309" s="9" t="n">
        <x:v>-0.0904621147</x:v>
      </x:c>
      <x:c r="P4309" s="9" t="n">
        <x:v>0.126394052</x:v>
      </x:c>
      <x:c r="Q4309" s="9" t="n">
        <x:v>0.292936803</x:v>
      </x:c>
      <x:c r="R4309" s="3" t="b">
        <x:v>0</x:v>
      </x:c>
      <x:c r="S4309" s="3" t="b">
        <x:v>0</x:v>
      </x:c>
      <x:c r="T4309" s="3" t="b">
        <x:v>0</x:v>
      </x:c>
      <x:c r="U4309" s="2" t="str">
        <x:f>IF(T4309=TRUE,"Priority review",IF(R4309=TRUE,"High cost",IF(S4309=TRUE,"Low quality","Benchmark")))</x:f>
        <x:v>Benchmark</x:v>
      </x:c>
    </x:row>
    <x:row r="4310">
      <x:c r="A4310" s="2" t="str">
        <x:v>360161</x:v>
      </x:c>
      <x:c r="B4310" s="2" t="str">
        <x:v>MH ST JOSEPH WARREN HOSPITAL</x:v>
      </x:c>
      <x:c r="C4310" s="2" t="str">
        <x:v>WARREN</x:v>
      </x:c>
      <x:c r="D4310" s="2" t="str">
        <x:v>OH</x:v>
      </x:c>
      <x:c r="E4310" s="2" t="str">
        <x:v>Acute Care Hospitals</x:v>
      </x:c>
      <x:c r="F4310" s="2" t="str">
        <x:v>Voluntary non-profit</x:v>
      </x:c>
      <x:c r="G4310" s="2" t="str">
        <x:v>Medium (100-299 beds)</x:v>
      </x:c>
      <x:c r="H4310" s="7" t="n">
        <x:v>3</x:v>
      </x:c>
      <x:c r="I4310" s="7" t="n">
        <x:v>2</x:v>
      </x:c>
      <x:c r="J4310" s="7" t="n">
        <x:v>1.02</x:v>
      </x:c>
      <x:c r="K4310" s="8" t="n">
        <x:v>152</x:v>
      </x:c>
      <x:c r="L4310" s="8" t="n">
        <x:v>9948</x:v>
      </x:c>
      <x:c r="M4310" s="9" t="n">
        <x:v>0.8080586503</x:v>
      </x:c>
      <x:c r="N4310" s="10" t="n">
        <x:v>20864.8734418979</x:v>
      </x:c>
      <x:c r="O4310" s="9" t="n">
        <x:v>0.0756349552</x:v>
      </x:c>
      <x:c r="P4310" s="9" t="n">
        <x:v>0.1263243684</x:v>
      </x:c>
      <x:c r="Q4310" s="9" t="n">
        <x:v>0.3023634882</x:v>
      </x:c>
      <x:c r="R4310" s="3" t="b">
        <x:v>0</x:v>
      </x:c>
      <x:c r="S4310" s="3" t="b">
        <x:v>0</x:v>
      </x:c>
      <x:c r="T4310" s="3" t="b">
        <x:v>0</x:v>
      </x:c>
      <x:c r="U4310" s="2" t="str">
        <x:f>IF(T4310=TRUE,"Priority review",IF(R4310=TRUE,"High cost",IF(S4310=TRUE,"Low quality","Benchmark")))</x:f>
        <x:v>Benchmark</x:v>
      </x:c>
    </x:row>
    <x:row r="4311">
      <x:c r="A4311" s="2" t="str">
        <x:v>194112</x:v>
      </x:c>
      <x:c r="B4311" s="2" t="str">
        <x:v>BEACON BEHAVIORAL HOSPITAL - CENTRAL</x:v>
      </x:c>
      <x:c r="C4311" s="2" t="str">
        <x:v>BUNKIE</x:v>
      </x:c>
      <x:c r="D4311" s="2" t="str">
        <x:v>LA</x:v>
      </x:c>
      <x:c r="E4311" s="2" t="str">
        <x:v>Psychiatric</x:v>
      </x:c>
      <x:c r="F4311" s="2" t="str">
        <x:v>Proprietary</x:v>
      </x:c>
      <x:c r="G4311" s="2" t="str">
        <x:v>Small (&lt;100 beds)</x:v>
      </x:c>
      <x:c r="H4311" s="7"/>
      <x:c r="I4311" s="7"/>
      <x:c r="J4311" s="7"/>
      <x:c r="K4311" s="8" t="n">
        <x:v>18</x:v>
      </x:c>
      <x:c r="L4311" s="8" t="n">
        <x:v>758</x:v>
      </x:c>
      <x:c r="M4311" s="9" t="n">
        <x:v>0.8157255616</x:v>
      </x:c>
      <x:c r="N4311" s="10" t="n">
        <x:v>7031.6279683377</x:v>
      </x:c>
      <x:c r="O4311" s="9" t="n">
        <x:v>0.155077352</x:v>
      </x:c>
      <x:c r="P4311" s="9" t="n">
        <x:v>0.1262135922</x:v>
      </x:c>
      <x:c r="Q4311" s="9" t="n">
        <x:v>0</x:v>
      </x:c>
      <x:c r="R4311" s="3" t="b">
        <x:v>0</x:v>
      </x:c>
      <x:c r="S4311" s="3" t="b">
        <x:v>0</x:v>
      </x:c>
      <x:c r="T4311" s="3" t="b">
        <x:v>0</x:v>
      </x:c>
      <x:c r="U4311" s="2" t="str">
        <x:f>IF(T4311=TRUE,"Priority review",IF(R4311=TRUE,"High cost",IF(S4311=TRUE,"Low quality","Benchmark")))</x:f>
        <x:v>Benchmark</x:v>
      </x:c>
    </x:row>
    <x:row r="4312">
      <x:c r="A4312" s="2" t="str">
        <x:v>030088</x:v>
      </x:c>
      <x:c r="B4312" s="2" t="str">
        <x:v>BANNER BAYWOOD MEDICAL CENTER</x:v>
      </x:c>
      <x:c r="C4312" s="2" t="str">
        <x:v>MESA</x:v>
      </x:c>
      <x:c r="D4312" s="2" t="str">
        <x:v>AZ</x:v>
      </x:c>
      <x:c r="E4312" s="2" t="str">
        <x:v>Acute Care Hospitals</x:v>
      </x:c>
      <x:c r="F4312" s="2" t="str">
        <x:v>Voluntary non-profit</x:v>
      </x:c>
      <x:c r="G4312" s="2" t="str">
        <x:v>Large (300+ beds)</x:v>
      </x:c>
      <x:c r="H4312" s="7" t="n">
        <x:v>2</x:v>
      </x:c>
      <x:c r="I4312" s="7" t="n">
        <x:v>2</x:v>
      </x:c>
      <x:c r="J4312" s="7" t="n">
        <x:v>1.01</x:v>
      </x:c>
      <x:c r="K4312" s="8" t="n">
        <x:v>337</x:v>
      </x:c>
      <x:c r="L4312" s="8" t="n">
        <x:v>12346</x:v>
      </x:c>
      <x:c r="M4312" s="9" t="n">
        <x:v>0.5159232054</x:v>
      </x:c>
      <x:c r="N4312" s="10" t="n">
        <x:v>23931.7086505751</x:v>
      </x:c>
      <x:c r="O4312" s="9" t="n">
        <x:v>-0.0015948926</x:v>
      </x:c>
      <x:c r="P4312" s="9" t="n">
        <x:v>0.1261829653</x:v>
      </x:c>
      <x:c r="Q4312" s="9" t="n">
        <x:v>0.0536277603</x:v>
      </x:c>
      <x:c r="R4312" s="3" t="b">
        <x:v>0</x:v>
      </x:c>
      <x:c r="S4312" s="3" t="b">
        <x:v>1</x:v>
      </x:c>
      <x:c r="T4312" s="3" t="b">
        <x:v>0</x:v>
      </x:c>
      <x:c r="U4312" s="2" t="str">
        <x:f>IF(T4312=TRUE,"Priority review",IF(R4312=TRUE,"High cost",IF(S4312=TRUE,"Low quality","Benchmark")))</x:f>
        <x:v>Low quality</x:v>
      </x:c>
    </x:row>
    <x:row r="4313">
      <x:c r="A4313" s="2" t="str">
        <x:v>170009</x:v>
      </x:c>
      <x:c r="B4313" s="2" t="str">
        <x:v>SAINT JOHN HOSPITAL</x:v>
      </x:c>
      <x:c r="C4313" s="2" t="str">
        <x:v>LEAVENWORTH</x:v>
      </x:c>
      <x:c r="D4313" s="2" t="str">
        <x:v>KS</x:v>
      </x:c>
      <x:c r="E4313" s="2" t="str">
        <x:v>Acute Care Hospitals</x:v>
      </x:c>
      <x:c r="F4313" s="2" t="str">
        <x:v>Voluntary non-profit</x:v>
      </x:c>
      <x:c r="G4313" s="2" t="str">
        <x:v>Small (&lt;100 beds)</x:v>
      </x:c>
      <x:c r="H4313" s="7" t="n">
        <x:v>3</x:v>
      </x:c>
      <x:c r="I4313" s="7" t="n">
        <x:v>3</x:v>
      </x:c>
      <x:c r="J4313" s="7" t="n">
        <x:v>0.88</x:v>
      </x:c>
      <x:c r="K4313" s="8" t="n">
        <x:v>22</x:v>
      </x:c>
      <x:c r="L4313" s="8" t="n">
        <x:v>1165</x:v>
      </x:c>
      <x:c r="M4313" s="9" t="n">
        <x:v>0.3923248882</x:v>
      </x:c>
      <x:c r="N4313" s="10" t="n">
        <x:v>28489.1459227468</x:v>
      </x:c>
      <x:c r="O4313" s="9" t="n">
        <x:v>-0.0289564937</x:v>
      </x:c>
      <x:c r="P4313" s="9" t="n">
        <x:v>0.1256732496</x:v>
      </x:c>
      <x:c r="Q4313" s="9" t="n">
        <x:v>0.1687612208</x:v>
      </x:c>
      <x:c r="R4313" s="3" t="b">
        <x:v>0</x:v>
      </x:c>
      <x:c r="S4313" s="3" t="b">
        <x:v>0</x:v>
      </x:c>
      <x:c r="T4313" s="3" t="b">
        <x:v>0</x:v>
      </x:c>
      <x:c r="U4313" s="2" t="str">
        <x:f>IF(T4313=TRUE,"Priority review",IF(R4313=TRUE,"High cost",IF(S4313=TRUE,"Low quality","Benchmark")))</x:f>
        <x:v>Benchmark</x:v>
      </x:c>
    </x:row>
    <x:row r="4314">
      <x:c r="A4314" s="2" t="str">
        <x:v>351303</x:v>
      </x:c>
      <x:c r="B4314" s="2" t="str">
        <x:v>GARRISON MEMORIAL HOSPITAL</x:v>
      </x:c>
      <x:c r="C4314" s="2" t="str">
        <x:v>GARRISON</x:v>
      </x:c>
      <x:c r="D4314" s="2" t="str">
        <x:v>ND</x:v>
      </x:c>
      <x:c r="E4314" s="2" t="str">
        <x:v>Critical Access Hospitals</x:v>
      </x:c>
      <x:c r="F4314" s="2" t="str">
        <x:v>Voluntary non-profit</x:v>
      </x:c>
      <x:c r="G4314" s="2" t="str">
        <x:v>Small (&lt;100 beds)</x:v>
      </x:c>
      <x:c r="H4314" s="7"/>
      <x:c r="I4314" s="7"/>
      <x:c r="J4314" s="7"/>
      <x:c r="K4314" s="8" t="n">
        <x:v>22</x:v>
      </x:c>
      <x:c r="L4314" s="8" t="n">
        <x:v>205</x:v>
      </x:c>
      <x:c r="M4314" s="9" t="n">
        <x:v>0.1346201743</x:v>
      </x:c>
      <x:c r="N4314" s="10" t="n">
        <x:v>66373.356097561</x:v>
      </x:c>
      <x:c r="O4314" s="9" t="n">
        <x:v>-0.1560536848</x:v>
      </x:c>
      <x:c r="P4314" s="9" t="n">
        <x:v>0.1256505576</x:v>
      </x:c>
      <x:c r="Q4314" s="9" t="n">
        <x:v>0.292936803</x:v>
      </x:c>
      <x:c r="R4314" s="3" t="b">
        <x:v>0</x:v>
      </x:c>
      <x:c r="S4314" s="3" t="b">
        <x:v>0</x:v>
      </x:c>
      <x:c r="T4314" s="3" t="b">
        <x:v>0</x:v>
      </x:c>
      <x:c r="U4314" s="2" t="str">
        <x:f>IF(T4314=TRUE,"Priority review",IF(R4314=TRUE,"High cost",IF(S4314=TRUE,"Low quality","Benchmark")))</x:f>
        <x:v>Benchmark</x:v>
      </x:c>
    </x:row>
    <x:row r="4315">
      <x:c r="A4315" s="2" t="str">
        <x:v>390219</x:v>
      </x:c>
      <x:c r="B4315" s="2" t="str">
        <x:v>EXCELA HEALTH LATROBE HOSPITAL</x:v>
      </x:c>
      <x:c r="C4315" s="2" t="str">
        <x:v>LATROBE</x:v>
      </x:c>
      <x:c r="D4315" s="2" t="str">
        <x:v>PA</x:v>
      </x:c>
      <x:c r="E4315" s="2" t="str">
        <x:v>Acute Care Hospitals</x:v>
      </x:c>
      <x:c r="F4315" s="2" t="str">
        <x:v>Voluntary non-profit</x:v>
      </x:c>
      <x:c r="G4315" s="2" t="str">
        <x:v>Medium (100-299 beds)</x:v>
      </x:c>
      <x:c r="H4315" s="7" t="n">
        <x:v>4</x:v>
      </x:c>
      <x:c r="I4315" s="7" t="n">
        <x:v>3</x:v>
      </x:c>
      <x:c r="J4315" s="7" t="n">
        <x:v>0.93</x:v>
      </x:c>
      <x:c r="K4315" s="8" t="n">
        <x:v>109</x:v>
      </x:c>
      <x:c r="L4315" s="8" t="n">
        <x:v>7141</x:v>
      </x:c>
      <x:c r="M4315" s="9" t="n">
        <x:v>0.7370617067</x:v>
      </x:c>
      <x:c r="N4315" s="10" t="n">
        <x:v>20804.1342949167</x:v>
      </x:c>
      <x:c r="O4315" s="9" t="n">
        <x:v>0.1449768825</x:v>
      </x:c>
      <x:c r="P4315" s="9" t="n">
        <x:v>0.1255093725</x:v>
      </x:c>
      <x:c r="Q4315" s="9" t="n">
        <x:v>0.6022819886</x:v>
      </x:c>
      <x:c r="R4315" s="3" t="b">
        <x:v>0</x:v>
      </x:c>
      <x:c r="S4315" s="3" t="b">
        <x:v>0</x:v>
      </x:c>
      <x:c r="T4315" s="3" t="b">
        <x:v>0</x:v>
      </x:c>
      <x:c r="U4315" s="2" t="str">
        <x:f>IF(T4315=TRUE,"Priority review",IF(R4315=TRUE,"High cost",IF(S4315=TRUE,"Low quality","Benchmark")))</x:f>
        <x:v>Benchmark</x:v>
      </x:c>
    </x:row>
    <x:row r="4316">
      <x:c r="A4316" s="2" t="str">
        <x:v>233300</x:v>
      </x:c>
      <x:c r="B4316" s="2" t="str">
        <x:v>CHILDREN'S HOSPITAL OF MICHIGAN</x:v>
      </x:c>
      <x:c r="C4316" s="2" t="str">
        <x:v>DETROIT</x:v>
      </x:c>
      <x:c r="D4316" s="2" t="str">
        <x:v>MI</x:v>
      </x:c>
      <x:c r="E4316" s="2" t="str">
        <x:v>Childrens</x:v>
      </x:c>
      <x:c r="F4316" s="2" t="str">
        <x:v>Proprietary</x:v>
      </x:c>
      <x:c r="G4316" s="2" t="str">
        <x:v>Medium (100-299 beds)</x:v>
      </x:c>
      <x:c r="H4316" s="7"/>
      <x:c r="I4316" s="7"/>
      <x:c r="J4316" s="7"/>
      <x:c r="K4316" s="8" t="n">
        <x:v>228</x:v>
      </x:c>
      <x:c r="L4316" s="8" t="n">
        <x:v>8941</x:v>
      </x:c>
      <x:c r="M4316" s="9" t="n">
        <x:v>0.6181604424</x:v>
      </x:c>
      <x:c r="N4316" s="10" t="n">
        <x:v>49426.5914327256</x:v>
      </x:c>
      <x:c r="O4316" s="9" t="n">
        <x:v>0.2746939849</x:v>
      </x:c>
      <x:c r="P4316" s="9" t="n">
        <x:v>0.125</x:v>
      </x:c>
      <x:c r="Q4316" s="9" t="n">
        <x:v>0</x:v>
      </x:c>
      <x:c r="R4316" s="3" t="b">
        <x:v>0</x:v>
      </x:c>
      <x:c r="S4316" s="3" t="b">
        <x:v>0</x:v>
      </x:c>
      <x:c r="T4316" s="3" t="b">
        <x:v>0</x:v>
      </x:c>
      <x:c r="U4316" s="2" t="str">
        <x:f>IF(T4316=TRUE,"Priority review",IF(R4316=TRUE,"High cost",IF(S4316=TRUE,"Low quality","Benchmark")))</x:f>
        <x:v>Benchmark</x:v>
      </x:c>
    </x:row>
    <x:row r="4317">
      <x:c r="A4317" s="2" t="str">
        <x:v>341323</x:v>
      </x:c>
      <x:c r="B4317" s="2" t="str">
        <x:v>CHARLES A CANNON JR MEMORIAL HOSPITAL</x:v>
      </x:c>
      <x:c r="C4317" s="2" t="str">
        <x:v>LINVILLE</x:v>
      </x:c>
      <x:c r="D4317" s="2" t="str">
        <x:v>NC</x:v>
      </x:c>
      <x:c r="E4317" s="2" t="str">
        <x:v>Critical Access Hospitals</x:v>
      </x:c>
      <x:c r="F4317" s="2" t="str">
        <x:v>Voluntary non-profit</x:v>
      </x:c>
      <x:c r="G4317" s="2" t="str">
        <x:v>Small (&lt;100 beds)</x:v>
      </x:c>
      <x:c r="H4317" s="7"/>
      <x:c r="I4317" s="7"/>
      <x:c r="J4317" s="7"/>
      <x:c r="K4317" s="8" t="n">
        <x:v>23</x:v>
      </x:c>
      <x:c r="L4317" s="8" t="n">
        <x:v>400</x:v>
      </x:c>
      <x:c r="M4317" s="9" t="n">
        <x:v>0.1780821918</x:v>
      </x:c>
      <x:c r="N4317" s="10" t="n">
        <x:v>66229.605</x:v>
      </x:c>
      <x:c r="O4317" s="9" t="n">
        <x:v>0.0535732805</x:v>
      </x:c>
      <x:c r="P4317" s="9" t="n">
        <x:v>0.1249070632</x:v>
      </x:c>
      <x:c r="Q4317" s="9" t="n">
        <x:v>0.292936803</x:v>
      </x:c>
      <x:c r="R4317" s="3" t="b">
        <x:v>0</x:v>
      </x:c>
      <x:c r="S4317" s="3" t="b">
        <x:v>0</x:v>
      </x:c>
      <x:c r="T4317" s="3" t="b">
        <x:v>0</x:v>
      </x:c>
      <x:c r="U4317" s="2" t="str">
        <x:f>IF(T4317=TRUE,"Priority review",IF(R4317=TRUE,"High cost",IF(S4317=TRUE,"Low quality","Benchmark")))</x:f>
        <x:v>Benchmark</x:v>
      </x:c>
    </x:row>
    <x:row r="4318">
      <x:c r="A4318" s="2" t="str">
        <x:v>670260</x:v>
      </x:c>
      <x:c r="B4318" s="2" t="str">
        <x:v>TEXAS HEALTH HOSPITAL FRISCO</x:v>
      </x:c>
      <x:c r="C4318" s="2" t="str">
        <x:v>FRISCO</x:v>
      </x:c>
      <x:c r="D4318" s="2" t="str">
        <x:v>TX</x:v>
      </x:c>
      <x:c r="E4318" s="2" t="str">
        <x:v>Acute Care Hospitals</x:v>
      </x:c>
      <x:c r="F4318" s="2" t="str">
        <x:v>Voluntary non-profit</x:v>
      </x:c>
      <x:c r="G4318" s="2" t="str">
        <x:v>Small (&lt;100 beds)</x:v>
      </x:c>
      <x:c r="H4318" s="7" t="n">
        <x:v>4</x:v>
      </x:c>
      <x:c r="I4318" s="7" t="n">
        <x:v>3</x:v>
      </x:c>
      <x:c r="J4318" s="7" t="n">
        <x:v>1.09</x:v>
      </x:c>
      <x:c r="K4318" s="8" t="n">
        <x:v>90</x:v>
      </x:c>
      <x:c r="L4318" s="8" t="n">
        <x:v>5818</x:v>
      </x:c>
      <x:c r="M4318" s="9" t="n">
        <x:v>0.5865513054</x:v>
      </x:c>
      <x:c r="N4318" s="10" t="n">
        <x:v>28448.3404950155</x:v>
      </x:c>
      <x:c r="O4318" s="9" t="n">
        <x:v>0.1255425686</x:v>
      </x:c>
      <x:c r="P4318" s="9" t="n">
        <x:v>0.1247755835</x:v>
      </x:c>
      <x:c r="Q4318" s="9" t="n">
        <x:v>0.3913824057</x:v>
      </x:c>
      <x:c r="R4318" s="3" t="b">
        <x:v>0</x:v>
      </x:c>
      <x:c r="S4318" s="3" t="b">
        <x:v>0</x:v>
      </x:c>
      <x:c r="T4318" s="3" t="b">
        <x:v>0</x:v>
      </x:c>
      <x:c r="U4318" s="2" t="str">
        <x:f>IF(T4318=TRUE,"Priority review",IF(R4318=TRUE,"High cost",IF(S4318=TRUE,"Low quality","Benchmark")))</x:f>
        <x:v>Benchmark</x:v>
      </x:c>
    </x:row>
    <x:row r="4319">
      <x:c r="A4319" s="2" t="str">
        <x:v>390145</x:v>
      </x:c>
      <x:c r="B4319" s="2" t="str">
        <x:v>EXCELA HEALTH WESTMORELAND REGIONAL HOSPITAL</x:v>
      </x:c>
      <x:c r="C4319" s="2" t="str">
        <x:v>GREENSBURG</x:v>
      </x:c>
      <x:c r="D4319" s="2" t="str">
        <x:v>PA</x:v>
      </x:c>
      <x:c r="E4319" s="2" t="str">
        <x:v>Acute Care Hospitals</x:v>
      </x:c>
      <x:c r="F4319" s="2" t="str">
        <x:v>Voluntary non-profit</x:v>
      </x:c>
      <x:c r="G4319" s="2" t="str">
        <x:v>Medium (100-299 beds)</x:v>
      </x:c>
      <x:c r="H4319" s="7" t="n">
        <x:v>3</x:v>
      </x:c>
      <x:c r="I4319" s="7" t="n">
        <x:v>2</x:v>
      </x:c>
      <x:c r="J4319" s="7" t="n">
        <x:v>0.94</x:v>
      </x:c>
      <x:c r="K4319" s="8" t="n">
        <x:v>283</x:v>
      </x:c>
      <x:c r="L4319" s="8" t="n">
        <x:v>14208</x:v>
      </x:c>
      <x:c r="M4319" s="9" t="n">
        <x:v>0.662413476</x:v>
      </x:c>
      <x:c r="N4319" s="10" t="n">
        <x:v>20792.9932432432</x:v>
      </x:c>
      <x:c r="O4319" s="9" t="n">
        <x:v>0.0391354394</x:v>
      </x:c>
      <x:c r="P4319" s="9" t="n">
        <x:v>0.1246943765</x:v>
      </x:c>
      <x:c r="Q4319" s="9" t="n">
        <x:v>0.3023634882</x:v>
      </x:c>
      <x:c r="R4319" s="3" t="b">
        <x:v>0</x:v>
      </x:c>
      <x:c r="S4319" s="3" t="b">
        <x:v>0</x:v>
      </x:c>
      <x:c r="T4319" s="3" t="b">
        <x:v>0</x:v>
      </x:c>
      <x:c r="U4319" s="2" t="str">
        <x:f>IF(T4319=TRUE,"Priority review",IF(R4319=TRUE,"High cost",IF(S4319=TRUE,"Low quality","Benchmark")))</x:f>
        <x:v>Benchmark</x:v>
      </x:c>
    </x:row>
    <x:row r="4320">
      <x:c r="A4320" s="2" t="str">
        <x:v>360064</x:v>
      </x:c>
      <x:c r="B4320" s="2" t="str">
        <x:v>MH ST ELIZABETH YOUNGSTOWN HOSPITAL</x:v>
      </x:c>
      <x:c r="C4320" s="2" t="str">
        <x:v>YOUNGSTOWN</x:v>
      </x:c>
      <x:c r="D4320" s="2" t="str">
        <x:v>OH</x:v>
      </x:c>
      <x:c r="E4320" s="2" t="str">
        <x:v>Acute Care Hospitals</x:v>
      </x:c>
      <x:c r="F4320" s="2" t="str">
        <x:v>Voluntary non-profit</x:v>
      </x:c>
      <x:c r="G4320" s="2" t="str">
        <x:v>Large (300+ beds)</x:v>
      </x:c>
      <x:c r="H4320" s="7" t="n">
        <x:v>3</x:v>
      </x:c>
      <x:c r="I4320" s="7" t="n">
        <x:v>2</x:v>
      </x:c>
      <x:c r="J4320" s="7" t="n">
        <x:v>1.03</x:v>
      </x:c>
      <x:c r="K4320" s="8" t="n">
        <x:v>341</x:v>
      </x:c>
      <x:c r="L4320" s="8" t="n">
        <x:v>20174</x:v>
      </x:c>
      <x:c r="M4320" s="9" t="n">
        <x:v>0.752454283</x:v>
      </x:c>
      <x:c r="N4320" s="10" t="n">
        <x:v>23929.1626350748</x:v>
      </x:c>
      <x:c r="O4320" s="9" t="n">
        <x:v>0.0447868586</x:v>
      </x:c>
      <x:c r="P4320" s="9" t="n">
        <x:v>0.1246056782</x:v>
      </x:c>
      <x:c r="Q4320" s="9" t="n">
        <x:v>0.2570977918</x:v>
      </x:c>
      <x:c r="R4320" s="3" t="b">
        <x:v>0</x:v>
      </x:c>
      <x:c r="S4320" s="3" t="b">
        <x:v>0</x:v>
      </x:c>
      <x:c r="T4320" s="3" t="b">
        <x:v>0</x:v>
      </x:c>
      <x:c r="U4320" s="2" t="str">
        <x:f>IF(T4320=TRUE,"Priority review",IF(R4320=TRUE,"High cost",IF(S4320=TRUE,"Low quality","Benchmark")))</x:f>
        <x:v>Benchmark</x:v>
      </x:c>
    </x:row>
    <x:row r="4321">
      <x:c r="A4321" s="2" t="str">
        <x:v>194069</x:v>
      </x:c>
      <x:c r="B4321" s="2" t="str">
        <x:v>GREENBRIER BEHAVIORAL HEALTH</x:v>
      </x:c>
      <x:c r="C4321" s="2" t="str">
        <x:v>COVINGTON</x:v>
      </x:c>
      <x:c r="D4321" s="2" t="str">
        <x:v>LA</x:v>
      </x:c>
      <x:c r="E4321" s="2" t="str">
        <x:v>Psychiatric</x:v>
      </x:c>
      <x:c r="F4321" s="2" t="str">
        <x:v>Proprietary</x:v>
      </x:c>
      <x:c r="G4321" s="2" t="str">
        <x:v>Medium (100-299 beds)</x:v>
      </x:c>
      <x:c r="H4321" s="7"/>
      <x:c r="I4321" s="7"/>
      <x:c r="J4321" s="7"/>
      <x:c r="K4321" s="8" t="n">
        <x:v>104</x:v>
      </x:c>
      <x:c r="L4321" s="8" t="n">
        <x:v>3557</x:v>
      </x:c>
      <x:c r="M4321" s="9" t="n">
        <x:v>0.6383459437</x:v>
      </x:c>
      <x:c r="N4321" s="10" t="n">
        <x:v>5837.8900759067</x:v>
      </x:c>
      <x:c r="O4321" s="9" t="n">
        <x:v>0.0464255403</x:v>
      </x:c>
      <x:c r="P4321" s="9" t="n">
        <x:v>0.1243781095</x:v>
      </x:c>
      <x:c r="Q4321" s="9" t="n">
        <x:v>0</x:v>
      </x:c>
      <x:c r="R4321" s="3" t="b">
        <x:v>0</x:v>
      </x:c>
      <x:c r="S4321" s="3" t="b">
        <x:v>0</x:v>
      </x:c>
      <x:c r="T4321" s="3" t="b">
        <x:v>0</x:v>
      </x:c>
      <x:c r="U4321" s="2" t="str">
        <x:f>IF(T4321=TRUE,"Priority review",IF(R4321=TRUE,"High cost",IF(S4321=TRUE,"Low quality","Benchmark")))</x:f>
        <x:v>Benchmark</x:v>
      </x:c>
    </x:row>
    <x:row r="4322">
      <x:c r="A4322" s="2" t="str">
        <x:v>341322</x:v>
      </x:c>
      <x:c r="B4322" s="2" t="str">
        <x:v>ADVENT HEALTH POLK</x:v>
      </x:c>
      <x:c r="C4322" s="2" t="str">
        <x:v>COLUMBUS</x:v>
      </x:c>
      <x:c r="D4322" s="2" t="str">
        <x:v>NC</x:v>
      </x:c>
      <x:c r="E4322" s="2" t="str">
        <x:v>Critical Access Hospitals</x:v>
      </x:c>
      <x:c r="F4322" s="2" t="str">
        <x:v>Voluntary non-profit</x:v>
      </x:c>
      <x:c r="G4322" s="2" t="str">
        <x:v>Small (&lt;100 beds)</x:v>
      </x:c>
      <x:c r="H4322" s="7" t="n">
        <x:v>4</x:v>
      </x:c>
      <x:c r="I4322" s="7" t="n">
        <x:v>4</x:v>
      </x:c>
      <x:c r="J4322" s="7"/>
      <x:c r="K4322" s="8" t="n">
        <x:v>25</x:v>
      </x:c>
      <x:c r="L4322" s="8" t="n">
        <x:v>731</x:v>
      </x:c>
      <x:c r="M4322" s="9" t="n">
        <x:v>0.422295082</x:v>
      </x:c>
      <x:c r="N4322" s="10" t="n">
        <x:v>65969.0875512996</x:v>
      </x:c>
      <x:c r="O4322" s="9" t="n">
        <x:v>0.0399818354</x:v>
      </x:c>
      <x:c r="P4322" s="9" t="n">
        <x:v>0.1241635688</x:v>
      </x:c>
      <x:c r="Q4322" s="9" t="n">
        <x:v>0.1657992565</x:v>
      </x:c>
      <x:c r="R4322" s="3" t="b">
        <x:v>0</x:v>
      </x:c>
      <x:c r="S4322" s="3" t="b">
        <x:v>0</x:v>
      </x:c>
      <x:c r="T4322" s="3" t="b">
        <x:v>0</x:v>
      </x:c>
      <x:c r="U4322" s="2" t="str">
        <x:f>IF(T4322=TRUE,"Priority review",IF(R4322=TRUE,"High cost",IF(S4322=TRUE,"Low quality","Benchmark")))</x:f>
        <x:v>Benchmark</x:v>
      </x:c>
    </x:row>
    <x:row r="4323">
      <x:c r="A4323" s="2" t="str">
        <x:v>670053</x:v>
      </x:c>
      <x:c r="B4323" s="2" t="str">
        <x:v>ST LUKE'S SUGAR LAND HOSPITAL</x:v>
      </x:c>
      <x:c r="C4323" s="2" t="str">
        <x:v>SUGAR LAND</x:v>
      </x:c>
      <x:c r="D4323" s="2" t="str">
        <x:v>TX</x:v>
      </x:c>
      <x:c r="E4323" s="2" t="str">
        <x:v>Acute Care Hospitals</x:v>
      </x:c>
      <x:c r="F4323" s="2" t="str">
        <x:v>Voluntary non-profit</x:v>
      </x:c>
      <x:c r="G4323" s="2" t="str">
        <x:v>Medium (100-299 beds)</x:v>
      </x:c>
      <x:c r="H4323" s="7" t="n">
        <x:v>3</x:v>
      </x:c>
      <x:c r="I4323" s="7" t="n">
        <x:v>2</x:v>
      </x:c>
      <x:c r="J4323" s="7" t="n">
        <x:v>1.16</x:v>
      </x:c>
      <x:c r="K4323" s="8" t="n">
        <x:v>100</x:v>
      </x:c>
      <x:c r="L4323" s="8" t="n">
        <x:v>5311</x:v>
      </x:c>
      <x:c r="M4323" s="9" t="n">
        <x:v>0.5663287671</x:v>
      </x:c>
      <x:c r="N4323" s="10" t="n">
        <x:v>20718.1890416117</x:v>
      </x:c>
      <x:c r="O4323" s="9" t="n">
        <x:v>-0.1051325207</x:v>
      </x:c>
      <x:c r="P4323" s="9" t="n">
        <x:v>0.1238793806</x:v>
      </x:c>
      <x:c r="Q4323" s="9" t="n">
        <x:v>0.3023634882</x:v>
      </x:c>
      <x:c r="R4323" s="3" t="b">
        <x:v>0</x:v>
      </x:c>
      <x:c r="S4323" s="3" t="b">
        <x:v>0</x:v>
      </x:c>
      <x:c r="T4323" s="3" t="b">
        <x:v>0</x:v>
      </x:c>
      <x:c r="U4323" s="2" t="str">
        <x:f>IF(T4323=TRUE,"Priority review",IF(R4323=TRUE,"High cost",IF(S4323=TRUE,"Low quality","Benchmark")))</x:f>
        <x:v>Benchmark</x:v>
      </x:c>
    </x:row>
    <x:row r="4324">
      <x:c r="A4324" s="2" t="str">
        <x:v>340158</x:v>
      </x:c>
      <x:c r="B4324" s="2" t="str">
        <x:v>NOVANT HEALTH BRUNSWICK MEDICAL CENTER</x:v>
      </x:c>
      <x:c r="C4324" s="2" t="str">
        <x:v>SUPPLY</x:v>
      </x:c>
      <x:c r="D4324" s="2" t="str">
        <x:v>NC</x:v>
      </x:c>
      <x:c r="E4324" s="2" t="str">
        <x:v>Acute Care Hospitals</x:v>
      </x:c>
      <x:c r="F4324" s="2" t="str">
        <x:v>Voluntary non-profit</x:v>
      </x:c>
      <x:c r="G4324" s="2" t="str">
        <x:v>Small (&lt;100 beds)</x:v>
      </x:c>
      <x:c r="H4324" s="7" t="n">
        <x:v>4</x:v>
      </x:c>
      <x:c r="I4324" s="7" t="n">
        <x:v>4</x:v>
      </x:c>
      <x:c r="J4324" s="7" t="n">
        <x:v>0.92</x:v>
      </x:c>
      <x:c r="K4324" s="8" t="n">
        <x:v>65</x:v>
      </x:c>
      <x:c r="L4324" s="8" t="n">
        <x:v>5138</x:v>
      </x:c>
      <x:c r="M4324" s="9" t="n">
        <x:v>0.8216897856</x:v>
      </x:c>
      <x:c r="N4324" s="10" t="n">
        <x:v>28435.7985597509</x:v>
      </x:c>
      <x:c r="O4324" s="9" t="n">
        <x:v>0.1675440617</x:v>
      </x:c>
      <x:c r="P4324" s="9" t="n">
        <x:v>0.1238779174</x:v>
      </x:c>
      <x:c r="Q4324" s="9" t="n">
        <x:v>0.3913824057</x:v>
      </x:c>
      <x:c r="R4324" s="3" t="b">
        <x:v>0</x:v>
      </x:c>
      <x:c r="S4324" s="3" t="b">
        <x:v>0</x:v>
      </x:c>
      <x:c r="T4324" s="3" t="b">
        <x:v>0</x:v>
      </x:c>
      <x:c r="U4324" s="2" t="str">
        <x:f>IF(T4324=TRUE,"Priority review",IF(R4324=TRUE,"High cost",IF(S4324=TRUE,"Low quality","Benchmark")))</x:f>
        <x:v>Benchmark</x:v>
      </x:c>
    </x:row>
    <x:row r="4325">
      <x:c r="A4325" s="2" t="str">
        <x:v>471307</x:v>
      </x:c>
      <x:c r="B4325" s="2" t="str">
        <x:v>PORTER HOSPITAL INC</x:v>
      </x:c>
      <x:c r="C4325" s="2" t="str">
        <x:v>MIDDLEBURY</x:v>
      </x:c>
      <x:c r="D4325" s="2" t="str">
        <x:v>VT</x:v>
      </x:c>
      <x:c r="E4325" s="2" t="str">
        <x:v>Critical Access Hospitals</x:v>
      </x:c>
      <x:c r="F4325" s="2" t="str">
        <x:v>Voluntary non-profit</x:v>
      </x:c>
      <x:c r="G4325" s="2" t="str">
        <x:v>Small (&lt;100 beds)</x:v>
      </x:c>
      <x:c r="H4325" s="7" t="n">
        <x:v>3</x:v>
      </x:c>
      <x:c r="I4325" s="7" t="n">
        <x:v>3</x:v>
      </x:c>
      <x:c r="J4325" s="7"/>
      <x:c r="K4325" s="8" t="n">
        <x:v>25</x:v>
      </x:c>
      <x:c r="L4325" s="8" t="n">
        <x:v>1834</x:v>
      </x:c>
      <x:c r="M4325" s="9" t="n">
        <x:v>0.6608743169</x:v>
      </x:c>
      <x:c r="N4325" s="10" t="n">
        <x:v>65614.8647764449</x:v>
      </x:c>
      <x:c r="O4325" s="9" t="n">
        <x:v>-0.227614894</x:v>
      </x:c>
      <x:c r="P4325" s="9" t="n">
        <x:v>0.1234200743</x:v>
      </x:c>
      <x:c r="Q4325" s="9" t="n">
        <x:v>0.0765799257</x:v>
      </x:c>
      <x:c r="R4325" s="3" t="b">
        <x:v>0</x:v>
      </x:c>
      <x:c r="S4325" s="3" t="b">
        <x:v>1</x:v>
      </x:c>
      <x:c r="T4325" s="3" t="b">
        <x:v>0</x:v>
      </x:c>
      <x:c r="U4325" s="2" t="str">
        <x:f>IF(T4325=TRUE,"Priority review",IF(R4325=TRUE,"High cost",IF(S4325=TRUE,"Low quality","Benchmark")))</x:f>
        <x:v>Low quality</x:v>
      </x:c>
    </x:row>
    <x:row r="4326">
      <x:c r="A4326" s="2" t="str">
        <x:v>180124</x:v>
      </x:c>
      <x:c r="B4326" s="2" t="str">
        <x:v>TRISTAR GREENVIEW REGIONAL HOSPITAL</x:v>
      </x:c>
      <x:c r="C4326" s="2" t="str">
        <x:v>BOWLING GREEN</x:v>
      </x:c>
      <x:c r="D4326" s="2" t="str">
        <x:v>KY</x:v>
      </x:c>
      <x:c r="E4326" s="2" t="str">
        <x:v>Acute Care Hospitals</x:v>
      </x:c>
      <x:c r="F4326" s="2" t="str">
        <x:v>Proprietary</x:v>
      </x:c>
      <x:c r="G4326" s="2" t="str">
        <x:v>Medium (100-299 beds)</x:v>
      </x:c>
      <x:c r="H4326" s="7" t="n">
        <x:v>2</x:v>
      </x:c>
      <x:c r="I4326" s="7" t="n">
        <x:v>3</x:v>
      </x:c>
      <x:c r="J4326" s="7" t="n">
        <x:v>1.08</x:v>
      </x:c>
      <x:c r="K4326" s="8" t="n">
        <x:v>118</x:v>
      </x:c>
      <x:c r="L4326" s="8" t="n">
        <x:v>5664</x:v>
      </x:c>
      <x:c r="M4326" s="9" t="n">
        <x:v>0.4490136149</x:v>
      </x:c>
      <x:c r="N4326" s="10" t="n">
        <x:v>20716.1631355932</x:v>
      </x:c>
      <x:c r="O4326" s="9" t="n">
        <x:v>0.2171416905</x:v>
      </x:c>
      <x:c r="P4326" s="9" t="n">
        <x:v>0.1230643847</x:v>
      </x:c>
      <x:c r="Q4326" s="9" t="n">
        <x:v>0.0782396088</x:v>
      </x:c>
      <x:c r="R4326" s="3" t="b">
        <x:v>0</x:v>
      </x:c>
      <x:c r="S4326" s="3" t="b">
        <x:v>1</x:v>
      </x:c>
      <x:c r="T4326" s="3" t="b">
        <x:v>0</x:v>
      </x:c>
      <x:c r="U4326" s="2" t="str">
        <x:f>IF(T4326=TRUE,"Priority review",IF(R4326=TRUE,"High cost",IF(S4326=TRUE,"Low quality","Benchmark")))</x:f>
        <x:v>Low quality</x:v>
      </x:c>
    </x:row>
    <x:row r="4327">
      <x:c r="A4327" s="2" t="str">
        <x:v>030036</x:v>
      </x:c>
      <x:c r="B4327" s="2" t="str">
        <x:v>CHANDLER REGIONAL MEDICAL CENTER</x:v>
      </x:c>
      <x:c r="C4327" s="2" t="str">
        <x:v>CHANDLER</x:v>
      </x:c>
      <x:c r="D4327" s="2" t="str">
        <x:v>AZ</x:v>
      </x:c>
      <x:c r="E4327" s="2" t="str">
        <x:v>Acute Care Hospitals</x:v>
      </x:c>
      <x:c r="F4327" s="2" t="str">
        <x:v>Voluntary non-profit</x:v>
      </x:c>
      <x:c r="G4327" s="2" t="str">
        <x:v>Large (300+ beds)</x:v>
      </x:c>
      <x:c r="H4327" s="7" t="n">
        <x:v>4</x:v>
      </x:c>
      <x:c r="I4327" s="7" t="n">
        <x:v>3</x:v>
      </x:c>
      <x:c r="J4327" s="7" t="n">
        <x:v>1.04</x:v>
      </x:c>
      <x:c r="K4327" s="8" t="n">
        <x:v>429</x:v>
      </x:c>
      <x:c r="L4327" s="8" t="n">
        <x:v>32790</x:v>
      </x:c>
      <x:c r="M4327" s="9" t="n">
        <x:v>0.8870100755</x:v>
      </x:c>
      <x:c r="N4327" s="10" t="n">
        <x:v>23860.9089661482</x:v>
      </x:c>
      <x:c r="O4327" s="9" t="n">
        <x:v>0.0291372187</x:v>
      </x:c>
      <x:c r="P4327" s="9" t="n">
        <x:v>0.1230283912</x:v>
      </x:c>
      <x:c r="Q4327" s="9" t="n">
        <x:v>0.5899053628</x:v>
      </x:c>
      <x:c r="R4327" s="3" t="b">
        <x:v>0</x:v>
      </x:c>
      <x:c r="S4327" s="3" t="b">
        <x:v>0</x:v>
      </x:c>
      <x:c r="T4327" s="3" t="b">
        <x:v>0</x:v>
      </x:c>
      <x:c r="U4327" s="2" t="str">
        <x:f>IF(T4327=TRUE,"Priority review",IF(R4327=TRUE,"High cost",IF(S4327=TRUE,"Low quality","Benchmark")))</x:f>
        <x:v>Benchmark</x:v>
      </x:c>
    </x:row>
    <x:row r="4328">
      <x:c r="A4328" s="2" t="str">
        <x:v>400012</x:v>
      </x:c>
      <x:c r="B4328" s="2" t="str">
        <x:v>HOSPITAL ONCOLOGICO DR ISAAC GONZALEZ MARTINEZ</x:v>
      </x:c>
      <x:c r="C4328" s="2" t="str">
        <x:v>SAN JUAN</x:v>
      </x:c>
      <x:c r="D4328" s="2" t="str">
        <x:v>PR</x:v>
      </x:c>
      <x:c r="E4328" s="2" t="str">
        <x:v>Acute Care Hospitals</x:v>
      </x:c>
      <x:c r="F4328" s="2" t="str">
        <x:v>Voluntary non-profit</x:v>
      </x:c>
      <x:c r="G4328" s="2" t="str">
        <x:v>Small (&lt;100 beds)</x:v>
      </x:c>
      <x:c r="H4328" s="7"/>
      <x:c r="I4328" s="7"/>
      <x:c r="J4328" s="7"/>
      <x:c r="K4328" s="8" t="n">
        <x:v>40</x:v>
      </x:c>
      <x:c r="L4328" s="8" t="n">
        <x:v>940</x:v>
      </x:c>
      <x:c r="M4328" s="9" t="n">
        <x:v>0.2809589041</x:v>
      </x:c>
      <x:c r="N4328" s="10" t="n">
        <x:v>28405.970212766</x:v>
      </x:c>
      <x:c r="O4328" s="9" t="n">
        <x:v>-0.6937441309</x:v>
      </x:c>
      <x:c r="P4328" s="9" t="n">
        <x:v>0.1229802513</x:v>
      </x:c>
      <x:c r="Q4328" s="9" t="n">
        <x:v>0.697486535</x:v>
      </x:c>
      <x:c r="R4328" s="3" t="b">
        <x:v>0</x:v>
      </x:c>
      <x:c r="S4328" s="3" t="b">
        <x:v>0</x:v>
      </x:c>
      <x:c r="T4328" s="3" t="b">
        <x:v>0</x:v>
      </x:c>
      <x:c r="U4328" s="2" t="str">
        <x:f>IF(T4328=TRUE,"Priority review",IF(R4328=TRUE,"High cost",IF(S4328=TRUE,"Low quality","Benchmark")))</x:f>
        <x:v>Benchmark</x:v>
      </x:c>
    </x:row>
    <x:row r="4329">
      <x:c r="A4329" s="2" t="str">
        <x:v>194074</x:v>
      </x:c>
      <x:c r="B4329" s="2" t="str">
        <x:v>SERENITY SPRINGS SPECIALTY HOSPITAL</x:v>
      </x:c>
      <x:c r="C4329" s="2" t="str">
        <x:v>RUSTON</x:v>
      </x:c>
      <x:c r="D4329" s="2" t="str">
        <x:v>LA</x:v>
      </x:c>
      <x:c r="E4329" s="2" t="str">
        <x:v>Psychiatric</x:v>
      </x:c>
      <x:c r="F4329" s="2" t="str">
        <x:v>Proprietary</x:v>
      </x:c>
      <x:c r="G4329" s="2" t="str">
        <x:v>Small (&lt;100 beds)</x:v>
      </x:c>
      <x:c r="H4329" s="7"/>
      <x:c r="I4329" s="7"/>
      <x:c r="J4329" s="7"/>
      <x:c r="K4329" s="8" t="n">
        <x:v>18</x:v>
      </x:c>
      <x:c r="L4329" s="8" t="n">
        <x:v>731</x:v>
      </x:c>
      <x:c r="M4329" s="9" t="n">
        <x:v>0.871129326</x:v>
      </x:c>
      <x:c r="N4329" s="10" t="n">
        <x:v>7007.39124487</x:v>
      </x:c>
      <x:c r="O4329" s="9" t="n">
        <x:v>-0.1226832781</x:v>
      </x:c>
      <x:c r="P4329" s="9" t="n">
        <x:v>0.1229773463</x:v>
      </x:c>
      <x:c r="Q4329" s="9" t="n">
        <x:v>0</x:v>
      </x:c>
      <x:c r="R4329" s="3" t="b">
        <x:v>0</x:v>
      </x:c>
      <x:c r="S4329" s="3" t="b">
        <x:v>0</x:v>
      </x:c>
      <x:c r="T4329" s="3" t="b">
        <x:v>0</x:v>
      </x:c>
      <x:c r="U4329" s="2" t="str">
        <x:f>IF(T4329=TRUE,"Priority review",IF(R4329=TRUE,"High cost",IF(S4329=TRUE,"Low quality","Benchmark")))</x:f>
        <x:v>Benchmark</x:v>
      </x:c>
    </x:row>
    <x:row r="4330">
      <x:c r="A4330" s="2" t="str">
        <x:v>331322</x:v>
      </x:c>
      <x:c r="B4330" s="2" t="str">
        <x:v>SLHS MASSENA, INC</x:v>
      </x:c>
      <x:c r="C4330" s="2" t="str">
        <x:v>MASSENA</x:v>
      </x:c>
      <x:c r="D4330" s="2" t="str">
        <x:v>NY</x:v>
      </x:c>
      <x:c r="E4330" s="2" t="str">
        <x:v>Critical Access Hospitals</x:v>
      </x:c>
      <x:c r="F4330" s="2" t="str">
        <x:v>Voluntary non-profit</x:v>
      </x:c>
      <x:c r="G4330" s="2" t="str">
        <x:v>Small (&lt;100 beds)</x:v>
      </x:c>
      <x:c r="H4330" s="7"/>
      <x:c r="I4330" s="7"/>
      <x:c r="J4330" s="7"/>
      <x:c r="K4330" s="8" t="n">
        <x:v>25</x:v>
      </x:c>
      <x:c r="L4330" s="8" t="n">
        <x:v>1105</x:v>
      </x:c>
      <x:c r="M4330" s="9" t="n">
        <x:v>0.4926775956</x:v>
      </x:c>
      <x:c r="N4330" s="10" t="n">
        <x:v>65488.7547511312</x:v>
      </x:c>
      <x:c r="O4330" s="9" t="n">
        <x:v>0.0014977725</x:v>
      </x:c>
      <x:c r="P4330" s="9" t="n">
        <x:v>0.1226765799</x:v>
      </x:c>
      <x:c r="Q4330" s="9" t="n">
        <x:v>0.292936803</x:v>
      </x:c>
      <x:c r="R4330" s="3" t="b">
        <x:v>0</x:v>
      </x:c>
      <x:c r="S4330" s="3" t="b">
        <x:v>0</x:v>
      </x:c>
      <x:c r="T4330" s="3" t="b">
        <x:v>0</x:v>
      </x:c>
      <x:c r="U4330" s="2" t="str">
        <x:f>IF(T4330=TRUE,"Priority review",IF(R4330=TRUE,"High cost",IF(S4330=TRUE,"Low quality","Benchmark")))</x:f>
        <x:v>Benchmark</x:v>
      </x:c>
    </x:row>
    <x:row r="4331">
      <x:c r="A4331" s="2" t="str">
        <x:v>140177</x:v>
      </x:c>
      <x:c r="B4331" s="2" t="str">
        <x:v>JACKSON PARK HOSPITAL</x:v>
      </x:c>
      <x:c r="C4331" s="2" t="str">
        <x:v>CHICAGO</x:v>
      </x:c>
      <x:c r="D4331" s="2" t="str">
        <x:v>IL</x:v>
      </x:c>
      <x:c r="E4331" s="2" t="str">
        <x:v>Acute Care Hospitals</x:v>
      </x:c>
      <x:c r="F4331" s="2" t="str">
        <x:v>Voluntary non-profit</x:v>
      </x:c>
      <x:c r="G4331" s="2" t="str">
        <x:v>Medium (100-299 beds)</x:v>
      </x:c>
      <x:c r="H4331" s="7" t="n">
        <x:v>1</x:v>
      </x:c>
      <x:c r="I4331" s="7"/>
      <x:c r="J4331" s="7" t="n">
        <x:v>1.05</x:v>
      </x:c>
      <x:c r="K4331" s="8" t="n">
        <x:v>183</x:v>
      </x:c>
      <x:c r="L4331" s="8" t="n">
        <x:v>4240</x:v>
      </x:c>
      <x:c r="M4331" s="9" t="n">
        <x:v>0.332225466</x:v>
      </x:c>
      <x:c r="N4331" s="10" t="n">
        <x:v>20710.933490566</x:v>
      </x:c>
      <x:c r="O4331" s="9" t="n">
        <x:v>-0.1309166051</x:v>
      </x:c>
      <x:c r="P4331" s="9" t="n">
        <x:v>0.1222493888</x:v>
      </x:c>
      <x:c r="Q4331" s="9" t="n">
        <x:v>0</x:v>
      </x:c>
      <x:c r="R4331" s="3" t="b">
        <x:v>0</x:v>
      </x:c>
      <x:c r="S4331" s="3" t="b">
        <x:v>1</x:v>
      </x:c>
      <x:c r="T4331" s="3" t="b">
        <x:v>0</x:v>
      </x:c>
      <x:c r="U4331" s="2" t="str">
        <x:f>IF(T4331=TRUE,"Priority review",IF(R4331=TRUE,"High cost",IF(S4331=TRUE,"Low quality","Benchmark")))</x:f>
        <x:v>Low quality</x:v>
      </x:c>
    </x:row>
    <x:row r="4332">
      <x:c r="A4332" s="2" t="str">
        <x:v>340120</x:v>
      </x:c>
      <x:c r="B4332" s="2" t="str">
        <x:v>VIDANT DUPLIN HOSPITAL</x:v>
      </x:c>
      <x:c r="C4332" s="2" t="str">
        <x:v>KENANSVILLE</x:v>
      </x:c>
      <x:c r="D4332" s="2" t="str">
        <x:v>NC</x:v>
      </x:c>
      <x:c r="E4332" s="2" t="str">
        <x:v>Acute Care Hospitals</x:v>
      </x:c>
      <x:c r="F4332" s="2" t="str">
        <x:v>Government</x:v>
      </x:c>
      <x:c r="G4332" s="2" t="str">
        <x:v>Small (&lt;100 beds)</x:v>
      </x:c>
      <x:c r="H4332" s="7" t="n">
        <x:v>3</x:v>
      </x:c>
      <x:c r="I4332" s="7" t="n">
        <x:v>4</x:v>
      </x:c>
      <x:c r="J4332" s="7" t="n">
        <x:v>0.97</x:v>
      </x:c>
      <x:c r="K4332" s="8" t="n">
        <x:v>49</x:v>
      </x:c>
      <x:c r="L4332" s="8" t="n">
        <x:v>2655</x:v>
      </x:c>
      <x:c r="M4332" s="9" t="n">
        <x:v>0.5731013717</x:v>
      </x:c>
      <x:c r="N4332" s="10" t="n">
        <x:v>28390.6290018832</x:v>
      </x:c>
      <x:c r="O4332" s="9" t="n">
        <x:v>0.0677881553</x:v>
      </x:c>
      <x:c r="P4332" s="9" t="n">
        <x:v>0.1220825853</x:v>
      </x:c>
      <x:c r="Q4332" s="9" t="n">
        <x:v>0.1687612208</x:v>
      </x:c>
      <x:c r="R4332" s="3" t="b">
        <x:v>0</x:v>
      </x:c>
      <x:c r="S4332" s="3" t="b">
        <x:v>0</x:v>
      </x:c>
      <x:c r="T4332" s="3" t="b">
        <x:v>0</x:v>
      </x:c>
      <x:c r="U4332" s="2" t="str">
        <x:f>IF(T4332=TRUE,"Priority review",IF(R4332=TRUE,"High cost",IF(S4332=TRUE,"Low quality","Benchmark")))</x:f>
        <x:v>Benchmark</x:v>
      </x:c>
    </x:row>
    <x:row r="4333">
      <x:c r="A4333" s="2" t="str">
        <x:v>271336</x:v>
      </x:c>
      <x:c r="B4333" s="2" t="str">
        <x:v>LOGAN HEALTH - WHITEFISH</x:v>
      </x:c>
      <x:c r="C4333" s="2" t="str">
        <x:v>WHITEFISH</x:v>
      </x:c>
      <x:c r="D4333" s="2" t="str">
        <x:v>MT</x:v>
      </x:c>
      <x:c r="E4333" s="2" t="str">
        <x:v>Critical Access Hospitals</x:v>
      </x:c>
      <x:c r="F4333" s="2" t="str">
        <x:v>Voluntary non-profit</x:v>
      </x:c>
      <x:c r="G4333" s="2" t="str">
        <x:v>Small (&lt;100 beds)</x:v>
      </x:c>
      <x:c r="H4333" s="7" t="n">
        <x:v>3</x:v>
      </x:c>
      <x:c r="I4333" s="7" t="n">
        <x:v>3</x:v>
      </x:c>
      <x:c r="J4333" s="7"/>
      <x:c r="K4333" s="8" t="n">
        <x:v>25</x:v>
      </x:c>
      <x:c r="L4333" s="8" t="n">
        <x:v>1454</x:v>
      </x:c>
      <x:c r="M4333" s="9" t="n">
        <x:v>0.642295082</x:v>
      </x:c>
      <x:c r="N4333" s="10" t="n">
        <x:v>65429.6368638239</x:v>
      </x:c>
      <x:c r="O4333" s="9" t="n">
        <x:v>0.0569439292</x:v>
      </x:c>
      <x:c r="P4333" s="9" t="n">
        <x:v>0.1219330855</x:v>
      </x:c>
      <x:c r="Q4333" s="9" t="n">
        <x:v>0.0765799257</x:v>
      </x:c>
      <x:c r="R4333" s="3" t="b">
        <x:v>0</x:v>
      </x:c>
      <x:c r="S4333" s="3" t="b">
        <x:v>1</x:v>
      </x:c>
      <x:c r="T4333" s="3" t="b">
        <x:v>0</x:v>
      </x:c>
      <x:c r="U4333" s="2" t="str">
        <x:f>IF(T4333=TRUE,"Priority review",IF(R4333=TRUE,"High cost",IF(S4333=TRUE,"Low quality","Benchmark")))</x:f>
        <x:v>Low quality</x:v>
      </x:c>
    </x:row>
    <x:row r="4334">
      <x:c r="A4334" s="2" t="str">
        <x:v>340001</x:v>
      </x:c>
      <x:c r="B4334" s="2" t="str">
        <x:v>CAROLINAS MEDICAL CENTER-NORTHEAST</x:v>
      </x:c>
      <x:c r="C4334" s="2" t="str">
        <x:v>CONCORD</x:v>
      </x:c>
      <x:c r="D4334" s="2" t="str">
        <x:v>NC</x:v>
      </x:c>
      <x:c r="E4334" s="2" t="str">
        <x:v>Acute Care Hospitals</x:v>
      </x:c>
      <x:c r="F4334" s="2" t="str">
        <x:v>Government</x:v>
      </x:c>
      <x:c r="G4334" s="2" t="str">
        <x:v>Large (300+ beds)</x:v>
      </x:c>
      <x:c r="H4334" s="7" t="n">
        <x:v>4</x:v>
      </x:c>
      <x:c r="I4334" s="7" t="n">
        <x:v>3</x:v>
      </x:c>
      <x:c r="J4334" s="7" t="n">
        <x:v>0.9</x:v>
      </x:c>
      <x:c r="K4334" s="8" t="n">
        <x:v>447</x:v>
      </x:c>
      <x:c r="L4334" s="8" t="n">
        <x:v>32668</x:v>
      </x:c>
      <x:c r="M4334" s="9" t="n">
        <x:v>0.9681544235</x:v>
      </x:c>
      <x:c r="N4334" s="10" t="n">
        <x:v>23808.6944104322</x:v>
      </x:c>
      <x:c r="O4334" s="9" t="n">
        <x:v>0.1886521925</x:v>
      </x:c>
      <x:c r="P4334" s="9" t="n">
        <x:v>0.1214511041</x:v>
      </x:c>
      <x:c r="Q4334" s="9" t="n">
        <x:v>0.5899053628</x:v>
      </x:c>
      <x:c r="R4334" s="3" t="b">
        <x:v>0</x:v>
      </x:c>
      <x:c r="S4334" s="3" t="b">
        <x:v>0</x:v>
      </x:c>
      <x:c r="T4334" s="3" t="b">
        <x:v>0</x:v>
      </x:c>
      <x:c r="U4334" s="2" t="str">
        <x:f>IF(T4334=TRUE,"Priority review",IF(R4334=TRUE,"High cost",IF(S4334=TRUE,"Low quality","Benchmark")))</x:f>
        <x:v>Benchmark</x:v>
      </x:c>
    </x:row>
    <x:row r="4335">
      <x:c r="A4335" s="2" t="str">
        <x:v>160146</x:v>
      </x:c>
      <x:c r="B4335" s="2" t="str">
        <x:v>ST LUKES REGIONAL MEDICAL CENTER</x:v>
      </x:c>
      <x:c r="C4335" s="2" t="str">
        <x:v>SIOUX CITY</x:v>
      </x:c>
      <x:c r="D4335" s="2" t="str">
        <x:v>IA</x:v>
      </x:c>
      <x:c r="E4335" s="2" t="str">
        <x:v>Acute Care Hospitals</x:v>
      </x:c>
      <x:c r="F4335" s="2" t="str">
        <x:v>Voluntary non-profit</x:v>
      </x:c>
      <x:c r="G4335" s="2" t="str">
        <x:v>Medium (100-299 beds)</x:v>
      </x:c>
      <x:c r="H4335" s="7" t="n">
        <x:v>2</x:v>
      </x:c>
      <x:c r="I4335" s="7" t="n">
        <x:v>3</x:v>
      </x:c>
      <x:c r="J4335" s="7" t="n">
        <x:v>0.95</x:v>
      </x:c>
      <x:c r="K4335" s="8" t="n">
        <x:v>179</x:v>
      </x:c>
      <x:c r="L4335" s="8" t="n">
        <x:v>9896</x:v>
      </x:c>
      <x:c r="M4335" s="9" t="n">
        <x:v>0.705757548</x:v>
      </x:c>
      <x:c r="N4335" s="10" t="n">
        <x:v>20688.2109943411</x:v>
      </x:c>
      <x:c r="O4335" s="9" t="n">
        <x:v>0.1396520868</x:v>
      </x:c>
      <x:c r="P4335" s="9" t="n">
        <x:v>0.1214343928</x:v>
      </x:c>
      <x:c r="Q4335" s="9" t="n">
        <x:v>0.0782396088</x:v>
      </x:c>
      <x:c r="R4335" s="3" t="b">
        <x:v>0</x:v>
      </x:c>
      <x:c r="S4335" s="3" t="b">
        <x:v>1</x:v>
      </x:c>
      <x:c r="T4335" s="3" t="b">
        <x:v>0</x:v>
      </x:c>
      <x:c r="U4335" s="2" t="str">
        <x:f>IF(T4335=TRUE,"Priority review",IF(R4335=TRUE,"High cost",IF(S4335=TRUE,"Low quality","Benchmark")))</x:f>
        <x:v>Low quality</x:v>
      </x:c>
    </x:row>
    <x:row r="4336">
      <x:c r="A4336" s="2" t="str">
        <x:v>251313</x:v>
      </x:c>
      <x:c r="B4336" s="2" t="str">
        <x:v>BAPTIST MEDICAL CENTER-YAZOO</x:v>
      </x:c>
      <x:c r="C4336" s="2" t="str">
        <x:v>YAZOO CITY</x:v>
      </x:c>
      <x:c r="D4336" s="2" t="str">
        <x:v>MS</x:v>
      </x:c>
      <x:c r="E4336" s="2" t="str">
        <x:v>Critical Access Hospitals</x:v>
      </x:c>
      <x:c r="F4336" s="2" t="str">
        <x:v>Voluntary non-profit</x:v>
      </x:c>
      <x:c r="G4336" s="2" t="str">
        <x:v>Small (&lt;100 beds)</x:v>
      </x:c>
      <x:c r="H4336" s="7"/>
      <x:c r="I4336" s="7"/>
      <x:c r="J4336" s="7"/>
      <x:c r="K4336" s="8" t="n">
        <x:v>25</x:v>
      </x:c>
      <x:c r="L4336" s="8" t="n">
        <x:v>308</x:v>
      </x:c>
      <x:c r="M4336" s="9" t="n">
        <x:v>0.3648087432</x:v>
      </x:c>
      <x:c r="N4336" s="10" t="n">
        <x:v>65137.6461038961</x:v>
      </x:c>
      <x:c r="O4336" s="9" t="n">
        <x:v>-0.0007502237</x:v>
      </x:c>
      <x:c r="P4336" s="9" t="n">
        <x:v>0.1211895911</x:v>
      </x:c>
      <x:c r="Q4336" s="9" t="n">
        <x:v>0.292936803</x:v>
      </x:c>
      <x:c r="R4336" s="3" t="b">
        <x:v>0</x:v>
      </x:c>
      <x:c r="S4336" s="3" t="b">
        <x:v>0</x:v>
      </x:c>
      <x:c r="T4336" s="3" t="b">
        <x:v>0</x:v>
      </x:c>
      <x:c r="U4336" s="2" t="str">
        <x:f>IF(T4336=TRUE,"Priority review",IF(R4336=TRUE,"High cost",IF(S4336=TRUE,"Low quality","Benchmark")))</x:f>
        <x:v>Benchmark</x:v>
      </x:c>
    </x:row>
    <x:row r="4337">
      <x:c r="A4337" s="2" t="str">
        <x:v>670106</x:v>
      </x:c>
      <x:c r="B4337" s="2" t="str">
        <x:v>HCA HOUSTON HEALTHCARE PEARLAND</x:v>
      </x:c>
      <x:c r="C4337" s="2" t="str">
        <x:v>PEARLAND</x:v>
      </x:c>
      <x:c r="D4337" s="2" t="str">
        <x:v>TX</x:v>
      </x:c>
      <x:c r="E4337" s="2" t="str">
        <x:v>Acute Care Hospitals</x:v>
      </x:c>
      <x:c r="F4337" s="2" t="str">
        <x:v>Proprietary</x:v>
      </x:c>
      <x:c r="G4337" s="2" t="str">
        <x:v>Small (&lt;100 beds)</x:v>
      </x:c>
      <x:c r="H4337" s="7" t="n">
        <x:v>3</x:v>
      </x:c>
      <x:c r="I4337" s="7" t="n">
        <x:v>2</x:v>
      </x:c>
      <x:c r="J4337" s="7" t="n">
        <x:v>0.99</x:v>
      </x:c>
      <x:c r="K4337" s="8" t="n">
        <x:v>48</x:v>
      </x:c>
      <x:c r="L4337" s="8" t="n">
        <x:v>4374</x:v>
      </x:c>
      <x:c r="M4337" s="9" t="n">
        <x:v>1.0471880692</x:v>
      </x:c>
      <x:c r="N4337" s="10" t="n">
        <x:v>28293.0134887974</x:v>
      </x:c>
      <x:c r="O4337" s="9" t="n">
        <x:v>-0.1150312193</x:v>
      </x:c>
      <x:c r="P4337" s="9" t="n">
        <x:v>0.1211849192</x:v>
      </x:c>
      <x:c r="Q4337" s="9" t="n">
        <x:v>0.1687612208</x:v>
      </x:c>
      <x:c r="R4337" s="3" t="b">
        <x:v>0</x:v>
      </x:c>
      <x:c r="S4337" s="3" t="b">
        <x:v>0</x:v>
      </x:c>
      <x:c r="T4337" s="3" t="b">
        <x:v>0</x:v>
      </x:c>
      <x:c r="U4337" s="2" t="str">
        <x:f>IF(T4337=TRUE,"Priority review",IF(R4337=TRUE,"High cost",IF(S4337=TRUE,"Low quality","Benchmark")))</x:f>
        <x:v>Benchmark</x:v>
      </x:c>
    </x:row>
    <x:row r="4338">
      <x:c r="A4338" s="2" t="str">
        <x:v>100043</x:v>
      </x:c>
      <x:c r="B4338" s="2" t="str">
        <x:v>MEASE DUNEDIN HOSPITAL</x:v>
      </x:c>
      <x:c r="C4338" s="2" t="str">
        <x:v>DUNEDIN</x:v>
      </x:c>
      <x:c r="D4338" s="2" t="str">
        <x:v>FL</x:v>
      </x:c>
      <x:c r="E4338" s="2" t="str">
        <x:v>Acute Care Hospitals</x:v>
      </x:c>
      <x:c r="F4338" s="2" t="str">
        <x:v>Voluntary non-profit</x:v>
      </x:c>
      <x:c r="G4338" s="2" t="str">
        <x:v>Medium (100-299 beds)</x:v>
      </x:c>
      <x:c r="H4338" s="7" t="n">
        <x:v>4</x:v>
      </x:c>
      <x:c r="I4338" s="7" t="n">
        <x:v>4</x:v>
      </x:c>
      <x:c r="J4338" s="7" t="n">
        <x:v>1</x:v>
      </x:c>
      <x:c r="K4338" s="8" t="n">
        <x:v>112</x:v>
      </x:c>
      <x:c r="L4338" s="8" t="n">
        <x:v>6336</x:v>
      </x:c>
      <x:c r="M4338" s="9" t="n">
        <x:v>0.7058206479</x:v>
      </x:c>
      <x:c r="N4338" s="10" t="n">
        <x:v>20657.1494633838</x:v>
      </x:c>
      <x:c r="O4338" s="9" t="n">
        <x:v>-0.0161834205</x:v>
      </x:c>
      <x:c r="P4338" s="9" t="n">
        <x:v>0.1206193969</x:v>
      </x:c>
      <x:c r="Q4338" s="9" t="n">
        <x:v>0.6022819886</x:v>
      </x:c>
      <x:c r="R4338" s="3" t="b">
        <x:v>0</x:v>
      </x:c>
      <x:c r="S4338" s="3" t="b">
        <x:v>0</x:v>
      </x:c>
      <x:c r="T4338" s="3" t="b">
        <x:v>0</x:v>
      </x:c>
      <x:c r="U4338" s="2" t="str">
        <x:f>IF(T4338=TRUE,"Priority review",IF(R4338=TRUE,"High cost",IF(S4338=TRUE,"Low quality","Benchmark")))</x:f>
        <x:v>Benchmark</x:v>
      </x:c>
    </x:row>
    <x:row r="4339">
      <x:c r="A4339" s="2" t="str">
        <x:v>251320</x:v>
      </x:c>
      <x:c r="B4339" s="2" t="str">
        <x:v>CLAIBORNE COUNTY HOSPITAL</x:v>
      </x:c>
      <x:c r="C4339" s="2" t="str">
        <x:v>PORT GIBSON</x:v>
      </x:c>
      <x:c r="D4339" s="2" t="str">
        <x:v>MS</x:v>
      </x:c>
      <x:c r="E4339" s="2" t="str">
        <x:v>Critical Access Hospitals</x:v>
      </x:c>
      <x:c r="F4339" s="2" t="str">
        <x:v>Government</x:v>
      </x:c>
      <x:c r="G4339" s="2" t="str">
        <x:v>Small (&lt;100 beds)</x:v>
      </x:c>
      <x:c r="H4339" s="7"/>
      <x:c r="I4339" s="7"/>
      <x:c r="J4339" s="7"/>
      <x:c r="K4339" s="8" t="n">
        <x:v>22</x:v>
      </x:c>
      <x:c r="L4339" s="8" t="n">
        <x:v>168</x:v>
      </x:c>
      <x:c r="M4339" s="9" t="n">
        <x:v>0.2596870343</x:v>
      </x:c>
      <x:c r="N4339" s="10" t="n">
        <x:v>65123.8571428571</x:v>
      </x:c>
      <x:c r="O4339" s="9" t="n">
        <x:v>0.0120647424</x:v>
      </x:c>
      <x:c r="P4339" s="9" t="n">
        <x:v>0.1204460967</x:v>
      </x:c>
      <x:c r="Q4339" s="9" t="n">
        <x:v>0.292936803</x:v>
      </x:c>
      <x:c r="R4339" s="3" t="b">
        <x:v>0</x:v>
      </x:c>
      <x:c r="S4339" s="3" t="b">
        <x:v>0</x:v>
      </x:c>
      <x:c r="T4339" s="3" t="b">
        <x:v>0</x:v>
      </x:c>
      <x:c r="U4339" s="2" t="str">
        <x:f>IF(T4339=TRUE,"Priority review",IF(R4339=TRUE,"High cost",IF(S4339=TRUE,"Low quality","Benchmark")))</x:f>
        <x:v>Benchmark</x:v>
      </x:c>
    </x:row>
    <x:row r="4340">
      <x:c r="A4340" s="2" t="str">
        <x:v>340119</x:v>
      </x:c>
      <x:c r="B4340" s="2" t="str">
        <x:v>STANLY REGIONAL MEDICAL CENTER</x:v>
      </x:c>
      <x:c r="C4340" s="2" t="str">
        <x:v>ALBEMARLE</x:v>
      </x:c>
      <x:c r="D4340" s="2" t="str">
        <x:v>NC</x:v>
      </x:c>
      <x:c r="E4340" s="2" t="str">
        <x:v>Acute Care Hospitals</x:v>
      </x:c>
      <x:c r="F4340" s="2" t="str">
        <x:v>Voluntary non-profit</x:v>
      </x:c>
      <x:c r="G4340" s="2" t="str">
        <x:v>Small (&lt;100 beds)</x:v>
      </x:c>
      <x:c r="H4340" s="7" t="n">
        <x:v>3</x:v>
      </x:c>
      <x:c r="I4340" s="7" t="n">
        <x:v>3</x:v>
      </x:c>
      <x:c r="J4340" s="7" t="n">
        <x:v>0.93</x:v>
      </x:c>
      <x:c r="K4340" s="8" t="n">
        <x:v>97</x:v>
      </x:c>
      <x:c r="L4340" s="8" t="n">
        <x:v>3864</x:v>
      </x:c>
      <x:c r="M4340" s="9" t="n">
        <x:v>0.4410174075</x:v>
      </x:c>
      <x:c r="N4340" s="10" t="n">
        <x:v>28213.4140786749</x:v>
      </x:c>
      <x:c r="O4340" s="9" t="n">
        <x:v>0.1526255642</x:v>
      </x:c>
      <x:c r="P4340" s="9" t="n">
        <x:v>0.1202872531</x:v>
      </x:c>
      <x:c r="Q4340" s="9" t="n">
        <x:v>0.1687612208</x:v>
      </x:c>
      <x:c r="R4340" s="3" t="b">
        <x:v>0</x:v>
      </x:c>
      <x:c r="S4340" s="3" t="b">
        <x:v>0</x:v>
      </x:c>
      <x:c r="T4340" s="3" t="b">
        <x:v>0</x:v>
      </x:c>
      <x:c r="U4340" s="2" t="str">
        <x:f>IF(T4340=TRUE,"Priority review",IF(R4340=TRUE,"High cost",IF(S4340=TRUE,"Low quality","Benchmark")))</x:f>
        <x:v>Benchmark</x:v>
      </x:c>
    </x:row>
    <x:row r="4341">
      <x:c r="A4341" s="2" t="str">
        <x:v>074003</x:v>
      </x:c>
      <x:c r="B4341" s="2" t="str">
        <x:v>CONNECTICUT VALLEY HOSP</x:v>
      </x:c>
      <x:c r="C4341" s="2" t="str">
        <x:v>MIDDLETOWN</x:v>
      </x:c>
      <x:c r="D4341" s="2" t="str">
        <x:v>CT</x:v>
      </x:c>
      <x:c r="E4341" s="2" t="str">
        <x:v>Psychiatric</x:v>
      </x:c>
      <x:c r="F4341" s="2" t="str">
        <x:v>Government</x:v>
      </x:c>
      <x:c r="G4341" s="2" t="str">
        <x:v>Large (300+ beds)</x:v>
      </x:c>
      <x:c r="H4341" s="7"/>
      <x:c r="I4341" s="7"/>
      <x:c r="J4341" s="7"/>
      <x:c r="K4341" s="8" t="n">
        <x:v>386</x:v>
      </x:c>
      <x:c r="L4341" s="8" t="n">
        <x:v>2372</x:v>
      </x:c>
      <x:c r="M4341" s="9" t="n">
        <x:v>0.8200723969</x:v>
      </x:c>
      <x:c r="N4341" s="10" t="n">
        <x:v>60724.6913996627</x:v>
      </x:c>
      <x:c r="O4341" s="9"/>
      <x:c r="P4341" s="9" t="n">
        <x:v>0.12</x:v>
      </x:c>
      <x:c r="Q4341" s="9" t="n">
        <x:v>0</x:v>
      </x:c>
      <x:c r="R4341" s="3" t="b">
        <x:v>0</x:v>
      </x:c>
      <x:c r="S4341" s="3" t="b">
        <x:v>0</x:v>
      </x:c>
      <x:c r="T4341" s="3" t="b">
        <x:v>0</x:v>
      </x:c>
      <x:c r="U4341" s="2" t="str">
        <x:f>IF(T4341=TRUE,"Priority review",IF(R4341=TRUE,"High cost",IF(S4341=TRUE,"Low quality","Benchmark")))</x:f>
        <x:v>Benchmark</x:v>
      </x:c>
    </x:row>
    <x:row r="4342">
      <x:c r="A4342" s="2" t="str">
        <x:v>060100</x:v>
      </x:c>
      <x:c r="B4342" s="2" t="str">
        <x:v>THE MEDICAL CENTER OF AURORA &amp; SOUTH HOSPITAL</x:v>
      </x:c>
      <x:c r="C4342" s="2" t="str">
        <x:v>AURORA</x:v>
      </x:c>
      <x:c r="D4342" s="2" t="str">
        <x:v>CO</x:v>
      </x:c>
      <x:c r="E4342" s="2" t="str">
        <x:v>Acute Care Hospitals</x:v>
      </x:c>
      <x:c r="F4342" s="2" t="str">
        <x:v>Proprietary</x:v>
      </x:c>
      <x:c r="G4342" s="2" t="str">
        <x:v>Large (300+ beds)</x:v>
      </x:c>
      <x:c r="H4342" s="7" t="n">
        <x:v>4</x:v>
      </x:c>
      <x:c r="I4342" s="7" t="n">
        <x:v>2</x:v>
      </x:c>
      <x:c r="J4342" s="7" t="n">
        <x:v>1.01</x:v>
      </x:c>
      <x:c r="K4342" s="8" t="n">
        <x:v>334</x:v>
      </x:c>
      <x:c r="L4342" s="8" t="n">
        <x:v>15861</x:v>
      </x:c>
      <x:c r="M4342" s="9" t="n">
        <x:v>0.6712488121</x:v>
      </x:c>
      <x:c r="N4342" s="10" t="n">
        <x:v>23728.1346699451</x:v>
      </x:c>
      <x:c r="O4342" s="9" t="n">
        <x:v>0.0769394659</x:v>
      </x:c>
      <x:c r="P4342" s="9" t="n">
        <x:v>0.119873817</x:v>
      </x:c>
      <x:c r="Q4342" s="9" t="n">
        <x:v>0.5899053628</x:v>
      </x:c>
      <x:c r="R4342" s="3" t="b">
        <x:v>0</x:v>
      </x:c>
      <x:c r="S4342" s="3" t="b">
        <x:v>0</x:v>
      </x:c>
      <x:c r="T4342" s="3" t="b">
        <x:v>0</x:v>
      </x:c>
      <x:c r="U4342" s="2" t="str">
        <x:f>IF(T4342=TRUE,"Priority review",IF(R4342=TRUE,"High cost",IF(S4342=TRUE,"Low quality","Benchmark")))</x:f>
        <x:v>Benchmark</x:v>
      </x:c>
    </x:row>
    <x:row r="4343">
      <x:c r="A4343" s="2" t="str">
        <x:v>670085</x:v>
      </x:c>
      <x:c r="B4343" s="2" t="str">
        <x:v>TEXAS HEALTH HARRIS METHODIST HOSPITAL ALLIANCE</x:v>
      </x:c>
      <x:c r="C4343" s="2" t="str">
        <x:v>FORT WORTH</x:v>
      </x:c>
      <x:c r="D4343" s="2" t="str">
        <x:v>TX</x:v>
      </x:c>
      <x:c r="E4343" s="2" t="str">
        <x:v>Acute Care Hospitals</x:v>
      </x:c>
      <x:c r="F4343" s="2" t="str">
        <x:v>Voluntary non-profit</x:v>
      </x:c>
      <x:c r="G4343" s="2" t="str">
        <x:v>Medium (100-299 beds)</x:v>
      </x:c>
      <x:c r="H4343" s="7" t="n">
        <x:v>5</x:v>
      </x:c>
      <x:c r="I4343" s="7" t="n">
        <x:v>3</x:v>
      </x:c>
      <x:c r="J4343" s="7" t="n">
        <x:v>1.06</x:v>
      </x:c>
      <x:c r="K4343" s="8" t="n">
        <x:v>151</x:v>
      </x:c>
      <x:c r="L4343" s="8" t="n">
        <x:v>8592</x:v>
      </x:c>
      <x:c r="M4343" s="9" t="n">
        <x:v>0.4975415041</x:v>
      </x:c>
      <x:c r="N4343" s="10" t="n">
        <x:v>20650.3658054004</x:v>
      </x:c>
      <x:c r="O4343" s="9" t="n">
        <x:v>0.2106469299</x:v>
      </x:c>
      <x:c r="P4343" s="9" t="n">
        <x:v>0.119804401</x:v>
      </x:c>
      <x:c r="Q4343" s="9" t="n">
        <x:v>0.8744906275</x:v>
      </x:c>
      <x:c r="R4343" s="3" t="b">
        <x:v>0</x:v>
      </x:c>
      <x:c r="S4343" s="3" t="b">
        <x:v>0</x:v>
      </x:c>
      <x:c r="T4343" s="3" t="b">
        <x:v>0</x:v>
      </x:c>
      <x:c r="U4343" s="2" t="str">
        <x:f>IF(T4343=TRUE,"Priority review",IF(R4343=TRUE,"High cost",IF(S4343=TRUE,"Low quality","Benchmark")))</x:f>
        <x:v>Benchmark</x:v>
      </x:c>
    </x:row>
    <x:row r="4344">
      <x:c r="A4344" s="2" t="str">
        <x:v>364064</x:v>
      </x:c>
      <x:c r="B4344" s="2" t="str">
        <x:v>SUNRISE VISTA HEALTH AND WELLNESS</x:v>
      </x:c>
      <x:c r="C4344" s="2" t="str">
        <x:v>CANTON</x:v>
      </x:c>
      <x:c r="D4344" s="2" t="str">
        <x:v>OH</x:v>
      </x:c>
      <x:c r="E4344" s="2" t="str">
        <x:v>Psychiatric</x:v>
      </x:c>
      <x:c r="F4344" s="2" t="str">
        <x:v>Proprietary</x:v>
      </x:c>
      <x:c r="G4344" s="2" t="str">
        <x:v>Small (&lt;100 beds)</x:v>
      </x:c>
      <x:c r="H4344" s="7"/>
      <x:c r="I4344" s="7"/>
      <x:c r="J4344" s="7"/>
      <x:c r="K4344" s="8" t="n">
        <x:v>72</x:v>
      </x:c>
      <x:c r="L4344" s="8" t="n">
        <x:v>2532</x:v>
      </x:c>
      <x:c r="M4344" s="9" t="n">
        <x:v>0.747564688</x:v>
      </x:c>
      <x:c r="N4344" s="10" t="n">
        <x:v>6958.2180094787</x:v>
      </x:c>
      <x:c r="O4344" s="9" t="n">
        <x:v>0.2975965791</x:v>
      </x:c>
      <x:c r="P4344" s="9" t="n">
        <x:v>0.1197411003</x:v>
      </x:c>
      <x:c r="Q4344" s="9" t="n">
        <x:v>0</x:v>
      </x:c>
      <x:c r="R4344" s="3" t="b">
        <x:v>0</x:v>
      </x:c>
      <x:c r="S4344" s="3" t="b">
        <x:v>0</x:v>
      </x:c>
      <x:c r="T4344" s="3" t="b">
        <x:v>0</x:v>
      </x:c>
      <x:c r="U4344" s="2" t="str">
        <x:f>IF(T4344=TRUE,"Priority review",IF(R4344=TRUE,"High cost",IF(S4344=TRUE,"Low quality","Benchmark")))</x:f>
        <x:v>Benchmark</x:v>
      </x:c>
    </x:row>
    <x:row r="4345">
      <x:c r="A4345" s="2" t="str">
        <x:v>331323</x:v>
      </x:c>
      <x:c r="B4345" s="2" t="str">
        <x:v>WYOMING COUNTY</x:v>
      </x:c>
      <x:c r="C4345" s="2" t="str">
        <x:v>WARSAW</x:v>
      </x:c>
      <x:c r="D4345" s="2" t="str">
        <x:v>NY</x:v>
      </x:c>
      <x:c r="E4345" s="2" t="str">
        <x:v>Critical Access Hospitals</x:v>
      </x:c>
      <x:c r="F4345" s="2" t="str">
        <x:v>Government</x:v>
      </x:c>
      <x:c r="G4345" s="2" t="str">
        <x:v>Small (&lt;100 beds)</x:v>
      </x:c>
      <x:c r="H4345" s="7"/>
      <x:c r="I4345" s="7" t="n">
        <x:v>4</x:v>
      </x:c>
      <x:c r="J4345" s="7"/>
      <x:c r="K4345" s="8" t="n">
        <x:v>25</x:v>
      </x:c>
      <x:c r="L4345" s="8" t="n">
        <x:v>793</x:v>
      </x:c>
      <x:c r="M4345" s="9" t="n">
        <x:v>0.6593886463</x:v>
      </x:c>
      <x:c r="N4345" s="10" t="n">
        <x:v>65113.89407314</x:v>
      </x:c>
      <x:c r="O4345" s="9" t="n">
        <x:v>-0.2366588894</x:v>
      </x:c>
      <x:c r="P4345" s="9" t="n">
        <x:v>0.1197026022</x:v>
      </x:c>
      <x:c r="Q4345" s="9" t="n">
        <x:v>0.292936803</x:v>
      </x:c>
      <x:c r="R4345" s="3" t="b">
        <x:v>0</x:v>
      </x:c>
      <x:c r="S4345" s="3" t="b">
        <x:v>0</x:v>
      </x:c>
      <x:c r="T4345" s="3" t="b">
        <x:v>0</x:v>
      </x:c>
      <x:c r="U4345" s="2" t="str">
        <x:f>IF(T4345=TRUE,"Priority review",IF(R4345=TRUE,"High cost",IF(S4345=TRUE,"Low quality","Benchmark")))</x:f>
        <x:v>Benchmark</x:v>
      </x:c>
    </x:row>
    <x:row r="4346">
      <x:c r="A4346" s="2" t="str">
        <x:v>054111</x:v>
      </x:c>
      <x:c r="B4346" s="2" t="str">
        <x:v>CANYON RIDGE HOSPITAL</x:v>
      </x:c>
      <x:c r="C4346" s="2" t="str">
        <x:v>CHINO</x:v>
      </x:c>
      <x:c r="D4346" s="2" t="str">
        <x:v>CA</x:v>
      </x:c>
      <x:c r="E4346" s="2" t="str">
        <x:v>Psychiatric</x:v>
      </x:c>
      <x:c r="F4346" s="2" t="str">
        <x:v>Proprietary</x:v>
      </x:c>
      <x:c r="G4346" s="2" t="str">
        <x:v>Medium (100-299 beds)</x:v>
      </x:c>
      <x:c r="H4346" s="7"/>
      <x:c r="I4346" s="7"/>
      <x:c r="J4346" s="7"/>
      <x:c r="K4346" s="8" t="n">
        <x:v>157</x:v>
      </x:c>
      <x:c r="L4346" s="8" t="n">
        <x:v>6696</x:v>
      </x:c>
      <x:c r="M4346" s="9" t="n">
        <x:v>0.8869687794</x:v>
      </x:c>
      <x:c r="N4346" s="10" t="n">
        <x:v>5823.3572281959</x:v>
      </x:c>
      <x:c r="O4346" s="9" t="n">
        <x:v>0.3813575604</x:v>
      </x:c>
      <x:c r="P4346" s="9" t="n">
        <x:v>0.1194029851</x:v>
      </x:c>
      <x:c r="Q4346" s="9" t="n">
        <x:v>0</x:v>
      </x:c>
      <x:c r="R4346" s="3" t="b">
        <x:v>0</x:v>
      </x:c>
      <x:c r="S4346" s="3" t="b">
        <x:v>0</x:v>
      </x:c>
      <x:c r="T4346" s="3" t="b">
        <x:v>0</x:v>
      </x:c>
      <x:c r="U4346" s="2" t="str">
        <x:f>IF(T4346=TRUE,"Priority review",IF(R4346=TRUE,"High cost",IF(S4346=TRUE,"Low quality","Benchmark")))</x:f>
        <x:v>Benchmark</x:v>
      </x:c>
    </x:row>
    <x:row r="4347">
      <x:c r="A4347" s="2" t="str">
        <x:v>110201</x:v>
      </x:c>
      <x:c r="B4347" s="2" t="str">
        <x:v>PIEDMONT MACON NORTH HOSPITAL</x:v>
      </x:c>
      <x:c r="C4347" s="2" t="str">
        <x:v>MACON</x:v>
      </x:c>
      <x:c r="D4347" s="2" t="str">
        <x:v>GA</x:v>
      </x:c>
      <x:c r="E4347" s="2" t="str">
        <x:v>Acute Care Hospitals</x:v>
      </x:c>
      <x:c r="F4347" s="2" t="str">
        <x:v>Proprietary</x:v>
      </x:c>
      <x:c r="G4347" s="2" t="str">
        <x:v>Small (&lt;100 beds)</x:v>
      </x:c>
      <x:c r="H4347" s="7" t="n">
        <x:v>4</x:v>
      </x:c>
      <x:c r="I4347" s="7" t="n">
        <x:v>3</x:v>
      </x:c>
      <x:c r="J4347" s="7" t="n">
        <x:v>1</x:v>
      </x:c>
      <x:c r="K4347" s="8" t="n">
        <x:v>61</x:v>
      </x:c>
      <x:c r="L4347" s="8" t="n">
        <x:v>2123</x:v>
      </x:c>
      <x:c r="M4347" s="9" t="n">
        <x:v>0.3090051651</x:v>
      </x:c>
      <x:c r="N4347" s="10" t="n">
        <x:v>28176.8516250589</x:v>
      </x:c>
      <x:c r="O4347" s="9" t="n">
        <x:v>0.188830229</x:v>
      </x:c>
      <x:c r="P4347" s="9" t="n">
        <x:v>0.1193895871</x:v>
      </x:c>
      <x:c r="Q4347" s="9" t="n">
        <x:v>0.3913824057</x:v>
      </x:c>
      <x:c r="R4347" s="3" t="b">
        <x:v>0</x:v>
      </x:c>
      <x:c r="S4347" s="3" t="b">
        <x:v>0</x:v>
      </x:c>
      <x:c r="T4347" s="3" t="b">
        <x:v>0</x:v>
      </x:c>
      <x:c r="U4347" s="2" t="str">
        <x:f>IF(T4347=TRUE,"Priority review",IF(R4347=TRUE,"High cost",IF(S4347=TRUE,"Low quality","Benchmark")))</x:f>
        <x:v>Benchmark</x:v>
      </x:c>
    </x:row>
    <x:row r="4348">
      <x:c r="A4348" s="2" t="str">
        <x:v>450848</x:v>
      </x:c>
      <x:c r="B4348" s="2" t="str">
        <x:v>MEMORIAL HERMANN SUGAR LAND HOSPITAL</x:v>
      </x:c>
      <x:c r="C4348" s="2" t="str">
        <x:v>SUGAR LAND</x:v>
      </x:c>
      <x:c r="D4348" s="2" t="str">
        <x:v>TX</x:v>
      </x:c>
      <x:c r="E4348" s="2" t="str">
        <x:v>Acute Care Hospitals</x:v>
      </x:c>
      <x:c r="F4348" s="2" t="str">
        <x:v>Voluntary non-profit</x:v>
      </x:c>
      <x:c r="G4348" s="2" t="str">
        <x:v>Medium (100-299 beds)</x:v>
      </x:c>
      <x:c r="H4348" s="7" t="n">
        <x:v>4</x:v>
      </x:c>
      <x:c r="I4348" s="7" t="n">
        <x:v>3</x:v>
      </x:c>
      <x:c r="J4348" s="7" t="n">
        <x:v>0.93</x:v>
      </x:c>
      <x:c r="K4348" s="8" t="n">
        <x:v>238</x:v>
      </x:c>
      <x:c r="L4348" s="8" t="n">
        <x:v>15165</x:v>
      </x:c>
      <x:c r="M4348" s="9" t="n">
        <x:v>0.5009528402</x:v>
      </x:c>
      <x:c r="N4348" s="10" t="n">
        <x:v>20612.1686778767</x:v>
      </x:c>
      <x:c r="O4348" s="9" t="n">
        <x:v>0.1182604684</x:v>
      </x:c>
      <x:c r="P4348" s="9" t="n">
        <x:v>0.1189894051</x:v>
      </x:c>
      <x:c r="Q4348" s="9" t="n">
        <x:v>0.6022819886</x:v>
      </x:c>
      <x:c r="R4348" s="3" t="b">
        <x:v>0</x:v>
      </x:c>
      <x:c r="S4348" s="3" t="b">
        <x:v>0</x:v>
      </x:c>
      <x:c r="T4348" s="3" t="b">
        <x:v>0</x:v>
      </x:c>
      <x:c r="U4348" s="2" t="str">
        <x:f>IF(T4348=TRUE,"Priority review",IF(R4348=TRUE,"High cost",IF(S4348=TRUE,"Low quality","Benchmark")))</x:f>
        <x:v>Benchmark</x:v>
      </x:c>
    </x:row>
    <x:row r="4349">
      <x:c r="A4349" s="2" t="str">
        <x:v>361334</x:v>
      </x:c>
      <x:c r="B4349" s="2" t="str">
        <x:v>ADENA PIKE MEDICAL CENTER</x:v>
      </x:c>
      <x:c r="C4349" s="2" t="str">
        <x:v>WAVERLY</x:v>
      </x:c>
      <x:c r="D4349" s="2" t="str">
        <x:v>OH</x:v>
      </x:c>
      <x:c r="E4349" s="2" t="str">
        <x:v>Critical Access Hospitals</x:v>
      </x:c>
      <x:c r="F4349" s="2" t="str">
        <x:v>Voluntary non-profit</x:v>
      </x:c>
      <x:c r="G4349" s="2" t="str">
        <x:v>Small (&lt;100 beds)</x:v>
      </x:c>
      <x:c r="H4349" s="7"/>
      <x:c r="I4349" s="7"/>
      <x:c r="J4349" s="7"/>
      <x:c r="K4349" s="8" t="n">
        <x:v>25</x:v>
      </x:c>
      <x:c r="L4349" s="8" t="n">
        <x:v>461</x:v>
      </x:c>
      <x:c r="M4349" s="9" t="n">
        <x:v>0.6845901639</x:v>
      </x:c>
      <x:c r="N4349" s="10" t="n">
        <x:v>65092.4815618221</x:v>
      </x:c>
      <x:c r="O4349" s="9" t="n">
        <x:v>0.0674746042</x:v>
      </x:c>
      <x:c r="P4349" s="9" t="n">
        <x:v>0.1189591078</x:v>
      </x:c>
      <x:c r="Q4349" s="9" t="n">
        <x:v>0.292936803</x:v>
      </x:c>
      <x:c r="R4349" s="3" t="b">
        <x:v>0</x:v>
      </x:c>
      <x:c r="S4349" s="3" t="b">
        <x:v>0</x:v>
      </x:c>
      <x:c r="T4349" s="3" t="b">
        <x:v>0</x:v>
      </x:c>
      <x:c r="U4349" s="2" t="str">
        <x:f>IF(T4349=TRUE,"Priority review",IF(R4349=TRUE,"High cost",IF(S4349=TRUE,"Low quality","Benchmark")))</x:f>
        <x:v>Benchmark</x:v>
      </x:c>
    </x:row>
    <x:row r="4350">
      <x:c r="A4350" s="2" t="str">
        <x:v>100284</x:v>
      </x:c>
      <x:c r="B4350" s="2" t="str">
        <x:v>KERALTY HOSPITAL</x:v>
      </x:c>
      <x:c r="C4350" s="2" t="str">
        <x:v>MIAMI</x:v>
      </x:c>
      <x:c r="D4350" s="2" t="str">
        <x:v>FL</x:v>
      </x:c>
      <x:c r="E4350" s="2" t="str">
        <x:v>Acute Care Hospitals</x:v>
      </x:c>
      <x:c r="F4350" s="2" t="str">
        <x:v>Proprietary</x:v>
      </x:c>
      <x:c r="G4350" s="2" t="str">
        <x:v>Small (&lt;100 beds)</x:v>
      </x:c>
      <x:c r="H4350" s="7" t="n">
        <x:v>2</x:v>
      </x:c>
      <x:c r="I4350" s="7"/>
      <x:c r="J4350" s="7" t="n">
        <x:v>1.39</x:v>
      </x:c>
      <x:c r="K4350" s="8" t="n">
        <x:v>98</x:v>
      </x:c>
      <x:c r="L4350" s="8" t="n">
        <x:v>2238</x:v>
      </x:c>
      <x:c r="M4350" s="9" t="n">
        <x:v>0.3083807293</x:v>
      </x:c>
      <x:c r="N4350" s="10" t="n">
        <x:v>28014.7882037534</x:v>
      </x:c>
      <x:c r="O4350" s="9" t="n">
        <x:v>-0.4836088766</x:v>
      </x:c>
      <x:c r="P4350" s="9" t="n">
        <x:v>0.118491921</x:v>
      </x:c>
      <x:c r="Q4350" s="9" t="n">
        <x:v>0.0350089767</x:v>
      </x:c>
      <x:c r="R4350" s="3" t="b">
        <x:v>0</x:v>
      </x:c>
      <x:c r="S4350" s="3" t="b">
        <x:v>1</x:v>
      </x:c>
      <x:c r="T4350" s="3" t="b">
        <x:v>0</x:v>
      </x:c>
      <x:c r="U4350" s="2" t="str">
        <x:f>IF(T4350=TRUE,"Priority review",IF(R4350=TRUE,"High cost",IF(S4350=TRUE,"Low quality","Benchmark")))</x:f>
        <x:v>Low quality</x:v>
      </x:c>
    </x:row>
    <x:row r="4351">
      <x:c r="A4351" s="2" t="str">
        <x:v>100288</x:v>
      </x:c>
      <x:c r="B4351" s="2" t="str">
        <x:v>ST MARY'S MEDICAL CENTER</x:v>
      </x:c>
      <x:c r="C4351" s="2" t="str">
        <x:v>WEST PALM BEACH</x:v>
      </x:c>
      <x:c r="D4351" s="2" t="str">
        <x:v>FL</x:v>
      </x:c>
      <x:c r="E4351" s="2" t="str">
        <x:v>Acute Care Hospitals</x:v>
      </x:c>
      <x:c r="F4351" s="2" t="str">
        <x:v>Proprietary</x:v>
      </x:c>
      <x:c r="G4351" s="2" t="str">
        <x:v>Large (300+ beds)</x:v>
      </x:c>
      <x:c r="H4351" s="7" t="n">
        <x:v>1</x:v>
      </x:c>
      <x:c r="I4351" s="7" t="n">
        <x:v>2</x:v>
      </x:c>
      <x:c r="J4351" s="7" t="n">
        <x:v>1.04</x:v>
      </x:c>
      <x:c r="K4351" s="8" t="n">
        <x:v>381</x:v>
      </x:c>
      <x:c r="L4351" s="8" t="n">
        <x:v>18230</x:v>
      </x:c>
      <x:c r="M4351" s="9" t="n">
        <x:v>0.6835149031</x:v>
      </x:c>
      <x:c r="N4351" s="10" t="n">
        <x:v>23615.1032912781</x:v>
      </x:c>
      <x:c r="O4351" s="9" t="n">
        <x:v>0.1800005582</x:v>
      </x:c>
      <x:c r="P4351" s="9" t="n">
        <x:v>0.11829653</x:v>
      </x:c>
      <x:c r="Q4351" s="9" t="n">
        <x:v>0</x:v>
      </x:c>
      <x:c r="R4351" s="3" t="b">
        <x:v>0</x:v>
      </x:c>
      <x:c r="S4351" s="3" t="b">
        <x:v>1</x:v>
      </x:c>
      <x:c r="T4351" s="3" t="b">
        <x:v>0</x:v>
      </x:c>
      <x:c r="U4351" s="2" t="str">
        <x:f>IF(T4351=TRUE,"Priority review",IF(R4351=TRUE,"High cost",IF(S4351=TRUE,"Low quality","Benchmark")))</x:f>
        <x:v>Low quality</x:v>
      </x:c>
    </x:row>
    <x:row r="4352">
      <x:c r="A4352" s="2" t="str">
        <x:v>461310</x:v>
      </x:c>
      <x:c r="B4352" s="2" t="str">
        <x:v>BLUE MOUNTAIN HOSPITAL</x:v>
      </x:c>
      <x:c r="C4352" s="2" t="str">
        <x:v>BLANDING</x:v>
      </x:c>
      <x:c r="D4352" s="2" t="str">
        <x:v>UT</x:v>
      </x:c>
      <x:c r="E4352" s="2" t="str">
        <x:v>Critical Access Hospitals</x:v>
      </x:c>
      <x:c r="F4352" s="2" t="str">
        <x:v>Voluntary non-profit</x:v>
      </x:c>
      <x:c r="G4352" s="2" t="str">
        <x:v>Small (&lt;100 beds)</x:v>
      </x:c>
      <x:c r="H4352" s="7"/>
      <x:c r="I4352" s="7" t="n">
        <x:v>4</x:v>
      </x:c>
      <x:c r="J4352" s="7"/>
      <x:c r="K4352" s="8" t="n">
        <x:v>11</x:v>
      </x:c>
      <x:c r="L4352" s="8" t="n">
        <x:v>333</x:v>
      </x:c>
      <x:c r="M4352" s="9" t="n">
        <x:v>0.3464977645</x:v>
      </x:c>
      <x:c r="N4352" s="10" t="n">
        <x:v>65036.8888888889</x:v>
      </x:c>
      <x:c r="O4352" s="9" t="n">
        <x:v>0.1068502332</x:v>
      </x:c>
      <x:c r="P4352" s="9" t="n">
        <x:v>0.1182156134</x:v>
      </x:c>
      <x:c r="Q4352" s="9" t="n">
        <x:v>0.292936803</x:v>
      </x:c>
      <x:c r="R4352" s="3" t="b">
        <x:v>0</x:v>
      </x:c>
      <x:c r="S4352" s="3" t="b">
        <x:v>0</x:v>
      </x:c>
      <x:c r="T4352" s="3" t="b">
        <x:v>0</x:v>
      </x:c>
      <x:c r="U4352" s="2" t="str">
        <x:f>IF(T4352=TRUE,"Priority review",IF(R4352=TRUE,"High cost",IF(S4352=TRUE,"Low quality","Benchmark")))</x:f>
        <x:v>Benchmark</x:v>
      </x:c>
    </x:row>
    <x:row r="4353">
      <x:c r="A4353" s="2" t="str">
        <x:v>100051</x:v>
      </x:c>
      <x:c r="B4353" s="2" t="str">
        <x:v>ORLANDO HEALTH SOUTH LAKE HOSPITAL</x:v>
      </x:c>
      <x:c r="C4353" s="2" t="str">
        <x:v>CLERMONT</x:v>
      </x:c>
      <x:c r="D4353" s="2" t="str">
        <x:v>FL</x:v>
      </x:c>
      <x:c r="E4353" s="2" t="str">
        <x:v>Acute Care Hospitals</x:v>
      </x:c>
      <x:c r="F4353" s="2" t="str">
        <x:v>Government</x:v>
      </x:c>
      <x:c r="G4353" s="2" t="str">
        <x:v>Medium (100-299 beds)</x:v>
      </x:c>
      <x:c r="H4353" s="7" t="n">
        <x:v>3</x:v>
      </x:c>
      <x:c r="I4353" s="7" t="n">
        <x:v>3</x:v>
      </x:c>
      <x:c r="J4353" s="7" t="n">
        <x:v>0.98</x:v>
      </x:c>
      <x:c r="K4353" s="8" t="n">
        <x:v>225</x:v>
      </x:c>
      <x:c r="L4353" s="8" t="n">
        <x:v>17493</x:v>
      </x:c>
      <x:c r="M4353" s="9" t="n">
        <x:v>0.8124753535</x:v>
      </x:c>
      <x:c r="N4353" s="10" t="n">
        <x:v>20609.0573372206</x:v>
      </x:c>
      <x:c r="O4353" s="9" t="n">
        <x:v>0.1341140869</x:v>
      </x:c>
      <x:c r="P4353" s="9" t="n">
        <x:v>0.1181744091</x:v>
      </x:c>
      <x:c r="Q4353" s="9" t="n">
        <x:v>0.3023634882</x:v>
      </x:c>
      <x:c r="R4353" s="3" t="b">
        <x:v>0</x:v>
      </x:c>
      <x:c r="S4353" s="3" t="b">
        <x:v>0</x:v>
      </x:c>
      <x:c r="T4353" s="3" t="b">
        <x:v>0</x:v>
      </x:c>
      <x:c r="U4353" s="2" t="str">
        <x:f>IF(T4353=TRUE,"Priority review",IF(R4353=TRUE,"High cost",IF(S4353=TRUE,"Low quality","Benchmark")))</x:f>
        <x:v>Benchmark</x:v>
      </x:c>
    </x:row>
    <x:row r="4354">
      <x:c r="A4354" s="2" t="str">
        <x:v>420110</x:v>
      </x:c>
      <x:c r="B4354" s="2" t="str">
        <x:v>ROPER ST FRANCIS HOSPITAL-BERKELEY INC</x:v>
      </x:c>
      <x:c r="C4354" s="2" t="str">
        <x:v>SUMMERVILLE</x:v>
      </x:c>
      <x:c r="D4354" s="2" t="str">
        <x:v>SC</x:v>
      </x:c>
      <x:c r="E4354" s="2" t="str">
        <x:v>Acute Care Hospitals</x:v>
      </x:c>
      <x:c r="F4354" s="2" t="str">
        <x:v>Voluntary non-profit</x:v>
      </x:c>
      <x:c r="G4354" s="2" t="str">
        <x:v>Small (&lt;100 beds)</x:v>
      </x:c>
      <x:c r="H4354" s="7" t="n">
        <x:v>5</x:v>
      </x:c>
      <x:c r="I4354" s="7" t="n">
        <x:v>4</x:v>
      </x:c>
      <x:c r="J4354" s="7" t="n">
        <x:v>0.96</x:v>
      </x:c>
      <x:c r="K4354" s="8" t="n">
        <x:v>46</x:v>
      </x:c>
      <x:c r="L4354" s="8" t="n">
        <x:v>3950</x:v>
      </x:c>
      <x:c r="M4354" s="9" t="n">
        <x:v>0.827037301</x:v>
      </x:c>
      <x:c r="N4354" s="10" t="n">
        <x:v>27697.3807594937</x:v>
      </x:c>
      <x:c r="O4354" s="9" t="n">
        <x:v>0.2728978873</x:v>
      </x:c>
      <x:c r="P4354" s="9" t="n">
        <x:v>0.1175942549</x:v>
      </x:c>
      <x:c r="Q4354" s="9" t="n">
        <x:v>0.6131059246</x:v>
      </x:c>
      <x:c r="R4354" s="3" t="b">
        <x:v>0</x:v>
      </x:c>
      <x:c r="S4354" s="3" t="b">
        <x:v>0</x:v>
      </x:c>
      <x:c r="T4354" s="3" t="b">
        <x:v>0</x:v>
      </x:c>
      <x:c r="U4354" s="2" t="str">
        <x:f>IF(T4354=TRUE,"Priority review",IF(R4354=TRUE,"High cost",IF(S4354=TRUE,"Low quality","Benchmark")))</x:f>
        <x:v>Benchmark</x:v>
      </x:c>
    </x:row>
    <x:row r="4355">
      <x:c r="A4355" s="2" t="str">
        <x:v>351334</x:v>
      </x:c>
      <x:c r="B4355" s="2" t="str">
        <x:v>CHI ST ALEXIUS HEALTH WILLISTON</x:v>
      </x:c>
      <x:c r="C4355" s="2" t="str">
        <x:v>WILLISTON</x:v>
      </x:c>
      <x:c r="D4355" s="2" t="str">
        <x:v>ND</x:v>
      </x:c>
      <x:c r="E4355" s="2" t="str">
        <x:v>Critical Access Hospitals</x:v>
      </x:c>
      <x:c r="F4355" s="2" t="str">
        <x:v>Voluntary non-profit</x:v>
      </x:c>
      <x:c r="G4355" s="2" t="str">
        <x:v>Small (&lt;100 beds)</x:v>
      </x:c>
      <x:c r="H4355" s="7" t="n">
        <x:v>3</x:v>
      </x:c>
      <x:c r="I4355" s="7" t="n">
        <x:v>2</x:v>
      </x:c>
      <x:c r="J4355" s="7"/>
      <x:c r="K4355" s="8" t="n">
        <x:v>25</x:v>
      </x:c>
      <x:c r="L4355" s="8" t="n">
        <x:v>1613</x:v>
      </x:c>
      <x:c r="M4355" s="9" t="n">
        <x:v>0.4430684932</x:v>
      </x:c>
      <x:c r="N4355" s="10" t="n">
        <x:v>65014.8598884067</x:v>
      </x:c>
      <x:c r="O4355" s="9"/>
      <x:c r="P4355" s="9" t="n">
        <x:v>0.117472119</x:v>
      </x:c>
      <x:c r="Q4355" s="9" t="n">
        <x:v>0.0765799257</x:v>
      </x:c>
      <x:c r="R4355" s="3" t="b">
        <x:v>0</x:v>
      </x:c>
      <x:c r="S4355" s="3" t="b">
        <x:v>1</x:v>
      </x:c>
      <x:c r="T4355" s="3" t="b">
        <x:v>0</x:v>
      </x:c>
      <x:c r="U4355" s="2" t="str">
        <x:f>IF(T4355=TRUE,"Priority review",IF(R4355=TRUE,"High cost",IF(S4355=TRUE,"Low quality","Benchmark")))</x:f>
        <x:v>Low quality</x:v>
      </x:c>
    </x:row>
    <x:row r="4356">
      <x:c r="A4356" s="2" t="str">
        <x:v>340145</x:v>
      </x:c>
      <x:c r="B4356" s="2" t="str">
        <x:v>ATRIUM HEALTH LINCOLN</x:v>
      </x:c>
      <x:c r="C4356" s="2" t="str">
        <x:v>LINCOLNTON</x:v>
      </x:c>
      <x:c r="D4356" s="2" t="str">
        <x:v>NC</x:v>
      </x:c>
      <x:c r="E4356" s="2" t="str">
        <x:v>Acute Care Hospitals</x:v>
      </x:c>
      <x:c r="F4356" s="2" t="str">
        <x:v>Government</x:v>
      </x:c>
      <x:c r="G4356" s="2" t="str">
        <x:v>Medium (100-299 beds)</x:v>
      </x:c>
      <x:c r="H4356" s="7" t="n">
        <x:v>3</x:v>
      </x:c>
      <x:c r="I4356" s="7" t="n">
        <x:v>4</x:v>
      </x:c>
      <x:c r="J4356" s="7" t="n">
        <x:v>0.95</x:v>
      </x:c>
      <x:c r="K4356" s="8" t="n">
        <x:v>101</x:v>
      </x:c>
      <x:c r="L4356" s="8" t="n">
        <x:v>6150</x:v>
      </x:c>
      <x:c r="M4356" s="9" t="n">
        <x:v>0.6481361251</x:v>
      </x:c>
      <x:c r="N4356" s="10" t="n">
        <x:v>20593.2803252033</x:v>
      </x:c>
      <x:c r="O4356" s="9" t="n">
        <x:v>0.3548657017</x:v>
      </x:c>
      <x:c r="P4356" s="9" t="n">
        <x:v>0.1173594132</x:v>
      </x:c>
      <x:c r="Q4356" s="9" t="n">
        <x:v>0.3023634882</x:v>
      </x:c>
      <x:c r="R4356" s="3" t="b">
        <x:v>0</x:v>
      </x:c>
      <x:c r="S4356" s="3" t="b">
        <x:v>0</x:v>
      </x:c>
      <x:c r="T4356" s="3" t="b">
        <x:v>0</x:v>
      </x:c>
      <x:c r="U4356" s="2" t="str">
        <x:f>IF(T4356=TRUE,"Priority review",IF(R4356=TRUE,"High cost",IF(S4356=TRUE,"Low quality","Benchmark")))</x:f>
        <x:v>Benchmark</x:v>
      </x:c>
    </x:row>
    <x:row r="4357">
      <x:c r="A4357" s="2" t="str">
        <x:v>521334</x:v>
      </x:c>
      <x:c r="B4357" s="2" t="str">
        <x:v>THEDACARE MEDICAL CENTER-WAUPACA</x:v>
      </x:c>
      <x:c r="C4357" s="2" t="str">
        <x:v>WAUPACA</x:v>
      </x:c>
      <x:c r="D4357" s="2" t="str">
        <x:v>WI</x:v>
      </x:c>
      <x:c r="E4357" s="2" t="str">
        <x:v>Critical Access Hospitals</x:v>
      </x:c>
      <x:c r="F4357" s="2" t="str">
        <x:v>Voluntary non-profit</x:v>
      </x:c>
      <x:c r="G4357" s="2" t="str">
        <x:v>Small (&lt;100 beds)</x:v>
      </x:c>
      <x:c r="H4357" s="7" t="n">
        <x:v>3</x:v>
      </x:c>
      <x:c r="I4357" s="7" t="n">
        <x:v>4</x:v>
      </x:c>
      <x:c r="J4357" s="7"/>
      <x:c r="K4357" s="8" t="n">
        <x:v>25</x:v>
      </x:c>
      <x:c r="L4357" s="8" t="n">
        <x:v>859</x:v>
      </x:c>
      <x:c r="M4357" s="9" t="n">
        <x:v>0.3814794521</x:v>
      </x:c>
      <x:c r="N4357" s="10" t="n">
        <x:v>65002.6856810244</x:v>
      </x:c>
      <x:c r="O4357" s="9" t="n">
        <x:v>0.0875618916</x:v>
      </x:c>
      <x:c r="P4357" s="9" t="n">
        <x:v>0.1167286245</x:v>
      </x:c>
      <x:c r="Q4357" s="9" t="n">
        <x:v>0.0765799257</x:v>
      </x:c>
      <x:c r="R4357" s="3" t="b">
        <x:v>0</x:v>
      </x:c>
      <x:c r="S4357" s="3" t="b">
        <x:v>1</x:v>
      </x:c>
      <x:c r="T4357" s="3" t="b">
        <x:v>0</x:v>
      </x:c>
      <x:c r="U4357" s="2" t="str">
        <x:f>IF(T4357=TRUE,"Priority review",IF(R4357=TRUE,"High cost",IF(S4357=TRUE,"Low quality","Benchmark")))</x:f>
        <x:v>Low quality</x:v>
      </x:c>
    </x:row>
    <x:row r="4358">
      <x:c r="A4358" s="2" t="str">
        <x:v>360230</x:v>
      </x:c>
      <x:c r="B4358" s="2" t="str">
        <x:v>HILLCREST HOSPITAL</x:v>
      </x:c>
      <x:c r="C4358" s="2" t="str">
        <x:v>MAYFIELD HEIGHTS</x:v>
      </x:c>
      <x:c r="D4358" s="2" t="str">
        <x:v>OH</x:v>
      </x:c>
      <x:c r="E4358" s="2" t="str">
        <x:v>Acute Care Hospitals</x:v>
      </x:c>
      <x:c r="F4358" s="2" t="str">
        <x:v>Voluntary non-profit</x:v>
      </x:c>
      <x:c r="G4358" s="2" t="str">
        <x:v>Large (300+ beds)</x:v>
      </x:c>
      <x:c r="H4358" s="7" t="n">
        <x:v>5</x:v>
      </x:c>
      <x:c r="I4358" s="7" t="n">
        <x:v>3</x:v>
      </x:c>
      <x:c r="J4358" s="7" t="n">
        <x:v>0.99</x:v>
      </x:c>
      <x:c r="K4358" s="8" t="n">
        <x:v>483</x:v>
      </x:c>
      <x:c r="L4358" s="8" t="n">
        <x:v>26362</x:v>
      </x:c>
      <x:c r="M4358" s="9" t="n">
        <x:v>0.7270418265</x:v>
      </x:c>
      <x:c r="N4358" s="10" t="n">
        <x:v>23579.5812533192</x:v>
      </x:c>
      <x:c r="O4358" s="9" t="n">
        <x:v>0.1351668982</x:v>
      </x:c>
      <x:c r="P4358" s="9" t="n">
        <x:v>0.1167192429</x:v>
      </x:c>
      <x:c r="Q4358" s="9" t="n">
        <x:v>0.8722397476</x:v>
      </x:c>
      <x:c r="R4358" s="3" t="b">
        <x:v>0</x:v>
      </x:c>
      <x:c r="S4358" s="3" t="b">
        <x:v>0</x:v>
      </x:c>
      <x:c r="T4358" s="3" t="b">
        <x:v>0</x:v>
      </x:c>
      <x:c r="U4358" s="2" t="str">
        <x:f>IF(T4358=TRUE,"Priority review",IF(R4358=TRUE,"High cost",IF(S4358=TRUE,"Low quality","Benchmark")))</x:f>
        <x:v>Benchmark</x:v>
      </x:c>
    </x:row>
    <x:row r="4359">
      <x:c r="A4359" s="2" t="str">
        <x:v>210060</x:v>
      </x:c>
      <x:c r="B4359" s="2" t="str">
        <x:v>ADVENTIST HEALTHCARE FORT WASHINGTON MEDICAL CTR</x:v>
      </x:c>
      <x:c r="C4359" s="2" t="str">
        <x:v>FORT WASHINGTON</x:v>
      </x:c>
      <x:c r="D4359" s="2" t="str">
        <x:v>MD</x:v>
      </x:c>
      <x:c r="E4359" s="2" t="str">
        <x:v>Acute Care Hospitals</x:v>
      </x:c>
      <x:c r="F4359" s="2" t="str">
        <x:v>Voluntary non-profit</x:v>
      </x:c>
      <x:c r="G4359" s="2" t="str">
        <x:v>Small (&lt;100 beds)</x:v>
      </x:c>
      <x:c r="H4359" s="7" t="n">
        <x:v>4</x:v>
      </x:c>
      <x:c r="I4359" s="7" t="n">
        <x:v>3</x:v>
      </x:c>
      <x:c r="J4359" s="7"/>
      <x:c r="K4359" s="8" t="n">
        <x:v>35</x:v>
      </x:c>
      <x:c r="L4359" s="8" t="n">
        <x:v>2268</x:v>
      </x:c>
      <x:c r="M4359" s="9" t="n">
        <x:v>0.662217018</x:v>
      </x:c>
      <x:c r="N4359" s="10" t="n">
        <x:v>27663.4126984127</x:v>
      </x:c>
      <x:c r="O4359" s="9" t="n">
        <x:v>-0.0899386076</x:v>
      </x:c>
      <x:c r="P4359" s="9" t="n">
        <x:v>0.1166965889</x:v>
      </x:c>
      <x:c r="Q4359" s="9" t="n">
        <x:v>0.3913824057</x:v>
      </x:c>
      <x:c r="R4359" s="3" t="b">
        <x:v>0</x:v>
      </x:c>
      <x:c r="S4359" s="3" t="b">
        <x:v>0</x:v>
      </x:c>
      <x:c r="T4359" s="3" t="b">
        <x:v>0</x:v>
      </x:c>
      <x:c r="U4359" s="2" t="str">
        <x:f>IF(T4359=TRUE,"Priority review",IF(R4359=TRUE,"High cost",IF(S4359=TRUE,"Low quality","Benchmark")))</x:f>
        <x:v>Benchmark</x:v>
      </x:c>
    </x:row>
    <x:row r="4360">
      <x:c r="A4360" s="2" t="str">
        <x:v>440034</x:v>
      </x:c>
      <x:c r="B4360" s="2" t="str">
        <x:v>METHODIST MEDICAL CENTER OF OAK RIDGE</x:v>
      </x:c>
      <x:c r="C4360" s="2" t="str">
        <x:v>OAK RIDGE</x:v>
      </x:c>
      <x:c r="D4360" s="2" t="str">
        <x:v>TN</x:v>
      </x:c>
      <x:c r="E4360" s="2" t="str">
        <x:v>Acute Care Hospitals</x:v>
      </x:c>
      <x:c r="F4360" s="2" t="str">
        <x:v>Voluntary non-profit</x:v>
      </x:c>
      <x:c r="G4360" s="2" t="str">
        <x:v>Medium (100-299 beds)</x:v>
      </x:c>
      <x:c r="H4360" s="7" t="n">
        <x:v>4</x:v>
      </x:c>
      <x:c r="I4360" s="7" t="n">
        <x:v>4</x:v>
      </x:c>
      <x:c r="J4360" s="7" t="n">
        <x:v>0.95</x:v>
      </x:c>
      <x:c r="K4360" s="8" t="n">
        <x:v>156</x:v>
      </x:c>
      <x:c r="L4360" s="8" t="n">
        <x:v>8961</x:v>
      </x:c>
      <x:c r="M4360" s="9" t="n">
        <x:v>0.786114614</x:v>
      </x:c>
      <x:c r="N4360" s="10" t="n">
        <x:v>20589.2484097757</x:v>
      </x:c>
      <x:c r="O4360" s="9" t="n">
        <x:v>-0.0612779243</x:v>
      </x:c>
      <x:c r="P4360" s="9" t="n">
        <x:v>0.1165444173</x:v>
      </x:c>
      <x:c r="Q4360" s="9" t="n">
        <x:v>0.6022819886</x:v>
      </x:c>
      <x:c r="R4360" s="3" t="b">
        <x:v>0</x:v>
      </x:c>
      <x:c r="S4360" s="3" t="b">
        <x:v>0</x:v>
      </x:c>
      <x:c r="T4360" s="3" t="b">
        <x:v>0</x:v>
      </x:c>
      <x:c r="U4360" s="2" t="str">
        <x:f>IF(T4360=TRUE,"Priority review",IF(R4360=TRUE,"High cost",IF(S4360=TRUE,"Low quality","Benchmark")))</x:f>
        <x:v>Benchmark</x:v>
      </x:c>
    </x:row>
    <x:row r="4361">
      <x:c r="A4361" s="2" t="str">
        <x:v>194084</x:v>
      </x:c>
      <x:c r="B4361" s="2" t="str">
        <x:v>BEACON BEHAVIORAL HOSPITAL- NEW ORLEANS, LLC</x:v>
      </x:c>
      <x:c r="C4361" s="2" t="str">
        <x:v>NEW ORLEANS</x:v>
      </x:c>
      <x:c r="D4361" s="2" t="str">
        <x:v>LA</x:v>
      </x:c>
      <x:c r="E4361" s="2" t="str">
        <x:v>Psychiatric</x:v>
      </x:c>
      <x:c r="F4361" s="2" t="str">
        <x:v>Proprietary</x:v>
      </x:c>
      <x:c r="G4361" s="2" t="str">
        <x:v>Small (&lt;100 beds)</x:v>
      </x:c>
      <x:c r="H4361" s="7"/>
      <x:c r="I4361" s="7"/>
      <x:c r="J4361" s="7"/>
      <x:c r="K4361" s="8" t="n">
        <x:v>58</x:v>
      </x:c>
      <x:c r="L4361" s="8" t="n">
        <x:v>1579</x:v>
      </x:c>
      <x:c r="M4361" s="9" t="n">
        <x:v>0.7218767665</x:v>
      </x:c>
      <x:c r="N4361" s="10" t="n">
        <x:v>6949.8999366688</x:v>
      </x:c>
      <x:c r="O4361" s="9" t="n">
        <x:v>0.1676097961</x:v>
      </x:c>
      <x:c r="P4361" s="9" t="n">
        <x:v>0.1165048544</x:v>
      </x:c>
      <x:c r="Q4361" s="9" t="n">
        <x:v>0</x:v>
      </x:c>
      <x:c r="R4361" s="3" t="b">
        <x:v>0</x:v>
      </x:c>
      <x:c r="S4361" s="3" t="b">
        <x:v>0</x:v>
      </x:c>
      <x:c r="T4361" s="3" t="b">
        <x:v>0</x:v>
      </x:c>
      <x:c r="U4361" s="2" t="str">
        <x:f>IF(T4361=TRUE,"Priority review",IF(R4361=TRUE,"High cost",IF(S4361=TRUE,"Low quality","Benchmark")))</x:f>
        <x:v>Benchmark</x:v>
      </x:c>
    </x:row>
    <x:row r="4362">
      <x:c r="A4362" s="2" t="str">
        <x:v>171325</x:v>
      </x:c>
      <x:c r="B4362" s="2" t="str">
        <x:v>GRAHAM COUNTY HOSPITAL</x:v>
      </x:c>
      <x:c r="C4362" s="2" t="str">
        <x:v>HILL CITY</x:v>
      </x:c>
      <x:c r="D4362" s="2" t="str">
        <x:v>KS</x:v>
      </x:c>
      <x:c r="E4362" s="2" t="str">
        <x:v>Critical Access Hospitals</x:v>
      </x:c>
      <x:c r="F4362" s="2" t="str">
        <x:v>Government</x:v>
      </x:c>
      <x:c r="G4362" s="2" t="str">
        <x:v>Small (&lt;100 beds)</x:v>
      </x:c>
      <x:c r="H4362" s="7"/>
      <x:c r="I4362" s="7"/>
      <x:c r="J4362" s="7"/>
      <x:c r="K4362" s="8" t="n">
        <x:v>15</x:v>
      </x:c>
      <x:c r="L4362" s="8" t="n">
        <x:v>177</x:v>
      </x:c>
      <x:c r="M4362" s="9" t="n">
        <x:v>0.2606557377</x:v>
      </x:c>
      <x:c r="N4362" s="10" t="n">
        <x:v>64926.2372881356</x:v>
      </x:c>
      <x:c r="O4362" s="9" t="n">
        <x:v>-0.2086287172</x:v>
      </x:c>
      <x:c r="P4362" s="9" t="n">
        <x:v>0.1159851301</x:v>
      </x:c>
      <x:c r="Q4362" s="9" t="n">
        <x:v>0.292936803</x:v>
      </x:c>
      <x:c r="R4362" s="3" t="b">
        <x:v>0</x:v>
      </x:c>
      <x:c r="S4362" s="3" t="b">
        <x:v>0</x:v>
      </x:c>
      <x:c r="T4362" s="3" t="b">
        <x:v>0</x:v>
      </x:c>
      <x:c r="U4362" s="2" t="str">
        <x:f>IF(T4362=TRUE,"Priority review",IF(R4362=TRUE,"High cost",IF(S4362=TRUE,"Low quality","Benchmark")))</x:f>
        <x:v>Benchmark</x:v>
      </x:c>
    </x:row>
    <x:row r="4363">
      <x:c r="A4363" s="2" t="str">
        <x:v>040019</x:v>
      </x:c>
      <x:c r="B4363" s="2" t="str">
        <x:v>FORREST CITY MEDICAL CENTER</x:v>
      </x:c>
      <x:c r="C4363" s="2" t="str">
        <x:v>FORREST CITY</x:v>
      </x:c>
      <x:c r="D4363" s="2" t="str">
        <x:v>AR</x:v>
      </x:c>
      <x:c r="E4363" s="2" t="str">
        <x:v>Acute Care Hospitals</x:v>
      </x:c>
      <x:c r="F4363" s="2" t="str">
        <x:v>Proprietary</x:v>
      </x:c>
      <x:c r="G4363" s="2" t="str">
        <x:v>Small (&lt;100 beds)</x:v>
      </x:c>
      <x:c r="H4363" s="7"/>
      <x:c r="I4363" s="7" t="n">
        <x:v>4</x:v>
      </x:c>
      <x:c r="J4363" s="7" t="n">
        <x:v>0.97</x:v>
      </x:c>
      <x:c r="K4363" s="8" t="n">
        <x:v>48</x:v>
      </x:c>
      <x:c r="L4363" s="8" t="n">
        <x:v>1369</x:v>
      </x:c>
      <x:c r="M4363" s="9" t="n">
        <x:v>0.2485769581</x:v>
      </x:c>
      <x:c r="N4363" s="10" t="n">
        <x:v>27632.9773557341</x:v>
      </x:c>
      <x:c r="O4363" s="9" t="n">
        <x:v>-0.1502039683</x:v>
      </x:c>
      <x:c r="P4363" s="9" t="n">
        <x:v>0.1157989228</x:v>
      </x:c>
      <x:c r="Q4363" s="9" t="n">
        <x:v>0.697486535</x:v>
      </x:c>
      <x:c r="R4363" s="3" t="b">
        <x:v>0</x:v>
      </x:c>
      <x:c r="S4363" s="3" t="b">
        <x:v>0</x:v>
      </x:c>
      <x:c r="T4363" s="3" t="b">
        <x:v>0</x:v>
      </x:c>
      <x:c r="U4363" s="2" t="str">
        <x:f>IF(T4363=TRUE,"Priority review",IF(R4363=TRUE,"High cost",IF(S4363=TRUE,"Low quality","Benchmark")))</x:f>
        <x:v>Benchmark</x:v>
      </x:c>
    </x:row>
    <x:row r="4364">
      <x:c r="A4364" s="2" t="str">
        <x:v>010103</x:v>
      </x:c>
      <x:c r="B4364" s="2" t="str">
        <x:v>PRINCETON BAPTIST MEDICAL CENTER</x:v>
      </x:c>
      <x:c r="C4364" s="2" t="str">
        <x:v>BIRMINGHAM</x:v>
      </x:c>
      <x:c r="D4364" s="2" t="str">
        <x:v>AL</x:v>
      </x:c>
      <x:c r="E4364" s="2" t="str">
        <x:v>Acute Care Hospitals</x:v>
      </x:c>
      <x:c r="F4364" s="2" t="str">
        <x:v>Voluntary non-profit</x:v>
      </x:c>
      <x:c r="G4364" s="2" t="str">
        <x:v>Medium (100-299 beds)</x:v>
      </x:c>
      <x:c r="H4364" s="7" t="n">
        <x:v>3</x:v>
      </x:c>
      <x:c r="I4364" s="7" t="n">
        <x:v>3</x:v>
      </x:c>
      <x:c r="J4364" s="7" t="n">
        <x:v>1.02</x:v>
      </x:c>
      <x:c r="K4364" s="8" t="n">
        <x:v>240</x:v>
      </x:c>
      <x:c r="L4364" s="8" t="n">
        <x:v>10136</x:v>
      </x:c>
      <x:c r="M4364" s="9" t="n">
        <x:v>0.5839367031</x:v>
      </x:c>
      <x:c r="N4364" s="10" t="n">
        <x:v>20569.4839187056</x:v>
      </x:c>
      <x:c r="O4364" s="9" t="n">
        <x:v>0.0337428368</x:v>
      </x:c>
      <x:c r="P4364" s="9" t="n">
        <x:v>0.1157294214</x:v>
      </x:c>
      <x:c r="Q4364" s="9" t="n">
        <x:v>0.3023634882</x:v>
      </x:c>
      <x:c r="R4364" s="3" t="b">
        <x:v>0</x:v>
      </x:c>
      <x:c r="S4364" s="3" t="b">
        <x:v>0</x:v>
      </x:c>
      <x:c r="T4364" s="3" t="b">
        <x:v>0</x:v>
      </x:c>
      <x:c r="U4364" s="2" t="str">
        <x:f>IF(T4364=TRUE,"Priority review",IF(R4364=TRUE,"High cost",IF(S4364=TRUE,"Low quality","Benchmark")))</x:f>
        <x:v>Benchmark</x:v>
      </x:c>
    </x:row>
    <x:row r="4365">
      <x:c r="A4365" s="2" t="str">
        <x:v>361320</x:v>
      </x:c>
      <x:c r="B4365" s="2" t="str">
        <x:v>HOLZER MEDICAL CENTER JACKSON</x:v>
      </x:c>
      <x:c r="C4365" s="2" t="str">
        <x:v>JACKSON</x:v>
      </x:c>
      <x:c r="D4365" s="2" t="str">
        <x:v>OH</x:v>
      </x:c>
      <x:c r="E4365" s="2" t="str">
        <x:v>Critical Access Hospitals</x:v>
      </x:c>
      <x:c r="F4365" s="2" t="str">
        <x:v>Voluntary non-profit</x:v>
      </x:c>
      <x:c r="G4365" s="2" t="str">
        <x:v>Small (&lt;100 beds)</x:v>
      </x:c>
      <x:c r="H4365" s="7" t="n">
        <x:v>3</x:v>
      </x:c>
      <x:c r="I4365" s="7"/>
      <x:c r="J4365" s="7"/>
      <x:c r="K4365" s="8" t="n">
        <x:v>24</x:v>
      </x:c>
      <x:c r="L4365" s="8" t="n">
        <x:v>352</x:v>
      </x:c>
      <x:c r="M4365" s="9" t="n">
        <x:v>0.3389269406</x:v>
      </x:c>
      <x:c r="N4365" s="10" t="n">
        <x:v>64605.5795454545</x:v>
      </x:c>
      <x:c r="O4365" s="9" t="n">
        <x:v>0.2603781538</x:v>
      </x:c>
      <x:c r="P4365" s="9" t="n">
        <x:v>0.1152416357</x:v>
      </x:c>
      <x:c r="Q4365" s="9" t="n">
        <x:v>0.0765799257</x:v>
      </x:c>
      <x:c r="R4365" s="3" t="b">
        <x:v>0</x:v>
      </x:c>
      <x:c r="S4365" s="3" t="b">
        <x:v>1</x:v>
      </x:c>
      <x:c r="T4365" s="3" t="b">
        <x:v>0</x:v>
      </x:c>
      <x:c r="U4365" s="2" t="str">
        <x:f>IF(T4365=TRUE,"Priority review",IF(R4365=TRUE,"High cost",IF(S4365=TRUE,"Low quality","Benchmark")))</x:f>
        <x:v>Low quality</x:v>
      </x:c>
    </x:row>
    <x:row r="4366">
      <x:c r="A4366" s="2" t="str">
        <x:v>450634</x:v>
      </x:c>
      <x:c r="B4366" s="2" t="str">
        <x:v>MEDICAL CITY DENTON</x:v>
      </x:c>
      <x:c r="C4366" s="2" t="str">
        <x:v>DENTON</x:v>
      </x:c>
      <x:c r="D4366" s="2" t="str">
        <x:v>TX</x:v>
      </x:c>
      <x:c r="E4366" s="2" t="str">
        <x:v>Acute Care Hospitals</x:v>
      </x:c>
      <x:c r="F4366" s="2" t="str">
        <x:v>Proprietary</x:v>
      </x:c>
      <x:c r="G4366" s="2" t="str">
        <x:v>Large (300+ beds)</x:v>
      </x:c>
      <x:c r="H4366" s="7" t="n">
        <x:v>4</x:v>
      </x:c>
      <x:c r="I4366" s="7" t="n">
        <x:v>2</x:v>
      </x:c>
      <x:c r="J4366" s="7" t="n">
        <x:v>1.04</x:v>
      </x:c>
      <x:c r="K4366" s="8" t="n">
        <x:v>306</x:v>
      </x:c>
      <x:c r="L4366" s="8" t="n">
        <x:v>15506</x:v>
      </x:c>
      <x:c r="M4366" s="9" t="n">
        <x:v>0.7314896634</x:v>
      </x:c>
      <x:c r="N4366" s="10" t="n">
        <x:v>23566.1269186121</x:v>
      </x:c>
      <x:c r="O4366" s="9" t="n">
        <x:v>0.1417307359</x:v>
      </x:c>
      <x:c r="P4366" s="9" t="n">
        <x:v>0.1151419558</x:v>
      </x:c>
      <x:c r="Q4366" s="9" t="n">
        <x:v>0.5899053628</x:v>
      </x:c>
      <x:c r="R4366" s="3" t="b">
        <x:v>0</x:v>
      </x:c>
      <x:c r="S4366" s="3" t="b">
        <x:v>0</x:v>
      </x:c>
      <x:c r="T4366" s="3" t="b">
        <x:v>0</x:v>
      </x:c>
      <x:c r="U4366" s="2" t="str">
        <x:f>IF(T4366=TRUE,"Priority review",IF(R4366=TRUE,"High cost",IF(S4366=TRUE,"Low quality","Benchmark")))</x:f>
        <x:v>Benchmark</x:v>
      </x:c>
    </x:row>
    <x:row r="4367">
      <x:c r="A4367" s="2" t="str">
        <x:v>010149</x:v>
      </x:c>
      <x:c r="B4367" s="2" t="str">
        <x:v>BAPTIST MEDICAL CENTER EAST</x:v>
      </x:c>
      <x:c r="C4367" s="2" t="str">
        <x:v>MONTGOMERY</x:v>
      </x:c>
      <x:c r="D4367" s="2" t="str">
        <x:v>AL</x:v>
      </x:c>
      <x:c r="E4367" s="2" t="str">
        <x:v>Acute Care Hospitals</x:v>
      </x:c>
      <x:c r="F4367" s="2" t="str">
        <x:v>Government</x:v>
      </x:c>
      <x:c r="G4367" s="2" t="str">
        <x:v>Medium (100-299 beds)</x:v>
      </x:c>
      <x:c r="H4367" s="7" t="n">
        <x:v>4</x:v>
      </x:c>
      <x:c r="I4367" s="7" t="n">
        <x:v>3</x:v>
      </x:c>
      <x:c r="J4367" s="7" t="n">
        <x:v>0.96</x:v>
      </x:c>
      <x:c r="K4367" s="8" t="n">
        <x:v>221</x:v>
      </x:c>
      <x:c r="L4367" s="8" t="n">
        <x:v>11106</x:v>
      </x:c>
      <x:c r="M4367" s="9" t="n">
        <x:v>0.7019525197</x:v>
      </x:c>
      <x:c r="N4367" s="10" t="n">
        <x:v>20563.0343057807</x:v>
      </x:c>
      <x:c r="O4367" s="9" t="n">
        <x:v>-0.0748130152</x:v>
      </x:c>
      <x:c r="P4367" s="9" t="n">
        <x:v>0.1149144254</x:v>
      </x:c>
      <x:c r="Q4367" s="9" t="n">
        <x:v>0.6022819886</x:v>
      </x:c>
      <x:c r="R4367" s="3" t="b">
        <x:v>0</x:v>
      </x:c>
      <x:c r="S4367" s="3" t="b">
        <x:v>0</x:v>
      </x:c>
      <x:c r="T4367" s="3" t="b">
        <x:v>0</x:v>
      </x:c>
      <x:c r="U4367" s="2" t="str">
        <x:f>IF(T4367=TRUE,"Priority review",IF(R4367=TRUE,"High cost",IF(S4367=TRUE,"Low quality","Benchmark")))</x:f>
        <x:v>Benchmark</x:v>
      </x:c>
    </x:row>
    <x:row r="4368">
      <x:c r="A4368" s="2" t="str">
        <x:v>030148</x:v>
      </x:c>
      <x:c r="B4368" s="2" t="str">
        <x:v>NORTHWEST MEDICAL CENTER SAHUARITA</x:v>
      </x:c>
      <x:c r="C4368" s="2" t="str">
        <x:v>SAHUARITA</x:v>
      </x:c>
      <x:c r="D4368" s="2" t="str">
        <x:v>AZ</x:v>
      </x:c>
      <x:c r="E4368" s="2" t="str">
        <x:v>Acute Care Hospitals</x:v>
      </x:c>
      <x:c r="F4368" s="2" t="str">
        <x:v>Voluntary non-profit</x:v>
      </x:c>
      <x:c r="G4368" s="2" t="str">
        <x:v>Small (&lt;100 beds)</x:v>
      </x:c>
      <x:c r="H4368" s="7" t="n">
        <x:v>3</x:v>
      </x:c>
      <x:c r="I4368" s="7" t="n">
        <x:v>2</x:v>
      </x:c>
      <x:c r="J4368" s="7" t="n">
        <x:v>0.91</x:v>
      </x:c>
      <x:c r="K4368" s="8" t="n">
        <x:v>62</x:v>
      </x:c>
      <x:c r="L4368" s="8" t="n">
        <x:v>3865</x:v>
      </x:c>
      <x:c r="M4368" s="9" t="n">
        <x:v>0.6455138375</x:v>
      </x:c>
      <x:c r="N4368" s="10" t="n">
        <x:v>27571.2758085382</x:v>
      </x:c>
      <x:c r="O4368" s="9" t="n">
        <x:v>0.0543208519</x:v>
      </x:c>
      <x:c r="P4368" s="9" t="n">
        <x:v>0.1149012567</x:v>
      </x:c>
      <x:c r="Q4368" s="9" t="n">
        <x:v>0.1687612208</x:v>
      </x:c>
      <x:c r="R4368" s="3" t="b">
        <x:v>0</x:v>
      </x:c>
      <x:c r="S4368" s="3" t="b">
        <x:v>0</x:v>
      </x:c>
      <x:c r="T4368" s="3" t="b">
        <x:v>0</x:v>
      </x:c>
      <x:c r="U4368" s="2" t="str">
        <x:f>IF(T4368=TRUE,"Priority review",IF(R4368=TRUE,"High cost",IF(S4368=TRUE,"Low quality","Benchmark")))</x:f>
        <x:v>Benchmark</x:v>
      </x:c>
    </x:row>
    <x:row r="4369">
      <x:c r="A4369" s="2" t="str">
        <x:v>181315</x:v>
      </x:c>
      <x:c r="B4369" s="2" t="str">
        <x:v>EPHRAIM MCDOWELL FORT LOGAN HOSPITAL</x:v>
      </x:c>
      <x:c r="C4369" s="2" t="str">
        <x:v>STANFORD</x:v>
      </x:c>
      <x:c r="D4369" s="2" t="str">
        <x:v>KY</x:v>
      </x:c>
      <x:c r="E4369" s="2" t="str">
        <x:v>Critical Access Hospitals</x:v>
      </x:c>
      <x:c r="F4369" s="2" t="str">
        <x:v>Voluntary non-profit</x:v>
      </x:c>
      <x:c r="G4369" s="2" t="str">
        <x:v>Small (&lt;100 beds)</x:v>
      </x:c>
      <x:c r="H4369" s="7"/>
      <x:c r="I4369" s="7" t="n">
        <x:v>4</x:v>
      </x:c>
      <x:c r="J4369" s="7"/>
      <x:c r="K4369" s="8" t="n">
        <x:v>25</x:v>
      </x:c>
      <x:c r="L4369" s="8" t="n">
        <x:v>427</x:v>
      </x:c>
      <x:c r="M4369" s="9" t="n">
        <x:v>0.5873224044</x:v>
      </x:c>
      <x:c r="N4369" s="10" t="n">
        <x:v>64489.4051522248</x:v>
      </x:c>
      <x:c r="O4369" s="9" t="n">
        <x:v>0.3113832521</x:v>
      </x:c>
      <x:c r="P4369" s="9" t="n">
        <x:v>0.1144981413</x:v>
      </x:c>
      <x:c r="Q4369" s="9" t="n">
        <x:v>0.292936803</x:v>
      </x:c>
      <x:c r="R4369" s="3" t="b">
        <x:v>0</x:v>
      </x:c>
      <x:c r="S4369" s="3" t="b">
        <x:v>0</x:v>
      </x:c>
      <x:c r="T4369" s="3" t="b">
        <x:v>0</x:v>
      </x:c>
      <x:c r="U4369" s="2" t="str">
        <x:f>IF(T4369=TRUE,"Priority review",IF(R4369=TRUE,"High cost",IF(S4369=TRUE,"Low quality","Benchmark")))</x:f>
        <x:v>Benchmark</x:v>
      </x:c>
    </x:row>
    <x:row r="4370">
      <x:c r="A4370" s="2" t="str">
        <x:v>424010</x:v>
      </x:c>
      <x:c r="B4370" s="2" t="str">
        <x:v>CAROLINA CTR FOR BEHAVIORAL HEALTH,THE</x:v>
      </x:c>
      <x:c r="C4370" s="2" t="str">
        <x:v>GREER</x:v>
      </x:c>
      <x:c r="D4370" s="2" t="str">
        <x:v>SC</x:v>
      </x:c>
      <x:c r="E4370" s="2" t="str">
        <x:v>Psychiatric</x:v>
      </x:c>
      <x:c r="F4370" s="2" t="str">
        <x:v>Proprietary</x:v>
      </x:c>
      <x:c r="G4370" s="2" t="str">
        <x:v>Medium (100-299 beds)</x:v>
      </x:c>
      <x:c r="H4370" s="7"/>
      <x:c r="I4370" s="7"/>
      <x:c r="J4370" s="7"/>
      <x:c r="K4370" s="8" t="n">
        <x:v>156</x:v>
      </x:c>
      <x:c r="L4370" s="8" t="n">
        <x:v>4462</x:v>
      </x:c>
      <x:c r="M4370" s="9" t="n">
        <x:v>0.6275904461</x:v>
      </x:c>
      <x:c r="N4370" s="10" t="n">
        <x:v>5781.3514119229</x:v>
      </x:c>
      <x:c r="O4370" s="9" t="n">
        <x:v>0.1754808011</x:v>
      </x:c>
      <x:c r="P4370" s="9" t="n">
        <x:v>0.1144278607</x:v>
      </x:c>
      <x:c r="Q4370" s="9" t="n">
        <x:v>0</x:v>
      </x:c>
      <x:c r="R4370" s="3" t="b">
        <x:v>0</x:v>
      </x:c>
      <x:c r="S4370" s="3" t="b">
        <x:v>0</x:v>
      </x:c>
      <x:c r="T4370" s="3" t="b">
        <x:v>0</x:v>
      </x:c>
      <x:c r="U4370" s="2" t="str">
        <x:f>IF(T4370=TRUE,"Priority review",IF(R4370=TRUE,"High cost",IF(S4370=TRUE,"Low quality","Benchmark")))</x:f>
        <x:v>Benchmark</x:v>
      </x:c>
    </x:row>
    <x:row r="4371">
      <x:c r="A4371" s="2" t="str">
        <x:v>230031</x:v>
      </x:c>
      <x:c r="B4371" s="2" t="str">
        <x:v>LAKE HURON MEDICAL CENTER</x:v>
      </x:c>
      <x:c r="C4371" s="2" t="str">
        <x:v>PORT HURON</x:v>
      </x:c>
      <x:c r="D4371" s="2" t="str">
        <x:v>MI</x:v>
      </x:c>
      <x:c r="E4371" s="2" t="str">
        <x:v>Acute Care Hospitals</x:v>
      </x:c>
      <x:c r="F4371" s="2" t="str">
        <x:v>Voluntary non-profit</x:v>
      </x:c>
      <x:c r="G4371" s="2" t="str">
        <x:v>Medium (100-299 beds)</x:v>
      </x:c>
      <x:c r="H4371" s="7" t="n">
        <x:v>4</x:v>
      </x:c>
      <x:c r="I4371" s="7" t="n">
        <x:v>2</x:v>
      </x:c>
      <x:c r="J4371" s="7" t="n">
        <x:v>0.88</x:v>
      </x:c>
      <x:c r="K4371" s="8" t="n">
        <x:v>129</x:v>
      </x:c>
      <x:c r="L4371" s="8" t="n">
        <x:v>3462</x:v>
      </x:c>
      <x:c r="M4371" s="9" t="n">
        <x:v>0.299868683</x:v>
      </x:c>
      <x:c r="N4371" s="10" t="n">
        <x:v>20524.8157134604</x:v>
      </x:c>
      <x:c r="O4371" s="9" t="n">
        <x:v>0.000332482</x:v>
      </x:c>
      <x:c r="P4371" s="9" t="n">
        <x:v>0.1140994295</x:v>
      </x:c>
      <x:c r="Q4371" s="9" t="n">
        <x:v>0.6022819886</x:v>
      </x:c>
      <x:c r="R4371" s="3" t="b">
        <x:v>0</x:v>
      </x:c>
      <x:c r="S4371" s="3" t="b">
        <x:v>0</x:v>
      </x:c>
      <x:c r="T4371" s="3" t="b">
        <x:v>0</x:v>
      </x:c>
      <x:c r="U4371" s="2" t="str">
        <x:f>IF(T4371=TRUE,"Priority review",IF(R4371=TRUE,"High cost",IF(S4371=TRUE,"Low quality","Benchmark")))</x:f>
        <x:v>Benchmark</x:v>
      </x:c>
    </x:row>
    <x:row r="4372">
      <x:c r="A4372" s="2" t="str">
        <x:v>450148</x:v>
      </x:c>
      <x:c r="B4372" s="2" t="str">
        <x:v>TEXAS HEALTH HARRIS METHODIST HOSPITAL CLEBURNE</x:v>
      </x:c>
      <x:c r="C4372" s="2" t="str">
        <x:v>CLEBURNE</x:v>
      </x:c>
      <x:c r="D4372" s="2" t="str">
        <x:v>TX</x:v>
      </x:c>
      <x:c r="E4372" s="2" t="str">
        <x:v>Acute Care Hospitals</x:v>
      </x:c>
      <x:c r="F4372" s="2" t="str">
        <x:v>Voluntary non-profit</x:v>
      </x:c>
      <x:c r="G4372" s="2" t="str">
        <x:v>Small (&lt;100 beds)</x:v>
      </x:c>
      <x:c r="H4372" s="7" t="n">
        <x:v>5</x:v>
      </x:c>
      <x:c r="I4372" s="7" t="n">
        <x:v>4</x:v>
      </x:c>
      <x:c r="J4372" s="7" t="n">
        <x:v>1</x:v>
      </x:c>
      <x:c r="K4372" s="8" t="n">
        <x:v>48</x:v>
      </x:c>
      <x:c r="L4372" s="8" t="n">
        <x:v>3020</x:v>
      </x:c>
      <x:c r="M4372" s="9" t="n">
        <x:v>0.5775842441</x:v>
      </x:c>
      <x:c r="N4372" s="10" t="n">
        <x:v>27520.9821192053</x:v>
      </x:c>
      <x:c r="O4372" s="9" t="n">
        <x:v>0.0213820366</x:v>
      </x:c>
      <x:c r="P4372" s="9" t="n">
        <x:v>0.1140035907</x:v>
      </x:c>
      <x:c r="Q4372" s="9" t="n">
        <x:v>0.6131059246</x:v>
      </x:c>
      <x:c r="R4372" s="3" t="b">
        <x:v>0</x:v>
      </x:c>
      <x:c r="S4372" s="3" t="b">
        <x:v>0</x:v>
      </x:c>
      <x:c r="T4372" s="3" t="b">
        <x:v>0</x:v>
      </x:c>
      <x:c r="U4372" s="2" t="str">
        <x:f>IF(T4372=TRUE,"Priority review",IF(R4372=TRUE,"High cost",IF(S4372=TRUE,"Low quality","Benchmark")))</x:f>
        <x:v>Benchmark</x:v>
      </x:c>
    </x:row>
    <x:row r="4373">
      <x:c r="A4373" s="2" t="str">
        <x:v>381319</x:v>
      </x:c>
      <x:c r="B4373" s="2" t="str">
        <x:v>ST ANTHONY HOSPITAL</x:v>
      </x:c>
      <x:c r="C4373" s="2" t="str">
        <x:v>PENDLETON</x:v>
      </x:c>
      <x:c r="D4373" s="2" t="str">
        <x:v>OR</x:v>
      </x:c>
      <x:c r="E4373" s="2" t="str">
        <x:v>Critical Access Hospitals</x:v>
      </x:c>
      <x:c r="F4373" s="2" t="str">
        <x:v>Voluntary non-profit</x:v>
      </x:c>
      <x:c r="G4373" s="2" t="str">
        <x:v>Small (&lt;100 beds)</x:v>
      </x:c>
      <x:c r="H4373" s="7" t="n">
        <x:v>3</x:v>
      </x:c>
      <x:c r="I4373" s="7" t="n">
        <x:v>5</x:v>
      </x:c>
      <x:c r="J4373" s="7"/>
      <x:c r="K4373" s="8" t="n">
        <x:v>25</x:v>
      </x:c>
      <x:c r="L4373" s="8" t="n">
        <x:v>1299</x:v>
      </x:c>
      <x:c r="M4373" s="9" t="n">
        <x:v>0.5134210526</x:v>
      </x:c>
      <x:c r="N4373" s="10" t="n">
        <x:v>64477.623556582</x:v>
      </x:c>
      <x:c r="O4373" s="9" t="n">
        <x:v>0.0648373864</x:v>
      </x:c>
      <x:c r="P4373" s="9" t="n">
        <x:v>0.1137546468</x:v>
      </x:c>
      <x:c r="Q4373" s="9" t="n">
        <x:v>0.0765799257</x:v>
      </x:c>
      <x:c r="R4373" s="3" t="b">
        <x:v>0</x:v>
      </x:c>
      <x:c r="S4373" s="3" t="b">
        <x:v>1</x:v>
      </x:c>
      <x:c r="T4373" s="3" t="b">
        <x:v>0</x:v>
      </x:c>
      <x:c r="U4373" s="2" t="str">
        <x:f>IF(T4373=TRUE,"Priority review",IF(R4373=TRUE,"High cost",IF(S4373=TRUE,"Low quality","Benchmark")))</x:f>
        <x:v>Low quality</x:v>
      </x:c>
    </x:row>
    <x:row r="4374">
      <x:c r="A4374" s="2" t="str">
        <x:v>340147</x:v>
      </x:c>
      <x:c r="B4374" s="2" t="str">
        <x:v>UNC HEALTH NASH</x:v>
      </x:c>
      <x:c r="C4374" s="2" t="str">
        <x:v>ROCKY MOUNT</x:v>
      </x:c>
      <x:c r="D4374" s="2" t="str">
        <x:v>NC</x:v>
      </x:c>
      <x:c r="E4374" s="2" t="str">
        <x:v>Acute Care Hospitals</x:v>
      </x:c>
      <x:c r="F4374" s="2" t="str">
        <x:v>Government</x:v>
      </x:c>
      <x:c r="G4374" s="2" t="str">
        <x:v>Large (300+ beds)</x:v>
      </x:c>
      <x:c r="H4374" s="7" t="n">
        <x:v>4</x:v>
      </x:c>
      <x:c r="I4374" s="7" t="n">
        <x:v>3</x:v>
      </x:c>
      <x:c r="J4374" s="7" t="n">
        <x:v>0.95</x:v>
      </x:c>
      <x:c r="K4374" s="8" t="n">
        <x:v>322</x:v>
      </x:c>
      <x:c r="L4374" s="8" t="n">
        <x:v>13994</x:v>
      </x:c>
      <x:c r="M4374" s="9" t="n">
        <x:v>0.565157832</x:v>
      </x:c>
      <x:c r="N4374" s="10" t="n">
        <x:v>23555.0468772331</x:v>
      </x:c>
      <x:c r="O4374" s="9" t="n">
        <x:v>0.1097980342</x:v>
      </x:c>
      <x:c r="P4374" s="9" t="n">
        <x:v>0.1135646688</x:v>
      </x:c>
      <x:c r="Q4374" s="9" t="n">
        <x:v>0.5899053628</x:v>
      </x:c>
      <x:c r="R4374" s="3" t="b">
        <x:v>0</x:v>
      </x:c>
      <x:c r="S4374" s="3" t="b">
        <x:v>0</x:v>
      </x:c>
      <x:c r="T4374" s="3" t="b">
        <x:v>0</x:v>
      </x:c>
      <x:c r="U4374" s="2" t="str">
        <x:f>IF(T4374=TRUE,"Priority review",IF(R4374=TRUE,"High cost",IF(S4374=TRUE,"Low quality","Benchmark")))</x:f>
        <x:v>Benchmark</x:v>
      </x:c>
    </x:row>
    <x:row r="4375">
      <x:c r="A4375" s="2" t="str">
        <x:v>260095</x:v>
      </x:c>
      <x:c r="B4375" s="2" t="str">
        <x:v>CENTERPOINT MEDICAL CENTER</x:v>
      </x:c>
      <x:c r="C4375" s="2" t="str">
        <x:v>INDEPENDENCE</x:v>
      </x:c>
      <x:c r="D4375" s="2" t="str">
        <x:v>MO</x:v>
      </x:c>
      <x:c r="E4375" s="2" t="str">
        <x:v>Acute Care Hospitals</x:v>
      </x:c>
      <x:c r="F4375" s="2" t="str">
        <x:v>Proprietary</x:v>
      </x:c>
      <x:c r="G4375" s="2" t="str">
        <x:v>Medium (100-299 beds)</x:v>
      </x:c>
      <x:c r="H4375" s="7" t="n">
        <x:v>3</x:v>
      </x:c>
      <x:c r="I4375" s="7" t="n">
        <x:v>2</x:v>
      </x:c>
      <x:c r="J4375" s="7" t="n">
        <x:v>1.05</x:v>
      </x:c>
      <x:c r="K4375" s="8" t="n">
        <x:v>265</x:v>
      </x:c>
      <x:c r="L4375" s="8" t="n">
        <x:v>16664</x:v>
      </x:c>
      <x:c r="M4375" s="9" t="n">
        <x:v>0.7625536314</x:v>
      </x:c>
      <x:c r="N4375" s="10" t="n">
        <x:v>20415.6365818531</x:v>
      </x:c>
      <x:c r="O4375" s="9" t="n">
        <x:v>0.2205994015</x:v>
      </x:c>
      <x:c r="P4375" s="9" t="n">
        <x:v>0.1132844336</x:v>
      </x:c>
      <x:c r="Q4375" s="9" t="n">
        <x:v>0.3023634882</x:v>
      </x:c>
      <x:c r="R4375" s="3" t="b">
        <x:v>0</x:v>
      </x:c>
      <x:c r="S4375" s="3" t="b">
        <x:v>0</x:v>
      </x:c>
      <x:c r="T4375" s="3" t="b">
        <x:v>0</x:v>
      </x:c>
      <x:c r="U4375" s="2" t="str">
        <x:f>IF(T4375=TRUE,"Priority review",IF(R4375=TRUE,"High cost",IF(S4375=TRUE,"Low quality","Benchmark")))</x:f>
        <x:v>Benchmark</x:v>
      </x:c>
    </x:row>
    <x:row r="4376">
      <x:c r="A4376" s="2" t="str">
        <x:v>164006</x:v>
      </x:c>
      <x:c r="B4376" s="2" t="str">
        <x:v>EAGLE VIEW BEHAVIORAL HEALTH</x:v>
      </x:c>
      <x:c r="C4376" s="2" t="str">
        <x:v>BETTENDORF</x:v>
      </x:c>
      <x:c r="D4376" s="2" t="str">
        <x:v>IA</x:v>
      </x:c>
      <x:c r="E4376" s="2" t="str">
        <x:v>Psychiatric</x:v>
      </x:c>
      <x:c r="F4376" s="2" t="str">
        <x:v>Proprietary</x:v>
      </x:c>
      <x:c r="G4376" s="2" t="str">
        <x:v>Small (&lt;100 beds)</x:v>
      </x:c>
      <x:c r="H4376" s="7"/>
      <x:c r="I4376" s="7"/>
      <x:c r="J4376" s="7"/>
      <x:c r="K4376" s="8" t="n">
        <x:v>72</x:v>
      </x:c>
      <x:c r="L4376" s="8" t="n">
        <x:v>2514</x:v>
      </x:c>
      <x:c r="M4376" s="9" t="n">
        <x:v>0.7096994536</x:v>
      </x:c>
      <x:c r="N4376" s="10" t="n">
        <x:v>6913.4904534606</x:v>
      </x:c>
      <x:c r="O4376" s="9" t="n">
        <x:v>-0.0915297852</x:v>
      </x:c>
      <x:c r="P4376" s="9" t="n">
        <x:v>0.1132686084</x:v>
      </x:c>
      <x:c r="Q4376" s="9" t="n">
        <x:v>0</x:v>
      </x:c>
      <x:c r="R4376" s="3" t="b">
        <x:v>0</x:v>
      </x:c>
      <x:c r="S4376" s="3" t="b">
        <x:v>0</x:v>
      </x:c>
      <x:c r="T4376" s="3" t="b">
        <x:v>0</x:v>
      </x:c>
      <x:c r="U4376" s="2" t="str">
        <x:f>IF(T4376=TRUE,"Priority review",IF(R4376=TRUE,"High cost",IF(S4376=TRUE,"Low quality","Benchmark")))</x:f>
        <x:v>Benchmark</x:v>
      </x:c>
    </x:row>
    <x:row r="4377">
      <x:c r="A4377" s="2" t="str">
        <x:v>390062</x:v>
      </x:c>
      <x:c r="B4377" s="2" t="str">
        <x:v>CONEMAUGH NASON MEDICAL CENTER</x:v>
      </x:c>
      <x:c r="C4377" s="2" t="str">
        <x:v>ROARING SPRING</x:v>
      </x:c>
      <x:c r="D4377" s="2" t="str">
        <x:v>PA</x:v>
      </x:c>
      <x:c r="E4377" s="2" t="str">
        <x:v>Acute Care Hospitals</x:v>
      </x:c>
      <x:c r="F4377" s="2" t="str">
        <x:v>Voluntary non-profit</x:v>
      </x:c>
      <x:c r="G4377" s="2" t="str">
        <x:v>Small (&lt;100 beds)</x:v>
      </x:c>
      <x:c r="H4377" s="7" t="n">
        <x:v>5</x:v>
      </x:c>
      <x:c r="I4377" s="7" t="n">
        <x:v>4</x:v>
      </x:c>
      <x:c r="J4377" s="7" t="n">
        <x:v>0.93</x:v>
      </x:c>
      <x:c r="K4377" s="8" t="n">
        <x:v>45</x:v>
      </x:c>
      <x:c r="L4377" s="8" t="n">
        <x:v>2293</x:v>
      </x:c>
      <x:c r="M4377" s="9" t="n">
        <x:v>0.4272146119</x:v>
      </x:c>
      <x:c r="N4377" s="10" t="n">
        <x:v>27447.9411251635</x:v>
      </x:c>
      <x:c r="O4377" s="9" t="n">
        <x:v>0.0918695087</x:v>
      </x:c>
      <x:c r="P4377" s="9" t="n">
        <x:v>0.1131059246</x:v>
      </x:c>
      <x:c r="Q4377" s="9" t="n">
        <x:v>0.6131059246</x:v>
      </x:c>
      <x:c r="R4377" s="3" t="b">
        <x:v>0</x:v>
      </x:c>
      <x:c r="S4377" s="3" t="b">
        <x:v>0</x:v>
      </x:c>
      <x:c r="T4377" s="3" t="b">
        <x:v>0</x:v>
      </x:c>
      <x:c r="U4377" s="2" t="str">
        <x:f>IF(T4377=TRUE,"Priority review",IF(R4377=TRUE,"High cost",IF(S4377=TRUE,"Low quality","Benchmark")))</x:f>
        <x:v>Benchmark</x:v>
      </x:c>
    </x:row>
    <x:row r="4378">
      <x:c r="A4378" s="2" t="str">
        <x:v>511319</x:v>
      </x:c>
      <x:c r="B4378" s="2" t="str">
        <x:v>JEFFERSON MEDICAL CENTER</x:v>
      </x:c>
      <x:c r="C4378" s="2" t="str">
        <x:v>RANSON</x:v>
      </x:c>
      <x:c r="D4378" s="2" t="str">
        <x:v>WV</x:v>
      </x:c>
      <x:c r="E4378" s="2" t="str">
        <x:v>Critical Access Hospitals</x:v>
      </x:c>
      <x:c r="F4378" s="2" t="str">
        <x:v>Voluntary non-profit</x:v>
      </x:c>
      <x:c r="G4378" s="2" t="str">
        <x:v>Small (&lt;100 beds)</x:v>
      </x:c>
      <x:c r="H4378" s="7" t="n">
        <x:v>1</x:v>
      </x:c>
      <x:c r="I4378" s="7" t="n">
        <x:v>4</x:v>
      </x:c>
      <x:c r="J4378" s="7"/>
      <x:c r="K4378" s="8" t="n">
        <x:v>25</x:v>
      </x:c>
      <x:c r="L4378" s="8" t="n">
        <x:v>1337</x:v>
      </x:c>
      <x:c r="M4378" s="9" t="n">
        <x:v>0.5181420765</x:v>
      </x:c>
      <x:c r="N4378" s="10" t="n">
        <x:v>64452.23934181</x:v>
      </x:c>
      <x:c r="O4378" s="9" t="n">
        <x:v>0.0563502379</x:v>
      </x:c>
      <x:c r="P4378" s="9" t="n">
        <x:v>0.1130111524</x:v>
      </x:c>
      <x:c r="Q4378" s="9" t="n">
        <x:v>0</x:v>
      </x:c>
      <x:c r="R4378" s="3" t="b">
        <x:v>0</x:v>
      </x:c>
      <x:c r="S4378" s="3" t="b">
        <x:v>1</x:v>
      </x:c>
      <x:c r="T4378" s="3" t="b">
        <x:v>0</x:v>
      </x:c>
      <x:c r="U4378" s="2" t="str">
        <x:f>IF(T4378=TRUE,"Priority review",IF(R4378=TRUE,"High cost",IF(S4378=TRUE,"Low quality","Benchmark")))</x:f>
        <x:v>Low quality</x:v>
      </x:c>
    </x:row>
    <x:row r="4379">
      <x:c r="A4379" s="2" t="str">
        <x:v>360001</x:v>
      </x:c>
      <x:c r="B4379" s="2" t="str">
        <x:v>MERCY HEALTH-ANDERSON HOSPITAL</x:v>
      </x:c>
      <x:c r="C4379" s="2" t="str">
        <x:v>CINCINNATI</x:v>
      </x:c>
      <x:c r="D4379" s="2" t="str">
        <x:v>OH</x:v>
      </x:c>
      <x:c r="E4379" s="2" t="str">
        <x:v>Acute Care Hospitals</x:v>
      </x:c>
      <x:c r="F4379" s="2" t="str">
        <x:v>Voluntary non-profit</x:v>
      </x:c>
      <x:c r="G4379" s="2" t="str">
        <x:v>Medium (100-299 beds)</x:v>
      </x:c>
      <x:c r="H4379" s="7" t="n">
        <x:v>4</x:v>
      </x:c>
      <x:c r="I4379" s="7" t="n">
        <x:v>3</x:v>
      </x:c>
      <x:c r="J4379" s="7" t="n">
        <x:v>0.98</x:v>
      </x:c>
      <x:c r="K4379" s="8" t="n">
        <x:v>198</x:v>
      </x:c>
      <x:c r="L4379" s="8" t="n">
        <x:v>13093</x:v>
      </x:c>
      <x:c r="M4379" s="9" t="n">
        <x:v>0.7494305239</x:v>
      </x:c>
      <x:c r="N4379" s="10" t="n">
        <x:v>20315.1517604827</x:v>
      </x:c>
      <x:c r="O4379" s="9" t="n">
        <x:v>0.0099185519</x:v>
      </x:c>
      <x:c r="P4379" s="9" t="n">
        <x:v>0.1124694377</x:v>
      </x:c>
      <x:c r="Q4379" s="9" t="n">
        <x:v>0.6022819886</x:v>
      </x:c>
      <x:c r="R4379" s="3" t="b">
        <x:v>0</x:v>
      </x:c>
      <x:c r="S4379" s="3" t="b">
        <x:v>0</x:v>
      </x:c>
      <x:c r="T4379" s="3" t="b">
        <x:v>0</x:v>
      </x:c>
      <x:c r="U4379" s="2" t="str">
        <x:f>IF(T4379=TRUE,"Priority review",IF(R4379=TRUE,"High cost",IF(S4379=TRUE,"Low quality","Benchmark")))</x:f>
        <x:v>Benchmark</x:v>
      </x:c>
    </x:row>
    <x:row r="4380">
      <x:c r="A4380" s="2" t="str">
        <x:v>101308</x:v>
      </x:c>
      <x:c r="B4380" s="2" t="str">
        <x:v>NORTHWEST FLORIDA COMMUNITY HOSPITAL</x:v>
      </x:c>
      <x:c r="C4380" s="2" t="str">
        <x:v>CHIPLEY</x:v>
      </x:c>
      <x:c r="D4380" s="2" t="str">
        <x:v>FL</x:v>
      </x:c>
      <x:c r="E4380" s="2" t="str">
        <x:v>Critical Access Hospitals</x:v>
      </x:c>
      <x:c r="F4380" s="2" t="str">
        <x:v>Voluntary non-profit</x:v>
      </x:c>
      <x:c r="G4380" s="2" t="str">
        <x:v>Small (&lt;100 beds)</x:v>
      </x:c>
      <x:c r="H4380" s="7" t="n">
        <x:v>2</x:v>
      </x:c>
      <x:c r="I4380" s="7"/>
      <x:c r="J4380" s="7"/>
      <x:c r="K4380" s="8" t="n">
        <x:v>25</x:v>
      </x:c>
      <x:c r="L4380" s="8" t="n">
        <x:v>641</x:v>
      </x:c>
      <x:c r="M4380" s="9" t="n">
        <x:v>0.5652459016</x:v>
      </x:c>
      <x:c r="N4380" s="10" t="n">
        <x:v>64119.5569422777</x:v>
      </x:c>
      <x:c r="O4380" s="9" t="n">
        <x:v>-0.0136765791</x:v>
      </x:c>
      <x:c r="P4380" s="9" t="n">
        <x:v>0.112267658</x:v>
      </x:c>
      <x:c r="Q4380" s="9" t="n">
        <x:v>0.0171003717</x:v>
      </x:c>
      <x:c r="R4380" s="3" t="b">
        <x:v>0</x:v>
      </x:c>
      <x:c r="S4380" s="3" t="b">
        <x:v>1</x:v>
      </x:c>
      <x:c r="T4380" s="3" t="b">
        <x:v>0</x:v>
      </x:c>
      <x:c r="U4380" s="2" t="str">
        <x:f>IF(T4380=TRUE,"Priority review",IF(R4380=TRUE,"High cost",IF(S4380=TRUE,"Low quality","Benchmark")))</x:f>
        <x:v>Low quality</x:v>
      </x:c>
    </x:row>
    <x:row r="4381">
      <x:c r="A4381" s="2" t="str">
        <x:v>420107</x:v>
      </x:c>
      <x:c r="B4381" s="2" t="str">
        <x:v>MCLEOD HEALTH CHERAW</x:v>
      </x:c>
      <x:c r="C4381" s="2" t="str">
        <x:v>CHERAW</x:v>
      </x:c>
      <x:c r="D4381" s="2" t="str">
        <x:v>SC</x:v>
      </x:c>
      <x:c r="E4381" s="2" t="str">
        <x:v>Acute Care Hospitals</x:v>
      </x:c>
      <x:c r="F4381" s="2" t="str">
        <x:v>Voluntary non-profit</x:v>
      </x:c>
      <x:c r="G4381" s="2" t="str">
        <x:v>Small (&lt;100 beds)</x:v>
      </x:c>
      <x:c r="H4381" s="7" t="n">
        <x:v>3</x:v>
      </x:c>
      <x:c r="I4381" s="7" t="n">
        <x:v>4</x:v>
      </x:c>
      <x:c r="J4381" s="7" t="n">
        <x:v>1.04</x:v>
      </x:c>
      <x:c r="K4381" s="8" t="n">
        <x:v>31</x:v>
      </x:c>
      <x:c r="L4381" s="8" t="n">
        <x:v>2232</x:v>
      </x:c>
      <x:c r="M4381" s="9" t="n">
        <x:v>0.8228450555</x:v>
      </x:c>
      <x:c r="N4381" s="10" t="n">
        <x:v>27398.0905017921</x:v>
      </x:c>
      <x:c r="O4381" s="9" t="n">
        <x:v>0.0770834403</x:v>
      </x:c>
      <x:c r="P4381" s="9" t="n">
        <x:v>0.1122082585</x:v>
      </x:c>
      <x:c r="Q4381" s="9" t="n">
        <x:v>0.1687612208</x:v>
      </x:c>
      <x:c r="R4381" s="3" t="b">
        <x:v>0</x:v>
      </x:c>
      <x:c r="S4381" s="3" t="b">
        <x:v>0</x:v>
      </x:c>
      <x:c r="T4381" s="3" t="b">
        <x:v>0</x:v>
      </x:c>
      <x:c r="U4381" s="2" t="str">
        <x:f>IF(T4381=TRUE,"Priority review",IF(R4381=TRUE,"High cost",IF(S4381=TRUE,"Low quality","Benchmark")))</x:f>
        <x:v>Benchmark</x:v>
      </x:c>
    </x:row>
    <x:row r="4382">
      <x:c r="A4382" s="2" t="str">
        <x:v>250078</x:v>
      </x:c>
      <x:c r="B4382" s="2" t="str">
        <x:v>FORREST GENERAL HOSPITAL</x:v>
      </x:c>
      <x:c r="C4382" s="2" t="str">
        <x:v>HATTIESBURG</x:v>
      </x:c>
      <x:c r="D4382" s="2" t="str">
        <x:v>MS</x:v>
      </x:c>
      <x:c r="E4382" s="2" t="str">
        <x:v>Acute Care Hospitals</x:v>
      </x:c>
      <x:c r="F4382" s="2" t="str">
        <x:v>Government</x:v>
      </x:c>
      <x:c r="G4382" s="2" t="str">
        <x:v>Large (300+ beds)</x:v>
      </x:c>
      <x:c r="H4382" s="7" t="n">
        <x:v>2</x:v>
      </x:c>
      <x:c r="I4382" s="7" t="n">
        <x:v>4</x:v>
      </x:c>
      <x:c r="J4382" s="7" t="n">
        <x:v>1</x:v>
      </x:c>
      <x:c r="K4382" s="8" t="n">
        <x:v>457</x:v>
      </x:c>
      <x:c r="L4382" s="8" t="n">
        <x:v>24015</x:v>
      </x:c>
      <x:c r="M4382" s="9" t="n">
        <x:v>0.7555392139</x:v>
      </x:c>
      <x:c r="N4382" s="10" t="n">
        <x:v>23465.5554861545</x:v>
      </x:c>
      <x:c r="O4382" s="9" t="n">
        <x:v>0.0735582486</x:v>
      </x:c>
      <x:c r="P4382" s="9" t="n">
        <x:v>0.1119873817</x:v>
      </x:c>
      <x:c r="Q4382" s="9" t="n">
        <x:v>0.0536277603</x:v>
      </x:c>
      <x:c r="R4382" s="3" t="b">
        <x:v>0</x:v>
      </x:c>
      <x:c r="S4382" s="3" t="b">
        <x:v>1</x:v>
      </x:c>
      <x:c r="T4382" s="3" t="b">
        <x:v>0</x:v>
      </x:c>
      <x:c r="U4382" s="2" t="str">
        <x:f>IF(T4382=TRUE,"Priority review",IF(R4382=TRUE,"High cost",IF(S4382=TRUE,"Low quality","Benchmark")))</x:f>
        <x:v>Low quality</x:v>
      </x:c>
    </x:row>
    <x:row r="4383">
      <x:c r="A4383" s="2" t="str">
        <x:v>010078</x:v>
      </x:c>
      <x:c r="B4383" s="2" t="str">
        <x:v>NORTHEAST ALABAMA REGIONAL MEDICAL CENTER</x:v>
      </x:c>
      <x:c r="C4383" s="2" t="str">
        <x:v>ANNISTON</x:v>
      </x:c>
      <x:c r="D4383" s="2" t="str">
        <x:v>AL</x:v>
      </x:c>
      <x:c r="E4383" s="2" t="str">
        <x:v>Acute Care Hospitals</x:v>
      </x:c>
      <x:c r="F4383" s="2" t="str">
        <x:v>Government</x:v>
      </x:c>
      <x:c r="G4383" s="2" t="str">
        <x:v>Medium (100-299 beds)</x:v>
      </x:c>
      <x:c r="H4383" s="7" t="n">
        <x:v>1</x:v>
      </x:c>
      <x:c r="I4383" s="7" t="n">
        <x:v>2</x:v>
      </x:c>
      <x:c r="J4383" s="7" t="n">
        <x:v>1.03</x:v>
      </x:c>
      <x:c r="K4383" s="8" t="n">
        <x:v>295</x:v>
      </x:c>
      <x:c r="L4383" s="8" t="n">
        <x:v>11172</x:v>
      </x:c>
      <x:c r="M4383" s="9" t="n">
        <x:v>0.5396313791</x:v>
      </x:c>
      <x:c r="N4383" s="10" t="n">
        <x:v>20309.8200859291</x:v>
      </x:c>
      <x:c r="O4383" s="9" t="n">
        <x:v>-0.2972209497</x:v>
      </x:c>
      <x:c r="P4383" s="9" t="n">
        <x:v>0.1116544417</x:v>
      </x:c>
      <x:c r="Q4383" s="9" t="n">
        <x:v>0</x:v>
      </x:c>
      <x:c r="R4383" s="3" t="b">
        <x:v>0</x:v>
      </x:c>
      <x:c r="S4383" s="3" t="b">
        <x:v>1</x:v>
      </x:c>
      <x:c r="T4383" s="3" t="b">
        <x:v>0</x:v>
      </x:c>
      <x:c r="U4383" s="2" t="str">
        <x:f>IF(T4383=TRUE,"Priority review",IF(R4383=TRUE,"High cost",IF(S4383=TRUE,"Low quality","Benchmark")))</x:f>
        <x:v>Low quality</x:v>
      </x:c>
    </x:row>
    <x:row r="4384">
      <x:c r="A4384" s="2" t="str">
        <x:v>121300</x:v>
      </x:c>
      <x:c r="B4384" s="2" t="str">
        <x:v>KAUAI VETERANS MEMORIAL HOSPITAL</x:v>
      </x:c>
      <x:c r="C4384" s="2" t="str">
        <x:v>WAIMEA</x:v>
      </x:c>
      <x:c r="D4384" s="2" t="str">
        <x:v>HI</x:v>
      </x:c>
      <x:c r="E4384" s="2" t="str">
        <x:v>Critical Access Hospitals</x:v>
      </x:c>
      <x:c r="F4384" s="2" t="str">
        <x:v>Government</x:v>
      </x:c>
      <x:c r="G4384" s="2" t="str">
        <x:v>Small (&lt;100 beds)</x:v>
      </x:c>
      <x:c r="H4384" s="7"/>
      <x:c r="I4384" s="7" t="n">
        <x:v>4</x:v>
      </x:c>
      <x:c r="J4384" s="7"/>
      <x:c r="K4384" s="8" t="n">
        <x:v>25</x:v>
      </x:c>
      <x:c r="L4384" s="8" t="n">
        <x:v>1066</x:v>
      </x:c>
      <x:c r="M4384" s="9" t="n">
        <x:v>0.5750136986</x:v>
      </x:c>
      <x:c r="N4384" s="10" t="n">
        <x:v>64073.8105065666</x:v>
      </x:c>
      <x:c r="O4384" s="9" t="n">
        <x:v>-0.2288172636</x:v>
      </x:c>
      <x:c r="P4384" s="9" t="n">
        <x:v>0.1115241636</x:v>
      </x:c>
      <x:c r="Q4384" s="9" t="n">
        <x:v>0.292936803</x:v>
      </x:c>
      <x:c r="R4384" s="3" t="b">
        <x:v>0</x:v>
      </x:c>
      <x:c r="S4384" s="3" t="b">
        <x:v>0</x:v>
      </x:c>
      <x:c r="T4384" s="3" t="b">
        <x:v>0</x:v>
      </x:c>
      <x:c r="U4384" s="2" t="str">
        <x:f>IF(T4384=TRUE,"Priority review",IF(R4384=TRUE,"High cost",IF(S4384=TRUE,"Low quality","Benchmark")))</x:f>
        <x:v>Benchmark</x:v>
      </x:c>
    </x:row>
    <x:row r="4385">
      <x:c r="A4385" s="2" t="str">
        <x:v>420109</x:v>
      </x:c>
      <x:c r="B4385" s="2" t="str">
        <x:v>MCLEOD HEALTH CLARENDON</x:v>
      </x:c>
      <x:c r="C4385" s="2" t="str">
        <x:v>MANNING</x:v>
      </x:c>
      <x:c r="D4385" s="2" t="str">
        <x:v>SC</x:v>
      </x:c>
      <x:c r="E4385" s="2" t="str">
        <x:v>Acute Care Hospitals</x:v>
      </x:c>
      <x:c r="F4385" s="2" t="str">
        <x:v>Voluntary non-profit</x:v>
      </x:c>
      <x:c r="G4385" s="2" t="str">
        <x:v>Small (&lt;100 beds)</x:v>
      </x:c>
      <x:c r="H4385" s="7" t="n">
        <x:v>3</x:v>
      </x:c>
      <x:c r="I4385" s="7" t="n">
        <x:v>4</x:v>
      </x:c>
      <x:c r="J4385" s="7" t="n">
        <x:v>0.94</x:v>
      </x:c>
      <x:c r="K4385" s="8" t="n">
        <x:v>49</x:v>
      </x:c>
      <x:c r="L4385" s="8" t="n">
        <x:v>2360</x:v>
      </x:c>
      <x:c r="M4385" s="9" t="n">
        <x:v>0.5666332107</x:v>
      </x:c>
      <x:c r="N4385" s="10" t="n">
        <x:v>27372.5254237288</x:v>
      </x:c>
      <x:c r="O4385" s="9" t="n">
        <x:v>0.1742232507</x:v>
      </x:c>
      <x:c r="P4385" s="9" t="n">
        <x:v>0.1113105925</x:v>
      </x:c>
      <x:c r="Q4385" s="9" t="n">
        <x:v>0.1687612208</x:v>
      </x:c>
      <x:c r="R4385" s="3" t="b">
        <x:v>0</x:v>
      </x:c>
      <x:c r="S4385" s="3" t="b">
        <x:v>0</x:v>
      </x:c>
      <x:c r="T4385" s="3" t="b">
        <x:v>0</x:v>
      </x:c>
      <x:c r="U4385" s="2" t="str">
        <x:f>IF(T4385=TRUE,"Priority review",IF(R4385=TRUE,"High cost",IF(S4385=TRUE,"Low quality","Benchmark")))</x:f>
        <x:v>Benchmark</x:v>
      </x:c>
    </x:row>
    <x:row r="4386">
      <x:c r="A4386" s="2" t="str">
        <x:v>113300</x:v>
      </x:c>
      <x:c r="B4386" s="2" t="str">
        <x:v>ATHUR M BLANK HOSPITAL</x:v>
      </x:c>
      <x:c r="C4386" s="2" t="str">
        <x:v>ATLANTA</x:v>
      </x:c>
      <x:c r="D4386" s="2" t="str">
        <x:v>GA</x:v>
      </x:c>
      <x:c r="E4386" s="2" t="str">
        <x:v>Childrens</x:v>
      </x:c>
      <x:c r="F4386" s="2" t="str">
        <x:v>Voluntary non-profit</x:v>
      </x:c>
      <x:c r="G4386" s="2" t="str">
        <x:v>Large (300+ beds)</x:v>
      </x:c>
      <x:c r="H4386" s="7"/>
      <x:c r="I4386" s="7"/>
      <x:c r="J4386" s="7"/>
      <x:c r="K4386" s="8" t="n">
        <x:v>359</x:v>
      </x:c>
      <x:c r="L4386" s="8" t="n">
        <x:v>12749</x:v>
      </x:c>
      <x:c r="M4386" s="9" t="n">
        <x:v>0.7506811574</x:v>
      </x:c>
      <x:c r="N4386" s="10" t="n">
        <x:v>60346.4697623343</x:v>
      </x:c>
      <x:c r="O4386" s="9" t="n">
        <x:v>0.3320425591</x:v>
      </x:c>
      <x:c r="P4386" s="9" t="n">
        <x:v>0.1111111111</x:v>
      </x:c>
      <x:c r="Q4386" s="9" t="n">
        <x:v>0</x:v>
      </x:c>
      <x:c r="R4386" s="3" t="b">
        <x:v>0</x:v>
      </x:c>
      <x:c r="S4386" s="3" t="b">
        <x:v>0</x:v>
      </x:c>
      <x:c r="T4386" s="3" t="b">
        <x:v>0</x:v>
      </x:c>
      <x:c r="U4386" s="2" t="str">
        <x:f>IF(T4386=TRUE,"Priority review",IF(R4386=TRUE,"High cost",IF(S4386=TRUE,"Low quality","Benchmark")))</x:f>
        <x:v>Benchmark</x:v>
      </x:c>
    </x:row>
    <x:row r="4387">
      <x:c r="A4387" s="2" t="str">
        <x:v>250141</x:v>
      </x:c>
      <x:c r="B4387" s="2" t="str">
        <x:v>BAPTIST MEMORIAL HOSPITAL DESOTO</x:v>
      </x:c>
      <x:c r="C4387" s="2" t="str">
        <x:v>SOUTHAVEN</x:v>
      </x:c>
      <x:c r="D4387" s="2" t="str">
        <x:v>MS</x:v>
      </x:c>
      <x:c r="E4387" s="2" t="str">
        <x:v>Acute Care Hospitals</x:v>
      </x:c>
      <x:c r="F4387" s="2" t="str">
        <x:v>Proprietary</x:v>
      </x:c>
      <x:c r="G4387" s="2" t="str">
        <x:v>Medium (100-299 beds)</x:v>
      </x:c>
      <x:c r="H4387" s="7" t="n">
        <x:v>3</x:v>
      </x:c>
      <x:c r="I4387" s="7" t="n">
        <x:v>3</x:v>
      </x:c>
      <x:c r="J4387" s="7" t="n">
        <x:v>1</x:v>
      </x:c>
      <x:c r="K4387" s="8" t="n">
        <x:v>298</x:v>
      </x:c>
      <x:c r="L4387" s="8" t="n">
        <x:v>15628</x:v>
      </x:c>
      <x:c r="M4387" s="9" t="n">
        <x:v>0.7838057053</x:v>
      </x:c>
      <x:c r="N4387" s="10" t="n">
        <x:v>20284.3939723573</x:v>
      </x:c>
      <x:c r="O4387" s="9" t="n">
        <x:v>0.097069581</x:v>
      </x:c>
      <x:c r="P4387" s="9" t="n">
        <x:v>0.1108394458</x:v>
      </x:c>
      <x:c r="Q4387" s="9" t="n">
        <x:v>0.3023634882</x:v>
      </x:c>
      <x:c r="R4387" s="3" t="b">
        <x:v>0</x:v>
      </x:c>
      <x:c r="S4387" s="3" t="b">
        <x:v>0</x:v>
      </x:c>
      <x:c r="T4387" s="3" t="b">
        <x:v>0</x:v>
      </x:c>
      <x:c r="U4387" s="2" t="str">
        <x:f>IF(T4387=TRUE,"Priority review",IF(R4387=TRUE,"High cost",IF(S4387=TRUE,"Low quality","Benchmark")))</x:f>
        <x:v>Benchmark</x:v>
      </x:c>
    </x:row>
    <x:row r="4388">
      <x:c r="A4388" s="2" t="str">
        <x:v>111326</x:v>
      </x:c>
      <x:c r="B4388" s="2" t="str">
        <x:v>SGMC HEALTH LANIER</x:v>
      </x:c>
      <x:c r="C4388" s="2" t="str">
        <x:v>LAKELAND</x:v>
      </x:c>
      <x:c r="D4388" s="2" t="str">
        <x:v>GA</x:v>
      </x:c>
      <x:c r="E4388" s="2" t="str">
        <x:v>Critical Access Hospitals</x:v>
      </x:c>
      <x:c r="F4388" s="2" t="str">
        <x:v>Government</x:v>
      </x:c>
      <x:c r="G4388" s="2" t="str">
        <x:v>Small (&lt;100 beds)</x:v>
      </x:c>
      <x:c r="H4388" s="7"/>
      <x:c r="I4388" s="7"/>
      <x:c r="J4388" s="7"/>
      <x:c r="K4388" s="8" t="n">
        <x:v>25</x:v>
      </x:c>
      <x:c r="L4388" s="8" t="n">
        <x:v>261</x:v>
      </x:c>
      <x:c r="M4388" s="9" t="n">
        <x:v>0.3974925373</x:v>
      </x:c>
      <x:c r="N4388" s="10" t="n">
        <x:v>64029.214559387</x:v>
      </x:c>
      <x:c r="O4388" s="9" t="n">
        <x:v>-0.0899382265</x:v>
      </x:c>
      <x:c r="P4388" s="9" t="n">
        <x:v>0.1107806691</x:v>
      </x:c>
      <x:c r="Q4388" s="9" t="n">
        <x:v>0.292936803</x:v>
      </x:c>
      <x:c r="R4388" s="3" t="b">
        <x:v>0</x:v>
      </x:c>
      <x:c r="S4388" s="3" t="b">
        <x:v>0</x:v>
      </x:c>
      <x:c r="T4388" s="3" t="b">
        <x:v>0</x:v>
      </x:c>
      <x:c r="U4388" s="2" t="str">
        <x:f>IF(T4388=TRUE,"Priority review",IF(R4388=TRUE,"High cost",IF(S4388=TRUE,"Low quality","Benchmark")))</x:f>
        <x:v>Benchmark</x:v>
      </x:c>
    </x:row>
    <x:row r="4389">
      <x:c r="A4389" s="2" t="str">
        <x:v>100330</x:v>
      </x:c>
      <x:c r="B4389" s="2" t="str">
        <x:v>HALIFAX HEALTH /UF HEALTH MEDICAL CENTER OF DELTON</x:v>
      </x:c>
      <x:c r="C4389" s="2" t="str">
        <x:v>DELTONA</x:v>
      </x:c>
      <x:c r="D4389" s="2" t="str">
        <x:v>FL</x:v>
      </x:c>
      <x:c r="E4389" s="2" t="str">
        <x:v>Acute Care Hospitals</x:v>
      </x:c>
      <x:c r="F4389" s="2" t="str">
        <x:v>Government</x:v>
      </x:c>
      <x:c r="G4389" s="2" t="str">
        <x:v>Small (&lt;100 beds)</x:v>
      </x:c>
      <x:c r="H4389" s="7"/>
      <x:c r="I4389" s="7" t="n">
        <x:v>3</x:v>
      </x:c>
      <x:c r="J4389" s="7" t="n">
        <x:v>0.96</x:v>
      </x:c>
      <x:c r="K4389" s="8" t="n">
        <x:v>43</x:v>
      </x:c>
      <x:c r="L4389" s="8" t="n">
        <x:v>2458</x:v>
      </x:c>
      <x:c r="M4389" s="9" t="n">
        <x:v>0.615770746</x:v>
      </x:c>
      <x:c r="N4389" s="10" t="n">
        <x:v>27280.695280716</x:v>
      </x:c>
      <x:c r="O4389" s="9" t="n">
        <x:v>-0.072235339</x:v>
      </x:c>
      <x:c r="P4389" s="9" t="n">
        <x:v>0.1104129264</x:v>
      </x:c>
      <x:c r="Q4389" s="9" t="n">
        <x:v>0.697486535</x:v>
      </x:c>
      <x:c r="R4389" s="3" t="b">
        <x:v>0</x:v>
      </x:c>
      <x:c r="S4389" s="3" t="b">
        <x:v>0</x:v>
      </x:c>
      <x:c r="T4389" s="3" t="b">
        <x:v>0</x:v>
      </x:c>
      <x:c r="U4389" s="2" t="str">
        <x:f>IF(T4389=TRUE,"Priority review",IF(R4389=TRUE,"High cost",IF(S4389=TRUE,"Low quality","Benchmark")))</x:f>
        <x:v>Benchmark</x:v>
      </x:c>
    </x:row>
    <x:row r="4390">
      <x:c r="A4390" s="2" t="str">
        <x:v>050022</x:v>
      </x:c>
      <x:c r="B4390" s="2" t="str">
        <x:v>RIVERSIDE COMMUNITY HOSPITAL</x:v>
      </x:c>
      <x:c r="C4390" s="2" t="str">
        <x:v>RIVERSIDE</x:v>
      </x:c>
      <x:c r="D4390" s="2" t="str">
        <x:v>CA</x:v>
      </x:c>
      <x:c r="E4390" s="2" t="str">
        <x:v>Acute Care Hospitals</x:v>
      </x:c>
      <x:c r="F4390" s="2" t="str">
        <x:v>Proprietary</x:v>
      </x:c>
      <x:c r="G4390" s="2" t="str">
        <x:v>Large (300+ beds)</x:v>
      </x:c>
      <x:c r="H4390" s="7" t="n">
        <x:v>2</x:v>
      </x:c>
      <x:c r="I4390" s="7" t="n">
        <x:v>2</x:v>
      </x:c>
      <x:c r="J4390" s="7" t="n">
        <x:v>1.12</x:v>
      </x:c>
      <x:c r="K4390" s="8" t="n">
        <x:v>531</x:v>
      </x:c>
      <x:c r="L4390" s="8" t="n">
        <x:v>29294</x:v>
      </x:c>
      <x:c r="M4390" s="9" t="n">
        <x:v>0.7979999687</x:v>
      </x:c>
      <x:c r="N4390" s="10" t="n">
        <x:v>23280.2885915204</x:v>
      </x:c>
      <x:c r="O4390" s="9" t="n">
        <x:v>0.2285429172</x:v>
      </x:c>
      <x:c r="P4390" s="9" t="n">
        <x:v>0.1104100946</x:v>
      </x:c>
      <x:c r="Q4390" s="9" t="n">
        <x:v>0.0536277603</x:v>
      </x:c>
      <x:c r="R4390" s="3" t="b">
        <x:v>0</x:v>
      </x:c>
      <x:c r="S4390" s="3" t="b">
        <x:v>1</x:v>
      </x:c>
      <x:c r="T4390" s="3" t="b">
        <x:v>0</x:v>
      </x:c>
      <x:c r="U4390" s="2" t="str">
        <x:f>IF(T4390=TRUE,"Priority review",IF(R4390=TRUE,"High cost",IF(S4390=TRUE,"Low quality","Benchmark")))</x:f>
        <x:v>Low quality</x:v>
      </x:c>
    </x:row>
    <x:row r="4391">
      <x:c r="A4391" s="2" t="str">
        <x:v>191318</x:v>
      </x:c>
      <x:c r="B4391" s="2" t="str">
        <x:v>RIVERLAND MEDICAL CENTER</x:v>
      </x:c>
      <x:c r="C4391" s="2" t="str">
        <x:v>FERRIDAY</x:v>
      </x:c>
      <x:c r="D4391" s="2" t="str">
        <x:v>LA</x:v>
      </x:c>
      <x:c r="E4391" s="2" t="str">
        <x:v>Critical Access Hospitals</x:v>
      </x:c>
      <x:c r="F4391" s="2" t="str">
        <x:v>Government</x:v>
      </x:c>
      <x:c r="G4391" s="2" t="str">
        <x:v>Small (&lt;100 beds)</x:v>
      </x:c>
      <x:c r="H4391" s="7"/>
      <x:c r="I4391" s="7"/>
      <x:c r="J4391" s="7"/>
      <x:c r="K4391" s="8" t="n">
        <x:v>25</x:v>
      </x:c>
      <x:c r="L4391" s="8" t="n">
        <x:v>537</x:v>
      </x:c>
      <x:c r="M4391" s="9" t="n">
        <x:v>0.4735519126</x:v>
      </x:c>
      <x:c r="N4391" s="10" t="n">
        <x:v>63985.1340782123</x:v>
      </x:c>
      <x:c r="O4391" s="9" t="n">
        <x:v>-0.2168364252</x:v>
      </x:c>
      <x:c r="P4391" s="9" t="n">
        <x:v>0.1100371747</x:v>
      </x:c>
      <x:c r="Q4391" s="9" t="n">
        <x:v>0.292936803</x:v>
      </x:c>
      <x:c r="R4391" s="3" t="b">
        <x:v>0</x:v>
      </x:c>
      <x:c r="S4391" s="3" t="b">
        <x:v>0</x:v>
      </x:c>
      <x:c r="T4391" s="3" t="b">
        <x:v>0</x:v>
      </x:c>
      <x:c r="U4391" s="2" t="str">
        <x:f>IF(T4391=TRUE,"Priority review",IF(R4391=TRUE,"High cost",IF(S4391=TRUE,"Low quality","Benchmark")))</x:f>
        <x:v>Benchmark</x:v>
      </x:c>
    </x:row>
    <x:row r="4392">
      <x:c r="A4392" s="2" t="str">
        <x:v>454110</x:v>
      </x:c>
      <x:c r="B4392" s="2" t="str">
        <x:v>OCEANS BEHAVIORAL  HOSPITAL OF PERMIAN BASIN</x:v>
      </x:c>
      <x:c r="C4392" s="2" t="str">
        <x:v>MIDLAND</x:v>
      </x:c>
      <x:c r="D4392" s="2" t="str">
        <x:v>TX</x:v>
      </x:c>
      <x:c r="E4392" s="2" t="str">
        <x:v>Psychiatric</x:v>
      </x:c>
      <x:c r="F4392" s="2" t="str">
        <x:v>Proprietary</x:v>
      </x:c>
      <x:c r="G4392" s="2" t="str">
        <x:v>Small (&lt;100 beds)</x:v>
      </x:c>
      <x:c r="H4392" s="7"/>
      <x:c r="I4392" s="7"/>
      <x:c r="J4392" s="7"/>
      <x:c r="K4392" s="8" t="n">
        <x:v>62</x:v>
      </x:c>
      <x:c r="L4392" s="8" t="n">
        <x:v>1857</x:v>
      </x:c>
      <x:c r="M4392" s="9" t="n">
        <x:v>0.7156266526</x:v>
      </x:c>
      <x:c r="N4392" s="10" t="n">
        <x:v>6888.8847603662</x:v>
      </x:c>
      <x:c r="O4392" s="9" t="n">
        <x:v>0.1726681675</x:v>
      </x:c>
      <x:c r="P4392" s="9" t="n">
        <x:v>0.1100323625</x:v>
      </x:c>
      <x:c r="Q4392" s="9" t="n">
        <x:v>0</x:v>
      </x:c>
      <x:c r="R4392" s="3" t="b">
        <x:v>0</x:v>
      </x:c>
      <x:c r="S4392" s="3" t="b">
        <x:v>0</x:v>
      </x:c>
      <x:c r="T4392" s="3" t="b">
        <x:v>0</x:v>
      </x:c>
      <x:c r="U4392" s="2" t="str">
        <x:f>IF(T4392=TRUE,"Priority review",IF(R4392=TRUE,"High cost",IF(S4392=TRUE,"Low quality","Benchmark")))</x:f>
        <x:v>Benchmark</x:v>
      </x:c>
    </x:row>
    <x:row r="4393">
      <x:c r="A4393" s="2" t="str">
        <x:v>050586</x:v>
      </x:c>
      <x:c r="B4393" s="2" t="str">
        <x:v>CHINO VALLEY MEDICAL CENTER</x:v>
      </x:c>
      <x:c r="C4393" s="2" t="str">
        <x:v>CHINO</x:v>
      </x:c>
      <x:c r="D4393" s="2" t="str">
        <x:v>CA</x:v>
      </x:c>
      <x:c r="E4393" s="2" t="str">
        <x:v>Acute Care Hospitals</x:v>
      </x:c>
      <x:c r="F4393" s="2" t="str">
        <x:v>Proprietary</x:v>
      </x:c>
      <x:c r="G4393" s="2" t="str">
        <x:v>Medium (100-299 beds)</x:v>
      </x:c>
      <x:c r="H4393" s="7" t="n">
        <x:v>4</x:v>
      </x:c>
      <x:c r="I4393" s="7" t="n">
        <x:v>2</x:v>
      </x:c>
      <x:c r="J4393" s="7" t="n">
        <x:v>1.03</x:v>
      </x:c>
      <x:c r="K4393" s="8" t="n">
        <x:v>112</x:v>
      </x:c>
      <x:c r="L4393" s="8" t="n">
        <x:v>4520</x:v>
      </x:c>
      <x:c r="M4393" s="9" t="n">
        <x:v>0.3949551132</x:v>
      </x:c>
      <x:c r="N4393" s="10" t="n">
        <x:v>20265.7696902655</x:v>
      </x:c>
      <x:c r="O4393" s="9" t="n">
        <x:v>0.1587351639</x:v>
      </x:c>
      <x:c r="P4393" s="9" t="n">
        <x:v>0.1100244499</x:v>
      </x:c>
      <x:c r="Q4393" s="9" t="n">
        <x:v>0.6022819886</x:v>
      </x:c>
      <x:c r="R4393" s="3" t="b">
        <x:v>0</x:v>
      </x:c>
      <x:c r="S4393" s="3" t="b">
        <x:v>0</x:v>
      </x:c>
      <x:c r="T4393" s="3" t="b">
        <x:v>0</x:v>
      </x:c>
      <x:c r="U4393" s="2" t="str">
        <x:f>IF(T4393=TRUE,"Priority review",IF(R4393=TRUE,"High cost",IF(S4393=TRUE,"Low quality","Benchmark")))</x:f>
        <x:v>Benchmark</x:v>
      </x:c>
    </x:row>
    <x:row r="4394">
      <x:c r="A4394" s="2" t="str">
        <x:v>220065</x:v>
      </x:c>
      <x:c r="B4394" s="2" t="str">
        <x:v>BAYSTATE NOBLE HOSPITAL</x:v>
      </x:c>
      <x:c r="C4394" s="2" t="str">
        <x:v>WESTFIELD</x:v>
      </x:c>
      <x:c r="D4394" s="2" t="str">
        <x:v>MA</x:v>
      </x:c>
      <x:c r="E4394" s="2" t="str">
        <x:v>Acute Care Hospitals</x:v>
      </x:c>
      <x:c r="F4394" s="2" t="str">
        <x:v>Voluntary non-profit</x:v>
      </x:c>
      <x:c r="G4394" s="2" t="str">
        <x:v>Small (&lt;100 beds)</x:v>
      </x:c>
      <x:c r="H4394" s="7" t="n">
        <x:v>2</x:v>
      </x:c>
      <x:c r="I4394" s="7" t="n">
        <x:v>3</x:v>
      </x:c>
      <x:c r="J4394" s="7" t="n">
        <x:v>0.96</x:v>
      </x:c>
      <x:c r="K4394" s="8" t="n">
        <x:v>51</x:v>
      </x:c>
      <x:c r="L4394" s="8" t="n">
        <x:v>3040</x:v>
      </x:c>
      <x:c r="M4394" s="9" t="n">
        <x:v>0.5152684024</x:v>
      </x:c>
      <x:c r="N4394" s="10" t="n">
        <x:v>27120.4338815789</x:v>
      </x:c>
      <x:c r="O4394" s="9" t="n">
        <x:v>-0.0455825842</x:v>
      </x:c>
      <x:c r="P4394" s="9" t="n">
        <x:v>0.1095152603</x:v>
      </x:c>
      <x:c r="Q4394" s="9" t="n">
        <x:v>0.0350089767</x:v>
      </x:c>
      <x:c r="R4394" s="3" t="b">
        <x:v>0</x:v>
      </x:c>
      <x:c r="S4394" s="3" t="b">
        <x:v>1</x:v>
      </x:c>
      <x:c r="T4394" s="3" t="b">
        <x:v>0</x:v>
      </x:c>
      <x:c r="U4394" s="2" t="str">
        <x:f>IF(T4394=TRUE,"Priority review",IF(R4394=TRUE,"High cost",IF(S4394=TRUE,"Low quality","Benchmark")))</x:f>
        <x:v>Low quality</x:v>
      </x:c>
    </x:row>
    <x:row r="4395">
      <x:c r="A4395" s="2" t="str">
        <x:v>454104</x:v>
      </x:c>
      <x:c r="B4395" s="2" t="str">
        <x:v>UNIVERSITY BEHAVIORAL HEALTH OF DENTON</x:v>
      </x:c>
      <x:c r="C4395" s="2" t="str">
        <x:v>DENTON</x:v>
      </x:c>
      <x:c r="D4395" s="2" t="str">
        <x:v>TX</x:v>
      </x:c>
      <x:c r="E4395" s="2" t="str">
        <x:v>Psychiatric</x:v>
      </x:c>
      <x:c r="F4395" s="2" t="str">
        <x:v>Government</x:v>
      </x:c>
      <x:c r="G4395" s="2" t="str">
        <x:v>Medium (100-299 beds)</x:v>
      </x:c>
      <x:c r="H4395" s="7"/>
      <x:c r="I4395" s="7"/>
      <x:c r="J4395" s="7"/>
      <x:c r="K4395" s="8" t="n">
        <x:v>104</x:v>
      </x:c>
      <x:c r="L4395" s="8" t="n">
        <x:v>3651</x:v>
      </x:c>
      <x:c r="M4395" s="9" t="n">
        <x:v>0.5936843211</x:v>
      </x:c>
      <x:c r="N4395" s="10" t="n">
        <x:v>5781.0717611613</x:v>
      </x:c>
      <x:c r="O4395" s="9" t="n">
        <x:v>-0.071344664</x:v>
      </x:c>
      <x:c r="P4395" s="9" t="n">
        <x:v>0.1094527363</x:v>
      </x:c>
      <x:c r="Q4395" s="9" t="n">
        <x:v>0</x:v>
      </x:c>
      <x:c r="R4395" s="3" t="b">
        <x:v>0</x:v>
      </x:c>
      <x:c r="S4395" s="3" t="b">
        <x:v>0</x:v>
      </x:c>
      <x:c r="T4395" s="3" t="b">
        <x:v>0</x:v>
      </x:c>
      <x:c r="U4395" s="2" t="str">
        <x:f>IF(T4395=TRUE,"Priority review",IF(R4395=TRUE,"High cost",IF(S4395=TRUE,"Low quality","Benchmark")))</x:f>
        <x:v>Benchmark</x:v>
      </x:c>
    </x:row>
    <x:row r="4396">
      <x:c r="A4396" s="2" t="str">
        <x:v>341324</x:v>
      </x:c>
      <x:c r="B4396" s="2" t="str">
        <x:v>THE OUTER BANKS HOSPITAL, INC</x:v>
      </x:c>
      <x:c r="C4396" s="2" t="str">
        <x:v>NAGS HEAD</x:v>
      </x:c>
      <x:c r="D4396" s="2" t="str">
        <x:v>NC</x:v>
      </x:c>
      <x:c r="E4396" s="2" t="str">
        <x:v>Critical Access Hospitals</x:v>
      </x:c>
      <x:c r="F4396" s="2" t="str">
        <x:v>Voluntary non-profit</x:v>
      </x:c>
      <x:c r="G4396" s="2" t="str">
        <x:v>Small (&lt;100 beds)</x:v>
      </x:c>
      <x:c r="H4396" s="7" t="n">
        <x:v>4</x:v>
      </x:c>
      <x:c r="I4396" s="7" t="n">
        <x:v>4</x:v>
      </x:c>
      <x:c r="J4396" s="7"/>
      <x:c r="K4396" s="8" t="n">
        <x:v>21</x:v>
      </x:c>
      <x:c r="L4396" s="8" t="n">
        <x:v>1347</x:v>
      </x:c>
      <x:c r="M4396" s="9" t="n">
        <x:v>0.5217278168</x:v>
      </x:c>
      <x:c r="N4396" s="10" t="n">
        <x:v>63915.6191536748</x:v>
      </x:c>
      <x:c r="O4396" s="9" t="n">
        <x:v>0.1900840065</x:v>
      </x:c>
      <x:c r="P4396" s="9" t="n">
        <x:v>0.1092936803</x:v>
      </x:c>
      <x:c r="Q4396" s="9" t="n">
        <x:v>0.1657992565</x:v>
      </x:c>
      <x:c r="R4396" s="3" t="b">
        <x:v>0</x:v>
      </x:c>
      <x:c r="S4396" s="3" t="b">
        <x:v>0</x:v>
      </x:c>
      <x:c r="T4396" s="3" t="b">
        <x:v>0</x:v>
      </x:c>
      <x:c r="U4396" s="2" t="str">
        <x:f>IF(T4396=TRUE,"Priority review",IF(R4396=TRUE,"High cost",IF(S4396=TRUE,"Low quality","Benchmark")))</x:f>
        <x:v>Benchmark</x:v>
      </x:c>
    </x:row>
    <x:row r="4397">
      <x:c r="A4397" s="2" t="str">
        <x:v>010118</x:v>
      </x:c>
      <x:c r="B4397" s="2" t="str">
        <x:v>VAUGHAN REGIONAL MEDICAL CENTER PARKWAY CAMPUS</x:v>
      </x:c>
      <x:c r="C4397" s="2" t="str">
        <x:v>SELMA</x:v>
      </x:c>
      <x:c r="D4397" s="2" t="str">
        <x:v>AL</x:v>
      </x:c>
      <x:c r="E4397" s="2" t="str">
        <x:v>Acute Care Hospitals</x:v>
      </x:c>
      <x:c r="F4397" s="2" t="str">
        <x:v>Proprietary</x:v>
      </x:c>
      <x:c r="G4397" s="2" t="str">
        <x:v>Medium (100-299 beds)</x:v>
      </x:c>
      <x:c r="H4397" s="7" t="n">
        <x:v>2</x:v>
      </x:c>
      <x:c r="I4397" s="7" t="n">
        <x:v>2</x:v>
      </x:c>
      <x:c r="J4397" s="7" t="n">
        <x:v>0.96</x:v>
      </x:c>
      <x:c r="K4397" s="8" t="n">
        <x:v>109</x:v>
      </x:c>
      <x:c r="L4397" s="8" t="n">
        <x:v>3725</x:v>
      </x:c>
      <x:c r="M4397" s="9" t="n">
        <x:v>0.3507352017</x:v>
      </x:c>
      <x:c r="N4397" s="10" t="n">
        <x:v>20241.3562416107</x:v>
      </x:c>
      <x:c r="O4397" s="9"/>
      <x:c r="P4397" s="9" t="n">
        <x:v>0.109209454</x:v>
      </x:c>
      <x:c r="Q4397" s="9" t="n">
        <x:v>0.0782396088</x:v>
      </x:c>
      <x:c r="R4397" s="3" t="b">
        <x:v>0</x:v>
      </x:c>
      <x:c r="S4397" s="3" t="b">
        <x:v>1</x:v>
      </x:c>
      <x:c r="T4397" s="3" t="b">
        <x:v>0</x:v>
      </x:c>
      <x:c r="U4397" s="2" t="str">
        <x:f>IF(T4397=TRUE,"Priority review",IF(R4397=TRUE,"High cost",IF(S4397=TRUE,"Low quality","Benchmark")))</x:f>
        <x:v>Low quality</x:v>
      </x:c>
    </x:row>
    <x:row r="4398">
      <x:c r="A4398" s="2" t="str">
        <x:v>100052</x:v>
      </x:c>
      <x:c r="B4398" s="2" t="str">
        <x:v>WINTER HAVEN HOSPITAL</x:v>
      </x:c>
      <x:c r="C4398" s="2" t="str">
        <x:v>WINTER HAVEN</x:v>
      </x:c>
      <x:c r="D4398" s="2" t="str">
        <x:v>FL</x:v>
      </x:c>
      <x:c r="E4398" s="2" t="str">
        <x:v>Acute Care Hospitals</x:v>
      </x:c>
      <x:c r="F4398" s="2" t="str">
        <x:v>Voluntary non-profit</x:v>
      </x:c>
      <x:c r="G4398" s="2" t="str">
        <x:v>Large (300+ beds)</x:v>
      </x:c>
      <x:c r="H4398" s="7" t="n">
        <x:v>3</x:v>
      </x:c>
      <x:c r="I4398" s="7" t="n">
        <x:v>3</x:v>
      </x:c>
      <x:c r="J4398" s="7" t="n">
        <x:v>1</x:v>
      </x:c>
      <x:c r="K4398" s="8" t="n">
        <x:v>406</x:v>
      </x:c>
      <x:c r="L4398" s="8" t="n">
        <x:v>20154</x:v>
      </x:c>
      <x:c r="M4398" s="9" t="n">
        <x:v>0.5849104493</x:v>
      </x:c>
      <x:c r="N4398" s="10" t="n">
        <x:v>23278.52386623</x:v>
      </x:c>
      <x:c r="O4398" s="9" t="n">
        <x:v>0.0551984773</x:v>
      </x:c>
      <x:c r="P4398" s="9" t="n">
        <x:v>0.1088328076</x:v>
      </x:c>
      <x:c r="Q4398" s="9" t="n">
        <x:v>0.2570977918</x:v>
      </x:c>
      <x:c r="R4398" s="3" t="b">
        <x:v>0</x:v>
      </x:c>
      <x:c r="S4398" s="3" t="b">
        <x:v>0</x:v>
      </x:c>
      <x:c r="T4398" s="3" t="b">
        <x:v>0</x:v>
      </x:c>
      <x:c r="U4398" s="2" t="str">
        <x:f>IF(T4398=TRUE,"Priority review",IF(R4398=TRUE,"High cost",IF(S4398=TRUE,"Low quality","Benchmark")))</x:f>
        <x:v>Benchmark</x:v>
      </x:c>
    </x:row>
    <x:row r="4399">
      <x:c r="A4399" s="2" t="str">
        <x:v>450730</x:v>
      </x:c>
      <x:c r="B4399" s="2" t="str">
        <x:v>CARROLLTON REGIONAL MEDICAL CENTER</x:v>
      </x:c>
      <x:c r="C4399" s="2" t="str">
        <x:v>CARROLLTON</x:v>
      </x:c>
      <x:c r="D4399" s="2" t="str">
        <x:v>TX</x:v>
      </x:c>
      <x:c r="E4399" s="2" t="str">
        <x:v>Acute Care Hospitals</x:v>
      </x:c>
      <x:c r="F4399" s="2" t="str">
        <x:v>Proprietary</x:v>
      </x:c>
      <x:c r="G4399" s="2" t="str">
        <x:v>Small (&lt;100 beds)</x:v>
      </x:c>
      <x:c r="H4399" s="7" t="n">
        <x:v>2</x:v>
      </x:c>
      <x:c r="I4399" s="7" t="n">
        <x:v>2</x:v>
      </x:c>
      <x:c r="J4399" s="7" t="n">
        <x:v>1.12</x:v>
      </x:c>
      <x:c r="K4399" s="8" t="n">
        <x:v>89</x:v>
      </x:c>
      <x:c r="L4399" s="8" t="n">
        <x:v>3246</x:v>
      </x:c>
      <x:c r="M4399" s="9" t="n">
        <x:v>0.3675850392</x:v>
      </x:c>
      <x:c r="N4399" s="10" t="n">
        <x:v>27039.5914972274</x:v>
      </x:c>
      <x:c r="O4399" s="9" t="n">
        <x:v>-0.094555307</x:v>
      </x:c>
      <x:c r="P4399" s="9" t="n">
        <x:v>0.1086175943</x:v>
      </x:c>
      <x:c r="Q4399" s="9" t="n">
        <x:v>0.0350089767</x:v>
      </x:c>
      <x:c r="R4399" s="3" t="b">
        <x:v>0</x:v>
      </x:c>
      <x:c r="S4399" s="3" t="b">
        <x:v>1</x:v>
      </x:c>
      <x:c r="T4399" s="3" t="b">
        <x:v>0</x:v>
      </x:c>
      <x:c r="U4399" s="2" t="str">
        <x:f>IF(T4399=TRUE,"Priority review",IF(R4399=TRUE,"High cost",IF(S4399=TRUE,"Low quality","Benchmark")))</x:f>
        <x:v>Low quality</x:v>
      </x:c>
    </x:row>
    <x:row r="4400">
      <x:c r="A4400" s="2" t="str">
        <x:v>451315</x:v>
      </x:c>
      <x:c r="B4400" s="2" t="str">
        <x:v>NORTH RUNNELS HOSPITAL</x:v>
      </x:c>
      <x:c r="C4400" s="2" t="str">
        <x:v>WINTERS</x:v>
      </x:c>
      <x:c r="D4400" s="2" t="str">
        <x:v>TX</x:v>
      </x:c>
      <x:c r="E4400" s="2" t="str">
        <x:v>Critical Access Hospitals</x:v>
      </x:c>
      <x:c r="F4400" s="2" t="str">
        <x:v>Government</x:v>
      </x:c>
      <x:c r="G4400" s="2" t="str">
        <x:v>Small (&lt;100 beds)</x:v>
      </x:c>
      <x:c r="H4400" s="7"/>
      <x:c r="I4400" s="7"/>
      <x:c r="J4400" s="7"/>
      <x:c r="K4400" s="8" t="n">
        <x:v>12</x:v>
      </x:c>
      <x:c r="L4400" s="8" t="n">
        <x:v>138</x:v>
      </x:c>
      <x:c r="M4400" s="9" t="n">
        <x:v>0.2456621005</x:v>
      </x:c>
      <x:c r="N4400" s="10" t="n">
        <x:v>63705.6956521739</x:v>
      </x:c>
      <x:c r="O4400" s="9" t="n">
        <x:v>-0.1815472227</x:v>
      </x:c>
      <x:c r="P4400" s="9" t="n">
        <x:v>0.1085501859</x:v>
      </x:c>
      <x:c r="Q4400" s="9" t="n">
        <x:v>0.292936803</x:v>
      </x:c>
      <x:c r="R4400" s="3" t="b">
        <x:v>0</x:v>
      </x:c>
      <x:c r="S4400" s="3" t="b">
        <x:v>0</x:v>
      </x:c>
      <x:c r="T4400" s="3" t="b">
        <x:v>0</x:v>
      </x:c>
      <x:c r="U4400" s="2" t="str">
        <x:f>IF(T4400=TRUE,"Priority review",IF(R4400=TRUE,"High cost",IF(S4400=TRUE,"Low quality","Benchmark")))</x:f>
        <x:v>Benchmark</x:v>
      </x:c>
    </x:row>
    <x:row r="4401">
      <x:c r="A4401" s="2" t="str">
        <x:v>100249</x:v>
      </x:c>
      <x:c r="B4401" s="2" t="str">
        <x:v>TAMPA GENERAL HOSPITAL CRYSTAL RIVER</x:v>
      </x:c>
      <x:c r="C4401" s="2" t="str">
        <x:v>CRYSTAL RIVER</x:v>
      </x:c>
      <x:c r="D4401" s="2" t="str">
        <x:v>FL</x:v>
      </x:c>
      <x:c r="E4401" s="2" t="str">
        <x:v>Acute Care Hospitals</x:v>
      </x:c>
      <x:c r="F4401" s="2" t="str">
        <x:v>Voluntary non-profit</x:v>
      </x:c>
      <x:c r="G4401" s="2" t="str">
        <x:v>Medium (100-299 beds)</x:v>
      </x:c>
      <x:c r="H4401" s="7" t="n">
        <x:v>2</x:v>
      </x:c>
      <x:c r="I4401" s="7" t="n">
        <x:v>2</x:v>
      </x:c>
      <x:c r="J4401" s="7" t="n">
        <x:v>0.99</x:v>
      </x:c>
      <x:c r="K4401" s="8" t="n">
        <x:v>121</x:v>
      </x:c>
      <x:c r="L4401" s="8" t="n">
        <x:v>6623</x:v>
      </x:c>
      <x:c r="M4401" s="9" t="n">
        <x:v>0.6927245631</x:v>
      </x:c>
      <x:c r="N4401" s="10" t="n">
        <x:v>20211.7742714782</x:v>
      </x:c>
      <x:c r="O4401" s="9" t="n">
        <x:v>-0.115016313</x:v>
      </x:c>
      <x:c r="P4401" s="9" t="n">
        <x:v>0.108394458</x:v>
      </x:c>
      <x:c r="Q4401" s="9" t="n">
        <x:v>0.0782396088</x:v>
      </x:c>
      <x:c r="R4401" s="3" t="b">
        <x:v>0</x:v>
      </x:c>
      <x:c r="S4401" s="3" t="b">
        <x:v>1</x:v>
      </x:c>
      <x:c r="T4401" s="3" t="b">
        <x:v>0</x:v>
      </x:c>
      <x:c r="U4401" s="2" t="str">
        <x:f>IF(T4401=TRUE,"Priority review",IF(R4401=TRUE,"High cost",IF(S4401=TRUE,"Low quality","Benchmark")))</x:f>
        <x:v>Low quality</x:v>
      </x:c>
    </x:row>
    <x:row r="4402">
      <x:c r="A4402" s="2" t="str">
        <x:v>351321</x:v>
      </x:c>
      <x:c r="B4402" s="2" t="str">
        <x:v>SOUTH CENTRAL HEALTH</x:v>
      </x:c>
      <x:c r="C4402" s="2" t="str">
        <x:v>WISHEK</x:v>
      </x:c>
      <x:c r="D4402" s="2" t="str">
        <x:v>ND</x:v>
      </x:c>
      <x:c r="E4402" s="2" t="str">
        <x:v>Critical Access Hospitals</x:v>
      </x:c>
      <x:c r="F4402" s="2" t="str">
        <x:v>Government</x:v>
      </x:c>
      <x:c r="G4402" s="2" t="str">
        <x:v>Small (&lt;100 beds)</x:v>
      </x:c>
      <x:c r="H4402" s="7"/>
      <x:c r="I4402" s="7"/>
      <x:c r="J4402" s="7"/>
      <x:c r="K4402" s="8" t="n">
        <x:v>24</x:v>
      </x:c>
      <x:c r="L4402" s="8" t="n">
        <x:v>172</x:v>
      </x:c>
      <x:c r="M4402" s="9" t="n">
        <x:v>0.0973360656</x:v>
      </x:c>
      <x:c r="N4402" s="10" t="n">
        <x:v>63167.3139534884</x:v>
      </x:c>
      <x:c r="O4402" s="9" t="n">
        <x:v>-0.122726136</x:v>
      </x:c>
      <x:c r="P4402" s="9" t="n">
        <x:v>0.1078066914</x:v>
      </x:c>
      <x:c r="Q4402" s="9" t="n">
        <x:v>0.292936803</x:v>
      </x:c>
      <x:c r="R4402" s="3" t="b">
        <x:v>0</x:v>
      </x:c>
      <x:c r="S4402" s="3" t="b">
        <x:v>0</x:v>
      </x:c>
      <x:c r="T4402" s="3" t="b">
        <x:v>0</x:v>
      </x:c>
      <x:c r="U4402" s="2" t="str">
        <x:f>IF(T4402=TRUE,"Priority review",IF(R4402=TRUE,"High cost",IF(S4402=TRUE,"Low quality","Benchmark")))</x:f>
        <x:v>Benchmark</x:v>
      </x:c>
    </x:row>
    <x:row r="4403">
      <x:c r="A4403" s="2" t="str">
        <x:v>440050</x:v>
      </x:c>
      <x:c r="B4403" s="2" t="str">
        <x:v>GREENEVILLE COMMUNITY HOSPITAL</x:v>
      </x:c>
      <x:c r="C4403" s="2" t="str">
        <x:v>GREENEVILLE</x:v>
      </x:c>
      <x:c r="D4403" s="2" t="str">
        <x:v>TN</x:v>
      </x:c>
      <x:c r="E4403" s="2" t="str">
        <x:v>Acute Care Hospitals</x:v>
      </x:c>
      <x:c r="F4403" s="2" t="str">
        <x:v>Voluntary non-profit</x:v>
      </x:c>
      <x:c r="G4403" s="2" t="str">
        <x:v>Small (&lt;100 beds)</x:v>
      </x:c>
      <x:c r="H4403" s="7" t="n">
        <x:v>2</x:v>
      </x:c>
      <x:c r="I4403" s="7" t="n">
        <x:v>3</x:v>
      </x:c>
      <x:c r="J4403" s="7" t="n">
        <x:v>0.99</x:v>
      </x:c>
      <x:c r="K4403" s="8" t="n">
        <x:v>70</x:v>
      </x:c>
      <x:c r="L4403" s="8" t="n">
        <x:v>4995</x:v>
      </x:c>
      <x:c r="M4403" s="9" t="n">
        <x:v>0.8189823875</x:v>
      </x:c>
      <x:c r="N4403" s="10" t="n">
        <x:v>27033.9691691692</x:v>
      </x:c>
      <x:c r="O4403" s="9" t="n">
        <x:v>0.0127996984</x:v>
      </x:c>
      <x:c r="P4403" s="9" t="n">
        <x:v>0.1077199282</x:v>
      </x:c>
      <x:c r="Q4403" s="9" t="n">
        <x:v>0.0350089767</x:v>
      </x:c>
      <x:c r="R4403" s="3" t="b">
        <x:v>0</x:v>
      </x:c>
      <x:c r="S4403" s="3" t="b">
        <x:v>1</x:v>
      </x:c>
      <x:c r="T4403" s="3" t="b">
        <x:v>0</x:v>
      </x:c>
      <x:c r="U4403" s="2" t="str">
        <x:f>IF(T4403=TRUE,"Priority review",IF(R4403=TRUE,"High cost",IF(S4403=TRUE,"Low quality","Benchmark")))</x:f>
        <x:v>Low quality</x:v>
      </x:c>
    </x:row>
    <x:row r="4404">
      <x:c r="A4404" s="2" t="str">
        <x:v>050758</x:v>
      </x:c>
      <x:c r="B4404" s="2" t="str">
        <x:v>MONTCLAIR HOSPITAL MEDICAL CENTER</x:v>
      </x:c>
      <x:c r="C4404" s="2" t="str">
        <x:v>MONTCLAIR</x:v>
      </x:c>
      <x:c r="D4404" s="2" t="str">
        <x:v>CA</x:v>
      </x:c>
      <x:c r="E4404" s="2" t="str">
        <x:v>Acute Care Hospitals</x:v>
      </x:c>
      <x:c r="F4404" s="2" t="str">
        <x:v>Voluntary non-profit</x:v>
      </x:c>
      <x:c r="G4404" s="2" t="str">
        <x:v>Medium (100-299 beds)</x:v>
      </x:c>
      <x:c r="H4404" s="7" t="n">
        <x:v>3</x:v>
      </x:c>
      <x:c r="I4404" s="7" t="n">
        <x:v>2</x:v>
      </x:c>
      <x:c r="J4404" s="7" t="n">
        <x:v>1.23</x:v>
      </x:c>
      <x:c r="K4404" s="8" t="n">
        <x:v>106</x:v>
      </x:c>
      <x:c r="L4404" s="8" t="n">
        <x:v>2919</x:v>
      </x:c>
      <x:c r="M4404" s="9" t="n">
        <x:v>0.293535416</x:v>
      </x:c>
      <x:c r="N4404" s="10" t="n">
        <x:v>20178.8403562864</x:v>
      </x:c>
      <x:c r="O4404" s="9" t="n">
        <x:v>0.0478698189</x:v>
      </x:c>
      <x:c r="P4404" s="9" t="n">
        <x:v>0.1075794621</x:v>
      </x:c>
      <x:c r="Q4404" s="9" t="n">
        <x:v>0.3023634882</x:v>
      </x:c>
      <x:c r="R4404" s="3" t="b">
        <x:v>0</x:v>
      </x:c>
      <x:c r="S4404" s="3" t="b">
        <x:v>0</x:v>
      </x:c>
      <x:c r="T4404" s="3" t="b">
        <x:v>0</x:v>
      </x:c>
      <x:c r="U4404" s="2" t="str">
        <x:f>IF(T4404=TRUE,"Priority review",IF(R4404=TRUE,"High cost",IF(S4404=TRUE,"Low quality","Benchmark")))</x:f>
        <x:v>Benchmark</x:v>
      </x:c>
    </x:row>
    <x:row r="4405">
      <x:c r="A4405" s="2" t="str">
        <x:v>050135</x:v>
      </x:c>
      <x:c r="B4405" s="2" t="str">
        <x:v>SOUTHERN CALIFORNIA HOSPITAL AT HOLLYWOOD</x:v>
      </x:c>
      <x:c r="C4405" s="2" t="str">
        <x:v>HOLLYWOOD</x:v>
      </x:c>
      <x:c r="D4405" s="2" t="str">
        <x:v>CA</x:v>
      </x:c>
      <x:c r="E4405" s="2" t="str">
        <x:v>Acute Care Hospitals</x:v>
      </x:c>
      <x:c r="F4405" s="2" t="str">
        <x:v>Proprietary</x:v>
      </x:c>
      <x:c r="G4405" s="2" t="str">
        <x:v>Large (300+ beds)</x:v>
      </x:c>
      <x:c r="H4405" s="7" t="n">
        <x:v>3</x:v>
      </x:c>
      <x:c r="I4405" s="7" t="n">
        <x:v>1</x:v>
      </x:c>
      <x:c r="J4405" s="7" t="n">
        <x:v>1.35</x:v>
      </x:c>
      <x:c r="K4405" s="8" t="n">
        <x:v>516</x:v>
      </x:c>
      <x:c r="L4405" s="8" t="n">
        <x:v>19312</x:v>
      </x:c>
      <x:c r="M4405" s="9" t="n">
        <x:v>0.5741305545</x:v>
      </x:c>
      <x:c r="N4405" s="10" t="n">
        <x:v>23167.0765327258</x:v>
      </x:c>
      <x:c r="O4405" s="9" t="n">
        <x:v>-0.4112301534</x:v>
      </x:c>
      <x:c r="P4405" s="9" t="n">
        <x:v>0.1072555205</x:v>
      </x:c>
      <x:c r="Q4405" s="9" t="n">
        <x:v>0.2570977918</x:v>
      </x:c>
      <x:c r="R4405" s="3" t="b">
        <x:v>0</x:v>
      </x:c>
      <x:c r="S4405" s="3" t="b">
        <x:v>0</x:v>
      </x:c>
      <x:c r="T4405" s="3" t="b">
        <x:v>0</x:v>
      </x:c>
      <x:c r="U4405" s="2" t="str">
        <x:f>IF(T4405=TRUE,"Priority review",IF(R4405=TRUE,"High cost",IF(S4405=TRUE,"Low quality","Benchmark")))</x:f>
        <x:v>Benchmark</x:v>
      </x:c>
    </x:row>
    <x:row r="4406">
      <x:c r="A4406" s="2" t="str">
        <x:v>171308</x:v>
      </x:c>
      <x:c r="B4406" s="2" t="str">
        <x:v>MERCY HOSPITAL COLUMBUS</x:v>
      </x:c>
      <x:c r="C4406" s="2" t="str">
        <x:v>COLUMBUS</x:v>
      </x:c>
      <x:c r="D4406" s="2" t="str">
        <x:v>KS</x:v>
      </x:c>
      <x:c r="E4406" s="2" t="str">
        <x:v>Critical Access Hospitals</x:v>
      </x:c>
      <x:c r="F4406" s="2" t="str">
        <x:v>Voluntary non-profit</x:v>
      </x:c>
      <x:c r="G4406" s="2" t="str">
        <x:v>Small (&lt;100 beds)</x:v>
      </x:c>
      <x:c r="H4406" s="7"/>
      <x:c r="I4406" s="7"/>
      <x:c r="J4406" s="7"/>
      <x:c r="K4406" s="8" t="n">
        <x:v>25</x:v>
      </x:c>
      <x:c r="L4406" s="8" t="n">
        <x:v>99</x:v>
      </x:c>
      <x:c r="M4406" s="9" t="n">
        <x:v>0.0563287671</x:v>
      </x:c>
      <x:c r="N4406" s="10" t="n">
        <x:v>63004.3434343434</x:v>
      </x:c>
      <x:c r="O4406" s="9" t="n">
        <x:v>0.2246732559</x:v>
      </x:c>
      <x:c r="P4406" s="9" t="n">
        <x:v>0.107063197</x:v>
      </x:c>
      <x:c r="Q4406" s="9" t="n">
        <x:v>0.292936803</x:v>
      </x:c>
      <x:c r="R4406" s="3" t="b">
        <x:v>0</x:v>
      </x:c>
      <x:c r="S4406" s="3" t="b">
        <x:v>0</x:v>
      </x:c>
      <x:c r="T4406" s="3" t="b">
        <x:v>0</x:v>
      </x:c>
      <x:c r="U4406" s="2" t="str">
        <x:f>IF(T4406=TRUE,"Priority review",IF(R4406=TRUE,"High cost",IF(S4406=TRUE,"Low quality","Benchmark")))</x:f>
        <x:v>Benchmark</x:v>
      </x:c>
    </x:row>
    <x:row r="4407">
      <x:c r="A4407" s="2" t="str">
        <x:v>440056</x:v>
      </x:c>
      <x:c r="B4407" s="2" t="str">
        <x:v>TENNOVA HEALTHCARE-JEFFERSON MEMORIAL HOSPITAL</x:v>
      </x:c>
      <x:c r="C4407" s="2" t="str">
        <x:v>JEFFERSON CITY</x:v>
      </x:c>
      <x:c r="D4407" s="2" t="str">
        <x:v>TN</x:v>
      </x:c>
      <x:c r="E4407" s="2" t="str">
        <x:v>Acute Care Hospitals</x:v>
      </x:c>
      <x:c r="F4407" s="2" t="str">
        <x:v>Proprietary</x:v>
      </x:c>
      <x:c r="G4407" s="2" t="str">
        <x:v>Small (&lt;100 beds)</x:v>
      </x:c>
      <x:c r="H4407" s="7" t="n">
        <x:v>2</x:v>
      </x:c>
      <x:c r="I4407" s="7" t="n">
        <x:v>2</x:v>
      </x:c>
      <x:c r="J4407" s="7" t="n">
        <x:v>0.99</x:v>
      </x:c>
      <x:c r="K4407" s="8" t="n">
        <x:v>56</x:v>
      </x:c>
      <x:c r="L4407" s="8" t="n">
        <x:v>2143</x:v>
      </x:c>
      <x:c r="M4407" s="9" t="n">
        <x:v>0.3580698673</x:v>
      </x:c>
      <x:c r="N4407" s="10" t="n">
        <x:v>26871.7111525898</x:v>
      </x:c>
      <x:c r="O4407" s="9" t="n">
        <x:v>0.0277237156</x:v>
      </x:c>
      <x:c r="P4407" s="9" t="n">
        <x:v>0.1068222621</x:v>
      </x:c>
      <x:c r="Q4407" s="9" t="n">
        <x:v>0.0350089767</x:v>
      </x:c>
      <x:c r="R4407" s="3" t="b">
        <x:v>0</x:v>
      </x:c>
      <x:c r="S4407" s="3" t="b">
        <x:v>1</x:v>
      </x:c>
      <x:c r="T4407" s="3" t="b">
        <x:v>0</x:v>
      </x:c>
      <x:c r="U4407" s="2" t="str">
        <x:f>IF(T4407=TRUE,"Priority review",IF(R4407=TRUE,"High cost",IF(S4407=TRUE,"Low quality","Benchmark")))</x:f>
        <x:v>Low quality</x:v>
      </x:c>
    </x:row>
    <x:row r="4408">
      <x:c r="A4408" s="2" t="str">
        <x:v>134017</x:v>
      </x:c>
      <x:c r="B4408" s="2" t="str">
        <x:v>COTTONWOOD CREEK BEHAVIORAL HOSPITAL</x:v>
      </x:c>
      <x:c r="C4408" s="2" t="str">
        <x:v>MERIDIAN</x:v>
      </x:c>
      <x:c r="D4408" s="2" t="str">
        <x:v>ID</x:v>
      </x:c>
      <x:c r="E4408" s="2" t="str">
        <x:v>Psychiatric</x:v>
      </x:c>
      <x:c r="F4408" s="2" t="str">
        <x:v>Proprietary</x:v>
      </x:c>
      <x:c r="G4408" s="2" t="str">
        <x:v>Small (&lt;100 beds)</x:v>
      </x:c>
      <x:c r="H4408" s="7"/>
      <x:c r="I4408" s="7"/>
      <x:c r="J4408" s="7"/>
      <x:c r="K4408" s="8" t="n">
        <x:v>92</x:v>
      </x:c>
      <x:c r="L4408" s="8" t="n">
        <x:v>3561</x:v>
      </x:c>
      <x:c r="M4408" s="9" t="n">
        <x:v>0.876336422</x:v>
      </x:c>
      <x:c r="N4408" s="10" t="n">
        <x:v>6836.5192361696</x:v>
      </x:c>
      <x:c r="O4408" s="9" t="n">
        <x:v>0.1641517241</x:v>
      </x:c>
      <x:c r="P4408" s="9" t="n">
        <x:v>0.1067961165</x:v>
      </x:c>
      <x:c r="Q4408" s="9" t="n">
        <x:v>0</x:v>
      </x:c>
      <x:c r="R4408" s="3" t="b">
        <x:v>0</x:v>
      </x:c>
      <x:c r="S4408" s="3" t="b">
        <x:v>0</x:v>
      </x:c>
      <x:c r="T4408" s="3" t="b">
        <x:v>0</x:v>
      </x:c>
      <x:c r="U4408" s="2" t="str">
        <x:f>IF(T4408=TRUE,"Priority review",IF(R4408=TRUE,"High cost",IF(S4408=TRUE,"Low quality","Benchmark")))</x:f>
        <x:v>Benchmark</x:v>
      </x:c>
    </x:row>
    <x:row r="4409">
      <x:c r="A4409" s="2" t="str">
        <x:v>100030</x:v>
      </x:c>
      <x:c r="B4409" s="2" t="str">
        <x:v>ORLANDO HEALTH-HEALTH CENTRAL HOSPITAL</x:v>
      </x:c>
      <x:c r="C4409" s="2" t="str">
        <x:v>OCOEE</x:v>
      </x:c>
      <x:c r="D4409" s="2" t="str">
        <x:v>FL</x:v>
      </x:c>
      <x:c r="E4409" s="2" t="str">
        <x:v>Acute Care Hospitals</x:v>
      </x:c>
      <x:c r="F4409" s="2" t="str">
        <x:v>Government</x:v>
      </x:c>
      <x:c r="G4409" s="2" t="str">
        <x:v>Medium (100-299 beds)</x:v>
      </x:c>
      <x:c r="H4409" s="7" t="n">
        <x:v>3</x:v>
      </x:c>
      <x:c r="I4409" s="7" t="n">
        <x:v>3</x:v>
      </x:c>
      <x:c r="J4409" s="7" t="n">
        <x:v>0.98</x:v>
      </x:c>
      <x:c r="K4409" s="8" t="n">
        <x:v>276</x:v>
      </x:c>
      <x:c r="L4409" s="8" t="n">
        <x:v>17818</x:v>
      </x:c>
      <x:c r="M4409" s="9" t="n">
        <x:v>0.5868352878</x:v>
      </x:c>
      <x:c r="N4409" s="10" t="n">
        <x:v>20157.961162869</x:v>
      </x:c>
      <x:c r="O4409" s="9" t="n">
        <x:v>0.1082906847</x:v>
      </x:c>
      <x:c r="P4409" s="9" t="n">
        <x:v>0.1067644662</x:v>
      </x:c>
      <x:c r="Q4409" s="9" t="n">
        <x:v>0.3023634882</x:v>
      </x:c>
      <x:c r="R4409" s="3" t="b">
        <x:v>0</x:v>
      </x:c>
      <x:c r="S4409" s="3" t="b">
        <x:v>0</x:v>
      </x:c>
      <x:c r="T4409" s="3" t="b">
        <x:v>0</x:v>
      </x:c>
      <x:c r="U4409" s="2" t="str">
        <x:f>IF(T4409=TRUE,"Priority review",IF(R4409=TRUE,"High cost",IF(S4409=TRUE,"Low quality","Benchmark")))</x:f>
        <x:v>Benchmark</x:v>
      </x:c>
    </x:row>
    <x:row r="4410">
      <x:c r="A4410" s="2" t="str">
        <x:v>171387</x:v>
      </x:c>
      <x:c r="B4410" s="2" t="str">
        <x:v>COFFEYVILLE REGIONAL MEDICAL CENTER, INC</x:v>
      </x:c>
      <x:c r="C4410" s="2" t="str">
        <x:v>COFFEYVILLE</x:v>
      </x:c>
      <x:c r="D4410" s="2" t="str">
        <x:v>KS</x:v>
      </x:c>
      <x:c r="E4410" s="2" t="str">
        <x:v>Critical Access Hospitals</x:v>
      </x:c>
      <x:c r="F4410" s="2" t="str">
        <x:v>Voluntary non-profit</x:v>
      </x:c>
      <x:c r="G4410" s="2" t="str">
        <x:v>Small (&lt;100 beds)</x:v>
      </x:c>
      <x:c r="H4410" s="7"/>
      <x:c r="I4410" s="7" t="n">
        <x:v>4</x:v>
      </x:c>
      <x:c r="J4410" s="7"/>
      <x:c r="K4410" s="8" t="n">
        <x:v>25</x:v>
      </x:c>
      <x:c r="L4410" s="8" t="n">
        <x:v>1015</x:v>
      </x:c>
      <x:c r="M4410" s="9" t="n">
        <x:v>0.2954566745</x:v>
      </x:c>
      <x:c r="N4410" s="10" t="n">
        <x:v>62653.0078817734</x:v>
      </x:c>
      <x:c r="O4410" s="9" t="n">
        <x:v>-0.2064157965</x:v>
      </x:c>
      <x:c r="P4410" s="9" t="n">
        <x:v>0.1063197026</x:v>
      </x:c>
      <x:c r="Q4410" s="9" t="n">
        <x:v>0.292936803</x:v>
      </x:c>
      <x:c r="R4410" s="3" t="b">
        <x:v>0</x:v>
      </x:c>
      <x:c r="S4410" s="3" t="b">
        <x:v>0</x:v>
      </x:c>
      <x:c r="T4410" s="3" t="b">
        <x:v>0</x:v>
      </x:c>
      <x:c r="U4410" s="2" t="str">
        <x:f>IF(T4410=TRUE,"Priority review",IF(R4410=TRUE,"High cost",IF(S4410=TRUE,"Low quality","Benchmark")))</x:f>
        <x:v>Benchmark</x:v>
      </x:c>
    </x:row>
    <x:row r="4411">
      <x:c r="A4411" s="2" t="str">
        <x:v>160047</x:v>
      </x:c>
      <x:c r="B4411" s="2" t="str">
        <x:v>METHODIST JENNIE EDMUNDSON</x:v>
      </x:c>
      <x:c r="C4411" s="2" t="str">
        <x:v>COUNCIL BLUFFS</x:v>
      </x:c>
      <x:c r="D4411" s="2" t="str">
        <x:v>IA</x:v>
      </x:c>
      <x:c r="E4411" s="2" t="str">
        <x:v>Acute Care Hospitals</x:v>
      </x:c>
      <x:c r="F4411" s="2" t="str">
        <x:v>Voluntary non-profit</x:v>
      </x:c>
      <x:c r="G4411" s="2" t="str">
        <x:v>Medium (100-299 beds)</x:v>
      </x:c>
      <x:c r="H4411" s="7" t="n">
        <x:v>3</x:v>
      </x:c>
      <x:c r="I4411" s="7" t="n">
        <x:v>4</x:v>
      </x:c>
      <x:c r="J4411" s="7" t="n">
        <x:v>0.95</x:v>
      </x:c>
      <x:c r="K4411" s="8" t="n">
        <x:v>117</x:v>
      </x:c>
      <x:c r="L4411" s="8" t="n">
        <x:v>7559</x:v>
      </x:c>
      <x:c r="M4411" s="9" t="n">
        <x:v>0.6565550418</x:v>
      </x:c>
      <x:c r="N4411" s="10" t="n">
        <x:v>20097.3062574415</x:v>
      </x:c>
      <x:c r="O4411" s="9" t="n">
        <x:v>0.0305202491</x:v>
      </x:c>
      <x:c r="P4411" s="9" t="n">
        <x:v>0.1059494703</x:v>
      </x:c>
      <x:c r="Q4411" s="9" t="n">
        <x:v>0.3023634882</x:v>
      </x:c>
      <x:c r="R4411" s="3" t="b">
        <x:v>0</x:v>
      </x:c>
      <x:c r="S4411" s="3" t="b">
        <x:v>0</x:v>
      </x:c>
      <x:c r="T4411" s="3" t="b">
        <x:v>0</x:v>
      </x:c>
      <x:c r="U4411" s="2" t="str">
        <x:f>IF(T4411=TRUE,"Priority review",IF(R4411=TRUE,"High cost",IF(S4411=TRUE,"Low quality","Benchmark")))</x:f>
        <x:v>Benchmark</x:v>
      </x:c>
    </x:row>
    <x:row r="4412">
      <x:c r="A4412" s="2" t="str">
        <x:v>180002</x:v>
      </x:c>
      <x:c r="B4412" s="2" t="str">
        <x:v>WHITESBURG ARH HOSPITAL</x:v>
      </x:c>
      <x:c r="C4412" s="2" t="str">
        <x:v>WHITESBURG</x:v>
      </x:c>
      <x:c r="D4412" s="2" t="str">
        <x:v>KY</x:v>
      </x:c>
      <x:c r="E4412" s="2" t="str">
        <x:v>Acute Care Hospitals</x:v>
      </x:c>
      <x:c r="F4412" s="2" t="str">
        <x:v>Voluntary non-profit</x:v>
      </x:c>
      <x:c r="G4412" s="2" t="str">
        <x:v>Small (&lt;100 beds)</x:v>
      </x:c>
      <x:c r="H4412" s="7" t="n">
        <x:v>3</x:v>
      </x:c>
      <x:c r="I4412" s="7" t="n">
        <x:v>4</x:v>
      </x:c>
      <x:c r="J4412" s="7" t="n">
        <x:v>0.91</x:v>
      </x:c>
      <x:c r="K4412" s="8" t="n">
        <x:v>90</x:v>
      </x:c>
      <x:c r="L4412" s="8" t="n">
        <x:v>2486</x:v>
      </x:c>
      <x:c r="M4412" s="9" t="n">
        <x:v>0.2585388128</x:v>
      </x:c>
      <x:c r="N4412" s="10" t="n">
        <x:v>26809.317377313</x:v>
      </x:c>
      <x:c r="O4412" s="9" t="n">
        <x:v>-0.0806717499</x:v>
      </x:c>
      <x:c r="P4412" s="9" t="n">
        <x:v>0.1059245961</x:v>
      </x:c>
      <x:c r="Q4412" s="9" t="n">
        <x:v>0.1687612208</x:v>
      </x:c>
      <x:c r="R4412" s="3" t="b">
        <x:v>0</x:v>
      </x:c>
      <x:c r="S4412" s="3" t="b">
        <x:v>0</x:v>
      </x:c>
      <x:c r="T4412" s="3" t="b">
        <x:v>0</x:v>
      </x:c>
      <x:c r="U4412" s="2" t="str">
        <x:f>IF(T4412=TRUE,"Priority review",IF(R4412=TRUE,"High cost",IF(S4412=TRUE,"Low quality","Benchmark")))</x:f>
        <x:v>Benchmark</x:v>
      </x:c>
    </x:row>
    <x:row r="4413">
      <x:c r="A4413" s="2" t="str">
        <x:v>100084</x:v>
      </x:c>
      <x:c r="B4413" s="2" t="str">
        <x:v>UF HEALTH LEESBURG HOSPITAL</x:v>
      </x:c>
      <x:c r="C4413" s="2" t="str">
        <x:v>LEESBURG</x:v>
      </x:c>
      <x:c r="D4413" s="2" t="str">
        <x:v>FL</x:v>
      </x:c>
      <x:c r="E4413" s="2" t="str">
        <x:v>Acute Care Hospitals</x:v>
      </x:c>
      <x:c r="F4413" s="2" t="str">
        <x:v>Voluntary non-profit</x:v>
      </x:c>
      <x:c r="G4413" s="2" t="str">
        <x:v>Large (300+ beds)</x:v>
      </x:c>
      <x:c r="H4413" s="7" t="n">
        <x:v>3</x:v>
      </x:c>
      <x:c r="I4413" s="7" t="n">
        <x:v>3</x:v>
      </x:c>
      <x:c r="J4413" s="7" t="n">
        <x:v>1.04</x:v>
      </x:c>
      <x:c r="K4413" s="8" t="n">
        <x:v>330</x:v>
      </x:c>
      <x:c r="L4413" s="8" t="n">
        <x:v>14130</x:v>
      </x:c>
      <x:c r="M4413" s="9" t="n">
        <x:v>0.6602324616</x:v>
      </x:c>
      <x:c r="N4413" s="10" t="n">
        <x:v>23036.6554847841</x:v>
      </x:c>
      <x:c r="O4413" s="9" t="n">
        <x:v>-0.0088821741</x:v>
      </x:c>
      <x:c r="P4413" s="9" t="n">
        <x:v>0.1056782334</x:v>
      </x:c>
      <x:c r="Q4413" s="9" t="n">
        <x:v>0.2570977918</x:v>
      </x:c>
      <x:c r="R4413" s="3" t="b">
        <x:v>0</x:v>
      </x:c>
      <x:c r="S4413" s="3" t="b">
        <x:v>0</x:v>
      </x:c>
      <x:c r="T4413" s="3" t="b">
        <x:v>0</x:v>
      </x:c>
      <x:c r="U4413" s="2" t="str">
        <x:f>IF(T4413=TRUE,"Priority review",IF(R4413=TRUE,"High cost",IF(S4413=TRUE,"Low quality","Benchmark")))</x:f>
        <x:v>Benchmark</x:v>
      </x:c>
    </x:row>
    <x:row r="4414">
      <x:c r="A4414" s="2" t="str">
        <x:v>361319</x:v>
      </x:c>
      <x:c r="B4414" s="2" t="str">
        <x:v>SELBY GENERAL HOSPITAL</x:v>
      </x:c>
      <x:c r="C4414" s="2" t="str">
        <x:v>MARIETTA</x:v>
      </x:c>
      <x:c r="D4414" s="2" t="str">
        <x:v>OH</x:v>
      </x:c>
      <x:c r="E4414" s="2" t="str">
        <x:v>Critical Access Hospitals</x:v>
      </x:c>
      <x:c r="F4414" s="2" t="str">
        <x:v>Voluntary non-profit</x:v>
      </x:c>
      <x:c r="G4414" s="2" t="str">
        <x:v>Small (&lt;100 beds)</x:v>
      </x:c>
      <x:c r="H4414" s="7"/>
      <x:c r="I4414" s="7" t="n">
        <x:v>4</x:v>
      </x:c>
      <x:c r="J4414" s="7"/>
      <x:c r="K4414" s="8" t="n">
        <x:v>25</x:v>
      </x:c>
      <x:c r="L4414" s="8" t="n">
        <x:v>1235</x:v>
      </x:c>
      <x:c r="M4414" s="9" t="n">
        <x:v>0.4650273224</x:v>
      </x:c>
      <x:c r="N4414" s="10" t="n">
        <x:v>62515.0340080972</x:v>
      </x:c>
      <x:c r="O4414" s="9" t="n">
        <x:v>0.098378387</x:v>
      </x:c>
      <x:c r="P4414" s="9" t="n">
        <x:v>0.1055762082</x:v>
      </x:c>
      <x:c r="Q4414" s="9" t="n">
        <x:v>0.292936803</x:v>
      </x:c>
      <x:c r="R4414" s="3" t="b">
        <x:v>0</x:v>
      </x:c>
      <x:c r="S4414" s="3" t="b">
        <x:v>0</x:v>
      </x:c>
      <x:c r="T4414" s="3" t="b">
        <x:v>0</x:v>
      </x:c>
      <x:c r="U4414" s="2" t="str">
        <x:f>IF(T4414=TRUE,"Priority review",IF(R4414=TRUE,"High cost",IF(S4414=TRUE,"Low quality","Benchmark")))</x:f>
        <x:v>Benchmark</x:v>
      </x:c>
    </x:row>
    <x:row r="4415">
      <x:c r="A4415" s="2" t="str">
        <x:v>100023</x:v>
      </x:c>
      <x:c r="B4415" s="2" t="str">
        <x:v>HCA FLORIDA CITRUS HOSPITAL</x:v>
      </x:c>
      <x:c r="C4415" s="2" t="str">
        <x:v>INVERNESS</x:v>
      </x:c>
      <x:c r="D4415" s="2" t="str">
        <x:v>FL</x:v>
      </x:c>
      <x:c r="E4415" s="2" t="str">
        <x:v>Acute Care Hospitals</x:v>
      </x:c>
      <x:c r="F4415" s="2" t="str">
        <x:v>Government</x:v>
      </x:c>
      <x:c r="G4415" s="2" t="str">
        <x:v>Medium (100-299 beds)</x:v>
      </x:c>
      <x:c r="H4415" s="7" t="n">
        <x:v>2</x:v>
      </x:c>
      <x:c r="I4415" s="7" t="n">
        <x:v>2</x:v>
      </x:c>
      <x:c r="J4415" s="7" t="n">
        <x:v>1</x:v>
      </x:c>
      <x:c r="K4415" s="8" t="n">
        <x:v>204</x:v>
      </x:c>
      <x:c r="L4415" s="8" t="n">
        <x:v>12074</x:v>
      </x:c>
      <x:c r="M4415" s="9" t="n">
        <x:v>0.697940105</x:v>
      </x:c>
      <x:c r="N4415" s="10" t="n">
        <x:v>20063.527745569</x:v>
      </x:c>
      <x:c r="O4415" s="9" t="n">
        <x:v>0.077201168</x:v>
      </x:c>
      <x:c r="P4415" s="9" t="n">
        <x:v>0.1051344743</x:v>
      </x:c>
      <x:c r="Q4415" s="9" t="n">
        <x:v>0.0782396088</x:v>
      </x:c>
      <x:c r="R4415" s="3" t="b">
        <x:v>0</x:v>
      </x:c>
      <x:c r="S4415" s="3" t="b">
        <x:v>1</x:v>
      </x:c>
      <x:c r="T4415" s="3" t="b">
        <x:v>0</x:v>
      </x:c>
      <x:c r="U4415" s="2" t="str">
        <x:f>IF(T4415=TRUE,"Priority review",IF(R4415=TRUE,"High cost",IF(S4415=TRUE,"Low quality","Benchmark")))</x:f>
        <x:v>Low quality</x:v>
      </x:c>
    </x:row>
    <x:row r="4416">
      <x:c r="A4416" s="2" t="str">
        <x:v>040161</x:v>
      </x:c>
      <x:c r="B4416" s="2" t="str">
        <x:v>ARKANSAS HEART HOSPITAL-ENCORE</x:v>
      </x:c>
      <x:c r="C4416" s="2" t="str">
        <x:v>BRYANT</x:v>
      </x:c>
      <x:c r="D4416" s="2" t="str">
        <x:v>AR</x:v>
      </x:c>
      <x:c r="E4416" s="2" t="str">
        <x:v>Acute Care Hospitals</x:v>
      </x:c>
      <x:c r="F4416" s="2" t="str">
        <x:v>Proprietary</x:v>
      </x:c>
      <x:c r="G4416" s="2" t="str">
        <x:v>Small (&lt;100 beds)</x:v>
      </x:c>
      <x:c r="H4416" s="7" t="n">
        <x:v>2</x:v>
      </x:c>
      <x:c r="I4416" s="7" t="n">
        <x:v>4</x:v>
      </x:c>
      <x:c r="J4416" s="7" t="n">
        <x:v>0.99</x:v>
      </x:c>
      <x:c r="K4416" s="8" t="n">
        <x:v>33</x:v>
      </x:c>
      <x:c r="L4416" s="8" t="n">
        <x:v>2401</x:v>
      </x:c>
      <x:c r="M4416" s="9" t="n">
        <x:v>0.5129160457</x:v>
      </x:c>
      <x:c r="N4416" s="10" t="n">
        <x:v>26797.4739691795</x:v>
      </x:c>
      <x:c r="O4416" s="9" t="n">
        <x:v>-0.0941367203</x:v>
      </x:c>
      <x:c r="P4416" s="9" t="n">
        <x:v>0.10502693</x:v>
      </x:c>
      <x:c r="Q4416" s="9" t="n">
        <x:v>0.0350089767</x:v>
      </x:c>
      <x:c r="R4416" s="3" t="b">
        <x:v>0</x:v>
      </x:c>
      <x:c r="S4416" s="3" t="b">
        <x:v>1</x:v>
      </x:c>
      <x:c r="T4416" s="3" t="b">
        <x:v>0</x:v>
      </x:c>
      <x:c r="U4416" s="2" t="str">
        <x:f>IF(T4416=TRUE,"Priority review",IF(R4416=TRUE,"High cost",IF(S4416=TRUE,"Low quality","Benchmark")))</x:f>
        <x:v>Low quality</x:v>
      </x:c>
    </x:row>
    <x:row r="4417">
      <x:c r="A4417" s="2" t="str">
        <x:v>141336</x:v>
      </x:c>
      <x:c r="B4417" s="2" t="str">
        <x:v>ST JOSEPH'S HOSPITAL</x:v>
      </x:c>
      <x:c r="C4417" s="2" t="str">
        <x:v>HIGHLAND</x:v>
      </x:c>
      <x:c r="D4417" s="2" t="str">
        <x:v>IL</x:v>
      </x:c>
      <x:c r="E4417" s="2" t="str">
        <x:v>Critical Access Hospitals</x:v>
      </x:c>
      <x:c r="F4417" s="2" t="str">
        <x:v>Voluntary non-profit</x:v>
      </x:c>
      <x:c r="G4417" s="2" t="str">
        <x:v>Small (&lt;100 beds)</x:v>
      </x:c>
      <x:c r="H4417" s="7" t="n">
        <x:v>3</x:v>
      </x:c>
      <x:c r="I4417" s="7" t="n">
        <x:v>4</x:v>
      </x:c>
      <x:c r="J4417" s="7"/>
      <x:c r="K4417" s="8" t="n">
        <x:v>25</x:v>
      </x:c>
      <x:c r="L4417" s="8" t="n">
        <x:v>733</x:v>
      </x:c>
      <x:c r="M4417" s="9" t="n">
        <x:v>0.7229589041</x:v>
      </x:c>
      <x:c r="N4417" s="10" t="n">
        <x:v>62280.1814461119</x:v>
      </x:c>
      <x:c r="O4417" s="9" t="n">
        <x:v>0.2003424954</x:v>
      </x:c>
      <x:c r="P4417" s="9" t="n">
        <x:v>0.1048327138</x:v>
      </x:c>
      <x:c r="Q4417" s="9" t="n">
        <x:v>0.0765799257</x:v>
      </x:c>
      <x:c r="R4417" s="3" t="b">
        <x:v>0</x:v>
      </x:c>
      <x:c r="S4417" s="3" t="b">
        <x:v>1</x:v>
      </x:c>
      <x:c r="T4417" s="3" t="b">
        <x:v>0</x:v>
      </x:c>
      <x:c r="U4417" s="2" t="str">
        <x:f>IF(T4417=TRUE,"Priority review",IF(R4417=TRUE,"High cost",IF(S4417=TRUE,"Low quality","Benchmark")))</x:f>
        <x:v>Low quality</x:v>
      </x:c>
    </x:row>
    <x:row r="4418">
      <x:c r="A4418" s="2" t="str">
        <x:v>114012</x:v>
      </x:c>
      <x:c r="B4418" s="2" t="str">
        <x:v>RIDGEVIEW INSTITUTE</x:v>
      </x:c>
      <x:c r="C4418" s="2" t="str">
        <x:v>SMYRNA</x:v>
      </x:c>
      <x:c r="D4418" s="2" t="str">
        <x:v>GA</x:v>
      </x:c>
      <x:c r="E4418" s="2" t="str">
        <x:v>Psychiatric</x:v>
      </x:c>
      <x:c r="F4418" s="2" t="str">
        <x:v>Proprietary</x:v>
      </x:c>
      <x:c r="G4418" s="2" t="str">
        <x:v>Medium (100-299 beds)</x:v>
      </x:c>
      <x:c r="H4418" s="7"/>
      <x:c r="I4418" s="7"/>
      <x:c r="J4418" s="7"/>
      <x:c r="K4418" s="8" t="n">
        <x:v>188</x:v>
      </x:c>
      <x:c r="L4418" s="8" t="n">
        <x:v>5709</x:v>
      </x:c>
      <x:c r="M4418" s="9" t="n">
        <x:v>0.7263690269</x:v>
      </x:c>
      <x:c r="N4418" s="10" t="n">
        <x:v>5771.112629182</x:v>
      </x:c>
      <x:c r="O4418" s="9" t="n">
        <x:v>0.2778480701</x:v>
      </x:c>
      <x:c r="P4418" s="9" t="n">
        <x:v>0.1044776119</x:v>
      </x:c>
      <x:c r="Q4418" s="9" t="n">
        <x:v>0</x:v>
      </x:c>
      <x:c r="R4418" s="3" t="b">
        <x:v>0</x:v>
      </x:c>
      <x:c r="S4418" s="3" t="b">
        <x:v>0</x:v>
      </x:c>
      <x:c r="T4418" s="3" t="b">
        <x:v>0</x:v>
      </x:c>
      <x:c r="U4418" s="2" t="str">
        <x:f>IF(T4418=TRUE,"Priority review",IF(R4418=TRUE,"High cost",IF(S4418=TRUE,"Low quality","Benchmark")))</x:f>
        <x:v>Benchmark</x:v>
      </x:c>
    </x:row>
    <x:row r="4419">
      <x:c r="A4419" s="2" t="str">
        <x:v>260200</x:v>
      </x:c>
      <x:c r="B4419" s="2" t="str">
        <x:v>SSM ST JOSEPH HOSPITAL WEST</x:v>
      </x:c>
      <x:c r="C4419" s="2" t="str">
        <x:v>LAKE SAINT LOUIS</x:v>
      </x:c>
      <x:c r="D4419" s="2" t="str">
        <x:v>MO</x:v>
      </x:c>
      <x:c r="E4419" s="2" t="str">
        <x:v>Acute Care Hospitals</x:v>
      </x:c>
      <x:c r="F4419" s="2" t="str">
        <x:v>Voluntary non-profit</x:v>
      </x:c>
      <x:c r="G4419" s="2" t="str">
        <x:v>Medium (100-299 beds)</x:v>
      </x:c>
      <x:c r="H4419" s="7" t="n">
        <x:v>3</x:v>
      </x:c>
      <x:c r="I4419" s="7" t="n">
        <x:v>3</x:v>
      </x:c>
      <x:c r="J4419" s="7" t="n">
        <x:v>1.02</x:v>
      </x:c>
      <x:c r="K4419" s="8" t="n">
        <x:v>215</x:v>
      </x:c>
      <x:c r="L4419" s="8" t="n">
        <x:v>11884</x:v>
      </x:c>
      <x:c r="M4419" s="9" t="n">
        <x:v>0.5637565129</x:v>
      </x:c>
      <x:c r="N4419" s="10" t="n">
        <x:v>20031.4718949849</x:v>
      </x:c>
      <x:c r="O4419" s="9" t="n">
        <x:v>0.0482510742</x:v>
      </x:c>
      <x:c r="P4419" s="9" t="n">
        <x:v>0.1043194784</x:v>
      </x:c>
      <x:c r="Q4419" s="9" t="n">
        <x:v>0.3023634882</x:v>
      </x:c>
      <x:c r="R4419" s="3" t="b">
        <x:v>0</x:v>
      </x:c>
      <x:c r="S4419" s="3" t="b">
        <x:v>0</x:v>
      </x:c>
      <x:c r="T4419" s="3" t="b">
        <x:v>0</x:v>
      </x:c>
      <x:c r="U4419" s="2" t="str">
        <x:f>IF(T4419=TRUE,"Priority review",IF(R4419=TRUE,"High cost",IF(S4419=TRUE,"Low quality","Benchmark")))</x:f>
        <x:v>Benchmark</x:v>
      </x:c>
    </x:row>
    <x:row r="4420">
      <x:c r="A4420" s="2" t="str">
        <x:v>450867</x:v>
      </x:c>
      <x:c r="B4420" s="2" t="str">
        <x:v>ASCENSION SETON NORTHWEST</x:v>
      </x:c>
      <x:c r="C4420" s="2" t="str">
        <x:v>AUSTIN</x:v>
      </x:c>
      <x:c r="D4420" s="2" t="str">
        <x:v>TX</x:v>
      </x:c>
      <x:c r="E4420" s="2" t="str">
        <x:v>Acute Care Hospitals</x:v>
      </x:c>
      <x:c r="F4420" s="2" t="str">
        <x:v>Voluntary non-profit</x:v>
      </x:c>
      <x:c r="G4420" s="2" t="str">
        <x:v>Small (&lt;100 beds)</x:v>
      </x:c>
      <x:c r="H4420" s="7" t="n">
        <x:v>4</x:v>
      </x:c>
      <x:c r="I4420" s="7" t="n">
        <x:v>3</x:v>
      </x:c>
      <x:c r="J4420" s="7" t="n">
        <x:v>1.08</x:v>
      </x:c>
      <x:c r="K4420" s="8" t="n">
        <x:v>96</x:v>
      </x:c>
      <x:c r="L4420" s="8" t="n">
        <x:v>4636</x:v>
      </x:c>
      <x:c r="M4420" s="9" t="n">
        <x:v>0.5050228311</x:v>
      </x:c>
      <x:c r="N4420" s="10" t="n">
        <x:v>26723.8798533218</x:v>
      </x:c>
      <x:c r="O4420" s="9" t="n">
        <x:v>-0.001306204</x:v>
      </x:c>
      <x:c r="P4420" s="9" t="n">
        <x:v>0.1041292639</x:v>
      </x:c>
      <x:c r="Q4420" s="9" t="n">
        <x:v>0.3913824057</x:v>
      </x:c>
      <x:c r="R4420" s="3" t="b">
        <x:v>0</x:v>
      </x:c>
      <x:c r="S4420" s="3" t="b">
        <x:v>0</x:v>
      </x:c>
      <x:c r="T4420" s="3" t="b">
        <x:v>0</x:v>
      </x:c>
      <x:c r="U4420" s="2" t="str">
        <x:f>IF(T4420=TRUE,"Priority review",IF(R4420=TRUE,"High cost",IF(S4420=TRUE,"Low quality","Benchmark")))</x:f>
        <x:v>Benchmark</x:v>
      </x:c>
    </x:row>
    <x:row r="4421">
      <x:c r="A4421" s="2" t="str">
        <x:v>030093</x:v>
      </x:c>
      <x:c r="B4421" s="2" t="str">
        <x:v>BANNER DEL E. WEBB MEDICAL CENTER</x:v>
      </x:c>
      <x:c r="C4421" s="2" t="str">
        <x:v>SUN CITY WEST</x:v>
      </x:c>
      <x:c r="D4421" s="2" t="str">
        <x:v>AZ</x:v>
      </x:c>
      <x:c r="E4421" s="2" t="str">
        <x:v>Acute Care Hospitals</x:v>
      </x:c>
      <x:c r="F4421" s="2" t="str">
        <x:v>Voluntary non-profit</x:v>
      </x:c>
      <x:c r="G4421" s="2" t="str">
        <x:v>Large (300+ beds)</x:v>
      </x:c>
      <x:c r="H4421" s="7" t="n">
        <x:v>3</x:v>
      </x:c>
      <x:c r="I4421" s="7" t="n">
        <x:v>2</x:v>
      </x:c>
      <x:c r="J4421" s="7" t="n">
        <x:v>0.96</x:v>
      </x:c>
      <x:c r="K4421" s="8" t="n">
        <x:v>337</x:v>
      </x:c>
      <x:c r="L4421" s="8" t="n">
        <x:v>16917</x:v>
      </x:c>
      <x:c r="M4421" s="9" t="n">
        <x:v>0.6147869181</x:v>
      </x:c>
      <x:c r="N4421" s="10" t="n">
        <x:v>22876.2828515694</x:v>
      </x:c>
      <x:c r="O4421" s="9" t="n">
        <x:v>0.0189595277</x:v>
      </x:c>
      <x:c r="P4421" s="9" t="n">
        <x:v>0.1041009464</x:v>
      </x:c>
      <x:c r="Q4421" s="9" t="n">
        <x:v>0.2570977918</x:v>
      </x:c>
      <x:c r="R4421" s="3" t="b">
        <x:v>0</x:v>
      </x:c>
      <x:c r="S4421" s="3" t="b">
        <x:v>0</x:v>
      </x:c>
      <x:c r="T4421" s="3" t="b">
        <x:v>0</x:v>
      </x:c>
      <x:c r="U4421" s="2" t="str">
        <x:f>IF(T4421=TRUE,"Priority review",IF(R4421=TRUE,"High cost",IF(S4421=TRUE,"Low quality","Benchmark")))</x:f>
        <x:v>Benchmark</x:v>
      </x:c>
    </x:row>
    <x:row r="4422">
      <x:c r="A4422" s="2" t="str">
        <x:v>361310</x:v>
      </x:c>
      <x:c r="B4422" s="2" t="str">
        <x:v>MERCY HEALTH - WILLARD HOSPITAL</x:v>
      </x:c>
      <x:c r="C4422" s="2" t="str">
        <x:v>WILLARD</x:v>
      </x:c>
      <x:c r="D4422" s="2" t="str">
        <x:v>OH</x:v>
      </x:c>
      <x:c r="E4422" s="2" t="str">
        <x:v>Critical Access Hospitals</x:v>
      </x:c>
      <x:c r="F4422" s="2" t="str">
        <x:v>Voluntary non-profit</x:v>
      </x:c>
      <x:c r="G4422" s="2" t="str">
        <x:v>Small (&lt;100 beds)</x:v>
      </x:c>
      <x:c r="H4422" s="7"/>
      <x:c r="I4422" s="7"/>
      <x:c r="J4422" s="7"/>
      <x:c r="K4422" s="8" t="n">
        <x:v>20</x:v>
      </x:c>
      <x:c r="L4422" s="8" t="n">
        <x:v>453</x:v>
      </x:c>
      <x:c r="M4422" s="9" t="n">
        <x:v>0.2840163934</x:v>
      </x:c>
      <x:c r="N4422" s="10" t="n">
        <x:v>62120.2604856512</x:v>
      </x:c>
      <x:c r="O4422" s="9" t="n">
        <x:v>0.1264886573</x:v>
      </x:c>
      <x:c r="P4422" s="9" t="n">
        <x:v>0.1040892193</x:v>
      </x:c>
      <x:c r="Q4422" s="9" t="n">
        <x:v>0.292936803</x:v>
      </x:c>
      <x:c r="R4422" s="3" t="b">
        <x:v>0</x:v>
      </x:c>
      <x:c r="S4422" s="3" t="b">
        <x:v>0</x:v>
      </x:c>
      <x:c r="T4422" s="3" t="b">
        <x:v>0</x:v>
      </x:c>
      <x:c r="U4422" s="2" t="str">
        <x:f>IF(T4422=TRUE,"Priority review",IF(R4422=TRUE,"High cost",IF(S4422=TRUE,"Low quality","Benchmark")))</x:f>
        <x:v>Benchmark</x:v>
      </x:c>
    </x:row>
    <x:row r="4423">
      <x:c r="A4423" s="2" t="str">
        <x:v>454121</x:v>
      </x:c>
      <x:c r="B4423" s="2" t="str">
        <x:v>AUSTIN OAKS HOSPITAL</x:v>
      </x:c>
      <x:c r="C4423" s="2" t="str">
        <x:v>AUSTIN</x:v>
      </x:c>
      <x:c r="D4423" s="2" t="str">
        <x:v>TX</x:v>
      </x:c>
      <x:c r="E4423" s="2" t="str">
        <x:v>Psychiatric</x:v>
      </x:c>
      <x:c r="F4423" s="2" t="str">
        <x:v>Proprietary</x:v>
      </x:c>
      <x:c r="G4423" s="2" t="str">
        <x:v>Small (&lt;100 beds)</x:v>
      </x:c>
      <x:c r="H4423" s="7"/>
      <x:c r="I4423" s="7"/>
      <x:c r="J4423" s="7"/>
      <x:c r="K4423" s="8" t="n">
        <x:v>80</x:v>
      </x:c>
      <x:c r="L4423" s="8" t="n">
        <x:v>2956</x:v>
      </x:c>
      <x:c r="M4423" s="9" t="n">
        <x:v>0.6465068493</x:v>
      </x:c>
      <x:c r="N4423" s="10" t="n">
        <x:v>6817.9580514208</x:v>
      </x:c>
      <x:c r="O4423" s="9" t="n">
        <x:v>-0.0488706049</x:v>
      </x:c>
      <x:c r="P4423" s="9" t="n">
        <x:v>0.1035598706</x:v>
      </x:c>
      <x:c r="Q4423" s="9" t="n">
        <x:v>0</x:v>
      </x:c>
      <x:c r="R4423" s="3" t="b">
        <x:v>0</x:v>
      </x:c>
      <x:c r="S4423" s="3" t="b">
        <x:v>0</x:v>
      </x:c>
      <x:c r="T4423" s="3" t="b">
        <x:v>0</x:v>
      </x:c>
      <x:c r="U4423" s="2" t="str">
        <x:f>IF(T4423=TRUE,"Priority review",IF(R4423=TRUE,"High cost",IF(S4423=TRUE,"Low quality","Benchmark")))</x:f>
        <x:v>Benchmark</x:v>
      </x:c>
    </x:row>
    <x:row r="4424">
      <x:c r="A4424" s="2" t="str">
        <x:v>100236</x:v>
      </x:c>
      <x:c r="B4424" s="2" t="str">
        <x:v>HCA FLORIDA FAWCETT HOSPITAL</x:v>
      </x:c>
      <x:c r="C4424" s="2" t="str">
        <x:v>PORT CHARLOTTE</x:v>
      </x:c>
      <x:c r="D4424" s="2" t="str">
        <x:v>FL</x:v>
      </x:c>
      <x:c r="E4424" s="2" t="str">
        <x:v>Acute Care Hospitals</x:v>
      </x:c>
      <x:c r="F4424" s="2" t="str">
        <x:v>Proprietary</x:v>
      </x:c>
      <x:c r="G4424" s="2" t="str">
        <x:v>Medium (100-299 beds)</x:v>
      </x:c>
      <x:c r="H4424" s="7" t="n">
        <x:v>1</x:v>
      </x:c>
      <x:c r="I4424" s="7" t="n">
        <x:v>1</x:v>
      </x:c>
      <x:c r="J4424" s="7" t="n">
        <x:v>0.99</x:v>
      </x:c>
      <x:c r="K4424" s="8" t="n">
        <x:v>239</x:v>
      </x:c>
      <x:c r="L4424" s="8" t="n">
        <x:v>12214</x:v>
      </x:c>
      <x:c r="M4424" s="9" t="n">
        <x:v>0.6440163655</x:v>
      </x:c>
      <x:c r="N4424" s="10" t="n">
        <x:v>20012.3132470935</x:v>
      </x:c>
      <x:c r="O4424" s="9" t="n">
        <x:v>0.130797544</x:v>
      </x:c>
      <x:c r="P4424" s="9" t="n">
        <x:v>0.1035044825</x:v>
      </x:c>
      <x:c r="Q4424" s="9" t="n">
        <x:v>0</x:v>
      </x:c>
      <x:c r="R4424" s="3" t="b">
        <x:v>0</x:v>
      </x:c>
      <x:c r="S4424" s="3" t="b">
        <x:v>1</x:v>
      </x:c>
      <x:c r="T4424" s="3" t="b">
        <x:v>0</x:v>
      </x:c>
      <x:c r="U4424" s="2" t="str">
        <x:f>IF(T4424=TRUE,"Priority review",IF(R4424=TRUE,"High cost",IF(S4424=TRUE,"Low quality","Benchmark")))</x:f>
        <x:v>Low quality</x:v>
      </x:c>
    </x:row>
    <x:row r="4425">
      <x:c r="A4425" s="2" t="str">
        <x:v>441303</x:v>
      </x:c>
      <x:c r="B4425" s="2" t="str">
        <x:v>ASCENSION SAINT THOMAS THREE RIVERS</x:v>
      </x:c>
      <x:c r="C4425" s="2" t="str">
        <x:v>WAVERLY</x:v>
      </x:c>
      <x:c r="D4425" s="2" t="str">
        <x:v>TN</x:v>
      </x:c>
      <x:c r="E4425" s="2" t="str">
        <x:v>Critical Access Hospitals</x:v>
      </x:c>
      <x:c r="F4425" s="2" t="str">
        <x:v>Voluntary non-profit</x:v>
      </x:c>
      <x:c r="G4425" s="2" t="str">
        <x:v>Small (&lt;100 beds)</x:v>
      </x:c>
      <x:c r="H4425" s="7"/>
      <x:c r="I4425" s="7"/>
      <x:c r="J4425" s="7"/>
      <x:c r="K4425" s="8" t="n">
        <x:v>25</x:v>
      </x:c>
      <x:c r="L4425" s="8" t="n">
        <x:v>226</x:v>
      </x:c>
      <x:c r="M4425" s="9" t="n">
        <x:v>0.2990684932</x:v>
      </x:c>
      <x:c r="N4425" s="10" t="n">
        <x:v>61966.5840707965</x:v>
      </x:c>
      <x:c r="O4425" s="9" t="n">
        <x:v>-0.2216095858</x:v>
      </x:c>
      <x:c r="P4425" s="9" t="n">
        <x:v>0.1033457249</x:v>
      </x:c>
      <x:c r="Q4425" s="9" t="n">
        <x:v>0.292936803</x:v>
      </x:c>
      <x:c r="R4425" s="3" t="b">
        <x:v>0</x:v>
      </x:c>
      <x:c r="S4425" s="3" t="b">
        <x:v>0</x:v>
      </x:c>
      <x:c r="T4425" s="3" t="b">
        <x:v>0</x:v>
      </x:c>
      <x:c r="U4425" s="2" t="str">
        <x:f>IF(T4425=TRUE,"Priority review",IF(R4425=TRUE,"High cost",IF(S4425=TRUE,"Low quality","Benchmark")))</x:f>
        <x:v>Benchmark</x:v>
      </x:c>
    </x:row>
    <x:row r="4426">
      <x:c r="A4426" s="2" t="str">
        <x:v>400135</x:v>
      </x:c>
      <x:c r="B4426" s="2" t="str">
        <x:v>HOSPITAL  CENTRO COMPRENSIVO DEL CANCER</x:v>
      </x:c>
      <x:c r="C4426" s="2" t="str">
        <x:v>SAN JUAN</x:v>
      </x:c>
      <x:c r="D4426" s="2" t="str">
        <x:v>PR</x:v>
      </x:c>
      <x:c r="E4426" s="2" t="str">
        <x:v>Acute Care Hospitals</x:v>
      </x:c>
      <x:c r="F4426" s="2" t="str">
        <x:v>Government</x:v>
      </x:c>
      <x:c r="G4426" s="2" t="str">
        <x:v>Small (&lt;100 beds)</x:v>
      </x:c>
      <x:c r="H4426" s="7"/>
      <x:c r="I4426" s="7"/>
      <x:c r="J4426" s="7"/>
      <x:c r="K4426" s="8" t="n">
        <x:v>76</x:v>
      </x:c>
      <x:c r="L4426" s="8" t="n">
        <x:v>3020</x:v>
      </x:c>
      <x:c r="M4426" s="9" t="n">
        <x:v>0.6893294881</x:v>
      </x:c>
      <x:c r="N4426" s="10" t="n">
        <x:v>26715.8817880795</x:v>
      </x:c>
      <x:c r="O4426" s="9" t="n">
        <x:v>-0.7987770977</x:v>
      </x:c>
      <x:c r="P4426" s="9" t="n">
        <x:v>0.1032315978</x:v>
      </x:c>
      <x:c r="Q4426" s="9" t="n">
        <x:v>0.697486535</x:v>
      </x:c>
      <x:c r="R4426" s="3" t="b">
        <x:v>0</x:v>
      </x:c>
      <x:c r="S4426" s="3" t="b">
        <x:v>0</x:v>
      </x:c>
      <x:c r="T4426" s="3" t="b">
        <x:v>0</x:v>
      </x:c>
      <x:c r="U4426" s="2" t="str">
        <x:f>IF(T4426=TRUE,"Priority review",IF(R4426=TRUE,"High cost",IF(S4426=TRUE,"Low quality","Benchmark")))</x:f>
        <x:v>Benchmark</x:v>
      </x:c>
    </x:row>
    <x:row r="4427">
      <x:c r="A4427" s="2" t="str">
        <x:v>100046</x:v>
      </x:c>
      <x:c r="B4427" s="2" t="str">
        <x:v>Adventhealth Zephyrhills</x:v>
      </x:c>
      <x:c r="C4427" s="2" t="str">
        <x:v>ZEPHYRHILLS</x:v>
      </x:c>
      <x:c r="D4427" s="2" t="str">
        <x:v>FL</x:v>
      </x:c>
      <x:c r="E4427" s="2" t="str">
        <x:v>Acute Care Hospitals</x:v>
      </x:c>
      <x:c r="F4427" s="2" t="str">
        <x:v>Voluntary non-profit</x:v>
      </x:c>
      <x:c r="G4427" s="2" t="str">
        <x:v>Medium (100-299 beds)</x:v>
      </x:c>
      <x:c r="H4427" s="7" t="n">
        <x:v>4</x:v>
      </x:c>
      <x:c r="I4427" s="7" t="n">
        <x:v>3</x:v>
      </x:c>
      <x:c r="J4427" s="7" t="n">
        <x:v>0.98</x:v>
      </x:c>
      <x:c r="K4427" s="8" t="n">
        <x:v>149</x:v>
      </x:c>
      <x:c r="L4427" s="8" t="n">
        <x:v>12546</x:v>
      </x:c>
      <x:c r="M4427" s="9" t="n">
        <x:v>0.8695859464</x:v>
      </x:c>
      <x:c r="N4427" s="10" t="n">
        <x:v>19993.7759445241</x:v>
      </x:c>
      <x:c r="O4427" s="9" t="n">
        <x:v>0.1103741261</x:v>
      </x:c>
      <x:c r="P4427" s="9" t="n">
        <x:v>0.1026894866</x:v>
      </x:c>
      <x:c r="Q4427" s="9" t="n">
        <x:v>0.6022819886</x:v>
      </x:c>
      <x:c r="R4427" s="3" t="b">
        <x:v>0</x:v>
      </x:c>
      <x:c r="S4427" s="3" t="b">
        <x:v>0</x:v>
      </x:c>
      <x:c r="T4427" s="3" t="b">
        <x:v>0</x:v>
      </x:c>
      <x:c r="U4427" s="2" t="str">
        <x:f>IF(T4427=TRUE,"Priority review",IF(R4427=TRUE,"High cost",IF(S4427=TRUE,"Low quality","Benchmark")))</x:f>
        <x:v>Benchmark</x:v>
      </x:c>
    </x:row>
    <x:row r="4428">
      <x:c r="A4428" s="2" t="str">
        <x:v>261319</x:v>
      </x:c>
      <x:c r="B4428" s="2" t="str">
        <x:v>MERCY HOSPITAL LINCOLN</x:v>
      </x:c>
      <x:c r="C4428" s="2" t="str">
        <x:v>TROY</x:v>
      </x:c>
      <x:c r="D4428" s="2" t="str">
        <x:v>MO</x:v>
      </x:c>
      <x:c r="E4428" s="2" t="str">
        <x:v>Critical Access Hospitals</x:v>
      </x:c>
      <x:c r="F4428" s="2" t="str">
        <x:v>Government</x:v>
      </x:c>
      <x:c r="G4428" s="2" t="str">
        <x:v>Small (&lt;100 beds)</x:v>
      </x:c>
      <x:c r="H4428" s="7"/>
      <x:c r="I4428" s="7" t="n">
        <x:v>3</x:v>
      </x:c>
      <x:c r="J4428" s="7"/>
      <x:c r="K4428" s="8" t="n">
        <x:v>25</x:v>
      </x:c>
      <x:c r="L4428" s="8" t="n">
        <x:v>852</x:v>
      </x:c>
      <x:c r="M4428" s="9" t="n">
        <x:v>0.3442191781</x:v>
      </x:c>
      <x:c r="N4428" s="10" t="n">
        <x:v>61874.1314553991</x:v>
      </x:c>
      <x:c r="O4428" s="9" t="n">
        <x:v>0.1093985013</x:v>
      </x:c>
      <x:c r="P4428" s="9" t="n">
        <x:v>0.1026022305</x:v>
      </x:c>
      <x:c r="Q4428" s="9" t="n">
        <x:v>0.292936803</x:v>
      </x:c>
      <x:c r="R4428" s="3" t="b">
        <x:v>0</x:v>
      </x:c>
      <x:c r="S4428" s="3" t="b">
        <x:v>0</x:v>
      </x:c>
      <x:c r="T4428" s="3" t="b">
        <x:v>0</x:v>
      </x:c>
      <x:c r="U4428" s="2" t="str">
        <x:f>IF(T4428=TRUE,"Priority review",IF(R4428=TRUE,"High cost",IF(S4428=TRUE,"Low quality","Benchmark")))</x:f>
        <x:v>Benchmark</x:v>
      </x:c>
    </x:row>
    <x:row r="4429">
      <x:c r="A4429" s="2" t="str">
        <x:v>100258</x:v>
      </x:c>
      <x:c r="B4429" s="2" t="str">
        <x:v>DELRAY MEDICAL CENTER</x:v>
      </x:c>
      <x:c r="C4429" s="2" t="str">
        <x:v>DELRAY BEACH</x:v>
      </x:c>
      <x:c r="D4429" s="2" t="str">
        <x:v>FL</x:v>
      </x:c>
      <x:c r="E4429" s="2" t="str">
        <x:v>Acute Care Hospitals</x:v>
      </x:c>
      <x:c r="F4429" s="2" t="str">
        <x:v>Proprietary</x:v>
      </x:c>
      <x:c r="G4429" s="2" t="str">
        <x:v>Large (300+ beds)</x:v>
      </x:c>
      <x:c r="H4429" s="7" t="n">
        <x:v>1</x:v>
      </x:c>
      <x:c r="I4429" s="7" t="n">
        <x:v>1</x:v>
      </x:c>
      <x:c r="J4429" s="7" t="n">
        <x:v>1.02</x:v>
      </x:c>
      <x:c r="K4429" s="8" t="n">
        <x:v>352</x:v>
      </x:c>
      <x:c r="L4429" s="8" t="n">
        <x:v>20056</x:v>
      </x:c>
      <x:c r="M4429" s="9" t="n">
        <x:v>0.7213243346</x:v>
      </x:c>
      <x:c r="N4429" s="10" t="n">
        <x:v>22727.0459712804</x:v>
      </x:c>
      <x:c r="O4429" s="9" t="n">
        <x:v>0.0958314606</x:v>
      </x:c>
      <x:c r="P4429" s="9" t="n">
        <x:v>0.1025236593</x:v>
      </x:c>
      <x:c r="Q4429" s="9" t="n">
        <x:v>0</x:v>
      </x:c>
      <x:c r="R4429" s="3" t="b">
        <x:v>0</x:v>
      </x:c>
      <x:c r="S4429" s="3" t="b">
        <x:v>1</x:v>
      </x:c>
      <x:c r="T4429" s="3" t="b">
        <x:v>0</x:v>
      </x:c>
      <x:c r="U4429" s="2" t="str">
        <x:f>IF(T4429=TRUE,"Priority review",IF(R4429=TRUE,"High cost",IF(S4429=TRUE,"Low quality","Benchmark")))</x:f>
        <x:v>Low quality</x:v>
      </x:c>
    </x:row>
    <x:row r="4430">
      <x:c r="A4430" s="2" t="str">
        <x:v>390101</x:v>
      </x:c>
      <x:c r="B4430" s="2" t="str">
        <x:v>UPMC MEMORIAL</x:v>
      </x:c>
      <x:c r="C4430" s="2" t="str">
        <x:v>YORK</x:v>
      </x:c>
      <x:c r="D4430" s="2" t="str">
        <x:v>PA</x:v>
      </x:c>
      <x:c r="E4430" s="2" t="str">
        <x:v>Acute Care Hospitals</x:v>
      </x:c>
      <x:c r="F4430" s="2" t="str">
        <x:v>Voluntary non-profit</x:v>
      </x:c>
      <x:c r="G4430" s="2" t="str">
        <x:v>Small (&lt;100 beds)</x:v>
      </x:c>
      <x:c r="H4430" s="7" t="n">
        <x:v>4</x:v>
      </x:c>
      <x:c r="I4430" s="7" t="n">
        <x:v>3</x:v>
      </x:c>
      <x:c r="J4430" s="7" t="n">
        <x:v>1.1</x:v>
      </x:c>
      <x:c r="K4430" s="8" t="n">
        <x:v>81</x:v>
      </x:c>
      <x:c r="L4430" s="8" t="n">
        <x:v>6385</x:v>
      </x:c>
      <x:c r="M4430" s="9" t="n">
        <x:v>0.9008625063</x:v>
      </x:c>
      <x:c r="N4430" s="10" t="n">
        <x:v>26715.2125293657</x:v>
      </x:c>
      <x:c r="O4430" s="9" t="n">
        <x:v>0.2916640055</x:v>
      </x:c>
      <x:c r="P4430" s="9" t="n">
        <x:v>0.1023339318</x:v>
      </x:c>
      <x:c r="Q4430" s="9" t="n">
        <x:v>0.3913824057</x:v>
      </x:c>
      <x:c r="R4430" s="3" t="b">
        <x:v>0</x:v>
      </x:c>
      <x:c r="S4430" s="3" t="b">
        <x:v>0</x:v>
      </x:c>
      <x:c r="T4430" s="3" t="b">
        <x:v>0</x:v>
      </x:c>
      <x:c r="U4430" s="2" t="str">
        <x:f>IF(T4430=TRUE,"Priority review",IF(R4430=TRUE,"High cost",IF(S4430=TRUE,"Low quality","Benchmark")))</x:f>
        <x:v>Benchmark</x:v>
      </x:c>
    </x:row>
    <x:row r="4431">
      <x:c r="A4431" s="2" t="str">
        <x:v>360234</x:v>
      </x:c>
      <x:c r="B4431" s="2" t="str">
        <x:v>MERCY HEALTH - WEST HOSPITAL</x:v>
      </x:c>
      <x:c r="C4431" s="2" t="str">
        <x:v>CINCINNATI</x:v>
      </x:c>
      <x:c r="D4431" s="2" t="str">
        <x:v>OH</x:v>
      </x:c>
      <x:c r="E4431" s="2" t="str">
        <x:v>Acute Care Hospitals</x:v>
      </x:c>
      <x:c r="F4431" s="2" t="str">
        <x:v>Voluntary non-profit</x:v>
      </x:c>
      <x:c r="G4431" s="2" t="str">
        <x:v>Medium (100-299 beds)</x:v>
      </x:c>
      <x:c r="H4431" s="7" t="n">
        <x:v>4</x:v>
      </x:c>
      <x:c r="I4431" s="7" t="n">
        <x:v>3</x:v>
      </x:c>
      <x:c r="J4431" s="7" t="n">
        <x:v>0.95</x:v>
      </x:c>
      <x:c r="K4431" s="8" t="n">
        <x:v>206</x:v>
      </x:c>
      <x:c r="L4431" s="8" t="n">
        <x:v>13792</x:v>
      </x:c>
      <x:c r="M4431" s="9" t="n">
        <x:v>0.73389835</x:v>
      </x:c>
      <x:c r="N4431" s="10" t="n">
        <x:v>19976.223825406</x:v>
      </x:c>
      <x:c r="O4431" s="9" t="n">
        <x:v>0.0276082869</x:v>
      </x:c>
      <x:c r="P4431" s="9" t="n">
        <x:v>0.1018744906</x:v>
      </x:c>
      <x:c r="Q4431" s="9" t="n">
        <x:v>0.6022819886</x:v>
      </x:c>
      <x:c r="R4431" s="3" t="b">
        <x:v>0</x:v>
      </x:c>
      <x:c r="S4431" s="3" t="b">
        <x:v>0</x:v>
      </x:c>
      <x:c r="T4431" s="3" t="b">
        <x:v>0</x:v>
      </x:c>
      <x:c r="U4431" s="2" t="str">
        <x:f>IF(T4431=TRUE,"Priority review",IF(R4431=TRUE,"High cost",IF(S4431=TRUE,"Low quality","Benchmark")))</x:f>
        <x:v>Benchmark</x:v>
      </x:c>
    </x:row>
    <x:row r="4432">
      <x:c r="A4432" s="2" t="str">
        <x:v>151318</x:v>
      </x:c>
      <x:c r="B4432" s="2" t="str">
        <x:v>DUKES MEMORIAL HOSPITAL</x:v>
      </x:c>
      <x:c r="C4432" s="2" t="str">
        <x:v>PERU</x:v>
      </x:c>
      <x:c r="D4432" s="2" t="str">
        <x:v>IN</x:v>
      </x:c>
      <x:c r="E4432" s="2" t="str">
        <x:v>Critical Access Hospitals</x:v>
      </x:c>
      <x:c r="F4432" s="2" t="str">
        <x:v>Proprietary</x:v>
      </x:c>
      <x:c r="G4432" s="2" t="str">
        <x:v>Small (&lt;100 beds)</x:v>
      </x:c>
      <x:c r="H4432" s="7" t="n">
        <x:v>2</x:v>
      </x:c>
      <x:c r="I4432" s="7"/>
      <x:c r="J4432" s="7"/>
      <x:c r="K4432" s="8" t="n">
        <x:v>25</x:v>
      </x:c>
      <x:c r="L4432" s="8" t="n">
        <x:v>654</x:v>
      </x:c>
      <x:c r="M4432" s="9" t="n">
        <x:v>0.3591256831</x:v>
      </x:c>
      <x:c r="N4432" s="10" t="n">
        <x:v>61832.0229357798</x:v>
      </x:c>
      <x:c r="O4432" s="9" t="n">
        <x:v>-0.0156904506</x:v>
      </x:c>
      <x:c r="P4432" s="9" t="n">
        <x:v>0.1018587361</x:v>
      </x:c>
      <x:c r="Q4432" s="9" t="n">
        <x:v>0.0171003717</x:v>
      </x:c>
      <x:c r="R4432" s="3" t="b">
        <x:v>0</x:v>
      </x:c>
      <x:c r="S4432" s="3" t="b">
        <x:v>1</x:v>
      </x:c>
      <x:c r="T4432" s="3" t="b">
        <x:v>0</x:v>
      </x:c>
      <x:c r="U4432" s="2" t="str">
        <x:f>IF(T4432=TRUE,"Priority review",IF(R4432=TRUE,"High cost",IF(S4432=TRUE,"Low quality","Benchmark")))</x:f>
        <x:v>Low quality</x:v>
      </x:c>
    </x:row>
    <x:row r="4433">
      <x:c r="A4433" s="2" t="str">
        <x:v>100292</x:v>
      </x:c>
      <x:c r="B4433" s="2" t="str">
        <x:v>SACRED HEART HOSPITAL ON THE EMERALD COAST</x:v>
      </x:c>
      <x:c r="C4433" s="2" t="str">
        <x:v>MIRAMAR BEACH</x:v>
      </x:c>
      <x:c r="D4433" s="2" t="str">
        <x:v>FL</x:v>
      </x:c>
      <x:c r="E4433" s="2" t="str">
        <x:v>Acute Care Hospitals</x:v>
      </x:c>
      <x:c r="F4433" s="2" t="str">
        <x:v>Voluntary non-profit</x:v>
      </x:c>
      <x:c r="G4433" s="2" t="str">
        <x:v>Small (&lt;100 beds)</x:v>
      </x:c>
      <x:c r="H4433" s="7" t="n">
        <x:v>3</x:v>
      </x:c>
      <x:c r="I4433" s="7" t="n">
        <x:v>4</x:v>
      </x:c>
      <x:c r="J4433" s="7" t="n">
        <x:v>0.94</x:v>
      </x:c>
      <x:c r="K4433" s="8" t="n">
        <x:v>80</x:v>
      </x:c>
      <x:c r="L4433" s="8" t="n">
        <x:v>6318</x:v>
      </x:c>
      <x:c r="M4433" s="9" t="n">
        <x:v>0.6711643836</x:v>
      </x:c>
      <x:c r="N4433" s="10" t="n">
        <x:v>26705.5479582146</x:v>
      </x:c>
      <x:c r="O4433" s="9" t="n">
        <x:v>0.1666966148</x:v>
      </x:c>
      <x:c r="P4433" s="9" t="n">
        <x:v>0.1014362657</x:v>
      </x:c>
      <x:c r="Q4433" s="9" t="n">
        <x:v>0.1687612208</x:v>
      </x:c>
      <x:c r="R4433" s="3" t="b">
        <x:v>0</x:v>
      </x:c>
      <x:c r="S4433" s="3" t="b">
        <x:v>0</x:v>
      </x:c>
      <x:c r="T4433" s="3" t="b">
        <x:v>0</x:v>
      </x:c>
      <x:c r="U4433" s="2" t="str">
        <x:f>IF(T4433=TRUE,"Priority review",IF(R4433=TRUE,"High cost",IF(S4433=TRUE,"Low quality","Benchmark")))</x:f>
        <x:v>Benchmark</x:v>
      </x:c>
    </x:row>
    <x:row r="4434">
      <x:c r="A4434" s="2" t="str">
        <x:v>171380</x:v>
      </x:c>
      <x:c r="B4434" s="2" t="str">
        <x:v>NEOSHO MEMORIAL REGIONAL MEDICAL CENTER</x:v>
      </x:c>
      <x:c r="C4434" s="2" t="str">
        <x:v>CHANUTE</x:v>
      </x:c>
      <x:c r="D4434" s="2" t="str">
        <x:v>KS</x:v>
      </x:c>
      <x:c r="E4434" s="2" t="str">
        <x:v>Critical Access Hospitals</x:v>
      </x:c>
      <x:c r="F4434" s="2" t="str">
        <x:v>Government</x:v>
      </x:c>
      <x:c r="G4434" s="2" t="str">
        <x:v>Small (&lt;100 beds)</x:v>
      </x:c>
      <x:c r="H4434" s="7" t="n">
        <x:v>1</x:v>
      </x:c>
      <x:c r="I4434" s="7" t="n">
        <x:v>4</x:v>
      </x:c>
      <x:c r="J4434" s="7"/>
      <x:c r="K4434" s="8" t="n">
        <x:v>22</x:v>
      </x:c>
      <x:c r="L4434" s="8" t="n">
        <x:v>1032</x:v>
      </x:c>
      <x:c r="M4434" s="9" t="n">
        <x:v>0.4742921013</x:v>
      </x:c>
      <x:c r="N4434" s="10" t="n">
        <x:v>61665.0542635659</x:v>
      </x:c>
      <x:c r="O4434" s="9" t="n">
        <x:v>-0.1581227373</x:v>
      </x:c>
      <x:c r="P4434" s="9" t="n">
        <x:v>0.1011152416</x:v>
      </x:c>
      <x:c r="Q4434" s="9" t="n">
        <x:v>0</x:v>
      </x:c>
      <x:c r="R4434" s="3" t="b">
        <x:v>0</x:v>
      </x:c>
      <x:c r="S4434" s="3" t="b">
        <x:v>1</x:v>
      </x:c>
      <x:c r="T4434" s="3" t="b">
        <x:v>0</x:v>
      </x:c>
      <x:c r="U4434" s="2" t="str">
        <x:f>IF(T4434=TRUE,"Priority review",IF(R4434=TRUE,"High cost",IF(S4434=TRUE,"Low quality","Benchmark")))</x:f>
        <x:v>Low quality</x:v>
      </x:c>
    </x:row>
    <x:row r="4435">
      <x:c r="A4435" s="2" t="str">
        <x:v>100191</x:v>
      </x:c>
      <x:c r="B4435" s="2" t="str">
        <x:v>HCA FLORIDA TRINITY HOSPITAL</x:v>
      </x:c>
      <x:c r="C4435" s="2" t="str">
        <x:v>TRINITY</x:v>
      </x:c>
      <x:c r="D4435" s="2" t="str">
        <x:v>FL</x:v>
      </x:c>
      <x:c r="E4435" s="2" t="str">
        <x:v>Acute Care Hospitals</x:v>
      </x:c>
      <x:c r="F4435" s="2" t="str">
        <x:v>Proprietary</x:v>
      </x:c>
      <x:c r="G4435" s="2" t="str">
        <x:v>Medium (100-299 beds)</x:v>
      </x:c>
      <x:c r="H4435" s="7" t="n">
        <x:v>2</x:v>
      </x:c>
      <x:c r="I4435" s="7" t="n">
        <x:v>2</x:v>
      </x:c>
      <x:c r="J4435" s="7" t="n">
        <x:v>1.01</x:v>
      </x:c>
      <x:c r="K4435" s="8" t="n">
        <x:v>264</x:v>
      </x:c>
      <x:c r="L4435" s="8" t="n">
        <x:v>15090</x:v>
      </x:c>
      <x:c r="M4435" s="9" t="n">
        <x:v>0.606012774</x:v>
      </x:c>
      <x:c r="N4435" s="10" t="n">
        <x:v>19917.5096090126</x:v>
      </x:c>
      <x:c r="O4435" s="9" t="n">
        <x:v>0.2171720429</x:v>
      </x:c>
      <x:c r="P4435" s="9" t="n">
        <x:v>0.1010594947</x:v>
      </x:c>
      <x:c r="Q4435" s="9" t="n">
        <x:v>0.0782396088</x:v>
      </x:c>
      <x:c r="R4435" s="3" t="b">
        <x:v>0</x:v>
      </x:c>
      <x:c r="S4435" s="3" t="b">
        <x:v>1</x:v>
      </x:c>
      <x:c r="T4435" s="3" t="b">
        <x:v>0</x:v>
      </x:c>
      <x:c r="U4435" s="2" t="str">
        <x:f>IF(T4435=TRUE,"Priority review",IF(R4435=TRUE,"High cost",IF(S4435=TRUE,"Low quality","Benchmark")))</x:f>
        <x:v>Low quality</x:v>
      </x:c>
    </x:row>
    <x:row r="4436">
      <x:c r="A4436" s="2" t="str">
        <x:v>100044</x:v>
      </x:c>
      <x:c r="B4436" s="2" t="str">
        <x:v>CLEVELAND CLINIC MARTIN NORTH HOSPITAL</x:v>
      </x:c>
      <x:c r="C4436" s="2" t="str">
        <x:v>STUART</x:v>
      </x:c>
      <x:c r="D4436" s="2" t="str">
        <x:v>FL</x:v>
      </x:c>
      <x:c r="E4436" s="2" t="str">
        <x:v>Acute Care Hospitals</x:v>
      </x:c>
      <x:c r="F4436" s="2" t="str">
        <x:v>Voluntary non-profit</x:v>
      </x:c>
      <x:c r="G4436" s="2" t="str">
        <x:v>Large (300+ beds)</x:v>
      </x:c>
      <x:c r="H4436" s="7" t="n">
        <x:v>3</x:v>
      </x:c>
      <x:c r="I4436" s="7" t="n">
        <x:v>2</x:v>
      </x:c>
      <x:c r="J4436" s="7" t="n">
        <x:v>1.02</x:v>
      </x:c>
      <x:c r="K4436" s="8" t="n">
        <x:v>521</x:v>
      </x:c>
      <x:c r="L4436" s="8" t="n">
        <x:v>31691</x:v>
      </x:c>
      <x:c r="M4436" s="9" t="n">
        <x:v>0.7074719696</x:v>
      </x:c>
      <x:c r="N4436" s="10" t="n">
        <x:v>22600.0845665962</x:v>
      </x:c>
      <x:c r="O4436" s="9" t="n">
        <x:v>-0.1086842968</x:v>
      </x:c>
      <x:c r="P4436" s="9" t="n">
        <x:v>0.1009463722</x:v>
      </x:c>
      <x:c r="Q4436" s="9" t="n">
        <x:v>0.2570977918</x:v>
      </x:c>
      <x:c r="R4436" s="3" t="b">
        <x:v>0</x:v>
      </x:c>
      <x:c r="S4436" s="3" t="b">
        <x:v>0</x:v>
      </x:c>
      <x:c r="T4436" s="3" t="b">
        <x:v>0</x:v>
      </x:c>
      <x:c r="U4436" s="2" t="str">
        <x:f>IF(T4436=TRUE,"Priority review",IF(R4436=TRUE,"High cost",IF(S4436=TRUE,"Low quality","Benchmark")))</x:f>
        <x:v>Benchmark</x:v>
      </x:c>
    </x:row>
    <x:row r="4437">
      <x:c r="A4437" s="2" t="str">
        <x:v>040137</x:v>
      </x:c>
      <x:c r="B4437" s="2" t="str">
        <x:v>ST VINCENT MEDICAL CENTER/NORTH</x:v>
      </x:c>
      <x:c r="C4437" s="2" t="str">
        <x:v>SHERWOOD</x:v>
      </x:c>
      <x:c r="D4437" s="2" t="str">
        <x:v>AR</x:v>
      </x:c>
      <x:c r="E4437" s="2" t="str">
        <x:v>Acute Care Hospitals</x:v>
      </x:c>
      <x:c r="F4437" s="2" t="str">
        <x:v>Voluntary non-profit</x:v>
      </x:c>
      <x:c r="G4437" s="2" t="str">
        <x:v>Small (&lt;100 beds)</x:v>
      </x:c>
      <x:c r="H4437" s="7" t="n">
        <x:v>4</x:v>
      </x:c>
      <x:c r="I4437" s="7" t="n">
        <x:v>3</x:v>
      </x:c>
      <x:c r="J4437" s="7" t="n">
        <x:v>1.11</x:v>
      </x:c>
      <x:c r="K4437" s="8" t="n">
        <x:v>67</x:v>
      </x:c>
      <x:c r="L4437" s="8" t="n">
        <x:v>3426</x:v>
      </x:c>
      <x:c r="M4437" s="9" t="n">
        <x:v>0.5645880188</x:v>
      </x:c>
      <x:c r="N4437" s="10" t="n">
        <x:v>26676.1917688266</x:v>
      </x:c>
      <x:c r="O4437" s="9" t="n">
        <x:v>-0.2492833197</x:v>
      </x:c>
      <x:c r="P4437" s="9" t="n">
        <x:v>0.1005385996</x:v>
      </x:c>
      <x:c r="Q4437" s="9" t="n">
        <x:v>0.3913824057</x:v>
      </x:c>
      <x:c r="R4437" s="3" t="b">
        <x:v>0</x:v>
      </x:c>
      <x:c r="S4437" s="3" t="b">
        <x:v>0</x:v>
      </x:c>
      <x:c r="T4437" s="3" t="b">
        <x:v>0</x:v>
      </x:c>
      <x:c r="U4437" s="2" t="str">
        <x:f>IF(T4437=TRUE,"Priority review",IF(R4437=TRUE,"High cost",IF(S4437=TRUE,"Low quality","Benchmark")))</x:f>
        <x:v>Benchmark</x:v>
      </x:c>
    </x:row>
    <x:row r="4438">
      <x:c r="A4438" s="2" t="str">
        <x:v>141326</x:v>
      </x:c>
      <x:c r="B4438" s="2" t="str">
        <x:v>HAMILTON MEMORIAL HOSPITAL</x:v>
      </x:c>
      <x:c r="C4438" s="2" t="str">
        <x:v>MCLEANSBORO</x:v>
      </x:c>
      <x:c r="D4438" s="2" t="str">
        <x:v>IL</x:v>
      </x:c>
      <x:c r="E4438" s="2" t="str">
        <x:v>Critical Access Hospitals</x:v>
      </x:c>
      <x:c r="F4438" s="2" t="str">
        <x:v>Government</x:v>
      </x:c>
      <x:c r="G4438" s="2" t="str">
        <x:v>Small (&lt;100 beds)</x:v>
      </x:c>
      <x:c r="H4438" s="7" t="n">
        <x:v>3</x:v>
      </x:c>
      <x:c r="I4438" s="7"/>
      <x:c r="J4438" s="7"/>
      <x:c r="K4438" s="8" t="n">
        <x:v>25</x:v>
      </x:c>
      <x:c r="L4438" s="8" t="n">
        <x:v>373</x:v>
      </x:c>
      <x:c r="M4438" s="9" t="n">
        <x:v>0.2515068493</x:v>
      </x:c>
      <x:c r="N4438" s="10" t="n">
        <x:v>61634.4718498659</x:v>
      </x:c>
      <x:c r="O4438" s="9" t="n">
        <x:v>-0.1055488316</x:v>
      </x:c>
      <x:c r="P4438" s="9" t="n">
        <x:v>0.1003717472</x:v>
      </x:c>
      <x:c r="Q4438" s="9" t="n">
        <x:v>0.0765799257</x:v>
      </x:c>
      <x:c r="R4438" s="3" t="b">
        <x:v>0</x:v>
      </x:c>
      <x:c r="S4438" s="3" t="b">
        <x:v>1</x:v>
      </x:c>
      <x:c r="T4438" s="3" t="b">
        <x:v>0</x:v>
      </x:c>
      <x:c r="U4438" s="2" t="str">
        <x:f>IF(T4438=TRUE,"Priority review",IF(R4438=TRUE,"High cost",IF(S4438=TRUE,"Low quality","Benchmark")))</x:f>
        <x:v>Low quality</x:v>
      </x:c>
    </x:row>
    <x:row r="4439">
      <x:c r="A4439" s="2" t="str">
        <x:v>044019</x:v>
      </x:c>
      <x:c r="B4439" s="2" t="str">
        <x:v>SPRINGWOODS BEHAVIORAL HEALTH SERVICES</x:v>
      </x:c>
      <x:c r="C4439" s="2" t="str">
        <x:v>FAYETTEVILLE</x:v>
      </x:c>
      <x:c r="D4439" s="2" t="str">
        <x:v>AR</x:v>
      </x:c>
      <x:c r="E4439" s="2" t="str">
        <x:v>Psychiatric</x:v>
      </x:c>
      <x:c r="F4439" s="2" t="str">
        <x:v>Proprietary</x:v>
      </x:c>
      <x:c r="G4439" s="2" t="str">
        <x:v>Small (&lt;100 beds)</x:v>
      </x:c>
      <x:c r="H4439" s="7"/>
      <x:c r="I4439" s="7"/>
      <x:c r="J4439" s="7"/>
      <x:c r="K4439" s="8" t="n">
        <x:v>80</x:v>
      </x:c>
      <x:c r="L4439" s="8" t="n">
        <x:v>2290</x:v>
      </x:c>
      <x:c r="M4439" s="9" t="n">
        <x:v>0.5298838798</x:v>
      </x:c>
      <x:c r="N4439" s="10" t="n">
        <x:v>6696.06069869</x:v>
      </x:c>
      <x:c r="O4439" s="9" t="n">
        <x:v>-0.1484764765</x:v>
      </x:c>
      <x:c r="P4439" s="9" t="n">
        <x:v>0.1003236246</x:v>
      </x:c>
      <x:c r="Q4439" s="9" t="n">
        <x:v>0</x:v>
      </x:c>
      <x:c r="R4439" s="3" t="b">
        <x:v>0</x:v>
      </x:c>
      <x:c r="S4439" s="3" t="b">
        <x:v>0</x:v>
      </x:c>
      <x:c r="T4439" s="3" t="b">
        <x:v>0</x:v>
      </x:c>
      <x:c r="U4439" s="2" t="str">
        <x:f>IF(T4439=TRUE,"Priority review",IF(R4439=TRUE,"High cost",IF(S4439=TRUE,"Low quality","Benchmark")))</x:f>
        <x:v>Benchmark</x:v>
      </x:c>
    </x:row>
    <x:row r="4440">
      <x:c r="A4440" s="2" t="str">
        <x:v>230244</x:v>
      </x:c>
      <x:c r="B4440" s="2" t="str">
        <x:v>GARDEN CITY HOSPITAL</x:v>
      </x:c>
      <x:c r="C4440" s="2" t="str">
        <x:v>GARDEN CITY</x:v>
      </x:c>
      <x:c r="D4440" s="2" t="str">
        <x:v>MI</x:v>
      </x:c>
      <x:c r="E4440" s="2" t="str">
        <x:v>Acute Care Hospitals</x:v>
      </x:c>
      <x:c r="F4440" s="2" t="str">
        <x:v>Voluntary non-profit</x:v>
      </x:c>
      <x:c r="G4440" s="2" t="str">
        <x:v>Medium (100-299 beds)</x:v>
      </x:c>
      <x:c r="H4440" s="7" t="n">
        <x:v>2</x:v>
      </x:c>
      <x:c r="I4440" s="7" t="n">
        <x:v>1</x:v>
      </x:c>
      <x:c r="J4440" s="7" t="n">
        <x:v>1.04</x:v>
      </x:c>
      <x:c r="K4440" s="8" t="n">
        <x:v>138</x:v>
      </x:c>
      <x:c r="L4440" s="8" t="n">
        <x:v>6878</x:v>
      </x:c>
      <x:c r="M4440" s="9" t="n">
        <x:v>0.6044509492</x:v>
      </x:c>
      <x:c r="N4440" s="10" t="n">
        <x:v>19897.0867984879</x:v>
      </x:c>
      <x:c r="O4440" s="9" t="n">
        <x:v>0.1682125321</x:v>
      </x:c>
      <x:c r="P4440" s="9" t="n">
        <x:v>0.1002444988</x:v>
      </x:c>
      <x:c r="Q4440" s="9" t="n">
        <x:v>0.0782396088</x:v>
      </x:c>
      <x:c r="R4440" s="3" t="b">
        <x:v>0</x:v>
      </x:c>
      <x:c r="S4440" s="3" t="b">
        <x:v>1</x:v>
      </x:c>
      <x:c r="T4440" s="3" t="b">
        <x:v>0</x:v>
      </x:c>
      <x:c r="U4440" s="2" t="str">
        <x:f>IF(T4440=TRUE,"Priority review",IF(R4440=TRUE,"High cost",IF(S4440=TRUE,"Low quality","Benchmark")))</x:f>
        <x:v>Low quality</x:v>
      </x:c>
    </x:row>
    <x:row r="4441">
      <x:c r="A4441" s="2" t="str">
        <x:v>250031</x:v>
      </x:c>
      <x:c r="B4441" s="2" t="str">
        <x:v>MERIT HEALTH RIVER REGION</x:v>
      </x:c>
      <x:c r="C4441" s="2" t="str">
        <x:v>VICKSBURG</x:v>
      </x:c>
      <x:c r="D4441" s="2" t="str">
        <x:v>MS</x:v>
      </x:c>
      <x:c r="E4441" s="2" t="str">
        <x:v>Acute Care Hospitals</x:v>
      </x:c>
      <x:c r="F4441" s="2" t="str">
        <x:v>Proprietary</x:v>
      </x:c>
      <x:c r="G4441" s="2" t="str">
        <x:v>Small (&lt;100 beds)</x:v>
      </x:c>
      <x:c r="H4441" s="7" t="n">
        <x:v>2</x:v>
      </x:c>
      <x:c r="I4441" s="7" t="n">
        <x:v>2</x:v>
      </x:c>
      <x:c r="J4441" s="7" t="n">
        <x:v>1.07</x:v>
      </x:c>
      <x:c r="K4441" s="8" t="n">
        <x:v>85</x:v>
      </x:c>
      <x:c r="L4441" s="8" t="n">
        <x:v>4269</x:v>
      </x:c>
      <x:c r="M4441" s="9" t="n">
        <x:v>0.6652377115</x:v>
      </x:c>
      <x:c r="N4441" s="10" t="n">
        <x:v>26611.0201452331</x:v>
      </x:c>
      <x:c r="O4441" s="9" t="n">
        <x:v>0.0433376648</x:v>
      </x:c>
      <x:c r="P4441" s="9" t="n">
        <x:v>0.0996409336</x:v>
      </x:c>
      <x:c r="Q4441" s="9" t="n">
        <x:v>0.0350089767</x:v>
      </x:c>
      <x:c r="R4441" s="3" t="b">
        <x:v>0</x:v>
      </x:c>
      <x:c r="S4441" s="3" t="b">
        <x:v>1</x:v>
      </x:c>
      <x:c r="T4441" s="3" t="b">
        <x:v>0</x:v>
      </x:c>
      <x:c r="U4441" s="2" t="str">
        <x:f>IF(T4441=TRUE,"Priority review",IF(R4441=TRUE,"High cost",IF(S4441=TRUE,"Low quality","Benchmark")))</x:f>
        <x:v>Low quality</x:v>
      </x:c>
    </x:row>
    <x:row r="4442">
      <x:c r="A4442" s="2" t="str">
        <x:v>521313</x:v>
      </x:c>
      <x:c r="B4442" s="2" t="str">
        <x:v>ASPIRUS TOMAHAWK HOSPITAL</x:v>
      </x:c>
      <x:c r="C4442" s="2" t="str">
        <x:v>TOMAHAWK</x:v>
      </x:c>
      <x:c r="D4442" s="2" t="str">
        <x:v>WI</x:v>
      </x:c>
      <x:c r="E4442" s="2" t="str">
        <x:v>Critical Access Hospitals</x:v>
      </x:c>
      <x:c r="F4442" s="2" t="str">
        <x:v>Voluntary non-profit</x:v>
      </x:c>
      <x:c r="G4442" s="2" t="str">
        <x:v>Small (&lt;100 beds)</x:v>
      </x:c>
      <x:c r="H4442" s="7"/>
      <x:c r="I4442" s="7"/>
      <x:c r="J4442" s="7"/>
      <x:c r="K4442" s="8" t="n">
        <x:v>18</x:v>
      </x:c>
      <x:c r="L4442" s="8" t="n">
        <x:v>257</x:v>
      </x:c>
      <x:c r="M4442" s="9" t="n">
        <x:v>0.2398782344</x:v>
      </x:c>
      <x:c r="N4442" s="10" t="n">
        <x:v>61502.719844358</x:v>
      </x:c>
      <x:c r="O4442" s="9" t="n">
        <x:v>-0.0211307314</x:v>
      </x:c>
      <x:c r="P4442" s="9" t="n">
        <x:v>0.0996282528</x:v>
      </x:c>
      <x:c r="Q4442" s="9" t="n">
        <x:v>0.292936803</x:v>
      </x:c>
      <x:c r="R4442" s="3" t="b">
        <x:v>0</x:v>
      </x:c>
      <x:c r="S4442" s="3" t="b">
        <x:v>0</x:v>
      </x:c>
      <x:c r="T4442" s="3" t="b">
        <x:v>0</x:v>
      </x:c>
      <x:c r="U4442" s="2" t="str">
        <x:f>IF(T4442=TRUE,"Priority review",IF(R4442=TRUE,"High cost",IF(S4442=TRUE,"Low quality","Benchmark")))</x:f>
        <x:v>Benchmark</x:v>
      </x:c>
    </x:row>
    <x:row r="4443">
      <x:c r="A4443" s="2" t="str">
        <x:v>454026</x:v>
      </x:c>
      <x:c r="B4443" s="2" t="str">
        <x:v>WEST OAKS HOSPITAL</x:v>
      </x:c>
      <x:c r="C4443" s="2" t="str">
        <x:v>HOUSTON</x:v>
      </x:c>
      <x:c r="D4443" s="2" t="str">
        <x:v>TX</x:v>
      </x:c>
      <x:c r="E4443" s="2" t="str">
        <x:v>Psychiatric</x:v>
      </x:c>
      <x:c r="F4443" s="2" t="str">
        <x:v>Proprietary</x:v>
      </x:c>
      <x:c r="G4443" s="2" t="str">
        <x:v>Medium (100-299 beds)</x:v>
      </x:c>
      <x:c r="H4443" s="7"/>
      <x:c r="I4443" s="7"/>
      <x:c r="J4443" s="7"/>
      <x:c r="K4443" s="8" t="n">
        <x:v>160</x:v>
      </x:c>
      <x:c r="L4443" s="8" t="n">
        <x:v>6346</x:v>
      </x:c>
      <x:c r="M4443" s="9" t="n">
        <x:v>0.8895205479</x:v>
      </x:c>
      <x:c r="N4443" s="10" t="n">
        <x:v>5693.5250551529</x:v>
      </x:c>
      <x:c r="O4443" s="9" t="n">
        <x:v>0.1901197647</x:v>
      </x:c>
      <x:c r="P4443" s="9" t="n">
        <x:v>0.0995024876</x:v>
      </x:c>
      <x:c r="Q4443" s="9" t="n">
        <x:v>0</x:v>
      </x:c>
      <x:c r="R4443" s="3" t="b">
        <x:v>0</x:v>
      </x:c>
      <x:c r="S4443" s="3" t="b">
        <x:v>0</x:v>
      </x:c>
      <x:c r="T4443" s="3" t="b">
        <x:v>0</x:v>
      </x:c>
      <x:c r="U4443" s="2" t="str">
        <x:f>IF(T4443=TRUE,"Priority review",IF(R4443=TRUE,"High cost",IF(S4443=TRUE,"Low quality","Benchmark")))</x:f>
        <x:v>Benchmark</x:v>
      </x:c>
    </x:row>
    <x:row r="4444">
      <x:c r="A4444" s="2" t="str">
        <x:v>260119</x:v>
      </x:c>
      <x:c r="B4444" s="2" t="str">
        <x:v>POPLAR BLUFF REGIONAL MEDICAL CENTER</x:v>
      </x:c>
      <x:c r="C4444" s="2" t="str">
        <x:v>POPLAR BLUFF</x:v>
      </x:c>
      <x:c r="D4444" s="2" t="str">
        <x:v>MO</x:v>
      </x:c>
      <x:c r="E4444" s="2" t="str">
        <x:v>Acute Care Hospitals</x:v>
      </x:c>
      <x:c r="F4444" s="2" t="str">
        <x:v>Proprietary</x:v>
      </x:c>
      <x:c r="G4444" s="2" t="str">
        <x:v>Medium (100-299 beds)</x:v>
      </x:c>
      <x:c r="H4444" s="7" t="n">
        <x:v>2</x:v>
      </x:c>
      <x:c r="I4444" s="7" t="n">
        <x:v>3</x:v>
      </x:c>
      <x:c r="J4444" s="7" t="n">
        <x:v>1</x:v>
      </x:c>
      <x:c r="K4444" s="8" t="n">
        <x:v>177</x:v>
      </x:c>
      <x:c r="L4444" s="8" t="n">
        <x:v>10683</x:v>
      </x:c>
      <x:c r="M4444" s="9" t="n">
        <x:v>0.7643789942</x:v>
      </x:c>
      <x:c r="N4444" s="10" t="n">
        <x:v>19884.8928203688</x:v>
      </x:c>
      <x:c r="O4444" s="9" t="n">
        <x:v>0.1553353987</x:v>
      </x:c>
      <x:c r="P4444" s="9" t="n">
        <x:v>0.0994295029</x:v>
      </x:c>
      <x:c r="Q4444" s="9" t="n">
        <x:v>0.0782396088</x:v>
      </x:c>
      <x:c r="R4444" s="3" t="b">
        <x:v>0</x:v>
      </x:c>
      <x:c r="S4444" s="3" t="b">
        <x:v>1</x:v>
      </x:c>
      <x:c r="T4444" s="3" t="b">
        <x:v>0</x:v>
      </x:c>
      <x:c r="U4444" s="2" t="str">
        <x:f>IF(T4444=TRUE,"Priority review",IF(R4444=TRUE,"High cost",IF(S4444=TRUE,"Low quality","Benchmark")))</x:f>
        <x:v>Low quality</x:v>
      </x:c>
    </x:row>
    <x:row r="4445">
      <x:c r="A4445" s="2" t="str">
        <x:v>310041</x:v>
      </x:c>
      <x:c r="B4445" s="2" t="str">
        <x:v>COMMUNITY MEDICAL CENTER</x:v>
      </x:c>
      <x:c r="C4445" s="2" t="str">
        <x:v>TOMS RIVER</x:v>
      </x:c>
      <x:c r="D4445" s="2" t="str">
        <x:v>NJ</x:v>
      </x:c>
      <x:c r="E4445" s="2" t="str">
        <x:v>Acute Care Hospitals</x:v>
      </x:c>
      <x:c r="F4445" s="2" t="str">
        <x:v>Voluntary non-profit</x:v>
      </x:c>
      <x:c r="G4445" s="2" t="str">
        <x:v>Large (300+ beds)</x:v>
      </x:c>
      <x:c r="H4445" s="7" t="n">
        <x:v>1</x:v>
      </x:c>
      <x:c r="I4445" s="7" t="n">
        <x:v>2</x:v>
      </x:c>
      <x:c r="J4445" s="7" t="n">
        <x:v>1.13</x:v>
      </x:c>
      <x:c r="K4445" s="8" t="n">
        <x:v>430</x:v>
      </x:c>
      <x:c r="L4445" s="8" t="n">
        <x:v>24295</x:v>
      </x:c>
      <x:c r="M4445" s="9" t="n">
        <x:v>0.7627144491</x:v>
      </x:c>
      <x:c r="N4445" s="10" t="n">
        <x:v>22397.4941345956</x:v>
      </x:c>
      <x:c r="O4445" s="9" t="n">
        <x:v>0.0510469081</x:v>
      </x:c>
      <x:c r="P4445" s="9" t="n">
        <x:v>0.0993690852</x:v>
      </x:c>
      <x:c r="Q4445" s="9" t="n">
        <x:v>0</x:v>
      </x:c>
      <x:c r="R4445" s="3" t="b">
        <x:v>0</x:v>
      </x:c>
      <x:c r="S4445" s="3" t="b">
        <x:v>1</x:v>
      </x:c>
      <x:c r="T4445" s="3" t="b">
        <x:v>0</x:v>
      </x:c>
      <x:c r="U4445" s="2" t="str">
        <x:f>IF(T4445=TRUE,"Priority review",IF(R4445=TRUE,"High cost",IF(S4445=TRUE,"Low quality","Benchmark")))</x:f>
        <x:v>Low quality</x:v>
      </x:c>
    </x:row>
    <x:row r="4446">
      <x:c r="A4446" s="2" t="str">
        <x:v>041307</x:v>
      </x:c>
      <x:c r="B4446" s="2" t="str">
        <x:v>CROSSRIDGE COMMUNITY HOSPITAL</x:v>
      </x:c>
      <x:c r="C4446" s="2" t="str">
        <x:v>WYNNE</x:v>
      </x:c>
      <x:c r="D4446" s="2" t="str">
        <x:v>AR</x:v>
      </x:c>
      <x:c r="E4446" s="2" t="str">
        <x:v>Critical Access Hospitals</x:v>
      </x:c>
      <x:c r="F4446" s="2" t="str">
        <x:v>Voluntary non-profit</x:v>
      </x:c>
      <x:c r="G4446" s="2" t="str">
        <x:v>Small (&lt;100 beds)</x:v>
      </x:c>
      <x:c r="H4446" s="7"/>
      <x:c r="I4446" s="7"/>
      <x:c r="J4446" s="7"/>
      <x:c r="K4446" s="8" t="n">
        <x:v>15</x:v>
      </x:c>
      <x:c r="L4446" s="8" t="n">
        <x:v>346</x:v>
      </x:c>
      <x:c r="M4446" s="9" t="n">
        <x:v>0.4049180328</x:v>
      </x:c>
      <x:c r="N4446" s="10" t="n">
        <x:v>61304.8063583815</x:v>
      </x:c>
      <x:c r="O4446" s="9" t="n">
        <x:v>-0.5983705883</x:v>
      </x:c>
      <x:c r="P4446" s="9" t="n">
        <x:v>0.0988847584</x:v>
      </x:c>
      <x:c r="Q4446" s="9" t="n">
        <x:v>0.292936803</x:v>
      </x:c>
      <x:c r="R4446" s="3" t="b">
        <x:v>0</x:v>
      </x:c>
      <x:c r="S4446" s="3" t="b">
        <x:v>0</x:v>
      </x:c>
      <x:c r="T4446" s="3" t="b">
        <x:v>0</x:v>
      </x:c>
      <x:c r="U4446" s="2" t="str">
        <x:f>IF(T4446=TRUE,"Priority review",IF(R4446=TRUE,"High cost",IF(S4446=TRUE,"Low quality","Benchmark")))</x:f>
        <x:v>Benchmark</x:v>
      </x:c>
    </x:row>
    <x:row r="4447">
      <x:c r="A4447" s="2" t="str">
        <x:v>390068</x:v>
      </x:c>
      <x:c r="B4447" s="2" t="str">
        <x:v>UPMC LITITZ</x:v>
      </x:c>
      <x:c r="C4447" s="2" t="str">
        <x:v>LITITZ</x:v>
      </x:c>
      <x:c r="D4447" s="2" t="str">
        <x:v>PA</x:v>
      </x:c>
      <x:c r="E4447" s="2" t="str">
        <x:v>Acute Care Hospitals</x:v>
      </x:c>
      <x:c r="F4447" s="2" t="str">
        <x:v>Voluntary non-profit</x:v>
      </x:c>
      <x:c r="G4447" s="2" t="str">
        <x:v>Small (&lt;100 beds)</x:v>
      </x:c>
      <x:c r="H4447" s="7" t="n">
        <x:v>4</x:v>
      </x:c>
      <x:c r="I4447" s="7" t="n">
        <x:v>3</x:v>
      </x:c>
      <x:c r="J4447" s="7" t="n">
        <x:v>0.98</x:v>
      </x:c>
      <x:c r="K4447" s="8" t="n">
        <x:v>36</x:v>
      </x:c>
      <x:c r="L4447" s="8" t="n">
        <x:v>3749</x:v>
      </x:c>
      <x:c r="M4447" s="9" t="n">
        <x:v>0.847412481</x:v>
      </x:c>
      <x:c r="N4447" s="10" t="n">
        <x:v>26606.455321419</x:v>
      </x:c>
      <x:c r="O4447" s="9" t="n">
        <x:v>0.2537870972</x:v>
      </x:c>
      <x:c r="P4447" s="9" t="n">
        <x:v>0.0987432675</x:v>
      </x:c>
      <x:c r="Q4447" s="9" t="n">
        <x:v>0.3913824057</x:v>
      </x:c>
      <x:c r="R4447" s="3" t="b">
        <x:v>0</x:v>
      </x:c>
      <x:c r="S4447" s="3" t="b">
        <x:v>0</x:v>
      </x:c>
      <x:c r="T4447" s="3" t="b">
        <x:v>0</x:v>
      </x:c>
      <x:c r="U4447" s="2" t="str">
        <x:f>IF(T4447=TRUE,"Priority review",IF(R4447=TRUE,"High cost",IF(S4447=TRUE,"Low quality","Benchmark")))</x:f>
        <x:v>Benchmark</x:v>
      </x:c>
    </x:row>
    <x:row r="4448">
      <x:c r="A4448" s="2" t="str">
        <x:v>460005</x:v>
      </x:c>
      <x:c r="B4448" s="2" t="str">
        <x:v>OGDEN REGIONAL MEDICAL CENTER</x:v>
      </x:c>
      <x:c r="C4448" s="2" t="str">
        <x:v>OGDEN</x:v>
      </x:c>
      <x:c r="D4448" s="2" t="str">
        <x:v>UT</x:v>
      </x:c>
      <x:c r="E4448" s="2" t="str">
        <x:v>Acute Care Hospitals</x:v>
      </x:c>
      <x:c r="F4448" s="2" t="str">
        <x:v>Proprietary</x:v>
      </x:c>
      <x:c r="G4448" s="2" t="str">
        <x:v>Medium (100-299 beds)</x:v>
      </x:c>
      <x:c r="H4448" s="7" t="n">
        <x:v>3</x:v>
      </x:c>
      <x:c r="I4448" s="7" t="n">
        <x:v>3</x:v>
      </x:c>
      <x:c r="J4448" s="7" t="n">
        <x:v>1.03</x:v>
      </x:c>
      <x:c r="K4448" s="8" t="n">
        <x:v>174</x:v>
      </x:c>
      <x:c r="L4448" s="8" t="n">
        <x:v>8398</x:v>
      </x:c>
      <x:c r="M4448" s="9" t="n">
        <x:v>0.5357109117</x:v>
      </x:c>
      <x:c r="N4448" s="10" t="n">
        <x:v>19822.4320076209</x:v>
      </x:c>
      <x:c r="O4448" s="9" t="n">
        <x:v>0.507521572</x:v>
      </x:c>
      <x:c r="P4448" s="9" t="n">
        <x:v>0.0986145069</x:v>
      </x:c>
      <x:c r="Q4448" s="9" t="n">
        <x:v>0.3023634882</x:v>
      </x:c>
      <x:c r="R4448" s="3" t="b">
        <x:v>0</x:v>
      </x:c>
      <x:c r="S4448" s="3" t="b">
        <x:v>0</x:v>
      </x:c>
      <x:c r="T4448" s="3" t="b">
        <x:v>0</x:v>
      </x:c>
      <x:c r="U4448" s="2" t="str">
        <x:f>IF(T4448=TRUE,"Priority review",IF(R4448=TRUE,"High cost",IF(S4448=TRUE,"Low quality","Benchmark")))</x:f>
        <x:v>Benchmark</x:v>
      </x:c>
    </x:row>
    <x:row r="4449">
      <x:c r="A4449" s="2" t="str">
        <x:v>361318</x:v>
      </x:c>
      <x:c r="B4449" s="2" t="str">
        <x:v>FOSTORIA COMMUNITY HOSPITAL</x:v>
      </x:c>
      <x:c r="C4449" s="2" t="str">
        <x:v>FOSTORIA</x:v>
      </x:c>
      <x:c r="D4449" s="2" t="str">
        <x:v>OH</x:v>
      </x:c>
      <x:c r="E4449" s="2" t="str">
        <x:v>Critical Access Hospitals</x:v>
      </x:c>
      <x:c r="F4449" s="2" t="str">
        <x:v>Voluntary non-profit</x:v>
      </x:c>
      <x:c r="G4449" s="2" t="str">
        <x:v>Small (&lt;100 beds)</x:v>
      </x:c>
      <x:c r="H4449" s="7" t="n">
        <x:v>4</x:v>
      </x:c>
      <x:c r="I4449" s="7" t="n">
        <x:v>4</x:v>
      </x:c>
      <x:c r="J4449" s="7"/>
      <x:c r="K4449" s="8" t="n">
        <x:v>19</x:v>
      </x:c>
      <x:c r="L4449" s="8" t="n">
        <x:v>633</x:v>
      </x:c>
      <x:c r="M4449" s="9" t="n">
        <x:v>0.3065861375</x:v>
      </x:c>
      <x:c r="N4449" s="10" t="n">
        <x:v>61256.7819905213</x:v>
      </x:c>
      <x:c r="O4449" s="9" t="n">
        <x:v>0.1533824425</x:v>
      </x:c>
      <x:c r="P4449" s="9" t="n">
        <x:v>0.0981412639</x:v>
      </x:c>
      <x:c r="Q4449" s="9" t="n">
        <x:v>0.1657992565</x:v>
      </x:c>
      <x:c r="R4449" s="3" t="b">
        <x:v>0</x:v>
      </x:c>
      <x:c r="S4449" s="3" t="b">
        <x:v>0</x:v>
      </x:c>
      <x:c r="T4449" s="3" t="b">
        <x:v>0</x:v>
      </x:c>
      <x:c r="U4449" s="2" t="str">
        <x:f>IF(T4449=TRUE,"Priority review",IF(R4449=TRUE,"High cost",IF(S4449=TRUE,"Low quality","Benchmark")))</x:f>
        <x:v>Benchmark</x:v>
      </x:c>
    </x:row>
    <x:row r="4450">
      <x:c r="A4450" s="2" t="str">
        <x:v>140120</x:v>
      </x:c>
      <x:c r="B4450" s="2" t="str">
        <x:v>CARLE HEALTH PEKIN HOSPITAL</x:v>
      </x:c>
      <x:c r="C4450" s="2" t="str">
        <x:v>PEKIN</x:v>
      </x:c>
      <x:c r="D4450" s="2" t="str">
        <x:v>IL</x:v>
      </x:c>
      <x:c r="E4450" s="2" t="str">
        <x:v>Acute Care Hospitals</x:v>
      </x:c>
      <x:c r="F4450" s="2" t="str">
        <x:v>Voluntary non-profit</x:v>
      </x:c>
      <x:c r="G4450" s="2" t="str">
        <x:v>Small (&lt;100 beds)</x:v>
      </x:c>
      <x:c r="H4450" s="7" t="n">
        <x:v>3</x:v>
      </x:c>
      <x:c r="I4450" s="7" t="n">
        <x:v>3</x:v>
      </x:c>
      <x:c r="J4450" s="7" t="n">
        <x:v>0.91</x:v>
      </x:c>
      <x:c r="K4450" s="8" t="n">
        <x:v>39</x:v>
      </x:c>
      <x:c r="L4450" s="8" t="n">
        <x:v>1687</x:v>
      </x:c>
      <x:c r="M4450" s="9" t="n">
        <x:v>0.4994395404</x:v>
      </x:c>
      <x:c r="N4450" s="10" t="n">
        <x:v>26559.7439241257</x:v>
      </x:c>
      <x:c r="O4450" s="9" t="n">
        <x:v>0.2824999753</x:v>
      </x:c>
      <x:c r="P4450" s="9" t="n">
        <x:v>0.0978456014</x:v>
      </x:c>
      <x:c r="Q4450" s="9" t="n">
        <x:v>0.1687612208</x:v>
      </x:c>
      <x:c r="R4450" s="3" t="b">
        <x:v>0</x:v>
      </x:c>
      <x:c r="S4450" s="3" t="b">
        <x:v>0</x:v>
      </x:c>
      <x:c r="T4450" s="3" t="b">
        <x:v>0</x:v>
      </x:c>
      <x:c r="U4450" s="2" t="str">
        <x:f>IF(T4450=TRUE,"Priority review",IF(R4450=TRUE,"High cost",IF(S4450=TRUE,"Low quality","Benchmark")))</x:f>
        <x:v>Benchmark</x:v>
      </x:c>
    </x:row>
    <x:row r="4451">
      <x:c r="A4451" s="2" t="str">
        <x:v>360364</x:v>
      </x:c>
      <x:c r="B4451" s="2" t="str">
        <x:v>CLEVELAND CLINIC AVON HOSPITAL</x:v>
      </x:c>
      <x:c r="C4451" s="2" t="str">
        <x:v>AVON</x:v>
      </x:c>
      <x:c r="D4451" s="2" t="str">
        <x:v>OH</x:v>
      </x:c>
      <x:c r="E4451" s="2" t="str">
        <x:v>Acute Care Hospitals</x:v>
      </x:c>
      <x:c r="F4451" s="2" t="str">
        <x:v>Voluntary non-profit</x:v>
      </x:c>
      <x:c r="G4451" s="2" t="str">
        <x:v>Medium (100-299 beds)</x:v>
      </x:c>
      <x:c r="H4451" s="7" t="n">
        <x:v>5</x:v>
      </x:c>
      <x:c r="I4451" s="7" t="n">
        <x:v>4</x:v>
      </x:c>
      <x:c r="J4451" s="7" t="n">
        <x:v>0.94</x:v>
      </x:c>
      <x:c r="K4451" s="8" t="n">
        <x:v>126</x:v>
      </x:c>
      <x:c r="L4451" s="8" t="n">
        <x:v>8349</x:v>
      </x:c>
      <x:c r="M4451" s="9" t="n">
        <x:v>0.6722330942</x:v>
      </x:c>
      <x:c r="N4451" s="10" t="n">
        <x:v>19798.9263384837</x:v>
      </x:c>
      <x:c r="O4451" s="9" t="n">
        <x:v>0.2118163608</x:v>
      </x:c>
      <x:c r="P4451" s="9" t="n">
        <x:v>0.097799511</x:v>
      </x:c>
      <x:c r="Q4451" s="9" t="n">
        <x:v>0.8744906275</x:v>
      </x:c>
      <x:c r="R4451" s="3" t="b">
        <x:v>0</x:v>
      </x:c>
      <x:c r="S4451" s="3" t="b">
        <x:v>0</x:v>
      </x:c>
      <x:c r="T4451" s="3" t="b">
        <x:v>0</x:v>
      </x:c>
      <x:c r="U4451" s="2" t="str">
        <x:f>IF(T4451=TRUE,"Priority review",IF(R4451=TRUE,"High cost",IF(S4451=TRUE,"Low quality","Benchmark")))</x:f>
        <x:v>Benchmark</x:v>
      </x:c>
    </x:row>
    <x:row r="4452">
      <x:c r="A4452" s="2" t="str">
        <x:v>360077</x:v>
      </x:c>
      <x:c r="B4452" s="2" t="str">
        <x:v>FAIRVIEW HOSPITAL</x:v>
      </x:c>
      <x:c r="C4452" s="2" t="str">
        <x:v>CLEVELAND</x:v>
      </x:c>
      <x:c r="D4452" s="2" t="str">
        <x:v>OH</x:v>
      </x:c>
      <x:c r="E4452" s="2" t="str">
        <x:v>Acute Care Hospitals</x:v>
      </x:c>
      <x:c r="F4452" s="2" t="str">
        <x:v>Voluntary non-profit</x:v>
      </x:c>
      <x:c r="G4452" s="2" t="str">
        <x:v>Large (300+ beds)</x:v>
      </x:c>
      <x:c r="H4452" s="7" t="n">
        <x:v>5</x:v>
      </x:c>
      <x:c r="I4452" s="7" t="n">
        <x:v>4</x:v>
      </x:c>
      <x:c r="J4452" s="7" t="n">
        <x:v>0.98</x:v>
      </x:c>
      <x:c r="K4452" s="8" t="n">
        <x:v>475</x:v>
      </x:c>
      <x:c r="L4452" s="8" t="n">
        <x:v>25809</x:v>
      </x:c>
      <x:c r="M4452" s="9" t="n">
        <x:v>0.7234788223</x:v>
      </x:c>
      <x:c r="N4452" s="10" t="n">
        <x:v>22374.9003448409</x:v>
      </x:c>
      <x:c r="O4452" s="9" t="n">
        <x:v>0.2017283232</x:v>
      </x:c>
      <x:c r="P4452" s="9" t="n">
        <x:v>0.0977917981</x:v>
      </x:c>
      <x:c r="Q4452" s="9" t="n">
        <x:v>0.8722397476</x:v>
      </x:c>
      <x:c r="R4452" s="3" t="b">
        <x:v>0</x:v>
      </x:c>
      <x:c r="S4452" s="3" t="b">
        <x:v>0</x:v>
      </x:c>
      <x:c r="T4452" s="3" t="b">
        <x:v>0</x:v>
      </x:c>
      <x:c r="U4452" s="2" t="str">
        <x:f>IF(T4452=TRUE,"Priority review",IF(R4452=TRUE,"High cost",IF(S4452=TRUE,"Low quality","Benchmark")))</x:f>
        <x:v>Benchmark</x:v>
      </x:c>
    </x:row>
    <x:row r="4453">
      <x:c r="A4453" s="2" t="str">
        <x:v>201313</x:v>
      </x:c>
      <x:c r="B4453" s="2" t="str">
        <x:v>NORTHERN LIGHT SEBASTICOOK VALLEY HOSPITAL</x:v>
      </x:c>
      <x:c r="C4453" s="2" t="str">
        <x:v>PITTSFIELD</x:v>
      </x:c>
      <x:c r="D4453" s="2" t="str">
        <x:v>ME</x:v>
      </x:c>
      <x:c r="E4453" s="2" t="str">
        <x:v>Critical Access Hospitals</x:v>
      </x:c>
      <x:c r="F4453" s="2" t="str">
        <x:v>Voluntary non-profit</x:v>
      </x:c>
      <x:c r="G4453" s="2" t="str">
        <x:v>Small (&lt;100 beds)</x:v>
      </x:c>
      <x:c r="H4453" s="7" t="n">
        <x:v>2</x:v>
      </x:c>
      <x:c r="I4453" s="7" t="n">
        <x:v>3</x:v>
      </x:c>
      <x:c r="J4453" s="7"/>
      <x:c r="K4453" s="8" t="n">
        <x:v>25</x:v>
      </x:c>
      <x:c r="L4453" s="8" t="n">
        <x:v>935</x:v>
      </x:c>
      <x:c r="M4453" s="9" t="n">
        <x:v>0.5057923497</x:v>
      </x:c>
      <x:c r="N4453" s="10" t="n">
        <x:v>61056.7347593583</x:v>
      </x:c>
      <x:c r="O4453" s="9" t="n">
        <x:v>0.0489170887</x:v>
      </x:c>
      <x:c r="P4453" s="9" t="n">
        <x:v>0.0973977695</x:v>
      </x:c>
      <x:c r="Q4453" s="9" t="n">
        <x:v>0.0171003717</x:v>
      </x:c>
      <x:c r="R4453" s="3" t="b">
        <x:v>0</x:v>
      </x:c>
      <x:c r="S4453" s="3" t="b">
        <x:v>1</x:v>
      </x:c>
      <x:c r="T4453" s="3" t="b">
        <x:v>0</x:v>
      </x:c>
      <x:c r="U4453" s="2" t="str">
        <x:f>IF(T4453=TRUE,"Priority review",IF(R4453=TRUE,"High cost",IF(S4453=TRUE,"Low quality","Benchmark")))</x:f>
        <x:v>Low quality</x:v>
      </x:c>
    </x:row>
    <x:row r="4454">
      <x:c r="A4454" s="2" t="str">
        <x:v>084005</x:v>
      </x:c>
      <x:c r="B4454" s="2" t="str">
        <x:v>SUN BEHAVIORAL DELAWARE LLC</x:v>
      </x:c>
      <x:c r="C4454" s="2" t="str">
        <x:v>GEORGETOWN</x:v>
      </x:c>
      <x:c r="D4454" s="2" t="str">
        <x:v>DE</x:v>
      </x:c>
      <x:c r="E4454" s="2" t="str">
        <x:v>Psychiatric</x:v>
      </x:c>
      <x:c r="F4454" s="2" t="str">
        <x:v>Proprietary</x:v>
      </x:c>
      <x:c r="G4454" s="2" t="str">
        <x:v>Small (&lt;100 beds)</x:v>
      </x:c>
      <x:c r="H4454" s="7"/>
      <x:c r="I4454" s="7"/>
      <x:c r="J4454" s="7"/>
      <x:c r="K4454" s="8" t="n">
        <x:v>90</x:v>
      </x:c>
      <x:c r="L4454" s="8" t="n">
        <x:v>3560</x:v>
      </x:c>
      <x:c r="M4454" s="9" t="n">
        <x:v>0.8230722526</x:v>
      </x:c>
      <x:c r="N4454" s="10" t="n">
        <x:v>6650.2117977528</x:v>
      </x:c>
      <x:c r="O4454" s="9" t="n">
        <x:v>0.0516054954</x:v>
      </x:c>
      <x:c r="P4454" s="9" t="n">
        <x:v>0.0970873786</x:v>
      </x:c>
      <x:c r="Q4454" s="9" t="n">
        <x:v>0</x:v>
      </x:c>
      <x:c r="R4454" s="3" t="b">
        <x:v>0</x:v>
      </x:c>
      <x:c r="S4454" s="3" t="b">
        <x:v>0</x:v>
      </x:c>
      <x:c r="T4454" s="3" t="b">
        <x:v>0</x:v>
      </x:c>
      <x:c r="U4454" s="2" t="str">
        <x:f>IF(T4454=TRUE,"Priority review",IF(R4454=TRUE,"High cost",IF(S4454=TRUE,"Low quality","Benchmark")))</x:f>
        <x:v>Benchmark</x:v>
      </x:c>
    </x:row>
    <x:row r="4455">
      <x:c r="A4455" s="2" t="str">
        <x:v>010101</x:v>
      </x:c>
      <x:c r="B4455" s="2" t="str">
        <x:v>CITIZENS BAPTIST MEDICAL CENTER</x:v>
      </x:c>
      <x:c r="C4455" s="2" t="str">
        <x:v>TALLADEGA</x:v>
      </x:c>
      <x:c r="D4455" s="2" t="str">
        <x:v>AL</x:v>
      </x:c>
      <x:c r="E4455" s="2" t="str">
        <x:v>Acute Care Hospitals</x:v>
      </x:c>
      <x:c r="F4455" s="2" t="str">
        <x:v>Voluntary non-profit</x:v>
      </x:c>
      <x:c r="G4455" s="2" t="str">
        <x:v>Medium (100-299 beds)</x:v>
      </x:c>
      <x:c r="H4455" s="7" t="n">
        <x:v>1</x:v>
      </x:c>
      <x:c r="I4455" s="7" t="n">
        <x:v>4</x:v>
      </x:c>
      <x:c r="J4455" s="7" t="n">
        <x:v>1.02</x:v>
      </x:c>
      <x:c r="K4455" s="8" t="n">
        <x:v>103</x:v>
      </x:c>
      <x:c r="L4455" s="8" t="n">
        <x:v>1709</x:v>
      </x:c>
      <x:c r="M4455" s="9" t="n">
        <x:v>0.2267229031</x:v>
      </x:c>
      <x:c r="N4455" s="10" t="n">
        <x:v>19651.5804564073</x:v>
      </x:c>
      <x:c r="O4455" s="9" t="n">
        <x:v>-0.0060634218</x:v>
      </x:c>
      <x:c r="P4455" s="9" t="n">
        <x:v>0.0969845151</x:v>
      </x:c>
      <x:c r="Q4455" s="9" t="n">
        <x:v>0</x:v>
      </x:c>
      <x:c r="R4455" s="3" t="b">
        <x:v>0</x:v>
      </x:c>
      <x:c r="S4455" s="3" t="b">
        <x:v>1</x:v>
      </x:c>
      <x:c r="T4455" s="3" t="b">
        <x:v>0</x:v>
      </x:c>
      <x:c r="U4455" s="2" t="str">
        <x:f>IF(T4455=TRUE,"Priority review",IF(R4455=TRUE,"High cost",IF(S4455=TRUE,"Low quality","Benchmark")))</x:f>
        <x:v>Low quality</x:v>
      </x:c>
    </x:row>
    <x:row r="4456">
      <x:c r="A4456" s="2" t="str">
        <x:v>010125</x:v>
      </x:c>
      <x:c r="B4456" s="2" t="str">
        <x:v>LAKELAND COMMUNITY HOSPITAL</x:v>
      </x:c>
      <x:c r="C4456" s="2" t="str">
        <x:v>HALEYVILLE</x:v>
      </x:c>
      <x:c r="D4456" s="2" t="str">
        <x:v>AL</x:v>
      </x:c>
      <x:c r="E4456" s="2" t="str">
        <x:v>Acute Care Hospitals</x:v>
      </x:c>
      <x:c r="F4456" s="2" t="str">
        <x:v>Proprietary</x:v>
      </x:c>
      <x:c r="G4456" s="2" t="str">
        <x:v>Small (&lt;100 beds)</x:v>
      </x:c>
      <x:c r="H4456" s="7" t="n">
        <x:v>3</x:v>
      </x:c>
      <x:c r="I4456" s="7"/>
      <x:c r="J4456" s="7" t="n">
        <x:v>1.04</x:v>
      </x:c>
      <x:c r="K4456" s="8" t="n">
        <x:v>40</x:v>
      </x:c>
      <x:c r="L4456" s="8" t="n">
        <x:v>744</x:v>
      </x:c>
      <x:c r="M4456" s="9" t="n">
        <x:v>0.2035519126</x:v>
      </x:c>
      <x:c r="N4456" s="10" t="n">
        <x:v>26509.7809139785</x:v>
      </x:c>
      <x:c r="O4456" s="9" t="n">
        <x:v>-0.2258453649</x:v>
      </x:c>
      <x:c r="P4456" s="9" t="n">
        <x:v>0.0969479354</x:v>
      </x:c>
      <x:c r="Q4456" s="9" t="n">
        <x:v>0.1687612208</x:v>
      </x:c>
      <x:c r="R4456" s="3" t="b">
        <x:v>0</x:v>
      </x:c>
      <x:c r="S4456" s="3" t="b">
        <x:v>0</x:v>
      </x:c>
      <x:c r="T4456" s="3" t="b">
        <x:v>0</x:v>
      </x:c>
      <x:c r="U4456" s="2" t="str">
        <x:f>IF(T4456=TRUE,"Priority review",IF(R4456=TRUE,"High cost",IF(S4456=TRUE,"Low quality","Benchmark")))</x:f>
        <x:v>Benchmark</x:v>
      </x:c>
    </x:row>
    <x:row r="4457">
      <x:c r="A4457" s="2" t="str">
        <x:v>141328</x:v>
      </x:c>
      <x:c r="B4457" s="2" t="str">
        <x:v>HARDIN COUNTY GENERAL HOSPITAL &amp; CLINIC</x:v>
      </x:c>
      <x:c r="C4457" s="2" t="str">
        <x:v>ROSICLARE</x:v>
      </x:c>
      <x:c r="D4457" s="2" t="str">
        <x:v>IL</x:v>
      </x:c>
      <x:c r="E4457" s="2" t="str">
        <x:v>Critical Access Hospitals</x:v>
      </x:c>
      <x:c r="F4457" s="2" t="str">
        <x:v>Voluntary non-profit</x:v>
      </x:c>
      <x:c r="G4457" s="2" t="str">
        <x:v>Small (&lt;100 beds)</x:v>
      </x:c>
      <x:c r="H4457" s="7" t="n">
        <x:v>1</x:v>
      </x:c>
      <x:c r="I4457" s="7"/>
      <x:c r="J4457" s="7"/>
      <x:c r="K4457" s="8" t="n">
        <x:v>25</x:v>
      </x:c>
      <x:c r="L4457" s="8" t="n">
        <x:v>284</x:v>
      </x:c>
      <x:c r="M4457" s="9" t="n">
        <x:v>0.2706849315</x:v>
      </x:c>
      <x:c r="N4457" s="10" t="n">
        <x:v>60646.8802816901</x:v>
      </x:c>
      <x:c r="O4457" s="9" t="n">
        <x:v>-0.1424070819</x:v>
      </x:c>
      <x:c r="P4457" s="9" t="n">
        <x:v>0.0966542751</x:v>
      </x:c>
      <x:c r="Q4457" s="9" t="n">
        <x:v>0</x:v>
      </x:c>
      <x:c r="R4457" s="3" t="b">
        <x:v>0</x:v>
      </x:c>
      <x:c r="S4457" s="3" t="b">
        <x:v>1</x:v>
      </x:c>
      <x:c r="T4457" s="3" t="b">
        <x:v>0</x:v>
      </x:c>
      <x:c r="U4457" s="2" t="str">
        <x:f>IF(T4457=TRUE,"Priority review",IF(R4457=TRUE,"High cost",IF(S4457=TRUE,"Low quality","Benchmark")))</x:f>
        <x:v>Low quality</x:v>
      </x:c>
    </x:row>
    <x:row r="4458">
      <x:c r="A4458" s="2" t="str">
        <x:v>290039</x:v>
      </x:c>
      <x:c r="B4458" s="2" t="str">
        <x:v>MOUNTAINVIEW HOSPITAL</x:v>
      </x:c>
      <x:c r="C4458" s="2" t="str">
        <x:v>LAS VEGAS</x:v>
      </x:c>
      <x:c r="D4458" s="2" t="str">
        <x:v>NV</x:v>
      </x:c>
      <x:c r="E4458" s="2" t="str">
        <x:v>Acute Care Hospitals</x:v>
      </x:c>
      <x:c r="F4458" s="2" t="str">
        <x:v>Proprietary</x:v>
      </x:c>
      <x:c r="G4458" s="2" t="str">
        <x:v>Large (300+ beds)</x:v>
      </x:c>
      <x:c r="H4458" s="7" t="n">
        <x:v>4</x:v>
      </x:c>
      <x:c r="I4458" s="7" t="n">
        <x:v>3</x:v>
      </x:c>
      <x:c r="J4458" s="7" t="n">
        <x:v>1.08</x:v>
      </x:c>
      <x:c r="K4458" s="8" t="n">
        <x:v>427</x:v>
      </x:c>
      <x:c r="L4458" s="8" t="n">
        <x:v>26497</x:v>
      </x:c>
      <x:c r="M4458" s="9" t="n">
        <x:v>0.8554536031</x:v>
      </x:c>
      <x:c r="N4458" s="10" t="n">
        <x:v>22357.7954485413</x:v>
      </x:c>
      <x:c r="O4458" s="9" t="n">
        <x:v>0.1966751176</x:v>
      </x:c>
      <x:c r="P4458" s="9" t="n">
        <x:v>0.096214511</x:v>
      </x:c>
      <x:c r="Q4458" s="9" t="n">
        <x:v>0.5899053628</x:v>
      </x:c>
      <x:c r="R4458" s="3" t="b">
        <x:v>0</x:v>
      </x:c>
      <x:c r="S4458" s="3" t="b">
        <x:v>0</x:v>
      </x:c>
      <x:c r="T4458" s="3" t="b">
        <x:v>0</x:v>
      </x:c>
      <x:c r="U4458" s="2" t="str">
        <x:f>IF(T4458=TRUE,"Priority review",IF(R4458=TRUE,"High cost",IF(S4458=TRUE,"Low quality","Benchmark")))</x:f>
        <x:v>Benchmark</x:v>
      </x:c>
    </x:row>
    <x:row r="4459">
      <x:c r="A4459" s="2" t="str">
        <x:v>260001</x:v>
      </x:c>
      <x:c r="B4459" s="2" t="str">
        <x:v>MERCY HOSPITAL JOPLIN</x:v>
      </x:c>
      <x:c r="C4459" s="2" t="str">
        <x:v>JOPLIN</x:v>
      </x:c>
      <x:c r="D4459" s="2" t="str">
        <x:v>MO</x:v>
      </x:c>
      <x:c r="E4459" s="2" t="str">
        <x:v>Acute Care Hospitals</x:v>
      </x:c>
      <x:c r="F4459" s="2" t="str">
        <x:v>Voluntary non-profit</x:v>
      </x:c>
      <x:c r="G4459" s="2" t="str">
        <x:v>Medium (100-299 beds)</x:v>
      </x:c>
      <x:c r="H4459" s="7" t="n">
        <x:v>1</x:v>
      </x:c>
      <x:c r="I4459" s="7" t="n">
        <x:v>3</x:v>
      </x:c>
      <x:c r="J4459" s="7" t="n">
        <x:v>0.98</x:v>
      </x:c>
      <x:c r="K4459" s="8" t="n">
        <x:v>221</x:v>
      </x:c>
      <x:c r="L4459" s="8" t="n">
        <x:v>14800</x:v>
      </x:c>
      <x:c r="M4459" s="9" t="n">
        <x:v>0.6876216451</x:v>
      </x:c>
      <x:c r="N4459" s="10" t="n">
        <x:v>19587.9410810811</x:v>
      </x:c>
      <x:c r="O4459" s="9" t="n">
        <x:v>0.0784737983</x:v>
      </x:c>
      <x:c r="P4459" s="9" t="n">
        <x:v>0.0961695192</x:v>
      </x:c>
      <x:c r="Q4459" s="9" t="n">
        <x:v>0</x:v>
      </x:c>
      <x:c r="R4459" s="3" t="b">
        <x:v>0</x:v>
      </x:c>
      <x:c r="S4459" s="3" t="b">
        <x:v>1</x:v>
      </x:c>
      <x:c r="T4459" s="3" t="b">
        <x:v>0</x:v>
      </x:c>
      <x:c r="U4459" s="2" t="str">
        <x:f>IF(T4459=TRUE,"Priority review",IF(R4459=TRUE,"High cost",IF(S4459=TRUE,"Low quality","Benchmark")))</x:f>
        <x:v>Low quality</x:v>
      </x:c>
    </x:row>
    <x:row r="4460">
      <x:c r="A4460" s="2" t="str">
        <x:v>160104</x:v>
      </x:c>
      <x:c r="B4460" s="2" t="str">
        <x:v>TRINITY - BETTENDORF</x:v>
      </x:c>
      <x:c r="C4460" s="2" t="str">
        <x:v>BETTENDORF</x:v>
      </x:c>
      <x:c r="D4460" s="2" t="str">
        <x:v>IA</x:v>
      </x:c>
      <x:c r="E4460" s="2" t="str">
        <x:v>Acute Care Hospitals</x:v>
      </x:c>
      <x:c r="F4460" s="2" t="str">
        <x:v>Voluntary non-profit</x:v>
      </x:c>
      <x:c r="G4460" s="2" t="str">
        <x:v>Small (&lt;100 beds)</x:v>
      </x:c>
      <x:c r="H4460" s="7" t="n">
        <x:v>3</x:v>
      </x:c>
      <x:c r="I4460" s="7" t="n">
        <x:v>3</x:v>
      </x:c>
      <x:c r="J4460" s="7" t="n">
        <x:v>0.95</x:v>
      </x:c>
      <x:c r="K4460" s="8" t="n">
        <x:v>80</x:v>
      </x:c>
      <x:c r="L4460" s="8" t="n">
        <x:v>3739</x:v>
      </x:c>
      <x:c r="M4460" s="9" t="n">
        <x:v>0.4913934426</x:v>
      </x:c>
      <x:c r="N4460" s="10" t="n">
        <x:v>26452.4164215031</x:v>
      </x:c>
      <x:c r="O4460" s="9" t="n">
        <x:v>0.0327104477</x:v>
      </x:c>
      <x:c r="P4460" s="9" t="n">
        <x:v>0.0960502693</x:v>
      </x:c>
      <x:c r="Q4460" s="9" t="n">
        <x:v>0.1687612208</x:v>
      </x:c>
      <x:c r="R4460" s="3" t="b">
        <x:v>0</x:v>
      </x:c>
      <x:c r="S4460" s="3" t="b">
        <x:v>0</x:v>
      </x:c>
      <x:c r="T4460" s="3" t="b">
        <x:v>0</x:v>
      </x:c>
      <x:c r="U4460" s="2" t="str">
        <x:f>IF(T4460=TRUE,"Priority review",IF(R4460=TRUE,"High cost",IF(S4460=TRUE,"Low quality","Benchmark")))</x:f>
        <x:v>Benchmark</x:v>
      </x:c>
    </x:row>
    <x:row r="4461">
      <x:c r="A4461" s="2" t="str">
        <x:v>521327</x:v>
      </x:c>
      <x:c r="B4461" s="2" t="str">
        <x:v>WAUPUN MEMORIAL HOSPITAL</x:v>
      </x:c>
      <x:c r="C4461" s="2" t="str">
        <x:v>WAUPUN</x:v>
      </x:c>
      <x:c r="D4461" s="2" t="str">
        <x:v>WI</x:v>
      </x:c>
      <x:c r="E4461" s="2" t="str">
        <x:v>Critical Access Hospitals</x:v>
      </x:c>
      <x:c r="F4461" s="2" t="str">
        <x:v>Voluntary non-profit</x:v>
      </x:c>
      <x:c r="G4461" s="2" t="str">
        <x:v>Small (&lt;100 beds)</x:v>
      </x:c>
      <x:c r="H4461" s="7" t="n">
        <x:v>5</x:v>
      </x:c>
      <x:c r="I4461" s="7" t="n">
        <x:v>4</x:v>
      </x:c>
      <x:c r="J4461" s="7"/>
      <x:c r="K4461" s="8" t="n">
        <x:v>25</x:v>
      </x:c>
      <x:c r="L4461" s="8" t="n">
        <x:v>881</x:v>
      </x:c>
      <x:c r="M4461" s="9" t="n">
        <x:v>0.3096174863</x:v>
      </x:c>
      <x:c r="N4461" s="10" t="n">
        <x:v>59941.809307605</x:v>
      </x:c>
      <x:c r="O4461" s="9" t="n">
        <x:v>0.21199003</x:v>
      </x:c>
      <x:c r="P4461" s="9" t="n">
        <x:v>0.0959107807</x:v>
      </x:c>
      <x:c r="Q4461" s="9" t="n">
        <x:v>0.2602230483</x:v>
      </x:c>
      <x:c r="R4461" s="3" t="b">
        <x:v>0</x:v>
      </x:c>
      <x:c r="S4461" s="3" t="b">
        <x:v>0</x:v>
      </x:c>
      <x:c r="T4461" s="3" t="b">
        <x:v>0</x:v>
      </x:c>
      <x:c r="U4461" s="2" t="str">
        <x:f>IF(T4461=TRUE,"Priority review",IF(R4461=TRUE,"High cost",IF(S4461=TRUE,"Low quality","Benchmark")))</x:f>
        <x:v>Benchmark</x:v>
      </x:c>
    </x:row>
    <x:row r="4462">
      <x:c r="A4462" s="2" t="str">
        <x:v>010083</x:v>
      </x:c>
      <x:c r="B4462" s="2" t="str">
        <x:v>BALDWIN HEALTH</x:v>
      </x:c>
      <x:c r="C4462" s="2" t="str">
        <x:v>FOLEY</x:v>
      </x:c>
      <x:c r="D4462" s="2" t="str">
        <x:v>AL</x:v>
      </x:c>
      <x:c r="E4462" s="2" t="str">
        <x:v>Acute Care Hospitals</x:v>
      </x:c>
      <x:c r="F4462" s="2" t="str">
        <x:v>Proprietary</x:v>
      </x:c>
      <x:c r="G4462" s="2" t="str">
        <x:v>Medium (100-299 beds)</x:v>
      </x:c>
      <x:c r="H4462" s="7" t="n">
        <x:v>4</x:v>
      </x:c>
      <x:c r="I4462" s="7" t="n">
        <x:v>3</x:v>
      </x:c>
      <x:c r="J4462" s="7" t="n">
        <x:v>0.98</x:v>
      </x:c>
      <x:c r="K4462" s="8" t="n">
        <x:v>111</x:v>
      </x:c>
      <x:c r="L4462" s="8" t="n">
        <x:v>6424</x:v>
      </x:c>
      <x:c r="M4462" s="9" t="n">
        <x:v>0.6638113523</x:v>
      </x:c>
      <x:c r="N4462" s="10" t="n">
        <x:v>19553.0107409714</x:v>
      </x:c>
      <x:c r="O4462" s="9" t="n">
        <x:v>0.3390659552</x:v>
      </x:c>
      <x:c r="P4462" s="9" t="n">
        <x:v>0.0953545232</x:v>
      </x:c>
      <x:c r="Q4462" s="9" t="n">
        <x:v>0.6022819886</x:v>
      </x:c>
      <x:c r="R4462" s="3" t="b">
        <x:v>0</x:v>
      </x:c>
      <x:c r="S4462" s="3" t="b">
        <x:v>0</x:v>
      </x:c>
      <x:c r="T4462" s="3" t="b">
        <x:v>0</x:v>
      </x:c>
      <x:c r="U4462" s="2" t="str">
        <x:f>IF(T4462=TRUE,"Priority review",IF(R4462=TRUE,"High cost",IF(S4462=TRUE,"Low quality","Benchmark")))</x:f>
        <x:v>Benchmark</x:v>
      </x:c>
    </x:row>
    <x:row r="4463">
      <x:c r="A4463" s="2" t="str">
        <x:v>181320</x:v>
      </x:c>
      <x:c r="B4463" s="2" t="str">
        <x:v>LIVINGSTON HOSPITAL AND HEALTHCARE SERVICES, INC</x:v>
      </x:c>
      <x:c r="C4463" s="2" t="str">
        <x:v>SALEM</x:v>
      </x:c>
      <x:c r="D4463" s="2" t="str">
        <x:v>KY</x:v>
      </x:c>
      <x:c r="E4463" s="2" t="str">
        <x:v>Critical Access Hospitals</x:v>
      </x:c>
      <x:c r="F4463" s="2" t="str">
        <x:v>Voluntary non-profit</x:v>
      </x:c>
      <x:c r="G4463" s="2" t="str">
        <x:v>Small (&lt;100 beds)</x:v>
      </x:c>
      <x:c r="H4463" s="7" t="n">
        <x:v>4</x:v>
      </x:c>
      <x:c r="I4463" s="7"/>
      <x:c r="J4463" s="7"/>
      <x:c r="K4463" s="8" t="n">
        <x:v>25</x:v>
      </x:c>
      <x:c r="L4463" s="8" t="n">
        <x:v>406</x:v>
      </x:c>
      <x:c r="M4463" s="9" t="n">
        <x:v>0.3243715847</x:v>
      </x:c>
      <x:c r="N4463" s="10" t="n">
        <x:v>59784.0517241379</x:v>
      </x:c>
      <x:c r="O4463" s="9" t="n">
        <x:v>0.0846515176</x:v>
      </x:c>
      <x:c r="P4463" s="9" t="n">
        <x:v>0.0951672862</x:v>
      </x:c>
      <x:c r="Q4463" s="9" t="n">
        <x:v>0.1657992565</x:v>
      </x:c>
      <x:c r="R4463" s="3" t="b">
        <x:v>0</x:v>
      </x:c>
      <x:c r="S4463" s="3" t="b">
        <x:v>0</x:v>
      </x:c>
      <x:c r="T4463" s="3" t="b">
        <x:v>0</x:v>
      </x:c>
      <x:c r="U4463" s="2" t="str">
        <x:f>IF(T4463=TRUE,"Priority review",IF(R4463=TRUE,"High cost",IF(S4463=TRUE,"Low quality","Benchmark")))</x:f>
        <x:v>Benchmark</x:v>
      </x:c>
    </x:row>
    <x:row r="4464">
      <x:c r="A4464" s="2" t="str">
        <x:v>420106</x:v>
      </x:c>
      <x:c r="B4464" s="2" t="str">
        <x:v>PRISMA HEALTH BAPTIST PARKRIDGE</x:v>
      </x:c>
      <x:c r="C4464" s="2" t="str">
        <x:v>COLUMBIA</x:v>
      </x:c>
      <x:c r="D4464" s="2" t="str">
        <x:v>SC</x:v>
      </x:c>
      <x:c r="E4464" s="2" t="str">
        <x:v>Acute Care Hospitals</x:v>
      </x:c>
      <x:c r="F4464" s="2" t="str">
        <x:v>Voluntary non-profit</x:v>
      </x:c>
      <x:c r="G4464" s="2" t="str">
        <x:v>Small (&lt;100 beds)</x:v>
      </x:c>
      <x:c r="H4464" s="7" t="n">
        <x:v>4</x:v>
      </x:c>
      <x:c r="I4464" s="7" t="n">
        <x:v>3</x:v>
      </x:c>
      <x:c r="J4464" s="7" t="n">
        <x:v>0.98</x:v>
      </x:c>
      <x:c r="K4464" s="8" t="n">
        <x:v>76</x:v>
      </x:c>
      <x:c r="L4464" s="8" t="n">
        <x:v>5713</x:v>
      </x:c>
      <x:c r="M4464" s="9" t="n">
        <x:v>0.7981018119</x:v>
      </x:c>
      <x:c r="N4464" s="10" t="n">
        <x:v>26421.2203745843</x:v>
      </x:c>
      <x:c r="O4464" s="9" t="n">
        <x:v>0.2789048504</x:v>
      </x:c>
      <x:c r="P4464" s="9" t="n">
        <x:v>0.0951526032</x:v>
      </x:c>
      <x:c r="Q4464" s="9" t="n">
        <x:v>0.3913824057</x:v>
      </x:c>
      <x:c r="R4464" s="3" t="b">
        <x:v>0</x:v>
      </x:c>
      <x:c r="S4464" s="3" t="b">
        <x:v>0</x:v>
      </x:c>
      <x:c r="T4464" s="3" t="b">
        <x:v>0</x:v>
      </x:c>
      <x:c r="U4464" s="2" t="str">
        <x:f>IF(T4464=TRUE,"Priority review",IF(R4464=TRUE,"High cost",IF(S4464=TRUE,"Low quality","Benchmark")))</x:f>
        <x:v>Benchmark</x:v>
      </x:c>
    </x:row>
    <x:row r="4465">
      <x:c r="A4465" s="2" t="str">
        <x:v>100265</x:v>
      </x:c>
      <x:c r="B4465" s="2" t="str">
        <x:v>MEASE COUNTRYSIDE HOSPITAL</x:v>
      </x:c>
      <x:c r="C4465" s="2" t="str">
        <x:v>SAFETY HARBOR</x:v>
      </x:c>
      <x:c r="D4465" s="2" t="str">
        <x:v>FL</x:v>
      </x:c>
      <x:c r="E4465" s="2" t="str">
        <x:v>Acute Care Hospitals</x:v>
      </x:c>
      <x:c r="F4465" s="2" t="str">
        <x:v>Voluntary non-profit</x:v>
      </x:c>
      <x:c r="G4465" s="2" t="str">
        <x:v>Large (300+ beds)</x:v>
      </x:c>
      <x:c r="H4465" s="7" t="n">
        <x:v>4</x:v>
      </x:c>
      <x:c r="I4465" s="7" t="n">
        <x:v>4</x:v>
      </x:c>
      <x:c r="J4465" s="7" t="n">
        <x:v>1.01</x:v>
      </x:c>
      <x:c r="K4465" s="8" t="n">
        <x:v>361</x:v>
      </x:c>
      <x:c r="L4465" s="8" t="n">
        <x:v>19481</x:v>
      </x:c>
      <x:c r="M4465" s="9" t="n">
        <x:v>0.6708369284</x:v>
      </x:c>
      <x:c r="N4465" s="10" t="n">
        <x:v>22200.6946255326</x:v>
      </x:c>
      <x:c r="O4465" s="9" t="n">
        <x:v>0.1302922889</x:v>
      </x:c>
      <x:c r="P4465" s="9" t="n">
        <x:v>0.094637224</x:v>
      </x:c>
      <x:c r="Q4465" s="9" t="n">
        <x:v>0.5899053628</x:v>
      </x:c>
      <x:c r="R4465" s="3" t="b">
        <x:v>0</x:v>
      </x:c>
      <x:c r="S4465" s="3" t="b">
        <x:v>0</x:v>
      </x:c>
      <x:c r="T4465" s="3" t="b">
        <x:v>0</x:v>
      </x:c>
      <x:c r="U4465" s="2" t="str">
        <x:f>IF(T4465=TRUE,"Priority review",IF(R4465=TRUE,"High cost",IF(S4465=TRUE,"Low quality","Benchmark")))</x:f>
        <x:v>Benchmark</x:v>
      </x:c>
    </x:row>
    <x:row r="4466">
      <x:c r="A4466" s="2" t="str">
        <x:v>160028</x:v>
      </x:c>
      <x:c r="B4466" s="2" t="str">
        <x:v>CHI HEALTH MERCY COUNCIL BLUFFS</x:v>
      </x:c>
      <x:c r="C4466" s="2" t="str">
        <x:v>COUNCIL BLUFFS</x:v>
      </x:c>
      <x:c r="D4466" s="2" t="str">
        <x:v>IA</x:v>
      </x:c>
      <x:c r="E4466" s="2" t="str">
        <x:v>Acute Care Hospitals</x:v>
      </x:c>
      <x:c r="F4466" s="2" t="str">
        <x:v>Voluntary non-profit</x:v>
      </x:c>
      <x:c r="G4466" s="2" t="str">
        <x:v>Medium (100-299 beds)</x:v>
      </x:c>
      <x:c r="H4466" s="7" t="n">
        <x:v>5</x:v>
      </x:c>
      <x:c r="I4466" s="7" t="n">
        <x:v>2</x:v>
      </x:c>
      <x:c r="J4466" s="7" t="n">
        <x:v>0.97</x:v>
      </x:c>
      <x:c r="K4466" s="8" t="n">
        <x:v>141</x:v>
      </x:c>
      <x:c r="L4466" s="8" t="n">
        <x:v>6510</x:v>
      </x:c>
      <x:c r="M4466" s="9" t="n">
        <x:v>0.5534440882</x:v>
      </x:c>
      <x:c r="N4466" s="10" t="n">
        <x:v>19536.7910906298</x:v>
      </x:c>
      <x:c r="O4466" s="9" t="n">
        <x:v>-0.0397972325</x:v>
      </x:c>
      <x:c r="P4466" s="9" t="n">
        <x:v>0.0945395273</x:v>
      </x:c>
      <x:c r="Q4466" s="9" t="n">
        <x:v>0.8744906275</x:v>
      </x:c>
      <x:c r="R4466" s="3" t="b">
        <x:v>0</x:v>
      </x:c>
      <x:c r="S4466" s="3" t="b">
        <x:v>0</x:v>
      </x:c>
      <x:c r="T4466" s="3" t="b">
        <x:v>0</x:v>
      </x:c>
      <x:c r="U4466" s="2" t="str">
        <x:f>IF(T4466=TRUE,"Priority review",IF(R4466=TRUE,"High cost",IF(S4466=TRUE,"Low quality","Benchmark")))</x:f>
        <x:v>Benchmark</x:v>
      </x:c>
    </x:row>
    <x:row r="4467">
      <x:c r="A4467" s="2" t="str">
        <x:v>114004</x:v>
      </x:c>
      <x:c r="B4467" s="2" t="str">
        <x:v>SUMMITRIDGE CENTER- PSYCHIATRY &amp; ADDICTIVE MED</x:v>
      </x:c>
      <x:c r="C4467" s="2" t="str">
        <x:v>LAWRENCEVILLE</x:v>
      </x:c>
      <x:c r="D4467" s="2" t="str">
        <x:v>GA</x:v>
      </x:c>
      <x:c r="E4467" s="2" t="str">
        <x:v>Psychiatric</x:v>
      </x:c>
      <x:c r="F4467" s="2" t="str">
        <x:v>Proprietary</x:v>
      </x:c>
      <x:c r="G4467" s="2" t="str">
        <x:v>Medium (100-299 beds)</x:v>
      </x:c>
      <x:c r="H4467" s="7"/>
      <x:c r="I4467" s="7"/>
      <x:c r="J4467" s="7"/>
      <x:c r="K4467" s="8" t="n">
        <x:v>106</x:v>
      </x:c>
      <x:c r="L4467" s="8" t="n">
        <x:v>4289</x:v>
      </x:c>
      <x:c r="M4467" s="9" t="n">
        <x:v>0.9485396743</x:v>
      </x:c>
      <x:c r="N4467" s="10" t="n">
        <x:v>5653.9160643507</x:v>
      </x:c>
      <x:c r="O4467" s="9" t="n">
        <x:v>0.2919497777</x:v>
      </x:c>
      <x:c r="P4467" s="9" t="n">
        <x:v>0.0945273632</x:v>
      </x:c>
      <x:c r="Q4467" s="9" t="n">
        <x:v>0</x:v>
      </x:c>
      <x:c r="R4467" s="3" t="b">
        <x:v>0</x:v>
      </x:c>
      <x:c r="S4467" s="3" t="b">
        <x:v>0</x:v>
      </x:c>
      <x:c r="T4467" s="3" t="b">
        <x:v>0</x:v>
      </x:c>
      <x:c r="U4467" s="2" t="str">
        <x:f>IF(T4467=TRUE,"Priority review",IF(R4467=TRUE,"High cost",IF(S4467=TRUE,"Low quality","Benchmark")))</x:f>
        <x:v>Benchmark</x:v>
      </x:c>
    </x:row>
    <x:row r="4468">
      <x:c r="A4468" s="2" t="str">
        <x:v>331311</x:v>
      </x:c>
      <x:c r="B4468" s="2" t="str">
        <x:v>LITTLE FALLS HOSPITAL</x:v>
      </x:c>
      <x:c r="C4468" s="2" t="str">
        <x:v>LITTLE FALLS</x:v>
      </x:c>
      <x:c r="D4468" s="2" t="str">
        <x:v>NY</x:v>
      </x:c>
      <x:c r="E4468" s="2" t="str">
        <x:v>Critical Access Hospitals</x:v>
      </x:c>
      <x:c r="F4468" s="2" t="str">
        <x:v>Voluntary non-profit</x:v>
      </x:c>
      <x:c r="G4468" s="2" t="str">
        <x:v>Small (&lt;100 beds)</x:v>
      </x:c>
      <x:c r="H4468" s="7" t="n">
        <x:v>2</x:v>
      </x:c>
      <x:c r="I4468" s="7" t="n">
        <x:v>4</x:v>
      </x:c>
      <x:c r="J4468" s="7"/>
      <x:c r="K4468" s="8" t="n">
        <x:v>25</x:v>
      </x:c>
      <x:c r="L4468" s="8" t="n">
        <x:v>828</x:v>
      </x:c>
      <x:c r="M4468" s="9" t="n">
        <x:v>0.6478567553</x:v>
      </x:c>
      <x:c r="N4468" s="10" t="n">
        <x:v>59755.9601449275</x:v>
      </x:c>
      <x:c r="O4468" s="9" t="n">
        <x:v>0.0714031449</x:v>
      </x:c>
      <x:c r="P4468" s="9" t="n">
        <x:v>0.0944237918</x:v>
      </x:c>
      <x:c r="Q4468" s="9" t="n">
        <x:v>0.0171003717</x:v>
      </x:c>
      <x:c r="R4468" s="3" t="b">
        <x:v>0</x:v>
      </x:c>
      <x:c r="S4468" s="3" t="b">
        <x:v>1</x:v>
      </x:c>
      <x:c r="T4468" s="3" t="b">
        <x:v>0</x:v>
      </x:c>
      <x:c r="U4468" s="2" t="str">
        <x:f>IF(T4468=TRUE,"Priority review",IF(R4468=TRUE,"High cost",IF(S4468=TRUE,"Low quality","Benchmark")))</x:f>
        <x:v>Low quality</x:v>
      </x:c>
    </x:row>
    <x:row r="4469">
      <x:c r="A4469" s="2" t="str">
        <x:v>010052</x:v>
      </x:c>
      <x:c r="B4469" s="2" t="str">
        <x:v>LAKE MARTIN COMMUNITY HOSPITAL</x:v>
      </x:c>
      <x:c r="C4469" s="2" t="str">
        <x:v>DADEVILLE</x:v>
      </x:c>
      <x:c r="D4469" s="2" t="str">
        <x:v>AL</x:v>
      </x:c>
      <x:c r="E4469" s="2" t="str">
        <x:v>Acute Care Hospitals</x:v>
      </x:c>
      <x:c r="F4469" s="2" t="str">
        <x:v>Proprietary</x:v>
      </x:c>
      <x:c r="G4469" s="2" t="str">
        <x:v>Small (&lt;100 beds)</x:v>
      </x:c>
      <x:c r="H4469" s="7"/>
      <x:c r="I4469" s="7" t="n">
        <x:v>5</x:v>
      </x:c>
      <x:c r="J4469" s="7" t="n">
        <x:v>0.78</x:v>
      </x:c>
      <x:c r="K4469" s="8" t="n">
        <x:v>46</x:v>
      </x:c>
      <x:c r="L4469" s="8" t="n">
        <x:v>533</x:v>
      </x:c>
      <x:c r="M4469" s="9" t="n">
        <x:v>0.1010928962</x:v>
      </x:c>
      <x:c r="N4469" s="10" t="n">
        <x:v>26383.5684803002</x:v>
      </x:c>
      <x:c r="O4469" s="9" t="n">
        <x:v>-0.3632793603</x:v>
      </x:c>
      <x:c r="P4469" s="9" t="n">
        <x:v>0.0942549372</x:v>
      </x:c>
      <x:c r="Q4469" s="9" t="n">
        <x:v>0.697486535</x:v>
      </x:c>
      <x:c r="R4469" s="3" t="b">
        <x:v>0</x:v>
      </x:c>
      <x:c r="S4469" s="3" t="b">
        <x:v>0</x:v>
      </x:c>
      <x:c r="T4469" s="3" t="b">
        <x:v>0</x:v>
      </x:c>
      <x:c r="U4469" s="2" t="str">
        <x:f>IF(T4469=TRUE,"Priority review",IF(R4469=TRUE,"High cost",IF(S4469=TRUE,"Low quality","Benchmark")))</x:f>
        <x:v>Benchmark</x:v>
      </x:c>
    </x:row>
    <x:row r="4470">
      <x:c r="A4470" s="2" t="str">
        <x:v>104071</x:v>
      </x:c>
      <x:c r="B4470" s="2" t="str">
        <x:v>THE VINES HOSPITAL</x:v>
      </x:c>
      <x:c r="C4470" s="2" t="str">
        <x:v>OCALA</x:v>
      </x:c>
      <x:c r="D4470" s="2" t="str">
        <x:v>FL</x:v>
      </x:c>
      <x:c r="E4470" s="2" t="str">
        <x:v>Psychiatric</x:v>
      </x:c>
      <x:c r="F4470" s="2" t="str">
        <x:v>Proprietary</x:v>
      </x:c>
      <x:c r="G4470" s="2" t="str">
        <x:v>Small (&lt;100 beds)</x:v>
      </x:c>
      <x:c r="H4470" s="7"/>
      <x:c r="I4470" s="7"/>
      <x:c r="J4470" s="7"/>
      <x:c r="K4470" s="8" t="n">
        <x:v>98</x:v>
      </x:c>
      <x:c r="L4470" s="8" t="n">
        <x:v>3010</x:v>
      </x:c>
      <x:c r="M4470" s="9" t="n">
        <x:v>0.5902432206</x:v>
      </x:c>
      <x:c r="N4470" s="10" t="n">
        <x:v>6622.6282392027</x:v>
      </x:c>
      <x:c r="O4470" s="9" t="n">
        <x:v>-0.102997809</x:v>
      </x:c>
      <x:c r="P4470" s="9" t="n">
        <x:v>0.0938511327</x:v>
      </x:c>
      <x:c r="Q4470" s="9" t="n">
        <x:v>0</x:v>
      </x:c>
      <x:c r="R4470" s="3" t="b">
        <x:v>0</x:v>
      </x:c>
      <x:c r="S4470" s="3" t="b">
        <x:v>0</x:v>
      </x:c>
      <x:c r="T4470" s="3" t="b">
        <x:v>0</x:v>
      </x:c>
      <x:c r="U4470" s="2" t="str">
        <x:f>IF(T4470=TRUE,"Priority review",IF(R4470=TRUE,"High cost",IF(S4470=TRUE,"Low quality","Benchmark")))</x:f>
        <x:v>Benchmark</x:v>
      </x:c>
    </x:row>
    <x:row r="4471">
      <x:c r="A4471" s="2" t="str">
        <x:v>450677</x:v>
      </x:c>
      <x:c r="B4471" s="2" t="str">
        <x:v>TEXAS HEALTH HUGULEY HOSPITAL FORT WORTH SOUTH</x:v>
      </x:c>
      <x:c r="C4471" s="2" t="str">
        <x:v>FORT WORTH</x:v>
      </x:c>
      <x:c r="D4471" s="2" t="str">
        <x:v>TX</x:v>
      </x:c>
      <x:c r="E4471" s="2" t="str">
        <x:v>Acute Care Hospitals</x:v>
      </x:c>
      <x:c r="F4471" s="2" t="str">
        <x:v>Voluntary non-profit</x:v>
      </x:c>
      <x:c r="G4471" s="2" t="str">
        <x:v>Medium (100-299 beds)</x:v>
      </x:c>
      <x:c r="H4471" s="7" t="n">
        <x:v>3</x:v>
      </x:c>
      <x:c r="I4471" s="7" t="n">
        <x:v>3</x:v>
      </x:c>
      <x:c r="J4471" s="7" t="n">
        <x:v>1.05</x:v>
      </x:c>
      <x:c r="K4471" s="8" t="n">
        <x:v>250</x:v>
      </x:c>
      <x:c r="L4471" s="8" t="n">
        <x:v>15396</x:v>
      </x:c>
      <x:c r="M4471" s="9" t="n">
        <x:v>0.6990710383</x:v>
      </x:c>
      <x:c r="N4471" s="10" t="n">
        <x:v>19472.0259158223</x:v>
      </x:c>
      <x:c r="O4471" s="9" t="n">
        <x:v>0.1319068681</x:v>
      </x:c>
      <x:c r="P4471" s="9" t="n">
        <x:v>0.0937245314</x:v>
      </x:c>
      <x:c r="Q4471" s="9" t="n">
        <x:v>0.3023634882</x:v>
      </x:c>
      <x:c r="R4471" s="3" t="b">
        <x:v>0</x:v>
      </x:c>
      <x:c r="S4471" s="3" t="b">
        <x:v>0</x:v>
      </x:c>
      <x:c r="T4471" s="3" t="b">
        <x:v>0</x:v>
      </x:c>
      <x:c r="U4471" s="2" t="str">
        <x:f>IF(T4471=TRUE,"Priority review",IF(R4471=TRUE,"High cost",IF(S4471=TRUE,"Low quality","Benchmark")))</x:f>
        <x:v>Benchmark</x:v>
      </x:c>
    </x:row>
    <x:row r="4472">
      <x:c r="A4472" s="2" t="str">
        <x:v>251315</x:v>
      </x:c>
      <x:c r="B4472" s="2" t="str">
        <x:v>BAPTIST MEDICAL CENTER-LEAKE</x:v>
      </x:c>
      <x:c r="C4472" s="2" t="str">
        <x:v>CARTHAGE</x:v>
      </x:c>
      <x:c r="D4472" s="2" t="str">
        <x:v>MS</x:v>
      </x:c>
      <x:c r="E4472" s="2" t="str">
        <x:v>Critical Access Hospitals</x:v>
      </x:c>
      <x:c r="F4472" s="2" t="str">
        <x:v>Voluntary non-profit</x:v>
      </x:c>
      <x:c r="G4472" s="2" t="str">
        <x:v>Small (&lt;100 beds)</x:v>
      </x:c>
      <x:c r="H4472" s="7" t="n">
        <x:v>2</x:v>
      </x:c>
      <x:c r="I4472" s="7"/>
      <x:c r="J4472" s="7"/>
      <x:c r="K4472" s="8" t="n">
        <x:v>25</x:v>
      </x:c>
      <x:c r="L4472" s="8" t="n">
        <x:v>367</x:v>
      </x:c>
      <x:c r="M4472" s="9" t="n">
        <x:v>0.5114754098</x:v>
      </x:c>
      <x:c r="N4472" s="10" t="n">
        <x:v>59572.2697547684</x:v>
      </x:c>
      <x:c r="O4472" s="9" t="n">
        <x:v>-0.0987542473</x:v>
      </x:c>
      <x:c r="P4472" s="9" t="n">
        <x:v>0.0936802974</x:v>
      </x:c>
      <x:c r="Q4472" s="9" t="n">
        <x:v>0.0171003717</x:v>
      </x:c>
      <x:c r="R4472" s="3" t="b">
        <x:v>0</x:v>
      </x:c>
      <x:c r="S4472" s="3" t="b">
        <x:v>1</x:v>
      </x:c>
      <x:c r="T4472" s="3" t="b">
        <x:v>0</x:v>
      </x:c>
      <x:c r="U4472" s="2" t="str">
        <x:f>IF(T4472=TRUE,"Priority review",IF(R4472=TRUE,"High cost",IF(S4472=TRUE,"Low quality","Benchmark")))</x:f>
        <x:v>Low quality</x:v>
      </x:c>
    </x:row>
    <x:row r="4473">
      <x:c r="A4473" s="2" t="str">
        <x:v>390003</x:v>
      </x:c>
      <x:c r="B4473" s="2" t="str">
        <x:v>GEISINGER-BLOOMSBURG HOSPITAL</x:v>
      </x:c>
      <x:c r="C4473" s="2" t="str">
        <x:v>BLOOMSBURG</x:v>
      </x:c>
      <x:c r="D4473" s="2" t="str">
        <x:v>PA</x:v>
      </x:c>
      <x:c r="E4473" s="2" t="str">
        <x:v>Acute Care Hospitals</x:v>
      </x:c>
      <x:c r="F4473" s="2" t="str">
        <x:v>Voluntary non-profit</x:v>
      </x:c>
      <x:c r="G4473" s="2" t="str">
        <x:v>Small (&lt;100 beds)</x:v>
      </x:c>
      <x:c r="H4473" s="7" t="n">
        <x:v>4</x:v>
      </x:c>
      <x:c r="I4473" s="7" t="n">
        <x:v>4</x:v>
      </x:c>
      <x:c r="J4473" s="7" t="n">
        <x:v>0.94</x:v>
      </x:c>
      <x:c r="K4473" s="8" t="n">
        <x:v>39</x:v>
      </x:c>
      <x:c r="L4473" s="8" t="n">
        <x:v>2920</x:v>
      </x:c>
      <x:c r="M4473" s="9" t="n">
        <x:v>0.5707911325</x:v>
      </x:c>
      <x:c r="N4473" s="10" t="n">
        <x:v>26327.8260273973</x:v>
      </x:c>
      <x:c r="O4473" s="9" t="n">
        <x:v>0.1056211151</x:v>
      </x:c>
      <x:c r="P4473" s="9" t="n">
        <x:v>0.0933572711</x:v>
      </x:c>
      <x:c r="Q4473" s="9" t="n">
        <x:v>0.3913824057</x:v>
      </x:c>
      <x:c r="R4473" s="3" t="b">
        <x:v>0</x:v>
      </x:c>
      <x:c r="S4473" s="3" t="b">
        <x:v>0</x:v>
      </x:c>
      <x:c r="T4473" s="3" t="b">
        <x:v>0</x:v>
      </x:c>
      <x:c r="U4473" s="2" t="str">
        <x:f>IF(T4473=TRUE,"Priority review",IF(R4473=TRUE,"High cost",IF(S4473=TRUE,"Low quality","Benchmark")))</x:f>
        <x:v>Benchmark</x:v>
      </x:c>
    </x:row>
    <x:row r="4474">
      <x:c r="A4474" s="2" t="str">
        <x:v>010139</x:v>
      </x:c>
      <x:c r="B4474" s="2" t="str">
        <x:v>BAPTIST HEALTH BROOKWOOD HOSPITAL</x:v>
      </x:c>
      <x:c r="C4474" s="2" t="str">
        <x:v>BIRMINGHAM</x:v>
      </x:c>
      <x:c r="D4474" s="2" t="str">
        <x:v>AL</x:v>
      </x:c>
      <x:c r="E4474" s="2" t="str">
        <x:v>Acute Care Hospitals</x:v>
      </x:c>
      <x:c r="F4474" s="2" t="str">
        <x:v>Proprietary</x:v>
      </x:c>
      <x:c r="G4474" s="2" t="str">
        <x:v>Large (300+ beds)</x:v>
      </x:c>
      <x:c r="H4474" s="7" t="n">
        <x:v>3</x:v>
      </x:c>
      <x:c r="I4474" s="7" t="n">
        <x:v>2</x:v>
      </x:c>
      <x:c r="J4474" s="7" t="n">
        <x:v>1.09</x:v>
      </x:c>
      <x:c r="K4474" s="8" t="n">
        <x:v>429</x:v>
      </x:c>
      <x:c r="L4474" s="8" t="n">
        <x:v>15547</x:v>
      </x:c>
      <x:c r="M4474" s="9" t="n">
        <x:v>0.410765919</x:v>
      </x:c>
      <x:c r="N4474" s="10" t="n">
        <x:v>22146.2758088377</x:v>
      </x:c>
      <x:c r="O4474" s="9" t="n">
        <x:v>0.0128796772</x:v>
      </x:c>
      <x:c r="P4474" s="9" t="n">
        <x:v>0.0930599369</x:v>
      </x:c>
      <x:c r="Q4474" s="9" t="n">
        <x:v>0.2570977918</x:v>
      </x:c>
      <x:c r="R4474" s="3" t="b">
        <x:v>0</x:v>
      </x:c>
      <x:c r="S4474" s="3" t="b">
        <x:v>0</x:v>
      </x:c>
      <x:c r="T4474" s="3" t="b">
        <x:v>0</x:v>
      </x:c>
      <x:c r="U4474" s="2" t="str">
        <x:f>IF(T4474=TRUE,"Priority review",IF(R4474=TRUE,"High cost",IF(S4474=TRUE,"Low quality","Benchmark")))</x:f>
        <x:v>Benchmark</x:v>
      </x:c>
    </x:row>
    <x:row r="4475">
      <x:c r="A4475" s="2" t="str">
        <x:v>041311</x:v>
      </x:c>
      <x:c r="B4475" s="2" t="str">
        <x:v>HOWARD MEMORIAL HOSPITAL</x:v>
      </x:c>
      <x:c r="C4475" s="2" t="str">
        <x:v>NASHVILLE</x:v>
      </x:c>
      <x:c r="D4475" s="2" t="str">
        <x:v>AR</x:v>
      </x:c>
      <x:c r="E4475" s="2" t="str">
        <x:v>Critical Access Hospitals</x:v>
      </x:c>
      <x:c r="F4475" s="2" t="str">
        <x:v>Voluntary non-profit</x:v>
      </x:c>
      <x:c r="G4475" s="2" t="str">
        <x:v>Small (&lt;100 beds)</x:v>
      </x:c>
      <x:c r="H4475" s="7" t="n">
        <x:v>3</x:v>
      </x:c>
      <x:c r="I4475" s="7" t="n">
        <x:v>5</x:v>
      </x:c>
      <x:c r="J4475" s="7"/>
      <x:c r="K4475" s="8" t="n">
        <x:v>20</x:v>
      </x:c>
      <x:c r="L4475" s="8" t="n">
        <x:v>544</x:v>
      </x:c>
      <x:c r="M4475" s="9" t="n">
        <x:v>0.3799180328</x:v>
      </x:c>
      <x:c r="N4475" s="10" t="n">
        <x:v>59522.8474264706</x:v>
      </x:c>
      <x:c r="O4475" s="9" t="n">
        <x:v>-0.0817807385</x:v>
      </x:c>
      <x:c r="P4475" s="9" t="n">
        <x:v>0.092936803</x:v>
      </x:c>
      <x:c r="Q4475" s="9" t="n">
        <x:v>0.0765799257</x:v>
      </x:c>
      <x:c r="R4475" s="3" t="b">
        <x:v>0</x:v>
      </x:c>
      <x:c r="S4475" s="3" t="b">
        <x:v>1</x:v>
      </x:c>
      <x:c r="T4475" s="3" t="b">
        <x:v>0</x:v>
      </x:c>
      <x:c r="U4475" s="2" t="str">
        <x:f>IF(T4475=TRUE,"Priority review",IF(R4475=TRUE,"High cost",IF(S4475=TRUE,"Low quality","Benchmark")))</x:f>
        <x:v>Low quality</x:v>
      </x:c>
    </x:row>
    <x:row r="4476">
      <x:c r="A4476" s="2" t="str">
        <x:v>010019</x:v>
      </x:c>
      <x:c r="B4476" s="2" t="str">
        <x:v>HELEN KELLER HOSPITAL</x:v>
      </x:c>
      <x:c r="C4476" s="2" t="str">
        <x:v>SHEFFIELD</x:v>
      </x:c>
      <x:c r="D4476" s="2" t="str">
        <x:v>AL</x:v>
      </x:c>
      <x:c r="E4476" s="2" t="str">
        <x:v>Acute Care Hospitals</x:v>
      </x:c>
      <x:c r="F4476" s="2" t="str">
        <x:v>Government</x:v>
      </x:c>
      <x:c r="G4476" s="2" t="str">
        <x:v>Medium (100-299 beds)</x:v>
      </x:c>
      <x:c r="H4476" s="7" t="n">
        <x:v>2</x:v>
      </x:c>
      <x:c r="I4476" s="7" t="n">
        <x:v>4</x:v>
      </x:c>
      <x:c r="J4476" s="7" t="n">
        <x:v>1.1</x:v>
      </x:c>
      <x:c r="K4476" s="8" t="n">
        <x:v>178</x:v>
      </x:c>
      <x:c r="L4476" s="8" t="n">
        <x:v>6362</x:v>
      </x:c>
      <x:c r="M4476" s="9" t="n">
        <x:v>0.3888377233</x:v>
      </x:c>
      <x:c r="N4476" s="10" t="n">
        <x:v>19461.6259038038</x:v>
      </x:c>
      <x:c r="O4476" s="9" t="n">
        <x:v>-0.2437128871</x:v>
      </x:c>
      <x:c r="P4476" s="9" t="n">
        <x:v>0.0929095355</x:v>
      </x:c>
      <x:c r="Q4476" s="9" t="n">
        <x:v>0.0782396088</x:v>
      </x:c>
      <x:c r="R4476" s="3" t="b">
        <x:v>0</x:v>
      </x:c>
      <x:c r="S4476" s="3" t="b">
        <x:v>1</x:v>
      </x:c>
      <x:c r="T4476" s="3" t="b">
        <x:v>0</x:v>
      </x:c>
      <x:c r="U4476" s="2" t="str">
        <x:f>IF(T4476=TRUE,"Priority review",IF(R4476=TRUE,"High cost",IF(S4476=TRUE,"Low quality","Benchmark")))</x:f>
        <x:v>Low quality</x:v>
      </x:c>
    </x:row>
    <x:row r="4477">
      <x:c r="A4477" s="2" t="str">
        <x:v>670031</x:v>
      </x:c>
      <x:c r="B4477" s="2" t="str">
        <x:v>ST LUKE'S PATIENTS MEDICAL CENTER</x:v>
      </x:c>
      <x:c r="C4477" s="2" t="str">
        <x:v>PASADENA</x:v>
      </x:c>
      <x:c r="D4477" s="2" t="str">
        <x:v>TX</x:v>
      </x:c>
      <x:c r="E4477" s="2" t="str">
        <x:v>Acute Care Hospitals</x:v>
      </x:c>
      <x:c r="F4477" s="2" t="str">
        <x:v>Proprietary</x:v>
      </x:c>
      <x:c r="G4477" s="2" t="str">
        <x:v>Small (&lt;100 beds)</x:v>
      </x:c>
      <x:c r="H4477" s="7" t="n">
        <x:v>3</x:v>
      </x:c>
      <x:c r="I4477" s="7" t="n">
        <x:v>2</x:v>
      </x:c>
      <x:c r="J4477" s="7" t="n">
        <x:v>1.03</x:v>
      </x:c>
      <x:c r="K4477" s="8" t="n">
        <x:v>46</x:v>
      </x:c>
      <x:c r="L4477" s="8" t="n">
        <x:v>2948</x:v>
      </x:c>
      <x:c r="M4477" s="9" t="n">
        <x:v>0.7900536033</x:v>
      </x:c>
      <x:c r="N4477" s="10" t="n">
        <x:v>26193.7825644505</x:v>
      </x:c>
      <x:c r="O4477" s="9" t="n">
        <x:v>-0.0846432118</x:v>
      </x:c>
      <x:c r="P4477" s="9" t="n">
        <x:v>0.092459605</x:v>
      </x:c>
      <x:c r="Q4477" s="9" t="n">
        <x:v>0.1687612208</x:v>
      </x:c>
      <x:c r="R4477" s="3" t="b">
        <x:v>0</x:v>
      </x:c>
      <x:c r="S4477" s="3" t="b">
        <x:v>0</x:v>
      </x:c>
      <x:c r="T4477" s="3" t="b">
        <x:v>0</x:v>
      </x:c>
      <x:c r="U4477" s="2" t="str">
        <x:f>IF(T4477=TRUE,"Priority review",IF(R4477=TRUE,"High cost",IF(S4477=TRUE,"Low quality","Benchmark")))</x:f>
        <x:v>Benchmark</x:v>
      </x:c>
    </x:row>
    <x:row r="4478">
      <x:c r="A4478" s="2" t="str">
        <x:v>461333</x:v>
      </x:c>
      <x:c r="B4478" s="2" t="str">
        <x:v>INTERMOUNTAIN HEALTH GARFIELD MEMORIAL HOSPITAL</x:v>
      </x:c>
      <x:c r="C4478" s="2" t="str">
        <x:v>PANGUITCH</x:v>
      </x:c>
      <x:c r="D4478" s="2" t="str">
        <x:v>UT</x:v>
      </x:c>
      <x:c r="E4478" s="2" t="str">
        <x:v>Critical Access Hospitals</x:v>
      </x:c>
      <x:c r="F4478" s="2" t="str">
        <x:v>Voluntary non-profit</x:v>
      </x:c>
      <x:c r="G4478" s="2" t="str">
        <x:v>Small (&lt;100 beds)</x:v>
      </x:c>
      <x:c r="H4478" s="7"/>
      <x:c r="I4478" s="7"/>
      <x:c r="J4478" s="7"/>
      <x:c r="K4478" s="8" t="n">
        <x:v>15</x:v>
      </x:c>
      <x:c r="L4478" s="8" t="n">
        <x:v>270</x:v>
      </x:c>
      <x:c r="M4478" s="9" t="n">
        <x:v>0.2067395264</x:v>
      </x:c>
      <x:c r="N4478" s="10" t="n">
        <x:v>59411.6074074074</x:v>
      </x:c>
      <x:c r="O4478" s="9" t="n">
        <x:v>0.0165212143</x:v>
      </x:c>
      <x:c r="P4478" s="9" t="n">
        <x:v>0.0921933086</x:v>
      </x:c>
      <x:c r="Q4478" s="9" t="n">
        <x:v>0.292936803</x:v>
      </x:c>
      <x:c r="R4478" s="3" t="b">
        <x:v>0</x:v>
      </x:c>
      <x:c r="S4478" s="3" t="b">
        <x:v>0</x:v>
      </x:c>
      <x:c r="T4478" s="3" t="b">
        <x:v>0</x:v>
      </x:c>
      <x:c r="U4478" s="2" t="str">
        <x:f>IF(T4478=TRUE,"Priority review",IF(R4478=TRUE,"High cost",IF(S4478=TRUE,"Low quality","Benchmark")))</x:f>
        <x:v>Benchmark</x:v>
      </x:c>
    </x:row>
    <x:row r="4479">
      <x:c r="A4479" s="2" t="str">
        <x:v>030110</x:v>
      </x:c>
      <x:c r="B4479" s="2" t="str">
        <x:v>ABRAZO WEST CAMPUS</x:v>
      </x:c>
      <x:c r="C4479" s="2" t="str">
        <x:v>GOODYEAR</x:v>
      </x:c>
      <x:c r="D4479" s="2" t="str">
        <x:v>AZ</x:v>
      </x:c>
      <x:c r="E4479" s="2" t="str">
        <x:v>Acute Care Hospitals</x:v>
      </x:c>
      <x:c r="F4479" s="2" t="str">
        <x:v>Proprietary</x:v>
      </x:c>
      <x:c r="G4479" s="2" t="str">
        <x:v>Medium (100-299 beds)</x:v>
      </x:c>
      <x:c r="H4479" s="7" t="n">
        <x:v>2</x:v>
      </x:c>
      <x:c r="I4479" s="7" t="n">
        <x:v>1</x:v>
      </x:c>
      <x:c r="J4479" s="7" t="n">
        <x:v>1.02</x:v>
      </x:c>
      <x:c r="K4479" s="8" t="n">
        <x:v>207</x:v>
      </x:c>
      <x:c r="L4479" s="8" t="n">
        <x:v>14789</x:v>
      </x:c>
      <x:c r="M4479" s="9" t="n">
        <x:v>0.8389649924</x:v>
      </x:c>
      <x:c r="N4479" s="10" t="n">
        <x:v>19459.9096625871</x:v>
      </x:c>
      <x:c r="O4479" s="9" t="n">
        <x:v>0.2266906182</x:v>
      </x:c>
      <x:c r="P4479" s="9" t="n">
        <x:v>0.0920945395</x:v>
      </x:c>
      <x:c r="Q4479" s="9" t="n">
        <x:v>0.0782396088</x:v>
      </x:c>
      <x:c r="R4479" s="3" t="b">
        <x:v>0</x:v>
      </x:c>
      <x:c r="S4479" s="3" t="b">
        <x:v>1</x:v>
      </x:c>
      <x:c r="T4479" s="3" t="b">
        <x:v>0</x:v>
      </x:c>
      <x:c r="U4479" s="2" t="str">
        <x:f>IF(T4479=TRUE,"Priority review",IF(R4479=TRUE,"High cost",IF(S4479=TRUE,"Low quality","Benchmark")))</x:f>
        <x:v>Low quality</x:v>
      </x:c>
    </x:row>
    <x:row r="4480">
      <x:c r="A4480" s="2" t="str">
        <x:v>520208</x:v>
      </x:c>
      <x:c r="B4480" s="2" t="str">
        <x:v>SSM HEALTH ST MARY'S HOSPITAL - JANESVILLE</x:v>
      </x:c>
      <x:c r="C4480" s="2" t="str">
        <x:v>JANESVILLE</x:v>
      </x:c>
      <x:c r="D4480" s="2" t="str">
        <x:v>WI</x:v>
      </x:c>
      <x:c r="E4480" s="2" t="str">
        <x:v>Acute Care Hospitals</x:v>
      </x:c>
      <x:c r="F4480" s="2" t="str">
        <x:v>Voluntary non-profit</x:v>
      </x:c>
      <x:c r="G4480" s="2" t="str">
        <x:v>Small (&lt;100 beds)</x:v>
      </x:c>
      <x:c r="H4480" s="7" t="n">
        <x:v>4</x:v>
      </x:c>
      <x:c r="I4480" s="7" t="n">
        <x:v>3</x:v>
      </x:c>
      <x:c r="J4480" s="7" t="n">
        <x:v>0.9</x:v>
      </x:c>
      <x:c r="K4480" s="8" t="n">
        <x:v>50</x:v>
      </x:c>
      <x:c r="L4480" s="8" t="n">
        <x:v>2641</x:v>
      </x:c>
      <x:c r="M4480" s="9" t="n">
        <x:v>0.5040437158</x:v>
      </x:c>
      <x:c r="N4480" s="10" t="n">
        <x:v>26069.5399469898</x:v>
      </x:c>
      <x:c r="O4480" s="9" t="n">
        <x:v>0.2519927729</x:v>
      </x:c>
      <x:c r="P4480" s="9" t="n">
        <x:v>0.091561939</x:v>
      </x:c>
      <x:c r="Q4480" s="9" t="n">
        <x:v>0.3913824057</x:v>
      </x:c>
      <x:c r="R4480" s="3" t="b">
        <x:v>0</x:v>
      </x:c>
      <x:c r="S4480" s="3" t="b">
        <x:v>0</x:v>
      </x:c>
      <x:c r="T4480" s="3" t="b">
        <x:v>0</x:v>
      </x:c>
      <x:c r="U4480" s="2" t="str">
        <x:f>IF(T4480=TRUE,"Priority review",IF(R4480=TRUE,"High cost",IF(S4480=TRUE,"Low quality","Benchmark")))</x:f>
        <x:v>Benchmark</x:v>
      </x:c>
    </x:row>
    <x:row r="4481">
      <x:c r="A4481" s="2" t="str">
        <x:v>110177</x:v>
      </x:c>
      <x:c r="B4481" s="2" t="str">
        <x:v>DOCTORS HOSPITAL</x:v>
      </x:c>
      <x:c r="C4481" s="2" t="str">
        <x:v>AUGUSTA</x:v>
      </x:c>
      <x:c r="D4481" s="2" t="str">
        <x:v>GA</x:v>
      </x:c>
      <x:c r="E4481" s="2" t="str">
        <x:v>Acute Care Hospitals</x:v>
      </x:c>
      <x:c r="F4481" s="2" t="str">
        <x:v>Proprietary</x:v>
      </x:c>
      <x:c r="G4481" s="2" t="str">
        <x:v>Large (300+ beds)</x:v>
      </x:c>
      <x:c r="H4481" s="7" t="n">
        <x:v>3</x:v>
      </x:c>
      <x:c r="I4481" s="7" t="n">
        <x:v>3</x:v>
      </x:c>
      <x:c r="J4481" s="7" t="n">
        <x:v>0.97</x:v>
      </x:c>
      <x:c r="K4481" s="8" t="n">
        <x:v>319</x:v>
      </x:c>
      <x:c r="L4481" s="8" t="n">
        <x:v>16298</x:v>
      </x:c>
      <x:c r="M4481" s="9" t="n">
        <x:v>0.7860056534</x:v>
      </x:c>
      <x:c r="N4481" s="10" t="n">
        <x:v>22107.8483863051</x:v>
      </x:c>
      <x:c r="O4481" s="9" t="n">
        <x:v>0.3448456768</x:v>
      </x:c>
      <x:c r="P4481" s="9" t="n">
        <x:v>0.0914826498</x:v>
      </x:c>
      <x:c r="Q4481" s="9" t="n">
        <x:v>0.2570977918</x:v>
      </x:c>
      <x:c r="R4481" s="3" t="b">
        <x:v>0</x:v>
      </x:c>
      <x:c r="S4481" s="3" t="b">
        <x:v>0</x:v>
      </x:c>
      <x:c r="T4481" s="3" t="b">
        <x:v>0</x:v>
      </x:c>
      <x:c r="U4481" s="2" t="str">
        <x:f>IF(T4481=TRUE,"Priority review",IF(R4481=TRUE,"High cost",IF(S4481=TRUE,"Low quality","Benchmark")))</x:f>
        <x:v>Benchmark</x:v>
      </x:c>
    </x:row>
    <x:row r="4482">
      <x:c r="A4482" s="2" t="str">
        <x:v>171377</x:v>
      </x:c>
      <x:c r="B4482" s="2" t="str">
        <x:v>SMITH COUNTY MEMORIAL HOSPITAL</x:v>
      </x:c>
      <x:c r="C4482" s="2" t="str">
        <x:v>SMITH CENTER</x:v>
      </x:c>
      <x:c r="D4482" s="2" t="str">
        <x:v>KS</x:v>
      </x:c>
      <x:c r="E4482" s="2" t="str">
        <x:v>Critical Access Hospitals</x:v>
      </x:c>
      <x:c r="F4482" s="2" t="str">
        <x:v>Government</x:v>
      </x:c>
      <x:c r="G4482" s="2" t="str">
        <x:v>Small (&lt;100 beds)</x:v>
      </x:c>
      <x:c r="H4482" s="7"/>
      <x:c r="I4482" s="7" t="n">
        <x:v>4</x:v>
      </x:c>
      <x:c r="J4482" s="7"/>
      <x:c r="K4482" s="8" t="n">
        <x:v>16</x:v>
      </x:c>
      <x:c r="L4482" s="8" t="n">
        <x:v>466</x:v>
      </x:c>
      <x:c r="M4482" s="9" t="n">
        <x:v>0.3631849315</x:v>
      </x:c>
      <x:c r="N4482" s="10" t="n">
        <x:v>59410.5858369099</x:v>
      </x:c>
      <x:c r="O4482" s="9" t="n">
        <x:v>-0.2112248326</x:v>
      </x:c>
      <x:c r="P4482" s="9" t="n">
        <x:v>0.0914498141</x:v>
      </x:c>
      <x:c r="Q4482" s="9" t="n">
        <x:v>0.292936803</x:v>
      </x:c>
      <x:c r="R4482" s="3" t="b">
        <x:v>0</x:v>
      </x:c>
      <x:c r="S4482" s="3" t="b">
        <x:v>0</x:v>
      </x:c>
      <x:c r="T4482" s="3" t="b">
        <x:v>0</x:v>
      </x:c>
      <x:c r="U4482" s="2" t="str">
        <x:f>IF(T4482=TRUE,"Priority review",IF(R4482=TRUE,"High cost",IF(S4482=TRUE,"Low quality","Benchmark")))</x:f>
        <x:v>Benchmark</x:v>
      </x:c>
    </x:row>
    <x:row r="4483">
      <x:c r="A4483" s="2" t="str">
        <x:v>360096</x:v>
      </x:c>
      <x:c r="B4483" s="2" t="str">
        <x:v>EAST LIVERPOOL CITY HOSPITAL</x:v>
      </x:c>
      <x:c r="C4483" s="2" t="str">
        <x:v>EAST LIVERPOOL</x:v>
      </x:c>
      <x:c r="D4483" s="2" t="str">
        <x:v>OH</x:v>
      </x:c>
      <x:c r="E4483" s="2" t="str">
        <x:v>Acute Care Hospitals</x:v>
      </x:c>
      <x:c r="F4483" s="2" t="str">
        <x:v>Voluntary non-profit</x:v>
      </x:c>
      <x:c r="G4483" s="2" t="str">
        <x:v>Medium (100-299 beds)</x:v>
      </x:c>
      <x:c r="H4483" s="7" t="n">
        <x:v>3</x:v>
      </x:c>
      <x:c r="I4483" s="7" t="n">
        <x:v>3</x:v>
      </x:c>
      <x:c r="J4483" s="7" t="n">
        <x:v>0.95</x:v>
      </x:c>
      <x:c r="K4483" s="8" t="n">
        <x:v>104</x:v>
      </x:c>
      <x:c r="L4483" s="8" t="n">
        <x:v>3717</x:v>
      </x:c>
      <x:c r="M4483" s="9" t="n">
        <x:v>0.3308375368</x:v>
      </x:c>
      <x:c r="N4483" s="10" t="n">
        <x:v>19437.7231638418</x:v>
      </x:c>
      <x:c r="O4483" s="9" t="n">
        <x:v>0.1325473882</x:v>
      </x:c>
      <x:c r="P4483" s="9" t="n">
        <x:v>0.0912795436</x:v>
      </x:c>
      <x:c r="Q4483" s="9" t="n">
        <x:v>0.3023634882</x:v>
      </x:c>
      <x:c r="R4483" s="3" t="b">
        <x:v>0</x:v>
      </x:c>
      <x:c r="S4483" s="3" t="b">
        <x:v>0</x:v>
      </x:c>
      <x:c r="T4483" s="3" t="b">
        <x:v>0</x:v>
      </x:c>
      <x:c r="U4483" s="2" t="str">
        <x:f>IF(T4483=TRUE,"Priority review",IF(R4483=TRUE,"High cost",IF(S4483=TRUE,"Low quality","Benchmark")))</x:f>
        <x:v>Benchmark</x:v>
      </x:c>
    </x:row>
    <x:row r="4484">
      <x:c r="A4484" s="2" t="str">
        <x:v>391309</x:v>
      </x:c>
      <x:c r="B4484" s="2" t="str">
        <x:v>BARNES-KASSON COUNTY HOSPITAL</x:v>
      </x:c>
      <x:c r="C4484" s="2" t="str">
        <x:v>SUSQUEHANNA</x:v>
      </x:c>
      <x:c r="D4484" s="2" t="str">
        <x:v>PA</x:v>
      </x:c>
      <x:c r="E4484" s="2" t="str">
        <x:v>Critical Access Hospitals</x:v>
      </x:c>
      <x:c r="F4484" s="2" t="str">
        <x:v>Voluntary non-profit</x:v>
      </x:c>
      <x:c r="G4484" s="2" t="str">
        <x:v>Small (&lt;100 beds)</x:v>
      </x:c>
      <x:c r="H4484" s="7"/>
      <x:c r="I4484" s="7"/>
      <x:c r="J4484" s="7"/>
      <x:c r="K4484" s="8" t="n">
        <x:v>25</x:v>
      </x:c>
      <x:c r="L4484" s="8" t="n">
        <x:v>310</x:v>
      </x:c>
      <x:c r="M4484" s="9" t="n">
        <x:v>0.1713972603</x:v>
      </x:c>
      <x:c r="N4484" s="10" t="n">
        <x:v>59364.735483871</x:v>
      </x:c>
      <x:c r="O4484" s="9" t="n">
        <x:v>-0.1669842152</x:v>
      </x:c>
      <x:c r="P4484" s="9" t="n">
        <x:v>0.0907063197</x:v>
      </x:c>
      <x:c r="Q4484" s="9" t="n">
        <x:v>0.292936803</x:v>
      </x:c>
      <x:c r="R4484" s="3" t="b">
        <x:v>0</x:v>
      </x:c>
      <x:c r="S4484" s="3" t="b">
        <x:v>0</x:v>
      </x:c>
      <x:c r="T4484" s="3" t="b">
        <x:v>0</x:v>
      </x:c>
      <x:c r="U4484" s="2" t="str">
        <x:f>IF(T4484=TRUE,"Priority review",IF(R4484=TRUE,"High cost",IF(S4484=TRUE,"Low quality","Benchmark")))</x:f>
        <x:v>Benchmark</x:v>
      </x:c>
    </x:row>
    <x:row r="4485">
      <x:c r="A4485" s="2" t="str">
        <x:v>010112</x:v>
      </x:c>
      <x:c r="B4485" s="2" t="str">
        <x:v>WHITFIELD REGIONAL HOSPITAL</x:v>
      </x:c>
      <x:c r="C4485" s="2" t="str">
        <x:v>DEMOPOLIS</x:v>
      </x:c>
      <x:c r="D4485" s="2" t="str">
        <x:v>AL</x:v>
      </x:c>
      <x:c r="E4485" s="2" t="str">
        <x:v>Acute Care Hospitals</x:v>
      </x:c>
      <x:c r="F4485" s="2" t="str">
        <x:v>Government</x:v>
      </x:c>
      <x:c r="G4485" s="2" t="str">
        <x:v>Small (&lt;100 beds)</x:v>
      </x:c>
      <x:c r="H4485" s="7" t="n">
        <x:v>2</x:v>
      </x:c>
      <x:c r="I4485" s="7" t="n">
        <x:v>3</x:v>
      </x:c>
      <x:c r="J4485" s="7" t="n">
        <x:v>0.85</x:v>
      </x:c>
      <x:c r="K4485" s="8" t="n">
        <x:v>47</x:v>
      </x:c>
      <x:c r="L4485" s="8" t="n">
        <x:v>1982</x:v>
      </x:c>
      <x:c r="M4485" s="9" t="n">
        <x:v>0.4752354377</x:v>
      </x:c>
      <x:c r="N4485" s="10" t="n">
        <x:v>26052.6816347124</x:v>
      </x:c>
      <x:c r="O4485" s="9" t="n">
        <x:v>-0.4084233382</x:v>
      </x:c>
      <x:c r="P4485" s="9" t="n">
        <x:v>0.0906642729</x:v>
      </x:c>
      <x:c r="Q4485" s="9" t="n">
        <x:v>0.0350089767</x:v>
      </x:c>
      <x:c r="R4485" s="3" t="b">
        <x:v>0</x:v>
      </x:c>
      <x:c r="S4485" s="3" t="b">
        <x:v>1</x:v>
      </x:c>
      <x:c r="T4485" s="3" t="b">
        <x:v>0</x:v>
      </x:c>
      <x:c r="U4485" s="2" t="str">
        <x:f>IF(T4485=TRUE,"Priority review",IF(R4485=TRUE,"High cost",IF(S4485=TRUE,"Low quality","Benchmark")))</x:f>
        <x:v>Low quality</x:v>
      </x:c>
    </x:row>
    <x:row r="4486">
      <x:c r="A4486" s="2" t="str">
        <x:v>044007</x:v>
      </x:c>
      <x:c r="B4486" s="2" t="str">
        <x:v>RIVENDELL BEHAVIORAL HEALTH SERVICES</x:v>
      </x:c>
      <x:c r="C4486" s="2" t="str">
        <x:v>BENTON</x:v>
      </x:c>
      <x:c r="D4486" s="2" t="str">
        <x:v>AR</x:v>
      </x:c>
      <x:c r="E4486" s="2" t="str">
        <x:v>Psychiatric</x:v>
      </x:c>
      <x:c r="F4486" s="2" t="str">
        <x:v>Proprietary</x:v>
      </x:c>
      <x:c r="G4486" s="2" t="str">
        <x:v>Small (&lt;100 beds)</x:v>
      </x:c>
      <x:c r="H4486" s="7"/>
      <x:c r="I4486" s="7"/>
      <x:c r="J4486" s="7"/>
      <x:c r="K4486" s="8" t="n">
        <x:v>69</x:v>
      </x:c>
      <x:c r="L4486" s="8" t="n">
        <x:v>2528</x:v>
      </x:c>
      <x:c r="M4486" s="9" t="n">
        <x:v>0.6985824028</x:v>
      </x:c>
      <x:c r="N4486" s="10" t="n">
        <x:v>6603.6503164557</x:v>
      </x:c>
      <x:c r="O4486" s="9" t="n">
        <x:v>0.2503033316</x:v>
      </x:c>
      <x:c r="P4486" s="9" t="n">
        <x:v>0.0906148867</x:v>
      </x:c>
      <x:c r="Q4486" s="9" t="n">
        <x:v>0</x:v>
      </x:c>
      <x:c r="R4486" s="3" t="b">
        <x:v>0</x:v>
      </x:c>
      <x:c r="S4486" s="3" t="b">
        <x:v>0</x:v>
      </x:c>
      <x:c r="T4486" s="3" t="b">
        <x:v>0</x:v>
      </x:c>
      <x:c r="U4486" s="2" t="str">
        <x:f>IF(T4486=TRUE,"Priority review",IF(R4486=TRUE,"High cost",IF(S4486=TRUE,"Low quality","Benchmark")))</x:f>
        <x:v>Benchmark</x:v>
      </x:c>
    </x:row>
    <x:row r="4487">
      <x:c r="A4487" s="2" t="str">
        <x:v>360236</x:v>
      </x:c>
      <x:c r="B4487" s="2" t="str">
        <x:v>MERCY HEALTH - CLERMONT HOSPITAL</x:v>
      </x:c>
      <x:c r="C4487" s="2" t="str">
        <x:v>BATAVIA</x:v>
      </x:c>
      <x:c r="D4487" s="2" t="str">
        <x:v>OH</x:v>
      </x:c>
      <x:c r="E4487" s="2" t="str">
        <x:v>Acute Care Hospitals</x:v>
      </x:c>
      <x:c r="F4487" s="2" t="str">
        <x:v>Voluntary non-profit</x:v>
      </x:c>
      <x:c r="G4487" s="2" t="str">
        <x:v>Medium (100-299 beds)</x:v>
      </x:c>
      <x:c r="H4487" s="7" t="n">
        <x:v>4</x:v>
      </x:c>
      <x:c r="I4487" s="7" t="n">
        <x:v>3</x:v>
      </x:c>
      <x:c r="J4487" s="7" t="n">
        <x:v>0.96</x:v>
      </x:c>
      <x:c r="K4487" s="8" t="n">
        <x:v>147</x:v>
      </x:c>
      <x:c r="L4487" s="8" t="n">
        <x:v>8021</x:v>
      </x:c>
      <x:c r="M4487" s="9" t="n">
        <x:v>0.5319133118</x:v>
      </x:c>
      <x:c r="N4487" s="10" t="n">
        <x:v>19424.095623987</x:v>
      </x:c>
      <x:c r="O4487" s="9" t="n">
        <x:v>0.0383454045</x:v>
      </x:c>
      <x:c r="P4487" s="9" t="n">
        <x:v>0.0904645477</x:v>
      </x:c>
      <x:c r="Q4487" s="9" t="n">
        <x:v>0.6022819886</x:v>
      </x:c>
      <x:c r="R4487" s="3" t="b">
        <x:v>0</x:v>
      </x:c>
      <x:c r="S4487" s="3" t="b">
        <x:v>0</x:v>
      </x:c>
      <x:c r="T4487" s="3" t="b">
        <x:v>0</x:v>
      </x:c>
      <x:c r="U4487" s="2" t="str">
        <x:f>IF(T4487=TRUE,"Priority review",IF(R4487=TRUE,"High cost",IF(S4487=TRUE,"Low quality","Benchmark")))</x:f>
        <x:v>Benchmark</x:v>
      </x:c>
    </x:row>
    <x:row r="4488">
      <x:c r="A4488" s="2" t="str">
        <x:v>451390</x:v>
      </x:c>
      <x:c r="B4488" s="2" t="str">
        <x:v>DIMMIT REGIONAL HOSPITAL</x:v>
      </x:c>
      <x:c r="C4488" s="2" t="str">
        <x:v>CARRIZO SPRINGS</x:v>
      </x:c>
      <x:c r="D4488" s="2" t="str">
        <x:v>TX</x:v>
      </x:c>
      <x:c r="E4488" s="2" t="str">
        <x:v>Critical Access Hospitals</x:v>
      </x:c>
      <x:c r="F4488" s="2" t="str">
        <x:v>Voluntary non-profit</x:v>
      </x:c>
      <x:c r="G4488" s="2" t="str">
        <x:v>Small (&lt;100 beds)</x:v>
      </x:c>
      <x:c r="H4488" s="7"/>
      <x:c r="I4488" s="7"/>
      <x:c r="J4488" s="7"/>
      <x:c r="K4488" s="8" t="n">
        <x:v>25</x:v>
      </x:c>
      <x:c r="L4488" s="8" t="n">
        <x:v>513</x:v>
      </x:c>
      <x:c r="M4488" s="9" t="n">
        <x:v>0.2989071038</x:v>
      </x:c>
      <x:c r="N4488" s="10" t="n">
        <x:v>59226.1539961014</x:v>
      </x:c>
      <x:c r="O4488" s="9" t="n">
        <x:v>-0.6605869423</x:v>
      </x:c>
      <x:c r="P4488" s="9" t="n">
        <x:v>0.0899628253</x:v>
      </x:c>
      <x:c r="Q4488" s="9" t="n">
        <x:v>0.292936803</x:v>
      </x:c>
      <x:c r="R4488" s="3" t="b">
        <x:v>0</x:v>
      </x:c>
      <x:c r="S4488" s="3" t="b">
        <x:v>0</x:v>
      </x:c>
      <x:c r="T4488" s="3" t="b">
        <x:v>0</x:v>
      </x:c>
      <x:c r="U4488" s="2" t="str">
        <x:f>IF(T4488=TRUE,"Priority review",IF(R4488=TRUE,"High cost",IF(S4488=TRUE,"Low quality","Benchmark")))</x:f>
        <x:v>Benchmark</x:v>
      </x:c>
    </x:row>
    <x:row r="4489">
      <x:c r="A4489" s="2" t="str">
        <x:v>450002</x:v>
      </x:c>
      <x:c r="B4489" s="2" t="str">
        <x:v>THE HOSPITALS OF PROVIDENCE - MEMORIAL CAMPUS</x:v>
      </x:c>
      <x:c r="C4489" s="2" t="str">
        <x:v>EL PASO</x:v>
      </x:c>
      <x:c r="D4489" s="2" t="str">
        <x:v>TX</x:v>
      </x:c>
      <x:c r="E4489" s="2" t="str">
        <x:v>Acute Care Hospitals</x:v>
      </x:c>
      <x:c r="F4489" s="2" t="str">
        <x:v>Proprietary</x:v>
      </x:c>
      <x:c r="G4489" s="2" t="str">
        <x:v>Large (300+ beds)</x:v>
      </x:c>
      <x:c r="H4489" s="7" t="n">
        <x:v>2</x:v>
      </x:c>
      <x:c r="I4489" s="7" t="n">
        <x:v>2</x:v>
      </x:c>
      <x:c r="J4489" s="7" t="n">
        <x:v>1.04</x:v>
      </x:c>
      <x:c r="K4489" s="8" t="n">
        <x:v>362</x:v>
      </x:c>
      <x:c r="L4489" s="8" t="n">
        <x:v>12103</x:v>
      </x:c>
      <x:c r="M4489" s="9" t="n">
        <x:v>0.4111405434</x:v>
      </x:c>
      <x:c r="N4489" s="10" t="n">
        <x:v>22077.2290341238</x:v>
      </x:c>
      <x:c r="O4489" s="9" t="n">
        <x:v>0.1283121015</x:v>
      </x:c>
      <x:c r="P4489" s="9" t="n">
        <x:v>0.0899053628</x:v>
      </x:c>
      <x:c r="Q4489" s="9" t="n">
        <x:v>0.0536277603</x:v>
      </x:c>
      <x:c r="R4489" s="3" t="b">
        <x:v>0</x:v>
      </x:c>
      <x:c r="S4489" s="3" t="b">
        <x:v>1</x:v>
      </x:c>
      <x:c r="T4489" s="3" t="b">
        <x:v>0</x:v>
      </x:c>
      <x:c r="U4489" s="2" t="str">
        <x:f>IF(T4489=TRUE,"Priority review",IF(R4489=TRUE,"High cost",IF(S4489=TRUE,"Low quality","Benchmark")))</x:f>
        <x:v>Low quality</x:v>
      </x:c>
    </x:row>
    <x:row r="4490">
      <x:c r="A4490" s="2" t="str">
        <x:v>450165</x:v>
      </x:c>
      <x:c r="B4490" s="2" t="str">
        <x:v>METHODIST HOSPITAL ATASCOSA</x:v>
      </x:c>
      <x:c r="C4490" s="2" t="str">
        <x:v>JOURDANTON</x:v>
      </x:c>
      <x:c r="D4490" s="2" t="str">
        <x:v>TX</x:v>
      </x:c>
      <x:c r="E4490" s="2" t="str">
        <x:v>Acute Care Hospitals</x:v>
      </x:c>
      <x:c r="F4490" s="2" t="str">
        <x:v>Proprietary</x:v>
      </x:c>
      <x:c r="G4490" s="2" t="str">
        <x:v>Small (&lt;100 beds)</x:v>
      </x:c>
      <x:c r="H4490" s="7" t="n">
        <x:v>3</x:v>
      </x:c>
      <x:c r="I4490" s="7" t="n">
        <x:v>3</x:v>
      </x:c>
      <x:c r="J4490" s="7" t="n">
        <x:v>0.96</x:v>
      </x:c>
      <x:c r="K4490" s="8" t="n">
        <x:v>67</x:v>
      </x:c>
      <x:c r="L4490" s="8" t="n">
        <x:v>1496</x:v>
      </x:c>
      <x:c r="M4490" s="9" t="n">
        <x:v>0.1548967491</x:v>
      </x:c>
      <x:c r="N4490" s="10" t="n">
        <x:v>25843.4792780749</x:v>
      </x:c>
      <x:c r="O4490" s="9" t="n">
        <x:v>0.0926110095</x:v>
      </x:c>
      <x:c r="P4490" s="9" t="n">
        <x:v>0.0897666068</x:v>
      </x:c>
      <x:c r="Q4490" s="9" t="n">
        <x:v>0.1687612208</x:v>
      </x:c>
      <x:c r="R4490" s="3" t="b">
        <x:v>0</x:v>
      </x:c>
      <x:c r="S4490" s="3" t="b">
        <x:v>0</x:v>
      </x:c>
      <x:c r="T4490" s="3" t="b">
        <x:v>0</x:v>
      </x:c>
      <x:c r="U4490" s="2" t="str">
        <x:f>IF(T4490=TRUE,"Priority review",IF(R4490=TRUE,"High cost",IF(S4490=TRUE,"Low quality","Benchmark")))</x:f>
        <x:v>Benchmark</x:v>
      </x:c>
    </x:row>
    <x:row r="4491">
      <x:c r="A4491" s="2" t="str">
        <x:v>030030</x:v>
      </x:c>
      <x:c r="B4491" s="2" t="str">
        <x:v>ABRAZO CENTRAL CAMPUS</x:v>
      </x:c>
      <x:c r="C4491" s="2" t="str">
        <x:v>PHOENIX</x:v>
      </x:c>
      <x:c r="D4491" s="2" t="str">
        <x:v>AZ</x:v>
      </x:c>
      <x:c r="E4491" s="2" t="str">
        <x:v>Acute Care Hospitals</x:v>
      </x:c>
      <x:c r="F4491" s="2" t="str">
        <x:v>Other / unknown</x:v>
      </x:c>
      <x:c r="G4491" s="2" t="str">
        <x:v>Medium (100-299 beds)</x:v>
      </x:c>
      <x:c r="H4491" s="7" t="n">
        <x:v>2</x:v>
      </x:c>
      <x:c r="I4491" s="7" t="n">
        <x:v>1</x:v>
      </x:c>
      <x:c r="J4491" s="7" t="n">
        <x:v>1.08</x:v>
      </x:c>
      <x:c r="K4491" s="8" t="n">
        <x:v>154</x:v>
      </x:c>
      <x:c r="L4491" s="8" t="n">
        <x:v>5412</x:v>
      </x:c>
      <x:c r="M4491" s="9" t="n">
        <x:v>0.4201387653</x:v>
      </x:c>
      <x:c r="N4491" s="10" t="n">
        <x:v>19409.9868810052</x:v>
      </x:c>
      <x:c r="O4491" s="9" t="n">
        <x:v>0.0466585387</x:v>
      </x:c>
      <x:c r="P4491" s="9" t="n">
        <x:v>0.0896495518</x:v>
      </x:c>
      <x:c r="Q4491" s="9" t="n">
        <x:v>0.0782396088</x:v>
      </x:c>
      <x:c r="R4491" s="3" t="b">
        <x:v>0</x:v>
      </x:c>
      <x:c r="S4491" s="3" t="b">
        <x:v>1</x:v>
      </x:c>
      <x:c r="T4491" s="3" t="b">
        <x:v>0</x:v>
      </x:c>
      <x:c r="U4491" s="2" t="str">
        <x:f>IF(T4491=TRUE,"Priority review",IF(R4491=TRUE,"High cost",IF(S4491=TRUE,"Low quality","Benchmark")))</x:f>
        <x:v>Low quality</x:v>
      </x:c>
    </x:row>
    <x:row r="4492">
      <x:c r="A4492" s="2" t="str">
        <x:v>404005</x:v>
      </x:c>
      <x:c r="B4492" s="2" t="str">
        <x:v>SAN JUAN CAPESTRANO  HOSPITAL INC</x:v>
      </x:c>
      <x:c r="C4492" s="2" t="str">
        <x:v>RIO PIEDRAS</x:v>
      </x:c>
      <x:c r="D4492" s="2" t="str">
        <x:v>PR</x:v>
      </x:c>
      <x:c r="E4492" s="2" t="str">
        <x:v>Psychiatric</x:v>
      </x:c>
      <x:c r="F4492" s="2" t="str">
        <x:v>Proprietary</x:v>
      </x:c>
      <x:c r="G4492" s="2" t="str">
        <x:v>Medium (100-299 beds)</x:v>
      </x:c>
      <x:c r="H4492" s="7"/>
      <x:c r="I4492" s="7"/>
      <x:c r="J4492" s="7"/>
      <x:c r="K4492" s="8" t="n">
        <x:v>160</x:v>
      </x:c>
      <x:c r="L4492" s="8" t="n">
        <x:v>6492</x:v>
      </x:c>
      <x:c r="M4492" s="9" t="n">
        <x:v>0.7977459016</x:v>
      </x:c>
      <x:c r="N4492" s="10" t="n">
        <x:v>5616.5224892175</x:v>
      </x:c>
      <x:c r="O4492" s="9" t="n">
        <x:v>0.034439118</x:v>
      </x:c>
      <x:c r="P4492" s="9" t="n">
        <x:v>0.0895522388</x:v>
      </x:c>
      <x:c r="Q4492" s="9" t="n">
        <x:v>0</x:v>
      </x:c>
      <x:c r="R4492" s="3" t="b">
        <x:v>0</x:v>
      </x:c>
      <x:c r="S4492" s="3" t="b">
        <x:v>0</x:v>
      </x:c>
      <x:c r="T4492" s="3" t="b">
        <x:v>0</x:v>
      </x:c>
      <x:c r="U4492" s="2" t="str">
        <x:f>IF(T4492=TRUE,"Priority review",IF(R4492=TRUE,"High cost",IF(S4492=TRUE,"Low quality","Benchmark")))</x:f>
        <x:v>Benchmark</x:v>
      </x:c>
    </x:row>
    <x:row r="4493">
      <x:c r="A4493" s="2" t="str">
        <x:v>271320</x:v>
      </x:c>
      <x:c r="B4493" s="2" t="str">
        <x:v>CABINET PEAKS MEDICAL CENTER</x:v>
      </x:c>
      <x:c r="C4493" s="2" t="str">
        <x:v>LIBBY</x:v>
      </x:c>
      <x:c r="D4493" s="2" t="str">
        <x:v>MT</x:v>
      </x:c>
      <x:c r="E4493" s="2" t="str">
        <x:v>Critical Access Hospitals</x:v>
      </x:c>
      <x:c r="F4493" s="2" t="str">
        <x:v>Voluntary non-profit</x:v>
      </x:c>
      <x:c r="G4493" s="2" t="str">
        <x:v>Small (&lt;100 beds)</x:v>
      </x:c>
      <x:c r="H4493" s="7" t="n">
        <x:v>2</x:v>
      </x:c>
      <x:c r="I4493" s="7" t="n">
        <x:v>4</x:v>
      </x:c>
      <x:c r="J4493" s="7"/>
      <x:c r="K4493" s="8" t="n">
        <x:v>25</x:v>
      </x:c>
      <x:c r="L4493" s="8" t="n">
        <x:v>929</x:v>
      </x:c>
      <x:c r="M4493" s="9" t="n">
        <x:v>0.3514520548</x:v>
      </x:c>
      <x:c r="N4493" s="10" t="n">
        <x:v>59174.8245425188</x:v>
      </x:c>
      <x:c r="O4493" s="9" t="n">
        <x:v>-0.0099122884</x:v>
      </x:c>
      <x:c r="P4493" s="9" t="n">
        <x:v>0.0892193309</x:v>
      </x:c>
      <x:c r="Q4493" s="9" t="n">
        <x:v>0.0171003717</x:v>
      </x:c>
      <x:c r="R4493" s="3" t="b">
        <x:v>0</x:v>
      </x:c>
      <x:c r="S4493" s="3" t="b">
        <x:v>1</x:v>
      </x:c>
      <x:c r="T4493" s="3" t="b">
        <x:v>0</x:v>
      </x:c>
      <x:c r="U4493" s="2" t="str">
        <x:f>IF(T4493=TRUE,"Priority review",IF(R4493=TRUE,"High cost",IF(S4493=TRUE,"Low quality","Benchmark")))</x:f>
        <x:v>Low quality</x:v>
      </x:c>
    </x:row>
    <x:row r="4494">
      <x:c r="A4494" s="2" t="str">
        <x:v>280132</x:v>
      </x:c>
      <x:c r="B4494" s="2" t="str">
        <x:v>BELLEVUE MEDICAL CENTER</x:v>
      </x:c>
      <x:c r="C4494" s="2" t="str">
        <x:v>BELLEVUE</x:v>
      </x:c>
      <x:c r="D4494" s="2" t="str">
        <x:v>NE</x:v>
      </x:c>
      <x:c r="E4494" s="2" t="str">
        <x:v>Acute Care Hospitals</x:v>
      </x:c>
      <x:c r="F4494" s="2" t="str">
        <x:v>Proprietary</x:v>
      </x:c>
      <x:c r="G4494" s="2" t="str">
        <x:v>Small (&lt;100 beds)</x:v>
      </x:c>
      <x:c r="H4494" s="7" t="n">
        <x:v>4</x:v>
      </x:c>
      <x:c r="I4494" s="7" t="n">
        <x:v>3</x:v>
      </x:c>
      <x:c r="J4494" s="7" t="n">
        <x:v>0.92</x:v>
      </x:c>
      <x:c r="K4494" s="8" t="n">
        <x:v>71</x:v>
      </x:c>
      <x:c r="L4494" s="8" t="n">
        <x:v>4404</x:v>
      </x:c>
      <x:c r="M4494" s="9" t="n">
        <x:v>0.7426442046</x:v>
      </x:c>
      <x:c r="N4494" s="10" t="n">
        <x:v>25817.9854677566</x:v>
      </x:c>
      <x:c r="O4494" s="9" t="n">
        <x:v>0.2232125995</x:v>
      </x:c>
      <x:c r="P4494" s="9" t="n">
        <x:v>0.0888689408</x:v>
      </x:c>
      <x:c r="Q4494" s="9" t="n">
        <x:v>0.3913824057</x:v>
      </x:c>
      <x:c r="R4494" s="3" t="b">
        <x:v>0</x:v>
      </x:c>
      <x:c r="S4494" s="3" t="b">
        <x:v>0</x:v>
      </x:c>
      <x:c r="T4494" s="3" t="b">
        <x:v>0</x:v>
      </x:c>
      <x:c r="U4494" s="2" t="str">
        <x:f>IF(T4494=TRUE,"Priority review",IF(R4494=TRUE,"High cost",IF(S4494=TRUE,"Low quality","Benchmark")))</x:f>
        <x:v>Benchmark</x:v>
      </x:c>
    </x:row>
    <x:row r="4495">
      <x:c r="A4495" s="2" t="str">
        <x:v>370025</x:v>
      </x:c>
      <x:c r="B4495" s="2" t="str">
        <x:v>SAINT FRANCIS HOSPITAL MUSKOGEE</x:v>
      </x:c>
      <x:c r="C4495" s="2" t="str">
        <x:v>MUSKOGEE</x:v>
      </x:c>
      <x:c r="D4495" s="2" t="str">
        <x:v>OK</x:v>
      </x:c>
      <x:c r="E4495" s="2" t="str">
        <x:v>Acute Care Hospitals</x:v>
      </x:c>
      <x:c r="F4495" s="2" t="str">
        <x:v>Voluntary non-profit</x:v>
      </x:c>
      <x:c r="G4495" s="2" t="str">
        <x:v>Medium (100-299 beds)</x:v>
      </x:c>
      <x:c r="H4495" s="7" t="n">
        <x:v>3</x:v>
      </x:c>
      <x:c r="I4495" s="7" t="n">
        <x:v>3</x:v>
      </x:c>
      <x:c r="J4495" s="7" t="n">
        <x:v>0.99</x:v>
      </x:c>
      <x:c r="K4495" s="8" t="n">
        <x:v>236</x:v>
      </x:c>
      <x:c r="L4495" s="8" t="n">
        <x:v>9927</x:v>
      </x:c>
      <x:c r="M4495" s="9" t="n">
        <x:v>0.459243052</x:v>
      </x:c>
      <x:c r="N4495" s="10" t="n">
        <x:v>19386.1349853934</x:v>
      </x:c>
      <x:c r="O4495" s="9" t="n">
        <x:v>0.17046223</x:v>
      </x:c>
      <x:c r="P4495" s="9" t="n">
        <x:v>0.0888345558</x:v>
      </x:c>
      <x:c r="Q4495" s="9" t="n">
        <x:v>0.3023634882</x:v>
      </x:c>
      <x:c r="R4495" s="3" t="b">
        <x:v>0</x:v>
      </x:c>
      <x:c r="S4495" s="3" t="b">
        <x:v>0</x:v>
      </x:c>
      <x:c r="T4495" s="3" t="b">
        <x:v>0</x:v>
      </x:c>
      <x:c r="U4495" s="2" t="str">
        <x:f>IF(T4495=TRUE,"Priority review",IF(R4495=TRUE,"High cost",IF(S4495=TRUE,"Low quality","Benchmark")))</x:f>
        <x:v>Benchmark</x:v>
      </x:c>
    </x:row>
    <x:row r="4496">
      <x:c r="A4496" s="2" t="str">
        <x:v>041321</x:v>
      </x:c>
      <x:c r="B4496" s="2" t="str">
        <x:v>BAPTIST HEALTH MEDICAL CENTER-ARKADELPHIA</x:v>
      </x:c>
      <x:c r="C4496" s="2" t="str">
        <x:v>ARKADELPHIA</x:v>
      </x:c>
      <x:c r="D4496" s="2" t="str">
        <x:v>AR</x:v>
      </x:c>
      <x:c r="E4496" s="2" t="str">
        <x:v>Critical Access Hospitals</x:v>
      </x:c>
      <x:c r="F4496" s="2" t="str">
        <x:v>Voluntary non-profit</x:v>
      </x:c>
      <x:c r="G4496" s="2" t="str">
        <x:v>Small (&lt;100 beds)</x:v>
      </x:c>
      <x:c r="H4496" s="7"/>
      <x:c r="I4496" s="7"/>
      <x:c r="J4496" s="7"/>
      <x:c r="K4496" s="8" t="n">
        <x:v>25</x:v>
      </x:c>
      <x:c r="L4496" s="8" t="n">
        <x:v>559</x:v>
      </x:c>
      <x:c r="M4496" s="9" t="n">
        <x:v>0.1767213115</x:v>
      </x:c>
      <x:c r="N4496" s="10" t="n">
        <x:v>59023.3703041145</x:v>
      </x:c>
      <x:c r="O4496" s="9" t="n">
        <x:v>-0.066948754</x:v>
      </x:c>
      <x:c r="P4496" s="9" t="n">
        <x:v>0.0884758364</x:v>
      </x:c>
      <x:c r="Q4496" s="9" t="n">
        <x:v>0.292936803</x:v>
      </x:c>
      <x:c r="R4496" s="3" t="b">
        <x:v>0</x:v>
      </x:c>
      <x:c r="S4496" s="3" t="b">
        <x:v>0</x:v>
      </x:c>
      <x:c r="T4496" s="3" t="b">
        <x:v>0</x:v>
      </x:c>
      <x:c r="U4496" s="2" t="str">
        <x:f>IF(T4496=TRUE,"Priority review",IF(R4496=TRUE,"High cost",IF(S4496=TRUE,"Low quality","Benchmark")))</x:f>
        <x:v>Benchmark</x:v>
      </x:c>
    </x:row>
    <x:row r="4497">
      <x:c r="A4497" s="2" t="str">
        <x:v>340021</x:v>
      </x:c>
      <x:c r="B4497" s="2" t="str">
        <x:v>ATRIUM HEALTH CLEVELAND</x:v>
      </x:c>
      <x:c r="C4497" s="2" t="str">
        <x:v>SHELBY</x:v>
      </x:c>
      <x:c r="D4497" s="2" t="str">
        <x:v>NC</x:v>
      </x:c>
      <x:c r="E4497" s="2" t="str">
        <x:v>Acute Care Hospitals</x:v>
      </x:c>
      <x:c r="F4497" s="2" t="str">
        <x:v>Government</x:v>
      </x:c>
      <x:c r="G4497" s="2" t="str">
        <x:v>Large (300+ beds)</x:v>
      </x:c>
      <x:c r="H4497" s="7" t="n">
        <x:v>3</x:v>
      </x:c>
      <x:c r="I4497" s="7" t="n">
        <x:v>3</x:v>
      </x:c>
      <x:c r="J4497" s="7" t="n">
        <x:v>0.94</x:v>
      </x:c>
      <x:c r="K4497" s="8" t="n">
        <x:v>308</x:v>
      </x:c>
      <x:c r="L4497" s="8" t="n">
        <x:v>14790</x:v>
      </x:c>
      <x:c r="M4497" s="9" t="n">
        <x:v>0.6181693989</x:v>
      </x:c>
      <x:c r="N4497" s="10" t="n">
        <x:v>21993.7231237323</x:v>
      </x:c>
      <x:c r="O4497" s="9" t="n">
        <x:v>0.1636881813</x:v>
      </x:c>
      <x:c r="P4497" s="9" t="n">
        <x:v>0.0883280757</x:v>
      </x:c>
      <x:c r="Q4497" s="9" t="n">
        <x:v>0.2570977918</x:v>
      </x:c>
      <x:c r="R4497" s="3" t="b">
        <x:v>0</x:v>
      </x:c>
      <x:c r="S4497" s="3" t="b">
        <x:v>0</x:v>
      </x:c>
      <x:c r="T4497" s="3" t="b">
        <x:v>0</x:v>
      </x:c>
      <x:c r="U4497" s="2" t="str">
        <x:f>IF(T4497=TRUE,"Priority review",IF(R4497=TRUE,"High cost",IF(S4497=TRUE,"Low quality","Benchmark")))</x:f>
        <x:v>Benchmark</x:v>
      </x:c>
    </x:row>
    <x:row r="4498">
      <x:c r="A4498" s="2" t="str">
        <x:v>450518</x:v>
      </x:c>
      <x:c r="B4498" s="2" t="str">
        <x:v>THE MEDICAL CENTER OF SOUTHEAST TEXAS</x:v>
      </x:c>
      <x:c r="C4498" s="2" t="str">
        <x:v>PORT ARTHUR</x:v>
      </x:c>
      <x:c r="D4498" s="2" t="str">
        <x:v>TX</x:v>
      </x:c>
      <x:c r="E4498" s="2" t="str">
        <x:v>Acute Care Hospitals</x:v>
      </x:c>
      <x:c r="F4498" s="2" t="str">
        <x:v>Other / unknown</x:v>
      </x:c>
      <x:c r="G4498" s="2" t="str">
        <x:v>Medium (100-299 beds)</x:v>
      </x:c>
      <x:c r="H4498" s="7" t="n">
        <x:v>3</x:v>
      </x:c>
      <x:c r="I4498" s="7" t="n">
        <x:v>3</x:v>
      </x:c>
      <x:c r="J4498" s="7" t="n">
        <x:v>1.11</x:v>
      </x:c>
      <x:c r="K4498" s="8" t="n">
        <x:v>196</x:v>
      </x:c>
      <x:c r="L4498" s="8" t="n">
        <x:v>3402</x:v>
      </x:c>
      <x:c r="M4498" s="9" t="n">
        <x:v>0.2347241002</x:v>
      </x:c>
      <x:c r="N4498" s="10" t="n">
        <x:v>19332.9209288654</x:v>
      </x:c>
      <x:c r="O4498" s="9" t="n">
        <x:v>0.0725002893</x:v>
      </x:c>
      <x:c r="P4498" s="9" t="n">
        <x:v>0.0880195599</x:v>
      </x:c>
      <x:c r="Q4498" s="9" t="n">
        <x:v>0.3023634882</x:v>
      </x:c>
      <x:c r="R4498" s="3" t="b">
        <x:v>0</x:v>
      </x:c>
      <x:c r="S4498" s="3" t="b">
        <x:v>0</x:v>
      </x:c>
      <x:c r="T4498" s="3" t="b">
        <x:v>0</x:v>
      </x:c>
      <x:c r="U4498" s="2" t="str">
        <x:f>IF(T4498=TRUE,"Priority review",IF(R4498=TRUE,"High cost",IF(S4498=TRUE,"Low quality","Benchmark")))</x:f>
        <x:v>Benchmark</x:v>
      </x:c>
    </x:row>
    <x:row r="4499">
      <x:c r="A4499" s="2" t="str">
        <x:v>100140</x:v>
      </x:c>
      <x:c r="B4499" s="2" t="str">
        <x:v>BAPTIST MEDICAL CENTER - NASSAU</x:v>
      </x:c>
      <x:c r="C4499" s="2" t="str">
        <x:v>FERNANDINA BEACH</x:v>
      </x:c>
      <x:c r="D4499" s="2" t="str">
        <x:v>FL</x:v>
      </x:c>
      <x:c r="E4499" s="2" t="str">
        <x:v>Acute Care Hospitals</x:v>
      </x:c>
      <x:c r="F4499" s="2" t="str">
        <x:v>Voluntary non-profit</x:v>
      </x:c>
      <x:c r="G4499" s="2" t="str">
        <x:v>Small (&lt;100 beds)</x:v>
      </x:c>
      <x:c r="H4499" s="7" t="n">
        <x:v>4</x:v>
      </x:c>
      <x:c r="I4499" s="7" t="n">
        <x:v>3</x:v>
      </x:c>
      <x:c r="J4499" s="7" t="n">
        <x:v>0.88</x:v>
      </x:c>
      <x:c r="K4499" s="8" t="n">
        <x:v>54</x:v>
      </x:c>
      <x:c r="L4499" s="8" t="n">
        <x:v>3408</x:v>
      </x:c>
      <x:c r="M4499" s="9" t="n">
        <x:v>0.5881906497</x:v>
      </x:c>
      <x:c r="N4499" s="10" t="n">
        <x:v>25777.4151995305</x:v>
      </x:c>
      <x:c r="O4499" s="9" t="n">
        <x:v>0.1265373589</x:v>
      </x:c>
      <x:c r="P4499" s="9" t="n">
        <x:v>0.0879712747</x:v>
      </x:c>
      <x:c r="Q4499" s="9" t="n">
        <x:v>0.3913824057</x:v>
      </x:c>
      <x:c r="R4499" s="3" t="b">
        <x:v>0</x:v>
      </x:c>
      <x:c r="S4499" s="3" t="b">
        <x:v>0</x:v>
      </x:c>
      <x:c r="T4499" s="3" t="b">
        <x:v>0</x:v>
      </x:c>
      <x:c r="U4499" s="2" t="str">
        <x:f>IF(T4499=TRUE,"Priority review",IF(R4499=TRUE,"High cost",IF(S4499=TRUE,"Low quality","Benchmark")))</x:f>
        <x:v>Benchmark</x:v>
      </x:c>
    </x:row>
    <x:row r="4500">
      <x:c r="A4500" s="2" t="str">
        <x:v>101307</x:v>
      </x:c>
      <x:c r="B4500" s="2" t="str">
        <x:v>DOCTORS MEMORIAL HOSPITAL</x:v>
      </x:c>
      <x:c r="C4500" s="2" t="str">
        <x:v>BONIFAY</x:v>
      </x:c>
      <x:c r="D4500" s="2" t="str">
        <x:v>FL</x:v>
      </x:c>
      <x:c r="E4500" s="2" t="str">
        <x:v>Critical Access Hospitals</x:v>
      </x:c>
      <x:c r="F4500" s="2" t="str">
        <x:v>Government</x:v>
      </x:c>
      <x:c r="G4500" s="2" t="str">
        <x:v>Small (&lt;100 beds)</x:v>
      </x:c>
      <x:c r="H4500" s="7" t="n">
        <x:v>2</x:v>
      </x:c>
      <x:c r="I4500" s="7"/>
      <x:c r="J4500" s="7"/>
      <x:c r="K4500" s="8" t="n">
        <x:v>20</x:v>
      </x:c>
      <x:c r="L4500" s="8" t="n">
        <x:v>425</x:v>
      </x:c>
      <x:c r="M4500" s="9" t="n">
        <x:v>0.3450819672</x:v>
      </x:c>
      <x:c r="N4500" s="10" t="n">
        <x:v>58916.8564705882</x:v>
      </x:c>
      <x:c r="O4500" s="9" t="n">
        <x:v>0.0054629177</x:v>
      </x:c>
      <x:c r="P4500" s="9" t="n">
        <x:v>0.087732342</x:v>
      </x:c>
      <x:c r="Q4500" s="9" t="n">
        <x:v>0.0171003717</x:v>
      </x:c>
      <x:c r="R4500" s="3" t="b">
        <x:v>0</x:v>
      </x:c>
      <x:c r="S4500" s="3" t="b">
        <x:v>1</x:v>
      </x:c>
      <x:c r="T4500" s="3" t="b">
        <x:v>0</x:v>
      </x:c>
      <x:c r="U4500" s="2" t="str">
        <x:f>IF(T4500=TRUE,"Priority review",IF(R4500=TRUE,"High cost",IF(S4500=TRUE,"Low quality","Benchmark")))</x:f>
        <x:v>Low quality</x:v>
      </x:c>
    </x:row>
    <x:row r="4501">
      <x:c r="A4501" s="2" t="str">
        <x:v>194044</x:v>
      </x:c>
      <x:c r="B4501" s="2" t="str">
        <x:v>VERMILION BEHAVIORAL HEALTH SYSTEMS</x:v>
      </x:c>
      <x:c r="C4501" s="2" t="str">
        <x:v>LAFAYETTE</x:v>
      </x:c>
      <x:c r="D4501" s="2" t="str">
        <x:v>LA</x:v>
      </x:c>
      <x:c r="E4501" s="2" t="str">
        <x:v>Psychiatric</x:v>
      </x:c>
      <x:c r="F4501" s="2" t="str">
        <x:v>Proprietary</x:v>
      </x:c>
      <x:c r="G4501" s="2" t="str">
        <x:v>Small (&lt;100 beds)</x:v>
      </x:c>
      <x:c r="H4501" s="7"/>
      <x:c r="I4501" s="7"/>
      <x:c r="J4501" s="7"/>
      <x:c r="K4501" s="8" t="n">
        <x:v>78</x:v>
      </x:c>
      <x:c r="L4501" s="8" t="n">
        <x:v>2904</x:v>
      </x:c>
      <x:c r="M4501" s="9" t="n">
        <x:v>0.8183760684</x:v>
      </x:c>
      <x:c r="N4501" s="10" t="n">
        <x:v>6574.7892561983</x:v>
      </x:c>
      <x:c r="O4501" s="9" t="n">
        <x:v>0.0661804638</x:v>
      </x:c>
      <x:c r="P4501" s="9" t="n">
        <x:v>0.0873786408</x:v>
      </x:c>
      <x:c r="Q4501" s="9" t="n">
        <x:v>0</x:v>
      </x:c>
      <x:c r="R4501" s="3" t="b">
        <x:v>0</x:v>
      </x:c>
      <x:c r="S4501" s="3" t="b">
        <x:v>0</x:v>
      </x:c>
      <x:c r="T4501" s="3" t="b">
        <x:v>0</x:v>
      </x:c>
      <x:c r="U4501" s="2" t="str">
        <x:f>IF(T4501=TRUE,"Priority review",IF(R4501=TRUE,"High cost",IF(S4501=TRUE,"Low quality","Benchmark")))</x:f>
        <x:v>Benchmark</x:v>
      </x:c>
    </x:row>
    <x:row r="4502">
      <x:c r="A4502" s="2" t="str">
        <x:v>100223</x:v>
      </x:c>
      <x:c r="B4502" s="2" t="str">
        <x:v>HCA FLORIDA FORT WALTON-DESTIN HOSPITAL</x:v>
      </x:c>
      <x:c r="C4502" s="2" t="str">
        <x:v>FORT WALTON BEACH</x:v>
      </x:c>
      <x:c r="D4502" s="2" t="str">
        <x:v>FL</x:v>
      </x:c>
      <x:c r="E4502" s="2" t="str">
        <x:v>Acute Care Hospitals</x:v>
      </x:c>
      <x:c r="F4502" s="2" t="str">
        <x:v>Proprietary</x:v>
      </x:c>
      <x:c r="G4502" s="2" t="str">
        <x:v>Medium (100-299 beds)</x:v>
      </x:c>
      <x:c r="H4502" s="7" t="n">
        <x:v>3</x:v>
      </x:c>
      <x:c r="I4502" s="7" t="n">
        <x:v>3</x:v>
      </x:c>
      <x:c r="J4502" s="7" t="n">
        <x:v>1.06</x:v>
      </x:c>
      <x:c r="K4502" s="8" t="n">
        <x:v>248</x:v>
      </x:c>
      <x:c r="L4502" s="8" t="n">
        <x:v>11767</x:v>
      </x:c>
      <x:c r="M4502" s="9" t="n">
        <x:v>0.6196047608</x:v>
      </x:c>
      <x:c r="N4502" s="10" t="n">
        <x:v>19305.8651312994</x:v>
      </x:c>
      <x:c r="O4502" s="9" t="n">
        <x:v>0.4127494984</x:v>
      </x:c>
      <x:c r="P4502" s="9" t="n">
        <x:v>0.087204564</x:v>
      </x:c>
      <x:c r="Q4502" s="9" t="n">
        <x:v>0.3023634882</x:v>
      </x:c>
      <x:c r="R4502" s="3" t="b">
        <x:v>0</x:v>
      </x:c>
      <x:c r="S4502" s="3" t="b">
        <x:v>0</x:v>
      </x:c>
      <x:c r="T4502" s="3" t="b">
        <x:v>0</x:v>
      </x:c>
      <x:c r="U4502" s="2" t="str">
        <x:f>IF(T4502=TRUE,"Priority review",IF(R4502=TRUE,"High cost",IF(S4502=TRUE,"Low quality","Benchmark")))</x:f>
        <x:v>Benchmark</x:v>
      </x:c>
    </x:row>
    <x:row r="4503">
      <x:c r="A4503" s="2" t="str">
        <x:v>400128</x:v>
      </x:c>
      <x:c r="B4503" s="2" t="str">
        <x:v>HOSPITAL PAVIA HATO REY, INC</x:v>
      </x:c>
      <x:c r="C4503" s="2" t="str">
        <x:v>HATO REY</x:v>
      </x:c>
      <x:c r="D4503" s="2" t="str">
        <x:v>PR</x:v>
      </x:c>
      <x:c r="E4503" s="2" t="str">
        <x:v>Acute Care Hospitals</x:v>
      </x:c>
      <x:c r="F4503" s="2" t="str">
        <x:v>Proprietary</x:v>
      </x:c>
      <x:c r="G4503" s="2" t="str">
        <x:v>Small (&lt;100 beds)</x:v>
      </x:c>
      <x:c r="H4503" s="7"/>
      <x:c r="I4503" s="7"/>
      <x:c r="J4503" s="7"/>
      <x:c r="K4503" s="8" t="n">
        <x:v>42</x:v>
      </x:c>
      <x:c r="L4503" s="8" t="n">
        <x:v>1556</x:v>
      </x:c>
      <x:c r="M4503" s="9" t="n">
        <x:v>0.5925324675</x:v>
      </x:c>
      <x:c r="N4503" s="10" t="n">
        <x:v>25746.5700514139</x:v>
      </x:c>
      <x:c r="O4503" s="9" t="n">
        <x:v>-0.2277407823</x:v>
      </x:c>
      <x:c r="P4503" s="9" t="n">
        <x:v>0.0870736086</x:v>
      </x:c>
      <x:c r="Q4503" s="9" t="n">
        <x:v>0.697486535</x:v>
      </x:c>
      <x:c r="R4503" s="3" t="b">
        <x:v>0</x:v>
      </x:c>
      <x:c r="S4503" s="3" t="b">
        <x:v>0</x:v>
      </x:c>
      <x:c r="T4503" s="3" t="b">
        <x:v>0</x:v>
      </x:c>
      <x:c r="U4503" s="2" t="str">
        <x:f>IF(T4503=TRUE,"Priority review",IF(R4503=TRUE,"High cost",IF(S4503=TRUE,"Low quality","Benchmark")))</x:f>
        <x:v>Benchmark</x:v>
      </x:c>
    </x:row>
    <x:row r="4504">
      <x:c r="A4504" s="2" t="str">
        <x:v>491305</x:v>
      </x:c>
      <x:c r="B4504" s="2" t="str">
        <x:v>SHENANDOAH MEMORIAL HOSPITAL</x:v>
      </x:c>
      <x:c r="C4504" s="2" t="str">
        <x:v>WOODSTOCK</x:v>
      </x:c>
      <x:c r="D4504" s="2" t="str">
        <x:v>VA</x:v>
      </x:c>
      <x:c r="E4504" s="2" t="str">
        <x:v>Critical Access Hospitals</x:v>
      </x:c>
      <x:c r="F4504" s="2" t="str">
        <x:v>Voluntary non-profit</x:v>
      </x:c>
      <x:c r="G4504" s="2" t="str">
        <x:v>Small (&lt;100 beds)</x:v>
      </x:c>
      <x:c r="H4504" s="7" t="n">
        <x:v>3</x:v>
      </x:c>
      <x:c r="I4504" s="7" t="n">
        <x:v>4</x:v>
      </x:c>
      <x:c r="J4504" s="7"/>
      <x:c r="K4504" s="8" t="n">
        <x:v>25</x:v>
      </x:c>
      <x:c r="L4504" s="8" t="n">
        <x:v>1443</x:v>
      </x:c>
      <x:c r="M4504" s="9" t="n">
        <x:v>0.7691803279</x:v>
      </x:c>
      <x:c r="N4504" s="10" t="n">
        <x:v>58909.9521829522</x:v>
      </x:c>
      <x:c r="O4504" s="9" t="n">
        <x:v>0.056161362</x:v>
      </x:c>
      <x:c r="P4504" s="9" t="n">
        <x:v>0.0869888476</x:v>
      </x:c>
      <x:c r="Q4504" s="9" t="n">
        <x:v>0.0765799257</x:v>
      </x:c>
      <x:c r="R4504" s="3" t="b">
        <x:v>0</x:v>
      </x:c>
      <x:c r="S4504" s="3" t="b">
        <x:v>1</x:v>
      </x:c>
      <x:c r="T4504" s="3" t="b">
        <x:v>0</x:v>
      </x:c>
      <x:c r="U4504" s="2" t="str">
        <x:f>IF(T4504=TRUE,"Priority review",IF(R4504=TRUE,"High cost",IF(S4504=TRUE,"Low quality","Benchmark")))</x:f>
        <x:v>Low quality</x:v>
      </x:c>
    </x:row>
    <x:row r="4505">
      <x:c r="A4505" s="2" t="str">
        <x:v>110036</x:v>
      </x:c>
      <x:c r="B4505" s="2" t="str">
        <x:v>SAVANNAH HEALTH SERVICES LLC DBA MEMORIAL HEALTH UNIVERSITY MEDICAL CENTER</x:v>
      </x:c>
      <x:c r="C4505" s="2" t="str">
        <x:v>SAVANNAH</x:v>
      </x:c>
      <x:c r="D4505" s="2" t="str">
        <x:v>GA</x:v>
      </x:c>
      <x:c r="E4505" s="2" t="str">
        <x:v>Acute Care Hospitals</x:v>
      </x:c>
      <x:c r="F4505" s="2" t="str">
        <x:v>Voluntary non-profit</x:v>
      </x:c>
      <x:c r="G4505" s="2" t="str">
        <x:v>Large (300+ beds)</x:v>
      </x:c>
      <x:c r="H4505" s="7" t="n">
        <x:v>1</x:v>
      </x:c>
      <x:c r="I4505" s="7" t="n">
        <x:v>2</x:v>
      </x:c>
      <x:c r="J4505" s="7" t="n">
        <x:v>1.05</x:v>
      </x:c>
      <x:c r="K4505" s="8" t="n">
        <x:v>616</x:v>
      </x:c>
      <x:c r="L4505" s="8" t="n">
        <x:v>36253</x:v>
      </x:c>
      <x:c r="M4505" s="9" t="n">
        <x:v>0.9511338691</x:v>
      </x:c>
      <x:c r="N4505" s="10" t="n">
        <x:v>21855.7927343944</x:v>
      </x:c>
      <x:c r="O4505" s="9" t="n">
        <x:v>0.1311332591</x:v>
      </x:c>
      <x:c r="P4505" s="9" t="n">
        <x:v>0.0867507886</x:v>
      </x:c>
      <x:c r="Q4505" s="9" t="n">
        <x:v>0</x:v>
      </x:c>
      <x:c r="R4505" s="3" t="b">
        <x:v>0</x:v>
      </x:c>
      <x:c r="S4505" s="3" t="b">
        <x:v>1</x:v>
      </x:c>
      <x:c r="T4505" s="3" t="b">
        <x:v>0</x:v>
      </x:c>
      <x:c r="U4505" s="2" t="str">
        <x:f>IF(T4505=TRUE,"Priority review",IF(R4505=TRUE,"High cost",IF(S4505=TRUE,"Low quality","Benchmark")))</x:f>
        <x:v>Low quality</x:v>
      </x:c>
    </x:row>
    <x:row r="4506">
      <x:c r="A4506" s="2" t="str">
        <x:v>110003</x:v>
      </x:c>
      <x:c r="B4506" s="2" t="str">
        <x:v>Memorial Satilla Health</x:v>
      </x:c>
      <x:c r="C4506" s="2" t="str">
        <x:v>WAYCROSS</x:v>
      </x:c>
      <x:c r="D4506" s="2" t="str">
        <x:v>GA</x:v>
      </x:c>
      <x:c r="E4506" s="2" t="str">
        <x:v>Acute Care Hospitals</x:v>
      </x:c>
      <x:c r="F4506" s="2" t="str">
        <x:v>Voluntary non-profit</x:v>
      </x:c>
      <x:c r="G4506" s="2" t="str">
        <x:v>Medium (100-299 beds)</x:v>
      </x:c>
      <x:c r="H4506" s="7" t="n">
        <x:v>3</x:v>
      </x:c>
      <x:c r="I4506" s="7" t="n">
        <x:v>3</x:v>
      </x:c>
      <x:c r="J4506" s="7" t="n">
        <x:v>0.99</x:v>
      </x:c>
      <x:c r="K4506" s="8" t="n">
        <x:v>130</x:v>
      </x:c>
      <x:c r="L4506" s="8" t="n">
        <x:v>6725</x:v>
      </x:c>
      <x:c r="M4506" s="9" t="n">
        <x:v>0.5613795418</x:v>
      </x:c>
      <x:c r="N4506" s="10" t="n">
        <x:v>19030.6569516729</x:v>
      </x:c>
      <x:c r="O4506" s="9" t="n">
        <x:v>0.0558042972</x:v>
      </x:c>
      <x:c r="P4506" s="9" t="n">
        <x:v>0.0863895681</x:v>
      </x:c>
      <x:c r="Q4506" s="9" t="n">
        <x:v>0.3023634882</x:v>
      </x:c>
      <x:c r="R4506" s="3" t="b">
        <x:v>0</x:v>
      </x:c>
      <x:c r="S4506" s="3" t="b">
        <x:v>0</x:v>
      </x:c>
      <x:c r="T4506" s="3" t="b">
        <x:v>0</x:v>
      </x:c>
      <x:c r="U4506" s="2" t="str">
        <x:f>IF(T4506=TRUE,"Priority review",IF(R4506=TRUE,"High cost",IF(S4506=TRUE,"Low quality","Benchmark")))</x:f>
        <x:v>Benchmark</x:v>
      </x:c>
    </x:row>
    <x:row r="4507">
      <x:c r="A4507" s="2" t="str">
        <x:v>351318</x:v>
      </x:c>
      <x:c r="B4507" s="2" t="str">
        <x:v>CARRINGTON HEALTH CENTER</x:v>
      </x:c>
      <x:c r="C4507" s="2" t="str">
        <x:v>CARRINGTON</x:v>
      </x:c>
      <x:c r="D4507" s="2" t="str">
        <x:v>ND</x:v>
      </x:c>
      <x:c r="E4507" s="2" t="str">
        <x:v>Critical Access Hospitals</x:v>
      </x:c>
      <x:c r="F4507" s="2" t="str">
        <x:v>Voluntary non-profit</x:v>
      </x:c>
      <x:c r="G4507" s="2" t="str">
        <x:v>Small (&lt;100 beds)</x:v>
      </x:c>
      <x:c r="H4507" s="7"/>
      <x:c r="I4507" s="7"/>
      <x:c r="J4507" s="7"/>
      <x:c r="K4507" s="8" t="n">
        <x:v>25</x:v>
      </x:c>
      <x:c r="L4507" s="8" t="n">
        <x:v>243</x:v>
      </x:c>
      <x:c r="M4507" s="9" t="n">
        <x:v>0.1056438356</x:v>
      </x:c>
      <x:c r="N4507" s="10" t="n">
        <x:v>58875.8312757202</x:v>
      </x:c>
      <x:c r="O4507" s="9" t="n">
        <x:v>-0.1262212784</x:v>
      </x:c>
      <x:c r="P4507" s="9" t="n">
        <x:v>0.0862453532</x:v>
      </x:c>
      <x:c r="Q4507" s="9" t="n">
        <x:v>0.292936803</x:v>
      </x:c>
      <x:c r="R4507" s="3" t="b">
        <x:v>0</x:v>
      </x:c>
      <x:c r="S4507" s="3" t="b">
        <x:v>0</x:v>
      </x:c>
      <x:c r="T4507" s="3" t="b">
        <x:v>0</x:v>
      </x:c>
      <x:c r="U4507" s="2" t="str">
        <x:f>IF(T4507=TRUE,"Priority review",IF(R4507=TRUE,"High cost",IF(S4507=TRUE,"Low quality","Benchmark")))</x:f>
        <x:v>Benchmark</x:v>
      </x:c>
    </x:row>
    <x:row r="4508">
      <x:c r="A4508" s="2" t="str">
        <x:v>440020</x:v>
      </x:c>
      <x:c r="B4508" s="2" t="str">
        <x:v>SOUTHERN TENNESSEE REGIONAL HEALTH SYSTEM PULASKI</x:v>
      </x:c>
      <x:c r="C4508" s="2" t="str">
        <x:v>PULASKI</x:v>
      </x:c>
      <x:c r="D4508" s="2" t="str">
        <x:v>TN</x:v>
      </x:c>
      <x:c r="E4508" s="2" t="str">
        <x:v>Acute Care Hospitals</x:v>
      </x:c>
      <x:c r="F4508" s="2" t="str">
        <x:v>Proprietary</x:v>
      </x:c>
      <x:c r="G4508" s="2" t="str">
        <x:v>Small (&lt;100 beds)</x:v>
      </x:c>
      <x:c r="H4508" s="7" t="n">
        <x:v>3</x:v>
      </x:c>
      <x:c r="I4508" s="7" t="n">
        <x:v>3</x:v>
      </x:c>
      <x:c r="J4508" s="7" t="n">
        <x:v>0.94</x:v>
      </x:c>
      <x:c r="K4508" s="8" t="n">
        <x:v>81</x:v>
      </x:c>
      <x:c r="L4508" s="8" t="n">
        <x:v>1708</x:v>
      </x:c>
      <x:c r="M4508" s="9" t="n">
        <x:v>0.2336571544</x:v>
      </x:c>
      <x:c r="N4508" s="10" t="n">
        <x:v>25728.862412178</x:v>
      </x:c>
      <x:c r="O4508" s="9" t="n">
        <x:v>0.0142391354</x:v>
      </x:c>
      <x:c r="P4508" s="9" t="n">
        <x:v>0.0861759425</x:v>
      </x:c>
      <x:c r="Q4508" s="9" t="n">
        <x:v>0.1687612208</x:v>
      </x:c>
      <x:c r="R4508" s="3" t="b">
        <x:v>0</x:v>
      </x:c>
      <x:c r="S4508" s="3" t="b">
        <x:v>0</x:v>
      </x:c>
      <x:c r="T4508" s="3" t="b">
        <x:v>0</x:v>
      </x:c>
      <x:c r="U4508" s="2" t="str">
        <x:f>IF(T4508=TRUE,"Priority review",IF(R4508=TRUE,"High cost",IF(S4508=TRUE,"Low quality","Benchmark")))</x:f>
        <x:v>Benchmark</x:v>
      </x:c>
    </x:row>
    <x:row r="4509">
      <x:c r="A4509" s="2" t="str">
        <x:v>100359</x:v>
      </x:c>
      <x:c r="B4509" s="2" t="str">
        <x:v>SARASOTA MEMORIAL HOSPITAL - VENICE</x:v>
      </x:c>
      <x:c r="C4509" s="2" t="str">
        <x:v>NORTH VENICE</x:v>
      </x:c>
      <x:c r="D4509" s="2" t="str">
        <x:v>FL</x:v>
      </x:c>
      <x:c r="E4509" s="2" t="str">
        <x:v>Acute Care Hospitals</x:v>
      </x:c>
      <x:c r="F4509" s="2" t="str">
        <x:v>Government</x:v>
      </x:c>
      <x:c r="G4509" s="2" t="str">
        <x:v>Medium (100-299 beds)</x:v>
      </x:c>
      <x:c r="H4509" s="7" t="n">
        <x:v>5</x:v>
      </x:c>
      <x:c r="I4509" s="7" t="n">
        <x:v>4</x:v>
      </x:c>
      <x:c r="J4509" s="7" t="n">
        <x:v>1.02</x:v>
      </x:c>
      <x:c r="K4509" s="8" t="n">
        <x:v>178</x:v>
      </x:c>
      <x:c r="L4509" s="8" t="n">
        <x:v>13905</x:v>
      </x:c>
      <x:c r="M4509" s="9" t="n">
        <x:v>0.9743711528</x:v>
      </x:c>
      <x:c r="N4509" s="10" t="n">
        <x:v>18880.6137360662</x:v>
      </x:c>
      <x:c r="O4509" s="9" t="n">
        <x:v>0.0280930436</x:v>
      </x:c>
      <x:c r="P4509" s="9" t="n">
        <x:v>0.0855745721</x:v>
      </x:c>
      <x:c r="Q4509" s="9" t="n">
        <x:v>0.8744906275</x:v>
      </x:c>
      <x:c r="R4509" s="3" t="b">
        <x:v>0</x:v>
      </x:c>
      <x:c r="S4509" s="3" t="b">
        <x:v>0</x:v>
      </x:c>
      <x:c r="T4509" s="3" t="b">
        <x:v>0</x:v>
      </x:c>
      <x:c r="U4509" s="2" t="str">
        <x:f>IF(T4509=TRUE,"Priority review",IF(R4509=TRUE,"High cost",IF(S4509=TRUE,"Low quality","Benchmark")))</x:f>
        <x:v>Benchmark</x:v>
      </x:c>
    </x:row>
    <x:row r="4510">
      <x:c r="A4510" s="2" t="str">
        <x:v>361328</x:v>
      </x:c>
      <x:c r="B4510" s="2" t="str">
        <x:v>PROMEDICA DEFIANCE REGIONAL HOSPITAL</x:v>
      </x:c>
      <x:c r="C4510" s="2" t="str">
        <x:v>DEFIANCE</x:v>
      </x:c>
      <x:c r="D4510" s="2" t="str">
        <x:v>OH</x:v>
      </x:c>
      <x:c r="E4510" s="2" t="str">
        <x:v>Critical Access Hospitals</x:v>
      </x:c>
      <x:c r="F4510" s="2" t="str">
        <x:v>Voluntary non-profit</x:v>
      </x:c>
      <x:c r="G4510" s="2" t="str">
        <x:v>Small (&lt;100 beds)</x:v>
      </x:c>
      <x:c r="H4510" s="7" t="n">
        <x:v>5</x:v>
      </x:c>
      <x:c r="I4510" s="7" t="n">
        <x:v>4</x:v>
      </x:c>
      <x:c r="J4510" s="7"/>
      <x:c r="K4510" s="8" t="n">
        <x:v>25</x:v>
      </x:c>
      <x:c r="L4510" s="8" t="n">
        <x:v>1081</x:v>
      </x:c>
      <x:c r="M4510" s="9" t="n">
        <x:v>0.4040437158</x:v>
      </x:c>
      <x:c r="N4510" s="10" t="n">
        <x:v>58676.926919519</x:v>
      </x:c>
      <x:c r="O4510" s="9" t="n">
        <x:v>0.3504865742</x:v>
      </x:c>
      <x:c r="P4510" s="9" t="n">
        <x:v>0.0855018587</x:v>
      </x:c>
      <x:c r="Q4510" s="9" t="n">
        <x:v>0.2602230483</x:v>
      </x:c>
      <x:c r="R4510" s="3" t="b">
        <x:v>0</x:v>
      </x:c>
      <x:c r="S4510" s="3" t="b">
        <x:v>0</x:v>
      </x:c>
      <x:c r="T4510" s="3" t="b">
        <x:v>0</x:v>
      </x:c>
      <x:c r="U4510" s="2" t="str">
        <x:f>IF(T4510=TRUE,"Priority review",IF(R4510=TRUE,"High cost",IF(S4510=TRUE,"Low quality","Benchmark")))</x:f>
        <x:v>Benchmark</x:v>
      </x:c>
    </x:row>
    <x:row r="4511">
      <x:c r="A4511" s="2" t="str">
        <x:v>390335</x:v>
      </x:c>
      <x:c r="B4511" s="2" t="str">
        <x:v>ST LUKE'S HOSPITAL - CARBON CAMPUS</x:v>
      </x:c>
      <x:c r="C4511" s="2" t="str">
        <x:v>LEHIGHTON</x:v>
      </x:c>
      <x:c r="D4511" s="2" t="str">
        <x:v>PA</x:v>
      </x:c>
      <x:c r="E4511" s="2" t="str">
        <x:v>Acute Care Hospitals</x:v>
      </x:c>
      <x:c r="F4511" s="2" t="str">
        <x:v>Voluntary non-profit</x:v>
      </x:c>
      <x:c r="G4511" s="2" t="str">
        <x:v>Small (&lt;100 beds)</x:v>
      </x:c>
      <x:c r="H4511" s="7" t="n">
        <x:v>5</x:v>
      </x:c>
      <x:c r="I4511" s="7" t="n">
        <x:v>4</x:v>
      </x:c>
      <x:c r="J4511" s="7" t="n">
        <x:v>0.93</x:v>
      </x:c>
      <x:c r="K4511" s="8" t="n">
        <x:v>56</x:v>
      </x:c>
      <x:c r="L4511" s="8" t="n">
        <x:v>3612</x:v>
      </x:c>
      <x:c r="M4511" s="9" t="n">
        <x:v>0.681555773</x:v>
      </x:c>
      <x:c r="N4511" s="10" t="n">
        <x:v>25541.073089701</x:v>
      </x:c>
      <x:c r="O4511" s="9" t="n">
        <x:v>0.093065731</x:v>
      </x:c>
      <x:c r="P4511" s="9" t="n">
        <x:v>0.0852782765</x:v>
      </x:c>
      <x:c r="Q4511" s="9" t="n">
        <x:v>0.6131059246</x:v>
      </x:c>
      <x:c r="R4511" s="3" t="b">
        <x:v>0</x:v>
      </x:c>
      <x:c r="S4511" s="3" t="b">
        <x:v>0</x:v>
      </x:c>
      <x:c r="T4511" s="3" t="b">
        <x:v>0</x:v>
      </x:c>
      <x:c r="U4511" s="2" t="str">
        <x:f>IF(T4511=TRUE,"Priority review",IF(R4511=TRUE,"High cost",IF(S4511=TRUE,"Low quality","Benchmark")))</x:f>
        <x:v>Benchmark</x:v>
      </x:c>
    </x:row>
    <x:row r="4512">
      <x:c r="A4512" s="2" t="str">
        <x:v>440125</x:v>
      </x:c>
      <x:c r="B4512" s="2" t="str">
        <x:v>FORT SANDERS REGIONAL MEDICAL CENTER</x:v>
      </x:c>
      <x:c r="C4512" s="2" t="str">
        <x:v>KNOXVILLE</x:v>
      </x:c>
      <x:c r="D4512" s="2" t="str">
        <x:v>TN</x:v>
      </x:c>
      <x:c r="E4512" s="2" t="str">
        <x:v>Acute Care Hospitals</x:v>
      </x:c>
      <x:c r="F4512" s="2" t="str">
        <x:v>Voluntary non-profit</x:v>
      </x:c>
      <x:c r="G4512" s="2" t="str">
        <x:v>Large (300+ beds)</x:v>
      </x:c>
      <x:c r="H4512" s="7" t="n">
        <x:v>3</x:v>
      </x:c>
      <x:c r="I4512" s="7" t="n">
        <x:v>3</x:v>
      </x:c>
      <x:c r="J4512" s="7" t="n">
        <x:v>1</x:v>
      </x:c>
      <x:c r="K4512" s="8" t="n">
        <x:v>304</x:v>
      </x:c>
      <x:c r="L4512" s="8" t="n">
        <x:v>19051</x:v>
      </x:c>
      <x:c r="M4512" s="9" t="n">
        <x:v>0.8457722174</x:v>
      </x:c>
      <x:c r="N4512" s="10" t="n">
        <x:v>21824.7386488898</x:v>
      </x:c>
      <x:c r="O4512" s="9" t="n">
        <x:v>-0.0544686148</x:v>
      </x:c>
      <x:c r="P4512" s="9" t="n">
        <x:v>0.0851735016</x:v>
      </x:c>
      <x:c r="Q4512" s="9" t="n">
        <x:v>0.2570977918</x:v>
      </x:c>
      <x:c r="R4512" s="3" t="b">
        <x:v>0</x:v>
      </x:c>
      <x:c r="S4512" s="3" t="b">
        <x:v>0</x:v>
      </x:c>
      <x:c r="T4512" s="3" t="b">
        <x:v>0</x:v>
      </x:c>
      <x:c r="U4512" s="2" t="str">
        <x:f>IF(T4512=TRUE,"Priority review",IF(R4512=TRUE,"High cost",IF(S4512=TRUE,"Low quality","Benchmark")))</x:f>
        <x:v>Benchmark</x:v>
      </x:c>
    </x:row>
    <x:row r="4513">
      <x:c r="A4513" s="2" t="str">
        <x:v>100181</x:v>
      </x:c>
      <x:c r="B4513" s="2" t="str">
        <x:v>LARKIN COMMUNITY HOSPITAL</x:v>
      </x:c>
      <x:c r="C4513" s="2" t="str">
        <x:v>SOUTH MIAMI</x:v>
      </x:c>
      <x:c r="D4513" s="2" t="str">
        <x:v>FL</x:v>
      </x:c>
      <x:c r="E4513" s="2" t="str">
        <x:v>Acute Care Hospitals</x:v>
      </x:c>
      <x:c r="F4513" s="2" t="str">
        <x:v>Proprietary</x:v>
      </x:c>
      <x:c r="G4513" s="2" t="str">
        <x:v>Medium (100-299 beds)</x:v>
      </x:c>
      <x:c r="H4513" s="7" t="n">
        <x:v>1</x:v>
      </x:c>
      <x:c r="I4513" s="7"/>
      <x:c r="J4513" s="7" t="n">
        <x:v>1.13</x:v>
      </x:c>
      <x:c r="K4513" s="8" t="n">
        <x:v>118</x:v>
      </x:c>
      <x:c r="L4513" s="8" t="n">
        <x:v>5959</x:v>
      </x:c>
      <x:c r="M4513" s="9" t="n">
        <x:v>0.6676623136</x:v>
      </x:c>
      <x:c r="N4513" s="10" t="n">
        <x:v>18805.9657660681</x:v>
      </x:c>
      <x:c r="O4513" s="9" t="n">
        <x:v>-0.0122560805</x:v>
      </x:c>
      <x:c r="P4513" s="9" t="n">
        <x:v>0.0847595762</x:v>
      </x:c>
      <x:c r="Q4513" s="9" t="n">
        <x:v>0</x:v>
      </x:c>
      <x:c r="R4513" s="3" t="b">
        <x:v>0</x:v>
      </x:c>
      <x:c r="S4513" s="3" t="b">
        <x:v>1</x:v>
      </x:c>
      <x:c r="T4513" s="3" t="b">
        <x:v>0</x:v>
      </x:c>
      <x:c r="U4513" s="2" t="str">
        <x:f>IF(T4513=TRUE,"Priority review",IF(R4513=TRUE,"High cost",IF(S4513=TRUE,"Low quality","Benchmark")))</x:f>
        <x:v>Low quality</x:v>
      </x:c>
    </x:row>
    <x:row r="4514">
      <x:c r="A4514" s="2" t="str">
        <x:v>141352</x:v>
      </x:c>
      <x:c r="B4514" s="2" t="str">
        <x:v>JACKSONVILLE MEMORIAL HOSPITAL</x:v>
      </x:c>
      <x:c r="C4514" s="2" t="str">
        <x:v>JACKSONVILLE</x:v>
      </x:c>
      <x:c r="D4514" s="2" t="str">
        <x:v>IL</x:v>
      </x:c>
      <x:c r="E4514" s="2" t="str">
        <x:v>Critical Access Hospitals</x:v>
      </x:c>
      <x:c r="F4514" s="2" t="str">
        <x:v>Voluntary non-profit</x:v>
      </x:c>
      <x:c r="G4514" s="2" t="str">
        <x:v>Small (&lt;100 beds)</x:v>
      </x:c>
      <x:c r="H4514" s="7"/>
      <x:c r="I4514" s="7"/>
      <x:c r="J4514" s="7"/>
      <x:c r="K4514" s="8" t="n">
        <x:v>25</x:v>
      </x:c>
      <x:c r="L4514" s="8" t="n">
        <x:v>1874</x:v>
      </x:c>
      <x:c r="M4514" s="9" t="n">
        <x:v>0.7722404372</x:v>
      </x:c>
      <x:c r="N4514" s="10" t="n">
        <x:v>58610.8244397012</x:v>
      </x:c>
      <x:c r="O4514" s="9" t="n">
        <x:v>0.2353776849</x:v>
      </x:c>
      <x:c r="P4514" s="9" t="n">
        <x:v>0.0847583643</x:v>
      </x:c>
      <x:c r="Q4514" s="9" t="n">
        <x:v>0.292936803</x:v>
      </x:c>
      <x:c r="R4514" s="3" t="b">
        <x:v>0</x:v>
      </x:c>
      <x:c r="S4514" s="3" t="b">
        <x:v>0</x:v>
      </x:c>
      <x:c r="T4514" s="3" t="b">
        <x:v>0</x:v>
      </x:c>
      <x:c r="U4514" s="2" t="str">
        <x:f>IF(T4514=TRUE,"Priority review",IF(R4514=TRUE,"High cost",IF(S4514=TRUE,"Low quality","Benchmark")))</x:f>
        <x:v>Benchmark</x:v>
      </x:c>
    </x:row>
    <x:row r="4515">
      <x:c r="A4515" s="2" t="str">
        <x:v>034040</x:v>
      </x:c>
      <x:c r="B4515" s="2" t="str">
        <x:v>VIA LINDA BEHAVIORAL HOSPITAL</x:v>
      </x:c>
      <x:c r="C4515" s="2" t="str">
        <x:v>SCOTTSDALE</x:v>
      </x:c>
      <x:c r="D4515" s="2" t="str">
        <x:v>AZ</x:v>
      </x:c>
      <x:c r="E4515" s="2" t="str">
        <x:v>Psychiatric</x:v>
      </x:c>
      <x:c r="F4515" s="2" t="str">
        <x:v>Proprietary</x:v>
      </x:c>
      <x:c r="G4515" s="2" t="str">
        <x:v>Medium (100-299 beds)</x:v>
      </x:c>
      <x:c r="H4515" s="7"/>
      <x:c r="I4515" s="7"/>
      <x:c r="J4515" s="7"/>
      <x:c r="K4515" s="8" t="n">
        <x:v>120</x:v>
      </x:c>
      <x:c r="L4515" s="8" t="n">
        <x:v>4401</x:v>
      </x:c>
      <x:c r="M4515" s="9" t="n">
        <x:v>0.7083333333</x:v>
      </x:c>
      <x:c r="N4515" s="10" t="n">
        <x:v>5604.6593955919</x:v>
      </x:c>
      <x:c r="O4515" s="9" t="n">
        <x:v>0.0200890028</x:v>
      </x:c>
      <x:c r="P4515" s="9" t="n">
        <x:v>0.0845771144</x:v>
      </x:c>
      <x:c r="Q4515" s="9" t="n">
        <x:v>0</x:v>
      </x:c>
      <x:c r="R4515" s="3" t="b">
        <x:v>0</x:v>
      </x:c>
      <x:c r="S4515" s="3" t="b">
        <x:v>0</x:v>
      </x:c>
      <x:c r="T4515" s="3" t="b">
        <x:v>0</x:v>
      </x:c>
      <x:c r="U4515" s="2" t="str">
        <x:f>IF(T4515=TRUE,"Priority review",IF(R4515=TRUE,"High cost",IF(S4515=TRUE,"Low quality","Benchmark")))</x:f>
        <x:v>Benchmark</x:v>
      </x:c>
    </x:row>
    <x:row r="4516">
      <x:c r="A4516" s="2" t="str">
        <x:v>450828</x:v>
      </x:c>
      <x:c r="B4516" s="2" t="str">
        <x:v>CHRISTUS SPOHN HOSPITAL ALICE</x:v>
      </x:c>
      <x:c r="C4516" s="2" t="str">
        <x:v>ALICE</x:v>
      </x:c>
      <x:c r="D4516" s="2" t="str">
        <x:v>TX</x:v>
      </x:c>
      <x:c r="E4516" s="2" t="str">
        <x:v>Acute Care Hospitals</x:v>
      </x:c>
      <x:c r="F4516" s="2" t="str">
        <x:v>Voluntary non-profit</x:v>
      </x:c>
      <x:c r="G4516" s="2" t="str">
        <x:v>Small (&lt;100 beds)</x:v>
      </x:c>
      <x:c r="H4516" s="7" t="n">
        <x:v>3</x:v>
      </x:c>
      <x:c r="I4516" s="7" t="n">
        <x:v>4</x:v>
      </x:c>
      <x:c r="J4516" s="7" t="n">
        <x:v>1.1</x:v>
      </x:c>
      <x:c r="K4516" s="8" t="n">
        <x:v>72</x:v>
      </x:c>
      <x:c r="L4516" s="8" t="n">
        <x:v>2221</x:v>
      </x:c>
      <x:c r="M4516" s="9" t="n">
        <x:v>0.2823820396</x:v>
      </x:c>
      <x:c r="N4516" s="10" t="n">
        <x:v>25358.6524088249</x:v>
      </x:c>
      <x:c r="O4516" s="9" t="n">
        <x:v>0.1884908993</x:v>
      </x:c>
      <x:c r="P4516" s="9" t="n">
        <x:v>0.0843806104</x:v>
      </x:c>
      <x:c r="Q4516" s="9" t="n">
        <x:v>0.1687612208</x:v>
      </x:c>
      <x:c r="R4516" s="3" t="b">
        <x:v>0</x:v>
      </x:c>
      <x:c r="S4516" s="3" t="b">
        <x:v>0</x:v>
      </x:c>
      <x:c r="T4516" s="3" t="b">
        <x:v>0</x:v>
      </x:c>
      <x:c r="U4516" s="2" t="str">
        <x:f>IF(T4516=TRUE,"Priority review",IF(R4516=TRUE,"High cost",IF(S4516=TRUE,"Low quality","Benchmark")))</x:f>
        <x:v>Benchmark</x:v>
      </x:c>
    </x:row>
    <x:row r="4517">
      <x:c r="A4517" s="2" t="str">
        <x:v>194109</x:v>
      </x:c>
      <x:c r="B4517" s="2" t="str">
        <x:v>COMPASS BEHAVIORAL CENTER OF HOUMA, LLC</x:v>
      </x:c>
      <x:c r="C4517" s="2" t="str">
        <x:v>HOUMA</x:v>
      </x:c>
      <x:c r="D4517" s="2" t="str">
        <x:v>LA</x:v>
      </x:c>
      <x:c r="E4517" s="2" t="str">
        <x:v>Psychiatric</x:v>
      </x:c>
      <x:c r="F4517" s="2" t="str">
        <x:v>Proprietary</x:v>
      </x:c>
      <x:c r="G4517" s="2" t="str">
        <x:v>Small (&lt;100 beds)</x:v>
      </x:c>
      <x:c r="H4517" s="7"/>
      <x:c r="I4517" s="7"/>
      <x:c r="J4517" s="7"/>
      <x:c r="K4517" s="8" t="n">
        <x:v>30</x:v>
      </x:c>
      <x:c r="L4517" s="8" t="n">
        <x:v>726</x:v>
      </x:c>
      <x:c r="M4517" s="9" t="n">
        <x:v>0.3956284153</x:v>
      </x:c>
      <x:c r="N4517" s="10" t="n">
        <x:v>6540.5068870523</x:v>
      </x:c>
      <x:c r="O4517" s="9" t="n">
        <x:v>0.0476506791</x:v>
      </x:c>
      <x:c r="P4517" s="9" t="n">
        <x:v>0.0841423948</x:v>
      </x:c>
      <x:c r="Q4517" s="9" t="n">
        <x:v>0</x:v>
      </x:c>
      <x:c r="R4517" s="3" t="b">
        <x:v>0</x:v>
      </x:c>
      <x:c r="S4517" s="3" t="b">
        <x:v>0</x:v>
      </x:c>
      <x:c r="T4517" s="3" t="b">
        <x:v>0</x:v>
      </x:c>
      <x:c r="U4517" s="2" t="str">
        <x:f>IF(T4517=TRUE,"Priority review",IF(R4517=TRUE,"High cost",IF(S4517=TRUE,"Low quality","Benchmark")))</x:f>
        <x:v>Benchmark</x:v>
      </x:c>
    </x:row>
    <x:row r="4518">
      <x:c r="A4518" s="2" t="str">
        <x:v>261325</x:v>
      </x:c>
      <x:c r="B4518" s="2" t="str">
        <x:v>COX BARTON COUNTY HOSPITAL</x:v>
      </x:c>
      <x:c r="C4518" s="2" t="str">
        <x:v>LAMAR</x:v>
      </x:c>
      <x:c r="D4518" s="2" t="str">
        <x:v>MO</x:v>
      </x:c>
      <x:c r="E4518" s="2" t="str">
        <x:v>Critical Access Hospitals</x:v>
      </x:c>
      <x:c r="F4518" s="2" t="str">
        <x:v>Government</x:v>
      </x:c>
      <x:c r="G4518" s="2" t="str">
        <x:v>Small (&lt;100 beds)</x:v>
      </x:c>
      <x:c r="H4518" s="7"/>
      <x:c r="I4518" s="7" t="n">
        <x:v>5</x:v>
      </x:c>
      <x:c r="J4518" s="7"/>
      <x:c r="K4518" s="8" t="n">
        <x:v>25</x:v>
      </x:c>
      <x:c r="L4518" s="8" t="n">
        <x:v>514</x:v>
      </x:c>
      <x:c r="M4518" s="9" t="n">
        <x:v>0.316284153</x:v>
      </x:c>
      <x:c r="N4518" s="10" t="n">
        <x:v>58484.8287937743</x:v>
      </x:c>
      <x:c r="O4518" s="9" t="n">
        <x:v>0.0258934138</x:v>
      </x:c>
      <x:c r="P4518" s="9" t="n">
        <x:v>0.0840148699</x:v>
      </x:c>
      <x:c r="Q4518" s="9" t="n">
        <x:v>0.292936803</x:v>
      </x:c>
      <x:c r="R4518" s="3" t="b">
        <x:v>0</x:v>
      </x:c>
      <x:c r="S4518" s="3" t="b">
        <x:v>0</x:v>
      </x:c>
      <x:c r="T4518" s="3" t="b">
        <x:v>0</x:v>
      </x:c>
      <x:c r="U4518" s="2" t="str">
        <x:f>IF(T4518=TRUE,"Priority review",IF(R4518=TRUE,"High cost",IF(S4518=TRUE,"Low quality","Benchmark")))</x:f>
        <x:v>Benchmark</x:v>
      </x:c>
    </x:row>
    <x:row r="4519">
      <x:c r="A4519" s="2" t="str">
        <x:v>450152</x:v>
      </x:c>
      <x:c r="B4519" s="2" t="str">
        <x:v>ADVENTHEALTH CENTRAL TEXAS</x:v>
      </x:c>
      <x:c r="C4519" s="2" t="str">
        <x:v>KILLEEN</x:v>
      </x:c>
      <x:c r="D4519" s="2" t="str">
        <x:v>TX</x:v>
      </x:c>
      <x:c r="E4519" s="2" t="str">
        <x:v>Acute Care Hospitals</x:v>
      </x:c>
      <x:c r="F4519" s="2" t="str">
        <x:v>Voluntary non-profit</x:v>
      </x:c>
      <x:c r="G4519" s="2" t="str">
        <x:v>Medium (100-299 beds)</x:v>
      </x:c>
      <x:c r="H4519" s="7" t="n">
        <x:v>3</x:v>
      </x:c>
      <x:c r="I4519" s="7" t="n">
        <x:v>4</x:v>
      </x:c>
      <x:c r="J4519" s="7" t="n">
        <x:v>1</x:v>
      </x:c>
      <x:c r="K4519" s="8" t="n">
        <x:v>208</x:v>
      </x:c>
      <x:c r="L4519" s="8" t="n">
        <x:v>8903</x:v>
      </x:c>
      <x:c r="M4519" s="9" t="n">
        <x:v>0.3598281841</x:v>
      </x:c>
      <x:c r="N4519" s="10" t="n">
        <x:v>18793.5260024711</x:v>
      </x:c>
      <x:c r="O4519" s="9" t="n">
        <x:v>0.0134104934</x:v>
      </x:c>
      <x:c r="P4519" s="9" t="n">
        <x:v>0.0839445803</x:v>
      </x:c>
      <x:c r="Q4519" s="9" t="n">
        <x:v>0.3023634882</x:v>
      </x:c>
      <x:c r="R4519" s="3" t="b">
        <x:v>0</x:v>
      </x:c>
      <x:c r="S4519" s="3" t="b">
        <x:v>0</x:v>
      </x:c>
      <x:c r="T4519" s="3" t="b">
        <x:v>0</x:v>
      </x:c>
      <x:c r="U4519" s="2" t="str">
        <x:f>IF(T4519=TRUE,"Priority review",IF(R4519=TRUE,"High cost",IF(S4519=TRUE,"Low quality","Benchmark")))</x:f>
        <x:v>Benchmark</x:v>
      </x:c>
    </x:row>
    <x:row r="4520">
      <x:c r="A4520" s="2" t="str">
        <x:v>030115</x:v>
      </x:c>
      <x:c r="B4520" s="2" t="str">
        <x:v>BANNER ESTRELLA MEDICAL CENTER</x:v>
      </x:c>
      <x:c r="C4520" s="2" t="str">
        <x:v>PHOENIX</x:v>
      </x:c>
      <x:c r="D4520" s="2" t="str">
        <x:v>AZ</x:v>
      </x:c>
      <x:c r="E4520" s="2" t="str">
        <x:v>Acute Care Hospitals</x:v>
      </x:c>
      <x:c r="F4520" s="2" t="str">
        <x:v>Voluntary non-profit</x:v>
      </x:c>
      <x:c r="G4520" s="2" t="str">
        <x:v>Large (300+ beds)</x:v>
      </x:c>
      <x:c r="H4520" s="7" t="n">
        <x:v>3</x:v>
      </x:c>
      <x:c r="I4520" s="7" t="n">
        <x:v>3</x:v>
      </x:c>
      <x:c r="J4520" s="7" t="n">
        <x:v>0.97</x:v>
      </x:c>
      <x:c r="K4520" s="8" t="n">
        <x:v>317</x:v>
      </x:c>
      <x:c r="L4520" s="8" t="n">
        <x:v>18866</x:v>
      </x:c>
      <x:c r="M4520" s="9" t="n">
        <x:v>0.7102532278</x:v>
      </x:c>
      <x:c r="N4520" s="10" t="n">
        <x:v>21749.9881267889</x:v>
      </x:c>
      <x:c r="O4520" s="9" t="n">
        <x:v>0.12842722</x:v>
      </x:c>
      <x:c r="P4520" s="9" t="n">
        <x:v>0.0835962145</x:v>
      </x:c>
      <x:c r="Q4520" s="9" t="n">
        <x:v>0.2570977918</x:v>
      </x:c>
      <x:c r="R4520" s="3" t="b">
        <x:v>0</x:v>
      </x:c>
      <x:c r="S4520" s="3" t="b">
        <x:v>0</x:v>
      </x:c>
      <x:c r="T4520" s="3" t="b">
        <x:v>0</x:v>
      </x:c>
      <x:c r="U4520" s="2" t="str">
        <x:f>IF(T4520=TRUE,"Priority review",IF(R4520=TRUE,"High cost",IF(S4520=TRUE,"Low quality","Benchmark")))</x:f>
        <x:v>Benchmark</x:v>
      </x:c>
    </x:row>
    <x:row r="4521">
      <x:c r="A4521" s="2" t="str">
        <x:v>040002</x:v>
      </x:c>
      <x:c r="B4521" s="2" t="str">
        <x:v>JOHNSON REGIONAL MEDICAL CENTER</x:v>
      </x:c>
      <x:c r="C4521" s="2" t="str">
        <x:v>CLARKSVILLE</x:v>
      </x:c>
      <x:c r="D4521" s="2" t="str">
        <x:v>AR</x:v>
      </x:c>
      <x:c r="E4521" s="2" t="str">
        <x:v>Acute Care Hospitals</x:v>
      </x:c>
      <x:c r="F4521" s="2" t="str">
        <x:v>Voluntary non-profit</x:v>
      </x:c>
      <x:c r="G4521" s="2" t="str">
        <x:v>Small (&lt;100 beds)</x:v>
      </x:c>
      <x:c r="H4521" s="7" t="n">
        <x:v>4</x:v>
      </x:c>
      <x:c r="I4521" s="7" t="n">
        <x:v>4</x:v>
      </x:c>
      <x:c r="J4521" s="7" t="n">
        <x:v>1.12</x:v>
      </x:c>
      <x:c r="K4521" s="8" t="n">
        <x:v>59</x:v>
      </x:c>
      <x:c r="L4521" s="8" t="n">
        <x:v>1794</x:v>
      </x:c>
      <x:c r="M4521" s="9" t="n">
        <x:v>0.1927387237</x:v>
      </x:c>
      <x:c r="N4521" s="10" t="n">
        <x:v>25093.5880713489</x:v>
      </x:c>
      <x:c r="O4521" s="9" t="n">
        <x:v>-0.2980148671</x:v>
      </x:c>
      <x:c r="P4521" s="9" t="n">
        <x:v>0.0834829443</x:v>
      </x:c>
      <x:c r="Q4521" s="9" t="n">
        <x:v>0.3913824057</x:v>
      </x:c>
      <x:c r="R4521" s="3" t="b">
        <x:v>0</x:v>
      </x:c>
      <x:c r="S4521" s="3" t="b">
        <x:v>0</x:v>
      </x:c>
      <x:c r="T4521" s="3" t="b">
        <x:v>0</x:v>
      </x:c>
      <x:c r="U4521" s="2" t="str">
        <x:f>IF(T4521=TRUE,"Priority review",IF(R4521=TRUE,"High cost",IF(S4521=TRUE,"Low quality","Benchmark")))</x:f>
        <x:v>Benchmark</x:v>
      </x:c>
    </x:row>
    <x:row r="4522">
      <x:c r="A4522" s="2" t="str">
        <x:v>453313</x:v>
      </x:c>
      <x:c r="B4522" s="2" t="str">
        <x:v>EL PASO CHILDREN'S HOSPITAL</x:v>
      </x:c>
      <x:c r="C4522" s="2" t="str">
        <x:v>EL PASO</x:v>
      </x:c>
      <x:c r="D4522" s="2" t="str">
        <x:v>TX</x:v>
      </x:c>
      <x:c r="E4522" s="2" t="str">
        <x:v>Childrens</x:v>
      </x:c>
      <x:c r="F4522" s="2" t="str">
        <x:v>Voluntary non-profit</x:v>
      </x:c>
      <x:c r="G4522" s="2" t="str">
        <x:v>Medium (100-299 beds)</x:v>
      </x:c>
      <x:c r="H4522" s="7"/>
      <x:c r="I4522" s="7"/>
      <x:c r="J4522" s="7"/>
      <x:c r="K4522" s="8" t="n">
        <x:v>122</x:v>
      </x:c>
      <x:c r="L4522" s="8" t="n">
        <x:v>4094</x:v>
      </x:c>
      <x:c r="M4522" s="9" t="n">
        <x:v>0.602817343</x:v>
      </x:c>
      <x:c r="N4522" s="10" t="n">
        <x:v>44785.3006839277</x:v>
      </x:c>
      <x:c r="O4522" s="9" t="n">
        <x:v>0.0672577013</x:v>
      </x:c>
      <x:c r="P4522" s="9" t="n">
        <x:v>0.0833333333</x:v>
      </x:c>
      <x:c r="Q4522" s="9" t="n">
        <x:v>0</x:v>
      </x:c>
      <x:c r="R4522" s="3" t="b">
        <x:v>0</x:v>
      </x:c>
      <x:c r="S4522" s="3" t="b">
        <x:v>0</x:v>
      </x:c>
      <x:c r="T4522" s="3" t="b">
        <x:v>0</x:v>
      </x:c>
      <x:c r="U4522" s="2" t="str">
        <x:f>IF(T4522=TRUE,"Priority review",IF(R4522=TRUE,"High cost",IF(S4522=TRUE,"Low quality","Benchmark")))</x:f>
        <x:v>Benchmark</x:v>
      </x:c>
    </x:row>
    <x:row r="4523">
      <x:c r="A4523" s="2" t="str">
        <x:v>341303</x:v>
      </x:c>
      <x:c r="B4523" s="2" t="str">
        <x:v>FIRSTHEALTH MONTGOMERY MEMORIAL HOSP</x:v>
      </x:c>
      <x:c r="C4523" s="2" t="str">
        <x:v>TROY</x:v>
      </x:c>
      <x:c r="D4523" s="2" t="str">
        <x:v>NC</x:v>
      </x:c>
      <x:c r="E4523" s="2" t="str">
        <x:v>Critical Access Hospitals</x:v>
      </x:c>
      <x:c r="F4523" s="2" t="str">
        <x:v>Voluntary non-profit</x:v>
      </x:c>
      <x:c r="G4523" s="2" t="str">
        <x:v>Small (&lt;100 beds)</x:v>
      </x:c>
      <x:c r="H4523" s="7"/>
      <x:c r="I4523" s="7"/>
      <x:c r="J4523" s="7"/>
      <x:c r="K4523" s="8" t="n">
        <x:v>3</x:v>
      </x:c>
      <x:c r="L4523" s="8" t="n">
        <x:v>316</x:v>
      </x:c>
      <x:c r="M4523" s="9" t="n">
        <x:v>2.3879781421</x:v>
      </x:c>
      <x:c r="N4523" s="10" t="n">
        <x:v>58335.1265822785</x:v>
      </x:c>
      <x:c r="O4523" s="9" t="n">
        <x:v>0.1283254348</x:v>
      </x:c>
      <x:c r="P4523" s="9" t="n">
        <x:v>0.0832713755</x:v>
      </x:c>
      <x:c r="Q4523" s="9" t="n">
        <x:v>0.292936803</x:v>
      </x:c>
      <x:c r="R4523" s="3" t="b">
        <x:v>0</x:v>
      </x:c>
      <x:c r="S4523" s="3" t="b">
        <x:v>0</x:v>
      </x:c>
      <x:c r="T4523" s="3" t="b">
        <x:v>0</x:v>
      </x:c>
      <x:c r="U4523" s="2" t="str">
        <x:f>IF(T4523=TRUE,"Priority review",IF(R4523=TRUE,"High cost",IF(S4523=TRUE,"Low quality","Benchmark")))</x:f>
        <x:v>Benchmark</x:v>
      </x:c>
    </x:row>
    <x:row r="4524">
      <x:c r="A4524" s="2" t="str">
        <x:v>100035</x:v>
      </x:c>
      <x:c r="B4524" s="2" t="str">
        <x:v>MANATEE MEMORIAL HOSPITAL</x:v>
      </x:c>
      <x:c r="C4524" s="2" t="str">
        <x:v>BRADENTON</x:v>
      </x:c>
      <x:c r="D4524" s="2" t="str">
        <x:v>FL</x:v>
      </x:c>
      <x:c r="E4524" s="2" t="str">
        <x:v>Acute Care Hospitals</x:v>
      </x:c>
      <x:c r="F4524" s="2" t="str">
        <x:v>Proprietary</x:v>
      </x:c>
      <x:c r="G4524" s="2" t="str">
        <x:v>Medium (100-299 beds)</x:v>
      </x:c>
      <x:c r="H4524" s="7" t="n">
        <x:v>3</x:v>
      </x:c>
      <x:c r="I4524" s="7" t="n">
        <x:v>2</x:v>
      </x:c>
      <x:c r="J4524" s="7" t="n">
        <x:v>1.03</x:v>
      </x:c>
      <x:c r="K4524" s="8" t="n">
        <x:v>295</x:v>
      </x:c>
      <x:c r="L4524" s="8" t="n">
        <x:v>20131</x:v>
      </x:c>
      <x:c r="M4524" s="9" t="n">
        <x:v>0.8348800593</x:v>
      </x:c>
      <x:c r="N4524" s="10" t="n">
        <x:v>18740.4469723312</x:v>
      </x:c>
      <x:c r="O4524" s="9" t="n">
        <x:v>-0.0763401719</x:v>
      </x:c>
      <x:c r="P4524" s="9" t="n">
        <x:v>0.0831295844</x:v>
      </x:c>
      <x:c r="Q4524" s="9" t="n">
        <x:v>0.3023634882</x:v>
      </x:c>
      <x:c r="R4524" s="3" t="b">
        <x:v>0</x:v>
      </x:c>
      <x:c r="S4524" s="3" t="b">
        <x:v>0</x:v>
      </x:c>
      <x:c r="T4524" s="3" t="b">
        <x:v>0</x:v>
      </x:c>
      <x:c r="U4524" s="2" t="str">
        <x:f>IF(T4524=TRUE,"Priority review",IF(R4524=TRUE,"High cost",IF(S4524=TRUE,"Low quality","Benchmark")))</x:f>
        <x:v>Benchmark</x:v>
      </x:c>
    </x:row>
    <x:row r="4525">
      <x:c r="A4525" s="2" t="str">
        <x:v>450072</x:v>
      </x:c>
      <x:c r="B4525" s="2" t="str">
        <x:v>CHI ST LUKE'S HEALTH BRAZOSPORT</x:v>
      </x:c>
      <x:c r="C4525" s="2" t="str">
        <x:v>LAKE JACKSON</x:v>
      </x:c>
      <x:c r="D4525" s="2" t="str">
        <x:v>TX</x:v>
      </x:c>
      <x:c r="E4525" s="2" t="str">
        <x:v>Acute Care Hospitals</x:v>
      </x:c>
      <x:c r="F4525" s="2" t="str">
        <x:v>Voluntary non-profit</x:v>
      </x:c>
      <x:c r="G4525" s="2" t="str">
        <x:v>Small (&lt;100 beds)</x:v>
      </x:c>
      <x:c r="H4525" s="7" t="n">
        <x:v>4</x:v>
      </x:c>
      <x:c r="I4525" s="7" t="n">
        <x:v>3</x:v>
      </x:c>
      <x:c r="J4525" s="7" t="n">
        <x:v>1.04</x:v>
      </x:c>
      <x:c r="K4525" s="8" t="n">
        <x:v>80</x:v>
      </x:c>
      <x:c r="L4525" s="8" t="n">
        <x:v>3944</x:v>
      </x:c>
      <x:c r="M4525" s="9" t="n">
        <x:v>0.526130137</x:v>
      </x:c>
      <x:c r="N4525" s="10" t="n">
        <x:v>25074.273326572</x:v>
      </x:c>
      <x:c r="O4525" s="9" t="n">
        <x:v>0.0697200042</x:v>
      </x:c>
      <x:c r="P4525" s="9" t="n">
        <x:v>0.0825852783</x:v>
      </x:c>
      <x:c r="Q4525" s="9" t="n">
        <x:v>0.3913824057</x:v>
      </x:c>
      <x:c r="R4525" s="3" t="b">
        <x:v>0</x:v>
      </x:c>
      <x:c r="S4525" s="3" t="b">
        <x:v>0</x:v>
      </x:c>
      <x:c r="T4525" s="3" t="b">
        <x:v>0</x:v>
      </x:c>
      <x:c r="U4525" s="2" t="str">
        <x:f>IF(T4525=TRUE,"Priority review",IF(R4525=TRUE,"High cost",IF(S4525=TRUE,"Low quality","Benchmark")))</x:f>
        <x:v>Benchmark</x:v>
      </x:c>
    </x:row>
    <x:row r="4526">
      <x:c r="A4526" s="2" t="str">
        <x:v>521346</x:v>
      </x:c>
      <x:c r="B4526" s="2" t="str">
        <x:v>THEDACARE MEDICAL CENTER - SHAWANO</x:v>
      </x:c>
      <x:c r="C4526" s="2" t="str">
        <x:v>SHAWANO</x:v>
      </x:c>
      <x:c r="D4526" s="2" t="str">
        <x:v>WI</x:v>
      </x:c>
      <x:c r="E4526" s="2" t="str">
        <x:v>Critical Access Hospitals</x:v>
      </x:c>
      <x:c r="F4526" s="2" t="str">
        <x:v>Voluntary non-profit</x:v>
      </x:c>
      <x:c r="G4526" s="2" t="str">
        <x:v>Small (&lt;100 beds)</x:v>
      </x:c>
      <x:c r="H4526" s="7" t="n">
        <x:v>4</x:v>
      </x:c>
      <x:c r="I4526" s="7" t="n">
        <x:v>4</x:v>
      </x:c>
      <x:c r="J4526" s="7"/>
      <x:c r="K4526" s="8" t="n">
        <x:v>25</x:v>
      </x:c>
      <x:c r="L4526" s="8" t="n">
        <x:v>1659</x:v>
      </x:c>
      <x:c r="M4526" s="9" t="n">
        <x:v>0.519890411</x:v>
      </x:c>
      <x:c r="N4526" s="10" t="n">
        <x:v>58288.6775165763</x:v>
      </x:c>
      <x:c r="O4526" s="9" t="n">
        <x:v>0.1522813209</x:v>
      </x:c>
      <x:c r="P4526" s="9" t="n">
        <x:v>0.082527881</x:v>
      </x:c>
      <x:c r="Q4526" s="9" t="n">
        <x:v>0.1657992565</x:v>
      </x:c>
      <x:c r="R4526" s="3" t="b">
        <x:v>0</x:v>
      </x:c>
      <x:c r="S4526" s="3" t="b">
        <x:v>0</x:v>
      </x:c>
      <x:c r="T4526" s="3" t="b">
        <x:v>0</x:v>
      </x:c>
      <x:c r="U4526" s="2" t="str">
        <x:f>IF(T4526=TRUE,"Priority review",IF(R4526=TRUE,"High cost",IF(S4526=TRUE,"Low quality","Benchmark")))</x:f>
        <x:v>Benchmark</x:v>
      </x:c>
    </x:row>
    <x:row r="4527">
      <x:c r="A4527" s="2" t="str">
        <x:v>100299</x:v>
      </x:c>
      <x:c r="B4527" s="2" t="str">
        <x:v>LAKEWOOD RANCH MEDICAL CENTER</x:v>
      </x:c>
      <x:c r="C4527" s="2" t="str">
        <x:v>BRADENTON</x:v>
      </x:c>
      <x:c r="D4527" s="2" t="str">
        <x:v>FL</x:v>
      </x:c>
      <x:c r="E4527" s="2" t="str">
        <x:v>Acute Care Hospitals</x:v>
      </x:c>
      <x:c r="F4527" s="2" t="str">
        <x:v>Proprietary</x:v>
      </x:c>
      <x:c r="G4527" s="2" t="str">
        <x:v>Medium (100-299 beds)</x:v>
      </x:c>
      <x:c r="H4527" s="7" t="n">
        <x:v>4</x:v>
      </x:c>
      <x:c r="I4527" s="7" t="n">
        <x:v>2</x:v>
      </x:c>
      <x:c r="J4527" s="7" t="n">
        <x:v>1.09</x:v>
      </x:c>
      <x:c r="K4527" s="8" t="n">
        <x:v>120</x:v>
      </x:c>
      <x:c r="L4527" s="8" t="n">
        <x:v>9232</x:v>
      </x:c>
      <x:c r="M4527" s="9" t="n">
        <x:v>0.8216757741</x:v>
      </x:c>
      <x:c r="N4527" s="10" t="n">
        <x:v>18685.6970320624</x:v>
      </x:c>
      <x:c r="O4527" s="9" t="n">
        <x:v>0.074073421</x:v>
      </x:c>
      <x:c r="P4527" s="9" t="n">
        <x:v>0.0823145884</x:v>
      </x:c>
      <x:c r="Q4527" s="9" t="n">
        <x:v>0.6022819886</x:v>
      </x:c>
      <x:c r="R4527" s="3" t="b">
        <x:v>0</x:v>
      </x:c>
      <x:c r="S4527" s="3" t="b">
        <x:v>0</x:v>
      </x:c>
      <x:c r="T4527" s="3" t="b">
        <x:v>0</x:v>
      </x:c>
      <x:c r="U4527" s="2" t="str">
        <x:f>IF(T4527=TRUE,"Priority review",IF(R4527=TRUE,"High cost",IF(S4527=TRUE,"Low quality","Benchmark")))</x:f>
        <x:v>Benchmark</x:v>
      </x:c>
    </x:row>
    <x:row r="4528">
      <x:c r="A4528" s="2" t="str">
        <x:v>010104</x:v>
      </x:c>
      <x:c r="B4528" s="2" t="str">
        <x:v>GRANDVIEW MEDICAL CENTER</x:v>
      </x:c>
      <x:c r="C4528" s="2" t="str">
        <x:v>BIRMINGHAM</x:v>
      </x:c>
      <x:c r="D4528" s="2" t="str">
        <x:v>AL</x:v>
      </x:c>
      <x:c r="E4528" s="2" t="str">
        <x:v>Acute Care Hospitals</x:v>
      </x:c>
      <x:c r="F4528" s="2" t="str">
        <x:v>Proprietary</x:v>
      </x:c>
      <x:c r="G4528" s="2" t="str">
        <x:v>Large (300+ beds)</x:v>
      </x:c>
      <x:c r="H4528" s="7" t="n">
        <x:v>3</x:v>
      </x:c>
      <x:c r="I4528" s="7" t="n">
        <x:v>3</x:v>
      </x:c>
      <x:c r="J4528" s="7" t="n">
        <x:v>1.01</x:v>
      </x:c>
      <x:c r="K4528" s="8" t="n">
        <x:v>407</x:v>
      </x:c>
      <x:c r="L4528" s="8" t="n">
        <x:v>28233</x:v>
      </x:c>
      <x:c r="M4528" s="9" t="n">
        <x:v>0.9046481101</x:v>
      </x:c>
      <x:c r="N4528" s="10" t="n">
        <x:v>21644.586937272</x:v>
      </x:c>
      <x:c r="O4528" s="9" t="n">
        <x:v>0.118981129</x:v>
      </x:c>
      <x:c r="P4528" s="9" t="n">
        <x:v>0.0820189274</x:v>
      </x:c>
      <x:c r="Q4528" s="9" t="n">
        <x:v>0.2570977918</x:v>
      </x:c>
      <x:c r="R4528" s="3" t="b">
        <x:v>0</x:v>
      </x:c>
      <x:c r="S4528" s="3" t="b">
        <x:v>0</x:v>
      </x:c>
      <x:c r="T4528" s="3" t="b">
        <x:v>0</x:v>
      </x:c>
      <x:c r="U4528" s="2" t="str">
        <x:f>IF(T4528=TRUE,"Priority review",IF(R4528=TRUE,"High cost",IF(S4528=TRUE,"Low quality","Benchmark")))</x:f>
        <x:v>Benchmark</x:v>
      </x:c>
    </x:row>
    <x:row r="4529">
      <x:c r="A4529" s="2" t="str">
        <x:v>451387</x:v>
      </x:c>
      <x:c r="B4529" s="2" t="str">
        <x:v>UVALDE MEMORIAL HOSPITAL</x:v>
      </x:c>
      <x:c r="C4529" s="2" t="str">
        <x:v>UVALDE</x:v>
      </x:c>
      <x:c r="D4529" s="2" t="str">
        <x:v>TX</x:v>
      </x:c>
      <x:c r="E4529" s="2" t="str">
        <x:v>Critical Access Hospitals</x:v>
      </x:c>
      <x:c r="F4529" s="2" t="str">
        <x:v>Government</x:v>
      </x:c>
      <x:c r="G4529" s="2" t="str">
        <x:v>Small (&lt;100 beds)</x:v>
      </x:c>
      <x:c r="H4529" s="7" t="n">
        <x:v>3</x:v>
      </x:c>
      <x:c r="I4529" s="7" t="n">
        <x:v>4</x:v>
      </x:c>
      <x:c r="J4529" s="7"/>
      <x:c r="K4529" s="8" t="n">
        <x:v>15</x:v>
      </x:c>
      <x:c r="L4529" s="8" t="n">
        <x:v>1589</x:v>
      </x:c>
      <x:c r="M4529" s="9" t="n">
        <x:v>0.801826484</x:v>
      </x:c>
      <x:c r="N4529" s="10" t="n">
        <x:v>58153.127753304</x:v>
      </x:c>
      <x:c r="O4529" s="9" t="n">
        <x:v>0.3088523172</x:v>
      </x:c>
      <x:c r="P4529" s="9" t="n">
        <x:v>0.0817843866</x:v>
      </x:c>
      <x:c r="Q4529" s="9" t="n">
        <x:v>0.0765799257</x:v>
      </x:c>
      <x:c r="R4529" s="3" t="b">
        <x:v>0</x:v>
      </x:c>
      <x:c r="S4529" s="3" t="b">
        <x:v>1</x:v>
      </x:c>
      <x:c r="T4529" s="3" t="b">
        <x:v>0</x:v>
      </x:c>
      <x:c r="U4529" s="2" t="str">
        <x:f>IF(T4529=TRUE,"Priority review",IF(R4529=TRUE,"High cost",IF(S4529=TRUE,"Low quality","Benchmark")))</x:f>
        <x:v>Low quality</x:v>
      </x:c>
    </x:row>
    <x:row r="4530">
      <x:c r="A4530" s="2" t="str">
        <x:v>440130</x:v>
      </x:c>
      <x:c r="B4530" s="2" t="str">
        <x:v>BAPTIST MEMORIAL HOSPITAL UNION CITY</x:v>
      </x:c>
      <x:c r="C4530" s="2" t="str">
        <x:v>UNION CITY</x:v>
      </x:c>
      <x:c r="D4530" s="2" t="str">
        <x:v>TN</x:v>
      </x:c>
      <x:c r="E4530" s="2" t="str">
        <x:v>Acute Care Hospitals</x:v>
      </x:c>
      <x:c r="F4530" s="2" t="str">
        <x:v>Voluntary non-profit</x:v>
      </x:c>
      <x:c r="G4530" s="2" t="str">
        <x:v>Small (&lt;100 beds)</x:v>
      </x:c>
      <x:c r="H4530" s="7" t="n">
        <x:v>4</x:v>
      </x:c>
      <x:c r="I4530" s="7" t="n">
        <x:v>4</x:v>
      </x:c>
      <x:c r="J4530" s="7" t="n">
        <x:v>1.16</x:v>
      </x:c>
      <x:c r="K4530" s="8" t="n">
        <x:v>43</x:v>
      </x:c>
      <x:c r="L4530" s="8" t="n">
        <x:v>2179</x:v>
      </x:c>
      <x:c r="M4530" s="9" t="n">
        <x:v>0.4173338417</x:v>
      </x:c>
      <x:c r="N4530" s="10" t="n">
        <x:v>25004.9821018816</x:v>
      </x:c>
      <x:c r="O4530" s="9" t="n">
        <x:v>0.0645081425</x:v>
      </x:c>
      <x:c r="P4530" s="9" t="n">
        <x:v>0.0816876122</x:v>
      </x:c>
      <x:c r="Q4530" s="9" t="n">
        <x:v>0.3913824057</x:v>
      </x:c>
      <x:c r="R4530" s="3" t="b">
        <x:v>0</x:v>
      </x:c>
      <x:c r="S4530" s="3" t="b">
        <x:v>0</x:v>
      </x:c>
      <x:c r="T4530" s="3" t="b">
        <x:v>0</x:v>
      </x:c>
      <x:c r="U4530" s="2" t="str">
        <x:f>IF(T4530=TRUE,"Priority review",IF(R4530=TRUE,"High cost",IF(S4530=TRUE,"Low quality","Benchmark")))</x:f>
        <x:v>Benchmark</x:v>
      </x:c>
    </x:row>
    <x:row r="4531">
      <x:c r="A4531" s="2" t="str">
        <x:v>010040</x:v>
      </x:c>
      <x:c r="B4531" s="2" t="str">
        <x:v>GADSDEN REGIONAL MEDICAL CENTER</x:v>
      </x:c>
      <x:c r="C4531" s="2" t="str">
        <x:v>GADSDEN</x:v>
      </x:c>
      <x:c r="D4531" s="2" t="str">
        <x:v>AL</x:v>
      </x:c>
      <x:c r="E4531" s="2" t="str">
        <x:v>Acute Care Hospitals</x:v>
      </x:c>
      <x:c r="F4531" s="2" t="str">
        <x:v>Proprietary</x:v>
      </x:c>
      <x:c r="G4531" s="2" t="str">
        <x:v>Medium (100-299 beds)</x:v>
      </x:c>
      <x:c r="H4531" s="7" t="n">
        <x:v>2</x:v>
      </x:c>
      <x:c r="I4531" s="7" t="n">
        <x:v>2</x:v>
      </x:c>
      <x:c r="J4531" s="7" t="n">
        <x:v>1.07</x:v>
      </x:c>
      <x:c r="K4531" s="8" t="n">
        <x:v>187</x:v>
      </x:c>
      <x:c r="L4531" s="8" t="n">
        <x:v>8762</x:v>
      </x:c>
      <x:c r="M4531" s="9" t="n">
        <x:v>0.7289853289</x:v>
      </x:c>
      <x:c r="N4531" s="10" t="n">
        <x:v>18680.7887468614</x:v>
      </x:c>
      <x:c r="O4531" s="9" t="n">
        <x:v>0.0960637246</x:v>
      </x:c>
      <x:c r="P4531" s="9" t="n">
        <x:v>0.0814995925</x:v>
      </x:c>
      <x:c r="Q4531" s="9" t="n">
        <x:v>0.0782396088</x:v>
      </x:c>
      <x:c r="R4531" s="3" t="b">
        <x:v>0</x:v>
      </x:c>
      <x:c r="S4531" s="3" t="b">
        <x:v>1</x:v>
      </x:c>
      <x:c r="T4531" s="3" t="b">
        <x:v>0</x:v>
      </x:c>
      <x:c r="U4531" s="2" t="str">
        <x:f>IF(T4531=TRUE,"Priority review",IF(R4531=TRUE,"High cost",IF(S4531=TRUE,"Low quality","Benchmark")))</x:f>
        <x:v>Low quality</x:v>
      </x:c>
    </x:row>
    <x:row r="4532">
      <x:c r="A4532" s="2" t="str">
        <x:v>391316</x:v>
      </x:c>
      <x:c r="B4532" s="2" t="str">
        <x:v>UPMC WELLSBORO</x:v>
      </x:c>
      <x:c r="C4532" s="2" t="str">
        <x:v>WELLSBORO</x:v>
      </x:c>
      <x:c r="D4532" s="2" t="str">
        <x:v>PA</x:v>
      </x:c>
      <x:c r="E4532" s="2" t="str">
        <x:v>Critical Access Hospitals</x:v>
      </x:c>
      <x:c r="F4532" s="2" t="str">
        <x:v>Voluntary non-profit</x:v>
      </x:c>
      <x:c r="G4532" s="2" t="str">
        <x:v>Small (&lt;100 beds)</x:v>
      </x:c>
      <x:c r="H4532" s="7" t="n">
        <x:v>3</x:v>
      </x:c>
      <x:c r="I4532" s="7" t="n">
        <x:v>4</x:v>
      </x:c>
      <x:c r="J4532" s="7"/>
      <x:c r="K4532" s="8" t="n">
        <x:v>25</x:v>
      </x:c>
      <x:c r="L4532" s="8" t="n">
        <x:v>1339</x:v>
      </x:c>
      <x:c r="M4532" s="9" t="n">
        <x:v>0.6226849315</x:v>
      </x:c>
      <x:c r="N4532" s="10" t="n">
        <x:v>58077.9873039582</x:v>
      </x:c>
      <x:c r="O4532" s="9" t="n">
        <x:v>0.1620630274</x:v>
      </x:c>
      <x:c r="P4532" s="9" t="n">
        <x:v>0.0810408922</x:v>
      </x:c>
      <x:c r="Q4532" s="9" t="n">
        <x:v>0.0765799257</x:v>
      </x:c>
      <x:c r="R4532" s="3" t="b">
        <x:v>0</x:v>
      </x:c>
      <x:c r="S4532" s="3" t="b">
        <x:v>1</x:v>
      </x:c>
      <x:c r="T4532" s="3" t="b">
        <x:v>0</x:v>
      </x:c>
      <x:c r="U4532" s="2" t="str">
        <x:f>IF(T4532=TRUE,"Priority review",IF(R4532=TRUE,"High cost",IF(S4532=TRUE,"Low quality","Benchmark")))</x:f>
        <x:v>Low quality</x:v>
      </x:c>
    </x:row>
    <x:row r="4533">
      <x:c r="A4533" s="2" t="str">
        <x:v>404009</x:v>
      </x:c>
      <x:c r="B4533" s="2" t="str">
        <x:v>CENTRO DE SALUD CONDUCTUAL MENONITA-CIMA</x:v>
      </x:c>
      <x:c r="C4533" s="2" t="str">
        <x:v>AIBONITO</x:v>
      </x:c>
      <x:c r="D4533" s="2" t="str">
        <x:v>PR</x:v>
      </x:c>
      <x:c r="E4533" s="2" t="str">
        <x:v>Psychiatric</x:v>
      </x:c>
      <x:c r="F4533" s="2" t="str">
        <x:v>Voluntary non-profit</x:v>
      </x:c>
      <x:c r="G4533" s="2" t="str">
        <x:v>Small (&lt;100 beds)</x:v>
      </x:c>
      <x:c r="H4533" s="7"/>
      <x:c r="I4533" s="7"/>
      <x:c r="J4533" s="7"/>
      <x:c r="K4533" s="8" t="n">
        <x:v>61</x:v>
      </x:c>
      <x:c r="L4533" s="8" t="n">
        <x:v>3255</x:v>
      </x:c>
      <x:c r="M4533" s="9" t="n">
        <x:v>0.8428475185</x:v>
      </x:c>
      <x:c r="N4533" s="10" t="n">
        <x:v>6481.9121351767</x:v>
      </x:c>
      <x:c r="O4533" s="9" t="n">
        <x:v>-0.8190066869</x:v>
      </x:c>
      <x:c r="P4533" s="9" t="n">
        <x:v>0.0809061489</x:v>
      </x:c>
      <x:c r="Q4533" s="9" t="n">
        <x:v>0</x:v>
      </x:c>
      <x:c r="R4533" s="3" t="b">
        <x:v>0</x:v>
      </x:c>
      <x:c r="S4533" s="3" t="b">
        <x:v>0</x:v>
      </x:c>
      <x:c r="T4533" s="3" t="b">
        <x:v>0</x:v>
      </x:c>
      <x:c r="U4533" s="2" t="str">
        <x:f>IF(T4533=TRUE,"Priority review",IF(R4533=TRUE,"High cost",IF(S4533=TRUE,"Low quality","Benchmark")))</x:f>
        <x:v>Benchmark</x:v>
      </x:c>
    </x:row>
    <x:row r="4534">
      <x:c r="A4534" s="2" t="str">
        <x:v>100329</x:v>
      </x:c>
      <x:c r="B4534" s="2" t="str">
        <x:v>OVIEDO MEDICAL CENTER</x:v>
      </x:c>
      <x:c r="C4534" s="2" t="str">
        <x:v>OVIEDO</x:v>
      </x:c>
      <x:c r="D4534" s="2" t="str">
        <x:v>FL</x:v>
      </x:c>
      <x:c r="E4534" s="2" t="str">
        <x:v>Acute Care Hospitals</x:v>
      </x:c>
      <x:c r="F4534" s="2" t="str">
        <x:v>Proprietary</x:v>
      </x:c>
      <x:c r="G4534" s="2" t="str">
        <x:v>Small (&lt;100 beds)</x:v>
      </x:c>
      <x:c r="H4534" s="7" t="n">
        <x:v>3</x:v>
      </x:c>
      <x:c r="I4534" s="7" t="n">
        <x:v>4</x:v>
      </x:c>
      <x:c r="J4534" s="7" t="n">
        <x:v>0.99</x:v>
      </x:c>
      <x:c r="K4534" s="8" t="n">
        <x:v>64</x:v>
      </x:c>
      <x:c r="L4534" s="8" t="n">
        <x:v>5307</x:v>
      </x:c>
      <x:c r="M4534" s="9" t="n">
        <x:v>0.7348019126</x:v>
      </x:c>
      <x:c r="N4534" s="10" t="n">
        <x:v>24914.3815715093</x:v>
      </x:c>
      <x:c r="O4534" s="9" t="n">
        <x:v>0.0289824889</x:v>
      </x:c>
      <x:c r="P4534" s="9" t="n">
        <x:v>0.0807899461</x:v>
      </x:c>
      <x:c r="Q4534" s="9" t="n">
        <x:v>0.1687612208</x:v>
      </x:c>
      <x:c r="R4534" s="3" t="b">
        <x:v>0</x:v>
      </x:c>
      <x:c r="S4534" s="3" t="b">
        <x:v>0</x:v>
      </x:c>
      <x:c r="T4534" s="3" t="b">
        <x:v>0</x:v>
      </x:c>
      <x:c r="U4534" s="2" t="str">
        <x:f>IF(T4534=TRUE,"Priority review",IF(R4534=TRUE,"High cost",IF(S4534=TRUE,"Low quality","Benchmark")))</x:f>
        <x:v>Benchmark</x:v>
      </x:c>
    </x:row>
    <x:row r="4535">
      <x:c r="A4535" s="2" t="str">
        <x:v>040062</x:v>
      </x:c>
      <x:c r="B4535" s="2" t="str">
        <x:v>MERCY HOSPITAL FORT SMITH</x:v>
      </x:c>
      <x:c r="C4535" s="2" t="str">
        <x:v>FORT SMITH</x:v>
      </x:c>
      <x:c r="D4535" s="2" t="str">
        <x:v>AR</x:v>
      </x:c>
      <x:c r="E4535" s="2" t="str">
        <x:v>Acute Care Hospitals</x:v>
      </x:c>
      <x:c r="F4535" s="2" t="str">
        <x:v>Voluntary non-profit</x:v>
      </x:c>
      <x:c r="G4535" s="2" t="str">
        <x:v>Medium (100-299 beds)</x:v>
      </x:c>
      <x:c r="H4535" s="7" t="n">
        <x:v>3</x:v>
      </x:c>
      <x:c r="I4535" s="7" t="n">
        <x:v>3</x:v>
      </x:c>
      <x:c r="J4535" s="7" t="n">
        <x:v>1.07</x:v>
      </x:c>
      <x:c r="K4535" s="8" t="n">
        <x:v>282</x:v>
      </x:c>
      <x:c r="L4535" s="8" t="n">
        <x:v>24647</x:v>
      </x:c>
      <x:c r="M4535" s="9" t="n">
        <x:v>0.9474217078</x:v>
      </x:c>
      <x:c r="N4535" s="10" t="n">
        <x:v>18554.9203148456</x:v>
      </x:c>
      <x:c r="O4535" s="9" t="n">
        <x:v>0.1304885993</x:v>
      </x:c>
      <x:c r="P4535" s="9" t="n">
        <x:v>0.0806845966</x:v>
      </x:c>
      <x:c r="Q4535" s="9" t="n">
        <x:v>0.3023634882</x:v>
      </x:c>
      <x:c r="R4535" s="3" t="b">
        <x:v>0</x:v>
      </x:c>
      <x:c r="S4535" s="3" t="b">
        <x:v>0</x:v>
      </x:c>
      <x:c r="T4535" s="3" t="b">
        <x:v>0</x:v>
      </x:c>
      <x:c r="U4535" s="2" t="str">
        <x:f>IF(T4535=TRUE,"Priority review",IF(R4535=TRUE,"High cost",IF(S4535=TRUE,"Low quality","Benchmark")))</x:f>
        <x:v>Benchmark</x:v>
      </x:c>
    </x:row>
    <x:row r="4536">
      <x:c r="A4536" s="2" t="str">
        <x:v>100157</x:v>
      </x:c>
      <x:c r="B4536" s="2" t="str">
        <x:v>LAKELAND REGIONAL MEDICAL CENTER</x:v>
      </x:c>
      <x:c r="C4536" s="2" t="str">
        <x:v>LAKELAND</x:v>
      </x:c>
      <x:c r="D4536" s="2" t="str">
        <x:v>FL</x:v>
      </x:c>
      <x:c r="E4536" s="2" t="str">
        <x:v>Acute Care Hospitals</x:v>
      </x:c>
      <x:c r="F4536" s="2" t="str">
        <x:v>Voluntary non-profit</x:v>
      </x:c>
      <x:c r="G4536" s="2" t="str">
        <x:v>Large (300+ beds)</x:v>
      </x:c>
      <x:c r="H4536" s="7" t="n">
        <x:v>1</x:v>
      </x:c>
      <x:c r="I4536" s="7" t="n">
        <x:v>3</x:v>
      </x:c>
      <x:c r="J4536" s="7" t="n">
        <x:v>1</x:v>
      </x:c>
      <x:c r="K4536" s="8" t="n">
        <x:v>782</x:v>
      </x:c>
      <x:c r="L4536" s="8" t="n">
        <x:v>48216</x:v>
      </x:c>
      <x:c r="M4536" s="9" t="n">
        <x:v>0.8279142733</x:v>
      </x:c>
      <x:c r="N4536" s="10" t="n">
        <x:v>21601.6329226813</x:v>
      </x:c>
      <x:c r="O4536" s="9" t="n">
        <x:v>0.119183383</x:v>
      </x:c>
      <x:c r="P4536" s="9" t="n">
        <x:v>0.0804416404</x:v>
      </x:c>
      <x:c r="Q4536" s="9" t="n">
        <x:v>0</x:v>
      </x:c>
      <x:c r="R4536" s="3" t="b">
        <x:v>0</x:v>
      </x:c>
      <x:c r="S4536" s="3" t="b">
        <x:v>1</x:v>
      </x:c>
      <x:c r="T4536" s="3" t="b">
        <x:v>0</x:v>
      </x:c>
      <x:c r="U4536" s="2" t="str">
        <x:f>IF(T4536=TRUE,"Priority review",IF(R4536=TRUE,"High cost",IF(S4536=TRUE,"Low quality","Benchmark")))</x:f>
        <x:v>Low quality</x:v>
      </x:c>
    </x:row>
    <x:row r="4537">
      <x:c r="A4537" s="2" t="str">
        <x:v>031314</x:v>
      </x:c>
      <x:c r="B4537" s="2" t="str">
        <x:v>COBRE VALLEY REGIONAL MEDICAL CENTER</x:v>
      </x:c>
      <x:c r="C4537" s="2" t="str">
        <x:v>GLOBE</x:v>
      </x:c>
      <x:c r="D4537" s="2" t="str">
        <x:v>AZ</x:v>
      </x:c>
      <x:c r="E4537" s="2" t="str">
        <x:v>Critical Access Hospitals</x:v>
      </x:c>
      <x:c r="F4537" s="2" t="str">
        <x:v>Voluntary non-profit</x:v>
      </x:c>
      <x:c r="G4537" s="2" t="str">
        <x:v>Small (&lt;100 beds)</x:v>
      </x:c>
      <x:c r="H4537" s="7" t="n">
        <x:v>2</x:v>
      </x:c>
      <x:c r="I4537" s="7" t="n">
        <x:v>3</x:v>
      </x:c>
      <x:c r="J4537" s="7"/>
      <x:c r="K4537" s="8" t="n">
        <x:v>25</x:v>
      </x:c>
      <x:c r="L4537" s="8" t="n">
        <x:v>1733</x:v>
      </x:c>
      <x:c r="M4537" s="9" t="n">
        <x:v>0.7442622951</x:v>
      </x:c>
      <x:c r="N4537" s="10" t="n">
        <x:v>57374.3531448355</x:v>
      </x:c>
      <x:c r="O4537" s="9" t="n">
        <x:v>-0.1258552326</x:v>
      </x:c>
      <x:c r="P4537" s="9" t="n">
        <x:v>0.0802973978</x:v>
      </x:c>
      <x:c r="Q4537" s="9" t="n">
        <x:v>0.0171003717</x:v>
      </x:c>
      <x:c r="R4537" s="3" t="b">
        <x:v>0</x:v>
      </x:c>
      <x:c r="S4537" s="3" t="b">
        <x:v>1</x:v>
      </x:c>
      <x:c r="T4537" s="3" t="b">
        <x:v>0</x:v>
      </x:c>
      <x:c r="U4537" s="2" t="str">
        <x:f>IF(T4537=TRUE,"Priority review",IF(R4537=TRUE,"High cost",IF(S4537=TRUE,"Low quality","Benchmark")))</x:f>
        <x:v>Low quality</x:v>
      </x:c>
    </x:row>
    <x:row r="4538">
      <x:c r="A4538" s="2" t="str">
        <x:v>224007</x:v>
      </x:c>
      <x:c r="B4538" s="2" t="str">
        <x:v>MCLEAN HOSPITAL CORPORATION</x:v>
      </x:c>
      <x:c r="C4538" s="2" t="str">
        <x:v>BELMONT</x:v>
      </x:c>
      <x:c r="D4538" s="2" t="str">
        <x:v>MA</x:v>
      </x:c>
      <x:c r="E4538" s="2" t="str">
        <x:v>Psychiatric</x:v>
      </x:c>
      <x:c r="F4538" s="2" t="str">
        <x:v>Voluntary non-profit</x:v>
      </x:c>
      <x:c r="G4538" s="2" t="str">
        <x:v>Large (300+ beds)</x:v>
      </x:c>
      <x:c r="H4538" s="7"/>
      <x:c r="I4538" s="7"/>
      <x:c r="J4538" s="7"/>
      <x:c r="K4538" s="8" t="n">
        <x:v>309</x:v>
      </x:c>
      <x:c r="L4538" s="8" t="n">
        <x:v>6322</x:v>
      </x:c>
      <x:c r="M4538" s="9" t="n">
        <x:v>0.8820538667</x:v>
      </x:c>
      <x:c r="N4538" s="10" t="n">
        <x:v>59134.5324264473</x:v>
      </x:c>
      <x:c r="O4538" s="9" t="n">
        <x:v>-0.5624353116</x:v>
      </x:c>
      <x:c r="P4538" s="9" t="n">
        <x:v>0.08</x:v>
      </x:c>
      <x:c r="Q4538" s="9" t="n">
        <x:v>0</x:v>
      </x:c>
      <x:c r="R4538" s="3" t="b">
        <x:v>0</x:v>
      </x:c>
      <x:c r="S4538" s="3" t="b">
        <x:v>0</x:v>
      </x:c>
      <x:c r="T4538" s="3" t="b">
        <x:v>0</x:v>
      </x:c>
      <x:c r="U4538" s="2" t="str">
        <x:f>IF(T4538=TRUE,"Priority review",IF(R4538=TRUE,"High cost",IF(S4538=TRUE,"Low quality","Benchmark")))</x:f>
        <x:v>Benchmark</x:v>
      </x:c>
    </x:row>
    <x:row r="4539">
      <x:c r="A4539" s="2" t="str">
        <x:v>100121</x:v>
      </x:c>
      <x:c r="B4539" s="2" t="str">
        <x:v>BARTOW REGIONAL MEDICAL CENTER</x:v>
      </x:c>
      <x:c r="C4539" s="2" t="str">
        <x:v>BARTOW</x:v>
      </x:c>
      <x:c r="D4539" s="2" t="str">
        <x:v>FL</x:v>
      </x:c>
      <x:c r="E4539" s="2" t="str">
        <x:v>Acute Care Hospitals</x:v>
      </x:c>
      <x:c r="F4539" s="2" t="str">
        <x:v>Proprietary</x:v>
      </x:c>
      <x:c r="G4539" s="2" t="str">
        <x:v>Small (&lt;100 beds)</x:v>
      </x:c>
      <x:c r="H4539" s="7" t="n">
        <x:v>3</x:v>
      </x:c>
      <x:c r="I4539" s="7" t="n">
        <x:v>3</x:v>
      </x:c>
      <x:c r="J4539" s="7" t="n">
        <x:v>0.98</x:v>
      </x:c>
      <x:c r="K4539" s="8" t="n">
        <x:v>72</x:v>
      </x:c>
      <x:c r="L4539" s="8" t="n">
        <x:v>4131</x:v>
      </x:c>
      <x:c r="M4539" s="9" t="n">
        <x:v>0.5866347905</x:v>
      </x:c>
      <x:c r="N4539" s="10" t="n">
        <x:v>24834.4567901235</x:v>
      </x:c>
      <x:c r="O4539" s="9" t="n">
        <x:v>0.1846584857</x:v>
      </x:c>
      <x:c r="P4539" s="9" t="n">
        <x:v>0.0798922801</x:v>
      </x:c>
      <x:c r="Q4539" s="9" t="n">
        <x:v>0.1687612208</x:v>
      </x:c>
      <x:c r="R4539" s="3" t="b">
        <x:v>0</x:v>
      </x:c>
      <x:c r="S4539" s="3" t="b">
        <x:v>0</x:v>
      </x:c>
      <x:c r="T4539" s="3" t="b">
        <x:v>0</x:v>
      </x:c>
      <x:c r="U4539" s="2" t="str">
        <x:f>IF(T4539=TRUE,"Priority review",IF(R4539=TRUE,"High cost",IF(S4539=TRUE,"Low quality","Benchmark")))</x:f>
        <x:v>Benchmark</x:v>
      </x:c>
    </x:row>
    <x:row r="4540">
      <x:c r="A4540" s="2" t="str">
        <x:v>110075</x:v>
      </x:c>
      <x:c r="B4540" s="2" t="str">
        <x:v>EAST GEORGIA REGIONAL MEDICAL CENTER</x:v>
      </x:c>
      <x:c r="C4540" s="2" t="str">
        <x:v>STATESBORO</x:v>
      </x:c>
      <x:c r="D4540" s="2" t="str">
        <x:v>GA</x:v>
      </x:c>
      <x:c r="E4540" s="2" t="str">
        <x:v>Acute Care Hospitals</x:v>
      </x:c>
      <x:c r="F4540" s="2" t="str">
        <x:v>Proprietary</x:v>
      </x:c>
      <x:c r="G4540" s="2" t="str">
        <x:v>Medium (100-299 beds)</x:v>
      </x:c>
      <x:c r="H4540" s="7" t="n">
        <x:v>3</x:v>
      </x:c>
      <x:c r="I4540" s="7" t="n">
        <x:v>3</x:v>
      </x:c>
      <x:c r="J4540" s="7" t="n">
        <x:v>1.04</x:v>
      </x:c>
      <x:c r="K4540" s="8" t="n">
        <x:v>142</x:v>
      </x:c>
      <x:c r="L4540" s="8" t="n">
        <x:v>9258</x:v>
      </x:c>
      <x:c r="M4540" s="9" t="n">
        <x:v>0.8157661818</x:v>
      </x:c>
      <x:c r="N4540" s="10" t="n">
        <x:v>18552.5509829337</x:v>
      </x:c>
      <x:c r="O4540" s="9" t="n">
        <x:v>0.2408021872</x:v>
      </x:c>
      <x:c r="P4540" s="9" t="n">
        <x:v>0.0798696007</x:v>
      </x:c>
      <x:c r="Q4540" s="9" t="n">
        <x:v>0.3023634882</x:v>
      </x:c>
      <x:c r="R4540" s="3" t="b">
        <x:v>0</x:v>
      </x:c>
      <x:c r="S4540" s="3" t="b">
        <x:v>0</x:v>
      </x:c>
      <x:c r="T4540" s="3" t="b">
        <x:v>0</x:v>
      </x:c>
      <x:c r="U4540" s="2" t="str">
        <x:f>IF(T4540=TRUE,"Priority review",IF(R4540=TRUE,"High cost",IF(S4540=TRUE,"Low quality","Benchmark")))</x:f>
        <x:v>Benchmark</x:v>
      </x:c>
    </x:row>
    <x:row r="4541">
      <x:c r="A4541" s="2" t="str">
        <x:v>104026</x:v>
      </x:c>
      <x:c r="B4541" s="2" t="str">
        <x:v>FORT LAUDERDALE BEHAVIORAL HEALTH CENTER</x:v>
      </x:c>
      <x:c r="C4541" s="2" t="str">
        <x:v>OAKLAND PARK</x:v>
      </x:c>
      <x:c r="D4541" s="2" t="str">
        <x:v>FL</x:v>
      </x:c>
      <x:c r="E4541" s="2" t="str">
        <x:v>Psychiatric</x:v>
      </x:c>
      <x:c r="F4541" s="2" t="str">
        <x:v>Proprietary</x:v>
      </x:c>
      <x:c r="G4541" s="2" t="str">
        <x:v>Medium (100-299 beds)</x:v>
      </x:c>
      <x:c r="H4541" s="7"/>
      <x:c r="I4541" s="7"/>
      <x:c r="J4541" s="7"/>
      <x:c r="K4541" s="8" t="n">
        <x:v>182</x:v>
      </x:c>
      <x:c r="L4541" s="8" t="n">
        <x:v>7935</x:v>
      </x:c>
      <x:c r="M4541" s="9" t="n">
        <x:v>0.7281120519</x:v>
      </x:c>
      <x:c r="N4541" s="10" t="n">
        <x:v>5563.3323251418</x:v>
      </x:c>
      <x:c r="O4541" s="9" t="n">
        <x:v>0.1914509828</x:v>
      </x:c>
      <x:c r="P4541" s="9" t="n">
        <x:v>0.07960199</x:v>
      </x:c>
      <x:c r="Q4541" s="9" t="n">
        <x:v>0</x:v>
      </x:c>
      <x:c r="R4541" s="3" t="b">
        <x:v>0</x:v>
      </x:c>
      <x:c r="S4541" s="3" t="b">
        <x:v>0</x:v>
      </x:c>
      <x:c r="T4541" s="3" t="b">
        <x:v>0</x:v>
      </x:c>
      <x:c r="U4541" s="2" t="str">
        <x:f>IF(T4541=TRUE,"Priority review",IF(R4541=TRUE,"High cost",IF(S4541=TRUE,"Low quality","Benchmark")))</x:f>
        <x:v>Benchmark</x:v>
      </x:c>
    </x:row>
    <x:row r="4542">
      <x:c r="A4542" s="2" t="str">
        <x:v>321306</x:v>
      </x:c>
      <x:c r="B4542" s="2" t="str">
        <x:v>LINCOLN COUNTY MEDICAL CENTER</x:v>
      </x:c>
      <x:c r="C4542" s="2" t="str">
        <x:v>RUIDOSO</x:v>
      </x:c>
      <x:c r="D4542" s="2" t="str">
        <x:v>NM</x:v>
      </x:c>
      <x:c r="E4542" s="2" t="str">
        <x:v>Critical Access Hospitals</x:v>
      </x:c>
      <x:c r="F4542" s="2" t="str">
        <x:v>Voluntary non-profit</x:v>
      </x:c>
      <x:c r="G4542" s="2" t="str">
        <x:v>Small (&lt;100 beds)</x:v>
      </x:c>
      <x:c r="H4542" s="7" t="n">
        <x:v>2</x:v>
      </x:c>
      <x:c r="I4542" s="7" t="n">
        <x:v>4</x:v>
      </x:c>
      <x:c r="J4542" s="7"/>
      <x:c r="K4542" s="8" t="n">
        <x:v>25</x:v>
      </x:c>
      <x:c r="L4542" s="8" t="n">
        <x:v>1236</x:v>
      </x:c>
      <x:c r="M4542" s="9" t="n">
        <x:v>0.4570491803</x:v>
      </x:c>
      <x:c r="N4542" s="10" t="n">
        <x:v>57045.824433657</x:v>
      </x:c>
      <x:c r="O4542" s="9" t="n">
        <x:v>0.2316857245</x:v>
      </x:c>
      <x:c r="P4542" s="9" t="n">
        <x:v>0.0795539033</x:v>
      </x:c>
      <x:c r="Q4542" s="9" t="n">
        <x:v>0.0171003717</x:v>
      </x:c>
      <x:c r="R4542" s="3" t="b">
        <x:v>0</x:v>
      </x:c>
      <x:c r="S4542" s="3" t="b">
        <x:v>1</x:v>
      </x:c>
      <x:c r="T4542" s="3" t="b">
        <x:v>0</x:v>
      </x:c>
      <x:c r="U4542" s="2" t="str">
        <x:f>IF(T4542=TRUE,"Priority review",IF(R4542=TRUE,"High cost",IF(S4542=TRUE,"Low quality","Benchmark")))</x:f>
        <x:v>Low quality</x:v>
      </x:c>
    </x:row>
    <x:row r="4543">
      <x:c r="A4543" s="2" t="str">
        <x:v>450097</x:v>
      </x:c>
      <x:c r="B4543" s="2" t="str">
        <x:v>HCA HOUSTON HEALTHCARE SOUTHEAST</x:v>
      </x:c>
      <x:c r="C4543" s="2" t="str">
        <x:v>PASADENA</x:v>
      </x:c>
      <x:c r="D4543" s="2" t="str">
        <x:v>TX</x:v>
      </x:c>
      <x:c r="E4543" s="2" t="str">
        <x:v>Acute Care Hospitals</x:v>
      </x:c>
      <x:c r="F4543" s="2" t="str">
        <x:v>Proprietary</x:v>
      </x:c>
      <x:c r="G4543" s="2" t="str">
        <x:v>Medium (100-299 beds)</x:v>
      </x:c>
      <x:c r="H4543" s="7" t="n">
        <x:v>3</x:v>
      </x:c>
      <x:c r="I4543" s="7" t="n">
        <x:v>2</x:v>
      </x:c>
      <x:c r="J4543" s="7" t="n">
        <x:v>1.11</x:v>
      </x:c>
      <x:c r="K4543" s="8" t="n">
        <x:v>298</x:v>
      </x:c>
      <x:c r="L4543" s="8" t="n">
        <x:v>15540</x:v>
      </x:c>
      <x:c r="M4543" s="9" t="n">
        <x:v>0.6863332967</x:v>
      </x:c>
      <x:c r="N4543" s="10" t="n">
        <x:v>18498.7204633205</x:v>
      </x:c>
      <x:c r="O4543" s="9" t="n">
        <x:v>0.261006678</x:v>
      </x:c>
      <x:c r="P4543" s="9" t="n">
        <x:v>0.0790546047</x:v>
      </x:c>
      <x:c r="Q4543" s="9" t="n">
        <x:v>0.3023634882</x:v>
      </x:c>
      <x:c r="R4543" s="3" t="b">
        <x:v>0</x:v>
      </x:c>
      <x:c r="S4543" s="3" t="b">
        <x:v>0</x:v>
      </x:c>
      <x:c r="T4543" s="3" t="b">
        <x:v>0</x:v>
      </x:c>
      <x:c r="U4543" s="2" t="str">
        <x:f>IF(T4543=TRUE,"Priority review",IF(R4543=TRUE,"High cost",IF(S4543=TRUE,"Low quality","Benchmark")))</x:f>
        <x:v>Benchmark</x:v>
      </x:c>
    </x:row>
    <x:row r="4544">
      <x:c r="A4544" s="2" t="str">
        <x:v>440151</x:v>
      </x:c>
      <x:c r="B4544" s="2" t="str">
        <x:v>SAINT THOMAS RIVER PARK HOSPITAL</x:v>
      </x:c>
      <x:c r="C4544" s="2" t="str">
        <x:v>MCMINNVILLE</x:v>
      </x:c>
      <x:c r="D4544" s="2" t="str">
        <x:v>TN</x:v>
      </x:c>
      <x:c r="E4544" s="2" t="str">
        <x:v>Acute Care Hospitals</x:v>
      </x:c>
      <x:c r="F4544" s="2" t="str">
        <x:v>Voluntary non-profit</x:v>
      </x:c>
      <x:c r="G4544" s="2" t="str">
        <x:v>Small (&lt;100 beds)</x:v>
      </x:c>
      <x:c r="H4544" s="7" t="n">
        <x:v>3</x:v>
      </x:c>
      <x:c r="I4544" s="7" t="n">
        <x:v>3</x:v>
      </x:c>
      <x:c r="J4544" s="7" t="n">
        <x:v>1.07</x:v>
      </x:c>
      <x:c r="K4544" s="8" t="n">
        <x:v>45</x:v>
      </x:c>
      <x:c r="L4544" s="8" t="n">
        <x:v>2609</x:v>
      </x:c>
      <x:c r="M4544" s="9" t="n">
        <x:v>0.4294672755</x:v>
      </x:c>
      <x:c r="N4544" s="10" t="n">
        <x:v>24830.9129934841</x:v>
      </x:c>
      <x:c r="O4544" s="9" t="n">
        <x:v>-0.0640774014</x:v>
      </x:c>
      <x:c r="P4544" s="9" t="n">
        <x:v>0.078994614</x:v>
      </x:c>
      <x:c r="Q4544" s="9" t="n">
        <x:v>0.1687612208</x:v>
      </x:c>
      <x:c r="R4544" s="3" t="b">
        <x:v>0</x:v>
      </x:c>
      <x:c r="S4544" s="3" t="b">
        <x:v>0</x:v>
      </x:c>
      <x:c r="T4544" s="3" t="b">
        <x:v>0</x:v>
      </x:c>
      <x:c r="U4544" s="2" t="str">
        <x:f>IF(T4544=TRUE,"Priority review",IF(R4544=TRUE,"High cost",IF(S4544=TRUE,"Low quality","Benchmark")))</x:f>
        <x:v>Benchmark</x:v>
      </x:c>
    </x:row>
    <x:row r="4545">
      <x:c r="A4545" s="2" t="str">
        <x:v>290046</x:v>
      </x:c>
      <x:c r="B4545" s="2" t="str">
        <x:v>SPRING VALLEY HOSPITAL MEDICAL CENTER</x:v>
      </x:c>
      <x:c r="C4545" s="2" t="str">
        <x:v>LAS VEGAS</x:v>
      </x:c>
      <x:c r="D4545" s="2" t="str">
        <x:v>NV</x:v>
      </x:c>
      <x:c r="E4545" s="2" t="str">
        <x:v>Acute Care Hospitals</x:v>
      </x:c>
      <x:c r="F4545" s="2" t="str">
        <x:v>Proprietary</x:v>
      </x:c>
      <x:c r="G4545" s="2" t="str">
        <x:v>Large (300+ beds)</x:v>
      </x:c>
      <x:c r="H4545" s="7" t="n">
        <x:v>3</x:v>
      </x:c>
      <x:c r="I4545" s="7" t="n">
        <x:v>2</x:v>
      </x:c>
      <x:c r="J4545" s="7" t="n">
        <x:v>1.07</x:v>
      </x:c>
      <x:c r="K4545" s="8" t="n">
        <x:v>352</x:v>
      </x:c>
      <x:c r="L4545" s="8" t="n">
        <x:v>18773</x:v>
      </x:c>
      <x:c r="M4545" s="9" t="n">
        <x:v>0.790719697</x:v>
      </x:c>
      <x:c r="N4545" s="10" t="n">
        <x:v>21538.5638416875</x:v>
      </x:c>
      <x:c r="O4545" s="9" t="n">
        <x:v>0.1927078391</x:v>
      </x:c>
      <x:c r="P4545" s="9" t="n">
        <x:v>0.0788643533</x:v>
      </x:c>
      <x:c r="Q4545" s="9" t="n">
        <x:v>0.2570977918</x:v>
      </x:c>
      <x:c r="R4545" s="3" t="b">
        <x:v>0</x:v>
      </x:c>
      <x:c r="S4545" s="3" t="b">
        <x:v>0</x:v>
      </x:c>
      <x:c r="T4545" s="3" t="b">
        <x:v>0</x:v>
      </x:c>
      <x:c r="U4545" s="2" t="str">
        <x:f>IF(T4545=TRUE,"Priority review",IF(R4545=TRUE,"High cost",IF(S4545=TRUE,"Low quality","Benchmark")))</x:f>
        <x:v>Benchmark</x:v>
      </x:c>
    </x:row>
    <x:row r="4546">
      <x:c r="A4546" s="2" t="str">
        <x:v>041310</x:v>
      </x:c>
      <x:c r="B4546" s="2" t="str">
        <x:v>STONE COUNTY MEDICAL CENTER</x:v>
      </x:c>
      <x:c r="C4546" s="2" t="str">
        <x:v>MOUNTAIN VIEW</x:v>
      </x:c>
      <x:c r="D4546" s="2" t="str">
        <x:v>AR</x:v>
      </x:c>
      <x:c r="E4546" s="2" t="str">
        <x:v>Critical Access Hospitals</x:v>
      </x:c>
      <x:c r="F4546" s="2" t="str">
        <x:v>Voluntary non-profit</x:v>
      </x:c>
      <x:c r="G4546" s="2" t="str">
        <x:v>Small (&lt;100 beds)</x:v>
      </x:c>
      <x:c r="H4546" s="7"/>
      <x:c r="I4546" s="7"/>
      <x:c r="J4546" s="7"/>
      <x:c r="K4546" s="8" t="n">
        <x:v>25</x:v>
      </x:c>
      <x:c r="L4546" s="8" t="n">
        <x:v>323</x:v>
      </x:c>
      <x:c r="M4546" s="9" t="n">
        <x:v>0.2198907104</x:v>
      </x:c>
      <x:c r="N4546" s="10" t="n">
        <x:v>56947.959752322</x:v>
      </x:c>
      <x:c r="O4546" s="9" t="n">
        <x:v>0.0674076661</x:v>
      </x:c>
      <x:c r="P4546" s="9" t="n">
        <x:v>0.0788104089</x:v>
      </x:c>
      <x:c r="Q4546" s="9" t="n">
        <x:v>0.292936803</x:v>
      </x:c>
      <x:c r="R4546" s="3" t="b">
        <x:v>0</x:v>
      </x:c>
      <x:c r="S4546" s="3" t="b">
        <x:v>0</x:v>
      </x:c>
      <x:c r="T4546" s="3" t="b">
        <x:v>0</x:v>
      </x:c>
      <x:c r="U4546" s="2" t="str">
        <x:f>IF(T4546=TRUE,"Priority review",IF(R4546=TRUE,"High cost",IF(S4546=TRUE,"Low quality","Benchmark")))</x:f>
        <x:v>Benchmark</x:v>
      </x:c>
    </x:row>
    <x:row r="4547">
      <x:c r="A4547" s="2" t="str">
        <x:v>450855</x:v>
      </x:c>
      <x:c r="B4547" s="2" t="str">
        <x:v>HARLINGEN MEDICAL CENTER</x:v>
      </x:c>
      <x:c r="C4547" s="2" t="str">
        <x:v>HARLINGEN</x:v>
      </x:c>
      <x:c r="D4547" s="2" t="str">
        <x:v>TX</x:v>
      </x:c>
      <x:c r="E4547" s="2" t="str">
        <x:v>Acute Care Hospitals</x:v>
      </x:c>
      <x:c r="F4547" s="2" t="str">
        <x:v>Proprietary</x:v>
      </x:c>
      <x:c r="G4547" s="2" t="str">
        <x:v>Medium (100-299 beds)</x:v>
      </x:c>
      <x:c r="H4547" s="7" t="n">
        <x:v>4</x:v>
      </x:c>
      <x:c r="I4547" s="7" t="n">
        <x:v>3</x:v>
      </x:c>
      <x:c r="J4547" s="7" t="n">
        <x:v>0.97</x:v>
      </x:c>
      <x:c r="K4547" s="8" t="n">
        <x:v>112</x:v>
      </x:c>
      <x:c r="L4547" s="8" t="n">
        <x:v>6695</x:v>
      </x:c>
      <x:c r="M4547" s="9" t="n">
        <x:v>0.7799570648</x:v>
      </x:c>
      <x:c r="N4547" s="10" t="n">
        <x:v>18487.4077669903</x:v>
      </x:c>
      <x:c r="O4547" s="9" t="n">
        <x:v>-0.0093586176</x:v>
      </x:c>
      <x:c r="P4547" s="9" t="n">
        <x:v>0.0782396088</x:v>
      </x:c>
      <x:c r="Q4547" s="9" t="n">
        <x:v>0.6022819886</x:v>
      </x:c>
      <x:c r="R4547" s="3" t="b">
        <x:v>0</x:v>
      </x:c>
      <x:c r="S4547" s="3" t="b">
        <x:v>0</x:v>
      </x:c>
      <x:c r="T4547" s="3" t="b">
        <x:v>0</x:v>
      </x:c>
      <x:c r="U4547" s="2" t="str">
        <x:f>IF(T4547=TRUE,"Priority review",IF(R4547=TRUE,"High cost",IF(S4547=TRUE,"Low quality","Benchmark")))</x:f>
        <x:v>Benchmark</x:v>
      </x:c>
    </x:row>
    <x:row r="4548">
      <x:c r="A4548" s="2" t="str">
        <x:v>220016</x:v>
      </x:c>
      <x:c r="B4548" s="2" t="str">
        <x:v>BAYSTATE FRANKLIN MEDICAL CENTER</x:v>
      </x:c>
      <x:c r="C4548" s="2" t="str">
        <x:v>GREENFIELD</x:v>
      </x:c>
      <x:c r="D4548" s="2" t="str">
        <x:v>MA</x:v>
      </x:c>
      <x:c r="E4548" s="2" t="str">
        <x:v>Acute Care Hospitals</x:v>
      </x:c>
      <x:c r="F4548" s="2" t="str">
        <x:v>Voluntary non-profit</x:v>
      </x:c>
      <x:c r="G4548" s="2" t="str">
        <x:v>Small (&lt;100 beds)</x:v>
      </x:c>
      <x:c r="H4548" s="7" t="n">
        <x:v>3</x:v>
      </x:c>
      <x:c r="I4548" s="7" t="n">
        <x:v>3</x:v>
      </x:c>
      <x:c r="J4548" s="7" t="n">
        <x:v>0.92</x:v>
      </x:c>
      <x:c r="K4548" s="8" t="n">
        <x:v>89</x:v>
      </x:c>
      <x:c r="L4548" s="8" t="n">
        <x:v>5404</x:v>
      </x:c>
      <x:c r="M4548" s="9" t="n">
        <x:v>0.6238104009</x:v>
      </x:c>
      <x:c r="N4548" s="10" t="n">
        <x:v>24681.4800148038</x:v>
      </x:c>
      <x:c r="O4548" s="9" t="n">
        <x:v>-0.0915092668</x:v>
      </x:c>
      <x:c r="P4548" s="9" t="n">
        <x:v>0.0780969479</x:v>
      </x:c>
      <x:c r="Q4548" s="9" t="n">
        <x:v>0.1687612208</x:v>
      </x:c>
      <x:c r="R4548" s="3" t="b">
        <x:v>0</x:v>
      </x:c>
      <x:c r="S4548" s="3" t="b">
        <x:v>0</x:v>
      </x:c>
      <x:c r="T4548" s="3" t="b">
        <x:v>0</x:v>
      </x:c>
      <x:c r="U4548" s="2" t="str">
        <x:f>IF(T4548=TRUE,"Priority review",IF(R4548=TRUE,"High cost",IF(S4548=TRUE,"Low quality","Benchmark")))</x:f>
        <x:v>Benchmark</x:v>
      </x:c>
    </x:row>
    <x:row r="4549">
      <x:c r="A4549" s="2" t="str">
        <x:v>241334</x:v>
      </x:c>
      <x:c r="B4549" s="2" t="str">
        <x:v>RIVER'S EDGE HOSPITAL &amp; CLINIC</x:v>
      </x:c>
      <x:c r="C4549" s="2" t="str">
        <x:v>ST PETER</x:v>
      </x:c>
      <x:c r="D4549" s="2" t="str">
        <x:v>MN</x:v>
      </x:c>
      <x:c r="E4549" s="2" t="str">
        <x:v>Critical Access Hospitals</x:v>
      </x:c>
      <x:c r="F4549" s="2" t="str">
        <x:v>Government</x:v>
      </x:c>
      <x:c r="G4549" s="2" t="str">
        <x:v>Small (&lt;100 beds)</x:v>
      </x:c>
      <x:c r="H4549" s="7"/>
      <x:c r="I4549" s="7" t="n">
        <x:v>4</x:v>
      </x:c>
      <x:c r="J4549" s="7"/>
      <x:c r="K4549" s="8" t="n">
        <x:v>25</x:v>
      </x:c>
      <x:c r="L4549" s="8" t="n">
        <x:v>1160</x:v>
      </x:c>
      <x:c r="M4549" s="9" t="n">
        <x:v>0.3218579235</x:v>
      </x:c>
      <x:c r="N4549" s="10" t="n">
        <x:v>56856.5267241379</x:v>
      </x:c>
      <x:c r="O4549" s="9" t="n">
        <x:v>-0.0458202398</x:v>
      </x:c>
      <x:c r="P4549" s="9" t="n">
        <x:v>0.0780669145</x:v>
      </x:c>
      <x:c r="Q4549" s="9" t="n">
        <x:v>0.292936803</x:v>
      </x:c>
      <x:c r="R4549" s="3" t="b">
        <x:v>0</x:v>
      </x:c>
      <x:c r="S4549" s="3" t="b">
        <x:v>0</x:v>
      </x:c>
      <x:c r="T4549" s="3" t="b">
        <x:v>0</x:v>
      </x:c>
      <x:c r="U4549" s="2" t="str">
        <x:f>IF(T4549=TRUE,"Priority review",IF(R4549=TRUE,"High cost",IF(S4549=TRUE,"Low quality","Benchmark")))</x:f>
        <x:v>Benchmark</x:v>
      </x:c>
    </x:row>
    <x:row r="4550">
      <x:c r="A4550" s="2" t="str">
        <x:v>194094</x:v>
      </x:c>
      <x:c r="B4550" s="2" t="str">
        <x:v>PHYSICIANS BEHAVIORAL HOSPITAL</x:v>
      </x:c>
      <x:c r="C4550" s="2" t="str">
        <x:v>SHREVEPORT</x:v>
      </x:c>
      <x:c r="D4550" s="2" t="str">
        <x:v>LA</x:v>
      </x:c>
      <x:c r="E4550" s="2" t="str">
        <x:v>Psychiatric</x:v>
      </x:c>
      <x:c r="F4550" s="2" t="str">
        <x:v>Proprietary</x:v>
      </x:c>
      <x:c r="G4550" s="2" t="str">
        <x:v>Small (&lt;100 beds)</x:v>
      </x:c>
      <x:c r="H4550" s="7"/>
      <x:c r="I4550" s="7"/>
      <x:c r="J4550" s="7"/>
      <x:c r="K4550" s="8" t="n">
        <x:v>42</x:v>
      </x:c>
      <x:c r="L4550" s="8" t="n">
        <x:v>1635</x:v>
      </x:c>
      <x:c r="M4550" s="9" t="n">
        <x:v>0.9404111371</x:v>
      </x:c>
      <x:c r="N4550" s="10" t="n">
        <x:v>6358.3418960245</x:v>
      </x:c>
      <x:c r="O4550" s="9" t="n">
        <x:v>0.0374041375</x:v>
      </x:c>
      <x:c r="P4550" s="9" t="n">
        <x:v>0.0776699029</x:v>
      </x:c>
      <x:c r="Q4550" s="9" t="n">
        <x:v>0</x:v>
      </x:c>
      <x:c r="R4550" s="3" t="b">
        <x:v>0</x:v>
      </x:c>
      <x:c r="S4550" s="3" t="b">
        <x:v>0</x:v>
      </x:c>
      <x:c r="T4550" s="3" t="b">
        <x:v>0</x:v>
      </x:c>
      <x:c r="U4550" s="2" t="str">
        <x:f>IF(T4550=TRUE,"Priority review",IF(R4550=TRUE,"High cost",IF(S4550=TRUE,"Low quality","Benchmark")))</x:f>
        <x:v>Benchmark</x:v>
      </x:c>
    </x:row>
    <x:row r="4551">
      <x:c r="A4551" s="2" t="str">
        <x:v>670047</x:v>
      </x:c>
      <x:c r="B4551" s="2" t="str">
        <x:v>THE HOSPITALS OF PROVIDENCE - EAST CAMPUS</x:v>
      </x:c>
      <x:c r="C4551" s="2" t="str">
        <x:v>EL PASO</x:v>
      </x:c>
      <x:c r="D4551" s="2" t="str">
        <x:v>TX</x:v>
      </x:c>
      <x:c r="E4551" s="2" t="str">
        <x:v>Acute Care Hospitals</x:v>
      </x:c>
      <x:c r="F4551" s="2" t="str">
        <x:v>Proprietary</x:v>
      </x:c>
      <x:c r="G4551" s="2" t="str">
        <x:v>Medium (100-299 beds)</x:v>
      </x:c>
      <x:c r="H4551" s="7" t="n">
        <x:v>2</x:v>
      </x:c>
      <x:c r="I4551" s="7" t="n">
        <x:v>2</x:v>
      </x:c>
      <x:c r="J4551" s="7" t="n">
        <x:v>1.02</x:v>
      </x:c>
      <x:c r="K4551" s="8" t="n">
        <x:v>218</x:v>
      </x:c>
      <x:c r="L4551" s="8" t="n">
        <x:v>15657</x:v>
      </x:c>
      <x:c r="M4551" s="9" t="n">
        <x:v>0.9634782173</x:v>
      </x:c>
      <x:c r="N4551" s="10" t="n">
        <x:v>18387.7641949288</x:v>
      </x:c>
      <x:c r="O4551" s="9" t="n">
        <x:v>0.2615176021</x:v>
      </x:c>
      <x:c r="P4551" s="9" t="n">
        <x:v>0.0774246129</x:v>
      </x:c>
      <x:c r="Q4551" s="9" t="n">
        <x:v>0.0782396088</x:v>
      </x:c>
      <x:c r="R4551" s="3" t="b">
        <x:v>0</x:v>
      </x:c>
      <x:c r="S4551" s="3" t="b">
        <x:v>1</x:v>
      </x:c>
      <x:c r="T4551" s="3" t="b">
        <x:v>0</x:v>
      </x:c>
      <x:c r="U4551" s="2" t="str">
        <x:f>IF(T4551=TRUE,"Priority review",IF(R4551=TRUE,"High cost",IF(S4551=TRUE,"Low quality","Benchmark")))</x:f>
        <x:v>Low quality</x:v>
      </x:c>
    </x:row>
    <x:row r="4552">
      <x:c r="A4552" s="2" t="str">
        <x:v>261317</x:v>
      </x:c>
      <x:c r="B4552" s="2" t="str">
        <x:v>MERCY HOSPITAL - CASSVILLE</x:v>
      </x:c>
      <x:c r="C4552" s="2" t="str">
        <x:v>CASSVILLE</x:v>
      </x:c>
      <x:c r="D4552" s="2" t="str">
        <x:v>MO</x:v>
      </x:c>
      <x:c r="E4552" s="2" t="str">
        <x:v>Critical Access Hospitals</x:v>
      </x:c>
      <x:c r="F4552" s="2" t="str">
        <x:v>Voluntary non-profit</x:v>
      </x:c>
      <x:c r="G4552" s="2" t="str">
        <x:v>Small (&lt;100 beds)</x:v>
      </x:c>
      <x:c r="H4552" s="7"/>
      <x:c r="I4552" s="7"/>
      <x:c r="J4552" s="7"/>
      <x:c r="K4552" s="8" t="n">
        <x:v>25</x:v>
      </x:c>
      <x:c r="L4552" s="8" t="n">
        <x:v>384</x:v>
      </x:c>
      <x:c r="M4552" s="9" t="n">
        <x:v>0.1700821918</x:v>
      </x:c>
      <x:c r="N4552" s="10" t="n">
        <x:v>56703.9817708333</x:v>
      </x:c>
      <x:c r="O4552" s="9" t="n">
        <x:v>0.1783318585</x:v>
      </x:c>
      <x:c r="P4552" s="9" t="n">
        <x:v>0.0773234201</x:v>
      </x:c>
      <x:c r="Q4552" s="9" t="n">
        <x:v>0.292936803</x:v>
      </x:c>
      <x:c r="R4552" s="3" t="b">
        <x:v>0</x:v>
      </x:c>
      <x:c r="S4552" s="3" t="b">
        <x:v>0</x:v>
      </x:c>
      <x:c r="T4552" s="3" t="b">
        <x:v>0</x:v>
      </x:c>
      <x:c r="U4552" s="2" t="str">
        <x:f>IF(T4552=TRUE,"Priority review",IF(R4552=TRUE,"High cost",IF(S4552=TRUE,"Low quality","Benchmark")))</x:f>
        <x:v>Benchmark</x:v>
      </x:c>
    </x:row>
    <x:row r="4553">
      <x:c r="A4553" s="2" t="str">
        <x:v>210057</x:v>
      </x:c>
      <x:c r="B4553" s="2" t="str">
        <x:v>ADVENTIST HEALTHCARE SHADY GROVE MEDICAL CENTER</x:v>
      </x:c>
      <x:c r="C4553" s="2" t="str">
        <x:v>ROCKVILLE</x:v>
      </x:c>
      <x:c r="D4553" s="2" t="str">
        <x:v>MD</x:v>
      </x:c>
      <x:c r="E4553" s="2" t="str">
        <x:v>Acute Care Hospitals</x:v>
      </x:c>
      <x:c r="F4553" s="2" t="str">
        <x:v>Voluntary non-profit</x:v>
      </x:c>
      <x:c r="G4553" s="2" t="str">
        <x:v>Large (300+ beds)</x:v>
      </x:c>
      <x:c r="H4553" s="7" t="n">
        <x:v>2</x:v>
      </x:c>
      <x:c r="I4553" s="7" t="n">
        <x:v>3</x:v>
      </x:c>
      <x:c r="J4553" s="7"/>
      <x:c r="K4553" s="8" t="n">
        <x:v>392</x:v>
      </x:c>
      <x:c r="L4553" s="8" t="n">
        <x:v>21260</x:v>
      </x:c>
      <x:c r="M4553" s="9" t="n">
        <x:v>0.7531016505</x:v>
      </x:c>
      <x:c r="N4553" s="10" t="n">
        <x:v>21499.0420507996</x:v>
      </x:c>
      <x:c r="O4553" s="9" t="n">
        <x:v>0.0197362192</x:v>
      </x:c>
      <x:c r="P4553" s="9" t="n">
        <x:v>0.0772870662</x:v>
      </x:c>
      <x:c r="Q4553" s="9" t="n">
        <x:v>0.0536277603</x:v>
      </x:c>
      <x:c r="R4553" s="3" t="b">
        <x:v>0</x:v>
      </x:c>
      <x:c r="S4553" s="3" t="b">
        <x:v>1</x:v>
      </x:c>
      <x:c r="T4553" s="3" t="b">
        <x:v>0</x:v>
      </x:c>
      <x:c r="U4553" s="2" t="str">
        <x:f>IF(T4553=TRUE,"Priority review",IF(R4553=TRUE,"High cost",IF(S4553=TRUE,"Low quality","Benchmark")))</x:f>
        <x:v>Low quality</x:v>
      </x:c>
    </x:row>
    <x:row r="4554">
      <x:c r="A4554" s="2" t="str">
        <x:v>260214</x:v>
      </x:c>
      <x:c r="B4554" s="2" t="str">
        <x:v>BELTON REGIONAL MEDICAL CENTER</x:v>
      </x:c>
      <x:c r="C4554" s="2" t="str">
        <x:v>BELTON</x:v>
      </x:c>
      <x:c r="D4554" s="2" t="str">
        <x:v>MO</x:v>
      </x:c>
      <x:c r="E4554" s="2" t="str">
        <x:v>Acute Care Hospitals</x:v>
      </x:c>
      <x:c r="F4554" s="2" t="str">
        <x:v>Voluntary non-profit</x:v>
      </x:c>
      <x:c r="G4554" s="2" t="str">
        <x:v>Small (&lt;100 beds)</x:v>
      </x:c>
      <x:c r="H4554" s="7" t="n">
        <x:v>2</x:v>
      </x:c>
      <x:c r="I4554" s="7" t="n">
        <x:v>2</x:v>
      </x:c>
      <x:c r="J4554" s="7" t="n">
        <x:v>0.99</x:v>
      </x:c>
      <x:c r="K4554" s="8" t="n">
        <x:v>62</x:v>
      </x:c>
      <x:c r="L4554" s="8" t="n">
        <x:v>3156</x:v>
      </x:c>
      <x:c r="M4554" s="9" t="n">
        <x:v>0.4620571126</x:v>
      </x:c>
      <x:c r="N4554" s="10" t="n">
        <x:v>24672.9961977186</x:v>
      </x:c>
      <x:c r="O4554" s="9" t="n">
        <x:v>0.2418117262</x:v>
      </x:c>
      <x:c r="P4554" s="9" t="n">
        <x:v>0.0771992819</x:v>
      </x:c>
      <x:c r="Q4554" s="9" t="n">
        <x:v>0.0350089767</x:v>
      </x:c>
      <x:c r="R4554" s="3" t="b">
        <x:v>0</x:v>
      </x:c>
      <x:c r="S4554" s="3" t="b">
        <x:v>1</x:v>
      </x:c>
      <x:c r="T4554" s="3" t="b">
        <x:v>0</x:v>
      </x:c>
      <x:c r="U4554" s="2" t="str">
        <x:f>IF(T4554=TRUE,"Priority review",IF(R4554=TRUE,"High cost",IF(S4554=TRUE,"Low quality","Benchmark")))</x:f>
        <x:v>Low quality</x:v>
      </x:c>
    </x:row>
    <x:row r="4555">
      <x:c r="A4555" s="2" t="str">
        <x:v>450656</x:v>
      </x:c>
      <x:c r="B4555" s="2" t="str">
        <x:v>NACOGDOCHES MEDICAL CENTER</x:v>
      </x:c>
      <x:c r="C4555" s="2" t="str">
        <x:v>NACOGDOCHES</x:v>
      </x:c>
      <x:c r="D4555" s="2" t="str">
        <x:v>TX</x:v>
      </x:c>
      <x:c r="E4555" s="2" t="str">
        <x:v>Acute Care Hospitals</x:v>
      </x:c>
      <x:c r="F4555" s="2" t="str">
        <x:v>Voluntary non-profit</x:v>
      </x:c>
      <x:c r="G4555" s="2" t="str">
        <x:v>Medium (100-299 beds)</x:v>
      </x:c>
      <x:c r="H4555" s="7" t="n">
        <x:v>3</x:v>
      </x:c>
      <x:c r="I4555" s="7" t="n">
        <x:v>4</x:v>
      </x:c>
      <x:c r="J4555" s="7" t="n">
        <x:v>0.99</x:v>
      </x:c>
      <x:c r="K4555" s="8" t="n">
        <x:v>155</x:v>
      </x:c>
      <x:c r="L4555" s="8" t="n">
        <x:v>5993</x:v>
      </x:c>
      <x:c r="M4555" s="9" t="n">
        <x:v>0.4451612903</x:v>
      </x:c>
      <x:c r="N4555" s="10" t="n">
        <x:v>18347.237276823</x:v>
      </x:c>
      <x:c r="O4555" s="9" t="n">
        <x:v>0.2185788107</x:v>
      </x:c>
      <x:c r="P4555" s="9" t="n">
        <x:v>0.076609617</x:v>
      </x:c>
      <x:c r="Q4555" s="9" t="n">
        <x:v>0.3023634882</x:v>
      </x:c>
      <x:c r="R4555" s="3" t="b">
        <x:v>0</x:v>
      </x:c>
      <x:c r="S4555" s="3" t="b">
        <x:v>0</x:v>
      </x:c>
      <x:c r="T4555" s="3" t="b">
        <x:v>0</x:v>
      </x:c>
      <x:c r="U4555" s="2" t="str">
        <x:f>IF(T4555=TRUE,"Priority review",IF(R4555=TRUE,"High cost",IF(S4555=TRUE,"Low quality","Benchmark")))</x:f>
        <x:v>Benchmark</x:v>
      </x:c>
    </x:row>
    <x:row r="4556">
      <x:c r="A4556" s="2" t="str">
        <x:v>111319</x:v>
      </x:c>
      <x:c r="B4556" s="2" t="str">
        <x:v>WELLSTAR SYLVAN GROVE MEDICAL CENTER</x:v>
      </x:c>
      <x:c r="C4556" s="2" t="str">
        <x:v>JACKSON</x:v>
      </x:c>
      <x:c r="D4556" s="2" t="str">
        <x:v>GA</x:v>
      </x:c>
      <x:c r="E4556" s="2" t="str">
        <x:v>Critical Access Hospitals</x:v>
      </x:c>
      <x:c r="F4556" s="2" t="str">
        <x:v>Voluntary non-profit</x:v>
      </x:c>
      <x:c r="G4556" s="2" t="str">
        <x:v>Small (&lt;100 beds)</x:v>
      </x:c>
      <x:c r="H4556" s="7"/>
      <x:c r="I4556" s="7"/>
      <x:c r="J4556" s="7"/>
      <x:c r="K4556" s="8" t="n">
        <x:v>25</x:v>
      </x:c>
      <x:c r="L4556" s="8" t="n">
        <x:v>375</x:v>
      </x:c>
      <x:c r="M4556" s="9" t="n">
        <x:v>0.5559452055</x:v>
      </x:c>
      <x:c r="N4556" s="10" t="n">
        <x:v>56554.888</x:v>
      </x:c>
      <x:c r="O4556" s="9" t="n">
        <x:v>0.1447857398</x:v>
      </x:c>
      <x:c r="P4556" s="9" t="n">
        <x:v>0.0765799257</x:v>
      </x:c>
      <x:c r="Q4556" s="9" t="n">
        <x:v>0.292936803</x:v>
      </x:c>
      <x:c r="R4556" s="3" t="b">
        <x:v>0</x:v>
      </x:c>
      <x:c r="S4556" s="3" t="b">
        <x:v>0</x:v>
      </x:c>
      <x:c r="T4556" s="3" t="b">
        <x:v>0</x:v>
      </x:c>
      <x:c r="U4556" s="2" t="str">
        <x:f>IF(T4556=TRUE,"Priority review",IF(R4556=TRUE,"High cost",IF(S4556=TRUE,"Low quality","Benchmark")))</x:f>
        <x:v>Benchmark</x:v>
      </x:c>
    </x:row>
    <x:row r="4557">
      <x:c r="A4557" s="2" t="str">
        <x:v>520102</x:v>
      </x:c>
      <x:c r="B4557" s="2" t="str">
        <x:v>AURORA LAKELAND MEDICAL CENTER</x:v>
      </x:c>
      <x:c r="C4557" s="2" t="str">
        <x:v>ELKHORN</x:v>
      </x:c>
      <x:c r="D4557" s="2" t="str">
        <x:v>WI</x:v>
      </x:c>
      <x:c r="E4557" s="2" t="str">
        <x:v>Acute Care Hospitals</x:v>
      </x:c>
      <x:c r="F4557" s="2" t="str">
        <x:v>Voluntary non-profit</x:v>
      </x:c>
      <x:c r="G4557" s="2" t="str">
        <x:v>Small (&lt;100 beds)</x:v>
      </x:c>
      <x:c r="H4557" s="7" t="n">
        <x:v>5</x:v>
      </x:c>
      <x:c r="I4557" s="7" t="n">
        <x:v>4</x:v>
      </x:c>
      <x:c r="J4557" s="7" t="n">
        <x:v>0.84</x:v>
      </x:c>
      <x:c r="K4557" s="8" t="n">
        <x:v>62</x:v>
      </x:c>
      <x:c r="L4557" s="8" t="n">
        <x:v>3108</x:v>
      </x:c>
      <x:c r="M4557" s="9" t="n">
        <x:v>0.4640842588</x:v>
      </x:c>
      <x:c r="N4557" s="10" t="n">
        <x:v>24450.8336550837</x:v>
      </x:c>
      <x:c r="O4557" s="9" t="n">
        <x:v>0.1820314197</x:v>
      </x:c>
      <x:c r="P4557" s="9" t="n">
        <x:v>0.0763016158</x:v>
      </x:c>
      <x:c r="Q4557" s="9" t="n">
        <x:v>0.6131059246</x:v>
      </x:c>
      <x:c r="R4557" s="3" t="b">
        <x:v>0</x:v>
      </x:c>
      <x:c r="S4557" s="3" t="b">
        <x:v>0</x:v>
      </x:c>
      <x:c r="T4557" s="3" t="b">
        <x:v>0</x:v>
      </x:c>
      <x:c r="U4557" s="2" t="str">
        <x:f>IF(T4557=TRUE,"Priority review",IF(R4557=TRUE,"High cost",IF(S4557=TRUE,"Low quality","Benchmark")))</x:f>
        <x:v>Benchmark</x:v>
      </x:c>
    </x:row>
    <x:row r="4558">
      <x:c r="A4558" s="2" t="str">
        <x:v>051301</x:v>
      </x:c>
      <x:c r="B4558" s="2" t="str">
        <x:v>ADVENTIST HEALTH TEHACHAPI VALLEY</x:v>
      </x:c>
      <x:c r="C4558" s="2" t="str">
        <x:v>TEHACHAPI</x:v>
      </x:c>
      <x:c r="D4558" s="2" t="str">
        <x:v>CA</x:v>
      </x:c>
      <x:c r="E4558" s="2" t="str">
        <x:v>Critical Access Hospitals</x:v>
      </x:c>
      <x:c r="F4558" s="2" t="str">
        <x:v>Voluntary non-profit</x:v>
      </x:c>
      <x:c r="G4558" s="2" t="str">
        <x:v>Small (&lt;100 beds)</x:v>
      </x:c>
      <x:c r="H4558" s="7" t="n">
        <x:v>3</x:v>
      </x:c>
      <x:c r="I4558" s="7" t="n">
        <x:v>5</x:v>
      </x:c>
      <x:c r="J4558" s="7"/>
      <x:c r="K4558" s="8" t="n">
        <x:v>25</x:v>
      </x:c>
      <x:c r="L4558" s="8" t="n">
        <x:v>1232</x:v>
      </x:c>
      <x:c r="M4558" s="9" t="n">
        <x:v>0.4757377049</x:v>
      </x:c>
      <x:c r="N4558" s="10" t="n">
        <x:v>56337.0738636364</x:v>
      </x:c>
      <x:c r="O4558" s="9" t="n">
        <x:v>-0.0188476602</x:v>
      </x:c>
      <x:c r="P4558" s="9" t="n">
        <x:v>0.0758364312</x:v>
      </x:c>
      <x:c r="Q4558" s="9" t="n">
        <x:v>0.0765799257</x:v>
      </x:c>
      <x:c r="R4558" s="3" t="b">
        <x:v>0</x:v>
      </x:c>
      <x:c r="S4558" s="3" t="b">
        <x:v>1</x:v>
      </x:c>
      <x:c r="T4558" s="3" t="b">
        <x:v>0</x:v>
      </x:c>
      <x:c r="U4558" s="2" t="str">
        <x:f>IF(T4558=TRUE,"Priority review",IF(R4558=TRUE,"High cost",IF(S4558=TRUE,"Low quality","Benchmark")))</x:f>
        <x:v>Low quality</x:v>
      </x:c>
    </x:row>
    <x:row r="4559">
      <x:c r="A4559" s="2" t="str">
        <x:v>440185</x:v>
      </x:c>
      <x:c r="B4559" s="2" t="str">
        <x:v>AFFILIATE OF VITRUVIAN HEALTH</x:v>
      </x:c>
      <x:c r="C4559" s="2" t="str">
        <x:v>CLEVELAND</x:v>
      </x:c>
      <x:c r="D4559" s="2" t="str">
        <x:v>TN</x:v>
      </x:c>
      <x:c r="E4559" s="2" t="str">
        <x:v>Acute Care Hospitals</x:v>
      </x:c>
      <x:c r="F4559" s="2" t="str">
        <x:v>Proprietary</x:v>
      </x:c>
      <x:c r="G4559" s="2" t="str">
        <x:v>Medium (100-299 beds)</x:v>
      </x:c>
      <x:c r="H4559" s="7" t="n">
        <x:v>2</x:v>
      </x:c>
      <x:c r="I4559" s="7" t="n">
        <x:v>3</x:v>
      </x:c>
      <x:c r="J4559" s="7" t="n">
        <x:v>1</x:v>
      </x:c>
      <x:c r="K4559" s="8" t="n">
        <x:v>176</x:v>
      </x:c>
      <x:c r="L4559" s="8" t="n">
        <x:v>1591</x:v>
      </x:c>
      <x:c r="M4559" s="9" t="n">
        <x:v>0.6372019374</x:v>
      </x:c>
      <x:c r="N4559" s="10" t="n">
        <x:v>18225.4481458202</x:v>
      </x:c>
      <x:c r="O4559" s="9" t="n">
        <x:v>0.0079201987</x:v>
      </x:c>
      <x:c r="P4559" s="9" t="n">
        <x:v>0.075794621</x:v>
      </x:c>
      <x:c r="Q4559" s="9" t="n">
        <x:v>0.0782396088</x:v>
      </x:c>
      <x:c r="R4559" s="3" t="b">
        <x:v>0</x:v>
      </x:c>
      <x:c r="S4559" s="3" t="b">
        <x:v>1</x:v>
      </x:c>
      <x:c r="T4559" s="3" t="b">
        <x:v>0</x:v>
      </x:c>
      <x:c r="U4559" s="2" t="str">
        <x:f>IF(T4559=TRUE,"Priority review",IF(R4559=TRUE,"High cost",IF(S4559=TRUE,"Low quality","Benchmark")))</x:f>
        <x:v>Low quality</x:v>
      </x:c>
    </x:row>
    <x:row r="4560">
      <x:c r="A4560" s="2" t="str">
        <x:v>340098</x:v>
      </x:c>
      <x:c r="B4560" s="2" t="str">
        <x:v>ATRIUM HEALTH PINEVILLE</x:v>
      </x:c>
      <x:c r="C4560" s="2" t="str">
        <x:v>CHARLOTTE</x:v>
      </x:c>
      <x:c r="D4560" s="2" t="str">
        <x:v>NC</x:v>
      </x:c>
      <x:c r="E4560" s="2" t="str">
        <x:v>Acute Care Hospitals</x:v>
      </x:c>
      <x:c r="F4560" s="2" t="str">
        <x:v>Government</x:v>
      </x:c>
      <x:c r="G4560" s="2" t="str">
        <x:v>Large (300+ beds)</x:v>
      </x:c>
      <x:c r="H4560" s="7" t="n">
        <x:v>3</x:v>
      </x:c>
      <x:c r="I4560" s="7" t="n">
        <x:v>3</x:v>
      </x:c>
      <x:c r="J4560" s="7" t="n">
        <x:v>0.94</x:v>
      </x:c>
      <x:c r="K4560" s="8" t="n">
        <x:v>388</x:v>
      </x:c>
      <x:c r="L4560" s="8" t="n">
        <x:v>24190</x:v>
      </x:c>
      <x:c r="M4560" s="9" t="n">
        <x:v>0.8276500418</x:v>
      </x:c>
      <x:c r="N4560" s="10" t="n">
        <x:v>21469.6198842497</x:v>
      </x:c>
      <x:c r="O4560" s="9" t="n">
        <x:v>0.2756721625</x:v>
      </x:c>
      <x:c r="P4560" s="9" t="n">
        <x:v>0.0757097792</x:v>
      </x:c>
      <x:c r="Q4560" s="9" t="n">
        <x:v>0.2570977918</x:v>
      </x:c>
      <x:c r="R4560" s="3" t="b">
        <x:v>0</x:v>
      </x:c>
      <x:c r="S4560" s="3" t="b">
        <x:v>0</x:v>
      </x:c>
      <x:c r="T4560" s="3" t="b">
        <x:v>0</x:v>
      </x:c>
      <x:c r="U4560" s="2" t="str">
        <x:f>IF(T4560=TRUE,"Priority review",IF(R4560=TRUE,"High cost",IF(S4560=TRUE,"Low quality","Benchmark")))</x:f>
        <x:v>Benchmark</x:v>
      </x:c>
    </x:row>
    <x:row r="4561">
      <x:c r="A4561" s="2" t="str">
        <x:v>050854</x:v>
      </x:c>
      <x:c r="B4561" s="2" t="str">
        <x:v>ANAHEIM COMMUNITY HOSPITAL, LLC</x:v>
      </x:c>
      <x:c r="C4561" s="2" t="str">
        <x:v>ANAHEIM</x:v>
      </x:c>
      <x:c r="D4561" s="2" t="str">
        <x:v>CA</x:v>
      </x:c>
      <x:c r="E4561" s="2" t="str">
        <x:v>Acute Care Hospitals</x:v>
      </x:c>
      <x:c r="F4561" s="2" t="str">
        <x:v>Proprietary</x:v>
      </x:c>
      <x:c r="G4561" s="2" t="str">
        <x:v>Small (&lt;100 beds)</x:v>
      </x:c>
      <x:c r="H4561" s="7"/>
      <x:c r="I4561" s="7"/>
      <x:c r="J4561" s="7" t="n">
        <x:v>1.03</x:v>
      </x:c>
      <x:c r="K4561" s="8" t="n">
        <x:v>98</x:v>
      </x:c>
      <x:c r="L4561" s="8" t="n">
        <x:v>1690</x:v>
      </x:c>
      <x:c r="M4561" s="9" t="n">
        <x:v>0.8898739824</x:v>
      </x:c>
      <x:c r="N4561" s="10" t="n">
        <x:v>24420.5289940828</x:v>
      </x:c>
      <x:c r="O4561" s="9" t="n">
        <x:v>-0.0715270858</x:v>
      </x:c>
      <x:c r="P4561" s="9" t="n">
        <x:v>0.0754039497</x:v>
      </x:c>
      <x:c r="Q4561" s="9" t="n">
        <x:v>0.697486535</x:v>
      </x:c>
      <x:c r="R4561" s="3" t="b">
        <x:v>0</x:v>
      </x:c>
      <x:c r="S4561" s="3" t="b">
        <x:v>0</x:v>
      </x:c>
      <x:c r="T4561" s="3" t="b">
        <x:v>0</x:v>
      </x:c>
      <x:c r="U4561" s="2" t="str">
        <x:f>IF(T4561=TRUE,"Priority review",IF(R4561=TRUE,"High cost",IF(S4561=TRUE,"Low quality","Benchmark")))</x:f>
        <x:v>Benchmark</x:v>
      </x:c>
    </x:row>
    <x:row r="4562">
      <x:c r="A4562" s="2" t="str">
        <x:v>171362</x:v>
      </x:c>
      <x:c r="B4562" s="2" t="str">
        <x:v>CITIZENS MEDICAL CENTER</x:v>
      </x:c>
      <x:c r="C4562" s="2" t="str">
        <x:v>COLBY</x:v>
      </x:c>
      <x:c r="D4562" s="2" t="str">
        <x:v>KS</x:v>
      </x:c>
      <x:c r="E4562" s="2" t="str">
        <x:v>Critical Access Hospitals</x:v>
      </x:c>
      <x:c r="F4562" s="2" t="str">
        <x:v>Voluntary non-profit</x:v>
      </x:c>
      <x:c r="G4562" s="2" t="str">
        <x:v>Small (&lt;100 beds)</x:v>
      </x:c>
      <x:c r="H4562" s="7" t="n">
        <x:v>3</x:v>
      </x:c>
      <x:c r="I4562" s="7" t="n">
        <x:v>4</x:v>
      </x:c>
      <x:c r="J4562" s="7"/>
      <x:c r="K4562" s="8" t="n">
        <x:v>23</x:v>
      </x:c>
      <x:c r="L4562" s="8" t="n">
        <x:v>1234</x:v>
      </x:c>
      <x:c r="M4562" s="9" t="n">
        <x:v>0.5098598242</x:v>
      </x:c>
      <x:c r="N4562" s="10" t="n">
        <x:v>56236.8290113452</x:v>
      </x:c>
      <x:c r="O4562" s="9" t="n">
        <x:v>-0.1069008377</x:v>
      </x:c>
      <x:c r="P4562" s="9" t="n">
        <x:v>0.0750929368</x:v>
      </x:c>
      <x:c r="Q4562" s="9" t="n">
        <x:v>0.0765799257</x:v>
      </x:c>
      <x:c r="R4562" s="3" t="b">
        <x:v>0</x:v>
      </x:c>
      <x:c r="S4562" s="3" t="b">
        <x:v>1</x:v>
      </x:c>
      <x:c r="T4562" s="3" t="b">
        <x:v>0</x:v>
      </x:c>
      <x:c r="U4562" s="2" t="str">
        <x:f>IF(T4562=TRUE,"Priority review",IF(R4562=TRUE,"High cost",IF(S4562=TRUE,"Low quality","Benchmark")))</x:f>
        <x:v>Low quality</x:v>
      </x:c>
    </x:row>
    <x:row r="4563">
      <x:c r="A4563" s="2" t="str">
        <x:v>390012</x:v>
      </x:c>
      <x:c r="B4563" s="2" t="str">
        <x:v>JEFFERSON LANSDALE HOSPITAL</x:v>
      </x:c>
      <x:c r="C4563" s="2" t="str">
        <x:v>LANSDALE</x:v>
      </x:c>
      <x:c r="D4563" s="2" t="str">
        <x:v>PA</x:v>
      </x:c>
      <x:c r="E4563" s="2" t="str">
        <x:v>Acute Care Hospitals</x:v>
      </x:c>
      <x:c r="F4563" s="2" t="str">
        <x:v>Voluntary non-profit</x:v>
      </x:c>
      <x:c r="G4563" s="2" t="str">
        <x:v>Medium (100-299 beds)</x:v>
      </x:c>
      <x:c r="H4563" s="7" t="n">
        <x:v>3</x:v>
      </x:c>
      <x:c r="I4563" s="7" t="n">
        <x:v>2</x:v>
      </x:c>
      <x:c r="J4563" s="7" t="n">
        <x:v>0.97</x:v>
      </x:c>
      <x:c r="K4563" s="8" t="n">
        <x:v>140</x:v>
      </x:c>
      <x:c r="L4563" s="8" t="n">
        <x:v>5528</x:v>
      </x:c>
      <x:c r="M4563" s="9" t="n">
        <x:v>0.4647749511</x:v>
      </x:c>
      <x:c r="N4563" s="10" t="n">
        <x:v>18099.7288350217</x:v>
      </x:c>
      <x:c r="O4563" s="9" t="n">
        <x:v>0.0361628993</x:v>
      </x:c>
      <x:c r="P4563" s="9" t="n">
        <x:v>0.0749796251</x:v>
      </x:c>
      <x:c r="Q4563" s="9" t="n">
        <x:v>0.3023634882</x:v>
      </x:c>
      <x:c r="R4563" s="3" t="b">
        <x:v>0</x:v>
      </x:c>
      <x:c r="S4563" s="3" t="b">
        <x:v>0</x:v>
      </x:c>
      <x:c r="T4563" s="3" t="b">
        <x:v>0</x:v>
      </x:c>
      <x:c r="U4563" s="2" t="str">
        <x:f>IF(T4563=TRUE,"Priority review",IF(R4563=TRUE,"High cost",IF(S4563=TRUE,"Low quality","Benchmark")))</x:f>
        <x:v>Benchmark</x:v>
      </x:c>
    </x:row>
    <x:row r="4564">
      <x:c r="A4564" s="2" t="str">
        <x:v>454108</x:v>
      </x:c>
      <x:c r="B4564" s="2" t="str">
        <x:v>CYPRESS CREEK HOSPITAL</x:v>
      </x:c>
      <x:c r="C4564" s="2" t="str">
        <x:v>HOUSTON</x:v>
      </x:c>
      <x:c r="D4564" s="2" t="str">
        <x:v>TX</x:v>
      </x:c>
      <x:c r="E4564" s="2" t="str">
        <x:v>Psychiatric</x:v>
      </x:c>
      <x:c r="F4564" s="2" t="str">
        <x:v>Proprietary</x:v>
      </x:c>
      <x:c r="G4564" s="2" t="str">
        <x:v>Medium (100-299 beds)</x:v>
      </x:c>
      <x:c r="H4564" s="7"/>
      <x:c r="I4564" s="7"/>
      <x:c r="J4564" s="7"/>
      <x:c r="K4564" s="8" t="n">
        <x:v>128</x:v>
      </x:c>
      <x:c r="L4564" s="8" t="n">
        <x:v>4915</x:v>
      </x:c>
      <x:c r="M4564" s="9" t="n">
        <x:v>0.7814634563</x:v>
      </x:c>
      <x:c r="N4564" s="10" t="n">
        <x:v>5434.2490335707</x:v>
      </x:c>
      <x:c r="O4564" s="9" t="n">
        <x:v>0.1342526022</x:v>
      </x:c>
      <x:c r="P4564" s="9" t="n">
        <x:v>0.0746268657</x:v>
      </x:c>
      <x:c r="Q4564" s="9" t="n">
        <x:v>0</x:v>
      </x:c>
      <x:c r="R4564" s="3" t="b">
        <x:v>0</x:v>
      </x:c>
      <x:c r="S4564" s="3" t="b">
        <x:v>0</x:v>
      </x:c>
      <x:c r="T4564" s="3" t="b">
        <x:v>0</x:v>
      </x:c>
      <x:c r="U4564" s="2" t="str">
        <x:f>IF(T4564=TRUE,"Priority review",IF(R4564=TRUE,"High cost",IF(S4564=TRUE,"Low quality","Benchmark")))</x:f>
        <x:v>Benchmark</x:v>
      </x:c>
    </x:row>
    <x:row r="4565">
      <x:c r="A4565" s="2" t="str">
        <x:v>450163</x:v>
      </x:c>
      <x:c r="B4565" s="2" t="str">
        <x:v>CHRISTUS SPOHN HOSPITAL KLEBERG</x:v>
      </x:c>
      <x:c r="C4565" s="2" t="str">
        <x:v>KINGSVILLE</x:v>
      </x:c>
      <x:c r="D4565" s="2" t="str">
        <x:v>TX</x:v>
      </x:c>
      <x:c r="E4565" s="2" t="str">
        <x:v>Acute Care Hospitals</x:v>
      </x:c>
      <x:c r="F4565" s="2" t="str">
        <x:v>Voluntary non-profit</x:v>
      </x:c>
      <x:c r="G4565" s="2" t="str">
        <x:v>Small (&lt;100 beds)</x:v>
      </x:c>
      <x:c r="H4565" s="7" t="n">
        <x:v>2</x:v>
      </x:c>
      <x:c r="I4565" s="7" t="n">
        <x:v>4</x:v>
      </x:c>
      <x:c r="J4565" s="7" t="n">
        <x:v>1.01</x:v>
      </x:c>
      <x:c r="K4565" s="8" t="n">
        <x:v>50</x:v>
      </x:c>
      <x:c r="L4565" s="8" t="n">
        <x:v>1928</x:v>
      </x:c>
      <x:c r="M4565" s="9" t="n">
        <x:v>0.321260274</x:v>
      </x:c>
      <x:c r="N4565" s="10" t="n">
        <x:v>24233.3506224066</x:v>
      </x:c>
      <x:c r="O4565" s="9" t="n">
        <x:v>0.0885359259</x:v>
      </x:c>
      <x:c r="P4565" s="9" t="n">
        <x:v>0.0745062837</x:v>
      </x:c>
      <x:c r="Q4565" s="9" t="n">
        <x:v>0.0350089767</x:v>
      </x:c>
      <x:c r="R4565" s="3" t="b">
        <x:v>0</x:v>
      </x:c>
      <x:c r="S4565" s="3" t="b">
        <x:v>1</x:v>
      </x:c>
      <x:c r="T4565" s="3" t="b">
        <x:v>0</x:v>
      </x:c>
      <x:c r="U4565" s="2" t="str">
        <x:f>IF(T4565=TRUE,"Priority review",IF(R4565=TRUE,"High cost",IF(S4565=TRUE,"Low quality","Benchmark")))</x:f>
        <x:v>Low quality</x:v>
      </x:c>
    </x:row>
    <x:row r="4566">
      <x:c r="A4566" s="2" t="str">
        <x:v>364060</x:v>
      </x:c>
      <x:c r="B4566" s="2" t="str">
        <x:v>GENERATIONS BEHAVIORAL HEALTH-YOUNGSTOWN LLC</x:v>
      </x:c>
      <x:c r="C4566" s="2" t="str">
        <x:v>YOUNGSTOWN</x:v>
      </x:c>
      <x:c r="D4566" s="2" t="str">
        <x:v>OH</x:v>
      </x:c>
      <x:c r="E4566" s="2" t="str">
        <x:v>Psychiatric</x:v>
      </x:c>
      <x:c r="F4566" s="2" t="str">
        <x:v>Proprietary</x:v>
      </x:c>
      <x:c r="G4566" s="2" t="str">
        <x:v>Small (&lt;100 beds)</x:v>
      </x:c>
      <x:c r="H4566" s="7"/>
      <x:c r="I4566" s="7"/>
      <x:c r="J4566" s="7"/>
      <x:c r="K4566" s="8" t="n">
        <x:v>76</x:v>
      </x:c>
      <x:c r="L4566" s="8" t="n">
        <x:v>2697</x:v>
      </x:c>
      <x:c r="M4566" s="9" t="n">
        <x:v>0.8599007765</x:v>
      </x:c>
      <x:c r="N4566" s="10" t="n">
        <x:v>6335.7838338895</x:v>
      </x:c>
      <x:c r="O4566" s="9" t="n">
        <x:v>0.3602296262</x:v>
      </x:c>
      <x:c r="P4566" s="9" t="n">
        <x:v>0.074433657</x:v>
      </x:c>
      <x:c r="Q4566" s="9" t="n">
        <x:v>0</x:v>
      </x:c>
      <x:c r="R4566" s="3" t="b">
        <x:v>0</x:v>
      </x:c>
      <x:c r="S4566" s="3" t="b">
        <x:v>0</x:v>
      </x:c>
      <x:c r="T4566" s="3" t="b">
        <x:v>0</x:v>
      </x:c>
      <x:c r="U4566" s="2" t="str">
        <x:f>IF(T4566=TRUE,"Priority review",IF(R4566=TRUE,"High cost",IF(S4566=TRUE,"Low quality","Benchmark")))</x:f>
        <x:v>Benchmark</x:v>
      </x:c>
    </x:row>
    <x:row r="4567">
      <x:c r="A4567" s="2" t="str">
        <x:v>341315</x:v>
      </x:c>
      <x:c r="B4567" s="2" t="str">
        <x:v>CAPE FEAR VALLEY-BLADEN COUNTY HOSPITAL</x:v>
      </x:c>
      <x:c r="C4567" s="2" t="str">
        <x:v>ELIZABETHTOWN</x:v>
      </x:c>
      <x:c r="D4567" s="2" t="str">
        <x:v>NC</x:v>
      </x:c>
      <x:c r="E4567" s="2" t="str">
        <x:v>Critical Access Hospitals</x:v>
      </x:c>
      <x:c r="F4567" s="2" t="str">
        <x:v>Voluntary non-profit</x:v>
      </x:c>
      <x:c r="G4567" s="2" t="str">
        <x:v>Small (&lt;100 beds)</x:v>
      </x:c>
      <x:c r="H4567" s="7"/>
      <x:c r="I4567" s="7"/>
      <x:c r="J4567" s="7"/>
      <x:c r="K4567" s="8" t="n">
        <x:v>21</x:v>
      </x:c>
      <x:c r="L4567" s="8" t="n">
        <x:v>739</x:v>
      </x:c>
      <x:c r="M4567" s="9" t="n">
        <x:v>0.6985428051</x:v>
      </x:c>
      <x:c r="N4567" s="10" t="n">
        <x:v>55980.3599458728</x:v>
      </x:c>
      <x:c r="O4567" s="9" t="n">
        <x:v>0.243268592</x:v>
      </x:c>
      <x:c r="P4567" s="9" t="n">
        <x:v>0.0743494424</x:v>
      </x:c>
      <x:c r="Q4567" s="9" t="n">
        <x:v>0.292936803</x:v>
      </x:c>
      <x:c r="R4567" s="3" t="b">
        <x:v>0</x:v>
      </x:c>
      <x:c r="S4567" s="3" t="b">
        <x:v>0</x:v>
      </x:c>
      <x:c r="T4567" s="3" t="b">
        <x:v>0</x:v>
      </x:c>
      <x:c r="U4567" s="2" t="str">
        <x:f>IF(T4567=TRUE,"Priority review",IF(R4567=TRUE,"High cost",IF(S4567=TRUE,"Low quality","Benchmark")))</x:f>
        <x:v>Benchmark</x:v>
      </x:c>
    </x:row>
    <x:row r="4568">
      <x:c r="A4568" s="2" t="str">
        <x:v>670055</x:v>
      </x:c>
      <x:c r="B4568" s="2" t="str">
        <x:v>METHODIST HOSPITAL  STONE OAK</x:v>
      </x:c>
      <x:c r="C4568" s="2" t="str">
        <x:v>SAN ANTONIO</x:v>
      </x:c>
      <x:c r="D4568" s="2" t="str">
        <x:v>TX</x:v>
      </x:c>
      <x:c r="E4568" s="2" t="str">
        <x:v>Acute Care Hospitals</x:v>
      </x:c>
      <x:c r="F4568" s="2" t="str">
        <x:v>Proprietary</x:v>
      </x:c>
      <x:c r="G4568" s="2" t="str">
        <x:v>Medium (100-299 beds)</x:v>
      </x:c>
      <x:c r="H4568" s="7" t="n">
        <x:v>4</x:v>
      </x:c>
      <x:c r="I4568" s="7" t="n">
        <x:v>3</x:v>
      </x:c>
      <x:c r="J4568" s="7" t="n">
        <x:v>1.04</x:v>
      </x:c>
      <x:c r="K4568" s="8" t="n">
        <x:v>256</x:v>
      </x:c>
      <x:c r="L4568" s="8" t="n">
        <x:v>18465</x:v>
      </x:c>
      <x:c r="M4568" s="9" t="n">
        <x:v>0.8906962668</x:v>
      </x:c>
      <x:c r="N4568" s="10" t="n">
        <x:v>18083.4062821554</x:v>
      </x:c>
      <x:c r="O4568" s="9" t="n">
        <x:v>0.2390673528</x:v>
      </x:c>
      <x:c r="P4568" s="9" t="n">
        <x:v>0.0741646292</x:v>
      </x:c>
      <x:c r="Q4568" s="9" t="n">
        <x:v>0.6022819886</x:v>
      </x:c>
      <x:c r="R4568" s="3" t="b">
        <x:v>0</x:v>
      </x:c>
      <x:c r="S4568" s="3" t="b">
        <x:v>0</x:v>
      </x:c>
      <x:c r="T4568" s="3" t="b">
        <x:v>0</x:v>
      </x:c>
      <x:c r="U4568" s="2" t="str">
        <x:f>IF(T4568=TRUE,"Priority review",IF(R4568=TRUE,"High cost",IF(S4568=TRUE,"Low quality","Benchmark")))</x:f>
        <x:v>Benchmark</x:v>
      </x:c>
    </x:row>
    <x:row r="4569">
      <x:c r="A4569" s="2" t="str">
        <x:v>440053</x:v>
      </x:c>
      <x:c r="B4569" s="2" t="str">
        <x:v>SAINT THOMAS RUTHERFORD HOSPITAL</x:v>
      </x:c>
      <x:c r="C4569" s="2" t="str">
        <x:v>MURFREESBORO</x:v>
      </x:c>
      <x:c r="D4569" s="2" t="str">
        <x:v>TN</x:v>
      </x:c>
      <x:c r="E4569" s="2" t="str">
        <x:v>Acute Care Hospitals</x:v>
      </x:c>
      <x:c r="F4569" s="2" t="str">
        <x:v>Voluntary non-profit</x:v>
      </x:c>
      <x:c r="G4569" s="2" t="str">
        <x:v>Large (300+ beds)</x:v>
      </x:c>
      <x:c r="H4569" s="7" t="n">
        <x:v>3</x:v>
      </x:c>
      <x:c r="I4569" s="7" t="n">
        <x:v>2</x:v>
      </x:c>
      <x:c r="J4569" s="7" t="n">
        <x:v>1.04</x:v>
      </x:c>
      <x:c r="K4569" s="8" t="n">
        <x:v>408</x:v>
      </x:c>
      <x:c r="L4569" s="8" t="n">
        <x:v>22131</x:v>
      </x:c>
      <x:c r="M4569" s="9" t="n">
        <x:v>0.7557358644</x:v>
      </x:c>
      <x:c r="N4569" s="10" t="n">
        <x:v>21311.1566128959</x:v>
      </x:c>
      <x:c r="O4569" s="9" t="n">
        <x:v>0.0756818157</x:v>
      </x:c>
      <x:c r="P4569" s="9" t="n">
        <x:v>0.0741324921</x:v>
      </x:c>
      <x:c r="Q4569" s="9" t="n">
        <x:v>0.2570977918</x:v>
      </x:c>
      <x:c r="R4569" s="3" t="b">
        <x:v>0</x:v>
      </x:c>
      <x:c r="S4569" s="3" t="b">
        <x:v>0</x:v>
      </x:c>
      <x:c r="T4569" s="3" t="b">
        <x:v>0</x:v>
      </x:c>
      <x:c r="U4569" s="2" t="str">
        <x:f>IF(T4569=TRUE,"Priority review",IF(R4569=TRUE,"High cost",IF(S4569=TRUE,"Low quality","Benchmark")))</x:f>
        <x:v>Benchmark</x:v>
      </x:c>
    </x:row>
    <x:row r="4570">
      <x:c r="A4570" s="2" t="str">
        <x:v>013300</x:v>
      </x:c>
      <x:c r="B4570" s="2" t="str">
        <x:v>THE CHILDREN'S HOSPITAL OF ALABAMA</x:v>
      </x:c>
      <x:c r="C4570" s="2" t="str">
        <x:v>BIRMINGHAM</x:v>
      </x:c>
      <x:c r="D4570" s="2" t="str">
        <x:v>AL</x:v>
      </x:c>
      <x:c r="E4570" s="2" t="str">
        <x:v>Childrens</x:v>
      </x:c>
      <x:c r="F4570" s="2" t="str">
        <x:v>Voluntary non-profit</x:v>
      </x:c>
      <x:c r="G4570" s="2" t="str">
        <x:v>Large (300+ beds)</x:v>
      </x:c>
      <x:c r="H4570" s="7"/>
      <x:c r="I4570" s="7"/>
      <x:c r="J4570" s="7"/>
      <x:c r="K4570" s="8" t="n">
        <x:v>357</x:v>
      </x:c>
      <x:c r="L4570" s="8" t="n">
        <x:v>16352</x:v>
      </x:c>
      <x:c r="M4570" s="9" t="n">
        <x:v>0.7856442806</x:v>
      </x:c>
      <x:c r="N4570" s="10" t="n">
        <x:v>53705.1388820939</x:v>
      </x:c>
      <x:c r="O4570" s="9" t="n">
        <x:v>0.0203638589</x:v>
      </x:c>
      <x:c r="P4570" s="9" t="n">
        <x:v>0.0740740741</x:v>
      </x:c>
      <x:c r="Q4570" s="9" t="n">
        <x:v>0</x:v>
      </x:c>
      <x:c r="R4570" s="3" t="b">
        <x:v>0</x:v>
      </x:c>
      <x:c r="S4570" s="3" t="b">
        <x:v>0</x:v>
      </x:c>
      <x:c r="T4570" s="3" t="b">
        <x:v>0</x:v>
      </x:c>
      <x:c r="U4570" s="2" t="str">
        <x:f>IF(T4570=TRUE,"Priority review",IF(R4570=TRUE,"High cost",IF(S4570=TRUE,"Low quality","Benchmark")))</x:f>
        <x:v>Benchmark</x:v>
      </x:c>
    </x:row>
    <x:row r="4571">
      <x:c r="A4571" s="2" t="str">
        <x:v>360082</x:v>
      </x:c>
      <x:c r="B4571" s="2" t="str">
        <x:v>EUCLID HOSPITAL</x:v>
      </x:c>
      <x:c r="C4571" s="2" t="str">
        <x:v>EUCLID</x:v>
      </x:c>
      <x:c r="D4571" s="2" t="str">
        <x:v>OH</x:v>
      </x:c>
      <x:c r="E4571" s="2" t="str">
        <x:v>Acute Care Hospitals</x:v>
      </x:c>
      <x:c r="F4571" s="2" t="str">
        <x:v>Voluntary non-profit</x:v>
      </x:c>
      <x:c r="G4571" s="2" t="str">
        <x:v>Small (&lt;100 beds)</x:v>
      </x:c>
      <x:c r="H4571" s="7" t="n">
        <x:v>4</x:v>
      </x:c>
      <x:c r="I4571" s="7" t="n">
        <x:v>3</x:v>
      </x:c>
      <x:c r="J4571" s="7" t="n">
        <x:v>1.02</x:v>
      </x:c>
      <x:c r="K4571" s="8" t="n">
        <x:v>90</x:v>
      </x:c>
      <x:c r="L4571" s="8" t="n">
        <x:v>4807</x:v>
      </x:c>
      <x:c r="M4571" s="9" t="n">
        <x:v>0.596387371</x:v>
      </x:c>
      <x:c r="N4571" s="10" t="n">
        <x:v>24181.890576243</x:v>
      </x:c>
      <x:c r="O4571" s="9" t="n">
        <x:v>-0.2008941232</x:v>
      </x:c>
      <x:c r="P4571" s="9" t="n">
        <x:v>0.0736086176</x:v>
      </x:c>
      <x:c r="Q4571" s="9" t="n">
        <x:v>0.3913824057</x:v>
      </x:c>
      <x:c r="R4571" s="3" t="b">
        <x:v>0</x:v>
      </x:c>
      <x:c r="S4571" s="3" t="b">
        <x:v>0</x:v>
      </x:c>
      <x:c r="T4571" s="3" t="b">
        <x:v>0</x:v>
      </x:c>
      <x:c r="U4571" s="2" t="str">
        <x:f>IF(T4571=TRUE,"Priority review",IF(R4571=TRUE,"High cost",IF(S4571=TRUE,"Low quality","Benchmark")))</x:f>
        <x:v>Benchmark</x:v>
      </x:c>
    </x:row>
    <x:row r="4572">
      <x:c r="A4572" s="2" t="str">
        <x:v>041302</x:v>
      </x:c>
      <x:c r="B4572" s="2" t="str">
        <x:v>DARDANELLE REGIONAL MEDICAL CENTER</x:v>
      </x:c>
      <x:c r="C4572" s="2" t="str">
        <x:v>DARDANELLE</x:v>
      </x:c>
      <x:c r="D4572" s="2" t="str">
        <x:v>AR</x:v>
      </x:c>
      <x:c r="E4572" s="2" t="str">
        <x:v>Critical Access Hospitals</x:v>
      </x:c>
      <x:c r="F4572" s="2" t="str">
        <x:v>Government</x:v>
      </x:c>
      <x:c r="G4572" s="2" t="str">
        <x:v>Small (&lt;100 beds)</x:v>
      </x:c>
      <x:c r="H4572" s="7"/>
      <x:c r="I4572" s="7"/>
      <x:c r="J4572" s="7"/>
      <x:c r="K4572" s="8" t="n">
        <x:v>25</x:v>
      </x:c>
      <x:c r="L4572" s="8" t="n">
        <x:v>348</x:v>
      </x:c>
      <x:c r="M4572" s="9" t="n">
        <x:v>0.2136612022</x:v>
      </x:c>
      <x:c r="N4572" s="10" t="n">
        <x:v>55972.2155172414</x:v>
      </x:c>
      <x:c r="O4572" s="9" t="n">
        <x:v>-0.0539368645</x:v>
      </x:c>
      <x:c r="P4572" s="9" t="n">
        <x:v>0.073605948</x:v>
      </x:c>
      <x:c r="Q4572" s="9" t="n">
        <x:v>0.292936803</x:v>
      </x:c>
      <x:c r="R4572" s="3" t="b">
        <x:v>0</x:v>
      </x:c>
      <x:c r="S4572" s="3" t="b">
        <x:v>0</x:v>
      </x:c>
      <x:c r="T4572" s="3" t="b">
        <x:v>0</x:v>
      </x:c>
      <x:c r="U4572" s="2" t="str">
        <x:f>IF(T4572=TRUE,"Priority review",IF(R4572=TRUE,"High cost",IF(S4572=TRUE,"Low quality","Benchmark")))</x:f>
        <x:v>Benchmark</x:v>
      </x:c>
    </x:row>
    <x:row r="4573">
      <x:c r="A4573" s="2" t="str">
        <x:v>440046</x:v>
      </x:c>
      <x:c r="B4573" s="2" t="str">
        <x:v>TRISTAR HORIZON MEDICAL CENTER</x:v>
      </x:c>
      <x:c r="C4573" s="2" t="str">
        <x:v>DICKSON</x:v>
      </x:c>
      <x:c r="D4573" s="2" t="str">
        <x:v>TN</x:v>
      </x:c>
      <x:c r="E4573" s="2" t="str">
        <x:v>Acute Care Hospitals</x:v>
      </x:c>
      <x:c r="F4573" s="2" t="str">
        <x:v>Proprietary</x:v>
      </x:c>
      <x:c r="G4573" s="2" t="str">
        <x:v>Medium (100-299 beds)</x:v>
      </x:c>
      <x:c r="H4573" s="7" t="n">
        <x:v>3</x:v>
      </x:c>
      <x:c r="I4573" s="7" t="n">
        <x:v>3</x:v>
      </x:c>
      <x:c r="J4573" s="7" t="n">
        <x:v>1.03</x:v>
      </x:c>
      <x:c r="K4573" s="8" t="n">
        <x:v>110</x:v>
      </x:c>
      <x:c r="L4573" s="8" t="n">
        <x:v>7398</x:v>
      </x:c>
      <x:c r="M4573" s="9" t="n">
        <x:v>0.7390535492</x:v>
      </x:c>
      <x:c r="N4573" s="10" t="n">
        <x:v>18016.0674506623</x:v>
      </x:c>
      <x:c r="O4573" s="9" t="n">
        <x:v>0.2114475952</x:v>
      </x:c>
      <x:c r="P4573" s="9" t="n">
        <x:v>0.0733496333</x:v>
      </x:c>
      <x:c r="Q4573" s="9" t="n">
        <x:v>0.3023634882</x:v>
      </x:c>
      <x:c r="R4573" s="3" t="b">
        <x:v>0</x:v>
      </x:c>
      <x:c r="S4573" s="3" t="b">
        <x:v>0</x:v>
      </x:c>
      <x:c r="T4573" s="3" t="b">
        <x:v>0</x:v>
      </x:c>
      <x:c r="U4573" s="2" t="str">
        <x:f>IF(T4573=TRUE,"Priority review",IF(R4573=TRUE,"High cost",IF(S4573=TRUE,"Low quality","Benchmark")))</x:f>
        <x:v>Benchmark</x:v>
      </x:c>
    </x:row>
    <x:row r="4574">
      <x:c r="A4574" s="2" t="str">
        <x:v>491307</x:v>
      </x:c>
      <x:c r="B4574" s="2" t="str">
        <x:v>PAGE MEMORIAL HOSPITAL, INC</x:v>
      </x:c>
      <x:c r="C4574" s="2" t="str">
        <x:v>LURAY</x:v>
      </x:c>
      <x:c r="D4574" s="2" t="str">
        <x:v>VA</x:v>
      </x:c>
      <x:c r="E4574" s="2" t="str">
        <x:v>Critical Access Hospitals</x:v>
      </x:c>
      <x:c r="F4574" s="2" t="str">
        <x:v>Voluntary non-profit</x:v>
      </x:c>
      <x:c r="G4574" s="2" t="str">
        <x:v>Small (&lt;100 beds)</x:v>
      </x:c>
      <x:c r="H4574" s="7" t="n">
        <x:v>5</x:v>
      </x:c>
      <x:c r="I4574" s="7" t="n">
        <x:v>4</x:v>
      </x:c>
      <x:c r="J4574" s="7"/>
      <x:c r="K4574" s="8" t="n">
        <x:v>25</x:v>
      </x:c>
      <x:c r="L4574" s="8" t="n">
        <x:v>898</x:v>
      </x:c>
      <x:c r="M4574" s="9" t="n">
        <x:v>0.5003278689</x:v>
      </x:c>
      <x:c r="N4574" s="10" t="n">
        <x:v>55923.9799554566</x:v>
      </x:c>
      <x:c r="O4574" s="9" t="n">
        <x:v>-0.0396524768</x:v>
      </x:c>
      <x:c r="P4574" s="9" t="n">
        <x:v>0.0728624535</x:v>
      </x:c>
      <x:c r="Q4574" s="9" t="n">
        <x:v>0.2602230483</x:v>
      </x:c>
      <x:c r="R4574" s="3" t="b">
        <x:v>0</x:v>
      </x:c>
      <x:c r="S4574" s="3" t="b">
        <x:v>0</x:v>
      </x:c>
      <x:c r="T4574" s="3" t="b">
        <x:v>0</x:v>
      </x:c>
      <x:c r="U4574" s="2" t="str">
        <x:f>IF(T4574=TRUE,"Priority review",IF(R4574=TRUE,"High cost",IF(S4574=TRUE,"Low quality","Benchmark")))</x:f>
        <x:v>Benchmark</x:v>
      </x:c>
    </x:row>
    <x:row r="4575">
      <x:c r="A4575" s="2" t="str">
        <x:v>390304</x:v>
      </x:c>
      <x:c r="B4575" s="2" t="str">
        <x:v>ROXBOROUGH MEMORIAL HOSPITAL</x:v>
      </x:c>
      <x:c r="C4575" s="2" t="str">
        <x:v>PHILADELPHIA</x:v>
      </x:c>
      <x:c r="D4575" s="2" t="str">
        <x:v>PA</x:v>
      </x:c>
      <x:c r="E4575" s="2" t="str">
        <x:v>Acute Care Hospitals</x:v>
      </x:c>
      <x:c r="F4575" s="2" t="str">
        <x:v>Proprietary</x:v>
      </x:c>
      <x:c r="G4575" s="2" t="str">
        <x:v>Small (&lt;100 beds)</x:v>
      </x:c>
      <x:c r="H4575" s="7" t="n">
        <x:v>2</x:v>
      </x:c>
      <x:c r="I4575" s="7" t="n">
        <x:v>2</x:v>
      </x:c>
      <x:c r="J4575" s="7" t="n">
        <x:v>0.98</x:v>
      </x:c>
      <x:c r="K4575" s="8" t="n">
        <x:v>48</x:v>
      </x:c>
      <x:c r="L4575" s="8" t="n">
        <x:v>3147</x:v>
      </x:c>
      <x:c r="M4575" s="9" t="n">
        <x:v>0.7357126594</x:v>
      </x:c>
      <x:c r="N4575" s="10" t="n">
        <x:v>24112.3323800445</x:v>
      </x:c>
      <x:c r="O4575" s="9" t="n">
        <x:v>-0.0742896734</x:v>
      </x:c>
      <x:c r="P4575" s="9" t="n">
        <x:v>0.0727109515</x:v>
      </x:c>
      <x:c r="Q4575" s="9" t="n">
        <x:v>0.0350089767</x:v>
      </x:c>
      <x:c r="R4575" s="3" t="b">
        <x:v>0</x:v>
      </x:c>
      <x:c r="S4575" s="3" t="b">
        <x:v>1</x:v>
      </x:c>
      <x:c r="T4575" s="3" t="b">
        <x:v>0</x:v>
      </x:c>
      <x:c r="U4575" s="2" t="str">
        <x:f>IF(T4575=TRUE,"Priority review",IF(R4575=TRUE,"High cost",IF(S4575=TRUE,"Low quality","Benchmark")))</x:f>
        <x:v>Low quality</x:v>
      </x:c>
    </x:row>
    <x:row r="4576">
      <x:c r="A4576" s="2" t="str">
        <x:v>450324</x:v>
      </x:c>
      <x:c r="B4576" s="2" t="str">
        <x:v>TEXOMA MEDICAL CENTER</x:v>
      </x:c>
      <x:c r="C4576" s="2" t="str">
        <x:v>DENISON</x:v>
      </x:c>
      <x:c r="D4576" s="2" t="str">
        <x:v>TX</x:v>
      </x:c>
      <x:c r="E4576" s="2" t="str">
        <x:v>Acute Care Hospitals</x:v>
      </x:c>
      <x:c r="F4576" s="2" t="str">
        <x:v>Proprietary</x:v>
      </x:c>
      <x:c r="G4576" s="2" t="str">
        <x:v>Large (300+ beds)</x:v>
      </x:c>
      <x:c r="H4576" s="7" t="n">
        <x:v>4</x:v>
      </x:c>
      <x:c r="I4576" s="7" t="n">
        <x:v>3</x:v>
      </x:c>
      <x:c r="J4576" s="7" t="n">
        <x:v>1.02</x:v>
      </x:c>
      <x:c r="K4576" s="8" t="n">
        <x:v>393</x:v>
      </x:c>
      <x:c r="L4576" s="8" t="n">
        <x:v>21008</x:v>
      </x:c>
      <x:c r="M4576" s="9" t="n">
        <x:v>0.7921545667</x:v>
      </x:c>
      <x:c r="N4576" s="10" t="n">
        <x:v>21271.986148134</x:v>
      </x:c>
      <x:c r="O4576" s="9" t="n">
        <x:v>0.068634579</x:v>
      </x:c>
      <x:c r="P4576" s="9" t="n">
        <x:v>0.072555205</x:v>
      </x:c>
      <x:c r="Q4576" s="9" t="n">
        <x:v>0.5899053628</x:v>
      </x:c>
      <x:c r="R4576" s="3" t="b">
        <x:v>0</x:v>
      </x:c>
      <x:c r="S4576" s="3" t="b">
        <x:v>0</x:v>
      </x:c>
      <x:c r="T4576" s="3" t="b">
        <x:v>0</x:v>
      </x:c>
      <x:c r="U4576" s="2" t="str">
        <x:f>IF(T4576=TRUE,"Priority review",IF(R4576=TRUE,"High cost",IF(S4576=TRUE,"Low quality","Benchmark")))</x:f>
        <x:v>Benchmark</x:v>
      </x:c>
    </x:row>
    <x:row r="4577">
      <x:c r="A4577" s="2" t="str">
        <x:v>100290</x:v>
      </x:c>
      <x:c r="B4577" s="2" t="str">
        <x:v>VILLAGES REGIONAL HOSPITAL, THE</x:v>
      </x:c>
      <x:c r="C4577" s="2" t="str">
        <x:v>THE VILLAGES</x:v>
      </x:c>
      <x:c r="D4577" s="2" t="str">
        <x:v>FL</x:v>
      </x:c>
      <x:c r="E4577" s="2" t="str">
        <x:v>Acute Care Hospitals</x:v>
      </x:c>
      <x:c r="F4577" s="2" t="str">
        <x:v>Voluntary non-profit</x:v>
      </x:c>
      <x:c r="G4577" s="2" t="str">
        <x:v>Medium (100-299 beds)</x:v>
      </x:c>
      <x:c r="H4577" s="7" t="n">
        <x:v>4</x:v>
      </x:c>
      <x:c r="I4577" s="7" t="n">
        <x:v>3</x:v>
      </x:c>
      <x:c r="J4577" s="7" t="n">
        <x:v>1.04</x:v>
      </x:c>
      <x:c r="K4577" s="8" t="n">
        <x:v>277</x:v>
      </x:c>
      <x:c r="L4577" s="8" t="n">
        <x:v>13540</x:v>
      </x:c>
      <x:c r="M4577" s="9" t="n">
        <x:v>0.7205281638</x:v>
      </x:c>
      <x:c r="N4577" s="10" t="n">
        <x:v>18014.5219350074</x:v>
      </x:c>
      <x:c r="O4577" s="9" t="n">
        <x:v>0.0583092352</x:v>
      </x:c>
      <x:c r="P4577" s="9" t="n">
        <x:v>0.0725346373</x:v>
      </x:c>
      <x:c r="Q4577" s="9" t="n">
        <x:v>0.6022819886</x:v>
      </x:c>
      <x:c r="R4577" s="3" t="b">
        <x:v>0</x:v>
      </x:c>
      <x:c r="S4577" s="3" t="b">
        <x:v>0</x:v>
      </x:c>
      <x:c r="T4577" s="3" t="b">
        <x:v>0</x:v>
      </x:c>
      <x:c r="U4577" s="2" t="str">
        <x:f>IF(T4577=TRUE,"Priority review",IF(R4577=TRUE,"High cost",IF(S4577=TRUE,"Low quality","Benchmark")))</x:f>
        <x:v>Benchmark</x:v>
      </x:c>
    </x:row>
    <x:row r="4578">
      <x:c r="A4578" s="2" t="str">
        <x:v>171318</x:v>
      </x:c>
      <x:c r="B4578" s="2" t="str">
        <x:v>SEDAN CITY HOSPITAL</x:v>
      </x:c>
      <x:c r="C4578" s="2" t="str">
        <x:v>SEDAN</x:v>
      </x:c>
      <x:c r="D4578" s="2" t="str">
        <x:v>KS</x:v>
      </x:c>
      <x:c r="E4578" s="2" t="str">
        <x:v>Critical Access Hospitals</x:v>
      </x:c>
      <x:c r="F4578" s="2" t="str">
        <x:v>Government</x:v>
      </x:c>
      <x:c r="G4578" s="2" t="str">
        <x:v>Small (&lt;100 beds)</x:v>
      </x:c>
      <x:c r="H4578" s="7"/>
      <x:c r="I4578" s="7"/>
      <x:c r="J4578" s="7"/>
      <x:c r="K4578" s="8" t="n">
        <x:v>15</x:v>
      </x:c>
      <x:c r="L4578" s="8" t="n">
        <x:v>100</x:v>
      </x:c>
      <x:c r="M4578" s="9" t="n">
        <x:v>0.0938812785</x:v>
      </x:c>
      <x:c r="N4578" s="10" t="n">
        <x:v>55827.51</x:v>
      </x:c>
      <x:c r="O4578" s="9" t="n">
        <x:v>-0.1212635434</x:v>
      </x:c>
      <x:c r="P4578" s="9" t="n">
        <x:v>0.0721189591</x:v>
      </x:c>
      <x:c r="Q4578" s="9" t="n">
        <x:v>0.292936803</x:v>
      </x:c>
      <x:c r="R4578" s="3" t="b">
        <x:v>0</x:v>
      </x:c>
      <x:c r="S4578" s="3" t="b">
        <x:v>0</x:v>
      </x:c>
      <x:c r="T4578" s="3" t="b">
        <x:v>0</x:v>
      </x:c>
      <x:c r="U4578" s="2" t="str">
        <x:f>IF(T4578=TRUE,"Priority review",IF(R4578=TRUE,"High cost",IF(S4578=TRUE,"Low quality","Benchmark")))</x:f>
        <x:v>Benchmark</x:v>
      </x:c>
    </x:row>
    <x:row r="4579">
      <x:c r="A4579" s="2" t="str">
        <x:v>170006</x:v>
      </x:c>
      <x:c r="B4579" s="2" t="str">
        <x:v>MERCY HOSPITAL PITTSBURG, INC</x:v>
      </x:c>
      <x:c r="C4579" s="2" t="str">
        <x:v>PITTSBURG</x:v>
      </x:c>
      <x:c r="D4579" s="2" t="str">
        <x:v>KS</x:v>
      </x:c>
      <x:c r="E4579" s="2" t="str">
        <x:v>Acute Care Hospitals</x:v>
      </x:c>
      <x:c r="F4579" s="2" t="str">
        <x:v>Voluntary non-profit</x:v>
      </x:c>
      <x:c r="G4579" s="2" t="str">
        <x:v>Small (&lt;100 beds)</x:v>
      </x:c>
      <x:c r="H4579" s="7" t="n">
        <x:v>3</x:v>
      </x:c>
      <x:c r="I4579" s="7" t="n">
        <x:v>4</x:v>
      </x:c>
      <x:c r="J4579" s="7"/>
      <x:c r="K4579" s="8" t="n">
        <x:v>64</x:v>
      </x:c>
      <x:c r="L4579" s="8" t="n">
        <x:v>3129</x:v>
      </x:c>
      <x:c r="M4579" s="9" t="n">
        <x:v>0.2985767327</x:v>
      </x:c>
      <x:c r="N4579" s="10" t="n">
        <x:v>24111.5177372963</x:v>
      </x:c>
      <x:c r="O4579" s="9" t="n">
        <x:v>-0.0636059424</x:v>
      </x:c>
      <x:c r="P4579" s="9" t="n">
        <x:v>0.0718132855</x:v>
      </x:c>
      <x:c r="Q4579" s="9" t="n">
        <x:v>0.1687612208</x:v>
      </x:c>
      <x:c r="R4579" s="3" t="b">
        <x:v>0</x:v>
      </x:c>
      <x:c r="S4579" s="3" t="b">
        <x:v>0</x:v>
      </x:c>
      <x:c r="T4579" s="3" t="b">
        <x:v>0</x:v>
      </x:c>
      <x:c r="U4579" s="2" t="str">
        <x:f>IF(T4579=TRUE,"Priority review",IF(R4579=TRUE,"High cost",IF(S4579=TRUE,"Low quality","Benchmark")))</x:f>
        <x:v>Benchmark</x:v>
      </x:c>
    </x:row>
    <x:row r="4580">
      <x:c r="A4580" s="2" t="str">
        <x:v>450029</x:v>
      </x:c>
      <x:c r="B4580" s="2" t="str">
        <x:v>LAREDO MEDICAL CENTER</x:v>
      </x:c>
      <x:c r="C4580" s="2" t="str">
        <x:v>LAREDO</x:v>
      </x:c>
      <x:c r="D4580" s="2" t="str">
        <x:v>TX</x:v>
      </x:c>
      <x:c r="E4580" s="2" t="str">
        <x:v>Acute Care Hospitals</x:v>
      </x:c>
      <x:c r="F4580" s="2" t="str">
        <x:v>Proprietary</x:v>
      </x:c>
      <x:c r="G4580" s="2" t="str">
        <x:v>Medium (100-299 beds)</x:v>
      </x:c>
      <x:c r="H4580" s="7" t="n">
        <x:v>4</x:v>
      </x:c>
      <x:c r="I4580" s="7" t="n">
        <x:v>2</x:v>
      </x:c>
      <x:c r="J4580" s="7" t="n">
        <x:v>0.98</x:v>
      </x:c>
      <x:c r="K4580" s="8" t="n">
        <x:v>289</x:v>
      </x:c>
      <x:c r="L4580" s="8" t="n">
        <x:v>13866</x:v>
      </x:c>
      <x:c r="M4580" s="9" t="n">
        <x:v>0.6579865719</x:v>
      </x:c>
      <x:c r="N4580" s="10" t="n">
        <x:v>17972.7395067071</x:v>
      </x:c>
      <x:c r="O4580" s="9" t="n">
        <x:v>0.3325942871</x:v>
      </x:c>
      <x:c r="P4580" s="9" t="n">
        <x:v>0.0717196414</x:v>
      </x:c>
      <x:c r="Q4580" s="9" t="n">
        <x:v>0.6022819886</x:v>
      </x:c>
      <x:c r="R4580" s="3" t="b">
        <x:v>0</x:v>
      </x:c>
      <x:c r="S4580" s="3" t="b">
        <x:v>0</x:v>
      </x:c>
      <x:c r="T4580" s="3" t="b">
        <x:v>0</x:v>
      </x:c>
      <x:c r="U4580" s="2" t="str">
        <x:f>IF(T4580=TRUE,"Priority review",IF(R4580=TRUE,"High cost",IF(S4580=TRUE,"Low quality","Benchmark")))</x:f>
        <x:v>Benchmark</x:v>
      </x:c>
    </x:row>
    <x:row r="4581">
      <x:c r="A4581" s="2" t="str">
        <x:v>523302</x:v>
      </x:c>
      <x:c r="B4581" s="2" t="str">
        <x:v>CHILDRENS HOSPITAL OF WISCONSIN FOX VALLEY</x:v>
      </x:c>
      <x:c r="C4581" s="2" t="str">
        <x:v>NEENAH</x:v>
      </x:c>
      <x:c r="D4581" s="2" t="str">
        <x:v>WI</x:v>
      </x:c>
      <x:c r="E4581" s="2" t="str">
        <x:v>Childrens</x:v>
      </x:c>
      <x:c r="F4581" s="2" t="str">
        <x:v>Voluntary non-profit</x:v>
      </x:c>
      <x:c r="G4581" s="2" t="str">
        <x:v>Small (&lt;100 beds)</x:v>
      </x:c>
      <x:c r="H4581" s="7"/>
      <x:c r="I4581" s="7"/>
      <x:c r="J4581" s="7"/>
      <x:c r="K4581" s="8" t="n">
        <x:v>42</x:v>
      </x:c>
      <x:c r="L4581" s="8" t="n">
        <x:v>682</x:v>
      </x:c>
      <x:c r="M4581" s="9" t="n">
        <x:v>0.3971506635</x:v>
      </x:c>
      <x:c r="N4581" s="10" t="n">
        <x:v>49643.1041055718</x:v>
      </x:c>
      <x:c r="O4581" s="9" t="n">
        <x:v>0.0221381184</x:v>
      </x:c>
      <x:c r="P4581" s="9" t="n">
        <x:v>0.0714285714</x:v>
      </x:c>
      <x:c r="Q4581" s="9" t="n">
        <x:v>0</x:v>
      </x:c>
      <x:c r="R4581" s="3" t="b">
        <x:v>0</x:v>
      </x:c>
      <x:c r="S4581" s="3" t="b">
        <x:v>0</x:v>
      </x:c>
      <x:c r="T4581" s="3" t="b">
        <x:v>0</x:v>
      </x:c>
      <x:c r="U4581" s="2" t="str">
        <x:f>IF(T4581=TRUE,"Priority review",IF(R4581=TRUE,"High cost",IF(S4581=TRUE,"Low quality","Benchmark")))</x:f>
        <x:v>Benchmark</x:v>
      </x:c>
    </x:row>
    <x:row r="4582">
      <x:c r="A4582" s="2" t="str">
        <x:v>131311</x:v>
      </x:c>
      <x:c r="B4582" s="2" t="str">
        <x:v>ST LUKE'S ELMORE MEDICAL CENTER</x:v>
      </x:c>
      <x:c r="C4582" s="2" t="str">
        <x:v>MOUNTAIN HOME</x:v>
      </x:c>
      <x:c r="D4582" s="2" t="str">
        <x:v>ID</x:v>
      </x:c>
      <x:c r="E4582" s="2" t="str">
        <x:v>Critical Access Hospitals</x:v>
      </x:c>
      <x:c r="F4582" s="2" t="str">
        <x:v>Voluntary non-profit</x:v>
      </x:c>
      <x:c r="G4582" s="2" t="str">
        <x:v>Small (&lt;100 beds)</x:v>
      </x:c>
      <x:c r="H4582" s="7" t="n">
        <x:v>5</x:v>
      </x:c>
      <x:c r="I4582" s="7" t="n">
        <x:v>5</x:v>
      </x:c>
      <x:c r="J4582" s="7"/>
      <x:c r="K4582" s="8" t="n">
        <x:v>20</x:v>
      </x:c>
      <x:c r="L4582" s="8" t="n">
        <x:v>898</x:v>
      </x:c>
      <x:c r="M4582" s="9" t="n">
        <x:v>0.3545081967</x:v>
      </x:c>
      <x:c r="N4582" s="10" t="n">
        <x:v>55733.5</x:v>
      </x:c>
      <x:c r="O4582" s="9" t="n">
        <x:v>0.0192555285</x:v>
      </x:c>
      <x:c r="P4582" s="9" t="n">
        <x:v>0.0713754647</x:v>
      </x:c>
      <x:c r="Q4582" s="9" t="n">
        <x:v>0.2602230483</x:v>
      </x:c>
      <x:c r="R4582" s="3" t="b">
        <x:v>0</x:v>
      </x:c>
      <x:c r="S4582" s="3" t="b">
        <x:v>0</x:v>
      </x:c>
      <x:c r="T4582" s="3" t="b">
        <x:v>0</x:v>
      </x:c>
      <x:c r="U4582" s="2" t="str">
        <x:f>IF(T4582=TRUE,"Priority review",IF(R4582=TRUE,"High cost",IF(S4582=TRUE,"Low quality","Benchmark")))</x:f>
        <x:v>Benchmark</x:v>
      </x:c>
    </x:row>
    <x:row r="4583">
      <x:c r="A4583" s="2" t="str">
        <x:v>194088</x:v>
      </x:c>
      <x:c r="B4583" s="2" t="str">
        <x:v>ST JAMES BEHAVIORAL HEALTH HOSPITAL, INC</x:v>
      </x:c>
      <x:c r="C4583" s="2" t="str">
        <x:v>GONZALES</x:v>
      </x:c>
      <x:c r="D4583" s="2" t="str">
        <x:v>LA</x:v>
      </x:c>
      <x:c r="E4583" s="2" t="str">
        <x:v>Psychiatric</x:v>
      </x:c>
      <x:c r="F4583" s="2" t="str">
        <x:v>Other / unknown</x:v>
      </x:c>
      <x:c r="G4583" s="2" t="str">
        <x:v>Small (&lt;100 beds)</x:v>
      </x:c>
      <x:c r="H4583" s="7"/>
      <x:c r="I4583" s="7"/>
      <x:c r="J4583" s="7"/>
      <x:c r="K4583" s="8" t="n">
        <x:v>32</x:v>
      </x:c>
      <x:c r="L4583" s="8" t="n">
        <x:v>1385</x:v>
      </x:c>
      <x:c r="M4583" s="9" t="n">
        <x:v>0.8412739071</x:v>
      </x:c>
      <x:c r="N4583" s="10" t="n">
        <x:v>6311.8736462094</x:v>
      </x:c>
      <x:c r="O4583" s="9" t="n">
        <x:v>-0.1745778742</x:v>
      </x:c>
      <x:c r="P4583" s="9" t="n">
        <x:v>0.071197411</x:v>
      </x:c>
      <x:c r="Q4583" s="9" t="n">
        <x:v>0</x:v>
      </x:c>
      <x:c r="R4583" s="3" t="b">
        <x:v>0</x:v>
      </x:c>
      <x:c r="S4583" s="3" t="b">
        <x:v>0</x:v>
      </x:c>
      <x:c r="T4583" s="3" t="b">
        <x:v>0</x:v>
      </x:c>
      <x:c r="U4583" s="2" t="str">
        <x:f>IF(T4583=TRUE,"Priority review",IF(R4583=TRUE,"High cost",IF(S4583=TRUE,"Low quality","Benchmark")))</x:f>
        <x:v>Benchmark</x:v>
      </x:c>
    </x:row>
    <x:row r="4584">
      <x:c r="A4584" s="2" t="str">
        <x:v>040022</x:v>
      </x:c>
      <x:c r="B4584" s="2" t="str">
        <x:v>NORTHWEST MEDICAL CENTER-SPRINGDALE</x:v>
      </x:c>
      <x:c r="C4584" s="2" t="str">
        <x:v>SPRINGDALE</x:v>
      </x:c>
      <x:c r="D4584" s="2" t="str">
        <x:v>AR</x:v>
      </x:c>
      <x:c r="E4584" s="2" t="str">
        <x:v>Acute Care Hospitals</x:v>
      </x:c>
      <x:c r="F4584" s="2" t="str">
        <x:v>Proprietary</x:v>
      </x:c>
      <x:c r="G4584" s="2" t="str">
        <x:v>Large (300+ beds)</x:v>
      </x:c>
      <x:c r="H4584" s="7" t="n">
        <x:v>3</x:v>
      </x:c>
      <x:c r="I4584" s="7" t="n">
        <x:v>3</x:v>
      </x:c>
      <x:c r="J4584" s="7" t="n">
        <x:v>1.01</x:v>
      </x:c>
      <x:c r="K4584" s="8" t="n">
        <x:v>331</x:v>
      </x:c>
      <x:c r="L4584" s="8" t="n">
        <x:v>13541</x:v>
      </x:c>
      <x:c r="M4584" s="9" t="n">
        <x:v>0.4888481024</x:v>
      </x:c>
      <x:c r="N4584" s="10" t="n">
        <x:v>21150.224207961</x:v>
      </x:c>
      <x:c r="O4584" s="9" t="n">
        <x:v>0.017305918</x:v>
      </x:c>
      <x:c r="P4584" s="9" t="n">
        <x:v>0.070977918</x:v>
      </x:c>
      <x:c r="Q4584" s="9" t="n">
        <x:v>0.2570977918</x:v>
      </x:c>
      <x:c r="R4584" s="3" t="b">
        <x:v>0</x:v>
      </x:c>
      <x:c r="S4584" s="3" t="b">
        <x:v>0</x:v>
      </x:c>
      <x:c r="T4584" s="3" t="b">
        <x:v>0</x:v>
      </x:c>
      <x:c r="U4584" s="2" t="str">
        <x:f>IF(T4584=TRUE,"Priority review",IF(R4584=TRUE,"High cost",IF(S4584=TRUE,"Low quality","Benchmark")))</x:f>
        <x:v>Benchmark</x:v>
      </x:c>
    </x:row>
    <x:row r="4585">
      <x:c r="A4585" s="2" t="str">
        <x:v>400105</x:v>
      </x:c>
      <x:c r="B4585" s="2" t="str">
        <x:v>HOSPITAL UNIVERSITARIO DR RUIZ ARNAU</x:v>
      </x:c>
      <x:c r="C4585" s="2" t="str">
        <x:v>BAYAMON</x:v>
      </x:c>
      <x:c r="D4585" s="2" t="str">
        <x:v>PR</x:v>
      </x:c>
      <x:c r="E4585" s="2" t="str">
        <x:v>Acute Care Hospitals</x:v>
      </x:c>
      <x:c r="F4585" s="2" t="str">
        <x:v>Government</x:v>
      </x:c>
      <x:c r="G4585" s="2" t="str">
        <x:v>Small (&lt;100 beds)</x:v>
      </x:c>
      <x:c r="H4585" s="7"/>
      <x:c r="I4585" s="7"/>
      <x:c r="J4585" s="7"/>
      <x:c r="K4585" s="8" t="n">
        <x:v>47</x:v>
      </x:c>
      <x:c r="L4585" s="8" t="n">
        <x:v>1248</x:v>
      </x:c>
      <x:c r="M4585" s="9" t="n">
        <x:v>0.4732148062</x:v>
      </x:c>
      <x:c r="N4585" s="10" t="n">
        <x:v>24051.0144230769</x:v>
      </x:c>
      <x:c r="O4585" s="9" t="n">
        <x:v>-1.0453956688</x:v>
      </x:c>
      <x:c r="P4585" s="9" t="n">
        <x:v>0.0709156194</x:v>
      </x:c>
      <x:c r="Q4585" s="9" t="n">
        <x:v>0.697486535</x:v>
      </x:c>
      <x:c r="R4585" s="3" t="b">
        <x:v>0</x:v>
      </x:c>
      <x:c r="S4585" s="3" t="b">
        <x:v>0</x:v>
      </x:c>
      <x:c r="T4585" s="3" t="b">
        <x:v>0</x:v>
      </x:c>
      <x:c r="U4585" s="2" t="str">
        <x:f>IF(T4585=TRUE,"Priority review",IF(R4585=TRUE,"High cost",IF(S4585=TRUE,"Low quality","Benchmark")))</x:f>
        <x:v>Benchmark</x:v>
      </x:c>
    </x:row>
    <x:row r="4586">
      <x:c r="A4586" s="2" t="str">
        <x:v>440030</x:v>
      </x:c>
      <x:c r="B4586" s="2" t="str">
        <x:v>MORRISTOWN HAMBLEN HOSPITAL ASSOCIATION</x:v>
      </x:c>
      <x:c r="C4586" s="2" t="str">
        <x:v>MORRISTOWN</x:v>
      </x:c>
      <x:c r="D4586" s="2" t="str">
        <x:v>TN</x:v>
      </x:c>
      <x:c r="E4586" s="2" t="str">
        <x:v>Acute Care Hospitals</x:v>
      </x:c>
      <x:c r="F4586" s="2" t="str">
        <x:v>Government</x:v>
      </x:c>
      <x:c r="G4586" s="2" t="str">
        <x:v>Medium (100-299 beds)</x:v>
      </x:c>
      <x:c r="H4586" s="7" t="n">
        <x:v>2</x:v>
      </x:c>
      <x:c r="I4586" s="7" t="n">
        <x:v>3</x:v>
      </x:c>
      <x:c r="J4586" s="7" t="n">
        <x:v>0.96</x:v>
      </x:c>
      <x:c r="K4586" s="8" t="n">
        <x:v>100</x:v>
      </x:c>
      <x:c r="L4586" s="8" t="n">
        <x:v>7243</x:v>
      </x:c>
      <x:c r="M4586" s="9" t="n">
        <x:v>0.8731232877</x:v>
      </x:c>
      <x:c r="N4586" s="10" t="n">
        <x:v>17925.1056192186</x:v>
      </x:c>
      <x:c r="O4586" s="9" t="n">
        <x:v>0.1252263129</x:v>
      </x:c>
      <x:c r="P4586" s="9" t="n">
        <x:v>0.0709046455</x:v>
      </x:c>
      <x:c r="Q4586" s="9" t="n">
        <x:v>0.0782396088</x:v>
      </x:c>
      <x:c r="R4586" s="3" t="b">
        <x:v>0</x:v>
      </x:c>
      <x:c r="S4586" s="3" t="b">
        <x:v>1</x:v>
      </x:c>
      <x:c r="T4586" s="3" t="b">
        <x:v>0</x:v>
      </x:c>
      <x:c r="U4586" s="2" t="str">
        <x:f>IF(T4586=TRUE,"Priority review",IF(R4586=TRUE,"High cost",IF(S4586=TRUE,"Low quality","Benchmark")))</x:f>
        <x:v>Low quality</x:v>
      </x:c>
    </x:row>
    <x:row r="4587">
      <x:c r="A4587" s="2" t="str">
        <x:v>151310</x:v>
      </x:c>
      <x:c r="B4587" s="2" t="str">
        <x:v>PARKVIEW WABASH HOSPITAL, INC</x:v>
      </x:c>
      <x:c r="C4587" s="2" t="str">
        <x:v>WABASH</x:v>
      </x:c>
      <x:c r="D4587" s="2" t="str">
        <x:v>IN</x:v>
      </x:c>
      <x:c r="E4587" s="2" t="str">
        <x:v>Critical Access Hospitals</x:v>
      </x:c>
      <x:c r="F4587" s="2" t="str">
        <x:v>Voluntary non-profit</x:v>
      </x:c>
      <x:c r="G4587" s="2" t="str">
        <x:v>Small (&lt;100 beds)</x:v>
      </x:c>
      <x:c r="H4587" s="7" t="n">
        <x:v>3</x:v>
      </x:c>
      <x:c r="I4587" s="7" t="n">
        <x:v>4</x:v>
      </x:c>
      <x:c r="J4587" s="7"/>
      <x:c r="K4587" s="8" t="n">
        <x:v>18</x:v>
      </x:c>
      <x:c r="L4587" s="8" t="n">
        <x:v>1206</x:v>
      </x:c>
      <x:c r="M4587" s="9" t="n">
        <x:v>0.477534912</x:v>
      </x:c>
      <x:c r="N4587" s="10" t="n">
        <x:v>55688.3706467662</x:v>
      </x:c>
      <x:c r="O4587" s="9" t="n">
        <x:v>0.0918868195</x:v>
      </x:c>
      <x:c r="P4587" s="9" t="n">
        <x:v>0.0706319703</x:v>
      </x:c>
      <x:c r="Q4587" s="9" t="n">
        <x:v>0.0765799257</x:v>
      </x:c>
      <x:c r="R4587" s="3" t="b">
        <x:v>0</x:v>
      </x:c>
      <x:c r="S4587" s="3" t="b">
        <x:v>1</x:v>
      </x:c>
      <x:c r="T4587" s="3" t="b">
        <x:v>0</x:v>
      </x:c>
      <x:c r="U4587" s="2" t="str">
        <x:f>IF(T4587=TRUE,"Priority review",IF(R4587=TRUE,"High cost",IF(S4587=TRUE,"Low quality","Benchmark")))</x:f>
        <x:v>Low quality</x:v>
      </x:c>
    </x:row>
    <x:row r="4588">
      <x:c r="A4588" s="2" t="str">
        <x:v>010090</x:v>
      </x:c>
      <x:c r="B4588" s="2" t="str">
        <x:v>USA HEALTH HCA PROVIDENCE HOSPITAL, LLC</x:v>
      </x:c>
      <x:c r="C4588" s="2" t="str">
        <x:v>MOBILE</x:v>
      </x:c>
      <x:c r="D4588" s="2" t="str">
        <x:v>AL</x:v>
      </x:c>
      <x:c r="E4588" s="2" t="str">
        <x:v>Acute Care Hospitals</x:v>
      </x:c>
      <x:c r="F4588" s="2" t="str">
        <x:v>Voluntary non-profit</x:v>
      </x:c>
      <x:c r="G4588" s="2" t="str">
        <x:v>Medium (100-299 beds)</x:v>
      </x:c>
      <x:c r="H4588" s="7" t="n">
        <x:v>3</x:v>
      </x:c>
      <x:c r="I4588" s="7" t="n">
        <x:v>2</x:v>
      </x:c>
      <x:c r="J4588" s="7" t="n">
        <x:v>0.95</x:v>
      </x:c>
      <x:c r="K4588" s="8" t="n">
        <x:v>276</x:v>
      </x:c>
      <x:c r="L4588" s="8" t="n">
        <x:v>12426</x:v>
      </x:c>
      <x:c r="M4588" s="9" t="n">
        <x:v>0.6769154574</x:v>
      </x:c>
      <x:c r="N4588" s="10" t="n">
        <x:v>17840.3059713504</x:v>
      </x:c>
      <x:c r="O4588" s="9" t="n">
        <x:v>0.0388928752</x:v>
      </x:c>
      <x:c r="P4588" s="9" t="n">
        <x:v>0.0700896496</x:v>
      </x:c>
      <x:c r="Q4588" s="9" t="n">
        <x:v>0.3023634882</x:v>
      </x:c>
      <x:c r="R4588" s="3" t="b">
        <x:v>0</x:v>
      </x:c>
      <x:c r="S4588" s="3" t="b">
        <x:v>0</x:v>
      </x:c>
      <x:c r="T4588" s="3" t="b">
        <x:v>0</x:v>
      </x:c>
      <x:c r="U4588" s="2" t="str">
        <x:f>IF(T4588=TRUE,"Priority review",IF(R4588=TRUE,"High cost",IF(S4588=TRUE,"Low quality","Benchmark")))</x:f>
        <x:v>Benchmark</x:v>
      </x:c>
    </x:row>
    <x:row r="4589">
      <x:c r="A4589" s="2" t="str">
        <x:v>010108</x:v>
      </x:c>
      <x:c r="B4589" s="2" t="str">
        <x:v>PRATTVILLE BAPTIST HOSPITAL</x:v>
      </x:c>
      <x:c r="C4589" s="2" t="str">
        <x:v>PRATTVILLE</x:v>
      </x:c>
      <x:c r="D4589" s="2" t="str">
        <x:v>AL</x:v>
      </x:c>
      <x:c r="E4589" s="2" t="str">
        <x:v>Acute Care Hospitals</x:v>
      </x:c>
      <x:c r="F4589" s="2" t="str">
        <x:v>Government</x:v>
      </x:c>
      <x:c r="G4589" s="2" t="str">
        <x:v>Small (&lt;100 beds)</x:v>
      </x:c>
      <x:c r="H4589" s="7" t="n">
        <x:v>3</x:v>
      </x:c>
      <x:c r="I4589" s="7" t="n">
        <x:v>4</x:v>
      </x:c>
      <x:c r="J4589" s="7" t="n">
        <x:v>0.93</x:v>
      </x:c>
      <x:c r="K4589" s="8" t="n">
        <x:v>49</x:v>
      </x:c>
      <x:c r="L4589" s="8" t="n">
        <x:v>2815</x:v>
      </x:c>
      <x:c r="M4589" s="9" t="n">
        <x:v>0.7653899916</x:v>
      </x:c>
      <x:c r="N4589" s="10" t="n">
        <x:v>23956.9509769094</x:v>
      </x:c>
      <x:c r="O4589" s="9" t="n">
        <x:v>-0.1153319252</x:v>
      </x:c>
      <x:c r="P4589" s="9" t="n">
        <x:v>0.0700179533</x:v>
      </x:c>
      <x:c r="Q4589" s="9" t="n">
        <x:v>0.1687612208</x:v>
      </x:c>
      <x:c r="R4589" s="3" t="b">
        <x:v>0</x:v>
      </x:c>
      <x:c r="S4589" s="3" t="b">
        <x:v>0</x:v>
      </x:c>
      <x:c r="T4589" s="3" t="b">
        <x:v>0</x:v>
      </x:c>
      <x:c r="U4589" s="2" t="str">
        <x:f>IF(T4589=TRUE,"Priority review",IF(R4589=TRUE,"High cost",IF(S4589=TRUE,"Low quality","Benchmark")))</x:f>
        <x:v>Benchmark</x:v>
      </x:c>
    </x:row>
    <x:row r="4590">
      <x:c r="A4590" s="2" t="str">
        <x:v>251336</x:v>
      </x:c>
      <x:c r="B4590" s="2" t="str">
        <x:v>BAPTIST MEDICAL CENTER ATTALA</x:v>
      </x:c>
      <x:c r="C4590" s="2" t="str">
        <x:v>KOSCIUSKO</x:v>
      </x:c>
      <x:c r="D4590" s="2" t="str">
        <x:v>MS</x:v>
      </x:c>
      <x:c r="E4590" s="2" t="str">
        <x:v>Critical Access Hospitals</x:v>
      </x:c>
      <x:c r="F4590" s="2" t="str">
        <x:v>Voluntary non-profit</x:v>
      </x:c>
      <x:c r="G4590" s="2" t="str">
        <x:v>Small (&lt;100 beds)</x:v>
      </x:c>
      <x:c r="H4590" s="7"/>
      <x:c r="I4590" s="7"/>
      <x:c r="J4590" s="7"/>
      <x:c r="K4590" s="8" t="n">
        <x:v>25</x:v>
      </x:c>
      <x:c r="L4590" s="8" t="n">
        <x:v>347</x:v>
      </x:c>
      <x:c r="M4590" s="9" t="n">
        <x:v>0.4224043716</x:v>
      </x:c>
      <x:c r="N4590" s="10" t="n">
        <x:v>55654.1383285303</x:v>
      </x:c>
      <x:c r="O4590" s="9" t="n">
        <x:v>-0.0184388079</x:v>
      </x:c>
      <x:c r="P4590" s="9" t="n">
        <x:v>0.0698884758</x:v>
      </x:c>
      <x:c r="Q4590" s="9" t="n">
        <x:v>0.292936803</x:v>
      </x:c>
      <x:c r="R4590" s="3" t="b">
        <x:v>0</x:v>
      </x:c>
      <x:c r="S4590" s="3" t="b">
        <x:v>0</x:v>
      </x:c>
      <x:c r="T4590" s="3" t="b">
        <x:v>0</x:v>
      </x:c>
      <x:c r="U4590" s="2" t="str">
        <x:f>IF(T4590=TRUE,"Priority review",IF(R4590=TRUE,"High cost",IF(S4590=TRUE,"Low quality","Benchmark")))</x:f>
        <x:v>Benchmark</x:v>
      </x:c>
    </x:row>
    <x:row r="4591">
      <x:c r="A4591" s="2" t="str">
        <x:v>424002</x:v>
      </x:c>
      <x:c r="B4591" s="2" t="str">
        <x:v>LIGHTHOUSE BEHAVIORAL HEALTH HOSPITAL</x:v>
      </x:c>
      <x:c r="C4591" s="2" t="str">
        <x:v>CONWAY</x:v>
      </x:c>
      <x:c r="D4591" s="2" t="str">
        <x:v>SC</x:v>
      </x:c>
      <x:c r="E4591" s="2" t="str">
        <x:v>Psychiatric</x:v>
      </x:c>
      <x:c r="F4591" s="2" t="str">
        <x:v>Proprietary</x:v>
      </x:c>
      <x:c r="G4591" s="2" t="str">
        <x:v>Medium (100-299 beds)</x:v>
      </x:c>
      <x:c r="H4591" s="7"/>
      <x:c r="I4591" s="7"/>
      <x:c r="J4591" s="7"/>
      <x:c r="K4591" s="8" t="n">
        <x:v>105</x:v>
      </x:c>
      <x:c r="L4591" s="8" t="n">
        <x:v>3088</x:v>
      </x:c>
      <x:c r="M4591" s="9" t="n">
        <x:v>0.6612802498</x:v>
      </x:c>
      <x:c r="N4591" s="10" t="n">
        <x:v>5366.432642487</x:v>
      </x:c>
      <x:c r="O4591" s="9" t="n">
        <x:v>0.0859988848</x:v>
      </x:c>
      <x:c r="P4591" s="9" t="n">
        <x:v>0.0696517413</x:v>
      </x:c>
      <x:c r="Q4591" s="9" t="n">
        <x:v>0</x:v>
      </x:c>
      <x:c r="R4591" s="3" t="b">
        <x:v>0</x:v>
      </x:c>
      <x:c r="S4591" s="3" t="b">
        <x:v>0</x:v>
      </x:c>
      <x:c r="T4591" s="3" t="b">
        <x:v>0</x:v>
      </x:c>
      <x:c r="U4591" s="2" t="str">
        <x:f>IF(T4591=TRUE,"Priority review",IF(R4591=TRUE,"High cost",IF(S4591=TRUE,"Low quality","Benchmark")))</x:f>
        <x:v>Benchmark</x:v>
      </x:c>
    </x:row>
    <x:row r="4592">
      <x:c r="A4592" s="2" t="str">
        <x:v>450058</x:v>
      </x:c>
      <x:c r="B4592" s="2" t="str">
        <x:v>BAPTIST MEDICAL CENTER</x:v>
      </x:c>
      <x:c r="C4592" s="2" t="str">
        <x:v>SAN ANTONIO</x:v>
      </x:c>
      <x:c r="D4592" s="2" t="str">
        <x:v>TX</x:v>
      </x:c>
      <x:c r="E4592" s="2" t="str">
        <x:v>Acute Care Hospitals</x:v>
      </x:c>
      <x:c r="F4592" s="2" t="str">
        <x:v>Proprietary</x:v>
      </x:c>
      <x:c r="G4592" s="2" t="str">
        <x:v>Large (300+ beds)</x:v>
      </x:c>
      <x:c r="H4592" s="7" t="n">
        <x:v>3</x:v>
      </x:c>
      <x:c r="I4592" s="7" t="n">
        <x:v>2</x:v>
      </x:c>
      <x:c r="J4592" s="7" t="n">
        <x:v>1.06</x:v>
      </x:c>
      <x:c r="K4592" s="8" t="n">
        <x:v>1137</x:v>
      </x:c>
      <x:c r="L4592" s="8" t="n">
        <x:v>59822</x:v>
      </x:c>
      <x:c r="M4592" s="9" t="n">
        <x:v>0.7261339405</x:v>
      </x:c>
      <x:c r="N4592" s="10" t="n">
        <x:v>21096.721774598</x:v>
      </x:c>
      <x:c r="O4592" s="9" t="n">
        <x:v>0.119572655</x:v>
      </x:c>
      <x:c r="P4592" s="9" t="n">
        <x:v>0.0694006309</x:v>
      </x:c>
      <x:c r="Q4592" s="9" t="n">
        <x:v>0.2570977918</x:v>
      </x:c>
      <x:c r="R4592" s="3" t="b">
        <x:v>0</x:v>
      </x:c>
      <x:c r="S4592" s="3" t="b">
        <x:v>0</x:v>
      </x:c>
      <x:c r="T4592" s="3" t="b">
        <x:v>0</x:v>
      </x:c>
      <x:c r="U4592" s="2" t="str">
        <x:f>IF(T4592=TRUE,"Priority review",IF(R4592=TRUE,"High cost",IF(S4592=TRUE,"Low quality","Benchmark")))</x:f>
        <x:v>Benchmark</x:v>
      </x:c>
    </x:row>
    <x:row r="4593">
      <x:c r="A4593" s="2" t="str">
        <x:v>050517</x:v>
      </x:c>
      <x:c r="B4593" s="2" t="str">
        <x:v>VICTOR VALLEY GLOBAL MEDICAL CENTER</x:v>
      </x:c>
      <x:c r="C4593" s="2" t="str">
        <x:v>VICTORVILLE</x:v>
      </x:c>
      <x:c r="D4593" s="2" t="str">
        <x:v>CA</x:v>
      </x:c>
      <x:c r="E4593" s="2" t="str">
        <x:v>Acute Care Hospitals</x:v>
      </x:c>
      <x:c r="F4593" s="2" t="str">
        <x:v>Voluntary non-profit</x:v>
      </x:c>
      <x:c r="G4593" s="2" t="str">
        <x:v>Medium (100-299 beds)</x:v>
      </x:c>
      <x:c r="H4593" s="7" t="n">
        <x:v>1</x:v>
      </x:c>
      <x:c r="I4593" s="7" t="n">
        <x:v>1</x:v>
      </x:c>
      <x:c r="J4593" s="7" t="n">
        <x:v>1.2</x:v>
      </x:c>
      <x:c r="K4593" s="8" t="n">
        <x:v>101</x:v>
      </x:c>
      <x:c r="L4593" s="8" t="n">
        <x:v>5062</x:v>
      </x:c>
      <x:c r="M4593" s="9" t="n">
        <x:v>0.5106584429</x:v>
      </x:c>
      <x:c r="N4593" s="10" t="n">
        <x:v>17740.4118925326</x:v>
      </x:c>
      <x:c r="O4593" s="9" t="n">
        <x:v>-0.1370755189</x:v>
      </x:c>
      <x:c r="P4593" s="9" t="n">
        <x:v>0.0692746536</x:v>
      </x:c>
      <x:c r="Q4593" s="9" t="n">
        <x:v>0</x:v>
      </x:c>
      <x:c r="R4593" s="3" t="b">
        <x:v>0</x:v>
      </x:c>
      <x:c r="S4593" s="3" t="b">
        <x:v>1</x:v>
      </x:c>
      <x:c r="T4593" s="3" t="b">
        <x:v>0</x:v>
      </x:c>
      <x:c r="U4593" s="2" t="str">
        <x:f>IF(T4593=TRUE,"Priority review",IF(R4593=TRUE,"High cost",IF(S4593=TRUE,"Low quality","Benchmark")))</x:f>
        <x:v>Low quality</x:v>
      </x:c>
    </x:row>
    <x:row r="4594">
      <x:c r="A4594" s="2" t="str">
        <x:v>141354</x:v>
      </x:c>
      <x:c r="B4594" s="2" t="str">
        <x:v>HSHS GOOD SHEPHERD HOSPITAL INC</x:v>
      </x:c>
      <x:c r="C4594" s="2" t="str">
        <x:v>SHELBYVILLE</x:v>
      </x:c>
      <x:c r="D4594" s="2" t="str">
        <x:v>IL</x:v>
      </x:c>
      <x:c r="E4594" s="2" t="str">
        <x:v>Critical Access Hospitals</x:v>
      </x:c>
      <x:c r="F4594" s="2" t="str">
        <x:v>Voluntary non-profit</x:v>
      </x:c>
      <x:c r="G4594" s="2" t="str">
        <x:v>Small (&lt;100 beds)</x:v>
      </x:c>
      <x:c r="H4594" s="7"/>
      <x:c r="I4594" s="7"/>
      <x:c r="J4594" s="7"/>
      <x:c r="K4594" s="8" t="n">
        <x:v>25</x:v>
      </x:c>
      <x:c r="L4594" s="8" t="n">
        <x:v>334</x:v>
      </x:c>
      <x:c r="M4594" s="9" t="n">
        <x:v>0.1747945205</x:v>
      </x:c>
      <x:c r="N4594" s="10" t="n">
        <x:v>55462.2994011976</x:v>
      </x:c>
      <x:c r="O4594" s="9" t="n">
        <x:v>0.1941041604</x:v>
      </x:c>
      <x:c r="P4594" s="9" t="n">
        <x:v>0.0691449814</x:v>
      </x:c>
      <x:c r="Q4594" s="9" t="n">
        <x:v>0.292936803</x:v>
      </x:c>
      <x:c r="R4594" s="3" t="b">
        <x:v>0</x:v>
      </x:c>
      <x:c r="S4594" s="3" t="b">
        <x:v>0</x:v>
      </x:c>
      <x:c r="T4594" s="3" t="b">
        <x:v>0</x:v>
      </x:c>
      <x:c r="U4594" s="2" t="str">
        <x:f>IF(T4594=TRUE,"Priority review",IF(R4594=TRUE,"High cost",IF(S4594=TRUE,"Low quality","Benchmark")))</x:f>
        <x:v>Benchmark</x:v>
      </x:c>
    </x:row>
    <x:row r="4595">
      <x:c r="A4595" s="2" t="str">
        <x:v>050588</x:v>
      </x:c>
      <x:c r="B4595" s="2" t="str">
        <x:v>SAN DIMAS COMMUNITY HOSPITAL</x:v>
      </x:c>
      <x:c r="C4595" s="2" t="str">
        <x:v>SAN DIMAS</x:v>
      </x:c>
      <x:c r="D4595" s="2" t="str">
        <x:v>CA</x:v>
      </x:c>
      <x:c r="E4595" s="2" t="str">
        <x:v>Acute Care Hospitals</x:v>
      </x:c>
      <x:c r="F4595" s="2" t="str">
        <x:v>Proprietary</x:v>
      </x:c>
      <x:c r="G4595" s="2" t="str">
        <x:v>Small (&lt;100 beds)</x:v>
      </x:c>
      <x:c r="H4595" s="7" t="n">
        <x:v>2</x:v>
      </x:c>
      <x:c r="I4595" s="7" t="n">
        <x:v>2</x:v>
      </x:c>
      <x:c r="J4595" s="7" t="n">
        <x:v>1.14</x:v>
      </x:c>
      <x:c r="K4595" s="8" t="n">
        <x:v>94</x:v>
      </x:c>
      <x:c r="L4595" s="8" t="n">
        <x:v>3033</x:v>
      </x:c>
      <x:c r="M4595" s="9" t="n">
        <x:v>0.3958260667</x:v>
      </x:c>
      <x:c r="N4595" s="10" t="n">
        <x:v>23945.0079129575</x:v>
      </x:c>
      <x:c r="O4595" s="9" t="n">
        <x:v>-0.0453618218</x:v>
      </x:c>
      <x:c r="P4595" s="9" t="n">
        <x:v>0.0691202873</x:v>
      </x:c>
      <x:c r="Q4595" s="9" t="n">
        <x:v>0.0350089767</x:v>
      </x:c>
      <x:c r="R4595" s="3" t="b">
        <x:v>0</x:v>
      </x:c>
      <x:c r="S4595" s="3" t="b">
        <x:v>1</x:v>
      </x:c>
      <x:c r="T4595" s="3" t="b">
        <x:v>0</x:v>
      </x:c>
      <x:c r="U4595" s="2" t="str">
        <x:f>IF(T4595=TRUE,"Priority review",IF(R4595=TRUE,"High cost",IF(S4595=TRUE,"Low quality","Benchmark")))</x:f>
        <x:v>Low quality</x:v>
      </x:c>
    </x:row>
    <x:row r="4596">
      <x:c r="A4596" s="2" t="str">
        <x:v>450196</x:v>
      </x:c>
      <x:c r="B4596" s="2" t="str">
        <x:v>PARIS REGIONAL MEDICAL CENTER</x:v>
      </x:c>
      <x:c r="C4596" s="2" t="str">
        <x:v>PARIS</x:v>
      </x:c>
      <x:c r="D4596" s="2" t="str">
        <x:v>TX</x:v>
      </x:c>
      <x:c r="E4596" s="2" t="str">
        <x:v>Acute Care Hospitals</x:v>
      </x:c>
      <x:c r="F4596" s="2" t="str">
        <x:v>Proprietary</x:v>
      </x:c>
      <x:c r="G4596" s="2" t="str">
        <x:v>Medium (100-299 beds)</x:v>
      </x:c>
      <x:c r="H4596" s="7" t="n">
        <x:v>1</x:v>
      </x:c>
      <x:c r="I4596" s="7" t="n">
        <x:v>2</x:v>
      </x:c>
      <x:c r="J4596" s="7" t="n">
        <x:v>1.06</x:v>
      </x:c>
      <x:c r="K4596" s="8" t="n">
        <x:v>120</x:v>
      </x:c>
      <x:c r="L4596" s="8" t="n">
        <x:v>8120</x:v>
      </x:c>
      <x:c r="M4596" s="9" t="n">
        <x:v>0.6494520548</x:v>
      </x:c>
      <x:c r="N4596" s="10" t="n">
        <x:v>17683.0730295566</x:v>
      </x:c>
      <x:c r="O4596" s="9" t="n">
        <x:v>0.0768297873</x:v>
      </x:c>
      <x:c r="P4596" s="9" t="n">
        <x:v>0.0684596577</x:v>
      </x:c>
      <x:c r="Q4596" s="9" t="n">
        <x:v>0</x:v>
      </x:c>
      <x:c r="R4596" s="3" t="b">
        <x:v>0</x:v>
      </x:c>
      <x:c r="S4596" s="3" t="b">
        <x:v>1</x:v>
      </x:c>
      <x:c r="T4596" s="3" t="b">
        <x:v>0</x:v>
      </x:c>
      <x:c r="U4596" s="2" t="str">
        <x:f>IF(T4596=TRUE,"Priority review",IF(R4596=TRUE,"High cost",IF(S4596=TRUE,"Low quality","Benchmark")))</x:f>
        <x:v>Low quality</x:v>
      </x:c>
    </x:row>
    <x:row r="4597">
      <x:c r="A4597" s="2" t="str">
        <x:v>181333</x:v>
      </x:c>
      <x:c r="B4597" s="2" t="str">
        <x:v>THE MEDICAL CENTER AT ALBANY</x:v>
      </x:c>
      <x:c r="C4597" s="2" t="str">
        <x:v>ALBANY</x:v>
      </x:c>
      <x:c r="D4597" s="2" t="str">
        <x:v>KY</x:v>
      </x:c>
      <x:c r="E4597" s="2" t="str">
        <x:v>Critical Access Hospitals</x:v>
      </x:c>
      <x:c r="F4597" s="2" t="str">
        <x:v>Voluntary non-profit</x:v>
      </x:c>
      <x:c r="G4597" s="2" t="str">
        <x:v>Small (&lt;100 beds)</x:v>
      </x:c>
      <x:c r="H4597" s="7"/>
      <x:c r="I4597" s="7"/>
      <x:c r="J4597" s="7"/>
      <x:c r="K4597" s="8" t="n">
        <x:v>25</x:v>
      </x:c>
      <x:c r="L4597" s="8" t="n">
        <x:v>354</x:v>
      </x:c>
      <x:c r="M4597" s="9" t="n">
        <x:v>0.3075068493</x:v>
      </x:c>
      <x:c r="N4597" s="10" t="n">
        <x:v>55214.7937853107</x:v>
      </x:c>
      <x:c r="O4597" s="9" t="n">
        <x:v>0.1003443687</x:v>
      </x:c>
      <x:c r="P4597" s="9" t="n">
        <x:v>0.068401487</x:v>
      </x:c>
      <x:c r="Q4597" s="9" t="n">
        <x:v>0.292936803</x:v>
      </x:c>
      <x:c r="R4597" s="3" t="b">
        <x:v>0</x:v>
      </x:c>
      <x:c r="S4597" s="3" t="b">
        <x:v>0</x:v>
      </x:c>
      <x:c r="T4597" s="3" t="b">
        <x:v>0</x:v>
      </x:c>
      <x:c r="U4597" s="2" t="str">
        <x:f>IF(T4597=TRUE,"Priority review",IF(R4597=TRUE,"High cost",IF(S4597=TRUE,"Low quality","Benchmark")))</x:f>
        <x:v>Benchmark</x:v>
      </x:c>
    </x:row>
    <x:row r="4598">
      <x:c r="A4598" s="2" t="str">
        <x:v>490110</x:v>
      </x:c>
      <x:c r="B4598" s="2" t="str">
        <x:v>LEWISGALE HOSPITAL MONTGOMERY</x:v>
      </x:c>
      <x:c r="C4598" s="2" t="str">
        <x:v>BLACKSBURG</x:v>
      </x:c>
      <x:c r="D4598" s="2" t="str">
        <x:v>VA</x:v>
      </x:c>
      <x:c r="E4598" s="2" t="str">
        <x:v>Acute Care Hospitals</x:v>
      </x:c>
      <x:c r="F4598" s="2" t="str">
        <x:v>Proprietary</x:v>
      </x:c>
      <x:c r="G4598" s="2" t="str">
        <x:v>Small (&lt;100 beds)</x:v>
      </x:c>
      <x:c r="H4598" s="7" t="n">
        <x:v>3</x:v>
      </x:c>
      <x:c r="I4598" s="7" t="n">
        <x:v>4</x:v>
      </x:c>
      <x:c r="J4598" s="7" t="n">
        <x:v>0.93</x:v>
      </x:c>
      <x:c r="K4598" s="8" t="n">
        <x:v>76</x:v>
      </x:c>
      <x:c r="L4598" s="8" t="n">
        <x:v>4867</x:v>
      </x:c>
      <x:c r="M4598" s="9" t="n">
        <x:v>0.6769485188</x:v>
      </x:c>
      <x:c r="N4598" s="10" t="n">
        <x:v>23900.6276967331</x:v>
      </x:c>
      <x:c r="O4598" s="9" t="n">
        <x:v>0.382006932</x:v>
      </x:c>
      <x:c r="P4598" s="9" t="n">
        <x:v>0.0682226212</x:v>
      </x:c>
      <x:c r="Q4598" s="9" t="n">
        <x:v>0.1687612208</x:v>
      </x:c>
      <x:c r="R4598" s="3" t="b">
        <x:v>0</x:v>
      </x:c>
      <x:c r="S4598" s="3" t="b">
        <x:v>0</x:v>
      </x:c>
      <x:c r="T4598" s="3" t="b">
        <x:v>0</x:v>
      </x:c>
      <x:c r="U4598" s="2" t="str">
        <x:f>IF(T4598=TRUE,"Priority review",IF(R4598=TRUE,"High cost",IF(S4598=TRUE,"Low quality","Benchmark")))</x:f>
        <x:v>Benchmark</x:v>
      </x:c>
    </x:row>
    <x:row r="4599">
      <x:c r="A4599" s="2" t="str">
        <x:v>264031</x:v>
      </x:c>
      <x:c r="B4599" s="2" t="str">
        <x:v>OSAGE BEACH CENTER FOR BEHAVIORAL HEALTH</x:v>
      </x:c>
      <x:c r="C4599" s="2" t="str">
        <x:v>OSAGE BEACH</x:v>
      </x:c>
      <x:c r="D4599" s="2" t="str">
        <x:v>MO</x:v>
      </x:c>
      <x:c r="E4599" s="2" t="str">
        <x:v>Psychiatric</x:v>
      </x:c>
      <x:c r="F4599" s="2" t="str">
        <x:v>Proprietary</x:v>
      </x:c>
      <x:c r="G4599" s="2" t="str">
        <x:v>Small (&lt;100 beds)</x:v>
      </x:c>
      <x:c r="H4599" s="7"/>
      <x:c r="I4599" s="7"/>
      <x:c r="J4599" s="7"/>
      <x:c r="K4599" s="8" t="n">
        <x:v>16</x:v>
      </x:c>
      <x:c r="L4599" s="8" t="n">
        <x:v>728</x:v>
      </x:c>
      <x:c r="M4599" s="9" t="n">
        <x:v>0.9400614754</x:v>
      </x:c>
      <x:c r="N4599" s="10" t="n">
        <x:v>6275.2307692308</x:v>
      </x:c>
      <x:c r="O4599" s="9" t="n">
        <x:v>0.015535741</x:v>
      </x:c>
      <x:c r="P4599" s="9" t="n">
        <x:v>0.067961165</x:v>
      </x:c>
      <x:c r="Q4599" s="9" t="n">
        <x:v>0</x:v>
      </x:c>
      <x:c r="R4599" s="3" t="b">
        <x:v>0</x:v>
      </x:c>
      <x:c r="S4599" s="3" t="b">
        <x:v>0</x:v>
      </x:c>
      <x:c r="T4599" s="3" t="b">
        <x:v>0</x:v>
      </x:c>
      <x:c r="U4599" s="2" t="str">
        <x:f>IF(T4599=TRUE,"Priority review",IF(R4599=TRUE,"High cost",IF(S4599=TRUE,"Low quality","Benchmark")))</x:f>
        <x:v>Benchmark</x:v>
      </x:c>
    </x:row>
    <x:row r="4600">
      <x:c r="A4600" s="2" t="str">
        <x:v>450209</x:v>
      </x:c>
      <x:c r="B4600" s="2" t="str">
        <x:v>NORTHWEST TEXAS HOSPITAL</x:v>
      </x:c>
      <x:c r="C4600" s="2" t="str">
        <x:v>AMARILLO</x:v>
      </x:c>
      <x:c r="D4600" s="2" t="str">
        <x:v>TX</x:v>
      </x:c>
      <x:c r="E4600" s="2" t="str">
        <x:v>Acute Care Hospitals</x:v>
      </x:c>
      <x:c r="F4600" s="2" t="str">
        <x:v>Voluntary non-profit</x:v>
      </x:c>
      <x:c r="G4600" s="2" t="str">
        <x:v>Large (300+ beds)</x:v>
      </x:c>
      <x:c r="H4600" s="7" t="n">
        <x:v>3</x:v>
      </x:c>
      <x:c r="I4600" s="7" t="n">
        <x:v>3</x:v>
      </x:c>
      <x:c r="J4600" s="7" t="n">
        <x:v>1.13</x:v>
      </x:c>
      <x:c r="K4600" s="8" t="n">
        <x:v>415</x:v>
      </x:c>
      <x:c r="L4600" s="8" t="n">
        <x:v>17578</x:v>
      </x:c>
      <x:c r="M4600" s="9" t="n">
        <x:v>0.6547698993</x:v>
      </x:c>
      <x:c r="N4600" s="10" t="n">
        <x:v>21057.3478211401</x:v>
      </x:c>
      <x:c r="O4600" s="9" t="n">
        <x:v>0.0648865731</x:v>
      </x:c>
      <x:c r="P4600" s="9" t="n">
        <x:v>0.0678233438</x:v>
      </x:c>
      <x:c r="Q4600" s="9" t="n">
        <x:v>0.2570977918</x:v>
      </x:c>
      <x:c r="R4600" s="3" t="b">
        <x:v>0</x:v>
      </x:c>
      <x:c r="S4600" s="3" t="b">
        <x:v>0</x:v>
      </x:c>
      <x:c r="T4600" s="3" t="b">
        <x:v>0</x:v>
      </x:c>
      <x:c r="U4600" s="2" t="str">
        <x:f>IF(T4600=TRUE,"Priority review",IF(R4600=TRUE,"High cost",IF(S4600=TRUE,"Low quality","Benchmark")))</x:f>
        <x:v>Benchmark</x:v>
      </x:c>
    </x:row>
    <x:row r="4601">
      <x:c r="A4601" s="2" t="str">
        <x:v>371300</x:v>
      </x:c>
      <x:c r="B4601" s="2" t="str">
        <x:v>ATOKA COUNTY MEDICAL CENTER</x:v>
      </x:c>
      <x:c r="C4601" s="2" t="str">
        <x:v>ATOKA</x:v>
      </x:c>
      <x:c r="D4601" s="2" t="str">
        <x:v>OK</x:v>
      </x:c>
      <x:c r="E4601" s="2" t="str">
        <x:v>Critical Access Hospitals</x:v>
      </x:c>
      <x:c r="F4601" s="2" t="str">
        <x:v>Government</x:v>
      </x:c>
      <x:c r="G4601" s="2" t="str">
        <x:v>Small (&lt;100 beds)</x:v>
      </x:c>
      <x:c r="H4601" s="7" t="n">
        <x:v>4</x:v>
      </x:c>
      <x:c r="I4601" s="7"/>
      <x:c r="J4601" s="7"/>
      <x:c r="K4601" s="8" t="n">
        <x:v>25</x:v>
      </x:c>
      <x:c r="L4601" s="8" t="n">
        <x:v>232</x:v>
      </x:c>
      <x:c r="M4601" s="9" t="n">
        <x:v>0.4108196721</x:v>
      </x:c>
      <x:c r="N4601" s="10" t="n">
        <x:v>55103.9224137931</x:v>
      </x:c>
      <x:c r="O4601" s="9" t="n">
        <x:v>-0.1288262789</x:v>
      </x:c>
      <x:c r="P4601" s="9" t="n">
        <x:v>0.0676579926</x:v>
      </x:c>
      <x:c r="Q4601" s="9" t="n">
        <x:v>0.1657992565</x:v>
      </x:c>
      <x:c r="R4601" s="3" t="b">
        <x:v>0</x:v>
      </x:c>
      <x:c r="S4601" s="3" t="b">
        <x:v>0</x:v>
      </x:c>
      <x:c r="T4601" s="3" t="b">
        <x:v>0</x:v>
      </x:c>
      <x:c r="U4601" s="2" t="str">
        <x:f>IF(T4601=TRUE,"Priority review",IF(R4601=TRUE,"High cost",IF(S4601=TRUE,"Low quality","Benchmark")))</x:f>
        <x:v>Benchmark</x:v>
      </x:c>
    </x:row>
    <x:row r="4602">
      <x:c r="A4602" s="2" t="str">
        <x:v>050739</x:v>
      </x:c>
      <x:c r="B4602" s="2" t="str">
        <x:v>CENTINELA HOSPITAL MEDICAL CENTER</x:v>
      </x:c>
      <x:c r="C4602" s="2" t="str">
        <x:v>INGLEWOOD</x:v>
      </x:c>
      <x:c r="D4602" s="2" t="str">
        <x:v>CA</x:v>
      </x:c>
      <x:c r="E4602" s="2" t="str">
        <x:v>Acute Care Hospitals</x:v>
      </x:c>
      <x:c r="F4602" s="2" t="str">
        <x:v>Proprietary</x:v>
      </x:c>
      <x:c r="G4602" s="2" t="str">
        <x:v>Medium (100-299 beds)</x:v>
      </x:c>
      <x:c r="H4602" s="7" t="n">
        <x:v>2</x:v>
      </x:c>
      <x:c r="I4602" s="7" t="n">
        <x:v>1</x:v>
      </x:c>
      <x:c r="J4602" s="7" t="n">
        <x:v>1.09</x:v>
      </x:c>
      <x:c r="K4602" s="8" t="n">
        <x:v>282</x:v>
      </x:c>
      <x:c r="L4602" s="8" t="n">
        <x:v>15788</x:v>
      </x:c>
      <x:c r="M4602" s="9" t="n">
        <x:v>0.7188720434</x:v>
      </x:c>
      <x:c r="N4602" s="10" t="n">
        <x:v>17672.2909171523</x:v>
      </x:c>
      <x:c r="O4602" s="9" t="n">
        <x:v>0.1237014343</x:v>
      </x:c>
      <x:c r="P4602" s="9" t="n">
        <x:v>0.0676446618</x:v>
      </x:c>
      <x:c r="Q4602" s="9" t="n">
        <x:v>0.0782396088</x:v>
      </x:c>
      <x:c r="R4602" s="3" t="b">
        <x:v>0</x:v>
      </x:c>
      <x:c r="S4602" s="3" t="b">
        <x:v>1</x:v>
      </x:c>
      <x:c r="T4602" s="3" t="b">
        <x:v>0</x:v>
      </x:c>
      <x:c r="U4602" s="2" t="str">
        <x:f>IF(T4602=TRUE,"Priority review",IF(R4602=TRUE,"High cost",IF(S4602=TRUE,"Low quality","Benchmark")))</x:f>
        <x:v>Low quality</x:v>
      </x:c>
    </x:row>
    <x:row r="4603">
      <x:c r="A4603" s="2" t="str">
        <x:v>490126</x:v>
      </x:c>
      <x:c r="B4603" s="2" t="str">
        <x:v>LEWISGALE HOSPITAL ALLEGHANY</x:v>
      </x:c>
      <x:c r="C4603" s="2" t="str">
        <x:v>LOW MOOR</x:v>
      </x:c>
      <x:c r="D4603" s="2" t="str">
        <x:v>VA</x:v>
      </x:c>
      <x:c r="E4603" s="2" t="str">
        <x:v>Acute Care Hospitals</x:v>
      </x:c>
      <x:c r="F4603" s="2" t="str">
        <x:v>Proprietary</x:v>
      </x:c>
      <x:c r="G4603" s="2" t="str">
        <x:v>Small (&lt;100 beds)</x:v>
      </x:c>
      <x:c r="H4603" s="7" t="n">
        <x:v>4</x:v>
      </x:c>
      <x:c r="I4603" s="7" t="n">
        <x:v>4</x:v>
      </x:c>
      <x:c r="J4603" s="7" t="n">
        <x:v>1</x:v>
      </x:c>
      <x:c r="K4603" s="8" t="n">
        <x:v>95</x:v>
      </x:c>
      <x:c r="L4603" s="8" t="n">
        <x:v>1427</x:v>
      </x:c>
      <x:c r="M4603" s="9" t="n">
        <x:v>0.1197116078</x:v>
      </x:c>
      <x:c r="N4603" s="10" t="n">
        <x:v>23847.6874562018</x:v>
      </x:c>
      <x:c r="O4603" s="9" t="n">
        <x:v>0.3074923219</x:v>
      </x:c>
      <x:c r="P4603" s="9" t="n">
        <x:v>0.0673249551</x:v>
      </x:c>
      <x:c r="Q4603" s="9" t="n">
        <x:v>0.3913824057</x:v>
      </x:c>
      <x:c r="R4603" s="3" t="b">
        <x:v>0</x:v>
      </x:c>
      <x:c r="S4603" s="3" t="b">
        <x:v>0</x:v>
      </x:c>
      <x:c r="T4603" s="3" t="b">
        <x:v>0</x:v>
      </x:c>
      <x:c r="U4603" s="2" t="str">
        <x:f>IF(T4603=TRUE,"Priority review",IF(R4603=TRUE,"High cost",IF(S4603=TRUE,"Low quality","Benchmark")))</x:f>
        <x:v>Benchmark</x:v>
      </x:c>
    </x:row>
    <x:row r="4604">
      <x:c r="A4604" s="2" t="str">
        <x:v>171313</x:v>
      </x:c>
      <x:c r="B4604" s="2" t="str">
        <x:v>KEARNY COUNTY HOSPITAL</x:v>
      </x:c>
      <x:c r="C4604" s="2" t="str">
        <x:v>LAKIN</x:v>
      </x:c>
      <x:c r="D4604" s="2" t="str">
        <x:v>KS</x:v>
      </x:c>
      <x:c r="E4604" s="2" t="str">
        <x:v>Critical Access Hospitals</x:v>
      </x:c>
      <x:c r="F4604" s="2" t="str">
        <x:v>Government</x:v>
      </x:c>
      <x:c r="G4604" s="2" t="str">
        <x:v>Small (&lt;100 beds)</x:v>
      </x:c>
      <x:c r="H4604" s="7"/>
      <x:c r="I4604" s="7"/>
      <x:c r="J4604" s="7"/>
      <x:c r="K4604" s="8" t="n">
        <x:v>21</x:v>
      </x:c>
      <x:c r="L4604" s="8" t="n">
        <x:v>507</x:v>
      </x:c>
      <x:c r="M4604" s="9" t="n">
        <x:v>0.4155251142</x:v>
      </x:c>
      <x:c r="N4604" s="10" t="n">
        <x:v>54759.9704142012</x:v>
      </x:c>
      <x:c r="O4604" s="9" t="n">
        <x:v>-0.0477024481</x:v>
      </x:c>
      <x:c r="P4604" s="9" t="n">
        <x:v>0.0669144981</x:v>
      </x:c>
      <x:c r="Q4604" s="9" t="n">
        <x:v>0.292936803</x:v>
      </x:c>
      <x:c r="R4604" s="3" t="b">
        <x:v>0</x:v>
      </x:c>
      <x:c r="S4604" s="3" t="b">
        <x:v>0</x:v>
      </x:c>
      <x:c r="T4604" s="3" t="b">
        <x:v>0</x:v>
      </x:c>
      <x:c r="U4604" s="2" t="str">
        <x:f>IF(T4604=TRUE,"Priority review",IF(R4604=TRUE,"High cost",IF(S4604=TRUE,"Low quality","Benchmark")))</x:f>
        <x:v>Benchmark</x:v>
      </x:c>
    </x:row>
    <x:row r="4605">
      <x:c r="A4605" s="2" t="str">
        <x:v>130018</x:v>
      </x:c>
      <x:c r="B4605" s="2" t="str">
        <x:v>EASTERN IDAHO REGIONAL MEDICAL CENTER</x:v>
      </x:c>
      <x:c r="C4605" s="2" t="str">
        <x:v>IDAHO FALLS</x:v>
      </x:c>
      <x:c r="D4605" s="2" t="str">
        <x:v>ID</x:v>
      </x:c>
      <x:c r="E4605" s="2" t="str">
        <x:v>Acute Care Hospitals</x:v>
      </x:c>
      <x:c r="F4605" s="2" t="str">
        <x:v>Proprietary</x:v>
      </x:c>
      <x:c r="G4605" s="2" t="str">
        <x:v>Medium (100-299 beds)</x:v>
      </x:c>
      <x:c r="H4605" s="7" t="n">
        <x:v>3</x:v>
      </x:c>
      <x:c r="I4605" s="7" t="n">
        <x:v>3</x:v>
      </x:c>
      <x:c r="J4605" s="7" t="n">
        <x:v>1</x:v>
      </x:c>
      <x:c r="K4605" s="8" t="n">
        <x:v>247</x:v>
      </x:c>
      <x:c r="L4605" s="8" t="n">
        <x:v>10208</x:v>
      </x:c>
      <x:c r="M4605" s="9" t="n">
        <x:v>0.5528944772</x:v>
      </x:c>
      <x:c r="N4605" s="10" t="n">
        <x:v>17627.0594631661</x:v>
      </x:c>
      <x:c r="O4605" s="9" t="n">
        <x:v>0.5770738081</x:v>
      </x:c>
      <x:c r="P4605" s="9" t="n">
        <x:v>0.0668296659</x:v>
      </x:c>
      <x:c r="Q4605" s="9" t="n">
        <x:v>0.3023634882</x:v>
      </x:c>
      <x:c r="R4605" s="3" t="b">
        <x:v>0</x:v>
      </x:c>
      <x:c r="S4605" s="3" t="b">
        <x:v>0</x:v>
      </x:c>
      <x:c r="T4605" s="3" t="b">
        <x:v>0</x:v>
      </x:c>
      <x:c r="U4605" s="2" t="str">
        <x:f>IF(T4605=TRUE,"Priority review",IF(R4605=TRUE,"High cost",IF(S4605=TRUE,"Low quality","Benchmark")))</x:f>
        <x:v>Benchmark</x:v>
      </x:c>
    </x:row>
    <x:row r="4606">
      <x:c r="A4606" s="2" t="str">
        <x:v>010036</x:v>
      </x:c>
      <x:c r="B4606" s="2" t="str">
        <x:v>ANDALUSIA HEALTH</x:v>
      </x:c>
      <x:c r="C4606" s="2" t="str">
        <x:v>ANDALUSIA</x:v>
      </x:c>
      <x:c r="D4606" s="2" t="str">
        <x:v>AL</x:v>
      </x:c>
      <x:c r="E4606" s="2" t="str">
        <x:v>Acute Care Hospitals</x:v>
      </x:c>
      <x:c r="F4606" s="2" t="str">
        <x:v>Proprietary</x:v>
      </x:c>
      <x:c r="G4606" s="2" t="str">
        <x:v>Small (&lt;100 beds)</x:v>
      </x:c>
      <x:c r="H4606" s="7" t="n">
        <x:v>2</x:v>
      </x:c>
      <x:c r="I4606" s="7" t="n">
        <x:v>3</x:v>
      </x:c>
      <x:c r="J4606" s="7" t="n">
        <x:v>0.95</x:v>
      </x:c>
      <x:c r="K4606" s="8" t="n">
        <x:v>83</x:v>
      </x:c>
      <x:c r="L4606" s="8" t="n">
        <x:v>2372</x:v>
      </x:c>
      <x:c r="M4606" s="9" t="n">
        <x:v>0.2559498267</x:v>
      </x:c>
      <x:c r="N4606" s="10" t="n">
        <x:v>23694.8178752108</x:v>
      </x:c>
      <x:c r="O4606" s="9" t="n">
        <x:v>-0.0569300262</x:v>
      </x:c>
      <x:c r="P4606" s="9" t="n">
        <x:v>0.066427289</x:v>
      </x:c>
      <x:c r="Q4606" s="9" t="n">
        <x:v>0.0350089767</x:v>
      </x:c>
      <x:c r="R4606" s="3" t="b">
        <x:v>0</x:v>
      </x:c>
      <x:c r="S4606" s="3" t="b">
        <x:v>1</x:v>
      </x:c>
      <x:c r="T4606" s="3" t="b">
        <x:v>0</x:v>
      </x:c>
      <x:c r="U4606" s="2" t="str">
        <x:f>IF(T4606=TRUE,"Priority review",IF(R4606=TRUE,"High cost",IF(S4606=TRUE,"Low quality","Benchmark")))</x:f>
        <x:v>Low quality</x:v>
      </x:c>
    </x:row>
    <x:row r="4607">
      <x:c r="A4607" s="2" t="str">
        <x:v>100019</x:v>
      </x:c>
      <x:c r="B4607" s="2" t="str">
        <x:v>HOLMES REGIONAL MEDICAL CENTER</x:v>
      </x:c>
      <x:c r="C4607" s="2" t="str">
        <x:v>MELBOURNE</x:v>
      </x:c>
      <x:c r="D4607" s="2" t="str">
        <x:v>FL</x:v>
      </x:c>
      <x:c r="E4607" s="2" t="str">
        <x:v>Acute Care Hospitals</x:v>
      </x:c>
      <x:c r="F4607" s="2" t="str">
        <x:v>Voluntary non-profit</x:v>
      </x:c>
      <x:c r="G4607" s="2" t="str">
        <x:v>Large (300+ beds)</x:v>
      </x:c>
      <x:c r="H4607" s="7" t="n">
        <x:v>4</x:v>
      </x:c>
      <x:c r="I4607" s="7" t="n">
        <x:v>2</x:v>
      </x:c>
      <x:c r="J4607" s="7" t="n">
        <x:v>1.08</x:v>
      </x:c>
      <x:c r="K4607" s="8" t="n">
        <x:v>550</x:v>
      </x:c>
      <x:c r="L4607" s="8" t="n">
        <x:v>31341</x:v>
      </x:c>
      <x:c r="M4607" s="9" t="n">
        <x:v>0.7466070541</x:v>
      </x:c>
      <x:c r="N4607" s="10" t="n">
        <x:v>20960.8427618774</x:v>
      </x:c>
      <x:c r="O4607" s="9" t="n">
        <x:v>0.0442831499</x:v>
      </x:c>
      <x:c r="P4607" s="9" t="n">
        <x:v>0.0662460568</x:v>
      </x:c>
      <x:c r="Q4607" s="9" t="n">
        <x:v>0.5899053628</x:v>
      </x:c>
      <x:c r="R4607" s="3" t="b">
        <x:v>0</x:v>
      </x:c>
      <x:c r="S4607" s="3" t="b">
        <x:v>0</x:v>
      </x:c>
      <x:c r="T4607" s="3" t="b">
        <x:v>0</x:v>
      </x:c>
      <x:c r="U4607" s="2" t="str">
        <x:f>IF(T4607=TRUE,"Priority review",IF(R4607=TRUE,"High cost",IF(S4607=TRUE,"Low quality","Benchmark")))</x:f>
        <x:v>Benchmark</x:v>
      </x:c>
    </x:row>
    <x:row r="4608">
      <x:c r="A4608" s="2" t="str">
        <x:v>361323</x:v>
      </x:c>
      <x:c r="B4608" s="2" t="str">
        <x:v>AULTMAN ORRVILLE HOSPITAL</x:v>
      </x:c>
      <x:c r="C4608" s="2" t="str">
        <x:v>ORRVILLE</x:v>
      </x:c>
      <x:c r="D4608" s="2" t="str">
        <x:v>OH</x:v>
      </x:c>
      <x:c r="E4608" s="2" t="str">
        <x:v>Critical Access Hospitals</x:v>
      </x:c>
      <x:c r="F4608" s="2" t="str">
        <x:v>Voluntary non-profit</x:v>
      </x:c>
      <x:c r="G4608" s="2" t="str">
        <x:v>Small (&lt;100 beds)</x:v>
      </x:c>
      <x:c r="H4608" s="7"/>
      <x:c r="I4608" s="7" t="n">
        <x:v>3</x:v>
      </x:c>
      <x:c r="J4608" s="7"/>
      <x:c r="K4608" s="8" t="n">
        <x:v>25</x:v>
      </x:c>
      <x:c r="L4608" s="8" t="n">
        <x:v>1355</x:v>
      </x:c>
      <x:c r="M4608" s="9" t="n">
        <x:v>0.4159562842</x:v>
      </x:c>
      <x:c r="N4608" s="10" t="n">
        <x:v>54421.56900369</x:v>
      </x:c>
      <x:c r="O4608" s="9" t="n">
        <x:v>0.0520267335</x:v>
      </x:c>
      <x:c r="P4608" s="9" t="n">
        <x:v>0.0661710037</x:v>
      </x:c>
      <x:c r="Q4608" s="9" t="n">
        <x:v>0.292936803</x:v>
      </x:c>
      <x:c r="R4608" s="3" t="b">
        <x:v>0</x:v>
      </x:c>
      <x:c r="S4608" s="3" t="b">
        <x:v>0</x:v>
      </x:c>
      <x:c r="T4608" s="3" t="b">
        <x:v>0</x:v>
      </x:c>
      <x:c r="U4608" s="2" t="str">
        <x:f>IF(T4608=TRUE,"Priority review",IF(R4608=TRUE,"High cost",IF(S4608=TRUE,"Low quality","Benchmark")))</x:f>
        <x:v>Benchmark</x:v>
      </x:c>
    </x:row>
    <x:row r="4609">
      <x:c r="A4609" s="2" t="str">
        <x:v>670098</x:v>
      </x:c>
      <x:c r="B4609" s="2" t="str">
        <x:v>RESOLUTE HEALTH HOSPITAL</x:v>
      </x:c>
      <x:c r="C4609" s="2" t="str">
        <x:v>NEW BRAUNFELS</x:v>
      </x:c>
      <x:c r="D4609" s="2" t="str">
        <x:v>TX</x:v>
      </x:c>
      <x:c r="E4609" s="2" t="str">
        <x:v>Acute Care Hospitals</x:v>
      </x:c>
      <x:c r="F4609" s="2" t="str">
        <x:v>Proprietary</x:v>
      </x:c>
      <x:c r="G4609" s="2" t="str">
        <x:v>Medium (100-299 beds)</x:v>
      </x:c>
      <x:c r="H4609" s="7" t="n">
        <x:v>4</x:v>
      </x:c>
      <x:c r="I4609" s="7" t="n">
        <x:v>3</x:v>
      </x:c>
      <x:c r="J4609" s="7" t="n">
        <x:v>1.11</x:v>
      </x:c>
      <x:c r="K4609" s="8" t="n">
        <x:v>121</x:v>
      </x:c>
      <x:c r="L4609" s="8" t="n">
        <x:v>6999</x:v>
      </x:c>
      <x:c r="M4609" s="9" t="n">
        <x:v>0.5540360014</x:v>
      </x:c>
      <x:c r="N4609" s="10" t="n">
        <x:v>17600.1443063295</x:v>
      </x:c>
      <x:c r="O4609" s="9" t="n">
        <x:v>0.1658981672</x:v>
      </x:c>
      <x:c r="P4609" s="9" t="n">
        <x:v>0.0660146699</x:v>
      </x:c>
      <x:c r="Q4609" s="9" t="n">
        <x:v>0.6022819886</x:v>
      </x:c>
      <x:c r="R4609" s="3" t="b">
        <x:v>0</x:v>
      </x:c>
      <x:c r="S4609" s="3" t="b">
        <x:v>0</x:v>
      </x:c>
      <x:c r="T4609" s="3" t="b">
        <x:v>0</x:v>
      </x:c>
      <x:c r="U4609" s="2" t="str">
        <x:f>IF(T4609=TRUE,"Priority review",IF(R4609=TRUE,"High cost",IF(S4609=TRUE,"Low quality","Benchmark")))</x:f>
        <x:v>Benchmark</x:v>
      </x:c>
    </x:row>
    <x:row r="4610">
      <x:c r="A4610" s="2" t="str">
        <x:v>260190</x:v>
      </x:c>
      <x:c r="B4610" s="2" t="str">
        <x:v>LEE'S SUMMIT MEDICAL CENTER</x:v>
      </x:c>
      <x:c r="C4610" s="2" t="str">
        <x:v>LEES SUMMIT</x:v>
      </x:c>
      <x:c r="D4610" s="2" t="str">
        <x:v>MO</x:v>
      </x:c>
      <x:c r="E4610" s="2" t="str">
        <x:v>Acute Care Hospitals</x:v>
      </x:c>
      <x:c r="F4610" s="2" t="str">
        <x:v>Proprietary</x:v>
      </x:c>
      <x:c r="G4610" s="2" t="str">
        <x:v>Small (&lt;100 beds)</x:v>
      </x:c>
      <x:c r="H4610" s="7" t="n">
        <x:v>3</x:v>
      </x:c>
      <x:c r="I4610" s="7" t="n">
        <x:v>3</x:v>
      </x:c>
      <x:c r="J4610" s="7" t="n">
        <x:v>0.96</x:v>
      </x:c>
      <x:c r="K4610" s="8" t="n">
        <x:v>88</x:v>
      </x:c>
      <x:c r="L4610" s="8" t="n">
        <x:v>6077</x:v>
      </x:c>
      <x:c r="M4610" s="9" t="n">
        <x:v>0.7732861401</x:v>
      </x:c>
      <x:c r="N4610" s="10" t="n">
        <x:v>23590.3929570512</x:v>
      </x:c>
      <x:c r="O4610" s="9" t="n">
        <x:v>0.1692698108</x:v>
      </x:c>
      <x:c r="P4610" s="9" t="n">
        <x:v>0.065529623</x:v>
      </x:c>
      <x:c r="Q4610" s="9" t="n">
        <x:v>0.1687612208</x:v>
      </x:c>
      <x:c r="R4610" s="3" t="b">
        <x:v>0</x:v>
      </x:c>
      <x:c r="S4610" s="3" t="b">
        <x:v>0</x:v>
      </x:c>
      <x:c r="T4610" s="3" t="b">
        <x:v>0</x:v>
      </x:c>
      <x:c r="U4610" s="2" t="str">
        <x:f>IF(T4610=TRUE,"Priority review",IF(R4610=TRUE,"High cost",IF(S4610=TRUE,"Low quality","Benchmark")))</x:f>
        <x:v>Benchmark</x:v>
      </x:c>
    </x:row>
    <x:row r="4611">
      <x:c r="A4611" s="2" t="str">
        <x:v>061344</x:v>
      </x:c>
      <x:c r="B4611" s="2" t="str">
        <x:v>ST THOMAS MORE HOSPITAL</x:v>
      </x:c>
      <x:c r="C4611" s="2" t="str">
        <x:v>CANON CITY</x:v>
      </x:c>
      <x:c r="D4611" s="2" t="str">
        <x:v>CO</x:v>
      </x:c>
      <x:c r="E4611" s="2" t="str">
        <x:v>Critical Access Hospitals</x:v>
      </x:c>
      <x:c r="F4611" s="2" t="str">
        <x:v>Voluntary non-profit</x:v>
      </x:c>
      <x:c r="G4611" s="2" t="str">
        <x:v>Small (&lt;100 beds)</x:v>
      </x:c>
      <x:c r="H4611" s="7" t="n">
        <x:v>4</x:v>
      </x:c>
      <x:c r="I4611" s="7" t="n">
        <x:v>4</x:v>
      </x:c>
      <x:c r="J4611" s="7"/>
      <x:c r="K4611" s="8" t="n">
        <x:v>25</x:v>
      </x:c>
      <x:c r="L4611" s="8" t="n">
        <x:v>1472</x:v>
      </x:c>
      <x:c r="M4611" s="9" t="n">
        <x:v>0.5636164384</x:v>
      </x:c>
      <x:c r="N4611" s="10" t="n">
        <x:v>54275.7567934783</x:v>
      </x:c>
      <x:c r="O4611" s="9" t="n">
        <x:v>0.1775349547</x:v>
      </x:c>
      <x:c r="P4611" s="9" t="n">
        <x:v>0.0654275093</x:v>
      </x:c>
      <x:c r="Q4611" s="9" t="n">
        <x:v>0.1657992565</x:v>
      </x:c>
      <x:c r="R4611" s="3" t="b">
        <x:v>0</x:v>
      </x:c>
      <x:c r="S4611" s="3" t="b">
        <x:v>0</x:v>
      </x:c>
      <x:c r="T4611" s="3" t="b">
        <x:v>0</x:v>
      </x:c>
      <x:c r="U4611" s="2" t="str">
        <x:f>IF(T4611=TRUE,"Priority review",IF(R4611=TRUE,"High cost",IF(S4611=TRUE,"Low quality","Benchmark")))</x:f>
        <x:v>Benchmark</x:v>
      </x:c>
    </x:row>
    <x:row r="4612">
      <x:c r="A4612" s="2" t="str">
        <x:v>060032</x:v>
      </x:c>
      <x:c r="B4612" s="2" t="str">
        <x:v>HCA HEALTHONE ROSE</x:v>
      </x:c>
      <x:c r="C4612" s="2" t="str">
        <x:v>DENVER</x:v>
      </x:c>
      <x:c r="D4612" s="2" t="str">
        <x:v>CO</x:v>
      </x:c>
      <x:c r="E4612" s="2" t="str">
        <x:v>Acute Care Hospitals</x:v>
      </x:c>
      <x:c r="F4612" s="2" t="str">
        <x:v>Proprietary</x:v>
      </x:c>
      <x:c r="G4612" s="2" t="str">
        <x:v>Medium (100-299 beds)</x:v>
      </x:c>
      <x:c r="H4612" s="7" t="n">
        <x:v>4</x:v>
      </x:c>
      <x:c r="I4612" s="7" t="n">
        <x:v>3</x:v>
      </x:c>
      <x:c r="J4612" s="7" t="n">
        <x:v>1.02</x:v>
      </x:c>
      <x:c r="K4612" s="8" t="n">
        <x:v>220</x:v>
      </x:c>
      <x:c r="L4612" s="8" t="n">
        <x:v>15609</x:v>
      </x:c>
      <x:c r="M4612" s="9" t="n">
        <x:v>0.6746958707</x:v>
      </x:c>
      <x:c r="N4612" s="10" t="n">
        <x:v>17516.1952719585</x:v>
      </x:c>
      <x:c r="O4612" s="9" t="n">
        <x:v>0.2238376698</x:v>
      </x:c>
      <x:c r="P4612" s="9" t="n">
        <x:v>0.065199674</x:v>
      </x:c>
      <x:c r="Q4612" s="9" t="n">
        <x:v>0.6022819886</x:v>
      </x:c>
      <x:c r="R4612" s="3" t="b">
        <x:v>0</x:v>
      </x:c>
      <x:c r="S4612" s="3" t="b">
        <x:v>0</x:v>
      </x:c>
      <x:c r="T4612" s="3" t="b">
        <x:v>0</x:v>
      </x:c>
      <x:c r="U4612" s="2" t="str">
        <x:f>IF(T4612=TRUE,"Priority review",IF(R4612=TRUE,"High cost",IF(S4612=TRUE,"Low quality","Benchmark")))</x:f>
        <x:v>Benchmark</x:v>
      </x:c>
    </x:row>
    <x:row r="4613">
      <x:c r="A4613" s="2" t="str">
        <x:v>404007</x:v>
      </x:c>
      <x:c r="B4613" s="2" t="str">
        <x:v>HOSPITAL METROPOLITANO  PSIQUIATRICO DE CABO ROJO</x:v>
      </x:c>
      <x:c r="C4613" s="2" t="str">
        <x:v>CABO ROJO</x:v>
      </x:c>
      <x:c r="D4613" s="2" t="str">
        <x:v>PR</x:v>
      </x:c>
      <x:c r="E4613" s="2" t="str">
        <x:v>Psychiatric</x:v>
      </x:c>
      <x:c r="F4613" s="2" t="str">
        <x:v>Proprietary</x:v>
      </x:c>
      <x:c r="G4613" s="2" t="str">
        <x:v>Small (&lt;100 beds)</x:v>
      </x:c>
      <x:c r="H4613" s="7"/>
      <x:c r="I4613" s="7"/>
      <x:c r="J4613" s="7"/>
      <x:c r="K4613" s="8" t="n">
        <x:v>39</x:v>
      </x:c>
      <x:c r="L4613" s="8" t="n">
        <x:v>1572</x:v>
      </x:c>
      <x:c r="M4613" s="9" t="n">
        <x:v>0.7344822755</x:v>
      </x:c>
      <x:c r="N4613" s="10" t="n">
        <x:v>6259.7760814249</x:v>
      </x:c>
      <x:c r="O4613" s="9" t="n">
        <x:v>-0.1710705922</x:v>
      </x:c>
      <x:c r="P4613" s="9" t="n">
        <x:v>0.0647249191</x:v>
      </x:c>
      <x:c r="Q4613" s="9" t="n">
        <x:v>0</x:v>
      </x:c>
      <x:c r="R4613" s="3" t="b">
        <x:v>0</x:v>
      </x:c>
      <x:c r="S4613" s="3" t="b">
        <x:v>0</x:v>
      </x:c>
      <x:c r="T4613" s="3" t="b">
        <x:v>0</x:v>
      </x:c>
      <x:c r="U4613" s="2" t="str">
        <x:f>IF(T4613=TRUE,"Priority review",IF(R4613=TRUE,"High cost",IF(S4613=TRUE,"Low quality","Benchmark")))</x:f>
        <x:v>Benchmark</x:v>
      </x:c>
    </x:row>
    <x:row r="4614">
      <x:c r="A4614" s="2" t="str">
        <x:v>361308</x:v>
      </x:c>
      <x:c r="B4614" s="2" t="str">
        <x:v>UNIVERSITY HOSPITALS CONNEAUT MEDICAL CENTER</x:v>
      </x:c>
      <x:c r="C4614" s="2" t="str">
        <x:v>CONNEAUT</x:v>
      </x:c>
      <x:c r="D4614" s="2" t="str">
        <x:v>OH</x:v>
      </x:c>
      <x:c r="E4614" s="2" t="str">
        <x:v>Critical Access Hospitals</x:v>
      </x:c>
      <x:c r="F4614" s="2" t="str">
        <x:v>Voluntary non-profit</x:v>
      </x:c>
      <x:c r="G4614" s="2" t="str">
        <x:v>Small (&lt;100 beds)</x:v>
      </x:c>
      <x:c r="H4614" s="7" t="n">
        <x:v>4</x:v>
      </x:c>
      <x:c r="I4614" s="7" t="n">
        <x:v>4</x:v>
      </x:c>
      <x:c r="J4614" s="7"/>
      <x:c r="K4614" s="8" t="n">
        <x:v>25</x:v>
      </x:c>
      <x:c r="L4614" s="8" t="n">
        <x:v>630</x:v>
      </x:c>
      <x:c r="M4614" s="9" t="n">
        <x:v>0.2959562842</x:v>
      </x:c>
      <x:c r="N4614" s="10" t="n">
        <x:v>54134.9111111111</x:v>
      </x:c>
      <x:c r="O4614" s="9" t="n">
        <x:v>-0.0791376504</x:v>
      </x:c>
      <x:c r="P4614" s="9" t="n">
        <x:v>0.0646840149</x:v>
      </x:c>
      <x:c r="Q4614" s="9" t="n">
        <x:v>0.1657992565</x:v>
      </x:c>
      <x:c r="R4614" s="3" t="b">
        <x:v>0</x:v>
      </x:c>
      <x:c r="S4614" s="3" t="b">
        <x:v>0</x:v>
      </x:c>
      <x:c r="T4614" s="3" t="b">
        <x:v>0</x:v>
      </x:c>
      <x:c r="U4614" s="2" t="str">
        <x:f>IF(T4614=TRUE,"Priority review",IF(R4614=TRUE,"High cost",IF(S4614=TRUE,"Low quality","Benchmark")))</x:f>
        <x:v>Benchmark</x:v>
      </x:c>
    </x:row>
    <x:row r="4615">
      <x:c r="A4615" s="2" t="str">
        <x:v>454132</x:v>
      </x:c>
      <x:c r="B4615" s="2" t="str">
        <x:v>SAN ANTONIO BEHAVIORAL HEALTHCARE HOSPITAL</x:v>
      </x:c>
      <x:c r="C4615" s="2" t="str">
        <x:v>SAN ANTONIO</x:v>
      </x:c>
      <x:c r="D4615" s="2" t="str">
        <x:v>TX</x:v>
      </x:c>
      <x:c r="E4615" s="2" t="str">
        <x:v>Psychiatric</x:v>
      </x:c>
      <x:c r="F4615" s="2" t="str">
        <x:v>Proprietary</x:v>
      </x:c>
      <x:c r="G4615" s="2" t="str">
        <x:v>Medium (100-299 beds)</x:v>
      </x:c>
      <x:c r="H4615" s="7"/>
      <x:c r="I4615" s="7"/>
      <x:c r="J4615" s="7"/>
      <x:c r="K4615" s="8" t="n">
        <x:v>198</x:v>
      </x:c>
      <x:c r="L4615" s="8" t="n">
        <x:v>8293</x:v>
      </x:c>
      <x:c r="M4615" s="9" t="n">
        <x:v>0.78390462</x:v>
      </x:c>
      <x:c r="N4615" s="10" t="n">
        <x:v>5352.2411672495</x:v>
      </x:c>
      <x:c r="O4615" s="9" t="n">
        <x:v>-0.0134509827</x:v>
      </x:c>
      <x:c r="P4615" s="9" t="n">
        <x:v>0.0646766169</x:v>
      </x:c>
      <x:c r="Q4615" s="9" t="n">
        <x:v>0</x:v>
      </x:c>
      <x:c r="R4615" s="3" t="b">
        <x:v>0</x:v>
      </x:c>
      <x:c r="S4615" s="3" t="b">
        <x:v>0</x:v>
      </x:c>
      <x:c r="T4615" s="3" t="b">
        <x:v>0</x:v>
      </x:c>
      <x:c r="U4615" s="2" t="str">
        <x:f>IF(T4615=TRUE,"Priority review",IF(R4615=TRUE,"High cost",IF(S4615=TRUE,"Low quality","Benchmark")))</x:f>
        <x:v>Benchmark</x:v>
      </x:c>
    </x:row>
    <x:row r="4616">
      <x:c r="A4616" s="2" t="str">
        <x:v>260077</x:v>
      </x:c>
      <x:c r="B4616" s="2" t="str">
        <x:v>MERCY HOSPITAL SOUTH</x:v>
      </x:c>
      <x:c r="C4616" s="2" t="str">
        <x:v>SAINT LOUIS</x:v>
      </x:c>
      <x:c r="D4616" s="2" t="str">
        <x:v>MO</x:v>
      </x:c>
      <x:c r="E4616" s="2" t="str">
        <x:v>Acute Care Hospitals</x:v>
      </x:c>
      <x:c r="F4616" s="2" t="str">
        <x:v>Voluntary non-profit</x:v>
      </x:c>
      <x:c r="G4616" s="2" t="str">
        <x:v>Large (300+ beds)</x:v>
      </x:c>
      <x:c r="H4616" s="7" t="n">
        <x:v>2</x:v>
      </x:c>
      <x:c r="I4616" s="7" t="n">
        <x:v>2</x:v>
      </x:c>
      <x:c r="J4616" s="7" t="n">
        <x:v>1.02</x:v>
      </x:c>
      <x:c r="K4616" s="8" t="n">
        <x:v>748</x:v>
      </x:c>
      <x:c r="L4616" s="8" t="n">
        <x:v>30618</x:v>
      </x:c>
      <x:c r="M4616" s="9" t="n">
        <x:v>0.5249542158</x:v>
      </x:c>
      <x:c r="N4616" s="10" t="n">
        <x:v>20700.8071069306</x:v>
      </x:c>
      <x:c r="O4616" s="9" t="n">
        <x:v>0.0376870537</x:v>
      </x:c>
      <x:c r="P4616" s="9" t="n">
        <x:v>0.0646687697</x:v>
      </x:c>
      <x:c r="Q4616" s="9" t="n">
        <x:v>0.0536277603</x:v>
      </x:c>
      <x:c r="R4616" s="3" t="b">
        <x:v>0</x:v>
      </x:c>
      <x:c r="S4616" s="3" t="b">
        <x:v>1</x:v>
      </x:c>
      <x:c r="T4616" s="3" t="b">
        <x:v>0</x:v>
      </x:c>
      <x:c r="U4616" s="2" t="str">
        <x:f>IF(T4616=TRUE,"Priority review",IF(R4616=TRUE,"High cost",IF(S4616=TRUE,"Low quality","Benchmark")))</x:f>
        <x:v>Low quality</x:v>
      </x:c>
    </x:row>
    <x:row r="4617">
      <x:c r="A4617" s="2" t="str">
        <x:v>390058</x:v>
      </x:c>
      <x:c r="B4617" s="2" t="str">
        <x:v>UPMC CARLISLE</x:v>
      </x:c>
      <x:c r="C4617" s="2" t="str">
        <x:v>CARLISLE</x:v>
      </x:c>
      <x:c r="D4617" s="2" t="str">
        <x:v>PA</x:v>
      </x:c>
      <x:c r="E4617" s="2" t="str">
        <x:v>Acute Care Hospitals</x:v>
      </x:c>
      <x:c r="F4617" s="2" t="str">
        <x:v>Voluntary non-profit</x:v>
      </x:c>
      <x:c r="G4617" s="2" t="str">
        <x:v>Small (&lt;100 beds)</x:v>
      </x:c>
      <x:c r="H4617" s="7" t="n">
        <x:v>4</x:v>
      </x:c>
      <x:c r="I4617" s="7" t="n">
        <x:v>3</x:v>
      </x:c>
      <x:c r="J4617" s="7" t="n">
        <x:v>1.01</x:v>
      </x:c>
      <x:c r="K4617" s="8" t="n">
        <x:v>66</x:v>
      </x:c>
      <x:c r="L4617" s="8" t="n">
        <x:v>5434</x:v>
      </x:c>
      <x:c r="M4617" s="9" t="n">
        <x:v>0.7462432545</x:v>
      </x:c>
      <x:c r="N4617" s="10" t="n">
        <x:v>23375.1647037173</x:v>
      </x:c>
      <x:c r="O4617" s="9" t="n">
        <x:v>0.2841109186</x:v>
      </x:c>
      <x:c r="P4617" s="9" t="n">
        <x:v>0.0646319569</x:v>
      </x:c>
      <x:c r="Q4617" s="9" t="n">
        <x:v>0.3913824057</x:v>
      </x:c>
      <x:c r="R4617" s="3" t="b">
        <x:v>0</x:v>
      </x:c>
      <x:c r="S4617" s="3" t="b">
        <x:v>0</x:v>
      </x:c>
      <x:c r="T4617" s="3" t="b">
        <x:v>0</x:v>
      </x:c>
      <x:c r="U4617" s="2" t="str">
        <x:f>IF(T4617=TRUE,"Priority review",IF(R4617=TRUE,"High cost",IF(S4617=TRUE,"Low quality","Benchmark")))</x:f>
        <x:v>Benchmark</x:v>
      </x:c>
    </x:row>
    <x:row r="4618">
      <x:c r="A4618" s="2" t="str">
        <x:v>450711</x:v>
      </x:c>
      <x:c r="B4618" s="2" t="str">
        <x:v>RIO GRANDE REGIONAL HOSPITAL</x:v>
      </x:c>
      <x:c r="C4618" s="2" t="str">
        <x:v>MCALLEN</x:v>
      </x:c>
      <x:c r="D4618" s="2" t="str">
        <x:v>TX</x:v>
      </x:c>
      <x:c r="E4618" s="2" t="str">
        <x:v>Acute Care Hospitals</x:v>
      </x:c>
      <x:c r="F4618" s="2" t="str">
        <x:v>Proprietary</x:v>
      </x:c>
      <x:c r="G4618" s="2" t="str">
        <x:v>Medium (100-299 beds)</x:v>
      </x:c>
      <x:c r="H4618" s="7" t="n">
        <x:v>4</x:v>
      </x:c>
      <x:c r="I4618" s="7" t="n">
        <x:v>2</x:v>
      </x:c>
      <x:c r="J4618" s="7" t="n">
        <x:v>1.01</x:v>
      </x:c>
      <x:c r="K4618" s="8" t="n">
        <x:v>264</x:v>
      </x:c>
      <x:c r="L4618" s="8" t="n">
        <x:v>14000</x:v>
      </x:c>
      <x:c r="M4618" s="9" t="n">
        <x:v>0.6034836066</x:v>
      </x:c>
      <x:c r="N4618" s="10" t="n">
        <x:v>17481.8535714286</x:v>
      </x:c>
      <x:c r="O4618" s="9" t="n">
        <x:v>0.3659210635</x:v>
      </x:c>
      <x:c r="P4618" s="9" t="n">
        <x:v>0.0643846781</x:v>
      </x:c>
      <x:c r="Q4618" s="9" t="n">
        <x:v>0.6022819886</x:v>
      </x:c>
      <x:c r="R4618" s="3" t="b">
        <x:v>0</x:v>
      </x:c>
      <x:c r="S4618" s="3" t="b">
        <x:v>0</x:v>
      </x:c>
      <x:c r="T4618" s="3" t="b">
        <x:v>0</x:v>
      </x:c>
      <x:c r="U4618" s="2" t="str">
        <x:f>IF(T4618=TRUE,"Priority review",IF(R4618=TRUE,"High cost",IF(S4618=TRUE,"Low quality","Benchmark")))</x:f>
        <x:v>Benchmark</x:v>
      </x:c>
    </x:row>
    <x:row r="4619">
      <x:c r="A4619" s="2" t="str">
        <x:v>521339</x:v>
      </x:c>
      <x:c r="B4619" s="2" t="str">
        <x:v>ASPIRUS MERRILL HOSPITAL</x:v>
      </x:c>
      <x:c r="C4619" s="2" t="str">
        <x:v>MERRILL</x:v>
      </x:c>
      <x:c r="D4619" s="2" t="str">
        <x:v>WI</x:v>
      </x:c>
      <x:c r="E4619" s="2" t="str">
        <x:v>Critical Access Hospitals</x:v>
      </x:c>
      <x:c r="F4619" s="2" t="str">
        <x:v>Voluntary non-profit</x:v>
      </x:c>
      <x:c r="G4619" s="2" t="str">
        <x:v>Small (&lt;100 beds)</x:v>
      </x:c>
      <x:c r="H4619" s="7"/>
      <x:c r="I4619" s="7"/>
      <x:c r="J4619" s="7"/>
      <x:c r="K4619" s="8" t="n">
        <x:v>12</x:v>
      </x:c>
      <x:c r="L4619" s="8" t="n">
        <x:v>513</x:v>
      </x:c>
      <x:c r="M4619" s="9" t="n">
        <x:v>0.5799086758</x:v>
      </x:c>
      <x:c r="N4619" s="10" t="n">
        <x:v>54133.3684210526</x:v>
      </x:c>
      <x:c r="O4619" s="9" t="n">
        <x:v>0.199599408</x:v>
      </x:c>
      <x:c r="P4619" s="9" t="n">
        <x:v>0.0639405204</x:v>
      </x:c>
      <x:c r="Q4619" s="9" t="n">
        <x:v>0.292936803</x:v>
      </x:c>
      <x:c r="R4619" s="3" t="b">
        <x:v>0</x:v>
      </x:c>
      <x:c r="S4619" s="3" t="b">
        <x:v>0</x:v>
      </x:c>
      <x:c r="T4619" s="3" t="b">
        <x:v>0</x:v>
      </x:c>
      <x:c r="U4619" s="2" t="str">
        <x:f>IF(T4619=TRUE,"Priority review",IF(R4619=TRUE,"High cost",IF(S4619=TRUE,"Low quality","Benchmark")))</x:f>
        <x:v>Benchmark</x:v>
      </x:c>
    </x:row>
    <x:row r="4620">
      <x:c r="A4620" s="2" t="str">
        <x:v>100054</x:v>
      </x:c>
      <x:c r="B4620" s="2" t="str">
        <x:v>HCA FLORIDA TWIN CITIES HOSPITAL</x:v>
      </x:c>
      <x:c r="C4620" s="2" t="str">
        <x:v>NICEVILLE</x:v>
      </x:c>
      <x:c r="D4620" s="2" t="str">
        <x:v>FL</x:v>
      </x:c>
      <x:c r="E4620" s="2" t="str">
        <x:v>Acute Care Hospitals</x:v>
      </x:c>
      <x:c r="F4620" s="2" t="str">
        <x:v>Proprietary</x:v>
      </x:c>
      <x:c r="G4620" s="2" t="str">
        <x:v>Small (&lt;100 beds)</x:v>
      </x:c>
      <x:c r="H4620" s="7" t="n">
        <x:v>5</x:v>
      </x:c>
      <x:c r="I4620" s="7" t="n">
        <x:v>4</x:v>
      </x:c>
      <x:c r="J4620" s="7" t="n">
        <x:v>0.98</x:v>
      </x:c>
      <x:c r="K4620" s="8" t="n">
        <x:v>65</x:v>
      </x:c>
      <x:c r="L4620" s="8" t="n">
        <x:v>1973</x:v>
      </x:c>
      <x:c r="M4620" s="9" t="n">
        <x:v>0.3112750263</x:v>
      </x:c>
      <x:c r="N4620" s="10" t="n">
        <x:v>23366.4085149519</x:v>
      </x:c>
      <x:c r="O4620" s="9" t="n">
        <x:v>0.370361102</x:v>
      </x:c>
      <x:c r="P4620" s="9" t="n">
        <x:v>0.0637342908</x:v>
      </x:c>
      <x:c r="Q4620" s="9" t="n">
        <x:v>0.6131059246</x:v>
      </x:c>
      <x:c r="R4620" s="3" t="b">
        <x:v>0</x:v>
      </x:c>
      <x:c r="S4620" s="3" t="b">
        <x:v>0</x:v>
      </x:c>
      <x:c r="T4620" s="3" t="b">
        <x:v>0</x:v>
      </x:c>
      <x:c r="U4620" s="2" t="str">
        <x:f>IF(T4620=TRUE,"Priority review",IF(R4620=TRUE,"High cost",IF(S4620=TRUE,"Low quality","Benchmark")))</x:f>
        <x:v>Benchmark</x:v>
      </x:c>
    </x:row>
    <x:row r="4621">
      <x:c r="A4621" s="2" t="str">
        <x:v>010089</x:v>
      </x:c>
      <x:c r="B4621" s="2" t="str">
        <x:v>WALKER BAPTIST MEDICAL CENTER</x:v>
      </x:c>
      <x:c r="C4621" s="2" t="str">
        <x:v>JASPER</x:v>
      </x:c>
      <x:c r="D4621" s="2" t="str">
        <x:v>AL</x:v>
      </x:c>
      <x:c r="E4621" s="2" t="str">
        <x:v>Acute Care Hospitals</x:v>
      </x:c>
      <x:c r="F4621" s="2" t="str">
        <x:v>Proprietary</x:v>
      </x:c>
      <x:c r="G4621" s="2" t="str">
        <x:v>Medium (100-299 beds)</x:v>
      </x:c>
      <x:c r="H4621" s="7" t="n">
        <x:v>3</x:v>
      </x:c>
      <x:c r="I4621" s="7" t="n">
        <x:v>2</x:v>
      </x:c>
      <x:c r="J4621" s="7" t="n">
        <x:v>0.95</x:v>
      </x:c>
      <x:c r="K4621" s="8" t="n">
        <x:v>207</x:v>
      </x:c>
      <x:c r="L4621" s="8" t="n">
        <x:v>6048</x:v>
      </x:c>
      <x:c r="M4621" s="9" t="n">
        <x:v>0.3216124178</x:v>
      </x:c>
      <x:c r="N4621" s="10" t="n">
        <x:v>17438.1792328042</x:v>
      </x:c>
      <x:c r="O4621" s="9" t="n">
        <x:v>0.1513365518</x:v>
      </x:c>
      <x:c r="P4621" s="9" t="n">
        <x:v>0.0635696822</x:v>
      </x:c>
      <x:c r="Q4621" s="9" t="n">
        <x:v>0.3023634882</x:v>
      </x:c>
      <x:c r="R4621" s="3" t="b">
        <x:v>0</x:v>
      </x:c>
      <x:c r="S4621" s="3" t="b">
        <x:v>0</x:v>
      </x:c>
      <x:c r="T4621" s="3" t="b">
        <x:v>0</x:v>
      </x:c>
      <x:c r="U4621" s="2" t="str">
        <x:f>IF(T4621=TRUE,"Priority review",IF(R4621=TRUE,"High cost",IF(S4621=TRUE,"Low quality","Benchmark")))</x:f>
        <x:v>Benchmark</x:v>
      </x:c>
    </x:row>
    <x:row r="4622">
      <x:c r="A4622" s="2" t="str">
        <x:v>261331</x:v>
      </x:c>
      <x:c r="B4622" s="2" t="str">
        <x:v>FREEMAN NEOSHO HOSPITAL</x:v>
      </x:c>
      <x:c r="C4622" s="2" t="str">
        <x:v>NEOSHO</x:v>
      </x:c>
      <x:c r="D4622" s="2" t="str">
        <x:v>MO</x:v>
      </x:c>
      <x:c r="E4622" s="2" t="str">
        <x:v>Critical Access Hospitals</x:v>
      </x:c>
      <x:c r="F4622" s="2" t="str">
        <x:v>Voluntary non-profit</x:v>
      </x:c>
      <x:c r="G4622" s="2" t="str">
        <x:v>Small (&lt;100 beds)</x:v>
      </x:c>
      <x:c r="H4622" s="7" t="n">
        <x:v>4</x:v>
      </x:c>
      <x:c r="I4622" s="7" t="n">
        <x:v>5</x:v>
      </x:c>
      <x:c r="J4622" s="7"/>
      <x:c r="K4622" s="8" t="n">
        <x:v>25</x:v>
      </x:c>
      <x:c r="L4622" s="8" t="n">
        <x:v>608</x:v>
      </x:c>
      <x:c r="M4622" s="9" t="n">
        <x:v>0.3277808219</x:v>
      </x:c>
      <x:c r="N4622" s="10" t="n">
        <x:v>54042.8585526316</x:v>
      </x:c>
      <x:c r="O4622" s="9" t="n">
        <x:v>0.020280936</x:v>
      </x:c>
      <x:c r="P4622" s="9" t="n">
        <x:v>0.063197026</x:v>
      </x:c>
      <x:c r="Q4622" s="9" t="n">
        <x:v>0.1657992565</x:v>
      </x:c>
      <x:c r="R4622" s="3" t="b">
        <x:v>0</x:v>
      </x:c>
      <x:c r="S4622" s="3" t="b">
        <x:v>0</x:v>
      </x:c>
      <x:c r="T4622" s="3" t="b">
        <x:v>0</x:v>
      </x:c>
      <x:c r="U4622" s="2" t="str">
        <x:f>IF(T4622=TRUE,"Priority review",IF(R4622=TRUE,"High cost",IF(S4622=TRUE,"Low quality","Benchmark")))</x:f>
        <x:v>Benchmark</x:v>
      </x:c>
    </x:row>
    <x:row r="4623">
      <x:c r="A4623" s="2" t="str">
        <x:v>450119</x:v>
      </x:c>
      <x:c r="B4623" s="2" t="str">
        <x:v>SOUTH TEXAS HEALTH SYSTEM</x:v>
      </x:c>
      <x:c r="C4623" s="2" t="str">
        <x:v>EDINBURG</x:v>
      </x:c>
      <x:c r="D4623" s="2" t="str">
        <x:v>TX</x:v>
      </x:c>
      <x:c r="E4623" s="2" t="str">
        <x:v>Acute Care Hospitals</x:v>
      </x:c>
      <x:c r="F4623" s="2" t="str">
        <x:v>Proprietary</x:v>
      </x:c>
      <x:c r="G4623" s="2" t="str">
        <x:v>Large (300+ beds)</x:v>
      </x:c>
      <x:c r="H4623" s="7" t="n">
        <x:v>4</x:v>
      </x:c>
      <x:c r="I4623" s="7" t="n">
        <x:v>2</x:v>
      </x:c>
      <x:c r="J4623" s="7" t="n">
        <x:v>1.05</x:v>
      </x:c>
      <x:c r="K4623" s="8" t="n">
        <x:v>819</x:v>
      </x:c>
      <x:c r="L4623" s="8" t="n">
        <x:v>32285</x:v>
      </x:c>
      <x:c r="M4623" s="9" t="n">
        <x:v>0.6401296431</x:v>
      </x:c>
      <x:c r="N4623" s="10" t="n">
        <x:v>20686.4150534304</x:v>
      </x:c>
      <x:c r="O4623" s="9" t="n">
        <x:v>0.1432607405</x:v>
      </x:c>
      <x:c r="P4623" s="9" t="n">
        <x:v>0.0630914826</x:v>
      </x:c>
      <x:c r="Q4623" s="9" t="n">
        <x:v>0.5899053628</x:v>
      </x:c>
      <x:c r="R4623" s="3" t="b">
        <x:v>0</x:v>
      </x:c>
      <x:c r="S4623" s="3" t="b">
        <x:v>0</x:v>
      </x:c>
      <x:c r="T4623" s="3" t="b">
        <x:v>0</x:v>
      </x:c>
      <x:c r="U4623" s="2" t="str">
        <x:f>IF(T4623=TRUE,"Priority review",IF(R4623=TRUE,"High cost",IF(S4623=TRUE,"Low quality","Benchmark")))</x:f>
        <x:v>Benchmark</x:v>
      </x:c>
    </x:row>
    <x:row r="4624">
      <x:c r="A4624" s="2" t="str">
        <x:v>260193</x:v>
      </x:c>
      <x:c r="B4624" s="2" t="str">
        <x:v>ST MARY'S MEDICAL CENTER</x:v>
      </x:c>
      <x:c r="C4624" s="2" t="str">
        <x:v>BLUE SPRINGS</x:v>
      </x:c>
      <x:c r="D4624" s="2" t="str">
        <x:v>MO</x:v>
      </x:c>
      <x:c r="E4624" s="2" t="str">
        <x:v>Acute Care Hospitals</x:v>
      </x:c>
      <x:c r="F4624" s="2" t="str">
        <x:v>Proprietary</x:v>
      </x:c>
      <x:c r="G4624" s="2" t="str">
        <x:v>Small (&lt;100 beds)</x:v>
      </x:c>
      <x:c r="H4624" s="7" t="n">
        <x:v>3</x:v>
      </x:c>
      <x:c r="I4624" s="7" t="n">
        <x:v>2</x:v>
      </x:c>
      <x:c r="J4624" s="7" t="n">
        <x:v>0.96</x:v>
      </x:c>
      <x:c r="K4624" s="8" t="n">
        <x:v>73</x:v>
      </x:c>
      <x:c r="L4624" s="8" t="n">
        <x:v>3283</x:v>
      </x:c>
      <x:c r="M4624" s="9" t="n">
        <x:v>0.4201661801</x:v>
      </x:c>
      <x:c r="N4624" s="10" t="n">
        <x:v>23179.359427353</x:v>
      </x:c>
      <x:c r="O4624" s="9" t="n">
        <x:v>0.0141321374</x:v>
      </x:c>
      <x:c r="P4624" s="9" t="n">
        <x:v>0.0628366248</x:v>
      </x:c>
      <x:c r="Q4624" s="9" t="n">
        <x:v>0.1687612208</x:v>
      </x:c>
      <x:c r="R4624" s="3" t="b">
        <x:v>0</x:v>
      </x:c>
      <x:c r="S4624" s="3" t="b">
        <x:v>0</x:v>
      </x:c>
      <x:c r="T4624" s="3" t="b">
        <x:v>0</x:v>
      </x:c>
      <x:c r="U4624" s="2" t="str">
        <x:f>IF(T4624=TRUE,"Priority review",IF(R4624=TRUE,"High cost",IF(S4624=TRUE,"Low quality","Benchmark")))</x:f>
        <x:v>Benchmark</x:v>
      </x:c>
    </x:row>
    <x:row r="4625">
      <x:c r="A4625" s="2" t="str">
        <x:v>450484</x:v>
      </x:c>
      <x:c r="B4625" s="2" t="str">
        <x:v>WOODLAND HEIGHTS MEDICAL CENTER</x:v>
      </x:c>
      <x:c r="C4625" s="2" t="str">
        <x:v>LUFKIN</x:v>
      </x:c>
      <x:c r="D4625" s="2" t="str">
        <x:v>TX</x:v>
      </x:c>
      <x:c r="E4625" s="2" t="str">
        <x:v>Acute Care Hospitals</x:v>
      </x:c>
      <x:c r="F4625" s="2" t="str">
        <x:v>Proprietary</x:v>
      </x:c>
      <x:c r="G4625" s="2" t="str">
        <x:v>Medium (100-299 beds)</x:v>
      </x:c>
      <x:c r="H4625" s="7" t="n">
        <x:v>3</x:v>
      </x:c>
      <x:c r="I4625" s="7" t="n">
        <x:v>2</x:v>
      </x:c>
      <x:c r="J4625" s="7" t="n">
        <x:v>1</x:v>
      </x:c>
      <x:c r="K4625" s="8" t="n">
        <x:v>136</x:v>
      </x:c>
      <x:c r="L4625" s="8" t="n">
        <x:v>6581</x:v>
      </x:c>
      <x:c r="M4625" s="9" t="n">
        <x:v>0.5168555127</x:v>
      </x:c>
      <x:c r="N4625" s="10" t="n">
        <x:v>17315.0829661146</x:v>
      </x:c>
      <x:c r="O4625" s="9" t="n">
        <x:v>0.1090858039</x:v>
      </x:c>
      <x:c r="P4625" s="9" t="n">
        <x:v>0.0627546862</x:v>
      </x:c>
      <x:c r="Q4625" s="9" t="n">
        <x:v>0.3023634882</x:v>
      </x:c>
      <x:c r="R4625" s="3" t="b">
        <x:v>0</x:v>
      </x:c>
      <x:c r="S4625" s="3" t="b">
        <x:v>0</x:v>
      </x:c>
      <x:c r="T4625" s="3" t="b">
        <x:v>0</x:v>
      </x:c>
      <x:c r="U4625" s="2" t="str">
        <x:f>IF(T4625=TRUE,"Priority review",IF(R4625=TRUE,"High cost",IF(S4625=TRUE,"Low quality","Benchmark")))</x:f>
        <x:v>Benchmark</x:v>
      </x:c>
    </x:row>
    <x:row r="4626">
      <x:c r="A4626" s="2" t="str">
        <x:v>151328</x:v>
      </x:c>
      <x:c r="B4626" s="2" t="str">
        <x:v>INDIANA UNIVERSITY HEALTH BEDFORD HOSPITAL</x:v>
      </x:c>
      <x:c r="C4626" s="2" t="str">
        <x:v>BEDFORD</x:v>
      </x:c>
      <x:c r="D4626" s="2" t="str">
        <x:v>IN</x:v>
      </x:c>
      <x:c r="E4626" s="2" t="str">
        <x:v>Critical Access Hospitals</x:v>
      </x:c>
      <x:c r="F4626" s="2" t="str">
        <x:v>Voluntary non-profit</x:v>
      </x:c>
      <x:c r="G4626" s="2" t="str">
        <x:v>Small (&lt;100 beds)</x:v>
      </x:c>
      <x:c r="H4626" s="7" t="n">
        <x:v>3</x:v>
      </x:c>
      <x:c r="I4626" s="7"/>
      <x:c r="J4626" s="7"/>
      <x:c r="K4626" s="8" t="n">
        <x:v>25</x:v>
      </x:c>
      <x:c r="L4626" s="8" t="n">
        <x:v>1649</x:v>
      </x:c>
      <x:c r="M4626" s="9" t="n">
        <x:v>0.6765934066</x:v>
      </x:c>
      <x:c r="N4626" s="10" t="n">
        <x:v>53965.8526379624</x:v>
      </x:c>
      <x:c r="O4626" s="9" t="n">
        <x:v>0.1279249808</x:v>
      </x:c>
      <x:c r="P4626" s="9" t="n">
        <x:v>0.0624535316</x:v>
      </x:c>
      <x:c r="Q4626" s="9" t="n">
        <x:v>0.0765799257</x:v>
      </x:c>
      <x:c r="R4626" s="3" t="b">
        <x:v>0</x:v>
      </x:c>
      <x:c r="S4626" s="3" t="b">
        <x:v>1</x:v>
      </x:c>
      <x:c r="T4626" s="3" t="b">
        <x:v>0</x:v>
      </x:c>
      <x:c r="U4626" s="2" t="str">
        <x:f>IF(T4626=TRUE,"Priority review",IF(R4626=TRUE,"High cost",IF(S4626=TRUE,"Low quality","Benchmark")))</x:f>
        <x:v>Low quality</x:v>
      </x:c>
    </x:row>
    <x:row r="4627">
      <x:c r="A4627" s="2" t="str">
        <x:v>100316</x:v>
      </x:c>
      <x:c r="B4627" s="2" t="str">
        <x:v>PALM BAY HOSPITAL</x:v>
      </x:c>
      <x:c r="C4627" s="2" t="str">
        <x:v>PALM BAY</x:v>
      </x:c>
      <x:c r="D4627" s="2" t="str">
        <x:v>FL</x:v>
      </x:c>
      <x:c r="E4627" s="2" t="str">
        <x:v>Acute Care Hospitals</x:v>
      </x:c>
      <x:c r="F4627" s="2" t="str">
        <x:v>Proprietary</x:v>
      </x:c>
      <x:c r="G4627" s="2" t="str">
        <x:v>Medium (100-299 beds)</x:v>
      </x:c>
      <x:c r="H4627" s="7" t="n">
        <x:v>3</x:v>
      </x:c>
      <x:c r="I4627" s="7" t="n">
        <x:v>2</x:v>
      </x:c>
      <x:c r="J4627" s="7" t="n">
        <x:v>1.04</x:v>
      </x:c>
      <x:c r="K4627" s="8" t="n">
        <x:v>120</x:v>
      </x:c>
      <x:c r="L4627" s="8" t="n">
        <x:v>9227</x:v>
      </x:c>
      <x:c r="M4627" s="9" t="n">
        <x:v>0.8511156648</x:v>
      </x:c>
      <x:c r="N4627" s="10" t="n">
        <x:v>17265.8857700228</x:v>
      </x:c>
      <x:c r="O4627" s="9" t="n">
        <x:v>0.1364227442</x:v>
      </x:c>
      <x:c r="P4627" s="9" t="n">
        <x:v>0.0619396903</x:v>
      </x:c>
      <x:c r="Q4627" s="9" t="n">
        <x:v>0.3023634882</x:v>
      </x:c>
      <x:c r="R4627" s="3" t="b">
        <x:v>0</x:v>
      </x:c>
      <x:c r="S4627" s="3" t="b">
        <x:v>0</x:v>
      </x:c>
      <x:c r="T4627" s="3" t="b">
        <x:v>0</x:v>
      </x:c>
      <x:c r="U4627" s="2" t="str">
        <x:f>IF(T4627=TRUE,"Priority review",IF(R4627=TRUE,"High cost",IF(S4627=TRUE,"Low quality","Benchmark")))</x:f>
        <x:v>Benchmark</x:v>
      </x:c>
    </x:row>
    <x:row r="4628">
      <x:c r="A4628" s="2" t="str">
        <x:v>490002</x:v>
      </x:c>
      <x:c r="B4628" s="2" t="str">
        <x:v>RUSSELL COUNTY HOSPITAL</x:v>
      </x:c>
      <x:c r="C4628" s="2" t="str">
        <x:v>LEBANON</x:v>
      </x:c>
      <x:c r="D4628" s="2" t="str">
        <x:v>VA</x:v>
      </x:c>
      <x:c r="E4628" s="2" t="str">
        <x:v>Acute Care Hospitals</x:v>
      </x:c>
      <x:c r="F4628" s="2" t="str">
        <x:v>Voluntary non-profit</x:v>
      </x:c>
      <x:c r="G4628" s="2" t="str">
        <x:v>Small (&lt;100 beds)</x:v>
      </x:c>
      <x:c r="H4628" s="7" t="n">
        <x:v>4</x:v>
      </x:c>
      <x:c r="I4628" s="7" t="n">
        <x:v>4</x:v>
      </x:c>
      <x:c r="J4628" s="7" t="n">
        <x:v>0.91</x:v>
      </x:c>
      <x:c r="K4628" s="8" t="n">
        <x:v>48</x:v>
      </x:c>
      <x:c r="L4628" s="8" t="n">
        <x:v>1504</x:v>
      </x:c>
      <x:c r="M4628" s="9" t="n">
        <x:v>0.4065346084</x:v>
      </x:c>
      <x:c r="N4628" s="10" t="n">
        <x:v>23082.4521276596</x:v>
      </x:c>
      <x:c r="O4628" s="9" t="n">
        <x:v>-0.0090728757</x:v>
      </x:c>
      <x:c r="P4628" s="9" t="n">
        <x:v>0.0619389587</x:v>
      </x:c>
      <x:c r="Q4628" s="9" t="n">
        <x:v>0.3913824057</x:v>
      </x:c>
      <x:c r="R4628" s="3" t="b">
        <x:v>0</x:v>
      </x:c>
      <x:c r="S4628" s="3" t="b">
        <x:v>0</x:v>
      </x:c>
      <x:c r="T4628" s="3" t="b">
        <x:v>0</x:v>
      </x:c>
      <x:c r="U4628" s="2" t="str">
        <x:f>IF(T4628=TRUE,"Priority review",IF(R4628=TRUE,"High cost",IF(S4628=TRUE,"Low quality","Benchmark")))</x:f>
        <x:v>Benchmark</x:v>
      </x:c>
    </x:row>
    <x:row r="4629">
      <x:c r="A4629" s="2" t="str">
        <x:v>261320</x:v>
      </x:c>
      <x:c r="B4629" s="2" t="str">
        <x:v>LAFAYETTE REGIONAL HEALTH CENTER</x:v>
      </x:c>
      <x:c r="C4629" s="2" t="str">
        <x:v>LEXINGTON</x:v>
      </x:c>
      <x:c r="D4629" s="2" t="str">
        <x:v>MO</x:v>
      </x:c>
      <x:c r="E4629" s="2" t="str">
        <x:v>Critical Access Hospitals</x:v>
      </x:c>
      <x:c r="F4629" s="2" t="str">
        <x:v>Proprietary</x:v>
      </x:c>
      <x:c r="G4629" s="2" t="str">
        <x:v>Small (&lt;100 beds)</x:v>
      </x:c>
      <x:c r="H4629" s="7" t="n">
        <x:v>2</x:v>
      </x:c>
      <x:c r="I4629" s="7" t="n">
        <x:v>5</x:v>
      </x:c>
      <x:c r="J4629" s="7"/>
      <x:c r="K4629" s="8" t="n">
        <x:v>25</x:v>
      </x:c>
      <x:c r="L4629" s="8" t="n">
        <x:v>759</x:v>
      </x:c>
      <x:c r="M4629" s="9" t="n">
        <x:v>0.3008743169</x:v>
      </x:c>
      <x:c r="N4629" s="10" t="n">
        <x:v>53952.1805006588</x:v>
      </x:c>
      <x:c r="O4629" s="9" t="n">
        <x:v>-0.1411883683</x:v>
      </x:c>
      <x:c r="P4629" s="9" t="n">
        <x:v>0.0617100372</x:v>
      </x:c>
      <x:c r="Q4629" s="9" t="n">
        <x:v>0.0171003717</x:v>
      </x:c>
      <x:c r="R4629" s="3" t="b">
        <x:v>0</x:v>
      </x:c>
      <x:c r="S4629" s="3" t="b">
        <x:v>1</x:v>
      </x:c>
      <x:c r="T4629" s="3" t="b">
        <x:v>0</x:v>
      </x:c>
      <x:c r="U4629" s="2" t="str">
        <x:f>IF(T4629=TRUE,"Priority review",IF(R4629=TRUE,"High cost",IF(S4629=TRUE,"Low quality","Benchmark")))</x:f>
        <x:v>Low quality</x:v>
      </x:c>
    </x:row>
    <x:row r="4630">
      <x:c r="A4630" s="2" t="str">
        <x:v>230269</x:v>
      </x:c>
      <x:c r="B4630" s="2" t="str">
        <x:v>BEAUMONT HOSPITAL, TROY</x:v>
      </x:c>
      <x:c r="C4630" s="2" t="str">
        <x:v>TROY</x:v>
      </x:c>
      <x:c r="D4630" s="2" t="str">
        <x:v>MI</x:v>
      </x:c>
      <x:c r="E4630" s="2" t="str">
        <x:v>Acute Care Hospitals</x:v>
      </x:c>
      <x:c r="F4630" s="2" t="str">
        <x:v>Voluntary non-profit</x:v>
      </x:c>
      <x:c r="G4630" s="2" t="str">
        <x:v>Large (300+ beds)</x:v>
      </x:c>
      <x:c r="H4630" s="7" t="n">
        <x:v>4</x:v>
      </x:c>
      <x:c r="I4630" s="7" t="n">
        <x:v>2</x:v>
      </x:c>
      <x:c r="J4630" s="7" t="n">
        <x:v>0.99</x:v>
      </x:c>
      <x:c r="K4630" s="8" t="n">
        <x:v>505</x:v>
      </x:c>
      <x:c r="L4630" s="8" t="n">
        <x:v>39276</x:v>
      </x:c>
      <x:c r="M4630" s="9" t="n">
        <x:v>0.9022182546</x:v>
      </x:c>
      <x:c r="N4630" s="10" t="n">
        <x:v>20529.9036561768</x:v>
      </x:c>
      <x:c r="O4630" s="9" t="n">
        <x:v>0.0258542446</x:v>
      </x:c>
      <x:c r="P4630" s="9" t="n">
        <x:v>0.0615141956</x:v>
      </x:c>
      <x:c r="Q4630" s="9" t="n">
        <x:v>0.5899053628</x:v>
      </x:c>
      <x:c r="R4630" s="3" t="b">
        <x:v>0</x:v>
      </x:c>
      <x:c r="S4630" s="3" t="b">
        <x:v>0</x:v>
      </x:c>
      <x:c r="T4630" s="3" t="b">
        <x:v>0</x:v>
      </x:c>
      <x:c r="U4630" s="2" t="str">
        <x:f>IF(T4630=TRUE,"Priority review",IF(R4630=TRUE,"High cost",IF(S4630=TRUE,"Low quality","Benchmark")))</x:f>
        <x:v>Benchmark</x:v>
      </x:c>
    </x:row>
    <x:row r="4631">
      <x:c r="A4631" s="2" t="str">
        <x:v>194056</x:v>
      </x:c>
      <x:c r="B4631" s="2" t="str">
        <x:v>COMMUNITY CARE HOSPITAL</x:v>
      </x:c>
      <x:c r="C4631" s="2" t="str">
        <x:v>NEW ORLEANS</x:v>
      </x:c>
      <x:c r="D4631" s="2" t="str">
        <x:v>LA</x:v>
      </x:c>
      <x:c r="E4631" s="2" t="str">
        <x:v>Psychiatric</x:v>
      </x:c>
      <x:c r="F4631" s="2" t="str">
        <x:v>Proprietary</x:v>
      </x:c>
      <x:c r="G4631" s="2" t="str">
        <x:v>Small (&lt;100 beds)</x:v>
      </x:c>
      <x:c r="H4631" s="7"/>
      <x:c r="I4631" s="7"/>
      <x:c r="J4631" s="7"/>
      <x:c r="K4631" s="8" t="n">
        <x:v>36</x:v>
      </x:c>
      <x:c r="L4631" s="8" t="n">
        <x:v>869</x:v>
      </x:c>
      <x:c r="M4631" s="9" t="n">
        <x:v>0.5340182648</x:v>
      </x:c>
      <x:c r="N4631" s="10" t="n">
        <x:v>6228.7721518987</x:v>
      </x:c>
      <x:c r="O4631" s="9" t="n">
        <x:v>-0.0031842483</x:v>
      </x:c>
      <x:c r="P4631" s="9" t="n">
        <x:v>0.0614886731</x:v>
      </x:c>
      <x:c r="Q4631" s="9" t="n">
        <x:v>0</x:v>
      </x:c>
      <x:c r="R4631" s="3" t="b">
        <x:v>0</x:v>
      </x:c>
      <x:c r="S4631" s="3" t="b">
        <x:v>0</x:v>
      </x:c>
      <x:c r="T4631" s="3" t="b">
        <x:v>0</x:v>
      </x:c>
      <x:c r="U4631" s="2" t="str">
        <x:f>IF(T4631=TRUE,"Priority review",IF(R4631=TRUE,"High cost",IF(S4631=TRUE,"Low quality","Benchmark")))</x:f>
        <x:v>Benchmark</x:v>
      </x:c>
    </x:row>
    <x:row r="4632">
      <x:c r="A4632" s="2" t="str">
        <x:v>100063</x:v>
      </x:c>
      <x:c r="B4632" s="2" t="str">
        <x:v>MORTON PLANT NORTH BAY HOSPITAL</x:v>
      </x:c>
      <x:c r="C4632" s="2" t="str">
        <x:v>NEW PORT RICHEY</x:v>
      </x:c>
      <x:c r="D4632" s="2" t="str">
        <x:v>FL</x:v>
      </x:c>
      <x:c r="E4632" s="2" t="str">
        <x:v>Acute Care Hospitals</x:v>
      </x:c>
      <x:c r="F4632" s="2" t="str">
        <x:v>Voluntary non-profit</x:v>
      </x:c>
      <x:c r="G4632" s="2" t="str">
        <x:v>Medium (100-299 beds)</x:v>
      </x:c>
      <x:c r="H4632" s="7" t="n">
        <x:v>3</x:v>
      </x:c>
      <x:c r="I4632" s="7" t="n">
        <x:v>4</x:v>
      </x:c>
      <x:c r="J4632" s="7" t="n">
        <x:v>0.98</x:v>
      </x:c>
      <x:c r="K4632" s="8" t="n">
        <x:v>222</x:v>
      </x:c>
      <x:c r="L4632" s="8" t="n">
        <x:v>11928</x:v>
      </x:c>
      <x:c r="M4632" s="9" t="n">
        <x:v>0.6823832029</x:v>
      </x:c>
      <x:c r="N4632" s="10" t="n">
        <x:v>17202.6435278337</x:v>
      </x:c>
      <x:c r="O4632" s="9" t="n">
        <x:v>0.0174123755</x:v>
      </x:c>
      <x:c r="P4632" s="9" t="n">
        <x:v>0.0611246944</x:v>
      </x:c>
      <x:c r="Q4632" s="9" t="n">
        <x:v>0.3023634882</x:v>
      </x:c>
      <x:c r="R4632" s="3" t="b">
        <x:v>0</x:v>
      </x:c>
      <x:c r="S4632" s="3" t="b">
        <x:v>0</x:v>
      </x:c>
      <x:c r="T4632" s="3" t="b">
        <x:v>0</x:v>
      </x:c>
      <x:c r="U4632" s="2" t="str">
        <x:f>IF(T4632=TRUE,"Priority review",IF(R4632=TRUE,"High cost",IF(S4632=TRUE,"Low quality","Benchmark")))</x:f>
        <x:v>Benchmark</x:v>
      </x:c>
    </x:row>
    <x:row r="4633">
      <x:c r="A4633" s="2" t="str">
        <x:v>420102</x:v>
      </x:c>
      <x:c r="B4633" s="2" t="str">
        <x:v>PRISMA HEALTH  PATEWOOD HOSPITAL</x:v>
      </x:c>
      <x:c r="C4633" s="2" t="str">
        <x:v>GREENVILLE</x:v>
      </x:c>
      <x:c r="D4633" s="2" t="str">
        <x:v>SC</x:v>
      </x:c>
      <x:c r="E4633" s="2" t="str">
        <x:v>Acute Care Hospitals</x:v>
      </x:c>
      <x:c r="F4633" s="2" t="str">
        <x:v>Voluntary non-profit</x:v>
      </x:c>
      <x:c r="G4633" s="2" t="str">
        <x:v>Small (&lt;100 beds)</x:v>
      </x:c>
      <x:c r="H4633" s="7" t="n">
        <x:v>5</x:v>
      </x:c>
      <x:c r="I4633" s="7" t="n">
        <x:v>4</x:v>
      </x:c>
      <x:c r="J4633" s="7" t="n">
        <x:v>0.9</x:v>
      </x:c>
      <x:c r="K4633" s="8" t="n">
        <x:v>63</x:v>
      </x:c>
      <x:c r="L4633" s="8" t="n">
        <x:v>7173</x:v>
      </x:c>
      <x:c r="M4633" s="9" t="n">
        <x:v>0.5275392489</x:v>
      </x:c>
      <x:c r="N4633" s="10" t="n">
        <x:v>22984.3396068591</x:v>
      </x:c>
      <x:c r="O4633" s="9" t="n">
        <x:v>0.4019963381</x:v>
      </x:c>
      <x:c r="P4633" s="9" t="n">
        <x:v>0.0610412926</x:v>
      </x:c>
      <x:c r="Q4633" s="9" t="n">
        <x:v>0.6131059246</x:v>
      </x:c>
      <x:c r="R4633" s="3" t="b">
        <x:v>0</x:v>
      </x:c>
      <x:c r="S4633" s="3" t="b">
        <x:v>0</x:v>
      </x:c>
      <x:c r="T4633" s="3" t="b">
        <x:v>0</x:v>
      </x:c>
      <x:c r="U4633" s="2" t="str">
        <x:f>IF(T4633=TRUE,"Priority review",IF(R4633=TRUE,"High cost",IF(S4633=TRUE,"Low quality","Benchmark")))</x:f>
        <x:v>Benchmark</x:v>
      </x:c>
    </x:row>
    <x:row r="4634">
      <x:c r="A4634" s="2" t="str">
        <x:v>061301</x:v>
      </x:c>
      <x:c r="B4634" s="2" t="str">
        <x:v>RIO GRANDE HOSPITAL</x:v>
      </x:c>
      <x:c r="C4634" s="2" t="str">
        <x:v>DEL NORTE</x:v>
      </x:c>
      <x:c r="D4634" s="2" t="str">
        <x:v>CO</x:v>
      </x:c>
      <x:c r="E4634" s="2" t="str">
        <x:v>Critical Access Hospitals</x:v>
      </x:c>
      <x:c r="F4634" s="2" t="str">
        <x:v>Proprietary</x:v>
      </x:c>
      <x:c r="G4634" s="2" t="str">
        <x:v>Small (&lt;100 beds)</x:v>
      </x:c>
      <x:c r="H4634" s="7" t="n">
        <x:v>4</x:v>
      </x:c>
      <x:c r="I4634" s="7"/>
      <x:c r="J4634" s="7"/>
      <x:c r="K4634" s="8" t="n">
        <x:v>17</x:v>
      </x:c>
      <x:c r="L4634" s="8" t="n">
        <x:v>651</x:v>
      </x:c>
      <x:c r="M4634" s="9" t="n">
        <x:v>0.3683702989</x:v>
      </x:c>
      <x:c r="N4634" s="10" t="n">
        <x:v>53637.0030721966</x:v>
      </x:c>
      <x:c r="O4634" s="9" t="n">
        <x:v>-0.0712795339</x:v>
      </x:c>
      <x:c r="P4634" s="9" t="n">
        <x:v>0.0609665428</x:v>
      </x:c>
      <x:c r="Q4634" s="9" t="n">
        <x:v>0.1657992565</x:v>
      </x:c>
      <x:c r="R4634" s="3" t="b">
        <x:v>0</x:v>
      </x:c>
      <x:c r="S4634" s="3" t="b">
        <x:v>0</x:v>
      </x:c>
      <x:c r="T4634" s="3" t="b">
        <x:v>0</x:v>
      </x:c>
      <x:c r="U4634" s="2" t="str">
        <x:f>IF(T4634=TRUE,"Priority review",IF(R4634=TRUE,"High cost",IF(S4634=TRUE,"Low quality","Benchmark")))</x:f>
        <x:v>Benchmark</x:v>
      </x:c>
    </x:row>
    <x:row r="4635">
      <x:c r="A4635" s="2" t="str">
        <x:v>450379</x:v>
      </x:c>
      <x:c r="B4635" s="2" t="str">
        <x:v>DALLAS MEDICAL CENTER</x:v>
      </x:c>
      <x:c r="C4635" s="2" t="str">
        <x:v>DALLAS</x:v>
      </x:c>
      <x:c r="D4635" s="2" t="str">
        <x:v>TX</x:v>
      </x:c>
      <x:c r="E4635" s="2" t="str">
        <x:v>Acute Care Hospitals</x:v>
      </x:c>
      <x:c r="F4635" s="2" t="str">
        <x:v>Proprietary</x:v>
      </x:c>
      <x:c r="G4635" s="2" t="str">
        <x:v>Medium (100-299 beds)</x:v>
      </x:c>
      <x:c r="H4635" s="7" t="n">
        <x:v>3</x:v>
      </x:c>
      <x:c r="I4635" s="7" t="n">
        <x:v>3</x:v>
      </x:c>
      <x:c r="J4635" s="7" t="n">
        <x:v>1.04</x:v>
      </x:c>
      <x:c r="K4635" s="8" t="n">
        <x:v>119</x:v>
      </x:c>
      <x:c r="L4635" s="8" t="n">
        <x:v>3903</x:v>
      </x:c>
      <x:c r="M4635" s="9" t="n">
        <x:v>0.3808835009</x:v>
      </x:c>
      <x:c r="N4635" s="10" t="n">
        <x:v>17168.9815526518</x:v>
      </x:c>
      <x:c r="O4635" s="9" t="n">
        <x:v>-0.1443182856</x:v>
      </x:c>
      <x:c r="P4635" s="9" t="n">
        <x:v>0.0603096985</x:v>
      </x:c>
      <x:c r="Q4635" s="9" t="n">
        <x:v>0.3023634882</x:v>
      </x:c>
      <x:c r="R4635" s="3" t="b">
        <x:v>0</x:v>
      </x:c>
      <x:c r="S4635" s="3" t="b">
        <x:v>0</x:v>
      </x:c>
      <x:c r="T4635" s="3" t="b">
        <x:v>0</x:v>
      </x:c>
      <x:c r="U4635" s="2" t="str">
        <x:f>IF(T4635=TRUE,"Priority review",IF(R4635=TRUE,"High cost",IF(S4635=TRUE,"Low quality","Benchmark")))</x:f>
        <x:v>Benchmark</x:v>
      </x:c>
    </x:row>
    <x:row r="4636">
      <x:c r="A4636" s="2" t="str">
        <x:v>171361</x:v>
      </x:c>
      <x:c r="B4636" s="2" t="str">
        <x:v>REPUBLIC COUNTY HOSPITAL</x:v>
      </x:c>
      <x:c r="C4636" s="2" t="str">
        <x:v>BELLEVILLE</x:v>
      </x:c>
      <x:c r="D4636" s="2" t="str">
        <x:v>KS</x:v>
      </x:c>
      <x:c r="E4636" s="2" t="str">
        <x:v>Critical Access Hospitals</x:v>
      </x:c>
      <x:c r="F4636" s="2" t="str">
        <x:v>Voluntary non-profit</x:v>
      </x:c>
      <x:c r="G4636" s="2" t="str">
        <x:v>Small (&lt;100 beds)</x:v>
      </x:c>
      <x:c r="H4636" s="7" t="n">
        <x:v>3</x:v>
      </x:c>
      <x:c r="I4636" s="7" t="n">
        <x:v>5</x:v>
      </x:c>
      <x:c r="J4636" s="7"/>
      <x:c r="K4636" s="8" t="n">
        <x:v>25</x:v>
      </x:c>
      <x:c r="L4636" s="8" t="n">
        <x:v>483</x:v>
      </x:c>
      <x:c r="M4636" s="9" t="n">
        <x:v>0.6156366512</x:v>
      </x:c>
      <x:c r="N4636" s="10" t="n">
        <x:v>52686.5383022774</x:v>
      </x:c>
      <x:c r="O4636" s="9" t="n">
        <x:v>-0.1944896769</x:v>
      </x:c>
      <x:c r="P4636" s="9" t="n">
        <x:v>0.0602230483</x:v>
      </x:c>
      <x:c r="Q4636" s="9" t="n">
        <x:v>0.0765799257</x:v>
      </x:c>
      <x:c r="R4636" s="3" t="b">
        <x:v>0</x:v>
      </x:c>
      <x:c r="S4636" s="3" t="b">
        <x:v>1</x:v>
      </x:c>
      <x:c r="T4636" s="3" t="b">
        <x:v>0</x:v>
      </x:c>
      <x:c r="U4636" s="2" t="str">
        <x:f>IF(T4636=TRUE,"Priority review",IF(R4636=TRUE,"High cost",IF(S4636=TRUE,"Low quality","Benchmark")))</x:f>
        <x:v>Low quality</x:v>
      </x:c>
    </x:row>
    <x:row r="4637">
      <x:c r="A4637" s="2" t="str">
        <x:v>040051</x:v>
      </x:c>
      <x:c r="B4637" s="2" t="str">
        <x:v>BAPTIST HEALTH MEDICAL CENTER-DREW COUNTY</x:v>
      </x:c>
      <x:c r="C4637" s="2" t="str">
        <x:v>MONTICELLO</x:v>
      </x:c>
      <x:c r="D4637" s="2" t="str">
        <x:v>AR</x:v>
      </x:c>
      <x:c r="E4637" s="2" t="str">
        <x:v>Acute Care Hospitals</x:v>
      </x:c>
      <x:c r="F4637" s="2" t="str">
        <x:v>Voluntary non-profit</x:v>
      </x:c>
      <x:c r="G4637" s="2" t="str">
        <x:v>Small (&lt;100 beds)</x:v>
      </x:c>
      <x:c r="H4637" s="7" t="n">
        <x:v>2</x:v>
      </x:c>
      <x:c r="I4637" s="7" t="n">
        <x:v>3</x:v>
      </x:c>
      <x:c r="J4637" s="7" t="n">
        <x:v>1</x:v>
      </x:c>
      <x:c r="K4637" s="8" t="n">
        <x:v>49</x:v>
      </x:c>
      <x:c r="L4637" s="8" t="n">
        <x:v>1990</x:v>
      </x:c>
      <x:c r="M4637" s="9" t="n">
        <x:v>0.3201756652</x:v>
      </x:c>
      <x:c r="N4637" s="10" t="n">
        <x:v>22945.2979899497</x:v>
      </x:c>
      <x:c r="O4637" s="9" t="n">
        <x:v>-0.1862418254</x:v>
      </x:c>
      <x:c r="P4637" s="9" t="n">
        <x:v>0.0601436266</x:v>
      </x:c>
      <x:c r="Q4637" s="9" t="n">
        <x:v>0.0350089767</x:v>
      </x:c>
      <x:c r="R4637" s="3" t="b">
        <x:v>0</x:v>
      </x:c>
      <x:c r="S4637" s="3" t="b">
        <x:v>1</x:v>
      </x:c>
      <x:c r="T4637" s="3" t="b">
        <x:v>0</x:v>
      </x:c>
      <x:c r="U4637" s="2" t="str">
        <x:f>IF(T4637=TRUE,"Priority review",IF(R4637=TRUE,"High cost",IF(S4637=TRUE,"Low quality","Benchmark")))</x:f>
        <x:v>Low quality</x:v>
      </x:c>
    </x:row>
    <x:row r="4638">
      <x:c r="A4638" s="2" t="str">
        <x:v>450775</x:v>
      </x:c>
      <x:c r="B4638" s="2" t="str">
        <x:v>HCA HOUSTON HEALTHCARE KINGWOOD</x:v>
      </x:c>
      <x:c r="C4638" s="2" t="str">
        <x:v>KINGWOOD</x:v>
      </x:c>
      <x:c r="D4638" s="2" t="str">
        <x:v>TX</x:v>
      </x:c>
      <x:c r="E4638" s="2" t="str">
        <x:v>Acute Care Hospitals</x:v>
      </x:c>
      <x:c r="F4638" s="2" t="str">
        <x:v>Proprietary</x:v>
      </x:c>
      <x:c r="G4638" s="2" t="str">
        <x:v>Large (300+ beds)</x:v>
      </x:c>
      <x:c r="H4638" s="7" t="n">
        <x:v>3</x:v>
      </x:c>
      <x:c r="I4638" s="7" t="n">
        <x:v>1</x:v>
      </x:c>
      <x:c r="J4638" s="7" t="n">
        <x:v>1.1</x:v>
      </x:c>
      <x:c r="K4638" s="8" t="n">
        <x:v>567</x:v>
      </x:c>
      <x:c r="L4638" s="8" t="n">
        <x:v>38343</x:v>
      </x:c>
      <x:c r="M4638" s="9" t="n">
        <x:v>0.8656659636</x:v>
      </x:c>
      <x:c r="N4638" s="10" t="n">
        <x:v>20481.8900711994</x:v>
      </x:c>
      <x:c r="O4638" s="9" t="n">
        <x:v>0.1870146373</x:v>
      </x:c>
      <x:c r="P4638" s="9" t="n">
        <x:v>0.0599369085</x:v>
      </x:c>
      <x:c r="Q4638" s="9" t="n">
        <x:v>0.2570977918</x:v>
      </x:c>
      <x:c r="R4638" s="3" t="b">
        <x:v>0</x:v>
      </x:c>
      <x:c r="S4638" s="3" t="b">
        <x:v>0</x:v>
      </x:c>
      <x:c r="T4638" s="3" t="b">
        <x:v>0</x:v>
      </x:c>
      <x:c r="U4638" s="2" t="str">
        <x:f>IF(T4638=TRUE,"Priority review",IF(R4638=TRUE,"High cost",IF(S4638=TRUE,"Low quality","Benchmark")))</x:f>
        <x:v>Benchmark</x:v>
      </x:c>
    </x:row>
    <x:row r="4639">
      <x:c r="A4639" s="2" t="str">
        <x:v>494025</x:v>
      </x:c>
      <x:c r="B4639" s="2" t="str">
        <x:v>VIRGINIA BEACH PSYCHIATRIC CENTER</x:v>
      </x:c>
      <x:c r="C4639" s="2" t="str">
        <x:v>VIRGINIA BEACH</x:v>
      </x:c>
      <x:c r="D4639" s="2" t="str">
        <x:v>VA</x:v>
      </x:c>
      <x:c r="E4639" s="2" t="str">
        <x:v>Psychiatric</x:v>
      </x:c>
      <x:c r="F4639" s="2" t="str">
        <x:v>Proprietary</x:v>
      </x:c>
      <x:c r="G4639" s="2" t="str">
        <x:v>Medium (100-299 beds)</x:v>
      </x:c>
      <x:c r="H4639" s="7"/>
      <x:c r="I4639" s="7"/>
      <x:c r="J4639" s="7"/>
      <x:c r="K4639" s="8" t="n">
        <x:v>100</x:v>
      </x:c>
      <x:c r="L4639" s="8" t="n">
        <x:v>4133</x:v>
      </x:c>
      <x:c r="M4639" s="9" t="n">
        <x:v>0.6496174863</x:v>
      </x:c>
      <x:c r="N4639" s="10" t="n">
        <x:v>5348.1035567384</x:v>
      </x:c>
      <x:c r="O4639" s="9" t="n">
        <x:v>0.0439476239</x:v>
      </x:c>
      <x:c r="P4639" s="9" t="n">
        <x:v>0.0597014925</x:v>
      </x:c>
      <x:c r="Q4639" s="9" t="n">
        <x:v>0</x:v>
      </x:c>
      <x:c r="R4639" s="3" t="b">
        <x:v>0</x:v>
      </x:c>
      <x:c r="S4639" s="3" t="b">
        <x:v>0</x:v>
      </x:c>
      <x:c r="T4639" s="3" t="b">
        <x:v>0</x:v>
      </x:c>
      <x:c r="U4639" s="2" t="str">
        <x:f>IF(T4639=TRUE,"Priority review",IF(R4639=TRUE,"High cost",IF(S4639=TRUE,"Low quality","Benchmark")))</x:f>
        <x:v>Benchmark</x:v>
      </x:c>
    </x:row>
    <x:row r="4640">
      <x:c r="A4640" s="2" t="str">
        <x:v>400061</x:v>
      </x:c>
      <x:c r="B4640" s="2" t="str">
        <x:v>HOSPITAL UNIVERSITARIO DE ADULTO</x:v>
      </x:c>
      <x:c r="C4640" s="2" t="str">
        <x:v>RIO PIEDRAS</x:v>
      </x:c>
      <x:c r="D4640" s="2" t="str">
        <x:v>PR</x:v>
      </x:c>
      <x:c r="E4640" s="2" t="str">
        <x:v>Acute Care Hospitals</x:v>
      </x:c>
      <x:c r="F4640" s="2" t="str">
        <x:v>Government</x:v>
      </x:c>
      <x:c r="G4640" s="2" t="str">
        <x:v>Medium (100-299 beds)</x:v>
      </x:c>
      <x:c r="H4640" s="7"/>
      <x:c r="I4640" s="7"/>
      <x:c r="J4640" s="7"/>
      <x:c r="K4640" s="8" t="n">
        <x:v>198</x:v>
      </x:c>
      <x:c r="L4640" s="8" t="n">
        <x:v>7631</x:v>
      </x:c>
      <x:c r="M4640" s="9" t="n">
        <x:v>0.8220146672</x:v>
      </x:c>
      <x:c r="N4640" s="10" t="n">
        <x:v>17071.6118464159</x:v>
      </x:c>
      <x:c r="O4640" s="9" t="n">
        <x:v>-0.0751607734</x:v>
      </x:c>
      <x:c r="P4640" s="9" t="n">
        <x:v>0.0594947025</x:v>
      </x:c>
      <x:c r="Q4640" s="9" t="n">
        <x:v>0.9616951915</x:v>
      </x:c>
      <x:c r="R4640" s="3" t="b">
        <x:v>0</x:v>
      </x:c>
      <x:c r="S4640" s="3" t="b">
        <x:v>0</x:v>
      </x:c>
      <x:c r="T4640" s="3" t="b">
        <x:v>0</x:v>
      </x:c>
      <x:c r="U4640" s="2" t="str">
        <x:f>IF(T4640=TRUE,"Priority review",IF(R4640=TRUE,"High cost",IF(S4640=TRUE,"Low quality","Benchmark")))</x:f>
        <x:v>Benchmark</x:v>
      </x:c>
    </x:row>
    <x:row r="4641">
      <x:c r="A4641" s="2" t="str">
        <x:v>321309</x:v>
      </x:c>
      <x:c r="B4641" s="2" t="str">
        <x:v>MIMBRES VALLEY MEDICAL CENTER</x:v>
      </x:c>
      <x:c r="C4641" s="2" t="str">
        <x:v>DEMING</x:v>
      </x:c>
      <x:c r="D4641" s="2" t="str">
        <x:v>NM</x:v>
      </x:c>
      <x:c r="E4641" s="2" t="str">
        <x:v>Critical Access Hospitals</x:v>
      </x:c>
      <x:c r="F4641" s="2" t="str">
        <x:v>Proprietary</x:v>
      </x:c>
      <x:c r="G4641" s="2" t="str">
        <x:v>Small (&lt;100 beds)</x:v>
      </x:c>
      <x:c r="H4641" s="7"/>
      <x:c r="I4641" s="7" t="n">
        <x:v>3</x:v>
      </x:c>
      <x:c r="J4641" s="7"/>
      <x:c r="K4641" s="8" t="n">
        <x:v>25</x:v>
      </x:c>
      <x:c r="L4641" s="8" t="n">
        <x:v>986</x:v>
      </x:c>
      <x:c r="M4641" s="9" t="n">
        <x:v>0.466557377</x:v>
      </x:c>
      <x:c r="N4641" s="10" t="n">
        <x:v>52666.4888438134</x:v>
      </x:c>
      <x:c r="O4641" s="9" t="n">
        <x:v>0.2204404986</x:v>
      </x:c>
      <x:c r="P4641" s="9" t="n">
        <x:v>0.0594795539</x:v>
      </x:c>
      <x:c r="Q4641" s="9" t="n">
        <x:v>0.292936803</x:v>
      </x:c>
      <x:c r="R4641" s="3" t="b">
        <x:v>0</x:v>
      </x:c>
      <x:c r="S4641" s="3" t="b">
        <x:v>0</x:v>
      </x:c>
      <x:c r="T4641" s="3" t="b">
        <x:v>0</x:v>
      </x:c>
      <x:c r="U4641" s="2" t="str">
        <x:f>IF(T4641=TRUE,"Priority review",IF(R4641=TRUE,"High cost",IF(S4641=TRUE,"Low quality","Benchmark")))</x:f>
        <x:v>Benchmark</x:v>
      </x:c>
    </x:row>
    <x:row r="4642">
      <x:c r="A4642" s="2" t="str">
        <x:v>390217</x:v>
      </x:c>
      <x:c r="B4642" s="2" t="str">
        <x:v>EXCELA HEALTH - FRICK HOSPITAL</x:v>
      </x:c>
      <x:c r="C4642" s="2" t="str">
        <x:v>MOUNT PLEASANT</x:v>
      </x:c>
      <x:c r="D4642" s="2" t="str">
        <x:v>PA</x:v>
      </x:c>
      <x:c r="E4642" s="2" t="str">
        <x:v>Acute Care Hospitals</x:v>
      </x:c>
      <x:c r="F4642" s="2" t="str">
        <x:v>Voluntary non-profit</x:v>
      </x:c>
      <x:c r="G4642" s="2" t="str">
        <x:v>Small (&lt;100 beds)</x:v>
      </x:c>
      <x:c r="H4642" s="7" t="n">
        <x:v>3</x:v>
      </x:c>
      <x:c r="I4642" s="7" t="n">
        <x:v>3</x:v>
      </x:c>
      <x:c r="J4642" s="7" t="n">
        <x:v>0.93</x:v>
      </x:c>
      <x:c r="K4642" s="8" t="n">
        <x:v>33</x:v>
      </x:c>
      <x:c r="L4642" s="8" t="n">
        <x:v>2326</x:v>
      </x:c>
      <x:c r="M4642" s="9" t="n">
        <x:v>0.7811540058</x:v>
      </x:c>
      <x:c r="N4642" s="10" t="n">
        <x:v>22868.4015477214</x:v>
      </x:c>
      <x:c r="O4642" s="9" t="n">
        <x:v>0.1429409743</x:v>
      </x:c>
      <x:c r="P4642" s="9" t="n">
        <x:v>0.0592459605</x:v>
      </x:c>
      <x:c r="Q4642" s="9" t="n">
        <x:v>0.1687612208</x:v>
      </x:c>
      <x:c r="R4642" s="3" t="b">
        <x:v>0</x:v>
      </x:c>
      <x:c r="S4642" s="3" t="b">
        <x:v>0</x:v>
      </x:c>
      <x:c r="T4642" s="3" t="b">
        <x:v>0</x:v>
      </x:c>
      <x:c r="U4642" s="2" t="str">
        <x:f>IF(T4642=TRUE,"Priority review",IF(R4642=TRUE,"High cost",IF(S4642=TRUE,"Low quality","Benchmark")))</x:f>
        <x:v>Benchmark</x:v>
      </x:c>
    </x:row>
    <x:row r="4643">
      <x:c r="A4643" s="2" t="str">
        <x:v>451371</x:v>
      </x:c>
      <x:c r="B4643" s="2" t="str">
        <x:v>ASCENSION SETON EDGAR B DAVIS</x:v>
      </x:c>
      <x:c r="C4643" s="2" t="str">
        <x:v>LULING</x:v>
      </x:c>
      <x:c r="D4643" s="2" t="str">
        <x:v>TX</x:v>
      </x:c>
      <x:c r="E4643" s="2" t="str">
        <x:v>Critical Access Hospitals</x:v>
      </x:c>
      <x:c r="F4643" s="2" t="str">
        <x:v>Voluntary non-profit</x:v>
      </x:c>
      <x:c r="G4643" s="2" t="str">
        <x:v>Small (&lt;100 beds)</x:v>
      </x:c>
      <x:c r="H4643" s="7"/>
      <x:c r="I4643" s="7"/>
      <x:c r="J4643" s="7"/>
      <x:c r="K4643" s="8" t="n">
        <x:v>23</x:v>
      </x:c>
      <x:c r="L4643" s="8" t="n">
        <x:v>605</x:v>
      </x:c>
      <x:c r="M4643" s="9" t="n">
        <x:v>0.3598570578</x:v>
      </x:c>
      <x:c r="N4643" s="10" t="n">
        <x:v>51865.2314049587</x:v>
      </x:c>
      <x:c r="O4643" s="9" t="n">
        <x:v>0.1205234436</x:v>
      </x:c>
      <x:c r="P4643" s="9" t="n">
        <x:v>0.0587360595</x:v>
      </x:c>
      <x:c r="Q4643" s="9" t="n">
        <x:v>0.292936803</x:v>
      </x:c>
      <x:c r="R4643" s="3" t="b">
        <x:v>0</x:v>
      </x:c>
      <x:c r="S4643" s="3" t="b">
        <x:v>0</x:v>
      </x:c>
      <x:c r="T4643" s="3" t="b">
        <x:v>0</x:v>
      </x:c>
      <x:c r="U4643" s="2" t="str">
        <x:f>IF(T4643=TRUE,"Priority review",IF(R4643=TRUE,"High cost",IF(S4643=TRUE,"Low quality","Benchmark")))</x:f>
        <x:v>Benchmark</x:v>
      </x:c>
    </x:row>
    <x:row r="4644">
      <x:c r="A4644" s="2" t="str">
        <x:v>450028</x:v>
      </x:c>
      <x:c r="B4644" s="2" t="str">
        <x:v>VALLEY BAPTIST MEDICAL CENTER- BROWNSVILLE</x:v>
      </x:c>
      <x:c r="C4644" s="2" t="str">
        <x:v>BROWNSVILLE</x:v>
      </x:c>
      <x:c r="D4644" s="2" t="str">
        <x:v>TX</x:v>
      </x:c>
      <x:c r="E4644" s="2" t="str">
        <x:v>Acute Care Hospitals</x:v>
      </x:c>
      <x:c r="F4644" s="2" t="str">
        <x:v>Proprietary</x:v>
      </x:c>
      <x:c r="G4644" s="2" t="str">
        <x:v>Medium (100-299 beds)</x:v>
      </x:c>
      <x:c r="H4644" s="7" t="n">
        <x:v>3</x:v>
      </x:c>
      <x:c r="I4644" s="7" t="n">
        <x:v>2</x:v>
      </x:c>
      <x:c r="J4644" s="7" t="n">
        <x:v>1.05</x:v>
      </x:c>
      <x:c r="K4644" s="8" t="n">
        <x:v>240</x:v>
      </x:c>
      <x:c r="L4644" s="8" t="n">
        <x:v>10727</x:v>
      </x:c>
      <x:c r="M4644" s="9" t="n">
        <x:v>0.5758105023</x:v>
      </x:c>
      <x:c r="N4644" s="10" t="n">
        <x:v>17060.3804418756</x:v>
      </x:c>
      <x:c r="O4644" s="9" t="n">
        <x:v>0.1755237062</x:v>
      </x:c>
      <x:c r="P4644" s="9" t="n">
        <x:v>0.0586797066</x:v>
      </x:c>
      <x:c r="Q4644" s="9" t="n">
        <x:v>0.3023634882</x:v>
      </x:c>
      <x:c r="R4644" s="3" t="b">
        <x:v>0</x:v>
      </x:c>
      <x:c r="S4644" s="3" t="b">
        <x:v>0</x:v>
      </x:c>
      <x:c r="T4644" s="3" t="b">
        <x:v>0</x:v>
      </x:c>
      <x:c r="U4644" s="2" t="str">
        <x:f>IF(T4644=TRUE,"Priority review",IF(R4644=TRUE,"High cost",IF(S4644=TRUE,"Low quality","Benchmark")))</x:f>
        <x:v>Benchmark</x:v>
      </x:c>
    </x:row>
    <x:row r="4645">
      <x:c r="A4645" s="2" t="str">
        <x:v>100220</x:v>
      </x:c>
      <x:c r="B4645" s="2" t="str">
        <x:v>GULF COAST MEDICAL CENTER LEE HEALTH</x:v>
      </x:c>
      <x:c r="C4645" s="2" t="str">
        <x:v>FORT MYERS</x:v>
      </x:c>
      <x:c r="D4645" s="2" t="str">
        <x:v>FL</x:v>
      </x:c>
      <x:c r="E4645" s="2" t="str">
        <x:v>Acute Care Hospitals</x:v>
      </x:c>
      <x:c r="F4645" s="2" t="str">
        <x:v>Government</x:v>
      </x:c>
      <x:c r="G4645" s="2" t="str">
        <x:v>Large (300+ beds)</x:v>
      </x:c>
      <x:c r="H4645" s="7" t="n">
        <x:v>4</x:v>
      </x:c>
      <x:c r="I4645" s="7" t="n">
        <x:v>3</x:v>
      </x:c>
      <x:c r="J4645" s="7" t="n">
        <x:v>0.98</x:v>
      </x:c>
      <x:c r="K4645" s="8" t="n">
        <x:v>624</x:v>
      </x:c>
      <x:c r="L4645" s="8" t="n">
        <x:v>32325</x:v>
      </x:c>
      <x:c r="M4645" s="9" t="n">
        <x:v>0.980949619</x:v>
      </x:c>
      <x:c r="N4645" s="10" t="n">
        <x:v>20361.8803402939</x:v>
      </x:c>
      <x:c r="O4645" s="9" t="n">
        <x:v>0.270913483</x:v>
      </x:c>
      <x:c r="P4645" s="9" t="n">
        <x:v>0.0583596215</x:v>
      </x:c>
      <x:c r="Q4645" s="9" t="n">
        <x:v>0.5899053628</x:v>
      </x:c>
      <x:c r="R4645" s="3" t="b">
        <x:v>0</x:v>
      </x:c>
      <x:c r="S4645" s="3" t="b">
        <x:v>0</x:v>
      </x:c>
      <x:c r="T4645" s="3" t="b">
        <x:v>0</x:v>
      </x:c>
      <x:c r="U4645" s="2" t="str">
        <x:f>IF(T4645=TRUE,"Priority review",IF(R4645=TRUE,"High cost",IF(S4645=TRUE,"Low quality","Benchmark")))</x:f>
        <x:v>Benchmark</x:v>
      </x:c>
    </x:row>
    <x:row r="4646">
      <x:c r="A4646" s="2" t="str">
        <x:v>260219</x:v>
      </x:c>
      <x:c r="B4646" s="2" t="str">
        <x:v>PROGRESS WEST HOSPITAL</x:v>
      </x:c>
      <x:c r="C4646" s="2" t="str">
        <x:v>OFALLON</x:v>
      </x:c>
      <x:c r="D4646" s="2" t="str">
        <x:v>MO</x:v>
      </x:c>
      <x:c r="E4646" s="2" t="str">
        <x:v>Acute Care Hospitals</x:v>
      </x:c>
      <x:c r="F4646" s="2" t="str">
        <x:v>Voluntary non-profit</x:v>
      </x:c>
      <x:c r="G4646" s="2" t="str">
        <x:v>Small (&lt;100 beds)</x:v>
      </x:c>
      <x:c r="H4646" s="7" t="n">
        <x:v>4</x:v>
      </x:c>
      <x:c r="I4646" s="7" t="n">
        <x:v>4</x:v>
      </x:c>
      <x:c r="J4646" s="7" t="n">
        <x:v>0.95</x:v>
      </x:c>
      <x:c r="K4646" s="8" t="n">
        <x:v>69</x:v>
      </x:c>
      <x:c r="L4646" s="8" t="n">
        <x:v>4863</x:v>
      </x:c>
      <x:c r="M4646" s="9" t="n">
        <x:v>0.7256276233</x:v>
      </x:c>
      <x:c r="N4646" s="10" t="n">
        <x:v>22865.3148262389</x:v>
      </x:c>
      <x:c r="O4646" s="9" t="n">
        <x:v>0.0833013152</x:v>
      </x:c>
      <x:c r="P4646" s="9" t="n">
        <x:v>0.0583482944</x:v>
      </x:c>
      <x:c r="Q4646" s="9" t="n">
        <x:v>0.3913824057</x:v>
      </x:c>
      <x:c r="R4646" s="3" t="b">
        <x:v>0</x:v>
      </x:c>
      <x:c r="S4646" s="3" t="b">
        <x:v>0</x:v>
      </x:c>
      <x:c r="T4646" s="3" t="b">
        <x:v>0</x:v>
      </x:c>
      <x:c r="U4646" s="2" t="str">
        <x:f>IF(T4646=TRUE,"Priority review",IF(R4646=TRUE,"High cost",IF(S4646=TRUE,"Low quality","Benchmark")))</x:f>
        <x:v>Benchmark</x:v>
      </x:c>
    </x:row>
    <x:row r="4647">
      <x:c r="A4647" s="2" t="str">
        <x:v>454133</x:v>
      </x:c>
      <x:c r="B4647" s="2" t="str">
        <x:v>CROSS CREEK HOSPITAL</x:v>
      </x:c>
      <x:c r="C4647" s="2" t="str">
        <x:v>AUSTIN</x:v>
      </x:c>
      <x:c r="D4647" s="2" t="str">
        <x:v>TX</x:v>
      </x:c>
      <x:c r="E4647" s="2" t="str">
        <x:v>Psychiatric</x:v>
      </x:c>
      <x:c r="F4647" s="2" t="str">
        <x:v>Proprietary</x:v>
      </x:c>
      <x:c r="G4647" s="2" t="str">
        <x:v>Small (&lt;100 beds)</x:v>
      </x:c>
      <x:c r="H4647" s="7"/>
      <x:c r="I4647" s="7"/>
      <x:c r="J4647" s="7"/>
      <x:c r="K4647" s="8" t="n">
        <x:v>90</x:v>
      </x:c>
      <x:c r="L4647" s="8" t="n">
        <x:v>4027</x:v>
      </x:c>
      <x:c r="M4647" s="9" t="n">
        <x:v>0.8853976928</x:v>
      </x:c>
      <x:c r="N4647" s="10" t="n">
        <x:v>6126.0826918301</x:v>
      </x:c>
      <x:c r="O4647" s="9" t="n">
        <x:v>-0.022238971</x:v>
      </x:c>
      <x:c r="P4647" s="9" t="n">
        <x:v>0.0582524272</x:v>
      </x:c>
      <x:c r="Q4647" s="9" t="n">
        <x:v>0</x:v>
      </x:c>
      <x:c r="R4647" s="3" t="b">
        <x:v>0</x:v>
      </x:c>
      <x:c r="S4647" s="3" t="b">
        <x:v>0</x:v>
      </x:c>
      <x:c r="T4647" s="3" t="b">
        <x:v>0</x:v>
      </x:c>
      <x:c r="U4647" s="2" t="str">
        <x:f>IF(T4647=TRUE,"Priority review",IF(R4647=TRUE,"High cost",IF(S4647=TRUE,"Low quality","Benchmark")))</x:f>
        <x:v>Benchmark</x:v>
      </x:c>
    </x:row>
    <x:row r="4648">
      <x:c r="A4648" s="2" t="str">
        <x:v>341316</x:v>
      </x:c>
      <x:c r="B4648" s="2" t="str">
        <x:v>HIGHLANDS CASHIERS HOSPITAL</x:v>
      </x:c>
      <x:c r="C4648" s="2" t="str">
        <x:v>HIGHLANDS</x:v>
      </x:c>
      <x:c r="D4648" s="2" t="str">
        <x:v>NC</x:v>
      </x:c>
      <x:c r="E4648" s="2" t="str">
        <x:v>Critical Access Hospitals</x:v>
      </x:c>
      <x:c r="F4648" s="2" t="str">
        <x:v>Voluntary non-profit</x:v>
      </x:c>
      <x:c r="G4648" s="2" t="str">
        <x:v>Small (&lt;100 beds)</x:v>
      </x:c>
      <x:c r="H4648" s="7"/>
      <x:c r="I4648" s="7" t="n">
        <x:v>4</x:v>
      </x:c>
      <x:c r="J4648" s="7"/>
      <x:c r="K4648" s="8" t="n">
        <x:v>24</x:v>
      </x:c>
      <x:c r="L4648" s="8" t="n">
        <x:v>660</x:v>
      </x:c>
      <x:c r="M4648" s="9" t="n">
        <x:v>0.658356102</x:v>
      </x:c>
      <x:c r="N4648" s="10" t="n">
        <x:v>51809.6151515152</x:v>
      </x:c>
      <x:c r="O4648" s="9" t="n">
        <x:v>-0.3792880261</x:v>
      </x:c>
      <x:c r="P4648" s="9" t="n">
        <x:v>0.0579925651</x:v>
      </x:c>
      <x:c r="Q4648" s="9" t="n">
        <x:v>0.292936803</x:v>
      </x:c>
      <x:c r="R4648" s="3" t="b">
        <x:v>0</x:v>
      </x:c>
      <x:c r="S4648" s="3" t="b">
        <x:v>0</x:v>
      </x:c>
      <x:c r="T4648" s="3" t="b">
        <x:v>0</x:v>
      </x:c>
      <x:c r="U4648" s="2" t="str">
        <x:f>IF(T4648=TRUE,"Priority review",IF(R4648=TRUE,"High cost",IF(S4648=TRUE,"Low quality","Benchmark")))</x:f>
        <x:v>Benchmark</x:v>
      </x:c>
    </x:row>
    <x:row r="4649">
      <x:c r="A4649" s="2" t="str">
        <x:v>010055</x:v>
      </x:c>
      <x:c r="B4649" s="2" t="str">
        <x:v>FLOWERS HOSPITAL</x:v>
      </x:c>
      <x:c r="C4649" s="2" t="str">
        <x:v>DOTHAN</x:v>
      </x:c>
      <x:c r="D4649" s="2" t="str">
        <x:v>AL</x:v>
      </x:c>
      <x:c r="E4649" s="2" t="str">
        <x:v>Acute Care Hospitals</x:v>
      </x:c>
      <x:c r="F4649" s="2" t="str">
        <x:v>Proprietary</x:v>
      </x:c>
      <x:c r="G4649" s="2" t="str">
        <x:v>Medium (100-299 beds)</x:v>
      </x:c>
      <x:c r="H4649" s="7" t="n">
        <x:v>2</x:v>
      </x:c>
      <x:c r="I4649" s="7" t="n">
        <x:v>3</x:v>
      </x:c>
      <x:c r="J4649" s="7" t="n">
        <x:v>1.01</x:v>
      </x:c>
      <x:c r="K4649" s="8" t="n">
        <x:v>188</x:v>
      </x:c>
      <x:c r="L4649" s="8" t="n">
        <x:v>11055</x:v>
      </x:c>
      <x:c r="M4649" s="9" t="n">
        <x:v>0.8015767477</x:v>
      </x:c>
      <x:c r="N4649" s="10" t="n">
        <x:v>17002.5016734509</x:v>
      </x:c>
      <x:c r="O4649" s="9" t="n">
        <x:v>0.1830898015</x:v>
      </x:c>
      <x:c r="P4649" s="9" t="n">
        <x:v>0.0578647107</x:v>
      </x:c>
      <x:c r="Q4649" s="9" t="n">
        <x:v>0.0782396088</x:v>
      </x:c>
      <x:c r="R4649" s="3" t="b">
        <x:v>0</x:v>
      </x:c>
      <x:c r="S4649" s="3" t="b">
        <x:v>1</x:v>
      </x:c>
      <x:c r="T4649" s="3" t="b">
        <x:v>0</x:v>
      </x:c>
      <x:c r="U4649" s="2" t="str">
        <x:f>IF(T4649=TRUE,"Priority review",IF(R4649=TRUE,"High cost",IF(S4649=TRUE,"Low quality","Benchmark")))</x:f>
        <x:v>Low quality</x:v>
      </x:c>
    </x:row>
    <x:row r="4650">
      <x:c r="A4650" s="2" t="str">
        <x:v>250167</x:v>
      </x:c>
      <x:c r="B4650" s="2" t="str">
        <x:v>METHODIST HEALTHCARE - OLIVE BRANCH HOSPITAL</x:v>
      </x:c>
      <x:c r="C4650" s="2" t="str">
        <x:v>OLIVE BRANCH</x:v>
      </x:c>
      <x:c r="D4650" s="2" t="str">
        <x:v>MS</x:v>
      </x:c>
      <x:c r="E4650" s="2" t="str">
        <x:v>Acute Care Hospitals</x:v>
      </x:c>
      <x:c r="F4650" s="2" t="str">
        <x:v>Voluntary non-profit</x:v>
      </x:c>
      <x:c r="G4650" s="2" t="str">
        <x:v>Small (&lt;100 beds)</x:v>
      </x:c>
      <x:c r="H4650" s="7" t="n">
        <x:v>4</x:v>
      </x:c>
      <x:c r="I4650" s="7" t="n">
        <x:v>3</x:v>
      </x:c>
      <x:c r="J4650" s="7" t="n">
        <x:v>0.82</x:v>
      </x:c>
      <x:c r="K4650" s="8" t="n">
        <x:v>73</x:v>
      </x:c>
      <x:c r="L4650" s="8" t="n">
        <x:v>4383</x:v>
      </x:c>
      <x:c r="M4650" s="9" t="n">
        <x:v>0.5630660978</x:v>
      </x:c>
      <x:c r="N4650" s="10" t="n">
        <x:v>22848.0198494182</x:v>
      </x:c>
      <x:c r="O4650" s="9" t="n">
        <x:v>-0.1240362961</x:v>
      </x:c>
      <x:c r="P4650" s="9" t="n">
        <x:v>0.0574506284</x:v>
      </x:c>
      <x:c r="Q4650" s="9" t="n">
        <x:v>0.3913824057</x:v>
      </x:c>
      <x:c r="R4650" s="3" t="b">
        <x:v>0</x:v>
      </x:c>
      <x:c r="S4650" s="3" t="b">
        <x:v>0</x:v>
      </x:c>
      <x:c r="T4650" s="3" t="b">
        <x:v>0</x:v>
      </x:c>
      <x:c r="U4650" s="2" t="str">
        <x:f>IF(T4650=TRUE,"Priority review",IF(R4650=TRUE,"High cost",IF(S4650=TRUE,"Low quality","Benchmark")))</x:f>
        <x:v>Benchmark</x:v>
      </x:c>
    </x:row>
    <x:row r="4651">
      <x:c r="A4651" s="2" t="str">
        <x:v>151323</x:v>
      </x:c>
      <x:c r="B4651" s="2" t="str">
        <x:v>PARKVIEW LAGRANGE HOSPITAL</x:v>
      </x:c>
      <x:c r="C4651" s="2" t="str">
        <x:v>LAGRANGE</x:v>
      </x:c>
      <x:c r="D4651" s="2" t="str">
        <x:v>IN</x:v>
      </x:c>
      <x:c r="E4651" s="2" t="str">
        <x:v>Critical Access Hospitals</x:v>
      </x:c>
      <x:c r="F4651" s="2" t="str">
        <x:v>Voluntary non-profit</x:v>
      </x:c>
      <x:c r="G4651" s="2" t="str">
        <x:v>Small (&lt;100 beds)</x:v>
      </x:c>
      <x:c r="H4651" s="7" t="n">
        <x:v>5</x:v>
      </x:c>
      <x:c r="I4651" s="7" t="n">
        <x:v>4</x:v>
      </x:c>
      <x:c r="J4651" s="7"/>
      <x:c r="K4651" s="8" t="n">
        <x:v>25</x:v>
      </x:c>
      <x:c r="L4651" s="8" t="n">
        <x:v>719</x:v>
      </x:c>
      <x:c r="M4651" s="9" t="n">
        <x:v>0.2806557377</x:v>
      </x:c>
      <x:c r="N4651" s="10" t="n">
        <x:v>51724.635605007</x:v>
      </x:c>
      <x:c r="O4651" s="9" t="n">
        <x:v>0.0848653815</x:v>
      </x:c>
      <x:c r="P4651" s="9" t="n">
        <x:v>0.0572490706</x:v>
      </x:c>
      <x:c r="Q4651" s="9" t="n">
        <x:v>0.2602230483</x:v>
      </x:c>
      <x:c r="R4651" s="3" t="b">
        <x:v>0</x:v>
      </x:c>
      <x:c r="S4651" s="3" t="b">
        <x:v>0</x:v>
      </x:c>
      <x:c r="T4651" s="3" t="b">
        <x:v>0</x:v>
      </x:c>
      <x:c r="U4651" s="2" t="str">
        <x:f>IF(T4651=TRUE,"Priority review",IF(R4651=TRUE,"High cost",IF(S4651=TRUE,"Low quality","Benchmark")))</x:f>
        <x:v>Benchmark</x:v>
      </x:c>
    </x:row>
    <x:row r="4652">
      <x:c r="A4652" s="2" t="str">
        <x:v>440035</x:v>
      </x:c>
      <x:c r="B4652" s="2" t="str">
        <x:v>VANDERBILT CLARKSVILLE HOSPITAL</x:v>
      </x:c>
      <x:c r="C4652" s="2" t="str">
        <x:v>CLARKSVILLE</x:v>
      </x:c>
      <x:c r="D4652" s="2" t="str">
        <x:v>TN</x:v>
      </x:c>
      <x:c r="E4652" s="2" t="str">
        <x:v>Acute Care Hospitals</x:v>
      </x:c>
      <x:c r="F4652" s="2" t="str">
        <x:v>Proprietary</x:v>
      </x:c>
      <x:c r="G4652" s="2" t="str">
        <x:v>Medium (100-299 beds)</x:v>
      </x:c>
      <x:c r="H4652" s="7" t="n">
        <x:v>1</x:v>
      </x:c>
      <x:c r="I4652" s="7" t="n">
        <x:v>2</x:v>
      </x:c>
      <x:c r="J4652" s="7" t="n">
        <x:v>1.01</x:v>
      </x:c>
      <x:c r="K4652" s="8" t="n">
        <x:v>250</x:v>
      </x:c>
      <x:c r="L4652" s="8" t="n">
        <x:v>10933</x:v>
      </x:c>
      <x:c r="M4652" s="9" t="n">
        <x:v>0.5069404762</x:v>
      </x:c>
      <x:c r="N4652" s="10" t="n">
        <x:v>16807.6518796305</x:v>
      </x:c>
      <x:c r="O4652" s="9" t="n">
        <x:v>0.1316590513</x:v>
      </x:c>
      <x:c r="P4652" s="9" t="n">
        <x:v>0.0570497148</x:v>
      </x:c>
      <x:c r="Q4652" s="9" t="n">
        <x:v>0</x:v>
      </x:c>
      <x:c r="R4652" s="3" t="b">
        <x:v>0</x:v>
      </x:c>
      <x:c r="S4652" s="3" t="b">
        <x:v>1</x:v>
      </x:c>
      <x:c r="T4652" s="3" t="b">
        <x:v>0</x:v>
      </x:c>
      <x:c r="U4652" s="2" t="str">
        <x:f>IF(T4652=TRUE,"Priority review",IF(R4652=TRUE,"High cost",IF(S4652=TRUE,"Low quality","Benchmark")))</x:f>
        <x:v>Low quality</x:v>
      </x:c>
    </x:row>
    <x:row r="4653">
      <x:c r="A4653" s="2" t="str">
        <x:v>100226</x:v>
      </x:c>
      <x:c r="B4653" s="2" t="str">
        <x:v>HCA FLORIDA ORANGE PARK HOSPITAL</x:v>
      </x:c>
      <x:c r="C4653" s="2" t="str">
        <x:v>ORANGE PARK</x:v>
      </x:c>
      <x:c r="D4653" s="2" t="str">
        <x:v>FL</x:v>
      </x:c>
      <x:c r="E4653" s="2" t="str">
        <x:v>Acute Care Hospitals</x:v>
      </x:c>
      <x:c r="F4653" s="2" t="str">
        <x:v>Voluntary non-profit</x:v>
      </x:c>
      <x:c r="G4653" s="2" t="str">
        <x:v>Large (300+ beds)</x:v>
      </x:c>
      <x:c r="H4653" s="7" t="n">
        <x:v>3</x:v>
      </x:c>
      <x:c r="I4653" s="7" t="n">
        <x:v>2</x:v>
      </x:c>
      <x:c r="J4653" s="7" t="n">
        <x:v>1.05</x:v>
      </x:c>
      <x:c r="K4653" s="8" t="n">
        <x:v>339</x:v>
      </x:c>
      <x:c r="L4653" s="8" t="n">
        <x:v>17792</x:v>
      </x:c>
      <x:c r="M4653" s="9" t="n">
        <x:v>0.6829595507</x:v>
      </x:c>
      <x:c r="N4653" s="10" t="n">
        <x:v>20337.7614096223</x:v>
      </x:c>
      <x:c r="O4653" s="9" t="n">
        <x:v>0.2988923459</x:v>
      </x:c>
      <x:c r="P4653" s="9" t="n">
        <x:v>0.0567823344</x:v>
      </x:c>
      <x:c r="Q4653" s="9" t="n">
        <x:v>0.2570977918</x:v>
      </x:c>
      <x:c r="R4653" s="3" t="b">
        <x:v>0</x:v>
      </x:c>
      <x:c r="S4653" s="3" t="b">
        <x:v>0</x:v>
      </x:c>
      <x:c r="T4653" s="3" t="b">
        <x:v>0</x:v>
      </x:c>
      <x:c r="U4653" s="2" t="str">
        <x:f>IF(T4653=TRUE,"Priority review",IF(R4653=TRUE,"High cost",IF(S4653=TRUE,"Low quality","Benchmark")))</x:f>
        <x:v>Benchmark</x:v>
      </x:c>
    </x:row>
    <x:row r="4654">
      <x:c r="A4654" s="2" t="str">
        <x:v>670333</x:v>
      </x:c>
      <x:c r="B4654" s="2" t="str">
        <x:v>WESTOVER HILLS BAPTIST HOSPITAL</x:v>
      </x:c>
      <x:c r="C4654" s="2" t="str">
        <x:v>SAN ANTONIO</x:v>
      </x:c>
      <x:c r="D4654" s="2" t="str">
        <x:v>TX</x:v>
      </x:c>
      <x:c r="E4654" s="2" t="str">
        <x:v>Acute Care Hospitals</x:v>
      </x:c>
      <x:c r="F4654" s="2" t="str">
        <x:v>Proprietary</x:v>
      </x:c>
      <x:c r="G4654" s="2" t="str">
        <x:v>Small (&lt;100 beds)</x:v>
      </x:c>
      <x:c r="H4654" s="7"/>
      <x:c r="I4654" s="7"/>
      <x:c r="J4654" s="7" t="n">
        <x:v>0.99</x:v>
      </x:c>
      <x:c r="K4654" s="8" t="n">
        <x:v>92</x:v>
      </x:c>
      <x:c r="L4654" s="8" t="n">
        <x:v>3033</x:v>
      </x:c>
      <x:c r="M4654" s="9" t="n">
        <x:v>0.4523882425</x:v>
      </x:c>
      <x:c r="N4654" s="10" t="n">
        <x:v>22751.3356412793</x:v>
      </x:c>
      <x:c r="O4654" s="9" t="n">
        <x:v>0.1380867134</x:v>
      </x:c>
      <x:c r="P4654" s="9" t="n">
        <x:v>0.0565529623</x:v>
      </x:c>
      <x:c r="Q4654" s="9" t="n">
        <x:v>0.697486535</x:v>
      </x:c>
      <x:c r="R4654" s="3" t="b">
        <x:v>0</x:v>
      </x:c>
      <x:c r="S4654" s="3" t="b">
        <x:v>0</x:v>
      </x:c>
      <x:c r="T4654" s="3" t="b">
        <x:v>0</x:v>
      </x:c>
      <x:c r="U4654" s="2" t="str">
        <x:f>IF(T4654=TRUE,"Priority review",IF(R4654=TRUE,"High cost",IF(S4654=TRUE,"Low quality","Benchmark")))</x:f>
        <x:v>Benchmark</x:v>
      </x:c>
    </x:row>
    <x:row r="4655">
      <x:c r="A4655" s="2" t="str">
        <x:v>521300</x:v>
      </x:c>
      <x:c r="B4655" s="2" t="str">
        <x:v>ASPIRUS EAGLE RIVER HOSPITAL</x:v>
      </x:c>
      <x:c r="C4655" s="2" t="str">
        <x:v>EAGLE RIVER</x:v>
      </x:c>
      <x:c r="D4655" s="2" t="str">
        <x:v>WI</x:v>
      </x:c>
      <x:c r="E4655" s="2" t="str">
        <x:v>Critical Access Hospitals</x:v>
      </x:c>
      <x:c r="F4655" s="2" t="str">
        <x:v>Voluntary non-profit</x:v>
      </x:c>
      <x:c r="G4655" s="2" t="str">
        <x:v>Small (&lt;100 beds)</x:v>
      </x:c>
      <x:c r="H4655" s="7"/>
      <x:c r="I4655" s="7"/>
      <x:c r="J4655" s="7"/>
      <x:c r="K4655" s="8" t="n">
        <x:v>25</x:v>
      </x:c>
      <x:c r="L4655" s="8" t="n">
        <x:v>344</x:v>
      </x:c>
      <x:c r="M4655" s="9" t="n">
        <x:v>0.2523835616</x:v>
      </x:c>
      <x:c r="N4655" s="10" t="n">
        <x:v>51608.8110465116</x:v>
      </x:c>
      <x:c r="O4655" s="9" t="n">
        <x:v>0.1706977293</x:v>
      </x:c>
      <x:c r="P4655" s="9" t="n">
        <x:v>0.0565055762</x:v>
      </x:c>
      <x:c r="Q4655" s="9" t="n">
        <x:v>0.292936803</x:v>
      </x:c>
      <x:c r="R4655" s="3" t="b">
        <x:v>0</x:v>
      </x:c>
      <x:c r="S4655" s="3" t="b">
        <x:v>0</x:v>
      </x:c>
      <x:c r="T4655" s="3" t="b">
        <x:v>0</x:v>
      </x:c>
      <x:c r="U4655" s="2" t="str">
        <x:f>IF(T4655=TRUE,"Priority review",IF(R4655=TRUE,"High cost",IF(S4655=TRUE,"Low quality","Benchmark")))</x:f>
        <x:v>Benchmark</x:v>
      </x:c>
    </x:row>
    <x:row r="4656">
      <x:c r="A4656" s="2" t="str">
        <x:v>450128</x:v>
      </x:c>
      <x:c r="B4656" s="2" t="str">
        <x:v>KNAPP MEDICAL CENTER</x:v>
      </x:c>
      <x:c r="C4656" s="2" t="str">
        <x:v>WESLACO</x:v>
      </x:c>
      <x:c r="D4656" s="2" t="str">
        <x:v>TX</x:v>
      </x:c>
      <x:c r="E4656" s="2" t="str">
        <x:v>Acute Care Hospitals</x:v>
      </x:c>
      <x:c r="F4656" s="2" t="str">
        <x:v>Voluntary non-profit</x:v>
      </x:c>
      <x:c r="G4656" s="2" t="str">
        <x:v>Medium (100-299 beds)</x:v>
      </x:c>
      <x:c r="H4656" s="7" t="n">
        <x:v>5</x:v>
      </x:c>
      <x:c r="I4656" s="7" t="n">
        <x:v>3</x:v>
      </x:c>
      <x:c r="J4656" s="7" t="n">
        <x:v>0.99</x:v>
      </x:c>
      <x:c r="K4656" s="8" t="n">
        <x:v>154</x:v>
      </x:c>
      <x:c r="L4656" s="8" t="n">
        <x:v>6767</x:v>
      </x:c>
      <x:c r="M4656" s="9" t="n">
        <x:v>0.5132531403</x:v>
      </x:c>
      <x:c r="N4656" s="10" t="n">
        <x:v>16613.953155017</x:v>
      </x:c>
      <x:c r="O4656" s="9" t="n">
        <x:v>0.0580344149</x:v>
      </x:c>
      <x:c r="P4656" s="9" t="n">
        <x:v>0.0562347188</x:v>
      </x:c>
      <x:c r="Q4656" s="9" t="n">
        <x:v>0.8744906275</x:v>
      </x:c>
      <x:c r="R4656" s="3" t="b">
        <x:v>0</x:v>
      </x:c>
      <x:c r="S4656" s="3" t="b">
        <x:v>0</x:v>
      </x:c>
      <x:c r="T4656" s="3" t="b">
        <x:v>0</x:v>
      </x:c>
      <x:c r="U4656" s="2" t="str">
        <x:f>IF(T4656=TRUE,"Priority review",IF(R4656=TRUE,"High cost",IF(S4656=TRUE,"Low quality","Benchmark")))</x:f>
        <x:v>Benchmark</x:v>
      </x:c>
    </x:row>
    <x:row r="4657">
      <x:c r="A4657" s="2" t="str">
        <x:v>231338</x:v>
      </x:c>
      <x:c r="B4657" s="2" t="str">
        <x:v>COREWELL HEALTH GERBER HOSPITAL</x:v>
      </x:c>
      <x:c r="C4657" s="2" t="str">
        <x:v>FREMONT</x:v>
      </x:c>
      <x:c r="D4657" s="2" t="str">
        <x:v>MI</x:v>
      </x:c>
      <x:c r="E4657" s="2" t="str">
        <x:v>Critical Access Hospitals</x:v>
      </x:c>
      <x:c r="F4657" s="2" t="str">
        <x:v>Voluntary non-profit</x:v>
      </x:c>
      <x:c r="G4657" s="2" t="str">
        <x:v>Small (&lt;100 beds)</x:v>
      </x:c>
      <x:c r="H4657" s="7" t="n">
        <x:v>5</x:v>
      </x:c>
      <x:c r="I4657" s="7" t="n">
        <x:v>5</x:v>
      </x:c>
      <x:c r="J4657" s="7"/>
      <x:c r="K4657" s="8" t="n">
        <x:v>25</x:v>
      </x:c>
      <x:c r="L4657" s="8" t="n">
        <x:v>2245</x:v>
      </x:c>
      <x:c r="M4657" s="9" t="n">
        <x:v>0.5875068493</x:v>
      </x:c>
      <x:c r="N4657" s="10" t="n">
        <x:v>51350.8890868597</x:v>
      </x:c>
      <x:c r="O4657" s="9" t="n">
        <x:v>0.1673979013</x:v>
      </x:c>
      <x:c r="P4657" s="9" t="n">
        <x:v>0.0557620818</x:v>
      </x:c>
      <x:c r="Q4657" s="9" t="n">
        <x:v>0.2602230483</x:v>
      </x:c>
      <x:c r="R4657" s="3" t="b">
        <x:v>0</x:v>
      </x:c>
      <x:c r="S4657" s="3" t="b">
        <x:v>0</x:v>
      </x:c>
      <x:c r="T4657" s="3" t="b">
        <x:v>0</x:v>
      </x:c>
      <x:c r="U4657" s="2" t="str">
        <x:f>IF(T4657=TRUE,"Priority review",IF(R4657=TRUE,"High cost",IF(S4657=TRUE,"Low quality","Benchmark")))</x:f>
        <x:v>Benchmark</x:v>
      </x:c>
    </x:row>
    <x:row r="4658">
      <x:c r="A4658" s="2" t="str">
        <x:v>420015</x:v>
      </x:c>
      <x:c r="B4658" s="2" t="str">
        <x:v>PRISMA HEALTH BAPTIST EASLEY HOSPITAL</x:v>
      </x:c>
      <x:c r="C4658" s="2" t="str">
        <x:v>EASLEY</x:v>
      </x:c>
      <x:c r="D4658" s="2" t="str">
        <x:v>SC</x:v>
      </x:c>
      <x:c r="E4658" s="2" t="str">
        <x:v>Acute Care Hospitals</x:v>
      </x:c>
      <x:c r="F4658" s="2" t="str">
        <x:v>Voluntary non-profit</x:v>
      </x:c>
      <x:c r="G4658" s="2" t="str">
        <x:v>Small (&lt;100 beds)</x:v>
      </x:c>
      <x:c r="H4658" s="7" t="n">
        <x:v>4</x:v>
      </x:c>
      <x:c r="I4658" s="7" t="n">
        <x:v>3</x:v>
      </x:c>
      <x:c r="J4658" s="7" t="n">
        <x:v>0.96</x:v>
      </x:c>
      <x:c r="K4658" s="8" t="n">
        <x:v>83</x:v>
      </x:c>
      <x:c r="L4658" s="8" t="n">
        <x:v>4954</x:v>
      </x:c>
      <x:c r="M4658" s="9" t="n">
        <x:v>0.6371387188</x:v>
      </x:c>
      <x:c r="N4658" s="10" t="n">
        <x:v>22522.9600322971</x:v>
      </x:c>
      <x:c r="O4658" s="9" t="n">
        <x:v>0.1866500108</x:v>
      </x:c>
      <x:c r="P4658" s="9" t="n">
        <x:v>0.0556552962</x:v>
      </x:c>
      <x:c r="Q4658" s="9" t="n">
        <x:v>0.3913824057</x:v>
      </x:c>
      <x:c r="R4658" s="3" t="b">
        <x:v>0</x:v>
      </x:c>
      <x:c r="S4658" s="3" t="b">
        <x:v>0</x:v>
      </x:c>
      <x:c r="T4658" s="3" t="b">
        <x:v>0</x:v>
      </x:c>
      <x:c r="U4658" s="2" t="str">
        <x:f>IF(T4658=TRUE,"Priority review",IF(R4658=TRUE,"High cost",IF(S4658=TRUE,"Low quality","Benchmark")))</x:f>
        <x:v>Benchmark</x:v>
      </x:c>
    </x:row>
    <x:row r="4659">
      <x:c r="A4659" s="2" t="str">
        <x:v>450688</x:v>
      </x:c>
      <x:c r="B4659" s="2" t="str">
        <x:v>DALLAS REGIONAL MEDICAL CENTER</x:v>
      </x:c>
      <x:c r="C4659" s="2" t="str">
        <x:v>MESQUITE</x:v>
      </x:c>
      <x:c r="D4659" s="2" t="str">
        <x:v>TX</x:v>
      </x:c>
      <x:c r="E4659" s="2" t="str">
        <x:v>Acute Care Hospitals</x:v>
      </x:c>
      <x:c r="F4659" s="2" t="str">
        <x:v>Proprietary</x:v>
      </x:c>
      <x:c r="G4659" s="2" t="str">
        <x:v>Medium (100-299 beds)</x:v>
      </x:c>
      <x:c r="H4659" s="7" t="n">
        <x:v>3</x:v>
      </x:c>
      <x:c r="I4659" s="7" t="n">
        <x:v>3</x:v>
      </x:c>
      <x:c r="J4659" s="7" t="n">
        <x:v>1.06</x:v>
      </x:c>
      <x:c r="K4659" s="8" t="n">
        <x:v>202</x:v>
      </x:c>
      <x:c r="L4659" s="8" t="n">
        <x:v>6900</x:v>
      </x:c>
      <x:c r="M4659" s="9" t="n">
        <x:v>0.4212113834</x:v>
      </x:c>
      <x:c r="N4659" s="10" t="n">
        <x:v>16588.5052173913</x:v>
      </x:c>
      <x:c r="O4659" s="9" t="n">
        <x:v>0.1485662566</x:v>
      </x:c>
      <x:c r="P4659" s="9" t="n">
        <x:v>0.0554197229</x:v>
      </x:c>
      <x:c r="Q4659" s="9" t="n">
        <x:v>0.3023634882</x:v>
      </x:c>
      <x:c r="R4659" s="3" t="b">
        <x:v>0</x:v>
      </x:c>
      <x:c r="S4659" s="3" t="b">
        <x:v>0</x:v>
      </x:c>
      <x:c r="T4659" s="3" t="b">
        <x:v>0</x:v>
      </x:c>
      <x:c r="U4659" s="2" t="str">
        <x:f>IF(T4659=TRUE,"Priority review",IF(R4659=TRUE,"High cost",IF(S4659=TRUE,"Low quality","Benchmark")))</x:f>
        <x:v>Benchmark</x:v>
      </x:c>
    </x:row>
    <x:row r="4660">
      <x:c r="A4660" s="2" t="str">
        <x:v>100213</x:v>
      </x:c>
      <x:c r="B4660" s="2" t="str">
        <x:v>HCA FLORIDA BLAKE HOSPITAL</x:v>
      </x:c>
      <x:c r="C4660" s="2" t="str">
        <x:v>BRADENTON</x:v>
      </x:c>
      <x:c r="D4660" s="2" t="str">
        <x:v>FL</x:v>
      </x:c>
      <x:c r="E4660" s="2" t="str">
        <x:v>Acute Care Hospitals</x:v>
      </x:c>
      <x:c r="F4660" s="2" t="str">
        <x:v>Proprietary</x:v>
      </x:c>
      <x:c r="G4660" s="2" t="str">
        <x:v>Large (300+ beds)</x:v>
      </x:c>
      <x:c r="H4660" s="7" t="n">
        <x:v>2</x:v>
      </x:c>
      <x:c r="I4660" s="7" t="n">
        <x:v>2</x:v>
      </x:c>
      <x:c r="J4660" s="7" t="n">
        <x:v>1.06</x:v>
      </x:c>
      <x:c r="K4660" s="8" t="n">
        <x:v>355</x:v>
      </x:c>
      <x:c r="L4660" s="8" t="n">
        <x:v>14254</x:v>
      </x:c>
      <x:c r="M4660" s="9" t="n">
        <x:v>0.5299968637</x:v>
      </x:c>
      <x:c r="N4660" s="10" t="n">
        <x:v>20327.9649922829</x:v>
      </x:c>
      <x:c r="O4660" s="9" t="n">
        <x:v>0.192531617</x:v>
      </x:c>
      <x:c r="P4660" s="9" t="n">
        <x:v>0.0552050473</x:v>
      </x:c>
      <x:c r="Q4660" s="9" t="n">
        <x:v>0.0536277603</x:v>
      </x:c>
      <x:c r="R4660" s="3" t="b">
        <x:v>0</x:v>
      </x:c>
      <x:c r="S4660" s="3" t="b">
        <x:v>1</x:v>
      </x:c>
      <x:c r="T4660" s="3" t="b">
        <x:v>0</x:v>
      </x:c>
      <x:c r="U4660" s="2" t="str">
        <x:f>IF(T4660=TRUE,"Priority review",IF(R4660=TRUE,"High cost",IF(S4660=TRUE,"Low quality","Benchmark")))</x:f>
        <x:v>Low quality</x:v>
      </x:c>
    </x:row>
    <x:row r="4661">
      <x:c r="A4661" s="2" t="str">
        <x:v>191324</x:v>
      </x:c>
      <x:c r="B4661" s="2" t="str">
        <x:v>OCHSNER ST ANNE GENERAL HOSPITAL</x:v>
      </x:c>
      <x:c r="C4661" s="2" t="str">
        <x:v>RACELAND</x:v>
      </x:c>
      <x:c r="D4661" s="2" t="str">
        <x:v>LA</x:v>
      </x:c>
      <x:c r="E4661" s="2" t="str">
        <x:v>Critical Access Hospitals</x:v>
      </x:c>
      <x:c r="F4661" s="2" t="str">
        <x:v>Voluntary non-profit</x:v>
      </x:c>
      <x:c r="G4661" s="2" t="str">
        <x:v>Small (&lt;100 beds)</x:v>
      </x:c>
      <x:c r="H4661" s="7"/>
      <x:c r="I4661" s="7" t="n">
        <x:v>5</x:v>
      </x:c>
      <x:c r="J4661" s="7"/>
      <x:c r="K4661" s="8" t="n">
        <x:v>25</x:v>
      </x:c>
      <x:c r="L4661" s="8" t="n">
        <x:v>1160</x:v>
      </x:c>
      <x:c r="M4661" s="9" t="n">
        <x:v>0.4048087432</x:v>
      </x:c>
      <x:c r="N4661" s="10" t="n">
        <x:v>51274.7431034483</x:v>
      </x:c>
      <x:c r="O4661" s="9" t="n">
        <x:v>0.0371851328</x:v>
      </x:c>
      <x:c r="P4661" s="9" t="n">
        <x:v>0.0550185874</x:v>
      </x:c>
      <x:c r="Q4661" s="9" t="n">
        <x:v>0.292936803</x:v>
      </x:c>
      <x:c r="R4661" s="3" t="b">
        <x:v>0</x:v>
      </x:c>
      <x:c r="S4661" s="3" t="b">
        <x:v>0</x:v>
      </x:c>
      <x:c r="T4661" s="3" t="b">
        <x:v>0</x:v>
      </x:c>
      <x:c r="U4661" s="2" t="str">
        <x:f>IF(T4661=TRUE,"Priority review",IF(R4661=TRUE,"High cost",IF(S4661=TRUE,"Low quality","Benchmark")))</x:f>
        <x:v>Benchmark</x:v>
      </x:c>
    </x:row>
    <x:row r="4662">
      <x:c r="A4662" s="2" t="str">
        <x:v>364036</x:v>
      </x:c>
      <x:c r="B4662" s="2" t="str">
        <x:v>ARROWHEAD BEHAVIORAL HEALTH</x:v>
      </x:c>
      <x:c r="C4662" s="2" t="str">
        <x:v>MAUMEE</x:v>
      </x:c>
      <x:c r="D4662" s="2" t="str">
        <x:v>OH</x:v>
      </x:c>
      <x:c r="E4662" s="2" t="str">
        <x:v>Psychiatric</x:v>
      </x:c>
      <x:c r="F4662" s="2" t="str">
        <x:v>Proprietary</x:v>
      </x:c>
      <x:c r="G4662" s="2" t="str">
        <x:v>Small (&lt;100 beds)</x:v>
      </x:c>
      <x:c r="H4662" s="7"/>
      <x:c r="I4662" s="7"/>
      <x:c r="J4662" s="7"/>
      <x:c r="K4662" s="8" t="n">
        <x:v>48</x:v>
      </x:c>
      <x:c r="L4662" s="8" t="n">
        <x:v>1647</x:v>
      </x:c>
      <x:c r="M4662" s="9" t="n">
        <x:v>0.5417808219</x:v>
      </x:c>
      <x:c r="N4662" s="10" t="n">
        <x:v>6021.3406193078</x:v>
      </x:c>
      <x:c r="O4662" s="9" t="n">
        <x:v>0.035125406</x:v>
      </x:c>
      <x:c r="P4662" s="9" t="n">
        <x:v>0.0550161812</x:v>
      </x:c>
      <x:c r="Q4662" s="9" t="n">
        <x:v>0</x:v>
      </x:c>
      <x:c r="R4662" s="3" t="b">
        <x:v>0</x:v>
      </x:c>
      <x:c r="S4662" s="3" t="b">
        <x:v>0</x:v>
      </x:c>
      <x:c r="T4662" s="3" t="b">
        <x:v>0</x:v>
      </x:c>
      <x:c r="U4662" s="2" t="str">
        <x:f>IF(T4662=TRUE,"Priority review",IF(R4662=TRUE,"High cost",IF(S4662=TRUE,"Low quality","Benchmark")))</x:f>
        <x:v>Benchmark</x:v>
      </x:c>
    </x:row>
    <x:row r="4663">
      <x:c r="A4663" s="2" t="str">
        <x:v>110150</x:v>
      </x:c>
      <x:c r="B4663" s="2" t="str">
        <x:v>NAVICENT HEALTH BALDWIN</x:v>
      </x:c>
      <x:c r="C4663" s="2" t="str">
        <x:v>MILLEDGEVILLE</x:v>
      </x:c>
      <x:c r="D4663" s="2" t="str">
        <x:v>GA</x:v>
      </x:c>
      <x:c r="E4663" s="2" t="str">
        <x:v>Acute Care Hospitals</x:v>
      </x:c>
      <x:c r="F4663" s="2" t="str">
        <x:v>Proprietary</x:v>
      </x:c>
      <x:c r="G4663" s="2" t="str">
        <x:v>Small (&lt;100 beds)</x:v>
      </x:c>
      <x:c r="H4663" s="7" t="n">
        <x:v>2</x:v>
      </x:c>
      <x:c r="I4663" s="7" t="n">
        <x:v>2</x:v>
      </x:c>
      <x:c r="J4663" s="7" t="n">
        <x:v>0.86</x:v>
      </x:c>
      <x:c r="K4663" s="8" t="n">
        <x:v>86</x:v>
      </x:c>
      <x:c r="L4663" s="8" t="n">
        <x:v>3211</x:v>
      </x:c>
      <x:c r="M4663" s="9" t="n">
        <x:v>0.3211017918</x:v>
      </x:c>
      <x:c r="N4663" s="10" t="n">
        <x:v>22431.1859233884</x:v>
      </x:c>
      <x:c r="O4663" s="9" t="n">
        <x:v>-0.094712104</x:v>
      </x:c>
      <x:c r="P4663" s="9" t="n">
        <x:v>0.0547576302</x:v>
      </x:c>
      <x:c r="Q4663" s="9" t="n">
        <x:v>0.0350089767</x:v>
      </x:c>
      <x:c r="R4663" s="3" t="b">
        <x:v>0</x:v>
      </x:c>
      <x:c r="S4663" s="3" t="b">
        <x:v>1</x:v>
      </x:c>
      <x:c r="T4663" s="3" t="b">
        <x:v>0</x:v>
      </x:c>
      <x:c r="U4663" s="2" t="str">
        <x:f>IF(T4663=TRUE,"Priority review",IF(R4663=TRUE,"High cost",IF(S4663=TRUE,"Low quality","Benchmark")))</x:f>
        <x:v>Low quality</x:v>
      </x:c>
    </x:row>
    <x:row r="4664">
      <x:c r="A4664" s="2" t="str">
        <x:v>344007</x:v>
      </x:c>
      <x:c r="B4664" s="2" t="str">
        <x:v>OLD VINEYARD YOUTH SERVICES</x:v>
      </x:c>
      <x:c r="C4664" s="2" t="str">
        <x:v>WINSTON SALEM</x:v>
      </x:c>
      <x:c r="D4664" s="2" t="str">
        <x:v>NC</x:v>
      </x:c>
      <x:c r="E4664" s="2" t="str">
        <x:v>Psychiatric</x:v>
      </x:c>
      <x:c r="F4664" s="2" t="str">
        <x:v>Proprietary</x:v>
      </x:c>
      <x:c r="G4664" s="2" t="str">
        <x:v>Medium (100-299 beds)</x:v>
      </x:c>
      <x:c r="H4664" s="7"/>
      <x:c r="I4664" s="7"/>
      <x:c r="J4664" s="7"/>
      <x:c r="K4664" s="8" t="n">
        <x:v>164</x:v>
      </x:c>
      <x:c r="L4664" s="8" t="n">
        <x:v>6160</x:v>
      </x:c>
      <x:c r="M4664" s="9" t="n">
        <x:v>0.8924930028</x:v>
      </x:c>
      <x:c r="N4664" s="10" t="n">
        <x:v>5314.9435064935</x:v>
      </x:c>
      <x:c r="O4664" s="9" t="n">
        <x:v>0.3001931648</x:v>
      </x:c>
      <x:c r="P4664" s="9" t="n">
        <x:v>0.0547263682</x:v>
      </x:c>
      <x:c r="Q4664" s="9" t="n">
        <x:v>0</x:v>
      </x:c>
      <x:c r="R4664" s="3" t="b">
        <x:v>0</x:v>
      </x:c>
      <x:c r="S4664" s="3" t="b">
        <x:v>0</x:v>
      </x:c>
      <x:c r="T4664" s="3" t="b">
        <x:v>0</x:v>
      </x:c>
      <x:c r="U4664" s="2" t="str">
        <x:f>IF(T4664=TRUE,"Priority review",IF(R4664=TRUE,"High cost",IF(S4664=TRUE,"Low quality","Benchmark")))</x:f>
        <x:v>Benchmark</x:v>
      </x:c>
    </x:row>
    <x:row r="4665">
      <x:c r="A4665" s="2" t="str">
        <x:v>180127</x:v>
      </x:c>
      <x:c r="B4665" s="2" t="str">
        <x:v>FRANKFORT REGIONAL MEDICAL CENTER</x:v>
      </x:c>
      <x:c r="C4665" s="2" t="str">
        <x:v>FRANKFORT</x:v>
      </x:c>
      <x:c r="D4665" s="2" t="str">
        <x:v>KY</x:v>
      </x:c>
      <x:c r="E4665" s="2" t="str">
        <x:v>Acute Care Hospitals</x:v>
      </x:c>
      <x:c r="F4665" s="2" t="str">
        <x:v>Proprietary</x:v>
      </x:c>
      <x:c r="G4665" s="2" t="str">
        <x:v>Medium (100-299 beds)</x:v>
      </x:c>
      <x:c r="H4665" s="7" t="n">
        <x:v>3</x:v>
      </x:c>
      <x:c r="I4665" s="7" t="n">
        <x:v>2</x:v>
      </x:c>
      <x:c r="J4665" s="7" t="n">
        <x:v>0.94</x:v>
      </x:c>
      <x:c r="K4665" s="8" t="n">
        <x:v>118</x:v>
      </x:c>
      <x:c r="L4665" s="8" t="n">
        <x:v>5575</x:v>
      </x:c>
      <x:c r="M4665" s="9" t="n">
        <x:v>0.5294404458</x:v>
      </x:c>
      <x:c r="N4665" s="10" t="n">
        <x:v>16252.1793721973</x:v>
      </x:c>
      <x:c r="O4665" s="9" t="n">
        <x:v>0.3220917375</x:v>
      </x:c>
      <x:c r="P4665" s="9" t="n">
        <x:v>0.054604727</x:v>
      </x:c>
      <x:c r="Q4665" s="9" t="n">
        <x:v>0.3023634882</x:v>
      </x:c>
      <x:c r="R4665" s="3" t="b">
        <x:v>0</x:v>
      </x:c>
      <x:c r="S4665" s="3" t="b">
        <x:v>0</x:v>
      </x:c>
      <x:c r="T4665" s="3" t="b">
        <x:v>0</x:v>
      </x:c>
      <x:c r="U4665" s="2" t="str">
        <x:f>IF(T4665=TRUE,"Priority review",IF(R4665=TRUE,"High cost",IF(S4665=TRUE,"Low quality","Benchmark")))</x:f>
        <x:v>Benchmark</x:v>
      </x:c>
    </x:row>
    <x:row r="4666">
      <x:c r="A4666" s="2" t="str">
        <x:v>321313</x:v>
      </x:c>
      <x:c r="B4666" s="2" t="str">
        <x:v>REHOBOTH MCKINLEY CHRISTIAN HEALTH CARE SERVICES</x:v>
      </x:c>
      <x:c r="C4666" s="2" t="str">
        <x:v>GALLUP</x:v>
      </x:c>
      <x:c r="D4666" s="2" t="str">
        <x:v>NM</x:v>
      </x:c>
      <x:c r="E4666" s="2" t="str">
        <x:v>Critical Access Hospitals</x:v>
      </x:c>
      <x:c r="F4666" s="2" t="str">
        <x:v>Voluntary non-profit</x:v>
      </x:c>
      <x:c r="G4666" s="2" t="str">
        <x:v>Small (&lt;100 beds)</x:v>
      </x:c>
      <x:c r="H4666" s="7"/>
      <x:c r="I4666" s="7"/>
      <x:c r="J4666" s="7"/>
      <x:c r="K4666" s="8" t="n">
        <x:v>25</x:v>
      </x:c>
      <x:c r="L4666" s="8" t="n">
        <x:v>1175</x:v>
      </x:c>
      <x:c r="M4666" s="9" t="n">
        <x:v>0.4449180328</x:v>
      </x:c>
      <x:c r="N4666" s="10" t="n">
        <x:v>50954.045106383</x:v>
      </x:c>
      <x:c r="O4666" s="9" t="n">
        <x:v>-0.3761136462</x:v>
      </x:c>
      <x:c r="P4666" s="9" t="n">
        <x:v>0.0542750929</x:v>
      </x:c>
      <x:c r="Q4666" s="9" t="n">
        <x:v>0.292936803</x:v>
      </x:c>
      <x:c r="R4666" s="3" t="b">
        <x:v>0</x:v>
      </x:c>
      <x:c r="S4666" s="3" t="b">
        <x:v>0</x:v>
      </x:c>
      <x:c r="T4666" s="3" t="b">
        <x:v>0</x:v>
      </x:c>
      <x:c r="U4666" s="2" t="str">
        <x:f>IF(T4666=TRUE,"Priority review",IF(R4666=TRUE,"High cost",IF(S4666=TRUE,"Low quality","Benchmark")))</x:f>
        <x:v>Benchmark</x:v>
      </x:c>
    </x:row>
    <x:row r="4667">
      <x:c r="A4667" s="2" t="str">
        <x:v>180105</x:v>
      </x:c>
      <x:c r="B4667" s="2" t="str">
        <x:v>MONROE COUNTY MEDICAL CENTER</x:v>
      </x:c>
      <x:c r="C4667" s="2" t="str">
        <x:v>TOMPKINSVILLE</x:v>
      </x:c>
      <x:c r="D4667" s="2" t="str">
        <x:v>KY</x:v>
      </x:c>
      <x:c r="E4667" s="2" t="str">
        <x:v>Acute Care Hospitals</x:v>
      </x:c>
      <x:c r="F4667" s="2" t="str">
        <x:v>Voluntary non-profit</x:v>
      </x:c>
      <x:c r="G4667" s="2" t="str">
        <x:v>Small (&lt;100 beds)</x:v>
      </x:c>
      <x:c r="H4667" s="7" t="n">
        <x:v>1</x:v>
      </x:c>
      <x:c r="I4667" s="7" t="n">
        <x:v>5</x:v>
      </x:c>
      <x:c r="J4667" s="7" t="n">
        <x:v>0.92</x:v>
      </x:c>
      <x:c r="K4667" s="8" t="n">
        <x:v>49</x:v>
      </x:c>
      <x:c r="L4667" s="8" t="n">
        <x:v>1062</x:v>
      </x:c>
      <x:c r="M4667" s="9" t="n">
        <x:v>0.2362873917</x:v>
      </x:c>
      <x:c r="N4667" s="10" t="n">
        <x:v>22387.7033898305</x:v>
      </x:c>
      <x:c r="O4667" s="9" t="n">
        <x:v>-0.2251337673</x:v>
      </x:c>
      <x:c r="P4667" s="9" t="n">
        <x:v>0.0538599641</x:v>
      </x:c>
      <x:c r="Q4667" s="9" t="n">
        <x:v>0</x:v>
      </x:c>
      <x:c r="R4667" s="3" t="b">
        <x:v>0</x:v>
      </x:c>
      <x:c r="S4667" s="3" t="b">
        <x:v>1</x:v>
      </x:c>
      <x:c r="T4667" s="3" t="b">
        <x:v>0</x:v>
      </x:c>
      <x:c r="U4667" s="2" t="str">
        <x:f>IF(T4667=TRUE,"Priority review",IF(R4667=TRUE,"High cost",IF(S4667=TRUE,"Low quality","Benchmark")))</x:f>
        <x:v>Low quality</x:v>
      </x:c>
    </x:row>
    <x:row r="4668">
      <x:c r="A4668" s="2" t="str">
        <x:v>110125</x:v>
      </x:c>
      <x:c r="B4668" s="2" t="str">
        <x:v>FAIRVIEW PARK HOSPITAL</x:v>
      </x:c>
      <x:c r="C4668" s="2" t="str">
        <x:v>DUBLIN</x:v>
      </x:c>
      <x:c r="D4668" s="2" t="str">
        <x:v>GA</x:v>
      </x:c>
      <x:c r="E4668" s="2" t="str">
        <x:v>Acute Care Hospitals</x:v>
      </x:c>
      <x:c r="F4668" s="2" t="str">
        <x:v>Proprietary</x:v>
      </x:c>
      <x:c r="G4668" s="2" t="str">
        <x:v>Medium (100-299 beds)</x:v>
      </x:c>
      <x:c r="H4668" s="7" t="n">
        <x:v>4</x:v>
      </x:c>
      <x:c r="I4668" s="7" t="n">
        <x:v>3</x:v>
      </x:c>
      <x:c r="J4668" s="7" t="n">
        <x:v>0.96</x:v>
      </x:c>
      <x:c r="K4668" s="8" t="n">
        <x:v>146</x:v>
      </x:c>
      <x:c r="L4668" s="8" t="n">
        <x:v>9004</x:v>
      </x:c>
      <x:c r="M4668" s="9" t="n">
        <x:v>0.8491555672</x:v>
      </x:c>
      <x:c r="N4668" s="10" t="n">
        <x:v>16185.3597290093</x:v>
      </x:c>
      <x:c r="O4668" s="9" t="n">
        <x:v>0.2165500228</x:v>
      </x:c>
      <x:c r="P4668" s="9" t="n">
        <x:v>0.0537897311</x:v>
      </x:c>
      <x:c r="Q4668" s="9" t="n">
        <x:v>0.6022819886</x:v>
      </x:c>
      <x:c r="R4668" s="3" t="b">
        <x:v>0</x:v>
      </x:c>
      <x:c r="S4668" s="3" t="b">
        <x:v>0</x:v>
      </x:c>
      <x:c r="T4668" s="3" t="b">
        <x:v>0</x:v>
      </x:c>
      <x:c r="U4668" s="2" t="str">
        <x:f>IF(T4668=TRUE,"Priority review",IF(R4668=TRUE,"High cost",IF(S4668=TRUE,"Low quality","Benchmark")))</x:f>
        <x:v>Benchmark</x:v>
      </x:c>
    </x:row>
    <x:row r="4669">
      <x:c r="A4669" s="2" t="str">
        <x:v>450388</x:v>
      </x:c>
      <x:c r="B4669" s="2" t="str">
        <x:v>METHODIST HOSPITAL</x:v>
      </x:c>
      <x:c r="C4669" s="2" t="str">
        <x:v>SAN ANTONIO</x:v>
      </x:c>
      <x:c r="D4669" s="2" t="str">
        <x:v>TX</x:v>
      </x:c>
      <x:c r="E4669" s="2" t="str">
        <x:v>Acute Care Hospitals</x:v>
      </x:c>
      <x:c r="F4669" s="2" t="str">
        <x:v>Proprietary</x:v>
      </x:c>
      <x:c r="G4669" s="2" t="str">
        <x:v>Large (300+ beds)</x:v>
      </x:c>
      <x:c r="H4669" s="7" t="n">
        <x:v>4</x:v>
      </x:c>
      <x:c r="I4669" s="7" t="n">
        <x:v>3</x:v>
      </x:c>
      <x:c r="J4669" s="7" t="n">
        <x:v>1.04</x:v>
      </x:c>
      <x:c r="K4669" s="8" t="n">
        <x:v>1863</x:v>
      </x:c>
      <x:c r="L4669" s="8" t="n">
        <x:v>110498</x:v>
      </x:c>
      <x:c r="M4669" s="9" t="n">
        <x:v>0.8216582004</x:v>
      </x:c>
      <x:c r="N4669" s="10" t="n">
        <x:v>20214.5262629188</x:v>
      </x:c>
      <x:c r="O4669" s="9" t="n">
        <x:v>0.202717178</x:v>
      </x:c>
      <x:c r="P4669" s="9" t="n">
        <x:v>0.0536277603</x:v>
      </x:c>
      <x:c r="Q4669" s="9" t="n">
        <x:v>0.5899053628</x:v>
      </x:c>
      <x:c r="R4669" s="3" t="b">
        <x:v>0</x:v>
      </x:c>
      <x:c r="S4669" s="3" t="b">
        <x:v>0</x:v>
      </x:c>
      <x:c r="T4669" s="3" t="b">
        <x:v>0</x:v>
      </x:c>
      <x:c r="U4669" s="2" t="str">
        <x:f>IF(T4669=TRUE,"Priority review",IF(R4669=TRUE,"High cost",IF(S4669=TRUE,"Low quality","Benchmark")))</x:f>
        <x:v>Benchmark</x:v>
      </x:c>
    </x:row>
    <x:row r="4670">
      <x:c r="A4670" s="2" t="str">
        <x:v>041329</x:v>
      </x:c>
      <x:c r="B4670" s="2" t="str">
        <x:v>MERCY HOSPITAL BERRYVILLE</x:v>
      </x:c>
      <x:c r="C4670" s="2" t="str">
        <x:v>BERRYVILLE</x:v>
      </x:c>
      <x:c r="D4670" s="2" t="str">
        <x:v>AR</x:v>
      </x:c>
      <x:c r="E4670" s="2" t="str">
        <x:v>Critical Access Hospitals</x:v>
      </x:c>
      <x:c r="F4670" s="2" t="str">
        <x:v>Voluntary non-profit</x:v>
      </x:c>
      <x:c r="G4670" s="2" t="str">
        <x:v>Small (&lt;100 beds)</x:v>
      </x:c>
      <x:c r="H4670" s="7"/>
      <x:c r="I4670" s="7"/>
      <x:c r="J4670" s="7"/>
      <x:c r="K4670" s="8" t="n">
        <x:v>25</x:v>
      </x:c>
      <x:c r="L4670" s="8" t="n">
        <x:v>401</x:v>
      </x:c>
      <x:c r="M4670" s="9" t="n">
        <x:v>0.1649315068</x:v>
      </x:c>
      <x:c r="N4670" s="10" t="n">
        <x:v>50920.9077306733</x:v>
      </x:c>
      <x:c r="O4670" s="9" t="n">
        <x:v>0.0366652768</x:v>
      </x:c>
      <x:c r="P4670" s="9" t="n">
        <x:v>0.0535315985</x:v>
      </x:c>
      <x:c r="Q4670" s="9" t="n">
        <x:v>0.292936803</x:v>
      </x:c>
      <x:c r="R4670" s="3" t="b">
        <x:v>0</x:v>
      </x:c>
      <x:c r="S4670" s="3" t="b">
        <x:v>0</x:v>
      </x:c>
      <x:c r="T4670" s="3" t="b">
        <x:v>0</x:v>
      </x:c>
      <x:c r="U4670" s="2" t="str">
        <x:f>IF(T4670=TRUE,"Priority review",IF(R4670=TRUE,"High cost",IF(S4670=TRUE,"Low quality","Benchmark")))</x:f>
        <x:v>Benchmark</x:v>
      </x:c>
    </x:row>
    <x:row r="4671">
      <x:c r="A4671" s="2" t="str">
        <x:v>440228</x:v>
      </x:c>
      <x:c r="B4671" s="2" t="str">
        <x:v>SAINT FRANCIS BARTLETT MEDICAL CENTER</x:v>
      </x:c>
      <x:c r="C4671" s="2" t="str">
        <x:v>BARTLETT</x:v>
      </x:c>
      <x:c r="D4671" s="2" t="str">
        <x:v>TN</x:v>
      </x:c>
      <x:c r="E4671" s="2" t="str">
        <x:v>Acute Care Hospitals</x:v>
      </x:c>
      <x:c r="F4671" s="2" t="str">
        <x:v>Proprietary</x:v>
      </x:c>
      <x:c r="G4671" s="2" t="str">
        <x:v>Medium (100-299 beds)</x:v>
      </x:c>
      <x:c r="H4671" s="7" t="n">
        <x:v>1</x:v>
      </x:c>
      <x:c r="I4671" s="7" t="n">
        <x:v>1</x:v>
      </x:c>
      <x:c r="J4671" s="7" t="n">
        <x:v>0.96</x:v>
      </x:c>
      <x:c r="K4671" s="8" t="n">
        <x:v>196</x:v>
      </x:c>
      <x:c r="L4671" s="8" t="n">
        <x:v>7993</x:v>
      </x:c>
      <x:c r="M4671" s="9" t="n">
        <x:v>0.5124405927</x:v>
      </x:c>
      <x:c r="N4671" s="10" t="n">
        <x:v>16170.0037532841</x:v>
      </x:c>
      <x:c r="O4671" s="9" t="n">
        <x:v>0.084147736</x:v>
      </x:c>
      <x:c r="P4671" s="9" t="n">
        <x:v>0.0529747351</x:v>
      </x:c>
      <x:c r="Q4671" s="9" t="n">
        <x:v>0</x:v>
      </x:c>
      <x:c r="R4671" s="3" t="b">
        <x:v>0</x:v>
      </x:c>
      <x:c r="S4671" s="3" t="b">
        <x:v>1</x:v>
      </x:c>
      <x:c r="T4671" s="3" t="b">
        <x:v>0</x:v>
      </x:c>
      <x:c r="U4671" s="2" t="str">
        <x:f>IF(T4671=TRUE,"Priority review",IF(R4671=TRUE,"High cost",IF(S4671=TRUE,"Low quality","Benchmark")))</x:f>
        <x:v>Low quality</x:v>
      </x:c>
    </x:row>
    <x:row r="4672">
      <x:c r="A4672" s="2" t="str">
        <x:v>250025</x:v>
      </x:c>
      <x:c r="B4672" s="2" t="str">
        <x:v>NORTH MISSISSIPPI MEDICAL CENTER-GILMORE AMORY</x:v>
      </x:c>
      <x:c r="C4672" s="2" t="str">
        <x:v>AMORY</x:v>
      </x:c>
      <x:c r="D4672" s="2" t="str">
        <x:v>MS</x:v>
      </x:c>
      <x:c r="E4672" s="2" t="str">
        <x:v>Acute Care Hospitals</x:v>
      </x:c>
      <x:c r="F4672" s="2" t="str">
        <x:v>Proprietary</x:v>
      </x:c>
      <x:c r="G4672" s="2" t="str">
        <x:v>Small (&lt;100 beds)</x:v>
      </x:c>
      <x:c r="H4672" s="7" t="n">
        <x:v>3</x:v>
      </x:c>
      <x:c r="I4672" s="7" t="n">
        <x:v>4</x:v>
      </x:c>
      <x:c r="J4672" s="7" t="n">
        <x:v>0.99</x:v>
      </x:c>
      <x:c r="K4672" s="8" t="n">
        <x:v>95</x:v>
      </x:c>
      <x:c r="L4672" s="8" t="n">
        <x:v>2163</x:v>
      </x:c>
      <x:c r="M4672" s="9" t="n">
        <x:v>0.3346615951</x:v>
      </x:c>
      <x:c r="N4672" s="10" t="n">
        <x:v>22177.9879796579</x:v>
      </x:c>
      <x:c r="O4672" s="9" t="n">
        <x:v>0.2251863363</x:v>
      </x:c>
      <x:c r="P4672" s="9" t="n">
        <x:v>0.052962298</x:v>
      </x:c>
      <x:c r="Q4672" s="9" t="n">
        <x:v>0.1687612208</x:v>
      </x:c>
      <x:c r="R4672" s="3" t="b">
        <x:v>0</x:v>
      </x:c>
      <x:c r="S4672" s="3" t="b">
        <x:v>0</x:v>
      </x:c>
      <x:c r="T4672" s="3" t="b">
        <x:v>0</x:v>
      </x:c>
      <x:c r="U4672" s="2" t="str">
        <x:f>IF(T4672=TRUE,"Priority review",IF(R4672=TRUE,"High cost",IF(S4672=TRUE,"Low quality","Benchmark")))</x:f>
        <x:v>Benchmark</x:v>
      </x:c>
    </x:row>
    <x:row r="4673">
      <x:c r="A4673" s="2" t="str">
        <x:v>351324</x:v>
      </x:c>
      <x:c r="B4673" s="2" t="str">
        <x:v>CHI MERCY HEALTH</x:v>
      </x:c>
      <x:c r="C4673" s="2" t="str">
        <x:v>VALLEY CITY</x:v>
      </x:c>
      <x:c r="D4673" s="2" t="str">
        <x:v>ND</x:v>
      </x:c>
      <x:c r="E4673" s="2" t="str">
        <x:v>Critical Access Hospitals</x:v>
      </x:c>
      <x:c r="F4673" s="2" t="str">
        <x:v>Voluntary non-profit</x:v>
      </x:c>
      <x:c r="G4673" s="2" t="str">
        <x:v>Small (&lt;100 beds)</x:v>
      </x:c>
      <x:c r="H4673" s="7" t="n">
        <x:v>5</x:v>
      </x:c>
      <x:c r="I4673" s="7"/>
      <x:c r="J4673" s="7"/>
      <x:c r="K4673" s="8" t="n">
        <x:v>25</x:v>
      </x:c>
      <x:c r="L4673" s="8" t="n">
        <x:v>289</x:v>
      </x:c>
      <x:c r="M4673" s="9" t="n">
        <x:v>0.2974246575</x:v>
      </x:c>
      <x:c r="N4673" s="10" t="n">
        <x:v>50666.3910034602</x:v>
      </x:c>
      <x:c r="O4673" s="9"/>
      <x:c r="P4673" s="9" t="n">
        <x:v>0.0527881041</x:v>
      </x:c>
      <x:c r="Q4673" s="9" t="n">
        <x:v>0.2602230483</x:v>
      </x:c>
      <x:c r="R4673" s="3" t="b">
        <x:v>0</x:v>
      </x:c>
      <x:c r="S4673" s="3" t="b">
        <x:v>0</x:v>
      </x:c>
      <x:c r="T4673" s="3" t="b">
        <x:v>0</x:v>
      </x:c>
      <x:c r="U4673" s="2" t="str">
        <x:f>IF(T4673=TRUE,"Priority review",IF(R4673=TRUE,"High cost",IF(S4673=TRUE,"Low quality","Benchmark")))</x:f>
        <x:v>Benchmark</x:v>
      </x:c>
    </x:row>
    <x:row r="4674">
      <x:c r="A4674" s="2" t="str">
        <x:v>450087</x:v>
      </x:c>
      <x:c r="B4674" s="2" t="str">
        <x:v>MEDICAL CITY NORTH HILLS</x:v>
      </x:c>
      <x:c r="C4674" s="2" t="str">
        <x:v>NORTH RICHLAND HILLS</x:v>
      </x:c>
      <x:c r="D4674" s="2" t="str">
        <x:v>TX</x:v>
      </x:c>
      <x:c r="E4674" s="2" t="str">
        <x:v>Acute Care Hospitals</x:v>
      </x:c>
      <x:c r="F4674" s="2" t="str">
        <x:v>Proprietary</x:v>
      </x:c>
      <x:c r="G4674" s="2" t="str">
        <x:v>Medium (100-299 beds)</x:v>
      </x:c>
      <x:c r="H4674" s="7" t="n">
        <x:v>2</x:v>
      </x:c>
      <x:c r="I4674" s="7" t="n">
        <x:v>3</x:v>
      </x:c>
      <x:c r="J4674" s="7" t="n">
        <x:v>1.02</x:v>
      </x:c>
      <x:c r="K4674" s="8" t="n">
        <x:v>142</x:v>
      </x:c>
      <x:c r="L4674" s="8" t="n">
        <x:v>8368</x:v>
      </x:c>
      <x:c r="M4674" s="9" t="n">
        <x:v>0.636407486</x:v>
      </x:c>
      <x:c r="N4674" s="10" t="n">
        <x:v>16122.4458652008</x:v>
      </x:c>
      <x:c r="O4674" s="9" t="n">
        <x:v>0.3105772751</x:v>
      </x:c>
      <x:c r="P4674" s="9" t="n">
        <x:v>0.0521597392</x:v>
      </x:c>
      <x:c r="Q4674" s="9" t="n">
        <x:v>0.0782396088</x:v>
      </x:c>
      <x:c r="R4674" s="3" t="b">
        <x:v>0</x:v>
      </x:c>
      <x:c r="S4674" s="3" t="b">
        <x:v>1</x:v>
      </x:c>
      <x:c r="T4674" s="3" t="b">
        <x:v>0</x:v>
      </x:c>
      <x:c r="U4674" s="2" t="str">
        <x:f>IF(T4674=TRUE,"Priority review",IF(R4674=TRUE,"High cost",IF(S4674=TRUE,"Low quality","Benchmark")))</x:f>
        <x:v>Low quality</x:v>
      </x:c>
    </x:row>
    <x:row r="4675">
      <x:c r="A4675" s="2" t="str">
        <x:v>670060</x:v>
      </x:c>
      <x:c r="B4675" s="2" t="str">
        <x:v>BAYLOR SCOTT AND WHITE MEDICAL CENTER SUNNYVALE</x:v>
      </x:c>
      <x:c r="C4675" s="2" t="str">
        <x:v>SUNNYVALE</x:v>
      </x:c>
      <x:c r="D4675" s="2" t="str">
        <x:v>TX</x:v>
      </x:c>
      <x:c r="E4675" s="2" t="str">
        <x:v>Acute Care Hospitals</x:v>
      </x:c>
      <x:c r="F4675" s="2" t="str">
        <x:v>Proprietary</x:v>
      </x:c>
      <x:c r="G4675" s="2" t="str">
        <x:v>Small (&lt;100 beds)</x:v>
      </x:c>
      <x:c r="H4675" s="7" t="n">
        <x:v>2</x:v>
      </x:c>
      <x:c r="I4675" s="7" t="n">
        <x:v>2</x:v>
      </x:c>
      <x:c r="J4675" s="7" t="n">
        <x:v>1.02</x:v>
      </x:c>
      <x:c r="K4675" s="8" t="n">
        <x:v>70</x:v>
      </x:c>
      <x:c r="L4675" s="8" t="n">
        <x:v>4421</x:v>
      </x:c>
      <x:c r="M4675" s="9" t="n">
        <x:v>0.8266978923</x:v>
      </x:c>
      <x:c r="N4675" s="10" t="n">
        <x:v>22086.3707306039</x:v>
      </x:c>
      <x:c r="O4675" s="9" t="n">
        <x:v>0.1269186803</x:v>
      </x:c>
      <x:c r="P4675" s="9" t="n">
        <x:v>0.052064632</x:v>
      </x:c>
      <x:c r="Q4675" s="9" t="n">
        <x:v>0.0350089767</x:v>
      </x:c>
      <x:c r="R4675" s="3" t="b">
        <x:v>0</x:v>
      </x:c>
      <x:c r="S4675" s="3" t="b">
        <x:v>1</x:v>
      </x:c>
      <x:c r="T4675" s="3" t="b">
        <x:v>0</x:v>
      </x:c>
      <x:c r="U4675" s="2" t="str">
        <x:f>IF(T4675=TRUE,"Priority review",IF(R4675=TRUE,"High cost",IF(S4675=TRUE,"Low quality","Benchmark")))</x:f>
        <x:v>Low quality</x:v>
      </x:c>
    </x:row>
    <x:row r="4676">
      <x:c r="A4676" s="2" t="str">
        <x:v>450713</x:v>
      </x:c>
      <x:c r="B4676" s="2" t="str">
        <x:v>ST DAVID'S SOUTH AUSTIN MEDICAL CENTER</x:v>
      </x:c>
      <x:c r="C4676" s="2" t="str">
        <x:v>AUSTIN</x:v>
      </x:c>
      <x:c r="D4676" s="2" t="str">
        <x:v>TX</x:v>
      </x:c>
      <x:c r="E4676" s="2" t="str">
        <x:v>Acute Care Hospitals</x:v>
      </x:c>
      <x:c r="F4676" s="2" t="str">
        <x:v>Proprietary</x:v>
      </x:c>
      <x:c r="G4676" s="2" t="str">
        <x:v>Large (300+ beds)</x:v>
      </x:c>
      <x:c r="H4676" s="7" t="n">
        <x:v>3</x:v>
      </x:c>
      <x:c r="I4676" s="7" t="n">
        <x:v>3</x:v>
      </x:c>
      <x:c r="J4676" s="7" t="n">
        <x:v>1.06</x:v>
      </x:c>
      <x:c r="K4676" s="8" t="n">
        <x:v>344</x:v>
      </x:c>
      <x:c r="L4676" s="8" t="n">
        <x:v>22769</x:v>
      </x:c>
      <x:c r="M4676" s="9" t="n">
        <x:v>0.8465735799</x:v>
      </x:c>
      <x:c r="N4676" s="10" t="n">
        <x:v>19855.5275154816</x:v>
      </x:c>
      <x:c r="O4676" s="9" t="n">
        <x:v>0.2190385647</x:v>
      </x:c>
      <x:c r="P4676" s="9" t="n">
        <x:v>0.0520504732</x:v>
      </x:c>
      <x:c r="Q4676" s="9" t="n">
        <x:v>0.2570977918</x:v>
      </x:c>
      <x:c r="R4676" s="3" t="b">
        <x:v>0</x:v>
      </x:c>
      <x:c r="S4676" s="3" t="b">
        <x:v>0</x:v>
      </x:c>
      <x:c r="T4676" s="3" t="b">
        <x:v>0</x:v>
      </x:c>
      <x:c r="U4676" s="2" t="str">
        <x:f>IF(T4676=TRUE,"Priority review",IF(R4676=TRUE,"High cost",IF(S4676=TRUE,"Low quality","Benchmark")))</x:f>
        <x:v>Benchmark</x:v>
      </x:c>
    </x:row>
    <x:row r="4677">
      <x:c r="A4677" s="2" t="str">
        <x:v>041324</x:v>
      </x:c>
      <x:c r="B4677" s="2" t="str">
        <x:v>CHI ST VINCENT MORRILTON</x:v>
      </x:c>
      <x:c r="C4677" s="2" t="str">
        <x:v>MORRILTON</x:v>
      </x:c>
      <x:c r="D4677" s="2" t="str">
        <x:v>AR</x:v>
      </x:c>
      <x:c r="E4677" s="2" t="str">
        <x:v>Critical Access Hospitals</x:v>
      </x:c>
      <x:c r="F4677" s="2" t="str">
        <x:v>Voluntary non-profit</x:v>
      </x:c>
      <x:c r="G4677" s="2" t="str">
        <x:v>Small (&lt;100 beds)</x:v>
      </x:c>
      <x:c r="H4677" s="7"/>
      <x:c r="I4677" s="7"/>
      <x:c r="J4677" s="7"/>
      <x:c r="K4677" s="8" t="n">
        <x:v>25</x:v>
      </x:c>
      <x:c r="L4677" s="8" t="n">
        <x:v>460</x:v>
      </x:c>
      <x:c r="M4677" s="9" t="n">
        <x:v>0.2177534247</x:v>
      </x:c>
      <x:c r="N4677" s="10" t="n">
        <x:v>50506.947826087</x:v>
      </x:c>
      <x:c r="O4677" s="9" t="n">
        <x:v>-0.1654429443</x:v>
      </x:c>
      <x:c r="P4677" s="9" t="n">
        <x:v>0.0520446097</x:v>
      </x:c>
      <x:c r="Q4677" s="9" t="n">
        <x:v>0.292936803</x:v>
      </x:c>
      <x:c r="R4677" s="3" t="b">
        <x:v>0</x:v>
      </x:c>
      <x:c r="S4677" s="3" t="b">
        <x:v>0</x:v>
      </x:c>
      <x:c r="T4677" s="3" t="b">
        <x:v>0</x:v>
      </x:c>
      <x:c r="U4677" s="2" t="str">
        <x:f>IF(T4677=TRUE,"Priority review",IF(R4677=TRUE,"High cost",IF(S4677=TRUE,"Low quality","Benchmark")))</x:f>
        <x:v>Benchmark</x:v>
      </x:c>
    </x:row>
    <x:row r="4678">
      <x:c r="A4678" s="2" t="str">
        <x:v>104082</x:v>
      </x:c>
      <x:c r="B4678" s="2" t="str">
        <x:v>PALM POINT BEHAVIORAL HEALTH</x:v>
      </x:c>
      <x:c r="C4678" s="2" t="str">
        <x:v>TITUSVILLE</x:v>
      </x:c>
      <x:c r="D4678" s="2" t="str">
        <x:v>FL</x:v>
      </x:c>
      <x:c r="E4678" s="2" t="str">
        <x:v>Psychiatric</x:v>
      </x:c>
      <x:c r="F4678" s="2" t="str">
        <x:v>Proprietary</x:v>
      </x:c>
      <x:c r="G4678" s="2" t="str">
        <x:v>Small (&lt;100 beds)</x:v>
      </x:c>
      <x:c r="H4678" s="7"/>
      <x:c r="I4678" s="7"/>
      <x:c r="J4678" s="7"/>
      <x:c r="K4678" s="8" t="n">
        <x:v>74</x:v>
      </x:c>
      <x:c r="L4678" s="8" t="n">
        <x:v>2587</x:v>
      </x:c>
      <x:c r="M4678" s="9" t="n">
        <x:v>0.4447644366</x:v>
      </x:c>
      <x:c r="N4678" s="10" t="n">
        <x:v>6017.9064553537</x:v>
      </x:c>
      <x:c r="O4678" s="9" t="n">
        <x:v>-0.1595251617</x:v>
      </x:c>
      <x:c r="P4678" s="9" t="n">
        <x:v>0.0517799353</x:v>
      </x:c>
      <x:c r="Q4678" s="9" t="n">
        <x:v>0</x:v>
      </x:c>
      <x:c r="R4678" s="3" t="b">
        <x:v>0</x:v>
      </x:c>
      <x:c r="S4678" s="3" t="b">
        <x:v>0</x:v>
      </x:c>
      <x:c r="T4678" s="3" t="b">
        <x:v>0</x:v>
      </x:c>
      <x:c r="U4678" s="2" t="str">
        <x:f>IF(T4678=TRUE,"Priority review",IF(R4678=TRUE,"High cost",IF(S4678=TRUE,"Low quality","Benchmark")))</x:f>
        <x:v>Benchmark</x:v>
      </x:c>
    </x:row>
    <x:row r="4679">
      <x:c r="A4679" s="2" t="str">
        <x:v>100242</x:v>
      </x:c>
      <x:c r="B4679" s="2" t="str">
        <x:v>HCA FLORIDA GULF COAST HOSPITAL</x:v>
      </x:c>
      <x:c r="C4679" s="2" t="str">
        <x:v>PANAMA CITY</x:v>
      </x:c>
      <x:c r="D4679" s="2" t="str">
        <x:v>FL</x:v>
      </x:c>
      <x:c r="E4679" s="2" t="str">
        <x:v>Acute Care Hospitals</x:v>
      </x:c>
      <x:c r="F4679" s="2" t="str">
        <x:v>Proprietary</x:v>
      </x:c>
      <x:c r="G4679" s="2" t="str">
        <x:v>Medium (100-299 beds)</x:v>
      </x:c>
      <x:c r="H4679" s="7" t="n">
        <x:v>2</x:v>
      </x:c>
      <x:c r="I4679" s="7" t="n">
        <x:v>2</x:v>
      </x:c>
      <x:c r="J4679" s="7" t="n">
        <x:v>1.08</x:v>
      </x:c>
      <x:c r="K4679" s="8" t="n">
        <x:v>253</x:v>
      </x:c>
      <x:c r="L4679" s="8" t="n">
        <x:v>16433</x:v>
      </x:c>
      <x:c r="M4679" s="9" t="n">
        <x:v>0.8012268084</x:v>
      </x:c>
      <x:c r="N4679" s="10" t="n">
        <x:v>15978.8998965496</x:v>
      </x:c>
      <x:c r="O4679" s="9" t="n">
        <x:v>0.3564304036</x:v>
      </x:c>
      <x:c r="P4679" s="9" t="n">
        <x:v>0.0513447433</x:v>
      </x:c>
      <x:c r="Q4679" s="9" t="n">
        <x:v>0.0782396088</x:v>
      </x:c>
      <x:c r="R4679" s="3" t="b">
        <x:v>0</x:v>
      </x:c>
      <x:c r="S4679" s="3" t="b">
        <x:v>1</x:v>
      </x:c>
      <x:c r="T4679" s="3" t="b">
        <x:v>0</x:v>
      </x:c>
      <x:c r="U4679" s="2" t="str">
        <x:f>IF(T4679=TRUE,"Priority review",IF(R4679=TRUE,"High cost",IF(S4679=TRUE,"Low quality","Benchmark")))</x:f>
        <x:v>Low quality</x:v>
      </x:c>
    </x:row>
    <x:row r="4680">
      <x:c r="A4680" s="2" t="str">
        <x:v>131320</x:v>
      </x:c>
      <x:c r="B4680" s="2" t="str">
        <x:v>CLEARWATER VALLEY HOSPITAL &amp; CLINICS</x:v>
      </x:c>
      <x:c r="C4680" s="2" t="str">
        <x:v>OROFINO</x:v>
      </x:c>
      <x:c r="D4680" s="2" t="str">
        <x:v>ID</x:v>
      </x:c>
      <x:c r="E4680" s="2" t="str">
        <x:v>Critical Access Hospitals</x:v>
      </x:c>
      <x:c r="F4680" s="2" t="str">
        <x:v>Voluntary non-profit</x:v>
      </x:c>
      <x:c r="G4680" s="2" t="str">
        <x:v>Small (&lt;100 beds)</x:v>
      </x:c>
      <x:c r="H4680" s="7" t="n">
        <x:v>2</x:v>
      </x:c>
      <x:c r="I4680" s="7" t="n">
        <x:v>4</x:v>
      </x:c>
      <x:c r="J4680" s="7"/>
      <x:c r="K4680" s="8" t="n">
        <x:v>23</x:v>
      </x:c>
      <x:c r="L4680" s="8" t="n">
        <x:v>541</x:v>
      </x:c>
      <x:c r="M4680" s="9" t="n">
        <x:v>0.2151342362</x:v>
      </x:c>
      <x:c r="N4680" s="10" t="n">
        <x:v>49888.2107208872</x:v>
      </x:c>
      <x:c r="O4680" s="9" t="n">
        <x:v>0.0559538606</x:v>
      </x:c>
      <x:c r="P4680" s="9" t="n">
        <x:v>0.0513011152</x:v>
      </x:c>
      <x:c r="Q4680" s="9" t="n">
        <x:v>0.0171003717</x:v>
      </x:c>
      <x:c r="R4680" s="3" t="b">
        <x:v>0</x:v>
      </x:c>
      <x:c r="S4680" s="3" t="b">
        <x:v>1</x:v>
      </x:c>
      <x:c r="T4680" s="3" t="b">
        <x:v>0</x:v>
      </x:c>
      <x:c r="U4680" s="2" t="str">
        <x:f>IF(T4680=TRUE,"Priority review",IF(R4680=TRUE,"High cost",IF(S4680=TRUE,"Low quality","Benchmark")))</x:f>
        <x:v>Low quality</x:v>
      </x:c>
    </x:row>
    <x:row r="4681">
      <x:c r="A4681" s="2" t="str">
        <x:v>440144</x:v>
      </x:c>
      <x:c r="B4681" s="2" t="str">
        <x:v>VANDERBILT TULLAHOMA-HARTON HOSPITAL</x:v>
      </x:c>
      <x:c r="C4681" s="2" t="str">
        <x:v>TULLAHOMA</x:v>
      </x:c>
      <x:c r="D4681" s="2" t="str">
        <x:v>TN</x:v>
      </x:c>
      <x:c r="E4681" s="2" t="str">
        <x:v>Acute Care Hospitals</x:v>
      </x:c>
      <x:c r="F4681" s="2" t="str">
        <x:v>Voluntary non-profit</x:v>
      </x:c>
      <x:c r="G4681" s="2" t="str">
        <x:v>Small (&lt;100 beds)</x:v>
      </x:c>
      <x:c r="H4681" s="7" t="n">
        <x:v>3</x:v>
      </x:c>
      <x:c r="I4681" s="7" t="n">
        <x:v>3</x:v>
      </x:c>
      <x:c r="J4681" s="7" t="n">
        <x:v>0.99</x:v>
      </x:c>
      <x:c r="K4681" s="8" t="n">
        <x:v>86</x:v>
      </x:c>
      <x:c r="L4681" s="8" t="n">
        <x:v>4934</x:v>
      </x:c>
      <x:c r="M4681" s="9" t="n">
        <x:v>0.6457632707</x:v>
      </x:c>
      <x:c r="N4681" s="10" t="n">
        <x:v>22035.3147547629</x:v>
      </x:c>
      <x:c r="O4681" s="9" t="n">
        <x:v>-0.1129839232</x:v>
      </x:c>
      <x:c r="P4681" s="9" t="n">
        <x:v>0.0511669659</x:v>
      </x:c>
      <x:c r="Q4681" s="9" t="n">
        <x:v>0.1687612208</x:v>
      </x:c>
      <x:c r="R4681" s="3" t="b">
        <x:v>0</x:v>
      </x:c>
      <x:c r="S4681" s="3" t="b">
        <x:v>0</x:v>
      </x:c>
      <x:c r="T4681" s="3" t="b">
        <x:v>0</x:v>
      </x:c>
      <x:c r="U4681" s="2" t="str">
        <x:f>IF(T4681=TRUE,"Priority review",IF(R4681=TRUE,"High cost",IF(S4681=TRUE,"Low quality","Benchmark")))</x:f>
        <x:v>Benchmark</x:v>
      </x:c>
    </x:row>
    <x:row r="4682">
      <x:c r="A4682" s="2" t="str">
        <x:v>011305</x:v>
      </x:c>
      <x:c r="B4682" s="2" t="str">
        <x:v>ST VINCENTS BLOUNT</x:v>
      </x:c>
      <x:c r="C4682" s="2" t="str">
        <x:v>ONEONTA</x:v>
      </x:c>
      <x:c r="D4682" s="2" t="str">
        <x:v>AL</x:v>
      </x:c>
      <x:c r="E4682" s="2" t="str">
        <x:v>Critical Access Hospitals</x:v>
      </x:c>
      <x:c r="F4682" s="2" t="str">
        <x:v>Voluntary non-profit</x:v>
      </x:c>
      <x:c r="G4682" s="2" t="str">
        <x:v>Small (&lt;100 beds)</x:v>
      </x:c>
      <x:c r="H4682" s="7"/>
      <x:c r="I4682" s="7"/>
      <x:c r="J4682" s="7"/>
      <x:c r="K4682" s="8" t="n">
        <x:v>25</x:v>
      </x:c>
      <x:c r="L4682" s="8" t="n">
        <x:v>858</x:v>
      </x:c>
      <x:c r="M4682" s="9" t="n">
        <x:v>0.5029041096</x:v>
      </x:c>
      <x:c r="N4682" s="10" t="n">
        <x:v>49702.2435897436</x:v>
      </x:c>
      <x:c r="O4682" s="9" t="n">
        <x:v>-0.5002450832</x:v>
      </x:c>
      <x:c r="P4682" s="9" t="n">
        <x:v>0.0505576208</x:v>
      </x:c>
      <x:c r="Q4682" s="9" t="n">
        <x:v>0.292936803</x:v>
      </x:c>
      <x:c r="R4682" s="3" t="b">
        <x:v>0</x:v>
      </x:c>
      <x:c r="S4682" s="3" t="b">
        <x:v>0</x:v>
      </x:c>
      <x:c r="T4682" s="3" t="b">
        <x:v>0</x:v>
      </x:c>
      <x:c r="U4682" s="2" t="str">
        <x:f>IF(T4682=TRUE,"Priority review",IF(R4682=TRUE,"High cost",IF(S4682=TRUE,"Low quality","Benchmark")))</x:f>
        <x:v>Benchmark</x:v>
      </x:c>
    </x:row>
    <x:row r="4683">
      <x:c r="A4683" s="2" t="str">
        <x:v>100180</x:v>
      </x:c>
      <x:c r="B4683" s="2" t="str">
        <x:v>HCA FLORIDA ST PETERSBURG HOSPITAL</x:v>
      </x:c>
      <x:c r="C4683" s="2" t="str">
        <x:v>SAINT PETERSBURG</x:v>
      </x:c>
      <x:c r="D4683" s="2" t="str">
        <x:v>FL</x:v>
      </x:c>
      <x:c r="E4683" s="2" t="str">
        <x:v>Acute Care Hospitals</x:v>
      </x:c>
      <x:c r="F4683" s="2" t="str">
        <x:v>Proprietary</x:v>
      </x:c>
      <x:c r="G4683" s="2" t="str">
        <x:v>Medium (100-299 beds)</x:v>
      </x:c>
      <x:c r="H4683" s="7" t="n">
        <x:v>2</x:v>
      </x:c>
      <x:c r="I4683" s="7" t="n">
        <x:v>2</x:v>
      </x:c>
      <x:c r="J4683" s="7" t="n">
        <x:v>1.06</x:v>
      </x:c>
      <x:c r="K4683" s="8" t="n">
        <x:v>140</x:v>
      </x:c>
      <x:c r="L4683" s="8" t="n">
        <x:v>5227</x:v>
      </x:c>
      <x:c r="M4683" s="9" t="n">
        <x:v>0.3720939335</x:v>
      </x:c>
      <x:c r="N4683" s="10" t="n">
        <x:v>15837.441936101</x:v>
      </x:c>
      <x:c r="O4683" s="9" t="n">
        <x:v>0.2976894066</x:v>
      </x:c>
      <x:c r="P4683" s="9" t="n">
        <x:v>0.0505297474</x:v>
      </x:c>
      <x:c r="Q4683" s="9" t="n">
        <x:v>0.0782396088</x:v>
      </x:c>
      <x:c r="R4683" s="3" t="b">
        <x:v>0</x:v>
      </x:c>
      <x:c r="S4683" s="3" t="b">
        <x:v>1</x:v>
      </x:c>
      <x:c r="T4683" s="3" t="b">
        <x:v>0</x:v>
      </x:c>
      <x:c r="U4683" s="2" t="str">
        <x:f>IF(T4683=TRUE,"Priority review",IF(R4683=TRUE,"High cost",IF(S4683=TRUE,"Low quality","Benchmark")))</x:f>
        <x:v>Low quality</x:v>
      </x:c>
    </x:row>
    <x:row r="4684">
      <x:c r="A4684" s="2" t="str">
        <x:v>440183</x:v>
      </x:c>
      <x:c r="B4684" s="2" t="str">
        <x:v>ST FRANCIS HOSPITAL</x:v>
      </x:c>
      <x:c r="C4684" s="2" t="str">
        <x:v>MEMPHIS</x:v>
      </x:c>
      <x:c r="D4684" s="2" t="str">
        <x:v>TN</x:v>
      </x:c>
      <x:c r="E4684" s="2" t="str">
        <x:v>Acute Care Hospitals</x:v>
      </x:c>
      <x:c r="F4684" s="2" t="str">
        <x:v>Proprietary</x:v>
      </x:c>
      <x:c r="G4684" s="2" t="str">
        <x:v>Large (300+ beds)</x:v>
      </x:c>
      <x:c r="H4684" s="7" t="n">
        <x:v>1</x:v>
      </x:c>
      <x:c r="I4684" s="7" t="n">
        <x:v>1</x:v>
      </x:c>
      <x:c r="J4684" s="7" t="n">
        <x:v>1.04</x:v>
      </x:c>
      <x:c r="K4684" s="8" t="n">
        <x:v>340</x:v>
      </x:c>
      <x:c r="L4684" s="8" t="n">
        <x:v>15513</x:v>
      </x:c>
      <x:c r="M4684" s="9" t="n">
        <x:v>0.6479022107</x:v>
      </x:c>
      <x:c r="N4684" s="10" t="n">
        <x:v>19854.0691677948</x:v>
      </x:c>
      <x:c r="O4684" s="9" t="n">
        <x:v>-0.104374738</x:v>
      </x:c>
      <x:c r="P4684" s="9" t="n">
        <x:v>0.0504731861</x:v>
      </x:c>
      <x:c r="Q4684" s="9" t="n">
        <x:v>0</x:v>
      </x:c>
      <x:c r="R4684" s="3" t="b">
        <x:v>0</x:v>
      </x:c>
      <x:c r="S4684" s="3" t="b">
        <x:v>1</x:v>
      </x:c>
      <x:c r="T4684" s="3" t="b">
        <x:v>0</x:v>
      </x:c>
      <x:c r="U4684" s="2" t="str">
        <x:f>IF(T4684=TRUE,"Priority review",IF(R4684=TRUE,"High cost",IF(S4684=TRUE,"Low quality","Benchmark")))</x:f>
        <x:v>Low quality</x:v>
      </x:c>
    </x:row>
    <x:row r="4685">
      <x:c r="A4685" s="2" t="str">
        <x:v>100315</x:v>
      </x:c>
      <x:c r="B4685" s="2" t="str">
        <x:v>VIERA HOSPITAL</x:v>
      </x:c>
      <x:c r="C4685" s="2" t="str">
        <x:v>MELBOURNE</x:v>
      </x:c>
      <x:c r="D4685" s="2" t="str">
        <x:v>FL</x:v>
      </x:c>
      <x:c r="E4685" s="2" t="str">
        <x:v>Acute Care Hospitals</x:v>
      </x:c>
      <x:c r="F4685" s="2" t="str">
        <x:v>Voluntary non-profit</x:v>
      </x:c>
      <x:c r="G4685" s="2" t="str">
        <x:v>Small (&lt;100 beds)</x:v>
      </x:c>
      <x:c r="H4685" s="7" t="n">
        <x:v>5</x:v>
      </x:c>
      <x:c r="I4685" s="7" t="n">
        <x:v>3</x:v>
      </x:c>
      <x:c r="J4685" s="7" t="n">
        <x:v>1.02</x:v>
      </x:c>
      <x:c r="K4685" s="8" t="n">
        <x:v>98</x:v>
      </x:c>
      <x:c r="L4685" s="8" t="n">
        <x:v>6850</x:v>
      </x:c>
      <x:c r="M4685" s="9" t="n">
        <x:v>0.6542043047</x:v>
      </x:c>
      <x:c r="N4685" s="10" t="n">
        <x:v>22024.8870072993</x:v>
      </x:c>
      <x:c r="O4685" s="9" t="n">
        <x:v>0.2066129493</x:v>
      </x:c>
      <x:c r="P4685" s="9" t="n">
        <x:v>0.0502692998</x:v>
      </x:c>
      <x:c r="Q4685" s="9" t="n">
        <x:v>0.6131059246</x:v>
      </x:c>
      <x:c r="R4685" s="3" t="b">
        <x:v>0</x:v>
      </x:c>
      <x:c r="S4685" s="3" t="b">
        <x:v>0</x:v>
      </x:c>
      <x:c r="T4685" s="3" t="b">
        <x:v>0</x:v>
      </x:c>
      <x:c r="U4685" s="2" t="str">
        <x:f>IF(T4685=TRUE,"Priority review",IF(R4685=TRUE,"High cost",IF(S4685=TRUE,"Low quality","Benchmark")))</x:f>
        <x:v>Benchmark</x:v>
      </x:c>
    </x:row>
    <x:row r="4686">
      <x:c r="A4686" s="2" t="str">
        <x:v>131326</x:v>
      </x:c>
      <x:c r="B4686" s="2" t="str">
        <x:v>CASSIA REGIONAL HOSPITAL</x:v>
      </x:c>
      <x:c r="C4686" s="2" t="str">
        <x:v>BURLEY</x:v>
      </x:c>
      <x:c r="D4686" s="2" t="str">
        <x:v>ID</x:v>
      </x:c>
      <x:c r="E4686" s="2" t="str">
        <x:v>Critical Access Hospitals</x:v>
      </x:c>
      <x:c r="F4686" s="2" t="str">
        <x:v>Voluntary non-profit</x:v>
      </x:c>
      <x:c r="G4686" s="2" t="str">
        <x:v>Small (&lt;100 beds)</x:v>
      </x:c>
      <x:c r="H4686" s="7" t="n">
        <x:v>3</x:v>
      </x:c>
      <x:c r="I4686" s="7" t="n">
        <x:v>4</x:v>
      </x:c>
      <x:c r="J4686" s="7"/>
      <x:c r="K4686" s="8" t="n">
        <x:v>25</x:v>
      </x:c>
      <x:c r="L4686" s="8" t="n">
        <x:v>1347</x:v>
      </x:c>
      <x:c r="M4686" s="9" t="n">
        <x:v>0.4592349727</x:v>
      </x:c>
      <x:c r="N4686" s="10" t="n">
        <x:v>49558.1150705271</x:v>
      </x:c>
      <x:c r="O4686" s="9" t="n">
        <x:v>-0.0060627101</x:v>
      </x:c>
      <x:c r="P4686" s="9" t="n">
        <x:v>0.0498141264</x:v>
      </x:c>
      <x:c r="Q4686" s="9" t="n">
        <x:v>0.0765799257</x:v>
      </x:c>
      <x:c r="R4686" s="3" t="b">
        <x:v>0</x:v>
      </x:c>
      <x:c r="S4686" s="3" t="b">
        <x:v>1</x:v>
      </x:c>
      <x:c r="T4686" s="3" t="b">
        <x:v>0</x:v>
      </x:c>
      <x:c r="U4686" s="2" t="str">
        <x:f>IF(T4686=TRUE,"Priority review",IF(R4686=TRUE,"High cost",IF(S4686=TRUE,"Low quality","Benchmark")))</x:f>
        <x:v>Low quality</x:v>
      </x:c>
    </x:row>
    <x:row r="4687">
      <x:c r="A4687" s="2" t="str">
        <x:v>294012</x:v>
      </x:c>
      <x:c r="B4687" s="2" t="str">
        <x:v>SEVEN HILLS HOSPITAL</x:v>
      </x:c>
      <x:c r="C4687" s="2" t="str">
        <x:v>HENDERSON</x:v>
      </x:c>
      <x:c r="D4687" s="2" t="str">
        <x:v>NV</x:v>
      </x:c>
      <x:c r="E4687" s="2" t="str">
        <x:v>Psychiatric</x:v>
      </x:c>
      <x:c r="F4687" s="2" t="str">
        <x:v>Proprietary</x:v>
      </x:c>
      <x:c r="G4687" s="2" t="str">
        <x:v>Medium (100-299 beds)</x:v>
      </x:c>
      <x:c r="H4687" s="7"/>
      <x:c r="I4687" s="7"/>
      <x:c r="J4687" s="7"/>
      <x:c r="K4687" s="8" t="n">
        <x:v>125</x:v>
      </x:c>
      <x:c r="L4687" s="8" t="n">
        <x:v>4846</x:v>
      </x:c>
      <x:c r="M4687" s="9" t="n">
        <x:v>0.5641092896</x:v>
      </x:c>
      <x:c r="N4687" s="10" t="n">
        <x:v>5172.1401155592</x:v>
      </x:c>
      <x:c r="O4687" s="9" t="n">
        <x:v>0.1367967344</x:v>
      </x:c>
      <x:c r="P4687" s="9" t="n">
        <x:v>0.0497512438</x:v>
      </x:c>
      <x:c r="Q4687" s="9" t="n">
        <x:v>0</x:v>
      </x:c>
      <x:c r="R4687" s="3" t="b">
        <x:v>0</x:v>
      </x:c>
      <x:c r="S4687" s="3" t="b">
        <x:v>0</x:v>
      </x:c>
      <x:c r="T4687" s="3" t="b">
        <x:v>0</x:v>
      </x:c>
      <x:c r="U4687" s="2" t="str">
        <x:f>IF(T4687=TRUE,"Priority review",IF(R4687=TRUE,"High cost",IF(S4687=TRUE,"Low quality","Benchmark")))</x:f>
        <x:v>Benchmark</x:v>
      </x:c>
    </x:row>
    <x:row r="4688">
      <x:c r="A4688" s="2" t="str">
        <x:v>360276</x:v>
      </x:c>
      <x:c r="B4688" s="2" t="str">
        <x:v>HMHP ST ELIZABETH BOARDMAN HEALTH CENTER</x:v>
      </x:c>
      <x:c r="C4688" s="2" t="str">
        <x:v>BOARDMAN</x:v>
      </x:c>
      <x:c r="D4688" s="2" t="str">
        <x:v>OH</x:v>
      </x:c>
      <x:c r="E4688" s="2" t="str">
        <x:v>Acute Care Hospitals</x:v>
      </x:c>
      <x:c r="F4688" s="2" t="str">
        <x:v>Voluntary non-profit</x:v>
      </x:c>
      <x:c r="G4688" s="2" t="str">
        <x:v>Medium (100-299 beds)</x:v>
      </x:c>
      <x:c r="H4688" s="7" t="n">
        <x:v>2</x:v>
      </x:c>
      <x:c r="I4688" s="7" t="n">
        <x:v>3</x:v>
      </x:c>
      <x:c r="J4688" s="7" t="n">
        <x:v>1.01</x:v>
      </x:c>
      <x:c r="K4688" s="8" t="n">
        <x:v>210</x:v>
      </x:c>
      <x:c r="L4688" s="8" t="n">
        <x:v>16667</x:v>
      </x:c>
      <x:c r="M4688" s="9" t="n">
        <x:v>0.8785454072</x:v>
      </x:c>
      <x:c r="N4688" s="10" t="n">
        <x:v>15706.8561228775</x:v>
      </x:c>
      <x:c r="O4688" s="9" t="n">
        <x:v>0.1671383464</x:v>
      </x:c>
      <x:c r="P4688" s="9" t="n">
        <x:v>0.0497147514</x:v>
      </x:c>
      <x:c r="Q4688" s="9" t="n">
        <x:v>0.0782396088</x:v>
      </x:c>
      <x:c r="R4688" s="3" t="b">
        <x:v>0</x:v>
      </x:c>
      <x:c r="S4688" s="3" t="b">
        <x:v>1</x:v>
      </x:c>
      <x:c r="T4688" s="3" t="b">
        <x:v>0</x:v>
      </x:c>
      <x:c r="U4688" s="2" t="str">
        <x:f>IF(T4688=TRUE,"Priority review",IF(R4688=TRUE,"High cost",IF(S4688=TRUE,"Low quality","Benchmark")))</x:f>
        <x:v>Low quality</x:v>
      </x:c>
    </x:row>
    <x:row r="4689">
      <x:c r="A4689" s="2" t="str">
        <x:v>100350</x:v>
      </x:c>
      <x:c r="B4689" s="2" t="str">
        <x:v>UCF LAKE NONA HOSPITAL</x:v>
      </x:c>
      <x:c r="C4689" s="2" t="str">
        <x:v>ORLANDO</x:v>
      </x:c>
      <x:c r="D4689" s="2" t="str">
        <x:v>FL</x:v>
      </x:c>
      <x:c r="E4689" s="2" t="str">
        <x:v>Acute Care Hospitals</x:v>
      </x:c>
      <x:c r="F4689" s="2" t="str">
        <x:v>Proprietary</x:v>
      </x:c>
      <x:c r="G4689" s="2" t="str">
        <x:v>Small (&lt;100 beds)</x:v>
      </x:c>
      <x:c r="H4689" s="7" t="n">
        <x:v>3</x:v>
      </x:c>
      <x:c r="I4689" s="7" t="n">
        <x:v>3</x:v>
      </x:c>
      <x:c r="J4689" s="7" t="n">
        <x:v>0.9</x:v>
      </x:c>
      <x:c r="K4689" s="8" t="n">
        <x:v>64</x:v>
      </x:c>
      <x:c r="L4689" s="8" t="n">
        <x:v>4324</x:v>
      </x:c>
      <x:c r="M4689" s="9" t="n">
        <x:v>0.5103312842</x:v>
      </x:c>
      <x:c r="N4689" s="10" t="n">
        <x:v>21946.9516651249</x:v>
      </x:c>
      <x:c r="O4689" s="9" t="n">
        <x:v>0.0529314911</x:v>
      </x:c>
      <x:c r="P4689" s="9" t="n">
        <x:v>0.0493716338</x:v>
      </x:c>
      <x:c r="Q4689" s="9" t="n">
        <x:v>0.1687612208</x:v>
      </x:c>
      <x:c r="R4689" s="3" t="b">
        <x:v>0</x:v>
      </x:c>
      <x:c r="S4689" s="3" t="b">
        <x:v>0</x:v>
      </x:c>
      <x:c r="T4689" s="3" t="b">
        <x:v>0</x:v>
      </x:c>
      <x:c r="U4689" s="2" t="str">
        <x:f>IF(T4689=TRUE,"Priority review",IF(R4689=TRUE,"High cost",IF(S4689=TRUE,"Low quality","Benchmark")))</x:f>
        <x:v>Benchmark</x:v>
      </x:c>
    </x:row>
    <x:row r="4690">
      <x:c r="A4690" s="2" t="str">
        <x:v>191312</x:v>
      </x:c>
      <x:c r="B4690" s="2" t="str">
        <x:v>CHRISTUS COUSHATTA HEALTH CARE CENTER</x:v>
      </x:c>
      <x:c r="C4690" s="2" t="str">
        <x:v>COUSHATTA</x:v>
      </x:c>
      <x:c r="D4690" s="2" t="str">
        <x:v>LA</x:v>
      </x:c>
      <x:c r="E4690" s="2" t="str">
        <x:v>Critical Access Hospitals</x:v>
      </x:c>
      <x:c r="F4690" s="2" t="str">
        <x:v>Voluntary non-profit</x:v>
      </x:c>
      <x:c r="G4690" s="2" t="str">
        <x:v>Small (&lt;100 beds)</x:v>
      </x:c>
      <x:c r="H4690" s="7" t="n">
        <x:v>4</x:v>
      </x:c>
      <x:c r="I4690" s="7"/>
      <x:c r="J4690" s="7"/>
      <x:c r="K4690" s="8" t="n">
        <x:v>25</x:v>
      </x:c>
      <x:c r="L4690" s="8" t="n">
        <x:v>553</x:v>
      </x:c>
      <x:c r="M4690" s="9" t="n">
        <x:v>0.3453150685</x:v>
      </x:c>
      <x:c r="N4690" s="10" t="n">
        <x:v>49549.7088607595</x:v>
      </x:c>
      <x:c r="O4690" s="9" t="n">
        <x:v>0.1438917333</x:v>
      </x:c>
      <x:c r="P4690" s="9" t="n">
        <x:v>0.049070632</x:v>
      </x:c>
      <x:c r="Q4690" s="9" t="n">
        <x:v>0.1657992565</x:v>
      </x:c>
      <x:c r="R4690" s="3" t="b">
        <x:v>0</x:v>
      </x:c>
      <x:c r="S4690" s="3" t="b">
        <x:v>0</x:v>
      </x:c>
      <x:c r="T4690" s="3" t="b">
        <x:v>0</x:v>
      </x:c>
      <x:c r="U4690" s="2" t="str">
        <x:f>IF(T4690=TRUE,"Priority review",IF(R4690=TRUE,"High cost",IF(S4690=TRUE,"Low quality","Benchmark")))</x:f>
        <x:v>Benchmark</x:v>
      </x:c>
    </x:row>
    <x:row r="4691">
      <x:c r="A4691" s="2" t="str">
        <x:v>100238</x:v>
      </x:c>
      <x:c r="B4691" s="2" t="str">
        <x:v>HCA FLORIDA NORTHSIDE HOSPITAL</x:v>
      </x:c>
      <x:c r="C4691" s="2" t="str">
        <x:v>SAINT PETERSBURG</x:v>
      </x:c>
      <x:c r="D4691" s="2" t="str">
        <x:v>FL</x:v>
      </x:c>
      <x:c r="E4691" s="2" t="str">
        <x:v>Acute Care Hospitals</x:v>
      </x:c>
      <x:c r="F4691" s="2" t="str">
        <x:v>Proprietary</x:v>
      </x:c>
      <x:c r="G4691" s="2" t="str">
        <x:v>Medium (100-299 beds)</x:v>
      </x:c>
      <x:c r="H4691" s="7" t="n">
        <x:v>1</x:v>
      </x:c>
      <x:c r="I4691" s="7" t="n">
        <x:v>2</x:v>
      </x:c>
      <x:c r="J4691" s="7" t="n">
        <x:v>1.05</x:v>
      </x:c>
      <x:c r="K4691" s="8" t="n">
        <x:v>241</x:v>
      </x:c>
      <x:c r="L4691" s="8" t="n">
        <x:v>11134</x:v>
      </x:c>
      <x:c r="M4691" s="9" t="n">
        <x:v>0.5624256973</x:v>
      </x:c>
      <x:c r="N4691" s="10" t="n">
        <x:v>15658.6534938028</x:v>
      </x:c>
      <x:c r="O4691" s="9" t="n">
        <x:v>0.1497211219</x:v>
      </x:c>
      <x:c r="P4691" s="9" t="n">
        <x:v>0.0488997555</x:v>
      </x:c>
      <x:c r="Q4691" s="9" t="n">
        <x:v>0</x:v>
      </x:c>
      <x:c r="R4691" s="3" t="b">
        <x:v>0</x:v>
      </x:c>
      <x:c r="S4691" s="3" t="b">
        <x:v>1</x:v>
      </x:c>
      <x:c r="T4691" s="3" t="b">
        <x:v>0</x:v>
      </x:c>
      <x:c r="U4691" s="2" t="str">
        <x:f>IF(T4691=TRUE,"Priority review",IF(R4691=TRUE,"High cost",IF(S4691=TRUE,"Low quality","Benchmark")))</x:f>
        <x:v>Low quality</x:v>
      </x:c>
    </x:row>
    <x:row r="4692">
      <x:c r="A4692" s="2" t="str">
        <x:v>100187</x:v>
      </x:c>
      <x:c r="B4692" s="2" t="str">
        <x:v>PALMETTO GENERAL HOSPITAL</x:v>
      </x:c>
      <x:c r="C4692" s="2" t="str">
        <x:v>HIALEAH</x:v>
      </x:c>
      <x:c r="D4692" s="2" t="str">
        <x:v>FL</x:v>
      </x:c>
      <x:c r="E4692" s="2" t="str">
        <x:v>Acute Care Hospitals</x:v>
      </x:c>
      <x:c r="F4692" s="2" t="str">
        <x:v>Proprietary</x:v>
      </x:c>
      <x:c r="G4692" s="2" t="str">
        <x:v>Large (300+ beds)</x:v>
      </x:c>
      <x:c r="H4692" s="7" t="n">
        <x:v>2</x:v>
      </x:c>
      <x:c r="I4692" s="7" t="n">
        <x:v>2</x:v>
      </x:c>
      <x:c r="J4692" s="7" t="n">
        <x:v>1.08</x:v>
      </x:c>
      <x:c r="K4692" s="8" t="n">
        <x:v>358</x:v>
      </x:c>
      <x:c r="L4692" s="8" t="n">
        <x:v>6626</x:v>
      </x:c>
      <x:c r="M4692" s="9" t="n">
        <x:v>0.4531278777</x:v>
      </x:c>
      <x:c r="N4692" s="10" t="n">
        <x:v>19852.0888922427</x:v>
      </x:c>
      <x:c r="O4692" s="9" t="n">
        <x:v>-0.2055593652</x:v>
      </x:c>
      <x:c r="P4692" s="9" t="n">
        <x:v>0.0488958991</x:v>
      </x:c>
      <x:c r="Q4692" s="9" t="n">
        <x:v>0.0536277603</x:v>
      </x:c>
      <x:c r="R4692" s="3" t="b">
        <x:v>0</x:v>
      </x:c>
      <x:c r="S4692" s="3" t="b">
        <x:v>1</x:v>
      </x:c>
      <x:c r="T4692" s="3" t="b">
        <x:v>0</x:v>
      </x:c>
      <x:c r="U4692" s="2" t="str">
        <x:f>IF(T4692=TRUE,"Priority review",IF(R4692=TRUE,"High cost",IF(S4692=TRUE,"Low quality","Benchmark")))</x:f>
        <x:v>Low quality</x:v>
      </x:c>
    </x:row>
    <x:row r="4693">
      <x:c r="A4693" s="2" t="str">
        <x:v>254011</x:v>
      </x:c>
      <x:c r="B4693" s="2" t="str">
        <x:v>GULFPORT BEHAVIORAL HEALTH  SYSTEM</x:v>
      </x:c>
      <x:c r="C4693" s="2" t="str">
        <x:v>GPT</x:v>
      </x:c>
      <x:c r="D4693" s="2" t="str">
        <x:v>MS</x:v>
      </x:c>
      <x:c r="E4693" s="2" t="str">
        <x:v>Psychiatric</x:v>
      </x:c>
      <x:c r="F4693" s="2" t="str">
        <x:v>Proprietary</x:v>
      </x:c>
      <x:c r="G4693" s="2" t="str">
        <x:v>Small (&lt;100 beds)</x:v>
      </x:c>
      <x:c r="H4693" s="7"/>
      <x:c r="I4693" s="7"/>
      <x:c r="J4693" s="7"/>
      <x:c r="K4693" s="8" t="n">
        <x:v>90</x:v>
      </x:c>
      <x:c r="L4693" s="8" t="n">
        <x:v>3511</x:v>
      </x:c>
      <x:c r="M4693" s="9" t="n">
        <x:v>0.5811567732</x:v>
      </x:c>
      <x:c r="N4693" s="10" t="n">
        <x:v>6002.6026772999</x:v>
      </x:c>
      <x:c r="O4693" s="9" t="n">
        <x:v>0.1951270427</x:v>
      </x:c>
      <x:c r="P4693" s="9" t="n">
        <x:v>0.0485436893</x:v>
      </x:c>
      <x:c r="Q4693" s="9" t="n">
        <x:v>0</x:v>
      </x:c>
      <x:c r="R4693" s="3" t="b">
        <x:v>0</x:v>
      </x:c>
      <x:c r="S4693" s="3" t="b">
        <x:v>0</x:v>
      </x:c>
      <x:c r="T4693" s="3" t="b">
        <x:v>0</x:v>
      </x:c>
      <x:c r="U4693" s="2" t="str">
        <x:f>IF(T4693=TRUE,"Priority review",IF(R4693=TRUE,"High cost",IF(S4693=TRUE,"Low quality","Benchmark")))</x:f>
        <x:v>Benchmark</x:v>
      </x:c>
    </x:row>
    <x:row r="4694">
      <x:c r="A4694" s="2" t="str">
        <x:v>110046</x:v>
      </x:c>
      <x:c r="B4694" s="2" t="str">
        <x:v>PIEDMONT WALTON HOSPITAL</x:v>
      </x:c>
      <x:c r="C4694" s="2" t="str">
        <x:v>MONROE</x:v>
      </x:c>
      <x:c r="D4694" s="2" t="str">
        <x:v>GA</x:v>
      </x:c>
      <x:c r="E4694" s="2" t="str">
        <x:v>Acute Care Hospitals</x:v>
      </x:c>
      <x:c r="F4694" s="2" t="str">
        <x:v>Proprietary</x:v>
      </x:c>
      <x:c r="G4694" s="2" t="str">
        <x:v>Small (&lt;100 beds)</x:v>
      </x:c>
      <x:c r="H4694" s="7" t="n">
        <x:v>4</x:v>
      </x:c>
      <x:c r="I4694" s="7" t="n">
        <x:v>3</x:v>
      </x:c>
      <x:c r="J4694" s="7" t="n">
        <x:v>0.95</x:v>
      </x:c>
      <x:c r="K4694" s="8" t="n">
        <x:v>76</x:v>
      </x:c>
      <x:c r="L4694" s="8" t="n">
        <x:v>4909</x:v>
      </x:c>
      <x:c r="M4694" s="9" t="n">
        <x:v>0.6608868061</x:v>
      </x:c>
      <x:c r="N4694" s="10" t="n">
        <x:v>21939.5273986555</x:v>
      </x:c>
      <x:c r="O4694" s="9" t="n">
        <x:v>0.2963191314</x:v>
      </x:c>
      <x:c r="P4694" s="9" t="n">
        <x:v>0.0484739677</x:v>
      </x:c>
      <x:c r="Q4694" s="9" t="n">
        <x:v>0.3913824057</x:v>
      </x:c>
      <x:c r="R4694" s="3" t="b">
        <x:v>0</x:v>
      </x:c>
      <x:c r="S4694" s="3" t="b">
        <x:v>0</x:v>
      </x:c>
      <x:c r="T4694" s="3" t="b">
        <x:v>0</x:v>
      </x:c>
      <x:c r="U4694" s="2" t="str">
        <x:f>IF(T4694=TRUE,"Priority review",IF(R4694=TRUE,"High cost",IF(S4694=TRUE,"Low quality","Benchmark")))</x:f>
        <x:v>Benchmark</x:v>
      </x:c>
    </x:row>
    <x:row r="4695">
      <x:c r="A4695" s="2" t="str">
        <x:v>031318</x:v>
      </x:c>
      <x:c r="B4695" s="2" t="str">
        <x:v>BANNER PAYSON MEDICAL CENTER</x:v>
      </x:c>
      <x:c r="C4695" s="2" t="str">
        <x:v>PAYSON</x:v>
      </x:c>
      <x:c r="D4695" s="2" t="str">
        <x:v>AZ</x:v>
      </x:c>
      <x:c r="E4695" s="2" t="str">
        <x:v>Critical Access Hospitals</x:v>
      </x:c>
      <x:c r="F4695" s="2" t="str">
        <x:v>Voluntary non-profit</x:v>
      </x:c>
      <x:c r="G4695" s="2" t="str">
        <x:v>Small (&lt;100 beds)</x:v>
      </x:c>
      <x:c r="H4695" s="7" t="n">
        <x:v>4</x:v>
      </x:c>
      <x:c r="I4695" s="7" t="n">
        <x:v>3</x:v>
      </x:c>
      <x:c r="J4695" s="7"/>
      <x:c r="K4695" s="8" t="n">
        <x:v>25</x:v>
      </x:c>
      <x:c r="L4695" s="8" t="n">
        <x:v>1272</x:v>
      </x:c>
      <x:c r="M4695" s="9" t="n">
        <x:v>0.4128961749</x:v>
      </x:c>
      <x:c r="N4695" s="10" t="n">
        <x:v>49519.1666666667</x:v>
      </x:c>
      <x:c r="O4695" s="9" t="n">
        <x:v>0.0393768914</x:v>
      </x:c>
      <x:c r="P4695" s="9" t="n">
        <x:v>0.0483271375</x:v>
      </x:c>
      <x:c r="Q4695" s="9" t="n">
        <x:v>0.1657992565</x:v>
      </x:c>
      <x:c r="R4695" s="3" t="b">
        <x:v>0</x:v>
      </x:c>
      <x:c r="S4695" s="3" t="b">
        <x:v>0</x:v>
      </x:c>
      <x:c r="T4695" s="3" t="b">
        <x:v>0</x:v>
      </x:c>
      <x:c r="U4695" s="2" t="str">
        <x:f>IF(T4695=TRUE,"Priority review",IF(R4695=TRUE,"High cost",IF(S4695=TRUE,"Low quality","Benchmark")))</x:f>
        <x:v>Benchmark</x:v>
      </x:c>
    </x:row>
    <x:row r="4696">
      <x:c r="A4696" s="2" t="str">
        <x:v>440120</x:v>
      </x:c>
      <x:c r="B4696" s="2" t="str">
        <x:v>PHYSICIANS REGIONAL MEDICAL CENTER</x:v>
      </x:c>
      <x:c r="C4696" s="2" t="str">
        <x:v>POWELL</x:v>
      </x:c>
      <x:c r="D4696" s="2" t="str">
        <x:v>TN</x:v>
      </x:c>
      <x:c r="E4696" s="2" t="str">
        <x:v>Acute Care Hospitals</x:v>
      </x:c>
      <x:c r="F4696" s="2" t="str">
        <x:v>Proprietary</x:v>
      </x:c>
      <x:c r="G4696" s="2" t="str">
        <x:v>Medium (100-299 beds)</x:v>
      </x:c>
      <x:c r="H4696" s="7" t="n">
        <x:v>3</x:v>
      </x:c>
      <x:c r="I4696" s="7" t="n">
        <x:v>3</x:v>
      </x:c>
      <x:c r="J4696" s="7" t="n">
        <x:v>1.04</x:v>
      </x:c>
      <x:c r="K4696" s="8" t="n">
        <x:v>219</x:v>
      </x:c>
      <x:c r="L4696" s="8" t="n">
        <x:v>21445</x:v>
      </x:c>
      <x:c r="M4696" s="9" t="n">
        <x:v>0.890323627</x:v>
      </x:c>
      <x:c r="N4696" s="10" t="n">
        <x:v>15566.0177197482</x:v>
      </x:c>
      <x:c r="O4696" s="9" t="n">
        <x:v>0.0784502977</x:v>
      </x:c>
      <x:c r="P4696" s="9" t="n">
        <x:v>0.0480847596</x:v>
      </x:c>
      <x:c r="Q4696" s="9" t="n">
        <x:v>0.3023634882</x:v>
      </x:c>
      <x:c r="R4696" s="3" t="b">
        <x:v>0</x:v>
      </x:c>
      <x:c r="S4696" s="3" t="b">
        <x:v>0</x:v>
      </x:c>
      <x:c r="T4696" s="3" t="b">
        <x:v>0</x:v>
      </x:c>
      <x:c r="U4696" s="2" t="str">
        <x:f>IF(T4696=TRUE,"Priority review",IF(R4696=TRUE,"High cost",IF(S4696=TRUE,"Low quality","Benchmark")))</x:f>
        <x:v>Benchmark</x:v>
      </x:c>
    </x:row>
    <x:row r="4697">
      <x:c r="A4697" s="2" t="str">
        <x:v>371305</x:v>
      </x:c>
      <x:c r="B4697" s="2" t="str">
        <x:v>ASCENSION ST JOHN NOWATA</x:v>
      </x:c>
      <x:c r="C4697" s="2" t="str">
        <x:v>NOWATA</x:v>
      </x:c>
      <x:c r="D4697" s="2" t="str">
        <x:v>OK</x:v>
      </x:c>
      <x:c r="E4697" s="2" t="str">
        <x:v>Critical Access Hospitals</x:v>
      </x:c>
      <x:c r="F4697" s="2" t="str">
        <x:v>Voluntary non-profit</x:v>
      </x:c>
      <x:c r="G4697" s="2" t="str">
        <x:v>Small (&lt;100 beds)</x:v>
      </x:c>
      <x:c r="H4697" s="7"/>
      <x:c r="I4697" s="7"/>
      <x:c r="J4697" s="7"/>
      <x:c r="K4697" s="8" t="n">
        <x:v>25</x:v>
      </x:c>
      <x:c r="L4697" s="8" t="n">
        <x:v>120</x:v>
      </x:c>
      <x:c r="M4697" s="9" t="n">
        <x:v>0.1539726027</x:v>
      </x:c>
      <x:c r="N4697" s="10" t="n">
        <x:v>49264.0333333333</x:v>
      </x:c>
      <x:c r="O4697" s="9" t="n">
        <x:v>-0.0367108555</x:v>
      </x:c>
      <x:c r="P4697" s="9" t="n">
        <x:v>0.0475836431</x:v>
      </x:c>
      <x:c r="Q4697" s="9" t="n">
        <x:v>0.292936803</x:v>
      </x:c>
      <x:c r="R4697" s="3" t="b">
        <x:v>0</x:v>
      </x:c>
      <x:c r="S4697" s="3" t="b">
        <x:v>0</x:v>
      </x:c>
      <x:c r="T4697" s="3" t="b">
        <x:v>0</x:v>
      </x:c>
      <x:c r="U4697" s="2" t="str">
        <x:f>IF(T4697=TRUE,"Priority review",IF(R4697=TRUE,"High cost",IF(S4697=TRUE,"Low quality","Benchmark")))</x:f>
        <x:v>Benchmark</x:v>
      </x:c>
    </x:row>
    <x:row r="4698">
      <x:c r="A4698" s="2" t="str">
        <x:v>370083</x:v>
      </x:c>
      <x:c r="B4698" s="2" t="str">
        <x:v>PUSHMATAHA HOSPITAL</x:v>
      </x:c>
      <x:c r="C4698" s="2" t="str">
        <x:v>ANTLERS</x:v>
      </x:c>
      <x:c r="D4698" s="2" t="str">
        <x:v>OK</x:v>
      </x:c>
      <x:c r="E4698" s="2" t="str">
        <x:v>Acute Care Hospitals</x:v>
      </x:c>
      <x:c r="F4698" s="2" t="str">
        <x:v>Government</x:v>
      </x:c>
      <x:c r="G4698" s="2" t="str">
        <x:v>Small (&lt;100 beds)</x:v>
      </x:c>
      <x:c r="H4698" s="7" t="n">
        <x:v>3</x:v>
      </x:c>
      <x:c r="I4698" s="7"/>
      <x:c r="J4698" s="7" t="n">
        <x:v>1.09</x:v>
      </x:c>
      <x:c r="K4698" s="8" t="n">
        <x:v>25</x:v>
      </x:c>
      <x:c r="L4698" s="8" t="n">
        <x:v>309</x:v>
      </x:c>
      <x:c r="M4698" s="9" t="n">
        <x:v>0.2526027397</x:v>
      </x:c>
      <x:c r="N4698" s="10" t="n">
        <x:v>21913.9644012945</x:v>
      </x:c>
      <x:c r="O4698" s="9" t="n">
        <x:v>-0.5608905959</x:v>
      </x:c>
      <x:c r="P4698" s="9" t="n">
        <x:v>0.0475763016</x:v>
      </x:c>
      <x:c r="Q4698" s="9" t="n">
        <x:v>0.1687612208</x:v>
      </x:c>
      <x:c r="R4698" s="3" t="b">
        <x:v>0</x:v>
      </x:c>
      <x:c r="S4698" s="3" t="b">
        <x:v>0</x:v>
      </x:c>
      <x:c r="T4698" s="3" t="b">
        <x:v>0</x:v>
      </x:c>
      <x:c r="U4698" s="2" t="str">
        <x:f>IF(T4698=TRUE,"Priority review",IF(R4698=TRUE,"High cost",IF(S4698=TRUE,"Low quality","Benchmark")))</x:f>
        <x:v>Benchmark</x:v>
      </x:c>
    </x:row>
    <x:row r="4699">
      <x:c r="A4699" s="2" t="str">
        <x:v>100080</x:v>
      </x:c>
      <x:c r="B4699" s="2" t="str">
        <x:v>HCA FLORIDA JFK HOSPITAL</x:v>
      </x:c>
      <x:c r="C4699" s="2" t="str">
        <x:v>ATLANTIS</x:v>
      </x:c>
      <x:c r="D4699" s="2" t="str">
        <x:v>FL</x:v>
      </x:c>
      <x:c r="E4699" s="2" t="str">
        <x:v>Acute Care Hospitals</x:v>
      </x:c>
      <x:c r="F4699" s="2" t="str">
        <x:v>Proprietary</x:v>
      </x:c>
      <x:c r="G4699" s="2" t="str">
        <x:v>Large (300+ beds)</x:v>
      </x:c>
      <x:c r="H4699" s="7" t="n">
        <x:v>2</x:v>
      </x:c>
      <x:c r="I4699" s="7" t="n">
        <x:v>2</x:v>
      </x:c>
      <x:c r="J4699" s="7" t="n">
        <x:v>1</x:v>
      </x:c>
      <x:c r="K4699" s="8" t="n">
        <x:v>644</x:v>
      </x:c>
      <x:c r="L4699" s="8" t="n">
        <x:v>33708</x:v>
      </x:c>
      <x:c r="M4699" s="9" t="n">
        <x:v>0.624159789</x:v>
      </x:c>
      <x:c r="N4699" s="10" t="n">
        <x:v>18878.0418594992</x:v>
      </x:c>
      <x:c r="O4699" s="9" t="n">
        <x:v>0.1808516576</x:v>
      </x:c>
      <x:c r="P4699" s="9" t="n">
        <x:v>0.047318612</x:v>
      </x:c>
      <x:c r="Q4699" s="9" t="n">
        <x:v>0.0536277603</x:v>
      </x:c>
      <x:c r="R4699" s="3" t="b">
        <x:v>0</x:v>
      </x:c>
      <x:c r="S4699" s="3" t="b">
        <x:v>1</x:v>
      </x:c>
      <x:c r="T4699" s="3" t="b">
        <x:v>0</x:v>
      </x:c>
      <x:c r="U4699" s="2" t="str">
        <x:f>IF(T4699=TRUE,"Priority review",IF(R4699=TRUE,"High cost",IF(S4699=TRUE,"Low quality","Benchmark")))</x:f>
        <x:v>Low quality</x:v>
      </x:c>
    </x:row>
    <x:row r="4700">
      <x:c r="A4700" s="2" t="str">
        <x:v>100244</x:v>
      </x:c>
      <x:c r="B4700" s="2" t="str">
        <x:v>CAPE CORAL HOSPITAL</x:v>
      </x:c>
      <x:c r="C4700" s="2" t="str">
        <x:v>CAPE CORAL</x:v>
      </x:c>
      <x:c r="D4700" s="2" t="str">
        <x:v>FL</x:v>
      </x:c>
      <x:c r="E4700" s="2" t="str">
        <x:v>Acute Care Hospitals</x:v>
      </x:c>
      <x:c r="F4700" s="2" t="str">
        <x:v>Government</x:v>
      </x:c>
      <x:c r="G4700" s="2" t="str">
        <x:v>Medium (100-299 beds)</x:v>
      </x:c>
      <x:c r="H4700" s="7" t="n">
        <x:v>3</x:v>
      </x:c>
      <x:c r="I4700" s="7" t="n">
        <x:v>3</x:v>
      </x:c>
      <x:c r="J4700" s="7" t="n">
        <x:v>0.98</x:v>
      </x:c>
      <x:c r="K4700" s="8" t="n">
        <x:v>291</x:v>
      </x:c>
      <x:c r="L4700" s="8" t="n">
        <x:v>19808</x:v>
      </x:c>
      <x:c r="M4700" s="9" t="n">
        <x:v>0.9840141111</x:v>
      </x:c>
      <x:c r="N4700" s="10" t="n">
        <x:v>15557.066134895</x:v>
      </x:c>
      <x:c r="O4700" s="9" t="n">
        <x:v>0.3461690945</x:v>
      </x:c>
      <x:c r="P4700" s="9" t="n">
        <x:v>0.0472697637</x:v>
      </x:c>
      <x:c r="Q4700" s="9" t="n">
        <x:v>0.3023634882</x:v>
      </x:c>
      <x:c r="R4700" s="3" t="b">
        <x:v>0</x:v>
      </x:c>
      <x:c r="S4700" s="3" t="b">
        <x:v>0</x:v>
      </x:c>
      <x:c r="T4700" s="3" t="b">
        <x:v>0</x:v>
      </x:c>
      <x:c r="U4700" s="2" t="str">
        <x:f>IF(T4700=TRUE,"Priority review",IF(R4700=TRUE,"High cost",IF(S4700=TRUE,"Low quality","Benchmark")))</x:f>
        <x:v>Benchmark</x:v>
      </x:c>
    </x:row>
    <x:row r="4701">
      <x:c r="A4701" s="2" t="str">
        <x:v>231305</x:v>
      </x:c>
      <x:c r="B4701" s="2" t="str">
        <x:v>SAINT MARY'S STANDISH COMMUNITY HOSPITAL</x:v>
      </x:c>
      <x:c r="C4701" s="2" t="str">
        <x:v>STANDISH</x:v>
      </x:c>
      <x:c r="D4701" s="2" t="str">
        <x:v>MI</x:v>
      </x:c>
      <x:c r="E4701" s="2" t="str">
        <x:v>Critical Access Hospitals</x:v>
      </x:c>
      <x:c r="F4701" s="2" t="str">
        <x:v>Voluntary non-profit</x:v>
      </x:c>
      <x:c r="G4701" s="2" t="str">
        <x:v>Small (&lt;100 beds)</x:v>
      </x:c>
      <x:c r="H4701" s="7" t="n">
        <x:v>4</x:v>
      </x:c>
      <x:c r="I4701" s="7" t="n">
        <x:v>5</x:v>
      </x:c>
      <x:c r="J4701" s="7"/>
      <x:c r="K4701" s="8" t="n">
        <x:v>25</x:v>
      </x:c>
      <x:c r="L4701" s="8" t="n">
        <x:v>541</x:v>
      </x:c>
      <x:c r="M4701" s="9" t="n">
        <x:v>0.1509041096</x:v>
      </x:c>
      <x:c r="N4701" s="10" t="n">
        <x:v>49052.1940850277</x:v>
      </x:c>
      <x:c r="O4701" s="9" t="n">
        <x:v>-0.02464754</x:v>
      </x:c>
      <x:c r="P4701" s="9" t="n">
        <x:v>0.0468401487</x:v>
      </x:c>
      <x:c r="Q4701" s="9" t="n">
        <x:v>0.1657992565</x:v>
      </x:c>
      <x:c r="R4701" s="3" t="b">
        <x:v>0</x:v>
      </x:c>
      <x:c r="S4701" s="3" t="b">
        <x:v>0</x:v>
      </x:c>
      <x:c r="T4701" s="3" t="b">
        <x:v>0</x:v>
      </x:c>
      <x:c r="U4701" s="2" t="str">
        <x:f>IF(T4701=TRUE,"Priority review",IF(R4701=TRUE,"High cost",IF(S4701=TRUE,"Low quality","Benchmark")))</x:f>
        <x:v>Benchmark</x:v>
      </x:c>
    </x:row>
    <x:row r="4702">
      <x:c r="A4702" s="2" t="str">
        <x:v>370211</x:v>
      </x:c>
      <x:c r="B4702" s="2" t="str">
        <x:v>INTEGRIS CANADIAN VALLEY HOSPITAL</x:v>
      </x:c>
      <x:c r="C4702" s="2" t="str">
        <x:v>YUKON</x:v>
      </x:c>
      <x:c r="D4702" s="2" t="str">
        <x:v>OK</x:v>
      </x:c>
      <x:c r="E4702" s="2" t="str">
        <x:v>Acute Care Hospitals</x:v>
      </x:c>
      <x:c r="F4702" s="2" t="str">
        <x:v>Voluntary non-profit</x:v>
      </x:c>
      <x:c r="G4702" s="2" t="str">
        <x:v>Small (&lt;100 beds)</x:v>
      </x:c>
      <x:c r="H4702" s="7" t="n">
        <x:v>4</x:v>
      </x:c>
      <x:c r="I4702" s="7" t="n">
        <x:v>3</x:v>
      </x:c>
      <x:c r="J4702" s="7" t="n">
        <x:v>1.03</x:v>
      </x:c>
      <x:c r="K4702" s="8" t="n">
        <x:v>66</x:v>
      </x:c>
      <x:c r="L4702" s="8" t="n">
        <x:v>4252</x:v>
      </x:c>
      <x:c r="M4702" s="9" t="n">
        <x:v>0.6853466169</x:v>
      </x:c>
      <x:c r="N4702" s="10" t="n">
        <x:v>21894.5305738476</x:v>
      </x:c>
      <x:c r="O4702" s="9" t="n">
        <x:v>0.0780571871</x:v>
      </x:c>
      <x:c r="P4702" s="9" t="n">
        <x:v>0.0466786355</x:v>
      </x:c>
      <x:c r="Q4702" s="9" t="n">
        <x:v>0.3913824057</x:v>
      </x:c>
      <x:c r="R4702" s="3" t="b">
        <x:v>0</x:v>
      </x:c>
      <x:c r="S4702" s="3" t="b">
        <x:v>0</x:v>
      </x:c>
      <x:c r="T4702" s="3" t="b">
        <x:v>0</x:v>
      </x:c>
      <x:c r="U4702" s="2" t="str">
        <x:f>IF(T4702=TRUE,"Priority review",IF(R4702=TRUE,"High cost",IF(S4702=TRUE,"Low quality","Benchmark")))</x:f>
        <x:v>Benchmark</x:v>
      </x:c>
    </x:row>
    <x:row r="4703">
      <x:c r="A4703" s="2" t="str">
        <x:v>450222</x:v>
      </x:c>
      <x:c r="B4703" s="2" t="str">
        <x:v>HCA HOUSTON HEALTHCARE CONROE</x:v>
      </x:c>
      <x:c r="C4703" s="2" t="str">
        <x:v>CONROE</x:v>
      </x:c>
      <x:c r="D4703" s="2" t="str">
        <x:v>TX</x:v>
      </x:c>
      <x:c r="E4703" s="2" t="str">
        <x:v>Acute Care Hospitals</x:v>
      </x:c>
      <x:c r="F4703" s="2" t="str">
        <x:v>Proprietary</x:v>
      </x:c>
      <x:c r="G4703" s="2" t="str">
        <x:v>Medium (100-299 beds)</x:v>
      </x:c>
      <x:c r="H4703" s="7" t="n">
        <x:v>2</x:v>
      </x:c>
      <x:c r="I4703" s="7" t="n">
        <x:v>2</x:v>
      </x:c>
      <x:c r="J4703" s="7" t="n">
        <x:v>1.15</x:v>
      </x:c>
      <x:c r="K4703" s="8" t="n">
        <x:v>265</x:v>
      </x:c>
      <x:c r="L4703" s="8" t="n">
        <x:v>15716</x:v>
      </x:c>
      <x:c r="M4703" s="9" t="n">
        <x:v>0.7436333643</x:v>
      </x:c>
      <x:c r="N4703" s="10" t="n">
        <x:v>15548.3343726139</x:v>
      </x:c>
      <x:c r="O4703" s="9" t="n">
        <x:v>0.2805084259</x:v>
      </x:c>
      <x:c r="P4703" s="9" t="n">
        <x:v>0.0464547677</x:v>
      </x:c>
      <x:c r="Q4703" s="9" t="n">
        <x:v>0.0782396088</x:v>
      </x:c>
      <x:c r="R4703" s="3" t="b">
        <x:v>0</x:v>
      </x:c>
      <x:c r="S4703" s="3" t="b">
        <x:v>1</x:v>
      </x:c>
      <x:c r="T4703" s="3" t="b">
        <x:v>0</x:v>
      </x:c>
      <x:c r="U4703" s="2" t="str">
        <x:f>IF(T4703=TRUE,"Priority review",IF(R4703=TRUE,"High cost",IF(S4703=TRUE,"Low quality","Benchmark")))</x:f>
        <x:v>Low quality</x:v>
      </x:c>
    </x:row>
    <x:row r="4704">
      <x:c r="A4704" s="2" t="str">
        <x:v>371323</x:v>
      </x:c>
      <x:c r="B4704" s="2" t="str">
        <x:v>WEATHERFORD REGIONAL HOSPITAL, INC OF WEATHERFORD</x:v>
      </x:c>
      <x:c r="C4704" s="2" t="str">
        <x:v>WEATHERFORD</x:v>
      </x:c>
      <x:c r="D4704" s="2" t="str">
        <x:v>OK</x:v>
      </x:c>
      <x:c r="E4704" s="2" t="str">
        <x:v>Critical Access Hospitals</x:v>
      </x:c>
      <x:c r="F4704" s="2" t="str">
        <x:v>Government</x:v>
      </x:c>
      <x:c r="G4704" s="2" t="str">
        <x:v>Small (&lt;100 beds)</x:v>
      </x:c>
      <x:c r="H4704" s="7"/>
      <x:c r="I4704" s="7"/>
      <x:c r="J4704" s="7"/>
      <x:c r="K4704" s="8" t="n">
        <x:v>25</x:v>
      </x:c>
      <x:c r="L4704" s="8" t="n">
        <x:v>513</x:v>
      </x:c>
      <x:c r="M4704" s="9" t="n">
        <x:v>0.2736612022</x:v>
      </x:c>
      <x:c r="N4704" s="10" t="n">
        <x:v>49011.3742690058</x:v>
      </x:c>
      <x:c r="O4704" s="9" t="n">
        <x:v>-0.027227656</x:v>
      </x:c>
      <x:c r="P4704" s="9" t="n">
        <x:v>0.0460966543</x:v>
      </x:c>
      <x:c r="Q4704" s="9" t="n">
        <x:v>0.292936803</x:v>
      </x:c>
      <x:c r="R4704" s="3" t="b">
        <x:v>0</x:v>
      </x:c>
      <x:c r="S4704" s="3" t="b">
        <x:v>0</x:v>
      </x:c>
      <x:c r="T4704" s="3" t="b">
        <x:v>0</x:v>
      </x:c>
      <x:c r="U4704" s="2" t="str">
        <x:f>IF(T4704=TRUE,"Priority review",IF(R4704=TRUE,"High cost",IF(S4704=TRUE,"Low quality","Benchmark")))</x:f>
        <x:v>Benchmark</x:v>
      </x:c>
    </x:row>
    <x:row r="4705">
      <x:c r="A4705" s="2" t="str">
        <x:v>460042</x:v>
      </x:c>
      <x:c r="B4705" s="2" t="str">
        <x:v>LAKEVIEW HOSPITAL</x:v>
      </x:c>
      <x:c r="C4705" s="2" t="str">
        <x:v>BOUNTIFUL</x:v>
      </x:c>
      <x:c r="D4705" s="2" t="str">
        <x:v>UT</x:v>
      </x:c>
      <x:c r="E4705" s="2" t="str">
        <x:v>Acute Care Hospitals</x:v>
      </x:c>
      <x:c r="F4705" s="2" t="str">
        <x:v>Voluntary non-profit</x:v>
      </x:c>
      <x:c r="G4705" s="2" t="str">
        <x:v>Small (&lt;100 beds)</x:v>
      </x:c>
      <x:c r="H4705" s="7" t="n">
        <x:v>5</x:v>
      </x:c>
      <x:c r="I4705" s="7" t="n">
        <x:v>4</x:v>
      </x:c>
      <x:c r="J4705" s="7" t="n">
        <x:v>1</x:v>
      </x:c>
      <x:c r="K4705" s="8" t="n">
        <x:v>84</x:v>
      </x:c>
      <x:c r="L4705" s="8" t="n">
        <x:v>3089</x:v>
      </x:c>
      <x:c r="M4705" s="9" t="n">
        <x:v>0.3815253123</x:v>
      </x:c>
      <x:c r="N4705" s="10" t="n">
        <x:v>21818.0948527031</x:v>
      </x:c>
      <x:c r="O4705" s="9" t="n">
        <x:v>0.4602502663</x:v>
      </x:c>
      <x:c r="P4705" s="9" t="n">
        <x:v>0.0457809695</x:v>
      </x:c>
      <x:c r="Q4705" s="9" t="n">
        <x:v>0.6131059246</x:v>
      </x:c>
      <x:c r="R4705" s="3" t="b">
        <x:v>0</x:v>
      </x:c>
      <x:c r="S4705" s="3" t="b">
        <x:v>0</x:v>
      </x:c>
      <x:c r="T4705" s="3" t="b">
        <x:v>0</x:v>
      </x:c>
      <x:c r="U4705" s="2" t="str">
        <x:f>IF(T4705=TRUE,"Priority review",IF(R4705=TRUE,"High cost",IF(S4705=TRUE,"Low quality","Benchmark")))</x:f>
        <x:v>Benchmark</x:v>
      </x:c>
    </x:row>
    <x:row r="4706">
      <x:c r="A4706" s="2" t="str">
        <x:v>450647</x:v>
      </x:c>
      <x:c r="B4706" s="2" t="str">
        <x:v>MEDICAL CITY DALLAS HOSPITAL</x:v>
      </x:c>
      <x:c r="C4706" s="2" t="str">
        <x:v>DALLAS</x:v>
      </x:c>
      <x:c r="D4706" s="2" t="str">
        <x:v>TX</x:v>
      </x:c>
      <x:c r="E4706" s="2" t="str">
        <x:v>Acute Care Hospitals</x:v>
      </x:c>
      <x:c r="F4706" s="2" t="str">
        <x:v>Proprietary</x:v>
      </x:c>
      <x:c r="G4706" s="2" t="str">
        <x:v>Large (300+ beds)</x:v>
      </x:c>
      <x:c r="H4706" s="7" t="n">
        <x:v>3</x:v>
      </x:c>
      <x:c r="I4706" s="7" t="n">
        <x:v>2</x:v>
      </x:c>
      <x:c r="J4706" s="7" t="n">
        <x:v>1.04</x:v>
      </x:c>
      <x:c r="K4706" s="8" t="n">
        <x:v>816</x:v>
      </x:c>
      <x:c r="L4706" s="8" t="n">
        <x:v>35745</x:v>
      </x:c>
      <x:c r="M4706" s="9" t="n">
        <x:v>0.72314544</x:v>
      </x:c>
      <x:c r="N4706" s="10" t="n">
        <x:v>18647.743852287</x:v>
      </x:c>
      <x:c r="O4706" s="9" t="n">
        <x:v>0.5243359864</x:v>
      </x:c>
      <x:c r="P4706" s="9" t="n">
        <x:v>0.0457413249</x:v>
      </x:c>
      <x:c r="Q4706" s="9" t="n">
        <x:v>0.2570977918</x:v>
      </x:c>
      <x:c r="R4706" s="3" t="b">
        <x:v>0</x:v>
      </x:c>
      <x:c r="S4706" s="3" t="b">
        <x:v>0</x:v>
      </x:c>
      <x:c r="T4706" s="3" t="b">
        <x:v>0</x:v>
      </x:c>
      <x:c r="U4706" s="2" t="str">
        <x:f>IF(T4706=TRUE,"Priority review",IF(R4706=TRUE,"High cost",IF(S4706=TRUE,"Low quality","Benchmark")))</x:f>
        <x:v>Benchmark</x:v>
      </x:c>
    </x:row>
    <x:row r="4707">
      <x:c r="A4707" s="2" t="str">
        <x:v>050709</x:v>
      </x:c>
      <x:c r="B4707" s="2" t="str">
        <x:v>DESERT VALLEY HOSPITAL</x:v>
      </x:c>
      <x:c r="C4707" s="2" t="str">
        <x:v>VICTORVILLE</x:v>
      </x:c>
      <x:c r="D4707" s="2" t="str">
        <x:v>CA</x:v>
      </x:c>
      <x:c r="E4707" s="2" t="str">
        <x:v>Acute Care Hospitals</x:v>
      </x:c>
      <x:c r="F4707" s="2" t="str">
        <x:v>Proprietary</x:v>
      </x:c>
      <x:c r="G4707" s="2" t="str">
        <x:v>Medium (100-299 beds)</x:v>
      </x:c>
      <x:c r="H4707" s="7" t="n">
        <x:v>3</x:v>
      </x:c>
      <x:c r="I4707" s="7" t="n">
        <x:v>2</x:v>
      </x:c>
      <x:c r="J4707" s="7" t="n">
        <x:v>0.93</x:v>
      </x:c>
      <x:c r="K4707" s="8" t="n">
        <x:v>148</x:v>
      </x:c>
      <x:c r="L4707" s="8" t="n">
        <x:v>12669</x:v>
      </x:c>
      <x:c r="M4707" s="9" t="n">
        <x:v>0.917829715</x:v>
      </x:c>
      <x:c r="N4707" s="10" t="n">
        <x:v>15497.2405083274</x:v>
      </x:c>
      <x:c r="O4707" s="9" t="n">
        <x:v>0.1569586833</x:v>
      </x:c>
      <x:c r="P4707" s="9" t="n">
        <x:v>0.0456397718</x:v>
      </x:c>
      <x:c r="Q4707" s="9" t="n">
        <x:v>0.3023634882</x:v>
      </x:c>
      <x:c r="R4707" s="3" t="b">
        <x:v>0</x:v>
      </x:c>
      <x:c r="S4707" s="3" t="b">
        <x:v>0</x:v>
      </x:c>
      <x:c r="T4707" s="3" t="b">
        <x:v>0</x:v>
      </x:c>
      <x:c r="U4707" s="2" t="str">
        <x:f>IF(T4707=TRUE,"Priority review",IF(R4707=TRUE,"High cost",IF(S4707=TRUE,"Low quality","Benchmark")))</x:f>
        <x:v>Benchmark</x:v>
      </x:c>
    </x:row>
    <x:row r="4708">
      <x:c r="A4708" s="2" t="str">
        <x:v>451347</x:v>
      </x:c>
      <x:c r="B4708" s="2" t="str">
        <x:v>COLEMAN COUNTY MEDICAL CENTER COMPANY</x:v>
      </x:c>
      <x:c r="C4708" s="2" t="str">
        <x:v>COLEMAN</x:v>
      </x:c>
      <x:c r="D4708" s="2" t="str">
        <x:v>TX</x:v>
      </x:c>
      <x:c r="E4708" s="2" t="str">
        <x:v>Critical Access Hospitals</x:v>
      </x:c>
      <x:c r="F4708" s="2" t="str">
        <x:v>Proprietary</x:v>
      </x:c>
      <x:c r="G4708" s="2" t="str">
        <x:v>Small (&lt;100 beds)</x:v>
      </x:c>
      <x:c r="H4708" s="7"/>
      <x:c r="I4708" s="7"/>
      <x:c r="J4708" s="7"/>
      <x:c r="K4708" s="8" t="n">
        <x:v>25</x:v>
      </x:c>
      <x:c r="L4708" s="8" t="n">
        <x:v>290</x:v>
      </x:c>
      <x:c r="M4708" s="9" t="n">
        <x:v>0.2375956284</x:v>
      </x:c>
      <x:c r="N4708" s="10" t="n">
        <x:v>48326.4137931034</x:v>
      </x:c>
      <x:c r="O4708" s="9" t="n">
        <x:v>-0.2694071612</x:v>
      </x:c>
      <x:c r="P4708" s="9" t="n">
        <x:v>0.0453531599</x:v>
      </x:c>
      <x:c r="Q4708" s="9" t="n">
        <x:v>0.292936803</x:v>
      </x:c>
      <x:c r="R4708" s="3" t="b">
        <x:v>0</x:v>
      </x:c>
      <x:c r="S4708" s="3" t="b">
        <x:v>0</x:v>
      </x:c>
      <x:c r="T4708" s="3" t="b">
        <x:v>0</x:v>
      </x:c>
      <x:c r="U4708" s="2" t="str">
        <x:f>IF(T4708=TRUE,"Priority review",IF(R4708=TRUE,"High cost",IF(S4708=TRUE,"Low quality","Benchmark")))</x:f>
        <x:v>Benchmark</x:v>
      </x:c>
    </x:row>
    <x:row r="4709">
      <x:c r="A4709" s="2" t="str">
        <x:v>194105</x:v>
      </x:c>
      <x:c r="B4709" s="2" t="str">
        <x:v>APOLLO BEHAVIORAL HEALTH HOSPITAL, L L C</x:v>
      </x:c>
      <x:c r="C4709" s="2" t="str">
        <x:v>BATON ROUGE</x:v>
      </x:c>
      <x:c r="D4709" s="2" t="str">
        <x:v>LA</x:v>
      </x:c>
      <x:c r="E4709" s="2" t="str">
        <x:v>Psychiatric</x:v>
      </x:c>
      <x:c r="F4709" s="2" t="str">
        <x:v>Proprietary</x:v>
      </x:c>
      <x:c r="G4709" s="2" t="str">
        <x:v>Small (&lt;100 beds)</x:v>
      </x:c>
      <x:c r="H4709" s="7"/>
      <x:c r="I4709" s="7"/>
      <x:c r="J4709" s="7"/>
      <x:c r="K4709" s="8" t="n">
        <x:v>24</x:v>
      </x:c>
      <x:c r="L4709" s="8" t="n">
        <x:v>1161</x:v>
      </x:c>
      <x:c r="M4709" s="9" t="n">
        <x:v>0.9493397086</x:v>
      </x:c>
      <x:c r="N4709" s="10" t="n">
        <x:v>5926.3557278208</x:v>
      </x:c>
      <x:c r="O4709" s="9" t="n">
        <x:v>-0.030020834</x:v>
      </x:c>
      <x:c r="P4709" s="9" t="n">
        <x:v>0.0453074434</x:v>
      </x:c>
      <x:c r="Q4709" s="9" t="n">
        <x:v>0</x:v>
      </x:c>
      <x:c r="R4709" s="3" t="b">
        <x:v>0</x:v>
      </x:c>
      <x:c r="S4709" s="3" t="b">
        <x:v>0</x:v>
      </x:c>
      <x:c r="T4709" s="3" t="b">
        <x:v>0</x:v>
      </x:c>
      <x:c r="U4709" s="2" t="str">
        <x:f>IF(T4709=TRUE,"Priority review",IF(R4709=TRUE,"High cost",IF(S4709=TRUE,"Low quality","Benchmark")))</x:f>
        <x:v>Benchmark</x:v>
      </x:c>
    </x:row>
    <x:row r="4710">
      <x:c r="A4710" s="2" t="str">
        <x:v>100124</x:v>
      </x:c>
      <x:c r="B4710" s="2" t="str">
        <x:v>SANTA ROSA MEDICAL CENTER</x:v>
      </x:c>
      <x:c r="C4710" s="2" t="str">
        <x:v>MILTON</x:v>
      </x:c>
      <x:c r="D4710" s="2" t="str">
        <x:v>FL</x:v>
      </x:c>
      <x:c r="E4710" s="2" t="str">
        <x:v>Acute Care Hospitals</x:v>
      </x:c>
      <x:c r="F4710" s="2" t="str">
        <x:v>Proprietary</x:v>
      </x:c>
      <x:c r="G4710" s="2" t="str">
        <x:v>Small (&lt;100 beds)</x:v>
      </x:c>
      <x:c r="H4710" s="7" t="n">
        <x:v>4</x:v>
      </x:c>
      <x:c r="I4710" s="7" t="n">
        <x:v>2</x:v>
      </x:c>
      <x:c r="J4710" s="7" t="n">
        <x:v>0.96</x:v>
      </x:c>
      <x:c r="K4710" s="8" t="n">
        <x:v>87</x:v>
      </x:c>
      <x:c r="L4710" s="8" t="n">
        <x:v>3967</x:v>
      </x:c>
      <x:c r="M4710" s="9" t="n">
        <x:v>0.4405605416</x:v>
      </x:c>
      <x:c r="N4710" s="10" t="n">
        <x:v>21736.2183009831</x:v>
      </x:c>
      <x:c r="O4710" s="9" t="n">
        <x:v>0.1815256367</x:v>
      </x:c>
      <x:c r="P4710" s="9" t="n">
        <x:v>0.0448833034</x:v>
      </x:c>
      <x:c r="Q4710" s="9" t="n">
        <x:v>0.3913824057</x:v>
      </x:c>
      <x:c r="R4710" s="3" t="b">
        <x:v>0</x:v>
      </x:c>
      <x:c r="S4710" s="3" t="b">
        <x:v>0</x:v>
      </x:c>
      <x:c r="T4710" s="3" t="b">
        <x:v>0</x:v>
      </x:c>
      <x:c r="U4710" s="2" t="str">
        <x:f>IF(T4710=TRUE,"Priority review",IF(R4710=TRUE,"High cost",IF(S4710=TRUE,"Low quality","Benchmark")))</x:f>
        <x:v>Benchmark</x:v>
      </x:c>
    </x:row>
    <x:row r="4711">
      <x:c r="A4711" s="2" t="str">
        <x:v>010046</x:v>
      </x:c>
      <x:c r="B4711" s="2" t="str">
        <x:v>RIVERVIEW REGIONAL MEDICAL CENTER</x:v>
      </x:c>
      <x:c r="C4711" s="2" t="str">
        <x:v>GADSDEN</x:v>
      </x:c>
      <x:c r="D4711" s="2" t="str">
        <x:v>AL</x:v>
      </x:c>
      <x:c r="E4711" s="2" t="str">
        <x:v>Acute Care Hospitals</x:v>
      </x:c>
      <x:c r="F4711" s="2" t="str">
        <x:v>Proprietary</x:v>
      </x:c>
      <x:c r="G4711" s="2" t="str">
        <x:v>Medium (100-299 beds)</x:v>
      </x:c>
      <x:c r="H4711" s="7" t="n">
        <x:v>3</x:v>
      </x:c>
      <x:c r="I4711" s="7" t="n">
        <x:v>3</x:v>
      </x:c>
      <x:c r="J4711" s="7" t="n">
        <x:v>0.97</x:v>
      </x:c>
      <x:c r="K4711" s="8" t="n">
        <x:v>141</x:v>
      </x:c>
      <x:c r="L4711" s="8" t="n">
        <x:v>8162</x:v>
      </x:c>
      <x:c r="M4711" s="9" t="n">
        <x:v>0.7415416812</x:v>
      </x:c>
      <x:c r="N4711" s="10" t="n">
        <x:v>15350.1372212693</x:v>
      </x:c>
      <x:c r="O4711" s="9" t="n">
        <x:v>0.0039516356</x:v>
      </x:c>
      <x:c r="P4711" s="9" t="n">
        <x:v>0.0448247759</x:v>
      </x:c>
      <x:c r="Q4711" s="9" t="n">
        <x:v>0.3023634882</x:v>
      </x:c>
      <x:c r="R4711" s="3" t="b">
        <x:v>0</x:v>
      </x:c>
      <x:c r="S4711" s="3" t="b">
        <x:v>0</x:v>
      </x:c>
      <x:c r="T4711" s="3" t="b">
        <x:v>0</x:v>
      </x:c>
      <x:c r="U4711" s="2" t="str">
        <x:f>IF(T4711=TRUE,"Priority review",IF(R4711=TRUE,"High cost",IF(S4711=TRUE,"Low quality","Benchmark")))</x:f>
        <x:v>Benchmark</x:v>
      </x:c>
    </x:row>
    <x:row r="4712">
      <x:c r="A4712" s="2" t="str">
        <x:v>104069</x:v>
      </x:c>
      <x:c r="B4712" s="2" t="str">
        <x:v>WEKIVA SPRINGS</x:v>
      </x:c>
      <x:c r="C4712" s="2" t="str">
        <x:v>JACKSONVILLE</x:v>
      </x:c>
      <x:c r="D4712" s="2" t="str">
        <x:v>FL</x:v>
      </x:c>
      <x:c r="E4712" s="2" t="str">
        <x:v>Psychiatric</x:v>
      </x:c>
      <x:c r="F4712" s="2" t="str">
        <x:v>Proprietary</x:v>
      </x:c>
      <x:c r="G4712" s="2" t="str">
        <x:v>Medium (100-299 beds)</x:v>
      </x:c>
      <x:c r="H4712" s="7"/>
      <x:c r="I4712" s="7"/>
      <x:c r="J4712" s="7"/>
      <x:c r="K4712" s="8" t="n">
        <x:v>120</x:v>
      </x:c>
      <x:c r="L4712" s="8" t="n">
        <x:v>3384</x:v>
      </x:c>
      <x:c r="M4712" s="9" t="n">
        <x:v>0.5248178506</x:v>
      </x:c>
      <x:c r="N4712" s="10" t="n">
        <x:v>5096.8605200946</x:v>
      </x:c>
      <x:c r="O4712" s="9" t="n">
        <x:v>0.0852949172</x:v>
      </x:c>
      <x:c r="P4712" s="9" t="n">
        <x:v>0.0447761194</x:v>
      </x:c>
      <x:c r="Q4712" s="9" t="n">
        <x:v>0</x:v>
      </x:c>
      <x:c r="R4712" s="3" t="b">
        <x:v>0</x:v>
      </x:c>
      <x:c r="S4712" s="3" t="b">
        <x:v>0</x:v>
      </x:c>
      <x:c r="T4712" s="3" t="b">
        <x:v>0</x:v>
      </x:c>
      <x:c r="U4712" s="2" t="str">
        <x:f>IF(T4712=TRUE,"Priority review",IF(R4712=TRUE,"High cost",IF(S4712=TRUE,"Low quality","Benchmark")))</x:f>
        <x:v>Benchmark</x:v>
      </x:c>
    </x:row>
    <x:row r="4713">
      <x:c r="A4713" s="2" t="str">
        <x:v>291313</x:v>
      </x:c>
      <x:c r="B4713" s="2" t="str">
        <x:v>BANNER CHURCHILL COMMUNITY HOSPITAL</x:v>
      </x:c>
      <x:c r="C4713" s="2" t="str">
        <x:v>FALLON</x:v>
      </x:c>
      <x:c r="D4713" s="2" t="str">
        <x:v>NV</x:v>
      </x:c>
      <x:c r="E4713" s="2" t="str">
        <x:v>Critical Access Hospitals</x:v>
      </x:c>
      <x:c r="F4713" s="2" t="str">
        <x:v>Voluntary non-profit</x:v>
      </x:c>
      <x:c r="G4713" s="2" t="str">
        <x:v>Small (&lt;100 beds)</x:v>
      </x:c>
      <x:c r="H4713" s="7" t="n">
        <x:v>2</x:v>
      </x:c>
      <x:c r="I4713" s="7" t="n">
        <x:v>4</x:v>
      </x:c>
      <x:c r="J4713" s="7"/>
      <x:c r="K4713" s="8" t="n">
        <x:v>25</x:v>
      </x:c>
      <x:c r="L4713" s="8" t="n">
        <x:v>1476</x:v>
      </x:c>
      <x:c r="M4713" s="9" t="n">
        <x:v>0.5742076503</x:v>
      </x:c>
      <x:c r="N4713" s="10" t="n">
        <x:v>48274.9695121951</x:v>
      </x:c>
      <x:c r="O4713" s="9" t="n">
        <x:v>0.045421032</x:v>
      </x:c>
      <x:c r="P4713" s="9" t="n">
        <x:v>0.0446096654</x:v>
      </x:c>
      <x:c r="Q4713" s="9" t="n">
        <x:v>0.0171003717</x:v>
      </x:c>
      <x:c r="R4713" s="3" t="b">
        <x:v>0</x:v>
      </x:c>
      <x:c r="S4713" s="3" t="b">
        <x:v>1</x:v>
      </x:c>
      <x:c r="T4713" s="3" t="b">
        <x:v>0</x:v>
      </x:c>
      <x:c r="U4713" s="2" t="str">
        <x:f>IF(T4713=TRUE,"Priority review",IF(R4713=TRUE,"High cost",IF(S4713=TRUE,"Low quality","Benchmark")))</x:f>
        <x:v>Low quality</x:v>
      </x:c>
    </x:row>
    <x:row r="4714">
      <x:c r="A4714" s="2" t="str">
        <x:v>450651</x:v>
      </x:c>
      <x:c r="B4714" s="2" t="str">
        <x:v>MEDICAL CITY PLANO</x:v>
      </x:c>
      <x:c r="C4714" s="2" t="str">
        <x:v>PLANO</x:v>
      </x:c>
      <x:c r="D4714" s="2" t="str">
        <x:v>TX</x:v>
      </x:c>
      <x:c r="E4714" s="2" t="str">
        <x:v>Acute Care Hospitals</x:v>
      </x:c>
      <x:c r="F4714" s="2" t="str">
        <x:v>Proprietary</x:v>
      </x:c>
      <x:c r="G4714" s="2" t="str">
        <x:v>Large (300+ beds)</x:v>
      </x:c>
      <x:c r="H4714" s="7" t="n">
        <x:v>3</x:v>
      </x:c>
      <x:c r="I4714" s="7" t="n">
        <x:v>2</x:v>
      </x:c>
      <x:c r="J4714" s="7" t="n">
        <x:v>1.11</x:v>
      </x:c>
      <x:c r="K4714" s="8" t="n">
        <x:v>576</x:v>
      </x:c>
      <x:c r="L4714" s="8" t="n">
        <x:v>32987</x:v>
      </x:c>
      <x:c r="M4714" s="9" t="n">
        <x:v>0.7986554542</x:v>
      </x:c>
      <x:c r="N4714" s="10" t="n">
        <x:v>18594.8697062479</x:v>
      </x:c>
      <x:c r="O4714" s="9" t="n">
        <x:v>0.3990201214</x:v>
      </x:c>
      <x:c r="P4714" s="9" t="n">
        <x:v>0.0441640379</x:v>
      </x:c>
      <x:c r="Q4714" s="9" t="n">
        <x:v>0.2570977918</x:v>
      </x:c>
      <x:c r="R4714" s="3" t="b">
        <x:v>0</x:v>
      </x:c>
      <x:c r="S4714" s="3" t="b">
        <x:v>0</x:v>
      </x:c>
      <x:c r="T4714" s="3" t="b">
        <x:v>0</x:v>
      </x:c>
      <x:c r="U4714" s="2" t="str">
        <x:f>IF(T4714=TRUE,"Priority review",IF(R4714=TRUE,"High cost",IF(S4714=TRUE,"Low quality","Benchmark")))</x:f>
        <x:v>Benchmark</x:v>
      </x:c>
    </x:row>
    <x:row r="4715">
      <x:c r="A4715" s="2" t="str">
        <x:v>450176</x:v>
      </x:c>
      <x:c r="B4715" s="2" t="str">
        <x:v>MISSION REGIONAL MEDICAL CENTER</x:v>
      </x:c>
      <x:c r="C4715" s="2" t="str">
        <x:v>MISSION</x:v>
      </x:c>
      <x:c r="D4715" s="2" t="str">
        <x:v>TX</x:v>
      </x:c>
      <x:c r="E4715" s="2" t="str">
        <x:v>Acute Care Hospitals</x:v>
      </x:c>
      <x:c r="F4715" s="2" t="str">
        <x:v>Voluntary non-profit</x:v>
      </x:c>
      <x:c r="G4715" s="2" t="str">
        <x:v>Medium (100-299 beds)</x:v>
      </x:c>
      <x:c r="H4715" s="7" t="n">
        <x:v>4</x:v>
      </x:c>
      <x:c r="I4715" s="7" t="n">
        <x:v>3</x:v>
      </x:c>
      <x:c r="J4715" s="7" t="n">
        <x:v>0.95</x:v>
      </x:c>
      <x:c r="K4715" s="8" t="n">
        <x:v>204</x:v>
      </x:c>
      <x:c r="L4715" s="8" t="n">
        <x:v>9186</x:v>
      </x:c>
      <x:c r="M4715" s="9" t="n">
        <x:v>0.5350637523</x:v>
      </x:c>
      <x:c r="N4715" s="10" t="n">
        <x:v>15246.6176790769</x:v>
      </x:c>
      <x:c r="O4715" s="9" t="n">
        <x:v>0.0322587577</x:v>
      </x:c>
      <x:c r="P4715" s="9" t="n">
        <x:v>0.04400978</x:v>
      </x:c>
      <x:c r="Q4715" s="9" t="n">
        <x:v>0.6022819886</x:v>
      </x:c>
      <x:c r="R4715" s="3" t="b">
        <x:v>0</x:v>
      </x:c>
      <x:c r="S4715" s="3" t="b">
        <x:v>0</x:v>
      </x:c>
      <x:c r="T4715" s="3" t="b">
        <x:v>0</x:v>
      </x:c>
      <x:c r="U4715" s="2" t="str">
        <x:f>IF(T4715=TRUE,"Priority review",IF(R4715=TRUE,"High cost",IF(S4715=TRUE,"Low quality","Benchmark")))</x:f>
        <x:v>Benchmark</x:v>
      </x:c>
    </x:row>
    <x:row r="4716">
      <x:c r="A4716" s="2" t="str">
        <x:v>110027</x:v>
      </x:c>
      <x:c r="B4716" s="2" t="str">
        <x:v>TY COBB REGIONAL MEDICAL CENTER, LLC</x:v>
      </x:c>
      <x:c r="C4716" s="2" t="str">
        <x:v>LAVONIA</x:v>
      </x:c>
      <x:c r="D4716" s="2" t="str">
        <x:v>GA</x:v>
      </x:c>
      <x:c r="E4716" s="2" t="str">
        <x:v>Acute Care Hospitals</x:v>
      </x:c>
      <x:c r="F4716" s="2" t="str">
        <x:v>Voluntary non-profit</x:v>
      </x:c>
      <x:c r="G4716" s="2" t="str">
        <x:v>Small (&lt;100 beds)</x:v>
      </x:c>
      <x:c r="H4716" s="7" t="n">
        <x:v>3</x:v>
      </x:c>
      <x:c r="I4716" s="7" t="n">
        <x:v>4</x:v>
      </x:c>
      <x:c r="J4716" s="7" t="n">
        <x:v>0.95</x:v>
      </x:c>
      <x:c r="K4716" s="8" t="n">
        <x:v>56</x:v>
      </x:c>
      <x:c r="L4716" s="8" t="n">
        <x:v>2267</x:v>
      </x:c>
      <x:c r="M4716" s="9" t="n">
        <x:v>0.3467221135</x:v>
      </x:c>
      <x:c r="N4716" s="10" t="n">
        <x:v>21664.1521835024</x:v>
      </x:c>
      <x:c r="O4716" s="9" t="n">
        <x:v>-0.1075433709</x:v>
      </x:c>
      <x:c r="P4716" s="9" t="n">
        <x:v>0.0439856373</x:v>
      </x:c>
      <x:c r="Q4716" s="9" t="n">
        <x:v>0.1687612208</x:v>
      </x:c>
      <x:c r="R4716" s="3" t="b">
        <x:v>0</x:v>
      </x:c>
      <x:c r="S4716" s="3" t="b">
        <x:v>0</x:v>
      </x:c>
      <x:c r="T4716" s="3" t="b">
        <x:v>0</x:v>
      </x:c>
      <x:c r="U4716" s="2" t="str">
        <x:f>IF(T4716=TRUE,"Priority review",IF(R4716=TRUE,"High cost",IF(S4716=TRUE,"Low quality","Benchmark")))</x:f>
        <x:v>Benchmark</x:v>
      </x:c>
    </x:row>
    <x:row r="4717">
      <x:c r="A4717" s="2" t="str">
        <x:v>171375</x:v>
      </x:c>
      <x:c r="B4717" s="2" t="str">
        <x:v>MITCHELL COUNTY HOSPITAL HEALTH SYSTEMS</x:v>
      </x:c>
      <x:c r="C4717" s="2" t="str">
        <x:v>BELOIT</x:v>
      </x:c>
      <x:c r="D4717" s="2" t="str">
        <x:v>KS</x:v>
      </x:c>
      <x:c r="E4717" s="2" t="str">
        <x:v>Critical Access Hospitals</x:v>
      </x:c>
      <x:c r="F4717" s="2" t="str">
        <x:v>Government</x:v>
      </x:c>
      <x:c r="G4717" s="2" t="str">
        <x:v>Small (&lt;100 beds)</x:v>
      </x:c>
      <x:c r="H4717" s="7" t="n">
        <x:v>3</x:v>
      </x:c>
      <x:c r="I4717" s="7" t="n">
        <x:v>5</x:v>
      </x:c>
      <x:c r="J4717" s="7"/>
      <x:c r="K4717" s="8" t="n">
        <x:v>25</x:v>
      </x:c>
      <x:c r="L4717" s="8" t="n">
        <x:v>646</x:v>
      </x:c>
      <x:c r="M4717" s="9" t="n">
        <x:v>0.5795068493</x:v>
      </x:c>
      <x:c r="N4717" s="10" t="n">
        <x:v>47895.1996904025</x:v>
      </x:c>
      <x:c r="O4717" s="9" t="n">
        <x:v>-0.0025977855</x:v>
      </x:c>
      <x:c r="P4717" s="9" t="n">
        <x:v>0.043866171</x:v>
      </x:c>
      <x:c r="Q4717" s="9" t="n">
        <x:v>0.0765799257</x:v>
      </x:c>
      <x:c r="R4717" s="3" t="b">
        <x:v>0</x:v>
      </x:c>
      <x:c r="S4717" s="3" t="b">
        <x:v>1</x:v>
      </x:c>
      <x:c r="T4717" s="3" t="b">
        <x:v>0</x:v>
      </x:c>
      <x:c r="U4717" s="2" t="str">
        <x:f>IF(T4717=TRUE,"Priority review",IF(R4717=TRUE,"High cost",IF(S4717=TRUE,"Low quality","Benchmark")))</x:f>
        <x:v>Low quality</x:v>
      </x:c>
    </x:row>
    <x:row r="4718">
      <x:c r="A4718" s="2" t="str">
        <x:v>400019</x:v>
      </x:c>
      <x:c r="B4718" s="2" t="str">
        <x:v>HOSPITAL PAVIA SANTURCE</x:v>
      </x:c>
      <x:c r="C4718" s="2" t="str">
        <x:v>SAN JUAN</x:v>
      </x:c>
      <x:c r="D4718" s="2" t="str">
        <x:v>PR</x:v>
      </x:c>
      <x:c r="E4718" s="2" t="str">
        <x:v>Acute Care Hospitals</x:v>
      </x:c>
      <x:c r="F4718" s="2" t="str">
        <x:v>Proprietary</x:v>
      </x:c>
      <x:c r="G4718" s="2" t="str">
        <x:v>Medium (100-299 beds)</x:v>
      </x:c>
      <x:c r="H4718" s="7" t="n">
        <x:v>1</x:v>
      </x:c>
      <x:c r="I4718" s="7"/>
      <x:c r="J4718" s="7"/>
      <x:c r="K4718" s="8" t="n">
        <x:v>156</x:v>
      </x:c>
      <x:c r="L4718" s="8" t="n">
        <x:v>7317</x:v>
      </x:c>
      <x:c r="M4718" s="9" t="n">
        <x:v>0.7662533277</x:v>
      </x:c>
      <x:c r="N4718" s="10" t="n">
        <x:v>15173.184228509</x:v>
      </x:c>
      <x:c r="O4718" s="9" t="n">
        <x:v>-0.0599935447</x:v>
      </x:c>
      <x:c r="P4718" s="9" t="n">
        <x:v>0.043194784</x:v>
      </x:c>
      <x:c r="Q4718" s="9" t="n">
        <x:v>0</x:v>
      </x:c>
      <x:c r="R4718" s="3" t="b">
        <x:v>0</x:v>
      </x:c>
      <x:c r="S4718" s="3" t="b">
        <x:v>1</x:v>
      </x:c>
      <x:c r="T4718" s="3" t="b">
        <x:v>0</x:v>
      </x:c>
      <x:c r="U4718" s="2" t="str">
        <x:f>IF(T4718=TRUE,"Priority review",IF(R4718=TRUE,"High cost",IF(S4718=TRUE,"Low quality","Benchmark")))</x:f>
        <x:v>Low quality</x:v>
      </x:c>
    </x:row>
    <x:row r="4719">
      <x:c r="A4719" s="2" t="str">
        <x:v>261311</x:v>
      </x:c>
      <x:c r="B4719" s="2" t="str">
        <x:v>MERCY HOSPITAL PERRY</x:v>
      </x:c>
      <x:c r="C4719" s="2" t="str">
        <x:v>PERRYVILLE</x:v>
      </x:c>
      <x:c r="D4719" s="2" t="str">
        <x:v>MO</x:v>
      </x:c>
      <x:c r="E4719" s="2" t="str">
        <x:v>Critical Access Hospitals</x:v>
      </x:c>
      <x:c r="F4719" s="2" t="str">
        <x:v>Voluntary non-profit</x:v>
      </x:c>
      <x:c r="G4719" s="2" t="str">
        <x:v>Small (&lt;100 beds)</x:v>
      </x:c>
      <x:c r="H4719" s="7" t="n">
        <x:v>2</x:v>
      </x:c>
      <x:c r="I4719" s="7" t="n">
        <x:v>4</x:v>
      </x:c>
      <x:c r="J4719" s="7"/>
      <x:c r="K4719" s="8" t="n">
        <x:v>25</x:v>
      </x:c>
      <x:c r="L4719" s="8" t="n">
        <x:v>1464</x:v>
      </x:c>
      <x:c r="M4719" s="9" t="n">
        <x:v>0.7000547945</x:v>
      </x:c>
      <x:c r="N4719" s="10" t="n">
        <x:v>47771.3230874317</x:v>
      </x:c>
      <x:c r="O4719" s="9" t="n">
        <x:v>0.1025045291</x:v>
      </x:c>
      <x:c r="P4719" s="9" t="n">
        <x:v>0.0431226766</x:v>
      </x:c>
      <x:c r="Q4719" s="9" t="n">
        <x:v>0.0171003717</x:v>
      </x:c>
      <x:c r="R4719" s="3" t="b">
        <x:v>0</x:v>
      </x:c>
      <x:c r="S4719" s="3" t="b">
        <x:v>1</x:v>
      </x:c>
      <x:c r="T4719" s="3" t="b">
        <x:v>0</x:v>
      </x:c>
      <x:c r="U4719" s="2" t="str">
        <x:f>IF(T4719=TRUE,"Priority review",IF(R4719=TRUE,"High cost",IF(S4719=TRUE,"Low quality","Benchmark")))</x:f>
        <x:v>Low quality</x:v>
      </x:c>
    </x:row>
    <x:row r="4720">
      <x:c r="A4720" s="2" t="str">
        <x:v>010097</x:v>
      </x:c>
      <x:c r="B4720" s="2" t="str">
        <x:v>ELMORE COMMUNITY HOSPITAL</x:v>
      </x:c>
      <x:c r="C4720" s="2" t="str">
        <x:v>WETUMPKA</x:v>
      </x:c>
      <x:c r="D4720" s="2" t="str">
        <x:v>AL</x:v>
      </x:c>
      <x:c r="E4720" s="2" t="str">
        <x:v>Acute Care Hospitals</x:v>
      </x:c>
      <x:c r="F4720" s="2" t="str">
        <x:v>Proprietary</x:v>
      </x:c>
      <x:c r="G4720" s="2" t="str">
        <x:v>Small (&lt;100 beds)</x:v>
      </x:c>
      <x:c r="H4720" s="7"/>
      <x:c r="I4720" s="7"/>
      <x:c r="J4720" s="7" t="n">
        <x:v>0.84</x:v>
      </x:c>
      <x:c r="K4720" s="8" t="n">
        <x:v>33</x:v>
      </x:c>
      <x:c r="L4720" s="8" t="n">
        <x:v>861</x:v>
      </x:c>
      <x:c r="M4720" s="9" t="n">
        <x:v>0.2589004802</x:v>
      </x:c>
      <x:c r="N4720" s="10" t="n">
        <x:v>21427.8885017422</x:v>
      </x:c>
      <x:c r="O4720" s="9" t="n">
        <x:v>-0.1146422869</x:v>
      </x:c>
      <x:c r="P4720" s="9" t="n">
        <x:v>0.0430879713</x:v>
      </x:c>
      <x:c r="Q4720" s="9" t="n">
        <x:v>0.697486535</x:v>
      </x:c>
      <x:c r="R4720" s="3" t="b">
        <x:v>0</x:v>
      </x:c>
      <x:c r="S4720" s="3" t="b">
        <x:v>0</x:v>
      </x:c>
      <x:c r="T4720" s="3" t="b">
        <x:v>0</x:v>
      </x:c>
      <x:c r="U4720" s="2" t="str">
        <x:f>IF(T4720=TRUE,"Priority review",IF(R4720=TRUE,"High cost",IF(S4720=TRUE,"Low quality","Benchmark")))</x:f>
        <x:v>Benchmark</x:v>
      </x:c>
    </x:row>
    <x:row r="4721">
      <x:c r="A4721" s="2" t="str">
        <x:v>420085</x:v>
      </x:c>
      <x:c r="B4721" s="2" t="str">
        <x:v>GRAND STRAND REGIONAL MEDICAL CENTER</x:v>
      </x:c>
      <x:c r="C4721" s="2" t="str">
        <x:v>MYRTLE BEACH</x:v>
      </x:c>
      <x:c r="D4721" s="2" t="str">
        <x:v>SC</x:v>
      </x:c>
      <x:c r="E4721" s="2" t="str">
        <x:v>Acute Care Hospitals</x:v>
      </x:c>
      <x:c r="F4721" s="2" t="str">
        <x:v>Proprietary</x:v>
      </x:c>
      <x:c r="G4721" s="2" t="str">
        <x:v>Large (300+ beds)</x:v>
      </x:c>
      <x:c r="H4721" s="7" t="n">
        <x:v>2</x:v>
      </x:c>
      <x:c r="I4721" s="7" t="n">
        <x:v>3</x:v>
      </x:c>
      <x:c r="J4721" s="7" t="n">
        <x:v>0.96</x:v>
      </x:c>
      <x:c r="K4721" s="8" t="n">
        <x:v>355</x:v>
      </x:c>
      <x:c r="L4721" s="8" t="n">
        <x:v>24509</x:v>
      </x:c>
      <x:c r="M4721" s="9" t="n">
        <x:v>0.8815328861</x:v>
      </x:c>
      <x:c r="N4721" s="10" t="n">
        <x:v>18388.3752907095</x:v>
      </x:c>
      <x:c r="O4721" s="9" t="n">
        <x:v>0.3951842821</x:v>
      </x:c>
      <x:c r="P4721" s="9" t="n">
        <x:v>0.0425867508</x:v>
      </x:c>
      <x:c r="Q4721" s="9" t="n">
        <x:v>0.0536277603</x:v>
      </x:c>
      <x:c r="R4721" s="3" t="b">
        <x:v>0</x:v>
      </x:c>
      <x:c r="S4721" s="3" t="b">
        <x:v>1</x:v>
      </x:c>
      <x:c r="T4721" s="3" t="b">
        <x:v>0</x:v>
      </x:c>
      <x:c r="U4721" s="2" t="str">
        <x:f>IF(T4721=TRUE,"Priority review",IF(R4721=TRUE,"High cost",IF(S4721=TRUE,"Low quality","Benchmark")))</x:f>
        <x:v>Low quality</x:v>
      </x:c>
    </x:row>
    <x:row r="4722">
      <x:c r="A4722" s="2" t="str">
        <x:v>050663</x:v>
      </x:c>
      <x:c r="B4722" s="2" t="str">
        <x:v>LOS ANGELES COMMUNITY HOSPITAL</x:v>
      </x:c>
      <x:c r="C4722" s="2" t="str">
        <x:v>LOS ANGELES</x:v>
      </x:c>
      <x:c r="D4722" s="2" t="str">
        <x:v>CA</x:v>
      </x:c>
      <x:c r="E4722" s="2" t="str">
        <x:v>Acute Care Hospitals</x:v>
      </x:c>
      <x:c r="F4722" s="2" t="str">
        <x:v>Proprietary</x:v>
      </x:c>
      <x:c r="G4722" s="2" t="str">
        <x:v>Medium (100-299 beds)</x:v>
      </x:c>
      <x:c r="H4722" s="7" t="n">
        <x:v>3</x:v>
      </x:c>
      <x:c r="I4722" s="7" t="n">
        <x:v>1</x:v>
      </x:c>
      <x:c r="J4722" s="7" t="n">
        <x:v>1.38</x:v>
      </x:c>
      <x:c r="K4722" s="8" t="n">
        <x:v>173</x:v>
      </x:c>
      <x:c r="L4722" s="8" t="n">
        <x:v>11624</x:v>
      </x:c>
      <x:c r="M4722" s="9" t="n">
        <x:v>0.8093117281</x:v>
      </x:c>
      <x:c r="N4722" s="10" t="n">
        <x:v>14854.7072436339</x:v>
      </x:c>
      <x:c r="O4722" s="9" t="n">
        <x:v>-0.1122650048</x:v>
      </x:c>
      <x:c r="P4722" s="9" t="n">
        <x:v>0.0423797881</x:v>
      </x:c>
      <x:c r="Q4722" s="9" t="n">
        <x:v>0.3023634882</x:v>
      </x:c>
      <x:c r="R4722" s="3" t="b">
        <x:v>0</x:v>
      </x:c>
      <x:c r="S4722" s="3" t="b">
        <x:v>0</x:v>
      </x:c>
      <x:c r="T4722" s="3" t="b">
        <x:v>0</x:v>
      </x:c>
      <x:c r="U4722" s="2" t="str">
        <x:f>IF(T4722=TRUE,"Priority review",IF(R4722=TRUE,"High cost",IF(S4722=TRUE,"Low quality","Benchmark")))</x:f>
        <x:v>Benchmark</x:v>
      </x:c>
    </x:row>
    <x:row r="4723">
      <x:c r="A4723" s="2" t="str">
        <x:v>341314</x:v>
      </x:c>
      <x:c r="B4723" s="2" t="str">
        <x:v>WASHINGTON COUNTY HOSP INC</x:v>
      </x:c>
      <x:c r="C4723" s="2" t="str">
        <x:v>PLYMOUTH</x:v>
      </x:c>
      <x:c r="D4723" s="2" t="str">
        <x:v>NC</x:v>
      </x:c>
      <x:c r="E4723" s="2" t="str">
        <x:v>Critical Access Hospitals</x:v>
      </x:c>
      <x:c r="F4723" s="2" t="str">
        <x:v>Proprietary</x:v>
      </x:c>
      <x:c r="G4723" s="2" t="str">
        <x:v>Small (&lt;100 beds)</x:v>
      </x:c>
      <x:c r="H4723" s="7"/>
      <x:c r="I4723" s="7"/>
      <x:c r="J4723" s="7"/>
      <x:c r="K4723" s="8" t="n">
        <x:v>25</x:v>
      </x:c>
      <x:c r="L4723" s="8" t="n">
        <x:v>327</x:v>
      </x:c>
      <x:c r="M4723" s="9" t="n">
        <x:v>0.1807650273</x:v>
      </x:c>
      <x:c r="N4723" s="10" t="n">
        <x:v>47594.4403669725</x:v>
      </x:c>
      <x:c r="O4723" s="9" t="n">
        <x:v>-0.139102414</x:v>
      </x:c>
      <x:c r="P4723" s="9" t="n">
        <x:v>0.0423791822</x:v>
      </x:c>
      <x:c r="Q4723" s="9" t="n">
        <x:v>0.292936803</x:v>
      </x:c>
      <x:c r="R4723" s="3" t="b">
        <x:v>0</x:v>
      </x:c>
      <x:c r="S4723" s="3" t="b">
        <x:v>0</x:v>
      </x:c>
      <x:c r="T4723" s="3" t="b">
        <x:v>0</x:v>
      </x:c>
      <x:c r="U4723" s="2" t="str">
        <x:f>IF(T4723=TRUE,"Priority review",IF(R4723=TRUE,"High cost",IF(S4723=TRUE,"Low quality","Benchmark")))</x:f>
        <x:v>Benchmark</x:v>
      </x:c>
    </x:row>
    <x:row r="4724">
      <x:c r="A4724" s="2" t="str">
        <x:v>670090</x:v>
      </x:c>
      <x:c r="B4724" s="2" t="str">
        <x:v>CRESCENT MEDICAL CENTER LANCASTER</x:v>
      </x:c>
      <x:c r="C4724" s="2" t="str">
        <x:v>LANCASTER</x:v>
      </x:c>
      <x:c r="D4724" s="2" t="str">
        <x:v>TX</x:v>
      </x:c>
      <x:c r="E4724" s="2" t="str">
        <x:v>Acute Care Hospitals</x:v>
      </x:c>
      <x:c r="F4724" s="2" t="str">
        <x:v>Proprietary</x:v>
      </x:c>
      <x:c r="G4724" s="2" t="str">
        <x:v>Small (&lt;100 beds)</x:v>
      </x:c>
      <x:c r="H4724" s="7" t="n">
        <x:v>2</x:v>
      </x:c>
      <x:c r="I4724" s="7"/>
      <x:c r="J4724" s="7" t="n">
        <x:v>1.11</x:v>
      </x:c>
      <x:c r="K4724" s="8" t="n">
        <x:v>84</x:v>
      </x:c>
      <x:c r="L4724" s="8" t="n">
        <x:v>2253</x:v>
      </x:c>
      <x:c r="M4724" s="9" t="n">
        <x:v>0.3471571689</x:v>
      </x:c>
      <x:c r="N4724" s="10" t="n">
        <x:v>21417.982689747</x:v>
      </x:c>
      <x:c r="O4724" s="9" t="n">
        <x:v>0.0250883987</x:v>
      </x:c>
      <x:c r="P4724" s="9" t="n">
        <x:v>0.0421903052</x:v>
      </x:c>
      <x:c r="Q4724" s="9" t="n">
        <x:v>0.0350089767</x:v>
      </x:c>
      <x:c r="R4724" s="3" t="b">
        <x:v>0</x:v>
      </x:c>
      <x:c r="S4724" s="3" t="b">
        <x:v>1</x:v>
      </x:c>
      <x:c r="T4724" s="3" t="b">
        <x:v>0</x:v>
      </x:c>
      <x:c r="U4724" s="2" t="str">
        <x:f>IF(T4724=TRUE,"Priority review",IF(R4724=TRUE,"High cost",IF(S4724=TRUE,"Low quality","Benchmark")))</x:f>
        <x:v>Low quality</x:v>
      </x:c>
    </x:row>
    <x:row r="4725">
      <x:c r="A4725" s="2" t="str">
        <x:v>104016</x:v>
      </x:c>
      <x:c r="B4725" s="2" t="str">
        <x:v>RIVER POINT BEHAVIORAL HEALTH</x:v>
      </x:c>
      <x:c r="C4725" s="2" t="str">
        <x:v>JACKSONVILLE</x:v>
      </x:c>
      <x:c r="D4725" s="2" t="str">
        <x:v>FL</x:v>
      </x:c>
      <x:c r="E4725" s="2" t="str">
        <x:v>Psychiatric</x:v>
      </x:c>
      <x:c r="F4725" s="2" t="str">
        <x:v>Proprietary</x:v>
      </x:c>
      <x:c r="G4725" s="2" t="str">
        <x:v>Small (&lt;100 beds)</x:v>
      </x:c>
      <x:c r="H4725" s="7"/>
      <x:c r="I4725" s="7"/>
      <x:c r="J4725" s="7"/>
      <x:c r="K4725" s="8" t="n">
        <x:v>84</x:v>
      </x:c>
      <x:c r="L4725" s="8" t="n">
        <x:v>3051</x:v>
      </x:c>
      <x:c r="M4725" s="9" t="n">
        <x:v>0.7318330072</x:v>
      </x:c>
      <x:c r="N4725" s="10" t="n">
        <x:v>5809.2376270075</x:v>
      </x:c>
      <x:c r="O4725" s="9" t="n">
        <x:v>0.1393457497</x:v>
      </x:c>
      <x:c r="P4725" s="9" t="n">
        <x:v>0.0420711974</x:v>
      </x:c>
      <x:c r="Q4725" s="9" t="n">
        <x:v>0</x:v>
      </x:c>
      <x:c r="R4725" s="3" t="b">
        <x:v>0</x:v>
      </x:c>
      <x:c r="S4725" s="3" t="b">
        <x:v>0</x:v>
      </x:c>
      <x:c r="T4725" s="3" t="b">
        <x:v>0</x:v>
      </x:c>
      <x:c r="U4725" s="2" t="str">
        <x:f>IF(T4725=TRUE,"Priority review",IF(R4725=TRUE,"High cost",IF(S4725=TRUE,"Low quality","Benchmark")))</x:f>
        <x:v>Benchmark</x:v>
      </x:c>
    </x:row>
    <x:row r="4726">
      <x:c r="A4726" s="2" t="str">
        <x:v>013301</x:v>
      </x:c>
      <x:c r="B4726" s="2" t="str">
        <x:v>USA HEALTH CHILDREN'S &amp; WOMEN'S HOSPITAL</x:v>
      </x:c>
      <x:c r="C4726" s="2" t="str">
        <x:v>MOBILE</x:v>
      </x:c>
      <x:c r="D4726" s="2" t="str">
        <x:v>AL</x:v>
      </x:c>
      <x:c r="E4726" s="2" t="str">
        <x:v>Childrens</x:v>
      </x:c>
      <x:c r="F4726" s="2" t="str">
        <x:v>Government</x:v>
      </x:c>
      <x:c r="G4726" s="2" t="str">
        <x:v>Medium (100-299 beds)</x:v>
      </x:c>
      <x:c r="H4726" s="7"/>
      <x:c r="I4726" s="7"/>
      <x:c r="J4726" s="7"/>
      <x:c r="K4726" s="8" t="n">
        <x:v>245</x:v>
      </x:c>
      <x:c r="L4726" s="8" t="n">
        <x:v>10647</x:v>
      </x:c>
      <x:c r="M4726" s="9" t="n">
        <x:v>0.6991189919</x:v>
      </x:c>
      <x:c r="N4726" s="10" t="n">
        <x:v>25710.6934347704</x:v>
      </x:c>
      <x:c r="O4726" s="9" t="n">
        <x:v>0.1144037968</x:v>
      </x:c>
      <x:c r="P4726" s="9" t="n">
        <x:v>0.0416666667</x:v>
      </x:c>
      <x:c r="Q4726" s="9" t="n">
        <x:v>0</x:v>
      </x:c>
      <x:c r="R4726" s="3" t="b">
        <x:v>0</x:v>
      </x:c>
      <x:c r="S4726" s="3" t="b">
        <x:v>0</x:v>
      </x:c>
      <x:c r="T4726" s="3" t="b">
        <x:v>0</x:v>
      </x:c>
      <x:c r="U4726" s="2" t="str">
        <x:f>IF(T4726=TRUE,"Priority review",IF(R4726=TRUE,"High cost",IF(S4726=TRUE,"Low quality","Benchmark")))</x:f>
        <x:v>Benchmark</x:v>
      </x:c>
    </x:row>
    <x:row r="4727">
      <x:c r="A4727" s="2" t="str">
        <x:v>051323</x:v>
      </x:c>
      <x:c r="B4727" s="2" t="str">
        <x:v>COLORADO RIVER MEDICAL CENTER</x:v>
      </x:c>
      <x:c r="C4727" s="2" t="str">
        <x:v>NEEDLES</x:v>
      </x:c>
      <x:c r="D4727" s="2" t="str">
        <x:v>CA</x:v>
      </x:c>
      <x:c r="E4727" s="2" t="str">
        <x:v>Critical Access Hospitals</x:v>
      </x:c>
      <x:c r="F4727" s="2" t="str">
        <x:v>Voluntary non-profit</x:v>
      </x:c>
      <x:c r="G4727" s="2" t="str">
        <x:v>Small (&lt;100 beds)</x:v>
      </x:c>
      <x:c r="H4727" s="7"/>
      <x:c r="I4727" s="7"/>
      <x:c r="J4727" s="7"/>
      <x:c r="K4727" s="8" t="n">
        <x:v>25</x:v>
      </x:c>
      <x:c r="L4727" s="8" t="n">
        <x:v>203</x:v>
      </x:c>
      <x:c r="M4727" s="9" t="n">
        <x:v>0.0421857923</x:v>
      </x:c>
      <x:c r="N4727" s="10" t="n">
        <x:v>46930.0886699507</x:v>
      </x:c>
      <x:c r="O4727" s="9" t="n">
        <x:v>0.0169145292</x:v>
      </x:c>
      <x:c r="P4727" s="9" t="n">
        <x:v>0.0416356877</x:v>
      </x:c>
      <x:c r="Q4727" s="9" t="n">
        <x:v>0.292936803</x:v>
      </x:c>
      <x:c r="R4727" s="3" t="b">
        <x:v>0</x:v>
      </x:c>
      <x:c r="S4727" s="3" t="b">
        <x:v>0</x:v>
      </x:c>
      <x:c r="T4727" s="3" t="b">
        <x:v>0</x:v>
      </x:c>
      <x:c r="U4727" s="2" t="str">
        <x:f>IF(T4727=TRUE,"Priority review",IF(R4727=TRUE,"High cost",IF(S4727=TRUE,"Low quality","Benchmark")))</x:f>
        <x:v>Benchmark</x:v>
      </x:c>
    </x:row>
    <x:row r="4728">
      <x:c r="A4728" s="2" t="str">
        <x:v>050763</x:v>
      </x:c>
      <x:c r="B4728" s="2" t="str">
        <x:v>L A DOWNTOWN MEDICAL CENTER</x:v>
      </x:c>
      <x:c r="C4728" s="2" t="str">
        <x:v>LOS ANGELES</x:v>
      </x:c>
      <x:c r="D4728" s="2" t="str">
        <x:v>CA</x:v>
      </x:c>
      <x:c r="E4728" s="2" t="str">
        <x:v>Acute Care Hospitals</x:v>
      </x:c>
      <x:c r="F4728" s="2" t="str">
        <x:v>Proprietary</x:v>
      </x:c>
      <x:c r="G4728" s="2" t="str">
        <x:v>Medium (100-299 beds)</x:v>
      </x:c>
      <x:c r="H4728" s="7" t="n">
        <x:v>3</x:v>
      </x:c>
      <x:c r="I4728" s="7"/>
      <x:c r="J4728" s="7" t="n">
        <x:v>1.29</x:v>
      </x:c>
      <x:c r="K4728" s="8" t="n">
        <x:v>282</x:v>
      </x:c>
      <x:c r="L4728" s="8" t="n">
        <x:v>6575</x:v>
      </x:c>
      <x:c r="M4728" s="9" t="n">
        <x:v>0.6330659226</x:v>
      </x:c>
      <x:c r="N4728" s="10" t="n">
        <x:v>14831.9574144487</x:v>
      </x:c>
      <x:c r="O4728" s="9" t="n">
        <x:v>0.1675250487</x:v>
      </x:c>
      <x:c r="P4728" s="9" t="n">
        <x:v>0.0415647922</x:v>
      </x:c>
      <x:c r="Q4728" s="9" t="n">
        <x:v>0.3023634882</x:v>
      </x:c>
      <x:c r="R4728" s="3" t="b">
        <x:v>0</x:v>
      </x:c>
      <x:c r="S4728" s="3" t="b">
        <x:v>0</x:v>
      </x:c>
      <x:c r="T4728" s="3" t="b">
        <x:v>0</x:v>
      </x:c>
      <x:c r="U4728" s="2" t="str">
        <x:f>IF(T4728=TRUE,"Priority review",IF(R4728=TRUE,"High cost",IF(S4728=TRUE,"Low quality","Benchmark")))</x:f>
        <x:v>Benchmark</x:v>
      </x:c>
    </x:row>
    <x:row r="4729">
      <x:c r="A4729" s="2" t="str">
        <x:v>450822</x:v>
      </x:c>
      <x:c r="B4729" s="2" t="str">
        <x:v>MEDICAL CITY LAS COLINAS</x:v>
      </x:c>
      <x:c r="C4729" s="2" t="str">
        <x:v>IRVING</x:v>
      </x:c>
      <x:c r="D4729" s="2" t="str">
        <x:v>TX</x:v>
      </x:c>
      <x:c r="E4729" s="2" t="str">
        <x:v>Acute Care Hospitals</x:v>
      </x:c>
      <x:c r="F4729" s="2" t="str">
        <x:v>Proprietary</x:v>
      </x:c>
      <x:c r="G4729" s="2" t="str">
        <x:v>Small (&lt;100 beds)</x:v>
      </x:c>
      <x:c r="H4729" s="7" t="n">
        <x:v>4</x:v>
      </x:c>
      <x:c r="I4729" s="7" t="n">
        <x:v>2</x:v>
      </x:c>
      <x:c r="J4729" s="7" t="n">
        <x:v>0.98</x:v>
      </x:c>
      <x:c r="K4729" s="8" t="n">
        <x:v>80</x:v>
      </x:c>
      <x:c r="L4729" s="8" t="n">
        <x:v>4913</x:v>
      </x:c>
      <x:c r="M4729" s="9" t="n">
        <x:v>0.6170423497</x:v>
      </x:c>
      <x:c r="N4729" s="10" t="n">
        <x:v>21394.0109912477</x:v>
      </x:c>
      <x:c r="O4729" s="9" t="n">
        <x:v>0.1882402437</x:v>
      </x:c>
      <x:c r="P4729" s="9" t="n">
        <x:v>0.0412926391</x:v>
      </x:c>
      <x:c r="Q4729" s="9" t="n">
        <x:v>0.3913824057</x:v>
      </x:c>
      <x:c r="R4729" s="3" t="b">
        <x:v>0</x:v>
      </x:c>
      <x:c r="S4729" s="3" t="b">
        <x:v>0</x:v>
      </x:c>
      <x:c r="T4729" s="3" t="b">
        <x:v>0</x:v>
      </x:c>
      <x:c r="U4729" s="2" t="str">
        <x:f>IF(T4729=TRUE,"Priority review",IF(R4729=TRUE,"High cost",IF(S4729=TRUE,"Low quality","Benchmark")))</x:f>
        <x:v>Benchmark</x:v>
      </x:c>
    </x:row>
    <x:row r="4730">
      <x:c r="A4730" s="2" t="str">
        <x:v>100231</x:v>
      </x:c>
      <x:c r="B4730" s="2" t="str">
        <x:v>HCA FLORIDA WEST HOSPITAL</x:v>
      </x:c>
      <x:c r="C4730" s="2" t="str">
        <x:v>PENSACOLA</x:v>
      </x:c>
      <x:c r="D4730" s="2" t="str">
        <x:v>FL</x:v>
      </x:c>
      <x:c r="E4730" s="2" t="str">
        <x:v>Acute Care Hospitals</x:v>
      </x:c>
      <x:c r="F4730" s="2" t="str">
        <x:v>Proprietary</x:v>
      </x:c>
      <x:c r="G4730" s="2" t="str">
        <x:v>Large (300+ beds)</x:v>
      </x:c>
      <x:c r="H4730" s="7" t="n">
        <x:v>3</x:v>
      </x:c>
      <x:c r="I4730" s="7" t="n">
        <x:v>3</x:v>
      </x:c>
      <x:c r="J4730" s="7" t="n">
        <x:v>1.02</x:v>
      </x:c>
      <x:c r="K4730" s="8" t="n">
        <x:v>354</x:v>
      </x:c>
      <x:c r="L4730" s="8" t="n">
        <x:v>16840</x:v>
      </x:c>
      <x:c r="M4730" s="9" t="n">
        <x:v>0.5633310115</x:v>
      </x:c>
      <x:c r="N4730" s="10" t="n">
        <x:v>18208.8972090261</x:v>
      </x:c>
      <x:c r="O4730" s="9" t="n">
        <x:v>0.3306672883</x:v>
      </x:c>
      <x:c r="P4730" s="9" t="n">
        <x:v>0.0410094637</x:v>
      </x:c>
      <x:c r="Q4730" s="9" t="n">
        <x:v>0.2570977918</x:v>
      </x:c>
      <x:c r="R4730" s="3" t="b">
        <x:v>0</x:v>
      </x:c>
      <x:c r="S4730" s="3" t="b">
        <x:v>0</x:v>
      </x:c>
      <x:c r="T4730" s="3" t="b">
        <x:v>0</x:v>
      </x:c>
      <x:c r="U4730" s="2" t="str">
        <x:f>IF(T4730=TRUE,"Priority review",IF(R4730=TRUE,"High cost",IF(S4730=TRUE,"Low quality","Benchmark")))</x:f>
        <x:v>Benchmark</x:v>
      </x:c>
    </x:row>
    <x:row r="4731">
      <x:c r="A4731" s="2" t="str">
        <x:v>181301</x:v>
      </x:c>
      <x:c r="B4731" s="2" t="str">
        <x:v>MARCUM AND WALLACE MEMORIAL HOSPITAL</x:v>
      </x:c>
      <x:c r="C4731" s="2" t="str">
        <x:v>IRVINE</x:v>
      </x:c>
      <x:c r="D4731" s="2" t="str">
        <x:v>KY</x:v>
      </x:c>
      <x:c r="E4731" s="2" t="str">
        <x:v>Critical Access Hospitals</x:v>
      </x:c>
      <x:c r="F4731" s="2" t="str">
        <x:v>Voluntary non-profit</x:v>
      </x:c>
      <x:c r="G4731" s="2" t="str">
        <x:v>Small (&lt;100 beds)</x:v>
      </x:c>
      <x:c r="H4731" s="7" t="n">
        <x:v>4</x:v>
      </x:c>
      <x:c r="I4731" s="7"/>
      <x:c r="J4731" s="7"/>
      <x:c r="K4731" s="8" t="n">
        <x:v>25</x:v>
      </x:c>
      <x:c r="L4731" s="8" t="n">
        <x:v>618</x:v>
      </x:c>
      <x:c r="M4731" s="9" t="n">
        <x:v>0.3226229508</x:v>
      </x:c>
      <x:c r="N4731" s="10" t="n">
        <x:v>46461.4563106796</x:v>
      </x:c>
      <x:c r="O4731" s="9" t="n">
        <x:v>0.0611823555</x:v>
      </x:c>
      <x:c r="P4731" s="9" t="n">
        <x:v>0.0408921933</x:v>
      </x:c>
      <x:c r="Q4731" s="9" t="n">
        <x:v>0.1657992565</x:v>
      </x:c>
      <x:c r="R4731" s="3" t="b">
        <x:v>0</x:v>
      </x:c>
      <x:c r="S4731" s="3" t="b">
        <x:v>0</x:v>
      </x:c>
      <x:c r="T4731" s="3" t="b">
        <x:v>0</x:v>
      </x:c>
      <x:c r="U4731" s="2" t="str">
        <x:f>IF(T4731=TRUE,"Priority review",IF(R4731=TRUE,"High cost",IF(S4731=TRUE,"Low quality","Benchmark")))</x:f>
        <x:v>Benchmark</x:v>
      </x:c>
    </x:row>
    <x:row r="4732">
      <x:c r="A4732" s="2" t="str">
        <x:v>400018</x:v>
      </x:c>
      <x:c r="B4732" s="2" t="str">
        <x:v>HOSPITAL MENONITA DE AIBONITO</x:v>
      </x:c>
      <x:c r="C4732" s="2" t="str">
        <x:v>AIBONITO</x:v>
      </x:c>
      <x:c r="D4732" s="2" t="str">
        <x:v>PR</x:v>
      </x:c>
      <x:c r="E4732" s="2" t="str">
        <x:v>Acute Care Hospitals</x:v>
      </x:c>
      <x:c r="F4732" s="2" t="str">
        <x:v>Voluntary non-profit</x:v>
      </x:c>
      <x:c r="G4732" s="2" t="str">
        <x:v>Medium (100-299 beds)</x:v>
      </x:c>
      <x:c r="H4732" s="7"/>
      <x:c r="I4732" s="7"/>
      <x:c r="J4732" s="7"/>
      <x:c r="K4732" s="8" t="n">
        <x:v>125</x:v>
      </x:c>
      <x:c r="L4732" s="8" t="n">
        <x:v>5635</x:v>
      </x:c>
      <x:c r="M4732" s="9" t="n">
        <x:v>0.5863232877</x:v>
      </x:c>
      <x:c r="N4732" s="10" t="n">
        <x:v>14741.1652173913</x:v>
      </x:c>
      <x:c r="O4732" s="9" t="n">
        <x:v>0.1200195737</x:v>
      </x:c>
      <x:c r="P4732" s="9" t="n">
        <x:v>0.0407497963</x:v>
      </x:c>
      <x:c r="Q4732" s="9" t="n">
        <x:v>0.9616951915</x:v>
      </x:c>
      <x:c r="R4732" s="3" t="b">
        <x:v>0</x:v>
      </x:c>
      <x:c r="S4732" s="3" t="b">
        <x:v>0</x:v>
      </x:c>
      <x:c r="T4732" s="3" t="b">
        <x:v>0</x:v>
      </x:c>
      <x:c r="U4732" s="2" t="str">
        <x:f>IF(T4732=TRUE,"Priority review",IF(R4732=TRUE,"High cost",IF(S4732=TRUE,"Low quality","Benchmark")))</x:f>
        <x:v>Benchmark</x:v>
      </x:c>
    </x:row>
    <x:row r="4733">
      <x:c r="A4733" s="2" t="str">
        <x:v>440110</x:v>
      </x:c>
      <x:c r="B4733" s="2" t="str">
        <x:v>FORT LOUDOUN MEDICAL CENTER</x:v>
      </x:c>
      <x:c r="C4733" s="2" t="str">
        <x:v>LENOIR CITY</x:v>
      </x:c>
      <x:c r="D4733" s="2" t="str">
        <x:v>TN</x:v>
      </x:c>
      <x:c r="E4733" s="2" t="str">
        <x:v>Acute Care Hospitals</x:v>
      </x:c>
      <x:c r="F4733" s="2" t="str">
        <x:v>Voluntary non-profit</x:v>
      </x:c>
      <x:c r="G4733" s="2" t="str">
        <x:v>Small (&lt;100 beds)</x:v>
      </x:c>
      <x:c r="H4733" s="7" t="n">
        <x:v>4</x:v>
      </x:c>
      <x:c r="I4733" s="7" t="n">
        <x:v>3</x:v>
      </x:c>
      <x:c r="J4733" s="7" t="n">
        <x:v>1.03</x:v>
      </x:c>
      <x:c r="K4733" s="8" t="n">
        <x:v>30</x:v>
      </x:c>
      <x:c r="L4733" s="8" t="n">
        <x:v>2059</x:v>
      </x:c>
      <x:c r="M4733" s="9" t="n">
        <x:v>0.762295082</x:v>
      </x:c>
      <x:c r="N4733" s="10" t="n">
        <x:v>21336.6624575036</x:v>
      </x:c>
      <x:c r="O4733" s="9" t="n">
        <x:v>0.0958498757</x:v>
      </x:c>
      <x:c r="P4733" s="9" t="n">
        <x:v>0.0403949731</x:v>
      </x:c>
      <x:c r="Q4733" s="9" t="n">
        <x:v>0.3913824057</x:v>
      </x:c>
      <x:c r="R4733" s="3" t="b">
        <x:v>0</x:v>
      </x:c>
      <x:c r="S4733" s="3" t="b">
        <x:v>0</x:v>
      </x:c>
      <x:c r="T4733" s="3" t="b">
        <x:v>0</x:v>
      </x:c>
      <x:c r="U4733" s="2" t="str">
        <x:f>IF(T4733=TRUE,"Priority review",IF(R4733=TRUE,"High cost",IF(S4733=TRUE,"Low quality","Benchmark")))</x:f>
        <x:v>Benchmark</x:v>
      </x:c>
    </x:row>
    <x:row r="4734">
      <x:c r="A4734" s="2" t="str">
        <x:v>451380</x:v>
      </x:c>
      <x:c r="B4734" s="2" t="str">
        <x:v>UT HEALTH EAST TEXAS QUITMAN HOSPITAL</x:v>
      </x:c>
      <x:c r="C4734" s="2" t="str">
        <x:v>QUITMAN</x:v>
      </x:c>
      <x:c r="D4734" s="2" t="str">
        <x:v>TX</x:v>
      </x:c>
      <x:c r="E4734" s="2" t="str">
        <x:v>Critical Access Hospitals</x:v>
      </x:c>
      <x:c r="F4734" s="2" t="str">
        <x:v>Voluntary non-profit</x:v>
      </x:c>
      <x:c r="G4734" s="2" t="str">
        <x:v>Small (&lt;100 beds)</x:v>
      </x:c>
      <x:c r="H4734" s="7" t="n">
        <x:v>4</x:v>
      </x:c>
      <x:c r="I4734" s="7" t="n">
        <x:v>4</x:v>
      </x:c>
      <x:c r="J4734" s="7"/>
      <x:c r="K4734" s="8" t="n">
        <x:v>25</x:v>
      </x:c>
      <x:c r="L4734" s="8" t="n">
        <x:v>872</x:v>
      </x:c>
      <x:c r="M4734" s="9" t="n">
        <x:v>0.5192328767</x:v>
      </x:c>
      <x:c r="N4734" s="10" t="n">
        <x:v>46121.3279816514</x:v>
      </x:c>
      <x:c r="O4734" s="9" t="n">
        <x:v>0.0861096167</x:v>
      </x:c>
      <x:c r="P4734" s="9" t="n">
        <x:v>0.0401486989</x:v>
      </x:c>
      <x:c r="Q4734" s="9" t="n">
        <x:v>0.1657992565</x:v>
      </x:c>
      <x:c r="R4734" s="3" t="b">
        <x:v>0</x:v>
      </x:c>
      <x:c r="S4734" s="3" t="b">
        <x:v>0</x:v>
      </x:c>
      <x:c r="T4734" s="3" t="b">
        <x:v>0</x:v>
      </x:c>
      <x:c r="U4734" s="2" t="str">
        <x:f>IF(T4734=TRUE,"Priority review",IF(R4734=TRUE,"High cost",IF(S4734=TRUE,"Low quality","Benchmark")))</x:f>
        <x:v>Benchmark</x:v>
      </x:c>
    </x:row>
    <x:row r="4735">
      <x:c r="A4735" s="2" t="str">
        <x:v>214000</x:v>
      </x:c>
      <x:c r="B4735" s="2" t="str">
        <x:v>SHEPPARD AND ENOCH PRATT HOSPITAL, THE</x:v>
      </x:c>
      <x:c r="C4735" s="2" t="str">
        <x:v>BALTIMORE</x:v>
      </x:c>
      <x:c r="D4735" s="2" t="str">
        <x:v>MD</x:v>
      </x:c>
      <x:c r="E4735" s="2" t="str">
        <x:v>Psychiatric</x:v>
      </x:c>
      <x:c r="F4735" s="2" t="str">
        <x:v>Voluntary non-profit</x:v>
      </x:c>
      <x:c r="G4735" s="2" t="str">
        <x:v>Large (300+ beds)</x:v>
      </x:c>
      <x:c r="H4735" s="7"/>
      <x:c r="I4735" s="7"/>
      <x:c r="J4735" s="7"/>
      <x:c r="K4735" s="8" t="n">
        <x:v>354</x:v>
      </x:c>
      <x:c r="L4735" s="8" t="n">
        <x:v>7511</x:v>
      </x:c>
      <x:c r="M4735" s="9" t="n">
        <x:v>0.8228310502</x:v>
      </x:c>
      <x:c r="N4735" s="10" t="n">
        <x:v>41299.1047796565</x:v>
      </x:c>
      <x:c r="O4735" s="9" t="n">
        <x:v>-0.6744868802</x:v>
      </x:c>
      <x:c r="P4735" s="9" t="n">
        <x:v>0.04</x:v>
      </x:c>
      <x:c r="Q4735" s="9" t="n">
        <x:v>0</x:v>
      </x:c>
      <x:c r="R4735" s="3" t="b">
        <x:v>0</x:v>
      </x:c>
      <x:c r="S4735" s="3" t="b">
        <x:v>0</x:v>
      </x:c>
      <x:c r="T4735" s="3" t="b">
        <x:v>0</x:v>
      </x:c>
      <x:c r="U4735" s="2" t="str">
        <x:f>IF(T4735=TRUE,"Priority review",IF(R4735=TRUE,"High cost",IF(S4735=TRUE,"Low quality","Benchmark")))</x:f>
        <x:v>Benchmark</x:v>
      </x:c>
    </x:row>
    <x:row r="4736">
      <x:c r="A4736" s="2" t="str">
        <x:v>100189</x:v>
      </x:c>
      <x:c r="B4736" s="2" t="str">
        <x:v>HCA FLORIDA NORTHWEST HOSPITAL</x:v>
      </x:c>
      <x:c r="C4736" s="2" t="str">
        <x:v>MARGATE</x:v>
      </x:c>
      <x:c r="D4736" s="2" t="str">
        <x:v>FL</x:v>
      </x:c>
      <x:c r="E4736" s="2" t="str">
        <x:v>Acute Care Hospitals</x:v>
      </x:c>
      <x:c r="F4736" s="2" t="str">
        <x:v>Proprietary</x:v>
      </x:c>
      <x:c r="G4736" s="2" t="str">
        <x:v>Medium (100-299 beds)</x:v>
      </x:c>
      <x:c r="H4736" s="7" t="n">
        <x:v>2</x:v>
      </x:c>
      <x:c r="I4736" s="7" t="n">
        <x:v>1</x:v>
      </x:c>
      <x:c r="J4736" s="7" t="n">
        <x:v>1.01</x:v>
      </x:c>
      <x:c r="K4736" s="8" t="n">
        <x:v>289</x:v>
      </x:c>
      <x:c r="L4736" s="8" t="n">
        <x:v>15725</x:v>
      </x:c>
      <x:c r="M4736" s="9" t="n">
        <x:v>0.5959782177</x:v>
      </x:c>
      <x:c r="N4736" s="10" t="n">
        <x:v>14686.7939586645</x:v>
      </x:c>
      <x:c r="O4736" s="9" t="n">
        <x:v>0.2838013031</x:v>
      </x:c>
      <x:c r="P4736" s="9" t="n">
        <x:v>0.0399348003</x:v>
      </x:c>
      <x:c r="Q4736" s="9" t="n">
        <x:v>0.0782396088</x:v>
      </x:c>
      <x:c r="R4736" s="3" t="b">
        <x:v>0</x:v>
      </x:c>
      <x:c r="S4736" s="3" t="b">
        <x:v>1</x:v>
      </x:c>
      <x:c r="T4736" s="3" t="b">
        <x:v>0</x:v>
      </x:c>
      <x:c r="U4736" s="2" t="str">
        <x:f>IF(T4736=TRUE,"Priority review",IF(R4736=TRUE,"High cost",IF(S4736=TRUE,"Low quality","Benchmark")))</x:f>
        <x:v>Low quality</x:v>
      </x:c>
    </x:row>
    <x:row r="4737">
      <x:c r="A4737" s="2" t="str">
        <x:v>194114</x:v>
      </x:c>
      <x:c r="B4737" s="2" t="str">
        <x:v>RIVER PLACE BEHAVIORAL HEALTH</x:v>
      </x:c>
      <x:c r="C4737" s="2" t="str">
        <x:v>LAPLACE</x:v>
      </x:c>
      <x:c r="D4737" s="2" t="str">
        <x:v>LA</x:v>
      </x:c>
      <x:c r="E4737" s="2" t="str">
        <x:v>Psychiatric</x:v>
      </x:c>
      <x:c r="F4737" s="2" t="str">
        <x:v>Proprietary</x:v>
      </x:c>
      <x:c r="G4737" s="2" t="str">
        <x:v>Medium (100-299 beds)</x:v>
      </x:c>
      <x:c r="H4737" s="7"/>
      <x:c r="I4737" s="7"/>
      <x:c r="J4737" s="7"/>
      <x:c r="K4737" s="8" t="n">
        <x:v>104</x:v>
      </x:c>
      <x:c r="L4737" s="8" t="n">
        <x:v>3719</x:v>
      </x:c>
      <x:c r="M4737" s="9" t="n">
        <x:v>0.7421448087</x:v>
      </x:c>
      <x:c r="N4737" s="10" t="n">
        <x:v>5081.0919602044</x:v>
      </x:c>
      <x:c r="O4737" s="9" t="n">
        <x:v>0.2186566857</x:v>
      </x:c>
      <x:c r="P4737" s="9" t="n">
        <x:v>0.039800995</x:v>
      </x:c>
      <x:c r="Q4737" s="9" t="n">
        <x:v>0</x:v>
      </x:c>
      <x:c r="R4737" s="3" t="b">
        <x:v>0</x:v>
      </x:c>
      <x:c r="S4737" s="3" t="b">
        <x:v>0</x:v>
      </x:c>
      <x:c r="T4737" s="3" t="b">
        <x:v>0</x:v>
      </x:c>
      <x:c r="U4737" s="2" t="str">
        <x:f>IF(T4737=TRUE,"Priority review",IF(R4737=TRUE,"High cost",IF(S4737=TRUE,"Low quality","Benchmark")))</x:f>
        <x:v>Benchmark</x:v>
      </x:c>
    </x:row>
    <x:row r="4738">
      <x:c r="A4738" s="2" t="str">
        <x:v>440018</x:v>
      </x:c>
      <x:c r="B4738" s="2" t="str">
        <x:v>SYCAMORE SHOALS HOSPITAL</x:v>
      </x:c>
      <x:c r="C4738" s="2" t="str">
        <x:v>ELIZABETHTON</x:v>
      </x:c>
      <x:c r="D4738" s="2" t="str">
        <x:v>TN</x:v>
      </x:c>
      <x:c r="E4738" s="2" t="str">
        <x:v>Acute Care Hospitals</x:v>
      </x:c>
      <x:c r="F4738" s="2" t="str">
        <x:v>Voluntary non-profit</x:v>
      </x:c>
      <x:c r="G4738" s="2" t="str">
        <x:v>Small (&lt;100 beds)</x:v>
      </x:c>
      <x:c r="H4738" s="7" t="n">
        <x:v>2</x:v>
      </x:c>
      <x:c r="I4738" s="7" t="n">
        <x:v>4</x:v>
      </x:c>
      <x:c r="J4738" s="7" t="n">
        <x:v>1.1</x:v>
      </x:c>
      <x:c r="K4738" s="8" t="n">
        <x:v>59</x:v>
      </x:c>
      <x:c r="L4738" s="8" t="n">
        <x:v>2811</x:v>
      </x:c>
      <x:c r="M4738" s="9" t="n">
        <x:v>0.5509635477</x:v>
      </x:c>
      <x:c r="N4738" s="10" t="n">
        <x:v>21310.3247954465</x:v>
      </x:c>
      <x:c r="O4738" s="9" t="n">
        <x:v>-0.131423468</x:v>
      </x:c>
      <x:c r="P4738" s="9" t="n">
        <x:v>0.039497307</x:v>
      </x:c>
      <x:c r="Q4738" s="9" t="n">
        <x:v>0.0350089767</x:v>
      </x:c>
      <x:c r="R4738" s="3" t="b">
        <x:v>0</x:v>
      </x:c>
      <x:c r="S4738" s="3" t="b">
        <x:v>1</x:v>
      </x:c>
      <x:c r="T4738" s="3" t="b">
        <x:v>0</x:v>
      </x:c>
      <x:c r="U4738" s="2" t="str">
        <x:f>IF(T4738=TRUE,"Priority review",IF(R4738=TRUE,"High cost",IF(S4738=TRUE,"Low quality","Benchmark")))</x:f>
        <x:v>Low quality</x:v>
      </x:c>
    </x:row>
    <x:row r="4739">
      <x:c r="A4739" s="2" t="str">
        <x:v>190026</x:v>
      </x:c>
      <x:c r="B4739" s="2" t="str">
        <x:v>RAPIDES REGIONAL MEDICAL CENTER</x:v>
      </x:c>
      <x:c r="C4739" s="2" t="str">
        <x:v>ALEXANDRIA</x:v>
      </x:c>
      <x:c r="D4739" s="2" t="str">
        <x:v>LA</x:v>
      </x:c>
      <x:c r="E4739" s="2" t="str">
        <x:v>Acute Care Hospitals</x:v>
      </x:c>
      <x:c r="F4739" s="2" t="str">
        <x:v>Proprietary</x:v>
      </x:c>
      <x:c r="G4739" s="2" t="str">
        <x:v>Large (300+ beds)</x:v>
      </x:c>
      <x:c r="H4739" s="7" t="n">
        <x:v>2</x:v>
      </x:c>
      <x:c r="I4739" s="7" t="n">
        <x:v>2</x:v>
      </x:c>
      <x:c r="J4739" s="7" t="n">
        <x:v>1.07</x:v>
      </x:c>
      <x:c r="K4739" s="8" t="n">
        <x:v>375</x:v>
      </x:c>
      <x:c r="L4739" s="8" t="n">
        <x:v>13806</x:v>
      </x:c>
      <x:c r="M4739" s="9" t="n">
        <x:v>0.5320947177</x:v>
      </x:c>
      <x:c r="N4739" s="10" t="n">
        <x:v>18080.1846298711</x:v>
      </x:c>
      <x:c r="O4739" s="9" t="n">
        <x:v>0.1663375446</x:v>
      </x:c>
      <x:c r="P4739" s="9" t="n">
        <x:v>0.0394321767</x:v>
      </x:c>
      <x:c r="Q4739" s="9" t="n">
        <x:v>0.0536277603</x:v>
      </x:c>
      <x:c r="R4739" s="3" t="b">
        <x:v>0</x:v>
      </x:c>
      <x:c r="S4739" s="3" t="b">
        <x:v>1</x:v>
      </x:c>
      <x:c r="T4739" s="3" t="b">
        <x:v>0</x:v>
      </x:c>
      <x:c r="U4739" s="2" t="str">
        <x:f>IF(T4739=TRUE,"Priority review",IF(R4739=TRUE,"High cost",IF(S4739=TRUE,"Low quality","Benchmark")))</x:f>
        <x:v>Low quality</x:v>
      </x:c>
    </x:row>
    <x:row r="4740">
      <x:c r="A4740" s="2" t="str">
        <x:v>451367</x:v>
      </x:c>
      <x:c r="B4740" s="2" t="str">
        <x:v>UT HEALTH EAST TEXAS PITTSBURG HOSPITAL</x:v>
      </x:c>
      <x:c r="C4740" s="2" t="str">
        <x:v>PITTSBURG</x:v>
      </x:c>
      <x:c r="D4740" s="2" t="str">
        <x:v>TX</x:v>
      </x:c>
      <x:c r="E4740" s="2" t="str">
        <x:v>Critical Access Hospitals</x:v>
      </x:c>
      <x:c r="F4740" s="2" t="str">
        <x:v>Proprietary</x:v>
      </x:c>
      <x:c r="G4740" s="2" t="str">
        <x:v>Small (&lt;100 beds)</x:v>
      </x:c>
      <x:c r="H4740" s="7" t="n">
        <x:v>3</x:v>
      </x:c>
      <x:c r="I4740" s="7" t="n">
        <x:v>5</x:v>
      </x:c>
      <x:c r="J4740" s="7"/>
      <x:c r="K4740" s="8" t="n">
        <x:v>25</x:v>
      </x:c>
      <x:c r="L4740" s="8" t="n">
        <x:v>752</x:v>
      </x:c>
      <x:c r="M4740" s="9" t="n">
        <x:v>0.3582513661</x:v>
      </x:c>
      <x:c r="N4740" s="10" t="n">
        <x:v>46056.6569148936</x:v>
      </x:c>
      <x:c r="O4740" s="9" t="n">
        <x:v>0.0560782818</x:v>
      </x:c>
      <x:c r="P4740" s="9" t="n">
        <x:v>0.0394052045</x:v>
      </x:c>
      <x:c r="Q4740" s="9" t="n">
        <x:v>0.0765799257</x:v>
      </x:c>
      <x:c r="R4740" s="3" t="b">
        <x:v>0</x:v>
      </x:c>
      <x:c r="S4740" s="3" t="b">
        <x:v>1</x:v>
      </x:c>
      <x:c r="T4740" s="3" t="b">
        <x:v>0</x:v>
      </x:c>
      <x:c r="U4740" s="2" t="str">
        <x:f>IF(T4740=TRUE,"Priority review",IF(R4740=TRUE,"High cost",IF(S4740=TRUE,"Low quality","Benchmark")))</x:f>
        <x:v>Low quality</x:v>
      </x:c>
    </x:row>
    <x:row r="4741">
      <x:c r="A4741" s="2" t="str">
        <x:v>100071</x:v>
      </x:c>
      <x:c r="B4741" s="2" t="str">
        <x:v>TAMPA GENERAL HOSPITAL BROOKSVILLE</x:v>
      </x:c>
      <x:c r="C4741" s="2" t="str">
        <x:v>BROOKSVILLE</x:v>
      </x:c>
      <x:c r="D4741" s="2" t="str">
        <x:v>FL</x:v>
      </x:c>
      <x:c r="E4741" s="2" t="str">
        <x:v>Acute Care Hospitals</x:v>
      </x:c>
      <x:c r="F4741" s="2" t="str">
        <x:v>Voluntary non-profit</x:v>
      </x:c>
      <x:c r="G4741" s="2" t="str">
        <x:v>Medium (100-299 beds)</x:v>
      </x:c>
      <x:c r="H4741" s="7" t="n">
        <x:v>1</x:v>
      </x:c>
      <x:c r="I4741" s="7" t="n">
        <x:v>1</x:v>
      </x:c>
      <x:c r="J4741" s="7" t="n">
        <x:v>1.04</x:v>
      </x:c>
      <x:c r="K4741" s="8" t="n">
        <x:v>244</x:v>
      </x:c>
      <x:c r="L4741" s="8" t="n">
        <x:v>10967</x:v>
      </x:c>
      <x:c r="M4741" s="9" t="n">
        <x:v>0.5092582639</x:v>
      </x:c>
      <x:c r="N4741" s="10" t="n">
        <x:v>14512.6202243093</x:v>
      </x:c>
      <x:c r="O4741" s="9" t="n">
        <x:v>-0.033303993</x:v>
      </x:c>
      <x:c r="P4741" s="9" t="n">
        <x:v>0.0391198044</x:v>
      </x:c>
      <x:c r="Q4741" s="9" t="n">
        <x:v>0</x:v>
      </x:c>
      <x:c r="R4741" s="3" t="b">
        <x:v>0</x:v>
      </x:c>
      <x:c r="S4741" s="3" t="b">
        <x:v>1</x:v>
      </x:c>
      <x:c r="T4741" s="3" t="b">
        <x:v>0</x:v>
      </x:c>
      <x:c r="U4741" s="2" t="str">
        <x:f>IF(T4741=TRUE,"Priority review",IF(R4741=TRUE,"High cost",IF(S4741=TRUE,"Low quality","Benchmark")))</x:f>
        <x:v>Low quality</x:v>
      </x:c>
    </x:row>
    <x:row r="4742">
      <x:c r="A4742" s="2" t="str">
        <x:v>154041</x:v>
      </x:c>
      <x:c r="B4742" s="2" t="str">
        <x:v>BLOOMINGTON MEADOWS HOSPITAL</x:v>
      </x:c>
      <x:c r="C4742" s="2" t="str">
        <x:v>BLOOMINGTON</x:v>
      </x:c>
      <x:c r="D4742" s="2" t="str">
        <x:v>IN</x:v>
      </x:c>
      <x:c r="E4742" s="2" t="str">
        <x:v>Psychiatric</x:v>
      </x:c>
      <x:c r="F4742" s="2" t="str">
        <x:v>Proprietary</x:v>
      </x:c>
      <x:c r="G4742" s="2" t="str">
        <x:v>Small (&lt;100 beds)</x:v>
      </x:c>
      <x:c r="H4742" s="7"/>
      <x:c r="I4742" s="7"/>
      <x:c r="J4742" s="7"/>
      <x:c r="K4742" s="8" t="n">
        <x:v>78</x:v>
      </x:c>
      <x:c r="L4742" s="8" t="n">
        <x:v>2590</x:v>
      </x:c>
      <x:c r="M4742" s="9" t="n">
        <x:v>0.6011629536</x:v>
      </x:c>
      <x:c r="N4742" s="10" t="n">
        <x:v>5710.3694980695</x:v>
      </x:c>
      <x:c r="O4742" s="9" t="n">
        <x:v>0.2442709152</x:v>
      </x:c>
      <x:c r="P4742" s="9" t="n">
        <x:v>0.0388349515</x:v>
      </x:c>
      <x:c r="Q4742" s="9" t="n">
        <x:v>0</x:v>
      </x:c>
      <x:c r="R4742" s="3" t="b">
        <x:v>0</x:v>
      </x:c>
      <x:c r="S4742" s="3" t="b">
        <x:v>0</x:v>
      </x:c>
      <x:c r="T4742" s="3" t="b">
        <x:v>0</x:v>
      </x:c>
      <x:c r="U4742" s="2" t="str">
        <x:f>IF(T4742=TRUE,"Priority review",IF(R4742=TRUE,"High cost",IF(S4742=TRUE,"Low quality","Benchmark")))</x:f>
        <x:v>Benchmark</x:v>
      </x:c>
    </x:row>
    <x:row r="4743">
      <x:c r="A4743" s="2" t="str">
        <x:v>171383</x:v>
      </x:c>
      <x:c r="B4743" s="2" t="str">
        <x:v>WILLIAM NEWTON HOSPITAL</x:v>
      </x:c>
      <x:c r="C4743" s="2" t="str">
        <x:v>WINFIELD</x:v>
      </x:c>
      <x:c r="D4743" s="2" t="str">
        <x:v>KS</x:v>
      </x:c>
      <x:c r="E4743" s="2" t="str">
        <x:v>Critical Access Hospitals</x:v>
      </x:c>
      <x:c r="F4743" s="2" t="str">
        <x:v>Government</x:v>
      </x:c>
      <x:c r="G4743" s="2" t="str">
        <x:v>Small (&lt;100 beds)</x:v>
      </x:c>
      <x:c r="H4743" s="7" t="n">
        <x:v>4</x:v>
      </x:c>
      <x:c r="I4743" s="7"/>
      <x:c r="J4743" s="7"/>
      <x:c r="K4743" s="8" t="n">
        <x:v>25</x:v>
      </x:c>
      <x:c r="L4743" s="8" t="n">
        <x:v>1115</x:v>
      </x:c>
      <x:c r="M4743" s="9" t="n">
        <x:v>0.5503825137</x:v>
      </x:c>
      <x:c r="N4743" s="10" t="n">
        <x:v>45902.4771300448</x:v>
      </x:c>
      <x:c r="O4743" s="9" t="n">
        <x:v>-0.0440887744</x:v>
      </x:c>
      <x:c r="P4743" s="9" t="n">
        <x:v>0.03866171</x:v>
      </x:c>
      <x:c r="Q4743" s="9" t="n">
        <x:v>0.1657992565</x:v>
      </x:c>
      <x:c r="R4743" s="3" t="b">
        <x:v>0</x:v>
      </x:c>
      <x:c r="S4743" s="3" t="b">
        <x:v>0</x:v>
      </x:c>
      <x:c r="T4743" s="3" t="b">
        <x:v>0</x:v>
      </x:c>
      <x:c r="U4743" s="2" t="str">
        <x:f>IF(T4743=TRUE,"Priority review",IF(R4743=TRUE,"High cost",IF(S4743=TRUE,"Low quality","Benchmark")))</x:f>
        <x:v>Benchmark</x:v>
      </x:c>
    </x:row>
    <x:row r="4744">
      <x:c r="A4744" s="2" t="str">
        <x:v>340168</x:v>
      </x:c>
      <x:c r="B4744" s="2" t="str">
        <x:v>WILMINGTON TREATMENT CENTER</x:v>
      </x:c>
      <x:c r="C4744" s="2" t="str">
        <x:v>WILMINGTON</x:v>
      </x:c>
      <x:c r="D4744" s="2" t="str">
        <x:v>NC</x:v>
      </x:c>
      <x:c r="E4744" s="2" t="str">
        <x:v>Acute Care Hospitals</x:v>
      </x:c>
      <x:c r="F4744" s="2" t="str">
        <x:v>Voluntary non-profit</x:v>
      </x:c>
      <x:c r="G4744" s="2" t="str">
        <x:v>Small (&lt;100 beds)</x:v>
      </x:c>
      <x:c r="H4744" s="7"/>
      <x:c r="I4744" s="7"/>
      <x:c r="J4744" s="7"/>
      <x:c r="K4744" s="8" t="n">
        <x:v>92</x:v>
      </x:c>
      <x:c r="L4744" s="8" t="n">
        <x:v>1364</x:v>
      </x:c>
      <x:c r="M4744" s="9" t="n">
        <x:v>0.8143561416</x:v>
      </x:c>
      <x:c r="N4744" s="10" t="n">
        <x:v>21284.8379765396</x:v>
      </x:c>
      <x:c r="O4744" s="9" t="n">
        <x:v>0.2393954518</x:v>
      </x:c>
      <x:c r="P4744" s="9" t="n">
        <x:v>0.0385996409</x:v>
      </x:c>
      <x:c r="Q4744" s="9" t="n">
        <x:v>0.697486535</x:v>
      </x:c>
      <x:c r="R4744" s="3" t="b">
        <x:v>0</x:v>
      </x:c>
      <x:c r="S4744" s="3" t="b">
        <x:v>0</x:v>
      </x:c>
      <x:c r="T4744" s="3" t="b">
        <x:v>0</x:v>
      </x:c>
      <x:c r="U4744" s="2" t="str">
        <x:f>IF(T4744=TRUE,"Priority review",IF(R4744=TRUE,"High cost",IF(S4744=TRUE,"Low quality","Benchmark")))</x:f>
        <x:v>Benchmark</x:v>
      </x:c>
    </x:row>
    <x:row r="4745">
      <x:c r="A4745" s="2" t="str">
        <x:v>400022</x:v>
      </x:c>
      <x:c r="B4745" s="2" t="str">
        <x:v>HOSPITAL DAMAS INC</x:v>
      </x:c>
      <x:c r="C4745" s="2" t="str">
        <x:v>PONCE</x:v>
      </x:c>
      <x:c r="D4745" s="2" t="str">
        <x:v>PR</x:v>
      </x:c>
      <x:c r="E4745" s="2" t="str">
        <x:v>Acute Care Hospitals</x:v>
      </x:c>
      <x:c r="F4745" s="2" t="str">
        <x:v>Voluntary non-profit</x:v>
      </x:c>
      <x:c r="G4745" s="2" t="str">
        <x:v>Medium (100-299 beds)</x:v>
      </x:c>
      <x:c r="H4745" s="7"/>
      <x:c r="I4745" s="7" t="n">
        <x:v>2</x:v>
      </x:c>
      <x:c r="J4745" s="7"/>
      <x:c r="K4745" s="8" t="n">
        <x:v>126</x:v>
      </x:c>
      <x:c r="L4745" s="8" t="n">
        <x:v>5334</x:v>
      </x:c>
      <x:c r="M4745" s="9" t="n">
        <x:v>0.5595525669</x:v>
      </x:c>
      <x:c r="N4745" s="10" t="n">
        <x:v>14493.3644544432</x:v>
      </x:c>
      <x:c r="O4745" s="9" t="n">
        <x:v>-0.1287412229</x:v>
      </x:c>
      <x:c r="P4745" s="9" t="n">
        <x:v>0.0383048085</x:v>
      </x:c>
      <x:c r="Q4745" s="9" t="n">
        <x:v>0.9616951915</x:v>
      </x:c>
      <x:c r="R4745" s="3" t="b">
        <x:v>0</x:v>
      </x:c>
      <x:c r="S4745" s="3" t="b">
        <x:v>0</x:v>
      </x:c>
      <x:c r="T4745" s="3" t="b">
        <x:v>0</x:v>
      </x:c>
      <x:c r="U4745" s="2" t="str">
        <x:f>IF(T4745=TRUE,"Priority review",IF(R4745=TRUE,"High cost",IF(S4745=TRUE,"Low quality","Benchmark")))</x:f>
        <x:v>Benchmark</x:v>
      </x:c>
    </x:row>
    <x:row r="4746">
      <x:c r="A4746" s="2" t="str">
        <x:v>341311</x:v>
      </x:c>
      <x:c r="B4746" s="2" t="str">
        <x:v>CHATHAM HOSPITAL INC</x:v>
      </x:c>
      <x:c r="C4746" s="2" t="str">
        <x:v>SILER CITY</x:v>
      </x:c>
      <x:c r="D4746" s="2" t="str">
        <x:v>NC</x:v>
      </x:c>
      <x:c r="E4746" s="2" t="str">
        <x:v>Critical Access Hospitals</x:v>
      </x:c>
      <x:c r="F4746" s="2" t="str">
        <x:v>Voluntary non-profit</x:v>
      </x:c>
      <x:c r="G4746" s="2" t="str">
        <x:v>Small (&lt;100 beds)</x:v>
      </x:c>
      <x:c r="H4746" s="7" t="n">
        <x:v>4</x:v>
      </x:c>
      <x:c r="I4746" s="7" t="n">
        <x:v>4</x:v>
      </x:c>
      <x:c r="J4746" s="7"/>
      <x:c r="K4746" s="8" t="n">
        <x:v>25</x:v>
      </x:c>
      <x:c r="L4746" s="8" t="n">
        <x:v>1156</x:v>
      </x:c>
      <x:c r="M4746" s="9" t="n">
        <x:v>0.5071780822</x:v>
      </x:c>
      <x:c r="N4746" s="10" t="n">
        <x:v>45375.2690311419</x:v>
      </x:c>
      <x:c r="O4746" s="9" t="n">
        <x:v>0.1282885253</x:v>
      </x:c>
      <x:c r="P4746" s="9" t="n">
        <x:v>0.0379182156</x:v>
      </x:c>
      <x:c r="Q4746" s="9" t="n">
        <x:v>0.1657992565</x:v>
      </x:c>
      <x:c r="R4746" s="3" t="b">
        <x:v>0</x:v>
      </x:c>
      <x:c r="S4746" s="3" t="b">
        <x:v>0</x:v>
      </x:c>
      <x:c r="T4746" s="3" t="b">
        <x:v>0</x:v>
      </x:c>
      <x:c r="U4746" s="2" t="str">
        <x:f>IF(T4746=TRUE,"Priority review",IF(R4746=TRUE,"High cost",IF(S4746=TRUE,"Low quality","Benchmark")))</x:f>
        <x:v>Benchmark</x:v>
      </x:c>
    </x:row>
    <x:row r="4747">
      <x:c r="A4747" s="2" t="str">
        <x:v>290003</x:v>
      </x:c>
      <x:c r="B4747" s="2" t="str">
        <x:v>SUNRISE HOSPITAL AND MEDICAL CENTER</x:v>
      </x:c>
      <x:c r="C4747" s="2" t="str">
        <x:v>LAS VEGAS</x:v>
      </x:c>
      <x:c r="D4747" s="2" t="str">
        <x:v>NV</x:v>
      </x:c>
      <x:c r="E4747" s="2" t="str">
        <x:v>Acute Care Hospitals</x:v>
      </x:c>
      <x:c r="F4747" s="2" t="str">
        <x:v>Proprietary</x:v>
      </x:c>
      <x:c r="G4747" s="2" t="str">
        <x:v>Large (300+ beds)</x:v>
      </x:c>
      <x:c r="H4747" s="7" t="n">
        <x:v>2</x:v>
      </x:c>
      <x:c r="I4747" s="7" t="n">
        <x:v>2</x:v>
      </x:c>
      <x:c r="J4747" s="7" t="n">
        <x:v>1.18</x:v>
      </x:c>
      <x:c r="K4747" s="8" t="n">
        <x:v>808</x:v>
      </x:c>
      <x:c r="L4747" s="8" t="n">
        <x:v>43014</x:v>
      </x:c>
      <x:c r="M4747" s="9" t="n">
        <x:v>0.8829945464</x:v>
      </x:c>
      <x:c r="N4747" s="10" t="n">
        <x:v>17392.401218208</x:v>
      </x:c>
      <x:c r="O4747" s="9" t="n">
        <x:v>0.2141052047</x:v>
      </x:c>
      <x:c r="P4747" s="9" t="n">
        <x:v>0.0378548896</x:v>
      </x:c>
      <x:c r="Q4747" s="9" t="n">
        <x:v>0.0536277603</x:v>
      </x:c>
      <x:c r="R4747" s="3" t="b">
        <x:v>0</x:v>
      </x:c>
      <x:c r="S4747" s="3" t="b">
        <x:v>1</x:v>
      </x:c>
      <x:c r="T4747" s="3" t="b">
        <x:v>0</x:v>
      </x:c>
      <x:c r="U4747" s="2" t="str">
        <x:f>IF(T4747=TRUE,"Priority review",IF(R4747=TRUE,"High cost",IF(S4747=TRUE,"Low quality","Benchmark")))</x:f>
        <x:v>Low quality</x:v>
      </x:c>
    </x:row>
    <x:row r="4748">
      <x:c r="A4748" s="2" t="str">
        <x:v>420033</x:v>
      </x:c>
      <x:c r="B4748" s="2" t="str">
        <x:v>PRISMA HEALTH GREER MEMORIAL HOSPITAL</x:v>
      </x:c>
      <x:c r="C4748" s="2" t="str">
        <x:v>SPARTANBURG</x:v>
      </x:c>
      <x:c r="D4748" s="2" t="str">
        <x:v>SC</x:v>
      </x:c>
      <x:c r="E4748" s="2" t="str">
        <x:v>Acute Care Hospitals</x:v>
      </x:c>
      <x:c r="F4748" s="2" t="str">
        <x:v>Voluntary non-profit</x:v>
      </x:c>
      <x:c r="G4748" s="2" t="str">
        <x:v>Small (&lt;100 beds)</x:v>
      </x:c>
      <x:c r="H4748" s="7" t="n">
        <x:v>5</x:v>
      </x:c>
      <x:c r="I4748" s="7" t="n">
        <x:v>4</x:v>
      </x:c>
      <x:c r="J4748" s="7" t="n">
        <x:v>0.95</x:v>
      </x:c>
      <x:c r="K4748" s="8" t="n">
        <x:v>74</x:v>
      </x:c>
      <x:c r="L4748" s="8" t="n">
        <x:v>6420</x:v>
      </x:c>
      <x:c r="M4748" s="9" t="n">
        <x:v>0.7553537144</x:v>
      </x:c>
      <x:c r="N4748" s="10" t="n">
        <x:v>21217.9816199377</x:v>
      </x:c>
      <x:c r="O4748" s="9" t="n">
        <x:v>0.2581715742</x:v>
      </x:c>
      <x:c r="P4748" s="9" t="n">
        <x:v>0.0377019749</x:v>
      </x:c>
      <x:c r="Q4748" s="9" t="n">
        <x:v>0.6131059246</x:v>
      </x:c>
      <x:c r="R4748" s="3" t="b">
        <x:v>0</x:v>
      </x:c>
      <x:c r="S4748" s="3" t="b">
        <x:v>0</x:v>
      </x:c>
      <x:c r="T4748" s="3" t="b">
        <x:v>0</x:v>
      </x:c>
      <x:c r="U4748" s="2" t="str">
        <x:f>IF(T4748=TRUE,"Priority review",IF(R4748=TRUE,"High cost",IF(S4748=TRUE,"Low quality","Benchmark")))</x:f>
        <x:v>Benchmark</x:v>
      </x:c>
    </x:row>
    <x:row r="4749">
      <x:c r="A4749" s="2" t="str">
        <x:v>440227</x:v>
      </x:c>
      <x:c r="B4749" s="2" t="str">
        <x:v>TRISTAR STONECREST MEDICAL CENTER</x:v>
      </x:c>
      <x:c r="C4749" s="2" t="str">
        <x:v>SMYRNA</x:v>
      </x:c>
      <x:c r="D4749" s="2" t="str">
        <x:v>TN</x:v>
      </x:c>
      <x:c r="E4749" s="2" t="str">
        <x:v>Acute Care Hospitals</x:v>
      </x:c>
      <x:c r="F4749" s="2" t="str">
        <x:v>Proprietary</x:v>
      </x:c>
      <x:c r="G4749" s="2" t="str">
        <x:v>Medium (100-299 beds)</x:v>
      </x:c>
      <x:c r="H4749" s="7" t="n">
        <x:v>4</x:v>
      </x:c>
      <x:c r="I4749" s="7" t="n">
        <x:v>3</x:v>
      </x:c>
      <x:c r="J4749" s="7" t="n">
        <x:v>0.98</x:v>
      </x:c>
      <x:c r="K4749" s="8" t="n">
        <x:v>115</x:v>
      </x:c>
      <x:c r="L4749" s="8" t="n">
        <x:v>7712</x:v>
      </x:c>
      <x:c r="M4749" s="9" t="n">
        <x:v>0.7160690887</x:v>
      </x:c>
      <x:c r="N4749" s="10" t="n">
        <x:v>14217.7585580913</x:v>
      </x:c>
      <x:c r="O4749" s="9" t="n">
        <x:v>0.4788867128</x:v>
      </x:c>
      <x:c r="P4749" s="9" t="n">
        <x:v>0.0374898126</x:v>
      </x:c>
      <x:c r="Q4749" s="9" t="n">
        <x:v>0.6022819886</x:v>
      </x:c>
      <x:c r="R4749" s="3" t="b">
        <x:v>0</x:v>
      </x:c>
      <x:c r="S4749" s="3" t="b">
        <x:v>0</x:v>
      </x:c>
      <x:c r="T4749" s="3" t="b">
        <x:v>0</x:v>
      </x:c>
      <x:c r="U4749" s="2" t="str">
        <x:f>IF(T4749=TRUE,"Priority review",IF(R4749=TRUE,"High cost",IF(S4749=TRUE,"Low quality","Benchmark")))</x:f>
        <x:v>Benchmark</x:v>
      </x:c>
    </x:row>
    <x:row r="4750">
      <x:c r="A4750" s="2" t="str">
        <x:v>391317</x:v>
      </x:c>
      <x:c r="B4750" s="2" t="str">
        <x:v>CONEMAUGH MINERS MEDICAL CENTER</x:v>
      </x:c>
      <x:c r="C4750" s="2" t="str">
        <x:v>HASTINGS</x:v>
      </x:c>
      <x:c r="D4750" s="2" t="str">
        <x:v>PA</x:v>
      </x:c>
      <x:c r="E4750" s="2" t="str">
        <x:v>Critical Access Hospitals</x:v>
      </x:c>
      <x:c r="F4750" s="2" t="str">
        <x:v>Proprietary</x:v>
      </x:c>
      <x:c r="G4750" s="2" t="str">
        <x:v>Small (&lt;100 beds)</x:v>
      </x:c>
      <x:c r="H4750" s="7"/>
      <x:c r="I4750" s="7" t="n">
        <x:v>5</x:v>
      </x:c>
      <x:c r="J4750" s="7"/>
      <x:c r="K4750" s="8" t="n">
        <x:v>25</x:v>
      </x:c>
      <x:c r="L4750" s="8" t="n">
        <x:v>513</x:v>
      </x:c>
      <x:c r="M4750" s="9" t="n">
        <x:v>0.2047123288</x:v>
      </x:c>
      <x:c r="N4750" s="10" t="n">
        <x:v>45240.4912280702</x:v>
      </x:c>
      <x:c r="O4750" s="9" t="n">
        <x:v>0.0662841905</x:v>
      </x:c>
      <x:c r="P4750" s="9" t="n">
        <x:v>0.0371747212</x:v>
      </x:c>
      <x:c r="Q4750" s="9" t="n">
        <x:v>0.292936803</x:v>
      </x:c>
      <x:c r="R4750" s="3" t="b">
        <x:v>0</x:v>
      </x:c>
      <x:c r="S4750" s="3" t="b">
        <x:v>0</x:v>
      </x:c>
      <x:c r="T4750" s="3" t="b">
        <x:v>0</x:v>
      </x:c>
      <x:c r="U4750" s="2" t="str">
        <x:f>IF(T4750=TRUE,"Priority review",IF(R4750=TRUE,"High cost",IF(S4750=TRUE,"Low quality","Benchmark")))</x:f>
        <x:v>Benchmark</x:v>
      </x:c>
    </x:row>
    <x:row r="4751">
      <x:c r="A4751" s="2" t="str">
        <x:v>053309</x:v>
      </x:c>
      <x:c r="B4751" s="2" t="str">
        <x:v>MEMORIAL CARE MILLER CHILDREN'S &amp;  WOMEN'S HOSP LB</x:v>
      </x:c>
      <x:c r="C4751" s="2" t="str">
        <x:v>LONG BEACH</x:v>
      </x:c>
      <x:c r="D4751" s="2" t="str">
        <x:v>CA</x:v>
      </x:c>
      <x:c r="E4751" s="2" t="str">
        <x:v>Childrens</x:v>
      </x:c>
      <x:c r="F4751" s="2" t="str">
        <x:v>Voluntary non-profit</x:v>
      </x:c>
      <x:c r="G4751" s="2" t="str">
        <x:v>Large (300+ beds)</x:v>
      </x:c>
      <x:c r="H4751" s="7"/>
      <x:c r="I4751" s="7"/>
      <x:c r="J4751" s="7"/>
      <x:c r="K4751" s="8" t="n">
        <x:v>357</x:v>
      </x:c>
      <x:c r="L4751" s="8" t="n">
        <x:v>13214</x:v>
      </x:c>
      <x:c r="M4751" s="9" t="n">
        <x:v>0.4880472737</x:v>
      </x:c>
      <x:c r="N4751" s="10" t="n">
        <x:v>46914.6993340397</x:v>
      </x:c>
      <x:c r="O4751" s="9" t="n">
        <x:v>-0.3173913932</x:v>
      </x:c>
      <x:c r="P4751" s="9" t="n">
        <x:v>0.037037037</x:v>
      </x:c>
      <x:c r="Q4751" s="9" t="n">
        <x:v>0</x:v>
      </x:c>
      <x:c r="R4751" s="3" t="b">
        <x:v>0</x:v>
      </x:c>
      <x:c r="S4751" s="3" t="b">
        <x:v>0</x:v>
      </x:c>
      <x:c r="T4751" s="3" t="b">
        <x:v>0</x:v>
      </x:c>
      <x:c r="U4751" s="2" t="str">
        <x:f>IF(T4751=TRUE,"Priority review",IF(R4751=TRUE,"High cost",IF(S4751=TRUE,"Low quality","Benchmark")))</x:f>
        <x:v>Benchmark</x:v>
      </x:c>
    </x:row>
    <x:row r="4752">
      <x:c r="A4752" s="2" t="str">
        <x:v>110128</x:v>
      </x:c>
      <x:c r="B4752" s="2" t="str">
        <x:v>MEMORIAL HEALTH MEADOWS HOSPITAL</x:v>
      </x:c>
      <x:c r="C4752" s="2" t="str">
        <x:v>VIDALIA</x:v>
      </x:c>
      <x:c r="D4752" s="2" t="str">
        <x:v>GA</x:v>
      </x:c>
      <x:c r="E4752" s="2" t="str">
        <x:v>Acute Care Hospitals</x:v>
      </x:c>
      <x:c r="F4752" s="2" t="str">
        <x:v>Proprietary</x:v>
      </x:c>
      <x:c r="G4752" s="2" t="str">
        <x:v>Small (&lt;100 beds)</x:v>
      </x:c>
      <x:c r="H4752" s="7" t="n">
        <x:v>5</x:v>
      </x:c>
      <x:c r="I4752" s="7" t="n">
        <x:v>5</x:v>
      </x:c>
      <x:c r="J4752" s="7" t="n">
        <x:v>0.89</x:v>
      </x:c>
      <x:c r="K4752" s="8" t="n">
        <x:v>57</x:v>
      </x:c>
      <x:c r="L4752" s="8" t="n">
        <x:v>5234</x:v>
      </x:c>
      <x:c r="M4752" s="9" t="n">
        <x:v>0.8543138669</x:v>
      </x:c>
      <x:c r="N4752" s="10" t="n">
        <x:v>21154.8993121895</x:v>
      </x:c>
      <x:c r="O4752" s="9" t="n">
        <x:v>0.0969308808</x:v>
      </x:c>
      <x:c r="P4752" s="9" t="n">
        <x:v>0.0368043088</x:v>
      </x:c>
      <x:c r="Q4752" s="9" t="n">
        <x:v>0.6131059246</x:v>
      </x:c>
      <x:c r="R4752" s="3" t="b">
        <x:v>0</x:v>
      </x:c>
      <x:c r="S4752" s="3" t="b">
        <x:v>0</x:v>
      </x:c>
      <x:c r="T4752" s="3" t="b">
        <x:v>0</x:v>
      </x:c>
      <x:c r="U4752" s="2" t="str">
        <x:f>IF(T4752=TRUE,"Priority review",IF(R4752=TRUE,"High cost",IF(S4752=TRUE,"Low quality","Benchmark")))</x:f>
        <x:v>Benchmark</x:v>
      </x:c>
    </x:row>
    <x:row r="4753">
      <x:c r="A4753" s="2" t="str">
        <x:v>100254</x:v>
      </x:c>
      <x:c r="B4753" s="2" t="str">
        <x:v>HCA FLORIDA CAPITAL HOSPITAL</x:v>
      </x:c>
      <x:c r="C4753" s="2" t="str">
        <x:v>TALLAHASSEE</x:v>
      </x:c>
      <x:c r="D4753" s="2" t="str">
        <x:v>FL</x:v>
      </x:c>
      <x:c r="E4753" s="2" t="str">
        <x:v>Acute Care Hospitals</x:v>
      </x:c>
      <x:c r="F4753" s="2" t="str">
        <x:v>Proprietary</x:v>
      </x:c>
      <x:c r="G4753" s="2" t="str">
        <x:v>Medium (100-299 beds)</x:v>
      </x:c>
      <x:c r="H4753" s="7" t="n">
        <x:v>2</x:v>
      </x:c>
      <x:c r="I4753" s="7" t="n">
        <x:v>2</x:v>
      </x:c>
      <x:c r="J4753" s="7" t="n">
        <x:v>1.01</x:v>
      </x:c>
      <x:c r="K4753" s="8" t="n">
        <x:v>256</x:v>
      </x:c>
      <x:c r="L4753" s="8" t="n">
        <x:v>16905</x:v>
      </x:c>
      <x:c r="M4753" s="9" t="n">
        <x:v>0.804880137</x:v>
      </x:c>
      <x:c r="N4753" s="10" t="n">
        <x:v>13990.6980183378</x:v>
      </x:c>
      <x:c r="O4753" s="9" t="n">
        <x:v>0.4012554129</x:v>
      </x:c>
      <x:c r="P4753" s="9" t="n">
        <x:v>0.0366748166</x:v>
      </x:c>
      <x:c r="Q4753" s="9" t="n">
        <x:v>0.0782396088</x:v>
      </x:c>
      <x:c r="R4753" s="3" t="b">
        <x:v>0</x:v>
      </x:c>
      <x:c r="S4753" s="3" t="b">
        <x:v>1</x:v>
      </x:c>
      <x:c r="T4753" s="3" t="b">
        <x:v>0</x:v>
      </x:c>
      <x:c r="U4753" s="2" t="str">
        <x:f>IF(T4753=TRUE,"Priority review",IF(R4753=TRUE,"High cost",IF(S4753=TRUE,"Low quality","Benchmark")))</x:f>
        <x:v>Low quality</x:v>
      </x:c>
    </x:row>
    <x:row r="4754">
      <x:c r="A4754" s="2" t="str">
        <x:v>171363</x:v>
      </x:c>
      <x:c r="B4754" s="2" t="str">
        <x:v>COMMUNITY MEMORIAL HEALTHCARE, INC.</x:v>
      </x:c>
      <x:c r="C4754" s="2" t="str">
        <x:v>MARYSVILLE</x:v>
      </x:c>
      <x:c r="D4754" s="2" t="str">
        <x:v>KS</x:v>
      </x:c>
      <x:c r="E4754" s="2" t="str">
        <x:v>Critical Access Hospitals</x:v>
      </x:c>
      <x:c r="F4754" s="2" t="str">
        <x:v>Voluntary non-profit</x:v>
      </x:c>
      <x:c r="G4754" s="2" t="str">
        <x:v>Small (&lt;100 beds)</x:v>
      </x:c>
      <x:c r="H4754" s="7" t="n">
        <x:v>4</x:v>
      </x:c>
      <x:c r="I4754" s="7" t="n">
        <x:v>4</x:v>
      </x:c>
      <x:c r="J4754" s="7"/>
      <x:c r="K4754" s="8" t="n">
        <x:v>23</x:v>
      </x:c>
      <x:c r="L4754" s="8" t="n">
        <x:v>647</x:v>
      </x:c>
      <x:c r="M4754" s="9" t="n">
        <x:v>0.3202660965</x:v>
      </x:c>
      <x:c r="N4754" s="10" t="n">
        <x:v>45036.0200927357</x:v>
      </x:c>
      <x:c r="O4754" s="9" t="n">
        <x:v>-0.31272844</x:v>
      </x:c>
      <x:c r="P4754" s="9" t="n">
        <x:v>0.0364312268</x:v>
      </x:c>
      <x:c r="Q4754" s="9" t="n">
        <x:v>0.1657992565</x:v>
      </x:c>
      <x:c r="R4754" s="3" t="b">
        <x:v>0</x:v>
      </x:c>
      <x:c r="S4754" s="3" t="b">
        <x:v>0</x:v>
      </x:c>
      <x:c r="T4754" s="3" t="b">
        <x:v>0</x:v>
      </x:c>
      <x:c r="U4754" s="2" t="str">
        <x:f>IF(T4754=TRUE,"Priority review",IF(R4754=TRUE,"High cost",IF(S4754=TRUE,"Low quality","Benchmark")))</x:f>
        <x:v>Benchmark</x:v>
      </x:c>
    </x:row>
    <x:row r="4755">
      <x:c r="A4755" s="2" t="str">
        <x:v>290054</x:v>
      </x:c>
      <x:c r="B4755" s="2" t="str">
        <x:v>CENTENNIAL HILLS HOSPITAL MEDICAL CENTER</x:v>
      </x:c>
      <x:c r="C4755" s="2" t="str">
        <x:v>LAS VEGAS</x:v>
      </x:c>
      <x:c r="D4755" s="2" t="str">
        <x:v>NV</x:v>
      </x:c>
      <x:c r="E4755" s="2" t="str">
        <x:v>Acute Care Hospitals</x:v>
      </x:c>
      <x:c r="F4755" s="2" t="str">
        <x:v>Proprietary</x:v>
      </x:c>
      <x:c r="G4755" s="2" t="str">
        <x:v>Large (300+ beds)</x:v>
      </x:c>
      <x:c r="H4755" s="7" t="n">
        <x:v>2</x:v>
      </x:c>
      <x:c r="I4755" s="7" t="n">
        <x:v>2</x:v>
      </x:c>
      <x:c r="J4755" s="7" t="n">
        <x:v>1.08</x:v>
      </x:c>
      <x:c r="K4755" s="8" t="n">
        <x:v>318</x:v>
      </x:c>
      <x:c r="L4755" s="8" t="n">
        <x:v>19019</x:v>
      </x:c>
      <x:c r="M4755" s="9" t="n">
        <x:v>0.846204076</x:v>
      </x:c>
      <x:c r="N4755" s="10" t="n">
        <x:v>17104.9355907251</x:v>
      </x:c>
      <x:c r="O4755" s="9" t="n">
        <x:v>0.1772160095</x:v>
      </x:c>
      <x:c r="P4755" s="9" t="n">
        <x:v>0.0362776025</x:v>
      </x:c>
      <x:c r="Q4755" s="9" t="n">
        <x:v>0.0536277603</x:v>
      </x:c>
      <x:c r="R4755" s="3" t="b">
        <x:v>0</x:v>
      </x:c>
      <x:c r="S4755" s="3" t="b">
        <x:v>1</x:v>
      </x:c>
      <x:c r="T4755" s="3" t="b">
        <x:v>0</x:v>
      </x:c>
      <x:c r="U4755" s="2" t="str">
        <x:f>IF(T4755=TRUE,"Priority review",IF(R4755=TRUE,"High cost",IF(S4755=TRUE,"Low quality","Benchmark")))</x:f>
        <x:v>Low quality</x:v>
      </x:c>
    </x:row>
    <x:row r="4756">
      <x:c r="A4756" s="2" t="str">
        <x:v>050257</x:v>
      </x:c>
      <x:c r="B4756" s="2" t="str">
        <x:v>GOOD SAMARITAN HOSPITAL, LP</x:v>
      </x:c>
      <x:c r="C4756" s="2" t="str">
        <x:v>BAKERSFIELD</x:v>
      </x:c>
      <x:c r="D4756" s="2" t="str">
        <x:v>CA</x:v>
      </x:c>
      <x:c r="E4756" s="2" t="str">
        <x:v>Acute Care Hospitals</x:v>
      </x:c>
      <x:c r="F4756" s="2" t="str">
        <x:v>Proprietary</x:v>
      </x:c>
      <x:c r="G4756" s="2" t="str">
        <x:v>Small (&lt;100 beds)</x:v>
      </x:c>
      <x:c r="H4756" s="7"/>
      <x:c r="I4756" s="7"/>
      <x:c r="J4756" s="7" t="n">
        <x:v>1.42</x:v>
      </x:c>
      <x:c r="K4756" s="8" t="n">
        <x:v>43</x:v>
      </x:c>
      <x:c r="L4756" s="8" t="n">
        <x:v>2641</x:v>
      </x:c>
      <x:c r="M4756" s="9" t="n">
        <x:v>0.4035455585</x:v>
      </x:c>
      <x:c r="N4756" s="10" t="n">
        <x:v>20813.0726997349</x:v>
      </x:c>
      <x:c r="O4756" s="9" t="n">
        <x:v>-0.0474856928</x:v>
      </x:c>
      <x:c r="P4756" s="9" t="n">
        <x:v>0.0359066427</x:v>
      </x:c>
      <x:c r="Q4756" s="9" t="n">
        <x:v>0.697486535</x:v>
      </x:c>
      <x:c r="R4756" s="3" t="b">
        <x:v>0</x:v>
      </x:c>
      <x:c r="S4756" s="3" t="b">
        <x:v>0</x:v>
      </x:c>
      <x:c r="T4756" s="3" t="b">
        <x:v>0</x:v>
      </x:c>
      <x:c r="U4756" s="2" t="str">
        <x:f>IF(T4756=TRUE,"Priority review",IF(R4756=TRUE,"High cost",IF(S4756=TRUE,"Low quality","Benchmark")))</x:f>
        <x:v>Benchmark</x:v>
      </x:c>
    </x:row>
    <x:row r="4757">
      <x:c r="A4757" s="2" t="str">
        <x:v>400021</x:v>
      </x:c>
      <x:c r="B4757" s="2" t="str">
        <x:v>HOSPITAL DE LA CONCEPCION</x:v>
      </x:c>
      <x:c r="C4757" s="2" t="str">
        <x:v>SAN GERMAN</x:v>
      </x:c>
      <x:c r="D4757" s="2" t="str">
        <x:v>PR</x:v>
      </x:c>
      <x:c r="E4757" s="2" t="str">
        <x:v>Acute Care Hospitals</x:v>
      </x:c>
      <x:c r="F4757" s="2" t="str">
        <x:v>Voluntary non-profit</x:v>
      </x:c>
      <x:c r="G4757" s="2" t="str">
        <x:v>Medium (100-299 beds)</x:v>
      </x:c>
      <x:c r="H4757" s="7"/>
      <x:c r="I4757" s="7"/>
      <x:c r="J4757" s="7"/>
      <x:c r="K4757" s="8" t="n">
        <x:v>167</x:v>
      </x:c>
      <x:c r="L4757" s="8" t="n">
        <x:v>8137</x:v>
      </x:c>
      <x:c r="M4757" s="9" t="n">
        <x:v>0.748502994</x:v>
      </x:c>
      <x:c r="N4757" s="10" t="n">
        <x:v>13984.3477940273</x:v>
      </x:c>
      <x:c r="O4757" s="9" t="n">
        <x:v>-0.0918917574</x:v>
      </x:c>
      <x:c r="P4757" s="9" t="n">
        <x:v>0.0358598207</x:v>
      </x:c>
      <x:c r="Q4757" s="9" t="n">
        <x:v>0.9616951915</x:v>
      </x:c>
      <x:c r="R4757" s="3" t="b">
        <x:v>0</x:v>
      </x:c>
      <x:c r="S4757" s="3" t="b">
        <x:v>0</x:v>
      </x:c>
      <x:c r="T4757" s="3" t="b">
        <x:v>0</x:v>
      </x:c>
      <x:c r="U4757" s="2" t="str">
        <x:f>IF(T4757=TRUE,"Priority review",IF(R4757=TRUE,"High cost",IF(S4757=TRUE,"Low quality","Benchmark")))</x:f>
        <x:v>Benchmark</x:v>
      </x:c>
    </x:row>
    <x:row r="4758">
      <x:c r="A4758" s="2" t="str">
        <x:v>251317</x:v>
      </x:c>
      <x:c r="B4758" s="2" t="str">
        <x:v>SIMPSON GENERAL HOSPITAL CAH</x:v>
      </x:c>
      <x:c r="C4758" s="2" t="str">
        <x:v>MENDENHALL</x:v>
      </x:c>
      <x:c r="D4758" s="2" t="str">
        <x:v>MS</x:v>
      </x:c>
      <x:c r="E4758" s="2" t="str">
        <x:v>Critical Access Hospitals</x:v>
      </x:c>
      <x:c r="F4758" s="2" t="str">
        <x:v>Voluntary non-profit</x:v>
      </x:c>
      <x:c r="G4758" s="2" t="str">
        <x:v>Small (&lt;100 beds)</x:v>
      </x:c>
      <x:c r="H4758" s="7" t="n">
        <x:v>2</x:v>
      </x:c>
      <x:c r="I4758" s="7"/>
      <x:c r="J4758" s="7"/>
      <x:c r="K4758" s="8" t="n">
        <x:v>25</x:v>
      </x:c>
      <x:c r="L4758" s="8" t="n">
        <x:v>407</x:v>
      </x:c>
      <x:c r="M4758" s="9" t="n">
        <x:v>0.4771584699</x:v>
      </x:c>
      <x:c r="N4758" s="10" t="n">
        <x:v>44995.3415233415</x:v>
      </x:c>
      <x:c r="O4758" s="9" t="n">
        <x:v>-0.0224615316</x:v>
      </x:c>
      <x:c r="P4758" s="9" t="n">
        <x:v>0.0356877323</x:v>
      </x:c>
      <x:c r="Q4758" s="9" t="n">
        <x:v>0.0171003717</x:v>
      </x:c>
      <x:c r="R4758" s="3" t="b">
        <x:v>0</x:v>
      </x:c>
      <x:c r="S4758" s="3" t="b">
        <x:v>1</x:v>
      </x:c>
      <x:c r="T4758" s="3" t="b">
        <x:v>0</x:v>
      </x:c>
      <x:c r="U4758" s="2" t="str">
        <x:f>IF(T4758=TRUE,"Priority review",IF(R4758=TRUE,"High cost",IF(S4758=TRUE,"Low quality","Benchmark")))</x:f>
        <x:v>Low quality</x:v>
      </x:c>
    </x:row>
    <x:row r="4759">
      <x:c r="A4759" s="2" t="str">
        <x:v>454050</x:v>
      </x:c>
      <x:c r="B4759" s="2" t="str">
        <x:v>GLEN OAKS HOSPITAL</x:v>
      </x:c>
      <x:c r="C4759" s="2" t="str">
        <x:v>GREENVILLE</x:v>
      </x:c>
      <x:c r="D4759" s="2" t="str">
        <x:v>TX</x:v>
      </x:c>
      <x:c r="E4759" s="2" t="str">
        <x:v>Psychiatric</x:v>
      </x:c>
      <x:c r="F4759" s="2" t="str">
        <x:v>Proprietary</x:v>
      </x:c>
      <x:c r="G4759" s="2" t="str">
        <x:v>Small (&lt;100 beds)</x:v>
      </x:c>
      <x:c r="H4759" s="7"/>
      <x:c r="I4759" s="7"/>
      <x:c r="J4759" s="7"/>
      <x:c r="K4759" s="8" t="n">
        <x:v>54</x:v>
      </x:c>
      <x:c r="L4759" s="8" t="n">
        <x:v>2502</x:v>
      </x:c>
      <x:c r="M4759" s="9" t="n">
        <x:v>0.942825339</x:v>
      </x:c>
      <x:c r="N4759" s="10" t="n">
        <x:v>5682.4616306954</x:v>
      </x:c>
      <x:c r="O4759" s="9" t="n">
        <x:v>0.0573429751</x:v>
      </x:c>
      <x:c r="P4759" s="9" t="n">
        <x:v>0.0355987055</x:v>
      </x:c>
      <x:c r="Q4759" s="9" t="n">
        <x:v>0</x:v>
      </x:c>
      <x:c r="R4759" s="3" t="b">
        <x:v>0</x:v>
      </x:c>
      <x:c r="S4759" s="3" t="b">
        <x:v>0</x:v>
      </x:c>
      <x:c r="T4759" s="3" t="b">
        <x:v>0</x:v>
      </x:c>
      <x:c r="U4759" s="2" t="str">
        <x:f>IF(T4759=TRUE,"Priority review",IF(R4759=TRUE,"High cost",IF(S4759=TRUE,"Low quality","Benchmark")))</x:f>
        <x:v>Benchmark</x:v>
      </x:c>
    </x:row>
    <x:row r="4760">
      <x:c r="A4760" s="2" t="str">
        <x:v>370014</x:v>
      </x:c>
      <x:c r="B4760" s="2" t="str">
        <x:v>ALLIANCEHEALTH DURANT</x:v>
      </x:c>
      <x:c r="C4760" s="2" t="str">
        <x:v>DURANT</x:v>
      </x:c>
      <x:c r="D4760" s="2" t="str">
        <x:v>OK</x:v>
      </x:c>
      <x:c r="E4760" s="2" t="str">
        <x:v>Acute Care Hospitals</x:v>
      </x:c>
      <x:c r="F4760" s="2" t="str">
        <x:v>Proprietary</x:v>
      </x:c>
      <x:c r="G4760" s="2" t="str">
        <x:v>Medium (100-299 beds)</x:v>
      </x:c>
      <x:c r="H4760" s="7" t="n">
        <x:v>1</x:v>
      </x:c>
      <x:c r="I4760" s="7" t="n">
        <x:v>2</x:v>
      </x:c>
      <x:c r="J4760" s="7" t="n">
        <x:v>0.98</x:v>
      </x:c>
      <x:c r="K4760" s="8" t="n">
        <x:v>105</x:v>
      </x:c>
      <x:c r="L4760" s="8" t="n">
        <x:v>6098</x:v>
      </x:c>
      <x:c r="M4760" s="9" t="n">
        <x:v>0.570934166</x:v>
      </x:c>
      <x:c r="N4760" s="10" t="n">
        <x:v>13909.9790095113</x:v>
      </x:c>
      <x:c r="O4760" s="9" t="n">
        <x:v>0.2800439672</x:v>
      </x:c>
      <x:c r="P4760" s="9" t="n">
        <x:v>0.0350448248</x:v>
      </x:c>
      <x:c r="Q4760" s="9" t="n">
        <x:v>0</x:v>
      </x:c>
      <x:c r="R4760" s="3" t="b">
        <x:v>0</x:v>
      </x:c>
      <x:c r="S4760" s="3" t="b">
        <x:v>1</x:v>
      </x:c>
      <x:c r="T4760" s="3" t="b">
        <x:v>0</x:v>
      </x:c>
      <x:c r="U4760" s="2" t="str">
        <x:f>IF(T4760=TRUE,"Priority review",IF(R4760=TRUE,"High cost",IF(S4760=TRUE,"Low quality","Benchmark")))</x:f>
        <x:v>Low quality</x:v>
      </x:c>
    </x:row>
    <x:row r="4761">
      <x:c r="A4761" s="2" t="str">
        <x:v>030130</x:v>
      </x:c>
      <x:c r="B4761" s="2" t="str">
        <x:v>BANNER IRONWOOD MEDICAL CENTER</x:v>
      </x:c>
      <x:c r="C4761" s="2" t="str">
        <x:v>QUEEN CREEK</x:v>
      </x:c>
      <x:c r="D4761" s="2" t="str">
        <x:v>AZ</x:v>
      </x:c>
      <x:c r="E4761" s="2" t="str">
        <x:v>Acute Care Hospitals</x:v>
      </x:c>
      <x:c r="F4761" s="2" t="str">
        <x:v>Voluntary non-profit</x:v>
      </x:c>
      <x:c r="G4761" s="2" t="str">
        <x:v>Small (&lt;100 beds)</x:v>
      </x:c>
      <x:c r="H4761" s="7" t="n">
        <x:v>3</x:v>
      </x:c>
      <x:c r="I4761" s="7" t="n">
        <x:v>3</x:v>
      </x:c>
      <x:c r="J4761" s="7" t="n">
        <x:v>0.91</x:v>
      </x:c>
      <x:c r="K4761" s="8" t="n">
        <x:v>89</x:v>
      </x:c>
      <x:c r="L4761" s="8" t="n">
        <x:v>6063</x:v>
      </x:c>
      <x:c r="M4761" s="9" t="n">
        <x:v>0.5732179038</x:v>
      </x:c>
      <x:c r="N4761" s="10" t="n">
        <x:v>20713.4339435923</x:v>
      </x:c>
      <x:c r="O4761" s="9" t="n">
        <x:v>0.0955019567</x:v>
      </x:c>
      <x:c r="P4761" s="9" t="n">
        <x:v>0.0350089767</x:v>
      </x:c>
      <x:c r="Q4761" s="9" t="n">
        <x:v>0.1687612208</x:v>
      </x:c>
      <x:c r="R4761" s="3" t="b">
        <x:v>0</x:v>
      </x:c>
      <x:c r="S4761" s="3" t="b">
        <x:v>0</x:v>
      </x:c>
      <x:c r="T4761" s="3" t="b">
        <x:v>0</x:v>
      </x:c>
      <x:c r="U4761" s="2" t="str">
        <x:f>IF(T4761=TRUE,"Priority review",IF(R4761=TRUE,"High cost",IF(S4761=TRUE,"Low quality","Benchmark")))</x:f>
        <x:v>Benchmark</x:v>
      </x:c>
    </x:row>
    <x:row r="4762">
      <x:c r="A4762" s="2" t="str">
        <x:v>151301</x:v>
      </x:c>
      <x:c r="B4762" s="2" t="str">
        <x:v>ASCENSION ST VINCENT RANDOLPH</x:v>
      </x:c>
      <x:c r="C4762" s="2" t="str">
        <x:v>WINCHESTER</x:v>
      </x:c>
      <x:c r="D4762" s="2" t="str">
        <x:v>IN</x:v>
      </x:c>
      <x:c r="E4762" s="2" t="str">
        <x:v>Critical Access Hospitals</x:v>
      </x:c>
      <x:c r="F4762" s="2" t="str">
        <x:v>Voluntary non-profit</x:v>
      </x:c>
      <x:c r="G4762" s="2" t="str">
        <x:v>Small (&lt;100 beds)</x:v>
      </x:c>
      <x:c r="H4762" s="7"/>
      <x:c r="I4762" s="7"/>
      <x:c r="J4762" s="7"/>
      <x:c r="K4762" s="8" t="n">
        <x:v>25</x:v>
      </x:c>
      <x:c r="L4762" s="8" t="n">
        <x:v>597</x:v>
      </x:c>
      <x:c r="M4762" s="9" t="n">
        <x:v>0.2828493151</x:v>
      </x:c>
      <x:c r="N4762" s="10" t="n">
        <x:v>44956.378559464</x:v>
      </x:c>
      <x:c r="O4762" s="9" t="n">
        <x:v>0.0800330666</x:v>
      </x:c>
      <x:c r="P4762" s="9" t="n">
        <x:v>0.0349442379</x:v>
      </x:c>
      <x:c r="Q4762" s="9" t="n">
        <x:v>0.292936803</x:v>
      </x:c>
      <x:c r="R4762" s="3" t="b">
        <x:v>0</x:v>
      </x:c>
      <x:c r="S4762" s="3" t="b">
        <x:v>0</x:v>
      </x:c>
      <x:c r="T4762" s="3" t="b">
        <x:v>0</x:v>
      </x:c>
      <x:c r="U4762" s="2" t="str">
        <x:f>IF(T4762=TRUE,"Priority review",IF(R4762=TRUE,"High cost",IF(S4762=TRUE,"Low quality","Benchmark")))</x:f>
        <x:v>Benchmark</x:v>
      </x:c>
    </x:row>
    <x:row r="4763">
      <x:c r="A4763" s="2" t="str">
        <x:v>294011</x:v>
      </x:c>
      <x:c r="B4763" s="2" t="str">
        <x:v>SPRING MOUNTAIN TREATMENT CENTER</x:v>
      </x:c>
      <x:c r="C4763" s="2" t="str">
        <x:v>LAS VEGAS</x:v>
      </x:c>
      <x:c r="D4763" s="2" t="str">
        <x:v>NV</x:v>
      </x:c>
      <x:c r="E4763" s="2" t="str">
        <x:v>Psychiatric</x:v>
      </x:c>
      <x:c r="F4763" s="2" t="str">
        <x:v>Proprietary</x:v>
      </x:c>
      <x:c r="G4763" s="2" t="str">
        <x:v>Medium (100-299 beds)</x:v>
      </x:c>
      <x:c r="H4763" s="7"/>
      <x:c r="I4763" s="7"/>
      <x:c r="J4763" s="7"/>
      <x:c r="K4763" s="8" t="n">
        <x:v>110</x:v>
      </x:c>
      <x:c r="L4763" s="8" t="n">
        <x:v>1769</x:v>
      </x:c>
      <x:c r="M4763" s="9" t="n">
        <x:v>0.5995840761</x:v>
      </x:c>
      <x:c r="N4763" s="10" t="n">
        <x:v>5045.3131712832</x:v>
      </x:c>
      <x:c r="O4763" s="9" t="n">
        <x:v>0.2672361461</x:v>
      </x:c>
      <x:c r="P4763" s="9" t="n">
        <x:v>0.0348258706</x:v>
      </x:c>
      <x:c r="Q4763" s="9" t="n">
        <x:v>0</x:v>
      </x:c>
      <x:c r="R4763" s="3" t="b">
        <x:v>0</x:v>
      </x:c>
      <x:c r="S4763" s="3" t="b">
        <x:v>0</x:v>
      </x:c>
      <x:c r="T4763" s="3" t="b">
        <x:v>0</x:v>
      </x:c>
      <x:c r="U4763" s="2" t="str">
        <x:f>IF(T4763=TRUE,"Priority review",IF(R4763=TRUE,"High cost",IF(S4763=TRUE,"Low quality","Benchmark")))</x:f>
        <x:v>Benchmark</x:v>
      </x:c>
    </x:row>
    <x:row r="4764">
      <x:c r="A4764" s="2" t="str">
        <x:v>450675</x:v>
      </x:c>
      <x:c r="B4764" s="2" t="str">
        <x:v>MEDICAL CITY ARLINGTON</x:v>
      </x:c>
      <x:c r="C4764" s="2" t="str">
        <x:v>ARLINGTON</x:v>
      </x:c>
      <x:c r="D4764" s="2" t="str">
        <x:v>TX</x:v>
      </x:c>
      <x:c r="E4764" s="2" t="str">
        <x:v>Acute Care Hospitals</x:v>
      </x:c>
      <x:c r="F4764" s="2" t="str">
        <x:v>Proprietary</x:v>
      </x:c>
      <x:c r="G4764" s="2" t="str">
        <x:v>Large (300+ beds)</x:v>
      </x:c>
      <x:c r="H4764" s="7" t="n">
        <x:v>2</x:v>
      </x:c>
      <x:c r="I4764" s="7" t="n">
        <x:v>2</x:v>
      </x:c>
      <x:c r="J4764" s="7" t="n">
        <x:v>1.04</x:v>
      </x:c>
      <x:c r="K4764" s="8" t="n">
        <x:v>340</x:v>
      </x:c>
      <x:c r="L4764" s="8" t="n">
        <x:v>21268</x:v>
      </x:c>
      <x:c r="M4764" s="9" t="n">
        <x:v>0.8009750201</x:v>
      </x:c>
      <x:c r="N4764" s="10" t="n">
        <x:v>17071.9700959188</x:v>
      </x:c>
      <x:c r="O4764" s="9" t="n">
        <x:v>0.2658421748</x:v>
      </x:c>
      <x:c r="P4764" s="9" t="n">
        <x:v>0.0347003155</x:v>
      </x:c>
      <x:c r="Q4764" s="9" t="n">
        <x:v>0.0536277603</x:v>
      </x:c>
      <x:c r="R4764" s="3" t="b">
        <x:v>0</x:v>
      </x:c>
      <x:c r="S4764" s="3" t="b">
        <x:v>1</x:v>
      </x:c>
      <x:c r="T4764" s="3" t="b">
        <x:v>0</x:v>
      </x:c>
      <x:c r="U4764" s="2" t="str">
        <x:f>IF(T4764=TRUE,"Priority review",IF(R4764=TRUE,"High cost",IF(S4764=TRUE,"Low quality","Benchmark")))</x:f>
        <x:v>Low quality</x:v>
      </x:c>
    </x:row>
    <x:row r="4765">
      <x:c r="A4765" s="2" t="str">
        <x:v>100275</x:v>
      </x:c>
      <x:c r="B4765" s="2" t="str">
        <x:v>WELLINGTON REGIONAL MEDICAL CENTER</x:v>
      </x:c>
      <x:c r="C4765" s="2" t="str">
        <x:v>WELLINGTON</x:v>
      </x:c>
      <x:c r="D4765" s="2" t="str">
        <x:v>FL</x:v>
      </x:c>
      <x:c r="E4765" s="2" t="str">
        <x:v>Acute Care Hospitals</x:v>
      </x:c>
      <x:c r="F4765" s="2" t="str">
        <x:v>Proprietary</x:v>
      </x:c>
      <x:c r="G4765" s="2" t="str">
        <x:v>Medium (100-299 beds)</x:v>
      </x:c>
      <x:c r="H4765" s="7" t="n">
        <x:v>2</x:v>
      </x:c>
      <x:c r="I4765" s="7" t="n">
        <x:v>2</x:v>
      </x:c>
      <x:c r="J4765" s="7" t="n">
        <x:v>1</x:v>
      </x:c>
      <x:c r="K4765" s="8" t="n">
        <x:v>235</x:v>
      </x:c>
      <x:c r="L4765" s="8" t="n">
        <x:v>17727</x:v>
      </x:c>
      <x:c r="M4765" s="9" t="n">
        <x:v>0.8318238199</x:v>
      </x:c>
      <x:c r="N4765" s="10" t="n">
        <x:v>13877.2814915101</x:v>
      </x:c>
      <x:c r="O4765" s="9" t="n">
        <x:v>0.0210103276</x:v>
      </x:c>
      <x:c r="P4765" s="9" t="n">
        <x:v>0.0342298289</x:v>
      </x:c>
      <x:c r="Q4765" s="9" t="n">
        <x:v>0.0782396088</x:v>
      </x:c>
      <x:c r="R4765" s="3" t="b">
        <x:v>0</x:v>
      </x:c>
      <x:c r="S4765" s="3" t="b">
        <x:v>1</x:v>
      </x:c>
      <x:c r="T4765" s="3" t="b">
        <x:v>0</x:v>
      </x:c>
      <x:c r="U4765" s="2" t="str">
        <x:f>IF(T4765=TRUE,"Priority review",IF(R4765=TRUE,"High cost",IF(S4765=TRUE,"Low quality","Benchmark")))</x:f>
        <x:v>Low quality</x:v>
      </x:c>
    </x:row>
    <x:row r="4766">
      <x:c r="A4766" s="2" t="str">
        <x:v>351336</x:v>
      </x:c>
      <x:c r="B4766" s="2" t="str">
        <x:v>CHI ST ALEXIUS HEALTH DICKINSON</x:v>
      </x:c>
      <x:c r="C4766" s="2" t="str">
        <x:v>DICKINSON</x:v>
      </x:c>
      <x:c r="D4766" s="2" t="str">
        <x:v>ND</x:v>
      </x:c>
      <x:c r="E4766" s="2" t="str">
        <x:v>Critical Access Hospitals</x:v>
      </x:c>
      <x:c r="F4766" s="2" t="str">
        <x:v>Voluntary non-profit</x:v>
      </x:c>
      <x:c r="G4766" s="2" t="str">
        <x:v>Small (&lt;100 beds)</x:v>
      </x:c>
      <x:c r="H4766" s="7" t="n">
        <x:v>2</x:v>
      </x:c>
      <x:c r="I4766" s="7" t="n">
        <x:v>3</x:v>
      </x:c>
      <x:c r="J4766" s="7"/>
      <x:c r="K4766" s="8" t="n">
        <x:v>25</x:v>
      </x:c>
      <x:c r="L4766" s="8" t="n">
        <x:v>1816</x:v>
      </x:c>
      <x:c r="M4766" s="9" t="n">
        <x:v>0.685369863</x:v>
      </x:c>
      <x:c r="N4766" s="10" t="n">
        <x:v>43864.3849118943</x:v>
      </x:c>
      <x:c r="O4766" s="9" t="n">
        <x:v>-0.0431298052</x:v>
      </x:c>
      <x:c r="P4766" s="9" t="n">
        <x:v>0.0342007435</x:v>
      </x:c>
      <x:c r="Q4766" s="9" t="n">
        <x:v>0.0171003717</x:v>
      </x:c>
      <x:c r="R4766" s="3" t="b">
        <x:v>0</x:v>
      </x:c>
      <x:c r="S4766" s="3" t="b">
        <x:v>1</x:v>
      </x:c>
      <x:c r="T4766" s="3" t="b">
        <x:v>0</x:v>
      </x:c>
      <x:c r="U4766" s="2" t="str">
        <x:f>IF(T4766=TRUE,"Priority review",IF(R4766=TRUE,"High cost",IF(S4766=TRUE,"Low quality","Benchmark")))</x:f>
        <x:v>Low quality</x:v>
      </x:c>
    </x:row>
    <x:row r="4767">
      <x:c r="A4767" s="2" t="str">
        <x:v>040076</x:v>
      </x:c>
      <x:c r="B4767" s="2" t="str">
        <x:v>BAPTIST HEALTH MEDICAL CENTER-HOT SPRINGS COUNTY</x:v>
      </x:c>
      <x:c r="C4767" s="2" t="str">
        <x:v>MALVERN</x:v>
      </x:c>
      <x:c r="D4767" s="2" t="str">
        <x:v>AR</x:v>
      </x:c>
      <x:c r="E4767" s="2" t="str">
        <x:v>Acute Care Hospitals</x:v>
      </x:c>
      <x:c r="F4767" s="2" t="str">
        <x:v>Voluntary non-profit</x:v>
      </x:c>
      <x:c r="G4767" s="2" t="str">
        <x:v>Small (&lt;100 beds)</x:v>
      </x:c>
      <x:c r="H4767" s="7"/>
      <x:c r="I4767" s="7"/>
      <x:c r="J4767" s="7" t="n">
        <x:v>1.01</x:v>
      </x:c>
      <x:c r="K4767" s="8" t="n">
        <x:v>67</x:v>
      </x:c>
      <x:c r="L4767" s="8" t="n">
        <x:v>1199</x:v>
      </x:c>
      <x:c r="M4767" s="9" t="n">
        <x:v>0.2197618465</x:v>
      </x:c>
      <x:c r="N4767" s="10" t="n">
        <x:v>20397.7814845705</x:v>
      </x:c>
      <x:c r="O4767" s="9" t="n">
        <x:v>-0.032294865</x:v>
      </x:c>
      <x:c r="P4767" s="9" t="n">
        <x:v>0.0341113106</x:v>
      </x:c>
      <x:c r="Q4767" s="9" t="n">
        <x:v>0.697486535</x:v>
      </x:c>
      <x:c r="R4767" s="3" t="b">
        <x:v>0</x:v>
      </x:c>
      <x:c r="S4767" s="3" t="b">
        <x:v>0</x:v>
      </x:c>
      <x:c r="T4767" s="3" t="b">
        <x:v>0</x:v>
      </x:c>
      <x:c r="U4767" s="2" t="str">
        <x:f>IF(T4767=TRUE,"Priority review",IF(R4767=TRUE,"High cost",IF(S4767=TRUE,"Low quality","Benchmark")))</x:f>
        <x:v>Benchmark</x:v>
      </x:c>
    </x:row>
    <x:row r="4768">
      <x:c r="A4768" s="2" t="str">
        <x:v>491304</x:v>
      </x:c>
      <x:c r="B4768" s="2" t="str">
        <x:v>CARILION STONEWALL JACKSON HOSPITAL</x:v>
      </x:c>
      <x:c r="C4768" s="2" t="str">
        <x:v>LEXINGTON</x:v>
      </x:c>
      <x:c r="D4768" s="2" t="str">
        <x:v>VA</x:v>
      </x:c>
      <x:c r="E4768" s="2" t="str">
        <x:v>Critical Access Hospitals</x:v>
      </x:c>
      <x:c r="F4768" s="2" t="str">
        <x:v>Voluntary non-profit</x:v>
      </x:c>
      <x:c r="G4768" s="2" t="str">
        <x:v>Small (&lt;100 beds)</x:v>
      </x:c>
      <x:c r="H4768" s="7" t="n">
        <x:v>3</x:v>
      </x:c>
      <x:c r="I4768" s="7" t="n">
        <x:v>4</x:v>
      </x:c>
      <x:c r="J4768" s="7"/>
      <x:c r="K4768" s="8" t="n">
        <x:v>25</x:v>
      </x:c>
      <x:c r="L4768" s="8" t="n">
        <x:v>1536</x:v>
      </x:c>
      <x:c r="M4768" s="9" t="n">
        <x:v>0.5867759563</x:v>
      </x:c>
      <x:c r="N4768" s="10" t="n">
        <x:v>43467.955078125</x:v>
      </x:c>
      <x:c r="O4768" s="9" t="n">
        <x:v>0.0436631037</x:v>
      </x:c>
      <x:c r="P4768" s="9" t="n">
        <x:v>0.0334572491</x:v>
      </x:c>
      <x:c r="Q4768" s="9" t="n">
        <x:v>0.0765799257</x:v>
      </x:c>
      <x:c r="R4768" s="3" t="b">
        <x:v>0</x:v>
      </x:c>
      <x:c r="S4768" s="3" t="b">
        <x:v>1</x:v>
      </x:c>
      <x:c r="T4768" s="3" t="b">
        <x:v>0</x:v>
      </x:c>
      <x:c r="U4768" s="2" t="str">
        <x:f>IF(T4768=TRUE,"Priority review",IF(R4768=TRUE,"High cost",IF(S4768=TRUE,"Low quality","Benchmark")))</x:f>
        <x:v>Low quality</x:v>
      </x:c>
    </x:row>
    <x:row r="4769">
      <x:c r="A4769" s="2" t="str">
        <x:v>400014</x:v>
      </x:c>
      <x:c r="B4769" s="2" t="str">
        <x:v>BELLA VISTA HOSPITAL</x:v>
      </x:c>
      <x:c r="C4769" s="2" t="str">
        <x:v>MAYAGUEZ</x:v>
      </x:c>
      <x:c r="D4769" s="2" t="str">
        <x:v>PR</x:v>
      </x:c>
      <x:c r="E4769" s="2" t="str">
        <x:v>Acute Care Hospitals</x:v>
      </x:c>
      <x:c r="F4769" s="2" t="str">
        <x:v>Voluntary non-profit</x:v>
      </x:c>
      <x:c r="G4769" s="2" t="str">
        <x:v>Medium (100-299 beds)</x:v>
      </x:c>
      <x:c r="H4769" s="7"/>
      <x:c r="I4769" s="7"/>
      <x:c r="J4769" s="7"/>
      <x:c r="K4769" s="8" t="n">
        <x:v>158</x:v>
      </x:c>
      <x:c r="L4769" s="8" t="n">
        <x:v>3382</x:v>
      </x:c>
      <x:c r="M4769" s="9" t="n">
        <x:v>0.2666701252</x:v>
      </x:c>
      <x:c r="N4769" s="10" t="n">
        <x:v>13677.1389710231</x:v>
      </x:c>
      <x:c r="O4769" s="9" t="n">
        <x:v>-0.2707910891</x:v>
      </x:c>
      <x:c r="P4769" s="9" t="n">
        <x:v>0.0334148329</x:v>
      </x:c>
      <x:c r="Q4769" s="9" t="n">
        <x:v>0.9616951915</x:v>
      </x:c>
      <x:c r="R4769" s="3" t="b">
        <x:v>0</x:v>
      </x:c>
      <x:c r="S4769" s="3" t="b">
        <x:v>0</x:v>
      </x:c>
      <x:c r="T4769" s="3" t="b">
        <x:v>0</x:v>
      </x:c>
      <x:c r="U4769" s="2" t="str">
        <x:f>IF(T4769=TRUE,"Priority review",IF(R4769=TRUE,"High cost",IF(S4769=TRUE,"Low quality","Benchmark")))</x:f>
        <x:v>Benchmark</x:v>
      </x:c>
    </x:row>
    <x:row r="4770">
      <x:c r="A4770" s="2" t="str">
        <x:v>010012</x:v>
      </x:c>
      <x:c r="B4770" s="2" t="str">
        <x:v>DEKALB REGIONAL MEDICAL CENTER</x:v>
      </x:c>
      <x:c r="C4770" s="2" t="str">
        <x:v>FORT PAYNE</x:v>
      </x:c>
      <x:c r="D4770" s="2" t="str">
        <x:v>AL</x:v>
      </x:c>
      <x:c r="E4770" s="2" t="str">
        <x:v>Acute Care Hospitals</x:v>
      </x:c>
      <x:c r="F4770" s="2" t="str">
        <x:v>Proprietary</x:v>
      </x:c>
      <x:c r="G4770" s="2" t="str">
        <x:v>Small (&lt;100 beds)</x:v>
      </x:c>
      <x:c r="H4770" s="7" t="n">
        <x:v>2</x:v>
      </x:c>
      <x:c r="I4770" s="7" t="n">
        <x:v>3</x:v>
      </x:c>
      <x:c r="J4770" s="7" t="n">
        <x:v>0.99</x:v>
      </x:c>
      <x:c r="K4770" s="8" t="n">
        <x:v>91</x:v>
      </x:c>
      <x:c r="L4770" s="8" t="n">
        <x:v>2254</x:v>
      </x:c>
      <x:c r="M4770" s="9" t="n">
        <x:v>0.2524675325</x:v>
      </x:c>
      <x:c r="N4770" s="10" t="n">
        <x:v>20304.314108252</x:v>
      </x:c>
      <x:c r="O4770" s="9" t="n">
        <x:v>-0.3301351444</x:v>
      </x:c>
      <x:c r="P4770" s="9" t="n">
        <x:v>0.0332136445</x:v>
      </x:c>
      <x:c r="Q4770" s="9" t="n">
        <x:v>0.0350089767</x:v>
      </x:c>
      <x:c r="R4770" s="3" t="b">
        <x:v>0</x:v>
      </x:c>
      <x:c r="S4770" s="3" t="b">
        <x:v>1</x:v>
      </x:c>
      <x:c r="T4770" s="3" t="b">
        <x:v>0</x:v>
      </x:c>
      <x:c r="U4770" s="2" t="str">
        <x:f>IF(T4770=TRUE,"Priority review",IF(R4770=TRUE,"High cost",IF(S4770=TRUE,"Low quality","Benchmark")))</x:f>
        <x:v>Low quality</x:v>
      </x:c>
    </x:row>
    <x:row r="4771">
      <x:c r="A4771" s="2" t="str">
        <x:v>100110</x:v>
      </x:c>
      <x:c r="B4771" s="2" t="str">
        <x:v>HCA FLORIDA OSCEOLA HOSPITAL</x:v>
      </x:c>
      <x:c r="C4771" s="2" t="str">
        <x:v>KISSIMMEE</x:v>
      </x:c>
      <x:c r="D4771" s="2" t="str">
        <x:v>FL</x:v>
      </x:c>
      <x:c r="E4771" s="2" t="str">
        <x:v>Acute Care Hospitals</x:v>
      </x:c>
      <x:c r="F4771" s="2" t="str">
        <x:v>Proprietary</x:v>
      </x:c>
      <x:c r="G4771" s="2" t="str">
        <x:v>Large (300+ beds)</x:v>
      </x:c>
      <x:c r="H4771" s="7" t="n">
        <x:v>2</x:v>
      </x:c>
      <x:c r="I4771" s="7" t="n">
        <x:v>2</x:v>
      </x:c>
      <x:c r="J4771" s="7" t="n">
        <x:v>1.06</x:v>
      </x:c>
      <x:c r="K4771" s="8" t="n">
        <x:v>345</x:v>
      </x:c>
      <x:c r="L4771" s="8" t="n">
        <x:v>20242</x:v>
      </x:c>
      <x:c r="M4771" s="9" t="n">
        <x:v>0.8299181419</x:v>
      </x:c>
      <x:c r="N4771" s="10" t="n">
        <x:v>16756.3180021737</x:v>
      </x:c>
      <x:c r="O4771" s="9" t="n">
        <x:v>0.3898416125</x:v>
      </x:c>
      <x:c r="P4771" s="9" t="n">
        <x:v>0.0331230284</x:v>
      </x:c>
      <x:c r="Q4771" s="9" t="n">
        <x:v>0.0536277603</x:v>
      </x:c>
      <x:c r="R4771" s="3" t="b">
        <x:v>0</x:v>
      </x:c>
      <x:c r="S4771" s="3" t="b">
        <x:v>1</x:v>
      </x:c>
      <x:c r="T4771" s="3" t="b">
        <x:v>0</x:v>
      </x:c>
      <x:c r="U4771" s="2" t="str">
        <x:f>IF(T4771=TRUE,"Priority review",IF(R4771=TRUE,"High cost",IF(S4771=TRUE,"Low quality","Benchmark")))</x:f>
        <x:v>Low quality</x:v>
      </x:c>
    </x:row>
    <x:row r="4772">
      <x:c r="A4772" s="2" t="str">
        <x:v>351333</x:v>
      </x:c>
      <x:c r="B4772" s="2" t="str">
        <x:v>CHI ST ALEXIUS HEALTH DEVILS LAKE</x:v>
      </x:c>
      <x:c r="C4772" s="2" t="str">
        <x:v>DEVILS LAKE</x:v>
      </x:c>
      <x:c r="D4772" s="2" t="str">
        <x:v>ND</x:v>
      </x:c>
      <x:c r="E4772" s="2" t="str">
        <x:v>Critical Access Hospitals</x:v>
      </x:c>
      <x:c r="F4772" s="2" t="str">
        <x:v>Voluntary non-profit</x:v>
      </x:c>
      <x:c r="G4772" s="2" t="str">
        <x:v>Small (&lt;100 beds)</x:v>
      </x:c>
      <x:c r="H4772" s="7" t="n">
        <x:v>2</x:v>
      </x:c>
      <x:c r="I4772" s="7"/>
      <x:c r="J4772" s="7"/>
      <x:c r="K4772" s="8" t="n">
        <x:v>25</x:v>
      </x:c>
      <x:c r="L4772" s="8" t="n">
        <x:v>819</x:v>
      </x:c>
      <x:c r="M4772" s="9" t="n">
        <x:v>0.3591232877</x:v>
      </x:c>
      <x:c r="N4772" s="10" t="n">
        <x:v>43435.9133089133</x:v>
      </x:c>
      <x:c r="O4772" s="9"/>
      <x:c r="P4772" s="9" t="n">
        <x:v>0.0327137546</x:v>
      </x:c>
      <x:c r="Q4772" s="9" t="n">
        <x:v>0.0171003717</x:v>
      </x:c>
      <x:c r="R4772" s="3" t="b">
        <x:v>0</x:v>
      </x:c>
      <x:c r="S4772" s="3" t="b">
        <x:v>1</x:v>
      </x:c>
      <x:c r="T4772" s="3" t="b">
        <x:v>0</x:v>
      </x:c>
      <x:c r="U4772" s="2" t="str">
        <x:f>IF(T4772=TRUE,"Priority review",IF(R4772=TRUE,"High cost",IF(S4772=TRUE,"Low quality","Benchmark")))</x:f>
        <x:v>Low quality</x:v>
      </x:c>
    </x:row>
    <x:row r="4773">
      <x:c r="A4773" s="2" t="str">
        <x:v>370166</x:v>
      </x:c>
      <x:c r="B4773" s="2" t="str">
        <x:v>WAGONER COMMUNITY HOSPITAL</x:v>
      </x:c>
      <x:c r="C4773" s="2" t="str">
        <x:v>WAGONER</x:v>
      </x:c>
      <x:c r="D4773" s="2" t="str">
        <x:v>OK</x:v>
      </x:c>
      <x:c r="E4773" s="2" t="str">
        <x:v>Acute Care Hospitals</x:v>
      </x:c>
      <x:c r="F4773" s="2" t="str">
        <x:v>Government</x:v>
      </x:c>
      <x:c r="G4773" s="2" t="str">
        <x:v>Medium (100-299 beds)</x:v>
      </x:c>
      <x:c r="H4773" s="7" t="n">
        <x:v>2</x:v>
      </x:c>
      <x:c r="I4773" s="7"/>
      <x:c r="J4773" s="7" t="n">
        <x:v>0.89</x:v>
      </x:c>
      <x:c r="K4773" s="8" t="n">
        <x:v>100</x:v>
      </x:c>
      <x:c r="L4773" s="8" t="n">
        <x:v>1868</x:v>
      </x:c>
      <x:c r="M4773" s="9" t="n">
        <x:v>0.2470491803</x:v>
      </x:c>
      <x:c r="N4773" s="10" t="n">
        <x:v>13269.76124197</x:v>
      </x:c>
      <x:c r="O4773" s="9" t="n">
        <x:v>-0.0832780541</x:v>
      </x:c>
      <x:c r="P4773" s="9" t="n">
        <x:v>0.032599837</x:v>
      </x:c>
      <x:c r="Q4773" s="9" t="n">
        <x:v>0.0782396088</x:v>
      </x:c>
      <x:c r="R4773" s="3" t="b">
        <x:v>0</x:v>
      </x:c>
      <x:c r="S4773" s="3" t="b">
        <x:v>1</x:v>
      </x:c>
      <x:c r="T4773" s="3" t="b">
        <x:v>0</x:v>
      </x:c>
      <x:c r="U4773" s="2" t="str">
        <x:f>IF(T4773=TRUE,"Priority review",IF(R4773=TRUE,"High cost",IF(S4773=TRUE,"Low quality","Benchmark")))</x:f>
        <x:v>Low quality</x:v>
      </x:c>
    </x:row>
    <x:row r="4774">
      <x:c r="A4774" s="2" t="str">
        <x:v>154054</x:v>
      </x:c>
      <x:c r="B4774" s="2" t="str">
        <x:v>HARSHA BEHAVIORAL CENTER INC</x:v>
      </x:c>
      <x:c r="C4774" s="2" t="str">
        <x:v>TERRE HAUTE</x:v>
      </x:c>
      <x:c r="D4774" s="2" t="str">
        <x:v>IN</x:v>
      </x:c>
      <x:c r="E4774" s="2" t="str">
        <x:v>Psychiatric</x:v>
      </x:c>
      <x:c r="F4774" s="2" t="str">
        <x:v>Voluntary non-profit</x:v>
      </x:c>
      <x:c r="G4774" s="2" t="str">
        <x:v>Small (&lt;100 beds)</x:v>
      </x:c>
      <x:c r="H4774" s="7"/>
      <x:c r="I4774" s="7"/>
      <x:c r="J4774" s="7"/>
      <x:c r="K4774" s="8" t="n">
        <x:v>81</x:v>
      </x:c>
      <x:c r="L4774" s="8" t="n">
        <x:v>2797</x:v>
      </x:c>
      <x:c r="M4774" s="9" t="n">
        <x:v>0.5755582541</x:v>
      </x:c>
      <x:c r="N4774" s="10" t="n">
        <x:v>5640.9624597783</x:v>
      </x:c>
      <x:c r="O4774" s="9" t="n">
        <x:v>0.2643795867</x:v>
      </x:c>
      <x:c r="P4774" s="9" t="n">
        <x:v>0.0323624595</x:v>
      </x:c>
      <x:c r="Q4774" s="9" t="n">
        <x:v>0</x:v>
      </x:c>
      <x:c r="R4774" s="3" t="b">
        <x:v>0</x:v>
      </x:c>
      <x:c r="S4774" s="3" t="b">
        <x:v>0</x:v>
      </x:c>
      <x:c r="T4774" s="3" t="b">
        <x:v>0</x:v>
      </x:c>
      <x:c r="U4774" s="2" t="str">
        <x:f>IF(T4774=TRUE,"Priority review",IF(R4774=TRUE,"High cost",IF(S4774=TRUE,"Low quality","Benchmark")))</x:f>
        <x:v>Benchmark</x:v>
      </x:c>
    </x:row>
    <x:row r="4775">
      <x:c r="A4775" s="2" t="str">
        <x:v>440153</x:v>
      </x:c>
      <x:c r="B4775" s="2" t="str">
        <x:v>TENNOVA HEALTHCARE - NEWPORT MEDICAL CENTER</x:v>
      </x:c>
      <x:c r="C4775" s="2" t="str">
        <x:v>NEWPORT</x:v>
      </x:c>
      <x:c r="D4775" s="2" t="str">
        <x:v>TN</x:v>
      </x:c>
      <x:c r="E4775" s="2" t="str">
        <x:v>Acute Care Hospitals</x:v>
      </x:c>
      <x:c r="F4775" s="2" t="str">
        <x:v>Proprietary</x:v>
      </x:c>
      <x:c r="G4775" s="2" t="str">
        <x:v>Small (&lt;100 beds)</x:v>
      </x:c>
      <x:c r="H4775" s="7" t="n">
        <x:v>4</x:v>
      </x:c>
      <x:c r="I4775" s="7" t="n">
        <x:v>3</x:v>
      </x:c>
      <x:c r="J4775" s="7" t="n">
        <x:v>0.85</x:v>
      </x:c>
      <x:c r="K4775" s="8" t="n">
        <x:v>32</x:v>
      </x:c>
      <x:c r="L4775" s="8" t="n">
        <x:v>2224</x:v>
      </x:c>
      <x:c r="M4775" s="9" t="n">
        <x:v>0.7359972678</x:v>
      </x:c>
      <x:c r="N4775" s="10" t="n">
        <x:v>20266.2985611511</x:v>
      </x:c>
      <x:c r="O4775" s="9" t="n">
        <x:v>0.0549367614</x:v>
      </x:c>
      <x:c r="P4775" s="9" t="n">
        <x:v>0.0323159785</x:v>
      </x:c>
      <x:c r="Q4775" s="9" t="n">
        <x:v>0.3913824057</x:v>
      </x:c>
      <x:c r="R4775" s="3" t="b">
        <x:v>0</x:v>
      </x:c>
      <x:c r="S4775" s="3" t="b">
        <x:v>0</x:v>
      </x:c>
      <x:c r="T4775" s="3" t="b">
        <x:v>0</x:v>
      </x:c>
      <x:c r="U4775" s="2" t="str">
        <x:f>IF(T4775=TRUE,"Priority review",IF(R4775=TRUE,"High cost",IF(S4775=TRUE,"Low quality","Benchmark")))</x:f>
        <x:v>Benchmark</x:v>
      </x:c>
    </x:row>
    <x:row r="4776">
      <x:c r="A4776" s="2" t="str">
        <x:v>181329</x:v>
      </x:c>
      <x:c r="B4776" s="2" t="str">
        <x:v>CHI SAINT JOSEPH BEREA NF</x:v>
      </x:c>
      <x:c r="C4776" s="2" t="str">
        <x:v>BEREA</x:v>
      </x:c>
      <x:c r="D4776" s="2" t="str">
        <x:v>KY</x:v>
      </x:c>
      <x:c r="E4776" s="2" t="str">
        <x:v>Critical Access Hospitals</x:v>
      </x:c>
      <x:c r="F4776" s="2" t="str">
        <x:v>Voluntary non-profit</x:v>
      </x:c>
      <x:c r="G4776" s="2" t="str">
        <x:v>Small (&lt;100 beds)</x:v>
      </x:c>
      <x:c r="H4776" s="7" t="n">
        <x:v>4</x:v>
      </x:c>
      <x:c r="I4776" s="7" t="n">
        <x:v>5</x:v>
      </x:c>
      <x:c r="J4776" s="7"/>
      <x:c r="K4776" s="8" t="n">
        <x:v>25</x:v>
      </x:c>
      <x:c r="L4776" s="8" t="n">
        <x:v>1012</x:v>
      </x:c>
      <x:c r="M4776" s="9" t="n">
        <x:v>0.5460821918</x:v>
      </x:c>
      <x:c r="N4776" s="10" t="n">
        <x:v>43181.1818181818</x:v>
      </x:c>
      <x:c r="O4776" s="9" t="n">
        <x:v>0.2583484004</x:v>
      </x:c>
      <x:c r="P4776" s="9" t="n">
        <x:v>0.0319702602</x:v>
      </x:c>
      <x:c r="Q4776" s="9" t="n">
        <x:v>0.1657992565</x:v>
      </x:c>
      <x:c r="R4776" s="3" t="b">
        <x:v>0</x:v>
      </x:c>
      <x:c r="S4776" s="3" t="b">
        <x:v>0</x:v>
      </x:c>
      <x:c r="T4776" s="3" t="b">
        <x:v>0</x:v>
      </x:c>
      <x:c r="U4776" s="2" t="str">
        <x:f>IF(T4776=TRUE,"Priority review",IF(R4776=TRUE,"High cost",IF(S4776=TRUE,"Low quality","Benchmark")))</x:f>
        <x:v>Benchmark</x:v>
      </x:c>
    </x:row>
    <x:row r="4777">
      <x:c r="A4777" s="2" t="str">
        <x:v>100228</x:v>
      </x:c>
      <x:c r="B4777" s="2" t="str">
        <x:v>WESTSIDE REGIONAL MEDICAL CENTER</x:v>
      </x:c>
      <x:c r="C4777" s="2" t="str">
        <x:v>PLANTATION</x:v>
      </x:c>
      <x:c r="D4777" s="2" t="str">
        <x:v>FL</x:v>
      </x:c>
      <x:c r="E4777" s="2" t="str">
        <x:v>Acute Care Hospitals</x:v>
      </x:c>
      <x:c r="F4777" s="2" t="str">
        <x:v>Proprietary</x:v>
      </x:c>
      <x:c r="G4777" s="2" t="str">
        <x:v>Medium (100-299 beds)</x:v>
      </x:c>
      <x:c r="H4777" s="7" t="n">
        <x:v>2</x:v>
      </x:c>
      <x:c r="I4777" s="7" t="n">
        <x:v>2</x:v>
      </x:c>
      <x:c r="J4777" s="7" t="n">
        <x:v>1.06</x:v>
      </x:c>
      <x:c r="K4777" s="8" t="n">
        <x:v>250</x:v>
      </x:c>
      <x:c r="L4777" s="8" t="n">
        <x:v>15704</x:v>
      </x:c>
      <x:c r="M4777" s="9" t="n">
        <x:v>0.7655628415</x:v>
      </x:c>
      <x:c r="N4777" s="10" t="n">
        <x:v>13240.4005985736</x:v>
      </x:c>
      <x:c r="O4777" s="9" t="n">
        <x:v>0.4442805273</x:v>
      </x:c>
      <x:c r="P4777" s="9" t="n">
        <x:v>0.0317848411</x:v>
      </x:c>
      <x:c r="Q4777" s="9" t="n">
        <x:v>0.0782396088</x:v>
      </x:c>
      <x:c r="R4777" s="3" t="b">
        <x:v>0</x:v>
      </x:c>
      <x:c r="S4777" s="3" t="b">
        <x:v>1</x:v>
      </x:c>
      <x:c r="T4777" s="3" t="b">
        <x:v>0</x:v>
      </x:c>
      <x:c r="U4777" s="2" t="str">
        <x:f>IF(T4777=TRUE,"Priority review",IF(R4777=TRUE,"High cost",IF(S4777=TRUE,"Low quality","Benchmark")))</x:f>
        <x:v>Low quality</x:v>
      </x:c>
    </x:row>
    <x:row r="4778">
      <x:c r="A4778" s="2" t="str">
        <x:v>400016</x:v>
      </x:c>
      <x:c r="B4778" s="2" t="str">
        <x:v>AUXILIO MUTUO HOSPITAL</x:v>
      </x:c>
      <x:c r="C4778" s="2" t="str">
        <x:v>SAN JUAN</x:v>
      </x:c>
      <x:c r="D4778" s="2" t="str">
        <x:v>PR</x:v>
      </x:c>
      <x:c r="E4778" s="2" t="str">
        <x:v>Acute Care Hospitals</x:v>
      </x:c>
      <x:c r="F4778" s="2" t="str">
        <x:v>Voluntary non-profit</x:v>
      </x:c>
      <x:c r="G4778" s="2" t="str">
        <x:v>Large (300+ beds)</x:v>
      </x:c>
      <x:c r="H4778" s="7" t="n">
        <x:v>4</x:v>
      </x:c>
      <x:c r="I4778" s="7"/>
      <x:c r="J4778" s="7"/>
      <x:c r="K4778" s="8" t="n">
        <x:v>487</x:v>
      </x:c>
      <x:c r="L4778" s="8" t="n">
        <x:v>16660</x:v>
      </x:c>
      <x:c r="M4778" s="9" t="n">
        <x:v>0.6493138542</x:v>
      </x:c>
      <x:c r="N4778" s="10" t="n">
        <x:v>16076.3322328932</x:v>
      </x:c>
      <x:c r="O4778" s="9" t="n">
        <x:v>-0.0577647424</x:v>
      </x:c>
      <x:c r="P4778" s="9" t="n">
        <x:v>0.0315457413</x:v>
      </x:c>
      <x:c r="Q4778" s="9" t="n">
        <x:v>0.5899053628</x:v>
      </x:c>
      <x:c r="R4778" s="3" t="b">
        <x:v>0</x:v>
      </x:c>
      <x:c r="S4778" s="3" t="b">
        <x:v>0</x:v>
      </x:c>
      <x:c r="T4778" s="3" t="b">
        <x:v>0</x:v>
      </x:c>
      <x:c r="U4778" s="2" t="str">
        <x:f>IF(T4778=TRUE,"Priority review",IF(R4778=TRUE,"High cost",IF(S4778=TRUE,"Low quality","Benchmark")))</x:f>
        <x:v>Benchmark</x:v>
      </x:c>
    </x:row>
    <x:row r="4779">
      <x:c r="A4779" s="2" t="str">
        <x:v>010007</x:v>
      </x:c>
      <x:c r="B4779" s="2" t="str">
        <x:v>MIZELL MEMORIAL HOSPITAL</x:v>
      </x:c>
      <x:c r="C4779" s="2" t="str">
        <x:v>OPP</x:v>
      </x:c>
      <x:c r="D4779" s="2" t="str">
        <x:v>AL</x:v>
      </x:c>
      <x:c r="E4779" s="2" t="str">
        <x:v>Acute Care Hospitals</x:v>
      </x:c>
      <x:c r="F4779" s="2" t="str">
        <x:v>Voluntary non-profit</x:v>
      </x:c>
      <x:c r="G4779" s="2" t="str">
        <x:v>Small (&lt;100 beds)</x:v>
      </x:c>
      <x:c r="H4779" s="7" t="n">
        <x:v>1</x:v>
      </x:c>
      <x:c r="I4779" s="7"/>
      <x:c r="J4779" s="7" t="n">
        <x:v>1.04</x:v>
      </x:c>
      <x:c r="K4779" s="8" t="n">
        <x:v>35</x:v>
      </x:c>
      <x:c r="L4779" s="8" t="n">
        <x:v>1279</x:v>
      </x:c>
      <x:c r="M4779" s="9" t="n">
        <x:v>0.412412178</x:v>
      </x:c>
      <x:c r="N4779" s="10" t="n">
        <x:v>20248.4894448788</x:v>
      </x:c>
      <x:c r="O4779" s="9" t="n">
        <x:v>-0.3901511463</x:v>
      </x:c>
      <x:c r="P4779" s="9" t="n">
        <x:v>0.0314183124</x:v>
      </x:c>
      <x:c r="Q4779" s="9" t="n">
        <x:v>0</x:v>
      </x:c>
      <x:c r="R4779" s="3" t="b">
        <x:v>0</x:v>
      </x:c>
      <x:c r="S4779" s="3" t="b">
        <x:v>1</x:v>
      </x:c>
      <x:c r="T4779" s="3" t="b">
        <x:v>0</x:v>
      </x:c>
      <x:c r="U4779" s="2" t="str">
        <x:f>IF(T4779=TRUE,"Priority review",IF(R4779=TRUE,"High cost",IF(S4779=TRUE,"Low quality","Benchmark")))</x:f>
        <x:v>Low quality</x:v>
      </x:c>
    </x:row>
    <x:row r="4780">
      <x:c r="A4780" s="2" t="str">
        <x:v>521335</x:v>
      </x:c>
      <x:c r="B4780" s="2" t="str">
        <x:v>HUDSON HOSPITAL</x:v>
      </x:c>
      <x:c r="C4780" s="2" t="str">
        <x:v>HUDSON</x:v>
      </x:c>
      <x:c r="D4780" s="2" t="str">
        <x:v>WI</x:v>
      </x:c>
      <x:c r="E4780" s="2" t="str">
        <x:v>Critical Access Hospitals</x:v>
      </x:c>
      <x:c r="F4780" s="2" t="str">
        <x:v>Voluntary non-profit</x:v>
      </x:c>
      <x:c r="G4780" s="2" t="str">
        <x:v>Small (&lt;100 beds)</x:v>
      </x:c>
      <x:c r="H4780" s="7" t="n">
        <x:v>5</x:v>
      </x:c>
      <x:c r="I4780" s="7" t="n">
        <x:v>4</x:v>
      </x:c>
      <x:c r="J4780" s="7"/>
      <x:c r="K4780" s="8" t="n">
        <x:v>25</x:v>
      </x:c>
      <x:c r="L4780" s="8" t="n">
        <x:v>1653</x:v>
      </x:c>
      <x:c r="M4780" s="9" t="n">
        <x:v>0.5427322404</x:v>
      </x:c>
      <x:c r="N4780" s="10" t="n">
        <x:v>43121.0659407139</x:v>
      </x:c>
      <x:c r="O4780" s="9" t="n">
        <x:v>-0.0350752222</x:v>
      </x:c>
      <x:c r="P4780" s="9" t="n">
        <x:v>0.0312267658</x:v>
      </x:c>
      <x:c r="Q4780" s="9" t="n">
        <x:v>0.2602230483</x:v>
      </x:c>
      <x:c r="R4780" s="3" t="b">
        <x:v>0</x:v>
      </x:c>
      <x:c r="S4780" s="3" t="b">
        <x:v>0</x:v>
      </x:c>
      <x:c r="T4780" s="3" t="b">
        <x:v>0</x:v>
      </x:c>
      <x:c r="U4780" s="2" t="str">
        <x:f>IF(T4780=TRUE,"Priority review",IF(R4780=TRUE,"High cost",IF(S4780=TRUE,"Low quality","Benchmark")))</x:f>
        <x:v>Benchmark</x:v>
      </x:c>
    </x:row>
    <x:row r="4781">
      <x:c r="A4781" s="2" t="str">
        <x:v>400013</x:v>
      </x:c>
      <x:c r="B4781" s="2" t="str">
        <x:v>HOSPITAL MENONITA DE CAYEY</x:v>
      </x:c>
      <x:c r="C4781" s="2" t="str">
        <x:v>CAYEY</x:v>
      </x:c>
      <x:c r="D4781" s="2" t="str">
        <x:v>PR</x:v>
      </x:c>
      <x:c r="E4781" s="2" t="str">
        <x:v>Acute Care Hospitals</x:v>
      </x:c>
      <x:c r="F4781" s="2" t="str">
        <x:v>Voluntary non-profit</x:v>
      </x:c>
      <x:c r="G4781" s="2" t="str">
        <x:v>Medium (100-299 beds)</x:v>
      </x:c>
      <x:c r="H4781" s="7"/>
      <x:c r="I4781" s="7"/>
      <x:c r="J4781" s="7"/>
      <x:c r="K4781" s="8" t="n">
        <x:v>244</x:v>
      </x:c>
      <x:c r="L4781" s="8" t="n">
        <x:v>13920</x:v>
      </x:c>
      <x:c r="M4781" s="9" t="n">
        <x:v>0.8947451157</x:v>
      </x:c>
      <x:c r="N4781" s="10" t="n">
        <x:v>13226.6013649425</x:v>
      </x:c>
      <x:c r="O4781" s="9" t="n">
        <x:v>0.1288251932</x:v>
      </x:c>
      <x:c r="P4781" s="9" t="n">
        <x:v>0.0309698452</x:v>
      </x:c>
      <x:c r="Q4781" s="9" t="n">
        <x:v>0.9616951915</x:v>
      </x:c>
      <x:c r="R4781" s="3" t="b">
        <x:v>0</x:v>
      </x:c>
      <x:c r="S4781" s="3" t="b">
        <x:v>0</x:v>
      </x:c>
      <x:c r="T4781" s="3" t="b">
        <x:v>0</x:v>
      </x:c>
      <x:c r="U4781" s="2" t="str">
        <x:f>IF(T4781=TRUE,"Priority review",IF(R4781=TRUE,"High cost",IF(S4781=TRUE,"Low quality","Benchmark")))</x:f>
        <x:v>Benchmark</x:v>
      </x:c>
    </x:row>
    <x:row r="4782">
      <x:c r="A4782" s="2" t="str">
        <x:v>440009</x:v>
      </x:c>
      <x:c r="B4782" s="2" t="str">
        <x:v>CUMBERLAND MEDICAL CENTER</x:v>
      </x:c>
      <x:c r="C4782" s="2" t="str">
        <x:v>CROSSVILLE</x:v>
      </x:c>
      <x:c r="D4782" s="2" t="str">
        <x:v>TN</x:v>
      </x:c>
      <x:c r="E4782" s="2" t="str">
        <x:v>Acute Care Hospitals</x:v>
      </x:c>
      <x:c r="F4782" s="2" t="str">
        <x:v>Voluntary non-profit</x:v>
      </x:c>
      <x:c r="G4782" s="2" t="str">
        <x:v>Small (&lt;100 beds)</x:v>
      </x:c>
      <x:c r="H4782" s="7" t="n">
        <x:v>4</x:v>
      </x:c>
      <x:c r="I4782" s="7" t="n">
        <x:v>3</x:v>
      </x:c>
      <x:c r="J4782" s="7" t="n">
        <x:v>0.95</x:v>
      </x:c>
      <x:c r="K4782" s="8" t="n">
        <x:v>82</x:v>
      </x:c>
      <x:c r="L4782" s="8" t="n">
        <x:v>5065</x:v>
      </x:c>
      <x:c r="M4782" s="9" t="n">
        <x:v>0.7149843176</x:v>
      </x:c>
      <x:c r="N4782" s="10" t="n">
        <x:v>19898.1145113524</x:v>
      </x:c>
      <x:c r="O4782" s="9" t="n">
        <x:v>-0.0251905737</x:v>
      </x:c>
      <x:c r="P4782" s="9" t="n">
        <x:v>0.0305206463</x:v>
      </x:c>
      <x:c r="Q4782" s="9" t="n">
        <x:v>0.3913824057</x:v>
      </x:c>
      <x:c r="R4782" s="3" t="b">
        <x:v>0</x:v>
      </x:c>
      <x:c r="S4782" s="3" t="b">
        <x:v>0</x:v>
      </x:c>
      <x:c r="T4782" s="3" t="b">
        <x:v>0</x:v>
      </x:c>
      <x:c r="U4782" s="2" t="str">
        <x:f>IF(T4782=TRUE,"Priority review",IF(R4782=TRUE,"High cost",IF(S4782=TRUE,"Low quality","Benchmark")))</x:f>
        <x:v>Benchmark</x:v>
      </x:c>
    </x:row>
    <x:row r="4783">
      <x:c r="A4783" s="2" t="str">
        <x:v>261337</x:v>
      </x:c>
      <x:c r="B4783" s="2" t="str">
        <x:v>MISSOURI BAPTIST SULLIVAN HOSPITAL</x:v>
      </x:c>
      <x:c r="C4783" s="2" t="str">
        <x:v>SULLIVAN</x:v>
      </x:c>
      <x:c r="D4783" s="2" t="str">
        <x:v>MO</x:v>
      </x:c>
      <x:c r="E4783" s="2" t="str">
        <x:v>Critical Access Hospitals</x:v>
      </x:c>
      <x:c r="F4783" s="2" t="str">
        <x:v>Voluntary non-profit</x:v>
      </x:c>
      <x:c r="G4783" s="2" t="str">
        <x:v>Small (&lt;100 beds)</x:v>
      </x:c>
      <x:c r="H4783" s="7" t="n">
        <x:v>2</x:v>
      </x:c>
      <x:c r="I4783" s="7" t="n">
        <x:v>4</x:v>
      </x:c>
      <x:c r="J4783" s="7"/>
      <x:c r="K4783" s="8" t="n">
        <x:v>25</x:v>
      </x:c>
      <x:c r="L4783" s="8" t="n">
        <x:v>1991</x:v>
      </x:c>
      <x:c r="M4783" s="9" t="n">
        <x:v>0.7550819672</x:v>
      </x:c>
      <x:c r="N4783" s="10" t="n">
        <x:v>43011.5339025615</x:v>
      </x:c>
      <x:c r="O4783" s="9" t="n">
        <x:v>-0.1022864202</x:v>
      </x:c>
      <x:c r="P4783" s="9" t="n">
        <x:v>0.0304832714</x:v>
      </x:c>
      <x:c r="Q4783" s="9" t="n">
        <x:v>0.0171003717</x:v>
      </x:c>
      <x:c r="R4783" s="3" t="b">
        <x:v>0</x:v>
      </x:c>
      <x:c r="S4783" s="3" t="b">
        <x:v>1</x:v>
      </x:c>
      <x:c r="T4783" s="3" t="b">
        <x:v>0</x:v>
      </x:c>
      <x:c r="U4783" s="2" t="str">
        <x:f>IF(T4783=TRUE,"Priority review",IF(R4783=TRUE,"High cost",IF(S4783=TRUE,"Low quality","Benchmark")))</x:f>
        <x:v>Low quality</x:v>
      </x:c>
    </x:row>
    <x:row r="4784">
      <x:c r="A4784" s="2" t="str">
        <x:v>300029</x:v>
      </x:c>
      <x:c r="B4784" s="2" t="str">
        <x:v>PORTSMOUTH REGIONAL HOSPITAL</x:v>
      </x:c>
      <x:c r="C4784" s="2" t="str">
        <x:v>PORTSMOUTH</x:v>
      </x:c>
      <x:c r="D4784" s="2" t="str">
        <x:v>NH</x:v>
      </x:c>
      <x:c r="E4784" s="2" t="str">
        <x:v>Acute Care Hospitals</x:v>
      </x:c>
      <x:c r="F4784" s="2" t="str">
        <x:v>Proprietary</x:v>
      </x:c>
      <x:c r="G4784" s="2" t="str">
        <x:v>Medium (100-299 beds)</x:v>
      </x:c>
      <x:c r="H4784" s="7" t="n">
        <x:v>3</x:v>
      </x:c>
      <x:c r="I4784" s="7" t="n">
        <x:v>3</x:v>
      </x:c>
      <x:c r="J4784" s="7" t="n">
        <x:v>1.02</x:v>
      </x:c>
      <x:c r="K4784" s="8" t="n">
        <x:v>189</x:v>
      </x:c>
      <x:c r="L4784" s="8" t="n">
        <x:v>13500</x:v>
      </x:c>
      <x:c r="M4784" s="9" t="n">
        <x:v>0.8273757762</x:v>
      </x:c>
      <x:c r="N4784" s="10" t="n">
        <x:v>13088.9797777778</x:v>
      </x:c>
      <x:c r="O4784" s="9" t="n">
        <x:v>0.5739440943</x:v>
      </x:c>
      <x:c r="P4784" s="9" t="n">
        <x:v>0.0301548492</x:v>
      </x:c>
      <x:c r="Q4784" s="9" t="n">
        <x:v>0.3023634882</x:v>
      </x:c>
      <x:c r="R4784" s="3" t="b">
        <x:v>0</x:v>
      </x:c>
      <x:c r="S4784" s="3" t="b">
        <x:v>0</x:v>
      </x:c>
      <x:c r="T4784" s="3" t="b">
        <x:v>0</x:v>
      </x:c>
      <x:c r="U4784" s="2" t="str">
        <x:f>IF(T4784=TRUE,"Priority review",IF(R4784=TRUE,"High cost",IF(S4784=TRUE,"Low quality","Benchmark")))</x:f>
        <x:v>Benchmark</x:v>
      </x:c>
    </x:row>
    <x:row r="4785">
      <x:c r="A4785" s="2" t="str">
        <x:v>450809</x:v>
      </x:c>
      <x:c r="B4785" s="2" t="str">
        <x:v>NORTH AUSTIN MEDICAL CENTER</x:v>
      </x:c>
      <x:c r="C4785" s="2" t="str">
        <x:v>AUSTIN</x:v>
      </x:c>
      <x:c r="D4785" s="2" t="str">
        <x:v>TX</x:v>
      </x:c>
      <x:c r="E4785" s="2" t="str">
        <x:v>Acute Care Hospitals</x:v>
      </x:c>
      <x:c r="F4785" s="2" t="str">
        <x:v>Proprietary</x:v>
      </x:c>
      <x:c r="G4785" s="2" t="str">
        <x:v>Large (300+ beds)</x:v>
      </x:c>
      <x:c r="H4785" s="7" t="n">
        <x:v>3</x:v>
      </x:c>
      <x:c r="I4785" s="7" t="n">
        <x:v>2</x:v>
      </x:c>
      <x:c r="J4785" s="7" t="n">
        <x:v>1.01</x:v>
      </x:c>
      <x:c r="K4785" s="8" t="n">
        <x:v>469</x:v>
      </x:c>
      <x:c r="L4785" s="8" t="n">
        <x:v>33205</x:v>
      </x:c>
      <x:c r="M4785" s="9" t="n">
        <x:v>0.8629202325</x:v>
      </x:c>
      <x:c r="N4785" s="10" t="n">
        <x:v>15940.890468303</x:v>
      </x:c>
      <x:c r="O4785" s="9" t="n">
        <x:v>0.3045005093</x:v>
      </x:c>
      <x:c r="P4785" s="9" t="n">
        <x:v>0.0299684543</x:v>
      </x:c>
      <x:c r="Q4785" s="9" t="n">
        <x:v>0.2570977918</x:v>
      </x:c>
      <x:c r="R4785" s="3" t="b">
        <x:v>0</x:v>
      </x:c>
      <x:c r="S4785" s="3" t="b">
        <x:v>0</x:v>
      </x:c>
      <x:c r="T4785" s="3" t="b">
        <x:v>0</x:v>
      </x:c>
      <x:c r="U4785" s="2" t="str">
        <x:f>IF(T4785=TRUE,"Priority review",IF(R4785=TRUE,"High cost",IF(S4785=TRUE,"Low quality","Benchmark")))</x:f>
        <x:v>Benchmark</x:v>
      </x:c>
    </x:row>
    <x:row r="4786">
      <x:c r="A4786" s="2" t="str">
        <x:v>104076</x:v>
      </x:c>
      <x:c r="B4786" s="2" t="str">
        <x:v>UNIVERSITY BEHAVIORAL CENTER</x:v>
      </x:c>
      <x:c r="C4786" s="2" t="str">
        <x:v>ORLANDO</x:v>
      </x:c>
      <x:c r="D4786" s="2" t="str">
        <x:v>FL</x:v>
      </x:c>
      <x:c r="E4786" s="2" t="str">
        <x:v>Psychiatric</x:v>
      </x:c>
      <x:c r="F4786" s="2" t="str">
        <x:v>Voluntary non-profit</x:v>
      </x:c>
      <x:c r="G4786" s="2" t="str">
        <x:v>Medium (100-299 beds)</x:v>
      </x:c>
      <x:c r="H4786" s="7"/>
      <x:c r="I4786" s="7"/>
      <x:c r="J4786" s="7"/>
      <x:c r="K4786" s="8" t="n">
        <x:v>112</x:v>
      </x:c>
      <x:c r="L4786" s="8" t="n">
        <x:v>5099</x:v>
      </x:c>
      <x:c r="M4786" s="9" t="n">
        <x:v>0.5819184231</x:v>
      </x:c>
      <x:c r="N4786" s="10" t="n">
        <x:v>5025.8338889978</x:v>
      </x:c>
      <x:c r="O4786" s="9" t="n">
        <x:v>-0.0291353998</x:v>
      </x:c>
      <x:c r="P4786" s="9" t="n">
        <x:v>0.0298507463</x:v>
      </x:c>
      <x:c r="Q4786" s="9" t="n">
        <x:v>0</x:v>
      </x:c>
      <x:c r="R4786" s="3" t="b">
        <x:v>0</x:v>
      </x:c>
      <x:c r="S4786" s="3" t="b">
        <x:v>0</x:v>
      </x:c>
      <x:c r="T4786" s="3" t="b">
        <x:v>0</x:v>
      </x:c>
      <x:c r="U4786" s="2" t="str">
        <x:f>IF(T4786=TRUE,"Priority review",IF(R4786=TRUE,"High cost",IF(S4786=TRUE,"Low quality","Benchmark")))</x:f>
        <x:v>Benchmark</x:v>
      </x:c>
    </x:row>
    <x:row r="4787">
      <x:c r="A4787" s="2" t="str">
        <x:v>431334</x:v>
      </x:c>
      <x:c r="B4787" s="2" t="str">
        <x:v>WINNER REGIONAL HEALTHCARE CENTER - CAH</x:v>
      </x:c>
      <x:c r="C4787" s="2" t="str">
        <x:v>WINNER</x:v>
      </x:c>
      <x:c r="D4787" s="2" t="str">
        <x:v>SD</x:v>
      </x:c>
      <x:c r="E4787" s="2" t="str">
        <x:v>Critical Access Hospitals</x:v>
      </x:c>
      <x:c r="F4787" s="2" t="str">
        <x:v>Voluntary non-profit</x:v>
      </x:c>
      <x:c r="G4787" s="2" t="str">
        <x:v>Small (&lt;100 beds)</x:v>
      </x:c>
      <x:c r="H4787" s="7"/>
      <x:c r="I4787" s="7"/>
      <x:c r="J4787" s="7"/>
      <x:c r="K4787" s="8" t="n">
        <x:v>25</x:v>
      </x:c>
      <x:c r="L4787" s="8" t="n">
        <x:v>755</x:v>
      </x:c>
      <x:c r="M4787" s="9" t="n">
        <x:v>0.2463387978</x:v>
      </x:c>
      <x:c r="N4787" s="10" t="n">
        <x:v>42364.3562913907</x:v>
      </x:c>
      <x:c r="O4787" s="9" t="n">
        <x:v>-0.291424918</x:v>
      </x:c>
      <x:c r="P4787" s="9" t="n">
        <x:v>0.029739777</x:v>
      </x:c>
      <x:c r="Q4787" s="9" t="n">
        <x:v>0.292936803</x:v>
      </x:c>
      <x:c r="R4787" s="3" t="b">
        <x:v>0</x:v>
      </x:c>
      <x:c r="S4787" s="3" t="b">
        <x:v>0</x:v>
      </x:c>
      <x:c r="T4787" s="3" t="b">
        <x:v>0</x:v>
      </x:c>
      <x:c r="U4787" s="2" t="str">
        <x:f>IF(T4787=TRUE,"Priority review",IF(R4787=TRUE,"High cost",IF(S4787=TRUE,"Low quality","Benchmark")))</x:f>
        <x:v>Benchmark</x:v>
      </x:c>
    </x:row>
    <x:row r="4788">
      <x:c r="A4788" s="2" t="str">
        <x:v>450092</x:v>
      </x:c>
      <x:c r="B4788" s="2" t="str">
        <x:v>FORT DUNCAN MEDICAL CENTER</x:v>
      </x:c>
      <x:c r="C4788" s="2" t="str">
        <x:v>EAGLE PASS</x:v>
      </x:c>
      <x:c r="D4788" s="2" t="str">
        <x:v>TX</x:v>
      </x:c>
      <x:c r="E4788" s="2" t="str">
        <x:v>Acute Care Hospitals</x:v>
      </x:c>
      <x:c r="F4788" s="2" t="str">
        <x:v>Proprietary</x:v>
      </x:c>
      <x:c r="G4788" s="2" t="str">
        <x:v>Small (&lt;100 beds)</x:v>
      </x:c>
      <x:c r="H4788" s="7" t="n">
        <x:v>3</x:v>
      </x:c>
      <x:c r="I4788" s="7" t="n">
        <x:v>3</x:v>
      </x:c>
      <x:c r="J4788" s="7" t="n">
        <x:v>1.2</x:v>
      </x:c>
      <x:c r="K4788" s="8" t="n">
        <x:v>86</x:v>
      </x:c>
      <x:c r="L4788" s="8" t="n">
        <x:v>3597</x:v>
      </x:c>
      <x:c r="M4788" s="9" t="n">
        <x:v>0.4149510738</x:v>
      </x:c>
      <x:c r="N4788" s="10" t="n">
        <x:v>19489.1854323047</x:v>
      </x:c>
      <x:c r="O4788" s="9" t="n">
        <x:v>0.3269263967</x:v>
      </x:c>
      <x:c r="P4788" s="9" t="n">
        <x:v>0.0296229803</x:v>
      </x:c>
      <x:c r="Q4788" s="9" t="n">
        <x:v>0.1687612208</x:v>
      </x:c>
      <x:c r="R4788" s="3" t="b">
        <x:v>0</x:v>
      </x:c>
      <x:c r="S4788" s="3" t="b">
        <x:v>0</x:v>
      </x:c>
      <x:c r="T4788" s="3" t="b">
        <x:v>0</x:v>
      </x:c>
      <x:c r="U4788" s="2" t="str">
        <x:f>IF(T4788=TRUE,"Priority review",IF(R4788=TRUE,"High cost",IF(S4788=TRUE,"Low quality","Benchmark")))</x:f>
        <x:v>Benchmark</x:v>
      </x:c>
    </x:row>
    <x:row r="4789">
      <x:c r="A4789" s="2" t="str">
        <x:v>290005</x:v>
      </x:c>
      <x:c r="B4789" s="2" t="str">
        <x:v>NORTH VISTA HOSPITAL</x:v>
      </x:c>
      <x:c r="C4789" s="2" t="str">
        <x:v>NORTH LAS VEGAS</x:v>
      </x:c>
      <x:c r="D4789" s="2" t="str">
        <x:v>NV</x:v>
      </x:c>
      <x:c r="E4789" s="2" t="str">
        <x:v>Acute Care Hospitals</x:v>
      </x:c>
      <x:c r="F4789" s="2" t="str">
        <x:v>Voluntary non-profit</x:v>
      </x:c>
      <x:c r="G4789" s="2" t="str">
        <x:v>Medium (100-299 beds)</x:v>
      </x:c>
      <x:c r="H4789" s="7" t="n">
        <x:v>3</x:v>
      </x:c>
      <x:c r="I4789" s="7" t="n">
        <x:v>2</x:v>
      </x:c>
      <x:c r="J4789" s="7" t="n">
        <x:v>1.14</x:v>
      </x:c>
      <x:c r="K4789" s="8" t="n">
        <x:v>161</x:v>
      </x:c>
      <x:c r="L4789" s="8" t="n">
        <x:v>9599</x:v>
      </x:c>
      <x:c r="M4789" s="9" t="n">
        <x:v>0.8018192309</x:v>
      </x:c>
      <x:c r="N4789" s="10" t="n">
        <x:v>12929.6428794666</x:v>
      </x:c>
      <x:c r="O4789" s="9" t="n">
        <x:v>0.2626878377</x:v>
      </x:c>
      <x:c r="P4789" s="9" t="n">
        <x:v>0.0293398533</x:v>
      </x:c>
      <x:c r="Q4789" s="9" t="n">
        <x:v>0.3023634882</x:v>
      </x:c>
      <x:c r="R4789" s="3" t="b">
        <x:v>0</x:v>
      </x:c>
      <x:c r="S4789" s="3" t="b">
        <x:v>0</x:v>
      </x:c>
      <x:c r="T4789" s="3" t="b">
        <x:v>0</x:v>
      </x:c>
      <x:c r="U4789" s="2" t="str">
        <x:f>IF(T4789=TRUE,"Priority review",IF(R4789=TRUE,"High cost",IF(S4789=TRUE,"Low quality","Benchmark")))</x:f>
        <x:v>Benchmark</x:v>
      </x:c>
    </x:row>
    <x:row r="4790">
      <x:c r="A4790" s="2" t="str">
        <x:v>104080</x:v>
      </x:c>
      <x:c r="B4790" s="2" t="str">
        <x:v>CORAL SHORES BEHAVIORAL HEALTH</x:v>
      </x:c>
      <x:c r="C4790" s="2" t="str">
        <x:v>STUART</x:v>
      </x:c>
      <x:c r="D4790" s="2" t="str">
        <x:v>FL</x:v>
      </x:c>
      <x:c r="E4790" s="2" t="str">
        <x:v>Psychiatric</x:v>
      </x:c>
      <x:c r="F4790" s="2" t="str">
        <x:v>Voluntary non-profit</x:v>
      </x:c>
      <x:c r="G4790" s="2" t="str">
        <x:v>Small (&lt;100 beds)</x:v>
      </x:c>
      <x:c r="H4790" s="7"/>
      <x:c r="I4790" s="7"/>
      <x:c r="J4790" s="7"/>
      <x:c r="K4790" s="8" t="n">
        <x:v>80</x:v>
      </x:c>
      <x:c r="L4790" s="8" t="n">
        <x:v>3621</x:v>
      </x:c>
      <x:c r="M4790" s="9" t="n">
        <x:v>0.6753082192</x:v>
      </x:c>
      <x:c r="N4790" s="10" t="n">
        <x:v>5432.5407346037</x:v>
      </x:c>
      <x:c r="O4790" s="9" t="n">
        <x:v>0.0369800054</x:v>
      </x:c>
      <x:c r="P4790" s="9" t="n">
        <x:v>0.0291262136</x:v>
      </x:c>
      <x:c r="Q4790" s="9" t="n">
        <x:v>0</x:v>
      </x:c>
      <x:c r="R4790" s="3" t="b">
        <x:v>0</x:v>
      </x:c>
      <x:c r="S4790" s="3" t="b">
        <x:v>0</x:v>
      </x:c>
      <x:c r="T4790" s="3" t="b">
        <x:v>0</x:v>
      </x:c>
      <x:c r="U4790" s="2" t="str">
        <x:f>IF(T4790=TRUE,"Priority review",IF(R4790=TRUE,"High cost",IF(S4790=TRUE,"Low quality","Benchmark")))</x:f>
        <x:v>Benchmark</x:v>
      </x:c>
    </x:row>
    <x:row r="4791">
      <x:c r="A4791" s="2" t="str">
        <x:v>501335</x:v>
      </x:c>
      <x:c r="B4791" s="2" t="str">
        <x:v>ST ELIZABETH HOSPITAL</x:v>
      </x:c>
      <x:c r="C4791" s="2" t="str">
        <x:v>ENUMCLAW</x:v>
      </x:c>
      <x:c r="D4791" s="2" t="str">
        <x:v>WA</x:v>
      </x:c>
      <x:c r="E4791" s="2" t="str">
        <x:v>Critical Access Hospitals</x:v>
      </x:c>
      <x:c r="F4791" s="2" t="str">
        <x:v>Voluntary non-profit</x:v>
      </x:c>
      <x:c r="G4791" s="2" t="str">
        <x:v>Small (&lt;100 beds)</x:v>
      </x:c>
      <x:c r="H4791" s="7" t="n">
        <x:v>5</x:v>
      </x:c>
      <x:c r="I4791" s="7" t="n">
        <x:v>4</x:v>
      </x:c>
      <x:c r="J4791" s="7"/>
      <x:c r="K4791" s="8" t="n">
        <x:v>25</x:v>
      </x:c>
      <x:c r="L4791" s="8" t="n">
        <x:v>1638</x:v>
      </x:c>
      <x:c r="M4791" s="9" t="n">
        <x:v>0.5801643836</x:v>
      </x:c>
      <x:c r="N4791" s="10" t="n">
        <x:v>42086.3156288156</x:v>
      </x:c>
      <x:c r="O4791" s="9" t="n">
        <x:v>0.0688703347</x:v>
      </x:c>
      <x:c r="P4791" s="9" t="n">
        <x:v>0.0289962825</x:v>
      </x:c>
      <x:c r="Q4791" s="9" t="n">
        <x:v>0.2602230483</x:v>
      </x:c>
      <x:c r="R4791" s="3" t="b">
        <x:v>0</x:v>
      </x:c>
      <x:c r="S4791" s="3" t="b">
        <x:v>0</x:v>
      </x:c>
      <x:c r="T4791" s="3" t="b">
        <x:v>0</x:v>
      </x:c>
      <x:c r="U4791" s="2" t="str">
        <x:f>IF(T4791=TRUE,"Priority review",IF(R4791=TRUE,"High cost",IF(S4791=TRUE,"Low quality","Benchmark")))</x:f>
        <x:v>Benchmark</x:v>
      </x:c>
    </x:row>
    <x:row r="4792">
      <x:c r="A4792" s="2" t="str">
        <x:v>450203</x:v>
      </x:c>
      <x:c r="B4792" s="2" t="str">
        <x:v>MEDICAL CITY WEATHERFORD</x:v>
      </x:c>
      <x:c r="C4792" s="2" t="str">
        <x:v>WEATHERFORD</x:v>
      </x:c>
      <x:c r="D4792" s="2" t="str">
        <x:v>TX</x:v>
      </x:c>
      <x:c r="E4792" s="2" t="str">
        <x:v>Acute Care Hospitals</x:v>
      </x:c>
      <x:c r="F4792" s="2" t="str">
        <x:v>Proprietary</x:v>
      </x:c>
      <x:c r="G4792" s="2" t="str">
        <x:v>Small (&lt;100 beds)</x:v>
      </x:c>
      <x:c r="H4792" s="7" t="n">
        <x:v>2</x:v>
      </x:c>
      <x:c r="I4792" s="7" t="n">
        <x:v>3</x:v>
      </x:c>
      <x:c r="J4792" s="7" t="n">
        <x:v>1.08</x:v>
      </x:c>
      <x:c r="K4792" s="8" t="n">
        <x:v>91</x:v>
      </x:c>
      <x:c r="L4792" s="8" t="n">
        <x:v>6751</x:v>
      </x:c>
      <x:c r="M4792" s="9" t="n">
        <x:v>0.8726655858</x:v>
      </x:c>
      <x:c r="N4792" s="10" t="n">
        <x:v>19061.4578580951</x:v>
      </x:c>
      <x:c r="O4792" s="9" t="n">
        <x:v>0.1603395119</x:v>
      </x:c>
      <x:c r="P4792" s="9" t="n">
        <x:v>0.0287253142</x:v>
      </x:c>
      <x:c r="Q4792" s="9" t="n">
        <x:v>0.0350089767</x:v>
      </x:c>
      <x:c r="R4792" s="3" t="b">
        <x:v>0</x:v>
      </x:c>
      <x:c r="S4792" s="3" t="b">
        <x:v>1</x:v>
      </x:c>
      <x:c r="T4792" s="3" t="b">
        <x:v>0</x:v>
      </x:c>
      <x:c r="U4792" s="2" t="str">
        <x:f>IF(T4792=TRUE,"Priority review",IF(R4792=TRUE,"High cost",IF(S4792=TRUE,"Low quality","Benchmark")))</x:f>
        <x:v>Low quality</x:v>
      </x:c>
    </x:row>
    <x:row r="4793">
      <x:c r="A4793" s="2" t="str">
        <x:v>100122</x:v>
      </x:c>
      <x:c r="B4793" s="2" t="str">
        <x:v>NORTH OKALOOSA MEDICAL CENTER</x:v>
      </x:c>
      <x:c r="C4793" s="2" t="str">
        <x:v>CRESTVIEW</x:v>
      </x:c>
      <x:c r="D4793" s="2" t="str">
        <x:v>FL</x:v>
      </x:c>
      <x:c r="E4793" s="2" t="str">
        <x:v>Acute Care Hospitals</x:v>
      </x:c>
      <x:c r="F4793" s="2" t="str">
        <x:v>Voluntary non-profit</x:v>
      </x:c>
      <x:c r="G4793" s="2" t="str">
        <x:v>Medium (100-299 beds)</x:v>
      </x:c>
      <x:c r="H4793" s="7" t="n">
        <x:v>3</x:v>
      </x:c>
      <x:c r="I4793" s="7" t="n">
        <x:v>2</x:v>
      </x:c>
      <x:c r="J4793" s="7" t="n">
        <x:v>1.03</x:v>
      </x:c>
      <x:c r="K4793" s="8" t="n">
        <x:v>110</x:v>
      </x:c>
      <x:c r="L4793" s="8" t="n">
        <x:v>6374</x:v>
      </x:c>
      <x:c r="M4793" s="9" t="n">
        <x:v>0.6153175592</x:v>
      </x:c>
      <x:c r="N4793" s="10" t="n">
        <x:v>12829.3090680891</x:v>
      </x:c>
      <x:c r="O4793" s="9" t="n">
        <x:v>0.4277395658</x:v>
      </x:c>
      <x:c r="P4793" s="9" t="n">
        <x:v>0.0285248574</x:v>
      </x:c>
      <x:c r="Q4793" s="9" t="n">
        <x:v>0.3023634882</x:v>
      </x:c>
      <x:c r="R4793" s="3" t="b">
        <x:v>0</x:v>
      </x:c>
      <x:c r="S4793" s="3" t="b">
        <x:v>0</x:v>
      </x:c>
      <x:c r="T4793" s="3" t="b">
        <x:v>0</x:v>
      </x:c>
      <x:c r="U4793" s="2" t="str">
        <x:f>IF(T4793=TRUE,"Priority review",IF(R4793=TRUE,"High cost",IF(S4793=TRUE,"Low quality","Benchmark")))</x:f>
        <x:v>Benchmark</x:v>
      </x:c>
    </x:row>
    <x:row r="4794">
      <x:c r="A4794" s="2" t="str">
        <x:v>100256</x:v>
      </x:c>
      <x:c r="B4794" s="2" t="str">
        <x:v>HCA FLORIDA BAYONET POINT HOSPITAL</x:v>
      </x:c>
      <x:c r="C4794" s="2" t="str">
        <x:v>HUDSON</x:v>
      </x:c>
      <x:c r="D4794" s="2" t="str">
        <x:v>FL</x:v>
      </x:c>
      <x:c r="E4794" s="2" t="str">
        <x:v>Acute Care Hospitals</x:v>
      </x:c>
      <x:c r="F4794" s="2" t="str">
        <x:v>Proprietary</x:v>
      </x:c>
      <x:c r="G4794" s="2" t="str">
        <x:v>Large (300+ beds)</x:v>
      </x:c>
      <x:c r="H4794" s="7" t="n">
        <x:v>2</x:v>
      </x:c>
      <x:c r="I4794" s="7" t="n">
        <x:v>2</x:v>
      </x:c>
      <x:c r="J4794" s="7" t="n">
        <x:v>1.05</x:v>
      </x:c>
      <x:c r="K4794" s="8" t="n">
        <x:v>337</x:v>
      </x:c>
      <x:c r="L4794" s="8" t="n">
        <x:v>16755</x:v>
      </x:c>
      <x:c r="M4794" s="9" t="n">
        <x:v>0.6492090899</x:v>
      </x:c>
      <x:c r="N4794" s="10" t="n">
        <x:v>15829.7333333333</x:v>
      </x:c>
      <x:c r="O4794" s="9" t="n">
        <x:v>0.4068712196</x:v>
      </x:c>
      <x:c r="P4794" s="9" t="n">
        <x:v>0.0283911672</x:v>
      </x:c>
      <x:c r="Q4794" s="9" t="n">
        <x:v>0.0536277603</x:v>
      </x:c>
      <x:c r="R4794" s="3" t="b">
        <x:v>0</x:v>
      </x:c>
      <x:c r="S4794" s="3" t="b">
        <x:v>1</x:v>
      </x:c>
      <x:c r="T4794" s="3" t="b">
        <x:v>0</x:v>
      </x:c>
      <x:c r="U4794" s="2" t="str">
        <x:f>IF(T4794=TRUE,"Priority review",IF(R4794=TRUE,"High cost",IF(S4794=TRUE,"Low quality","Benchmark")))</x:f>
        <x:v>Low quality</x:v>
      </x:c>
    </x:row>
    <x:row r="4795">
      <x:c r="A4795" s="2" t="str">
        <x:v>441305</x:v>
      </x:c>
      <x:c r="B4795" s="2" t="str">
        <x:v>MACON COMMUNITY HOSPITAL</x:v>
      </x:c>
      <x:c r="C4795" s="2" t="str">
        <x:v>LAFAYETTE</x:v>
      </x:c>
      <x:c r="D4795" s="2" t="str">
        <x:v>TN</x:v>
      </x:c>
      <x:c r="E4795" s="2" t="str">
        <x:v>Critical Access Hospitals</x:v>
      </x:c>
      <x:c r="F4795" s="2" t="str">
        <x:v>Voluntary non-profit</x:v>
      </x:c>
      <x:c r="G4795" s="2" t="str">
        <x:v>Small (&lt;100 beds)</x:v>
      </x:c>
      <x:c r="H4795" s="7" t="n">
        <x:v>3</x:v>
      </x:c>
      <x:c r="I4795" s="7" t="n">
        <x:v>5</x:v>
      </x:c>
      <x:c r="J4795" s="7"/>
      <x:c r="K4795" s="8" t="n">
        <x:v>25</x:v>
      </x:c>
      <x:c r="L4795" s="8" t="n">
        <x:v>527</x:v>
      </x:c>
      <x:c r="M4795" s="9" t="n">
        <x:v>0.3243715847</x:v>
      </x:c>
      <x:c r="N4795" s="10" t="n">
        <x:v>41075.6489563567</x:v>
      </x:c>
      <x:c r="O4795" s="9" t="n">
        <x:v>-0.0515254013</x:v>
      </x:c>
      <x:c r="P4795" s="9" t="n">
        <x:v>0.0282527881</x:v>
      </x:c>
      <x:c r="Q4795" s="9" t="n">
        <x:v>0.0765799257</x:v>
      </x:c>
      <x:c r="R4795" s="3" t="b">
        <x:v>0</x:v>
      </x:c>
      <x:c r="S4795" s="3" t="b">
        <x:v>1</x:v>
      </x:c>
      <x:c r="T4795" s="3" t="b">
        <x:v>0</x:v>
      </x:c>
      <x:c r="U4795" s="2" t="str">
        <x:f>IF(T4795=TRUE,"Priority review",IF(R4795=TRUE,"High cost",IF(S4795=TRUE,"Low quality","Benchmark")))</x:f>
        <x:v>Low quality</x:v>
      </x:c>
    </x:row>
    <x:row r="4796">
      <x:c r="A4796" s="2" t="str">
        <x:v>030147</x:v>
      </x:c>
      <x:c r="B4796" s="2" t="str">
        <x:v>BANNER OCOTILLO MEDICAL CENTER</x:v>
      </x:c>
      <x:c r="C4796" s="2" t="str">
        <x:v>CHANDLER</x:v>
      </x:c>
      <x:c r="D4796" s="2" t="str">
        <x:v>AZ</x:v>
      </x:c>
      <x:c r="E4796" s="2" t="str">
        <x:v>Acute Care Hospitals</x:v>
      </x:c>
      <x:c r="F4796" s="2" t="str">
        <x:v>Voluntary non-profit</x:v>
      </x:c>
      <x:c r="G4796" s="2" t="str">
        <x:v>Small (&lt;100 beds)</x:v>
      </x:c>
      <x:c r="H4796" s="7" t="n">
        <x:v>3</x:v>
      </x:c>
      <x:c r="I4796" s="7" t="n">
        <x:v>3</x:v>
      </x:c>
      <x:c r="J4796" s="7" t="n">
        <x:v>1</x:v>
      </x:c>
      <x:c r="K4796" s="8" t="n">
        <x:v>94</x:v>
      </x:c>
      <x:c r="L4796" s="8" t="n">
        <x:v>5764</x:v>
      </x:c>
      <x:c r="M4796" s="9" t="n">
        <x:v>0.5029066388</x:v>
      </x:c>
      <x:c r="N4796" s="10" t="n">
        <x:v>18824.7935461485</x:v>
      </x:c>
      <x:c r="O4796" s="9" t="n">
        <x:v>0.0213105431</x:v>
      </x:c>
      <x:c r="P4796" s="9" t="n">
        <x:v>0.0278276481</x:v>
      </x:c>
      <x:c r="Q4796" s="9" t="n">
        <x:v>0.1687612208</x:v>
      </x:c>
      <x:c r="R4796" s="3" t="b">
        <x:v>0</x:v>
      </x:c>
      <x:c r="S4796" s="3" t="b">
        <x:v>0</x:v>
      </x:c>
      <x:c r="T4796" s="3" t="b">
        <x:v>0</x:v>
      </x:c>
      <x:c r="U4796" s="2" t="str">
        <x:f>IF(T4796=TRUE,"Priority review",IF(R4796=TRUE,"High cost",IF(S4796=TRUE,"Low quality","Benchmark")))</x:f>
        <x:v>Benchmark</x:v>
      </x:c>
    </x:row>
    <x:row r="4797">
      <x:c r="A4797" s="2" t="str">
        <x:v>400106</x:v>
      </x:c>
      <x:c r="B4797" s="2" t="str">
        <x:v>METROPOLITAN HOSPITAL</x:v>
      </x:c>
      <x:c r="C4797" s="2" t="str">
        <x:v>SAN JUAN</x:v>
      </x:c>
      <x:c r="D4797" s="2" t="str">
        <x:v>PR</x:v>
      </x:c>
      <x:c r="E4797" s="2" t="str">
        <x:v>Acute Care Hospitals</x:v>
      </x:c>
      <x:c r="F4797" s="2" t="str">
        <x:v>Proprietary</x:v>
      </x:c>
      <x:c r="G4797" s="2" t="str">
        <x:v>Medium (100-299 beds)</x:v>
      </x:c>
      <x:c r="H4797" s="7"/>
      <x:c r="I4797" s="7"/>
      <x:c r="J4797" s="7"/>
      <x:c r="K4797" s="8" t="n">
        <x:v>132</x:v>
      </x:c>
      <x:c r="L4797" s="8" t="n">
        <x:v>4038</x:v>
      </x:c>
      <x:c r="M4797" s="9" t="n">
        <x:v>0.512191588</x:v>
      </x:c>
      <x:c r="N4797" s="10" t="n">
        <x:v>12771.1431401684</x:v>
      </x:c>
      <x:c r="O4797" s="9" t="n">
        <x:v>-0.0349954125</x:v>
      </x:c>
      <x:c r="P4797" s="9" t="n">
        <x:v>0.0277098615</x:v>
      </x:c>
      <x:c r="Q4797" s="9" t="n">
        <x:v>0.9616951915</x:v>
      </x:c>
      <x:c r="R4797" s="3" t="b">
        <x:v>0</x:v>
      </x:c>
      <x:c r="S4797" s="3" t="b">
        <x:v>0</x:v>
      </x:c>
      <x:c r="T4797" s="3" t="b">
        <x:v>0</x:v>
      </x:c>
      <x:c r="U4797" s="2" t="str">
        <x:f>IF(T4797=TRUE,"Priority review",IF(R4797=TRUE,"High cost",IF(S4797=TRUE,"Low quality","Benchmark")))</x:f>
        <x:v>Benchmark</x:v>
      </x:c>
    </x:row>
    <x:row r="4798">
      <x:c r="A4798" s="2" t="str">
        <x:v>041333</x:v>
      </x:c>
      <x:c r="B4798" s="2" t="str">
        <x:v>SEVIER COUNTY MEDICAL CENTER</x:v>
      </x:c>
      <x:c r="C4798" s="2" t="str">
        <x:v>DE QUEEN</x:v>
      </x:c>
      <x:c r="D4798" s="2" t="str">
        <x:v>AR</x:v>
      </x:c>
      <x:c r="E4798" s="2" t="str">
        <x:v>Critical Access Hospitals</x:v>
      </x:c>
      <x:c r="F4798" s="2" t="str">
        <x:v>Government</x:v>
      </x:c>
      <x:c r="G4798" s="2" t="str">
        <x:v>Small (&lt;100 beds)</x:v>
      </x:c>
      <x:c r="H4798" s="7"/>
      <x:c r="I4798" s="7"/>
      <x:c r="J4798" s="7"/>
      <x:c r="K4798" s="8" t="n">
        <x:v>15</x:v>
      </x:c>
      <x:c r="L4798" s="8" t="n">
        <x:v>405</x:v>
      </x:c>
      <x:c r="M4798" s="9" t="n">
        <x:v>0.2429872495</x:v>
      </x:c>
      <x:c r="N4798" s="10" t="n">
        <x:v>40466.9358024691</x:v>
      </x:c>
      <x:c r="O4798" s="9" t="n">
        <x:v>-0.2169079206</x:v>
      </x:c>
      <x:c r="P4798" s="9" t="n">
        <x:v>0.0275092937</x:v>
      </x:c>
      <x:c r="Q4798" s="9" t="n">
        <x:v>0.292936803</x:v>
      </x:c>
      <x:c r="R4798" s="3" t="b">
        <x:v>0</x:v>
      </x:c>
      <x:c r="S4798" s="3" t="b">
        <x:v>0</x:v>
      </x:c>
      <x:c r="T4798" s="3" t="b">
        <x:v>0</x:v>
      </x:c>
      <x:c r="U4798" s="2" t="str">
        <x:f>IF(T4798=TRUE,"Priority review",IF(R4798=TRUE,"High cost",IF(S4798=TRUE,"Low quality","Benchmark")))</x:f>
        <x:v>Benchmark</x:v>
      </x:c>
    </x:row>
    <x:row r="4799">
      <x:c r="A4799" s="2" t="str">
        <x:v>040011</x:v>
      </x:c>
      <x:c r="B4799" s="2" t="str">
        <x:v>CHAMBERS MEMORIAL HOSPITAL</x:v>
      </x:c>
      <x:c r="C4799" s="2" t="str">
        <x:v>DANVILLE</x:v>
      </x:c>
      <x:c r="D4799" s="2" t="str">
        <x:v>AR</x:v>
      </x:c>
      <x:c r="E4799" s="2" t="str">
        <x:v>Acute Care Hospitals</x:v>
      </x:c>
      <x:c r="F4799" s="2" t="str">
        <x:v>Voluntary non-profit</x:v>
      </x:c>
      <x:c r="G4799" s="2" t="str">
        <x:v>Small (&lt;100 beds)</x:v>
      </x:c>
      <x:c r="H4799" s="7" t="n">
        <x:v>4</x:v>
      </x:c>
      <x:c r="I4799" s="7" t="n">
        <x:v>3</x:v>
      </x:c>
      <x:c r="J4799" s="7" t="n">
        <x:v>0.85</x:v>
      </x:c>
      <x:c r="K4799" s="8" t="n">
        <x:v>30</x:v>
      </x:c>
      <x:c r="L4799" s="8" t="n">
        <x:v>1313</x:v>
      </x:c>
      <x:c r="M4799" s="9" t="n">
        <x:v>0.4217351598</x:v>
      </x:c>
      <x:c r="N4799" s="10" t="n">
        <x:v>18782.674790556</x:v>
      </x:c>
      <x:c r="O4799" s="9" t="n">
        <x:v>-0.1727297074</x:v>
      </x:c>
      <x:c r="P4799" s="9" t="n">
        <x:v>0.026929982</x:v>
      </x:c>
      <x:c r="Q4799" s="9" t="n">
        <x:v>0.3913824057</x:v>
      </x:c>
      <x:c r="R4799" s="3" t="b">
        <x:v>0</x:v>
      </x:c>
      <x:c r="S4799" s="3" t="b">
        <x:v>0</x:v>
      </x:c>
      <x:c r="T4799" s="3" t="b">
        <x:v>0</x:v>
      </x:c>
      <x:c r="U4799" s="2" t="str">
        <x:f>IF(T4799=TRUE,"Priority review",IF(R4799=TRUE,"High cost",IF(S4799=TRUE,"Low quality","Benchmark")))</x:f>
        <x:v>Benchmark</x:v>
      </x:c>
    </x:row>
    <x:row r="4800">
      <x:c r="A4800" s="2" t="str">
        <x:v>100156</x:v>
      </x:c>
      <x:c r="B4800" s="2" t="str">
        <x:v>HCA FLORIDA LAKE CITY HOSPITAL</x:v>
      </x:c>
      <x:c r="C4800" s="2" t="str">
        <x:v>LAKE CITY</x:v>
      </x:c>
      <x:c r="D4800" s="2" t="str">
        <x:v>FL</x:v>
      </x:c>
      <x:c r="E4800" s="2" t="str">
        <x:v>Acute Care Hospitals</x:v>
      </x:c>
      <x:c r="F4800" s="2" t="str">
        <x:v>Proprietary</x:v>
      </x:c>
      <x:c r="G4800" s="2" t="str">
        <x:v>Medium (100-299 beds)</x:v>
      </x:c>
      <x:c r="H4800" s="7" t="n">
        <x:v>3</x:v>
      </x:c>
      <x:c r="I4800" s="7" t="n">
        <x:v>3</x:v>
      </x:c>
      <x:c r="J4800" s="7" t="n">
        <x:v>1.01</x:v>
      </x:c>
      <x:c r="K4800" s="8" t="n">
        <x:v>113</x:v>
      </x:c>
      <x:c r="L4800" s="8" t="n">
        <x:v>8595</x:v>
      </x:c>
      <x:c r="M4800" s="9" t="n">
        <x:v>0.8359446782</x:v>
      </x:c>
      <x:c r="N4800" s="10" t="n">
        <x:v>12598.1902268761</x:v>
      </x:c>
      <x:c r="O4800" s="9" t="n">
        <x:v>0.4168341711</x:v>
      </x:c>
      <x:c r="P4800" s="9" t="n">
        <x:v>0.0268948655</x:v>
      </x:c>
      <x:c r="Q4800" s="9" t="n">
        <x:v>0.3023634882</x:v>
      </x:c>
      <x:c r="R4800" s="3" t="b">
        <x:v>0</x:v>
      </x:c>
      <x:c r="S4800" s="3" t="b">
        <x:v>0</x:v>
      </x:c>
      <x:c r="T4800" s="3" t="b">
        <x:v>0</x:v>
      </x:c>
      <x:c r="U4800" s="2" t="str">
        <x:f>IF(T4800=TRUE,"Priority review",IF(R4800=TRUE,"High cost",IF(S4800=TRUE,"Low quality","Benchmark")))</x:f>
        <x:v>Benchmark</x:v>
      </x:c>
    </x:row>
    <x:row r="4801">
      <x:c r="A4801" s="2" t="str">
        <x:v>440156</x:v>
      </x:c>
      <x:c r="B4801" s="2" t="str">
        <x:v>PARKRIDGE MEDICAL CENTER</x:v>
      </x:c>
      <x:c r="C4801" s="2" t="str">
        <x:v>CHATTANOOGA</x:v>
      </x:c>
      <x:c r="D4801" s="2" t="str">
        <x:v>TN</x:v>
      </x:c>
      <x:c r="E4801" s="2" t="str">
        <x:v>Acute Care Hospitals</x:v>
      </x:c>
      <x:c r="F4801" s="2" t="str">
        <x:v>Proprietary</x:v>
      </x:c>
      <x:c r="G4801" s="2" t="str">
        <x:v>Large (300+ beds)</x:v>
      </x:c>
      <x:c r="H4801" s="7" t="n">
        <x:v>4</x:v>
      </x:c>
      <x:c r="I4801" s="7" t="n">
        <x:v>3</x:v>
      </x:c>
      <x:c r="J4801" s="7" t="n">
        <x:v>0.98</x:v>
      </x:c>
      <x:c r="K4801" s="8" t="n">
        <x:v>412</x:v>
      </x:c>
      <x:c r="L4801" s="8" t="n">
        <x:v>20784</x:v>
      </x:c>
      <x:c r="M4801" s="9" t="n">
        <x:v>0.7611064825</x:v>
      </x:c>
      <x:c r="N4801" s="10" t="n">
        <x:v>15742.5245381062</x:v>
      </x:c>
      <x:c r="O4801" s="9" t="n">
        <x:v>0.3294619985</x:v>
      </x:c>
      <x:c r="P4801" s="9" t="n">
        <x:v>0.0268138801</x:v>
      </x:c>
      <x:c r="Q4801" s="9" t="n">
        <x:v>0.5899053628</x:v>
      </x:c>
      <x:c r="R4801" s="3" t="b">
        <x:v>0</x:v>
      </x:c>
      <x:c r="S4801" s="3" t="b">
        <x:v>0</x:v>
      </x:c>
      <x:c r="T4801" s="3" t="b">
        <x:v>0</x:v>
      </x:c>
      <x:c r="U4801" s="2" t="str">
        <x:f>IF(T4801=TRUE,"Priority review",IF(R4801=TRUE,"High cost",IF(S4801=TRUE,"Low quality","Benchmark")))</x:f>
        <x:v>Benchmark</x:v>
      </x:c>
    </x:row>
    <x:row r="4802">
      <x:c r="A4802" s="2" t="str">
        <x:v>361307</x:v>
      </x:c>
      <x:c r="B4802" s="2" t="str">
        <x:v>UHHS MEMORIAL HOSPITAL OF GENEVA</x:v>
      </x:c>
      <x:c r="C4802" s="2" t="str">
        <x:v>GENEVA</x:v>
      </x:c>
      <x:c r="D4802" s="2" t="str">
        <x:v>OH</x:v>
      </x:c>
      <x:c r="E4802" s="2" t="str">
        <x:v>Critical Access Hospitals</x:v>
      </x:c>
      <x:c r="F4802" s="2" t="str">
        <x:v>Voluntary non-profit</x:v>
      </x:c>
      <x:c r="G4802" s="2" t="str">
        <x:v>Small (&lt;100 beds)</x:v>
      </x:c>
      <x:c r="H4802" s="7" t="n">
        <x:v>4</x:v>
      </x:c>
      <x:c r="I4802" s="7" t="n">
        <x:v>4</x:v>
      </x:c>
      <x:c r="J4802" s="7"/>
      <x:c r="K4802" s="8" t="n">
        <x:v>25</x:v>
      </x:c>
      <x:c r="L4802" s="8" t="n">
        <x:v>1583</x:v>
      </x:c>
      <x:c r="M4802" s="9" t="n">
        <x:v>0.5879781421</x:v>
      </x:c>
      <x:c r="N4802" s="10" t="n">
        <x:v>40421.228679722</x:v>
      </x:c>
      <x:c r="O4802" s="9" t="n">
        <x:v>0.0815532449</x:v>
      </x:c>
      <x:c r="P4802" s="9" t="n">
        <x:v>0.0267657993</x:v>
      </x:c>
      <x:c r="Q4802" s="9" t="n">
        <x:v>0.1657992565</x:v>
      </x:c>
      <x:c r="R4802" s="3" t="b">
        <x:v>0</x:v>
      </x:c>
      <x:c r="S4802" s="3" t="b">
        <x:v>0</x:v>
      </x:c>
      <x:c r="T4802" s="3" t="b">
        <x:v>0</x:v>
      </x:c>
      <x:c r="U4802" s="2" t="str">
        <x:f>IF(T4802=TRUE,"Priority review",IF(R4802=TRUE,"High cost",IF(S4802=TRUE,"Low quality","Benchmark")))</x:f>
        <x:v>Benchmark</x:v>
      </x:c>
    </x:row>
    <x:row r="4803">
      <x:c r="A4803" s="2" t="str">
        <x:v>100224</x:v>
      </x:c>
      <x:c r="B4803" s="2" t="str">
        <x:v>UNIVERSITY HOSPITAL AND MEDICAL CENTER</x:v>
      </x:c>
      <x:c r="C4803" s="2" t="str">
        <x:v>TAMARAC</x:v>
      </x:c>
      <x:c r="D4803" s="2" t="str">
        <x:v>FL</x:v>
      </x:c>
      <x:c r="E4803" s="2" t="str">
        <x:v>Acute Care Hospitals</x:v>
      </x:c>
      <x:c r="F4803" s="2" t="str">
        <x:v>Proprietary</x:v>
      </x:c>
      <x:c r="G4803" s="2" t="str">
        <x:v>Medium (100-299 beds)</x:v>
      </x:c>
      <x:c r="H4803" s="7" t="n">
        <x:v>2</x:v>
      </x:c>
      <x:c r="I4803" s="7" t="n">
        <x:v>2</x:v>
      </x:c>
      <x:c r="J4803" s="7" t="n">
        <x:v>1.16</x:v>
      </x:c>
      <x:c r="K4803" s="8" t="n">
        <x:v>186</x:v>
      </x:c>
      <x:c r="L4803" s="8" t="n">
        <x:v>9606</x:v>
      </x:c>
      <x:c r="M4803" s="9" t="n">
        <x:v>0.572154617</x:v>
      </x:c>
      <x:c r="N4803" s="10" t="n">
        <x:v>12446.6774932334</x:v>
      </x:c>
      <x:c r="O4803" s="9" t="n">
        <x:v>0.3458908461</x:v>
      </x:c>
      <x:c r="P4803" s="9" t="n">
        <x:v>0.0260798696</x:v>
      </x:c>
      <x:c r="Q4803" s="9" t="n">
        <x:v>0.0782396088</x:v>
      </x:c>
      <x:c r="R4803" s="3" t="b">
        <x:v>0</x:v>
      </x:c>
      <x:c r="S4803" s="3" t="b">
        <x:v>1</x:v>
      </x:c>
      <x:c r="T4803" s="3" t="b">
        <x:v>0</x:v>
      </x:c>
      <x:c r="U4803" s="2" t="str">
        <x:f>IF(T4803=TRUE,"Priority review",IF(R4803=TRUE,"High cost",IF(S4803=TRUE,"Low quality","Benchmark")))</x:f>
        <x:v>Low quality</x:v>
      </x:c>
    </x:row>
    <x:row r="4804">
      <x:c r="A4804" s="2" t="str">
        <x:v>010148</x:v>
      </x:c>
      <x:c r="B4804" s="2" t="str">
        <x:v>EVERGREEN MEDICAL CENTER</x:v>
      </x:c>
      <x:c r="C4804" s="2" t="str">
        <x:v>EVERGREEN</x:v>
      </x:c>
      <x:c r="D4804" s="2" t="str">
        <x:v>AL</x:v>
      </x:c>
      <x:c r="E4804" s="2" t="str">
        <x:v>Acute Care Hospitals</x:v>
      </x:c>
      <x:c r="F4804" s="2" t="str">
        <x:v>Proprietary</x:v>
      </x:c>
      <x:c r="G4804" s="2" t="str">
        <x:v>Small (&lt;100 beds)</x:v>
      </x:c>
      <x:c r="H4804" s="7" t="n">
        <x:v>3</x:v>
      </x:c>
      <x:c r="I4804" s="7" t="n">
        <x:v>4</x:v>
      </x:c>
      <x:c r="J4804" s="7" t="n">
        <x:v>0.93</x:v>
      </x:c>
      <x:c r="K4804" s="8" t="n">
        <x:v>44</x:v>
      </x:c>
      <x:c r="L4804" s="8" t="n">
        <x:v>752</x:v>
      </x:c>
      <x:c r="M4804" s="9" t="n">
        <x:v>0.169709389</x:v>
      </x:c>
      <x:c r="N4804" s="10" t="n">
        <x:v>18647.0146276596</x:v>
      </x:c>
      <x:c r="O4804" s="9" t="n">
        <x:v>-1.1536579174</x:v>
      </x:c>
      <x:c r="P4804" s="9" t="n">
        <x:v>0.026032316</x:v>
      </x:c>
      <x:c r="Q4804" s="9" t="n">
        <x:v>0.1687612208</x:v>
      </x:c>
      <x:c r="R4804" s="3" t="b">
        <x:v>0</x:v>
      </x:c>
      <x:c r="S4804" s="3" t="b">
        <x:v>0</x:v>
      </x:c>
      <x:c r="T4804" s="3" t="b">
        <x:v>0</x:v>
      </x:c>
      <x:c r="U4804" s="2" t="str">
        <x:f>IF(T4804=TRUE,"Priority review",IF(R4804=TRUE,"High cost",IF(S4804=TRUE,"Low quality","Benchmark")))</x:f>
        <x:v>Benchmark</x:v>
      </x:c>
    </x:row>
    <x:row r="4805">
      <x:c r="A4805" s="2" t="str">
        <x:v>341326</x:v>
      </x:c>
      <x:c r="B4805" s="2" t="str">
        <x:v>ANGEL MEDICAL CENTER</x:v>
      </x:c>
      <x:c r="C4805" s="2" t="str">
        <x:v>FRANKLIN</x:v>
      </x:c>
      <x:c r="D4805" s="2" t="str">
        <x:v>NC</x:v>
      </x:c>
      <x:c r="E4805" s="2" t="str">
        <x:v>Critical Access Hospitals</x:v>
      </x:c>
      <x:c r="F4805" s="2" t="str">
        <x:v>Voluntary non-profit</x:v>
      </x:c>
      <x:c r="G4805" s="2" t="str">
        <x:v>Small (&lt;100 beds)</x:v>
      </x:c>
      <x:c r="H4805" s="7" t="n">
        <x:v>2</x:v>
      </x:c>
      <x:c r="I4805" s="7" t="n">
        <x:v>4</x:v>
      </x:c>
      <x:c r="J4805" s="7"/>
      <x:c r="K4805" s="8" t="n">
        <x:v>30</x:v>
      </x:c>
      <x:c r="L4805" s="8" t="n">
        <x:v>1775</x:v>
      </x:c>
      <x:c r="M4805" s="9" t="n">
        <x:v>0.6119307832</x:v>
      </x:c>
      <x:c r="N4805" s="10" t="n">
        <x:v>40203.8112676056</x:v>
      </x:c>
      <x:c r="O4805" s="9" t="n">
        <x:v>0.0340800899</x:v>
      </x:c>
      <x:c r="P4805" s="9" t="n">
        <x:v>0.0260223048</x:v>
      </x:c>
      <x:c r="Q4805" s="9" t="n">
        <x:v>0.0171003717</x:v>
      </x:c>
      <x:c r="R4805" s="3" t="b">
        <x:v>0</x:v>
      </x:c>
      <x:c r="S4805" s="3" t="b">
        <x:v>1</x:v>
      </x:c>
      <x:c r="T4805" s="3" t="b">
        <x:v>0</x:v>
      </x:c>
      <x:c r="U4805" s="2" t="str">
        <x:f>IF(T4805=TRUE,"Priority review",IF(R4805=TRUE,"High cost",IF(S4805=TRUE,"Low quality","Benchmark")))</x:f>
        <x:v>Low quality</x:v>
      </x:c>
    </x:row>
    <x:row r="4806">
      <x:c r="A4806" s="2" t="str">
        <x:v>104049</x:v>
      </x:c>
      <x:c r="B4806" s="2" t="str">
        <x:v>SOUTHERN WINDS HOSPITAL</x:v>
      </x:c>
      <x:c r="C4806" s="2" t="str">
        <x:v>HIALEAH</x:v>
      </x:c>
      <x:c r="D4806" s="2" t="str">
        <x:v>FL</x:v>
      </x:c>
      <x:c r="E4806" s="2" t="str">
        <x:v>Psychiatric</x:v>
      </x:c>
      <x:c r="F4806" s="2" t="str">
        <x:v>Proprietary</x:v>
      </x:c>
      <x:c r="G4806" s="2" t="str">
        <x:v>Small (&lt;100 beds)</x:v>
      </x:c>
      <x:c r="H4806" s="7"/>
      <x:c r="I4806" s="7"/>
      <x:c r="J4806" s="7"/>
      <x:c r="K4806" s="8" t="n">
        <x:v>72</x:v>
      </x:c>
      <x:c r="L4806" s="8" t="n">
        <x:v>3633</x:v>
      </x:c>
      <x:c r="M4806" s="9" t="n">
        <x:v>0.9508955677</x:v>
      </x:c>
      <x:c r="N4806" s="10" t="n">
        <x:v>5286.9350399119</x:v>
      </x:c>
      <x:c r="O4806" s="9" t="n">
        <x:v>-0.0484431787</x:v>
      </x:c>
      <x:c r="P4806" s="9" t="n">
        <x:v>0.0258899676</x:v>
      </x:c>
      <x:c r="Q4806" s="9" t="n">
        <x:v>0</x:v>
      </x:c>
      <x:c r="R4806" s="3" t="b">
        <x:v>0</x:v>
      </x:c>
      <x:c r="S4806" s="3" t="b">
        <x:v>0</x:v>
      </x:c>
      <x:c r="T4806" s="3" t="b">
        <x:v>0</x:v>
      </x:c>
      <x:c r="U4806" s="2" t="str">
        <x:f>IF(T4806=TRUE,"Priority review",IF(R4806=TRUE,"High cost",IF(S4806=TRUE,"Low quality","Benchmark")))</x:f>
        <x:v>Benchmark</x:v>
      </x:c>
    </x:row>
    <x:row r="4807">
      <x:c r="A4807" s="2" t="str">
        <x:v>371303</x:v>
      </x:c>
      <x:c r="B4807" s="2" t="str">
        <x:v>ROGER MILLS MEMORIAL HOSPITAL</x:v>
      </x:c>
      <x:c r="C4807" s="2" t="str">
        <x:v>CHEYENNE</x:v>
      </x:c>
      <x:c r="D4807" s="2" t="str">
        <x:v>OK</x:v>
      </x:c>
      <x:c r="E4807" s="2" t="str">
        <x:v>Critical Access Hospitals</x:v>
      </x:c>
      <x:c r="F4807" s="2" t="str">
        <x:v>Voluntary non-profit</x:v>
      </x:c>
      <x:c r="G4807" s="2" t="str">
        <x:v>Small (&lt;100 beds)</x:v>
      </x:c>
      <x:c r="H4807" s="7"/>
      <x:c r="I4807" s="7"/>
      <x:c r="J4807" s="7"/>
      <x:c r="K4807" s="8" t="n">
        <x:v>15</x:v>
      </x:c>
      <x:c r="L4807" s="8" t="n">
        <x:v>263</x:v>
      </x:c>
      <x:c r="M4807" s="9" t="n">
        <x:v>0.278173516</x:v>
      </x:c>
      <x:c r="N4807" s="10" t="n">
        <x:v>40177.9885931559</x:v>
      </x:c>
      <x:c r="O4807" s="9" t="n">
        <x:v>-0.2807103894</x:v>
      </x:c>
      <x:c r="P4807" s="9" t="n">
        <x:v>0.0252788104</x:v>
      </x:c>
      <x:c r="Q4807" s="9" t="n">
        <x:v>0.292936803</x:v>
      </x:c>
      <x:c r="R4807" s="3" t="b">
        <x:v>0</x:v>
      </x:c>
      <x:c r="S4807" s="3" t="b">
        <x:v>0</x:v>
      </x:c>
      <x:c r="T4807" s="3" t="b">
        <x:v>0</x:v>
      </x:c>
      <x:c r="U4807" s="2" t="str">
        <x:f>IF(T4807=TRUE,"Priority review",IF(R4807=TRUE,"High cost",IF(S4807=TRUE,"Low quality","Benchmark")))</x:f>
        <x:v>Benchmark</x:v>
      </x:c>
    </x:row>
    <x:row r="4808">
      <x:c r="A4808" s="2" t="str">
        <x:v>440150</x:v>
      </x:c>
      <x:c r="B4808" s="2" t="str">
        <x:v>TRISTAR SUMMIT MEDICAL CENTER</x:v>
      </x:c>
      <x:c r="C4808" s="2" t="str">
        <x:v>HERMITAGE</x:v>
      </x:c>
      <x:c r="D4808" s="2" t="str">
        <x:v>TN</x:v>
      </x:c>
      <x:c r="E4808" s="2" t="str">
        <x:v>Acute Care Hospitals</x:v>
      </x:c>
      <x:c r="F4808" s="2" t="str">
        <x:v>Proprietary</x:v>
      </x:c>
      <x:c r="G4808" s="2" t="str">
        <x:v>Medium (100-299 beds)</x:v>
      </x:c>
      <x:c r="H4808" s="7" t="n">
        <x:v>4</x:v>
      </x:c>
      <x:c r="I4808" s="7" t="n">
        <x:v>3</x:v>
      </x:c>
      <x:c r="J4808" s="7" t="n">
        <x:v>0.98</x:v>
      </x:c>
      <x:c r="K4808" s="8" t="n">
        <x:v>220</x:v>
      </x:c>
      <x:c r="L4808" s="8" t="n">
        <x:v>13130</x:v>
      </x:c>
      <x:c r="M4808" s="9" t="n">
        <x:v>0.7602047513</x:v>
      </x:c>
      <x:c r="N4808" s="10" t="n">
        <x:v>12387.097029703</x:v>
      </x:c>
      <x:c r="O4808" s="9" t="n">
        <x:v>0.5285379293</x:v>
      </x:c>
      <x:c r="P4808" s="9" t="n">
        <x:v>0.0252648737</x:v>
      </x:c>
      <x:c r="Q4808" s="9" t="n">
        <x:v>0.6022819886</x:v>
      </x:c>
      <x:c r="R4808" s="3" t="b">
        <x:v>0</x:v>
      </x:c>
      <x:c r="S4808" s="3" t="b">
        <x:v>0</x:v>
      </x:c>
      <x:c r="T4808" s="3" t="b">
        <x:v>0</x:v>
      </x:c>
      <x:c r="U4808" s="2" t="str">
        <x:f>IF(T4808=TRUE,"Priority review",IF(R4808=TRUE,"High cost",IF(S4808=TRUE,"Low quality","Benchmark")))</x:f>
        <x:v>Benchmark</x:v>
      </x:c>
    </x:row>
    <x:row r="4809">
      <x:c r="A4809" s="2" t="str">
        <x:v>290041</x:v>
      </x:c>
      <x:c r="B4809" s="2" t="str">
        <x:v>SUMMERLIN HOSPITAL MEDICAL CENTER</x:v>
      </x:c>
      <x:c r="C4809" s="2" t="str">
        <x:v>LAS VEGAS</x:v>
      </x:c>
      <x:c r="D4809" s="2" t="str">
        <x:v>NV</x:v>
      </x:c>
      <x:c r="E4809" s="2" t="str">
        <x:v>Acute Care Hospitals</x:v>
      </x:c>
      <x:c r="F4809" s="2" t="str">
        <x:v>Proprietary</x:v>
      </x:c>
      <x:c r="G4809" s="2" t="str">
        <x:v>Large (300+ beds)</x:v>
      </x:c>
      <x:c r="H4809" s="7" t="n">
        <x:v>3</x:v>
      </x:c>
      <x:c r="I4809" s="7" t="n">
        <x:v>2</x:v>
      </x:c>
      <x:c r="J4809" s="7" t="n">
        <x:v>1.1</x:v>
      </x:c>
      <x:c r="K4809" s="8" t="n">
        <x:v>398</x:v>
      </x:c>
      <x:c r="L4809" s="8" t="n">
        <x:v>24867</x:v>
      </x:c>
      <x:c r="M4809" s="9" t="n">
        <x:v>0.7502059478</x:v>
      </x:c>
      <x:c r="N4809" s="10" t="n">
        <x:v>15524.985040415</x:v>
      </x:c>
      <x:c r="O4809" s="9" t="n">
        <x:v>0.2482441153</x:v>
      </x:c>
      <x:c r="P4809" s="9" t="n">
        <x:v>0.0252365931</x:v>
      </x:c>
      <x:c r="Q4809" s="9" t="n">
        <x:v>0.2570977918</x:v>
      </x:c>
      <x:c r="R4809" s="3" t="b">
        <x:v>0</x:v>
      </x:c>
      <x:c r="S4809" s="3" t="b">
        <x:v>0</x:v>
      </x:c>
      <x:c r="T4809" s="3" t="b">
        <x:v>0</x:v>
      </x:c>
      <x:c r="U4809" s="2" t="str">
        <x:f>IF(T4809=TRUE,"Priority review",IF(R4809=TRUE,"High cost",IF(S4809=TRUE,"Low quality","Benchmark")))</x:f>
        <x:v>Benchmark</x:v>
      </x:c>
    </x:row>
    <x:row r="4810">
      <x:c r="A4810" s="2" t="str">
        <x:v>010130</x:v>
      </x:c>
      <x:c r="B4810" s="2" t="str">
        <x:v>ST VINCENT'S ST CLAIR</x:v>
      </x:c>
      <x:c r="C4810" s="2" t="str">
        <x:v>PELL CITY</x:v>
      </x:c>
      <x:c r="D4810" s="2" t="str">
        <x:v>AL</x:v>
      </x:c>
      <x:c r="E4810" s="2" t="str">
        <x:v>Acute Care Hospitals</x:v>
      </x:c>
      <x:c r="F4810" s="2" t="str">
        <x:v>Voluntary non-profit</x:v>
      </x:c>
      <x:c r="G4810" s="2" t="str">
        <x:v>Small (&lt;100 beds)</x:v>
      </x:c>
      <x:c r="H4810" s="7" t="n">
        <x:v>3</x:v>
      </x:c>
      <x:c r="I4810" s="7" t="n">
        <x:v>4</x:v>
      </x:c>
      <x:c r="J4810" s="7" t="n">
        <x:v>0.92</x:v>
      </x:c>
      <x:c r="K4810" s="8" t="n">
        <x:v>40</x:v>
      </x:c>
      <x:c r="L4810" s="8" t="n">
        <x:v>2476</x:v>
      </x:c>
      <x:c r="M4810" s="9" t="n">
        <x:v>0.6978767123</x:v>
      </x:c>
      <x:c r="N4810" s="10" t="n">
        <x:v>18581.1688206785</x:v>
      </x:c>
      <x:c r="O4810" s="9" t="n">
        <x:v>0.1490695367</x:v>
      </x:c>
      <x:c r="P4810" s="9" t="n">
        <x:v>0.0251346499</x:v>
      </x:c>
      <x:c r="Q4810" s="9" t="n">
        <x:v>0.1687612208</x:v>
      </x:c>
      <x:c r="R4810" s="3" t="b">
        <x:v>0</x:v>
      </x:c>
      <x:c r="S4810" s="3" t="b">
        <x:v>0</x:v>
      </x:c>
      <x:c r="T4810" s="3" t="b">
        <x:v>0</x:v>
      </x:c>
      <x:c r="U4810" s="2" t="str">
        <x:f>IF(T4810=TRUE,"Priority review",IF(R4810=TRUE,"High cost",IF(S4810=TRUE,"Low quality","Benchmark")))</x:f>
        <x:v>Benchmark</x:v>
      </x:c>
    </x:row>
    <x:row r="4811">
      <x:c r="A4811" s="2" t="str">
        <x:v>454109</x:v>
      </x:c>
      <x:c r="B4811" s="2" t="str">
        <x:v>EL PASO BEHAVIORAL HEALTH SYSTEM</x:v>
      </x:c>
      <x:c r="C4811" s="2" t="str">
        <x:v>EL PASO</x:v>
      </x:c>
      <x:c r="D4811" s="2" t="str">
        <x:v>TX</x:v>
      </x:c>
      <x:c r="E4811" s="2" t="str">
        <x:v>Psychiatric</x:v>
      </x:c>
      <x:c r="F4811" s="2" t="str">
        <x:v>Proprietary</x:v>
      </x:c>
      <x:c r="G4811" s="2" t="str">
        <x:v>Medium (100-299 beds)</x:v>
      </x:c>
      <x:c r="H4811" s="7"/>
      <x:c r="I4811" s="7"/>
      <x:c r="J4811" s="7"/>
      <x:c r="K4811" s="8" t="n">
        <x:v>166</x:v>
      </x:c>
      <x:c r="L4811" s="8" t="n">
        <x:v>6613</x:v>
      </x:c>
      <x:c r="M4811" s="9" t="n">
        <x:v>0.8943643426</x:v>
      </x:c>
      <x:c r="N4811" s="10" t="n">
        <x:v>4973.1100861939</x:v>
      </x:c>
      <x:c r="O4811" s="9" t="n">
        <x:v>0.3298120755</x:v>
      </x:c>
      <x:c r="P4811" s="9" t="n">
        <x:v>0.0248756219</x:v>
      </x:c>
      <x:c r="Q4811" s="9" t="n">
        <x:v>0</x:v>
      </x:c>
      <x:c r="R4811" s="3" t="b">
        <x:v>0</x:v>
      </x:c>
      <x:c r="S4811" s="3" t="b">
        <x:v>0</x:v>
      </x:c>
      <x:c r="T4811" s="3" t="b">
        <x:v>0</x:v>
      </x:c>
      <x:c r="U4811" s="2" t="str">
        <x:f>IF(T4811=TRUE,"Priority review",IF(R4811=TRUE,"High cost",IF(S4811=TRUE,"Low quality","Benchmark")))</x:f>
        <x:v>Benchmark</x:v>
      </x:c>
    </x:row>
    <x:row r="4812">
      <x:c r="A4812" s="2" t="str">
        <x:v>511322</x:v>
      </x:c>
      <x:c r="B4812" s="2" t="str">
        <x:v>SUMMERSVILLE REGIONAL MEDICAL CENTER</x:v>
      </x:c>
      <x:c r="C4812" s="2" t="str">
        <x:v>SUMMERSVILLE</x:v>
      </x:c>
      <x:c r="D4812" s="2" t="str">
        <x:v>WV</x:v>
      </x:c>
      <x:c r="E4812" s="2" t="str">
        <x:v>Critical Access Hospitals</x:v>
      </x:c>
      <x:c r="F4812" s="2" t="str">
        <x:v>Voluntary non-profit</x:v>
      </x:c>
      <x:c r="G4812" s="2" t="str">
        <x:v>Small (&lt;100 beds)</x:v>
      </x:c>
      <x:c r="H4812" s="7" t="n">
        <x:v>2</x:v>
      </x:c>
      <x:c r="I4812" s="7" t="n">
        <x:v>5</x:v>
      </x:c>
      <x:c r="J4812" s="7"/>
      <x:c r="K4812" s="8" t="n">
        <x:v>25</x:v>
      </x:c>
      <x:c r="L4812" s="8" t="n">
        <x:v>1963</x:v>
      </x:c>
      <x:c r="M4812" s="9" t="n">
        <x:v>0.7208743169</x:v>
      </x:c>
      <x:c r="N4812" s="10" t="n">
        <x:v>39831.1253183902</x:v>
      </x:c>
      <x:c r="O4812" s="9" t="n">
        <x:v>-0.0760421477</x:v>
      </x:c>
      <x:c r="P4812" s="9" t="n">
        <x:v>0.024535316</x:v>
      </x:c>
      <x:c r="Q4812" s="9" t="n">
        <x:v>0.0171003717</x:v>
      </x:c>
      <x:c r="R4812" s="3" t="b">
        <x:v>0</x:v>
      </x:c>
      <x:c r="S4812" s="3" t="b">
        <x:v>1</x:v>
      </x:c>
      <x:c r="T4812" s="3" t="b">
        <x:v>0</x:v>
      </x:c>
      <x:c r="U4812" s="2" t="str">
        <x:f>IF(T4812=TRUE,"Priority review",IF(R4812=TRUE,"High cost",IF(S4812=TRUE,"Low quality","Benchmark")))</x:f>
        <x:v>Low quality</x:v>
      </x:c>
    </x:row>
    <x:row r="4813">
      <x:c r="A4813" s="2" t="str">
        <x:v>400104</x:v>
      </x:c>
      <x:c r="B4813" s="2" t="str">
        <x:v>HOSPITAL MENONITA CAGUAS INC</x:v>
      </x:c>
      <x:c r="C4813" s="2" t="str">
        <x:v>CAGUAS</x:v>
      </x:c>
      <x:c r="D4813" s="2" t="str">
        <x:v>PR</x:v>
      </x:c>
      <x:c r="E4813" s="2" t="str">
        <x:v>Acute Care Hospitals</x:v>
      </x:c>
      <x:c r="F4813" s="2" t="str">
        <x:v>Voluntary non-profit</x:v>
      </x:c>
      <x:c r="G4813" s="2" t="str">
        <x:v>Medium (100-299 beds)</x:v>
      </x:c>
      <x:c r="H4813" s="7"/>
      <x:c r="I4813" s="7"/>
      <x:c r="J4813" s="7"/>
      <x:c r="K4813" s="8" t="n">
        <x:v>240</x:v>
      </x:c>
      <x:c r="L4813" s="8" t="n">
        <x:v>11287</x:v>
      </x:c>
      <x:c r="M4813" s="9" t="n">
        <x:v>0.841609589</x:v>
      </x:c>
      <x:c r="N4813" s="10" t="n">
        <x:v>12170.1017985293</x:v>
      </x:c>
      <x:c r="O4813" s="9" t="n">
        <x:v>0.0669791667</x:v>
      </x:c>
      <x:c r="P4813" s="9" t="n">
        <x:v>0.0244498778</x:v>
      </x:c>
      <x:c r="Q4813" s="9" t="n">
        <x:v>0.9616951915</x:v>
      </x:c>
      <x:c r="R4813" s="3" t="b">
        <x:v>0</x:v>
      </x:c>
      <x:c r="S4813" s="3" t="b">
        <x:v>0</x:v>
      </x:c>
      <x:c r="T4813" s="3" t="b">
        <x:v>0</x:v>
      </x:c>
      <x:c r="U4813" s="2" t="str">
        <x:f>IF(T4813=TRUE,"Priority review",IF(R4813=TRUE,"High cost",IF(S4813=TRUE,"Low quality","Benchmark")))</x:f>
        <x:v>Benchmark</x:v>
      </x:c>
    </x:row>
    <x:row r="4814">
      <x:c r="A4814" s="2" t="str">
        <x:v>100211</x:v>
      </x:c>
      <x:c r="B4814" s="2" t="str">
        <x:v>ADVENTHEALTH DADE CITY</x:v>
      </x:c>
      <x:c r="C4814" s="2" t="str">
        <x:v>DADE CITY</x:v>
      </x:c>
      <x:c r="D4814" s="2" t="str">
        <x:v>FL</x:v>
      </x:c>
      <x:c r="E4814" s="2" t="str">
        <x:v>Acute Care Hospitals</x:v>
      </x:c>
      <x:c r="F4814" s="2" t="str">
        <x:v>Proprietary</x:v>
      </x:c>
      <x:c r="G4814" s="2" t="str">
        <x:v>Small (&lt;100 beds)</x:v>
      </x:c>
      <x:c r="H4814" s="7" t="n">
        <x:v>4</x:v>
      </x:c>
      <x:c r="I4814" s="7" t="n">
        <x:v>4</x:v>
      </x:c>
      <x:c r="J4814" s="7" t="n">
        <x:v>1.02</x:v>
      </x:c>
      <x:c r="K4814" s="8" t="n">
        <x:v>75</x:v>
      </x:c>
      <x:c r="L4814" s="8" t="n">
        <x:v>5184</x:v>
      </x:c>
      <x:c r="M4814" s="9" t="n">
        <x:v>0.6627686703</x:v>
      </x:c>
      <x:c r="N4814" s="10" t="n">
        <x:v>18536.4425154321</x:v>
      </x:c>
      <x:c r="O4814" s="9" t="n">
        <x:v>0.1148188024</x:v>
      </x:c>
      <x:c r="P4814" s="9" t="n">
        <x:v>0.0242369838</x:v>
      </x:c>
      <x:c r="Q4814" s="9" t="n">
        <x:v>0.3913824057</x:v>
      </x:c>
      <x:c r="R4814" s="3" t="b">
        <x:v>0</x:v>
      </x:c>
      <x:c r="S4814" s="3" t="b">
        <x:v>0</x:v>
      </x:c>
      <x:c r="T4814" s="3" t="b">
        <x:v>0</x:v>
      </x:c>
      <x:c r="U4814" s="2" t="str">
        <x:f>IF(T4814=TRUE,"Priority review",IF(R4814=TRUE,"High cost",IF(S4814=TRUE,"Low quality","Benchmark")))</x:f>
        <x:v>Benchmark</x:v>
      </x:c>
    </x:row>
    <x:row r="4815">
      <x:c r="A4815" s="2" t="str">
        <x:v>171339</x:v>
      </x:c>
      <x:c r="B4815" s="2" t="str">
        <x:v>GREENWOOD COUNTY HOSPITAL</x:v>
      </x:c>
      <x:c r="C4815" s="2" t="str">
        <x:v>EUREKA</x:v>
      </x:c>
      <x:c r="D4815" s="2" t="str">
        <x:v>KS</x:v>
      </x:c>
      <x:c r="E4815" s="2" t="str">
        <x:v>Critical Access Hospitals</x:v>
      </x:c>
      <x:c r="F4815" s="2" t="str">
        <x:v>Government</x:v>
      </x:c>
      <x:c r="G4815" s="2" t="str">
        <x:v>Small (&lt;100 beds)</x:v>
      </x:c>
      <x:c r="H4815" s="7"/>
      <x:c r="I4815" s="7"/>
      <x:c r="J4815" s="7"/>
      <x:c r="K4815" s="8" t="n">
        <x:v>25</x:v>
      </x:c>
      <x:c r="L4815" s="8" t="n">
        <x:v>448</x:v>
      </x:c>
      <x:c r="M4815" s="9" t="n">
        <x:v>0.1427322404</x:v>
      </x:c>
      <x:c r="N4815" s="10" t="n">
        <x:v>39725.8504464286</x:v>
      </x:c>
      <x:c r="O4815" s="9" t="n">
        <x:v>-0.1988623419</x:v>
      </x:c>
      <x:c r="P4815" s="9" t="n">
        <x:v>0.0237918216</x:v>
      </x:c>
      <x:c r="Q4815" s="9" t="n">
        <x:v>0.292936803</x:v>
      </x:c>
      <x:c r="R4815" s="3" t="b">
        <x:v>0</x:v>
      </x:c>
      <x:c r="S4815" s="3" t="b">
        <x:v>0</x:v>
      </x:c>
      <x:c r="T4815" s="3" t="b">
        <x:v>0</x:v>
      </x:c>
      <x:c r="U4815" s="2" t="str">
        <x:f>IF(T4815=TRUE,"Priority review",IF(R4815=TRUE,"High cost",IF(S4815=TRUE,"Low quality","Benchmark")))</x:f>
        <x:v>Benchmark</x:v>
      </x:c>
    </x:row>
    <x:row r="4816">
      <x:c r="A4816" s="2" t="str">
        <x:v>170123</x:v>
      </x:c>
      <x:c r="B4816" s="2" t="str">
        <x:v>WESLEY MEDICAL CENTER</x:v>
      </x:c>
      <x:c r="C4816" s="2" t="str">
        <x:v>WICHITA</x:v>
      </x:c>
      <x:c r="D4816" s="2" t="str">
        <x:v>KS</x:v>
      </x:c>
      <x:c r="E4816" s="2" t="str">
        <x:v>Acute Care Hospitals</x:v>
      </x:c>
      <x:c r="F4816" s="2" t="str">
        <x:v>Proprietary</x:v>
      </x:c>
      <x:c r="G4816" s="2" t="str">
        <x:v>Large (300+ beds)</x:v>
      </x:c>
      <x:c r="H4816" s="7" t="n">
        <x:v>4</x:v>
      </x:c>
      <x:c r="I4816" s="7" t="n">
        <x:v>2</x:v>
      </x:c>
      <x:c r="J4816" s="7" t="n">
        <x:v>1.02</x:v>
      </x:c>
      <x:c r="K4816" s="8" t="n">
        <x:v>615</x:v>
      </x:c>
      <x:c r="L4816" s="8" t="n">
        <x:v>36891</x:v>
      </x:c>
      <x:c r="M4816" s="9" t="n">
        <x:v>0.781287485</x:v>
      </x:c>
      <x:c r="N4816" s="10" t="n">
        <x:v>15461.7525412702</x:v>
      </x:c>
      <x:c r="O4816" s="9" t="n">
        <x:v>0.3809243994</x:v>
      </x:c>
      <x:c r="P4816" s="9" t="n">
        <x:v>0.023659306</x:v>
      </x:c>
      <x:c r="Q4816" s="9" t="n">
        <x:v>0.5899053628</x:v>
      </x:c>
      <x:c r="R4816" s="3" t="b">
        <x:v>0</x:v>
      </x:c>
      <x:c r="S4816" s="3" t="b">
        <x:v>0</x:v>
      </x:c>
      <x:c r="T4816" s="3" t="b">
        <x:v>0</x:v>
      </x:c>
      <x:c r="U4816" s="2" t="str">
        <x:f>IF(T4816=TRUE,"Priority review",IF(R4816=TRUE,"High cost",IF(S4816=TRUE,"Low quality","Benchmark")))</x:f>
        <x:v>Benchmark</x:v>
      </x:c>
    </x:row>
    <x:row r="4817">
      <x:c r="A4817" s="2" t="str">
        <x:v>360245</x:v>
      </x:c>
      <x:c r="B4817" s="2" t="str">
        <x:v>GLENBEIGH HEALTH SOURCES</x:v>
      </x:c>
      <x:c r="C4817" s="2" t="str">
        <x:v>ROCK CREEK</x:v>
      </x:c>
      <x:c r="D4817" s="2" t="str">
        <x:v>OH</x:v>
      </x:c>
      <x:c r="E4817" s="2" t="str">
        <x:v>Acute Care Hospitals</x:v>
      </x:c>
      <x:c r="F4817" s="2" t="str">
        <x:v>Proprietary</x:v>
      </x:c>
      <x:c r="G4817" s="2" t="str">
        <x:v>Medium (100-299 beds)</x:v>
      </x:c>
      <x:c r="H4817" s="7"/>
      <x:c r="I4817" s="7"/>
      <x:c r="J4817" s="7" t="n">
        <x:v>0.78</x:v>
      </x:c>
      <x:c r="K4817" s="8" t="n">
        <x:v>114</x:v>
      </x:c>
      <x:c r="L4817" s="8" t="n">
        <x:v>1878</x:v>
      </x:c>
      <x:c r="M4817" s="9" t="n">
        <x:v>0.7395264117</x:v>
      </x:c>
      <x:c r="N4817" s="10" t="n">
        <x:v>12061.505857295</x:v>
      </x:c>
      <x:c r="O4817" s="9" t="n">
        <x:v>0.1694086396</x:v>
      </x:c>
      <x:c r="P4817" s="9" t="n">
        <x:v>0.0236348818</x:v>
      </x:c>
      <x:c r="Q4817" s="9" t="n">
        <x:v>0.9616951915</x:v>
      </x:c>
      <x:c r="R4817" s="3" t="b">
        <x:v>0</x:v>
      </x:c>
      <x:c r="S4817" s="3" t="b">
        <x:v>0</x:v>
      </x:c>
      <x:c r="T4817" s="3" t="b">
        <x:v>0</x:v>
      </x:c>
      <x:c r="U4817" s="2" t="str">
        <x:f>IF(T4817=TRUE,"Priority review",IF(R4817=TRUE,"High cost",IF(S4817=TRUE,"Low quality","Benchmark")))</x:f>
        <x:v>Benchmark</x:v>
      </x:c>
    </x:row>
    <x:row r="4818">
      <x:c r="A4818" s="2" t="str">
        <x:v>010049</x:v>
      </x:c>
      <x:c r="B4818" s="2" t="str">
        <x:v>MEDICAL CENTER ENTERPRISE</x:v>
      </x:c>
      <x:c r="C4818" s="2" t="str">
        <x:v>ENTERPRISE</x:v>
      </x:c>
      <x:c r="D4818" s="2" t="str">
        <x:v>AL</x:v>
      </x:c>
      <x:c r="E4818" s="2" t="str">
        <x:v>Acute Care Hospitals</x:v>
      </x:c>
      <x:c r="F4818" s="2" t="str">
        <x:v>Proprietary</x:v>
      </x:c>
      <x:c r="G4818" s="2" t="str">
        <x:v>Small (&lt;100 beds)</x:v>
      </x:c>
      <x:c r="H4818" s="7" t="n">
        <x:v>4</x:v>
      </x:c>
      <x:c r="I4818" s="7" t="n">
        <x:v>3</x:v>
      </x:c>
      <x:c r="J4818" s="7" t="n">
        <x:v>0.91</x:v>
      </x:c>
      <x:c r="K4818" s="8" t="n">
        <x:v>84</x:v>
      </x:c>
      <x:c r="L4818" s="8" t="n">
        <x:v>3299</x:v>
      </x:c>
      <x:c r="M4818" s="9" t="n">
        <x:v>0.4211158147</x:v>
      </x:c>
      <x:c r="N4818" s="10" t="n">
        <x:v>18397.7347681115</x:v>
      </x:c>
      <x:c r="O4818" s="9" t="n">
        <x:v>0.088929587</x:v>
      </x:c>
      <x:c r="P4818" s="9" t="n">
        <x:v>0.0233393178</x:v>
      </x:c>
      <x:c r="Q4818" s="9" t="n">
        <x:v>0.3913824057</x:v>
      </x:c>
      <x:c r="R4818" s="3" t="b">
        <x:v>0</x:v>
      </x:c>
      <x:c r="S4818" s="3" t="b">
        <x:v>0</x:v>
      </x:c>
      <x:c r="T4818" s="3" t="b">
        <x:v>0</x:v>
      </x:c>
      <x:c r="U4818" s="2" t="str">
        <x:f>IF(T4818=TRUE,"Priority review",IF(R4818=TRUE,"High cost",IF(S4818=TRUE,"Low quality","Benchmark")))</x:f>
        <x:v>Benchmark</x:v>
      </x:c>
    </x:row>
    <x:row r="4819">
      <x:c r="A4819" s="2" t="str">
        <x:v>341318</x:v>
      </x:c>
      <x:c r="B4819" s="2" t="str">
        <x:v>VIDANT CHOWAN HOSPITAL</x:v>
      </x:c>
      <x:c r="C4819" s="2" t="str">
        <x:v>EDENTON</x:v>
      </x:c>
      <x:c r="D4819" s="2" t="str">
        <x:v>NC</x:v>
      </x:c>
      <x:c r="E4819" s="2" t="str">
        <x:v>Critical Access Hospitals</x:v>
      </x:c>
      <x:c r="F4819" s="2" t="str">
        <x:v>Government</x:v>
      </x:c>
      <x:c r="G4819" s="2" t="str">
        <x:v>Small (&lt;100 beds)</x:v>
      </x:c>
      <x:c r="H4819" s="7" t="n">
        <x:v>3</x:v>
      </x:c>
      <x:c r="I4819" s="7" t="n">
        <x:v>4</x:v>
      </x:c>
      <x:c r="J4819" s="7"/>
      <x:c r="K4819" s="8" t="n">
        <x:v>25</x:v>
      </x:c>
      <x:c r="L4819" s="8" t="n">
        <x:v>1604</x:v>
      </x:c>
      <x:c r="M4819" s="9" t="n">
        <x:v>0.7429508197</x:v>
      </x:c>
      <x:c r="N4819" s="10" t="n">
        <x:v>39670.5586034913</x:v>
      </x:c>
      <x:c r="O4819" s="9" t="n">
        <x:v>0.2496070057</x:v>
      </x:c>
      <x:c r="P4819" s="9" t="n">
        <x:v>0.0230483271</x:v>
      </x:c>
      <x:c r="Q4819" s="9" t="n">
        <x:v>0.0765799257</x:v>
      </x:c>
      <x:c r="R4819" s="3" t="b">
        <x:v>0</x:v>
      </x:c>
      <x:c r="S4819" s="3" t="b">
        <x:v>1</x:v>
      </x:c>
      <x:c r="T4819" s="3" t="b">
        <x:v>0</x:v>
      </x:c>
      <x:c r="U4819" s="2" t="str">
        <x:f>IF(T4819=TRUE,"Priority review",IF(R4819=TRUE,"High cost",IF(S4819=TRUE,"Low quality","Benchmark")))</x:f>
        <x:v>Low quality</x:v>
      </x:c>
    </x:row>
    <x:row r="4820">
      <x:c r="A4820" s="2" t="str">
        <x:v>400003</x:v>
      </x:c>
      <x:c r="B4820" s="2" t="str">
        <x:v>HOSPITAL METROPOLITANO DR PILA</x:v>
      </x:c>
      <x:c r="C4820" s="2" t="str">
        <x:v>PONCE</x:v>
      </x:c>
      <x:c r="D4820" s="2" t="str">
        <x:v>PR</x:v>
      </x:c>
      <x:c r="E4820" s="2" t="str">
        <x:v>Acute Care Hospitals</x:v>
      </x:c>
      <x:c r="F4820" s="2" t="str">
        <x:v>Proprietary</x:v>
      </x:c>
      <x:c r="G4820" s="2" t="str">
        <x:v>Medium (100-299 beds)</x:v>
      </x:c>
      <x:c r="H4820" s="7"/>
      <x:c r="I4820" s="7"/>
      <x:c r="J4820" s="7"/>
      <x:c r="K4820" s="8" t="n">
        <x:v>115</x:v>
      </x:c>
      <x:c r="L4820" s="8" t="n">
        <x:v>3767</x:v>
      </x:c>
      <x:c r="M4820" s="9" t="n">
        <x:v>0.4650985982</x:v>
      </x:c>
      <x:c r="N4820" s="10" t="n">
        <x:v>11896.0366339262</x:v>
      </x:c>
      <x:c r="O4820" s="9" t="n">
        <x:v>-0.0914092249</x:v>
      </x:c>
      <x:c r="P4820" s="9" t="n">
        <x:v>0.0228198859</x:v>
      </x:c>
      <x:c r="Q4820" s="9" t="n">
        <x:v>0.9616951915</x:v>
      </x:c>
      <x:c r="R4820" s="3" t="b">
        <x:v>0</x:v>
      </x:c>
      <x:c r="S4820" s="3" t="b">
        <x:v>0</x:v>
      </x:c>
      <x:c r="T4820" s="3" t="b">
        <x:v>0</x:v>
      </x:c>
      <x:c r="U4820" s="2" t="str">
        <x:f>IF(T4820=TRUE,"Priority review",IF(R4820=TRUE,"High cost",IF(S4820=TRUE,"Low quality","Benchmark")))</x:f>
        <x:v>Benchmark</x:v>
      </x:c>
    </x:row>
    <x:row r="4821">
      <x:c r="A4821" s="2" t="str">
        <x:v>504013</x:v>
      </x:c>
      <x:c r="B4821" s="2" t="str">
        <x:v>RAINIER SPRINGS</x:v>
      </x:c>
      <x:c r="C4821" s="2" t="str">
        <x:v>VANCOUVER</x:v>
      </x:c>
      <x:c r="D4821" s="2" t="str">
        <x:v>WA</x:v>
      </x:c>
      <x:c r="E4821" s="2" t="str">
        <x:v>Psychiatric</x:v>
      </x:c>
      <x:c r="F4821" s="2" t="str">
        <x:v>Proprietary</x:v>
      </x:c>
      <x:c r="G4821" s="2" t="str">
        <x:v>Small (&lt;100 beds)</x:v>
      </x:c>
      <x:c r="H4821" s="7"/>
      <x:c r="I4821" s="7"/>
      <x:c r="J4821" s="7"/>
      <x:c r="K4821" s="8" t="n">
        <x:v>72</x:v>
      </x:c>
      <x:c r="L4821" s="8" t="n">
        <x:v>6065</x:v>
      </x:c>
      <x:c r="M4821" s="9" t="n">
        <x:v>1</x:v>
      </x:c>
      <x:c r="N4821" s="10" t="n">
        <x:v>5281.8525968673</x:v>
      </x:c>
      <x:c r="O4821" s="9" t="n">
        <x:v>0.3498051979</x:v>
      </x:c>
      <x:c r="P4821" s="9" t="n">
        <x:v>0.0226537217</x:v>
      </x:c>
      <x:c r="Q4821" s="9" t="n">
        <x:v>0</x:v>
      </x:c>
      <x:c r="R4821" s="3" t="b">
        <x:v>0</x:v>
      </x:c>
      <x:c r="S4821" s="3" t="b">
        <x:v>0</x:v>
      </x:c>
      <x:c r="T4821" s="3" t="b">
        <x:v>0</x:v>
      </x:c>
      <x:c r="U4821" s="2" t="str">
        <x:f>IF(T4821=TRUE,"Priority review",IF(R4821=TRUE,"High cost",IF(S4821=TRUE,"Low quality","Benchmark")))</x:f>
        <x:v>Benchmark</x:v>
      </x:c>
    </x:row>
    <x:row r="4822">
      <x:c r="A4822" s="2" t="str">
        <x:v>390332</x:v>
      </x:c>
      <x:c r="B4822" s="2" t="str">
        <x:v>GEISINGER ST. LUKE'S  HOSPITAL</x:v>
      </x:c>
      <x:c r="C4822" s="2" t="str">
        <x:v>ORWIGSBURG</x:v>
      </x:c>
      <x:c r="D4822" s="2" t="str">
        <x:v>PA</x:v>
      </x:c>
      <x:c r="E4822" s="2" t="str">
        <x:v>Acute Care Hospitals</x:v>
      </x:c>
      <x:c r="F4822" s="2" t="str">
        <x:v>Voluntary non-profit</x:v>
      </x:c>
      <x:c r="G4822" s="2" t="str">
        <x:v>Small (&lt;100 beds)</x:v>
      </x:c>
      <x:c r="H4822" s="7" t="n">
        <x:v>5</x:v>
      </x:c>
      <x:c r="I4822" s="7" t="n">
        <x:v>4</x:v>
      </x:c>
      <x:c r="J4822" s="7" t="n">
        <x:v>0.94</x:v>
      </x:c>
      <x:c r="K4822" s="8" t="n">
        <x:v>64</x:v>
      </x:c>
      <x:c r="L4822" s="8" t="n">
        <x:v>4441</x:v>
      </x:c>
      <x:c r="M4822" s="9" t="n">
        <x:v>0.7284686897</x:v>
      </x:c>
      <x:c r="N4822" s="10" t="n">
        <x:v>18132.7509569917</x:v>
      </x:c>
      <x:c r="O4822" s="9" t="n">
        <x:v>0.2060200696</x:v>
      </x:c>
      <x:c r="P4822" s="9" t="n">
        <x:v>0.0224416517</x:v>
      </x:c>
      <x:c r="Q4822" s="9" t="n">
        <x:v>0.6131059246</x:v>
      </x:c>
      <x:c r="R4822" s="3" t="b">
        <x:v>0</x:v>
      </x:c>
      <x:c r="S4822" s="3" t="b">
        <x:v>0</x:v>
      </x:c>
      <x:c r="T4822" s="3" t="b">
        <x:v>0</x:v>
      </x:c>
      <x:c r="U4822" s="2" t="str">
        <x:f>IF(T4822=TRUE,"Priority review",IF(R4822=TRUE,"High cost",IF(S4822=TRUE,"Low quality","Benchmark")))</x:f>
        <x:v>Benchmark</x:v>
      </x:c>
    </x:row>
    <x:row r="4823">
      <x:c r="A4823" s="2" t="str">
        <x:v>441310</x:v>
      </x:c>
      <x:c r="B4823" s="2" t="str">
        <x:v>RHEA MEDICAL CENTER</x:v>
      </x:c>
      <x:c r="C4823" s="2" t="str">
        <x:v>DAYTON</x:v>
      </x:c>
      <x:c r="D4823" s="2" t="str">
        <x:v>TN</x:v>
      </x:c>
      <x:c r="E4823" s="2" t="str">
        <x:v>Critical Access Hospitals</x:v>
      </x:c>
      <x:c r="F4823" s="2" t="str">
        <x:v>Government</x:v>
      </x:c>
      <x:c r="G4823" s="2" t="str">
        <x:v>Small (&lt;100 beds)</x:v>
      </x:c>
      <x:c r="H4823" s="7" t="n">
        <x:v>2</x:v>
      </x:c>
      <x:c r="I4823" s="7"/>
      <x:c r="J4823" s="7"/>
      <x:c r="K4823" s="8" t="n">
        <x:v>25</x:v>
      </x:c>
      <x:c r="L4823" s="8" t="n">
        <x:v>918</x:v>
      </x:c>
      <x:c r="M4823" s="9" t="n">
        <x:v>0.3997808219</x:v>
      </x:c>
      <x:c r="N4823" s="10" t="n">
        <x:v>39281.137254902</x:v>
      </x:c>
      <x:c r="O4823" s="9" t="n">
        <x:v>-0.100382646</x:v>
      </x:c>
      <x:c r="P4823" s="9" t="n">
        <x:v>0.0223048327</x:v>
      </x:c>
      <x:c r="Q4823" s="9" t="n">
        <x:v>0.0171003717</x:v>
      </x:c>
      <x:c r="R4823" s="3" t="b">
        <x:v>0</x:v>
      </x:c>
      <x:c r="S4823" s="3" t="b">
        <x:v>1</x:v>
      </x:c>
      <x:c r="T4823" s="3" t="b">
        <x:v>0</x:v>
      </x:c>
      <x:c r="U4823" s="2" t="str">
        <x:f>IF(T4823=TRUE,"Priority review",IF(R4823=TRUE,"High cost",IF(S4823=TRUE,"Low quality","Benchmark")))</x:f>
        <x:v>Low quality</x:v>
      </x:c>
    </x:row>
    <x:row r="4824">
      <x:c r="A4824" s="2" t="str">
        <x:v>100053</x:v>
      </x:c>
      <x:c r="B4824" s="2" t="str">
        <x:v>HIALEAH HOSPITAL</x:v>
      </x:c>
      <x:c r="C4824" s="2" t="str">
        <x:v>HIALEAH</x:v>
      </x:c>
      <x:c r="D4824" s="2" t="str">
        <x:v>FL</x:v>
      </x:c>
      <x:c r="E4824" s="2" t="str">
        <x:v>Acute Care Hospitals</x:v>
      </x:c>
      <x:c r="F4824" s="2" t="str">
        <x:v>Proprietary</x:v>
      </x:c>
      <x:c r="G4824" s="2" t="str">
        <x:v>Large (300+ beds)</x:v>
      </x:c>
      <x:c r="H4824" s="7" t="n">
        <x:v>3</x:v>
      </x:c>
      <x:c r="I4824" s="7" t="n">
        <x:v>2</x:v>
      </x:c>
      <x:c r="J4824" s="7" t="n">
        <x:v>1.17</x:v>
      </x:c>
      <x:c r="K4824" s="8" t="n">
        <x:v>340</x:v>
      </x:c>
      <x:c r="L4824" s="8" t="n">
        <x:v>3411</x:v>
      </x:c>
      <x:c r="M4824" s="9" t="n">
        <x:v>0.2101809955</x:v>
      </x:c>
      <x:c r="N4824" s="10" t="n">
        <x:v>15432.2732336558</x:v>
      </x:c>
      <x:c r="O4824" s="9" t="n">
        <x:v>-0.1140648982</x:v>
      </x:c>
      <x:c r="P4824" s="9" t="n">
        <x:v>0.0220820189</x:v>
      </x:c>
      <x:c r="Q4824" s="9" t="n">
        <x:v>0.2570977918</x:v>
      </x:c>
      <x:c r="R4824" s="3" t="b">
        <x:v>0</x:v>
      </x:c>
      <x:c r="S4824" s="3" t="b">
        <x:v>0</x:v>
      </x:c>
      <x:c r="T4824" s="3" t="b">
        <x:v>0</x:v>
      </x:c>
      <x:c r="U4824" s="2" t="str">
        <x:f>IF(T4824=TRUE,"Priority review",IF(R4824=TRUE,"High cost",IF(S4824=TRUE,"Low quality","Benchmark")))</x:f>
        <x:v>Benchmark</x:v>
      </x:c>
    </x:row>
    <x:row r="4825">
      <x:c r="A4825" s="2" t="str">
        <x:v>450662</x:v>
      </x:c>
      <x:c r="B4825" s="2" t="str">
        <x:v>VALLEY REGIONAL MEDICAL CENTER</x:v>
      </x:c>
      <x:c r="C4825" s="2" t="str">
        <x:v>BROWNSVILLE</x:v>
      </x:c>
      <x:c r="D4825" s="2" t="str">
        <x:v>TX</x:v>
      </x:c>
      <x:c r="E4825" s="2" t="str">
        <x:v>Acute Care Hospitals</x:v>
      </x:c>
      <x:c r="F4825" s="2" t="str">
        <x:v>Proprietary</x:v>
      </x:c>
      <x:c r="G4825" s="2" t="str">
        <x:v>Medium (100-299 beds)</x:v>
      </x:c>
      <x:c r="H4825" s="7" t="n">
        <x:v>2</x:v>
      </x:c>
      <x:c r="I4825" s="7" t="n">
        <x:v>2</x:v>
      </x:c>
      <x:c r="J4825" s="7" t="n">
        <x:v>0.97</x:v>
      </x:c>
      <x:c r="K4825" s="8" t="n">
        <x:v>214</x:v>
      </x:c>
      <x:c r="L4825" s="8" t="n">
        <x:v>11387</x:v>
      </x:c>
      <x:c r="M4825" s="9" t="n">
        <x:v>0.6173985405</x:v>
      </x:c>
      <x:c r="N4825" s="10" t="n">
        <x:v>11695.5063669096</x:v>
      </x:c>
      <x:c r="O4825" s="9" t="n">
        <x:v>0.4527209661</x:v>
      </x:c>
      <x:c r="P4825" s="9" t="n">
        <x:v>0.02200489</x:v>
      </x:c>
      <x:c r="Q4825" s="9" t="n">
        <x:v>0.0782396088</x:v>
      </x:c>
      <x:c r="R4825" s="3" t="b">
        <x:v>0</x:v>
      </x:c>
      <x:c r="S4825" s="3" t="b">
        <x:v>1</x:v>
      </x:c>
      <x:c r="T4825" s="3" t="b">
        <x:v>0</x:v>
      </x:c>
      <x:c r="U4825" s="2" t="str">
        <x:f>IF(T4825=TRUE,"Priority review",IF(R4825=TRUE,"High cost",IF(S4825=TRUE,"Low quality","Benchmark")))</x:f>
        <x:v>Low quality</x:v>
      </x:c>
    </x:row>
    <x:row r="4826">
      <x:c r="A4826" s="2" t="str">
        <x:v>101315</x:v>
      </x:c>
      <x:c r="B4826" s="2" t="str">
        <x:v>JAY HOSPITAL</x:v>
      </x:c>
      <x:c r="C4826" s="2" t="str">
        <x:v>JAY</x:v>
      </x:c>
      <x:c r="D4826" s="2" t="str">
        <x:v>FL</x:v>
      </x:c>
      <x:c r="E4826" s="2" t="str">
        <x:v>Critical Access Hospitals</x:v>
      </x:c>
      <x:c r="F4826" s="2" t="str">
        <x:v>Voluntary non-profit</x:v>
      </x:c>
      <x:c r="G4826" s="2" t="str">
        <x:v>Small (&lt;100 beds)</x:v>
      </x:c>
      <x:c r="H4826" s="7"/>
      <x:c r="I4826" s="7"/>
      <x:c r="J4826" s="7"/>
      <x:c r="K4826" s="8" t="n">
        <x:v>19</x:v>
      </x:c>
      <x:c r="L4826" s="8" t="n">
        <x:v>280</x:v>
      </x:c>
      <x:c r="M4826" s="9" t="n">
        <x:v>0.7181505165</x:v>
      </x:c>
      <x:c r="N4826" s="10" t="n">
        <x:v>39178.0321428571</x:v>
      </x:c>
      <x:c r="O4826" s="9" t="n">
        <x:v>-0.1709745674</x:v>
      </x:c>
      <x:c r="P4826" s="9" t="n">
        <x:v>0.0215613383</x:v>
      </x:c>
      <x:c r="Q4826" s="9" t="n">
        <x:v>0.292936803</x:v>
      </x:c>
      <x:c r="R4826" s="3" t="b">
        <x:v>0</x:v>
      </x:c>
      <x:c r="S4826" s="3" t="b">
        <x:v>0</x:v>
      </x:c>
      <x:c r="T4826" s="3" t="b">
        <x:v>0</x:v>
      </x:c>
      <x:c r="U4826" s="2" t="str">
        <x:f>IF(T4826=TRUE,"Priority review",IF(R4826=TRUE,"High cost",IF(S4826=TRUE,"Low quality","Benchmark")))</x:f>
        <x:v>Benchmark</x:v>
      </x:c>
    </x:row>
    <x:row r="4827">
      <x:c r="A4827" s="2" t="str">
        <x:v>100320</x:v>
      </x:c>
      <x:c r="B4827" s="2" t="str">
        <x:v>HCA FLORIDA POINCIANA HOSPITAL</x:v>
      </x:c>
      <x:c r="C4827" s="2" t="str">
        <x:v>KISSIMMEE</x:v>
      </x:c>
      <x:c r="D4827" s="2" t="str">
        <x:v>FL</x:v>
      </x:c>
      <x:c r="E4827" s="2" t="str">
        <x:v>Acute Care Hospitals</x:v>
      </x:c>
      <x:c r="F4827" s="2" t="str">
        <x:v>Proprietary</x:v>
      </x:c>
      <x:c r="G4827" s="2" t="str">
        <x:v>Small (&lt;100 beds)</x:v>
      </x:c>
      <x:c r="H4827" s="7" t="n">
        <x:v>2</x:v>
      </x:c>
      <x:c r="I4827" s="7" t="n">
        <x:v>3</x:v>
      </x:c>
      <x:c r="J4827" s="7" t="n">
        <x:v>0.91</x:v>
      </x:c>
      <x:c r="K4827" s="8" t="n">
        <x:v>94</x:v>
      </x:c>
      <x:c r="L4827" s="8" t="n">
        <x:v>5292</x:v>
      </x:c>
      <x:c r="M4827" s="9" t="n">
        <x:v>0.5355872923</x:v>
      </x:c>
      <x:c r="N4827" s="10" t="n">
        <x:v>17941.522297808</x:v>
      </x:c>
      <x:c r="O4827" s="9" t="n">
        <x:v>0.3042234576</x:v>
      </x:c>
      <x:c r="P4827" s="9" t="n">
        <x:v>0.0215439856</x:v>
      </x:c>
      <x:c r="Q4827" s="9" t="n">
        <x:v>0.0350089767</x:v>
      </x:c>
      <x:c r="R4827" s="3" t="b">
        <x:v>0</x:v>
      </x:c>
      <x:c r="S4827" s="3" t="b">
        <x:v>1</x:v>
      </x:c>
      <x:c r="T4827" s="3" t="b">
        <x:v>0</x:v>
      </x:c>
      <x:c r="U4827" s="2" t="str">
        <x:f>IF(T4827=TRUE,"Priority review",IF(R4827=TRUE,"High cost",IF(S4827=TRUE,"Low quality","Benchmark")))</x:f>
        <x:v>Low quality</x:v>
      </x:c>
    </x:row>
    <x:row r="4828">
      <x:c r="A4828" s="2" t="str">
        <x:v>140197</x:v>
      </x:c>
      <x:c r="B4828" s="2" t="str">
        <x:v>METHODIST HOSPITAL OF CHICAGO</x:v>
      </x:c>
      <x:c r="C4828" s="2" t="str">
        <x:v>CHICAGO</x:v>
      </x:c>
      <x:c r="D4828" s="2" t="str">
        <x:v>IL</x:v>
      </x:c>
      <x:c r="E4828" s="2" t="str">
        <x:v>Acute Care Hospitals</x:v>
      </x:c>
      <x:c r="F4828" s="2" t="str">
        <x:v>Voluntary non-profit</x:v>
      </x:c>
      <x:c r="G4828" s="2" t="str">
        <x:v>Medium (100-299 beds)</x:v>
      </x:c>
      <x:c r="H4828" s="7"/>
      <x:c r="I4828" s="7"/>
      <x:c r="J4828" s="7" t="n">
        <x:v>1.06</x:v>
      </x:c>
      <x:c r="K4828" s="8" t="n">
        <x:v>141</x:v>
      </x:c>
      <x:c r="L4828" s="8" t="n">
        <x:v>2002</x:v>
      </x:c>
      <x:c r="M4828" s="9" t="n">
        <x:v>0.2741474789</x:v>
      </x:c>
      <x:c r="N4828" s="10" t="n">
        <x:v>11563.6018981019</x:v>
      </x:c>
      <x:c r="O4828" s="9" t="n">
        <x:v>-0.1529125666</x:v>
      </x:c>
      <x:c r="P4828" s="9" t="n">
        <x:v>0.0211898941</x:v>
      </x:c>
      <x:c r="Q4828" s="9" t="n">
        <x:v>0.9616951915</x:v>
      </x:c>
      <x:c r="R4828" s="3" t="b">
        <x:v>0</x:v>
      </x:c>
      <x:c r="S4828" s="3" t="b">
        <x:v>0</x:v>
      </x:c>
      <x:c r="T4828" s="3" t="b">
        <x:v>0</x:v>
      </x:c>
      <x:c r="U4828" s="2" t="str">
        <x:f>IF(T4828=TRUE,"Priority review",IF(R4828=TRUE,"High cost",IF(S4828=TRUE,"Low quality","Benchmark")))</x:f>
        <x:v>Benchmark</x:v>
      </x:c>
    </x:row>
    <x:row r="4829">
      <x:c r="A4829" s="2" t="str">
        <x:v>361306</x:v>
      </x:c>
      <x:c r="B4829" s="2" t="str">
        <x:v>MERCY ALLEN HOSPITAL</x:v>
      </x:c>
      <x:c r="C4829" s="2" t="str">
        <x:v>OBERLIN</x:v>
      </x:c>
      <x:c r="D4829" s="2" t="str">
        <x:v>OH</x:v>
      </x:c>
      <x:c r="E4829" s="2" t="str">
        <x:v>Critical Access Hospitals</x:v>
      </x:c>
      <x:c r="F4829" s="2" t="str">
        <x:v>Voluntary non-profit</x:v>
      </x:c>
      <x:c r="G4829" s="2" t="str">
        <x:v>Small (&lt;100 beds)</x:v>
      </x:c>
      <x:c r="H4829" s="7" t="n">
        <x:v>5</x:v>
      </x:c>
      <x:c r="I4829" s="7" t="n">
        <x:v>4</x:v>
      </x:c>
      <x:c r="J4829" s="7"/>
      <x:c r="K4829" s="8" t="n">
        <x:v>22</x:v>
      </x:c>
      <x:c r="L4829" s="8" t="n">
        <x:v>769</x:v>
      </x:c>
      <x:c r="M4829" s="9" t="n">
        <x:v>0.4041231992</x:v>
      </x:c>
      <x:c r="N4829" s="10" t="n">
        <x:v>38579.3459037711</x:v>
      </x:c>
      <x:c r="O4829" s="9" t="n">
        <x:v>0.0456385409</x:v>
      </x:c>
      <x:c r="P4829" s="9" t="n">
        <x:v>0.0208178439</x:v>
      </x:c>
      <x:c r="Q4829" s="9" t="n">
        <x:v>0.2602230483</x:v>
      </x:c>
      <x:c r="R4829" s="3" t="b">
        <x:v>0</x:v>
      </x:c>
      <x:c r="S4829" s="3" t="b">
        <x:v>0</x:v>
      </x:c>
      <x:c r="T4829" s="3" t="b">
        <x:v>0</x:v>
      </x:c>
      <x:c r="U4829" s="2" t="str">
        <x:f>IF(T4829=TRUE,"Priority review",IF(R4829=TRUE,"High cost",IF(S4829=TRUE,"Low quality","Benchmark")))</x:f>
        <x:v>Benchmark</x:v>
      </x:c>
    </x:row>
    <x:row r="4830">
      <x:c r="A4830" s="2" t="str">
        <x:v>370199</x:v>
      </x:c>
      <x:c r="B4830" s="2" t="str">
        <x:v>LAKESIDE WOMEN'S HOSPITAL, A MEMBER OF INTEGRIS HE</x:v>
      </x:c>
      <x:c r="C4830" s="2" t="str">
        <x:v>OKLAHOMA CITY</x:v>
      </x:c>
      <x:c r="D4830" s="2" t="str">
        <x:v>OK</x:v>
      </x:c>
      <x:c r="E4830" s="2" t="str">
        <x:v>Acute Care Hospitals</x:v>
      </x:c>
      <x:c r="F4830" s="2" t="str">
        <x:v>Voluntary non-profit</x:v>
      </x:c>
      <x:c r="G4830" s="2" t="str">
        <x:v>Small (&lt;100 beds)</x:v>
      </x:c>
      <x:c r="H4830" s="7"/>
      <x:c r="I4830" s="7" t="n">
        <x:v>4</x:v>
      </x:c>
      <x:c r="J4830" s="7"/>
      <x:c r="K4830" s="8" t="n">
        <x:v>23</x:v>
      </x:c>
      <x:c r="L4830" s="8" t="n">
        <x:v>1465</x:v>
      </x:c>
      <x:c r="M4830" s="9" t="n">
        <x:v>0.6815961882</x:v>
      </x:c>
      <x:c r="N4830" s="10" t="n">
        <x:v>17904.4259385666</x:v>
      </x:c>
      <x:c r="O4830" s="9" t="n">
        <x:v>0.1915089338</x:v>
      </x:c>
      <x:c r="P4830" s="9" t="n">
        <x:v>0.0206463196</x:v>
      </x:c>
      <x:c r="Q4830" s="9" t="n">
        <x:v>0.697486535</x:v>
      </x:c>
      <x:c r="R4830" s="3" t="b">
        <x:v>0</x:v>
      </x:c>
      <x:c r="S4830" s="3" t="b">
        <x:v>0</x:v>
      </x:c>
      <x:c r="T4830" s="3" t="b">
        <x:v>0</x:v>
      </x:c>
      <x:c r="U4830" s="2" t="str">
        <x:f>IF(T4830=TRUE,"Priority review",IF(R4830=TRUE,"High cost",IF(S4830=TRUE,"Low quality","Benchmark")))</x:f>
        <x:v>Benchmark</x:v>
      </x:c>
    </x:row>
    <x:row r="4831">
      <x:c r="A4831" s="2" t="str">
        <x:v>100131</x:v>
      </x:c>
      <x:c r="B4831" s="2" t="str">
        <x:v>HCA FLORIDA AVENTURA HOSPITAL</x:v>
      </x:c>
      <x:c r="C4831" s="2" t="str">
        <x:v>AVENTURA</x:v>
      </x:c>
      <x:c r="D4831" s="2" t="str">
        <x:v>FL</x:v>
      </x:c>
      <x:c r="E4831" s="2" t="str">
        <x:v>Acute Care Hospitals</x:v>
      </x:c>
      <x:c r="F4831" s="2" t="str">
        <x:v>Voluntary non-profit</x:v>
      </x:c>
      <x:c r="G4831" s="2" t="str">
        <x:v>Large (300+ beds)</x:v>
      </x:c>
      <x:c r="H4831" s="7" t="n">
        <x:v>3</x:v>
      </x:c>
      <x:c r="I4831" s="7" t="n">
        <x:v>2</x:v>
      </x:c>
      <x:c r="J4831" s="7" t="n">
        <x:v>1.06</x:v>
      </x:c>
      <x:c r="K4831" s="8" t="n">
        <x:v>324</x:v>
      </x:c>
      <x:c r="L4831" s="8" t="n">
        <x:v>16870</x:v>
      </x:c>
      <x:c r="M4831" s="9" t="n">
        <x:v>0.6007706935</x:v>
      </x:c>
      <x:c r="N4831" s="10" t="n">
        <x:v>15122.4600474215</x:v>
      </x:c>
      <x:c r="O4831" s="9" t="n">
        <x:v>0.4729894</x:v>
      </x:c>
      <x:c r="P4831" s="9" t="n">
        <x:v>0.0205047319</x:v>
      </x:c>
      <x:c r="Q4831" s="9" t="n">
        <x:v>0.2570977918</x:v>
      </x:c>
      <x:c r="R4831" s="3" t="b">
        <x:v>0</x:v>
      </x:c>
      <x:c r="S4831" s="3" t="b">
        <x:v>0</x:v>
      </x:c>
      <x:c r="T4831" s="3" t="b">
        <x:v>0</x:v>
      </x:c>
      <x:c r="U4831" s="2" t="str">
        <x:f>IF(T4831=TRUE,"Priority review",IF(R4831=TRUE,"High cost",IF(S4831=TRUE,"Low quality","Benchmark")))</x:f>
        <x:v>Benchmark</x:v>
      </x:c>
    </x:row>
    <x:row r="4832">
      <x:c r="A4832" s="2" t="str">
        <x:v>400098</x:v>
      </x:c>
      <x:c r="B4832" s="2" t="str">
        <x:v>HOSPITAL SAN FRANCISCO</x:v>
      </x:c>
      <x:c r="C4832" s="2" t="str">
        <x:v>SAN JUAN</x:v>
      </x:c>
      <x:c r="D4832" s="2" t="str">
        <x:v>PR</x:v>
      </x:c>
      <x:c r="E4832" s="2" t="str">
        <x:v>Acute Care Hospitals</x:v>
      </x:c>
      <x:c r="F4832" s="2" t="str">
        <x:v>Proprietary</x:v>
      </x:c>
      <x:c r="G4832" s="2" t="str">
        <x:v>Medium (100-299 beds)</x:v>
      </x:c>
      <x:c r="H4832" s="7"/>
      <x:c r="I4832" s="7"/>
      <x:c r="J4832" s="7"/>
      <x:c r="K4832" s="8" t="n">
        <x:v>139</x:v>
      </x:c>
      <x:c r="L4832" s="8" t="n">
        <x:v>4203</x:v>
      </x:c>
      <x:c r="M4832" s="9" t="n">
        <x:v>0.5479812871</x:v>
      </x:c>
      <x:c r="N4832" s="10" t="n">
        <x:v>11124.0316440638</x:v>
      </x:c>
      <x:c r="O4832" s="9" t="n">
        <x:v>-0.0609431554</x:v>
      </x:c>
      <x:c r="P4832" s="9" t="n">
        <x:v>0.0203748981</x:v>
      </x:c>
      <x:c r="Q4832" s="9" t="n">
        <x:v>0.9616951915</x:v>
      </x:c>
      <x:c r="R4832" s="3" t="b">
        <x:v>0</x:v>
      </x:c>
      <x:c r="S4832" s="3" t="b">
        <x:v>0</x:v>
      </x:c>
      <x:c r="T4832" s="3" t="b">
        <x:v>0</x:v>
      </x:c>
      <x:c r="U4832" s="2" t="str">
        <x:f>IF(T4832=TRUE,"Priority review",IF(R4832=TRUE,"High cost",IF(S4832=TRUE,"Low quality","Benchmark")))</x:f>
        <x:v>Benchmark</x:v>
      </x:c>
    </x:row>
    <x:row r="4833">
      <x:c r="A4833" s="2" t="str">
        <x:v>041326</x:v>
      </x:c>
      <x:c r="B4833" s="2" t="str">
        <x:v>DELTA MEMORIAL HOSPITAL</x:v>
      </x:c>
      <x:c r="C4833" s="2" t="str">
        <x:v>DUMAS</x:v>
      </x:c>
      <x:c r="D4833" s="2" t="str">
        <x:v>AR</x:v>
      </x:c>
      <x:c r="E4833" s="2" t="str">
        <x:v>Critical Access Hospitals</x:v>
      </x:c>
      <x:c r="F4833" s="2" t="str">
        <x:v>Voluntary non-profit</x:v>
      </x:c>
      <x:c r="G4833" s="2" t="str">
        <x:v>Small (&lt;100 beds)</x:v>
      </x:c>
      <x:c r="H4833" s="7"/>
      <x:c r="I4833" s="7"/>
      <x:c r="J4833" s="7"/>
      <x:c r="K4833" s="8" t="n">
        <x:v>25</x:v>
      </x:c>
      <x:c r="L4833" s="8" t="n">
        <x:v>626</x:v>
      </x:c>
      <x:c r="M4833" s="9" t="n">
        <x:v>0.365260274</x:v>
      </x:c>
      <x:c r="N4833" s="10" t="n">
        <x:v>37964.5303514377</x:v>
      </x:c>
      <x:c r="O4833" s="9" t="n">
        <x:v>-0.4019988714</x:v>
      </x:c>
      <x:c r="P4833" s="9" t="n">
        <x:v>0.0200743494</x:v>
      </x:c>
      <x:c r="Q4833" s="9" t="n">
        <x:v>0.292936803</x:v>
      </x:c>
      <x:c r="R4833" s="3" t="b">
        <x:v>0</x:v>
      </x:c>
      <x:c r="S4833" s="3" t="b">
        <x:v>0</x:v>
      </x:c>
      <x:c r="T4833" s="3" t="b">
        <x:v>0</x:v>
      </x:c>
      <x:c r="U4833" s="2" t="str">
        <x:f>IF(T4833=TRUE,"Priority review",IF(R4833=TRUE,"High cost",IF(S4833=TRUE,"Low quality","Benchmark")))</x:f>
        <x:v>Benchmark</x:v>
      </x:c>
    </x:row>
    <x:row r="4834">
      <x:c r="A4834" s="2" t="str">
        <x:v>454149</x:v>
      </x:c>
      <x:c r="B4834" s="2" t="str">
        <x:v>PERIMETER BEHAVIORAL HOSPITAL OF DALLAS</x:v>
      </x:c>
      <x:c r="C4834" s="2" t="str">
        <x:v>GARLAND</x:v>
      </x:c>
      <x:c r="D4834" s="2" t="str">
        <x:v>TX</x:v>
      </x:c>
      <x:c r="E4834" s="2" t="str">
        <x:v>Psychiatric</x:v>
      </x:c>
      <x:c r="F4834" s="2" t="str">
        <x:v>Proprietary</x:v>
      </x:c>
      <x:c r="G4834" s="2" t="str">
        <x:v>Medium (100-299 beds)</x:v>
      </x:c>
      <x:c r="H4834" s="7"/>
      <x:c r="I4834" s="7"/>
      <x:c r="J4834" s="7"/>
      <x:c r="K4834" s="8" t="n">
        <x:v>100</x:v>
      </x:c>
      <x:c r="L4834" s="8" t="n">
        <x:v>3797</x:v>
      </x:c>
      <x:c r="M4834" s="9" t="n">
        <x:v>0.8965846995</x:v>
      </x:c>
      <x:c r="N4834" s="10" t="n">
        <x:v>4797.2989202002</x:v>
      </x:c>
      <x:c r="O4834" s="9" t="n">
        <x:v>-0.1116361235</x:v>
      </x:c>
      <x:c r="P4834" s="9" t="n">
        <x:v>0.0199004975</x:v>
      </x:c>
      <x:c r="Q4834" s="9" t="n">
        <x:v>0</x:v>
      </x:c>
      <x:c r="R4834" s="3" t="b">
        <x:v>0</x:v>
      </x:c>
      <x:c r="S4834" s="3" t="b">
        <x:v>0</x:v>
      </x:c>
      <x:c r="T4834" s="3" t="b">
        <x:v>0</x:v>
      </x:c>
      <x:c r="U4834" s="2" t="str">
        <x:f>IF(T4834=TRUE,"Priority review",IF(R4834=TRUE,"High cost",IF(S4834=TRUE,"Low quality","Benchmark")))</x:f>
        <x:v>Benchmark</x:v>
      </x:c>
    </x:row>
    <x:row r="4835">
      <x:c r="A4835" s="2" t="str">
        <x:v>050091</x:v>
      </x:c>
      <x:c r="B4835" s="2" t="str">
        <x:v>COMMUNITY HOSPITAL OF HUNTINGTON PARK</x:v>
      </x:c>
      <x:c r="C4835" s="2" t="str">
        <x:v>HUNTINGTON PARK</x:v>
      </x:c>
      <x:c r="D4835" s="2" t="str">
        <x:v>CA</x:v>
      </x:c>
      <x:c r="E4835" s="2" t="str">
        <x:v>Acute Care Hospitals</x:v>
      </x:c>
      <x:c r="F4835" s="2" t="str">
        <x:v>Proprietary</x:v>
      </x:c>
      <x:c r="G4835" s="2" t="str">
        <x:v>Small (&lt;100 beds)</x:v>
      </x:c>
      <x:c r="H4835" s="7" t="n">
        <x:v>1</x:v>
      </x:c>
      <x:c r="I4835" s="7" t="n">
        <x:v>2</x:v>
      </x:c>
      <x:c r="J4835" s="7" t="n">
        <x:v>1.08</x:v>
      </x:c>
      <x:c r="K4835" s="8" t="n">
        <x:v>81</x:v>
      </x:c>
      <x:c r="L4835" s="8" t="n">
        <x:v>3835</x:v>
      </x:c>
      <x:c r="M4835" s="9" t="n">
        <x:v>0.4771301356</x:v>
      </x:c>
      <x:c r="N4835" s="10" t="n">
        <x:v>17880.1178617992</x:v>
      </x:c>
      <x:c r="O4835" s="9" t="n">
        <x:v>0.0821076519</x:v>
      </x:c>
      <x:c r="P4835" s="9" t="n">
        <x:v>0.0197486535</x:v>
      </x:c>
      <x:c r="Q4835" s="9" t="n">
        <x:v>0</x:v>
      </x:c>
      <x:c r="R4835" s="3" t="b">
        <x:v>0</x:v>
      </x:c>
      <x:c r="S4835" s="3" t="b">
        <x:v>1</x:v>
      </x:c>
      <x:c r="T4835" s="3" t="b">
        <x:v>0</x:v>
      </x:c>
      <x:c r="U4835" s="2" t="str">
        <x:f>IF(T4835=TRUE,"Priority review",IF(R4835=TRUE,"High cost",IF(S4835=TRUE,"Low quality","Benchmark")))</x:f>
        <x:v>Low quality</x:v>
      </x:c>
    </x:row>
    <x:row r="4836">
      <x:c r="A4836" s="2" t="str">
        <x:v>100269</x:v>
      </x:c>
      <x:c r="B4836" s="2" t="str">
        <x:v>HCA FLORIDA PALMS WEST HOSPITAL</x:v>
      </x:c>
      <x:c r="C4836" s="2" t="str">
        <x:v>LOXAHATCHEE</x:v>
      </x:c>
      <x:c r="D4836" s="2" t="str">
        <x:v>FL</x:v>
      </x:c>
      <x:c r="E4836" s="2" t="str">
        <x:v>Acute Care Hospitals</x:v>
      </x:c>
      <x:c r="F4836" s="2" t="str">
        <x:v>Proprietary</x:v>
      </x:c>
      <x:c r="G4836" s="2" t="str">
        <x:v>Medium (100-299 beds)</x:v>
      </x:c>
      <x:c r="H4836" s="7" t="n">
        <x:v>2</x:v>
      </x:c>
      <x:c r="I4836" s="7" t="n">
        <x:v>2</x:v>
      </x:c>
      <x:c r="J4836" s="7" t="n">
        <x:v>0.96</x:v>
      </x:c>
      <x:c r="K4836" s="8" t="n">
        <x:v>206</x:v>
      </x:c>
      <x:c r="L4836" s="8" t="n">
        <x:v>14548</x:v>
      </x:c>
      <x:c r="M4836" s="9" t="n">
        <x:v>0.7564702753</x:v>
      </x:c>
      <x:c r="N4836" s="10" t="n">
        <x:v>11072.733571625</x:v>
      </x:c>
      <x:c r="O4836" s="9" t="n">
        <x:v>0.4076482353</x:v>
      </x:c>
      <x:c r="P4836" s="9" t="n">
        <x:v>0.0195599022</x:v>
      </x:c>
      <x:c r="Q4836" s="9" t="n">
        <x:v>0.0782396088</x:v>
      </x:c>
      <x:c r="R4836" s="3" t="b">
        <x:v>0</x:v>
      </x:c>
      <x:c r="S4836" s="3" t="b">
        <x:v>1</x:v>
      </x:c>
      <x:c r="T4836" s="3" t="b">
        <x:v>0</x:v>
      </x:c>
      <x:c r="U4836" s="2" t="str">
        <x:f>IF(T4836=TRUE,"Priority review",IF(R4836=TRUE,"High cost",IF(S4836=TRUE,"Low quality","Benchmark")))</x:f>
        <x:v>Low quality</x:v>
      </x:c>
    </x:row>
    <x:row r="4837">
      <x:c r="A4837" s="2" t="str">
        <x:v>474004</x:v>
      </x:c>
      <x:c r="B4837" s="2" t="str">
        <x:v>VERMONT PSYCHIATRIC CARE HOSPITAL</x:v>
      </x:c>
      <x:c r="C4837" s="2" t="str">
        <x:v>BERLIN</x:v>
      </x:c>
      <x:c r="D4837" s="2" t="str">
        <x:v>VT</x:v>
      </x:c>
      <x:c r="E4837" s="2" t="str">
        <x:v>Psychiatric</x:v>
      </x:c>
      <x:c r="F4837" s="2" t="str">
        <x:v>Government</x:v>
      </x:c>
      <x:c r="G4837" s="2" t="str">
        <x:v>Small (&lt;100 beds)</x:v>
      </x:c>
      <x:c r="H4837" s="7"/>
      <x:c r="I4837" s="7"/>
      <x:c r="J4837" s="7"/>
      <x:c r="K4837" s="8" t="n">
        <x:v>25</x:v>
      </x:c>
      <x:c r="L4837" s="8" t="n">
        <x:v>7022</x:v>
      </x:c>
      <x:c r="M4837" s="9" t="n">
        <x:v>0.767431694</x:v>
      </x:c>
      <x:c r="N4837" s="10" t="n">
        <x:v>5257.9729421817</x:v>
      </x:c>
      <x:c r="O4837" s="9"/>
      <x:c r="P4837" s="9" t="n">
        <x:v>0.0194174757</x:v>
      </x:c>
      <x:c r="Q4837" s="9" t="n">
        <x:v>0</x:v>
      </x:c>
      <x:c r="R4837" s="3" t="b">
        <x:v>0</x:v>
      </x:c>
      <x:c r="S4837" s="3" t="b">
        <x:v>0</x:v>
      </x:c>
      <x:c r="T4837" s="3" t="b">
        <x:v>0</x:v>
      </x:c>
      <x:c r="U4837" s="2" t="str">
        <x:f>IF(T4837=TRUE,"Priority review",IF(R4837=TRUE,"High cost",IF(S4837=TRUE,"Low quality","Benchmark")))</x:f>
        <x:v>Benchmark</x:v>
      </x:c>
    </x:row>
    <x:row r="4838">
      <x:c r="A4838" s="2" t="str">
        <x:v>441323</x:v>
      </x:c>
      <x:c r="B4838" s="2" t="str">
        <x:v>BIG SOUTH FORK MEDICAL CENTER</x:v>
      </x:c>
      <x:c r="C4838" s="2" t="str">
        <x:v>ONEIDA</x:v>
      </x:c>
      <x:c r="D4838" s="2" t="str">
        <x:v>TN</x:v>
      </x:c>
      <x:c r="E4838" s="2" t="str">
        <x:v>Critical Access Hospitals</x:v>
      </x:c>
      <x:c r="F4838" s="2" t="str">
        <x:v>Proprietary</x:v>
      </x:c>
      <x:c r="G4838" s="2" t="str">
        <x:v>Small (&lt;100 beds)</x:v>
      </x:c>
      <x:c r="H4838" s="7"/>
      <x:c r="I4838" s="7"/>
      <x:c r="J4838" s="7"/>
      <x:c r="K4838" s="8" t="n">
        <x:v>25</x:v>
      </x:c>
      <x:c r="L4838" s="8" t="n">
        <x:v>368</x:v>
      </x:c>
      <x:c r="M4838" s="9" t="n">
        <x:v>0.1501639344</x:v>
      </x:c>
      <x:c r="N4838" s="10" t="n">
        <x:v>37439.6711956522</x:v>
      </x:c>
      <x:c r="O4838" s="9" t="n">
        <x:v>-0.3140477936</x:v>
      </x:c>
      <x:c r="P4838" s="9" t="n">
        <x:v>0.019330855</x:v>
      </x:c>
      <x:c r="Q4838" s="9" t="n">
        <x:v>0.292936803</x:v>
      </x:c>
      <x:c r="R4838" s="3" t="b">
        <x:v>0</x:v>
      </x:c>
      <x:c r="S4838" s="3" t="b">
        <x:v>0</x:v>
      </x:c>
      <x:c r="T4838" s="3" t="b">
        <x:v>0</x:v>
      </x:c>
      <x:c r="U4838" s="2" t="str">
        <x:f>IF(T4838=TRUE,"Priority review",IF(R4838=TRUE,"High cost",IF(S4838=TRUE,"Low quality","Benchmark")))</x:f>
        <x:v>Benchmark</x:v>
      </x:c>
    </x:row>
    <x:row r="4839">
      <x:c r="A4839" s="2" t="str">
        <x:v>290057</x:v>
      </x:c>
      <x:c r="B4839" s="2" t="str">
        <x:v>HENDERSON HOSPITAL</x:v>
      </x:c>
      <x:c r="C4839" s="2" t="str">
        <x:v>HENDERSON</x:v>
      </x:c>
      <x:c r="D4839" s="2" t="str">
        <x:v>NV</x:v>
      </x:c>
      <x:c r="E4839" s="2" t="str">
        <x:v>Acute Care Hospitals</x:v>
      </x:c>
      <x:c r="F4839" s="2" t="str">
        <x:v>Proprietary</x:v>
      </x:c>
      <x:c r="G4839" s="2" t="str">
        <x:v>Large (300+ beds)</x:v>
      </x:c>
      <x:c r="H4839" s="7" t="n">
        <x:v>2</x:v>
      </x:c>
      <x:c r="I4839" s="7" t="n">
        <x:v>2</x:v>
      </x:c>
      <x:c r="J4839" s="7" t="n">
        <x:v>1.05</x:v>
      </x:c>
      <x:c r="K4839" s="8" t="n">
        <x:v>300</x:v>
      </x:c>
      <x:c r="L4839" s="8" t="n">
        <x:v>21492</x:v>
      </x:c>
      <x:c r="M4839" s="9" t="n">
        <x:v>0.9352823315</x:v>
      </x:c>
      <x:c r="N4839" s="10" t="n">
        <x:v>15030.6964451889</x:v>
      </x:c>
      <x:c r="O4839" s="9" t="n">
        <x:v>0.2699227748</x:v>
      </x:c>
      <x:c r="P4839" s="9" t="n">
        <x:v>0.0189274448</x:v>
      </x:c>
      <x:c r="Q4839" s="9" t="n">
        <x:v>0.0536277603</x:v>
      </x:c>
      <x:c r="R4839" s="3" t="b">
        <x:v>0</x:v>
      </x:c>
      <x:c r="S4839" s="3" t="b">
        <x:v>1</x:v>
      </x:c>
      <x:c r="T4839" s="3" t="b">
        <x:v>0</x:v>
      </x:c>
      <x:c r="U4839" s="2" t="str">
        <x:f>IF(T4839=TRUE,"Priority review",IF(R4839=TRUE,"High cost",IF(S4839=TRUE,"Low quality","Benchmark")))</x:f>
        <x:v>Low quality</x:v>
      </x:c>
    </x:row>
    <x:row r="4840">
      <x:c r="A4840" s="2" t="str">
        <x:v>100302</x:v>
      </x:c>
      <x:c r="B4840" s="2" t="str">
        <x:v>ORLANDO HEALTH ST CLOUD HOSPITAL</x:v>
      </x:c>
      <x:c r="C4840" s="2" t="str">
        <x:v>SAINT CLOUD</x:v>
      </x:c>
      <x:c r="D4840" s="2" t="str">
        <x:v>FL</x:v>
      </x:c>
      <x:c r="E4840" s="2" t="str">
        <x:v>Acute Care Hospitals</x:v>
      </x:c>
      <x:c r="F4840" s="2" t="str">
        <x:v>Proprietary</x:v>
      </x:c>
      <x:c r="G4840" s="2" t="str">
        <x:v>Small (&lt;100 beds)</x:v>
      </x:c>
      <x:c r="H4840" s="7" t="n">
        <x:v>2</x:v>
      </x:c>
      <x:c r="I4840" s="7" t="n">
        <x:v>3</x:v>
      </x:c>
      <x:c r="J4840" s="7" t="n">
        <x:v>0.98</x:v>
      </x:c>
      <x:c r="K4840" s="8" t="n">
        <x:v>82</x:v>
      </x:c>
      <x:c r="L4840" s="8" t="n">
        <x:v>6912</x:v>
      </x:c>
      <x:c r="M4840" s="9" t="n">
        <x:v>0.6754982032</x:v>
      </x:c>
      <x:c r="N4840" s="10" t="n">
        <x:v>17434.6121238426</x:v>
      </x:c>
      <x:c r="O4840" s="9" t="n">
        <x:v>0.0868395195</x:v>
      </x:c>
      <x:c r="P4840" s="9" t="n">
        <x:v>0.0188509874</x:v>
      </x:c>
      <x:c r="Q4840" s="9" t="n">
        <x:v>0.0350089767</x:v>
      </x:c>
      <x:c r="R4840" s="3" t="b">
        <x:v>0</x:v>
      </x:c>
      <x:c r="S4840" s="3" t="b">
        <x:v>1</x:v>
      </x:c>
      <x:c r="T4840" s="3" t="b">
        <x:v>0</x:v>
      </x:c>
      <x:c r="U4840" s="2" t="str">
        <x:f>IF(T4840=TRUE,"Priority review",IF(R4840=TRUE,"High cost",IF(S4840=TRUE,"Low quality","Benchmark")))</x:f>
        <x:v>Low quality</x:v>
      </x:c>
    </x:row>
    <x:row r="4841">
      <x:c r="A4841" s="2" t="str">
        <x:v>400079</x:v>
      </x:c>
      <x:c r="B4841" s="2" t="str">
        <x:v>HOSPITAL  COMUNITARIO BUEN SAMARITANO INC</x:v>
      </x:c>
      <x:c r="C4841" s="2" t="str">
        <x:v>AGUADILLA</x:v>
      </x:c>
      <x:c r="D4841" s="2" t="str">
        <x:v>PR</x:v>
      </x:c>
      <x:c r="E4841" s="2" t="str">
        <x:v>Acute Care Hospitals</x:v>
      </x:c>
      <x:c r="F4841" s="2" t="str">
        <x:v>Voluntary non-profit</x:v>
      </x:c>
      <x:c r="G4841" s="2" t="str">
        <x:v>Medium (100-299 beds)</x:v>
      </x:c>
      <x:c r="H4841" s="7"/>
      <x:c r="I4841" s="7"/>
      <x:c r="J4841" s="7"/>
      <x:c r="K4841" s="8" t="n">
        <x:v>124</x:v>
      </x:c>
      <x:c r="L4841" s="8" t="n">
        <x:v>3084</x:v>
      </x:c>
      <x:c r="M4841" s="9" t="n">
        <x:v>0.3706151948</x:v>
      </x:c>
      <x:c r="N4841" s="10" t="n">
        <x:v>10297.8771076524</x:v>
      </x:c>
      <x:c r="O4841" s="9" t="n">
        <x:v>-0.1234231348</x:v>
      </x:c>
      <x:c r="P4841" s="9" t="n">
        <x:v>0.0187449063</x:v>
      </x:c>
      <x:c r="Q4841" s="9" t="n">
        <x:v>0.9616951915</x:v>
      </x:c>
      <x:c r="R4841" s="3" t="b">
        <x:v>0</x:v>
      </x:c>
      <x:c r="S4841" s="3" t="b">
        <x:v>0</x:v>
      </x:c>
      <x:c r="T4841" s="3" t="b">
        <x:v>0</x:v>
      </x:c>
      <x:c r="U4841" s="2" t="str">
        <x:f>IF(T4841=TRUE,"Priority review",IF(R4841=TRUE,"High cost",IF(S4841=TRUE,"Low quality","Benchmark")))</x:f>
        <x:v>Benchmark</x:v>
      </x:c>
    </x:row>
    <x:row r="4842">
      <x:c r="A4842" s="2" t="str">
        <x:v>341319</x:v>
      </x:c>
      <x:c r="B4842" s="2" t="str">
        <x:v>TRANSYLVANIA REGIONAL HOSPITAL, INC</x:v>
      </x:c>
      <x:c r="C4842" s="2" t="str">
        <x:v>BREVARD</x:v>
      </x:c>
      <x:c r="D4842" s="2" t="str">
        <x:v>NC</x:v>
      </x:c>
      <x:c r="E4842" s="2" t="str">
        <x:v>Critical Access Hospitals</x:v>
      </x:c>
      <x:c r="F4842" s="2" t="str">
        <x:v>Voluntary non-profit</x:v>
      </x:c>
      <x:c r="G4842" s="2" t="str">
        <x:v>Small (&lt;100 beds)</x:v>
      </x:c>
      <x:c r="H4842" s="7" t="n">
        <x:v>2</x:v>
      </x:c>
      <x:c r="I4842" s="7" t="n">
        <x:v>4</x:v>
      </x:c>
      <x:c r="J4842" s="7"/>
      <x:c r="K4842" s="8" t="n">
        <x:v>25</x:v>
      </x:c>
      <x:c r="L4842" s="8" t="n">
        <x:v>1505</x:v>
      </x:c>
      <x:c r="M4842" s="9" t="n">
        <x:v>0.7515846995</x:v>
      </x:c>
      <x:c r="N4842" s="10" t="n">
        <x:v>36649.126910299</x:v>
      </x:c>
      <x:c r="O4842" s="9" t="n">
        <x:v>0.0707466591</x:v>
      </x:c>
      <x:c r="P4842" s="9" t="n">
        <x:v>0.0185873606</x:v>
      </x:c>
      <x:c r="Q4842" s="9" t="n">
        <x:v>0.0171003717</x:v>
      </x:c>
      <x:c r="R4842" s="3" t="b">
        <x:v>0</x:v>
      </x:c>
      <x:c r="S4842" s="3" t="b">
        <x:v>1</x:v>
      </x:c>
      <x:c r="T4842" s="3" t="b">
        <x:v>0</x:v>
      </x:c>
      <x:c r="U4842" s="2" t="str">
        <x:f>IF(T4842=TRUE,"Priority review",IF(R4842=TRUE,"High cost",IF(S4842=TRUE,"Low quality","Benchmark")))</x:f>
        <x:v>Low quality</x:v>
      </x:c>
    </x:row>
    <x:row r="4843">
      <x:c r="A4843" s="2" t="str">
        <x:v>010138</x:v>
      </x:c>
      <x:c r="B4843" s="2" t="str">
        <x:v>HILL HOSPITAL OF SUMTER COUNTY</x:v>
      </x:c>
      <x:c r="C4843" s="2" t="str">
        <x:v>YORK</x:v>
      </x:c>
      <x:c r="D4843" s="2" t="str">
        <x:v>AL</x:v>
      </x:c>
      <x:c r="E4843" s="2" t="str">
        <x:v>Acute Care Hospitals</x:v>
      </x:c>
      <x:c r="F4843" s="2" t="str">
        <x:v>Government</x:v>
      </x:c>
      <x:c r="G4843" s="2" t="str">
        <x:v>Small (&lt;100 beds)</x:v>
      </x:c>
      <x:c r="H4843" s="7"/>
      <x:c r="I4843" s="7"/>
      <x:c r="J4843" s="7"/>
      <x:c r="K4843" s="8" t="n">
        <x:v>33</x:v>
      </x:c>
      <x:c r="L4843" s="8" t="n">
        <x:v>320</x:v>
      </x:c>
      <x:c r="M4843" s="9" t="n">
        <x:v>0.33921179</x:v>
      </x:c>
      <x:c r="N4843" s="10" t="n">
        <x:v>16942.63125</x:v>
      </x:c>
      <x:c r="O4843" s="9" t="n">
        <x:v>-0.2500451333</x:v>
      </x:c>
      <x:c r="P4843" s="9" t="n">
        <x:v>0.0179533214</x:v>
      </x:c>
      <x:c r="Q4843" s="9" t="n">
        <x:v>0.697486535</x:v>
      </x:c>
      <x:c r="R4843" s="3" t="b">
        <x:v>0</x:v>
      </x:c>
      <x:c r="S4843" s="3" t="b">
        <x:v>0</x:v>
      </x:c>
      <x:c r="T4843" s="3" t="b">
        <x:v>0</x:v>
      </x:c>
      <x:c r="U4843" s="2" t="str">
        <x:f>IF(T4843=TRUE,"Priority review",IF(R4843=TRUE,"High cost",IF(S4843=TRUE,"Low quality","Benchmark")))</x:f>
        <x:v>Benchmark</x:v>
      </x:c>
    </x:row>
    <x:row r="4844">
      <x:c r="A4844" s="2" t="str">
        <x:v>400123</x:v>
      </x:c>
      <x:c r="B4844" s="2" t="str">
        <x:v>HOSPITAL PEREA</x:v>
      </x:c>
      <x:c r="C4844" s="2" t="str">
        <x:v>MAYAGUEZ</x:v>
      </x:c>
      <x:c r="D4844" s="2" t="str">
        <x:v>PR</x:v>
      </x:c>
      <x:c r="E4844" s="2" t="str">
        <x:v>Acute Care Hospitals</x:v>
      </x:c>
      <x:c r="F4844" s="2" t="str">
        <x:v>Voluntary non-profit</x:v>
      </x:c>
      <x:c r="G4844" s="2" t="str">
        <x:v>Medium (100-299 beds)</x:v>
      </x:c>
      <x:c r="H4844" s="7"/>
      <x:c r="I4844" s="7"/>
      <x:c r="J4844" s="7"/>
      <x:c r="K4844" s="8" t="n">
        <x:v>123</x:v>
      </x:c>
      <x:c r="L4844" s="8" t="n">
        <x:v>5893</x:v>
      </x:c>
      <x:c r="M4844" s="9" t="n">
        <x:v>0.7137145142</x:v>
      </x:c>
      <x:c r="N4844" s="10" t="n">
        <x:v>10276.2782962837</x:v>
      </x:c>
      <x:c r="O4844" s="9" t="n">
        <x:v>-0.0325228077</x:v>
      </x:c>
      <x:c r="P4844" s="9" t="n">
        <x:v>0.0179299104</x:v>
      </x:c>
      <x:c r="Q4844" s="9" t="n">
        <x:v>0.9616951915</x:v>
      </x:c>
      <x:c r="R4844" s="3" t="b">
        <x:v>0</x:v>
      </x:c>
      <x:c r="S4844" s="3" t="b">
        <x:v>0</x:v>
      </x:c>
      <x:c r="T4844" s="3" t="b">
        <x:v>0</x:v>
      </x:c>
      <x:c r="U4844" s="2" t="str">
        <x:f>IF(T4844=TRUE,"Priority review",IF(R4844=TRUE,"High cost",IF(S4844=TRUE,"Low quality","Benchmark")))</x:f>
        <x:v>Benchmark</x:v>
      </x:c>
    </x:row>
    <x:row r="4845">
      <x:c r="A4845" s="2" t="str">
        <x:v>041318</x:v>
      </x:c>
      <x:c r="B4845" s="2" t="str">
        <x:v>MERCY HOSPITAL BOONEVILLE</x:v>
      </x:c>
      <x:c r="C4845" s="2" t="str">
        <x:v>BOONEVILLE</x:v>
      </x:c>
      <x:c r="D4845" s="2" t="str">
        <x:v>AR</x:v>
      </x:c>
      <x:c r="E4845" s="2" t="str">
        <x:v>Critical Access Hospitals</x:v>
      </x:c>
      <x:c r="F4845" s="2" t="str">
        <x:v>Voluntary non-profit</x:v>
      </x:c>
      <x:c r="G4845" s="2" t="str">
        <x:v>Small (&lt;100 beds)</x:v>
      </x:c>
      <x:c r="H4845" s="7" t="n">
        <x:v>4</x:v>
      </x:c>
      <x:c r="I4845" s="7"/>
      <x:c r="J4845" s="7"/>
      <x:c r="K4845" s="8" t="n">
        <x:v>12</x:v>
      </x:c>
      <x:c r="L4845" s="8" t="n">
        <x:v>461</x:v>
      </x:c>
      <x:c r="M4845" s="9" t="n">
        <x:v>0.5342465753</x:v>
      </x:c>
      <x:c r="N4845" s="10" t="n">
        <x:v>36586.0151843818</x:v>
      </x:c>
      <x:c r="O4845" s="9" t="n">
        <x:v>-0.1284958062</x:v>
      </x:c>
      <x:c r="P4845" s="9" t="n">
        <x:v>0.0178438662</x:v>
      </x:c>
      <x:c r="Q4845" s="9" t="n">
        <x:v>0.1657992565</x:v>
      </x:c>
      <x:c r="R4845" s="3" t="b">
        <x:v>0</x:v>
      </x:c>
      <x:c r="S4845" s="3" t="b">
        <x:v>0</x:v>
      </x:c>
      <x:c r="T4845" s="3" t="b">
        <x:v>0</x:v>
      </x:c>
      <x:c r="U4845" s="2" t="str">
        <x:f>IF(T4845=TRUE,"Priority review",IF(R4845=TRUE,"High cost",IF(S4845=TRUE,"Low quality","Benchmark")))</x:f>
        <x:v>Benchmark</x:v>
      </x:c>
    </x:row>
    <x:row r="4846">
      <x:c r="A4846" s="2" t="str">
        <x:v>100246</x:v>
      </x:c>
      <x:c r="B4846" s="2" t="str">
        <x:v>HCA FLORIDA LAWNWOOD HOSPITAL</x:v>
      </x:c>
      <x:c r="C4846" s="2" t="str">
        <x:v>FORT PIERCE</x:v>
      </x:c>
      <x:c r="D4846" s="2" t="str">
        <x:v>FL</x:v>
      </x:c>
      <x:c r="E4846" s="2" t="str">
        <x:v>Acute Care Hospitals</x:v>
      </x:c>
      <x:c r="F4846" s="2" t="str">
        <x:v>Proprietary</x:v>
      </x:c>
      <x:c r="G4846" s="2" t="str">
        <x:v>Large (300+ beds)</x:v>
      </x:c>
      <x:c r="H4846" s="7" t="n">
        <x:v>1</x:v>
      </x:c>
      <x:c r="I4846" s="7" t="n">
        <x:v>2</x:v>
      </x:c>
      <x:c r="J4846" s="7" t="n">
        <x:v>1.09</x:v>
      </x:c>
      <x:c r="K4846" s="8" t="n">
        <x:v>416</x:v>
      </x:c>
      <x:c r="L4846" s="8" t="n">
        <x:v>24848</x:v>
      </x:c>
      <x:c r="M4846" s="9" t="n">
        <x:v>0.8306913675</x:v>
      </x:c>
      <x:c r="N4846" s="10" t="n">
        <x:v>14841.0747343851</x:v>
      </x:c>
      <x:c r="O4846" s="9" t="n">
        <x:v>0.3970118543</x:v>
      </x:c>
      <x:c r="P4846" s="9" t="n">
        <x:v>0.0173501577</x:v>
      </x:c>
      <x:c r="Q4846" s="9" t="n">
        <x:v>0</x:v>
      </x:c>
      <x:c r="R4846" s="3" t="b">
        <x:v>0</x:v>
      </x:c>
      <x:c r="S4846" s="3" t="b">
        <x:v>1</x:v>
      </x:c>
      <x:c r="T4846" s="3" t="b">
        <x:v>0</x:v>
      </x:c>
      <x:c r="U4846" s="2" t="str">
        <x:f>IF(T4846=TRUE,"Priority review",IF(R4846=TRUE,"High cost",IF(S4846=TRUE,"Low quality","Benchmark")))</x:f>
        <x:v>Low quality</x:v>
      </x:c>
    </x:row>
    <x:row r="4847">
      <x:c r="A4847" s="2" t="str">
        <x:v>400007</x:v>
      </x:c>
      <x:c r="B4847" s="2" t="str">
        <x:v>RYDER MEMORIAL HOSPITAL INC</x:v>
      </x:c>
      <x:c r="C4847" s="2" t="str">
        <x:v>HUMACAO</x:v>
      </x:c>
      <x:c r="D4847" s="2" t="str">
        <x:v>PR</x:v>
      </x:c>
      <x:c r="E4847" s="2" t="str">
        <x:v>Acute Care Hospitals</x:v>
      </x:c>
      <x:c r="F4847" s="2" t="str">
        <x:v>Voluntary non-profit</x:v>
      </x:c>
      <x:c r="G4847" s="2" t="str">
        <x:v>Medium (100-299 beds)</x:v>
      </x:c>
      <x:c r="H4847" s="7"/>
      <x:c r="I4847" s="7"/>
      <x:c r="J4847" s="7"/>
      <x:c r="K4847" s="8" t="n">
        <x:v>165</x:v>
      </x:c>
      <x:c r="L4847" s="8" t="n">
        <x:v>4512</x:v>
      </x:c>
      <x:c r="M4847" s="9" t="n">
        <x:v>0.4613864674</x:v>
      </x:c>
      <x:c r="N4847" s="10" t="n">
        <x:v>10185.8871897163</x:v>
      </x:c>
      <x:c r="O4847" s="9" t="n">
        <x:v>-0.058099325</x:v>
      </x:c>
      <x:c r="P4847" s="9" t="n">
        <x:v>0.0171149144</x:v>
      </x:c>
      <x:c r="Q4847" s="9" t="n">
        <x:v>0.9616951915</x:v>
      </x:c>
      <x:c r="R4847" s="3" t="b">
        <x:v>0</x:v>
      </x:c>
      <x:c r="S4847" s="3" t="b">
        <x:v>0</x:v>
      </x:c>
      <x:c r="T4847" s="3" t="b">
        <x:v>0</x:v>
      </x:c>
      <x:c r="U4847" s="2" t="str">
        <x:f>IF(T4847=TRUE,"Priority review",IF(R4847=TRUE,"High cost",IF(S4847=TRUE,"Low quality","Benchmark")))</x:f>
        <x:v>Benchmark</x:v>
      </x:c>
    </x:row>
    <x:row r="4848">
      <x:c r="A4848" s="2" t="str">
        <x:v>451370</x:v>
      </x:c>
      <x:c r="B4848" s="2" t="str">
        <x:v>TMC- BONHAM HOSPITAL</x:v>
      </x:c>
      <x:c r="C4848" s="2" t="str">
        <x:v>BONHAM</x:v>
      </x:c>
      <x:c r="D4848" s="2" t="str">
        <x:v>TX</x:v>
      </x:c>
      <x:c r="E4848" s="2" t="str">
        <x:v>Critical Access Hospitals</x:v>
      </x:c>
      <x:c r="F4848" s="2" t="str">
        <x:v>Government</x:v>
      </x:c>
      <x:c r="G4848" s="2" t="str">
        <x:v>Small (&lt;100 beds)</x:v>
      </x:c>
      <x:c r="H4848" s="7"/>
      <x:c r="I4848" s="7"/>
      <x:c r="J4848" s="7"/>
      <x:c r="K4848" s="8" t="n">
        <x:v>25</x:v>
      </x:c>
      <x:c r="L4848" s="8" t="n">
        <x:v>415</x:v>
      </x:c>
      <x:c r="M4848" s="9" t="n">
        <x:v>0.614863388</x:v>
      </x:c>
      <x:c r="N4848" s="10" t="n">
        <x:v>36572.2674698795</x:v>
      </x:c>
      <x:c r="O4848" s="9" t="n">
        <x:v>-0.0959998995</x:v>
      </x:c>
      <x:c r="P4848" s="9" t="n">
        <x:v>0.0171003717</x:v>
      </x:c>
      <x:c r="Q4848" s="9" t="n">
        <x:v>0.292936803</x:v>
      </x:c>
      <x:c r="R4848" s="3" t="b">
        <x:v>0</x:v>
      </x:c>
      <x:c r="S4848" s="3" t="b">
        <x:v>0</x:v>
      </x:c>
      <x:c r="T4848" s="3" t="b">
        <x:v>0</x:v>
      </x:c>
      <x:c r="U4848" s="2" t="str">
        <x:f>IF(T4848=TRUE,"Priority review",IF(R4848=TRUE,"High cost",IF(S4848=TRUE,"Low quality","Benchmark")))</x:f>
        <x:v>Benchmark</x:v>
      </x:c>
    </x:row>
    <x:row r="4849">
      <x:c r="A4849" s="2" t="str">
        <x:v>050684</x:v>
      </x:c>
      <x:c r="B4849" s="2" t="str">
        <x:v>MENIFEE GLOBAL MEDICAL CENTER</x:v>
      </x:c>
      <x:c r="C4849" s="2" t="str">
        <x:v>SUN CITY</x:v>
      </x:c>
      <x:c r="D4849" s="2" t="str">
        <x:v>CA</x:v>
      </x:c>
      <x:c r="E4849" s="2" t="str">
        <x:v>Acute Care Hospitals</x:v>
      </x:c>
      <x:c r="F4849" s="2" t="str">
        <x:v>Proprietary</x:v>
      </x:c>
      <x:c r="G4849" s="2" t="str">
        <x:v>Small (&lt;100 beds)</x:v>
      </x:c>
      <x:c r="H4849" s="7"/>
      <x:c r="I4849" s="7" t="n">
        <x:v>1</x:v>
      </x:c>
      <x:c r="J4849" s="7" t="n">
        <x:v>1.13</x:v>
      </x:c>
      <x:c r="K4849" s="8" t="n">
        <x:v>84</x:v>
      </x:c>
      <x:c r="L4849" s="8" t="n">
        <x:v>3329</x:v>
      </x:c>
      <x:c r="M4849" s="9" t="n">
        <x:v>0.4767109029</x:v>
      </x:c>
      <x:c r="N4849" s="10" t="n">
        <x:v>16503.4163412436</x:v>
      </x:c>
      <x:c r="O4849" s="9" t="n">
        <x:v>-0.1245952937</x:v>
      </x:c>
      <x:c r="P4849" s="9" t="n">
        <x:v>0.0170556553</x:v>
      </x:c>
      <x:c r="Q4849" s="9" t="n">
        <x:v>0.697486535</x:v>
      </x:c>
      <x:c r="R4849" s="3" t="b">
        <x:v>0</x:v>
      </x:c>
      <x:c r="S4849" s="3" t="b">
        <x:v>0</x:v>
      </x:c>
      <x:c r="T4849" s="3" t="b">
        <x:v>0</x:v>
      </x:c>
      <x:c r="U4849" s="2" t="str">
        <x:f>IF(T4849=TRUE,"Priority review",IF(R4849=TRUE,"High cost",IF(S4849=TRUE,"Low quality","Benchmark")))</x:f>
        <x:v>Benchmark</x:v>
      </x:c>
    </x:row>
    <x:row r="4850">
      <x:c r="A4850" s="2" t="str">
        <x:v>041300</x:v>
      </x:c>
      <x:c r="B4850" s="2" t="str">
        <x:v>MERCY HOSPITAL PARIS</x:v>
      </x:c>
      <x:c r="C4850" s="2" t="str">
        <x:v>PARIS</x:v>
      </x:c>
      <x:c r="D4850" s="2" t="str">
        <x:v>AR</x:v>
      </x:c>
      <x:c r="E4850" s="2" t="str">
        <x:v>Critical Access Hospitals</x:v>
      </x:c>
      <x:c r="F4850" s="2" t="str">
        <x:v>Voluntary non-profit</x:v>
      </x:c>
      <x:c r="G4850" s="2" t="str">
        <x:v>Small (&lt;100 beds)</x:v>
      </x:c>
      <x:c r="H4850" s="7" t="n">
        <x:v>5</x:v>
      </x:c>
      <x:c r="I4850" s="7"/>
      <x:c r="J4850" s="7"/>
      <x:c r="K4850" s="8" t="n">
        <x:v>12</x:v>
      </x:c>
      <x:c r="L4850" s="8" t="n">
        <x:v>352</x:v>
      </x:c>
      <x:c r="M4850" s="9" t="n">
        <x:v>0.5214611872</x:v>
      </x:c>
      <x:c r="N4850" s="10" t="n">
        <x:v>36334.1647727273</x:v>
      </x:c>
      <x:c r="O4850" s="9" t="n">
        <x:v>-0.1037346762</x:v>
      </x:c>
      <x:c r="P4850" s="9" t="n">
        <x:v>0.0163568773</x:v>
      </x:c>
      <x:c r="Q4850" s="9" t="n">
        <x:v>0.2602230483</x:v>
      </x:c>
      <x:c r="R4850" s="3" t="b">
        <x:v>0</x:v>
      </x:c>
      <x:c r="S4850" s="3" t="b">
        <x:v>0</x:v>
      </x:c>
      <x:c r="T4850" s="3" t="b">
        <x:v>0</x:v>
      </x:c>
      <x:c r="U4850" s="2" t="str">
        <x:f>IF(T4850=TRUE,"Priority review",IF(R4850=TRUE,"High cost",IF(S4850=TRUE,"Low quality","Benchmark")))</x:f>
        <x:v>Benchmark</x:v>
      </x:c>
    </x:row>
    <x:row r="4851">
      <x:c r="A4851" s="2" t="str">
        <x:v>320006</x:v>
      </x:c>
      <x:c r="B4851" s="2" t="str">
        <x:v>EASTERN NEW MEXICO MEDICAL CENTER</x:v>
      </x:c>
      <x:c r="C4851" s="2" t="str">
        <x:v>ROSWELL</x:v>
      </x:c>
      <x:c r="D4851" s="2" t="str">
        <x:v>NM</x:v>
      </x:c>
      <x:c r="E4851" s="2" t="str">
        <x:v>Acute Care Hospitals</x:v>
      </x:c>
      <x:c r="F4851" s="2" t="str">
        <x:v>Proprietary</x:v>
      </x:c>
      <x:c r="G4851" s="2" t="str">
        <x:v>Medium (100-299 beds)</x:v>
      </x:c>
      <x:c r="H4851" s="7" t="n">
        <x:v>1</x:v>
      </x:c>
      <x:c r="I4851" s="7" t="n">
        <x:v>2</x:v>
      </x:c>
      <x:c r="J4851" s="7" t="n">
        <x:v>0.94</x:v>
      </x:c>
      <x:c r="K4851" s="8" t="n">
        <x:v>120</x:v>
      </x:c>
      <x:c r="L4851" s="8" t="n">
        <x:v>5182</x:v>
      </x:c>
      <x:c r="M4851" s="9" t="n">
        <x:v>0.4358447489</x:v>
      </x:c>
      <x:c r="N4851" s="10" t="n">
        <x:v>9758.5663836357</x:v>
      </x:c>
      <x:c r="O4851" s="9" t="n">
        <x:v>0.6894501044</x:v>
      </x:c>
      <x:c r="P4851" s="9" t="n">
        <x:v>0.0162999185</x:v>
      </x:c>
      <x:c r="Q4851" s="9" t="n">
        <x:v>0</x:v>
      </x:c>
      <x:c r="R4851" s="3" t="b">
        <x:v>0</x:v>
      </x:c>
      <x:c r="S4851" s="3" t="b">
        <x:v>1</x:v>
      </x:c>
      <x:c r="T4851" s="3" t="b">
        <x:v>0</x:v>
      </x:c>
      <x:c r="U4851" s="2" t="str">
        <x:f>IF(T4851=TRUE,"Priority review",IF(R4851=TRUE,"High cost",IF(S4851=TRUE,"Low quality","Benchmark")))</x:f>
        <x:v>Low quality</x:v>
      </x:c>
    </x:row>
    <x:row r="4852">
      <x:c r="A4852" s="2" t="str">
        <x:v>104079</x:v>
      </x:c>
      <x:c r="B4852" s="2" t="str">
        <x:v>LARKIN COMMUNITY HOSPITAL BEHAVIORAL HEALTH SRVS</x:v>
      </x:c>
      <x:c r="C4852" s="2" t="str">
        <x:v>HOLLYWOOD</x:v>
      </x:c>
      <x:c r="D4852" s="2" t="str">
        <x:v>FL</x:v>
      </x:c>
      <x:c r="E4852" s="2" t="str">
        <x:v>Psychiatric</x:v>
      </x:c>
      <x:c r="F4852" s="2" t="str">
        <x:v>Proprietary</x:v>
      </x:c>
      <x:c r="G4852" s="2" t="str">
        <x:v>Small (&lt;100 beds)</x:v>
      </x:c>
      <x:c r="H4852" s="7"/>
      <x:c r="I4852" s="7"/>
      <x:c r="J4852" s="7"/>
      <x:c r="K4852" s="8" t="n">
        <x:v>50</x:v>
      </x:c>
      <x:c r="L4852" s="8" t="n">
        <x:v>1904</x:v>
      </x:c>
      <x:c r="M4852" s="9" t="n">
        <x:v>0.8122404372</x:v>
      </x:c>
      <x:c r="N4852" s="10" t="n">
        <x:v>5157.8870798319</x:v>
      </x:c>
      <x:c r="O4852" s="9" t="n">
        <x:v>0.3648905349</x:v>
      </x:c>
      <x:c r="P4852" s="9" t="n">
        <x:v>0.0161812298</x:v>
      </x:c>
      <x:c r="Q4852" s="9" t="n">
        <x:v>0</x:v>
      </x:c>
      <x:c r="R4852" s="3" t="b">
        <x:v>0</x:v>
      </x:c>
      <x:c r="S4852" s="3" t="b">
        <x:v>0</x:v>
      </x:c>
      <x:c r="T4852" s="3" t="b">
        <x:v>0</x:v>
      </x:c>
      <x:c r="U4852" s="2" t="str">
        <x:f>IF(T4852=TRUE,"Priority review",IF(R4852=TRUE,"High cost",IF(S4852=TRUE,"Low quality","Benchmark")))</x:f>
        <x:v>Benchmark</x:v>
      </x:c>
    </x:row>
    <x:row r="4853">
      <x:c r="A4853" s="2" t="str">
        <x:v>440031</x:v>
      </x:c>
      <x:c r="B4853" s="2" t="str">
        <x:v>ROANE MEDICAL CENTER</x:v>
      </x:c>
      <x:c r="C4853" s="2" t="str">
        <x:v>HARRIMAN</x:v>
      </x:c>
      <x:c r="D4853" s="2" t="str">
        <x:v>TN</x:v>
      </x:c>
      <x:c r="E4853" s="2" t="str">
        <x:v>Acute Care Hospitals</x:v>
      </x:c>
      <x:c r="F4853" s="2" t="str">
        <x:v>Government</x:v>
      </x:c>
      <x:c r="G4853" s="2" t="str">
        <x:v>Small (&lt;100 beds)</x:v>
      </x:c>
      <x:c r="H4853" s="7" t="n">
        <x:v>4</x:v>
      </x:c>
      <x:c r="I4853" s="7" t="n">
        <x:v>4</x:v>
      </x:c>
      <x:c r="J4853" s="7" t="n">
        <x:v>0.87</x:v>
      </x:c>
      <x:c r="K4853" s="8" t="n">
        <x:v>52</x:v>
      </x:c>
      <x:c r="L4853" s="8" t="n">
        <x:v>2907</x:v>
      </x:c>
      <x:c r="M4853" s="9" t="n">
        <x:v>0.5577976818</x:v>
      </x:c>
      <x:c r="N4853" s="10" t="n">
        <x:v>15955.9109047128</x:v>
      </x:c>
      <x:c r="O4853" s="9" t="n">
        <x:v>0.029154074</x:v>
      </x:c>
      <x:c r="P4853" s="9" t="n">
        <x:v>0.0161579892</x:v>
      </x:c>
      <x:c r="Q4853" s="9" t="n">
        <x:v>0.3913824057</x:v>
      </x:c>
      <x:c r="R4853" s="3" t="b">
        <x:v>0</x:v>
      </x:c>
      <x:c r="S4853" s="3" t="b">
        <x:v>0</x:v>
      </x:c>
      <x:c r="T4853" s="3" t="b">
        <x:v>0</x:v>
      </x:c>
      <x:c r="U4853" s="2" t="str">
        <x:f>IF(T4853=TRUE,"Priority review",IF(R4853=TRUE,"High cost",IF(S4853=TRUE,"Low quality","Benchmark")))</x:f>
        <x:v>Benchmark</x:v>
      </x:c>
    </x:row>
    <x:row r="4854">
      <x:c r="A4854" s="2" t="str">
        <x:v>100204</x:v>
      </x:c>
      <x:c r="B4854" s="2" t="str">
        <x:v>HCA FLORIDA NORTH FLORIDA HOSPITAL</x:v>
      </x:c>
      <x:c r="C4854" s="2" t="str">
        <x:v>GAINESVILLE</x:v>
      </x:c>
      <x:c r="D4854" s="2" t="str">
        <x:v>FL</x:v>
      </x:c>
      <x:c r="E4854" s="2" t="str">
        <x:v>Acute Care Hospitals</x:v>
      </x:c>
      <x:c r="F4854" s="2" t="str">
        <x:v>Proprietary</x:v>
      </x:c>
      <x:c r="G4854" s="2" t="str">
        <x:v>Large (300+ beds)</x:v>
      </x:c>
      <x:c r="H4854" s="7" t="n">
        <x:v>3</x:v>
      </x:c>
      <x:c r="I4854" s="7" t="n">
        <x:v>2</x:v>
      </x:c>
      <x:c r="J4854" s="7" t="n">
        <x:v>1</x:v>
      </x:c>
      <x:c r="K4854" s="8" t="n">
        <x:v>472</x:v>
      </x:c>
      <x:c r="L4854" s="8" t="n">
        <x:v>34167</x:v>
      </x:c>
      <x:c r="M4854" s="9" t="n">
        <x:v>0.8626599579</x:v>
      </x:c>
      <x:c r="N4854" s="10" t="n">
        <x:v>14836.7492317148</x:v>
      </x:c>
      <x:c r="O4854" s="9" t="n">
        <x:v>0.3063157635</x:v>
      </x:c>
      <x:c r="P4854" s="9" t="n">
        <x:v>0.0157728707</x:v>
      </x:c>
      <x:c r="Q4854" s="9" t="n">
        <x:v>0.2570977918</x:v>
      </x:c>
      <x:c r="R4854" s="3" t="b">
        <x:v>0</x:v>
      </x:c>
      <x:c r="S4854" s="3" t="b">
        <x:v>0</x:v>
      </x:c>
      <x:c r="T4854" s="3" t="b">
        <x:v>0</x:v>
      </x:c>
      <x:c r="U4854" s="2" t="str">
        <x:f>IF(T4854=TRUE,"Priority review",IF(R4854=TRUE,"High cost",IF(S4854=TRUE,"Low quality","Benchmark")))</x:f>
        <x:v>Benchmark</x:v>
      </x:c>
    </x:row>
    <x:row r="4855">
      <x:c r="A4855" s="2" t="str">
        <x:v>041330</x:v>
      </x:c>
      <x:c r="B4855" s="2" t="str">
        <x:v>PIGGOTT COMMUNITY HOSPITAL</x:v>
      </x:c>
      <x:c r="C4855" s="2" t="str">
        <x:v>PIGGOTT</x:v>
      </x:c>
      <x:c r="D4855" s="2" t="str">
        <x:v>AR</x:v>
      </x:c>
      <x:c r="E4855" s="2" t="str">
        <x:v>Critical Access Hospitals</x:v>
      </x:c>
      <x:c r="F4855" s="2" t="str">
        <x:v>Government</x:v>
      </x:c>
      <x:c r="G4855" s="2" t="str">
        <x:v>Small (&lt;100 beds)</x:v>
      </x:c>
      <x:c r="H4855" s="7" t="n">
        <x:v>3</x:v>
      </x:c>
      <x:c r="I4855" s="7" t="n">
        <x:v>4</x:v>
      </x:c>
      <x:c r="J4855" s="7"/>
      <x:c r="K4855" s="8" t="n">
        <x:v>25</x:v>
      </x:c>
      <x:c r="L4855" s="8" t="n">
        <x:v>828</x:v>
      </x:c>
      <x:c r="M4855" s="9" t="n">
        <x:v>0.5374863388</x:v>
      </x:c>
      <x:c r="N4855" s="10" t="n">
        <x:v>35965.0314009662</x:v>
      </x:c>
      <x:c r="O4855" s="9" t="n">
        <x:v>-0.1643510275</x:v>
      </x:c>
      <x:c r="P4855" s="9" t="n">
        <x:v>0.0156133829</x:v>
      </x:c>
      <x:c r="Q4855" s="9" t="n">
        <x:v>0.0765799257</x:v>
      </x:c>
      <x:c r="R4855" s="3" t="b">
        <x:v>0</x:v>
      </x:c>
      <x:c r="S4855" s="3" t="b">
        <x:v>1</x:v>
      </x:c>
      <x:c r="T4855" s="3" t="b">
        <x:v>0</x:v>
      </x:c>
      <x:c r="U4855" s="2" t="str">
        <x:f>IF(T4855=TRUE,"Priority review",IF(R4855=TRUE,"High cost",IF(S4855=TRUE,"Low quality","Benchmark")))</x:f>
        <x:v>Low quality</x:v>
      </x:c>
    </x:row>
    <x:row r="4856">
      <x:c r="A4856" s="2" t="str">
        <x:v>400032</x:v>
      </x:c>
      <x:c r="B4856" s="2" t="str">
        <x:v>BAYAMON MEDICAL CENTER</x:v>
      </x:c>
      <x:c r="C4856" s="2" t="str">
        <x:v>BAYAMON</x:v>
      </x:c>
      <x:c r="D4856" s="2" t="str">
        <x:v>PR</x:v>
      </x:c>
      <x:c r="E4856" s="2" t="str">
        <x:v>Acute Care Hospitals</x:v>
      </x:c>
      <x:c r="F4856" s="2" t="str">
        <x:v>Proprietary</x:v>
      </x:c>
      <x:c r="G4856" s="2" t="str">
        <x:v>Medium (100-299 beds)</x:v>
      </x:c>
      <x:c r="H4856" s="7"/>
      <x:c r="I4856" s="7" t="n">
        <x:v>1</x:v>
      </x:c>
      <x:c r="J4856" s="7"/>
      <x:c r="K4856" s="8" t="n">
        <x:v>207</x:v>
      </x:c>
      <x:c r="L4856" s="8" t="n">
        <x:v>10036</x:v>
      </x:c>
      <x:c r="M4856" s="9" t="n">
        <x:v>0.7749267443</x:v>
      </x:c>
      <x:c r="N4856" s="10" t="n">
        <x:v>9698.4473893982</x:v>
      </x:c>
      <x:c r="O4856" s="9" t="n">
        <x:v>-0.00566896</x:v>
      </x:c>
      <x:c r="P4856" s="9" t="n">
        <x:v>0.0154849226</x:v>
      </x:c>
      <x:c r="Q4856" s="9" t="n">
        <x:v>0.9616951915</x:v>
      </x:c>
      <x:c r="R4856" s="3" t="b">
        <x:v>0</x:v>
      </x:c>
      <x:c r="S4856" s="3" t="b">
        <x:v>0</x:v>
      </x:c>
      <x:c r="T4856" s="3" t="b">
        <x:v>0</x:v>
      </x:c>
      <x:c r="U4856" s="2" t="str">
        <x:f>IF(T4856=TRUE,"Priority review",IF(R4856=TRUE,"High cost",IF(S4856=TRUE,"Low quality","Benchmark")))</x:f>
        <x:v>Benchmark</x:v>
      </x:c>
    </x:row>
    <x:row r="4857">
      <x:c r="A4857" s="2" t="str">
        <x:v>440184</x:v>
      </x:c>
      <x:c r="B4857" s="2" t="str">
        <x:v>FRANKLIN WOODS COMMUNITY HOSPITAL</x:v>
      </x:c>
      <x:c r="C4857" s="2" t="str">
        <x:v>JOHNSON CITY</x:v>
      </x:c>
      <x:c r="D4857" s="2" t="str">
        <x:v>TN</x:v>
      </x:c>
      <x:c r="E4857" s="2" t="str">
        <x:v>Acute Care Hospitals</x:v>
      </x:c>
      <x:c r="F4857" s="2" t="str">
        <x:v>Voluntary non-profit</x:v>
      </x:c>
      <x:c r="G4857" s="2" t="str">
        <x:v>Small (&lt;100 beds)</x:v>
      </x:c>
      <x:c r="H4857" s="7" t="n">
        <x:v>3</x:v>
      </x:c>
      <x:c r="I4857" s="7" t="n">
        <x:v>4</x:v>
      </x:c>
      <x:c r="J4857" s="7" t="n">
        <x:v>0.95</x:v>
      </x:c>
      <x:c r="K4857" s="8" t="n">
        <x:v>80</x:v>
      </x:c>
      <x:c r="L4857" s="8" t="n">
        <x:v>7024</x:v>
      </x:c>
      <x:c r="M4857" s="9" t="n">
        <x:v>0.9191438356</x:v>
      </x:c>
      <x:c r="N4857" s="10" t="n">
        <x:v>15648.9187072893</x:v>
      </x:c>
      <x:c r="O4857" s="9" t="n">
        <x:v>0.1776724917</x:v>
      </x:c>
      <x:c r="P4857" s="9" t="n">
        <x:v>0.0152603232</x:v>
      </x:c>
      <x:c r="Q4857" s="9" t="n">
        <x:v>0.1687612208</x:v>
      </x:c>
      <x:c r="R4857" s="3" t="b">
        <x:v>0</x:v>
      </x:c>
      <x:c r="S4857" s="3" t="b">
        <x:v>0</x:v>
      </x:c>
      <x:c r="T4857" s="3" t="b">
        <x:v>0</x:v>
      </x:c>
      <x:c r="U4857" s="2" t="str">
        <x:f>IF(T4857=TRUE,"Priority review",IF(R4857=TRUE,"High cost",IF(S4857=TRUE,"Low quality","Benchmark")))</x:f>
        <x:v>Benchmark</x:v>
      </x:c>
    </x:row>
    <x:row r="4858">
      <x:c r="A4858" s="2" t="str">
        <x:v>424008</x:v>
      </x:c>
      <x:c r="B4858" s="2" t="str">
        <x:v>THREE RIVERS BEHAVIORAL HEALTH</x:v>
      </x:c>
      <x:c r="C4858" s="2" t="str">
        <x:v>WEST COLUMBIA</x:v>
      </x:c>
      <x:c r="D4858" s="2" t="str">
        <x:v>SC</x:v>
      </x:c>
      <x:c r="E4858" s="2" t="str">
        <x:v>Psychiatric</x:v>
      </x:c>
      <x:c r="F4858" s="2" t="str">
        <x:v>Proprietary</x:v>
      </x:c>
      <x:c r="G4858" s="2" t="str">
        <x:v>Medium (100-299 beds)</x:v>
      </x:c>
      <x:c r="H4858" s="7"/>
      <x:c r="I4858" s="7"/>
      <x:c r="J4858" s="7"/>
      <x:c r="K4858" s="8" t="n">
        <x:v>132</x:v>
      </x:c>
      <x:c r="L4858" s="8" t="n">
        <x:v>4693</x:v>
      </x:c>
      <x:c r="M4858" s="9" t="n">
        <x:v>0.7540983607</x:v>
      </x:c>
      <x:c r="N4858" s="10" t="n">
        <x:v>4733.7711485191</x:v>
      </x:c>
      <x:c r="O4858" s="9" t="n">
        <x:v>0.1043843008</x:v>
      </x:c>
      <x:c r="P4858" s="9" t="n">
        <x:v>0.0149253731</x:v>
      </x:c>
      <x:c r="Q4858" s="9" t="n">
        <x:v>0</x:v>
      </x:c>
      <x:c r="R4858" s="3" t="b">
        <x:v>0</x:v>
      </x:c>
      <x:c r="S4858" s="3" t="b">
        <x:v>0</x:v>
      </x:c>
      <x:c r="T4858" s="3" t="b">
        <x:v>0</x:v>
      </x:c>
      <x:c r="U4858" s="2" t="str">
        <x:f>IF(T4858=TRUE,"Priority review",IF(R4858=TRUE,"High cost",IF(S4858=TRUE,"Low quality","Benchmark")))</x:f>
        <x:v>Benchmark</x:v>
      </x:c>
    </x:row>
    <x:row r="4859">
      <x:c r="A4859" s="2" t="str">
        <x:v>361312</x:v>
      </x:c>
      <x:c r="B4859" s="2" t="str">
        <x:v>MERCY HEALTH - URBANA HOSPITAL</x:v>
      </x:c>
      <x:c r="C4859" s="2" t="str">
        <x:v>URBANA</x:v>
      </x:c>
      <x:c r="D4859" s="2" t="str">
        <x:v>OH</x:v>
      </x:c>
      <x:c r="E4859" s="2" t="str">
        <x:v>Critical Access Hospitals</x:v>
      </x:c>
      <x:c r="F4859" s="2" t="str">
        <x:v>Voluntary non-profit</x:v>
      </x:c>
      <x:c r="G4859" s="2" t="str">
        <x:v>Small (&lt;100 beds)</x:v>
      </x:c>
      <x:c r="H4859" s="7" t="n">
        <x:v>4</x:v>
      </x:c>
      <x:c r="I4859" s="7"/>
      <x:c r="J4859" s="7"/>
      <x:c r="K4859" s="8" t="n">
        <x:v>25</x:v>
      </x:c>
      <x:c r="L4859" s="8" t="n">
        <x:v>781</x:v>
      </x:c>
      <x:c r="M4859" s="9" t="n">
        <x:v>0.3805464481</x:v>
      </x:c>
      <x:c r="N4859" s="10" t="n">
        <x:v>35588.8642765685</x:v>
      </x:c>
      <x:c r="O4859" s="9" t="n">
        <x:v>-0.0341078572</x:v>
      </x:c>
      <x:c r="P4859" s="9" t="n">
        <x:v>0.0148698885</x:v>
      </x:c>
      <x:c r="Q4859" s="9" t="n">
        <x:v>0.1657992565</x:v>
      </x:c>
      <x:c r="R4859" s="3" t="b">
        <x:v>0</x:v>
      </x:c>
      <x:c r="S4859" s="3" t="b">
        <x:v>0</x:v>
      </x:c>
      <x:c r="T4859" s="3" t="b">
        <x:v>0</x:v>
      </x:c>
      <x:c r="U4859" s="2" t="str">
        <x:f>IF(T4859=TRUE,"Priority review",IF(R4859=TRUE,"High cost",IF(S4859=TRUE,"Low quality","Benchmark")))</x:f>
        <x:v>Benchmark</x:v>
      </x:c>
    </x:row>
    <x:row r="4860">
      <x:c r="A4860" s="2" t="str">
        <x:v>400114</x:v>
      </x:c>
      <x:c r="B4860" s="2" t="str">
        <x:v>MANATI MEDICAL CENTER DR OTERO LOPEZ</x:v>
      </x:c>
      <x:c r="C4860" s="2" t="str">
        <x:v>MANATI</x:v>
      </x:c>
      <x:c r="D4860" s="2" t="str">
        <x:v>PR</x:v>
      </x:c>
      <x:c r="E4860" s="2" t="str">
        <x:v>Acute Care Hospitals</x:v>
      </x:c>
      <x:c r="F4860" s="2" t="str">
        <x:v>Voluntary non-profit</x:v>
      </x:c>
      <x:c r="G4860" s="2" t="str">
        <x:v>Medium (100-299 beds)</x:v>
      </x:c>
      <x:c r="H4860" s="7" t="n">
        <x:v>1</x:v>
      </x:c>
      <x:c r="I4860" s="7" t="n">
        <x:v>2</x:v>
      </x:c>
      <x:c r="J4860" s="7"/>
      <x:c r="K4860" s="8" t="n">
        <x:v>259</x:v>
      </x:c>
      <x:c r="L4860" s="8" t="n">
        <x:v>15035</x:v>
      </x:c>
      <x:c r="M4860" s="9" t="n">
        <x:v>0.8665738338</x:v>
      </x:c>
      <x:c r="N4860" s="10" t="n">
        <x:v>9671.0875290988</x:v>
      </x:c>
      <x:c r="O4860" s="9" t="n">
        <x:v>-0.0013107372</x:v>
      </x:c>
      <x:c r="P4860" s="9" t="n">
        <x:v>0.0146699267</x:v>
      </x:c>
      <x:c r="Q4860" s="9" t="n">
        <x:v>0</x:v>
      </x:c>
      <x:c r="R4860" s="3" t="b">
        <x:v>0</x:v>
      </x:c>
      <x:c r="S4860" s="3" t="b">
        <x:v>1</x:v>
      </x:c>
      <x:c r="T4860" s="3" t="b">
        <x:v>0</x:v>
      </x:c>
      <x:c r="U4860" s="2" t="str">
        <x:f>IF(T4860=TRUE,"Priority review",IF(R4860=TRUE,"High cost",IF(S4860=TRUE,"Low quality","Benchmark")))</x:f>
        <x:v>Low quality</x:v>
      </x:c>
    </x:row>
    <x:row r="4861">
      <x:c r="A4861" s="2" t="str">
        <x:v>100267</x:v>
      </x:c>
      <x:c r="B4861" s="2" t="str">
        <x:v>HCA FLORIDA ENGLEWOOD HOSPITAL</x:v>
      </x:c>
      <x:c r="C4861" s="2" t="str">
        <x:v>ENGLEWOOD</x:v>
      </x:c>
      <x:c r="D4861" s="2" t="str">
        <x:v>FL</x:v>
      </x:c>
      <x:c r="E4861" s="2" t="str">
        <x:v>Acute Care Hospitals</x:v>
      </x:c>
      <x:c r="F4861" s="2" t="str">
        <x:v>Proprietary</x:v>
      </x:c>
      <x:c r="G4861" s="2" t="str">
        <x:v>Small (&lt;100 beds)</x:v>
      </x:c>
      <x:c r="H4861" s="7" t="n">
        <x:v>3</x:v>
      </x:c>
      <x:c r="I4861" s="7" t="n">
        <x:v>2</x:v>
      </x:c>
      <x:c r="J4861" s="7" t="n">
        <x:v>1.01</x:v>
      </x:c>
      <x:c r="K4861" s="8" t="n">
        <x:v>88</x:v>
      </x:c>
      <x:c r="L4861" s="8" t="n">
        <x:v>4451</x:v>
      </x:c>
      <x:c r="M4861" s="9" t="n">
        <x:v>0.4354977074</x:v>
      </x:c>
      <x:c r="N4861" s="10" t="n">
        <x:v>15331.6807458998</x:v>
      </x:c>
      <x:c r="O4861" s="9" t="n">
        <x:v>0.1586102204</x:v>
      </x:c>
      <x:c r="P4861" s="9" t="n">
        <x:v>0.0143626571</x:v>
      </x:c>
      <x:c r="Q4861" s="9" t="n">
        <x:v>0.1687612208</x:v>
      </x:c>
      <x:c r="R4861" s="3" t="b">
        <x:v>0</x:v>
      </x:c>
      <x:c r="S4861" s="3" t="b">
        <x:v>0</x:v>
      </x:c>
      <x:c r="T4861" s="3" t="b">
        <x:v>0</x:v>
      </x:c>
      <x:c r="U4861" s="2" t="str">
        <x:f>IF(T4861=TRUE,"Priority review",IF(R4861=TRUE,"High cost",IF(S4861=TRUE,"Low quality","Benchmark")))</x:f>
        <x:v>Benchmark</x:v>
      </x:c>
    </x:row>
    <x:row r="4862">
      <x:c r="A4862" s="2" t="str">
        <x:v>450617</x:v>
      </x:c>
      <x:c r="B4862" s="2" t="str">
        <x:v>HCA HOUSTON HEALTHCARE CLEAR LAKE</x:v>
      </x:c>
      <x:c r="C4862" s="2" t="str">
        <x:v>WEBSTER</x:v>
      </x:c>
      <x:c r="D4862" s="2" t="str">
        <x:v>TX</x:v>
      </x:c>
      <x:c r="E4862" s="2" t="str">
        <x:v>Acute Care Hospitals</x:v>
      </x:c>
      <x:c r="F4862" s="2" t="str">
        <x:v>Proprietary</x:v>
      </x:c>
      <x:c r="G4862" s="2" t="str">
        <x:v>Large (300+ beds)</x:v>
      </x:c>
      <x:c r="H4862" s="7" t="n">
        <x:v>4</x:v>
      </x:c>
      <x:c r="I4862" s="7" t="n">
        <x:v>2</x:v>
      </x:c>
      <x:c r="J4862" s="7" t="n">
        <x:v>1.06</x:v>
      </x:c>
      <x:c r="K4862" s="8" t="n">
        <x:v>530</x:v>
      </x:c>
      <x:c r="L4862" s="8" t="n">
        <x:v>34608</x:v>
      </x:c>
      <x:c r="M4862" s="9" t="n">
        <x:v>0.8091100688</x:v>
      </x:c>
      <x:c r="N4862" s="10" t="n">
        <x:v>14141.1060448451</x:v>
      </x:c>
      <x:c r="O4862" s="9" t="n">
        <x:v>0.3851577569</x:v>
      </x:c>
      <x:c r="P4862" s="9" t="n">
        <x:v>0.0141955836</x:v>
      </x:c>
      <x:c r="Q4862" s="9" t="n">
        <x:v>0.5899053628</x:v>
      </x:c>
      <x:c r="R4862" s="3" t="b">
        <x:v>0</x:v>
      </x:c>
      <x:c r="S4862" s="3" t="b">
        <x:v>0</x:v>
      </x:c>
      <x:c r="T4862" s="3" t="b">
        <x:v>0</x:v>
      </x:c>
      <x:c r="U4862" s="2" t="str">
        <x:f>IF(T4862=TRUE,"Priority review",IF(R4862=TRUE,"High cost",IF(S4862=TRUE,"Low quality","Benchmark")))</x:f>
        <x:v>Benchmark</x:v>
      </x:c>
    </x:row>
    <x:row r="4863">
      <x:c r="A4863" s="2" t="str">
        <x:v>201316</x:v>
      </x:c>
      <x:c r="B4863" s="2" t="str">
        <x:v>MAINEHEALTH FRANKLIN HOSPITAL</x:v>
      </x:c>
      <x:c r="C4863" s="2" t="str">
        <x:v>FARMINGTON</x:v>
      </x:c>
      <x:c r="D4863" s="2" t="str">
        <x:v>ME</x:v>
      </x:c>
      <x:c r="E4863" s="2" t="str">
        <x:v>Critical Access Hospitals</x:v>
      </x:c>
      <x:c r="F4863" s="2" t="str">
        <x:v>Voluntary non-profit</x:v>
      </x:c>
      <x:c r="G4863" s="2" t="str">
        <x:v>Small (&lt;100 beds)</x:v>
      </x:c>
      <x:c r="H4863" s="7" t="n">
        <x:v>3</x:v>
      </x:c>
      <x:c r="I4863" s="7" t="n">
        <x:v>4</x:v>
      </x:c>
      <x:c r="J4863" s="7"/>
      <x:c r="K4863" s="8" t="n">
        <x:v>25</x:v>
      </x:c>
      <x:c r="L4863" s="8" t="n">
        <x:v>1050</x:v>
      </x:c>
      <x:c r="M4863" s="9" t="n">
        <x:v>0.7447826087</x:v>
      </x:c>
      <x:c r="N4863" s="10" t="n">
        <x:v>34883.1504761905</x:v>
      </x:c>
      <x:c r="O4863" s="9" t="n">
        <x:v>-0.0669790798</x:v>
      </x:c>
      <x:c r="P4863" s="9" t="n">
        <x:v>0.0141263941</x:v>
      </x:c>
      <x:c r="Q4863" s="9" t="n">
        <x:v>0.0765799257</x:v>
      </x:c>
      <x:c r="R4863" s="3" t="b">
        <x:v>0</x:v>
      </x:c>
      <x:c r="S4863" s="3" t="b">
        <x:v>1</x:v>
      </x:c>
      <x:c r="T4863" s="3" t="b">
        <x:v>0</x:v>
      </x:c>
      <x:c r="U4863" s="2" t="str">
        <x:f>IF(T4863=TRUE,"Priority review",IF(R4863=TRUE,"High cost",IF(S4863=TRUE,"Low quality","Benchmark")))</x:f>
        <x:v>Low quality</x:v>
      </x:c>
    </x:row>
    <x:row r="4864">
      <x:c r="A4864" s="2" t="str">
        <x:v>400001</x:v>
      </x:c>
      <x:c r="B4864" s="2" t="str">
        <x:v>PRESBYTERIAN COMMUNITY HOSPITAL</x:v>
      </x:c>
      <x:c r="C4864" s="2" t="str">
        <x:v>SAN JUAN</x:v>
      </x:c>
      <x:c r="D4864" s="2" t="str">
        <x:v>PR</x:v>
      </x:c>
      <x:c r="E4864" s="2" t="str">
        <x:v>Acute Care Hospitals</x:v>
      </x:c>
      <x:c r="F4864" s="2" t="str">
        <x:v>Voluntary non-profit</x:v>
      </x:c>
      <x:c r="G4864" s="2" t="str">
        <x:v>Medium (100-299 beds)</x:v>
      </x:c>
      <x:c r="H4864" s="7"/>
      <x:c r="I4864" s="7"/>
      <x:c r="J4864" s="7"/>
      <x:c r="K4864" s="8" t="n">
        <x:v>173</x:v>
      </x:c>
      <x:c r="L4864" s="8" t="n">
        <x:v>8402</x:v>
      </x:c>
      <x:c r="M4864" s="9" t="n">
        <x:v>0.6794362182</x:v>
      </x:c>
      <x:c r="N4864" s="10" t="n">
        <x:v>9559.2864794097</x:v>
      </x:c>
      <x:c r="O4864" s="9" t="n">
        <x:v>-0.1048600478</x:v>
      </x:c>
      <x:c r="P4864" s="9" t="n">
        <x:v>0.0138549307</x:v>
      </x:c>
      <x:c r="Q4864" s="9" t="n">
        <x:v>0.9616951915</x:v>
      </x:c>
      <x:c r="R4864" s="3" t="b">
        <x:v>0</x:v>
      </x:c>
      <x:c r="S4864" s="3" t="b">
        <x:v>0</x:v>
      </x:c>
      <x:c r="T4864" s="3" t="b">
        <x:v>0</x:v>
      </x:c>
      <x:c r="U4864" s="2" t="str">
        <x:f>IF(T4864=TRUE,"Priority review",IF(R4864=TRUE,"High cost",IF(S4864=TRUE,"Low quality","Benchmark")))</x:f>
        <x:v>Benchmark</x:v>
      </x:c>
    </x:row>
    <x:row r="4865">
      <x:c r="A4865" s="2" t="str">
        <x:v>400005</x:v>
      </x:c>
      <x:c r="B4865" s="2" t="str">
        <x:v>HOPE MEDICAL CENTER</x:v>
      </x:c>
      <x:c r="C4865" s="2" t="str">
        <x:v>HUMACAO</x:v>
      </x:c>
      <x:c r="D4865" s="2" t="str">
        <x:v>PR</x:v>
      </x:c>
      <x:c r="E4865" s="2" t="str">
        <x:v>Acute Care Hospitals</x:v>
      </x:c>
      <x:c r="F4865" s="2" t="str">
        <x:v>Voluntary non-profit</x:v>
      </x:c>
      <x:c r="G4865" s="2" t="str">
        <x:v>Small (&lt;100 beds)</x:v>
      </x:c>
      <x:c r="H4865" s="7"/>
      <x:c r="I4865" s="7"/>
      <x:c r="J4865" s="7"/>
      <x:c r="K4865" s="8" t="n">
        <x:v>48</x:v>
      </x:c>
      <x:c r="L4865" s="8" t="n">
        <x:v>1026</x:v>
      </x:c>
      <x:c r="M4865" s="9" t="n">
        <x:v>0.4996212121</x:v>
      </x:c>
      <x:c r="N4865" s="10" t="n">
        <x:v>15303.9639376218</x:v>
      </x:c>
      <x:c r="O4865" s="9" t="n">
        <x:v>-0.3158755843</x:v>
      </x:c>
      <x:c r="P4865" s="9" t="n">
        <x:v>0.013464991</x:v>
      </x:c>
      <x:c r="Q4865" s="9" t="n">
        <x:v>0.697486535</x:v>
      </x:c>
      <x:c r="R4865" s="3" t="b">
        <x:v>0</x:v>
      </x:c>
      <x:c r="S4865" s="3" t="b">
        <x:v>0</x:v>
      </x:c>
      <x:c r="T4865" s="3" t="b">
        <x:v>0</x:v>
      </x:c>
      <x:c r="U4865" s="2" t="str">
        <x:f>IF(T4865=TRUE,"Priority review",IF(R4865=TRUE,"High cost",IF(S4865=TRUE,"Low quality","Benchmark")))</x:f>
        <x:v>Benchmark</x:v>
      </x:c>
    </x:row>
    <x:row r="4866">
      <x:c r="A4866" s="2" t="str">
        <x:v>341329</x:v>
      </x:c>
      <x:c r="B4866" s="2" t="str">
        <x:v>BLUE RIDGE REGIONAL HOSPITAL</x:v>
      </x:c>
      <x:c r="C4866" s="2" t="str">
        <x:v>SPRUCE PINE</x:v>
      </x:c>
      <x:c r="D4866" s="2" t="str">
        <x:v>NC</x:v>
      </x:c>
      <x:c r="E4866" s="2" t="str">
        <x:v>Critical Access Hospitals</x:v>
      </x:c>
      <x:c r="F4866" s="2" t="str">
        <x:v>Voluntary non-profit</x:v>
      </x:c>
      <x:c r="G4866" s="2" t="str">
        <x:v>Small (&lt;100 beds)</x:v>
      </x:c>
      <x:c r="H4866" s="7" t="n">
        <x:v>3</x:v>
      </x:c>
      <x:c r="I4866" s="7" t="n">
        <x:v>4</x:v>
      </x:c>
      <x:c r="J4866" s="7"/>
      <x:c r="K4866" s="8" t="n">
        <x:v>25</x:v>
      </x:c>
      <x:c r="L4866" s="8" t="n">
        <x:v>1764</x:v>
      </x:c>
      <x:c r="M4866" s="9" t="n">
        <x:v>0.6079781421</x:v>
      </x:c>
      <x:c r="N4866" s="10" t="n">
        <x:v>34875.0839002268</x:v>
      </x:c>
      <x:c r="O4866" s="9" t="n">
        <x:v>-0.2549217867</x:v>
      </x:c>
      <x:c r="P4866" s="9" t="n">
        <x:v>0.0133828996</x:v>
      </x:c>
      <x:c r="Q4866" s="9" t="n">
        <x:v>0.0765799257</x:v>
      </x:c>
      <x:c r="R4866" s="3" t="b">
        <x:v>0</x:v>
      </x:c>
      <x:c r="S4866" s="3" t="b">
        <x:v>1</x:v>
      </x:c>
      <x:c r="T4866" s="3" t="b">
        <x:v>0</x:v>
      </x:c>
      <x:c r="U4866" s="2" t="str">
        <x:f>IF(T4866=TRUE,"Priority review",IF(R4866=TRUE,"High cost",IF(S4866=TRUE,"Low quality","Benchmark")))</x:f>
        <x:v>Low quality</x:v>
      </x:c>
    </x:row>
    <x:row r="4867">
      <x:c r="A4867" s="2" t="str">
        <x:v>400048</x:v>
      </x:c>
      <x:c r="B4867" s="2" t="str">
        <x:v>HOSPITAL MENONITA GUAYAMA</x:v>
      </x:c>
      <x:c r="C4867" s="2" t="str">
        <x:v>GUAYAMA</x:v>
      </x:c>
      <x:c r="D4867" s="2" t="str">
        <x:v>PR</x:v>
      </x:c>
      <x:c r="E4867" s="2" t="str">
        <x:v>Acute Care Hospitals</x:v>
      </x:c>
      <x:c r="F4867" s="2" t="str">
        <x:v>Voluntary non-profit</x:v>
      </x:c>
      <x:c r="G4867" s="2" t="str">
        <x:v>Medium (100-299 beds)</x:v>
      </x:c>
      <x:c r="H4867" s="7"/>
      <x:c r="I4867" s="7"/>
      <x:c r="J4867" s="7"/>
      <x:c r="K4867" s="8" t="n">
        <x:v>155</x:v>
      </x:c>
      <x:c r="L4867" s="8" t="n">
        <x:v>7246</x:v>
      </x:c>
      <x:c r="M4867" s="9" t="n">
        <x:v>0.6400883783</x:v>
      </x:c>
      <x:c r="N4867" s="10" t="n">
        <x:v>9348.2162572454</x:v>
      </x:c>
      <x:c r="O4867" s="9" t="n">
        <x:v>0.1261043504</x:v>
      </x:c>
      <x:c r="P4867" s="9" t="n">
        <x:v>0.0130399348</x:v>
      </x:c>
      <x:c r="Q4867" s="9" t="n">
        <x:v>0.9616951915</x:v>
      </x:c>
      <x:c r="R4867" s="3" t="b">
        <x:v>0</x:v>
      </x:c>
      <x:c r="S4867" s="3" t="b">
        <x:v>0</x:v>
      </x:c>
      <x:c r="T4867" s="3" t="b">
        <x:v>0</x:v>
      </x:c>
      <x:c r="U4867" s="2" t="str">
        <x:f>IF(T4867=TRUE,"Priority review",IF(R4867=TRUE,"High cost",IF(S4867=TRUE,"Low quality","Benchmark")))</x:f>
        <x:v>Benchmark</x:v>
      </x:c>
    </x:row>
    <x:row r="4868">
      <x:c r="A4868" s="2" t="str">
        <x:v>044004</x:v>
      </x:c>
      <x:c r="B4868" s="2" t="str">
        <x:v>VISTA HEALTH FAYETTEVILLE</x:v>
      </x:c>
      <x:c r="C4868" s="2" t="str">
        <x:v>FAYETTEVILLE</x:v>
      </x:c>
      <x:c r="D4868" s="2" t="str">
        <x:v>AR</x:v>
      </x:c>
      <x:c r="E4868" s="2" t="str">
        <x:v>Psychiatric</x:v>
      </x:c>
      <x:c r="F4868" s="2" t="str">
        <x:v>Proprietary</x:v>
      </x:c>
      <x:c r="G4868" s="2" t="str">
        <x:v>Small (&lt;100 beds)</x:v>
      </x:c>
      <x:c r="H4868" s="7"/>
      <x:c r="I4868" s="7"/>
      <x:c r="J4868" s="7"/>
      <x:c r="K4868" s="8" t="n">
        <x:v>72</x:v>
      </x:c>
      <x:c r="L4868" s="8" t="n">
        <x:v>5463</x:v>
      </x:c>
      <x:c r="M4868" s="9" t="n">
        <x:v>0.9732468124</x:v>
      </x:c>
      <x:c r="N4868" s="10" t="n">
        <x:v>4851.7049240344</x:v>
      </x:c>
      <x:c r="O4868" s="9" t="n">
        <x:v>-0.0263162307</x:v>
      </x:c>
      <x:c r="P4868" s="9" t="n">
        <x:v>0.0129449838</x:v>
      </x:c>
      <x:c r="Q4868" s="9" t="n">
        <x:v>0</x:v>
      </x:c>
      <x:c r="R4868" s="3" t="b">
        <x:v>0</x:v>
      </x:c>
      <x:c r="S4868" s="3" t="b">
        <x:v>0</x:v>
      </x:c>
      <x:c r="T4868" s="3" t="b">
        <x:v>0</x:v>
      </x:c>
      <x:c r="U4868" s="2" t="str">
        <x:f>IF(T4868=TRUE,"Priority review",IF(R4868=TRUE,"High cost",IF(S4868=TRUE,"Low quality","Benchmark")))</x:f>
        <x:v>Benchmark</x:v>
      </x:c>
    </x:row>
    <x:row r="4869">
      <x:c r="A4869" s="2" t="str">
        <x:v>371310</x:v>
      </x:c>
      <x:c r="B4869" s="2" t="str">
        <x:v>MERCY HOSPITAL HEALDTON, INC.</x:v>
      </x:c>
      <x:c r="C4869" s="2" t="str">
        <x:v>HEALDTON</x:v>
      </x:c>
      <x:c r="D4869" s="2" t="str">
        <x:v>OK</x:v>
      </x:c>
      <x:c r="E4869" s="2" t="str">
        <x:v>Critical Access Hospitals</x:v>
      </x:c>
      <x:c r="F4869" s="2" t="str">
        <x:v>Voluntary non-profit</x:v>
      </x:c>
      <x:c r="G4869" s="2" t="str">
        <x:v>Small (&lt;100 beds)</x:v>
      </x:c>
      <x:c r="H4869" s="7"/>
      <x:c r="I4869" s="7"/>
      <x:c r="J4869" s="7"/>
      <x:c r="K4869" s="8" t="n">
        <x:v>22</x:v>
      </x:c>
      <x:c r="L4869" s="8" t="n">
        <x:v>288</x:v>
      </x:c>
      <x:c r="M4869" s="9" t="n">
        <x:v>0.3610211706</x:v>
      </x:c>
      <x:c r="N4869" s="10" t="n">
        <x:v>33976.2847222222</x:v>
      </x:c>
      <x:c r="O4869" s="9" t="n">
        <x:v>0.2899522625</x:v>
      </x:c>
      <x:c r="P4869" s="9" t="n">
        <x:v>0.0126394052</x:v>
      </x:c>
      <x:c r="Q4869" s="9" t="n">
        <x:v>0.292936803</x:v>
      </x:c>
      <x:c r="R4869" s="3" t="b">
        <x:v>0</x:v>
      </x:c>
      <x:c r="S4869" s="3" t="b">
        <x:v>0</x:v>
      </x:c>
      <x:c r="T4869" s="3" t="b">
        <x:v>0</x:v>
      </x:c>
      <x:c r="U4869" s="2" t="str">
        <x:f>IF(T4869=TRUE,"Priority review",IF(R4869=TRUE,"High cost",IF(S4869=TRUE,"Low quality","Benchmark")))</x:f>
        <x:v>Benchmark</x:v>
      </x:c>
    </x:row>
    <x:row r="4870">
      <x:c r="A4870" s="2" t="str">
        <x:v>100209</x:v>
      </x:c>
      <x:c r="B4870" s="2" t="str">
        <x:v>HCA FLORIDA KENDALL HOSPITAL</x:v>
      </x:c>
      <x:c r="C4870" s="2" t="str">
        <x:v>MIAMI</x:v>
      </x:c>
      <x:c r="D4870" s="2" t="str">
        <x:v>FL</x:v>
      </x:c>
      <x:c r="E4870" s="2" t="str">
        <x:v>Acute Care Hospitals</x:v>
      </x:c>
      <x:c r="F4870" s="2" t="str">
        <x:v>Proprietary</x:v>
      </x:c>
      <x:c r="G4870" s="2" t="str">
        <x:v>Large (300+ beds)</x:v>
      </x:c>
      <x:c r="H4870" s="7" t="n">
        <x:v>4</x:v>
      </x:c>
      <x:c r="I4870" s="7" t="n">
        <x:v>2</x:v>
      </x:c>
      <x:c r="J4870" s="7" t="n">
        <x:v>1.06</x:v>
      </x:c>
      <x:c r="K4870" s="8" t="n">
        <x:v>424</x:v>
      </x:c>
      <x:c r="L4870" s="8" t="n">
        <x:v>22239</x:v>
      </x:c>
      <x:c r="M4870" s="9" t="n">
        <x:v>0.6633397464</x:v>
      </x:c>
      <x:c r="N4870" s="10" t="n">
        <x:v>14092.8018346149</x:v>
      </x:c>
      <x:c r="O4870" s="9" t="n">
        <x:v>0.5365238137</x:v>
      </x:c>
      <x:c r="P4870" s="9" t="n">
        <x:v>0.0126182965</x:v>
      </x:c>
      <x:c r="Q4870" s="9" t="n">
        <x:v>0.5899053628</x:v>
      </x:c>
      <x:c r="R4870" s="3" t="b">
        <x:v>0</x:v>
      </x:c>
      <x:c r="S4870" s="3" t="b">
        <x:v>0</x:v>
      </x:c>
      <x:c r="T4870" s="3" t="b">
        <x:v>0</x:v>
      </x:c>
      <x:c r="U4870" s="2" t="str">
        <x:f>IF(T4870=TRUE,"Priority review",IF(R4870=TRUE,"High cost",IF(S4870=TRUE,"Low quality","Benchmark")))</x:f>
        <x:v>Benchmark</x:v>
      </x:c>
    </x:row>
    <x:row r="4871">
      <x:c r="A4871" s="2" t="str">
        <x:v>230279</x:v>
      </x:c>
      <x:c r="B4871" s="2" t="str">
        <x:v>HENRY FORD HEALTH BRIGHTON CENTER FOR RECOVERY</x:v>
      </x:c>
      <x:c r="C4871" s="2" t="str">
        <x:v>BRIGHTON</x:v>
      </x:c>
      <x:c r="D4871" s="2" t="str">
        <x:v>MI</x:v>
      </x:c>
      <x:c r="E4871" s="2" t="str">
        <x:v>Acute Care Hospitals</x:v>
      </x:c>
      <x:c r="F4871" s="2" t="str">
        <x:v>Voluntary non-profit</x:v>
      </x:c>
      <x:c r="G4871" s="2" t="str">
        <x:v>Small (&lt;100 beds)</x:v>
      </x:c>
      <x:c r="H4871" s="7"/>
      <x:c r="I4871" s="7"/>
      <x:c r="J4871" s="7" t="n">
        <x:v>0.81</x:v>
      </x:c>
      <x:c r="K4871" s="8" t="n">
        <x:v>99</x:v>
      </x:c>
      <x:c r="L4871" s="8" t="n">
        <x:v>1175</x:v>
      </x:c>
      <x:c r="M4871" s="9" t="n">
        <x:v>0.4082745261</x:v>
      </x:c>
      <x:c r="N4871" s="10" t="n">
        <x:v>15058.6170212766</x:v>
      </x:c>
      <x:c r="O4871" s="9" t="n">
        <x:v>-0.2890795525</x:v>
      </x:c>
      <x:c r="P4871" s="9" t="n">
        <x:v>0.012567325</x:v>
      </x:c>
      <x:c r="Q4871" s="9" t="n">
        <x:v>0.697486535</x:v>
      </x:c>
      <x:c r="R4871" s="3" t="b">
        <x:v>0</x:v>
      </x:c>
      <x:c r="S4871" s="3" t="b">
        <x:v>0</x:v>
      </x:c>
      <x:c r="T4871" s="3" t="b">
        <x:v>0</x:v>
      </x:c>
      <x:c r="U4871" s="2" t="str">
        <x:f>IF(T4871=TRUE,"Priority review",IF(R4871=TRUE,"High cost",IF(S4871=TRUE,"Low quality","Benchmark")))</x:f>
        <x:v>Benchmark</x:v>
      </x:c>
    </x:row>
    <x:row r="4872">
      <x:c r="A4872" s="2" t="str">
        <x:v>400113</x:v>
      </x:c>
      <x:c r="B4872" s="2" t="str">
        <x:v>HOSPITAL MENONITA PONCE</x:v>
      </x:c>
      <x:c r="C4872" s="2" t="str">
        <x:v>PONCE</x:v>
      </x:c>
      <x:c r="D4872" s="2" t="str">
        <x:v>PR</x:v>
      </x:c>
      <x:c r="E4872" s="2" t="str">
        <x:v>Acute Care Hospitals</x:v>
      </x:c>
      <x:c r="F4872" s="2" t="str">
        <x:v>Voluntary non-profit</x:v>
      </x:c>
      <x:c r="G4872" s="2" t="str">
        <x:v>Medium (100-299 beds)</x:v>
      </x:c>
      <x:c r="H4872" s="7"/>
      <x:c r="I4872" s="7"/>
      <x:c r="J4872" s="7"/>
      <x:c r="K4872" s="8" t="n">
        <x:v>115</x:v>
      </x:c>
      <x:c r="L4872" s="8" t="n">
        <x:v>5498</x:v>
      </x:c>
      <x:c r="M4872" s="9" t="n">
        <x:v>0.7244788565</x:v>
      </x:c>
      <x:c r="N4872" s="10" t="n">
        <x:v>9189.0663877774</x:v>
      </x:c>
      <x:c r="O4872" s="9" t="n">
        <x:v>0.0220703818</x:v>
      </x:c>
      <x:c r="P4872" s="9" t="n">
        <x:v>0.0122249389</x:v>
      </x:c>
      <x:c r="Q4872" s="9" t="n">
        <x:v>0.9616951915</x:v>
      </x:c>
      <x:c r="R4872" s="3" t="b">
        <x:v>0</x:v>
      </x:c>
      <x:c r="S4872" s="3" t="b">
        <x:v>0</x:v>
      </x:c>
      <x:c r="T4872" s="3" t="b">
        <x:v>0</x:v>
      </x:c>
      <x:c r="U4872" s="2" t="str">
        <x:f>IF(T4872=TRUE,"Priority review",IF(R4872=TRUE,"High cost",IF(S4872=TRUE,"Low quality","Benchmark")))</x:f>
        <x:v>Benchmark</x:v>
      </x:c>
    </x:row>
    <x:row r="4873">
      <x:c r="A4873" s="2" t="str">
        <x:v>031313</x:v>
      </x:c>
      <x:c r="B4873" s="2" t="str">
        <x:v>HOLY CROSS HOSPITAL</x:v>
      </x:c>
      <x:c r="C4873" s="2" t="str">
        <x:v>NOGALES</x:v>
      </x:c>
      <x:c r="D4873" s="2" t="str">
        <x:v>AZ</x:v>
      </x:c>
      <x:c r="E4873" s="2" t="str">
        <x:v>Critical Access Hospitals</x:v>
      </x:c>
      <x:c r="F4873" s="2" t="str">
        <x:v>Proprietary</x:v>
      </x:c>
      <x:c r="G4873" s="2" t="str">
        <x:v>Small (&lt;100 beds)</x:v>
      </x:c>
      <x:c r="H4873" s="7"/>
      <x:c r="I4873" s="7"/>
      <x:c r="J4873" s="7"/>
      <x:c r="K4873" s="8" t="n">
        <x:v>25</x:v>
      </x:c>
      <x:c r="L4873" s="8" t="n">
        <x:v>874</x:v>
      </x:c>
      <x:c r="M4873" s="9" t="n">
        <x:v>0.2966575342</x:v>
      </x:c>
      <x:c r="N4873" s="10" t="n">
        <x:v>33929.9027459954</x:v>
      </x:c>
      <x:c r="O4873" s="9" t="n">
        <x:v>0.3261279777</x:v>
      </x:c>
      <x:c r="P4873" s="9" t="n">
        <x:v>0.0118959108</x:v>
      </x:c>
      <x:c r="Q4873" s="9" t="n">
        <x:v>0.292936803</x:v>
      </x:c>
      <x:c r="R4873" s="3" t="b">
        <x:v>0</x:v>
      </x:c>
      <x:c r="S4873" s="3" t="b">
        <x:v>0</x:v>
      </x:c>
      <x:c r="T4873" s="3" t="b">
        <x:v>0</x:v>
      </x:c>
      <x:c r="U4873" s="2" t="str">
        <x:f>IF(T4873=TRUE,"Priority review",IF(R4873=TRUE,"High cost",IF(S4873=TRUE,"Low quality","Benchmark")))</x:f>
        <x:v>Benchmark</x:v>
      </x:c>
    </x:row>
    <x:row r="4874">
      <x:c r="A4874" s="2" t="str">
        <x:v>110209</x:v>
      </x:c>
      <x:c r="B4874" s="2" t="str">
        <x:v>TURNING POINT HOSPITAL</x:v>
      </x:c>
      <x:c r="C4874" s="2" t="str">
        <x:v>MOULTRIE</x:v>
      </x:c>
      <x:c r="D4874" s="2" t="str">
        <x:v>GA</x:v>
      </x:c>
      <x:c r="E4874" s="2" t="str">
        <x:v>Acute Care Hospitals</x:v>
      </x:c>
      <x:c r="F4874" s="2" t="str">
        <x:v>Proprietary</x:v>
      </x:c>
      <x:c r="G4874" s="2" t="str">
        <x:v>Small (&lt;100 beds)</x:v>
      </x:c>
      <x:c r="H4874" s="7"/>
      <x:c r="I4874" s="7"/>
      <x:c r="J4874" s="7" t="n">
        <x:v>1.29</x:v>
      </x:c>
      <x:c r="K4874" s="8" t="n">
        <x:v>53</x:v>
      </x:c>
      <x:c r="L4874" s="8" t="n">
        <x:v>1757</x:v>
      </x:c>
      <x:c r="M4874" s="9" t="n">
        <x:v>0.3586967729</x:v>
      </x:c>
      <x:c r="N4874" s="10" t="n">
        <x:v>14228.3141718839</x:v>
      </x:c>
      <x:c r="O4874" s="9" t="n">
        <x:v>0.1484883859</x:v>
      </x:c>
      <x:c r="P4874" s="9" t="n">
        <x:v>0.0116696589</x:v>
      </x:c>
      <x:c r="Q4874" s="9" t="n">
        <x:v>0.697486535</x:v>
      </x:c>
      <x:c r="R4874" s="3" t="b">
        <x:v>0</x:v>
      </x:c>
      <x:c r="S4874" s="3" t="b">
        <x:v>0</x:v>
      </x:c>
      <x:c r="T4874" s="3" t="b">
        <x:v>0</x:v>
      </x:c>
      <x:c r="U4874" s="2" t="str">
        <x:f>IF(T4874=TRUE,"Priority review",IF(R4874=TRUE,"High cost",IF(S4874=TRUE,"Low quality","Benchmark")))</x:f>
        <x:v>Benchmark</x:v>
      </x:c>
    </x:row>
    <x:row r="4875">
      <x:c r="A4875" s="2" t="str">
        <x:v>400111</x:v>
      </x:c>
      <x:c r="B4875" s="2" t="str">
        <x:v>HOSPITAL SAN CARLOS BORROMEO</x:v>
      </x:c>
      <x:c r="C4875" s="2" t="str">
        <x:v>MOCA</x:v>
      </x:c>
      <x:c r="D4875" s="2" t="str">
        <x:v>PR</x:v>
      </x:c>
      <x:c r="E4875" s="2" t="str">
        <x:v>Acute Care Hospitals</x:v>
      </x:c>
      <x:c r="F4875" s="2" t="str">
        <x:v>Voluntary non-profit</x:v>
      </x:c>
      <x:c r="G4875" s="2" t="str">
        <x:v>Medium (100-299 beds)</x:v>
      </x:c>
      <x:c r="H4875" s="7"/>
      <x:c r="I4875" s="7"/>
      <x:c r="J4875" s="7"/>
      <x:c r="K4875" s="8" t="n">
        <x:v>108</x:v>
      </x:c>
      <x:c r="L4875" s="8" t="n">
        <x:v>3042</x:v>
      </x:c>
      <x:c r="M4875" s="9" t="n">
        <x:v>0.4363236187</x:v>
      </x:c>
      <x:c r="N4875" s="10" t="n">
        <x:v>9158.6111111111</x:v>
      </x:c>
      <x:c r="O4875" s="9" t="n">
        <x:v>-0.1155993455</x:v>
      </x:c>
      <x:c r="P4875" s="9" t="n">
        <x:v>0.011409943</x:v>
      </x:c>
      <x:c r="Q4875" s="9" t="n">
        <x:v>0.9616951915</x:v>
      </x:c>
      <x:c r="R4875" s="3" t="b">
        <x:v>0</x:v>
      </x:c>
      <x:c r="S4875" s="3" t="b">
        <x:v>0</x:v>
      </x:c>
      <x:c r="T4875" s="3" t="b">
        <x:v>0</x:v>
      </x:c>
      <x:c r="U4875" s="2" t="str">
        <x:f>IF(T4875=TRUE,"Priority review",IF(R4875=TRUE,"High cost",IF(S4875=TRUE,"Low quality","Benchmark")))</x:f>
        <x:v>Benchmark</x:v>
      </x:c>
    </x:row>
    <x:row r="4876">
      <x:c r="A4876" s="2" t="str">
        <x:v>111329</x:v>
      </x:c>
      <x:c r="B4876" s="2" t="str">
        <x:v>ST MARYS GOOD SAMARITAN HOSPITAL</x:v>
      </x:c>
      <x:c r="C4876" s="2" t="str">
        <x:v>GREENSBORO</x:v>
      </x:c>
      <x:c r="D4876" s="2" t="str">
        <x:v>GA</x:v>
      </x:c>
      <x:c r="E4876" s="2" t="str">
        <x:v>Critical Access Hospitals</x:v>
      </x:c>
      <x:c r="F4876" s="2" t="str">
        <x:v>Proprietary</x:v>
      </x:c>
      <x:c r="G4876" s="2" t="str">
        <x:v>Small (&lt;100 beds)</x:v>
      </x:c>
      <x:c r="H4876" s="7" t="n">
        <x:v>4</x:v>
      </x:c>
      <x:c r="I4876" s="7" t="n">
        <x:v>4</x:v>
      </x:c>
      <x:c r="J4876" s="7"/>
      <x:c r="K4876" s="8" t="n">
        <x:v>25</x:v>
      </x:c>
      <x:c r="L4876" s="8" t="n">
        <x:v>1075</x:v>
      </x:c>
      <x:c r="M4876" s="9" t="n">
        <x:v>0.5589041096</x:v>
      </x:c>
      <x:c r="N4876" s="10" t="n">
        <x:v>33371.1237209302</x:v>
      </x:c>
      <x:c r="O4876" s="9" t="n">
        <x:v>-0.0228376705</x:v>
      </x:c>
      <x:c r="P4876" s="9" t="n">
        <x:v>0.0111524164</x:v>
      </x:c>
      <x:c r="Q4876" s="9" t="n">
        <x:v>0.1657992565</x:v>
      </x:c>
      <x:c r="R4876" s="3" t="b">
        <x:v>0</x:v>
      </x:c>
      <x:c r="S4876" s="3" t="b">
        <x:v>0</x:v>
      </x:c>
      <x:c r="T4876" s="3" t="b">
        <x:v>0</x:v>
      </x:c>
      <x:c r="U4876" s="2" t="str">
        <x:f>IF(T4876=TRUE,"Priority review",IF(R4876=TRUE,"High cost",IF(S4876=TRUE,"Low quality","Benchmark")))</x:f>
        <x:v>Benchmark</x:v>
      </x:c>
    </x:row>
    <x:row r="4877">
      <x:c r="A4877" s="2" t="str">
        <x:v>400109</x:v>
      </x:c>
      <x:c r="B4877" s="2" t="str">
        <x:v>HOSPITAL ESPANOL AUXILIO MUTUO SAN PABLO</x:v>
      </x:c>
      <x:c r="C4877" s="2" t="str">
        <x:v>BAYAMON</x:v>
      </x:c>
      <x:c r="D4877" s="2" t="str">
        <x:v>PR</x:v>
      </x:c>
      <x:c r="E4877" s="2" t="str">
        <x:v>Acute Care Hospitals</x:v>
      </x:c>
      <x:c r="F4877" s="2" t="str">
        <x:v>Voluntary non-profit</x:v>
      </x:c>
      <x:c r="G4877" s="2" t="str">
        <x:v>Large (300+ beds)</x:v>
      </x:c>
      <x:c r="H4877" s="7"/>
      <x:c r="I4877" s="7"/>
      <x:c r="J4877" s="7"/>
      <x:c r="K4877" s="8" t="n">
        <x:v>417</x:v>
      </x:c>
      <x:c r="L4877" s="8" t="n">
        <x:v>4123</x:v>
      </x:c>
      <x:c r="M4877" s="9" t="n">
        <x:v>0.286467733</x:v>
      </x:c>
      <x:c r="N4877" s="10" t="n">
        <x:v>13222.8569003153</x:v>
      </x:c>
      <x:c r="O4877" s="9" t="n">
        <x:v>-0.3335023433</x:v>
      </x:c>
      <x:c r="P4877" s="9" t="n">
        <x:v>0.0110410095</x:v>
      </x:c>
      <x:c r="Q4877" s="9" t="n">
        <x:v>0.9952681388</x:v>
      </x:c>
      <x:c r="R4877" s="3" t="b">
        <x:v>0</x:v>
      </x:c>
      <x:c r="S4877" s="3" t="b">
        <x:v>0</x:v>
      </x:c>
      <x:c r="T4877" s="3" t="b">
        <x:v>0</x:v>
      </x:c>
      <x:c r="U4877" s="2" t="str">
        <x:f>IF(T4877=TRUE,"Priority review",IF(R4877=TRUE,"High cost",IF(S4877=TRUE,"Low quality","Benchmark")))</x:f>
        <x:v>Benchmark</x:v>
      </x:c>
    </x:row>
    <x:row r="4878">
      <x:c r="A4878" s="2" t="str">
        <x:v>010022</x:v>
      </x:c>
      <x:c r="B4878" s="2" t="str">
        <x:v>FLOYD CHEROKEE MEDICAL CENTER</x:v>
      </x:c>
      <x:c r="C4878" s="2" t="str">
        <x:v>CENTRE</x:v>
      </x:c>
      <x:c r="D4878" s="2" t="str">
        <x:v>AL</x:v>
      </x:c>
      <x:c r="E4878" s="2" t="str">
        <x:v>Acute Care Hospitals</x:v>
      </x:c>
      <x:c r="F4878" s="2" t="str">
        <x:v>Proprietary</x:v>
      </x:c>
      <x:c r="G4878" s="2" t="str">
        <x:v>Small (&lt;100 beds)</x:v>
      </x:c>
      <x:c r="H4878" s="7"/>
      <x:c r="I4878" s="7"/>
      <x:c r="J4878" s="7" t="n">
        <x:v>0.97</x:v>
      </x:c>
      <x:c r="K4878" s="8" t="n">
        <x:v>45</x:v>
      </x:c>
      <x:c r="L4878" s="8" t="n">
        <x:v>1119</x:v>
      </x:c>
      <x:c r="M4878" s="9" t="n">
        <x:v>0.3168791743</x:v>
      </x:c>
      <x:c r="N4878" s="10" t="n">
        <x:v>14018.6666666667</x:v>
      </x:c>
      <x:c r="O4878" s="9" t="n">
        <x:v>0.0818340623</x:v>
      </x:c>
      <x:c r="P4878" s="9" t="n">
        <x:v>0.0107719928</x:v>
      </x:c>
      <x:c r="Q4878" s="9" t="n">
        <x:v>0.697486535</x:v>
      </x:c>
      <x:c r="R4878" s="3" t="b">
        <x:v>0</x:v>
      </x:c>
      <x:c r="S4878" s="3" t="b">
        <x:v>0</x:v>
      </x:c>
      <x:c r="T4878" s="3" t="b">
        <x:v>0</x:v>
      </x:c>
      <x:c r="U4878" s="2" t="str">
        <x:f>IF(T4878=TRUE,"Priority review",IF(R4878=TRUE,"High cost",IF(S4878=TRUE,"Low quality","Benchmark")))</x:f>
        <x:v>Benchmark</x:v>
      </x:c>
    </x:row>
    <x:row r="4879">
      <x:c r="A4879" s="2" t="str">
        <x:v>400087</x:v>
      </x:c>
      <x:c r="B4879" s="2" t="str">
        <x:v>HOSPITAL PAVIA ARECIBO</x:v>
      </x:c>
      <x:c r="C4879" s="2" t="str">
        <x:v>ARECIBO</x:v>
      </x:c>
      <x:c r="D4879" s="2" t="str">
        <x:v>PR</x:v>
      </x:c>
      <x:c r="E4879" s="2" t="str">
        <x:v>Acute Care Hospitals</x:v>
      </x:c>
      <x:c r="F4879" s="2" t="str">
        <x:v>Proprietary</x:v>
      </x:c>
      <x:c r="G4879" s="2" t="str">
        <x:v>Medium (100-299 beds)</x:v>
      </x:c>
      <x:c r="H4879" s="7"/>
      <x:c r="I4879" s="7"/>
      <x:c r="J4879" s="7"/>
      <x:c r="K4879" s="8" t="n">
        <x:v>187</x:v>
      </x:c>
      <x:c r="L4879" s="8" t="n">
        <x:v>7390</x:v>
      </x:c>
      <x:c r="M4879" s="9" t="n">
        <x:v>0.5903684872</x:v>
      </x:c>
      <x:c r="N4879" s="10" t="n">
        <x:v>9074.099594046</x:v>
      </x:c>
      <x:c r="O4879" s="9" t="n">
        <x:v>-0.0917534978</x:v>
      </x:c>
      <x:c r="P4879" s="9" t="n">
        <x:v>0.010594947</x:v>
      </x:c>
      <x:c r="Q4879" s="9" t="n">
        <x:v>0.9616951915</x:v>
      </x:c>
      <x:c r="R4879" s="3" t="b">
        <x:v>0</x:v>
      </x:c>
      <x:c r="S4879" s="3" t="b">
        <x:v>0</x:v>
      </x:c>
      <x:c r="T4879" s="3" t="b">
        <x:v>0</x:v>
      </x:c>
      <x:c r="U4879" s="2" t="str">
        <x:f>IF(T4879=TRUE,"Priority review",IF(R4879=TRUE,"High cost",IF(S4879=TRUE,"Low quality","Benchmark")))</x:f>
        <x:v>Benchmark</x:v>
      </x:c>
    </x:row>
    <x:row r="4880">
      <x:c r="A4880" s="2" t="str">
        <x:v>151326</x:v>
      </x:c>
      <x:c r="B4880" s="2" t="str">
        <x:v>UNION HOSPITAL CLINTON</x:v>
      </x:c>
      <x:c r="C4880" s="2" t="str">
        <x:v>CLINTON</x:v>
      </x:c>
      <x:c r="D4880" s="2" t="str">
        <x:v>IN</x:v>
      </x:c>
      <x:c r="E4880" s="2" t="str">
        <x:v>Critical Access Hospitals</x:v>
      </x:c>
      <x:c r="F4880" s="2" t="str">
        <x:v>Voluntary non-profit</x:v>
      </x:c>
      <x:c r="G4880" s="2" t="str">
        <x:v>Small (&lt;100 beds)</x:v>
      </x:c>
      <x:c r="H4880" s="7" t="n">
        <x:v>2</x:v>
      </x:c>
      <x:c r="I4880" s="7"/>
      <x:c r="J4880" s="7"/>
      <x:c r="K4880" s="8" t="n">
        <x:v>25</x:v>
      </x:c>
      <x:c r="L4880" s="8" t="n">
        <x:v>741</x:v>
      </x:c>
      <x:c r="M4880" s="9" t="n">
        <x:v>0.1878688525</x:v>
      </x:c>
      <x:c r="N4880" s="10" t="n">
        <x:v>32971.2618083671</x:v>
      </x:c>
      <x:c r="O4880" s="9" t="n">
        <x:v>0.1954223815</x:v>
      </x:c>
      <x:c r="P4880" s="9" t="n">
        <x:v>0.0104089219</x:v>
      </x:c>
      <x:c r="Q4880" s="9" t="n">
        <x:v>0.0171003717</x:v>
      </x:c>
      <x:c r="R4880" s="3" t="b">
        <x:v>0</x:v>
      </x:c>
      <x:c r="S4880" s="3" t="b">
        <x:v>1</x:v>
      </x:c>
      <x:c r="T4880" s="3" t="b">
        <x:v>0</x:v>
      </x:c>
      <x:c r="U4880" s="2" t="str">
        <x:f>IF(T4880=TRUE,"Priority review",IF(R4880=TRUE,"High cost",IF(S4880=TRUE,"Low quality","Benchmark")))</x:f>
        <x:v>Low quality</x:v>
      </x:c>
    </x:row>
    <x:row r="4881">
      <x:c r="A4881" s="2" t="str">
        <x:v>114010</x:v>
      </x:c>
      <x:c r="B4881" s="2" t="str">
        <x:v>PEACHFORD BEHAVIORAL HEALTH SYSTEM OF ATLANTA</x:v>
      </x:c>
      <x:c r="C4881" s="2" t="str">
        <x:v>ATLANTA</x:v>
      </x:c>
      <x:c r="D4881" s="2" t="str">
        <x:v>GA</x:v>
      </x:c>
      <x:c r="E4881" s="2" t="str">
        <x:v>Psychiatric</x:v>
      </x:c>
      <x:c r="F4881" s="2" t="str">
        <x:v>Proprietary</x:v>
      </x:c>
      <x:c r="G4881" s="2" t="str">
        <x:v>Medium (100-299 beds)</x:v>
      </x:c>
      <x:c r="H4881" s="7"/>
      <x:c r="I4881" s="7"/>
      <x:c r="J4881" s="7"/>
      <x:c r="K4881" s="8" t="n">
        <x:v>245</x:v>
      </x:c>
      <x:c r="L4881" s="8" t="n">
        <x:v>8365</x:v>
      </x:c>
      <x:c r="M4881" s="9" t="n">
        <x:v>0.6504176107</x:v>
      </x:c>
      <x:c r="N4881" s="10" t="n">
        <x:v>4694.2420800956</x:v>
      </x:c>
      <x:c r="O4881" s="9" t="n">
        <x:v>0.2363343779</x:v>
      </x:c>
      <x:c r="P4881" s="9" t="n">
        <x:v>0.0099502488</x:v>
      </x:c>
      <x:c r="Q4881" s="9" t="n">
        <x:v>0</x:v>
      </x:c>
      <x:c r="R4881" s="3" t="b">
        <x:v>0</x:v>
      </x:c>
      <x:c r="S4881" s="3" t="b">
        <x:v>0</x:v>
      </x:c>
      <x:c r="T4881" s="3" t="b">
        <x:v>0</x:v>
      </x:c>
      <x:c r="U4881" s="2" t="str">
        <x:f>IF(T4881=TRUE,"Priority review",IF(R4881=TRUE,"High cost",IF(S4881=TRUE,"Low quality","Benchmark")))</x:f>
        <x:v>Benchmark</x:v>
      </x:c>
    </x:row>
    <x:row r="4882">
      <x:c r="A4882" s="2" t="str">
        <x:v>150179</x:v>
      </x:c>
      <x:c r="B4882" s="2" t="str">
        <x:v>FAIRBANKS</x:v>
      </x:c>
      <x:c r="C4882" s="2" t="str">
        <x:v>INDIANAPOLIS</x:v>
      </x:c>
      <x:c r="D4882" s="2" t="str">
        <x:v>IN</x:v>
      </x:c>
      <x:c r="E4882" s="2" t="str">
        <x:v>Acute Care Hospitals</x:v>
      </x:c>
      <x:c r="F4882" s="2" t="str">
        <x:v>Voluntary non-profit</x:v>
      </x:c>
      <x:c r="G4882" s="2" t="str">
        <x:v>Small (&lt;100 beds)</x:v>
      </x:c>
      <x:c r="H4882" s="7"/>
      <x:c r="I4882" s="7"/>
      <x:c r="J4882" s="7" t="n">
        <x:v>0.99</x:v>
      </x:c>
      <x:c r="K4882" s="8" t="n">
        <x:v>52</x:v>
      </x:c>
      <x:c r="L4882" s="8" t="n">
        <x:v>2107</x:v>
      </x:c>
      <x:c r="M4882" s="9" t="n">
        <x:v>0.4187683901</x:v>
      </x:c>
      <x:c r="N4882" s="10" t="n">
        <x:v>13422.100616991</x:v>
      </x:c>
      <x:c r="O4882" s="9" t="n">
        <x:v>-0.1662057574</x:v>
      </x:c>
      <x:c r="P4882" s="9" t="n">
        <x:v>0.0098743268</x:v>
      </x:c>
      <x:c r="Q4882" s="9" t="n">
        <x:v>0.697486535</x:v>
      </x:c>
      <x:c r="R4882" s="3" t="b">
        <x:v>0</x:v>
      </x:c>
      <x:c r="S4882" s="3" t="b">
        <x:v>0</x:v>
      </x:c>
      <x:c r="T4882" s="3" t="b">
        <x:v>0</x:v>
      </x:c>
      <x:c r="U4882" s="2" t="str">
        <x:f>IF(T4882=TRUE,"Priority review",IF(R4882=TRUE,"High cost",IF(S4882=TRUE,"Low quality","Benchmark")))</x:f>
        <x:v>Benchmark</x:v>
      </x:c>
    </x:row>
    <x:row r="4883">
      <x:c r="A4883" s="2" t="str">
        <x:v>400103</x:v>
      </x:c>
      <x:c r="B4883" s="2" t="str">
        <x:v>MAYAGUEZ MEDICAL CENTER DR RAMON EMETERIO BETANCES</x:v>
      </x:c>
      <x:c r="C4883" s="2" t="str">
        <x:v>MAYAGUEZ</x:v>
      </x:c>
      <x:c r="D4883" s="2" t="str">
        <x:v>PR</x:v>
      </x:c>
      <x:c r="E4883" s="2" t="str">
        <x:v>Acute Care Hospitals</x:v>
      </x:c>
      <x:c r="F4883" s="2" t="str">
        <x:v>Proprietary</x:v>
      </x:c>
      <x:c r="G4883" s="2" t="str">
        <x:v>Medium (100-299 beds)</x:v>
      </x:c>
      <x:c r="H4883" s="7" t="n">
        <x:v>1</x:v>
      </x:c>
      <x:c r="I4883" s="7" t="n">
        <x:v>1</x:v>
      </x:c>
      <x:c r="J4883" s="7"/>
      <x:c r="K4883" s="8" t="n">
        <x:v>216</x:v>
      </x:c>
      <x:c r="L4883" s="8" t="n">
        <x:v>12258</x:v>
      </x:c>
      <x:c r="M4883" s="9" t="n">
        <x:v>0.7821417729</x:v>
      </x:c>
      <x:c r="N4883" s="10" t="n">
        <x:v>9038.9293522597</x:v>
      </x:c>
      <x:c r="O4883" s="9" t="n">
        <x:v>0.042930634</x:v>
      </x:c>
      <x:c r="P4883" s="9" t="n">
        <x:v>0.0097799511</x:v>
      </x:c>
      <x:c r="Q4883" s="9" t="n">
        <x:v>0</x:v>
      </x:c>
      <x:c r="R4883" s="3" t="b">
        <x:v>0</x:v>
      </x:c>
      <x:c r="S4883" s="3" t="b">
        <x:v>1</x:v>
      </x:c>
      <x:c r="T4883" s="3" t="b">
        <x:v>0</x:v>
      </x:c>
      <x:c r="U4883" s="2" t="str">
        <x:f>IF(T4883=TRUE,"Priority review",IF(R4883=TRUE,"High cost",IF(S4883=TRUE,"Low quality","Benchmark")))</x:f>
        <x:v>Low quality</x:v>
      </x:c>
    </x:row>
    <x:row r="4884">
      <x:c r="A4884" s="2" t="str">
        <x:v>194117</x:v>
      </x:c>
      <x:c r="B4884" s="2" t="str">
        <x:v>UNIVERSAL BEHAVIORAL HEALTH HOSPITAL</x:v>
      </x:c>
      <x:c r="C4884" s="2" t="str">
        <x:v>HAMMOND</x:v>
      </x:c>
      <x:c r="D4884" s="2" t="str">
        <x:v>LA</x:v>
      </x:c>
      <x:c r="E4884" s="2" t="str">
        <x:v>Psychiatric</x:v>
      </x:c>
      <x:c r="F4884" s="2" t="str">
        <x:v>Proprietary</x:v>
      </x:c>
      <x:c r="G4884" s="2" t="str">
        <x:v>Small (&lt;100 beds)</x:v>
      </x:c>
      <x:c r="H4884" s="7"/>
      <x:c r="I4884" s="7"/>
      <x:c r="J4884" s="7"/>
      <x:c r="K4884" s="8" t="n">
        <x:v>36</x:v>
      </x:c>
      <x:c r="L4884" s="8" t="n">
        <x:v>1326</x:v>
      </x:c>
      <x:c r="M4884" s="9" t="n">
        <x:v>0.7795233758</x:v>
      </x:c>
      <x:c r="N4884" s="10" t="n">
        <x:v>4428.3514328808</x:v>
      </x:c>
      <x:c r="O4884" s="9" t="n">
        <x:v>0.0201748736</x:v>
      </x:c>
      <x:c r="P4884" s="9" t="n">
        <x:v>0.0097087379</x:v>
      </x:c>
      <x:c r="Q4884" s="9" t="n">
        <x:v>0</x:v>
      </x:c>
      <x:c r="R4884" s="3" t="b">
        <x:v>0</x:v>
      </x:c>
      <x:c r="S4884" s="3" t="b">
        <x:v>0</x:v>
      </x:c>
      <x:c r="T4884" s="3" t="b">
        <x:v>0</x:v>
      </x:c>
      <x:c r="U4884" s="2" t="str">
        <x:f>IF(T4884=TRUE,"Priority review",IF(R4884=TRUE,"High cost",IF(S4884=TRUE,"Low quality","Benchmark")))</x:f>
        <x:v>Benchmark</x:v>
      </x:c>
    </x:row>
    <x:row r="4885">
      <x:c r="A4885" s="2" t="str">
        <x:v>371342</x:v>
      </x:c>
      <x:c r="B4885" s="2" t="str">
        <x:v>MCCURTAIN MEMORIAL HOSPITAL</x:v>
      </x:c>
      <x:c r="C4885" s="2" t="str">
        <x:v>IDABEL</x:v>
      </x:c>
      <x:c r="D4885" s="2" t="str">
        <x:v>OK</x:v>
      </x:c>
      <x:c r="E4885" s="2" t="str">
        <x:v>Critical Access Hospitals</x:v>
      </x:c>
      <x:c r="F4885" s="2" t="str">
        <x:v>Voluntary non-profit</x:v>
      </x:c>
      <x:c r="G4885" s="2" t="str">
        <x:v>Small (&lt;100 beds)</x:v>
      </x:c>
      <x:c r="H4885" s="7" t="n">
        <x:v>4</x:v>
      </x:c>
      <x:c r="I4885" s="7"/>
      <x:c r="J4885" s="7"/>
      <x:c r="K4885" s="8" t="n">
        <x:v>25</x:v>
      </x:c>
      <x:c r="L4885" s="8" t="n">
        <x:v>727</x:v>
      </x:c>
      <x:c r="M4885" s="9" t="n">
        <x:v>0.5471780822</x:v>
      </x:c>
      <x:c r="N4885" s="10" t="n">
        <x:v>32205.8431911967</x:v>
      </x:c>
      <x:c r="O4885" s="9" t="n">
        <x:v>-0.0278230627</x:v>
      </x:c>
      <x:c r="P4885" s="9" t="n">
        <x:v>0.0096654275</x:v>
      </x:c>
      <x:c r="Q4885" s="9" t="n">
        <x:v>0.1657992565</x:v>
      </x:c>
      <x:c r="R4885" s="3" t="b">
        <x:v>0</x:v>
      </x:c>
      <x:c r="S4885" s="3" t="b">
        <x:v>0</x:v>
      </x:c>
      <x:c r="T4885" s="3" t="b">
        <x:v>0</x:v>
      </x:c>
      <x:c r="U4885" s="2" t="str">
        <x:f>IF(T4885=TRUE,"Priority review",IF(R4885=TRUE,"High cost",IF(S4885=TRUE,"Low quality","Benchmark")))</x:f>
        <x:v>Benchmark</x:v>
      </x:c>
    </x:row>
    <x:row r="4886">
      <x:c r="A4886" s="2" t="str">
        <x:v>100179</x:v>
      </x:c>
      <x:c r="B4886" s="2" t="str">
        <x:v>HCA FLORIDA MEMORIAL HOSPITAL</x:v>
      </x:c>
      <x:c r="C4886" s="2" t="str">
        <x:v>JACKSONVILLE</x:v>
      </x:c>
      <x:c r="D4886" s="2" t="str">
        <x:v>FL</x:v>
      </x:c>
      <x:c r="E4886" s="2" t="str">
        <x:v>Acute Care Hospitals</x:v>
      </x:c>
      <x:c r="F4886" s="2" t="str">
        <x:v>Proprietary</x:v>
      </x:c>
      <x:c r="G4886" s="2" t="str">
        <x:v>Large (300+ beds)</x:v>
      </x:c>
      <x:c r="H4886" s="7" t="n">
        <x:v>2</x:v>
      </x:c>
      <x:c r="I4886" s="7" t="n">
        <x:v>2</x:v>
      </x:c>
      <x:c r="J4886" s="7" t="n">
        <x:v>1.08</x:v>
      </x:c>
      <x:c r="K4886" s="8" t="n">
        <x:v>360</x:v>
      </x:c>
      <x:c r="L4886" s="8" t="n">
        <x:v>22483</x:v>
      </x:c>
      <x:c r="M4886" s="9" t="n">
        <x:v>0.7908773528</x:v>
      </x:c>
      <x:c r="N4886" s="10" t="n">
        <x:v>13019.1993506205</x:v>
      </x:c>
      <x:c r="O4886" s="9" t="n">
        <x:v>0.4955457528</x:v>
      </x:c>
      <x:c r="P4886" s="9" t="n">
        <x:v>0.0094637224</x:v>
      </x:c>
      <x:c r="Q4886" s="9" t="n">
        <x:v>0.0536277603</x:v>
      </x:c>
      <x:c r="R4886" s="3" t="b">
        <x:v>0</x:v>
      </x:c>
      <x:c r="S4886" s="3" t="b">
        <x:v>1</x:v>
      </x:c>
      <x:c r="T4886" s="3" t="b">
        <x:v>0</x:v>
      </x:c>
      <x:c r="U4886" s="2" t="str">
        <x:f>IF(T4886=TRUE,"Priority review",IF(R4886=TRUE,"High cost",IF(S4886=TRUE,"Low quality","Benchmark")))</x:f>
        <x:v>Low quality</x:v>
      </x:c>
    </x:row>
    <x:row r="4887">
      <x:c r="A4887" s="2" t="str">
        <x:v>400122</x:v>
      </x:c>
      <x:c r="B4887" s="2" t="str">
        <x:v>PROFESSIONAL HOSPITAL GUAYNABO INC</x:v>
      </x:c>
      <x:c r="C4887" s="2" t="str">
        <x:v>GUAYNABO</x:v>
      </x:c>
      <x:c r="D4887" s="2" t="str">
        <x:v>PR</x:v>
      </x:c>
      <x:c r="E4887" s="2" t="str">
        <x:v>Acute Care Hospitals</x:v>
      </x:c>
      <x:c r="F4887" s="2" t="str">
        <x:v>Proprietary</x:v>
      </x:c>
      <x:c r="G4887" s="2" t="str">
        <x:v>Small (&lt;100 beds)</x:v>
      </x:c>
      <x:c r="H4887" s="7"/>
      <x:c r="I4887" s="7"/>
      <x:c r="J4887" s="7"/>
      <x:c r="K4887" s="8" t="n">
        <x:v>49</x:v>
      </x:c>
      <x:c r="L4887" s="8" t="n">
        <x:v>2065</x:v>
      </x:c>
      <x:c r="M4887" s="9" t="n">
        <x:v>0.6073804864</x:v>
      </x:c>
      <x:c r="N4887" s="10" t="n">
        <x:v>13036.4387409201</x:v>
      </x:c>
      <x:c r="O4887" s="9" t="n">
        <x:v>-0.0254259116</x:v>
      </x:c>
      <x:c r="P4887" s="9" t="n">
        <x:v>0.0089766607</x:v>
      </x:c>
      <x:c r="Q4887" s="9" t="n">
        <x:v>0.697486535</x:v>
      </x:c>
      <x:c r="R4887" s="3" t="b">
        <x:v>0</x:v>
      </x:c>
      <x:c r="S4887" s="3" t="b">
        <x:v>0</x:v>
      </x:c>
      <x:c r="T4887" s="3" t="b">
        <x:v>0</x:v>
      </x:c>
      <x:c r="U4887" s="2" t="str">
        <x:f>IF(T4887=TRUE,"Priority review",IF(R4887=TRUE,"High cost",IF(S4887=TRUE,"Low quality","Benchmark")))</x:f>
        <x:v>Benchmark</x:v>
      </x:c>
    </x:row>
    <x:row r="4888">
      <x:c r="A4888" s="2" t="str">
        <x:v>100230</x:v>
      </x:c>
      <x:c r="B4888" s="2" t="str">
        <x:v>MEMORIAL HOSPITAL PEMBROKE</x:v>
      </x:c>
      <x:c r="C4888" s="2" t="str">
        <x:v>PEMBROKE PINES</x:v>
      </x:c>
      <x:c r="D4888" s="2" t="str">
        <x:v>FL</x:v>
      </x:c>
      <x:c r="E4888" s="2" t="str">
        <x:v>Acute Care Hospitals</x:v>
      </x:c>
      <x:c r="F4888" s="2" t="str">
        <x:v>Government</x:v>
      </x:c>
      <x:c r="G4888" s="2" t="str">
        <x:v>Medium (100-299 beds)</x:v>
      </x:c>
      <x:c r="H4888" s="7" t="n">
        <x:v>4</x:v>
      </x:c>
      <x:c r="I4888" s="7" t="n">
        <x:v>4</x:v>
      </x:c>
      <x:c r="J4888" s="7" t="n">
        <x:v>0.93</x:v>
      </x:c>
      <x:c r="K4888" s="8" t="n">
        <x:v>195</x:v>
      </x:c>
      <x:c r="L4888" s="8" t="n">
        <x:v>24243</x:v>
      </x:c>
      <x:c r="M4888" s="9" t="n">
        <x:v>0.5356656129</x:v>
      </x:c>
      <x:c r="N4888" s="10" t="n">
        <x:v>8900.0923565565</x:v>
      </x:c>
      <x:c r="O4888" s="9" t="n">
        <x:v>-0.0130276715</x:v>
      </x:c>
      <x:c r="P4888" s="9" t="n">
        <x:v>0.0089649552</x:v>
      </x:c>
      <x:c r="Q4888" s="9" t="n">
        <x:v>0.6022819886</x:v>
      </x:c>
      <x:c r="R4888" s="3" t="b">
        <x:v>0</x:v>
      </x:c>
      <x:c r="S4888" s="3" t="b">
        <x:v>0</x:v>
      </x:c>
      <x:c r="T4888" s="3" t="b">
        <x:v>0</x:v>
      </x:c>
      <x:c r="U4888" s="2" t="str">
        <x:f>IF(T4888=TRUE,"Priority review",IF(R4888=TRUE,"High cost",IF(S4888=TRUE,"Low quality","Benchmark")))</x:f>
        <x:v>Benchmark</x:v>
      </x:c>
    </x:row>
    <x:row r="4889">
      <x:c r="A4889" s="2" t="str">
        <x:v>521347</x:v>
      </x:c>
      <x:c r="B4889" s="2" t="str">
        <x:v>WESTERN WISCONSIN HEALTH</x:v>
      </x:c>
      <x:c r="C4889" s="2" t="str">
        <x:v>BALDWIN</x:v>
      </x:c>
      <x:c r="D4889" s="2" t="str">
        <x:v>WI</x:v>
      </x:c>
      <x:c r="E4889" s="2" t="str">
        <x:v>Critical Access Hospitals</x:v>
      </x:c>
      <x:c r="F4889" s="2" t="str">
        <x:v>Voluntary non-profit</x:v>
      </x:c>
      <x:c r="G4889" s="2" t="str">
        <x:v>Small (&lt;100 beds)</x:v>
      </x:c>
      <x:c r="H4889" s="7"/>
      <x:c r="I4889" s="7" t="n">
        <x:v>4</x:v>
      </x:c>
      <x:c r="J4889" s="7"/>
      <x:c r="K4889" s="8" t="n">
        <x:v>25</x:v>
      </x:c>
      <x:c r="L4889" s="8" t="n">
        <x:v>2140</x:v>
      </x:c>
      <x:c r="M4889" s="9" t="n">
        <x:v>0.3217486339</x:v>
      </x:c>
      <x:c r="N4889" s="10" t="n">
        <x:v>32021.2789719626</x:v>
      </x:c>
      <x:c r="O4889" s="9" t="n">
        <x:v>0.0720861224</x:v>
      </x:c>
      <x:c r="P4889" s="9" t="n">
        <x:v>0.0089219331</x:v>
      </x:c>
      <x:c r="Q4889" s="9" t="n">
        <x:v>0.292936803</x:v>
      </x:c>
      <x:c r="R4889" s="3" t="b">
        <x:v>0</x:v>
      </x:c>
      <x:c r="S4889" s="3" t="b">
        <x:v>0</x:v>
      </x:c>
      <x:c r="T4889" s="3" t="b">
        <x:v>0</x:v>
      </x:c>
      <x:c r="U4889" s="2" t="str">
        <x:f>IF(T4889=TRUE,"Priority review",IF(R4889=TRUE,"High cost",IF(S4889=TRUE,"Low quality","Benchmark")))</x:f>
        <x:v>Benchmark</x:v>
      </x:c>
    </x:row>
    <x:row r="4890">
      <x:c r="A4890" s="2" t="str">
        <x:v>181319</x:v>
      </x:c>
      <x:c r="B4890" s="2" t="str">
        <x:v>BRECKINRIDGE MEMORIAL HOSPITAL</x:v>
      </x:c>
      <x:c r="C4890" s="2" t="str">
        <x:v>HARDINSBURG</x:v>
      </x:c>
      <x:c r="D4890" s="2" t="str">
        <x:v>KY</x:v>
      </x:c>
      <x:c r="E4890" s="2" t="str">
        <x:v>Critical Access Hospitals</x:v>
      </x:c>
      <x:c r="F4890" s="2" t="str">
        <x:v>Government</x:v>
      </x:c>
      <x:c r="G4890" s="2" t="str">
        <x:v>Small (&lt;100 beds)</x:v>
      </x:c>
      <x:c r="H4890" s="7" t="n">
        <x:v>1</x:v>
      </x:c>
      <x:c r="I4890" s="7"/>
      <x:c r="J4890" s="7"/>
      <x:c r="K4890" s="8" t="n">
        <x:v>25</x:v>
      </x:c>
      <x:c r="L4890" s="8" t="n">
        <x:v>944</x:v>
      </x:c>
      <x:c r="M4890" s="9" t="n">
        <x:v>0.2032786885</x:v>
      </x:c>
      <x:c r="N4890" s="10" t="n">
        <x:v>31785.6790254237</x:v>
      </x:c>
      <x:c r="O4890" s="9" t="n">
        <x:v>0.0158007222</x:v>
      </x:c>
      <x:c r="P4890" s="9" t="n">
        <x:v>0.0081784387</x:v>
      </x:c>
      <x:c r="Q4890" s="9" t="n">
        <x:v>0</x:v>
      </x:c>
      <x:c r="R4890" s="3" t="b">
        <x:v>0</x:v>
      </x:c>
      <x:c r="S4890" s="3" t="b">
        <x:v>1</x:v>
      </x:c>
      <x:c r="T4890" s="3" t="b">
        <x:v>0</x:v>
      </x:c>
      <x:c r="U4890" s="2" t="str">
        <x:f>IF(T4890=TRUE,"Priority review",IF(R4890=TRUE,"High cost",IF(S4890=TRUE,"Low quality","Benchmark")))</x:f>
        <x:v>Low quality</x:v>
      </x:c>
    </x:row>
    <x:row r="4891">
      <x:c r="A4891" s="2" t="str">
        <x:v>400117</x:v>
      </x:c>
      <x:c r="B4891" s="2" t="str">
        <x:v>HOSPITAL METROPOLITANO  DR SUSONI</x:v>
      </x:c>
      <x:c r="C4891" s="2" t="str">
        <x:v>ARECIBO</x:v>
      </x:c>
      <x:c r="D4891" s="2" t="str">
        <x:v>PR</x:v>
      </x:c>
      <x:c r="E4891" s="2" t="str">
        <x:v>Acute Care Hospitals</x:v>
      </x:c>
      <x:c r="F4891" s="2" t="str">
        <x:v>Voluntary non-profit</x:v>
      </x:c>
      <x:c r="G4891" s="2" t="str">
        <x:v>Medium (100-299 beds)</x:v>
      </x:c>
      <x:c r="H4891" s="7"/>
      <x:c r="I4891" s="7"/>
      <x:c r="J4891" s="7"/>
      <x:c r="K4891" s="8" t="n">
        <x:v>119</x:v>
      </x:c>
      <x:c r="L4891" s="8" t="n">
        <x:v>6390</x:v>
      </x:c>
      <x:c r="M4891" s="9" t="n">
        <x:v>0.7798135648</x:v>
      </x:c>
      <x:c r="N4891" s="10" t="n">
        <x:v>8776.2594679186</x:v>
      </x:c>
      <x:c r="O4891" s="9" t="n">
        <x:v>-0.1538105667</x:v>
      </x:c>
      <x:c r="P4891" s="9" t="n">
        <x:v>0.0081499593</x:v>
      </x:c>
      <x:c r="Q4891" s="9" t="n">
        <x:v>0.9616951915</x:v>
      </x:c>
      <x:c r="R4891" s="3" t="b">
        <x:v>0</x:v>
      </x:c>
      <x:c r="S4891" s="3" t="b">
        <x:v>0</x:v>
      </x:c>
      <x:c r="T4891" s="3" t="b">
        <x:v>0</x:v>
      </x:c>
      <x:c r="U4891" s="2" t="str">
        <x:f>IF(T4891=TRUE,"Priority review",IF(R4891=TRUE,"High cost",IF(S4891=TRUE,"Low quality","Benchmark")))</x:f>
        <x:v>Benchmark</x:v>
      </x:c>
    </x:row>
    <x:row r="4892">
      <x:c r="A4892" s="2" t="str">
        <x:v>100107</x:v>
      </x:c>
      <x:c r="B4892" s="2" t="str">
        <x:v>HCA FLORIDA LEHIGH HOSPITAL</x:v>
      </x:c>
      <x:c r="C4892" s="2" t="str">
        <x:v>LEHIGH ACRES</x:v>
      </x:c>
      <x:c r="D4892" s="2" t="str">
        <x:v>FL</x:v>
      </x:c>
      <x:c r="E4892" s="2" t="str">
        <x:v>Acute Care Hospitals</x:v>
      </x:c>
      <x:c r="F4892" s="2" t="str">
        <x:v>Proprietary</x:v>
      </x:c>
      <x:c r="G4892" s="2" t="str">
        <x:v>Small (&lt;100 beds)</x:v>
      </x:c>
      <x:c r="H4892" s="7" t="n">
        <x:v>2</x:v>
      </x:c>
      <x:c r="I4892" s="7" t="n">
        <x:v>1</x:v>
      </x:c>
      <x:c r="J4892" s="7" t="n">
        <x:v>0.95</x:v>
      </x:c>
      <x:c r="K4892" s="8" t="n">
        <x:v>53</x:v>
      </x:c>
      <x:c r="L4892" s="8" t="n">
        <x:v>3385</x:v>
      </x:c>
      <x:c r="M4892" s="9" t="n">
        <x:v>0.5459325704</x:v>
      </x:c>
      <x:c r="N4892" s="10" t="n">
        <x:v>12618.717577548</x:v>
      </x:c>
      <x:c r="O4892" s="9" t="n">
        <x:v>0.215591664</x:v>
      </x:c>
      <x:c r="P4892" s="9" t="n">
        <x:v>0.0080789946</x:v>
      </x:c>
      <x:c r="Q4892" s="9" t="n">
        <x:v>0.0350089767</x:v>
      </x:c>
      <x:c r="R4892" s="3" t="b">
        <x:v>0</x:v>
      </x:c>
      <x:c r="S4892" s="3" t="b">
        <x:v>1</x:v>
      </x:c>
      <x:c r="T4892" s="3" t="b">
        <x:v>0</x:v>
      </x:c>
      <x:c r="U4892" s="2" t="str">
        <x:f>IF(T4892=TRUE,"Priority review",IF(R4892=TRUE,"High cost",IF(S4892=TRUE,"Low quality","Benchmark")))</x:f>
        <x:v>Low quality</x:v>
      </x:c>
    </x:row>
    <x:row r="4893">
      <x:c r="A4893" s="2" t="str">
        <x:v>100243</x:v>
      </x:c>
      <x:c r="B4893" s="2" t="str">
        <x:v>HCA FLORIDA BRANDON HOSPITAL</x:v>
      </x:c>
      <x:c r="C4893" s="2" t="str">
        <x:v>BRANDON</x:v>
      </x:c>
      <x:c r="D4893" s="2" t="str">
        <x:v>FL</x:v>
      </x:c>
      <x:c r="E4893" s="2" t="str">
        <x:v>Acute Care Hospitals</x:v>
      </x:c>
      <x:c r="F4893" s="2" t="str">
        <x:v>Proprietary</x:v>
      </x:c>
      <x:c r="G4893" s="2" t="str">
        <x:v>Large (300+ beds)</x:v>
      </x:c>
      <x:c r="H4893" s="7" t="n">
        <x:v>3</x:v>
      </x:c>
      <x:c r="I4893" s="7" t="n">
        <x:v>2</x:v>
      </x:c>
      <x:c r="J4893" s="7" t="n">
        <x:v>0.99</x:v>
      </x:c>
      <x:c r="K4893" s="8" t="n">
        <x:v>445</x:v>
      </x:c>
      <x:c r="L4893" s="8" t="n">
        <x:v>24501</x:v>
      </x:c>
      <x:c r="M4893" s="9" t="n">
        <x:v>0.7725988099</x:v>
      </x:c>
      <x:c r="N4893" s="10" t="n">
        <x:v>12439.8595567528</x:v>
      </x:c>
      <x:c r="O4893" s="9" t="n">
        <x:v>0.5307716156</x:v>
      </x:c>
      <x:c r="P4893" s="9" t="n">
        <x:v>0.0078864353</x:v>
      </x:c>
      <x:c r="Q4893" s="9" t="n">
        <x:v>0.2570977918</x:v>
      </x:c>
      <x:c r="R4893" s="3" t="b">
        <x:v>0</x:v>
      </x:c>
      <x:c r="S4893" s="3" t="b">
        <x:v>0</x:v>
      </x:c>
      <x:c r="T4893" s="3" t="b">
        <x:v>0</x:v>
      </x:c>
      <x:c r="U4893" s="2" t="str">
        <x:f>IF(T4893=TRUE,"Priority review",IF(R4893=TRUE,"High cost",IF(S4893=TRUE,"Low quality","Benchmark")))</x:f>
        <x:v>Benchmark</x:v>
      </x:c>
    </x:row>
    <x:row r="4894">
      <x:c r="A4894" s="2" t="str">
        <x:v>041305</x:v>
      </x:c>
      <x:c r="B4894" s="2" t="str">
        <x:v>MERCY HOSPITAL WALDRON</x:v>
      </x:c>
      <x:c r="C4894" s="2" t="str">
        <x:v>WALDRON</x:v>
      </x:c>
      <x:c r="D4894" s="2" t="str">
        <x:v>AR</x:v>
      </x:c>
      <x:c r="E4894" s="2" t="str">
        <x:v>Critical Access Hospitals</x:v>
      </x:c>
      <x:c r="F4894" s="2" t="str">
        <x:v>Voluntary non-profit</x:v>
      </x:c>
      <x:c r="G4894" s="2" t="str">
        <x:v>Small (&lt;100 beds)</x:v>
      </x:c>
      <x:c r="H4894" s="7"/>
      <x:c r="I4894" s="7"/>
      <x:c r="J4894" s="7"/>
      <x:c r="K4894" s="8" t="n">
        <x:v>12</x:v>
      </x:c>
      <x:c r="L4894" s="8" t="n">
        <x:v>424</x:v>
      </x:c>
      <x:c r="M4894" s="9" t="n">
        <x:v>0.4378995434</x:v>
      </x:c>
      <x:c r="N4894" s="10" t="n">
        <x:v>31184.8278301887</x:v>
      </x:c>
      <x:c r="O4894" s="9" t="n">
        <x:v>0.1190639738</x:v>
      </x:c>
      <x:c r="P4894" s="9" t="n">
        <x:v>0.0074349442</x:v>
      </x:c>
      <x:c r="Q4894" s="9" t="n">
        <x:v>0.292936803</x:v>
      </x:c>
      <x:c r="R4894" s="3" t="b">
        <x:v>0</x:v>
      </x:c>
      <x:c r="S4894" s="3" t="b">
        <x:v>0</x:v>
      </x:c>
      <x:c r="T4894" s="3" t="b">
        <x:v>0</x:v>
      </x:c>
      <x:c r="U4894" s="2" t="str">
        <x:f>IF(T4894=TRUE,"Priority review",IF(R4894=TRUE,"High cost",IF(S4894=TRUE,"Low quality","Benchmark")))</x:f>
        <x:v>Benchmark</x:v>
      </x:c>
    </x:row>
    <x:row r="4895">
      <x:c r="A4895" s="2" t="str">
        <x:v>100260</x:v>
      </x:c>
      <x:c r="B4895" s="2" t="str">
        <x:v>ST LUCIE MEDICAL CENTER</x:v>
      </x:c>
      <x:c r="C4895" s="2" t="str">
        <x:v>PORT SAINT LUCIE</x:v>
      </x:c>
      <x:c r="D4895" s="2" t="str">
        <x:v>FL</x:v>
      </x:c>
      <x:c r="E4895" s="2" t="str">
        <x:v>Acute Care Hospitals</x:v>
      </x:c>
      <x:c r="F4895" s="2" t="str">
        <x:v>Proprietary</x:v>
      </x:c>
      <x:c r="G4895" s="2" t="str">
        <x:v>Medium (100-299 beds)</x:v>
      </x:c>
      <x:c r="H4895" s="7" t="n">
        <x:v>1</x:v>
      </x:c>
      <x:c r="I4895" s="7" t="n">
        <x:v>2</x:v>
      </x:c>
      <x:c r="J4895" s="7" t="n">
        <x:v>1</x:v>
      </x:c>
      <x:c r="K4895" s="8" t="n">
        <x:v>222</x:v>
      </x:c>
      <x:c r="L4895" s="8" t="n">
        <x:v>13779</x:v>
      </x:c>
      <x:c r="M4895" s="9" t="n">
        <x:v>0.6601929799</x:v>
      </x:c>
      <x:c r="N4895" s="10" t="n">
        <x:v>8338.0698889615</x:v>
      </x:c>
      <x:c r="O4895" s="9" t="n">
        <x:v>0.6405205924</x:v>
      </x:c>
      <x:c r="P4895" s="9" t="n">
        <x:v>0.0073349633</x:v>
      </x:c>
      <x:c r="Q4895" s="9" t="n">
        <x:v>0</x:v>
      </x:c>
      <x:c r="R4895" s="3" t="b">
        <x:v>0</x:v>
      </x:c>
      <x:c r="S4895" s="3" t="b">
        <x:v>1</x:v>
      </x:c>
      <x:c r="T4895" s="3" t="b">
        <x:v>0</x:v>
      </x:c>
      <x:c r="U4895" s="2" t="str">
        <x:f>IF(T4895=TRUE,"Priority review",IF(R4895=TRUE,"High cost",IF(S4895=TRUE,"Low quality","Benchmark")))</x:f>
        <x:v>Low quality</x:v>
      </x:c>
    </x:row>
    <x:row r="4896">
      <x:c r="A4896" s="2" t="str">
        <x:v>130073</x:v>
      </x:c>
      <x:c r="B4896" s="2" t="str">
        <x:v>GROVE CREEK MEDICAL CENTER</x:v>
      </x:c>
      <x:c r="C4896" s="2" t="str">
        <x:v>BLACKFOOT</x:v>
      </x:c>
      <x:c r="D4896" s="2" t="str">
        <x:v>ID</x:v>
      </x:c>
      <x:c r="E4896" s="2" t="str">
        <x:v>Acute Care Hospitals</x:v>
      </x:c>
      <x:c r="F4896" s="2" t="str">
        <x:v>Voluntary non-profit</x:v>
      </x:c>
      <x:c r="G4896" s="2" t="str">
        <x:v>Small (&lt;100 beds)</x:v>
      </x:c>
      <x:c r="H4896" s="7"/>
      <x:c r="I4896" s="7"/>
      <x:c r="J4896" s="7"/>
      <x:c r="K4896" s="8" t="n">
        <x:v>8</x:v>
      </x:c>
      <x:c r="L4896" s="8" t="n">
        <x:v>330</x:v>
      </x:c>
      <x:c r="M4896" s="9" t="n">
        <x:v>0.4272540984</x:v>
      </x:c>
      <x:c r="N4896" s="10" t="n">
        <x:v>12613.8454545455</x:v>
      </x:c>
      <x:c r="O4896" s="9" t="n">
        <x:v>-0.3440683734</x:v>
      </x:c>
      <x:c r="P4896" s="9" t="n">
        <x:v>0.0071813285</x:v>
      </x:c>
      <x:c r="Q4896" s="9" t="n">
        <x:v>0.697486535</x:v>
      </x:c>
      <x:c r="R4896" s="3" t="b">
        <x:v>0</x:v>
      </x:c>
      <x:c r="S4896" s="3" t="b">
        <x:v>0</x:v>
      </x:c>
      <x:c r="T4896" s="3" t="b">
        <x:v>0</x:v>
      </x:c>
      <x:c r="U4896" s="2" t="str">
        <x:f>IF(T4896=TRUE,"Priority review",IF(R4896=TRUE,"High cost",IF(S4896=TRUE,"Low quality","Benchmark")))</x:f>
        <x:v>Benchmark</x:v>
      </x:c>
    </x:row>
    <x:row r="4897">
      <x:c r="A4897" s="2" t="str">
        <x:v>451395</x:v>
      </x:c>
      <x:c r="B4897" s="2" t="str">
        <x:v>HILL REGIONAL HOSPITAL</x:v>
      </x:c>
      <x:c r="C4897" s="2" t="str">
        <x:v>HILLSBORO</x:v>
      </x:c>
      <x:c r="D4897" s="2" t="str">
        <x:v>TX</x:v>
      </x:c>
      <x:c r="E4897" s="2" t="str">
        <x:v>Critical Access Hospitals</x:v>
      </x:c>
      <x:c r="F4897" s="2" t="str">
        <x:v>Voluntary non-profit</x:v>
      </x:c>
      <x:c r="G4897" s="2" t="str">
        <x:v>Small (&lt;100 beds)</x:v>
      </x:c>
      <x:c r="H4897" s="7" t="n">
        <x:v>1</x:v>
      </x:c>
      <x:c r="I4897" s="7" t="n">
        <x:v>3</x:v>
      </x:c>
      <x:c r="J4897" s="7"/>
      <x:c r="K4897" s="8" t="n">
        <x:v>25</x:v>
      </x:c>
      <x:c r="L4897" s="8" t="n">
        <x:v>1255</x:v>
      </x:c>
      <x:c r="M4897" s="9" t="n">
        <x:v>0.4365027322</x:v>
      </x:c>
      <x:c r="N4897" s="10" t="n">
        <x:v>31077.1673306773</x:v>
      </x:c>
      <x:c r="O4897" s="9" t="n">
        <x:v>0.0335184479</x:v>
      </x:c>
      <x:c r="P4897" s="9" t="n">
        <x:v>0.0066914498</x:v>
      </x:c>
      <x:c r="Q4897" s="9" t="n">
        <x:v>0</x:v>
      </x:c>
      <x:c r="R4897" s="3" t="b">
        <x:v>0</x:v>
      </x:c>
      <x:c r="S4897" s="3" t="b">
        <x:v>1</x:v>
      </x:c>
      <x:c r="T4897" s="3" t="b">
        <x:v>0</x:v>
      </x:c>
      <x:c r="U4897" s="2" t="str">
        <x:f>IF(T4897=TRUE,"Priority review",IF(R4897=TRUE,"High cost",IF(S4897=TRUE,"Low quality","Benchmark")))</x:f>
        <x:v>Low quality</x:v>
      </x:c>
    </x:row>
    <x:row r="4898">
      <x:c r="A4898" s="2" t="str">
        <x:v>400102</x:v>
      </x:c>
      <x:c r="B4898" s="2" t="str">
        <x:v>DOCTORS' CENTER BAYAMON</x:v>
      </x:c>
      <x:c r="C4898" s="2" t="str">
        <x:v>BAYAMON</x:v>
      </x:c>
      <x:c r="D4898" s="2" t="str">
        <x:v>PR</x:v>
      </x:c>
      <x:c r="E4898" s="2" t="str">
        <x:v>Acute Care Hospitals</x:v>
      </x:c>
      <x:c r="F4898" s="2" t="str">
        <x:v>Proprietary</x:v>
      </x:c>
      <x:c r="G4898" s="2" t="str">
        <x:v>Medium (100-299 beds)</x:v>
      </x:c>
      <x:c r="H4898" s="7"/>
      <x:c r="I4898" s="7" t="n">
        <x:v>2</x:v>
      </x:c>
      <x:c r="J4898" s="7"/>
      <x:c r="K4898" s="8" t="n">
        <x:v>130</x:v>
      </x:c>
      <x:c r="L4898" s="8" t="n">
        <x:v>6556</x:v>
      </x:c>
      <x:c r="M4898" s="9" t="n">
        <x:v>0.8712694409</x:v>
      </x:c>
      <x:c r="N4898" s="10" t="n">
        <x:v>7709.595942648</x:v>
      </x:c>
      <x:c r="O4898" s="9" t="n">
        <x:v>0.0365285527</x:v>
      </x:c>
      <x:c r="P4898" s="9" t="n">
        <x:v>0.0065199674</x:v>
      </x:c>
      <x:c r="Q4898" s="9" t="n">
        <x:v>0.9616951915</x:v>
      </x:c>
      <x:c r="R4898" s="3" t="b">
        <x:v>0</x:v>
      </x:c>
      <x:c r="S4898" s="3" t="b">
        <x:v>0</x:v>
      </x:c>
      <x:c r="T4898" s="3" t="b">
        <x:v>0</x:v>
      </x:c>
      <x:c r="U4898" s="2" t="str">
        <x:f>IF(T4898=TRUE,"Priority review",IF(R4898=TRUE,"High cost",IF(S4898=TRUE,"Low quality","Benchmark")))</x:f>
        <x:v>Benchmark</x:v>
      </x:c>
    </x:row>
    <x:row r="4899">
      <x:c r="A4899" s="2" t="str">
        <x:v>294010</x:v>
      </x:c>
      <x:c r="B4899" s="2" t="str">
        <x:v>SPRING MOUNTAIN SAHARA</x:v>
      </x:c>
      <x:c r="C4899" s="2" t="str">
        <x:v>LAS VEGAS</x:v>
      </x:c>
      <x:c r="D4899" s="2" t="str">
        <x:v>NV</x:v>
      </x:c>
      <x:c r="E4899" s="2" t="str">
        <x:v>Psychiatric</x:v>
      </x:c>
      <x:c r="F4899" s="2" t="str">
        <x:v>Proprietary</x:v>
      </x:c>
      <x:c r="G4899" s="2" t="str">
        <x:v>Small (&lt;100 beds)</x:v>
      </x:c>
      <x:c r="H4899" s="7"/>
      <x:c r="I4899" s="7"/>
      <x:c r="J4899" s="7"/>
      <x:c r="K4899" s="8" t="n">
        <x:v>30</x:v>
      </x:c>
      <x:c r="L4899" s="8" t="n">
        <x:v>391</x:v>
      </x:c>
      <x:c r="M4899" s="9" t="n">
        <x:v>0.4932461874</x:v>
      </x:c>
      <x:c r="N4899" s="10" t="n">
        <x:v>3691.1662404092</x:v>
      </x:c>
      <x:c r="O4899" s="9" t="n">
        <x:v>0.5180562846</x:v>
      </x:c>
      <x:c r="P4899" s="9" t="n">
        <x:v>0.0064724919</x:v>
      </x:c>
      <x:c r="Q4899" s="9" t="n">
        <x:v>0</x:v>
      </x:c>
      <x:c r="R4899" s="3" t="b">
        <x:v>0</x:v>
      </x:c>
      <x:c r="S4899" s="3" t="b">
        <x:v>0</x:v>
      </x:c>
      <x:c r="T4899" s="3" t="b">
        <x:v>0</x:v>
      </x:c>
      <x:c r="U4899" s="2" t="str">
        <x:f>IF(T4899=TRUE,"Priority review",IF(R4899=TRUE,"High cost",IF(S4899=TRUE,"Low quality","Benchmark")))</x:f>
        <x:v>Benchmark</x:v>
      </x:c>
    </x:row>
    <x:row r="4900">
      <x:c r="A4900" s="2" t="str">
        <x:v>100264</x:v>
      </x:c>
      <x:c r="B4900" s="2" t="str">
        <x:v>HCA FLORIDA OAK HILL HOSPITAL</x:v>
      </x:c>
      <x:c r="C4900" s="2" t="str">
        <x:v>BROOKSVILLE</x:v>
      </x:c>
      <x:c r="D4900" s="2" t="str">
        <x:v>FL</x:v>
      </x:c>
      <x:c r="E4900" s="2" t="str">
        <x:v>Acute Care Hospitals</x:v>
      </x:c>
      <x:c r="F4900" s="2" t="str">
        <x:v>Proprietary</x:v>
      </x:c>
      <x:c r="G4900" s="2" t="str">
        <x:v>Large (300+ beds)</x:v>
      </x:c>
      <x:c r="H4900" s="7" t="n">
        <x:v>1</x:v>
      </x:c>
      <x:c r="I4900" s="7" t="n">
        <x:v>2</x:v>
      </x:c>
      <x:c r="J4900" s="7" t="n">
        <x:v>1.03</x:v>
      </x:c>
      <x:c r="K4900" s="8" t="n">
        <x:v>349</x:v>
      </x:c>
      <x:c r="L4900" s="8" t="n">
        <x:v>20602</x:v>
      </x:c>
      <x:c r="M4900" s="9" t="n">
        <x:v>0.7177940577</x:v>
      </x:c>
      <x:c r="N4900" s="10" t="n">
        <x:v>11391.0331521212</x:v>
      </x:c>
      <x:c r="O4900" s="9" t="n">
        <x:v>0.3955974521</x:v>
      </x:c>
      <x:c r="P4900" s="9" t="n">
        <x:v>0.0063091483</x:v>
      </x:c>
      <x:c r="Q4900" s="9" t="n">
        <x:v>0</x:v>
      </x:c>
      <x:c r="R4900" s="3" t="b">
        <x:v>0</x:v>
      </x:c>
      <x:c r="S4900" s="3" t="b">
        <x:v>1</x:v>
      </x:c>
      <x:c r="T4900" s="3" t="b">
        <x:v>0</x:v>
      </x:c>
      <x:c r="U4900" s="2" t="str">
        <x:f>IF(T4900=TRUE,"Priority review",IF(R4900=TRUE,"High cost",IF(S4900=TRUE,"Low quality","Benchmark")))</x:f>
        <x:v>Low quality</x:v>
      </x:c>
    </x:row>
    <x:row r="4901">
      <x:c r="A4901" s="2" t="str">
        <x:v>390272</x:v>
      </x:c>
      <x:c r="B4901" s="2" t="str">
        <x:v>VALLEY FORGE MEDICAL CENTER</x:v>
      </x:c>
      <x:c r="C4901" s="2" t="str">
        <x:v>NORRISTOWN</x:v>
      </x:c>
      <x:c r="D4901" s="2" t="str">
        <x:v>PA</x:v>
      </x:c>
      <x:c r="E4901" s="2" t="str">
        <x:v>Acute Care Hospitals</x:v>
      </x:c>
      <x:c r="F4901" s="2" t="str">
        <x:v>Proprietary</x:v>
      </x:c>
      <x:c r="G4901" s="2" t="str">
        <x:v>Small (&lt;100 beds)</x:v>
      </x:c>
      <x:c r="H4901" s="7"/>
      <x:c r="I4901" s="7"/>
      <x:c r="J4901" s="7" t="n">
        <x:v>0.88</x:v>
      </x:c>
      <x:c r="K4901" s="8" t="n">
        <x:v>70</x:v>
      </x:c>
      <x:c r="L4901" s="8" t="n">
        <x:v>2434</x:v>
      </x:c>
      <x:c r="M4901" s="9" t="n">
        <x:v>0.9728767123</x:v>
      </x:c>
      <x:c r="N4901" s="10" t="n">
        <x:v>12286.9511092851</x:v>
      </x:c>
      <x:c r="O4901" s="9" t="n">
        <x:v>-0.0135254144</x:v>
      </x:c>
      <x:c r="P4901" s="9" t="n">
        <x:v>0.0062836625</x:v>
      </x:c>
      <x:c r="Q4901" s="9" t="n">
        <x:v>0.697486535</x:v>
      </x:c>
      <x:c r="R4901" s="3" t="b">
        <x:v>0</x:v>
      </x:c>
      <x:c r="S4901" s="3" t="b">
        <x:v>0</x:v>
      </x:c>
      <x:c r="T4901" s="3" t="b">
        <x:v>0</x:v>
      </x:c>
      <x:c r="U4901" s="2" t="str">
        <x:f>IF(T4901=TRUE,"Priority review",IF(R4901=TRUE,"High cost",IF(S4901=TRUE,"Low quality","Benchmark")))</x:f>
        <x:v>Benchmark</x:v>
      </x:c>
    </x:row>
    <x:row r="4902">
      <x:c r="A4902" s="2" t="str">
        <x:v>381304</x:v>
      </x:c>
      <x:c r="B4902" s="2" t="str">
        <x:v>SOUTHERN COOS HOSPITAL &amp; HEALTH CENTER</x:v>
      </x:c>
      <x:c r="C4902" s="2" t="str">
        <x:v>BANDON</x:v>
      </x:c>
      <x:c r="D4902" s="2" t="str">
        <x:v>OR</x:v>
      </x:c>
      <x:c r="E4902" s="2" t="str">
        <x:v>Critical Access Hospitals</x:v>
      </x:c>
      <x:c r="F4902" s="2" t="str">
        <x:v>Government</x:v>
      </x:c>
      <x:c r="G4902" s="2" t="str">
        <x:v>Small (&lt;100 beds)</x:v>
      </x:c>
      <x:c r="H4902" s="7" t="n">
        <x:v>2</x:v>
      </x:c>
      <x:c r="I4902" s="7"/>
      <x:c r="J4902" s="7"/>
      <x:c r="K4902" s="8" t="n">
        <x:v>17</x:v>
      </x:c>
      <x:c r="L4902" s="8" t="n">
        <x:v>1052</x:v>
      </x:c>
      <x:c r="M4902" s="9" t="n">
        <x:v>0.46365834</x:v>
      </x:c>
      <x:c r="N4902" s="10" t="n">
        <x:v>30609.6140684411</x:v>
      </x:c>
      <x:c r="O4902" s="9" t="n">
        <x:v>-0.1341808723</x:v>
      </x:c>
      <x:c r="P4902" s="9" t="n">
        <x:v>0.0059479554</x:v>
      </x:c>
      <x:c r="Q4902" s="9" t="n">
        <x:v>0.0171003717</x:v>
      </x:c>
      <x:c r="R4902" s="3" t="b">
        <x:v>0</x:v>
      </x:c>
      <x:c r="S4902" s="3" t="b">
        <x:v>1</x:v>
      </x:c>
      <x:c r="T4902" s="3" t="b">
        <x:v>0</x:v>
      </x:c>
      <x:c r="U4902" s="2" t="str">
        <x:f>IF(T4902=TRUE,"Priority review",IF(R4902=TRUE,"High cost",IF(S4902=TRUE,"Low quality","Benchmark")))</x:f>
        <x:v>Low quality</x:v>
      </x:c>
    </x:row>
    <x:row r="4903">
      <x:c r="A4903" s="2" t="str">
        <x:v>400112</x:v>
      </x:c>
      <x:c r="B4903" s="2" t="str">
        <x:v>HOSPITAL UPR, DR  FEDERICO TRILLA</x:v>
      </x:c>
      <x:c r="C4903" s="2" t="str">
        <x:v>CAROLINA</x:v>
      </x:c>
      <x:c r="D4903" s="2" t="str">
        <x:v>PR</x:v>
      </x:c>
      <x:c r="E4903" s="2" t="str">
        <x:v>Acute Care Hospitals</x:v>
      </x:c>
      <x:c r="F4903" s="2" t="str">
        <x:v>Voluntary non-profit</x:v>
      </x:c>
      <x:c r="G4903" s="2" t="str">
        <x:v>Medium (100-299 beds)</x:v>
      </x:c>
      <x:c r="H4903" s="7"/>
      <x:c r="I4903" s="7"/>
      <x:c r="J4903" s="7"/>
      <x:c r="K4903" s="8" t="n">
        <x:v>212</x:v>
      </x:c>
      <x:c r="L4903" s="8" t="n">
        <x:v>9148</x:v>
      </x:c>
      <x:c r="M4903" s="9" t="n">
        <x:v>0.7024812613</x:v>
      </x:c>
      <x:c r="N4903" s="10" t="n">
        <x:v>7582.4382378662</x:v>
      </x:c>
      <x:c r="O4903" s="9" t="n">
        <x:v>-0.0761775205</x:v>
      </x:c>
      <x:c r="P4903" s="9" t="n">
        <x:v>0.0057049715</x:v>
      </x:c>
      <x:c r="Q4903" s="9" t="n">
        <x:v>0.9616951915</x:v>
      </x:c>
      <x:c r="R4903" s="3" t="b">
        <x:v>0</x:v>
      </x:c>
      <x:c r="S4903" s="3" t="b">
        <x:v>0</x:v>
      </x:c>
      <x:c r="T4903" s="3" t="b">
        <x:v>0</x:v>
      </x:c>
      <x:c r="U4903" s="2" t="str">
        <x:f>IF(T4903=TRUE,"Priority review",IF(R4903=TRUE,"High cost",IF(S4903=TRUE,"Low quality","Benchmark")))</x:f>
        <x:v>Benchmark</x:v>
      </x:c>
    </x:row>
    <x:row r="4904">
      <x:c r="A4904" s="2" t="str">
        <x:v>400110</x:v>
      </x:c>
      <x:c r="B4904" s="2" t="str">
        <x:v>HOSPITAL PAVIA YAUCO</x:v>
      </x:c>
      <x:c r="C4904" s="2" t="str">
        <x:v>YAUCO</x:v>
      </x:c>
      <x:c r="D4904" s="2" t="str">
        <x:v>PR</x:v>
      </x:c>
      <x:c r="E4904" s="2" t="str">
        <x:v>Acute Care Hospitals</x:v>
      </x:c>
      <x:c r="F4904" s="2" t="str">
        <x:v>Proprietary</x:v>
      </x:c>
      <x:c r="G4904" s="2" t="str">
        <x:v>Small (&lt;100 beds)</x:v>
      </x:c>
      <x:c r="H4904" s="7"/>
      <x:c r="I4904" s="7"/>
      <x:c r="J4904" s="7"/>
      <x:c r="K4904" s="8" t="n">
        <x:v>73</x:v>
      </x:c>
      <x:c r="L4904" s="8" t="n">
        <x:v>2175</x:v>
      </x:c>
      <x:c r="M4904" s="9" t="n">
        <x:v>0.371958979</x:v>
      </x:c>
      <x:c r="N4904" s="10" t="n">
        <x:v>11872.3705747126</x:v>
      </x:c>
      <x:c r="O4904" s="9" t="n">
        <x:v>-0.0484960154</x:v>
      </x:c>
      <x:c r="P4904" s="9" t="n">
        <x:v>0.0053859964</x:v>
      </x:c>
      <x:c r="Q4904" s="9" t="n">
        <x:v>0.697486535</x:v>
      </x:c>
      <x:c r="R4904" s="3" t="b">
        <x:v>0</x:v>
      </x:c>
      <x:c r="S4904" s="3" t="b">
        <x:v>0</x:v>
      </x:c>
      <x:c r="T4904" s="3" t="b">
        <x:v>0</x:v>
      </x:c>
      <x:c r="U4904" s="2" t="str">
        <x:f>IF(T4904=TRUE,"Priority review",IF(R4904=TRUE,"High cost",IF(S4904=TRUE,"Low quality","Benchmark")))</x:f>
        <x:v>Benchmark</x:v>
      </x:c>
    </x:row>
    <x:row r="4905">
      <x:c r="A4905" s="2" t="str">
        <x:v>291311</x:v>
      </x:c>
      <x:c r="B4905" s="2" t="str">
        <x:v>DESERT VIEW HOSPITAL</x:v>
      </x:c>
      <x:c r="C4905" s="2" t="str">
        <x:v>PAHRUMP</x:v>
      </x:c>
      <x:c r="D4905" s="2" t="str">
        <x:v>NV</x:v>
      </x:c>
      <x:c r="E4905" s="2" t="str">
        <x:v>Critical Access Hospitals</x:v>
      </x:c>
      <x:c r="F4905" s="2" t="str">
        <x:v>Proprietary</x:v>
      </x:c>
      <x:c r="G4905" s="2" t="str">
        <x:v>Small (&lt;100 beds)</x:v>
      </x:c>
      <x:c r="H4905" s="7" t="n">
        <x:v>2</x:v>
      </x:c>
      <x:c r="I4905" s="7" t="n">
        <x:v>2</x:v>
      </x:c>
      <x:c r="J4905" s="7"/>
      <x:c r="K4905" s="8" t="n">
        <x:v>25</x:v>
      </x:c>
      <x:c r="L4905" s="8" t="n">
        <x:v>1266</x:v>
      </x:c>
      <x:c r="M4905" s="9" t="n">
        <x:v>0.3898360656</x:v>
      </x:c>
      <x:c r="N4905" s="10" t="n">
        <x:v>29222.1097946288</x:v>
      </x:c>
      <x:c r="O4905" s="9" t="n">
        <x:v>0.2188847916</x:v>
      </x:c>
      <x:c r="P4905" s="9" t="n">
        <x:v>0.005204461</x:v>
      </x:c>
      <x:c r="Q4905" s="9" t="n">
        <x:v>0.0171003717</x:v>
      </x:c>
      <x:c r="R4905" s="3" t="b">
        <x:v>0</x:v>
      </x:c>
      <x:c r="S4905" s="3" t="b">
        <x:v>1</x:v>
      </x:c>
      <x:c r="T4905" s="3" t="b">
        <x:v>0</x:v>
      </x:c>
      <x:c r="U4905" s="2" t="str">
        <x:f>IF(T4905=TRUE,"Priority review",IF(R4905=TRUE,"High cost",IF(S4905=TRUE,"Low quality","Benchmark")))</x:f>
        <x:v>Low quality</x:v>
      </x:c>
    </x:row>
    <x:row r="4906">
      <x:c r="A4906" s="2" t="str">
        <x:v>404004</x:v>
      </x:c>
      <x:c r="B4906" s="2" t="str">
        <x:v>FIRST HOSPITAL PANAMERICANO</x:v>
      </x:c>
      <x:c r="C4906" s="2" t="str">
        <x:v>CIDRA</x:v>
      </x:c>
      <x:c r="D4906" s="2" t="str">
        <x:v>PR</x:v>
      </x:c>
      <x:c r="E4906" s="2" t="str">
        <x:v>Psychiatric</x:v>
      </x:c>
      <x:c r="F4906" s="2" t="str">
        <x:v>Proprietary</x:v>
      </x:c>
      <x:c r="G4906" s="2" t="str">
        <x:v>Medium (100-299 beds)</x:v>
      </x:c>
      <x:c r="H4906" s="7"/>
      <x:c r="I4906" s="7"/>
      <x:c r="J4906" s="7"/>
      <x:c r="K4906" s="8" t="n">
        <x:v>216</x:v>
      </x:c>
      <x:c r="L4906" s="8" t="n">
        <x:v>7958</x:v>
      </x:c>
      <x:c r="M4906" s="9" t="n">
        <x:v>0.7227408419</x:v>
      </x:c>
      <x:c r="N4906" s="10" t="n">
        <x:v>4476.2663985926</x:v>
      </x:c>
      <x:c r="O4906" s="9" t="n">
        <x:v>-0.0623852177</x:v>
      </x:c>
      <x:c r="P4906" s="9" t="n">
        <x:v>0.0049751244</x:v>
      </x:c>
      <x:c r="Q4906" s="9" t="n">
        <x:v>0</x:v>
      </x:c>
      <x:c r="R4906" s="3" t="b">
        <x:v>0</x:v>
      </x:c>
      <x:c r="S4906" s="3" t="b">
        <x:v>0</x:v>
      </x:c>
      <x:c r="T4906" s="3" t="b">
        <x:v>0</x:v>
      </x:c>
      <x:c r="U4906" s="2" t="str">
        <x:f>IF(T4906=TRUE,"Priority review",IF(R4906=TRUE,"High cost",IF(S4906=TRUE,"Low quality","Benchmark")))</x:f>
        <x:v>Benchmark</x:v>
      </x:c>
    </x:row>
    <x:row r="4907">
      <x:c r="A4907" s="2" t="str">
        <x:v>400118</x:v>
      </x:c>
      <x:c r="B4907" s="2" t="str">
        <x:v>DOCTORS' CENTER HOSPITAL, INC</x:v>
      </x:c>
      <x:c r="C4907" s="2" t="str">
        <x:v>MANATI</x:v>
      </x:c>
      <x:c r="D4907" s="2" t="str">
        <x:v>PR</x:v>
      </x:c>
      <x:c r="E4907" s="2" t="str">
        <x:v>Acute Care Hospitals</x:v>
      </x:c>
      <x:c r="F4907" s="2" t="str">
        <x:v>Proprietary</x:v>
      </x:c>
      <x:c r="G4907" s="2" t="str">
        <x:v>Medium (100-299 beds)</x:v>
      </x:c>
      <x:c r="H4907" s="7" t="n">
        <x:v>1</x:v>
      </x:c>
      <x:c r="I4907" s="7" t="n">
        <x:v>2</x:v>
      </x:c>
      <x:c r="J4907" s="7"/>
      <x:c r="K4907" s="8" t="n">
        <x:v>257</x:v>
      </x:c>
      <x:c r="L4907" s="8" t="n">
        <x:v>14535</x:v>
      </x:c>
      <x:c r="M4907" s="9" t="n">
        <x:v>0.9007675788</x:v>
      </x:c>
      <x:c r="N4907" s="10" t="n">
        <x:v>7530.7312693498</x:v>
      </x:c>
      <x:c r="O4907" s="9" t="n">
        <x:v>0.0521102284</x:v>
      </x:c>
      <x:c r="P4907" s="9" t="n">
        <x:v>0.0048899756</x:v>
      </x:c>
      <x:c r="Q4907" s="9" t="n">
        <x:v>0</x:v>
      </x:c>
      <x:c r="R4907" s="3" t="b">
        <x:v>0</x:v>
      </x:c>
      <x:c r="S4907" s="3" t="b">
        <x:v>1</x:v>
      </x:c>
      <x:c r="T4907" s="3" t="b">
        <x:v>0</x:v>
      </x:c>
      <x:c r="U4907" s="2" t="str">
        <x:f>IF(T4907=TRUE,"Priority review",IF(R4907=TRUE,"High cost",IF(S4907=TRUE,"Low quality","Benchmark")))</x:f>
        <x:v>Low quality</x:v>
      </x:c>
    </x:row>
    <x:row r="4908">
      <x:c r="A4908" s="2" t="str">
        <x:v>400044</x:v>
      </x:c>
      <x:c r="B4908" s="2" t="str">
        <x:v>HOSPITAL EPISCOPAL SAN LUCAS II</x:v>
      </x:c>
      <x:c r="C4908" s="2" t="str">
        <x:v>PONCE</x:v>
      </x:c>
      <x:c r="D4908" s="2" t="str">
        <x:v>PR</x:v>
      </x:c>
      <x:c r="E4908" s="2" t="str">
        <x:v>Acute Care Hospitals</x:v>
      </x:c>
      <x:c r="F4908" s="2" t="str">
        <x:v>Voluntary non-profit</x:v>
      </x:c>
      <x:c r="G4908" s="2" t="str">
        <x:v>Large (300+ beds)</x:v>
      </x:c>
      <x:c r="H4908" s="7"/>
      <x:c r="I4908" s="7"/>
      <x:c r="J4908" s="7"/>
      <x:c r="K4908" s="8" t="n">
        <x:v>336</x:v>
      </x:c>
      <x:c r="L4908" s="8" t="n">
        <x:v>14866</x:v>
      </x:c>
      <x:c r="M4908" s="9" t="n">
        <x:v>0.6761075332</x:v>
      </x:c>
      <x:c r="N4908" s="10" t="n">
        <x:v>10748.6664872864</x:v>
      </x:c>
      <x:c r="O4908" s="9" t="n">
        <x:v>0.0162243278</x:v>
      </x:c>
      <x:c r="P4908" s="9" t="n">
        <x:v>0.0047318612</x:v>
      </x:c>
      <x:c r="Q4908" s="9" t="n">
        <x:v>0.9952681388</x:v>
      </x:c>
      <x:c r="R4908" s="3" t="b">
        <x:v>0</x:v>
      </x:c>
      <x:c r="S4908" s="3" t="b">
        <x:v>0</x:v>
      </x:c>
      <x:c r="T4908" s="3" t="b">
        <x:v>0</x:v>
      </x:c>
      <x:c r="U4908" s="2" t="str">
        <x:f>IF(T4908=TRUE,"Priority review",IF(R4908=TRUE,"High cost",IF(S4908=TRUE,"Low quality","Benchmark")))</x:f>
        <x:v>Benchmark</x:v>
      </x:c>
    </x:row>
    <x:row r="4909">
      <x:c r="A4909" s="2" t="str">
        <x:v>040069</x:v>
      </x:c>
      <x:c r="B4909" s="2" t="str">
        <x:v>GREAT RIVER MEDICAL CENTER</x:v>
      </x:c>
      <x:c r="C4909" s="2" t="str">
        <x:v>BLYTHEVILLE</x:v>
      </x:c>
      <x:c r="D4909" s="2" t="str">
        <x:v>AR</x:v>
      </x:c>
      <x:c r="E4909" s="2" t="str">
        <x:v>Acute Care Hospitals</x:v>
      </x:c>
      <x:c r="F4909" s="2" t="str">
        <x:v>Government</x:v>
      </x:c>
      <x:c r="G4909" s="2" t="str">
        <x:v>Small (&lt;100 beds)</x:v>
      </x:c>
      <x:c r="H4909" s="7" t="n">
        <x:v>2</x:v>
      </x:c>
      <x:c r="I4909" s="7"/>
      <x:c r="J4909" s="7" t="n">
        <x:v>1.16</x:v>
      </x:c>
      <x:c r="K4909" s="8" t="n">
        <x:v>34</x:v>
      </x:c>
      <x:c r="L4909" s="8" t="n">
        <x:v>2553</x:v>
      </x:c>
      <x:c r="M4909" s="9" t="n">
        <x:v>0.2417229187</x:v>
      </x:c>
      <x:c r="N4909" s="10" t="n">
        <x:v>10585.5166470819</x:v>
      </x:c>
      <x:c r="O4909" s="9" t="n">
        <x:v>-0.4813695124</x:v>
      </x:c>
      <x:c r="P4909" s="9" t="n">
        <x:v>0.0044883303</x:v>
      </x:c>
      <x:c r="Q4909" s="9" t="n">
        <x:v>0.0350089767</x:v>
      </x:c>
      <x:c r="R4909" s="3" t="b">
        <x:v>0</x:v>
      </x:c>
      <x:c r="S4909" s="3" t="b">
        <x:v>1</x:v>
      </x:c>
      <x:c r="T4909" s="3" t="b">
        <x:v>0</x:v>
      </x:c>
      <x:c r="U4909" s="2" t="str">
        <x:f>IF(T4909=TRUE,"Priority review",IF(R4909=TRUE,"High cost",IF(S4909=TRUE,"Low quality","Benchmark")))</x:f>
        <x:v>Low quality</x:v>
      </x:c>
    </x:row>
    <x:row r="4910">
      <x:c r="A4910" s="2" t="str">
        <x:v>501318</x:v>
      </x:c>
      <x:c r="B4910" s="2" t="str">
        <x:v>OTHELLO COMMUNITY HOSPITAL</x:v>
      </x:c>
      <x:c r="C4910" s="2" t="str">
        <x:v>OTHELLO</x:v>
      </x:c>
      <x:c r="D4910" s="2" t="str">
        <x:v>WA</x:v>
      </x:c>
      <x:c r="E4910" s="2" t="str">
        <x:v>Critical Access Hospitals</x:v>
      </x:c>
      <x:c r="F4910" s="2" t="str">
        <x:v>Government</x:v>
      </x:c>
      <x:c r="G4910" s="2" t="str">
        <x:v>Small (&lt;100 beds)</x:v>
      </x:c>
      <x:c r="H4910" s="7"/>
      <x:c r="I4910" s="7"/>
      <x:c r="J4910" s="7"/>
      <x:c r="K4910" s="8" t="n">
        <x:v>16</x:v>
      </x:c>
      <x:c r="L4910" s="8" t="n">
        <x:v>944</x:v>
      </x:c>
      <x:c r="M4910" s="9" t="n">
        <x:v>0.2699795082</x:v>
      </x:c>
      <x:c r="N4910" s="10" t="n">
        <x:v>28109.8612288136</x:v>
      </x:c>
      <x:c r="O4910" s="9" t="n">
        <x:v>-0.1773330293</x:v>
      </x:c>
      <x:c r="P4910" s="9" t="n">
        <x:v>0.0044609665</x:v>
      </x:c>
      <x:c r="Q4910" s="9" t="n">
        <x:v>0.292936803</x:v>
      </x:c>
      <x:c r="R4910" s="3" t="b">
        <x:v>0</x:v>
      </x:c>
      <x:c r="S4910" s="3" t="b">
        <x:v>0</x:v>
      </x:c>
      <x:c r="T4910" s="3" t="b">
        <x:v>0</x:v>
      </x:c>
      <x:c r="U4910" s="2" t="str">
        <x:f>IF(T4910=TRUE,"Priority review",IF(R4910=TRUE,"High cost",IF(S4910=TRUE,"Low quality","Benchmark")))</x:f>
        <x:v>Benchmark</x:v>
      </x:c>
    </x:row>
    <x:row r="4911">
      <x:c r="A4911" s="2" t="str">
        <x:v>400006</x:v>
      </x:c>
      <x:c r="B4911" s="2" t="str">
        <x:v>DOCTORS' CENTER HOSPITAL SAN JUAN</x:v>
      </x:c>
      <x:c r="C4911" s="2" t="str">
        <x:v>SANTURCE</x:v>
      </x:c>
      <x:c r="D4911" s="2" t="str">
        <x:v>PR</x:v>
      </x:c>
      <x:c r="E4911" s="2" t="str">
        <x:v>Acute Care Hospitals</x:v>
      </x:c>
      <x:c r="F4911" s="2" t="str">
        <x:v>Proprietary</x:v>
      </x:c>
      <x:c r="G4911" s="2" t="str">
        <x:v>Medium (100-299 beds)</x:v>
      </x:c>
      <x:c r="H4911" s="7"/>
      <x:c r="I4911" s="7" t="n">
        <x:v>2</x:v>
      </x:c>
      <x:c r="J4911" s="7"/>
      <x:c r="K4911" s="8" t="n">
        <x:v>110</x:v>
      </x:c>
      <x:c r="L4911" s="8" t="n">
        <x:v>5542</x:v>
      </x:c>
      <x:c r="M4911" s="9" t="n">
        <x:v>0.7255837059</x:v>
      </x:c>
      <x:c r="N4911" s="10" t="n">
        <x:v>6956.2105738001</x:v>
      </x:c>
      <x:c r="O4911" s="9" t="n">
        <x:v>0.0157917261</x:v>
      </x:c>
      <x:c r="P4911" s="9" t="n">
        <x:v>0.0040749796</x:v>
      </x:c>
      <x:c r="Q4911" s="9" t="n">
        <x:v>0.9616951915</x:v>
      </x:c>
      <x:c r="R4911" s="3" t="b">
        <x:v>0</x:v>
      </x:c>
      <x:c r="S4911" s="3" t="b">
        <x:v>0</x:v>
      </x:c>
      <x:c r="T4911" s="3" t="b">
        <x:v>0</x:v>
      </x:c>
      <x:c r="U4911" s="2" t="str">
        <x:f>IF(T4911=TRUE,"Priority review",IF(R4911=TRUE,"High cost",IF(S4911=TRUE,"Low quality","Benchmark")))</x:f>
        <x:v>Benchmark</x:v>
      </x:c>
    </x:row>
    <x:row r="4912">
      <x:c r="A4912" s="2" t="str">
        <x:v>111310</x:v>
      </x:c>
      <x:c r="B4912" s="2" t="str">
        <x:v>ATRIUM HEALTH NAVICENT PEACH</x:v>
      </x:c>
      <x:c r="C4912" s="2" t="str">
        <x:v>BYRON</x:v>
      </x:c>
      <x:c r="D4912" s="2" t="str">
        <x:v>GA</x:v>
      </x:c>
      <x:c r="E4912" s="2" t="str">
        <x:v>Critical Access Hospitals</x:v>
      </x:c>
      <x:c r="F4912" s="2" t="str">
        <x:v>Voluntary non-profit</x:v>
      </x:c>
      <x:c r="G4912" s="2" t="str">
        <x:v>Small (&lt;100 beds)</x:v>
      </x:c>
      <x:c r="H4912" s="7" t="n">
        <x:v>1</x:v>
      </x:c>
      <x:c r="I4912" s="7" t="n">
        <x:v>4</x:v>
      </x:c>
      <x:c r="J4912" s="7"/>
      <x:c r="K4912" s="8" t="n">
        <x:v>25</x:v>
      </x:c>
      <x:c r="L4912" s="8" t="n">
        <x:v>1378</x:v>
      </x:c>
      <x:c r="M4912" s="9" t="n">
        <x:v>0.6560655738</x:v>
      </x:c>
      <x:c r="N4912" s="10" t="n">
        <x:v>27722.0493468795</x:v>
      </x:c>
      <x:c r="O4912" s="9" t="n">
        <x:v>0.0975459007</x:v>
      </x:c>
      <x:c r="P4912" s="9" t="n">
        <x:v>0.0037174721</x:v>
      </x:c>
      <x:c r="Q4912" s="9" t="n">
        <x:v>0</x:v>
      </x:c>
      <x:c r="R4912" s="3" t="b">
        <x:v>0</x:v>
      </x:c>
      <x:c r="S4912" s="3" t="b">
        <x:v>1</x:v>
      </x:c>
      <x:c r="T4912" s="3" t="b">
        <x:v>0</x:v>
      </x:c>
      <x:c r="U4912" s="2" t="str">
        <x:f>IF(T4912=TRUE,"Priority review",IF(R4912=TRUE,"High cost",IF(S4912=TRUE,"Low quality","Benchmark")))</x:f>
        <x:v>Low quality</x:v>
      </x:c>
    </x:row>
    <x:row r="4913">
      <x:c r="A4913" s="2" t="str">
        <x:v>400115</x:v>
      </x:c>
      <x:c r="B4913" s="2" t="str">
        <x:v>CENTRO MEDICO WILMA N VAZQUEZ</x:v>
      </x:c>
      <x:c r="C4913" s="2" t="str">
        <x:v>VEGA BAJA</x:v>
      </x:c>
      <x:c r="D4913" s="2" t="str">
        <x:v>PR</x:v>
      </x:c>
      <x:c r="E4913" s="2" t="str">
        <x:v>Acute Care Hospitals</x:v>
      </x:c>
      <x:c r="F4913" s="2" t="str">
        <x:v>Proprietary</x:v>
      </x:c>
      <x:c r="G4913" s="2" t="str">
        <x:v>Small (&lt;100 beds)</x:v>
      </x:c>
      <x:c r="H4913" s="7"/>
      <x:c r="I4913" s="7"/>
      <x:c r="J4913" s="7"/>
      <x:c r="K4913" s="8" t="n">
        <x:v>92</x:v>
      </x:c>
      <x:c r="L4913" s="8" t="n">
        <x:v>3805</x:v>
      </x:c>
      <x:c r="M4913" s="9" t="n">
        <x:v>0.6058149204</x:v>
      </x:c>
      <x:c r="N4913" s="10" t="n">
        <x:v>10408.2021024967</x:v>
      </x:c>
      <x:c r="O4913" s="9" t="n">
        <x:v>0.0665351861</x:v>
      </x:c>
      <x:c r="P4913" s="9" t="n">
        <x:v>0.0035906643</x:v>
      </x:c>
      <x:c r="Q4913" s="9" t="n">
        <x:v>0.697486535</x:v>
      </x:c>
      <x:c r="R4913" s="3" t="b">
        <x:v>0</x:v>
      </x:c>
      <x:c r="S4913" s="3" t="b">
        <x:v>0</x:v>
      </x:c>
      <x:c r="T4913" s="3" t="b">
        <x:v>0</x:v>
      </x:c>
      <x:c r="U4913" s="2" t="str">
        <x:f>IF(T4913=TRUE,"Priority review",IF(R4913=TRUE,"High cost",IF(S4913=TRUE,"Low quality","Benchmark")))</x:f>
        <x:v>Benchmark</x:v>
      </x:c>
    </x:row>
    <x:row r="4914">
      <x:c r="A4914" s="2" t="str">
        <x:v>400132</x:v>
      </x:c>
      <x:c r="B4914" s="2" t="str">
        <x:v>DOCTORS CENTER HOSPITAL  CAROLINA LLC</x:v>
      </x:c>
      <x:c r="C4914" s="2" t="str">
        <x:v>CAROLINA</x:v>
      </x:c>
      <x:c r="D4914" s="2" t="str">
        <x:v>PR</x:v>
      </x:c>
      <x:c r="E4914" s="2" t="str">
        <x:v>Acute Care Hospitals</x:v>
      </x:c>
      <x:c r="F4914" s="2" t="str">
        <x:v>Proprietary</x:v>
      </x:c>
      <x:c r="G4914" s="2" t="str">
        <x:v>Medium (100-299 beds)</x:v>
      </x:c>
      <x:c r="H4914" s="7"/>
      <x:c r="I4914" s="7" t="n">
        <x:v>2</x:v>
      </x:c>
      <x:c r="J4914" s="7"/>
      <x:c r="K4914" s="8" t="n">
        <x:v>109</x:v>
      </x:c>
      <x:c r="L4914" s="8" t="n">
        <x:v>6644</x:v>
      </x:c>
      <x:c r="M4914" s="9" t="n">
        <x:v>0.8509800973</x:v>
      </x:c>
      <x:c r="N4914" s="10" t="n">
        <x:v>6218.8148705599</x:v>
      </x:c>
      <x:c r="O4914" s="9" t="n">
        <x:v>0.000904795</x:v>
      </x:c>
      <x:c r="P4914" s="9" t="n">
        <x:v>0.0032599837</x:v>
      </x:c>
      <x:c r="Q4914" s="9" t="n">
        <x:v>0.9616951915</x:v>
      </x:c>
      <x:c r="R4914" s="3" t="b">
        <x:v>0</x:v>
      </x:c>
      <x:c r="S4914" s="3" t="b">
        <x:v>0</x:v>
      </x:c>
      <x:c r="T4914" s="3" t="b">
        <x:v>0</x:v>
      </x:c>
      <x:c r="U4914" s="2" t="str">
        <x:f>IF(T4914=TRUE,"Priority review",IF(R4914=TRUE,"High cost",IF(S4914=TRUE,"Low quality","Benchmark")))</x:f>
        <x:v>Benchmark</x:v>
      </x:c>
    </x:row>
    <x:row r="4915">
      <x:c r="A4915" s="2" t="str">
        <x:v>324012</x:v>
      </x:c>
      <x:c r="B4915" s="2" t="str">
        <x:v>PEAK BEHAVIORAL HEALTH SERVICES, LLC</x:v>
      </x:c>
      <x:c r="C4915" s="2" t="str">
        <x:v>SANTA TERESA</x:v>
      </x:c>
      <x:c r="D4915" s="2" t="str">
        <x:v>NM</x:v>
      </x:c>
      <x:c r="E4915" s="2" t="str">
        <x:v>Psychiatric</x:v>
      </x:c>
      <x:c r="F4915" s="2" t="str">
        <x:v>Proprietary</x:v>
      </x:c>
      <x:c r="G4915" s="2" t="str">
        <x:v>Small (&lt;100 beds)</x:v>
      </x:c>
      <x:c r="H4915" s="7"/>
      <x:c r="I4915" s="7"/>
      <x:c r="J4915" s="7"/>
      <x:c r="K4915" s="8" t="n">
        <x:v>88</x:v>
      </x:c>
      <x:c r="L4915" s="8" t="n">
        <x:v>18574</x:v>
      </x:c>
      <x:c r="M4915" s="9" t="n">
        <x:v>0.6656731247</x:v>
      </x:c>
      <x:c r="N4915" s="10" t="n">
        <x:v>1844.1793367072</x:v>
      </x:c>
      <x:c r="O4915" s="9" t="n">
        <x:v>0.1523750757</x:v>
      </x:c>
      <x:c r="P4915" s="9" t="n">
        <x:v>0.003236246</x:v>
      </x:c>
      <x:c r="Q4915" s="9" t="n">
        <x:v>0</x:v>
      </x:c>
      <x:c r="R4915" s="3" t="b">
        <x:v>0</x:v>
      </x:c>
      <x:c r="S4915" s="3" t="b">
        <x:v>0</x:v>
      </x:c>
      <x:c r="T4915" s="3" t="b">
        <x:v>0</x:v>
      </x:c>
      <x:c r="U4915" s="2" t="str">
        <x:f>IF(T4915=TRUE,"Priority review",IF(R4915=TRUE,"High cost",IF(S4915=TRUE,"Low quality","Benchmark")))</x:f>
        <x:v>Benchmark</x:v>
      </x:c>
    </x:row>
    <x:row r="4916">
      <x:c r="A4916" s="2" t="str">
        <x:v>180038</x:v>
      </x:c>
      <x:c r="B4916" s="2" t="str">
        <x:v>OWENSBORO HEALTH REGIONAL HOSPITAL</x:v>
      </x:c>
      <x:c r="C4916" s="2" t="str">
        <x:v>OWENSBORO</x:v>
      </x:c>
      <x:c r="D4916" s="2" t="str">
        <x:v>KY</x:v>
      </x:c>
      <x:c r="E4916" s="2" t="str">
        <x:v>Acute Care Hospitals</x:v>
      </x:c>
      <x:c r="F4916" s="2" t="str">
        <x:v>Voluntary non-profit</x:v>
      </x:c>
      <x:c r="G4916" s="2" t="str">
        <x:v>Large (300+ beds)</x:v>
      </x:c>
      <x:c r="H4916" s="7" t="n">
        <x:v>2</x:v>
      </x:c>
      <x:c r="I4916" s="7" t="n">
        <x:v>3</x:v>
      </x:c>
      <x:c r="J4916" s="7" t="n">
        <x:v>0.97</x:v>
      </x:c>
      <x:c r="K4916" s="8" t="n">
        <x:v>302</x:v>
      </x:c>
      <x:c r="L4916" s="8" t="n">
        <x:v>67325</x:v>
      </x:c>
      <x:c r="M4916" s="9" t="n">
        <x:v>0.5461489613</x:v>
      </x:c>
      <x:c r="N4916" s="10" t="n">
        <x:v>9562.6037578908</x:v>
      </x:c>
      <x:c r="O4916" s="9" t="n">
        <x:v>0.1494151962</x:v>
      </x:c>
      <x:c r="P4916" s="9" t="n">
        <x:v>0.0031545741</x:v>
      </x:c>
      <x:c r="Q4916" s="9" t="n">
        <x:v>0.0536277603</x:v>
      </x:c>
      <x:c r="R4916" s="3" t="b">
        <x:v>0</x:v>
      </x:c>
      <x:c r="S4916" s="3" t="b">
        <x:v>1</x:v>
      </x:c>
      <x:c r="T4916" s="3" t="b">
        <x:v>0</x:v>
      </x:c>
      <x:c r="U4916" s="2" t="str">
        <x:f>IF(T4916=TRUE,"Priority review",IF(R4916=TRUE,"High cost",IF(S4916=TRUE,"Low quality","Benchmark")))</x:f>
        <x:v>Low quality</x:v>
      </x:c>
    </x:row>
    <x:row r="4917">
      <x:c r="A4917" s="2" t="str">
        <x:v>041303</x:v>
      </x:c>
      <x:c r="B4917" s="2" t="str">
        <x:v>MERCY HOSPITAL OZARK</x:v>
      </x:c>
      <x:c r="C4917" s="2" t="str">
        <x:v>OZARK</x:v>
      </x:c>
      <x:c r="D4917" s="2" t="str">
        <x:v>AR</x:v>
      </x:c>
      <x:c r="E4917" s="2" t="str">
        <x:v>Critical Access Hospitals</x:v>
      </x:c>
      <x:c r="F4917" s="2" t="str">
        <x:v>Voluntary non-profit</x:v>
      </x:c>
      <x:c r="G4917" s="2" t="str">
        <x:v>Small (&lt;100 beds)</x:v>
      </x:c>
      <x:c r="H4917" s="7"/>
      <x:c r="I4917" s="7"/>
      <x:c r="J4917" s="7"/>
      <x:c r="K4917" s="8" t="n">
        <x:v>12</x:v>
      </x:c>
      <x:c r="L4917" s="8" t="n">
        <x:v>447</x:v>
      </x:c>
      <x:c r="M4917" s="9" t="n">
        <x:v>0.6091324201</x:v>
      </x:c>
      <x:c r="N4917" s="10" t="n">
        <x:v>26779.706935123</x:v>
      </x:c>
      <x:c r="O4917" s="9" t="n">
        <x:v>-0.1597536006</x:v>
      </x:c>
      <x:c r="P4917" s="9" t="n">
        <x:v>0.0029739777</x:v>
      </x:c>
      <x:c r="Q4917" s="9" t="n">
        <x:v>0.292936803</x:v>
      </x:c>
      <x:c r="R4917" s="3" t="b">
        <x:v>0</x:v>
      </x:c>
      <x:c r="S4917" s="3" t="b">
        <x:v>0</x:v>
      </x:c>
      <x:c r="T4917" s="3" t="b">
        <x:v>0</x:v>
      </x:c>
      <x:c r="U4917" s="2" t="str">
        <x:f>IF(T4917=TRUE,"Priority review",IF(R4917=TRUE,"High cost",IF(S4917=TRUE,"Low quality","Benchmark")))</x:f>
        <x:v>Benchmark</x:v>
      </x:c>
    </x:row>
    <x:row r="4918">
      <x:c r="A4918" s="2" t="str">
        <x:v>100252</x:v>
      </x:c>
      <x:c r="B4918" s="2" t="str">
        <x:v>HCA FLORIDA RAULERSON HOSPITAL</x:v>
      </x:c>
      <x:c r="C4918" s="2" t="str">
        <x:v>OKEECHOBEE</x:v>
      </x:c>
      <x:c r="D4918" s="2" t="str">
        <x:v>FL</x:v>
      </x:c>
      <x:c r="E4918" s="2" t="str">
        <x:v>Acute Care Hospitals</x:v>
      </x:c>
      <x:c r="F4918" s="2" t="str">
        <x:v>Proprietary</x:v>
      </x:c>
      <x:c r="G4918" s="2" t="str">
        <x:v>Small (&lt;100 beds)</x:v>
      </x:c>
      <x:c r="H4918" s="7" t="n">
        <x:v>3</x:v>
      </x:c>
      <x:c r="I4918" s="7" t="n">
        <x:v>3</x:v>
      </x:c>
      <x:c r="J4918" s="7" t="n">
        <x:v>1</x:v>
      </x:c>
      <x:c r="K4918" s="8" t="n">
        <x:v>95</x:v>
      </x:c>
      <x:c r="L4918" s="8" t="n">
        <x:v>4058</x:v>
      </x:c>
      <x:c r="M4918" s="9" t="n">
        <x:v>0.4633309301</x:v>
      </x:c>
      <x:c r="N4918" s="10" t="n">
        <x:v>10030.6259241005</x:v>
      </x:c>
      <x:c r="O4918" s="9" t="n">
        <x:v>0.613137367</x:v>
      </x:c>
      <x:c r="P4918" s="9" t="n">
        <x:v>0.0026929982</x:v>
      </x:c>
      <x:c r="Q4918" s="9" t="n">
        <x:v>0.1687612208</x:v>
      </x:c>
      <x:c r="R4918" s="3" t="b">
        <x:v>0</x:v>
      </x:c>
      <x:c r="S4918" s="3" t="b">
        <x:v>0</x:v>
      </x:c>
      <x:c r="T4918" s="3" t="b">
        <x:v>0</x:v>
      </x:c>
      <x:c r="U4918" s="2" t="str">
        <x:f>IF(T4918=TRUE,"Priority review",IF(R4918=TRUE,"High cost",IF(S4918=TRUE,"Low quality","Benchmark")))</x:f>
        <x:v>Benchmark</x:v>
      </x:c>
    </x:row>
    <x:row r="4919">
      <x:c r="A4919" s="2" t="str">
        <x:v>220062</x:v>
      </x:c>
      <x:c r="B4919" s="2" t="str">
        <x:v>ADCARE HOSPITAL OF WORCESTER INC</x:v>
      </x:c>
      <x:c r="C4919" s="2" t="str">
        <x:v>WORCESTER</x:v>
      </x:c>
      <x:c r="D4919" s="2" t="str">
        <x:v>MA</x:v>
      </x:c>
      <x:c r="E4919" s="2" t="str">
        <x:v>Acute Care Hospitals</x:v>
      </x:c>
      <x:c r="F4919" s="2" t="str">
        <x:v>Proprietary</x:v>
      </x:c>
      <x:c r="G4919" s="2" t="str">
        <x:v>Medium (100-299 beds)</x:v>
      </x:c>
      <x:c r="H4919" s="7"/>
      <x:c r="I4919" s="7"/>
      <x:c r="J4919" s="7" t="n">
        <x:v>0.93</x:v>
      </x:c>
      <x:c r="K4919" s="8" t="n">
        <x:v>114</x:v>
      </x:c>
      <x:c r="L4919" s="8" t="n">
        <x:v>5326</x:v>
      </x:c>
      <x:c r="M4919" s="9" t="n">
        <x:v>0.8627408686</x:v>
      </x:c>
      <x:c r="N4919" s="10" t="n">
        <x:v>6102.7285016898</x:v>
      </x:c>
      <x:c r="O4919" s="9" t="n">
        <x:v>0.156370569</x:v>
      </x:c>
      <x:c r="P4919" s="9" t="n">
        <x:v>0.0024449878</x:v>
      </x:c>
      <x:c r="Q4919" s="9" t="n">
        <x:v>0.9616951915</x:v>
      </x:c>
      <x:c r="R4919" s="3" t="b">
        <x:v>0</x:v>
      </x:c>
      <x:c r="S4919" s="3" t="b">
        <x:v>0</x:v>
      </x:c>
      <x:c r="T4919" s="3" t="b">
        <x:v>0</x:v>
      </x:c>
      <x:c r="U4919" s="2" t="str">
        <x:f>IF(T4919=TRUE,"Priority review",IF(R4919=TRUE,"High cost",IF(S4919=TRUE,"Low quality","Benchmark")))</x:f>
        <x:v>Benchmark</x:v>
      </x:c>
    </x:row>
    <x:row r="4920">
      <x:c r="A4920" s="2" t="str">
        <x:v>261316</x:v>
      </x:c>
      <x:c r="B4920" s="2" t="str">
        <x:v>MERCY HOSPITAL AURORA</x:v>
      </x:c>
      <x:c r="C4920" s="2" t="str">
        <x:v>AURORA</x:v>
      </x:c>
      <x:c r="D4920" s="2" t="str">
        <x:v>MO</x:v>
      </x:c>
      <x:c r="E4920" s="2" t="str">
        <x:v>Critical Access Hospitals</x:v>
      </x:c>
      <x:c r="F4920" s="2" t="str">
        <x:v>Voluntary non-profit</x:v>
      </x:c>
      <x:c r="G4920" s="2" t="str">
        <x:v>Small (&lt;100 beds)</x:v>
      </x:c>
      <x:c r="H4920" s="7"/>
      <x:c r="I4920" s="7" t="n">
        <x:v>5</x:v>
      </x:c>
      <x:c r="J4920" s="7"/>
      <x:c r="K4920" s="8" t="n">
        <x:v>25</x:v>
      </x:c>
      <x:c r="L4920" s="8" t="n">
        <x:v>1132</x:v>
      </x:c>
      <x:c r="M4920" s="9" t="n">
        <x:v>0.3607671233</x:v>
      </x:c>
      <x:c r="N4920" s="10" t="n">
        <x:v>25454.7376325088</x:v>
      </x:c>
      <x:c r="O4920" s="9" t="n">
        <x:v>0.2178130263</x:v>
      </x:c>
      <x:c r="P4920" s="9" t="n">
        <x:v>0.0022304833</x:v>
      </x:c>
      <x:c r="Q4920" s="9" t="n">
        <x:v>0.292936803</x:v>
      </x:c>
      <x:c r="R4920" s="3" t="b">
        <x:v>0</x:v>
      </x:c>
      <x:c r="S4920" s="3" t="b">
        <x:v>0</x:v>
      </x:c>
      <x:c r="T4920" s="3" t="b">
        <x:v>0</x:v>
      </x:c>
      <x:c r="U4920" s="2" t="str">
        <x:f>IF(T4920=TRUE,"Priority review",IF(R4920=TRUE,"High cost",IF(S4920=TRUE,"Low quality","Benchmark")))</x:f>
        <x:v>Benchmark</x:v>
      </x:c>
    </x:row>
    <x:row r="4921">
      <x:c r="A4921" s="2" t="str">
        <x:v>400137</x:v>
      </x:c>
      <x:c r="B4921" s="2" t="str">
        <x:v>DOCTORS CENTER HOSPITAL ORLANDO HEALTH DORADO</x:v>
      </x:c>
      <x:c r="C4921" s="2" t="str">
        <x:v>DORADO</x:v>
      </x:c>
      <x:c r="D4921" s="2" t="str">
        <x:v>PR</x:v>
      </x:c>
      <x:c r="E4921" s="2" t="str">
        <x:v>Acute Care Hospitals</x:v>
      </x:c>
      <x:c r="F4921" s="2" t="str">
        <x:v>Proprietary</x:v>
      </x:c>
      <x:c r="G4921" s="2" t="str">
        <x:v>Small (&lt;100 beds)</x:v>
      </x:c>
      <x:c r="H4921" s="7" t="n">
        <x:v>2</x:v>
      </x:c>
      <x:c r="I4921" s="7" t="n">
        <x:v>3</x:v>
      </x:c>
      <x:c r="J4921" s="7"/>
      <x:c r="K4921" s="8" t="n">
        <x:v>72</x:v>
      </x:c>
      <x:c r="L4921" s="8" t="n">
        <x:v>4859</x:v>
      </x:c>
      <x:c r="M4921" s="9" t="n">
        <x:v>0.9995093599</x:v>
      </x:c>
      <x:c r="N4921" s="10" t="n">
        <x:v>9104.1559991768</x:v>
      </x:c>
      <x:c r="O4921" s="9" t="n">
        <x:v>-0.0918026985</x:v>
      </x:c>
      <x:c r="P4921" s="9" t="n">
        <x:v>0.0017953321</x:v>
      </x:c>
      <x:c r="Q4921" s="9" t="n">
        <x:v>0.0350089767</x:v>
      </x:c>
      <x:c r="R4921" s="3" t="b">
        <x:v>0</x:v>
      </x:c>
      <x:c r="S4921" s="3" t="b">
        <x:v>1</x:v>
      </x:c>
      <x:c r="T4921" s="3" t="b">
        <x:v>0</x:v>
      </x:c>
      <x:c r="U4921" s="2" t="str">
        <x:f>IF(T4921=TRUE,"Priority review",IF(R4921=TRUE,"High cost",IF(S4921=TRUE,"Low quality","Benchmark")))</x:f>
        <x:v>Low quality</x:v>
      </x:c>
    </x:row>
    <x:row r="4922">
      <x:c r="A4922" s="2" t="str">
        <x:v>400138</x:v>
      </x:c>
      <x:c r="B4922" s="2" t="str">
        <x:v>PUERTO RICO WOMEN AND CHILDREN HOSPITAL LLC</x:v>
      </x:c>
      <x:c r="C4922" s="2" t="str">
        <x:v>BAYAMON</x:v>
      </x:c>
      <x:c r="D4922" s="2" t="str">
        <x:v>PR</x:v>
      </x:c>
      <x:c r="E4922" s="2" t="str">
        <x:v>Acute Care Hospitals</x:v>
      </x:c>
      <x:c r="F4922" s="2" t="str">
        <x:v>Proprietary</x:v>
      </x:c>
      <x:c r="G4922" s="2" t="str">
        <x:v>Medium (100-299 beds)</x:v>
      </x:c>
      <x:c r="H4922" s="7"/>
      <x:c r="I4922" s="7"/>
      <x:c r="J4922" s="7"/>
      <x:c r="K4922" s="8" t="n">
        <x:v>127</x:v>
      </x:c>
      <x:c r="L4922" s="8" t="n">
        <x:v>5858</x:v>
      </x:c>
      <x:c r="M4922" s="9" t="n">
        <x:v>0.5785465341</x:v>
      </x:c>
      <x:c r="N4922" s="10" t="n">
        <x:v>6071.3004438375</x:v>
      </x:c>
      <x:c r="O4922" s="9" t="n">
        <x:v>-0.0287174309</x:v>
      </x:c>
      <x:c r="P4922" s="9" t="n">
        <x:v>0.0016299919</x:v>
      </x:c>
      <x:c r="Q4922" s="9" t="n">
        <x:v>0.9616951915</x:v>
      </x:c>
      <x:c r="R4922" s="3" t="b">
        <x:v>0</x:v>
      </x:c>
      <x:c r="S4922" s="3" t="b">
        <x:v>0</x:v>
      </x:c>
      <x:c r="T4922" s="3" t="b">
        <x:v>0</x:v>
      </x:c>
      <x:c r="U4922" s="2" t="str">
        <x:f>IF(T4922=TRUE,"Priority review",IF(R4922=TRUE,"High cost",IF(S4922=TRUE,"Low quality","Benchmark")))</x:f>
        <x:v>Benchmark</x:v>
      </x:c>
    </x:row>
    <x:row r="4923">
      <x:c r="A4923" s="2" t="str">
        <x:v>400120</x:v>
      </x:c>
      <x:c r="B4923" s="2" t="str">
        <x:v>HOSPITAL PAVIA CAGUAS</x:v>
      </x:c>
      <x:c r="C4923" s="2" t="str">
        <x:v>CAGUAS</x:v>
      </x:c>
      <x:c r="D4923" s="2" t="str">
        <x:v>PR</x:v>
      </x:c>
      <x:c r="E4923" s="2" t="str">
        <x:v>Acute Care Hospitals</x:v>
      </x:c>
      <x:c r="F4923" s="2" t="str">
        <x:v>Proprietary</x:v>
      </x:c>
      <x:c r="G4923" s="2" t="str">
        <x:v>Large (300+ beds)</x:v>
      </x:c>
      <x:c r="H4923" s="7"/>
      <x:c r="I4923" s="7"/>
      <x:c r="J4923" s="7"/>
      <x:c r="K4923" s="8" t="n">
        <x:v>342</x:v>
      </x:c>
      <x:c r="L4923" s="8" t="n">
        <x:v>9187</x:v>
      </x:c>
      <x:c r="M4923" s="9" t="n">
        <x:v>0.4437884446</x:v>
      </x:c>
      <x:c r="N4923" s="10" t="n">
        <x:v>8412.3777076303</x:v>
      </x:c>
      <x:c r="O4923" s="9" t="n">
        <x:v>0.0364812545</x:v>
      </x:c>
      <x:c r="P4923" s="9" t="n">
        <x:v>0.0015772871</x:v>
      </x:c>
      <x:c r="Q4923" s="9" t="n">
        <x:v>0.9952681388</x:v>
      </x:c>
      <x:c r="R4923" s="3" t="b">
        <x:v>0</x:v>
      </x:c>
      <x:c r="S4923" s="3" t="b">
        <x:v>0</x:v>
      </x:c>
      <x:c r="T4923" s="3" t="b">
        <x:v>0</x:v>
      </x:c>
      <x:c r="U4923" s="2" t="str">
        <x:f>IF(T4923=TRUE,"Priority review",IF(R4923=TRUE,"High cost",IF(S4923=TRUE,"Low quality","Benchmark")))</x:f>
        <x:v>Benchmark</x:v>
      </x:c>
    </x:row>
    <x:row r="4924">
      <x:c r="A4924" s="2" t="str">
        <x:v>491309</x:v>
      </x:c>
      <x:c r="B4924" s="2" t="str">
        <x:v>LEE COUNTY COMMUNITY HOSPITAL</x:v>
      </x:c>
      <x:c r="C4924" s="2" t="str">
        <x:v>PENNINGTON GAP</x:v>
      </x:c>
      <x:c r="D4924" s="2" t="str">
        <x:v>VA</x:v>
      </x:c>
      <x:c r="E4924" s="2" t="str">
        <x:v>Critical Access Hospitals</x:v>
      </x:c>
      <x:c r="F4924" s="2" t="str">
        <x:v>Voluntary non-profit</x:v>
      </x:c>
      <x:c r="G4924" s="2" t="str">
        <x:v>Small (&lt;100 beds)</x:v>
      </x:c>
      <x:c r="H4924" s="7"/>
      <x:c r="I4924" s="7" t="n">
        <x:v>5</x:v>
      </x:c>
      <x:c r="J4924" s="7"/>
      <x:c r="K4924" s="8" t="n">
        <x:v>6</x:v>
      </x:c>
      <x:c r="L4924" s="8" t="n">
        <x:v>490</x:v>
      </x:c>
      <x:c r="M4924" s="9" t="n">
        <x:v>0.5493150685</x:v>
      </x:c>
      <x:c r="N4924" s="10" t="n">
        <x:v>24915.2224489796</x:v>
      </x:c>
      <x:c r="O4924" s="9" t="n">
        <x:v>0.1330211437</x:v>
      </x:c>
      <x:c r="P4924" s="9" t="n">
        <x:v>0.0014869888</x:v>
      </x:c>
      <x:c r="Q4924" s="9" t="n">
        <x:v>0.292936803</x:v>
      </x:c>
      <x:c r="R4924" s="3" t="b">
        <x:v>0</x:v>
      </x:c>
      <x:c r="S4924" s="3" t="b">
        <x:v>0</x:v>
      </x:c>
      <x:c r="T4924" s="3" t="b">
        <x:v>0</x:v>
      </x:c>
      <x:c r="U4924" s="2" t="str">
        <x:f>IF(T4924=TRUE,"Priority review",IF(R4924=TRUE,"High cost",IF(S4924=TRUE,"Low quality","Benchmark")))</x:f>
        <x:v>Benchmark</x:v>
      </x:c>
    </x:row>
    <x:row r="4925">
      <x:c r="A4925" s="2" t="str">
        <x:v>400011</x:v>
      </x:c>
      <x:c r="B4925" s="2" t="str">
        <x:v>HOSPITAL MENONITA HUMACAO, INC</x:v>
      </x:c>
      <x:c r="C4925" s="2" t="str">
        <x:v>HUMACAO</x:v>
      </x:c>
      <x:c r="D4925" s="2" t="str">
        <x:v>PR</x:v>
      </x:c>
      <x:c r="E4925" s="2" t="str">
        <x:v>Acute Care Hospitals</x:v>
      </x:c>
      <x:c r="F4925" s="2" t="str">
        <x:v>Proprietary</x:v>
      </x:c>
      <x:c r="G4925" s="2" t="str">
        <x:v>Small (&lt;100 beds)</x:v>
      </x:c>
      <x:c r="H4925" s="7"/>
      <x:c r="I4925" s="7"/>
      <x:c r="J4925" s="7"/>
      <x:c r="K4925" s="8" t="n">
        <x:v>73</x:v>
      </x:c>
      <x:c r="L4925" s="8" t="n">
        <x:v>5082</x:v>
      </x:c>
      <x:c r="M4925" s="9" t="n">
        <x:v>0.8860198912</x:v>
      </x:c>
      <x:c r="N4925" s="10" t="n">
        <x:v>8794.987012987</x:v>
      </x:c>
      <x:c r="O4925" s="9" t="n">
        <x:v>0.2625466298</x:v>
      </x:c>
      <x:c r="P4925" s="9" t="n">
        <x:v>0.0008976661</x:v>
      </x:c>
      <x:c r="Q4925" s="9" t="n">
        <x:v>0.697486535</x:v>
      </x:c>
      <x:c r="R4925" s="3" t="b">
        <x:v>0</x:v>
      </x:c>
      <x:c r="S4925" s="3" t="b">
        <x:v>0</x:v>
      </x:c>
      <x:c r="T4925" s="3" t="b">
        <x:v>0</x:v>
      </x:c>
      <x:c r="U4925" s="2" t="str">
        <x:f>IF(T4925=TRUE,"Priority review",IF(R4925=TRUE,"High cost",IF(S4925=TRUE,"Low quality","Benchmark")))</x:f>
        <x:v>Benchmark</x:v>
      </x:c>
    </x:row>
    <x:row r="4926">
      <x:c r="A4926" s="2" t="str">
        <x:v>450674</x:v>
      </x:c>
      <x:c r="B4926" s="2" t="str">
        <x:v>WOMANS HOSPITAL OF TEXAS,THE</x:v>
      </x:c>
      <x:c r="C4926" s="2" t="str">
        <x:v>HOUSTON</x:v>
      </x:c>
      <x:c r="D4926" s="2" t="str">
        <x:v>TX</x:v>
      </x:c>
      <x:c r="E4926" s="2" t="str">
        <x:v>Acute Care Hospitals</x:v>
      </x:c>
      <x:c r="F4926" s="2" t="str">
        <x:v>Proprietary</x:v>
      </x:c>
      <x:c r="G4926" s="2" t="str">
        <x:v>Medium (100-299 beds)</x:v>
      </x:c>
      <x:c r="H4926" s="7" t="n">
        <x:v>4</x:v>
      </x:c>
      <x:c r="I4926" s="7" t="n">
        <x:v>3</x:v>
      </x:c>
      <x:c r="J4926" s="7" t="n">
        <x:v>1.13</x:v>
      </x:c>
      <x:c r="K4926" s="8" t="n">
        <x:v>235</x:v>
      </x:c>
      <x:c r="L4926" s="8" t="n">
        <x:v>11640</x:v>
      </x:c>
      <x:c r="M4926" s="9" t="n">
        <x:v>0.9897755756</x:v>
      </x:c>
      <x:c r="N4926" s="10" t="n">
        <x:v>5970.2933848797</x:v>
      </x:c>
      <x:c r="O4926" s="9" t="n">
        <x:v>0.8528926012</x:v>
      </x:c>
      <x:c r="P4926" s="9" t="n">
        <x:v>0.0008149959</x:v>
      </x:c>
      <x:c r="Q4926" s="9" t="n">
        <x:v>0.6022819886</x:v>
      </x:c>
      <x:c r="R4926" s="3" t="b">
        <x:v>0</x:v>
      </x:c>
      <x:c r="S4926" s="3" t="b">
        <x:v>0</x:v>
      </x:c>
      <x:c r="T4926" s="3" t="b">
        <x:v>0</x:v>
      </x:c>
      <x:c r="U4926" s="2" t="str">
        <x:f>IF(T4926=TRUE,"Priority review",IF(R4926=TRUE,"High cost",IF(S4926=TRUE,"Low quality","Benchmark")))</x:f>
        <x:v>Benchmark</x:v>
      </x:c>
    </x:row>
    <x:row r="4927">
      <x:c r="A4927" s="2" t="str">
        <x:v>041332</x:v>
      </x:c>
      <x:c r="B4927" s="2" t="str">
        <x:v>UNITY HEALTH - NEWPORT</x:v>
      </x:c>
      <x:c r="C4927" s="2" t="str">
        <x:v>NEWPORT</x:v>
      </x:c>
      <x:c r="D4927" s="2" t="str">
        <x:v>AR</x:v>
      </x:c>
      <x:c r="E4927" s="2" t="str">
        <x:v>Critical Access Hospitals</x:v>
      </x:c>
      <x:c r="F4927" s="2" t="str">
        <x:v>Government</x:v>
      </x:c>
      <x:c r="G4927" s="2" t="str">
        <x:v>Small (&lt;100 beds)</x:v>
      </x:c>
      <x:c r="H4927" s="7"/>
      <x:c r="I4927" s="7"/>
      <x:c r="J4927" s="7"/>
      <x:c r="K4927" s="8" t="n">
        <x:v>24</x:v>
      </x:c>
      <x:c r="L4927" s="8" t="n">
        <x:v>1246</x:v>
      </x:c>
      <x:c r="M4927" s="9" t="n">
        <x:v>0.4785974499</x:v>
      </x:c>
      <x:c r="N4927" s="10" t="n">
        <x:v>22705.8796147673</x:v>
      </x:c>
      <x:c r="O4927" s="9" t="n">
        <x:v>-0.2236078794</x:v>
      </x:c>
      <x:c r="P4927" s="9" t="n">
        <x:v>0.0007434944</x:v>
      </x:c>
      <x:c r="Q4927" s="9" t="n">
        <x:v>0.292936803</x:v>
      </x:c>
      <x:c r="R4927" s="3" t="b">
        <x:v>0</x:v>
      </x:c>
      <x:c r="S4927" s="3" t="b">
        <x:v>0</x:v>
      </x:c>
      <x:c r="T4927" s="3" t="b">
        <x:v>0</x:v>
      </x:c>
      <x:c r="U4927" s="2" t="str">
        <x:f>IF(T4927=TRUE,"Priority review",IF(R4927=TRUE,"High cost",IF(S4927=TRUE,"Low quality","Benchmark")))</x:f>
        <x:v>Benchmark</x:v>
      </x:c>
    </x:row>
    <x:row r="4928">
      <x:c r="A4928" s="2" t="str">
        <x:v>260065</x:v>
      </x:c>
      <x:c r="B4928" s="2" t="str">
        <x:v>MERCY HOSPITAL SPRINGFIELD</x:v>
      </x:c>
      <x:c r="C4928" s="2" t="str">
        <x:v>SPRINGFIELD</x:v>
      </x:c>
      <x:c r="D4928" s="2" t="str">
        <x:v>MO</x:v>
      </x:c>
      <x:c r="E4928" s="2" t="str">
        <x:v>Acute Care Hospitals</x:v>
      </x:c>
      <x:c r="F4928" s="2" t="str">
        <x:v>Voluntary non-profit</x:v>
      </x:c>
      <x:c r="G4928" s="2" t="str">
        <x:v>Large (300+ beds)</x:v>
      </x:c>
      <x:c r="H4928" s="7" t="n">
        <x:v>3</x:v>
      </x:c>
      <x:c r="I4928" s="7" t="n">
        <x:v>3</x:v>
      </x:c>
      <x:c r="J4928" s="7" t="n">
        <x:v>1.01</x:v>
      </x:c>
      <x:c r="K4928" s="8" t="n">
        <x:v>621</x:v>
      </x:c>
      <x:c r="L4928" s="8" t="n">
        <x:v>145688</x:v>
      </x:c>
      <x:c r="M4928" s="9" t="n">
        <x:v>0.8028897271</x:v>
      </x:c>
      <x:c r="N4928" s="10" t="n">
        <x:v>8014.8662758772</x:v>
      </x:c>
      <x:c r="O4928" s="9" t="n">
        <x:v>0.1489607896</x:v>
      </x:c>
      <x:c r="P4928" s="9" t="n">
        <x:v>0</x:v>
      </x:c>
      <x:c r="Q4928" s="9" t="n">
        <x:v>0.2570977918</x:v>
      </x:c>
      <x:c r="R4928" s="3" t="b">
        <x:v>0</x:v>
      </x:c>
      <x:c r="S4928" s="3" t="b">
        <x:v>0</x:v>
      </x:c>
      <x:c r="T4928" s="3" t="b">
        <x:v>0</x:v>
      </x:c>
      <x:c r="U4928" s="2" t="str">
        <x:f>IF(T4928=TRUE,"Priority review",IF(R4928=TRUE,"High cost",IF(S4928=TRUE,"Low quality","Benchmark")))</x:f>
        <x:v>Benchmark</x:v>
      </x:c>
    </x:row>
    <x:row r="4929">
      <x:c r="A4929" s="2" t="str">
        <x:v>403301</x:v>
      </x:c>
      <x:c r="B4929" s="2" t="str">
        <x:v>UNIVERSITY PEDIATRIC HOSPITAL</x:v>
      </x:c>
      <x:c r="C4929" s="2" t="str">
        <x:v>SAN JUAN</x:v>
      </x:c>
      <x:c r="D4929" s="2" t="str">
        <x:v>PR</x:v>
      </x:c>
      <x:c r="E4929" s="2" t="str">
        <x:v>Childrens</x:v>
      </x:c>
      <x:c r="F4929" s="2" t="str">
        <x:v>Government</x:v>
      </x:c>
      <x:c r="G4929" s="2" t="str">
        <x:v>Medium (100-299 beds)</x:v>
      </x:c>
      <x:c r="H4929" s="7"/>
      <x:c r="I4929" s="7"/>
      <x:c r="J4929" s="7"/>
      <x:c r="K4929" s="8" t="n">
        <x:v>117</x:v>
      </x:c>
      <x:c r="L4929" s="8" t="n">
        <x:v>3703</x:v>
      </x:c>
      <x:c r="M4929" s="9" t="n">
        <x:v>0.7778480272</x:v>
      </x:c>
      <x:c r="N4929" s="10" t="n">
        <x:v>22236.973805023</x:v>
      </x:c>
      <x:c r="O4929" s="9" t="n">
        <x:v>-1.062852178</x:v>
      </x:c>
      <x:c r="P4929" s="9" t="n">
        <x:v>0</x:v>
      </x:c>
      <x:c r="Q4929" s="9" t="n">
        <x:v>0</x:v>
      </x:c>
      <x:c r="R4929" s="3" t="b">
        <x:v>0</x:v>
      </x:c>
      <x:c r="S4929" s="3" t="b">
        <x:v>0</x:v>
      </x:c>
      <x:c r="T4929" s="3" t="b">
        <x:v>0</x:v>
      </x:c>
      <x:c r="U4929" s="2" t="str">
        <x:f>IF(T4929=TRUE,"Priority review",IF(R4929=TRUE,"High cost",IF(S4929=TRUE,"Low quality","Benchmark")))</x:f>
        <x:v>Benchmark</x:v>
      </x:c>
    </x:row>
    <x:row r="4930">
      <x:c r="A4930" s="2" t="str">
        <x:v>454012</x:v>
      </x:c>
      <x:c r="B4930" s="2" t="str">
        <x:v>MILLWOOD HOSPITAL</x:v>
      </x:c>
      <x:c r="C4930" s="2" t="str">
        <x:v>ARLINGTON</x:v>
      </x:c>
      <x:c r="D4930" s="2" t="str">
        <x:v>TX</x:v>
      </x:c>
      <x:c r="E4930" s="2" t="str">
        <x:v>Psychiatric</x:v>
      </x:c>
      <x:c r="F4930" s="2" t="str">
        <x:v>Proprietary</x:v>
      </x:c>
      <x:c r="G4930" s="2" t="str">
        <x:v>Medium (100-299 beds)</x:v>
      </x:c>
      <x:c r="H4930" s="7"/>
      <x:c r="I4930" s="7"/>
      <x:c r="J4930" s="7"/>
      <x:c r="K4930" s="8" t="n">
        <x:v>134</x:v>
      </x:c>
      <x:c r="L4930" s="8" t="n">
        <x:v>7340</x:v>
      </x:c>
      <x:c r="M4930" s="9" t="n">
        <x:v>0.7814615447</x:v>
      </x:c>
      <x:c r="N4930" s="10" t="n">
        <x:v>3641.5198910082</x:v>
      </x:c>
      <x:c r="O4930" s="9" t="n">
        <x:v>0.1145300228</x:v>
      </x:c>
      <x:c r="P4930" s="9" t="n">
        <x:v>0</x:v>
      </x:c>
      <x:c r="Q4930" s="9" t="n">
        <x:v>0</x:v>
      </x:c>
      <x:c r="R4930" s="3" t="b">
        <x:v>0</x:v>
      </x:c>
      <x:c r="S4930" s="3" t="b">
        <x:v>0</x:v>
      </x:c>
      <x:c r="T4930" s="3" t="b">
        <x:v>0</x:v>
      </x:c>
      <x:c r="U4930" s="2" t="str">
        <x:f>IF(T4930=TRUE,"Priority review",IF(R4930=TRUE,"High cost",IF(S4930=TRUE,"Low quality","Benchmark")))</x:f>
        <x:v>Benchmark</x:v>
      </x:c>
    </x:row>
    <x:row r="4931">
      <x:c r="A4931" s="2" t="str">
        <x:v>113301</x:v>
      </x:c>
      <x:c r="B4931" s="2" t="str">
        <x:v>CHILDREN'S HEALTHCARE OF ATLANTA AT SCOTTISH RITE</x:v>
      </x:c>
      <x:c r="C4931" s="2" t="str">
        <x:v>ATLANTA</x:v>
      </x:c>
      <x:c r="D4931" s="2" t="str">
        <x:v>GA</x:v>
      </x:c>
      <x:c r="E4931" s="2" t="str">
        <x:v>Childrens</x:v>
      </x:c>
      <x:c r="F4931" s="2" t="str">
        <x:v>Voluntary non-profit</x:v>
      </x:c>
      <x:c r="G4931" s="2" t="str">
        <x:v>Large (300+ beds)</x:v>
      </x:c>
      <x:c r="H4931" s="7"/>
      <x:c r="I4931" s="7"/>
      <x:c r="J4931" s="7"/>
      <x:c r="K4931" s="8" t="n">
        <x:v>319</x:v>
      </x:c>
      <x:c r="L4931" s="8" t="n">
        <x:v>15254</x:v>
      </x:c>
      <x:c r="M4931" s="9" t="n">
        <x:v>0.7180225089</x:v>
      </x:c>
      <x:c r="N4931" s="10" t="n">
        <x:v>34508.4027140422</x:v>
      </x:c>
      <x:c r="O4931" s="9" t="n">
        <x:v>0.4653971531</x:v>
      </x:c>
      <x:c r="P4931" s="9" t="n">
        <x:v>0</x:v>
      </x:c>
      <x:c r="Q4931" s="9" t="n">
        <x:v>0</x:v>
      </x:c>
      <x:c r="R4931" s="3" t="b">
        <x:v>0</x:v>
      </x:c>
      <x:c r="S4931" s="3" t="b">
        <x:v>0</x:v>
      </x:c>
      <x:c r="T4931" s="3" t="b">
        <x:v>0</x:v>
      </x:c>
      <x:c r="U4931" s="2" t="str">
        <x:f>IF(T4931=TRUE,"Priority review",IF(R4931=TRUE,"High cost",IF(S4931=TRUE,"Low quality","Benchmark")))</x:f>
        <x:v>Benchmark</x:v>
      </x:c>
    </x:row>
    <x:row r="4932">
      <x:c r="A4932" s="2" t="str">
        <x:v>444004</x:v>
      </x:c>
      <x:c r="B4932" s="2" t="str">
        <x:v>LAKESIDE BEHAVIORAL HEALTH SYSTEM</x:v>
      </x:c>
      <x:c r="C4932" s="2" t="str">
        <x:v>MEMPHIS</x:v>
      </x:c>
      <x:c r="D4932" s="2" t="str">
        <x:v>TN</x:v>
      </x:c>
      <x:c r="E4932" s="2" t="str">
        <x:v>Psychiatric</x:v>
      </x:c>
      <x:c r="F4932" s="2" t="str">
        <x:v>Voluntary non-profit</x:v>
      </x:c>
      <x:c r="G4932" s="2" t="str">
        <x:v>Large (300+ beds)</x:v>
      </x:c>
      <x:c r="H4932" s="7"/>
      <x:c r="I4932" s="7"/>
      <x:c r="J4932" s="7"/>
      <x:c r="K4932" s="8" t="n">
        <x:v>315</x:v>
      </x:c>
      <x:c r="L4932" s="8" t="n">
        <x:v>6787</x:v>
      </x:c>
      <x:c r="M4932" s="9" t="n">
        <x:v>0.7079018128</x:v>
      </x:c>
      <x:c r="N4932" s="10" t="n">
        <x:v>8789.2923235597</x:v>
      </x:c>
      <x:c r="O4932" s="9" t="n">
        <x:v>0.2442156734</x:v>
      </x:c>
      <x:c r="P4932" s="9" t="n">
        <x:v>0</x:v>
      </x:c>
      <x:c r="Q4932" s="9" t="n">
        <x:v>0</x:v>
      </x:c>
      <x:c r="R4932" s="3" t="b">
        <x:v>0</x:v>
      </x:c>
      <x:c r="S4932" s="3" t="b">
        <x:v>0</x:v>
      </x:c>
      <x:c r="T4932" s="3" t="b">
        <x:v>0</x:v>
      </x:c>
      <x:c r="U4932" s="2" t="str">
        <x:f>IF(T4932=TRUE,"Priority review",IF(R4932=TRUE,"High cost",IF(S4932=TRUE,"Low quality","Benchmark")))</x:f>
        <x:v>Benchmark</x:v>
      </x:c>
    </x:row>
    <x:row r="4933">
      <x:c r="A4933" s="2" t="str">
        <x:v>033025</x:v>
      </x:c>
      <x:c r="B4933" s="2" t="str">
        <x:v>Keller ACH (West Point)</x:v>
      </x:c>
      <x:c r="C4933" s="2" t="str">
        <x:v>West Point</x:v>
      </x:c>
      <x:c r="D4933" s="2" t="str">
        <x:v>NY</x:v>
      </x:c>
      <x:c r="E4933" s="2" t="str">
        <x:v>Acute Care - Department of Defense</x:v>
      </x:c>
      <x:c r="F4933" s="2" t="str">
        <x:v>Other / unknown</x:v>
      </x:c>
      <x:c r="G4933" s="2" t="str">
        <x:v>Small (&lt;100 beds)</x:v>
      </x:c>
      <x:c r="H4933" s="7"/>
      <x:c r="I4933" s="7"/>
      <x:c r="J4933" s="7"/>
      <x:c r="K4933" s="8" t="n">
        <x:v>60</x:v>
      </x:c>
      <x:c r="L4933" s="8" t="n">
        <x:v>1284</x:v>
      </x:c>
      <x:c r="M4933" s="9" t="n">
        <x:v>0.6770319635</x:v>
      </x:c>
      <x:c r="N4933" s="10" t="n">
        <x:v>20471.3738317757</x:v>
      </x:c>
      <x:c r="O4933" s="9" t="n">
        <x:v>0.0559029903</x:v>
      </x:c>
      <x:c r="P4933" s="9" t="n">
        <x:v>0</x:v>
      </x:c>
      <x:c r="Q4933" s="9" t="n">
        <x:v>0</x:v>
      </x:c>
      <x:c r="R4933" s="3" t="b">
        <x:v>0</x:v>
      </x:c>
      <x:c r="S4933" s="3" t="b">
        <x:v>0</x:v>
      </x:c>
      <x:c r="T4933" s="3" t="b">
        <x:v>0</x:v>
      </x:c>
      <x:c r="U4933" s="2" t="str">
        <x:f>IF(T4933=TRUE,"Priority review",IF(R4933=TRUE,"High cost",IF(S4933=TRUE,"Low quality","Benchmark")))</x:f>
        <x:v>Benchmark</x:v>
      </x:c>
    </x:row>
    <x:row r="4934">
      <x:c r="A4934" s="2" t="str">
        <x:v>002014</x:v>
      </x:c>
      <x:c r="B4934" s="2" t="str">
        <x:v>Bassett ACH (FT Wainwright)</x:v>
      </x:c>
      <x:c r="C4934" s="2" t="str">
        <x:v>Fort Wainwright</x:v>
      </x:c>
      <x:c r="D4934" s="2" t="str">
        <x:v>AK</x:v>
      </x:c>
      <x:c r="E4934" s="2" t="str">
        <x:v>Acute Care - Department of Defense</x:v>
      </x:c>
      <x:c r="F4934" s="2" t="str">
        <x:v>Other / unknown</x:v>
      </x:c>
      <x:c r="G4934" s="2" t="str">
        <x:v>Unknown</x:v>
      </x:c>
      <x:c r="H4934" s="7"/>
      <x:c r="I4934" s="7" t="n">
        <x:v>4</x:v>
      </x:c>
      <x:c r="J4934" s="7"/>
      <x:c r="K4934" s="8"/>
      <x:c r="L4934" s="8"/>
      <x:c r="M4934" s="9"/>
      <x:c r="N4934" s="10"/>
      <x:c r="O4934" s="9"/>
      <x:c r="P4934" s="9" t="n">
        <x:v>0</x:v>
      </x:c>
      <x:c r="Q4934" s="9" t="n">
        <x:v>0</x:v>
      </x:c>
      <x:c r="R4934" s="3" t="b">
        <x:v>0</x:v>
      </x:c>
      <x:c r="S4934" s="3" t="b">
        <x:v>0</x:v>
      </x:c>
      <x:c r="T4934" s="3" t="b">
        <x:v>0</x:v>
      </x:c>
      <x:c r="U4934" s="2" t="str">
        <x:f>IF(T4934=TRUE,"Priority review",IF(R4934=TRUE,"High cost",IF(S4934=TRUE,"Low quality","Benchmark")))</x:f>
        <x:v>Benchmark</x:v>
      </x:c>
    </x:row>
    <x:row r="4935">
      <x:c r="A4935" s="2" t="str">
        <x:v>045069</x:v>
      </x:c>
      <x:c r="B4935" s="2" t="str">
        <x:v>Brooke Army Medical Center (FT Sam Houston)</x:v>
      </x:c>
      <x:c r="C4935" s="2" t="str">
        <x:v>Fort Sam Houston</x:v>
      </x:c>
      <x:c r="D4935" s="2" t="str">
        <x:v>TX</x:v>
      </x:c>
      <x:c r="E4935" s="2" t="str">
        <x:v>Acute Care - Department of Defense</x:v>
      </x:c>
      <x:c r="F4935" s="2" t="str">
        <x:v>Other / unknown</x:v>
      </x:c>
      <x:c r="G4935" s="2" t="str">
        <x:v>Unknown</x:v>
      </x:c>
      <x:c r="H4935" s="7"/>
      <x:c r="I4935" s="7" t="n">
        <x:v>5</x:v>
      </x:c>
      <x:c r="J4935" s="7"/>
      <x:c r="K4935" s="8"/>
      <x:c r="L4935" s="8"/>
      <x:c r="M4935" s="9"/>
      <x:c r="N4935" s="10"/>
      <x:c r="O4935" s="9"/>
      <x:c r="P4935" s="9" t="n">
        <x:v>0</x:v>
      </x:c>
      <x:c r="Q4935" s="9" t="n">
        <x:v>0</x:v>
      </x:c>
      <x:c r="R4935" s="3" t="b">
        <x:v>0</x:v>
      </x:c>
      <x:c r="S4935" s="3" t="b">
        <x:v>0</x:v>
      </x:c>
      <x:c r="T4935" s="3" t="b">
        <x:v>0</x:v>
      </x:c>
      <x:c r="U4935" s="2" t="str">
        <x:f>IF(T4935=TRUE,"Priority review",IF(R4935=TRUE,"High cost",IF(S4935=TRUE,"Low quality","Benchmark")))</x:f>
        <x:v>Benchmark</x:v>
      </x:c>
    </x:row>
    <x:row r="4936">
      <x:c r="A4936" s="2" t="str">
        <x:v>005022</x:v>
      </x:c>
      <x:c r="B4936" s="2" t="str">
        <x:v>NMC San Diego</x:v>
      </x:c>
      <x:c r="C4936" s="2" t="str">
        <x:v>San Diego</x:v>
      </x:c>
      <x:c r="D4936" s="2" t="str">
        <x:v>CA</x:v>
      </x:c>
      <x:c r="E4936" s="2" t="str">
        <x:v>Acute Care - Department of Defense</x:v>
      </x:c>
      <x:c r="F4936" s="2" t="str">
        <x:v>Other / unknown</x:v>
      </x:c>
      <x:c r="G4936" s="2" t="str">
        <x:v>Unknown</x:v>
      </x:c>
      <x:c r="H4936" s="7"/>
      <x:c r="I4936" s="7" t="n">
        <x:v>4</x:v>
      </x:c>
      <x:c r="J4936" s="7"/>
      <x:c r="K4936" s="8"/>
      <x:c r="L4936" s="8"/>
      <x:c r="M4936" s="9"/>
      <x:c r="N4936" s="10"/>
      <x:c r="O4936" s="9"/>
      <x:c r="P4936" s="9" t="n">
        <x:v>0</x:v>
      </x:c>
      <x:c r="Q4936" s="9" t="n">
        <x:v>0</x:v>
      </x:c>
      <x:c r="R4936" s="3" t="b">
        <x:v>0</x:v>
      </x:c>
      <x:c r="S4936" s="3" t="b">
        <x:v>0</x:v>
      </x:c>
      <x:c r="T4936" s="3" t="b">
        <x:v>0</x:v>
      </x:c>
      <x:c r="U4936" s="2" t="str">
        <x:f>IF(T4936=TRUE,"Priority review",IF(R4936=TRUE,"High cost",IF(S4936=TRUE,"Low quality","Benchmark")))</x:f>
        <x:v>Benchmark</x:v>
      </x:c>
    </x:row>
    <x:row r="4937">
      <x:c r="A4937" s="2" t="str">
        <x:v>005039</x:v>
      </x:c>
      <x:c r="B4937" s="2" t="str">
        <x:v>NH Twentynine Palms</x:v>
      </x:c>
      <x:c r="C4937" s="2" t="str">
        <x:v>Twentynine Palms</x:v>
      </x:c>
      <x:c r="D4937" s="2" t="str">
        <x:v>CA</x:v>
      </x:c>
      <x:c r="E4937" s="2" t="str">
        <x:v>Acute Care - Department of Defense</x:v>
      </x:c>
      <x:c r="F4937" s="2" t="str">
        <x:v>Other / unknown</x:v>
      </x:c>
      <x:c r="G4937" s="2" t="str">
        <x:v>Unknown</x:v>
      </x:c>
      <x:c r="H4937" s="7"/>
      <x:c r="I4937" s="7"/>
      <x:c r="J4937" s="7"/>
      <x:c r="K4937" s="8"/>
      <x:c r="L4937" s="8"/>
      <x:c r="M4937" s="9"/>
      <x:c r="N4937" s="10"/>
      <x:c r="O4937" s="9"/>
      <x:c r="P4937" s="9" t="n">
        <x:v>0</x:v>
      </x:c>
      <x:c r="Q4937" s="9" t="n">
        <x:v>0</x:v>
      </x:c>
      <x:c r="R4937" s="3" t="b">
        <x:v>0</x:v>
      </x:c>
      <x:c r="S4937" s="3" t="b">
        <x:v>0</x:v>
      </x:c>
      <x:c r="T4937" s="3" t="b">
        <x:v>0</x:v>
      </x:c>
      <x:c r="U4937" s="2" t="str">
        <x:f>IF(T4937=TRUE,"Priority review",IF(R4937=TRUE,"High cost",IF(S4937=TRUE,"Low quality","Benchmark")))</x:f>
        <x:v>Benchmark</x:v>
      </x:c>
    </x:row>
    <x:row r="4938">
      <x:c r="A4938" s="2" t="str">
        <x:v>005041</x:v>
      </x:c>
      <x:c r="B4938" s="2" t="str">
        <x:v>Weed ACH (FT Irwin)</x:v>
      </x:c>
      <x:c r="C4938" s="2" t="str">
        <x:v>Fort Irwin</x:v>
      </x:c>
      <x:c r="D4938" s="2" t="str">
        <x:v>CA</x:v>
      </x:c>
      <x:c r="E4938" s="2" t="str">
        <x:v>Acute Care - Department of Defense</x:v>
      </x:c>
      <x:c r="F4938" s="2" t="str">
        <x:v>Other / unknown</x:v>
      </x:c>
      <x:c r="G4938" s="2" t="str">
        <x:v>Unknown</x:v>
      </x:c>
      <x:c r="H4938" s="7"/>
      <x:c r="I4938" s="7"/>
      <x:c r="J4938" s="7"/>
      <x:c r="K4938" s="8"/>
      <x:c r="L4938" s="8"/>
      <x:c r="M4938" s="9"/>
      <x:c r="N4938" s="10"/>
      <x:c r="O4938" s="9"/>
      <x:c r="P4938" s="9" t="n">
        <x:v>0</x:v>
      </x:c>
      <x:c r="Q4938" s="9" t="n">
        <x:v>0</x:v>
      </x:c>
      <x:c r="R4938" s="3" t="b">
        <x:v>0</x:v>
      </x:c>
      <x:c r="S4938" s="3" t="b">
        <x:v>0</x:v>
      </x:c>
      <x:c r="T4938" s="3" t="b">
        <x:v>0</x:v>
      </x:c>
      <x:c r="U4938" s="2" t="str">
        <x:f>IF(T4938=TRUE,"Priority review",IF(R4938=TRUE,"High cost",IF(S4938=TRUE,"Low quality","Benchmark")))</x:f>
        <x:v>Benchmark</x:v>
      </x:c>
    </x:row>
    <x:row r="4939">
      <x:c r="A4939" s="2" t="str">
        <x:v>006003</x:v>
      </x:c>
      <x:c r="B4939" s="2" t="str">
        <x:v>Evans ACH (FT Carson)</x:v>
      </x:c>
      <x:c r="C4939" s="2" t="str">
        <x:v>Fort Carson</x:v>
      </x:c>
      <x:c r="D4939" s="2" t="str">
        <x:v>CO</x:v>
      </x:c>
      <x:c r="E4939" s="2" t="str">
        <x:v>Acute Care - Department of Defense</x:v>
      </x:c>
      <x:c r="F4939" s="2" t="str">
        <x:v>Other / unknown</x:v>
      </x:c>
      <x:c r="G4939" s="2" t="str">
        <x:v>Unknown</x:v>
      </x:c>
      <x:c r="H4939" s="7"/>
      <x:c r="I4939" s="7" t="n">
        <x:v>5</x:v>
      </x:c>
      <x:c r="J4939" s="7"/>
      <x:c r="K4939" s="8"/>
      <x:c r="L4939" s="8"/>
      <x:c r="M4939" s="9"/>
      <x:c r="N4939" s="10"/>
      <x:c r="O4939" s="9"/>
      <x:c r="P4939" s="9" t="n">
        <x:v>0</x:v>
      </x:c>
      <x:c r="Q4939" s="9" t="n">
        <x:v>0</x:v>
      </x:c>
      <x:c r="R4939" s="3" t="b">
        <x:v>0</x:v>
      </x:c>
      <x:c r="S4939" s="3" t="b">
        <x:v>0</x:v>
      </x:c>
      <x:c r="T4939" s="3" t="b">
        <x:v>0</x:v>
      </x:c>
      <x:c r="U4939" s="2" t="str">
        <x:f>IF(T4939=TRUE,"Priority review",IF(R4939=TRUE,"High cost",IF(S4939=TRUE,"Low quality","Benchmark")))</x:f>
        <x:v>Benchmark</x:v>
      </x:c>
    </x:row>
    <x:row r="4940">
      <x:c r="A4940" s="2" t="str">
        <x:v>010013</x:v>
      </x:c>
      <x:c r="B4940" s="2" t="str">
        <x:v>NH Jacksonville</x:v>
      </x:c>
      <x:c r="C4940" s="2" t="str">
        <x:v>Jacksonville</x:v>
      </x:c>
      <x:c r="D4940" s="2" t="str">
        <x:v>FL</x:v>
      </x:c>
      <x:c r="E4940" s="2" t="str">
        <x:v>Acute Care - Department of Defense</x:v>
      </x:c>
      <x:c r="F4940" s="2" t="str">
        <x:v>Other / unknown</x:v>
      </x:c>
      <x:c r="G4940" s="2" t="str">
        <x:v>Unknown</x:v>
      </x:c>
      <x:c r="H4940" s="7"/>
      <x:c r="I4940" s="7" t="n">
        <x:v>4</x:v>
      </x:c>
      <x:c r="J4940" s="7"/>
      <x:c r="K4940" s="8"/>
      <x:c r="L4940" s="8"/>
      <x:c r="M4940" s="9"/>
      <x:c r="N4940" s="10"/>
      <x:c r="O4940" s="9"/>
      <x:c r="P4940" s="9" t="n">
        <x:v>0</x:v>
      </x:c>
      <x:c r="Q4940" s="9" t="n">
        <x:v>0</x:v>
      </x:c>
      <x:c r="R4940" s="3" t="b">
        <x:v>0</x:v>
      </x:c>
      <x:c r="S4940" s="3" t="b">
        <x:v>0</x:v>
      </x:c>
      <x:c r="T4940" s="3" t="b">
        <x:v>0</x:v>
      </x:c>
      <x:c r="U4940" s="2" t="str">
        <x:f>IF(T4940=TRUE,"Priority review",IF(R4940=TRUE,"High cost",IF(S4940=TRUE,"Low quality","Benchmark")))</x:f>
        <x:v>Benchmark</x:v>
      </x:c>
    </x:row>
    <x:row r="4941">
      <x:c r="A4941" s="2" t="str">
        <x:v>005015</x:v>
      </x:c>
      <x:c r="B4941" s="2" t="str">
        <x:v>60th Medical Group (Travis AFB)</x:v>
      </x:c>
      <x:c r="C4941" s="2" t="str">
        <x:v>Travis AFB</x:v>
      </x:c>
      <x:c r="D4941" s="2" t="str">
        <x:v>CA</x:v>
      </x:c>
      <x:c r="E4941" s="2" t="str">
        <x:v>Acute Care - Department of Defense</x:v>
      </x:c>
      <x:c r="F4941" s="2" t="str">
        <x:v>Other / unknown</x:v>
      </x:c>
      <x:c r="G4941" s="2" t="str">
        <x:v>Unknown</x:v>
      </x:c>
      <x:c r="H4941" s="7"/>
      <x:c r="I4941" s="7" t="n">
        <x:v>5</x:v>
      </x:c>
      <x:c r="J4941" s="7"/>
      <x:c r="K4941" s="8"/>
      <x:c r="L4941" s="8"/>
      <x:c r="M4941" s="9"/>
      <x:c r="N4941" s="10"/>
      <x:c r="O4941" s="9"/>
      <x:c r="P4941" s="9" t="n">
        <x:v>0</x:v>
      </x:c>
      <x:c r="Q4941" s="9" t="n">
        <x:v>0</x:v>
      </x:c>
      <x:c r="R4941" s="3" t="b">
        <x:v>0</x:v>
      </x:c>
      <x:c r="S4941" s="3" t="b">
        <x:v>0</x:v>
      </x:c>
      <x:c r="T4941" s="3" t="b">
        <x:v>0</x:v>
      </x:c>
      <x:c r="U4941" s="2" t="str">
        <x:f>IF(T4941=TRUE,"Priority review",IF(R4941=TRUE,"High cost",IF(S4941=TRUE,"Low quality","Benchmark")))</x:f>
        <x:v>Benchmark</x:v>
      </x:c>
    </x:row>
    <x:row r="4942">
      <x:c r="A4942" s="2" t="str">
        <x:v>019050</x:v>
      </x:c>
      <x:c r="B4942" s="2" t="str">
        <x:v>Bayne-Jones ACH (Ft Johnson)</x:v>
      </x:c>
      <x:c r="C4942" s="2" t="str">
        <x:v>Fort Johnson</x:v>
      </x:c>
      <x:c r="D4942" s="2" t="str">
        <x:v>LA</x:v>
      </x:c>
      <x:c r="E4942" s="2" t="str">
        <x:v>Acute Care - Department of Defense</x:v>
      </x:c>
      <x:c r="F4942" s="2" t="str">
        <x:v>Other / unknown</x:v>
      </x:c>
      <x:c r="G4942" s="2" t="str">
        <x:v>Unknown</x:v>
      </x:c>
      <x:c r="H4942" s="7"/>
      <x:c r="I4942" s="7"/>
      <x:c r="J4942" s="7"/>
      <x:c r="K4942" s="8"/>
      <x:c r="L4942" s="8"/>
      <x:c r="M4942" s="9"/>
      <x:c r="N4942" s="10"/>
      <x:c r="O4942" s="9"/>
      <x:c r="P4942" s="9" t="n">
        <x:v>0</x:v>
      </x:c>
      <x:c r="Q4942" s="9" t="n">
        <x:v>0</x:v>
      </x:c>
      <x:c r="R4942" s="3" t="b">
        <x:v>0</x:v>
      </x:c>
      <x:c r="S4942" s="3" t="b">
        <x:v>0</x:v>
      </x:c>
      <x:c r="T4942" s="3" t="b">
        <x:v>0</x:v>
      </x:c>
      <x:c r="U4942" s="2" t="str">
        <x:f>IF(T4942=TRUE,"Priority review",IF(R4942=TRUE,"High cost",IF(S4942=TRUE,"Low quality","Benchmark")))</x:f>
        <x:v>Benchmark</x:v>
      </x:c>
    </x:row>
    <x:row r="4943">
      <x:c r="A4943" s="2" t="str">
        <x:v>011035</x:v>
      </x:c>
      <x:c r="B4943" s="2" t="str">
        <x:v>Winn ACH (FT Stewart)</x:v>
      </x:c>
      <x:c r="C4943" s="2" t="str">
        <x:v>Fort Stewart</x:v>
      </x:c>
      <x:c r="D4943" s="2" t="str">
        <x:v>GA</x:v>
      </x:c>
      <x:c r="E4943" s="2" t="str">
        <x:v>Acute Care - Department of Defense</x:v>
      </x:c>
      <x:c r="F4943" s="2" t="str">
        <x:v>Other / unknown</x:v>
      </x:c>
      <x:c r="G4943" s="2" t="str">
        <x:v>Unknown</x:v>
      </x:c>
      <x:c r="H4943" s="7"/>
      <x:c r="I4943" s="7" t="n">
        <x:v>4</x:v>
      </x:c>
      <x:c r="J4943" s="7"/>
      <x:c r="K4943" s="8"/>
      <x:c r="L4943" s="8"/>
      <x:c r="M4943" s="9"/>
      <x:c r="N4943" s="10"/>
      <x:c r="O4943" s="9"/>
      <x:c r="P4943" s="9" t="n">
        <x:v>0</x:v>
      </x:c>
      <x:c r="Q4943" s="9" t="n">
        <x:v>0</x:v>
      </x:c>
      <x:c r="R4943" s="3" t="b">
        <x:v>0</x:v>
      </x:c>
      <x:c r="S4943" s="3" t="b">
        <x:v>0</x:v>
      </x:c>
      <x:c r="T4943" s="3" t="b">
        <x:v>0</x:v>
      </x:c>
      <x:c r="U4943" s="2" t="str">
        <x:f>IF(T4943=TRUE,"Priority review",IF(R4943=TRUE,"High cost",IF(S4943=TRUE,"Low quality","Benchmark")))</x:f>
        <x:v>Benchmark</x:v>
      </x:c>
    </x:row>
    <x:row r="4944">
      <x:c r="A4944" s="2" t="str">
        <x:v>012001</x:v>
      </x:c>
      <x:c r="B4944" s="2" t="str">
        <x:v>Tripler AMC (FT Shafter)</x:v>
      </x:c>
      <x:c r="C4944" s="2" t="str">
        <x:v>Honolulu</x:v>
      </x:c>
      <x:c r="D4944" s="2" t="str">
        <x:v>HI</x:v>
      </x:c>
      <x:c r="E4944" s="2" t="str">
        <x:v>Acute Care - Department of Defense</x:v>
      </x:c>
      <x:c r="F4944" s="2" t="str">
        <x:v>Other / unknown</x:v>
      </x:c>
      <x:c r="G4944" s="2" t="str">
        <x:v>Unknown</x:v>
      </x:c>
      <x:c r="H4944" s="7"/>
      <x:c r="I4944" s="7" t="n">
        <x:v>4</x:v>
      </x:c>
      <x:c r="J4944" s="7"/>
      <x:c r="K4944" s="8"/>
      <x:c r="L4944" s="8"/>
      <x:c r="M4944" s="9"/>
      <x:c r="N4944" s="10"/>
      <x:c r="O4944" s="9"/>
      <x:c r="P4944" s="9" t="n">
        <x:v>0</x:v>
      </x:c>
      <x:c r="Q4944" s="9" t="n">
        <x:v>0</x:v>
      </x:c>
      <x:c r="R4944" s="3" t="b">
        <x:v>0</x:v>
      </x:c>
      <x:c r="S4944" s="3" t="b">
        <x:v>0</x:v>
      </x:c>
      <x:c r="T4944" s="3" t="b">
        <x:v>0</x:v>
      </x:c>
      <x:c r="U4944" s="2" t="str">
        <x:f>IF(T4944=TRUE,"Priority review",IF(R4944=TRUE,"High cost",IF(S4944=TRUE,"Low quality","Benchmark")))</x:f>
        <x:v>Benchmark</x:v>
      </x:c>
    </x:row>
    <x:row r="4945">
      <x:c r="A4945" s="2" t="str">
        <x:v>017002</x:v>
      </x:c>
      <x:c r="B4945" s="2" t="str">
        <x:v>Irwin ACH (FT Riley)</x:v>
      </x:c>
      <x:c r="C4945" s="2" t="str">
        <x:v>Fort Riley</x:v>
      </x:c>
      <x:c r="D4945" s="2" t="str">
        <x:v>KS</x:v>
      </x:c>
      <x:c r="E4945" s="2" t="str">
        <x:v>Acute Care - Department of Defense</x:v>
      </x:c>
      <x:c r="F4945" s="2" t="str">
        <x:v>Other / unknown</x:v>
      </x:c>
      <x:c r="G4945" s="2" t="str">
        <x:v>Unknown</x:v>
      </x:c>
      <x:c r="H4945" s="7"/>
      <x:c r="I4945" s="7" t="n">
        <x:v>4</x:v>
      </x:c>
      <x:c r="J4945" s="7"/>
      <x:c r="K4945" s="8"/>
      <x:c r="L4945" s="8"/>
      <x:c r="M4945" s="9"/>
      <x:c r="N4945" s="10"/>
      <x:c r="O4945" s="9"/>
      <x:c r="P4945" s="9" t="n">
        <x:v>0</x:v>
      </x:c>
      <x:c r="Q4945" s="9" t="n">
        <x:v>0</x:v>
      </x:c>
      <x:c r="R4945" s="3" t="b">
        <x:v>0</x:v>
      </x:c>
      <x:c r="S4945" s="3" t="b">
        <x:v>0</x:v>
      </x:c>
      <x:c r="T4945" s="3" t="b">
        <x:v>0</x:v>
      </x:c>
      <x:c r="U4945" s="2" t="str">
        <x:f>IF(T4945=TRUE,"Priority review",IF(R4945=TRUE,"High cost",IF(S4945=TRUE,"Low quality","Benchmark")))</x:f>
        <x:v>Benchmark</x:v>
      </x:c>
    </x:row>
    <x:row r="4946">
      <x:c r="A4946" s="2" t="str">
        <x:v>018003</x:v>
      </x:c>
      <x:c r="B4946" s="2" t="str">
        <x:v>Blanchfield ACH (FT Campbell)</x:v>
      </x:c>
      <x:c r="C4946" s="2" t="str">
        <x:v>Fort Campbell</x:v>
      </x:c>
      <x:c r="D4946" s="2" t="str">
        <x:v>KY</x:v>
      </x:c>
      <x:c r="E4946" s="2" t="str">
        <x:v>Acute Care - Department of Defense</x:v>
      </x:c>
      <x:c r="F4946" s="2" t="str">
        <x:v>Other / unknown</x:v>
      </x:c>
      <x:c r="G4946" s="2" t="str">
        <x:v>Unknown</x:v>
      </x:c>
      <x:c r="H4946" s="7"/>
      <x:c r="I4946" s="7" t="n">
        <x:v>4</x:v>
      </x:c>
      <x:c r="J4946" s="7"/>
      <x:c r="K4946" s="8"/>
      <x:c r="L4946" s="8"/>
      <x:c r="M4946" s="9"/>
      <x:c r="N4946" s="10"/>
      <x:c r="O4946" s="9"/>
      <x:c r="P4946" s="9" t="n">
        <x:v>0</x:v>
      </x:c>
      <x:c r="Q4946" s="9" t="n">
        <x:v>0</x:v>
      </x:c>
      <x:c r="R4946" s="3" t="b">
        <x:v>0</x:v>
      </x:c>
      <x:c r="S4946" s="3" t="b">
        <x:v>0</x:v>
      </x:c>
      <x:c r="T4946" s="3" t="b">
        <x:v>0</x:v>
      </x:c>
      <x:c r="U4946" s="2" t="str">
        <x:f>IF(T4946=TRUE,"Priority review",IF(R4946=TRUE,"High cost",IF(S4946=TRUE,"Low quality","Benchmark")))</x:f>
        <x:v>Benchmark</x:v>
      </x:c>
    </x:row>
    <x:row r="4947">
      <x:c r="A4947" s="2" t="str">
        <x:v>011032</x:v>
      </x:c>
      <x:c r="B4947" s="2" t="str">
        <x:v>Martin ACH (FT Benning)</x:v>
      </x:c>
      <x:c r="C4947" s="2" t="str">
        <x:v>Fort Benning</x:v>
      </x:c>
      <x:c r="D4947" s="2" t="str">
        <x:v>GA</x:v>
      </x:c>
      <x:c r="E4947" s="2" t="str">
        <x:v>Acute Care - Department of Defense</x:v>
      </x:c>
      <x:c r="F4947" s="2" t="str">
        <x:v>Other / unknown</x:v>
      </x:c>
      <x:c r="G4947" s="2" t="str">
        <x:v>Unknown</x:v>
      </x:c>
      <x:c r="H4947" s="7"/>
      <x:c r="I4947" s="7" t="n">
        <x:v>5</x:v>
      </x:c>
      <x:c r="J4947" s="7"/>
      <x:c r="K4947" s="8"/>
      <x:c r="L4947" s="8"/>
      <x:c r="M4947" s="9"/>
      <x:c r="N4947" s="10"/>
      <x:c r="O4947" s="9"/>
      <x:c r="P4947" s="9" t="n">
        <x:v>0</x:v>
      </x:c>
      <x:c r="Q4947" s="9" t="n">
        <x:v>0</x:v>
      </x:c>
      <x:c r="R4947" s="3" t="b">
        <x:v>0</x:v>
      </x:c>
      <x:c r="S4947" s="3" t="b">
        <x:v>0</x:v>
      </x:c>
      <x:c r="T4947" s="3" t="b">
        <x:v>0</x:v>
      </x:c>
      <x:c r="U4947" s="2" t="str">
        <x:f>IF(T4947=TRUE,"Priority review",IF(R4947=TRUE,"High cost",IF(S4947=TRUE,"Low quality","Benchmark")))</x:f>
        <x:v>Benchmark</x:v>
      </x:c>
    </x:row>
    <x:row r="4948">
      <x:c r="A4948" s="2" t="str">
        <x:v>021007</x:v>
      </x:c>
      <x:c r="B4948" s="2" t="str">
        <x:v>Walter Reed National Military Med Cen</x:v>
      </x:c>
      <x:c r="C4948" s="2" t="str">
        <x:v>Bethesda</x:v>
      </x:c>
      <x:c r="D4948" s="2" t="str">
        <x:v>MD</x:v>
      </x:c>
      <x:c r="E4948" s="2" t="str">
        <x:v>Acute Care - Department of Defense</x:v>
      </x:c>
      <x:c r="F4948" s="2" t="str">
        <x:v>Other / unknown</x:v>
      </x:c>
      <x:c r="G4948" s="2" t="str">
        <x:v>Unknown</x:v>
      </x:c>
      <x:c r="H4948" s="7"/>
      <x:c r="I4948" s="7" t="n">
        <x:v>4</x:v>
      </x:c>
      <x:c r="J4948" s="7"/>
      <x:c r="K4948" s="8"/>
      <x:c r="L4948" s="8"/>
      <x:c r="M4948" s="9"/>
      <x:c r="N4948" s="10"/>
      <x:c r="O4948" s="9"/>
      <x:c r="P4948" s="9" t="n">
        <x:v>0</x:v>
      </x:c>
      <x:c r="Q4948" s="9" t="n">
        <x:v>0</x:v>
      </x:c>
      <x:c r="R4948" s="3" t="b">
        <x:v>0</x:v>
      </x:c>
      <x:c r="S4948" s="3" t="b">
        <x:v>0</x:v>
      </x:c>
      <x:c r="T4948" s="3" t="b">
        <x:v>0</x:v>
      </x:c>
      <x:c r="U4948" s="2" t="str">
        <x:f>IF(T4948=TRUE,"Priority review",IF(R4948=TRUE,"High cost",IF(S4948=TRUE,"Low quality","Benchmark")))</x:f>
        <x:v>Benchmark</x:v>
      </x:c>
    </x:row>
    <x:row r="4949">
      <x:c r="A4949" s="2" t="str">
        <x:v>025039</x:v>
      </x:c>
      <x:c r="B4949" s="2" t="str">
        <x:v>81st Medical Group (Keesler AFB)</x:v>
      </x:c>
      <x:c r="C4949" s="2" t="str">
        <x:v>Biloxi</x:v>
      </x:c>
      <x:c r="D4949" s="2" t="str">
        <x:v>MS</x:v>
      </x:c>
      <x:c r="E4949" s="2" t="str">
        <x:v>Acute Care - Department of Defense</x:v>
      </x:c>
      <x:c r="F4949" s="2" t="str">
        <x:v>Other / unknown</x:v>
      </x:c>
      <x:c r="G4949" s="2" t="str">
        <x:v>Unknown</x:v>
      </x:c>
      <x:c r="H4949" s="7"/>
      <x:c r="I4949" s="7" t="n">
        <x:v>5</x:v>
      </x:c>
      <x:c r="J4949" s="7"/>
      <x:c r="K4949" s="8"/>
      <x:c r="L4949" s="8"/>
      <x:c r="M4949" s="9"/>
      <x:c r="N4949" s="10"/>
      <x:c r="O4949" s="9"/>
      <x:c r="P4949" s="9" t="n">
        <x:v>0</x:v>
      </x:c>
      <x:c r="Q4949" s="9" t="n">
        <x:v>0</x:v>
      </x:c>
      <x:c r="R4949" s="3" t="b">
        <x:v>0</x:v>
      </x:c>
      <x:c r="S4949" s="3" t="b">
        <x:v>0</x:v>
      </x:c>
      <x:c r="T4949" s="3" t="b">
        <x:v>0</x:v>
      </x:c>
      <x:c r="U4949" s="2" t="str">
        <x:f>IF(T4949=TRUE,"Priority review",IF(R4949=TRUE,"High cost",IF(S4949=TRUE,"Low quality","Benchmark")))</x:f>
        <x:v>Benchmark</x:v>
      </x:c>
    </x:row>
    <x:row r="4950">
      <x:c r="A4950" s="2" t="str">
        <x:v>026002</x:v>
      </x:c>
      <x:c r="B4950" s="2" t="str">
        <x:v>General Leonard Wood ACH (FT Leonard Wood)</x:v>
      </x:c>
      <x:c r="C4950" s="2" t="str">
        <x:v>Fort Leonard Wood</x:v>
      </x:c>
      <x:c r="D4950" s="2" t="str">
        <x:v>MO</x:v>
      </x:c>
      <x:c r="E4950" s="2" t="str">
        <x:v>Acute Care - Department of Defense</x:v>
      </x:c>
      <x:c r="F4950" s="2" t="str">
        <x:v>Other / unknown</x:v>
      </x:c>
      <x:c r="G4950" s="2" t="str">
        <x:v>Unknown</x:v>
      </x:c>
      <x:c r="H4950" s="7"/>
      <x:c r="I4950" s="7" t="n">
        <x:v>4</x:v>
      </x:c>
      <x:c r="J4950" s="7"/>
      <x:c r="K4950" s="8"/>
      <x:c r="L4950" s="8"/>
      <x:c r="M4950" s="9"/>
      <x:c r="N4950" s="10"/>
      <x:c r="O4950" s="9"/>
      <x:c r="P4950" s="9" t="n">
        <x:v>0</x:v>
      </x:c>
      <x:c r="Q4950" s="9" t="n">
        <x:v>0</x:v>
      </x:c>
      <x:c r="R4950" s="3" t="b">
        <x:v>0</x:v>
      </x:c>
      <x:c r="S4950" s="3" t="b">
        <x:v>0</x:v>
      </x:c>
      <x:c r="T4950" s="3" t="b">
        <x:v>0</x:v>
      </x:c>
      <x:c r="U4950" s="2" t="str">
        <x:f>IF(T4950=TRUE,"Priority review",IF(R4950=TRUE,"High cost",IF(S4950=TRUE,"Low quality","Benchmark")))</x:f>
        <x:v>Benchmark</x:v>
      </x:c>
    </x:row>
    <x:row r="4951">
      <x:c r="A4951" s="2" t="str">
        <x:v>029001</x:v>
      </x:c>
      <x:c r="B4951" s="2" t="str">
        <x:v>99th Medical Group (Nellis AFB)</x:v>
      </x:c>
      <x:c r="C4951" s="2" t="str">
        <x:v>Nellis AFB</x:v>
      </x:c>
      <x:c r="D4951" s="2" t="str">
        <x:v>NV</x:v>
      </x:c>
      <x:c r="E4951" s="2" t="str">
        <x:v>Acute Care - Department of Defense</x:v>
      </x:c>
      <x:c r="F4951" s="2" t="str">
        <x:v>Other / unknown</x:v>
      </x:c>
      <x:c r="G4951" s="2" t="str">
        <x:v>Unknown</x:v>
      </x:c>
      <x:c r="H4951" s="7"/>
      <x:c r="I4951" s="7" t="n">
        <x:v>4</x:v>
      </x:c>
      <x:c r="J4951" s="7"/>
      <x:c r="K4951" s="8"/>
      <x:c r="L4951" s="8"/>
      <x:c r="M4951" s="9"/>
      <x:c r="N4951" s="10"/>
      <x:c r="O4951" s="9"/>
      <x:c r="P4951" s="9" t="n">
        <x:v>0</x:v>
      </x:c>
      <x:c r="Q4951" s="9" t="n">
        <x:v>0</x:v>
      </x:c>
      <x:c r="R4951" s="3" t="b">
        <x:v>0</x:v>
      </x:c>
      <x:c r="S4951" s="3" t="b">
        <x:v>0</x:v>
      </x:c>
      <x:c r="T4951" s="3" t="b">
        <x:v>0</x:v>
      </x:c>
      <x:c r="U4951" s="2" t="str">
        <x:f>IF(T4951=TRUE,"Priority review",IF(R4951=TRUE,"High cost",IF(S4951=TRUE,"Low quality","Benchmark")))</x:f>
        <x:v>Benchmark</x:v>
      </x:c>
    </x:row>
    <x:row r="4952">
      <x:c r="A4952" s="2" t="str">
        <x:v>034011</x:v>
      </x:c>
      <x:c r="B4952" s="2" t="str">
        <x:v>NMC Camp Lejeune</x:v>
      </x:c>
      <x:c r="C4952" s="2" t="str">
        <x:v>Camp Lejeune</x:v>
      </x:c>
      <x:c r="D4952" s="2" t="str">
        <x:v>NC</x:v>
      </x:c>
      <x:c r="E4952" s="2" t="str">
        <x:v>Acute Care - Department of Defense</x:v>
      </x:c>
      <x:c r="F4952" s="2" t="str">
        <x:v>Other / unknown</x:v>
      </x:c>
      <x:c r="G4952" s="2" t="str">
        <x:v>Unknown</x:v>
      </x:c>
      <x:c r="H4952" s="7"/>
      <x:c r="I4952" s="7" t="n">
        <x:v>4</x:v>
      </x:c>
      <x:c r="J4952" s="7"/>
      <x:c r="K4952" s="8"/>
      <x:c r="L4952" s="8"/>
      <x:c r="M4952" s="9"/>
      <x:c r="N4952" s="10"/>
      <x:c r="O4952" s="9"/>
      <x:c r="P4952" s="9" t="n">
        <x:v>0</x:v>
      </x:c>
      <x:c r="Q4952" s="9" t="n">
        <x:v>0</x:v>
      </x:c>
      <x:c r="R4952" s="3" t="b">
        <x:v>0</x:v>
      </x:c>
      <x:c r="S4952" s="3" t="b">
        <x:v>0</x:v>
      </x:c>
      <x:c r="T4952" s="3" t="b">
        <x:v>0</x:v>
      </x:c>
      <x:c r="U4952" s="2" t="str">
        <x:f>IF(T4952=TRUE,"Priority review",IF(R4952=TRUE,"High cost",IF(S4952=TRUE,"Low quality","Benchmark")))</x:f>
        <x:v>Benchmark</x:v>
      </x:c>
    </x:row>
    <x:row r="4953">
      <x:c r="A4953" s="2" t="str">
        <x:v>034014</x:v>
      </x:c>
      <x:c r="B4953" s="2" t="str">
        <x:v>Womack AMC (FT Bragg)</x:v>
      </x:c>
      <x:c r="C4953" s="2" t="str">
        <x:v>Fort Bragg</x:v>
      </x:c>
      <x:c r="D4953" s="2" t="str">
        <x:v>NC</x:v>
      </x:c>
      <x:c r="E4953" s="2" t="str">
        <x:v>Acute Care - Department of Defense</x:v>
      </x:c>
      <x:c r="F4953" s="2" t="str">
        <x:v>Other / unknown</x:v>
      </x:c>
      <x:c r="G4953" s="2" t="str">
        <x:v>Unknown</x:v>
      </x:c>
      <x:c r="H4953" s="7"/>
      <x:c r="I4953" s="7" t="n">
        <x:v>5</x:v>
      </x:c>
      <x:c r="J4953" s="7"/>
      <x:c r="K4953" s="8"/>
      <x:c r="L4953" s="8"/>
      <x:c r="M4953" s="9"/>
      <x:c r="N4953" s="10"/>
      <x:c r="O4953" s="9"/>
      <x:c r="P4953" s="9" t="n">
        <x:v>0</x:v>
      </x:c>
      <x:c r="Q4953" s="9" t="n">
        <x:v>0</x:v>
      </x:c>
      <x:c r="R4953" s="3" t="b">
        <x:v>0</x:v>
      </x:c>
      <x:c r="S4953" s="3" t="b">
        <x:v>0</x:v>
      </x:c>
      <x:c r="T4953" s="3" t="b">
        <x:v>0</x:v>
      </x:c>
      <x:c r="U4953" s="2" t="str">
        <x:f>IF(T4953=TRUE,"Priority review",IF(R4953=TRUE,"High cost",IF(S4953=TRUE,"Low quality","Benchmark")))</x:f>
        <x:v>Benchmark</x:v>
      </x:c>
    </x:row>
    <x:row r="4954">
      <x:c r="A4954" s="2" t="str">
        <x:v>036006</x:v>
      </x:c>
      <x:c r="B4954" s="2" t="str">
        <x:v>88th Medical Group (Wright-Patterson AFB)</x:v>
      </x:c>
      <x:c r="C4954" s="2" t="str">
        <x:v>Wright-Patterson AFB</x:v>
      </x:c>
      <x:c r="D4954" s="2" t="str">
        <x:v>OH</x:v>
      </x:c>
      <x:c r="E4954" s="2" t="str">
        <x:v>Acute Care - Department of Defense</x:v>
      </x:c>
      <x:c r="F4954" s="2" t="str">
        <x:v>Other / unknown</x:v>
      </x:c>
      <x:c r="G4954" s="2" t="str">
        <x:v>Unknown</x:v>
      </x:c>
      <x:c r="H4954" s="7"/>
      <x:c r="I4954" s="7" t="n">
        <x:v>5</x:v>
      </x:c>
      <x:c r="J4954" s="7"/>
      <x:c r="K4954" s="8"/>
      <x:c r="L4954" s="8"/>
      <x:c r="M4954" s="9"/>
      <x:c r="N4954" s="10"/>
      <x:c r="O4954" s="9"/>
      <x:c r="P4954" s="9" t="n">
        <x:v>0</x:v>
      </x:c>
      <x:c r="Q4954" s="9" t="n">
        <x:v>0</x:v>
      </x:c>
      <x:c r="R4954" s="3" t="b">
        <x:v>0</x:v>
      </x:c>
      <x:c r="S4954" s="3" t="b">
        <x:v>0</x:v>
      </x:c>
      <x:c r="T4954" s="3" t="b">
        <x:v>0</x:v>
      </x:c>
      <x:c r="U4954" s="2" t="str">
        <x:f>IF(T4954=TRUE,"Priority review",IF(R4954=TRUE,"High cost",IF(S4954=TRUE,"Low quality","Benchmark")))</x:f>
        <x:v>Benchmark</x:v>
      </x:c>
    </x:row>
    <x:row r="4955">
      <x:c r="A4955" s="2" t="str">
        <x:v>045068</x:v>
      </x:c>
      <x:c r="B4955" s="2" t="str">
        <x:v>William Beaumont AMG (FT Bliss)</x:v>
      </x:c>
      <x:c r="C4955" s="2" t="str">
        <x:v>El Paso</x:v>
      </x:c>
      <x:c r="D4955" s="2" t="str">
        <x:v>TX</x:v>
      </x:c>
      <x:c r="E4955" s="2" t="str">
        <x:v>Acute Care - Department of Defense</x:v>
      </x:c>
      <x:c r="F4955" s="2" t="str">
        <x:v>Other / unknown</x:v>
      </x:c>
      <x:c r="G4955" s="2" t="str">
        <x:v>Unknown</x:v>
      </x:c>
      <x:c r="H4955" s="7"/>
      <x:c r="I4955" s="7" t="n">
        <x:v>5</x:v>
      </x:c>
      <x:c r="J4955" s="7"/>
      <x:c r="K4955" s="8"/>
      <x:c r="L4955" s="8"/>
      <x:c r="M4955" s="9"/>
      <x:c r="N4955" s="10"/>
      <x:c r="O4955" s="9"/>
      <x:c r="P4955" s="9" t="n">
        <x:v>0</x:v>
      </x:c>
      <x:c r="Q4955" s="9" t="n">
        <x:v>0</x:v>
      </x:c>
      <x:c r="R4955" s="3" t="b">
        <x:v>0</x:v>
      </x:c>
      <x:c r="S4955" s="3" t="b">
        <x:v>0</x:v>
      </x:c>
      <x:c r="T4955" s="3" t="b">
        <x:v>0</x:v>
      </x:c>
      <x:c r="U4955" s="2" t="str">
        <x:f>IF(T4955=TRUE,"Priority review",IF(R4955=TRUE,"High cost",IF(S4955=TRUE,"Low quality","Benchmark")))</x:f>
        <x:v>Benchmark</x:v>
      </x:c>
    </x:row>
    <x:row r="4956">
      <x:c r="A4956" s="2" t="str">
        <x:v>011033</x:v>
      </x:c>
      <x:c r="B4956" s="2" t="str">
        <x:v>Dwight Eisenhower AMC (FT Gordon)</x:v>
      </x:c>
      <x:c r="C4956" s="2" t="str">
        <x:v>Fort Gordon</x:v>
      </x:c>
      <x:c r="D4956" s="2" t="str">
        <x:v>GA</x:v>
      </x:c>
      <x:c r="E4956" s="2" t="str">
        <x:v>Acute Care - Department of Defense</x:v>
      </x:c>
      <x:c r="F4956" s="2" t="str">
        <x:v>Other / unknown</x:v>
      </x:c>
      <x:c r="G4956" s="2" t="str">
        <x:v>Unknown</x:v>
      </x:c>
      <x:c r="H4956" s="7"/>
      <x:c r="I4956" s="7" t="n">
        <x:v>5</x:v>
      </x:c>
      <x:c r="J4956" s="7"/>
      <x:c r="K4956" s="8"/>
      <x:c r="L4956" s="8"/>
      <x:c r="M4956" s="9"/>
      <x:c r="N4956" s="10"/>
      <x:c r="O4956" s="9"/>
      <x:c r="P4956" s="9" t="n">
        <x:v>0</x:v>
      </x:c>
      <x:c r="Q4956" s="9" t="n">
        <x:v>0</x:v>
      </x:c>
      <x:c r="R4956" s="3" t="b">
        <x:v>0</x:v>
      </x:c>
      <x:c r="S4956" s="3" t="b">
        <x:v>0</x:v>
      </x:c>
      <x:c r="T4956" s="3" t="b">
        <x:v>0</x:v>
      </x:c>
      <x:c r="U4956" s="2" t="str">
        <x:f>IF(T4956=TRUE,"Priority review",IF(R4956=TRUE,"High cost",IF(S4956=TRUE,"Low quality","Benchmark")))</x:f>
        <x:v>Benchmark</x:v>
      </x:c>
    </x:row>
    <x:row r="4957">
      <x:c r="A4957" s="2" t="str">
        <x:v>045070</x:v>
      </x:c>
      <x:c r="B4957" s="2" t="str">
        <x:v>Darnall AMC (FT Cavazos)</x:v>
      </x:c>
      <x:c r="C4957" s="2" t="str">
        <x:v>Fort Cavazos</x:v>
      </x:c>
      <x:c r="D4957" s="2" t="str">
        <x:v>TX</x:v>
      </x:c>
      <x:c r="E4957" s="2" t="str">
        <x:v>Acute Care - Department of Defense</x:v>
      </x:c>
      <x:c r="F4957" s="2" t="str">
        <x:v>Other / unknown</x:v>
      </x:c>
      <x:c r="G4957" s="2" t="str">
        <x:v>Unknown</x:v>
      </x:c>
      <x:c r="H4957" s="7"/>
      <x:c r="I4957" s="7" t="n">
        <x:v>4</x:v>
      </x:c>
      <x:c r="J4957" s="7"/>
      <x:c r="K4957" s="8"/>
      <x:c r="L4957" s="8"/>
      <x:c r="M4957" s="9"/>
      <x:c r="N4957" s="10"/>
      <x:c r="O4957" s="9"/>
      <x:c r="P4957" s="9" t="n">
        <x:v>0</x:v>
      </x:c>
      <x:c r="Q4957" s="9" t="n">
        <x:v>0</x:v>
      </x:c>
      <x:c r="R4957" s="3" t="b">
        <x:v>0</x:v>
      </x:c>
      <x:c r="S4957" s="3" t="b">
        <x:v>0</x:v>
      </x:c>
      <x:c r="T4957" s="3" t="b">
        <x:v>0</x:v>
      </x:c>
      <x:c r="U4957" s="2" t="str">
        <x:f>IF(T4957=TRUE,"Priority review",IF(R4957=TRUE,"High cost",IF(S4957=TRUE,"Low quality","Benchmark")))</x:f>
        <x:v>Benchmark</x:v>
      </x:c>
    </x:row>
    <x:row r="4958">
      <x:c r="A4958" s="2" t="str">
        <x:v>049001</x:v>
      </x:c>
      <x:c r="B4958" s="2" t="str">
        <x:v>Fort Belvoir Community Hospital</x:v>
      </x:c>
      <x:c r="C4958" s="2" t="str">
        <x:v>Fort Belvoir</x:v>
      </x:c>
      <x:c r="D4958" s="2" t="str">
        <x:v>VA</x:v>
      </x:c>
      <x:c r="E4958" s="2" t="str">
        <x:v>Acute Care - Department of Defense</x:v>
      </x:c>
      <x:c r="F4958" s="2" t="str">
        <x:v>Other / unknown</x:v>
      </x:c>
      <x:c r="G4958" s="2" t="str">
        <x:v>Unknown</x:v>
      </x:c>
      <x:c r="H4958" s="7"/>
      <x:c r="I4958" s="7" t="n">
        <x:v>5</x:v>
      </x:c>
      <x:c r="J4958" s="7"/>
      <x:c r="K4958" s="8"/>
      <x:c r="L4958" s="8"/>
      <x:c r="M4958" s="9"/>
      <x:c r="N4958" s="10"/>
      <x:c r="O4958" s="9"/>
      <x:c r="P4958" s="9" t="n">
        <x:v>0</x:v>
      </x:c>
      <x:c r="Q4958" s="9" t="n">
        <x:v>0</x:v>
      </x:c>
      <x:c r="R4958" s="3" t="b">
        <x:v>0</x:v>
      </x:c>
      <x:c r="S4958" s="3" t="b">
        <x:v>0</x:v>
      </x:c>
      <x:c r="T4958" s="3" t="b">
        <x:v>0</x:v>
      </x:c>
      <x:c r="U4958" s="2" t="str">
        <x:f>IF(T4958=TRUE,"Priority review",IF(R4958=TRUE,"High cost",IF(S4958=TRUE,"Low quality","Benchmark")))</x:f>
        <x:v>Benchmark</x:v>
      </x:c>
    </x:row>
    <x:row r="4959">
      <x:c r="A4959" s="2" t="str">
        <x:v>049008</x:v>
      </x:c>
      <x:c r="B4959" s="2" t="str">
        <x:v>NMC Portsmouth</x:v>
      </x:c>
      <x:c r="C4959" s="2" t="str">
        <x:v>Portsmouth</x:v>
      </x:c>
      <x:c r="D4959" s="2" t="str">
        <x:v>VA</x:v>
      </x:c>
      <x:c r="E4959" s="2" t="str">
        <x:v>Acute Care - Department of Defense</x:v>
      </x:c>
      <x:c r="F4959" s="2" t="str">
        <x:v>Other / unknown</x:v>
      </x:c>
      <x:c r="G4959" s="2" t="str">
        <x:v>Unknown</x:v>
      </x:c>
      <x:c r="H4959" s="7"/>
      <x:c r="I4959" s="7" t="n">
        <x:v>4</x:v>
      </x:c>
      <x:c r="J4959" s="7"/>
      <x:c r="K4959" s="8"/>
      <x:c r="L4959" s="8"/>
      <x:c r="M4959" s="9"/>
      <x:c r="N4959" s="10"/>
      <x:c r="O4959" s="9"/>
      <x:c r="P4959" s="9" t="n">
        <x:v>0</x:v>
      </x:c>
      <x:c r="Q4959" s="9" t="n">
        <x:v>0</x:v>
      </x:c>
      <x:c r="R4959" s="3" t="b">
        <x:v>0</x:v>
      </x:c>
      <x:c r="S4959" s="3" t="b">
        <x:v>0</x:v>
      </x:c>
      <x:c r="T4959" s="3" t="b">
        <x:v>0</x:v>
      </x:c>
      <x:c r="U4959" s="2" t="str">
        <x:f>IF(T4959=TRUE,"Priority review",IF(R4959=TRUE,"High cost",IF(S4959=TRUE,"Low quality","Benchmark")))</x:f>
        <x:v>Benchmark</x:v>
      </x:c>
    </x:row>
    <x:row r="4960">
      <x:c r="A4960" s="2" t="str">
        <x:v>050005</x:v>
      </x:c>
      <x:c r="B4960" s="2" t="str">
        <x:v>Madigan AMC (FT Lewis)</x:v>
      </x:c>
      <x:c r="C4960" s="2" t="str">
        <x:v>Joint Base Lewis-McChord</x:v>
      </x:c>
      <x:c r="D4960" s="2" t="str">
        <x:v>WA</x:v>
      </x:c>
      <x:c r="E4960" s="2" t="str">
        <x:v>Acute Care - Department of Defense</x:v>
      </x:c>
      <x:c r="F4960" s="2" t="str">
        <x:v>Other / unknown</x:v>
      </x:c>
      <x:c r="G4960" s="2" t="str">
        <x:v>Unknown</x:v>
      </x:c>
      <x:c r="H4960" s="7"/>
      <x:c r="I4960" s="7" t="n">
        <x:v>4</x:v>
      </x:c>
      <x:c r="J4960" s="7"/>
      <x:c r="K4960" s="8"/>
      <x:c r="L4960" s="8"/>
      <x:c r="M4960" s="9"/>
      <x:c r="N4960" s="10"/>
      <x:c r="O4960" s="9"/>
      <x:c r="P4960" s="9" t="n">
        <x:v>0</x:v>
      </x:c>
      <x:c r="Q4960" s="9" t="n">
        <x:v>0</x:v>
      </x:c>
      <x:c r="R4960" s="3" t="b">
        <x:v>0</x:v>
      </x:c>
      <x:c r="S4960" s="3" t="b">
        <x:v>0</x:v>
      </x:c>
      <x:c r="T4960" s="3" t="b">
        <x:v>0</x:v>
      </x:c>
      <x:c r="U4960" s="2" t="str">
        <x:f>IF(T4960=TRUE,"Priority review",IF(R4960=TRUE,"High cost",IF(S4960=TRUE,"Low quality","Benchmark")))</x:f>
        <x:v>Benchmark</x:v>
      </x:c>
    </x:row>
    <x:row r="4961">
      <x:c r="A4961" s="2" t="str">
        <x:v>002013</x:v>
      </x:c>
      <x:c r="B4961" s="2" t="str">
        <x:v>673rd Medical Group (Joint Base Elmendorf-Richardson)</x:v>
      </x:c>
      <x:c r="C4961" s="2" t="str">
        <x:v>JBER</x:v>
      </x:c>
      <x:c r="D4961" s="2" t="str">
        <x:v>AK</x:v>
      </x:c>
      <x:c r="E4961" s="2" t="str">
        <x:v>Acute Care - Department of Defense</x:v>
      </x:c>
      <x:c r="F4961" s="2" t="str">
        <x:v>Other / unknown</x:v>
      </x:c>
      <x:c r="G4961" s="2" t="str">
        <x:v>Unknown</x:v>
      </x:c>
      <x:c r="H4961" s="7"/>
      <x:c r="I4961" s="7" t="n">
        <x:v>4</x:v>
      </x:c>
      <x:c r="J4961" s="7"/>
      <x:c r="K4961" s="8"/>
      <x:c r="L4961" s="8"/>
      <x:c r="M4961" s="9"/>
      <x:c r="N4961" s="10"/>
      <x:c r="O4961" s="9"/>
      <x:c r="P4961" s="9" t="n">
        <x:v>0</x:v>
      </x:c>
      <x:c r="Q4961" s="9" t="n">
        <x:v>0</x:v>
      </x:c>
      <x:c r="R4961" s="3" t="b">
        <x:v>0</x:v>
      </x:c>
      <x:c r="S4961" s="3" t="b">
        <x:v>0</x:v>
      </x:c>
      <x:c r="T4961" s="3" t="b">
        <x:v>0</x:v>
      </x:c>
      <x:c r="U4961" s="2" t="str">
        <x:f>IF(T4961=TRUE,"Priority review",IF(R4961=TRUE,"High cost",IF(S4961=TRUE,"Low quality","Benchmark")))</x:f>
        <x:v>Benchmark</x:v>
      </x:c>
    </x:row>
    <x:row r="4962">
      <x:c r="A4962" s="2" t="str">
        <x:v>005020</x:v>
      </x:c>
      <x:c r="B4962" s="2" t="str">
        <x:v>NH Camp Pendleton</x:v>
      </x:c>
      <x:c r="C4962" s="2" t="str">
        <x:v>Camp Pendleton</x:v>
      </x:c>
      <x:c r="D4962" s="2" t="str">
        <x:v>CA</x:v>
      </x:c>
      <x:c r="E4962" s="2" t="str">
        <x:v>Acute Care - Department of Defense</x:v>
      </x:c>
      <x:c r="F4962" s="2" t="str">
        <x:v>Other / unknown</x:v>
      </x:c>
      <x:c r="G4962" s="2" t="str">
        <x:v>Unknown</x:v>
      </x:c>
      <x:c r="H4962" s="7"/>
      <x:c r="I4962" s="7" t="n">
        <x:v>4</x:v>
      </x:c>
      <x:c r="J4962" s="7"/>
      <x:c r="K4962" s="8"/>
      <x:c r="L4962" s="8"/>
      <x:c r="M4962" s="9"/>
      <x:c r="N4962" s="10"/>
      <x:c r="O4962" s="9"/>
      <x:c r="P4962" s="9" t="n">
        <x:v>0</x:v>
      </x:c>
      <x:c r="Q4962" s="9" t="n">
        <x:v>0</x:v>
      </x:c>
      <x:c r="R4962" s="3" t="b">
        <x:v>0</x:v>
      </x:c>
      <x:c r="S4962" s="3" t="b">
        <x:v>0</x:v>
      </x:c>
      <x:c r="T4962" s="3" t="b">
        <x:v>0</x:v>
      </x:c>
      <x:c r="U4962" s="2" t="str">
        <x:f>IF(T4962=TRUE,"Priority review",IF(R4962=TRUE,"High cost",IF(S4962=TRUE,"Low quality","Benchmark")))</x:f>
        <x:v>Benchmark</x:v>
      </x:c>
    </x:row>
    <x:row r="4963">
      <x:c r="A4963" s="2" t="str">
        <x:v>010779</x:v>
      </x:c>
      <x:c r="B4963" s="2" t="str">
        <x:v>BULLOCK COUNTY HOSPITAL</x:v>
      </x:c>
      <x:c r="C4963" s="2" t="str">
        <x:v>UNION SPRINGS</x:v>
      </x:c>
      <x:c r="D4963" s="2" t="str">
        <x:v>AL</x:v>
      </x:c>
      <x:c r="E4963" s="2" t="str">
        <x:v>Rural Emergency Hospital</x:v>
      </x:c>
      <x:c r="F4963" s="2" t="str">
        <x:v>Proprietary</x:v>
      </x:c>
      <x:c r="G4963" s="2" t="str">
        <x:v>Unknown</x:v>
      </x:c>
      <x:c r="H4963" s="7"/>
      <x:c r="I4963" s="7"/>
      <x:c r="J4963" s="7"/>
      <x:c r="K4963" s="8"/>
      <x:c r="L4963" s="8"/>
      <x:c r="M4963" s="9"/>
      <x:c r="N4963" s="10"/>
      <x:c r="O4963" s="9" t="n">
        <x:v>-0.1651368642</x:v>
      </x:c>
      <x:c r="P4963" s="9" t="n">
        <x:v>0</x:v>
      </x:c>
      <x:c r="Q4963" s="9" t="n">
        <x:v>0</x:v>
      </x:c>
      <x:c r="R4963" s="3" t="b">
        <x:v>0</x:v>
      </x:c>
      <x:c r="S4963" s="3" t="b">
        <x:v>0</x:v>
      </x:c>
      <x:c r="T4963" s="3" t="b">
        <x:v>0</x:v>
      </x:c>
      <x:c r="U4963" s="2" t="str">
        <x:f>IF(T4963=TRUE,"Priority review",IF(R4963=TRUE,"High cost",IF(S4963=TRUE,"Low quality","Benchmark")))</x:f>
        <x:v>Benchmark</x:v>
      </x:c>
    </x:row>
    <x:row r="4964">
      <x:c r="A4964" s="2" t="str">
        <x:v>370784</x:v>
      </x:c>
      <x:c r="B4964" s="2" t="str">
        <x:v>CLINTON REGIONAL HOSPITAL</x:v>
      </x:c>
      <x:c r="C4964" s="2" t="str">
        <x:v>CLINTON</x:v>
      </x:c>
      <x:c r="D4964" s="2" t="str">
        <x:v>OK</x:v>
      </x:c>
      <x:c r="E4964" s="2" t="str">
        <x:v>Rural Emergency Hospital</x:v>
      </x:c>
      <x:c r="F4964" s="2" t="str">
        <x:v>Voluntary non-profit</x:v>
      </x:c>
      <x:c r="G4964" s="2" t="str">
        <x:v>Unknown</x:v>
      </x:c>
      <x:c r="H4964" s="7"/>
      <x:c r="I4964" s="7"/>
      <x:c r="J4964" s="7"/>
      <x:c r="K4964" s="8"/>
      <x:c r="L4964" s="8"/>
      <x:c r="M4964" s="9"/>
      <x:c r="N4964" s="10"/>
      <x:c r="O4964" s="9"/>
      <x:c r="P4964" s="9" t="n">
        <x:v>0</x:v>
      </x:c>
      <x:c r="Q4964" s="9" t="n">
        <x:v>0</x:v>
      </x:c>
      <x:c r="R4964" s="3" t="b">
        <x:v>0</x:v>
      </x:c>
      <x:c r="S4964" s="3" t="b">
        <x:v>0</x:v>
      </x:c>
      <x:c r="T4964" s="3" t="b">
        <x:v>0</x:v>
      </x:c>
      <x:c r="U4964" s="2" t="str">
        <x:f>IF(T4964=TRUE,"Priority review",IF(R4964=TRUE,"High cost",IF(S4964=TRUE,"Low quality","Benchmark")))</x:f>
        <x:v>Benchmark</x:v>
      </x:c>
    </x:row>
    <x:row r="4965">
      <x:c r="A4965" s="2" t="str">
        <x:v>040781</x:v>
      </x:c>
      <x:c r="B4965" s="2" t="str">
        <x:v>HELENA REGIONAL MEDICAL CENTER</x:v>
      </x:c>
      <x:c r="C4965" s="2" t="str">
        <x:v>HELENA</x:v>
      </x:c>
      <x:c r="D4965" s="2" t="str">
        <x:v>AR</x:v>
      </x:c>
      <x:c r="E4965" s="2" t="str">
        <x:v>Rural Emergency Hospital</x:v>
      </x:c>
      <x:c r="F4965" s="2" t="str">
        <x:v>Proprietary</x:v>
      </x:c>
      <x:c r="G4965" s="2" t="str">
        <x:v>Unknown</x:v>
      </x:c>
      <x:c r="H4965" s="7"/>
      <x:c r="I4965" s="7"/>
      <x:c r="J4965" s="7"/>
      <x:c r="K4965" s="8"/>
      <x:c r="L4965" s="8"/>
      <x:c r="M4965" s="9"/>
      <x:c r="N4965" s="10"/>
      <x:c r="O4965" s="9" t="n">
        <x:v>-0.3556089378</x:v>
      </x:c>
      <x:c r="P4965" s="9" t="n">
        <x:v>0</x:v>
      </x:c>
      <x:c r="Q4965" s="9" t="n">
        <x:v>0</x:v>
      </x:c>
      <x:c r="R4965" s="3" t="b">
        <x:v>0</x:v>
      </x:c>
      <x:c r="S4965" s="3" t="b">
        <x:v>0</x:v>
      </x:c>
      <x:c r="T4965" s="3" t="b">
        <x:v>0</x:v>
      </x:c>
      <x:c r="U4965" s="2" t="str">
        <x:f>IF(T4965=TRUE,"Priority review",IF(R4965=TRUE,"High cost",IF(S4965=TRUE,"Low quality","Benchmark")))</x:f>
        <x:v>Benchmark</x:v>
      </x:c>
    </x:row>
    <x:row r="4966">
      <x:c r="A4966" s="2" t="str">
        <x:v>040782</x:v>
      </x:c>
      <x:c r="B4966" s="2" t="str">
        <x:v>SOUTH MISSISSIPPI COUNTY REGIONAL MEDICAL CENTER</x:v>
      </x:c>
      <x:c r="C4966" s="2" t="str">
        <x:v>OSCEOLA</x:v>
      </x:c>
      <x:c r="D4966" s="2" t="str">
        <x:v>AR</x:v>
      </x:c>
      <x:c r="E4966" s="2" t="str">
        <x:v>Rural Emergency Hospital</x:v>
      </x:c>
      <x:c r="F4966" s="2" t="str">
        <x:v>Government</x:v>
      </x:c>
      <x:c r="G4966" s="2" t="str">
        <x:v>Unknown</x:v>
      </x:c>
      <x:c r="H4966" s="7"/>
      <x:c r="I4966" s="7"/>
      <x:c r="J4966" s="7"/>
      <x:c r="K4966" s="8"/>
      <x:c r="L4966" s="8"/>
      <x:c r="M4966" s="9"/>
      <x:c r="N4966" s="10"/>
      <x:c r="O4966" s="9" t="n">
        <x:v>-0.641639748</x:v>
      </x:c>
      <x:c r="P4966" s="9" t="n">
        <x:v>0</x:v>
      </x:c>
      <x:c r="Q4966" s="9" t="n">
        <x:v>0</x:v>
      </x:c>
      <x:c r="R4966" s="3" t="b">
        <x:v>0</x:v>
      </x:c>
      <x:c r="S4966" s="3" t="b">
        <x:v>0</x:v>
      </x:c>
      <x:c r="T4966" s="3" t="b">
        <x:v>0</x:v>
      </x:c>
      <x:c r="U4966" s="2" t="str">
        <x:f>IF(T4966=TRUE,"Priority review",IF(R4966=TRUE,"High cost",IF(S4966=TRUE,"Low quality","Benchmark")))</x:f>
        <x:v>Benchmark</x:v>
      </x:c>
    </x:row>
    <x:row r="4967">
      <x:c r="A4967" s="2" t="str">
        <x:v>040783</x:v>
      </x:c>
      <x:c r="B4967" s="2" t="str">
        <x:v>DEWITT HOSPITAL &amp; NURSING HOME, INC</x:v>
      </x:c>
      <x:c r="C4967" s="2" t="str">
        <x:v>DE WITT</x:v>
      </x:c>
      <x:c r="D4967" s="2" t="str">
        <x:v>AR</x:v>
      </x:c>
      <x:c r="E4967" s="2" t="str">
        <x:v>Rural Emergency Hospital</x:v>
      </x:c>
      <x:c r="F4967" s="2" t="str">
        <x:v>Voluntary non-profit</x:v>
      </x:c>
      <x:c r="G4967" s="2" t="str">
        <x:v>Unknown</x:v>
      </x:c>
      <x:c r="H4967" s="7"/>
      <x:c r="I4967" s="7"/>
      <x:c r="J4967" s="7"/>
      <x:c r="K4967" s="8"/>
      <x:c r="L4967" s="8"/>
      <x:c r="M4967" s="9"/>
      <x:c r="N4967" s="10"/>
      <x:c r="O4967" s="9" t="n">
        <x:v>-0.6526598128</x:v>
      </x:c>
      <x:c r="P4967" s="9" t="n">
        <x:v>0</x:v>
      </x:c>
      <x:c r="Q4967" s="9" t="n">
        <x:v>0</x:v>
      </x:c>
      <x:c r="R4967" s="3" t="b">
        <x:v>0</x:v>
      </x:c>
      <x:c r="S4967" s="3" t="b">
        <x:v>0</x:v>
      </x:c>
      <x:c r="T4967" s="3" t="b">
        <x:v>0</x:v>
      </x:c>
      <x:c r="U4967" s="2" t="str">
        <x:f>IF(T4967=TRUE,"Priority review",IF(R4967=TRUE,"High cost",IF(S4967=TRUE,"Low quality","Benchmark")))</x:f>
        <x:v>Benchmark</x:v>
      </x:c>
    </x:row>
    <x:row r="4968">
      <x:c r="A4968" s="2" t="str">
        <x:v>110779</x:v>
      </x:c>
      <x:c r="B4968" s="2" t="str">
        <x:v>IRWIN COUNTY HOSPITAL</x:v>
      </x:c>
      <x:c r="C4968" s="2" t="str">
        <x:v>OCILLA</x:v>
      </x:c>
      <x:c r="D4968" s="2" t="str">
        <x:v>GA</x:v>
      </x:c>
      <x:c r="E4968" s="2" t="str">
        <x:v>Rural Emergency Hospital</x:v>
      </x:c>
      <x:c r="F4968" s="2" t="str">
        <x:v>Government</x:v>
      </x:c>
      <x:c r="G4968" s="2" t="str">
        <x:v>Unknown</x:v>
      </x:c>
      <x:c r="H4968" s="7"/>
      <x:c r="I4968" s="7"/>
      <x:c r="J4968" s="7"/>
      <x:c r="K4968" s="8"/>
      <x:c r="L4968" s="8"/>
      <x:c r="M4968" s="9"/>
      <x:c r="N4968" s="10"/>
      <x:c r="O4968" s="9" t="n">
        <x:v>-2.1430024901</x:v>
      </x:c>
      <x:c r="P4968" s="9" t="n">
        <x:v>0</x:v>
      </x:c>
      <x:c r="Q4968" s="9" t="n">
        <x:v>0</x:v>
      </x:c>
      <x:c r="R4968" s="3" t="b">
        <x:v>0</x:v>
      </x:c>
      <x:c r="S4968" s="3" t="b">
        <x:v>0</x:v>
      </x:c>
      <x:c r="T4968" s="3" t="b">
        <x:v>0</x:v>
      </x:c>
      <x:c r="U4968" s="2" t="str">
        <x:f>IF(T4968=TRUE,"Priority review",IF(R4968=TRUE,"High cost",IF(S4968=TRUE,"Low quality","Benchmark")))</x:f>
        <x:v>Benchmark</x:v>
      </x:c>
    </x:row>
    <x:row r="4969">
      <x:c r="A4969" s="2" t="str">
        <x:v>170779</x:v>
      </x:c>
      <x:c r="B4969" s="2" t="str">
        <x:v>SCK HEALTH</x:v>
      </x:c>
      <x:c r="C4969" s="2" t="str">
        <x:v>ARKANSAS CITY</x:v>
      </x:c>
      <x:c r="D4969" s="2" t="str">
        <x:v>KS</x:v>
      </x:c>
      <x:c r="E4969" s="2" t="str">
        <x:v>Rural Emergency Hospital</x:v>
      </x:c>
      <x:c r="F4969" s="2" t="str">
        <x:v>Government</x:v>
      </x:c>
      <x:c r="G4969" s="2" t="str">
        <x:v>Unknown</x:v>
      </x:c>
      <x:c r="H4969" s="7"/>
      <x:c r="I4969" s="7"/>
      <x:c r="J4969" s="7"/>
      <x:c r="K4969" s="8"/>
      <x:c r="L4969" s="8"/>
      <x:c r="M4969" s="9"/>
      <x:c r="N4969" s="10"/>
      <x:c r="O4969" s="9" t="n">
        <x:v>-0.043727633</x:v>
      </x:c>
      <x:c r="P4969" s="9" t="n">
        <x:v>0</x:v>
      </x:c>
      <x:c r="Q4969" s="9" t="n">
        <x:v>0</x:v>
      </x:c>
      <x:c r="R4969" s="3" t="b">
        <x:v>0</x:v>
      </x:c>
      <x:c r="S4969" s="3" t="b">
        <x:v>0</x:v>
      </x:c>
      <x:c r="T4969" s="3" t="b">
        <x:v>0</x:v>
      </x:c>
      <x:c r="U4969" s="2" t="str">
        <x:f>IF(T4969=TRUE,"Priority review",IF(R4969=TRUE,"High cost",IF(S4969=TRUE,"Low quality","Benchmark")))</x:f>
        <x:v>Benchmark</x:v>
      </x:c>
    </x:row>
    <x:row r="4970">
      <x:c r="A4970" s="2" t="str">
        <x:v>170780</x:v>
      </x:c>
      <x:c r="B4970" s="2" t="str">
        <x:v>MERCY HOSPITAL, INC</x:v>
      </x:c>
      <x:c r="C4970" s="2" t="str">
        <x:v>MOUNDRIDGE</x:v>
      </x:c>
      <x:c r="D4970" s="2" t="str">
        <x:v>KS</x:v>
      </x:c>
      <x:c r="E4970" s="2" t="str">
        <x:v>Rural Emergency Hospital</x:v>
      </x:c>
      <x:c r="F4970" s="2" t="str">
        <x:v>Voluntary non-profit</x:v>
      </x:c>
      <x:c r="G4970" s="2" t="str">
        <x:v>Unknown</x:v>
      </x:c>
      <x:c r="H4970" s="7"/>
      <x:c r="I4970" s="7"/>
      <x:c r="J4970" s="7"/>
      <x:c r="K4970" s="8"/>
      <x:c r="L4970" s="8"/>
      <x:c r="M4970" s="9"/>
      <x:c r="N4970" s="10"/>
      <x:c r="O4970" s="9" t="n">
        <x:v>-0.4953358035</x:v>
      </x:c>
      <x:c r="P4970" s="9" t="n">
        <x:v>0</x:v>
      </x:c>
      <x:c r="Q4970" s="9" t="n">
        <x:v>0</x:v>
      </x:c>
      <x:c r="R4970" s="3" t="b">
        <x:v>0</x:v>
      </x:c>
      <x:c r="S4970" s="3" t="b">
        <x:v>0</x:v>
      </x:c>
      <x:c r="T4970" s="3" t="b">
        <x:v>0</x:v>
      </x:c>
      <x:c r="U4970" s="2" t="str">
        <x:f>IF(T4970=TRUE,"Priority review",IF(R4970=TRUE,"High cost",IF(S4970=TRUE,"Low quality","Benchmark")))</x:f>
        <x:v>Benchmark</x:v>
      </x:c>
    </x:row>
    <x:row r="4971">
      <x:c r="A4971" s="2" t="str">
        <x:v>170781</x:v>
      </x:c>
      <x:c r="B4971" s="2" t="str">
        <x:v>RUSH COUNTY MEMORIAL HOSPITAL</x:v>
      </x:c>
      <x:c r="C4971" s="2" t="str">
        <x:v>LA CROSSE</x:v>
      </x:c>
      <x:c r="D4971" s="2" t="str">
        <x:v>KS</x:v>
      </x:c>
      <x:c r="E4971" s="2" t="str">
        <x:v>Rural Emergency Hospital</x:v>
      </x:c>
      <x:c r="F4971" s="2" t="str">
        <x:v>Government</x:v>
      </x:c>
      <x:c r="G4971" s="2" t="str">
        <x:v>Unknown</x:v>
      </x:c>
      <x:c r="H4971" s="7"/>
      <x:c r="I4971" s="7"/>
      <x:c r="J4971" s="7"/>
      <x:c r="K4971" s="8"/>
      <x:c r="L4971" s="8"/>
      <x:c r="M4971" s="9"/>
      <x:c r="N4971" s="10"/>
      <x:c r="O4971" s="9" t="n">
        <x:v>0.189967491</x:v>
      </x:c>
      <x:c r="P4971" s="9" t="n">
        <x:v>0</x:v>
      </x:c>
      <x:c r="Q4971" s="9" t="n">
        <x:v>0</x:v>
      </x:c>
      <x:c r="R4971" s="3" t="b">
        <x:v>0</x:v>
      </x:c>
      <x:c r="S4971" s="3" t="b">
        <x:v>0</x:v>
      </x:c>
      <x:c r="T4971" s="3" t="b">
        <x:v>0</x:v>
      </x:c>
      <x:c r="U4971" s="2" t="str">
        <x:f>IF(T4971=TRUE,"Priority review",IF(R4971=TRUE,"High cost",IF(S4971=TRUE,"Low quality","Benchmark")))</x:f>
        <x:v>Benchmark</x:v>
      </x:c>
    </x:row>
    <x:row r="4972">
      <x:c r="A4972" s="2" t="str">
        <x:v>180779</x:v>
      </x:c>
      <x:c r="B4972" s="2" t="str">
        <x:v>CRITTENDEN COMMUNITY HOSPITAL</x:v>
      </x:c>
      <x:c r="C4972" s="2" t="str">
        <x:v>MARION</x:v>
      </x:c>
      <x:c r="D4972" s="2" t="str">
        <x:v>KY</x:v>
      </x:c>
      <x:c r="E4972" s="2" t="str">
        <x:v>Rural Emergency Hospital</x:v>
      </x:c>
      <x:c r="F4972" s="2" t="str">
        <x:v>Government</x:v>
      </x:c>
      <x:c r="G4972" s="2" t="str">
        <x:v>Unknown</x:v>
      </x:c>
      <x:c r="H4972" s="7"/>
      <x:c r="I4972" s="7"/>
      <x:c r="J4972" s="7"/>
      <x:c r="K4972" s="8"/>
      <x:c r="L4972" s="8"/>
      <x:c r="M4972" s="9"/>
      <x:c r="N4972" s="10"/>
      <x:c r="O4972" s="9" t="n">
        <x:v>-0.2708384491</x:v>
      </x:c>
      <x:c r="P4972" s="9" t="n">
        <x:v>0</x:v>
      </x:c>
      <x:c r="Q4972" s="9" t="n">
        <x:v>0</x:v>
      </x:c>
      <x:c r="R4972" s="3" t="b">
        <x:v>0</x:v>
      </x:c>
      <x:c r="S4972" s="3" t="b">
        <x:v>0</x:v>
      </x:c>
      <x:c r="T4972" s="3" t="b">
        <x:v>0</x:v>
      </x:c>
      <x:c r="U4972" s="2" t="str">
        <x:f>IF(T4972=TRUE,"Priority review",IF(R4972=TRUE,"High cost",IF(S4972=TRUE,"Low quality","Benchmark")))</x:f>
        <x:v>Benchmark</x:v>
      </x:c>
    </x:row>
    <x:row r="4973">
      <x:c r="A4973" s="2" t="str">
        <x:v>010780</x:v>
      </x:c>
      <x:c r="B4973" s="2" t="str">
        <x:v>EAMC - LANIER</x:v>
      </x:c>
      <x:c r="C4973" s="2" t="str">
        <x:v>VALLEY</x:v>
      </x:c>
      <x:c r="D4973" s="2" t="str">
        <x:v>AL</x:v>
      </x:c>
      <x:c r="E4973" s="2" t="str">
        <x:v>Rural Emergency Hospital</x:v>
      </x:c>
      <x:c r="F4973" s="2" t="str">
        <x:v>Government</x:v>
      </x:c>
      <x:c r="G4973" s="2" t="str">
        <x:v>Unknown</x:v>
      </x:c>
      <x:c r="H4973" s="7"/>
      <x:c r="I4973" s="7"/>
      <x:c r="J4973" s="7"/>
      <x:c r="K4973" s="8"/>
      <x:c r="L4973" s="8"/>
      <x:c r="M4973" s="9"/>
      <x:c r="N4973" s="10"/>
      <x:c r="O4973" s="9"/>
      <x:c r="P4973" s="9" t="n">
        <x:v>0</x:v>
      </x:c>
      <x:c r="Q4973" s="9" t="n">
        <x:v>0</x:v>
      </x:c>
      <x:c r="R4973" s="3" t="b">
        <x:v>0</x:v>
      </x:c>
      <x:c r="S4973" s="3" t="b">
        <x:v>0</x:v>
      </x:c>
      <x:c r="T4973" s="3" t="b">
        <x:v>0</x:v>
      </x:c>
      <x:c r="U4973" s="2" t="str">
        <x:f>IF(T4973=TRUE,"Priority review",IF(R4973=TRUE,"High cost",IF(S4973=TRUE,"Low quality","Benchmark")))</x:f>
        <x:v>Benchmark</x:v>
      </x:c>
    </x:row>
    <x:row r="4974">
      <x:c r="A4974" s="2" t="str">
        <x:v>670781</x:v>
      </x:c>
      <x:c r="B4974" s="2" t="str">
        <x:v>ANSON GENERAL HOSPITAL</x:v>
      </x:c>
      <x:c r="C4974" s="2" t="str">
        <x:v>ANSON</x:v>
      </x:c>
      <x:c r="D4974" s="2" t="str">
        <x:v>TX</x:v>
      </x:c>
      <x:c r="E4974" s="2" t="str">
        <x:v>Rural Emergency Hospital</x:v>
      </x:c>
      <x:c r="F4974" s="2" t="str">
        <x:v>Government</x:v>
      </x:c>
      <x:c r="G4974" s="2" t="str">
        <x:v>Unknown</x:v>
      </x:c>
      <x:c r="H4974" s="7"/>
      <x:c r="I4974" s="7"/>
      <x:c r="J4974" s="7"/>
      <x:c r="K4974" s="8"/>
      <x:c r="L4974" s="8"/>
      <x:c r="M4974" s="9"/>
      <x:c r="N4974" s="10"/>
      <x:c r="O4974" s="9" t="n">
        <x:v>-0.7149070906</x:v>
      </x:c>
      <x:c r="P4974" s="9" t="n">
        <x:v>0</x:v>
      </x:c>
      <x:c r="Q4974" s="9" t="n">
        <x:v>0</x:v>
      </x:c>
      <x:c r="R4974" s="3" t="b">
        <x:v>0</x:v>
      </x:c>
      <x:c r="S4974" s="3" t="b">
        <x:v>0</x:v>
      </x:c>
      <x:c r="T4974" s="3" t="b">
        <x:v>0</x:v>
      </x:c>
      <x:c r="U4974" s="2" t="str">
        <x:f>IF(T4974=TRUE,"Priority review",IF(R4974=TRUE,"High cost",IF(S4974=TRUE,"Low quality","Benchmark")))</x:f>
        <x:v>Benchmark</x:v>
      </x:c>
    </x:row>
    <x:row r="4975">
      <x:c r="A4975" s="2" t="str">
        <x:v>040779</x:v>
      </x:c>
      <x:c r="B4975" s="2" t="str">
        <x:v>ST BERNARDS FIVE RIVERS MEDICAL CENTER</x:v>
      </x:c>
      <x:c r="C4975" s="2" t="str">
        <x:v>POCAHONTAS</x:v>
      </x:c>
      <x:c r="D4975" s="2" t="str">
        <x:v>AR</x:v>
      </x:c>
      <x:c r="E4975" s="2" t="str">
        <x:v>Rural Emergency Hospital</x:v>
      </x:c>
      <x:c r="F4975" s="2" t="str">
        <x:v>Voluntary non-profit</x:v>
      </x:c>
      <x:c r="G4975" s="2" t="str">
        <x:v>Unknown</x:v>
      </x:c>
      <x:c r="H4975" s="7"/>
      <x:c r="I4975" s="7"/>
      <x:c r="J4975" s="7"/>
      <x:c r="K4975" s="8"/>
      <x:c r="L4975" s="8"/>
      <x:c r="M4975" s="9"/>
      <x:c r="N4975" s="10"/>
      <x:c r="O4975" s="9"/>
      <x:c r="P4975" s="9" t="n">
        <x:v>0</x:v>
      </x:c>
      <x:c r="Q4975" s="9" t="n">
        <x:v>0</x:v>
      </x:c>
      <x:c r="R4975" s="3" t="b">
        <x:v>0</x:v>
      </x:c>
      <x:c r="S4975" s="3" t="b">
        <x:v>0</x:v>
      </x:c>
      <x:c r="T4975" s="3" t="b">
        <x:v>0</x:v>
      </x:c>
      <x:c r="U4975" s="2" t="str">
        <x:f>IF(T4975=TRUE,"Priority review",IF(R4975=TRUE,"High cost",IF(S4975=TRUE,"Low quality","Benchmark")))</x:f>
        <x:v>Benchmark</x:v>
      </x:c>
    </x:row>
    <x:row r="4976">
      <x:c r="A4976" s="2" t="str">
        <x:v>130779</x:v>
      </x:c>
      <x:c r="B4976" s="2" t="str">
        <x:v>CASCADE MEDICAL CENTER</x:v>
      </x:c>
      <x:c r="C4976" s="2" t="str">
        <x:v>CASCADE</x:v>
      </x:c>
      <x:c r="D4976" s="2" t="str">
        <x:v>ID</x:v>
      </x:c>
      <x:c r="E4976" s="2" t="str">
        <x:v>Rural Emergency Hospital</x:v>
      </x:c>
      <x:c r="F4976" s="2" t="str">
        <x:v>Government</x:v>
      </x:c>
      <x:c r="G4976" s="2" t="str">
        <x:v>Unknown</x:v>
      </x:c>
      <x:c r="H4976" s="7"/>
      <x:c r="I4976" s="7"/>
      <x:c r="J4976" s="7"/>
      <x:c r="K4976" s="8"/>
      <x:c r="L4976" s="8"/>
      <x:c r="M4976" s="9"/>
      <x:c r="N4976" s="10"/>
      <x:c r="O4976" s="9"/>
      <x:c r="P4976" s="9" t="n">
        <x:v>0</x:v>
      </x:c>
      <x:c r="Q4976" s="9" t="n">
        <x:v>0</x:v>
      </x:c>
      <x:c r="R4976" s="3" t="b">
        <x:v>0</x:v>
      </x:c>
      <x:c r="S4976" s="3" t="b">
        <x:v>0</x:v>
      </x:c>
      <x:c r="T4976" s="3" t="b">
        <x:v>0</x:v>
      </x:c>
      <x:c r="U4976" s="2" t="str">
        <x:f>IF(T4976=TRUE,"Priority review",IF(R4976=TRUE,"High cost",IF(S4976=TRUE,"Low quality","Benchmark")))</x:f>
        <x:v>Benchmark</x:v>
      </x:c>
    </x:row>
    <x:row r="4977">
      <x:c r="A4977" s="2" t="str">
        <x:v>180780</x:v>
      </x:c>
      <x:c r="B4977" s="2" t="str">
        <x:v>FLEMING COUNTY HOSPITAL</x:v>
      </x:c>
      <x:c r="C4977" s="2" t="str">
        <x:v>FLEMINGSBURG</x:v>
      </x:c>
      <x:c r="D4977" s="2" t="str">
        <x:v>KY</x:v>
      </x:c>
      <x:c r="E4977" s="2" t="str">
        <x:v>Rural Emergency Hospital</x:v>
      </x:c>
      <x:c r="F4977" s="2" t="str">
        <x:v>Voluntary non-profit</x:v>
      </x:c>
      <x:c r="G4977" s="2" t="str">
        <x:v>Unknown</x:v>
      </x:c>
      <x:c r="H4977" s="7"/>
      <x:c r="I4977" s="7"/>
      <x:c r="J4977" s="7"/>
      <x:c r="K4977" s="8"/>
      <x:c r="L4977" s="8"/>
      <x:c r="M4977" s="9"/>
      <x:c r="N4977" s="10"/>
      <x:c r="O4977" s="9"/>
      <x:c r="P4977" s="9" t="n">
        <x:v>0</x:v>
      </x:c>
      <x:c r="Q4977" s="9" t="n">
        <x:v>0</x:v>
      </x:c>
      <x:c r="R4977" s="3" t="b">
        <x:v>0</x:v>
      </x:c>
      <x:c r="S4977" s="3" t="b">
        <x:v>0</x:v>
      </x:c>
      <x:c r="T4977" s="3" t="b">
        <x:v>0</x:v>
      </x:c>
      <x:c r="U4977" s="2" t="str">
        <x:f>IF(T4977=TRUE,"Priority review",IF(R4977=TRUE,"High cost",IF(S4977=TRUE,"Low quality","Benchmark")))</x:f>
        <x:v>Benchmark</x:v>
      </x:c>
    </x:row>
    <x:row r="4978">
      <x:c r="A4978" s="2" t="str">
        <x:v>190779</x:v>
      </x:c>
      <x:c r="B4978" s="2" t="str">
        <x:v>ASSUMPTION COMMUNITY HOSPITAL</x:v>
      </x:c>
      <x:c r="C4978" s="2" t="str">
        <x:v>NAPOLEONVILLE</x:v>
      </x:c>
      <x:c r="D4978" s="2" t="str">
        <x:v>LA</x:v>
      </x:c>
      <x:c r="E4978" s="2" t="str">
        <x:v>Rural Emergency Hospital</x:v>
      </x:c>
      <x:c r="F4978" s="2" t="str">
        <x:v>Voluntary non-profit</x:v>
      </x:c>
      <x:c r="G4978" s="2" t="str">
        <x:v>Unknown</x:v>
      </x:c>
      <x:c r="H4978" s="7"/>
      <x:c r="I4978" s="7"/>
      <x:c r="J4978" s="7"/>
      <x:c r="K4978" s="8"/>
      <x:c r="L4978" s="8"/>
      <x:c r="M4978" s="9"/>
      <x:c r="N4978" s="10"/>
      <x:c r="O4978" s="9" t="n">
        <x:v>0.1264984804</x:v>
      </x:c>
      <x:c r="P4978" s="9" t="n">
        <x:v>0</x:v>
      </x:c>
      <x:c r="Q4978" s="9" t="n">
        <x:v>0</x:v>
      </x:c>
      <x:c r="R4978" s="3" t="b">
        <x:v>0</x:v>
      </x:c>
      <x:c r="S4978" s="3" t="b">
        <x:v>0</x:v>
      </x:c>
      <x:c r="T4978" s="3" t="b">
        <x:v>0</x:v>
      </x:c>
      <x:c r="U4978" s="2" t="str">
        <x:f>IF(T4978=TRUE,"Priority review",IF(R4978=TRUE,"High cost",IF(S4978=TRUE,"Low quality","Benchmark")))</x:f>
        <x:v>Benchmark</x:v>
      </x:c>
    </x:row>
    <x:row r="4979">
      <x:c r="A4979" s="2" t="str">
        <x:v>230779</x:v>
      </x:c>
      <x:c r="B4979" s="2" t="str">
        <x:v>STURGIS HOSPITAL</x:v>
      </x:c>
      <x:c r="C4979" s="2" t="str">
        <x:v>STURGIS</x:v>
      </x:c>
      <x:c r="D4979" s="2" t="str">
        <x:v>MI</x:v>
      </x:c>
      <x:c r="E4979" s="2" t="str">
        <x:v>Rural Emergency Hospital</x:v>
      </x:c>
      <x:c r="F4979" s="2" t="str">
        <x:v>Government</x:v>
      </x:c>
      <x:c r="G4979" s="2" t="str">
        <x:v>Unknown</x:v>
      </x:c>
      <x:c r="H4979" s="7"/>
      <x:c r="I4979" s="7"/>
      <x:c r="J4979" s="7"/>
      <x:c r="K4979" s="8"/>
      <x:c r="L4979" s="8"/>
      <x:c r="M4979" s="9"/>
      <x:c r="N4979" s="10"/>
      <x:c r="O4979" s="9" t="n">
        <x:v>-1.0191619207</x:v>
      </x:c>
      <x:c r="P4979" s="9" t="n">
        <x:v>0</x:v>
      </x:c>
      <x:c r="Q4979" s="9" t="n">
        <x:v>0</x:v>
      </x:c>
      <x:c r="R4979" s="3" t="b">
        <x:v>0</x:v>
      </x:c>
      <x:c r="S4979" s="3" t="b">
        <x:v>0</x:v>
      </x:c>
      <x:c r="T4979" s="3" t="b">
        <x:v>0</x:v>
      </x:c>
      <x:c r="U4979" s="2" t="str">
        <x:f>IF(T4979=TRUE,"Priority review",IF(R4979=TRUE,"High cost",IF(S4979=TRUE,"Low quality","Benchmark")))</x:f>
        <x:v>Benchmark</x:v>
      </x:c>
    </x:row>
    <x:row r="4980">
      <x:c r="A4980" s="2" t="str">
        <x:v>240779</x:v>
      </x:c>
      <x:c r="B4980" s="2" t="str">
        <x:v>MAHNOMEN HEALTH CENTER</x:v>
      </x:c>
      <x:c r="C4980" s="2" t="str">
        <x:v>MAHNOMEN</x:v>
      </x:c>
      <x:c r="D4980" s="2" t="str">
        <x:v>MN</x:v>
      </x:c>
      <x:c r="E4980" s="2" t="str">
        <x:v>Rural Emergency Hospital</x:v>
      </x:c>
      <x:c r="F4980" s="2" t="str">
        <x:v>Government</x:v>
      </x:c>
      <x:c r="G4980" s="2" t="str">
        <x:v>Unknown</x:v>
      </x:c>
      <x:c r="H4980" s="7"/>
      <x:c r="I4980" s="7"/>
      <x:c r="J4980" s="7"/>
      <x:c r="K4980" s="8"/>
      <x:c r="L4980" s="8"/>
      <x:c r="M4980" s="9"/>
      <x:c r="N4980" s="10"/>
      <x:c r="O4980" s="9" t="n">
        <x:v>-0.4954267062</x:v>
      </x:c>
      <x:c r="P4980" s="9" t="n">
        <x:v>0</x:v>
      </x:c>
      <x:c r="Q4980" s="9" t="n">
        <x:v>0</x:v>
      </x:c>
      <x:c r="R4980" s="3" t="b">
        <x:v>0</x:v>
      </x:c>
      <x:c r="S4980" s="3" t="b">
        <x:v>0</x:v>
      </x:c>
      <x:c r="T4980" s="3" t="b">
        <x:v>0</x:v>
      </x:c>
      <x:c r="U4980" s="2" t="str">
        <x:f>IF(T4980=TRUE,"Priority review",IF(R4980=TRUE,"High cost",IF(S4980=TRUE,"Low quality","Benchmark")))</x:f>
        <x:v>Benchmark</x:v>
      </x:c>
    </x:row>
    <x:row r="4981">
      <x:c r="A4981" s="2" t="str">
        <x:v>250780</x:v>
      </x:c>
      <x:c r="B4981" s="2" t="str">
        <x:v>JEFFERSON COUNTY HOSPITAL</x:v>
      </x:c>
      <x:c r="C4981" s="2" t="str">
        <x:v>FAYETTE</x:v>
      </x:c>
      <x:c r="D4981" s="2" t="str">
        <x:v>MS</x:v>
      </x:c>
      <x:c r="E4981" s="2" t="str">
        <x:v>Rural Emergency Hospital</x:v>
      </x:c>
      <x:c r="F4981" s="2" t="str">
        <x:v>Proprietary</x:v>
      </x:c>
      <x:c r="G4981" s="2" t="str">
        <x:v>Unknown</x:v>
      </x:c>
      <x:c r="H4981" s="7"/>
      <x:c r="I4981" s="7"/>
      <x:c r="J4981" s="7"/>
      <x:c r="K4981" s="8"/>
      <x:c r="L4981" s="8"/>
      <x:c r="M4981" s="9"/>
      <x:c r="N4981" s="10"/>
      <x:c r="O4981" s="9"/>
      <x:c r="P4981" s="9" t="n">
        <x:v>0</x:v>
      </x:c>
      <x:c r="Q4981" s="9" t="n">
        <x:v>0</x:v>
      </x:c>
      <x:c r="R4981" s="3" t="b">
        <x:v>0</x:v>
      </x:c>
      <x:c r="S4981" s="3" t="b">
        <x:v>0</x:v>
      </x:c>
      <x:c r="T4981" s="3" t="b">
        <x:v>0</x:v>
      </x:c>
      <x:c r="U4981" s="2" t="str">
        <x:f>IF(T4981=TRUE,"Priority review",IF(R4981=TRUE,"High cost",IF(S4981=TRUE,"Low quality","Benchmark")))</x:f>
        <x:v>Benchmark</x:v>
      </x:c>
    </x:row>
    <x:row r="4982">
      <x:c r="A4982" s="2" t="str">
        <x:v>250781</x:v>
      </x:c>
      <x:c r="B4982" s="2" t="str">
        <x:v>PANOLA MEDICAL CENTER</x:v>
      </x:c>
      <x:c r="C4982" s="2" t="str">
        <x:v>BATESVILLE</x:v>
      </x:c>
      <x:c r="D4982" s="2" t="str">
        <x:v>MS</x:v>
      </x:c>
      <x:c r="E4982" s="2" t="str">
        <x:v>Rural Emergency Hospital</x:v>
      </x:c>
      <x:c r="F4982" s="2" t="str">
        <x:v>Proprietary</x:v>
      </x:c>
      <x:c r="G4982" s="2" t="str">
        <x:v>Unknown</x:v>
      </x:c>
      <x:c r="H4982" s="7"/>
      <x:c r="I4982" s="7"/>
      <x:c r="J4982" s="7"/>
      <x:c r="K4982" s="8"/>
      <x:c r="L4982" s="8"/>
      <x:c r="M4982" s="9"/>
      <x:c r="N4982" s="10"/>
      <x:c r="O4982" s="9" t="n">
        <x:v>-0.1733609003</x:v>
      </x:c>
      <x:c r="P4982" s="9" t="n">
        <x:v>0</x:v>
      </x:c>
      <x:c r="Q4982" s="9" t="n">
        <x:v>0</x:v>
      </x:c>
      <x:c r="R4982" s="3" t="b">
        <x:v>0</x:v>
      </x:c>
      <x:c r="S4982" s="3" t="b">
        <x:v>0</x:v>
      </x:c>
      <x:c r="T4982" s="3" t="b">
        <x:v>0</x:v>
      </x:c>
      <x:c r="U4982" s="2" t="str">
        <x:f>IF(T4982=TRUE,"Priority review",IF(R4982=TRUE,"High cost",IF(S4982=TRUE,"Low quality","Benchmark")))</x:f>
        <x:v>Benchmark</x:v>
      </x:c>
    </x:row>
    <x:row r="4983">
      <x:c r="A4983" s="2" t="str">
        <x:v>250782</x:v>
      </x:c>
      <x:c r="B4983" s="2" t="str">
        <x:v>GREENE COUNTY HOSPITAL</x:v>
      </x:c>
      <x:c r="C4983" s="2" t="str">
        <x:v>LEAKESVILLE</x:v>
      </x:c>
      <x:c r="D4983" s="2" t="str">
        <x:v>MS</x:v>
      </x:c>
      <x:c r="E4983" s="2" t="str">
        <x:v>Rural Emergency Hospital</x:v>
      </x:c>
      <x:c r="F4983" s="2" t="str">
        <x:v>Government</x:v>
      </x:c>
      <x:c r="G4983" s="2" t="str">
        <x:v>Unknown</x:v>
      </x:c>
      <x:c r="H4983" s="7"/>
      <x:c r="I4983" s="7"/>
      <x:c r="J4983" s="7"/>
      <x:c r="K4983" s="8"/>
      <x:c r="L4983" s="8"/>
      <x:c r="M4983" s="9"/>
      <x:c r="N4983" s="10"/>
      <x:c r="O4983" s="9" t="n">
        <x:v>0.3854825881</x:v>
      </x:c>
      <x:c r="P4983" s="9" t="n">
        <x:v>0</x:v>
      </x:c>
      <x:c r="Q4983" s="9" t="n">
        <x:v>0</x:v>
      </x:c>
      <x:c r="R4983" s="3" t="b">
        <x:v>0</x:v>
      </x:c>
      <x:c r="S4983" s="3" t="b">
        <x:v>0</x:v>
      </x:c>
      <x:c r="T4983" s="3" t="b">
        <x:v>0</x:v>
      </x:c>
      <x:c r="U4983" s="2" t="str">
        <x:f>IF(T4983=TRUE,"Priority review",IF(R4983=TRUE,"High cost",IF(S4983=TRUE,"Low quality","Benchmark")))</x:f>
        <x:v>Benchmark</x:v>
      </x:c>
    </x:row>
    <x:row r="4984">
      <x:c r="A4984" s="2" t="str">
        <x:v>250783</x:v>
      </x:c>
      <x:c r="B4984" s="2" t="str">
        <x:v>PERRY COUNTY GENERAL HOSPITAL</x:v>
      </x:c>
      <x:c r="C4984" s="2" t="str">
        <x:v>RICHTON</x:v>
      </x:c>
      <x:c r="D4984" s="2" t="str">
        <x:v>MS</x:v>
      </x:c>
      <x:c r="E4984" s="2" t="str">
        <x:v>Rural Emergency Hospital</x:v>
      </x:c>
      <x:c r="F4984" s="2" t="str">
        <x:v>Government</x:v>
      </x:c>
      <x:c r="G4984" s="2" t="str">
        <x:v>Unknown</x:v>
      </x:c>
      <x:c r="H4984" s="7"/>
      <x:c r="I4984" s="7"/>
      <x:c r="J4984" s="7"/>
      <x:c r="K4984" s="8"/>
      <x:c r="L4984" s="8"/>
      <x:c r="M4984" s="9"/>
      <x:c r="N4984" s="10"/>
      <x:c r="O4984" s="9" t="n">
        <x:v>0.0218577626</x:v>
      </x:c>
      <x:c r="P4984" s="9" t="n">
        <x:v>0</x:v>
      </x:c>
      <x:c r="Q4984" s="9" t="n">
        <x:v>0</x:v>
      </x:c>
      <x:c r="R4984" s="3" t="b">
        <x:v>0</x:v>
      </x:c>
      <x:c r="S4984" s="3" t="b">
        <x:v>0</x:v>
      </x:c>
      <x:c r="T4984" s="3" t="b">
        <x:v>0</x:v>
      </x:c>
      <x:c r="U4984" s="2" t="str">
        <x:f>IF(T4984=TRUE,"Priority review",IF(R4984=TRUE,"High cost",IF(S4984=TRUE,"Low quality","Benchmark")))</x:f>
        <x:v>Benchmark</x:v>
      </x:c>
    </x:row>
    <x:row r="4985">
      <x:c r="A4985" s="2" t="str">
        <x:v>250784</x:v>
      </x:c>
      <x:c r="B4985" s="2" t="str">
        <x:v>SHARKEY ISSAQUENA COMMUNITY HOSPITAL</x:v>
      </x:c>
      <x:c r="C4985" s="2" t="str">
        <x:v>ROLLING FORK</x:v>
      </x:c>
      <x:c r="D4985" s="2" t="str">
        <x:v>MS</x:v>
      </x:c>
      <x:c r="E4985" s="2" t="str">
        <x:v>Rural Emergency Hospital</x:v>
      </x:c>
      <x:c r="F4985" s="2" t="str">
        <x:v>Government</x:v>
      </x:c>
      <x:c r="G4985" s="2" t="str">
        <x:v>Unknown</x:v>
      </x:c>
      <x:c r="H4985" s="7"/>
      <x:c r="I4985" s="7"/>
      <x:c r="J4985" s="7"/>
      <x:c r="K4985" s="8"/>
      <x:c r="L4985" s="8"/>
      <x:c r="M4985" s="9"/>
      <x:c r="N4985" s="10"/>
      <x:c r="O4985" s="9" t="n">
        <x:v>-1.8006701166</x:v>
      </x:c>
      <x:c r="P4985" s="9" t="n">
        <x:v>0</x:v>
      </x:c>
      <x:c r="Q4985" s="9" t="n">
        <x:v>0</x:v>
      </x:c>
      <x:c r="R4985" s="3" t="b">
        <x:v>0</x:v>
      </x:c>
      <x:c r="S4985" s="3" t="b">
        <x:v>0</x:v>
      </x:c>
      <x:c r="T4985" s="3" t="b">
        <x:v>0</x:v>
      </x:c>
      <x:c r="U4985" s="2" t="str">
        <x:f>IF(T4985=TRUE,"Priority review",IF(R4985=TRUE,"High cost",IF(S4985=TRUE,"Low quality","Benchmark")))</x:f>
        <x:v>Benchmark</x:v>
      </x:c>
    </x:row>
    <x:row r="4986">
      <x:c r="A4986" s="2" t="str">
        <x:v>250785</x:v>
      </x:c>
      <x:c r="B4986" s="2" t="str">
        <x:v>PROGRESSIVE HEALTH GROUP OF HOUSTON</x:v>
      </x:c>
      <x:c r="C4986" s="2" t="str">
        <x:v>HOUSTON</x:v>
      </x:c>
      <x:c r="D4986" s="2" t="str">
        <x:v>MS</x:v>
      </x:c>
      <x:c r="E4986" s="2" t="str">
        <x:v>Rural Emergency Hospital</x:v>
      </x:c>
      <x:c r="F4986" s="2" t="str">
        <x:v>Proprietary</x:v>
      </x:c>
      <x:c r="G4986" s="2" t="str">
        <x:v>Unknown</x:v>
      </x:c>
      <x:c r="H4986" s="7"/>
      <x:c r="I4986" s="7"/>
      <x:c r="J4986" s="7"/>
      <x:c r="K4986" s="8"/>
      <x:c r="L4986" s="8"/>
      <x:c r="M4986" s="9"/>
      <x:c r="N4986" s="10"/>
      <x:c r="O4986" s="9" t="n">
        <x:v>-0.9521372392</x:v>
      </x:c>
      <x:c r="P4986" s="9" t="n">
        <x:v>0</x:v>
      </x:c>
      <x:c r="Q4986" s="9" t="n">
        <x:v>0</x:v>
      </x:c>
      <x:c r="R4986" s="3" t="b">
        <x:v>0</x:v>
      </x:c>
      <x:c r="S4986" s="3" t="b">
        <x:v>0</x:v>
      </x:c>
      <x:c r="T4986" s="3" t="b">
        <x:v>0</x:v>
      </x:c>
      <x:c r="U4986" s="2" t="str">
        <x:f>IF(T4986=TRUE,"Priority review",IF(R4986=TRUE,"High cost",IF(S4986=TRUE,"Low quality","Benchmark")))</x:f>
        <x:v>Benchmark</x:v>
      </x:c>
    </x:row>
    <x:row r="4987">
      <x:c r="A4987" s="2" t="str">
        <x:v>260779</x:v>
      </x:c>
      <x:c r="B4987" s="2" t="str">
        <x:v>PARKLAND HEALTH CENTER - BONNE TERRE</x:v>
      </x:c>
      <x:c r="C4987" s="2" t="str">
        <x:v>BONNE TERRE</x:v>
      </x:c>
      <x:c r="D4987" s="2" t="str">
        <x:v>MO</x:v>
      </x:c>
      <x:c r="E4987" s="2" t="str">
        <x:v>Rural Emergency Hospital</x:v>
      </x:c>
      <x:c r="F4987" s="2" t="str">
        <x:v>Voluntary non-profit</x:v>
      </x:c>
      <x:c r="G4987" s="2" t="str">
        <x:v>Unknown</x:v>
      </x:c>
      <x:c r="H4987" s="7"/>
      <x:c r="I4987" s="7"/>
      <x:c r="J4987" s="7"/>
      <x:c r="K4987" s="8"/>
      <x:c r="L4987" s="8"/>
      <x:c r="M4987" s="9"/>
      <x:c r="N4987" s="10"/>
      <x:c r="O4987" s="9" t="n">
        <x:v>0.7132778688</x:v>
      </x:c>
      <x:c r="P4987" s="9" t="n">
        <x:v>0</x:v>
      </x:c>
      <x:c r="Q4987" s="9" t="n">
        <x:v>0</x:v>
      </x:c>
      <x:c r="R4987" s="3" t="b">
        <x:v>0</x:v>
      </x:c>
      <x:c r="S4987" s="3" t="b">
        <x:v>0</x:v>
      </x:c>
      <x:c r="T4987" s="3" t="b">
        <x:v>0</x:v>
      </x:c>
      <x:c r="U4987" s="2" t="str">
        <x:f>IF(T4987=TRUE,"Priority review",IF(R4987=TRUE,"High cost",IF(S4987=TRUE,"Low quality","Benchmark")))</x:f>
        <x:v>Benchmark</x:v>
      </x:c>
    </x:row>
    <x:row r="4988">
      <x:c r="A4988" s="2" t="str">
        <x:v>280779</x:v>
      </x:c>
      <x:c r="B4988" s="2" t="str">
        <x:v>FRIEND COMMUNITY HEALTHCARE SYSTEM</x:v>
      </x:c>
      <x:c r="C4988" s="2" t="str">
        <x:v>FRIEND</x:v>
      </x:c>
      <x:c r="D4988" s="2" t="str">
        <x:v>NE</x:v>
      </x:c>
      <x:c r="E4988" s="2" t="str">
        <x:v>Rural Emergency Hospital</x:v>
      </x:c>
      <x:c r="F4988" s="2" t="str">
        <x:v>Government</x:v>
      </x:c>
      <x:c r="G4988" s="2" t="str">
        <x:v>Unknown</x:v>
      </x:c>
      <x:c r="H4988" s="7"/>
      <x:c r="I4988" s="7"/>
      <x:c r="J4988" s="7"/>
      <x:c r="K4988" s="8"/>
      <x:c r="L4988" s="8"/>
      <x:c r="M4988" s="9"/>
      <x:c r="N4988" s="10"/>
      <x:c r="O4988" s="9" t="n">
        <x:v>-0.1099187325</x:v>
      </x:c>
      <x:c r="P4988" s="9" t="n">
        <x:v>0</x:v>
      </x:c>
      <x:c r="Q4988" s="9" t="n">
        <x:v>0</x:v>
      </x:c>
      <x:c r="R4988" s="3" t="b">
        <x:v>0</x:v>
      </x:c>
      <x:c r="S4988" s="3" t="b">
        <x:v>0</x:v>
      </x:c>
      <x:c r="T4988" s="3" t="b">
        <x:v>0</x:v>
      </x:c>
      <x:c r="U4988" s="2" t="str">
        <x:f>IF(T4988=TRUE,"Priority review",IF(R4988=TRUE,"High cost",IF(S4988=TRUE,"Low quality","Benchmark")))</x:f>
        <x:v>Benchmark</x:v>
      </x:c>
    </x:row>
    <x:row r="4989">
      <x:c r="A4989" s="2" t="str">
        <x:v>320779</x:v>
      </x:c>
      <x:c r="B4989" s="2" t="str">
        <x:v>GUADALUPE COUNTY HOSPITAL</x:v>
      </x:c>
      <x:c r="C4989" s="2" t="str">
        <x:v>SANTA ROSA</x:v>
      </x:c>
      <x:c r="D4989" s="2" t="str">
        <x:v>NM</x:v>
      </x:c>
      <x:c r="E4989" s="2" t="str">
        <x:v>Rural Emergency Hospital</x:v>
      </x:c>
      <x:c r="F4989" s="2" t="str">
        <x:v>Government</x:v>
      </x:c>
      <x:c r="G4989" s="2" t="str">
        <x:v>Unknown</x:v>
      </x:c>
      <x:c r="H4989" s="7"/>
      <x:c r="I4989" s="7"/>
      <x:c r="J4989" s="7"/>
      <x:c r="K4989" s="8"/>
      <x:c r="L4989" s="8"/>
      <x:c r="M4989" s="9"/>
      <x:c r="N4989" s="10"/>
      <x:c r="O4989" s="9" t="n">
        <x:v>-0.4114668734</x:v>
      </x:c>
      <x:c r="P4989" s="9" t="n">
        <x:v>0</x:v>
      </x:c>
      <x:c r="Q4989" s="9" t="n">
        <x:v>0</x:v>
      </x:c>
      <x:c r="R4989" s="3" t="b">
        <x:v>0</x:v>
      </x:c>
      <x:c r="S4989" s="3" t="b">
        <x:v>0</x:v>
      </x:c>
      <x:c r="T4989" s="3" t="b">
        <x:v>0</x:v>
      </x:c>
      <x:c r="U4989" s="2" t="str">
        <x:f>IF(T4989=TRUE,"Priority review",IF(R4989=TRUE,"High cost",IF(S4989=TRUE,"Low quality","Benchmark")))</x:f>
        <x:v>Benchmark</x:v>
      </x:c>
    </x:row>
    <x:row r="4990">
      <x:c r="A4990" s="2" t="str">
        <x:v>370779</x:v>
      </x:c>
      <x:c r="B4990" s="2" t="str">
        <x:v>STILLWATER MEDICAL - PERRY</x:v>
      </x:c>
      <x:c r="C4990" s="2" t="str">
        <x:v>PERRY</x:v>
      </x:c>
      <x:c r="D4990" s="2" t="str">
        <x:v>OK</x:v>
      </x:c>
      <x:c r="E4990" s="2" t="str">
        <x:v>Rural Emergency Hospital</x:v>
      </x:c>
      <x:c r="F4990" s="2" t="str">
        <x:v>Government</x:v>
      </x:c>
      <x:c r="G4990" s="2" t="str">
        <x:v>Unknown</x:v>
      </x:c>
      <x:c r="H4990" s="7"/>
      <x:c r="I4990" s="7"/>
      <x:c r="J4990" s="7"/>
      <x:c r="K4990" s="8"/>
      <x:c r="L4990" s="8"/>
      <x:c r="M4990" s="9"/>
      <x:c r="N4990" s="10"/>
      <x:c r="O4990" s="9" t="n">
        <x:v>-0.4589083327</x:v>
      </x:c>
      <x:c r="P4990" s="9" t="n">
        <x:v>0</x:v>
      </x:c>
      <x:c r="Q4990" s="9" t="n">
        <x:v>0</x:v>
      </x:c>
      <x:c r="R4990" s="3" t="b">
        <x:v>0</x:v>
      </x:c>
      <x:c r="S4990" s="3" t="b">
        <x:v>0</x:v>
      </x:c>
      <x:c r="T4990" s="3" t="b">
        <x:v>0</x:v>
      </x:c>
      <x:c r="U4990" s="2" t="str">
        <x:f>IF(T4990=TRUE,"Priority review",IF(R4990=TRUE,"High cost",IF(S4990=TRUE,"Low quality","Benchmark")))</x:f>
        <x:v>Benchmark</x:v>
      </x:c>
    </x:row>
    <x:row r="4991">
      <x:c r="A4991" s="2" t="str">
        <x:v>370780</x:v>
      </x:c>
      <x:c r="B4991" s="2" t="str">
        <x:v>STILLWATER MEDICAL-BLACKWELL</x:v>
      </x:c>
      <x:c r="C4991" s="2" t="str">
        <x:v>BLACKWELL</x:v>
      </x:c>
      <x:c r="D4991" s="2" t="str">
        <x:v>OK</x:v>
      </x:c>
      <x:c r="E4991" s="2" t="str">
        <x:v>Rural Emergency Hospital</x:v>
      </x:c>
      <x:c r="F4991" s="2" t="str">
        <x:v>Government</x:v>
      </x:c>
      <x:c r="G4991" s="2" t="str">
        <x:v>Unknown</x:v>
      </x:c>
      <x:c r="H4991" s="7"/>
      <x:c r="I4991" s="7"/>
      <x:c r="J4991" s="7"/>
      <x:c r="K4991" s="8"/>
      <x:c r="L4991" s="8"/>
      <x:c r="M4991" s="9"/>
      <x:c r="N4991" s="10"/>
      <x:c r="O4991" s="9" t="n">
        <x:v>-0.3600891931</x:v>
      </x:c>
      <x:c r="P4991" s="9" t="n">
        <x:v>0</x:v>
      </x:c>
      <x:c r="Q4991" s="9" t="n">
        <x:v>0</x:v>
      </x:c>
      <x:c r="R4991" s="3" t="b">
        <x:v>0</x:v>
      </x:c>
      <x:c r="S4991" s="3" t="b">
        <x:v>0</x:v>
      </x:c>
      <x:c r="T4991" s="3" t="b">
        <x:v>0</x:v>
      </x:c>
      <x:c r="U4991" s="2" t="str">
        <x:f>IF(T4991=TRUE,"Priority review",IF(R4991=TRUE,"High cost",IF(S4991=TRUE,"Low quality","Benchmark")))</x:f>
        <x:v>Benchmark</x:v>
      </x:c>
    </x:row>
    <x:row r="4992">
      <x:c r="A4992" s="2" t="str">
        <x:v>370781</x:v>
      </x:c>
      <x:c r="B4992" s="2" t="str">
        <x:v>HARPER COUNTY COMMUNITY HOSPITAL</x:v>
      </x:c>
      <x:c r="C4992" s="2" t="str">
        <x:v>BUFFALO</x:v>
      </x:c>
      <x:c r="D4992" s="2" t="str">
        <x:v>OK</x:v>
      </x:c>
      <x:c r="E4992" s="2" t="str">
        <x:v>Rural Emergency Hospital</x:v>
      </x:c>
      <x:c r="F4992" s="2" t="str">
        <x:v>Government</x:v>
      </x:c>
      <x:c r="G4992" s="2" t="str">
        <x:v>Unknown</x:v>
      </x:c>
      <x:c r="H4992" s="7"/>
      <x:c r="I4992" s="7"/>
      <x:c r="J4992" s="7"/>
      <x:c r="K4992" s="8"/>
      <x:c r="L4992" s="8"/>
      <x:c r="M4992" s="9"/>
      <x:c r="N4992" s="10"/>
      <x:c r="O4992" s="9" t="n">
        <x:v>-1.5280689104</x:v>
      </x:c>
      <x:c r="P4992" s="9" t="n">
        <x:v>0</x:v>
      </x:c>
      <x:c r="Q4992" s="9" t="n">
        <x:v>0</x:v>
      </x:c>
      <x:c r="R4992" s="3" t="b">
        <x:v>0</x:v>
      </x:c>
      <x:c r="S4992" s="3" t="b">
        <x:v>0</x:v>
      </x:c>
      <x:c r="T4992" s="3" t="b">
        <x:v>0</x:v>
      </x:c>
      <x:c r="U4992" s="2" t="str">
        <x:f>IF(T4992=TRUE,"Priority review",IF(R4992=TRUE,"High cost",IF(S4992=TRUE,"Low quality","Benchmark")))</x:f>
        <x:v>Benchmark</x:v>
      </x:c>
    </x:row>
    <x:row r="4993">
      <x:c r="A4993" s="2" t="str">
        <x:v>370783</x:v>
      </x:c>
      <x:c r="B4993" s="2" t="str">
        <x:v>ELKVIEW GENERAL HOSPITAL</x:v>
      </x:c>
      <x:c r="C4993" s="2" t="str">
        <x:v>HOBART</x:v>
      </x:c>
      <x:c r="D4993" s="2" t="str">
        <x:v>OK</x:v>
      </x:c>
      <x:c r="E4993" s="2" t="str">
        <x:v>Rural Emergency Hospital</x:v>
      </x:c>
      <x:c r="F4993" s="2" t="str">
        <x:v>Government</x:v>
      </x:c>
      <x:c r="G4993" s="2" t="str">
        <x:v>Unknown</x:v>
      </x:c>
      <x:c r="H4993" s="7"/>
      <x:c r="I4993" s="7"/>
      <x:c r="J4993" s="7"/>
      <x:c r="K4993" s="8"/>
      <x:c r="L4993" s="8"/>
      <x:c r="M4993" s="9"/>
      <x:c r="N4993" s="10"/>
      <x:c r="O4993" s="9" t="n">
        <x:v>-0.0765763728</x:v>
      </x:c>
      <x:c r="P4993" s="9" t="n">
        <x:v>0</x:v>
      </x:c>
      <x:c r="Q4993" s="9" t="n">
        <x:v>0</x:v>
      </x:c>
      <x:c r="R4993" s="3" t="b">
        <x:v>0</x:v>
      </x:c>
      <x:c r="S4993" s="3" t="b">
        <x:v>0</x:v>
      </x:c>
      <x:c r="T4993" s="3" t="b">
        <x:v>0</x:v>
      </x:c>
      <x:c r="U4993" s="2" t="str">
        <x:f>IF(T4993=TRUE,"Priority review",IF(R4993=TRUE,"High cost",IF(S4993=TRUE,"Low quality","Benchmark")))</x:f>
        <x:v>Benchmark</x:v>
      </x:c>
    </x:row>
    <x:row r="4994">
      <x:c r="A4994" s="2" t="str">
        <x:v>440779</x:v>
      </x:c>
      <x:c r="B4994" s="2" t="str">
        <x:v>TRISTAR ASHLAND CITY MEDICAL CENTER</x:v>
      </x:c>
      <x:c r="C4994" s="2" t="str">
        <x:v>ASHLAND CITY</x:v>
      </x:c>
      <x:c r="D4994" s="2" t="str">
        <x:v>TN</x:v>
      </x:c>
      <x:c r="E4994" s="2" t="str">
        <x:v>Rural Emergency Hospital</x:v>
      </x:c>
      <x:c r="F4994" s="2" t="str">
        <x:v>Proprietary</x:v>
      </x:c>
      <x:c r="G4994" s="2" t="str">
        <x:v>Unknown</x:v>
      </x:c>
      <x:c r="H4994" s="7"/>
      <x:c r="I4994" s="7"/>
      <x:c r="J4994" s="7"/>
      <x:c r="K4994" s="8"/>
      <x:c r="L4994" s="8"/>
      <x:c r="M4994" s="9"/>
      <x:c r="N4994" s="10"/>
      <x:c r="O4994" s="9" t="n">
        <x:v>0.3814442849</x:v>
      </x:c>
      <x:c r="P4994" s="9" t="n">
        <x:v>0</x:v>
      </x:c>
      <x:c r="Q4994" s="9" t="n">
        <x:v>0</x:v>
      </x:c>
      <x:c r="R4994" s="3" t="b">
        <x:v>0</x:v>
      </x:c>
      <x:c r="S4994" s="3" t="b">
        <x:v>0</x:v>
      </x:c>
      <x:c r="T4994" s="3" t="b">
        <x:v>0</x:v>
      </x:c>
      <x:c r="U4994" s="2" t="str">
        <x:f>IF(T4994=TRUE,"Priority review",IF(R4994=TRUE,"High cost",IF(S4994=TRUE,"Low quality","Benchmark")))</x:f>
        <x:v>Benchmark</x:v>
      </x:c>
    </x:row>
    <x:row r="4995">
      <x:c r="A4995" s="2" t="str">
        <x:v>670779</x:v>
      </x:c>
      <x:c r="B4995" s="2" t="str">
        <x:v>CROSBYTON CLINIC HOSPITAL</x:v>
      </x:c>
      <x:c r="C4995" s="2" t="str">
        <x:v>CROSBYTON</x:v>
      </x:c>
      <x:c r="D4995" s="2" t="str">
        <x:v>TX</x:v>
      </x:c>
      <x:c r="E4995" s="2" t="str">
        <x:v>Rural Emergency Hospital</x:v>
      </x:c>
      <x:c r="F4995" s="2" t="str">
        <x:v>Voluntary non-profit</x:v>
      </x:c>
      <x:c r="G4995" s="2" t="str">
        <x:v>Unknown</x:v>
      </x:c>
      <x:c r="H4995" s="7"/>
      <x:c r="I4995" s="7"/>
      <x:c r="J4995" s="7"/>
      <x:c r="K4995" s="8"/>
      <x:c r="L4995" s="8"/>
      <x:c r="M4995" s="9"/>
      <x:c r="N4995" s="10"/>
      <x:c r="O4995" s="9" t="n">
        <x:v>-4.1513451481</x:v>
      </x:c>
      <x:c r="P4995" s="9" t="n">
        <x:v>0</x:v>
      </x:c>
      <x:c r="Q4995" s="9" t="n">
        <x:v>0</x:v>
      </x:c>
      <x:c r="R4995" s="3" t="b">
        <x:v>0</x:v>
      </x:c>
      <x:c r="S4995" s="3" t="b">
        <x:v>0</x:v>
      </x:c>
      <x:c r="T4995" s="3" t="b">
        <x:v>0</x:v>
      </x:c>
      <x:c r="U4995" s="2" t="str">
        <x:f>IF(T4995=TRUE,"Priority review",IF(R4995=TRUE,"High cost",IF(S4995=TRUE,"Low quality","Benchmark")))</x:f>
        <x:v>Benchmark</x:v>
      </x:c>
    </x:row>
    <x:row r="4996">
      <x:c r="A4996" s="2" t="str">
        <x:v>010781</x:v>
      </x:c>
      <x:c r="B4996" s="2" t="str">
        <x:v>J PAUL JONES HOSPITAL</x:v>
      </x:c>
      <x:c r="C4996" s="2" t="str">
        <x:v>CAMDEN</x:v>
      </x:c>
      <x:c r="D4996" s="2" t="str">
        <x:v>AL</x:v>
      </x:c>
      <x:c r="E4996" s="2" t="str">
        <x:v>Rural Emergency Hospital</x:v>
      </x:c>
      <x:c r="F4996" s="2" t="str">
        <x:v>Government</x:v>
      </x:c>
      <x:c r="G4996" s="2" t="str">
        <x:v>Unknown</x:v>
      </x:c>
      <x:c r="H4996" s="7"/>
      <x:c r="I4996" s="7"/>
      <x:c r="J4996" s="7"/>
      <x:c r="K4996" s="8"/>
      <x:c r="L4996" s="8"/>
      <x:c r="M4996" s="9"/>
      <x:c r="N4996" s="10"/>
      <x:c r="O4996" s="9"/>
      <x:c r="P4996" s="9" t="n">
        <x:v>0</x:v>
      </x:c>
      <x:c r="Q4996" s="9" t="n">
        <x:v>0</x:v>
      </x:c>
      <x:c r="R4996" s="3" t="b">
        <x:v>0</x:v>
      </x:c>
      <x:c r="S4996" s="3" t="b">
        <x:v>0</x:v>
      </x:c>
      <x:c r="T4996" s="3" t="b">
        <x:v>0</x:v>
      </x:c>
      <x:c r="U4996" s="2" t="str">
        <x:f>IF(T4996=TRUE,"Priority review",IF(R4996=TRUE,"High cost",IF(S4996=TRUE,"Low quality","Benchmark")))</x:f>
        <x:v>Benchmark</x:v>
      </x:c>
    </x:row>
    <x:row r="4997">
      <x:c r="A4997" s="2" t="str">
        <x:v>670783</x:v>
      </x:c>
      <x:c r="B4997" s="2" t="str">
        <x:v>CHI ST LUKES HEALTH MEMORIAL SAN AUGUSTINE</x:v>
      </x:c>
      <x:c r="C4997" s="2" t="str">
        <x:v>SAN AUGUSTINE</x:v>
      </x:c>
      <x:c r="D4997" s="2" t="str">
        <x:v>TX</x:v>
      </x:c>
      <x:c r="E4997" s="2" t="str">
        <x:v>Rural Emergency Hospital</x:v>
      </x:c>
      <x:c r="F4997" s="2" t="str">
        <x:v>Voluntary non-profit</x:v>
      </x:c>
      <x:c r="G4997" s="2" t="str">
        <x:v>Unknown</x:v>
      </x:c>
      <x:c r="H4997" s="7"/>
      <x:c r="I4997" s="7"/>
      <x:c r="J4997" s="7"/>
      <x:c r="K4997" s="8"/>
      <x:c r="L4997" s="8"/>
      <x:c r="M4997" s="9"/>
      <x:c r="N4997" s="10"/>
      <x:c r="O4997" s="9" t="n">
        <x:v>0.3965006036</x:v>
      </x:c>
      <x:c r="P4997" s="9" t="n">
        <x:v>0</x:v>
      </x:c>
      <x:c r="Q4997" s="9" t="n">
        <x:v>0</x:v>
      </x:c>
      <x:c r="R4997" s="3" t="b">
        <x:v>0</x:v>
      </x:c>
      <x:c r="S4997" s="3" t="b">
        <x:v>0</x:v>
      </x:c>
      <x:c r="T4997" s="3" t="b">
        <x:v>0</x:v>
      </x:c>
      <x:c r="U4997" s="2" t="str">
        <x:f>IF(T4997=TRUE,"Priority review",IF(R4997=TRUE,"High cost",IF(S4997=TRUE,"Low quality","Benchmark")))</x:f>
        <x:v>Benchmark</x:v>
      </x:c>
    </x:row>
    <x:row r="4998">
      <x:c r="A4998" s="2" t="str">
        <x:v>430779</x:v>
      </x:c>
      <x:c r="B4998" s="2" t="str">
        <x:v>LANDMANN JUNGMAN MEMORIAL HOSPITAL CORPORATION</x:v>
      </x:c>
      <x:c r="C4998" s="2" t="str">
        <x:v>SCOTLAND</x:v>
      </x:c>
      <x:c r="D4998" s="2" t="str">
        <x:v>SD</x:v>
      </x:c>
      <x:c r="E4998" s="2" t="str">
        <x:v>Rural Emergency Hospital</x:v>
      </x:c>
      <x:c r="F4998" s="2" t="str">
        <x:v>Voluntary non-profit</x:v>
      </x:c>
      <x:c r="G4998" s="2" t="str">
        <x:v>Unknown</x:v>
      </x:c>
      <x:c r="H4998" s="7"/>
      <x:c r="I4998" s="7"/>
      <x:c r="J4998" s="7"/>
      <x:c r="K4998" s="8"/>
      <x:c r="L4998" s="8"/>
      <x:c r="M4998" s="9"/>
      <x:c r="N4998" s="10"/>
      <x:c r="O4998" s="9"/>
      <x:c r="P4998" s="9" t="n">
        <x:v>0</x:v>
      </x:c>
      <x:c r="Q4998" s="9" t="n">
        <x:v>0</x:v>
      </x:c>
      <x:c r="R4998" s="3" t="b">
        <x:v>0</x:v>
      </x:c>
      <x:c r="S4998" s="3" t="b">
        <x:v>0</x:v>
      </x:c>
      <x:c r="T4998" s="3" t="b">
        <x:v>0</x:v>
      </x:c>
      <x:c r="U4998" s="2" t="str">
        <x:f>IF(T4998=TRUE,"Priority review",IF(R4998=TRUE,"High cost",IF(S4998=TRUE,"Low quality","Benchmark")))</x:f>
        <x:v>Benchmark</x:v>
      </x:c>
    </x:row>
    <x:row r="4999">
      <x:c r="A4999" s="2" t="str">
        <x:v>440780</x:v>
      </x:c>
      <x:c r="B4999" s="2" t="str">
        <x:v>WAYNE MEDICAL CENTER</x:v>
      </x:c>
      <x:c r="C4999" s="2" t="str">
        <x:v>WAYNESBORO</x:v>
      </x:c>
      <x:c r="D4999" s="2" t="str">
        <x:v>TN</x:v>
      </x:c>
      <x:c r="E4999" s="2" t="str">
        <x:v>Rural Emergency Hospital</x:v>
      </x:c>
      <x:c r="F4999" s="2" t="str">
        <x:v>Voluntary non-profit</x:v>
      </x:c>
      <x:c r="G4999" s="2" t="str">
        <x:v>Unknown</x:v>
      </x:c>
      <x:c r="H4999" s="7"/>
      <x:c r="I4999" s="7"/>
      <x:c r="J4999" s="7"/>
      <x:c r="K4999" s="8"/>
      <x:c r="L4999" s="8"/>
      <x:c r="M4999" s="9"/>
      <x:c r="N4999" s="10"/>
      <x:c r="O4999" s="9"/>
      <x:c r="P4999" s="9" t="n">
        <x:v>0</x:v>
      </x:c>
      <x:c r="Q4999" s="9" t="n">
        <x:v>0</x:v>
      </x:c>
      <x:c r="R4999" s="3" t="b">
        <x:v>0</x:v>
      </x:c>
      <x:c r="S4999" s="3" t="b">
        <x:v>0</x:v>
      </x:c>
      <x:c r="T4999" s="3" t="b">
        <x:v>0</x:v>
      </x:c>
      <x:c r="U4999" s="2" t="str">
        <x:f>IF(T4999=TRUE,"Priority review",IF(R4999=TRUE,"High cost",IF(S4999=TRUE,"Low quality","Benchmark")))</x:f>
        <x:v>Benchmark</x:v>
      </x:c>
    </x:row>
    <x:row r="5000">
      <x:c r="A5000" s="2" t="str">
        <x:v>670780</x:v>
      </x:c>
      <x:c r="B5000" s="2" t="str">
        <x:v>FALLS COMMUNITY HOSPITAL AND CLINIC</x:v>
      </x:c>
      <x:c r="C5000" s="2" t="str">
        <x:v>MARLIN</x:v>
      </x:c>
      <x:c r="D5000" s="2" t="str">
        <x:v>TX</x:v>
      </x:c>
      <x:c r="E5000" s="2" t="str">
        <x:v>Rural Emergency Hospital</x:v>
      </x:c>
      <x:c r="F5000" s="2" t="str">
        <x:v>Voluntary non-profit</x:v>
      </x:c>
      <x:c r="G5000" s="2" t="str">
        <x:v>Unknown</x:v>
      </x:c>
      <x:c r="H5000" s="7"/>
      <x:c r="I5000" s="7"/>
      <x:c r="J5000" s="7"/>
      <x:c r="K5000" s="8"/>
      <x:c r="L5000" s="8"/>
      <x:c r="M5000" s="9"/>
      <x:c r="N5000" s="10"/>
      <x:c r="O5000" s="9"/>
      <x:c r="P5000" s="9" t="n">
        <x:v>0</x:v>
      </x:c>
      <x:c r="Q5000" s="9" t="n">
        <x:v>0</x:v>
      </x:c>
      <x:c r="R5000" s="3" t="b">
        <x:v>0</x:v>
      </x:c>
      <x:c r="S5000" s="3" t="b">
        <x:v>0</x:v>
      </x:c>
      <x:c r="T5000" s="3" t="b">
        <x:v>0</x:v>
      </x:c>
      <x:c r="U5000" s="2" t="str">
        <x:f>IF(T5000=TRUE,"Priority review",IF(R5000=TRUE,"High cost",IF(S5000=TRUE,"Low quality","Benchmark")))</x:f>
        <x:v>Benchmark</x:v>
      </x:c>
    </x:row>
    <x:row r="5001">
      <x:c r="A5001" s="2" t="str">
        <x:v>250786</x:v>
      </x:c>
      <x:c r="B5001" s="2" t="str">
        <x:v>SMITH COUNTY  EMERGENCY HOSPITAL</x:v>
      </x:c>
      <x:c r="C5001" s="2" t="str">
        <x:v>RALEIGH</x:v>
      </x:c>
      <x:c r="D5001" s="2" t="str">
        <x:v>MS</x:v>
      </x:c>
      <x:c r="E5001" s="2" t="str">
        <x:v>Rural Emergency Hospital</x:v>
      </x:c>
      <x:c r="F5001" s="2" t="str">
        <x:v>Government</x:v>
      </x:c>
      <x:c r="G5001" s="2" t="str">
        <x:v>Unknown</x:v>
      </x:c>
      <x:c r="H5001" s="7"/>
      <x:c r="I5001" s="7"/>
      <x:c r="J5001" s="7"/>
      <x:c r="K5001" s="8"/>
      <x:c r="L5001" s="8"/>
      <x:c r="M5001" s="9"/>
      <x:c r="N5001" s="10"/>
      <x:c r="O5001" s="9"/>
      <x:c r="P5001" s="9" t="n">
        <x:v>0</x:v>
      </x:c>
      <x:c r="Q5001" s="9" t="n">
        <x:v>0</x:v>
      </x:c>
      <x:c r="R5001" s="3" t="b">
        <x:v>0</x:v>
      </x:c>
      <x:c r="S5001" s="3" t="b">
        <x:v>0</x:v>
      </x:c>
      <x:c r="T5001" s="3" t="b">
        <x:v>0</x:v>
      </x:c>
      <x:c r="U5001" s="2" t="str">
        <x:f>IF(T5001=TRUE,"Priority review",IF(R5001=TRUE,"High cost",IF(S5001=TRUE,"Low quality","Benchmark")))</x:f>
        <x:v>Benchmark</x:v>
      </x:c>
    </x:row>
    <x:row r="5002">
      <x:c r="A5002" s="2" t="str">
        <x:v>330799</x:v>
      </x:c>
      <x:c r="B5002" s="2" t="str">
        <x:v>CLIFTON-FINE HOSPITAL</x:v>
      </x:c>
      <x:c r="C5002" s="2" t="str">
        <x:v>STAR LAKE</x:v>
      </x:c>
      <x:c r="D5002" s="2" t="str">
        <x:v>NY</x:v>
      </x:c>
      <x:c r="E5002" s="2" t="str">
        <x:v>Rural Emergency Hospital</x:v>
      </x:c>
      <x:c r="F5002" s="2" t="str">
        <x:v>Voluntary non-profit</x:v>
      </x:c>
      <x:c r="G5002" s="2" t="str">
        <x:v>Unknown</x:v>
      </x:c>
      <x:c r="H5002" s="7"/>
      <x:c r="I5002" s="7"/>
      <x:c r="J5002" s="7"/>
      <x:c r="K5002" s="8"/>
      <x:c r="L5002" s="8"/>
      <x:c r="M5002" s="9"/>
      <x:c r="N5002" s="10"/>
      <x:c r="O5002" s="9"/>
      <x:c r="P5002" s="9" t="n">
        <x:v>0</x:v>
      </x:c>
      <x:c r="Q5002" s="9" t="n">
        <x:v>0</x:v>
      </x:c>
      <x:c r="R5002" s="3" t="b">
        <x:v>0</x:v>
      </x:c>
      <x:c r="S5002" s="3" t="b">
        <x:v>0</x:v>
      </x:c>
      <x:c r="T5002" s="3" t="b">
        <x:v>0</x:v>
      </x:c>
      <x:c r="U5002" s="2" t="str">
        <x:f>IF(T5002=TRUE,"Priority review",IF(R5002=TRUE,"High cost",IF(S5002=TRUE,"Low quality","Benchmark")))</x:f>
        <x:v>Benchmark</x:v>
      </x:c>
    </x:row>
    <x:row r="5003">
      <x:c r="A5003" s="2" t="str">
        <x:v>330800</x:v>
      </x:c>
      <x:c r="B5003" s="2" t="str">
        <x:v>IRA DAVENPORT MEMORIAL HOSPITAL</x:v>
      </x:c>
      <x:c r="C5003" s="2" t="str">
        <x:v>BATH</x:v>
      </x:c>
      <x:c r="D5003" s="2" t="str">
        <x:v>NY</x:v>
      </x:c>
      <x:c r="E5003" s="2" t="str">
        <x:v>Rural Emergency Hospital</x:v>
      </x:c>
      <x:c r="F5003" s="2" t="str">
        <x:v>Voluntary non-profit</x:v>
      </x:c>
      <x:c r="G5003" s="2" t="str">
        <x:v>Unknown</x:v>
      </x:c>
      <x:c r="H5003" s="7"/>
      <x:c r="I5003" s="7"/>
      <x:c r="J5003" s="7"/>
      <x:c r="K5003" s="8"/>
      <x:c r="L5003" s="8"/>
      <x:c r="M5003" s="9"/>
      <x:c r="N5003" s="10"/>
      <x:c r="O5003" s="9"/>
      <x:c r="P5003" s="9" t="n">
        <x:v>0</x:v>
      </x:c>
      <x:c r="Q5003" s="9" t="n">
        <x:v>0</x:v>
      </x:c>
      <x:c r="R5003" s="3" t="b">
        <x:v>0</x:v>
      </x:c>
      <x:c r="S5003" s="3" t="b">
        <x:v>0</x:v>
      </x:c>
      <x:c r="T5003" s="3" t="b">
        <x:v>0</x:v>
      </x:c>
      <x:c r="U5003" s="2" t="str">
        <x:f>IF(T5003=TRUE,"Priority review",IF(R5003=TRUE,"High cost",IF(S5003=TRUE,"Low quality","Benchmark")))</x:f>
        <x:v>Benchmark</x:v>
      </x:c>
    </x:row>
    <x:row r="5004">
      <x:c r="A5004" s="2" t="str">
        <x:v>330801</x:v>
      </x:c>
      <x:c r="B5004" s="2" t="str">
        <x:v>WESTFIELD MEMORIAL HOSPITAL, INC</x:v>
      </x:c>
      <x:c r="C5004" s="2" t="str">
        <x:v>WESTFIELD</x:v>
      </x:c>
      <x:c r="D5004" s="2" t="str">
        <x:v>NY</x:v>
      </x:c>
      <x:c r="E5004" s="2" t="str">
        <x:v>Rural Emergency Hospital</x:v>
      </x:c>
      <x:c r="F5004" s="2" t="str">
        <x:v>Voluntary non-profit</x:v>
      </x:c>
      <x:c r="G5004" s="2" t="str">
        <x:v>Unknown</x:v>
      </x:c>
      <x:c r="H5004" s="7"/>
      <x:c r="I5004" s="7"/>
      <x:c r="J5004" s="7"/>
      <x:c r="K5004" s="8"/>
      <x:c r="L5004" s="8"/>
      <x:c r="M5004" s="9"/>
      <x:c r="N5004" s="10"/>
      <x:c r="O5004" s="9"/>
      <x:c r="P5004" s="9" t="n">
        <x:v>0</x:v>
      </x:c>
      <x:c r="Q5004" s="9" t="n">
        <x:v>0</x:v>
      </x:c>
      <x:c r="R5004" s="3" t="b">
        <x:v>0</x:v>
      </x:c>
      <x:c r="S5004" s="3" t="b">
        <x:v>0</x:v>
      </x:c>
      <x:c r="T5004" s="3" t="b">
        <x:v>0</x:v>
      </x:c>
      <x:c r="U5004" s="2" t="str">
        <x:f>IF(T5004=TRUE,"Priority review",IF(R5004=TRUE,"High cost",IF(S5004=TRUE,"Low quality","Benchmark")))</x:f>
        <x:v>Benchmark</x:v>
      </x:c>
    </x:row>
    <x:row r="5005">
      <x:c r="A5005" s="2" t="str">
        <x:v>040780</x:v>
      </x:c>
      <x:c r="B5005" s="2" t="str">
        <x:v>EUREKA SPRINGS HOSPITAL COMMISSION</x:v>
      </x:c>
      <x:c r="C5005" s="2" t="str">
        <x:v>EUREKA SPRINGS</x:v>
      </x:c>
      <x:c r="D5005" s="2" t="str">
        <x:v>AR</x:v>
      </x:c>
      <x:c r="E5005" s="2" t="str">
        <x:v>Rural Emergency Hospital</x:v>
      </x:c>
      <x:c r="F5005" s="2" t="str">
        <x:v>Government</x:v>
      </x:c>
      <x:c r="G5005" s="2" t="str">
        <x:v>Unknown</x:v>
      </x:c>
      <x:c r="H5005" s="7"/>
      <x:c r="I5005" s="7"/>
      <x:c r="J5005" s="7"/>
      <x:c r="K5005" s="8"/>
      <x:c r="L5005" s="8"/>
      <x:c r="M5005" s="9"/>
      <x:c r="N5005" s="10"/>
      <x:c r="O5005" s="9" t="n">
        <x:v>-1.7066756777</x:v>
      </x:c>
      <x:c r="P5005" s="9" t="n">
        <x:v>0</x:v>
      </x:c>
      <x:c r="Q5005" s="9" t="n">
        <x:v>0</x:v>
      </x:c>
      <x:c r="R5005" s="3" t="b">
        <x:v>0</x:v>
      </x:c>
      <x:c r="S5005" s="3" t="b">
        <x:v>0</x:v>
      </x:c>
      <x:c r="T5005" s="3" t="b">
        <x:v>0</x:v>
      </x:c>
      <x:c r="U5005" s="2" t="str">
        <x:f>IF(T5005=TRUE,"Priority review",IF(R5005=TRUE,"High cost",IF(S5005=TRUE,"Low quality","Benchmark")))</x:f>
        <x:v>Benchmark</x:v>
      </x:c>
    </x:row>
    <x:row r="5006">
      <x:c r="A5006" s="2" t="str">
        <x:v>042011</x:v>
      </x:c>
      <x:c r="B5006" s="2" t="str">
        <x:v>COLUMBIA SC VA MEDICAL CENTER</x:v>
      </x:c>
      <x:c r="C5006" s="2" t="str">
        <x:v>COLUMBIA</x:v>
      </x:c>
      <x:c r="D5006" s="2" t="str">
        <x:v>SC</x:v>
      </x:c>
      <x:c r="E5006" s="2" t="str">
        <x:v>Acute Care - Veterans Administration</x:v>
      </x:c>
      <x:c r="F5006" s="2" t="str">
        <x:v>Other / unknown</x:v>
      </x:c>
      <x:c r="G5006" s="2" t="str">
        <x:v>Small (&lt;100 beds)</x:v>
      </x:c>
      <x:c r="H5006" s="7" t="n">
        <x:v>5</x:v>
      </x:c>
      <x:c r="I5006" s="7" t="n">
        <x:v>5</x:v>
      </x:c>
      <x:c r="J5006" s="7"/>
      <x:c r="K5006" s="8" t="n">
        <x:v>20</x:v>
      </x:c>
      <x:c r="L5006" s="8" t="n">
        <x:v>199</x:v>
      </x:c>
      <x:c r="M5006" s="9" t="n">
        <x:v>0.6468579235</x:v>
      </x:c>
      <x:c r="N5006" s="10" t="n">
        <x:v>36470.9698492462</x:v>
      </x:c>
      <x:c r="O5006" s="9" t="n">
        <x:v>-0.1764111962</x:v>
      </x:c>
      <x:c r="P5006" s="9" t="n">
        <x:v>0</x:v>
      </x:c>
      <x:c r="Q5006" s="9" t="n">
        <x:v>0.5</x:v>
      </x:c>
      <x:c r="R5006" s="3" t="b">
        <x:v>0</x:v>
      </x:c>
      <x:c r="S5006" s="3" t="b">
        <x:v>0</x:v>
      </x:c>
      <x:c r="T5006" s="3" t="b">
        <x:v>0</x:v>
      </x:c>
      <x:c r="U5006" s="2" t="str">
        <x:f>IF(T5006=TRUE,"Priority review",IF(R5006=TRUE,"High cost",IF(S5006=TRUE,"Low quality","Benchmark")))</x:f>
        <x:v>Benchmark</x:v>
      </x:c>
    </x:row>
    <x:row r="5007">
      <x:c r="A5007" s="2" t="str">
        <x:v>019048</x:v>
      </x:c>
      <x:c r="B5007" s="2" t="str">
        <x:v>OVERTON BROOKS VA MEDICAL CENTER (SHREVEPORT)</x:v>
      </x:c>
      <x:c r="C5007" s="2" t="str">
        <x:v>SHREVEPORT</x:v>
      </x:c>
      <x:c r="D5007" s="2" t="str">
        <x:v>LA</x:v>
      </x:c>
      <x:c r="E5007" s="2" t="str">
        <x:v>Acute Care - Veterans Administration</x:v>
      </x:c>
      <x:c r="F5007" s="2" t="str">
        <x:v>Other / unknown</x:v>
      </x:c>
      <x:c r="G5007" s="2" t="str">
        <x:v>Unknown</x:v>
      </x:c>
      <x:c r="H5007" s="7" t="n">
        <x:v>2</x:v>
      </x:c>
      <x:c r="I5007" s="7" t="n">
        <x:v>3</x:v>
      </x:c>
      <x:c r="J5007" s="7"/>
      <x:c r="K5007" s="8"/>
      <x:c r="L5007" s="8"/>
      <x:c r="M5007" s="9"/>
      <x:c r="N5007" s="10"/>
      <x:c r="O5007" s="9"/>
      <x:c r="P5007" s="9" t="n">
        <x:v>0</x:v>
      </x:c>
      <x:c r="Q5007" s="9" t="n">
        <x:v>0</x:v>
      </x:c>
      <x:c r="R5007" s="3" t="b">
        <x:v>0</x:v>
      </x:c>
      <x:c r="S5007" s="3" t="b">
        <x:v>1</x:v>
      </x:c>
      <x:c r="T5007" s="3" t="b">
        <x:v>0</x:v>
      </x:c>
      <x:c r="U5007" s="2" t="str">
        <x:f>IF(T5007=TRUE,"Priority review",IF(R5007=TRUE,"High cost",IF(S5007=TRUE,"Low quality","Benchmark")))</x:f>
        <x:v>Low quality</x:v>
      </x:c>
    </x:row>
    <x:row r="5008">
      <x:c r="A5008" s="2" t="str">
        <x:v>040003</x:v>
      </x:c>
      <x:c r="B5008" s="2" t="str">
        <x:v>SAN JUAN VA MEDICAL CENTER</x:v>
      </x:c>
      <x:c r="C5008" s="2" t="str">
        <x:v>SAN JUAN</x:v>
      </x:c>
      <x:c r="D5008" s="2" t="str">
        <x:v>PR</x:v>
      </x:c>
      <x:c r="E5008" s="2" t="str">
        <x:v>Acute Care - Veterans Administration</x:v>
      </x:c>
      <x:c r="F5008" s="2" t="str">
        <x:v>Other / unknown</x:v>
      </x:c>
      <x:c r="G5008" s="2" t="str">
        <x:v>Unknown</x:v>
      </x:c>
      <x:c r="H5008" s="7" t="n">
        <x:v>2</x:v>
      </x:c>
      <x:c r="I5008" s="7" t="n">
        <x:v>4</x:v>
      </x:c>
      <x:c r="J5008" s="7"/>
      <x:c r="K5008" s="8"/>
      <x:c r="L5008" s="8"/>
      <x:c r="M5008" s="9"/>
      <x:c r="N5008" s="10"/>
      <x:c r="O5008" s="9"/>
      <x:c r="P5008" s="9" t="n">
        <x:v>0</x:v>
      </x:c>
      <x:c r="Q5008" s="9" t="n">
        <x:v>0</x:v>
      </x:c>
      <x:c r="R5008" s="3" t="b">
        <x:v>0</x:v>
      </x:c>
      <x:c r="S5008" s="3" t="b">
        <x:v>1</x:v>
      </x:c>
      <x:c r="T5008" s="3" t="b">
        <x:v>0</x:v>
      </x:c>
      <x:c r="U5008" s="2" t="str">
        <x:f>IF(T5008=TRUE,"Priority review",IF(R5008=TRUE,"High cost",IF(S5008=TRUE,"Low quality","Benchmark")))</x:f>
        <x:v>Low quality</x:v>
      </x:c>
    </x:row>
    <x:row r="5009">
      <x:c r="A5009" s="2" t="str">
        <x:v>037014</x:v>
      </x:c>
      <x:c r="B5009" s="2" t="str">
        <x:v>OKLAHOMA CITY VA MEDICAL CENTER</x:v>
      </x:c>
      <x:c r="C5009" s="2" t="str">
        <x:v>OKLAHOMA CITY</x:v>
      </x:c>
      <x:c r="D5009" s="2" t="str">
        <x:v>OK</x:v>
      </x:c>
      <x:c r="E5009" s="2" t="str">
        <x:v>Acute Care - Veterans Administration</x:v>
      </x:c>
      <x:c r="F5009" s="2" t="str">
        <x:v>Other / unknown</x:v>
      </x:c>
      <x:c r="G5009" s="2" t="str">
        <x:v>Unknown</x:v>
      </x:c>
      <x:c r="H5009" s="7" t="n">
        <x:v>2</x:v>
      </x:c>
      <x:c r="I5009" s="7" t="n">
        <x:v>4</x:v>
      </x:c>
      <x:c r="J5009" s="7"/>
      <x:c r="K5009" s="8"/>
      <x:c r="L5009" s="8"/>
      <x:c r="M5009" s="9"/>
      <x:c r="N5009" s="10"/>
      <x:c r="O5009" s="9"/>
      <x:c r="P5009" s="9" t="n">
        <x:v>0</x:v>
      </x:c>
      <x:c r="Q5009" s="9" t="n">
        <x:v>0</x:v>
      </x:c>
      <x:c r="R5009" s="3" t="b">
        <x:v>0</x:v>
      </x:c>
      <x:c r="S5009" s="3" t="b">
        <x:v>1</x:v>
      </x:c>
      <x:c r="T5009" s="3" t="b">
        <x:v>0</x:v>
      </x:c>
      <x:c r="U5009" s="2" t="str">
        <x:f>IF(T5009=TRUE,"Priority review",IF(R5009=TRUE,"High cost",IF(S5009=TRUE,"Low quality","Benchmark")))</x:f>
        <x:v>Low quality</x:v>
      </x:c>
    </x:row>
    <x:row r="5010">
      <x:c r="A5010" s="2" t="str">
        <x:v>033009</x:v>
      </x:c>
      <x:c r="B5010" s="2" t="str">
        <x:v>ALBANY VA MEDICAL CENTER</x:v>
      </x:c>
      <x:c r="C5010" s="2" t="str">
        <x:v>ALBANY</x:v>
      </x:c>
      <x:c r="D5010" s="2" t="str">
        <x:v>NY</x:v>
      </x:c>
      <x:c r="E5010" s="2" t="str">
        <x:v>Acute Care - Veterans Administration</x:v>
      </x:c>
      <x:c r="F5010" s="2" t="str">
        <x:v>Other / unknown</x:v>
      </x:c>
      <x:c r="G5010" s="2" t="str">
        <x:v>Unknown</x:v>
      </x:c>
      <x:c r="H5010" s="7" t="n">
        <x:v>2</x:v>
      </x:c>
      <x:c r="I5010" s="7" t="n">
        <x:v>3</x:v>
      </x:c>
      <x:c r="J5010" s="7"/>
      <x:c r="K5010" s="8"/>
      <x:c r="L5010" s="8"/>
      <x:c r="M5010" s="9"/>
      <x:c r="N5010" s="10"/>
      <x:c r="O5010" s="9"/>
      <x:c r="P5010" s="9" t="n">
        <x:v>0</x:v>
      </x:c>
      <x:c r="Q5010" s="9" t="n">
        <x:v>0</x:v>
      </x:c>
      <x:c r="R5010" s="3" t="b">
        <x:v>0</x:v>
      </x:c>
      <x:c r="S5010" s="3" t="b">
        <x:v>1</x:v>
      </x:c>
      <x:c r="T5010" s="3" t="b">
        <x:v>0</x:v>
      </x:c>
      <x:c r="U5010" s="2" t="str">
        <x:f>IF(T5010=TRUE,"Priority review",IF(R5010=TRUE,"High cost",IF(S5010=TRUE,"Low quality","Benchmark")))</x:f>
        <x:v>Low quality</x:v>
      </x:c>
    </x:row>
    <x:row r="5011">
      <x:c r="A5011" s="2" t="str">
        <x:v>031001</x:v>
      </x:c>
      <x:c r="B5011" s="2" t="str">
        <x:v>VA NEW JERSEY HEALTH CARE SYSTEM</x:v>
      </x:c>
      <x:c r="C5011" s="2" t="str">
        <x:v>EAST ORANGE</x:v>
      </x:c>
      <x:c r="D5011" s="2" t="str">
        <x:v>NJ</x:v>
      </x:c>
      <x:c r="E5011" s="2" t="str">
        <x:v>Acute Care - Veterans Administration</x:v>
      </x:c>
      <x:c r="F5011" s="2" t="str">
        <x:v>Other / unknown</x:v>
      </x:c>
      <x:c r="G5011" s="2" t="str">
        <x:v>Unknown</x:v>
      </x:c>
      <x:c r="H5011" s="7" t="n">
        <x:v>2</x:v>
      </x:c>
      <x:c r="I5011" s="7" t="n">
        <x:v>3</x:v>
      </x:c>
      <x:c r="J5011" s="7"/>
      <x:c r="K5011" s="8"/>
      <x:c r="L5011" s="8"/>
      <x:c r="M5011" s="9"/>
      <x:c r="N5011" s="10"/>
      <x:c r="O5011" s="9"/>
      <x:c r="P5011" s="9" t="n">
        <x:v>0</x:v>
      </x:c>
      <x:c r="Q5011" s="9" t="n">
        <x:v>0</x:v>
      </x:c>
      <x:c r="R5011" s="3" t="b">
        <x:v>0</x:v>
      </x:c>
      <x:c r="S5011" s="3" t="b">
        <x:v>1</x:v>
      </x:c>
      <x:c r="T5011" s="3" t="b">
        <x:v>0</x:v>
      </x:c>
      <x:c r="U5011" s="2" t="str">
        <x:f>IF(T5011=TRUE,"Priority review",IF(R5011=TRUE,"High cost",IF(S5011=TRUE,"Low quality","Benchmark")))</x:f>
        <x:v>Low quality</x:v>
      </x:c>
    </x:row>
    <x:row r="5012">
      <x:c r="A5012" s="2" t="str">
        <x:v>004010</x:v>
      </x:c>
      <x:c r="B5012" s="2" t="str">
        <x:v>VA CENTRAL AR. VETERANS HEALTHCARE SYSTEM LR</x:v>
      </x:c>
      <x:c r="C5012" s="2" t="str">
        <x:v>LITTLE ROCK</x:v>
      </x:c>
      <x:c r="D5012" s="2" t="str">
        <x:v>AR</x:v>
      </x:c>
      <x:c r="E5012" s="2" t="str">
        <x:v>Acute Care - Veterans Administration</x:v>
      </x:c>
      <x:c r="F5012" s="2" t="str">
        <x:v>Other / unknown</x:v>
      </x:c>
      <x:c r="G5012" s="2" t="str">
        <x:v>Unknown</x:v>
      </x:c>
      <x:c r="H5012" s="7" t="n">
        <x:v>2</x:v>
      </x:c>
      <x:c r="I5012" s="7" t="n">
        <x:v>3</x:v>
      </x:c>
      <x:c r="J5012" s="7"/>
      <x:c r="K5012" s="8"/>
      <x:c r="L5012" s="8"/>
      <x:c r="M5012" s="9"/>
      <x:c r="N5012" s="10"/>
      <x:c r="O5012" s="9"/>
      <x:c r="P5012" s="9" t="n">
        <x:v>0</x:v>
      </x:c>
      <x:c r="Q5012" s="9" t="n">
        <x:v>0</x:v>
      </x:c>
      <x:c r="R5012" s="3" t="b">
        <x:v>0</x:v>
      </x:c>
      <x:c r="S5012" s="3" t="b">
        <x:v>1</x:v>
      </x:c>
      <x:c r="T5012" s="3" t="b">
        <x:v>0</x:v>
      </x:c>
      <x:c r="U5012" s="2" t="str">
        <x:f>IF(T5012=TRUE,"Priority review",IF(R5012=TRUE,"High cost",IF(S5012=TRUE,"Low quality","Benchmark")))</x:f>
        <x:v>Low quality</x:v>
      </x:c>
    </x:row>
    <x:row r="5013">
      <x:c r="A5013" s="2" t="str">
        <x:v>021020</x:v>
      </x:c>
      <x:c r="B5013" s="2" t="str">
        <x:v>VA MARYLAND HEALTHCARE SYSTEM - BALTIMORE</x:v>
      </x:c>
      <x:c r="C5013" s="2" t="str">
        <x:v>BALTIMORE</x:v>
      </x:c>
      <x:c r="D5013" s="2" t="str">
        <x:v>MD</x:v>
      </x:c>
      <x:c r="E5013" s="2" t="str">
        <x:v>Acute Care - Veterans Administration</x:v>
      </x:c>
      <x:c r="F5013" s="2" t="str">
        <x:v>Other / unknown</x:v>
      </x:c>
      <x:c r="G5013" s="2" t="str">
        <x:v>Unknown</x:v>
      </x:c>
      <x:c r="H5013" s="7" t="n">
        <x:v>2</x:v>
      </x:c>
      <x:c r="I5013" s="7" t="n">
        <x:v>2</x:v>
      </x:c>
      <x:c r="J5013" s="7"/>
      <x:c r="K5013" s="8"/>
      <x:c r="L5013" s="8"/>
      <x:c r="M5013" s="9"/>
      <x:c r="N5013" s="10"/>
      <x:c r="O5013" s="9"/>
      <x:c r="P5013" s="9" t="n">
        <x:v>0</x:v>
      </x:c>
      <x:c r="Q5013" s="9" t="n">
        <x:v>0</x:v>
      </x:c>
      <x:c r="R5013" s="3" t="b">
        <x:v>0</x:v>
      </x:c>
      <x:c r="S5013" s="3" t="b">
        <x:v>1</x:v>
      </x:c>
      <x:c r="T5013" s="3" t="b">
        <x:v>0</x:v>
      </x:c>
      <x:c r="U5013" s="2" t="str">
        <x:f>IF(T5013=TRUE,"Priority review",IF(R5013=TRUE,"High cost",IF(S5013=TRUE,"Low quality","Benchmark")))</x:f>
        <x:v>Low quality</x:v>
      </x:c>
    </x:row>
    <x:row r="5014">
      <x:c r="A5014" s="2" t="str">
        <x:v>015003</x:v>
      </x:c>
      <x:c r="B5014" s="2" t="str">
        <x:v>INDIANAPOLIS VA MEDICAL CENTER</x:v>
      </x:c>
      <x:c r="C5014" s="2" t="str">
        <x:v>INDIANAPOLIS</x:v>
      </x:c>
      <x:c r="D5014" s="2" t="str">
        <x:v>IN</x:v>
      </x:c>
      <x:c r="E5014" s="2" t="str">
        <x:v>Acute Care - Veterans Administration</x:v>
      </x:c>
      <x:c r="F5014" s="2" t="str">
        <x:v>Other / unknown</x:v>
      </x:c>
      <x:c r="G5014" s="2" t="str">
        <x:v>Unknown</x:v>
      </x:c>
      <x:c r="H5014" s="7" t="n">
        <x:v>3</x:v>
      </x:c>
      <x:c r="I5014" s="7" t="n">
        <x:v>3</x:v>
      </x:c>
      <x:c r="J5014" s="7"/>
      <x:c r="K5014" s="8"/>
      <x:c r="L5014" s="8"/>
      <x:c r="M5014" s="9"/>
      <x:c r="N5014" s="10"/>
      <x:c r="O5014" s="9"/>
      <x:c r="P5014" s="9" t="n">
        <x:v>0</x:v>
      </x:c>
      <x:c r="Q5014" s="9" t="n">
        <x:v>0.0578512397</x:v>
      </x:c>
      <x:c r="R5014" s="3" t="b">
        <x:v>0</x:v>
      </x:c>
      <x:c r="S5014" s="3" t="b">
        <x:v>1</x:v>
      </x:c>
      <x:c r="T5014" s="3" t="b">
        <x:v>0</x:v>
      </x:c>
      <x:c r="U5014" s="2" t="str">
        <x:f>IF(T5014=TRUE,"Priority review",IF(R5014=TRUE,"High cost",IF(S5014=TRUE,"Low quality","Benchmark")))</x:f>
        <x:v>Low quality</x:v>
      </x:c>
    </x:row>
    <x:row r="5015">
      <x:c r="A5015" s="2" t="str">
        <x:v>014008</x:v>
      </x:c>
      <x:c r="B5015" s="2" t="str">
        <x:v>MARION IL VA MEDICAL CENTER</x:v>
      </x:c>
      <x:c r="C5015" s="2" t="str">
        <x:v>MARION</x:v>
      </x:c>
      <x:c r="D5015" s="2" t="str">
        <x:v>IL</x:v>
      </x:c>
      <x:c r="E5015" s="2" t="str">
        <x:v>Acute Care - Veterans Administration</x:v>
      </x:c>
      <x:c r="F5015" s="2" t="str">
        <x:v>Other / unknown</x:v>
      </x:c>
      <x:c r="G5015" s="2" t="str">
        <x:v>Unknown</x:v>
      </x:c>
      <x:c r="H5015" s="7" t="n">
        <x:v>3</x:v>
      </x:c>
      <x:c r="I5015" s="7" t="n">
        <x:v>4</x:v>
      </x:c>
      <x:c r="J5015" s="7"/>
      <x:c r="K5015" s="8"/>
      <x:c r="L5015" s="8"/>
      <x:c r="M5015" s="9"/>
      <x:c r="N5015" s="10"/>
      <x:c r="O5015" s="9"/>
      <x:c r="P5015" s="9" t="n">
        <x:v>0</x:v>
      </x:c>
      <x:c r="Q5015" s="9" t="n">
        <x:v>0.0578512397</x:v>
      </x:c>
      <x:c r="R5015" s="3" t="b">
        <x:v>0</x:v>
      </x:c>
      <x:c r="S5015" s="3" t="b">
        <x:v>1</x:v>
      </x:c>
      <x:c r="T5015" s="3" t="b">
        <x:v>0</x:v>
      </x:c>
      <x:c r="U5015" s="2" t="str">
        <x:f>IF(T5015=TRUE,"Priority review",IF(R5015=TRUE,"High cost",IF(S5015=TRUE,"Low quality","Benchmark")))</x:f>
        <x:v>Low quality</x:v>
      </x:c>
    </x:row>
    <x:row r="5016">
      <x:c r="A5016" s="2" t="str">
        <x:v>033017</x:v>
      </x:c>
      <x:c r="B5016" s="2" t="str">
        <x:v>VA NEW YORK HARBOR HEALTHCARE SYSTEM - NY DIV.</x:v>
      </x:c>
      <x:c r="C5016" s="2" t="str">
        <x:v>NEW YORK</x:v>
      </x:c>
      <x:c r="D5016" s="2" t="str">
        <x:v>NY</x:v>
      </x:c>
      <x:c r="E5016" s="2" t="str">
        <x:v>Acute Care - Veterans Administration</x:v>
      </x:c>
      <x:c r="F5016" s="2" t="str">
        <x:v>Other / unknown</x:v>
      </x:c>
      <x:c r="G5016" s="2" t="str">
        <x:v>Unknown</x:v>
      </x:c>
      <x:c r="H5016" s="7" t="n">
        <x:v>3</x:v>
      </x:c>
      <x:c r="I5016" s="7" t="n">
        <x:v>3</x:v>
      </x:c>
      <x:c r="J5016" s="7"/>
      <x:c r="K5016" s="8"/>
      <x:c r="L5016" s="8"/>
      <x:c r="M5016" s="9"/>
      <x:c r="N5016" s="10"/>
      <x:c r="O5016" s="9"/>
      <x:c r="P5016" s="9" t="n">
        <x:v>0</x:v>
      </x:c>
      <x:c r="Q5016" s="9" t="n">
        <x:v>0.0578512397</x:v>
      </x:c>
      <x:c r="R5016" s="3" t="b">
        <x:v>0</x:v>
      </x:c>
      <x:c r="S5016" s="3" t="b">
        <x:v>1</x:v>
      </x:c>
      <x:c r="T5016" s="3" t="b">
        <x:v>0</x:v>
      </x:c>
      <x:c r="U5016" s="2" t="str">
        <x:f>IF(T5016=TRUE,"Priority review",IF(R5016=TRUE,"High cost",IF(S5016=TRUE,"Low quality","Benchmark")))</x:f>
        <x:v>Low quality</x:v>
      </x:c>
    </x:row>
    <x:row r="5017">
      <x:c r="A5017" s="2" t="str">
        <x:v>033024</x:v>
      </x:c>
      <x:c r="B5017" s="2" t="str">
        <x:v>SYRACUSE VA MEDICAL CENTER</x:v>
      </x:c>
      <x:c r="C5017" s="2" t="str">
        <x:v>SYRACUSE</x:v>
      </x:c>
      <x:c r="D5017" s="2" t="str">
        <x:v>NY</x:v>
      </x:c>
      <x:c r="E5017" s="2" t="str">
        <x:v>Acute Care - Veterans Administration</x:v>
      </x:c>
      <x:c r="F5017" s="2" t="str">
        <x:v>Other / unknown</x:v>
      </x:c>
      <x:c r="G5017" s="2" t="str">
        <x:v>Unknown</x:v>
      </x:c>
      <x:c r="H5017" s="7" t="n">
        <x:v>3</x:v>
      </x:c>
      <x:c r="I5017" s="7" t="n">
        <x:v>4</x:v>
      </x:c>
      <x:c r="J5017" s="7"/>
      <x:c r="K5017" s="8"/>
      <x:c r="L5017" s="8"/>
      <x:c r="M5017" s="9"/>
      <x:c r="N5017" s="10"/>
      <x:c r="O5017" s="9"/>
      <x:c r="P5017" s="9" t="n">
        <x:v>0</x:v>
      </x:c>
      <x:c r="Q5017" s="9" t="n">
        <x:v>0.0578512397</x:v>
      </x:c>
      <x:c r="R5017" s="3" t="b">
        <x:v>0</x:v>
      </x:c>
      <x:c r="S5017" s="3" t="b">
        <x:v>1</x:v>
      </x:c>
      <x:c r="T5017" s="3" t="b">
        <x:v>0</x:v>
      </x:c>
      <x:c r="U5017" s="2" t="str">
        <x:f>IF(T5017=TRUE,"Priority review",IF(R5017=TRUE,"High cost",IF(S5017=TRUE,"Low quality","Benchmark")))</x:f>
        <x:v>Low quality</x:v>
      </x:c>
    </x:row>
    <x:row r="5018">
      <x:c r="A5018" s="2" t="str">
        <x:v>052003</x:v>
      </x:c>
      <x:c r="B5018" s="2" t="str">
        <x:v>MILWAUKEE VA MEDICAL CENTER</x:v>
      </x:c>
      <x:c r="C5018" s="2" t="str">
        <x:v>MILWAUKEE</x:v>
      </x:c>
      <x:c r="D5018" s="2" t="str">
        <x:v>WI</x:v>
      </x:c>
      <x:c r="E5018" s="2" t="str">
        <x:v>Acute Care - Veterans Administration</x:v>
      </x:c>
      <x:c r="F5018" s="2" t="str">
        <x:v>Other / unknown</x:v>
      </x:c>
      <x:c r="G5018" s="2" t="str">
        <x:v>Unknown</x:v>
      </x:c>
      <x:c r="H5018" s="7" t="n">
        <x:v>3</x:v>
      </x:c>
      <x:c r="I5018" s="7" t="n">
        <x:v>4</x:v>
      </x:c>
      <x:c r="J5018" s="7"/>
      <x:c r="K5018" s="8"/>
      <x:c r="L5018" s="8"/>
      <x:c r="M5018" s="9"/>
      <x:c r="N5018" s="10"/>
      <x:c r="O5018" s="9"/>
      <x:c r="P5018" s="9" t="n">
        <x:v>0</x:v>
      </x:c>
      <x:c r="Q5018" s="9" t="n">
        <x:v>0.0578512397</x:v>
      </x:c>
      <x:c r="R5018" s="3" t="b">
        <x:v>0</x:v>
      </x:c>
      <x:c r="S5018" s="3" t="b">
        <x:v>1</x:v>
      </x:c>
      <x:c r="T5018" s="3" t="b">
        <x:v>0</x:v>
      </x:c>
      <x:c r="U5018" s="2" t="str">
        <x:f>IF(T5018=TRUE,"Priority review",IF(R5018=TRUE,"High cost",IF(S5018=TRUE,"Low quality","Benchmark")))</x:f>
        <x:v>Low quality</x:v>
      </x:c>
    </x:row>
    <x:row r="5019">
      <x:c r="A5019" s="2" t="str">
        <x:v>005127</x:v>
      </x:c>
      <x:c r="B5019" s="2" t="str">
        <x:v>LOMA LINDA VA MEDICAL CENTER</x:v>
      </x:c>
      <x:c r="C5019" s="2" t="str">
        <x:v>LOMA LINDA</x:v>
      </x:c>
      <x:c r="D5019" s="2" t="str">
        <x:v>CA</x:v>
      </x:c>
      <x:c r="E5019" s="2" t="str">
        <x:v>Acute Care - Veterans Administration</x:v>
      </x:c>
      <x:c r="F5019" s="2" t="str">
        <x:v>Other / unknown</x:v>
      </x:c>
      <x:c r="G5019" s="2" t="str">
        <x:v>Unknown</x:v>
      </x:c>
      <x:c r="H5019" s="7" t="n">
        <x:v>3</x:v>
      </x:c>
      <x:c r="I5019" s="7" t="n">
        <x:v>3</x:v>
      </x:c>
      <x:c r="J5019" s="7"/>
      <x:c r="K5019" s="8"/>
      <x:c r="L5019" s="8"/>
      <x:c r="M5019" s="9"/>
      <x:c r="N5019" s="10"/>
      <x:c r="O5019" s="9"/>
      <x:c r="P5019" s="9" t="n">
        <x:v>0</x:v>
      </x:c>
      <x:c r="Q5019" s="9" t="n">
        <x:v>0.0578512397</x:v>
      </x:c>
      <x:c r="R5019" s="3" t="b">
        <x:v>0</x:v>
      </x:c>
      <x:c r="S5019" s="3" t="b">
        <x:v>1</x:v>
      </x:c>
      <x:c r="T5019" s="3" t="b">
        <x:v>0</x:v>
      </x:c>
      <x:c r="U5019" s="2" t="str">
        <x:f>IF(T5019=TRUE,"Priority review",IF(R5019=TRUE,"High cost",IF(S5019=TRUE,"Low quality","Benchmark")))</x:f>
        <x:v>Low quality</x:v>
      </x:c>
    </x:row>
    <x:row r="5020">
      <x:c r="A5020" s="2" t="str">
        <x:v>005128</x:v>
      </x:c>
      <x:c r="B5020" s="2" t="str">
        <x:v>VA GREATER LOS ANGELES HEALTHCARE SYSTEM</x:v>
      </x:c>
      <x:c r="C5020" s="2" t="str">
        <x:v>LOS ANGELES</x:v>
      </x:c>
      <x:c r="D5020" s="2" t="str">
        <x:v>CA</x:v>
      </x:c>
      <x:c r="E5020" s="2" t="str">
        <x:v>Acute Care - Veterans Administration</x:v>
      </x:c>
      <x:c r="F5020" s="2" t="str">
        <x:v>Other / unknown</x:v>
      </x:c>
      <x:c r="G5020" s="2" t="str">
        <x:v>Unknown</x:v>
      </x:c>
      <x:c r="H5020" s="7" t="n">
        <x:v>3</x:v>
      </x:c>
      <x:c r="I5020" s="7" t="n">
        <x:v>3</x:v>
      </x:c>
      <x:c r="J5020" s="7"/>
      <x:c r="K5020" s="8"/>
      <x:c r="L5020" s="8"/>
      <x:c r="M5020" s="9"/>
      <x:c r="N5020" s="10"/>
      <x:c r="O5020" s="9"/>
      <x:c r="P5020" s="9" t="n">
        <x:v>0</x:v>
      </x:c>
      <x:c r="Q5020" s="9" t="n">
        <x:v>0.0578512397</x:v>
      </x:c>
      <x:c r="R5020" s="3" t="b">
        <x:v>0</x:v>
      </x:c>
      <x:c r="S5020" s="3" t="b">
        <x:v>1</x:v>
      </x:c>
      <x:c r="T5020" s="3" t="b">
        <x:v>0</x:v>
      </x:c>
      <x:c r="U5020" s="2" t="str">
        <x:f>IF(T5020=TRUE,"Priority review",IF(R5020=TRUE,"High cost",IF(S5020=TRUE,"Low quality","Benchmark")))</x:f>
        <x:v>Low quality</x:v>
      </x:c>
    </x:row>
    <x:row r="5021">
      <x:c r="A5021" s="2" t="str">
        <x:v>019047</x:v>
      </x:c>
      <x:c r="B5021" s="2" t="str">
        <x:v>SOUTHEAST LOUISIANA VETERANS HEALTH CARE SYSTEM</x:v>
      </x:c>
      <x:c r="C5021" s="2" t="str">
        <x:v>NEW ORLEANS</x:v>
      </x:c>
      <x:c r="D5021" s="2" t="str">
        <x:v>LA</x:v>
      </x:c>
      <x:c r="E5021" s="2" t="str">
        <x:v>Acute Care - Veterans Administration</x:v>
      </x:c>
      <x:c r="F5021" s="2" t="str">
        <x:v>Other / unknown</x:v>
      </x:c>
      <x:c r="G5021" s="2" t="str">
        <x:v>Unknown</x:v>
      </x:c>
      <x:c r="H5021" s="7" t="n">
        <x:v>3</x:v>
      </x:c>
      <x:c r="I5021" s="7" t="n">
        <x:v>4</x:v>
      </x:c>
      <x:c r="J5021" s="7"/>
      <x:c r="K5021" s="8"/>
      <x:c r="L5021" s="8"/>
      <x:c r="M5021" s="9"/>
      <x:c r="N5021" s="10"/>
      <x:c r="O5021" s="9"/>
      <x:c r="P5021" s="9" t="n">
        <x:v>0</x:v>
      </x:c>
      <x:c r="Q5021" s="9" t="n">
        <x:v>0.0578512397</x:v>
      </x:c>
      <x:c r="R5021" s="3" t="b">
        <x:v>0</x:v>
      </x:c>
      <x:c r="S5021" s="3" t="b">
        <x:v>1</x:v>
      </x:c>
      <x:c r="T5021" s="3" t="b">
        <x:v>0</x:v>
      </x:c>
      <x:c r="U5021" s="2" t="str">
        <x:f>IF(T5021=TRUE,"Priority review",IF(R5021=TRUE,"High cost",IF(S5021=TRUE,"Low quality","Benchmark")))</x:f>
        <x:v>Low quality</x:v>
      </x:c>
    </x:row>
    <x:row r="5022">
      <x:c r="A5022" s="2" t="str">
        <x:v>018007</x:v>
      </x:c>
      <x:c r="B5022" s="2" t="str">
        <x:v>LEXINGTON VA MEDICAL CENTER</x:v>
      </x:c>
      <x:c r="C5022" s="2" t="str">
        <x:v>LEXINGTON</x:v>
      </x:c>
      <x:c r="D5022" s="2" t="str">
        <x:v>KY</x:v>
      </x:c>
      <x:c r="E5022" s="2" t="str">
        <x:v>Acute Care - Veterans Administration</x:v>
      </x:c>
      <x:c r="F5022" s="2" t="str">
        <x:v>Other / unknown</x:v>
      </x:c>
      <x:c r="G5022" s="2" t="str">
        <x:v>Unknown</x:v>
      </x:c>
      <x:c r="H5022" s="7" t="n">
        <x:v>3</x:v>
      </x:c>
      <x:c r="I5022" s="7" t="n">
        <x:v>4</x:v>
      </x:c>
      <x:c r="J5022" s="7"/>
      <x:c r="K5022" s="8"/>
      <x:c r="L5022" s="8"/>
      <x:c r="M5022" s="9"/>
      <x:c r="N5022" s="10"/>
      <x:c r="O5022" s="9"/>
      <x:c r="P5022" s="9" t="n">
        <x:v>0</x:v>
      </x:c>
      <x:c r="Q5022" s="9" t="n">
        <x:v>0.0578512397</x:v>
      </x:c>
      <x:c r="R5022" s="3" t="b">
        <x:v>0</x:v>
      </x:c>
      <x:c r="S5022" s="3" t="b">
        <x:v>1</x:v>
      </x:c>
      <x:c r="T5022" s="3" t="b">
        <x:v>0</x:v>
      </x:c>
      <x:c r="U5022" s="2" t="str">
        <x:f>IF(T5022=TRUE,"Priority review",IF(R5022=TRUE,"High cost",IF(S5022=TRUE,"Low quality","Benchmark")))</x:f>
        <x:v>Low quality</x:v>
      </x:c>
    </x:row>
    <x:row r="5023">
      <x:c r="A5023" s="2" t="str">
        <x:v>044013</x:v>
      </x:c>
      <x:c r="B5023" s="2" t="str">
        <x:v>MEMPHIS VA MEDICAL CENTER</x:v>
      </x:c>
      <x:c r="C5023" s="2" t="str">
        <x:v>MEMPHIS</x:v>
      </x:c>
      <x:c r="D5023" s="2" t="str">
        <x:v>TN</x:v>
      </x:c>
      <x:c r="E5023" s="2" t="str">
        <x:v>Acute Care - Veterans Administration</x:v>
      </x:c>
      <x:c r="F5023" s="2" t="str">
        <x:v>Other / unknown</x:v>
      </x:c>
      <x:c r="G5023" s="2" t="str">
        <x:v>Unknown</x:v>
      </x:c>
      <x:c r="H5023" s="7" t="n">
        <x:v>3</x:v>
      </x:c>
      <x:c r="I5023" s="7" t="n">
        <x:v>3</x:v>
      </x:c>
      <x:c r="J5023" s="7"/>
      <x:c r="K5023" s="8"/>
      <x:c r="L5023" s="8"/>
      <x:c r="M5023" s="9"/>
      <x:c r="N5023" s="10"/>
      <x:c r="O5023" s="9"/>
      <x:c r="P5023" s="9" t="n">
        <x:v>0</x:v>
      </x:c>
      <x:c r="Q5023" s="9" t="n">
        <x:v>0.0578512397</x:v>
      </x:c>
      <x:c r="R5023" s="3" t="b">
        <x:v>0</x:v>
      </x:c>
      <x:c r="S5023" s="3" t="b">
        <x:v>1</x:v>
      </x:c>
      <x:c r="T5023" s="3" t="b">
        <x:v>0</x:v>
      </x:c>
      <x:c r="U5023" s="2" t="str">
        <x:f>IF(T5023=TRUE,"Priority review",IF(R5023=TRUE,"High cost",IF(S5023=TRUE,"Low quality","Benchmark")))</x:f>
        <x:v>Low quality</x:v>
      </x:c>
    </x:row>
    <x:row r="5024">
      <x:c r="A5024" s="2" t="str">
        <x:v>007003</x:v>
      </x:c>
      <x:c r="B5024" s="2" t="str">
        <x:v>WEST HAVEN VA MEDICAL CENTER</x:v>
      </x:c>
      <x:c r="C5024" s="2" t="str">
        <x:v>WEST HAVEN</x:v>
      </x:c>
      <x:c r="D5024" s="2" t="str">
        <x:v>CT</x:v>
      </x:c>
      <x:c r="E5024" s="2" t="str">
        <x:v>Acute Care - Veterans Administration</x:v>
      </x:c>
      <x:c r="F5024" s="2" t="str">
        <x:v>Other / unknown</x:v>
      </x:c>
      <x:c r="G5024" s="2" t="str">
        <x:v>Unknown</x:v>
      </x:c>
      <x:c r="H5024" s="7" t="n">
        <x:v>3</x:v>
      </x:c>
      <x:c r="I5024" s="7" t="n">
        <x:v>4</x:v>
      </x:c>
      <x:c r="J5024" s="7"/>
      <x:c r="K5024" s="8"/>
      <x:c r="L5024" s="8"/>
      <x:c r="M5024" s="9"/>
      <x:c r="N5024" s="10"/>
      <x:c r="O5024" s="9"/>
      <x:c r="P5024" s="9" t="n">
        <x:v>0</x:v>
      </x:c>
      <x:c r="Q5024" s="9" t="n">
        <x:v>0.0578512397</x:v>
      </x:c>
      <x:c r="R5024" s="3" t="b">
        <x:v>0</x:v>
      </x:c>
      <x:c r="S5024" s="3" t="b">
        <x:v>1</x:v>
      </x:c>
      <x:c r="T5024" s="3" t="b">
        <x:v>0</x:v>
      </x:c>
      <x:c r="U5024" s="2" t="str">
        <x:f>IF(T5024=TRUE,"Priority review",IF(R5024=TRUE,"High cost",IF(S5024=TRUE,"Low quality","Benchmark")))</x:f>
        <x:v>Low quality</x:v>
      </x:c>
    </x:row>
    <x:row r="5025">
      <x:c r="A5025" s="2" t="str">
        <x:v>045066</x:v>
      </x:c>
      <x:c r="B5025" s="2" t="str">
        <x:v>DALLAS VA MEDICAL CENTER (VA NORTH TEXAS HEALTHCARE SYSTEM)</x:v>
      </x:c>
      <x:c r="C5025" s="2" t="str">
        <x:v>DALLAS</x:v>
      </x:c>
      <x:c r="D5025" s="2" t="str">
        <x:v>TX</x:v>
      </x:c>
      <x:c r="E5025" s="2" t="str">
        <x:v>Acute Care - Veterans Administration</x:v>
      </x:c>
      <x:c r="F5025" s="2" t="str">
        <x:v>Other / unknown</x:v>
      </x:c>
      <x:c r="G5025" s="2" t="str">
        <x:v>Unknown</x:v>
      </x:c>
      <x:c r="H5025" s="7" t="n">
        <x:v>3</x:v>
      </x:c>
      <x:c r="I5025" s="7" t="n">
        <x:v>3</x:v>
      </x:c>
      <x:c r="J5025" s="7"/>
      <x:c r="K5025" s="8"/>
      <x:c r="L5025" s="8"/>
      <x:c r="M5025" s="9"/>
      <x:c r="N5025" s="10"/>
      <x:c r="O5025" s="9"/>
      <x:c r="P5025" s="9" t="n">
        <x:v>0</x:v>
      </x:c>
      <x:c r="Q5025" s="9" t="n">
        <x:v>0.0578512397</x:v>
      </x:c>
      <x:c r="R5025" s="3" t="b">
        <x:v>0</x:v>
      </x:c>
      <x:c r="S5025" s="3" t="b">
        <x:v>1</x:v>
      </x:c>
      <x:c r="T5025" s="3" t="b">
        <x:v>0</x:v>
      </x:c>
      <x:c r="U5025" s="2" t="str">
        <x:f>IF(T5025=TRUE,"Priority review",IF(R5025=TRUE,"High cost",IF(S5025=TRUE,"Low quality","Benchmark")))</x:f>
        <x:v>Low quality</x:v>
      </x:c>
    </x:row>
    <x:row r="5026">
      <x:c r="A5026" s="2" t="str">
        <x:v>009002</x:v>
      </x:c>
      <x:c r="B5026" s="2" t="str">
        <x:v>WASHINGTON DC VA MEDICAL CENTER</x:v>
      </x:c>
      <x:c r="C5026" s="2" t="str">
        <x:v>WASHINGTON</x:v>
      </x:c>
      <x:c r="D5026" s="2" t="str">
        <x:v>DC</x:v>
      </x:c>
      <x:c r="E5026" s="2" t="str">
        <x:v>Acute Care - Veterans Administration</x:v>
      </x:c>
      <x:c r="F5026" s="2" t="str">
        <x:v>Other / unknown</x:v>
      </x:c>
      <x:c r="G5026" s="2" t="str">
        <x:v>Unknown</x:v>
      </x:c>
      <x:c r="H5026" s="7" t="n">
        <x:v>3</x:v>
      </x:c>
      <x:c r="I5026" s="7" t="n">
        <x:v>3</x:v>
      </x:c>
      <x:c r="J5026" s="7"/>
      <x:c r="K5026" s="8"/>
      <x:c r="L5026" s="8"/>
      <x:c r="M5026" s="9"/>
      <x:c r="N5026" s="10"/>
      <x:c r="O5026" s="9"/>
      <x:c r="P5026" s="9" t="n">
        <x:v>0</x:v>
      </x:c>
      <x:c r="Q5026" s="9" t="n">
        <x:v>0.0578512397</x:v>
      </x:c>
      <x:c r="R5026" s="3" t="b">
        <x:v>0</x:v>
      </x:c>
      <x:c r="S5026" s="3" t="b">
        <x:v>1</x:v>
      </x:c>
      <x:c r="T5026" s="3" t="b">
        <x:v>0</x:v>
      </x:c>
      <x:c r="U5026" s="2" t="str">
        <x:f>IF(T5026=TRUE,"Priority review",IF(R5026=TRUE,"High cost",IF(S5026=TRUE,"Low quality","Benchmark")))</x:f>
        <x:v>Low quality</x:v>
      </x:c>
    </x:row>
    <x:row r="5027">
      <x:c r="A5027" s="2" t="str">
        <x:v>010009</x:v>
      </x:c>
      <x:c r="B5027" s="2" t="str">
        <x:v>BAY PINES VA MEDICAL CENTER</x:v>
      </x:c>
      <x:c r="C5027" s="2" t="str">
        <x:v>BAY PINES</x:v>
      </x:c>
      <x:c r="D5027" s="2" t="str">
        <x:v>FL</x:v>
      </x:c>
      <x:c r="E5027" s="2" t="str">
        <x:v>Acute Care - Veterans Administration</x:v>
      </x:c>
      <x:c r="F5027" s="2" t="str">
        <x:v>Other / unknown</x:v>
      </x:c>
      <x:c r="G5027" s="2" t="str">
        <x:v>Unknown</x:v>
      </x:c>
      <x:c r="H5027" s="7" t="n">
        <x:v>3</x:v>
      </x:c>
      <x:c r="I5027" s="7" t="n">
        <x:v>4</x:v>
      </x:c>
      <x:c r="J5027" s="7"/>
      <x:c r="K5027" s="8"/>
      <x:c r="L5027" s="8"/>
      <x:c r="M5027" s="9"/>
      <x:c r="N5027" s="10"/>
      <x:c r="O5027" s="9"/>
      <x:c r="P5027" s="9" t="n">
        <x:v>0</x:v>
      </x:c>
      <x:c r="Q5027" s="9" t="n">
        <x:v>0.0578512397</x:v>
      </x:c>
      <x:c r="R5027" s="3" t="b">
        <x:v>0</x:v>
      </x:c>
      <x:c r="S5027" s="3" t="b">
        <x:v>1</x:v>
      </x:c>
      <x:c r="T5027" s="3" t="b">
        <x:v>0</x:v>
      </x:c>
      <x:c r="U5027" s="2" t="str">
        <x:f>IF(T5027=TRUE,"Priority review",IF(R5027=TRUE,"High cost",IF(S5027=TRUE,"Low quality","Benchmark")))</x:f>
        <x:v>Low quality</x:v>
      </x:c>
    </x:row>
    <x:row r="5028">
      <x:c r="A5028" s="2" t="str">
        <x:v>011029</x:v>
      </x:c>
      <x:c r="B5028" s="2" t="str">
        <x:v>DECATUR (ATLANTA) VA MEDICAL CENTER</x:v>
      </x:c>
      <x:c r="C5028" s="2" t="str">
        <x:v>DECATUR</x:v>
      </x:c>
      <x:c r="D5028" s="2" t="str">
        <x:v>GA</x:v>
      </x:c>
      <x:c r="E5028" s="2" t="str">
        <x:v>Acute Care - Veterans Administration</x:v>
      </x:c>
      <x:c r="F5028" s="2" t="str">
        <x:v>Other / unknown</x:v>
      </x:c>
      <x:c r="G5028" s="2" t="str">
        <x:v>Unknown</x:v>
      </x:c>
      <x:c r="H5028" s="7" t="n">
        <x:v>3</x:v>
      </x:c>
      <x:c r="I5028" s="7" t="n">
        <x:v>2</x:v>
      </x:c>
      <x:c r="J5028" s="7"/>
      <x:c r="K5028" s="8"/>
      <x:c r="L5028" s="8"/>
      <x:c r="M5028" s="9"/>
      <x:c r="N5028" s="10"/>
      <x:c r="O5028" s="9"/>
      <x:c r="P5028" s="9" t="n">
        <x:v>0</x:v>
      </x:c>
      <x:c r="Q5028" s="9" t="n">
        <x:v>0.0578512397</x:v>
      </x:c>
      <x:c r="R5028" s="3" t="b">
        <x:v>0</x:v>
      </x:c>
      <x:c r="S5028" s="3" t="b">
        <x:v>1</x:v>
      </x:c>
      <x:c r="T5028" s="3" t="b">
        <x:v>0</x:v>
      </x:c>
      <x:c r="U5028" s="2" t="str">
        <x:f>IF(T5028=TRUE,"Priority review",IF(R5028=TRUE,"High cost",IF(S5028=TRUE,"Low quality","Benchmark")))</x:f>
        <x:v>Low quality</x:v>
      </x:c>
    </x:row>
    <x:row r="5029">
      <x:c r="A5029" s="2" t="str">
        <x:v>041005</x:v>
      </x:c>
      <x:c r="B5029" s="2" t="str">
        <x:v>PROVIDENCE VA MEDICAL CENTER</x:v>
      </x:c>
      <x:c r="C5029" s="2" t="str">
        <x:v>PROVIDENCE</x:v>
      </x:c>
      <x:c r="D5029" s="2" t="str">
        <x:v>RI</x:v>
      </x:c>
      <x:c r="E5029" s="2" t="str">
        <x:v>Acute Care - Veterans Administration</x:v>
      </x:c>
      <x:c r="F5029" s="2" t="str">
        <x:v>Other / unknown</x:v>
      </x:c>
      <x:c r="G5029" s="2" t="str">
        <x:v>Unknown</x:v>
      </x:c>
      <x:c r="H5029" s="7" t="n">
        <x:v>4</x:v>
      </x:c>
      <x:c r="I5029" s="7" t="n">
        <x:v>4</x:v>
      </x:c>
      <x:c r="J5029" s="7"/>
      <x:c r="K5029" s="8"/>
      <x:c r="L5029" s="8"/>
      <x:c r="M5029" s="9"/>
      <x:c r="N5029" s="10"/>
      <x:c r="O5029" s="9"/>
      <x:c r="P5029" s="9" t="n">
        <x:v>0</x:v>
      </x:c>
      <x:c r="Q5029" s="9" t="n">
        <x:v>0.1818181818</x:v>
      </x:c>
      <x:c r="R5029" s="3" t="b">
        <x:v>0</x:v>
      </x:c>
      <x:c r="S5029" s="3" t="b">
        <x:v>0</x:v>
      </x:c>
      <x:c r="T5029" s="3" t="b">
        <x:v>0</x:v>
      </x:c>
      <x:c r="U5029" s="2" t="str">
        <x:f>IF(T5029=TRUE,"Priority review",IF(R5029=TRUE,"High cost",IF(S5029=TRUE,"Low quality","Benchmark")))</x:f>
        <x:v>Benchmark</x:v>
      </x:c>
    </x:row>
    <x:row r="5030">
      <x:c r="A5030" s="2" t="str">
        <x:v>026023</x:v>
      </x:c>
      <x:c r="B5030" s="2" t="str">
        <x:v>COLUMBIA MO VA MEDICAL CENTER</x:v>
      </x:c>
      <x:c r="C5030" s="2" t="str">
        <x:v>COLUMBIA</x:v>
      </x:c>
      <x:c r="D5030" s="2" t="str">
        <x:v>MO</x:v>
      </x:c>
      <x:c r="E5030" s="2" t="str">
        <x:v>Acute Care - Veterans Administration</x:v>
      </x:c>
      <x:c r="F5030" s="2" t="str">
        <x:v>Other / unknown</x:v>
      </x:c>
      <x:c r="G5030" s="2" t="str">
        <x:v>Unknown</x:v>
      </x:c>
      <x:c r="H5030" s="7" t="n">
        <x:v>4</x:v>
      </x:c>
      <x:c r="I5030" s="7" t="n">
        <x:v>4</x:v>
      </x:c>
      <x:c r="J5030" s="7"/>
      <x:c r="K5030" s="8"/>
      <x:c r="L5030" s="8"/>
      <x:c r="M5030" s="9"/>
      <x:c r="N5030" s="10"/>
      <x:c r="O5030" s="9"/>
      <x:c r="P5030" s="9" t="n">
        <x:v>0</x:v>
      </x:c>
      <x:c r="Q5030" s="9" t="n">
        <x:v>0.1818181818</x:v>
      </x:c>
      <x:c r="R5030" s="3" t="b">
        <x:v>0</x:v>
      </x:c>
      <x:c r="S5030" s="3" t="b">
        <x:v>0</x:v>
      </x:c>
      <x:c r="T5030" s="3" t="b">
        <x:v>0</x:v>
      </x:c>
      <x:c r="U5030" s="2" t="str">
        <x:f>IF(T5030=TRUE,"Priority review",IF(R5030=TRUE,"High cost",IF(S5030=TRUE,"Low quality","Benchmark")))</x:f>
        <x:v>Benchmark</x:v>
      </x:c>
    </x:row>
    <x:row r="5031">
      <x:c r="A5031" s="2" t="str">
        <x:v>010057</x:v>
      </x:c>
      <x:c r="B5031" s="2" t="str">
        <x:v>VA NORTH FLORIDA/SOUTH GEORGIA HEALTHCARE SYSTEM - GAINESVILLE</x:v>
      </x:c>
      <x:c r="C5031" s="2" t="str">
        <x:v>GAINESVILLE</x:v>
      </x:c>
      <x:c r="D5031" s="2" t="str">
        <x:v>FL</x:v>
      </x:c>
      <x:c r="E5031" s="2" t="str">
        <x:v>Acute Care - Veterans Administration</x:v>
      </x:c>
      <x:c r="F5031" s="2" t="str">
        <x:v>Other / unknown</x:v>
      </x:c>
      <x:c r="G5031" s="2" t="str">
        <x:v>Unknown</x:v>
      </x:c>
      <x:c r="H5031" s="7" t="n">
        <x:v>4</x:v>
      </x:c>
      <x:c r="I5031" s="7" t="n">
        <x:v>4</x:v>
      </x:c>
      <x:c r="J5031" s="7"/>
      <x:c r="K5031" s="8"/>
      <x:c r="L5031" s="8"/>
      <x:c r="M5031" s="9"/>
      <x:c r="N5031" s="10"/>
      <x:c r="O5031" s="9"/>
      <x:c r="P5031" s="9" t="n">
        <x:v>0</x:v>
      </x:c>
      <x:c r="Q5031" s="9" t="n">
        <x:v>0.1818181818</x:v>
      </x:c>
      <x:c r="R5031" s="3" t="b">
        <x:v>0</x:v>
      </x:c>
      <x:c r="S5031" s="3" t="b">
        <x:v>0</x:v>
      </x:c>
      <x:c r="T5031" s="3" t="b">
        <x:v>0</x:v>
      </x:c>
      <x:c r="U5031" s="2" t="str">
        <x:f>IF(T5031=TRUE,"Priority review",IF(R5031=TRUE,"High cost",IF(S5031=TRUE,"Low quality","Benchmark")))</x:f>
        <x:v>Benchmark</x:v>
      </x:c>
    </x:row>
    <x:row r="5032">
      <x:c r="A5032" s="2" t="str">
        <x:v>010063</x:v>
      </x:c>
      <x:c r="B5032" s="2" t="str">
        <x:v>TAMPA VA MEDICAL CENTER</x:v>
      </x:c>
      <x:c r="C5032" s="2" t="str">
        <x:v>TAMPA</x:v>
      </x:c>
      <x:c r="D5032" s="2" t="str">
        <x:v>FL</x:v>
      </x:c>
      <x:c r="E5032" s="2" t="str">
        <x:v>Acute Care - Veterans Administration</x:v>
      </x:c>
      <x:c r="F5032" s="2" t="str">
        <x:v>Other / unknown</x:v>
      </x:c>
      <x:c r="G5032" s="2" t="str">
        <x:v>Unknown</x:v>
      </x:c>
      <x:c r="H5032" s="7" t="n">
        <x:v>4</x:v>
      </x:c>
      <x:c r="I5032" s="7" t="n">
        <x:v>4</x:v>
      </x:c>
      <x:c r="J5032" s="7"/>
      <x:c r="K5032" s="8"/>
      <x:c r="L5032" s="8"/>
      <x:c r="M5032" s="9"/>
      <x:c r="N5032" s="10"/>
      <x:c r="O5032" s="9"/>
      <x:c r="P5032" s="9" t="n">
        <x:v>0</x:v>
      </x:c>
      <x:c r="Q5032" s="9" t="n">
        <x:v>0.1818181818</x:v>
      </x:c>
      <x:c r="R5032" s="3" t="b">
        <x:v>0</x:v>
      </x:c>
      <x:c r="S5032" s="3" t="b">
        <x:v>0</x:v>
      </x:c>
      <x:c r="T5032" s="3" t="b">
        <x:v>0</x:v>
      </x:c>
      <x:c r="U5032" s="2" t="str">
        <x:f>IF(T5032=TRUE,"Priority review",IF(R5032=TRUE,"High cost",IF(S5032=TRUE,"Low quality","Benchmark")))</x:f>
        <x:v>Benchmark</x:v>
      </x:c>
    </x:row>
    <x:row r="5033">
      <x:c r="A5033" s="2" t="str">
        <x:v>010064</x:v>
      </x:c>
      <x:c r="B5033" s="2" t="str">
        <x:v>MIAMI VA MEDICAL CENTER</x:v>
      </x:c>
      <x:c r="C5033" s="2" t="str">
        <x:v>MIAMI</x:v>
      </x:c>
      <x:c r="D5033" s="2" t="str">
        <x:v>FL</x:v>
      </x:c>
      <x:c r="E5033" s="2" t="str">
        <x:v>Acute Care - Veterans Administration</x:v>
      </x:c>
      <x:c r="F5033" s="2" t="str">
        <x:v>Other / unknown</x:v>
      </x:c>
      <x:c r="G5033" s="2" t="str">
        <x:v>Unknown</x:v>
      </x:c>
      <x:c r="H5033" s="7" t="n">
        <x:v>4</x:v>
      </x:c>
      <x:c r="I5033" s="7" t="n">
        <x:v>4</x:v>
      </x:c>
      <x:c r="J5033" s="7"/>
      <x:c r="K5033" s="8"/>
      <x:c r="L5033" s="8"/>
      <x:c r="M5033" s="9"/>
      <x:c r="N5033" s="10"/>
      <x:c r="O5033" s="9"/>
      <x:c r="P5033" s="9" t="n">
        <x:v>0</x:v>
      </x:c>
      <x:c r="Q5033" s="9" t="n">
        <x:v>0.1818181818</x:v>
      </x:c>
      <x:c r="R5033" s="3" t="b">
        <x:v>0</x:v>
      </x:c>
      <x:c r="S5033" s="3" t="b">
        <x:v>0</x:v>
      </x:c>
      <x:c r="T5033" s="3" t="b">
        <x:v>0</x:v>
      </x:c>
      <x:c r="U5033" s="2" t="str">
        <x:f>IF(T5033=TRUE,"Priority review",IF(R5033=TRUE,"High cost",IF(S5033=TRUE,"Low quality","Benchmark")))</x:f>
        <x:v>Benchmark</x:v>
      </x:c>
    </x:row>
    <x:row r="5034">
      <x:c r="A5034" s="2" t="str">
        <x:v>011030</x:v>
      </x:c>
      <x:c r="B5034" s="2" t="str">
        <x:v>AUGUSTA VA MEDICAL CENTER</x:v>
      </x:c>
      <x:c r="C5034" s="2" t="str">
        <x:v>AUGUSTA</x:v>
      </x:c>
      <x:c r="D5034" s="2" t="str">
        <x:v>GA</x:v>
      </x:c>
      <x:c r="E5034" s="2" t="str">
        <x:v>Acute Care - Veterans Administration</x:v>
      </x:c>
      <x:c r="F5034" s="2" t="str">
        <x:v>Other / unknown</x:v>
      </x:c>
      <x:c r="G5034" s="2" t="str">
        <x:v>Unknown</x:v>
      </x:c>
      <x:c r="H5034" s="7" t="n">
        <x:v>4</x:v>
      </x:c>
      <x:c r="I5034" s="7" t="n">
        <x:v>4</x:v>
      </x:c>
      <x:c r="J5034" s="7"/>
      <x:c r="K5034" s="8"/>
      <x:c r="L5034" s="8"/>
      <x:c r="M5034" s="9"/>
      <x:c r="N5034" s="10"/>
      <x:c r="O5034" s="9"/>
      <x:c r="P5034" s="9" t="n">
        <x:v>0</x:v>
      </x:c>
      <x:c r="Q5034" s="9" t="n">
        <x:v>0.1818181818</x:v>
      </x:c>
      <x:c r="R5034" s="3" t="b">
        <x:v>0</x:v>
      </x:c>
      <x:c r="S5034" s="3" t="b">
        <x:v>0</x:v>
      </x:c>
      <x:c r="T5034" s="3" t="b">
        <x:v>0</x:v>
      </x:c>
      <x:c r="U5034" s="2" t="str">
        <x:f>IF(T5034=TRUE,"Priority review",IF(R5034=TRUE,"High cost",IF(S5034=TRUE,"Low quality","Benchmark")))</x:f>
        <x:v>Benchmark</x:v>
      </x:c>
    </x:row>
    <x:row r="5035">
      <x:c r="A5035" s="2" t="str">
        <x:v>049006</x:v>
      </x:c>
      <x:c r="B5035" s="2" t="str">
        <x:v>HAMPTON VA MEDICAL CENTER</x:v>
      </x:c>
      <x:c r="C5035" s="2" t="str">
        <x:v>HAMPTON</x:v>
      </x:c>
      <x:c r="D5035" s="2" t="str">
        <x:v>VA</x:v>
      </x:c>
      <x:c r="E5035" s="2" t="str">
        <x:v>Acute Care - Veterans Administration</x:v>
      </x:c>
      <x:c r="F5035" s="2" t="str">
        <x:v>Other / unknown</x:v>
      </x:c>
      <x:c r="G5035" s="2" t="str">
        <x:v>Unknown</x:v>
      </x:c>
      <x:c r="H5035" s="7" t="n">
        <x:v>4</x:v>
      </x:c>
      <x:c r="I5035" s="7" t="n">
        <x:v>4</x:v>
      </x:c>
      <x:c r="J5035" s="7"/>
      <x:c r="K5035" s="8"/>
      <x:c r="L5035" s="8"/>
      <x:c r="M5035" s="9"/>
      <x:c r="N5035" s="10"/>
      <x:c r="O5035" s="9"/>
      <x:c r="P5035" s="9" t="n">
        <x:v>0</x:v>
      </x:c>
      <x:c r="Q5035" s="9" t="n">
        <x:v>0.1818181818</x:v>
      </x:c>
      <x:c r="R5035" s="3" t="b">
        <x:v>0</x:v>
      </x:c>
      <x:c r="S5035" s="3" t="b">
        <x:v>0</x:v>
      </x:c>
      <x:c r="T5035" s="3" t="b">
        <x:v>0</x:v>
      </x:c>
      <x:c r="U5035" s="2" t="str">
        <x:f>IF(T5035=TRUE,"Priority review",IF(R5035=TRUE,"High cost",IF(S5035=TRUE,"Low quality","Benchmark")))</x:f>
        <x:v>Benchmark</x:v>
      </x:c>
    </x:row>
    <x:row r="5036">
      <x:c r="A5036" s="2" t="str">
        <x:v>046002</x:v>
      </x:c>
      <x:c r="B5036" s="2" t="str">
        <x:v>VA SALT LAKE CITY HEALTHCARE - GEORGE E. WAHLEN VA MEDICAL CENTER</x:v>
      </x:c>
      <x:c r="C5036" s="2" t="str">
        <x:v>SALT LAKE CITY</x:v>
      </x:c>
      <x:c r="D5036" s="2" t="str">
        <x:v>UT</x:v>
      </x:c>
      <x:c r="E5036" s="2" t="str">
        <x:v>Acute Care - Veterans Administration</x:v>
      </x:c>
      <x:c r="F5036" s="2" t="str">
        <x:v>Other / unknown</x:v>
      </x:c>
      <x:c r="G5036" s="2" t="str">
        <x:v>Unknown</x:v>
      </x:c>
      <x:c r="H5036" s="7" t="n">
        <x:v>4</x:v>
      </x:c>
      <x:c r="I5036" s="7" t="n">
        <x:v>5</x:v>
      </x:c>
      <x:c r="J5036" s="7"/>
      <x:c r="K5036" s="8"/>
      <x:c r="L5036" s="8"/>
      <x:c r="M5036" s="9"/>
      <x:c r="N5036" s="10"/>
      <x:c r="O5036" s="9"/>
      <x:c r="P5036" s="9" t="n">
        <x:v>0</x:v>
      </x:c>
      <x:c r="Q5036" s="9" t="n">
        <x:v>0.1818181818</x:v>
      </x:c>
      <x:c r="R5036" s="3" t="b">
        <x:v>0</x:v>
      </x:c>
      <x:c r="S5036" s="3" t="b">
        <x:v>0</x:v>
      </x:c>
      <x:c r="T5036" s="3" t="b">
        <x:v>0</x:v>
      </x:c>
      <x:c r="U5036" s="2" t="str">
        <x:f>IF(T5036=TRUE,"Priority review",IF(R5036=TRUE,"High cost",IF(S5036=TRUE,"Low quality","Benchmark")))</x:f>
        <x:v>Benchmark</x:v>
      </x:c>
    </x:row>
    <x:row r="5037">
      <x:c r="A5037" s="2" t="str">
        <x:v>014003</x:v>
      </x:c>
      <x:c r="B5037" s="2" t="str">
        <x:v>JESSE BROWN VA MEDICAL CENTER - VA CHICAGO HEALTHCARE SYSTEM</x:v>
      </x:c>
      <x:c r="C5037" s="2" t="str">
        <x:v>CHICAGO</x:v>
      </x:c>
      <x:c r="D5037" s="2" t="str">
        <x:v>IL</x:v>
      </x:c>
      <x:c r="E5037" s="2" t="str">
        <x:v>Acute Care - Veterans Administration</x:v>
      </x:c>
      <x:c r="F5037" s="2" t="str">
        <x:v>Other / unknown</x:v>
      </x:c>
      <x:c r="G5037" s="2" t="str">
        <x:v>Unknown</x:v>
      </x:c>
      <x:c r="H5037" s="7" t="n">
        <x:v>4</x:v>
      </x:c>
      <x:c r="I5037" s="7" t="n">
        <x:v>4</x:v>
      </x:c>
      <x:c r="J5037" s="7"/>
      <x:c r="K5037" s="8"/>
      <x:c r="L5037" s="8"/>
      <x:c r="M5037" s="9"/>
      <x:c r="N5037" s="10"/>
      <x:c r="O5037" s="9"/>
      <x:c r="P5037" s="9" t="n">
        <x:v>0</x:v>
      </x:c>
      <x:c r="Q5037" s="9" t="n">
        <x:v>0.1818181818</x:v>
      </x:c>
      <x:c r="R5037" s="3" t="b">
        <x:v>0</x:v>
      </x:c>
      <x:c r="S5037" s="3" t="b">
        <x:v>0</x:v>
      </x:c>
      <x:c r="T5037" s="3" t="b">
        <x:v>0</x:v>
      </x:c>
      <x:c r="U5037" s="2" t="str">
        <x:f>IF(T5037=TRUE,"Priority review",IF(R5037=TRUE,"High cost",IF(S5037=TRUE,"Low quality","Benchmark")))</x:f>
        <x:v>Benchmark</x:v>
      </x:c>
    </x:row>
    <x:row r="5038">
      <x:c r="A5038" s="2" t="str">
        <x:v>045086</x:v>
      </x:c>
      <x:c r="B5038" s="2" t="str">
        <x:v>TEMPLE VA MEDICAL CENTER (VA CENTRAL TEXAS HEALTHCARE SYSTEM)</x:v>
      </x:c>
      <x:c r="C5038" s="2" t="str">
        <x:v>TEMPLE</x:v>
      </x:c>
      <x:c r="D5038" s="2" t="str">
        <x:v>TX</x:v>
      </x:c>
      <x:c r="E5038" s="2" t="str">
        <x:v>Acute Care - Veterans Administration</x:v>
      </x:c>
      <x:c r="F5038" s="2" t="str">
        <x:v>Other / unknown</x:v>
      </x:c>
      <x:c r="G5038" s="2" t="str">
        <x:v>Unknown</x:v>
      </x:c>
      <x:c r="H5038" s="7" t="n">
        <x:v>4</x:v>
      </x:c>
      <x:c r="I5038" s="7" t="n">
        <x:v>4</x:v>
      </x:c>
      <x:c r="J5038" s="7"/>
      <x:c r="K5038" s="8"/>
      <x:c r="L5038" s="8"/>
      <x:c r="M5038" s="9"/>
      <x:c r="N5038" s="10"/>
      <x:c r="O5038" s="9"/>
      <x:c r="P5038" s="9" t="n">
        <x:v>0</x:v>
      </x:c>
      <x:c r="Q5038" s="9" t="n">
        <x:v>0.1818181818</x:v>
      </x:c>
      <x:c r="R5038" s="3" t="b">
        <x:v>0</x:v>
      </x:c>
      <x:c r="S5038" s="3" t="b">
        <x:v>0</x:v>
      </x:c>
      <x:c r="T5038" s="3" t="b">
        <x:v>0</x:v>
      </x:c>
      <x:c r="U5038" s="2" t="str">
        <x:f>IF(T5038=TRUE,"Priority review",IF(R5038=TRUE,"High cost",IF(S5038=TRUE,"Low quality","Benchmark")))</x:f>
        <x:v>Benchmark</x:v>
      </x:c>
    </x:row>
    <x:row r="5039">
      <x:c r="A5039" s="2" t="str">
        <x:v>014034</x:v>
      </x:c>
      <x:c r="B5039" s="2" t="str">
        <x:v>NORTH CHICAGO VA MEDICAL CENTER</x:v>
      </x:c>
      <x:c r="C5039" s="2" t="str">
        <x:v>NORTH CHICAGO</x:v>
      </x:c>
      <x:c r="D5039" s="2" t="str">
        <x:v>IL</x:v>
      </x:c>
      <x:c r="E5039" s="2" t="str">
        <x:v>Acute Care - Veterans Administration</x:v>
      </x:c>
      <x:c r="F5039" s="2" t="str">
        <x:v>Other / unknown</x:v>
      </x:c>
      <x:c r="G5039" s="2" t="str">
        <x:v>Unknown</x:v>
      </x:c>
      <x:c r="H5039" s="7" t="n">
        <x:v>4</x:v>
      </x:c>
      <x:c r="I5039" s="7" t="n">
        <x:v>3</x:v>
      </x:c>
      <x:c r="J5039" s="7"/>
      <x:c r="K5039" s="8"/>
      <x:c r="L5039" s="8"/>
      <x:c r="M5039" s="9"/>
      <x:c r="N5039" s="10"/>
      <x:c r="O5039" s="9"/>
      <x:c r="P5039" s="9" t="n">
        <x:v>0</x:v>
      </x:c>
      <x:c r="Q5039" s="9" t="n">
        <x:v>0.1818181818</x:v>
      </x:c>
      <x:c r="R5039" s="3" t="b">
        <x:v>0</x:v>
      </x:c>
      <x:c r="S5039" s="3" t="b">
        <x:v>0</x:v>
      </x:c>
      <x:c r="T5039" s="3" t="b">
        <x:v>0</x:v>
      </x:c>
      <x:c r="U5039" s="2" t="str">
        <x:f>IF(T5039=TRUE,"Priority review",IF(R5039=TRUE,"High cost",IF(S5039=TRUE,"Low quality","Benchmark")))</x:f>
        <x:v>Benchmark</x:v>
      </x:c>
    </x:row>
    <x:row r="5040">
      <x:c r="A5040" s="2" t="str">
        <x:v>001019</x:v>
      </x:c>
      <x:c r="B5040" s="2" t="str">
        <x:v>VA CENTRAL ALABAMA HEALTHCARE SYSTEM - MONTGOMERY</x:v>
      </x:c>
      <x:c r="C5040" s="2" t="str">
        <x:v>MONTGOMERY</x:v>
      </x:c>
      <x:c r="D5040" s="2" t="str">
        <x:v>AL</x:v>
      </x:c>
      <x:c r="E5040" s="2" t="str">
        <x:v>Acute Care - Veterans Administration</x:v>
      </x:c>
      <x:c r="F5040" s="2" t="str">
        <x:v>Other / unknown</x:v>
      </x:c>
      <x:c r="G5040" s="2" t="str">
        <x:v>Unknown</x:v>
      </x:c>
      <x:c r="H5040" s="7" t="n">
        <x:v>4</x:v>
      </x:c>
      <x:c r="I5040" s="7" t="n">
        <x:v>4</x:v>
      </x:c>
      <x:c r="J5040" s="7"/>
      <x:c r="K5040" s="8"/>
      <x:c r="L5040" s="8"/>
      <x:c r="M5040" s="9"/>
      <x:c r="N5040" s="10"/>
      <x:c r="O5040" s="9"/>
      <x:c r="P5040" s="9" t="n">
        <x:v>0</x:v>
      </x:c>
      <x:c r="Q5040" s="9" t="n">
        <x:v>0.1818181818</x:v>
      </x:c>
      <x:c r="R5040" s="3" t="b">
        <x:v>0</x:v>
      </x:c>
      <x:c r="S5040" s="3" t="b">
        <x:v>0</x:v>
      </x:c>
      <x:c r="T5040" s="3" t="b">
        <x:v>0</x:v>
      </x:c>
      <x:c r="U5040" s="2" t="str">
        <x:f>IF(T5040=TRUE,"Priority review",IF(R5040=TRUE,"High cost",IF(S5040=TRUE,"Low quality","Benchmark")))</x:f>
        <x:v>Benchmark</x:v>
      </x:c>
    </x:row>
    <x:row r="5041">
      <x:c r="A5041" s="2" t="str">
        <x:v>044018</x:v>
      </x:c>
      <x:c r="B5041" s="2" t="str">
        <x:v>VA MIDDLE TENNESSEE HEALTHCARE SYSTEM</x:v>
      </x:c>
      <x:c r="C5041" s="2" t="str">
        <x:v>NASHVILLE</x:v>
      </x:c>
      <x:c r="D5041" s="2" t="str">
        <x:v>TN</x:v>
      </x:c>
      <x:c r="E5041" s="2" t="str">
        <x:v>Acute Care - Veterans Administration</x:v>
      </x:c>
      <x:c r="F5041" s="2" t="str">
        <x:v>Other / unknown</x:v>
      </x:c>
      <x:c r="G5041" s="2" t="str">
        <x:v>Unknown</x:v>
      </x:c>
      <x:c r="H5041" s="7" t="n">
        <x:v>4</x:v>
      </x:c>
      <x:c r="I5041" s="7" t="n">
        <x:v>4</x:v>
      </x:c>
      <x:c r="J5041" s="7"/>
      <x:c r="K5041" s="8"/>
      <x:c r="L5041" s="8"/>
      <x:c r="M5041" s="9"/>
      <x:c r="N5041" s="10"/>
      <x:c r="O5041" s="9"/>
      <x:c r="P5041" s="9" t="n">
        <x:v>0</x:v>
      </x:c>
      <x:c r="Q5041" s="9" t="n">
        <x:v>0.1818181818</x:v>
      </x:c>
      <x:c r="R5041" s="3" t="b">
        <x:v>0</x:v>
      </x:c>
      <x:c r="S5041" s="3" t="b">
        <x:v>0</x:v>
      </x:c>
      <x:c r="T5041" s="3" t="b">
        <x:v>0</x:v>
      </x:c>
      <x:c r="U5041" s="2" t="str">
        <x:f>IF(T5041=TRUE,"Priority review",IF(R5041=TRUE,"High cost",IF(S5041=TRUE,"Low quality","Benchmark")))</x:f>
        <x:v>Benchmark</x:v>
      </x:c>
    </x:row>
    <x:row r="5042">
      <x:c r="A5042" s="2" t="str">
        <x:v>016003</x:v>
      </x:c>
      <x:c r="B5042" s="2" t="str">
        <x:v>VA CENTRAL IOWA HEALTHCARE SYSTEM</x:v>
      </x:c>
      <x:c r="C5042" s="2" t="str">
        <x:v>DES MOINES</x:v>
      </x:c>
      <x:c r="D5042" s="2" t="str">
        <x:v>IA</x:v>
      </x:c>
      <x:c r="E5042" s="2" t="str">
        <x:v>Acute Care - Veterans Administration</x:v>
      </x:c>
      <x:c r="F5042" s="2" t="str">
        <x:v>Other / unknown</x:v>
      </x:c>
      <x:c r="G5042" s="2" t="str">
        <x:v>Unknown</x:v>
      </x:c>
      <x:c r="H5042" s="7" t="n">
        <x:v>4</x:v>
      </x:c>
      <x:c r="I5042" s="7" t="n">
        <x:v>4</x:v>
      </x:c>
      <x:c r="J5042" s="7"/>
      <x:c r="K5042" s="8"/>
      <x:c r="L5042" s="8"/>
      <x:c r="M5042" s="9"/>
      <x:c r="N5042" s="10"/>
      <x:c r="O5042" s="9"/>
      <x:c r="P5042" s="9" t="n">
        <x:v>0</x:v>
      </x:c>
      <x:c r="Q5042" s="9" t="n">
        <x:v>0.1818181818</x:v>
      </x:c>
      <x:c r="R5042" s="3" t="b">
        <x:v>0</x:v>
      </x:c>
      <x:c r="S5042" s="3" t="b">
        <x:v>0</x:v>
      </x:c>
      <x:c r="T5042" s="3" t="b">
        <x:v>0</x:v>
      </x:c>
      <x:c r="U5042" s="2" t="str">
        <x:f>IF(T5042=TRUE,"Priority review",IF(R5042=TRUE,"High cost",IF(S5042=TRUE,"Low quality","Benchmark")))</x:f>
        <x:v>Benchmark</x:v>
      </x:c>
    </x:row>
    <x:row r="5043">
      <x:c r="A5043" s="2" t="str">
        <x:v>005027</x:v>
      </x:c>
      <x:c r="B5043" s="2" t="str">
        <x:v>VA LONG BEACH HEALTHCARE SYSTEM</x:v>
      </x:c>
      <x:c r="C5043" s="2" t="str">
        <x:v>LONG BEACH</x:v>
      </x:c>
      <x:c r="D5043" s="2" t="str">
        <x:v>CA</x:v>
      </x:c>
      <x:c r="E5043" s="2" t="str">
        <x:v>Acute Care - Veterans Administration</x:v>
      </x:c>
      <x:c r="F5043" s="2" t="str">
        <x:v>Other / unknown</x:v>
      </x:c>
      <x:c r="G5043" s="2" t="str">
        <x:v>Unknown</x:v>
      </x:c>
      <x:c r="H5043" s="7" t="n">
        <x:v>4</x:v>
      </x:c>
      <x:c r="I5043" s="7" t="n">
        <x:v>3</x:v>
      </x:c>
      <x:c r="J5043" s="7"/>
      <x:c r="K5043" s="8"/>
      <x:c r="L5043" s="8"/>
      <x:c r="M5043" s="9"/>
      <x:c r="N5043" s="10"/>
      <x:c r="O5043" s="9"/>
      <x:c r="P5043" s="9" t="n">
        <x:v>0</x:v>
      </x:c>
      <x:c r="Q5043" s="9" t="n">
        <x:v>0.1818181818</x:v>
      </x:c>
      <x:c r="R5043" s="3" t="b">
        <x:v>0</x:v>
      </x:c>
      <x:c r="S5043" s="3" t="b">
        <x:v>0</x:v>
      </x:c>
      <x:c r="T5043" s="3" t="b">
        <x:v>0</x:v>
      </x:c>
      <x:c r="U5043" s="2" t="str">
        <x:f>IF(T5043=TRUE,"Priority review",IF(R5043=TRUE,"High cost",IF(S5043=TRUE,"Low quality","Benchmark")))</x:f>
        <x:v>Benchmark</x:v>
      </x:c>
    </x:row>
    <x:row r="5044">
      <x:c r="A5044" s="2" t="str">
        <x:v>017005</x:v>
      </x:c>
      <x:c r="B5044" s="2" t="str">
        <x:v>VA EASTERN KANSAS HEALTHCARE SYSTEM</x:v>
      </x:c>
      <x:c r="C5044" s="2" t="str">
        <x:v>TOPEKA</x:v>
      </x:c>
      <x:c r="D5044" s="2" t="str">
        <x:v>KS</x:v>
      </x:c>
      <x:c r="E5044" s="2" t="str">
        <x:v>Acute Care - Veterans Administration</x:v>
      </x:c>
      <x:c r="F5044" s="2" t="str">
        <x:v>Other / unknown</x:v>
      </x:c>
      <x:c r="G5044" s="2" t="str">
        <x:v>Unknown</x:v>
      </x:c>
      <x:c r="H5044" s="7" t="n">
        <x:v>4</x:v>
      </x:c>
      <x:c r="I5044" s="7" t="n">
        <x:v>4</x:v>
      </x:c>
      <x:c r="J5044" s="7"/>
      <x:c r="K5044" s="8"/>
      <x:c r="L5044" s="8"/>
      <x:c r="M5044" s="9"/>
      <x:c r="N5044" s="10"/>
      <x:c r="O5044" s="9"/>
      <x:c r="P5044" s="9" t="n">
        <x:v>0</x:v>
      </x:c>
      <x:c r="Q5044" s="9" t="n">
        <x:v>0.1818181818</x:v>
      </x:c>
      <x:c r="R5044" s="3" t="b">
        <x:v>0</x:v>
      </x:c>
      <x:c r="S5044" s="3" t="b">
        <x:v>0</x:v>
      </x:c>
      <x:c r="T5044" s="3" t="b">
        <x:v>0</x:v>
      </x:c>
      <x:c r="U5044" s="2" t="str">
        <x:f>IF(T5044=TRUE,"Priority review",IF(R5044=TRUE,"High cost",IF(S5044=TRUE,"Low quality","Benchmark")))</x:f>
        <x:v>Benchmark</x:v>
      </x:c>
    </x:row>
    <x:row r="5045">
      <x:c r="A5045" s="2" t="str">
        <x:v>028006</x:v>
      </x:c>
      <x:c r="B5045" s="2" t="str">
        <x:v>OMAHA VA MEDICAL CENTER (VA NEBRASKA WESTERN IOWA HEALTHCARE SYSTEM)</x:v>
      </x:c>
      <x:c r="C5045" s="2" t="str">
        <x:v>OMAHA</x:v>
      </x:c>
      <x:c r="D5045" s="2" t="str">
        <x:v>NE</x:v>
      </x:c>
      <x:c r="E5045" s="2" t="str">
        <x:v>Acute Care - Veterans Administration</x:v>
      </x:c>
      <x:c r="F5045" s="2" t="str">
        <x:v>Other / unknown</x:v>
      </x:c>
      <x:c r="G5045" s="2" t="str">
        <x:v>Unknown</x:v>
      </x:c>
      <x:c r="H5045" s="7" t="n">
        <x:v>4</x:v>
      </x:c>
      <x:c r="I5045" s="7" t="n">
        <x:v>4</x:v>
      </x:c>
      <x:c r="J5045" s="7"/>
      <x:c r="K5045" s="8"/>
      <x:c r="L5045" s="8"/>
      <x:c r="M5045" s="9"/>
      <x:c r="N5045" s="10"/>
      <x:c r="O5045" s="9"/>
      <x:c r="P5045" s="9" t="n">
        <x:v>0</x:v>
      </x:c>
      <x:c r="Q5045" s="9" t="n">
        <x:v>0.1818181818</x:v>
      </x:c>
      <x:c r="R5045" s="3" t="b">
        <x:v>0</x:v>
      </x:c>
      <x:c r="S5045" s="3" t="b">
        <x:v>0</x:v>
      </x:c>
      <x:c r="T5045" s="3" t="b">
        <x:v>0</x:v>
      </x:c>
      <x:c r="U5045" s="2" t="str">
        <x:f>IF(T5045=TRUE,"Priority review",IF(R5045=TRUE,"High cost",IF(S5045=TRUE,"Low quality","Benchmark")))</x:f>
        <x:v>Benchmark</x:v>
      </x:c>
    </x:row>
    <x:row r="5046">
      <x:c r="A5046" s="2" t="str">
        <x:v>008002</x:v>
      </x:c>
      <x:c r="B5046" s="2" t="str">
        <x:v>WILMINGTON VA MEDICAL CENTER</x:v>
      </x:c>
      <x:c r="C5046" s="2" t="str">
        <x:v>WILMINGTON</x:v>
      </x:c>
      <x:c r="D5046" s="2" t="str">
        <x:v>DE</x:v>
      </x:c>
      <x:c r="E5046" s="2" t="str">
        <x:v>Acute Care - Veterans Administration</x:v>
      </x:c>
      <x:c r="F5046" s="2" t="str">
        <x:v>Other / unknown</x:v>
      </x:c>
      <x:c r="G5046" s="2" t="str">
        <x:v>Unknown</x:v>
      </x:c>
      <x:c r="H5046" s="7" t="n">
        <x:v>4</x:v>
      </x:c>
      <x:c r="I5046" s="7" t="n">
        <x:v>3</x:v>
      </x:c>
      <x:c r="J5046" s="7"/>
      <x:c r="K5046" s="8"/>
      <x:c r="L5046" s="8"/>
      <x:c r="M5046" s="9"/>
      <x:c r="N5046" s="10"/>
      <x:c r="O5046" s="9"/>
      <x:c r="P5046" s="9" t="n">
        <x:v>0</x:v>
      </x:c>
      <x:c r="Q5046" s="9" t="n">
        <x:v>0.1818181818</x:v>
      </x:c>
      <x:c r="R5046" s="3" t="b">
        <x:v>0</x:v>
      </x:c>
      <x:c r="S5046" s="3" t="b">
        <x:v>0</x:v>
      </x:c>
      <x:c r="T5046" s="3" t="b">
        <x:v>0</x:v>
      </x:c>
      <x:c r="U5046" s="2" t="str">
        <x:f>IF(T5046=TRUE,"Priority review",IF(R5046=TRUE,"High cost",IF(S5046=TRUE,"Low quality","Benchmark")))</x:f>
        <x:v>Benchmark</x:v>
      </x:c>
    </x:row>
    <x:row r="5047">
      <x:c r="A5047" s="2" t="str">
        <x:v>050011</x:v>
      </x:c>
      <x:c r="B5047" s="2" t="str">
        <x:v>SPOKANE VA MEDICAL CENTER</x:v>
      </x:c>
      <x:c r="C5047" s="2" t="str">
        <x:v>SPOKANE</x:v>
      </x:c>
      <x:c r="D5047" s="2" t="str">
        <x:v>WA</x:v>
      </x:c>
      <x:c r="E5047" s="2" t="str">
        <x:v>Acute Care - Veterans Administration</x:v>
      </x:c>
      <x:c r="F5047" s="2" t="str">
        <x:v>Other / unknown</x:v>
      </x:c>
      <x:c r="G5047" s="2" t="str">
        <x:v>Unknown</x:v>
      </x:c>
      <x:c r="H5047" s="7" t="n">
        <x:v>4</x:v>
      </x:c>
      <x:c r="I5047" s="7" t="n">
        <x:v>5</x:v>
      </x:c>
      <x:c r="J5047" s="7"/>
      <x:c r="K5047" s="8"/>
      <x:c r="L5047" s="8"/>
      <x:c r="M5047" s="9"/>
      <x:c r="N5047" s="10"/>
      <x:c r="O5047" s="9"/>
      <x:c r="P5047" s="9" t="n">
        <x:v>0</x:v>
      </x:c>
      <x:c r="Q5047" s="9" t="n">
        <x:v>0.1818181818</x:v>
      </x:c>
      <x:c r="R5047" s="3" t="b">
        <x:v>0</x:v>
      </x:c>
      <x:c r="S5047" s="3" t="b">
        <x:v>0</x:v>
      </x:c>
      <x:c r="T5047" s="3" t="b">
        <x:v>0</x:v>
      </x:c>
      <x:c r="U5047" s="2" t="str">
        <x:f>IF(T5047=TRUE,"Priority review",IF(R5047=TRUE,"High cost",IF(S5047=TRUE,"Low quality","Benchmark")))</x:f>
        <x:v>Benchmark</x:v>
      </x:c>
    </x:row>
    <x:row r="5048">
      <x:c r="A5048" s="2" t="str">
        <x:v>001014</x:v>
      </x:c>
      <x:c r="B5048" s="2" t="str">
        <x:v>BIRMINGHAM VA MEDICAL CENTER</x:v>
      </x:c>
      <x:c r="C5048" s="2" t="str">
        <x:v>BIRMINGHAM</x:v>
      </x:c>
      <x:c r="D5048" s="2" t="str">
        <x:v>AL</x:v>
      </x:c>
      <x:c r="E5048" s="2" t="str">
        <x:v>Acute Care - Veterans Administration</x:v>
      </x:c>
      <x:c r="F5048" s="2" t="str">
        <x:v>Other / unknown</x:v>
      </x:c>
      <x:c r="G5048" s="2" t="str">
        <x:v>Unknown</x:v>
      </x:c>
      <x:c r="H5048" s="7" t="n">
        <x:v>4</x:v>
      </x:c>
      <x:c r="I5048" s="7" t="n">
        <x:v>4</x:v>
      </x:c>
      <x:c r="J5048" s="7"/>
      <x:c r="K5048" s="8"/>
      <x:c r="L5048" s="8"/>
      <x:c r="M5048" s="9"/>
      <x:c r="N5048" s="10"/>
      <x:c r="O5048" s="9"/>
      <x:c r="P5048" s="9" t="n">
        <x:v>0</x:v>
      </x:c>
      <x:c r="Q5048" s="9" t="n">
        <x:v>0.1818181818</x:v>
      </x:c>
      <x:c r="R5048" s="3" t="b">
        <x:v>0</x:v>
      </x:c>
      <x:c r="S5048" s="3" t="b">
        <x:v>0</x:v>
      </x:c>
      <x:c r="T5048" s="3" t="b">
        <x:v>0</x:v>
      </x:c>
      <x:c r="U5048" s="2" t="str">
        <x:f>IF(T5048=TRUE,"Priority review",IF(R5048=TRUE,"High cost",IF(S5048=TRUE,"Low quality","Benchmark")))</x:f>
        <x:v>Benchmark</x:v>
      </x:c>
    </x:row>
    <x:row r="5049">
      <x:c r="A5049" s="2" t="str">
        <x:v>051005</x:v>
      </x:c>
      <x:c r="B5049" s="2" t="str">
        <x:v>MARTINSBURG VA MEDICAL CENTER</x:v>
      </x:c>
      <x:c r="C5049" s="2" t="str">
        <x:v>MARTINSBURG</x:v>
      </x:c>
      <x:c r="D5049" s="2" t="str">
        <x:v>WV</x:v>
      </x:c>
      <x:c r="E5049" s="2" t="str">
        <x:v>Acute Care - Veterans Administration</x:v>
      </x:c>
      <x:c r="F5049" s="2" t="str">
        <x:v>Other / unknown</x:v>
      </x:c>
      <x:c r="G5049" s="2" t="str">
        <x:v>Unknown</x:v>
      </x:c>
      <x:c r="H5049" s="7" t="n">
        <x:v>4</x:v>
      </x:c>
      <x:c r="I5049" s="7" t="n">
        <x:v>4</x:v>
      </x:c>
      <x:c r="J5049" s="7"/>
      <x:c r="K5049" s="8"/>
      <x:c r="L5049" s="8"/>
      <x:c r="M5049" s="9"/>
      <x:c r="N5049" s="10"/>
      <x:c r="O5049" s="9"/>
      <x:c r="P5049" s="9" t="n">
        <x:v>0</x:v>
      </x:c>
      <x:c r="Q5049" s="9" t="n">
        <x:v>0.1818181818</x:v>
      </x:c>
      <x:c r="R5049" s="3" t="b">
        <x:v>0</x:v>
      </x:c>
      <x:c r="S5049" s="3" t="b">
        <x:v>0</x:v>
      </x:c>
      <x:c r="T5049" s="3" t="b">
        <x:v>0</x:v>
      </x:c>
      <x:c r="U5049" s="2" t="str">
        <x:f>IF(T5049=TRUE,"Priority review",IF(R5049=TRUE,"High cost",IF(S5049=TRUE,"Low quality","Benchmark")))</x:f>
        <x:v>Benchmark</x:v>
      </x:c>
    </x:row>
    <x:row r="5050">
      <x:c r="A5050" s="2" t="str">
        <x:v>020003</x:v>
      </x:c>
      <x:c r="B5050" s="2" t="str">
        <x:v>TOGUS VA MEDICAL CENTER</x:v>
      </x:c>
      <x:c r="C5050" s="2" t="str">
        <x:v>AUGUSTA</x:v>
      </x:c>
      <x:c r="D5050" s="2" t="str">
        <x:v>ME</x:v>
      </x:c>
      <x:c r="E5050" s="2" t="str">
        <x:v>Acute Care - Veterans Administration</x:v>
      </x:c>
      <x:c r="F5050" s="2" t="str">
        <x:v>Other / unknown</x:v>
      </x:c>
      <x:c r="G5050" s="2" t="str">
        <x:v>Unknown</x:v>
      </x:c>
      <x:c r="H5050" s="7" t="n">
        <x:v>4</x:v>
      </x:c>
      <x:c r="I5050" s="7" t="n">
        <x:v>5</x:v>
      </x:c>
      <x:c r="J5050" s="7"/>
      <x:c r="K5050" s="8"/>
      <x:c r="L5050" s="8"/>
      <x:c r="M5050" s="9"/>
      <x:c r="N5050" s="10"/>
      <x:c r="O5050" s="9"/>
      <x:c r="P5050" s="9" t="n">
        <x:v>0</x:v>
      </x:c>
      <x:c r="Q5050" s="9" t="n">
        <x:v>0.1818181818</x:v>
      </x:c>
      <x:c r="R5050" s="3" t="b">
        <x:v>0</x:v>
      </x:c>
      <x:c r="S5050" s="3" t="b">
        <x:v>0</x:v>
      </x:c>
      <x:c r="T5050" s="3" t="b">
        <x:v>0</x:v>
      </x:c>
      <x:c r="U5050" s="2" t="str">
        <x:f>IF(T5050=TRUE,"Priority review",IF(R5050=TRUE,"High cost",IF(S5050=TRUE,"Low quality","Benchmark")))</x:f>
        <x:v>Benchmark</x:v>
      </x:c>
    </x:row>
    <x:row r="5051">
      <x:c r="A5051" s="2" t="str">
        <x:v>039012</x:v>
      </x:c>
      <x:c r="B5051" s="2" t="str">
        <x:v>VA PITTSBURGH HEALTHCARE SYSTEM - UNIV DR</x:v>
      </x:c>
      <x:c r="C5051" s="2" t="str">
        <x:v>PITTSBURGH</x:v>
      </x:c>
      <x:c r="D5051" s="2" t="str">
        <x:v>PA</x:v>
      </x:c>
      <x:c r="E5051" s="2" t="str">
        <x:v>Acute Care - Veterans Administration</x:v>
      </x:c>
      <x:c r="F5051" s="2" t="str">
        <x:v>Other / unknown</x:v>
      </x:c>
      <x:c r="G5051" s="2" t="str">
        <x:v>Unknown</x:v>
      </x:c>
      <x:c r="H5051" s="7" t="n">
        <x:v>4</x:v>
      </x:c>
      <x:c r="I5051" s="7" t="n">
        <x:v>4</x:v>
      </x:c>
      <x:c r="J5051" s="7"/>
      <x:c r="K5051" s="8"/>
      <x:c r="L5051" s="8"/>
      <x:c r="M5051" s="9"/>
      <x:c r="N5051" s="10"/>
      <x:c r="O5051" s="9"/>
      <x:c r="P5051" s="9" t="n">
        <x:v>0</x:v>
      </x:c>
      <x:c r="Q5051" s="9" t="n">
        <x:v>0.1818181818</x:v>
      </x:c>
      <x:c r="R5051" s="3" t="b">
        <x:v>0</x:v>
      </x:c>
      <x:c r="S5051" s="3" t="b">
        <x:v>0</x:v>
      </x:c>
      <x:c r="T5051" s="3" t="b">
        <x:v>0</x:v>
      </x:c>
      <x:c r="U5051" s="2" t="str">
        <x:f>IF(T5051=TRUE,"Priority review",IF(R5051=TRUE,"High cost",IF(S5051=TRUE,"Low quality","Benchmark")))</x:f>
        <x:v>Benchmark</x:v>
      </x:c>
    </x:row>
    <x:row r="5052">
      <x:c r="A5052" s="2" t="str">
        <x:v>036003</x:v>
      </x:c>
      <x:c r="B5052" s="2" t="str">
        <x:v>CINCINNATI VA MEDICAL CENTER</x:v>
      </x:c>
      <x:c r="C5052" s="2" t="str">
        <x:v>CINCINNATI</x:v>
      </x:c>
      <x:c r="D5052" s="2" t="str">
        <x:v>OH</x:v>
      </x:c>
      <x:c r="E5052" s="2" t="str">
        <x:v>Acute Care - Veterans Administration</x:v>
      </x:c>
      <x:c r="F5052" s="2" t="str">
        <x:v>Other / unknown</x:v>
      </x:c>
      <x:c r="G5052" s="2" t="str">
        <x:v>Unknown</x:v>
      </x:c>
      <x:c r="H5052" s="7" t="n">
        <x:v>4</x:v>
      </x:c>
      <x:c r="I5052" s="7" t="n">
        <x:v>4</x:v>
      </x:c>
      <x:c r="J5052" s="7"/>
      <x:c r="K5052" s="8"/>
      <x:c r="L5052" s="8"/>
      <x:c r="M5052" s="9"/>
      <x:c r="N5052" s="10"/>
      <x:c r="O5052" s="9"/>
      <x:c r="P5052" s="9" t="n">
        <x:v>0</x:v>
      </x:c>
      <x:c r="Q5052" s="9" t="n">
        <x:v>0.1818181818</x:v>
      </x:c>
      <x:c r="R5052" s="3" t="b">
        <x:v>0</x:v>
      </x:c>
      <x:c r="S5052" s="3" t="b">
        <x:v>0</x:v>
      </x:c>
      <x:c r="T5052" s="3" t="b">
        <x:v>0</x:v>
      </x:c>
      <x:c r="U5052" s="2" t="str">
        <x:f>IF(T5052=TRUE,"Priority review",IF(R5052=TRUE,"High cost",IF(S5052=TRUE,"Low quality","Benchmark")))</x:f>
        <x:v>Benchmark</x:v>
      </x:c>
    </x:row>
    <x:row r="5053">
      <x:c r="A5053" s="2" t="str">
        <x:v>022010</x:v>
      </x:c>
      <x:c r="B5053" s="2" t="str">
        <x:v>VA BOSTON HEALTHCARE SYSTEM - JAMAICA PLAIN</x:v>
      </x:c>
      <x:c r="C5053" s="2" t="str">
        <x:v>JAMAICA PLAIN</x:v>
      </x:c>
      <x:c r="D5053" s="2" t="str">
        <x:v>MA</x:v>
      </x:c>
      <x:c r="E5053" s="2" t="str">
        <x:v>Acute Care - Veterans Administration</x:v>
      </x:c>
      <x:c r="F5053" s="2" t="str">
        <x:v>Other / unknown</x:v>
      </x:c>
      <x:c r="G5053" s="2" t="str">
        <x:v>Unknown</x:v>
      </x:c>
      <x:c r="H5053" s="7" t="n">
        <x:v>4</x:v>
      </x:c>
      <x:c r="I5053" s="7" t="n">
        <x:v>4</x:v>
      </x:c>
      <x:c r="J5053" s="7"/>
      <x:c r="K5053" s="8"/>
      <x:c r="L5053" s="8"/>
      <x:c r="M5053" s="9"/>
      <x:c r="N5053" s="10"/>
      <x:c r="O5053" s="9"/>
      <x:c r="P5053" s="9" t="n">
        <x:v>0</x:v>
      </x:c>
      <x:c r="Q5053" s="9" t="n">
        <x:v>0.1818181818</x:v>
      </x:c>
      <x:c r="R5053" s="3" t="b">
        <x:v>0</x:v>
      </x:c>
      <x:c r="S5053" s="3" t="b">
        <x:v>0</x:v>
      </x:c>
      <x:c r="T5053" s="3" t="b">
        <x:v>0</x:v>
      </x:c>
      <x:c r="U5053" s="2" t="str">
        <x:f>IF(T5053=TRUE,"Priority review",IF(R5053=TRUE,"High cost",IF(S5053=TRUE,"Low quality","Benchmark")))</x:f>
        <x:v>Benchmark</x:v>
      </x:c>
    </x:row>
    <x:row r="5054">
      <x:c r="A5054" s="2" t="str">
        <x:v>036001</x:v>
      </x:c>
      <x:c r="B5054" s="2" t="str">
        <x:v>LOUIS STOKES CLEVELAND VA MEDICAL CENTER</x:v>
      </x:c>
      <x:c r="C5054" s="2" t="str">
        <x:v>CLEVELAND</x:v>
      </x:c>
      <x:c r="D5054" s="2" t="str">
        <x:v>OH</x:v>
      </x:c>
      <x:c r="E5054" s="2" t="str">
        <x:v>Acute Care - Veterans Administration</x:v>
      </x:c>
      <x:c r="F5054" s="2" t="str">
        <x:v>Other / unknown</x:v>
      </x:c>
      <x:c r="G5054" s="2" t="str">
        <x:v>Unknown</x:v>
      </x:c>
      <x:c r="H5054" s="7" t="n">
        <x:v>4</x:v>
      </x:c>
      <x:c r="I5054" s="7" t="n">
        <x:v>4</x:v>
      </x:c>
      <x:c r="J5054" s="7"/>
      <x:c r="K5054" s="8"/>
      <x:c r="L5054" s="8"/>
      <x:c r="M5054" s="9"/>
      <x:c r="N5054" s="10"/>
      <x:c r="O5054" s="9"/>
      <x:c r="P5054" s="9" t="n">
        <x:v>0</x:v>
      </x:c>
      <x:c r="Q5054" s="9" t="n">
        <x:v>0.1818181818</x:v>
      </x:c>
      <x:c r="R5054" s="3" t="b">
        <x:v>0</x:v>
      </x:c>
      <x:c r="S5054" s="3" t="b">
        <x:v>0</x:v>
      </x:c>
      <x:c r="T5054" s="3" t="b">
        <x:v>0</x:v>
      </x:c>
      <x:c r="U5054" s="2" t="str">
        <x:f>IF(T5054=TRUE,"Priority review",IF(R5054=TRUE,"High cost",IF(S5054=TRUE,"Low quality","Benchmark")))</x:f>
        <x:v>Benchmark</x:v>
      </x:c>
    </x:row>
    <x:row r="5055">
      <x:c r="A5055" s="2" t="str">
        <x:v>034036</x:v>
      </x:c>
      <x:c r="B5055" s="2" t="str">
        <x:v>ASHEVILLE-OTEEN VA MEDICAL CENTER</x:v>
      </x:c>
      <x:c r="C5055" s="2" t="str">
        <x:v>ASHEVILLE</x:v>
      </x:c>
      <x:c r="D5055" s="2" t="str">
        <x:v>NC</x:v>
      </x:c>
      <x:c r="E5055" s="2" t="str">
        <x:v>Acute Care - Veterans Administration</x:v>
      </x:c>
      <x:c r="F5055" s="2" t="str">
        <x:v>Other / unknown</x:v>
      </x:c>
      <x:c r="G5055" s="2" t="str">
        <x:v>Unknown</x:v>
      </x:c>
      <x:c r="H5055" s="7" t="n">
        <x:v>4</x:v>
      </x:c>
      <x:c r="I5055" s="7" t="n">
        <x:v>5</x:v>
      </x:c>
      <x:c r="J5055" s="7"/>
      <x:c r="K5055" s="8"/>
      <x:c r="L5055" s="8"/>
      <x:c r="M5055" s="9"/>
      <x:c r="N5055" s="10"/>
      <x:c r="O5055" s="9"/>
      <x:c r="P5055" s="9" t="n">
        <x:v>0</x:v>
      </x:c>
      <x:c r="Q5055" s="9" t="n">
        <x:v>0.1818181818</x:v>
      </x:c>
      <x:c r="R5055" s="3" t="b">
        <x:v>0</x:v>
      </x:c>
      <x:c r="S5055" s="3" t="b">
        <x:v>0</x:v>
      </x:c>
      <x:c r="T5055" s="3" t="b">
        <x:v>0</x:v>
      </x:c>
      <x:c r="U5055" s="2" t="str">
        <x:f>IF(T5055=TRUE,"Priority review",IF(R5055=TRUE,"High cost",IF(S5055=TRUE,"Low quality","Benchmark")))</x:f>
        <x:v>Benchmark</x:v>
      </x:c>
    </x:row>
    <x:row r="5056">
      <x:c r="A5056" s="2" t="str">
        <x:v>034017</x:v>
      </x:c>
      <x:c r="B5056" s="2" t="str">
        <x:v>W.G. (BILL) HEFNER SALISBURY VA MEDICAL CENTER (SALSBURY)</x:v>
      </x:c>
      <x:c r="C5056" s="2" t="str">
        <x:v>SALISBURY</x:v>
      </x:c>
      <x:c r="D5056" s="2" t="str">
        <x:v>NC</x:v>
      </x:c>
      <x:c r="E5056" s="2" t="str">
        <x:v>Acute Care - Veterans Administration</x:v>
      </x:c>
      <x:c r="F5056" s="2" t="str">
        <x:v>Other / unknown</x:v>
      </x:c>
      <x:c r="G5056" s="2" t="str">
        <x:v>Unknown</x:v>
      </x:c>
      <x:c r="H5056" s="7" t="n">
        <x:v>4</x:v>
      </x:c>
      <x:c r="I5056" s="7" t="n">
        <x:v>4</x:v>
      </x:c>
      <x:c r="J5056" s="7"/>
      <x:c r="K5056" s="8"/>
      <x:c r="L5056" s="8"/>
      <x:c r="M5056" s="9"/>
      <x:c r="N5056" s="10"/>
      <x:c r="O5056" s="9"/>
      <x:c r="P5056" s="9" t="n">
        <x:v>0</x:v>
      </x:c>
      <x:c r="Q5056" s="9" t="n">
        <x:v>0.1818181818</x:v>
      </x:c>
      <x:c r="R5056" s="3" t="b">
        <x:v>0</x:v>
      </x:c>
      <x:c r="S5056" s="3" t="b">
        <x:v>0</x:v>
      </x:c>
      <x:c r="T5056" s="3" t="b">
        <x:v>0</x:v>
      </x:c>
      <x:c r="U5056" s="2" t="str">
        <x:f>IF(T5056=TRUE,"Priority review",IF(R5056=TRUE,"High cost",IF(S5056=TRUE,"Low quality","Benchmark")))</x:f>
        <x:v>Benchmark</x:v>
      </x:c>
    </x:row>
    <x:row r="5057">
      <x:c r="A5057" s="2" t="str">
        <x:v>034012</x:v>
      </x:c>
      <x:c r="B5057" s="2" t="str">
        <x:v>DURHAM VA MEDICAL CENTER</x:v>
      </x:c>
      <x:c r="C5057" s="2" t="str">
        <x:v>DURHAM</x:v>
      </x:c>
      <x:c r="D5057" s="2" t="str">
        <x:v>NC</x:v>
      </x:c>
      <x:c r="E5057" s="2" t="str">
        <x:v>Acute Care - Veterans Administration</x:v>
      </x:c>
      <x:c r="F5057" s="2" t="str">
        <x:v>Other / unknown</x:v>
      </x:c>
      <x:c r="G5057" s="2" t="str">
        <x:v>Unknown</x:v>
      </x:c>
      <x:c r="H5057" s="7" t="n">
        <x:v>4</x:v>
      </x:c>
      <x:c r="I5057" s="7" t="n">
        <x:v>4</x:v>
      </x:c>
      <x:c r="J5057" s="7"/>
      <x:c r="K5057" s="8"/>
      <x:c r="L5057" s="8"/>
      <x:c r="M5057" s="9"/>
      <x:c r="N5057" s="10"/>
      <x:c r="O5057" s="9"/>
      <x:c r="P5057" s="9" t="n">
        <x:v>0</x:v>
      </x:c>
      <x:c r="Q5057" s="9" t="n">
        <x:v>0.1818181818</x:v>
      </x:c>
      <x:c r="R5057" s="3" t="b">
        <x:v>0</x:v>
      </x:c>
      <x:c r="S5057" s="3" t="b">
        <x:v>0</x:v>
      </x:c>
      <x:c r="T5057" s="3" t="b">
        <x:v>0</x:v>
      </x:c>
      <x:c r="U5057" s="2" t="str">
        <x:f>IF(T5057=TRUE,"Priority review",IF(R5057=TRUE,"High cost",IF(S5057=TRUE,"Low quality","Benchmark")))</x:f>
        <x:v>Benchmark</x:v>
      </x:c>
    </x:row>
    <x:row r="5058">
      <x:c r="A5058" s="2" t="str">
        <x:v>005130</x:v>
      </x:c>
      <x:c r="B5058" s="2" t="str">
        <x:v>SAN FRANCISCO VA MEDICAL CENTER</x:v>
      </x:c>
      <x:c r="C5058" s="2" t="str">
        <x:v>SAN FRANCISCO</x:v>
      </x:c>
      <x:c r="D5058" s="2" t="str">
        <x:v>CA</x:v>
      </x:c>
      <x:c r="E5058" s="2" t="str">
        <x:v>Acute Care - Veterans Administration</x:v>
      </x:c>
      <x:c r="F5058" s="2" t="str">
        <x:v>Other / unknown</x:v>
      </x:c>
      <x:c r="G5058" s="2" t="str">
        <x:v>Unknown</x:v>
      </x:c>
      <x:c r="H5058" s="7" t="n">
        <x:v>4</x:v>
      </x:c>
      <x:c r="I5058" s="7" t="n">
        <x:v>4</x:v>
      </x:c>
      <x:c r="J5058" s="7"/>
      <x:c r="K5058" s="8"/>
      <x:c r="L5058" s="8"/>
      <x:c r="M5058" s="9"/>
      <x:c r="N5058" s="10"/>
      <x:c r="O5058" s="9"/>
      <x:c r="P5058" s="9" t="n">
        <x:v>0</x:v>
      </x:c>
      <x:c r="Q5058" s="9" t="n">
        <x:v>0.1818181818</x:v>
      </x:c>
      <x:c r="R5058" s="3" t="b">
        <x:v>0</x:v>
      </x:c>
      <x:c r="S5058" s="3" t="b">
        <x:v>0</x:v>
      </x:c>
      <x:c r="T5058" s="3" t="b">
        <x:v>0</x:v>
      </x:c>
      <x:c r="U5058" s="2" t="str">
        <x:f>IF(T5058=TRUE,"Priority review",IF(R5058=TRUE,"High cost",IF(S5058=TRUE,"Low quality","Benchmark")))</x:f>
        <x:v>Benchmark</x:v>
      </x:c>
    </x:row>
    <x:row r="5059">
      <x:c r="A5059" s="2" t="str">
        <x:v>033020</x:v>
      </x:c>
      <x:c r="B5059" s="2" t="str">
        <x:v>VA NEW YORK HARBOR HEALTHCARE SYSTEM - BROOKLYN</x:v>
      </x:c>
      <x:c r="C5059" s="2" t="str">
        <x:v>BROOKLYN</x:v>
      </x:c>
      <x:c r="D5059" s="2" t="str">
        <x:v>NY</x:v>
      </x:c>
      <x:c r="E5059" s="2" t="str">
        <x:v>Acute Care - Veterans Administration</x:v>
      </x:c>
      <x:c r="F5059" s="2" t="str">
        <x:v>Other / unknown</x:v>
      </x:c>
      <x:c r="G5059" s="2" t="str">
        <x:v>Unknown</x:v>
      </x:c>
      <x:c r="H5059" s="7" t="n">
        <x:v>4</x:v>
      </x:c>
      <x:c r="I5059" s="7"/>
      <x:c r="J5059" s="7"/>
      <x:c r="K5059" s="8"/>
      <x:c r="L5059" s="8"/>
      <x:c r="M5059" s="9"/>
      <x:c r="N5059" s="10"/>
      <x:c r="O5059" s="9"/>
      <x:c r="P5059" s="9" t="n">
        <x:v>0</x:v>
      </x:c>
      <x:c r="Q5059" s="9" t="n">
        <x:v>0.1818181818</x:v>
      </x:c>
      <x:c r="R5059" s="3" t="b">
        <x:v>0</x:v>
      </x:c>
      <x:c r="S5059" s="3" t="b">
        <x:v>0</x:v>
      </x:c>
      <x:c r="T5059" s="3" t="b">
        <x:v>0</x:v>
      </x:c>
      <x:c r="U5059" s="2" t="str">
        <x:f>IF(T5059=TRUE,"Priority review",IF(R5059=TRUE,"High cost",IF(S5059=TRUE,"Low quality","Benchmark")))</x:f>
        <x:v>Benchmark</x:v>
      </x:c>
    </x:row>
    <x:row r="5060">
      <x:c r="A5060" s="2" t="str">
        <x:v>025043</x:v>
      </x:c>
      <x:c r="B5060" s="2" t="str">
        <x:v>G. V. (SONNY) MONTGOMERY VA MEDICAL CENTER (JACKSON)</x:v>
      </x:c>
      <x:c r="C5060" s="2" t="str">
        <x:v>JACKSON</x:v>
      </x:c>
      <x:c r="D5060" s="2" t="str">
        <x:v>MS</x:v>
      </x:c>
      <x:c r="E5060" s="2" t="str">
        <x:v>Acute Care - Veterans Administration</x:v>
      </x:c>
      <x:c r="F5060" s="2" t="str">
        <x:v>Other / unknown</x:v>
      </x:c>
      <x:c r="G5060" s="2" t="str">
        <x:v>Unknown</x:v>
      </x:c>
      <x:c r="H5060" s="7" t="n">
        <x:v>4</x:v>
      </x:c>
      <x:c r="I5060" s="7" t="n">
        <x:v>4</x:v>
      </x:c>
      <x:c r="J5060" s="7"/>
      <x:c r="K5060" s="8"/>
      <x:c r="L5060" s="8"/>
      <x:c r="M5060" s="9"/>
      <x:c r="N5060" s="10"/>
      <x:c r="O5060" s="9"/>
      <x:c r="P5060" s="9" t="n">
        <x:v>0</x:v>
      </x:c>
      <x:c r="Q5060" s="9" t="n">
        <x:v>0.1818181818</x:v>
      </x:c>
      <x:c r="R5060" s="3" t="b">
        <x:v>0</x:v>
      </x:c>
      <x:c r="S5060" s="3" t="b">
        <x:v>0</x:v>
      </x:c>
      <x:c r="T5060" s="3" t="b">
        <x:v>0</x:v>
      </x:c>
      <x:c r="U5060" s="2" t="str">
        <x:f>IF(T5060=TRUE,"Priority review",IF(R5060=TRUE,"High cost",IF(S5060=TRUE,"Low quality","Benchmark")))</x:f>
        <x:v>Benchmark</x:v>
      </x:c>
    </x:row>
    <x:row r="5061">
      <x:c r="A5061" s="2" t="str">
        <x:v>026004</x:v>
      </x:c>
      <x:c r="B5061" s="2" t="str">
        <x:v>KANSAS CITY VA MEDICAL CENTER</x:v>
      </x:c>
      <x:c r="C5061" s="2" t="str">
        <x:v>KANSAS CITY</x:v>
      </x:c>
      <x:c r="D5061" s="2" t="str">
        <x:v>MO</x:v>
      </x:c>
      <x:c r="E5061" s="2" t="str">
        <x:v>Acute Care - Veterans Administration</x:v>
      </x:c>
      <x:c r="F5061" s="2" t="str">
        <x:v>Other / unknown</x:v>
      </x:c>
      <x:c r="G5061" s="2" t="str">
        <x:v>Unknown</x:v>
      </x:c>
      <x:c r="H5061" s="7" t="n">
        <x:v>4</x:v>
      </x:c>
      <x:c r="I5061" s="7" t="n">
        <x:v>3</x:v>
      </x:c>
      <x:c r="J5061" s="7"/>
      <x:c r="K5061" s="8"/>
      <x:c r="L5061" s="8"/>
      <x:c r="M5061" s="9"/>
      <x:c r="N5061" s="10"/>
      <x:c r="O5061" s="9"/>
      <x:c r="P5061" s="9" t="n">
        <x:v>0</x:v>
      </x:c>
      <x:c r="Q5061" s="9" t="n">
        <x:v>0.1818181818</x:v>
      </x:c>
      <x:c r="R5061" s="3" t="b">
        <x:v>0</x:v>
      </x:c>
      <x:c r="S5061" s="3" t="b">
        <x:v>0</x:v>
      </x:c>
      <x:c r="T5061" s="3" t="b">
        <x:v>0</x:v>
      </x:c>
      <x:c r="U5061" s="2" t="str">
        <x:f>IF(T5061=TRUE,"Priority review",IF(R5061=TRUE,"High cost",IF(S5061=TRUE,"Low quality","Benchmark")))</x:f>
        <x:v>Benchmark</x:v>
      </x:c>
    </x:row>
    <x:row r="5062">
      <x:c r="A5062" s="2" t="str">
        <x:v>005030</x:v>
      </x:c>
      <x:c r="B5062" s="2" t="str">
        <x:v>VA N CALIFORNIA HEALTHCARE SYSTEM</x:v>
      </x:c>
      <x:c r="C5062" s="2" t="str">
        <x:v>MATHER</x:v>
      </x:c>
      <x:c r="D5062" s="2" t="str">
        <x:v>CA</x:v>
      </x:c>
      <x:c r="E5062" s="2" t="str">
        <x:v>Acute Care - Veterans Administration</x:v>
      </x:c>
      <x:c r="F5062" s="2" t="str">
        <x:v>Other / unknown</x:v>
      </x:c>
      <x:c r="G5062" s="2" t="str">
        <x:v>Unknown</x:v>
      </x:c>
      <x:c r="H5062" s="7" t="n">
        <x:v>4</x:v>
      </x:c>
      <x:c r="I5062" s="7" t="n">
        <x:v>4</x:v>
      </x:c>
      <x:c r="J5062" s="7"/>
      <x:c r="K5062" s="8"/>
      <x:c r="L5062" s="8"/>
      <x:c r="M5062" s="9"/>
      <x:c r="N5062" s="10"/>
      <x:c r="O5062" s="9"/>
      <x:c r="P5062" s="9" t="n">
        <x:v>0</x:v>
      </x:c>
      <x:c r="Q5062" s="9" t="n">
        <x:v>0.1818181818</x:v>
      </x:c>
      <x:c r="R5062" s="3" t="b">
        <x:v>0</x:v>
      </x:c>
      <x:c r="S5062" s="3" t="b">
        <x:v>0</x:v>
      </x:c>
      <x:c r="T5062" s="3" t="b">
        <x:v>0</x:v>
      </x:c>
      <x:c r="U5062" s="2" t="str">
        <x:f>IF(T5062=TRUE,"Priority review",IF(R5062=TRUE,"High cost",IF(S5062=TRUE,"Low quality","Benchmark")))</x:f>
        <x:v>Benchmark</x:v>
      </x:c>
    </x:row>
    <x:row r="5063">
      <x:c r="A5063" s="2" t="str">
        <x:v>033016</x:v>
      </x:c>
      <x:c r="B5063" s="2" t="str">
        <x:v>BRONX VA MEDICAL CENTER</x:v>
      </x:c>
      <x:c r="C5063" s="2" t="str">
        <x:v>BRONX</x:v>
      </x:c>
      <x:c r="D5063" s="2" t="str">
        <x:v>NY</x:v>
      </x:c>
      <x:c r="E5063" s="2" t="str">
        <x:v>Acute Care - Veterans Administration</x:v>
      </x:c>
      <x:c r="F5063" s="2" t="str">
        <x:v>Other / unknown</x:v>
      </x:c>
      <x:c r="G5063" s="2" t="str">
        <x:v>Unknown</x:v>
      </x:c>
      <x:c r="H5063" s="7" t="n">
        <x:v>4</x:v>
      </x:c>
      <x:c r="I5063" s="7" t="n">
        <x:v>4</x:v>
      </x:c>
      <x:c r="J5063" s="7"/>
      <x:c r="K5063" s="8"/>
      <x:c r="L5063" s="8"/>
      <x:c r="M5063" s="9"/>
      <x:c r="N5063" s="10"/>
      <x:c r="O5063" s="9"/>
      <x:c r="P5063" s="9" t="n">
        <x:v>0</x:v>
      </x:c>
      <x:c r="Q5063" s="9" t="n">
        <x:v>0.1818181818</x:v>
      </x:c>
      <x:c r="R5063" s="3" t="b">
        <x:v>0</x:v>
      </x:c>
      <x:c r="S5063" s="3" t="b">
        <x:v>0</x:v>
      </x:c>
      <x:c r="T5063" s="3" t="b">
        <x:v>0</x:v>
      </x:c>
      <x:c r="U5063" s="2" t="str">
        <x:f>IF(T5063=TRUE,"Priority review",IF(R5063=TRUE,"High cost",IF(S5063=TRUE,"Low quality","Benchmark")))</x:f>
        <x:v>Benchmark</x:v>
      </x:c>
    </x:row>
    <x:row r="5064">
      <x:c r="A5064" s="2" t="str">
        <x:v>049011</x:v>
      </x:c>
      <x:c r="B5064" s="2" t="str">
        <x:v>SALEM VA MEDICAL CENTER</x:v>
      </x:c>
      <x:c r="C5064" s="2" t="str">
        <x:v>SALEM</x:v>
      </x:c>
      <x:c r="D5064" s="2" t="str">
        <x:v>VA</x:v>
      </x:c>
      <x:c r="E5064" s="2" t="str">
        <x:v>Acute Care - Veterans Administration</x:v>
      </x:c>
      <x:c r="F5064" s="2" t="str">
        <x:v>Other / unknown</x:v>
      </x:c>
      <x:c r="G5064" s="2" t="str">
        <x:v>Unknown</x:v>
      </x:c>
      <x:c r="H5064" s="7" t="n">
        <x:v>4</x:v>
      </x:c>
      <x:c r="I5064" s="7" t="n">
        <x:v>5</x:v>
      </x:c>
      <x:c r="J5064" s="7"/>
      <x:c r="K5064" s="8"/>
      <x:c r="L5064" s="8"/>
      <x:c r="M5064" s="9"/>
      <x:c r="N5064" s="10"/>
      <x:c r="O5064" s="9"/>
      <x:c r="P5064" s="9" t="n">
        <x:v>0</x:v>
      </x:c>
      <x:c r="Q5064" s="9" t="n">
        <x:v>0.1818181818</x:v>
      </x:c>
      <x:c r="R5064" s="3" t="b">
        <x:v>0</x:v>
      </x:c>
      <x:c r="S5064" s="3" t="b">
        <x:v>0</x:v>
      </x:c>
      <x:c r="T5064" s="3" t="b">
        <x:v>0</x:v>
      </x:c>
      <x:c r="U5064" s="2" t="str">
        <x:f>IF(T5064=TRUE,"Priority review",IF(R5064=TRUE,"High cost",IF(S5064=TRUE,"Low quality","Benchmark")))</x:f>
        <x:v>Benchmark</x:v>
      </x:c>
    </x:row>
    <x:row r="5065">
      <x:c r="A5065" s="2" t="str">
        <x:v>016004</x:v>
      </x:c>
      <x:c r="B5065" s="2" t="str">
        <x:v>IOWA CITY VA MEDICAL CENTER</x:v>
      </x:c>
      <x:c r="C5065" s="2" t="str">
        <x:v>IOWA CITY</x:v>
      </x:c>
      <x:c r="D5065" s="2" t="str">
        <x:v>IA</x:v>
      </x:c>
      <x:c r="E5065" s="2" t="str">
        <x:v>Acute Care - Veterans Administration</x:v>
      </x:c>
      <x:c r="F5065" s="2" t="str">
        <x:v>Other / unknown</x:v>
      </x:c>
      <x:c r="G5065" s="2" t="str">
        <x:v>Unknown</x:v>
      </x:c>
      <x:c r="H5065" s="7" t="n">
        <x:v>5</x:v>
      </x:c>
      <x:c r="I5065" s="7" t="n">
        <x:v>5</x:v>
      </x:c>
      <x:c r="J5065" s="7"/>
      <x:c r="K5065" s="8"/>
      <x:c r="L5065" s="8"/>
      <x:c r="M5065" s="9"/>
      <x:c r="N5065" s="10"/>
      <x:c r="O5065" s="9"/>
      <x:c r="P5065" s="9" t="n">
        <x:v>0</x:v>
      </x:c>
      <x:c r="Q5065" s="9" t="n">
        <x:v>0.479338843</x:v>
      </x:c>
      <x:c r="R5065" s="3" t="b">
        <x:v>0</x:v>
      </x:c>
      <x:c r="S5065" s="3" t="b">
        <x:v>0</x:v>
      </x:c>
      <x:c r="T5065" s="3" t="b">
        <x:v>0</x:v>
      </x:c>
      <x:c r="U5065" s="2" t="str">
        <x:f>IF(T5065=TRUE,"Priority review",IF(R5065=TRUE,"High cost",IF(S5065=TRUE,"Low quality","Benchmark")))</x:f>
        <x:v>Benchmark</x:v>
      </x:c>
    </x:row>
    <x:row r="5066">
      <x:c r="A5066" s="2" t="str">
        <x:v>047001</x:v>
      </x:c>
      <x:c r="B5066" s="2" t="str">
        <x:v>WHITE RIVER JCT VA MEDICAL CENTER</x:v>
      </x:c>
      <x:c r="C5066" s="2" t="str">
        <x:v>WHITE RIVER JUNCTION</x:v>
      </x:c>
      <x:c r="D5066" s="2" t="str">
        <x:v>VT</x:v>
      </x:c>
      <x:c r="E5066" s="2" t="str">
        <x:v>Acute Care - Veterans Administration</x:v>
      </x:c>
      <x:c r="F5066" s="2" t="str">
        <x:v>Other / unknown</x:v>
      </x:c>
      <x:c r="G5066" s="2" t="str">
        <x:v>Unknown</x:v>
      </x:c>
      <x:c r="H5066" s="7" t="n">
        <x:v>5</x:v>
      </x:c>
      <x:c r="I5066" s="7" t="n">
        <x:v>5</x:v>
      </x:c>
      <x:c r="J5066" s="7"/>
      <x:c r="K5066" s="8"/>
      <x:c r="L5066" s="8"/>
      <x:c r="M5066" s="9"/>
      <x:c r="N5066" s="10"/>
      <x:c r="O5066" s="9"/>
      <x:c r="P5066" s="9" t="n">
        <x:v>0</x:v>
      </x:c>
      <x:c r="Q5066" s="9" t="n">
        <x:v>0.479338843</x:v>
      </x:c>
      <x:c r="R5066" s="3" t="b">
        <x:v>0</x:v>
      </x:c>
      <x:c r="S5066" s="3" t="b">
        <x:v>0</x:v>
      </x:c>
      <x:c r="T5066" s="3" t="b">
        <x:v>0</x:v>
      </x:c>
      <x:c r="U5066" s="2" t="str">
        <x:f>IF(T5066=TRUE,"Priority review",IF(R5066=TRUE,"High cost",IF(S5066=TRUE,"Low quality","Benchmark")))</x:f>
        <x:v>Benchmark</x:v>
      </x:c>
    </x:row>
    <x:row r="5067">
      <x:c r="A5067" s="2" t="str">
        <x:v>029002</x:v>
      </x:c>
      <x:c r="B5067" s="2" t="str">
        <x:v>VA SIERRA NEVADA HEALTHCARE SYSTEM</x:v>
      </x:c>
      <x:c r="C5067" s="2" t="str">
        <x:v>RENO</x:v>
      </x:c>
      <x:c r="D5067" s="2" t="str">
        <x:v>NV</x:v>
      </x:c>
      <x:c r="E5067" s="2" t="str">
        <x:v>Acute Care - Veterans Administration</x:v>
      </x:c>
      <x:c r="F5067" s="2" t="str">
        <x:v>Other / unknown</x:v>
      </x:c>
      <x:c r="G5067" s="2" t="str">
        <x:v>Unknown</x:v>
      </x:c>
      <x:c r="H5067" s="7" t="n">
        <x:v>5</x:v>
      </x:c>
      <x:c r="I5067" s="7" t="n">
        <x:v>4</x:v>
      </x:c>
      <x:c r="J5067" s="7"/>
      <x:c r="K5067" s="8"/>
      <x:c r="L5067" s="8"/>
      <x:c r="M5067" s="9"/>
      <x:c r="N5067" s="10"/>
      <x:c r="O5067" s="9"/>
      <x:c r="P5067" s="9" t="n">
        <x:v>0</x:v>
      </x:c>
      <x:c r="Q5067" s="9" t="n">
        <x:v>0.479338843</x:v>
      </x:c>
      <x:c r="R5067" s="3" t="b">
        <x:v>0</x:v>
      </x:c>
      <x:c r="S5067" s="3" t="b">
        <x:v>0</x:v>
      </x:c>
      <x:c r="T5067" s="3" t="b">
        <x:v>0</x:v>
      </x:c>
      <x:c r="U5067" s="2" t="str">
        <x:f>IF(T5067=TRUE,"Priority review",IF(R5067=TRUE,"High cost",IF(S5067=TRUE,"Low quality","Benchmark")))</x:f>
        <x:v>Benchmark</x:v>
      </x:c>
    </x:row>
    <x:row r="5068">
      <x:c r="A5068" s="2" t="str">
        <x:v>029004</x:v>
      </x:c>
      <x:c r="B5068" s="2" t="str">
        <x:v>VA SOUTHERN NEVADA HEALTHCARE SYSTEM</x:v>
      </x:c>
      <x:c r="C5068" s="2" t="str">
        <x:v>N. LAS VEGAS</x:v>
      </x:c>
      <x:c r="D5068" s="2" t="str">
        <x:v>NV</x:v>
      </x:c>
      <x:c r="E5068" s="2" t="str">
        <x:v>Acute Care - Veterans Administration</x:v>
      </x:c>
      <x:c r="F5068" s="2" t="str">
        <x:v>Other / unknown</x:v>
      </x:c>
      <x:c r="G5068" s="2" t="str">
        <x:v>Unknown</x:v>
      </x:c>
      <x:c r="H5068" s="7" t="n">
        <x:v>5</x:v>
      </x:c>
      <x:c r="I5068" s="7" t="n">
        <x:v>4</x:v>
      </x:c>
      <x:c r="J5068" s="7"/>
      <x:c r="K5068" s="8"/>
      <x:c r="L5068" s="8"/>
      <x:c r="M5068" s="9"/>
      <x:c r="N5068" s="10"/>
      <x:c r="O5068" s="9"/>
      <x:c r="P5068" s="9" t="n">
        <x:v>0</x:v>
      </x:c>
      <x:c r="Q5068" s="9" t="n">
        <x:v>0.479338843</x:v>
      </x:c>
      <x:c r="R5068" s="3" t="b">
        <x:v>0</x:v>
      </x:c>
      <x:c r="S5068" s="3" t="b">
        <x:v>0</x:v>
      </x:c>
      <x:c r="T5068" s="3" t="b">
        <x:v>0</x:v>
      </x:c>
      <x:c r="U5068" s="2" t="str">
        <x:f>IF(T5068=TRUE,"Priority review",IF(R5068=TRUE,"High cost",IF(S5068=TRUE,"Low quality","Benchmark")))</x:f>
        <x:v>Benchmark</x:v>
      </x:c>
    </x:row>
    <x:row r="5069">
      <x:c r="A5069" s="2" t="str">
        <x:v>005025</x:v>
      </x:c>
      <x:c r="B5069" s="2" t="str">
        <x:v>FRESNO VA MEDICAL CENTER (VA CENTRAL CALIFORNIA HEALTHCARE SYSTEM)</x:v>
      </x:c>
      <x:c r="C5069" s="2" t="str">
        <x:v>FRESNO</x:v>
      </x:c>
      <x:c r="D5069" s="2" t="str">
        <x:v>CA</x:v>
      </x:c>
      <x:c r="E5069" s="2" t="str">
        <x:v>Acute Care - Veterans Administration</x:v>
      </x:c>
      <x:c r="F5069" s="2" t="str">
        <x:v>Other / unknown</x:v>
      </x:c>
      <x:c r="G5069" s="2" t="str">
        <x:v>Unknown</x:v>
      </x:c>
      <x:c r="H5069" s="7" t="n">
        <x:v>5</x:v>
      </x:c>
      <x:c r="I5069" s="7" t="n">
        <x:v>3</x:v>
      </x:c>
      <x:c r="J5069" s="7"/>
      <x:c r="K5069" s="8"/>
      <x:c r="L5069" s="8"/>
      <x:c r="M5069" s="9"/>
      <x:c r="N5069" s="10"/>
      <x:c r="O5069" s="9"/>
      <x:c r="P5069" s="9" t="n">
        <x:v>0</x:v>
      </x:c>
      <x:c r="Q5069" s="9" t="n">
        <x:v>0.479338843</x:v>
      </x:c>
      <x:c r="R5069" s="3" t="b">
        <x:v>0</x:v>
      </x:c>
      <x:c r="S5069" s="3" t="b">
        <x:v>0</x:v>
      </x:c>
      <x:c r="T5069" s="3" t="b">
        <x:v>0</x:v>
      </x:c>
      <x:c r="U5069" s="2" t="str">
        <x:f>IF(T5069=TRUE,"Priority review",IF(R5069=TRUE,"High cost",IF(S5069=TRUE,"Low quality","Benchmark")))</x:f>
        <x:v>Benchmark</x:v>
      </x:c>
    </x:row>
    <x:row r="5070">
      <x:c r="A5070" s="2" t="str">
        <x:v>004009</x:v>
      </x:c>
      <x:c r="B5070" s="2" t="str">
        <x:v>FAYETTEVILLE AR VA MEDICAL CENTER</x:v>
      </x:c>
      <x:c r="C5070" s="2" t="str">
        <x:v>FAYETTEVILLE</x:v>
      </x:c>
      <x:c r="D5070" s="2" t="str">
        <x:v>AR</x:v>
      </x:c>
      <x:c r="E5070" s="2" t="str">
        <x:v>Acute Care - Veterans Administration</x:v>
      </x:c>
      <x:c r="F5070" s="2" t="str">
        <x:v>Other / unknown</x:v>
      </x:c>
      <x:c r="G5070" s="2" t="str">
        <x:v>Unknown</x:v>
      </x:c>
      <x:c r="H5070" s="7" t="n">
        <x:v>5</x:v>
      </x:c>
      <x:c r="I5070" s="7" t="n">
        <x:v>5</x:v>
      </x:c>
      <x:c r="J5070" s="7"/>
      <x:c r="K5070" s="8"/>
      <x:c r="L5070" s="8"/>
      <x:c r="M5070" s="9"/>
      <x:c r="N5070" s="10"/>
      <x:c r="O5070" s="9"/>
      <x:c r="P5070" s="9" t="n">
        <x:v>0</x:v>
      </x:c>
      <x:c r="Q5070" s="9" t="n">
        <x:v>0.479338843</x:v>
      </x:c>
      <x:c r="R5070" s="3" t="b">
        <x:v>0</x:v>
      </x:c>
      <x:c r="S5070" s="3" t="b">
        <x:v>0</x:v>
      </x:c>
      <x:c r="T5070" s="3" t="b">
        <x:v>0</x:v>
      </x:c>
      <x:c r="U5070" s="2" t="str">
        <x:f>IF(T5070=TRUE,"Priority review",IF(R5070=TRUE,"High cost",IF(S5070=TRUE,"Low quality","Benchmark")))</x:f>
        <x:v>Benchmark</x:v>
      </x:c>
    </x:row>
    <x:row r="5071">
      <x:c r="A5071" s="2" t="str">
        <x:v>043002</x:v>
      </x:c>
      <x:c r="B5071" s="2" t="str">
        <x:v>VA BLACK HILLS HEALTHCARE SYSTEM</x:v>
      </x:c>
      <x:c r="C5071" s="2" t="str">
        <x:v>FORT MEADE</x:v>
      </x:c>
      <x:c r="D5071" s="2" t="str">
        <x:v>SD</x:v>
      </x:c>
      <x:c r="E5071" s="2" t="str">
        <x:v>Acute Care - Veterans Administration</x:v>
      </x:c>
      <x:c r="F5071" s="2" t="str">
        <x:v>Other / unknown</x:v>
      </x:c>
      <x:c r="G5071" s="2" t="str">
        <x:v>Unknown</x:v>
      </x:c>
      <x:c r="H5071" s="7" t="n">
        <x:v>5</x:v>
      </x:c>
      <x:c r="I5071" s="7" t="n">
        <x:v>5</x:v>
      </x:c>
      <x:c r="J5071" s="7"/>
      <x:c r="K5071" s="8"/>
      <x:c r="L5071" s="8"/>
      <x:c r="M5071" s="9"/>
      <x:c r="N5071" s="10"/>
      <x:c r="O5071" s="9"/>
      <x:c r="P5071" s="9" t="n">
        <x:v>0</x:v>
      </x:c>
      <x:c r="Q5071" s="9" t="n">
        <x:v>0.479338843</x:v>
      </x:c>
      <x:c r="R5071" s="3" t="b">
        <x:v>0</x:v>
      </x:c>
      <x:c r="S5071" s="3" t="b">
        <x:v>0</x:v>
      </x:c>
      <x:c r="T5071" s="3" t="b">
        <x:v>0</x:v>
      </x:c>
      <x:c r="U5071" s="2" t="str">
        <x:f>IF(T5071=TRUE,"Priority review",IF(R5071=TRUE,"High cost",IF(S5071=TRUE,"Low quality","Benchmark")))</x:f>
        <x:v>Benchmark</x:v>
      </x:c>
    </x:row>
    <x:row r="5072">
      <x:c r="A5072" s="2" t="str">
        <x:v>033012</x:v>
      </x:c>
      <x:c r="B5072" s="2" t="str">
        <x:v>UPSTATE NEW YORK VA HEALTHCARE SYSTEM (WESTERN NY VA HEALTHCARE SYSTEM)</x:v>
      </x:c>
      <x:c r="C5072" s="2" t="str">
        <x:v>BUFFALO</x:v>
      </x:c>
      <x:c r="D5072" s="2" t="str">
        <x:v>NY</x:v>
      </x:c>
      <x:c r="E5072" s="2" t="str">
        <x:v>Acute Care - Veterans Administration</x:v>
      </x:c>
      <x:c r="F5072" s="2" t="str">
        <x:v>Other / unknown</x:v>
      </x:c>
      <x:c r="G5072" s="2" t="str">
        <x:v>Unknown</x:v>
      </x:c>
      <x:c r="H5072" s="7" t="n">
        <x:v>5</x:v>
      </x:c>
      <x:c r="I5072" s="7" t="n">
        <x:v>3</x:v>
      </x:c>
      <x:c r="J5072" s="7"/>
      <x:c r="K5072" s="8"/>
      <x:c r="L5072" s="8"/>
      <x:c r="M5072" s="9"/>
      <x:c r="N5072" s="10"/>
      <x:c r="O5072" s="9"/>
      <x:c r="P5072" s="9" t="n">
        <x:v>0</x:v>
      </x:c>
      <x:c r="Q5072" s="9" t="n">
        <x:v>0.479338843</x:v>
      </x:c>
      <x:c r="R5072" s="3" t="b">
        <x:v>0</x:v>
      </x:c>
      <x:c r="S5072" s="3" t="b">
        <x:v>0</x:v>
      </x:c>
      <x:c r="T5072" s="3" t="b">
        <x:v>0</x:v>
      </x:c>
      <x:c r="U5072" s="2" t="str">
        <x:f>IF(T5072=TRUE,"Priority review",IF(R5072=TRUE,"High cost",IF(S5072=TRUE,"Low quality","Benchmark")))</x:f>
        <x:v>Benchmark</x:v>
      </x:c>
    </x:row>
    <x:row r="5073">
      <x:c r="A5073" s="2" t="str">
        <x:v>033015</x:v>
      </x:c>
      <x:c r="B5073" s="2" t="str">
        <x:v>VA HUDSON VALLEY HEALTHCARE SYSTEM</x:v>
      </x:c>
      <x:c r="C5073" s="2" t="str">
        <x:v>MONTROSE</x:v>
      </x:c>
      <x:c r="D5073" s="2" t="str">
        <x:v>NY</x:v>
      </x:c>
      <x:c r="E5073" s="2" t="str">
        <x:v>Acute Care - Veterans Administration</x:v>
      </x:c>
      <x:c r="F5073" s="2" t="str">
        <x:v>Other / unknown</x:v>
      </x:c>
      <x:c r="G5073" s="2" t="str">
        <x:v>Unknown</x:v>
      </x:c>
      <x:c r="H5073" s="7" t="n">
        <x:v>5</x:v>
      </x:c>
      <x:c r="I5073" s="7"/>
      <x:c r="J5073" s="7"/>
      <x:c r="K5073" s="8"/>
      <x:c r="L5073" s="8"/>
      <x:c r="M5073" s="9"/>
      <x:c r="N5073" s="10"/>
      <x:c r="O5073" s="9"/>
      <x:c r="P5073" s="9" t="n">
        <x:v>0</x:v>
      </x:c>
      <x:c r="Q5073" s="9" t="n">
        <x:v>0.479338843</x:v>
      </x:c>
      <x:c r="R5073" s="3" t="b">
        <x:v>0</x:v>
      </x:c>
      <x:c r="S5073" s="3" t="b">
        <x:v>0</x:v>
      </x:c>
      <x:c r="T5073" s="3" t="b">
        <x:v>0</x:v>
      </x:c>
      <x:c r="U5073" s="2" t="str">
        <x:f>IF(T5073=TRUE,"Priority review",IF(R5073=TRUE,"High cost",IF(S5073=TRUE,"Low quality","Benchmark")))</x:f>
        <x:v>Benchmark</x:v>
      </x:c>
    </x:row>
    <x:row r="5074">
      <x:c r="A5074" s="2" t="str">
        <x:v>005114</x:v>
      </x:c>
      <x:c r="B5074" s="2" t="str">
        <x:v>VA SAN DIEGO HEALTHCARE SYSTEM</x:v>
      </x:c>
      <x:c r="C5074" s="2" t="str">
        <x:v>SAN DIEGO</x:v>
      </x:c>
      <x:c r="D5074" s="2" t="str">
        <x:v>CA</x:v>
      </x:c>
      <x:c r="E5074" s="2" t="str">
        <x:v>Acute Care - Veterans Administration</x:v>
      </x:c>
      <x:c r="F5074" s="2" t="str">
        <x:v>Other / unknown</x:v>
      </x:c>
      <x:c r="G5074" s="2" t="str">
        <x:v>Unknown</x:v>
      </x:c>
      <x:c r="H5074" s="7" t="n">
        <x:v>5</x:v>
      </x:c>
      <x:c r="I5074" s="7" t="n">
        <x:v>4</x:v>
      </x:c>
      <x:c r="J5074" s="7"/>
      <x:c r="K5074" s="8"/>
      <x:c r="L5074" s="8"/>
      <x:c r="M5074" s="9"/>
      <x:c r="N5074" s="10"/>
      <x:c r="O5074" s="9"/>
      <x:c r="P5074" s="9" t="n">
        <x:v>0</x:v>
      </x:c>
      <x:c r="Q5074" s="9" t="n">
        <x:v>0.479338843</x:v>
      </x:c>
      <x:c r="R5074" s="3" t="b">
        <x:v>0</x:v>
      </x:c>
      <x:c r="S5074" s="3" t="b">
        <x:v>0</x:v>
      </x:c>
      <x:c r="T5074" s="3" t="b">
        <x:v>0</x:v>
      </x:c>
      <x:c r="U5074" s="2" t="str">
        <x:f>IF(T5074=TRUE,"Priority review",IF(R5074=TRUE,"High cost",IF(S5074=TRUE,"Low quality","Benchmark")))</x:f>
        <x:v>Benchmark</x:v>
      </x:c>
    </x:row>
    <x:row r="5075">
      <x:c r="A5075" s="2" t="str">
        <x:v>026009</x:v>
      </x:c>
      <x:c r="B5075" s="2" t="str">
        <x:v>ST LOUIS-JOHN COCHRAN VA MEDICAL CENTER</x:v>
      </x:c>
      <x:c r="C5075" s="2" t="str">
        <x:v>ST. LOUIS</x:v>
      </x:c>
      <x:c r="D5075" s="2" t="str">
        <x:v>MO</x:v>
      </x:c>
      <x:c r="E5075" s="2" t="str">
        <x:v>Acute Care - Veterans Administration</x:v>
      </x:c>
      <x:c r="F5075" s="2" t="str">
        <x:v>Other / unknown</x:v>
      </x:c>
      <x:c r="G5075" s="2" t="str">
        <x:v>Unknown</x:v>
      </x:c>
      <x:c r="H5075" s="7" t="n">
        <x:v>5</x:v>
      </x:c>
      <x:c r="I5075" s="7" t="n">
        <x:v>3</x:v>
      </x:c>
      <x:c r="J5075" s="7"/>
      <x:c r="K5075" s="8"/>
      <x:c r="L5075" s="8"/>
      <x:c r="M5075" s="9"/>
      <x:c r="N5075" s="10"/>
      <x:c r="O5075" s="9"/>
      <x:c r="P5075" s="9" t="n">
        <x:v>0</x:v>
      </x:c>
      <x:c r="Q5075" s="9" t="n">
        <x:v>0.479338843</x:v>
      </x:c>
      <x:c r="R5075" s="3" t="b">
        <x:v>0</x:v>
      </x:c>
      <x:c r="S5075" s="3" t="b">
        <x:v>0</x:v>
      </x:c>
      <x:c r="T5075" s="3" t="b">
        <x:v>0</x:v>
      </x:c>
      <x:c r="U5075" s="2" t="str">
        <x:f>IF(T5075=TRUE,"Priority review",IF(R5075=TRUE,"High cost",IF(S5075=TRUE,"Low quality","Benchmark")))</x:f>
        <x:v>Benchmark</x:v>
      </x:c>
    </x:row>
    <x:row r="5076">
      <x:c r="A5076" s="2" t="str">
        <x:v>033019</x:v>
      </x:c>
      <x:c r="B5076" s="2" t="str">
        <x:v>NORTHPORT VA MEDICAL CENTER</x:v>
      </x:c>
      <x:c r="C5076" s="2" t="str">
        <x:v>NORTHPORT</x:v>
      </x:c>
      <x:c r="D5076" s="2" t="str">
        <x:v>NY</x:v>
      </x:c>
      <x:c r="E5076" s="2" t="str">
        <x:v>Acute Care - Veterans Administration</x:v>
      </x:c>
      <x:c r="F5076" s="2" t="str">
        <x:v>Other / unknown</x:v>
      </x:c>
      <x:c r="G5076" s="2" t="str">
        <x:v>Unknown</x:v>
      </x:c>
      <x:c r="H5076" s="7" t="n">
        <x:v>5</x:v>
      </x:c>
      <x:c r="I5076" s="7" t="n">
        <x:v>4</x:v>
      </x:c>
      <x:c r="J5076" s="7"/>
      <x:c r="K5076" s="8"/>
      <x:c r="L5076" s="8"/>
      <x:c r="M5076" s="9"/>
      <x:c r="N5076" s="10"/>
      <x:c r="O5076" s="9"/>
      <x:c r="P5076" s="9" t="n">
        <x:v>0</x:v>
      </x:c>
      <x:c r="Q5076" s="9" t="n">
        <x:v>0.479338843</x:v>
      </x:c>
      <x:c r="R5076" s="3" t="b">
        <x:v>0</x:v>
      </x:c>
      <x:c r="S5076" s="3" t="b">
        <x:v>0</x:v>
      </x:c>
      <x:c r="T5076" s="3" t="b">
        <x:v>0</x:v>
      </x:c>
      <x:c r="U5076" s="2" t="str">
        <x:f>IF(T5076=TRUE,"Priority review",IF(R5076=TRUE,"High cost",IF(S5076=TRUE,"Low quality","Benchmark")))</x:f>
        <x:v>Benchmark</x:v>
      </x:c>
    </x:row>
    <x:row r="5077">
      <x:c r="A5077" s="2" t="str">
        <x:v>005031</x:v>
      </x:c>
      <x:c r="B5077" s="2" t="str">
        <x:v>PALO ALTO VA MEDICAL CENTER</x:v>
      </x:c>
      <x:c r="C5077" s="2" t="str">
        <x:v>PALO ALTO</x:v>
      </x:c>
      <x:c r="D5077" s="2" t="str">
        <x:v>CA</x:v>
      </x:c>
      <x:c r="E5077" s="2" t="str">
        <x:v>Acute Care - Veterans Administration</x:v>
      </x:c>
      <x:c r="F5077" s="2" t="str">
        <x:v>Other / unknown</x:v>
      </x:c>
      <x:c r="G5077" s="2" t="str">
        <x:v>Unknown</x:v>
      </x:c>
      <x:c r="H5077" s="7" t="n">
        <x:v>5</x:v>
      </x:c>
      <x:c r="I5077" s="7" t="n">
        <x:v>4</x:v>
      </x:c>
      <x:c r="J5077" s="7"/>
      <x:c r="K5077" s="8"/>
      <x:c r="L5077" s="8"/>
      <x:c r="M5077" s="9"/>
      <x:c r="N5077" s="10"/>
      <x:c r="O5077" s="9"/>
      <x:c r="P5077" s="9" t="n">
        <x:v>0</x:v>
      </x:c>
      <x:c r="Q5077" s="9" t="n">
        <x:v>0.479338843</x:v>
      </x:c>
      <x:c r="R5077" s="3" t="b">
        <x:v>0</x:v>
      </x:c>
      <x:c r="S5077" s="3" t="b">
        <x:v>0</x:v>
      </x:c>
      <x:c r="T5077" s="3" t="b">
        <x:v>0</x:v>
      </x:c>
      <x:c r="U5077" s="2" t="str">
        <x:f>IF(T5077=TRUE,"Priority review",IF(R5077=TRUE,"High cost",IF(S5077=TRUE,"Low quality","Benchmark")))</x:f>
        <x:v>Benchmark</x:v>
      </x:c>
    </x:row>
    <x:row r="5078">
      <x:c r="A5078" s="2" t="str">
        <x:v>025042</x:v>
      </x:c>
      <x:c r="B5078" s="2" t="str">
        <x:v>VA GULF COAST HEALTHCARE SYSTEM</x:v>
      </x:c>
      <x:c r="C5078" s="2" t="str">
        <x:v>BILOXI</x:v>
      </x:c>
      <x:c r="D5078" s="2" t="str">
        <x:v>MS</x:v>
      </x:c>
      <x:c r="E5078" s="2" t="str">
        <x:v>Acute Care - Veterans Administration</x:v>
      </x:c>
      <x:c r="F5078" s="2" t="str">
        <x:v>Other / unknown</x:v>
      </x:c>
      <x:c r="G5078" s="2" t="str">
        <x:v>Unknown</x:v>
      </x:c>
      <x:c r="H5078" s="7" t="n">
        <x:v>5</x:v>
      </x:c>
      <x:c r="I5078" s="7" t="n">
        <x:v>4</x:v>
      </x:c>
      <x:c r="J5078" s="7"/>
      <x:c r="K5078" s="8"/>
      <x:c r="L5078" s="8"/>
      <x:c r="M5078" s="9"/>
      <x:c r="N5078" s="10"/>
      <x:c r="O5078" s="9"/>
      <x:c r="P5078" s="9" t="n">
        <x:v>0</x:v>
      </x:c>
      <x:c r="Q5078" s="9" t="n">
        <x:v>0.479338843</x:v>
      </x:c>
      <x:c r="R5078" s="3" t="b">
        <x:v>0</x:v>
      </x:c>
      <x:c r="S5078" s="3" t="b">
        <x:v>0</x:v>
      </x:c>
      <x:c r="T5078" s="3" t="b">
        <x:v>0</x:v>
      </x:c>
      <x:c r="U5078" s="2" t="str">
        <x:f>IF(T5078=TRUE,"Priority review",IF(R5078=TRUE,"High cost",IF(S5078=TRUE,"Low quality","Benchmark")))</x:f>
        <x:v>Benchmark</x:v>
      </x:c>
    </x:row>
    <x:row r="5079">
      <x:c r="A5079" s="2" t="str">
        <x:v>024003</x:v>
      </x:c>
      <x:c r="B5079" s="2" t="str">
        <x:v>MINNEAPOLIS VA MEDICAL CENTER</x:v>
      </x:c>
      <x:c r="C5079" s="2" t="str">
        <x:v>MINNEAPOLIS</x:v>
      </x:c>
      <x:c r="D5079" s="2" t="str">
        <x:v>MN</x:v>
      </x:c>
      <x:c r="E5079" s="2" t="str">
        <x:v>Acute Care - Veterans Administration</x:v>
      </x:c>
      <x:c r="F5079" s="2" t="str">
        <x:v>Other / unknown</x:v>
      </x:c>
      <x:c r="G5079" s="2" t="str">
        <x:v>Unknown</x:v>
      </x:c>
      <x:c r="H5079" s="7" t="n">
        <x:v>5</x:v>
      </x:c>
      <x:c r="I5079" s="7" t="n">
        <x:v>4</x:v>
      </x:c>
      <x:c r="J5079" s="7"/>
      <x:c r="K5079" s="8"/>
      <x:c r="L5079" s="8"/>
      <x:c r="M5079" s="9"/>
      <x:c r="N5079" s="10"/>
      <x:c r="O5079" s="9"/>
      <x:c r="P5079" s="9" t="n">
        <x:v>0</x:v>
      </x:c>
      <x:c r="Q5079" s="9" t="n">
        <x:v>0.479338843</x:v>
      </x:c>
      <x:c r="R5079" s="3" t="b">
        <x:v>0</x:v>
      </x:c>
      <x:c r="S5079" s="3" t="b">
        <x:v>0</x:v>
      </x:c>
      <x:c r="T5079" s="3" t="b">
        <x:v>0</x:v>
      </x:c>
      <x:c r="U5079" s="2" t="str">
        <x:f>IF(T5079=TRUE,"Priority review",IF(R5079=TRUE,"High cost",IF(S5079=TRUE,"Low quality","Benchmark")))</x:f>
        <x:v>Benchmark</x:v>
      </x:c>
    </x:row>
    <x:row r="5080">
      <x:c r="A5080" s="2" t="str">
        <x:v>023037</x:v>
      </x:c>
      <x:c r="B5080" s="2" t="str">
        <x:v>DETROIT (JOHN D. DINGELL) VA MEDICAL CENTER</x:v>
      </x:c>
      <x:c r="C5080" s="2" t="str">
        <x:v>DETROIT</x:v>
      </x:c>
      <x:c r="D5080" s="2" t="str">
        <x:v>MI</x:v>
      </x:c>
      <x:c r="E5080" s="2" t="str">
        <x:v>Acute Care - Veterans Administration</x:v>
      </x:c>
      <x:c r="F5080" s="2" t="str">
        <x:v>Other / unknown</x:v>
      </x:c>
      <x:c r="G5080" s="2" t="str">
        <x:v>Unknown</x:v>
      </x:c>
      <x:c r="H5080" s="7" t="n">
        <x:v>5</x:v>
      </x:c>
      <x:c r="I5080" s="7" t="n">
        <x:v>4</x:v>
      </x:c>
      <x:c r="J5080" s="7"/>
      <x:c r="K5080" s="8"/>
      <x:c r="L5080" s="8"/>
      <x:c r="M5080" s="9"/>
      <x:c r="N5080" s="10"/>
      <x:c r="O5080" s="9"/>
      <x:c r="P5080" s="9" t="n">
        <x:v>0</x:v>
      </x:c>
      <x:c r="Q5080" s="9" t="n">
        <x:v>0.479338843</x:v>
      </x:c>
      <x:c r="R5080" s="3" t="b">
        <x:v>0</x:v>
      </x:c>
      <x:c r="S5080" s="3" t="b">
        <x:v>0</x:v>
      </x:c>
      <x:c r="T5080" s="3" t="b">
        <x:v>0</x:v>
      </x:c>
      <x:c r="U5080" s="2" t="str">
        <x:f>IF(T5080=TRUE,"Priority review",IF(R5080=TRUE,"High cost",IF(S5080=TRUE,"Low quality","Benchmark")))</x:f>
        <x:v>Benchmark</x:v>
      </x:c>
    </x:row>
    <x:row r="5081">
      <x:c r="A5081" s="2" t="str">
        <x:v>003012</x:v>
      </x:c>
      <x:c r="B5081" s="2" t="str">
        <x:v>PHOENIX VA MEDICAL CENTER</x:v>
      </x:c>
      <x:c r="C5081" s="2" t="str">
        <x:v>PHOENIX</x:v>
      </x:c>
      <x:c r="D5081" s="2" t="str">
        <x:v>AZ</x:v>
      </x:c>
      <x:c r="E5081" s="2" t="str">
        <x:v>Acute Care - Veterans Administration</x:v>
      </x:c>
      <x:c r="F5081" s="2" t="str">
        <x:v>Other / unknown</x:v>
      </x:c>
      <x:c r="G5081" s="2" t="str">
        <x:v>Unknown</x:v>
      </x:c>
      <x:c r="H5081" s="7" t="n">
        <x:v>5</x:v>
      </x:c>
      <x:c r="I5081" s="7" t="n">
        <x:v>3</x:v>
      </x:c>
      <x:c r="J5081" s="7"/>
      <x:c r="K5081" s="8"/>
      <x:c r="L5081" s="8"/>
      <x:c r="M5081" s="9"/>
      <x:c r="N5081" s="10"/>
      <x:c r="O5081" s="9"/>
      <x:c r="P5081" s="9" t="n">
        <x:v>0</x:v>
      </x:c>
      <x:c r="Q5081" s="9" t="n">
        <x:v>0.479338843</x:v>
      </x:c>
      <x:c r="R5081" s="3" t="b">
        <x:v>0</x:v>
      </x:c>
      <x:c r="S5081" s="3" t="b">
        <x:v>0</x:v>
      </x:c>
      <x:c r="T5081" s="3" t="b">
        <x:v>0</x:v>
      </x:c>
      <x:c r="U5081" s="2" t="str">
        <x:f>IF(T5081=TRUE,"Priority review",IF(R5081=TRUE,"High cost",IF(S5081=TRUE,"Low quality","Benchmark")))</x:f>
        <x:v>Benchmark</x:v>
      </x:c>
    </x:row>
    <x:row r="5082">
      <x:c r="A5082" s="2" t="str">
        <x:v>035002</x:v>
      </x:c>
      <x:c r="B5082" s="2" t="str">
        <x:v>FARGO VA MEDICAL CENTER</x:v>
      </x:c>
      <x:c r="C5082" s="2" t="str">
        <x:v>FARGO</x:v>
      </x:c>
      <x:c r="D5082" s="2" t="str">
        <x:v>ND</x:v>
      </x:c>
      <x:c r="E5082" s="2" t="str">
        <x:v>Acute Care - Veterans Administration</x:v>
      </x:c>
      <x:c r="F5082" s="2" t="str">
        <x:v>Other / unknown</x:v>
      </x:c>
      <x:c r="G5082" s="2" t="str">
        <x:v>Unknown</x:v>
      </x:c>
      <x:c r="H5082" s="7" t="n">
        <x:v>5</x:v>
      </x:c>
      <x:c r="I5082" s="7" t="n">
        <x:v>5</x:v>
      </x:c>
      <x:c r="J5082" s="7"/>
      <x:c r="K5082" s="8"/>
      <x:c r="L5082" s="8"/>
      <x:c r="M5082" s="9"/>
      <x:c r="N5082" s="10"/>
      <x:c r="O5082" s="9"/>
      <x:c r="P5082" s="9" t="n">
        <x:v>0</x:v>
      </x:c>
      <x:c r="Q5082" s="9" t="n">
        <x:v>0.479338843</x:v>
      </x:c>
      <x:c r="R5082" s="3" t="b">
        <x:v>0</x:v>
      </x:c>
      <x:c r="S5082" s="3" t="b">
        <x:v>0</x:v>
      </x:c>
      <x:c r="T5082" s="3" t="b">
        <x:v>0</x:v>
      </x:c>
      <x:c r="U5082" s="2" t="str">
        <x:f>IF(T5082=TRUE,"Priority review",IF(R5082=TRUE,"High cost",IF(S5082=TRUE,"Low quality","Benchmark")))</x:f>
        <x:v>Benchmark</x:v>
      </x:c>
    </x:row>
    <x:row r="5083">
      <x:c r="A5083" s="2" t="str">
        <x:v>023011</x:v>
      </x:c>
      <x:c r="B5083" s="2" t="str">
        <x:v>VA ANN ARBOR HEALTHCARE SYSTEM</x:v>
      </x:c>
      <x:c r="C5083" s="2" t="str">
        <x:v>ANN ARBOR</x:v>
      </x:c>
      <x:c r="D5083" s="2" t="str">
        <x:v>MI</x:v>
      </x:c>
      <x:c r="E5083" s="2" t="str">
        <x:v>Acute Care - Veterans Administration</x:v>
      </x:c>
      <x:c r="F5083" s="2" t="str">
        <x:v>Other / unknown</x:v>
      </x:c>
      <x:c r="G5083" s="2" t="str">
        <x:v>Unknown</x:v>
      </x:c>
      <x:c r="H5083" s="7" t="n">
        <x:v>5</x:v>
      </x:c>
      <x:c r="I5083" s="7" t="n">
        <x:v>5</x:v>
      </x:c>
      <x:c r="J5083" s="7"/>
      <x:c r="K5083" s="8"/>
      <x:c r="L5083" s="8"/>
      <x:c r="M5083" s="9"/>
      <x:c r="N5083" s="10"/>
      <x:c r="O5083" s="9"/>
      <x:c r="P5083" s="9" t="n">
        <x:v>0</x:v>
      </x:c>
      <x:c r="Q5083" s="9" t="n">
        <x:v>0.479338843</x:v>
      </x:c>
      <x:c r="R5083" s="3" t="b">
        <x:v>0</x:v>
      </x:c>
      <x:c r="S5083" s="3" t="b">
        <x:v>0</x:v>
      </x:c>
      <x:c r="T5083" s="3" t="b">
        <x:v>0</x:v>
      </x:c>
      <x:c r="U5083" s="2" t="str">
        <x:f>IF(T5083=TRUE,"Priority review",IF(R5083=TRUE,"High cost",IF(S5083=TRUE,"Low quality","Benchmark")))</x:f>
        <x:v>Benchmark</x:v>
      </x:c>
    </x:row>
    <x:row r="5084">
      <x:c r="A5084" s="2" t="str">
        <x:v>053004</x:v>
      </x:c>
      <x:c r="B5084" s="2" t="str">
        <x:v>CHEYENNE VA MEDICAL CENTER</x:v>
      </x:c>
      <x:c r="C5084" s="2" t="str">
        <x:v>CHEYENNE</x:v>
      </x:c>
      <x:c r="D5084" s="2" t="str">
        <x:v>WY</x:v>
      </x:c>
      <x:c r="E5084" s="2" t="str">
        <x:v>Acute Care - Veterans Administration</x:v>
      </x:c>
      <x:c r="F5084" s="2" t="str">
        <x:v>Other / unknown</x:v>
      </x:c>
      <x:c r="G5084" s="2" t="str">
        <x:v>Unknown</x:v>
      </x:c>
      <x:c r="H5084" s="7" t="n">
        <x:v>5</x:v>
      </x:c>
      <x:c r="I5084" s="7" t="n">
        <x:v>4</x:v>
      </x:c>
      <x:c r="J5084" s="7"/>
      <x:c r="K5084" s="8"/>
      <x:c r="L5084" s="8"/>
      <x:c r="M5084" s="9"/>
      <x:c r="N5084" s="10"/>
      <x:c r="O5084" s="9"/>
      <x:c r="P5084" s="9" t="n">
        <x:v>0</x:v>
      </x:c>
      <x:c r="Q5084" s="9" t="n">
        <x:v>0.479338843</x:v>
      </x:c>
      <x:c r="R5084" s="3" t="b">
        <x:v>0</x:v>
      </x:c>
      <x:c r="S5084" s="3" t="b">
        <x:v>0</x:v>
      </x:c>
      <x:c r="T5084" s="3" t="b">
        <x:v>0</x:v>
      </x:c>
      <x:c r="U5084" s="2" t="str">
        <x:f>IF(T5084=TRUE,"Priority review",IF(R5084=TRUE,"High cost",IF(S5084=TRUE,"Low quality","Benchmark")))</x:f>
        <x:v>Benchmark</x:v>
      </x:c>
    </x:row>
    <x:row r="5085">
      <x:c r="A5085" s="2" t="str">
        <x:v>036007</x:v>
      </x:c>
      <x:c r="B5085" s="2" t="str">
        <x:v>DAYTON VA MEDICAL CENTER</x:v>
      </x:c>
      <x:c r="C5085" s="2" t="str">
        <x:v>DAYTON</x:v>
      </x:c>
      <x:c r="D5085" s="2" t="str">
        <x:v>OH</x:v>
      </x:c>
      <x:c r="E5085" s="2" t="str">
        <x:v>Acute Care - Veterans Administration</x:v>
      </x:c>
      <x:c r="F5085" s="2" t="str">
        <x:v>Other / unknown</x:v>
      </x:c>
      <x:c r="G5085" s="2" t="str">
        <x:v>Unknown</x:v>
      </x:c>
      <x:c r="H5085" s="7" t="n">
        <x:v>5</x:v>
      </x:c>
      <x:c r="I5085" s="7" t="n">
        <x:v>4</x:v>
      </x:c>
      <x:c r="J5085" s="7"/>
      <x:c r="K5085" s="8"/>
      <x:c r="L5085" s="8"/>
      <x:c r="M5085" s="9"/>
      <x:c r="N5085" s="10"/>
      <x:c r="O5085" s="9"/>
      <x:c r="P5085" s="9" t="n">
        <x:v>0</x:v>
      </x:c>
      <x:c r="Q5085" s="9" t="n">
        <x:v>0.479338843</x:v>
      </x:c>
      <x:c r="R5085" s="3" t="b">
        <x:v>0</x:v>
      </x:c>
      <x:c r="S5085" s="3" t="b">
        <x:v>0</x:v>
      </x:c>
      <x:c r="T5085" s="3" t="b">
        <x:v>0</x:v>
      </x:c>
      <x:c r="U5085" s="2" t="str">
        <x:f>IF(T5085=TRUE,"Priority review",IF(R5085=TRUE,"High cost",IF(S5085=TRUE,"Low quality","Benchmark")))</x:f>
        <x:v>Benchmark</x:v>
      </x:c>
    </x:row>
    <x:row r="5086">
      <x:c r="A5086" s="2" t="str">
        <x:v>052004</x:v>
      </x:c>
      <x:c r="B5086" s="2" t="str">
        <x:v>MADISON VA MEDICAL CENTER</x:v>
      </x:c>
      <x:c r="C5086" s="2" t="str">
        <x:v>MADISON</x:v>
      </x:c>
      <x:c r="D5086" s="2" t="str">
        <x:v>WI</x:v>
      </x:c>
      <x:c r="E5086" s="2" t="str">
        <x:v>Acute Care - Veterans Administration</x:v>
      </x:c>
      <x:c r="F5086" s="2" t="str">
        <x:v>Other / unknown</x:v>
      </x:c>
      <x:c r="G5086" s="2" t="str">
        <x:v>Unknown</x:v>
      </x:c>
      <x:c r="H5086" s="7" t="n">
        <x:v>5</x:v>
      </x:c>
      <x:c r="I5086" s="7" t="n">
        <x:v>5</x:v>
      </x:c>
      <x:c r="J5086" s="7"/>
      <x:c r="K5086" s="8"/>
      <x:c r="L5086" s="8"/>
      <x:c r="M5086" s="9"/>
      <x:c r="N5086" s="10"/>
      <x:c r="O5086" s="9"/>
      <x:c r="P5086" s="9" t="n">
        <x:v>0</x:v>
      </x:c>
      <x:c r="Q5086" s="9" t="n">
        <x:v>0.479338843</x:v>
      </x:c>
      <x:c r="R5086" s="3" t="b">
        <x:v>0</x:v>
      </x:c>
      <x:c r="S5086" s="3" t="b">
        <x:v>0</x:v>
      </x:c>
      <x:c r="T5086" s="3" t="b">
        <x:v>0</x:v>
      </x:c>
      <x:c r="U5086" s="2" t="str">
        <x:f>IF(T5086=TRUE,"Priority review",IF(R5086=TRUE,"High cost",IF(S5086=TRUE,"Low quality","Benchmark")))</x:f>
        <x:v>Benchmark</x:v>
      </x:c>
    </x:row>
    <x:row r="5087">
      <x:c r="A5087" s="2" t="str">
        <x:v>037012</x:v>
      </x:c>
      <x:c r="B5087" s="2" t="str">
        <x:v>MUSKOGEE VA MEDICAL CENTER</x:v>
      </x:c>
      <x:c r="C5087" s="2" t="str">
        <x:v>MUSKOGEE</x:v>
      </x:c>
      <x:c r="D5087" s="2" t="str">
        <x:v>OK</x:v>
      </x:c>
      <x:c r="E5087" s="2" t="str">
        <x:v>Acute Care - Veterans Administration</x:v>
      </x:c>
      <x:c r="F5087" s="2" t="str">
        <x:v>Other / unknown</x:v>
      </x:c>
      <x:c r="G5087" s="2" t="str">
        <x:v>Unknown</x:v>
      </x:c>
      <x:c r="H5087" s="7" t="n">
        <x:v>5</x:v>
      </x:c>
      <x:c r="I5087" s="7" t="n">
        <x:v>4</x:v>
      </x:c>
      <x:c r="J5087" s="7"/>
      <x:c r="K5087" s="8"/>
      <x:c r="L5087" s="8"/>
      <x:c r="M5087" s="9"/>
      <x:c r="N5087" s="10"/>
      <x:c r="O5087" s="9"/>
      <x:c r="P5087" s="9" t="n">
        <x:v>0</x:v>
      </x:c>
      <x:c r="Q5087" s="9" t="n">
        <x:v>0.479338843</x:v>
      </x:c>
      <x:c r="R5087" s="3" t="b">
        <x:v>0</x:v>
      </x:c>
      <x:c r="S5087" s="3" t="b">
        <x:v>0</x:v>
      </x:c>
      <x:c r="T5087" s="3" t="b">
        <x:v>0</x:v>
      </x:c>
      <x:c r="U5087" s="2" t="str">
        <x:f>IF(T5087=TRUE,"Priority review",IF(R5087=TRUE,"High cost",IF(S5087=TRUE,"Low quality","Benchmark")))</x:f>
        <x:v>Benchmark</x:v>
      </x:c>
    </x:row>
    <x:row r="5088">
      <x:c r="A5088" s="2" t="str">
        <x:v>003033</x:v>
      </x:c>
      <x:c r="B5088" s="2" t="str">
        <x:v>VA NORTHERN ARIZONA HEALTHCARE SYSTEM</x:v>
      </x:c>
      <x:c r="C5088" s="2" t="str">
        <x:v>PRESCOTT</x:v>
      </x:c>
      <x:c r="D5088" s="2" t="str">
        <x:v>AZ</x:v>
      </x:c>
      <x:c r="E5088" s="2" t="str">
        <x:v>Acute Care - Veterans Administration</x:v>
      </x:c>
      <x:c r="F5088" s="2" t="str">
        <x:v>Other / unknown</x:v>
      </x:c>
      <x:c r="G5088" s="2" t="str">
        <x:v>Unknown</x:v>
      </x:c>
      <x:c r="H5088" s="7" t="n">
        <x:v>5</x:v>
      </x:c>
      <x:c r="I5088" s="7" t="n">
        <x:v>4</x:v>
      </x:c>
      <x:c r="J5088" s="7"/>
      <x:c r="K5088" s="8"/>
      <x:c r="L5088" s="8"/>
      <x:c r="M5088" s="9"/>
      <x:c r="N5088" s="10"/>
      <x:c r="O5088" s="9"/>
      <x:c r="P5088" s="9" t="n">
        <x:v>0</x:v>
      </x:c>
      <x:c r="Q5088" s="9" t="n">
        <x:v>0.479338843</x:v>
      </x:c>
      <x:c r="R5088" s="3" t="b">
        <x:v>0</x:v>
      </x:c>
      <x:c r="S5088" s="3" t="b">
        <x:v>0</x:v>
      </x:c>
      <x:c r="T5088" s="3" t="b">
        <x:v>0</x:v>
      </x:c>
      <x:c r="U5088" s="2" t="str">
        <x:f>IF(T5088=TRUE,"Priority review",IF(R5088=TRUE,"High cost",IF(S5088=TRUE,"Low quality","Benchmark")))</x:f>
        <x:v>Benchmark</x:v>
      </x:c>
    </x:row>
    <x:row r="5089">
      <x:c r="A5089" s="2" t="str">
        <x:v>038003</x:v>
      </x:c>
      <x:c r="B5089" s="2" t="str">
        <x:v>PORTLAND VA MEDICAL CENTER</x:v>
      </x:c>
      <x:c r="C5089" s="2" t="str">
        <x:v>PORTLAND</x:v>
      </x:c>
      <x:c r="D5089" s="2" t="str">
        <x:v>OR</x:v>
      </x:c>
      <x:c r="E5089" s="2" t="str">
        <x:v>Acute Care - Veterans Administration</x:v>
      </x:c>
      <x:c r="F5089" s="2" t="str">
        <x:v>Other / unknown</x:v>
      </x:c>
      <x:c r="G5089" s="2" t="str">
        <x:v>Unknown</x:v>
      </x:c>
      <x:c r="H5089" s="7" t="n">
        <x:v>5</x:v>
      </x:c>
      <x:c r="I5089" s="7" t="n">
        <x:v>4</x:v>
      </x:c>
      <x:c r="J5089" s="7"/>
      <x:c r="K5089" s="8"/>
      <x:c r="L5089" s="8"/>
      <x:c r="M5089" s="9"/>
      <x:c r="N5089" s="10"/>
      <x:c r="O5089" s="9"/>
      <x:c r="P5089" s="9" t="n">
        <x:v>0</x:v>
      </x:c>
      <x:c r="Q5089" s="9" t="n">
        <x:v>0.479338843</x:v>
      </x:c>
      <x:c r="R5089" s="3" t="b">
        <x:v>0</x:v>
      </x:c>
      <x:c r="S5089" s="3" t="b">
        <x:v>0</x:v>
      </x:c>
      <x:c r="T5089" s="3" t="b">
        <x:v>0</x:v>
      </x:c>
      <x:c r="U5089" s="2" t="str">
        <x:f>IF(T5089=TRUE,"Priority review",IF(R5089=TRUE,"High cost",IF(S5089=TRUE,"Low quality","Benchmark")))</x:f>
        <x:v>Benchmark</x:v>
      </x:c>
    </x:row>
    <x:row r="5090">
      <x:c r="A5090" s="2" t="str">
        <x:v>006005</x:v>
      </x:c>
      <x:c r="B5090" s="2" t="str">
        <x:v>VA EASTERN COLORADO HEALTHCARE SYSTEM</x:v>
      </x:c>
      <x:c r="C5090" s="2" t="str">
        <x:v>AURORA</x:v>
      </x:c>
      <x:c r="D5090" s="2" t="str">
        <x:v>CO</x:v>
      </x:c>
      <x:c r="E5090" s="2" t="str">
        <x:v>Acute Care - Veterans Administration</x:v>
      </x:c>
      <x:c r="F5090" s="2" t="str">
        <x:v>Other / unknown</x:v>
      </x:c>
      <x:c r="G5090" s="2" t="str">
        <x:v>Unknown</x:v>
      </x:c>
      <x:c r="H5090" s="7" t="n">
        <x:v>5</x:v>
      </x:c>
      <x:c r="I5090" s="7" t="n">
        <x:v>4</x:v>
      </x:c>
      <x:c r="J5090" s="7"/>
      <x:c r="K5090" s="8"/>
      <x:c r="L5090" s="8"/>
      <x:c r="M5090" s="9"/>
      <x:c r="N5090" s="10"/>
      <x:c r="O5090" s="9"/>
      <x:c r="P5090" s="9" t="n">
        <x:v>0</x:v>
      </x:c>
      <x:c r="Q5090" s="9" t="n">
        <x:v>0.479338843</x:v>
      </x:c>
      <x:c r="R5090" s="3" t="b">
        <x:v>0</x:v>
      </x:c>
      <x:c r="S5090" s="3" t="b">
        <x:v>0</x:v>
      </x:c>
      <x:c r="T5090" s="3" t="b">
        <x:v>0</x:v>
      </x:c>
      <x:c r="U5090" s="2" t="str">
        <x:f>IF(T5090=TRUE,"Priority review",IF(R5090=TRUE,"High cost",IF(S5090=TRUE,"Low quality","Benchmark")))</x:f>
        <x:v>Benchmark</x:v>
      </x:c>
    </x:row>
    <x:row r="5091">
      <x:c r="A5091" s="2" t="str">
        <x:v>039001</x:v>
      </x:c>
      <x:c r="B5091" s="2" t="str">
        <x:v>JAMES E. VAN ZANDT VA MEDICAL CENTER (ALTOONA)</x:v>
      </x:c>
      <x:c r="C5091" s="2" t="str">
        <x:v>ALTOONA</x:v>
      </x:c>
      <x:c r="D5091" s="2" t="str">
        <x:v>PA</x:v>
      </x:c>
      <x:c r="E5091" s="2" t="str">
        <x:v>Acute Care - Veterans Administration</x:v>
      </x:c>
      <x:c r="F5091" s="2" t="str">
        <x:v>Other / unknown</x:v>
      </x:c>
      <x:c r="G5091" s="2" t="str">
        <x:v>Unknown</x:v>
      </x:c>
      <x:c r="H5091" s="7" t="n">
        <x:v>5</x:v>
      </x:c>
      <x:c r="I5091" s="7" t="n">
        <x:v>4</x:v>
      </x:c>
      <x:c r="J5091" s="7"/>
      <x:c r="K5091" s="8"/>
      <x:c r="L5091" s="8"/>
      <x:c r="M5091" s="9"/>
      <x:c r="N5091" s="10"/>
      <x:c r="O5091" s="9"/>
      <x:c r="P5091" s="9" t="n">
        <x:v>0</x:v>
      </x:c>
      <x:c r="Q5091" s="9" t="n">
        <x:v>0.479338843</x:v>
      </x:c>
      <x:c r="R5091" s="3" t="b">
        <x:v>0</x:v>
      </x:c>
      <x:c r="S5091" s="3" t="b">
        <x:v>0</x:v>
      </x:c>
      <x:c r="T5091" s="3" t="b">
        <x:v>0</x:v>
      </x:c>
      <x:c r="U5091" s="2" t="str">
        <x:f>IF(T5091=TRUE,"Priority review",IF(R5091=TRUE,"High cost",IF(S5091=TRUE,"Low quality","Benchmark")))</x:f>
        <x:v>Benchmark</x:v>
      </x:c>
    </x:row>
    <x:row r="5092">
      <x:c r="A5092" s="2" t="str">
        <x:v>006007</x:v>
      </x:c>
      <x:c r="B5092" s="2" t="str">
        <x:v>GRAND JUNCTION VA MEDICAL CENTER</x:v>
      </x:c>
      <x:c r="C5092" s="2" t="str">
        <x:v>GRAND JUNCTION</x:v>
      </x:c>
      <x:c r="D5092" s="2" t="str">
        <x:v>CO</x:v>
      </x:c>
      <x:c r="E5092" s="2" t="str">
        <x:v>Acute Care - Veterans Administration</x:v>
      </x:c>
      <x:c r="F5092" s="2" t="str">
        <x:v>Other / unknown</x:v>
      </x:c>
      <x:c r="G5092" s="2" t="str">
        <x:v>Unknown</x:v>
      </x:c>
      <x:c r="H5092" s="7" t="n">
        <x:v>5</x:v>
      </x:c>
      <x:c r="I5092" s="7" t="n">
        <x:v>5</x:v>
      </x:c>
      <x:c r="J5092" s="7"/>
      <x:c r="K5092" s="8"/>
      <x:c r="L5092" s="8"/>
      <x:c r="M5092" s="9"/>
      <x:c r="N5092" s="10"/>
      <x:c r="O5092" s="9"/>
      <x:c r="P5092" s="9" t="n">
        <x:v>0</x:v>
      </x:c>
      <x:c r="Q5092" s="9" t="n">
        <x:v>0.479338843</x:v>
      </x:c>
      <x:c r="R5092" s="3" t="b">
        <x:v>0</x:v>
      </x:c>
      <x:c r="S5092" s="3" t="b">
        <x:v>0</x:v>
      </x:c>
      <x:c r="T5092" s="3" t="b">
        <x:v>0</x:v>
      </x:c>
      <x:c r="U5092" s="2" t="str">
        <x:f>IF(T5092=TRUE,"Priority review",IF(R5092=TRUE,"High cost",IF(S5092=TRUE,"Low quality","Benchmark")))</x:f>
        <x:v>Benchmark</x:v>
      </x:c>
    </x:row>
    <x:row r="5093">
      <x:c r="A5093" s="2" t="str">
        <x:v>051004</x:v>
      </x:c>
      <x:c r="B5093" s="2" t="str">
        <x:v>HUNTINGTON VA MEDICAL CENTER</x:v>
      </x:c>
      <x:c r="C5093" s="2" t="str">
        <x:v>HUNTINGTON</x:v>
      </x:c>
      <x:c r="D5093" s="2" t="str">
        <x:v>WV</x:v>
      </x:c>
      <x:c r="E5093" s="2" t="str">
        <x:v>Acute Care - Veterans Administration</x:v>
      </x:c>
      <x:c r="F5093" s="2" t="str">
        <x:v>Other / unknown</x:v>
      </x:c>
      <x:c r="G5093" s="2" t="str">
        <x:v>Unknown</x:v>
      </x:c>
      <x:c r="H5093" s="7" t="n">
        <x:v>5</x:v>
      </x:c>
      <x:c r="I5093" s="7" t="n">
        <x:v>4</x:v>
      </x:c>
      <x:c r="J5093" s="7"/>
      <x:c r="K5093" s="8"/>
      <x:c r="L5093" s="8"/>
      <x:c r="M5093" s="9"/>
      <x:c r="N5093" s="10"/>
      <x:c r="O5093" s="9"/>
      <x:c r="P5093" s="9" t="n">
        <x:v>0</x:v>
      </x:c>
      <x:c r="Q5093" s="9" t="n">
        <x:v>0.479338843</x:v>
      </x:c>
      <x:c r="R5093" s="3" t="b">
        <x:v>0</x:v>
      </x:c>
      <x:c r="S5093" s="3" t="b">
        <x:v>0</x:v>
      </x:c>
      <x:c r="T5093" s="3" t="b">
        <x:v>0</x:v>
      </x:c>
      <x:c r="U5093" s="2" t="str">
        <x:f>IF(T5093=TRUE,"Priority review",IF(R5093=TRUE,"High cost",IF(S5093=TRUE,"Low quality","Benchmark")))</x:f>
        <x:v>Benchmark</x:v>
      </x:c>
    </x:row>
    <x:row r="5094">
      <x:c r="A5094" s="2" t="str">
        <x:v>039006</x:v>
      </x:c>
      <x:c r="B5094" s="2" t="str">
        <x:v>LEBANON VA MEDICAL CENTER</x:v>
      </x:c>
      <x:c r="C5094" s="2" t="str">
        <x:v>LEBANON</x:v>
      </x:c>
      <x:c r="D5094" s="2" t="str">
        <x:v>PA</x:v>
      </x:c>
      <x:c r="E5094" s="2" t="str">
        <x:v>Acute Care - Veterans Administration</x:v>
      </x:c>
      <x:c r="F5094" s="2" t="str">
        <x:v>Other / unknown</x:v>
      </x:c>
      <x:c r="G5094" s="2" t="str">
        <x:v>Unknown</x:v>
      </x:c>
      <x:c r="H5094" s="7" t="n">
        <x:v>5</x:v>
      </x:c>
      <x:c r="I5094" s="7" t="n">
        <x:v>5</x:v>
      </x:c>
      <x:c r="J5094" s="7"/>
      <x:c r="K5094" s="8"/>
      <x:c r="L5094" s="8"/>
      <x:c r="M5094" s="9"/>
      <x:c r="N5094" s="10"/>
      <x:c r="O5094" s="9"/>
      <x:c r="P5094" s="9" t="n">
        <x:v>0</x:v>
      </x:c>
      <x:c r="Q5094" s="9" t="n">
        <x:v>0.479338843</x:v>
      </x:c>
      <x:c r="R5094" s="3" t="b">
        <x:v>0</x:v>
      </x:c>
      <x:c r="S5094" s="3" t="b">
        <x:v>0</x:v>
      </x:c>
      <x:c r="T5094" s="3" t="b">
        <x:v>0</x:v>
      </x:c>
      <x:c r="U5094" s="2" t="str">
        <x:f>IF(T5094=TRUE,"Priority review",IF(R5094=TRUE,"High cost",IF(S5094=TRUE,"Low quality","Benchmark")))</x:f>
        <x:v>Benchmark</x:v>
      </x:c>
    </x:row>
    <x:row r="5095">
      <x:c r="A5095" s="2" t="str">
        <x:v>039009</x:v>
      </x:c>
      <x:c r="B5095" s="2" t="str">
        <x:v>PHILADELPHIA VA MEDICAL CENTER</x:v>
      </x:c>
      <x:c r="C5095" s="2" t="str">
        <x:v>PHILADELPHIA</x:v>
      </x:c>
      <x:c r="D5095" s="2" t="str">
        <x:v>PA</x:v>
      </x:c>
      <x:c r="E5095" s="2" t="str">
        <x:v>Acute Care - Veterans Administration</x:v>
      </x:c>
      <x:c r="F5095" s="2" t="str">
        <x:v>Other / unknown</x:v>
      </x:c>
      <x:c r="G5095" s="2" t="str">
        <x:v>Unknown</x:v>
      </x:c>
      <x:c r="H5095" s="7" t="n">
        <x:v>5</x:v>
      </x:c>
      <x:c r="I5095" s="7" t="n">
        <x:v>3</x:v>
      </x:c>
      <x:c r="J5095" s="7"/>
      <x:c r="K5095" s="8"/>
      <x:c r="L5095" s="8"/>
      <x:c r="M5095" s="9"/>
      <x:c r="N5095" s="10"/>
      <x:c r="O5095" s="9"/>
      <x:c r="P5095" s="9" t="n">
        <x:v>0</x:v>
      </x:c>
      <x:c r="Q5095" s="9" t="n">
        <x:v>0.479338843</x:v>
      </x:c>
      <x:c r="R5095" s="3" t="b">
        <x:v>0</x:v>
      </x:c>
      <x:c r="S5095" s="3" t="b">
        <x:v>0</x:v>
      </x:c>
      <x:c r="T5095" s="3" t="b">
        <x:v>0</x:v>
      </x:c>
      <x:c r="U5095" s="2" t="str">
        <x:f>IF(T5095=TRUE,"Priority review",IF(R5095=TRUE,"High cost",IF(S5095=TRUE,"Low quality","Benchmark")))</x:f>
        <x:v>Benchmark</x:v>
      </x:c>
    </x:row>
    <x:row r="5096">
      <x:c r="A5096" s="2" t="str">
        <x:v>051003</x:v>
      </x:c>
      <x:c r="B5096" s="2" t="str">
        <x:v>CLARKSBURG VA MEDICAL CENTER</x:v>
      </x:c>
      <x:c r="C5096" s="2" t="str">
        <x:v>CLARKSBURG</x:v>
      </x:c>
      <x:c r="D5096" s="2" t="str">
        <x:v>WV</x:v>
      </x:c>
      <x:c r="E5096" s="2" t="str">
        <x:v>Acute Care - Veterans Administration</x:v>
      </x:c>
      <x:c r="F5096" s="2" t="str">
        <x:v>Other / unknown</x:v>
      </x:c>
      <x:c r="G5096" s="2" t="str">
        <x:v>Unknown</x:v>
      </x:c>
      <x:c r="H5096" s="7" t="n">
        <x:v>5</x:v>
      </x:c>
      <x:c r="I5096" s="7" t="n">
        <x:v>4</x:v>
      </x:c>
      <x:c r="J5096" s="7"/>
      <x:c r="K5096" s="8"/>
      <x:c r="L5096" s="8"/>
      <x:c r="M5096" s="9"/>
      <x:c r="N5096" s="10"/>
      <x:c r="O5096" s="9"/>
      <x:c r="P5096" s="9" t="n">
        <x:v>0</x:v>
      </x:c>
      <x:c r="Q5096" s="9" t="n">
        <x:v>0.479338843</x:v>
      </x:c>
      <x:c r="R5096" s="3" t="b">
        <x:v>0</x:v>
      </x:c>
      <x:c r="S5096" s="3" t="b">
        <x:v>0</x:v>
      </x:c>
      <x:c r="T5096" s="3" t="b">
        <x:v>0</x:v>
      </x:c>
      <x:c r="U5096" s="2" t="str">
        <x:f>IF(T5096=TRUE,"Priority review",IF(R5096=TRUE,"High cost",IF(S5096=TRUE,"Low quality","Benchmark")))</x:f>
        <x:v>Benchmark</x:v>
      </x:c>
    </x:row>
    <x:row r="5097">
      <x:c r="A5097" s="2" t="str">
        <x:v>039013</x:v>
      </x:c>
      <x:c r="B5097" s="2" t="str">
        <x:v>WILKES BARRE VA MEDICAL CENTER</x:v>
      </x:c>
      <x:c r="C5097" s="2" t="str">
        <x:v>WILKES-BARRE</x:v>
      </x:c>
      <x:c r="D5097" s="2" t="str">
        <x:v>PA</x:v>
      </x:c>
      <x:c r="E5097" s="2" t="str">
        <x:v>Acute Care - Veterans Administration</x:v>
      </x:c>
      <x:c r="F5097" s="2" t="str">
        <x:v>Other / unknown</x:v>
      </x:c>
      <x:c r="G5097" s="2" t="str">
        <x:v>Unknown</x:v>
      </x:c>
      <x:c r="H5097" s="7" t="n">
        <x:v>5</x:v>
      </x:c>
      <x:c r="I5097" s="7" t="n">
        <x:v>4</x:v>
      </x:c>
      <x:c r="J5097" s="7"/>
      <x:c r="K5097" s="8"/>
      <x:c r="L5097" s="8"/>
      <x:c r="M5097" s="9"/>
      <x:c r="N5097" s="10"/>
      <x:c r="O5097" s="9"/>
      <x:c r="P5097" s="9" t="n">
        <x:v>0</x:v>
      </x:c>
      <x:c r="Q5097" s="9" t="n">
        <x:v>0.479338843</x:v>
      </x:c>
      <x:c r="R5097" s="3" t="b">
        <x:v>0</x:v>
      </x:c>
      <x:c r="S5097" s="3" t="b">
        <x:v>0</x:v>
      </x:c>
      <x:c r="T5097" s="3" t="b">
        <x:v>0</x:v>
      </x:c>
      <x:c r="U5097" s="2" t="str">
        <x:f>IF(T5097=TRUE,"Priority review",IF(R5097=TRUE,"High cost",IF(S5097=TRUE,"Low quality","Benchmark")))</x:f>
        <x:v>Benchmark</x:v>
      </x:c>
    </x:row>
    <x:row r="5098">
      <x:c r="A5098" s="2" t="str">
        <x:v>051002</x:v>
      </x:c>
      <x:c r="B5098" s="2" t="str">
        <x:v>BECKLEY VA MEDICAL CENTER</x:v>
      </x:c>
      <x:c r="C5098" s="2" t="str">
        <x:v>BECKLEY</x:v>
      </x:c>
      <x:c r="D5098" s="2" t="str">
        <x:v>WV</x:v>
      </x:c>
      <x:c r="E5098" s="2" t="str">
        <x:v>Acute Care - Veterans Administration</x:v>
      </x:c>
      <x:c r="F5098" s="2" t="str">
        <x:v>Other / unknown</x:v>
      </x:c>
      <x:c r="G5098" s="2" t="str">
        <x:v>Unknown</x:v>
      </x:c>
      <x:c r="H5098" s="7" t="n">
        <x:v>5</x:v>
      </x:c>
      <x:c r="I5098" s="7" t="n">
        <x:v>5</x:v>
      </x:c>
      <x:c r="J5098" s="7"/>
      <x:c r="K5098" s="8"/>
      <x:c r="L5098" s="8"/>
      <x:c r="M5098" s="9"/>
      <x:c r="N5098" s="10"/>
      <x:c r="O5098" s="9"/>
      <x:c r="P5098" s="9" t="n">
        <x:v>0</x:v>
      </x:c>
      <x:c r="Q5098" s="9" t="n">
        <x:v>0.479338843</x:v>
      </x:c>
      <x:c r="R5098" s="3" t="b">
        <x:v>0</x:v>
      </x:c>
      <x:c r="S5098" s="3" t="b">
        <x:v>0</x:v>
      </x:c>
      <x:c r="T5098" s="3" t="b">
        <x:v>0</x:v>
      </x:c>
      <x:c r="U5098" s="2" t="str">
        <x:f>IF(T5098=TRUE,"Priority review",IF(R5098=TRUE,"High cost",IF(S5098=TRUE,"Low quality","Benchmark")))</x:f>
        <x:v>Benchmark</x:v>
      </x:c>
    </x:row>
    <x:row r="5099">
      <x:c r="A5099" s="2" t="str">
        <x:v>049010</x:v>
      </x:c>
      <x:c r="B5099" s="2" t="str">
        <x:v>RICHMOND VA MEDICAL CENTER</x:v>
      </x:c>
      <x:c r="C5099" s="2" t="str">
        <x:v>RICHMOND</x:v>
      </x:c>
      <x:c r="D5099" s="2" t="str">
        <x:v>VA</x:v>
      </x:c>
      <x:c r="E5099" s="2" t="str">
        <x:v>Acute Care - Veterans Administration</x:v>
      </x:c>
      <x:c r="F5099" s="2" t="str">
        <x:v>Other / unknown</x:v>
      </x:c>
      <x:c r="G5099" s="2" t="str">
        <x:v>Unknown</x:v>
      </x:c>
      <x:c r="H5099" s="7" t="n">
        <x:v>5</x:v>
      </x:c>
      <x:c r="I5099" s="7" t="n">
        <x:v>4</x:v>
      </x:c>
      <x:c r="J5099" s="7"/>
      <x:c r="K5099" s="8"/>
      <x:c r="L5099" s="8"/>
      <x:c r="M5099" s="9"/>
      <x:c r="N5099" s="10"/>
      <x:c r="O5099" s="9"/>
      <x:c r="P5099" s="9" t="n">
        <x:v>0</x:v>
      </x:c>
      <x:c r="Q5099" s="9" t="n">
        <x:v>0.479338843</x:v>
      </x:c>
      <x:c r="R5099" s="3" t="b">
        <x:v>0</x:v>
      </x:c>
      <x:c r="S5099" s="3" t="b">
        <x:v>0</x:v>
      </x:c>
      <x:c r="T5099" s="3" t="b">
        <x:v>0</x:v>
      </x:c>
      <x:c r="U5099" s="2" t="str">
        <x:f>IF(T5099=TRUE,"Priority review",IF(R5099=TRUE,"High cost",IF(S5099=TRUE,"Low quality","Benchmark")))</x:f>
        <x:v>Benchmark</x:v>
      </x:c>
    </x:row>
    <x:row r="5100">
      <x:c r="A5100" s="2" t="str">
        <x:v>042029</x:v>
      </x:c>
      <x:c r="B5100" s="2" t="str">
        <x:v>CHARLESTON VA MEDICAL CENTER</x:v>
      </x:c>
      <x:c r="C5100" s="2" t="str">
        <x:v>CHARLESTON</x:v>
      </x:c>
      <x:c r="D5100" s="2" t="str">
        <x:v>SC</x:v>
      </x:c>
      <x:c r="E5100" s="2" t="str">
        <x:v>Acute Care - Veterans Administration</x:v>
      </x:c>
      <x:c r="F5100" s="2" t="str">
        <x:v>Other / unknown</x:v>
      </x:c>
      <x:c r="G5100" s="2" t="str">
        <x:v>Unknown</x:v>
      </x:c>
      <x:c r="H5100" s="7" t="n">
        <x:v>5</x:v>
      </x:c>
      <x:c r="I5100" s="7" t="n">
        <x:v>4</x:v>
      </x:c>
      <x:c r="J5100" s="7"/>
      <x:c r="K5100" s="8"/>
      <x:c r="L5100" s="8"/>
      <x:c r="M5100" s="9"/>
      <x:c r="N5100" s="10"/>
      <x:c r="O5100" s="9"/>
      <x:c r="P5100" s="9" t="n">
        <x:v>0</x:v>
      </x:c>
      <x:c r="Q5100" s="9" t="n">
        <x:v>0.479338843</x:v>
      </x:c>
      <x:c r="R5100" s="3" t="b">
        <x:v>0</x:v>
      </x:c>
      <x:c r="S5100" s="3" t="b">
        <x:v>0</x:v>
      </x:c>
      <x:c r="T5100" s="3" t="b">
        <x:v>0</x:v>
      </x:c>
      <x:c r="U5100" s="2" t="str">
        <x:f>IF(T5100=TRUE,"Priority review",IF(R5100=TRUE,"High cost",IF(S5100=TRUE,"Low quality","Benchmark")))</x:f>
        <x:v>Benchmark</x:v>
      </x:c>
    </x:row>
    <x:row r="5101">
      <x:c r="A5101" s="2" t="str">
        <x:v>018006</x:v>
      </x:c>
      <x:c r="B5101" s="2" t="str">
        <x:v>LOUISVILLE VA MEDICAL CENTER</x:v>
      </x:c>
      <x:c r="C5101" s="2" t="str">
        <x:v>LOUISVILLE</x:v>
      </x:c>
      <x:c r="D5101" s="2" t="str">
        <x:v>KY</x:v>
      </x:c>
      <x:c r="E5101" s="2" t="str">
        <x:v>Acute Care - Veterans Administration</x:v>
      </x:c>
      <x:c r="F5101" s="2" t="str">
        <x:v>Other / unknown</x:v>
      </x:c>
      <x:c r="G5101" s="2" t="str">
        <x:v>Unknown</x:v>
      </x:c>
      <x:c r="H5101" s="7" t="n">
        <x:v>5</x:v>
      </x:c>
      <x:c r="I5101" s="7" t="n">
        <x:v>3</x:v>
      </x:c>
      <x:c r="J5101" s="7"/>
      <x:c r="K5101" s="8"/>
      <x:c r="L5101" s="8"/>
      <x:c r="M5101" s="9"/>
      <x:c r="N5101" s="10"/>
      <x:c r="O5101" s="9"/>
      <x:c r="P5101" s="9" t="n">
        <x:v>0</x:v>
      </x:c>
      <x:c r="Q5101" s="9" t="n">
        <x:v>0.479338843</x:v>
      </x:c>
      <x:c r="R5101" s="3" t="b">
        <x:v>0</x:v>
      </x:c>
      <x:c r="S5101" s="3" t="b">
        <x:v>0</x:v>
      </x:c>
      <x:c r="T5101" s="3" t="b">
        <x:v>0</x:v>
      </x:c>
      <x:c r="U5101" s="2" t="str">
        <x:f>IF(T5101=TRUE,"Priority review",IF(R5101=TRUE,"High cost",IF(S5101=TRUE,"Low quality","Benchmark")))</x:f>
        <x:v>Benchmark</x:v>
      </x:c>
    </x:row>
    <x:row r="5102">
      <x:c r="A5102" s="2" t="str">
        <x:v>043005</x:v>
      </x:c>
      <x:c r="B5102" s="2" t="str">
        <x:v>SIOUX FALLS VA MEDICAL CENTER</x:v>
      </x:c>
      <x:c r="C5102" s="2" t="str">
        <x:v>SIOUX FALLS</x:v>
      </x:c>
      <x:c r="D5102" s="2" t="str">
        <x:v>SD</x:v>
      </x:c>
      <x:c r="E5102" s="2" t="str">
        <x:v>Acute Care - Veterans Administration</x:v>
      </x:c>
      <x:c r="F5102" s="2" t="str">
        <x:v>Other / unknown</x:v>
      </x:c>
      <x:c r="G5102" s="2" t="str">
        <x:v>Unknown</x:v>
      </x:c>
      <x:c r="H5102" s="7" t="n">
        <x:v>5</x:v>
      </x:c>
      <x:c r="I5102" s="7" t="n">
        <x:v>5</x:v>
      </x:c>
      <x:c r="J5102" s="7"/>
      <x:c r="K5102" s="8"/>
      <x:c r="L5102" s="8"/>
      <x:c r="M5102" s="9"/>
      <x:c r="N5102" s="10"/>
      <x:c r="O5102" s="9"/>
      <x:c r="P5102" s="9" t="n">
        <x:v>0</x:v>
      </x:c>
      <x:c r="Q5102" s="9" t="n">
        <x:v>0.479338843</x:v>
      </x:c>
      <x:c r="R5102" s="3" t="b">
        <x:v>0</x:v>
      </x:c>
      <x:c r="S5102" s="3" t="b">
        <x:v>0</x:v>
      </x:c>
      <x:c r="T5102" s="3" t="b">
        <x:v>0</x:v>
      </x:c>
      <x:c r="U5102" s="2" t="str">
        <x:f>IF(T5102=TRUE,"Priority review",IF(R5102=TRUE,"High cost",IF(S5102=TRUE,"Low quality","Benchmark")))</x:f>
        <x:v>Benchmark</x:v>
      </x:c>
    </x:row>
    <x:row r="5103">
      <x:c r="A5103" s="2" t="str">
        <x:v>044016</x:v>
      </x:c>
      <x:c r="B5103" s="2" t="str">
        <x:v>MOUNTAIN HOME VA MEDICAL CENTER</x:v>
      </x:c>
      <x:c r="C5103" s="2" t="str">
        <x:v>MOUNTAIN HOME</x:v>
      </x:c>
      <x:c r="D5103" s="2" t="str">
        <x:v>TN</x:v>
      </x:c>
      <x:c r="E5103" s="2" t="str">
        <x:v>Acute Care - Veterans Administration</x:v>
      </x:c>
      <x:c r="F5103" s="2" t="str">
        <x:v>Other / unknown</x:v>
      </x:c>
      <x:c r="G5103" s="2" t="str">
        <x:v>Unknown</x:v>
      </x:c>
      <x:c r="H5103" s="7" t="n">
        <x:v>5</x:v>
      </x:c>
      <x:c r="I5103" s="7" t="n">
        <x:v>5</x:v>
      </x:c>
      <x:c r="J5103" s="7"/>
      <x:c r="K5103" s="8"/>
      <x:c r="L5103" s="8"/>
      <x:c r="M5103" s="9"/>
      <x:c r="N5103" s="10"/>
      <x:c r="O5103" s="9"/>
      <x:c r="P5103" s="9" t="n">
        <x:v>0</x:v>
      </x:c>
      <x:c r="Q5103" s="9" t="n">
        <x:v>0.479338843</x:v>
      </x:c>
      <x:c r="R5103" s="3" t="b">
        <x:v>0</x:v>
      </x:c>
      <x:c r="S5103" s="3" t="b">
        <x:v>0</x:v>
      </x:c>
      <x:c r="T5103" s="3" t="b">
        <x:v>0</x:v>
      </x:c>
      <x:c r="U5103" s="2" t="str">
        <x:f>IF(T5103=TRUE,"Priority review",IF(R5103=TRUE,"High cost",IF(S5103=TRUE,"Low quality","Benchmark")))</x:f>
        <x:v>Benchmark</x:v>
      </x:c>
    </x:row>
    <x:row r="5104">
      <x:c r="A5104" s="2" t="str">
        <x:v>017008</x:v>
      </x:c>
      <x:c r="B5104" s="2" t="str">
        <x:v>WICHITA VA MEDICAL CENTER</x:v>
      </x:c>
      <x:c r="C5104" s="2" t="str">
        <x:v>WICHITA</x:v>
      </x:c>
      <x:c r="D5104" s="2" t="str">
        <x:v>KS</x:v>
      </x:c>
      <x:c r="E5104" s="2" t="str">
        <x:v>Acute Care - Veterans Administration</x:v>
      </x:c>
      <x:c r="F5104" s="2" t="str">
        <x:v>Other / unknown</x:v>
      </x:c>
      <x:c r="G5104" s="2" t="str">
        <x:v>Unknown</x:v>
      </x:c>
      <x:c r="H5104" s="7" t="n">
        <x:v>5</x:v>
      </x:c>
      <x:c r="I5104" s="7" t="n">
        <x:v>5</x:v>
      </x:c>
      <x:c r="J5104" s="7"/>
      <x:c r="K5104" s="8"/>
      <x:c r="L5104" s="8"/>
      <x:c r="M5104" s="9"/>
      <x:c r="N5104" s="10"/>
      <x:c r="O5104" s="9"/>
      <x:c r="P5104" s="9" t="n">
        <x:v>0</x:v>
      </x:c>
      <x:c r="Q5104" s="9" t="n">
        <x:v>0.479338843</x:v>
      </x:c>
      <x:c r="R5104" s="3" t="b">
        <x:v>0</x:v>
      </x:c>
      <x:c r="S5104" s="3" t="b">
        <x:v>0</x:v>
      </x:c>
      <x:c r="T5104" s="3" t="b">
        <x:v>0</x:v>
      </x:c>
      <x:c r="U5104" s="2" t="str">
        <x:f>IF(T5104=TRUE,"Priority review",IF(R5104=TRUE,"High cost",IF(S5104=TRUE,"Low quality","Benchmark")))</x:f>
        <x:v>Benchmark</x:v>
      </x:c>
    </x:row>
    <x:row r="5105">
      <x:c r="A5105" s="2" t="str">
        <x:v>045060</x:v>
      </x:c>
      <x:c r="B5105" s="2" t="str">
        <x:v>VA AMARILLO HEALTHCARE SYSTEM</x:v>
      </x:c>
      <x:c r="C5105" s="2" t="str">
        <x:v>AMARILLO</x:v>
      </x:c>
      <x:c r="D5105" s="2" t="str">
        <x:v>TX</x:v>
      </x:c>
      <x:c r="E5105" s="2" t="str">
        <x:v>Acute Care - Veterans Administration</x:v>
      </x:c>
      <x:c r="F5105" s="2" t="str">
        <x:v>Other / unknown</x:v>
      </x:c>
      <x:c r="G5105" s="2" t="str">
        <x:v>Unknown</x:v>
      </x:c>
      <x:c r="H5105" s="7" t="n">
        <x:v>5</x:v>
      </x:c>
      <x:c r="I5105" s="7" t="n">
        <x:v>4</x:v>
      </x:c>
      <x:c r="J5105" s="7"/>
      <x:c r="K5105" s="8"/>
      <x:c r="L5105" s="8"/>
      <x:c r="M5105" s="9"/>
      <x:c r="N5105" s="10"/>
      <x:c r="O5105" s="9"/>
      <x:c r="P5105" s="9" t="n">
        <x:v>0</x:v>
      </x:c>
      <x:c r="Q5105" s="9" t="n">
        <x:v>0.479338843</x:v>
      </x:c>
      <x:c r="R5105" s="3" t="b">
        <x:v>0</x:v>
      </x:c>
      <x:c r="S5105" s="3" t="b">
        <x:v>0</x:v>
      </x:c>
      <x:c r="T5105" s="3" t="b">
        <x:v>0</x:v>
      </x:c>
      <x:c r="U5105" s="2" t="str">
        <x:f>IF(T5105=TRUE,"Priority review",IF(R5105=TRUE,"High cost",IF(S5105=TRUE,"Low quality","Benchmark")))</x:f>
        <x:v>Benchmark</x:v>
      </x:c>
    </x:row>
    <x:row r="5106">
      <x:c r="A5106" s="2" t="str">
        <x:v>015004</x:v>
      </x:c>
      <x:c r="B5106" s="2" t="str">
        <x:v>VA N. INDIANA HEALTHCARE SYSTEM</x:v>
      </x:c>
      <x:c r="C5106" s="2" t="str">
        <x:v>MARION</x:v>
      </x:c>
      <x:c r="D5106" s="2" t="str">
        <x:v>IN</x:v>
      </x:c>
      <x:c r="E5106" s="2" t="str">
        <x:v>Acute Care - Veterans Administration</x:v>
      </x:c>
      <x:c r="F5106" s="2" t="str">
        <x:v>Other / unknown</x:v>
      </x:c>
      <x:c r="G5106" s="2" t="str">
        <x:v>Unknown</x:v>
      </x:c>
      <x:c r="H5106" s="7" t="n">
        <x:v>5</x:v>
      </x:c>
      <x:c r="I5106" s="7" t="n">
        <x:v>4</x:v>
      </x:c>
      <x:c r="J5106" s="7"/>
      <x:c r="K5106" s="8"/>
      <x:c r="L5106" s="8"/>
      <x:c r="M5106" s="9"/>
      <x:c r="N5106" s="10"/>
      <x:c r="O5106" s="9"/>
      <x:c r="P5106" s="9" t="n">
        <x:v>0</x:v>
      </x:c>
      <x:c r="Q5106" s="9" t="n">
        <x:v>0.479338843</x:v>
      </x:c>
      <x:c r="R5106" s="3" t="b">
        <x:v>0</x:v>
      </x:c>
      <x:c r="S5106" s="3" t="b">
        <x:v>0</x:v>
      </x:c>
      <x:c r="T5106" s="3" t="b">
        <x:v>0</x:v>
      </x:c>
      <x:c r="U5106" s="2" t="str">
        <x:f>IF(T5106=TRUE,"Priority review",IF(R5106=TRUE,"High cost",IF(S5106=TRUE,"Low quality","Benchmark")))</x:f>
        <x:v>Benchmark</x:v>
      </x:c>
    </x:row>
    <x:row r="5107">
      <x:c r="A5107" s="2" t="str">
        <x:v>045074</x:v>
      </x:c>
      <x:c r="B5107" s="2" t="str">
        <x:v>HOUSTON VA MEDICAL CENTER</x:v>
      </x:c>
      <x:c r="C5107" s="2" t="str">
        <x:v>HOUSTON</x:v>
      </x:c>
      <x:c r="D5107" s="2" t="str">
        <x:v>TX</x:v>
      </x:c>
      <x:c r="E5107" s="2" t="str">
        <x:v>Acute Care - Veterans Administration</x:v>
      </x:c>
      <x:c r="F5107" s="2" t="str">
        <x:v>Other / unknown</x:v>
      </x:c>
      <x:c r="G5107" s="2" t="str">
        <x:v>Unknown</x:v>
      </x:c>
      <x:c r="H5107" s="7" t="n">
        <x:v>5</x:v>
      </x:c>
      <x:c r="I5107" s="7" t="n">
        <x:v>4</x:v>
      </x:c>
      <x:c r="J5107" s="7"/>
      <x:c r="K5107" s="8"/>
      <x:c r="L5107" s="8"/>
      <x:c r="M5107" s="9"/>
      <x:c r="N5107" s="10"/>
      <x:c r="O5107" s="9"/>
      <x:c r="P5107" s="9" t="n">
        <x:v>0</x:v>
      </x:c>
      <x:c r="Q5107" s="9" t="n">
        <x:v>0.479338843</x:v>
      </x:c>
      <x:c r="R5107" s="3" t="b">
        <x:v>0</x:v>
      </x:c>
      <x:c r="S5107" s="3" t="b">
        <x:v>0</x:v>
      </x:c>
      <x:c r="T5107" s="3" t="b">
        <x:v>0</x:v>
      </x:c>
      <x:c r="U5107" s="2" t="str">
        <x:f>IF(T5107=TRUE,"Priority review",IF(R5107=TRUE,"High cost",IF(S5107=TRUE,"Low quality","Benchmark")))</x:f>
        <x:v>Benchmark</x:v>
      </x:c>
    </x:row>
    <x:row r="5108">
      <x:c r="A5108" s="2" t="str">
        <x:v>003013</x:v>
      </x:c>
      <x:c r="B5108" s="2" t="str">
        <x:v>VA S. ARIZONA HEALTHCARE SYSTEM</x:v>
      </x:c>
      <x:c r="C5108" s="2" t="str">
        <x:v>TUCSON</x:v>
      </x:c>
      <x:c r="D5108" s="2" t="str">
        <x:v>AZ</x:v>
      </x:c>
      <x:c r="E5108" s="2" t="str">
        <x:v>Acute Care - Veterans Administration</x:v>
      </x:c>
      <x:c r="F5108" s="2" t="str">
        <x:v>Other / unknown</x:v>
      </x:c>
      <x:c r="G5108" s="2" t="str">
        <x:v>Unknown</x:v>
      </x:c>
      <x:c r="H5108" s="7" t="n">
        <x:v>5</x:v>
      </x:c>
      <x:c r="I5108" s="7" t="n">
        <x:v>4</x:v>
      </x:c>
      <x:c r="J5108" s="7"/>
      <x:c r="K5108" s="8"/>
      <x:c r="L5108" s="8"/>
      <x:c r="M5108" s="9"/>
      <x:c r="N5108" s="10"/>
      <x:c r="O5108" s="9"/>
      <x:c r="P5108" s="9" t="n">
        <x:v>0</x:v>
      </x:c>
      <x:c r="Q5108" s="9" t="n">
        <x:v>0.479338843</x:v>
      </x:c>
      <x:c r="R5108" s="3" t="b">
        <x:v>0</x:v>
      </x:c>
      <x:c r="S5108" s="3" t="b">
        <x:v>0</x:v>
      </x:c>
      <x:c r="T5108" s="3" t="b">
        <x:v>0</x:v>
      </x:c>
      <x:c r="U5108" s="2" t="str">
        <x:f>IF(T5108=TRUE,"Priority review",IF(R5108=TRUE,"High cost",IF(S5108=TRUE,"Low quality","Benchmark")))</x:f>
        <x:v>Benchmark</x:v>
      </x:c>
    </x:row>
    <x:row r="5109">
      <x:c r="A5109" s="2" t="str">
        <x:v>045090</x:v>
      </x:c>
      <x:c r="B5109" s="2" t="str">
        <x:v>SAN ANTONIO VA MEDICAL CENTER (VA SOUTH TEXAS HEALTHCARE SYSTEM)</x:v>
      </x:c>
      <x:c r="C5109" s="2" t="str">
        <x:v>SAN ANTONIO</x:v>
      </x:c>
      <x:c r="D5109" s="2" t="str">
        <x:v>TX</x:v>
      </x:c>
      <x:c r="E5109" s="2" t="str">
        <x:v>Acute Care - Veterans Administration</x:v>
      </x:c>
      <x:c r="F5109" s="2" t="str">
        <x:v>Other / unknown</x:v>
      </x:c>
      <x:c r="G5109" s="2" t="str">
        <x:v>Unknown</x:v>
      </x:c>
      <x:c r="H5109" s="7" t="n">
        <x:v>5</x:v>
      </x:c>
      <x:c r="I5109" s="7" t="n">
        <x:v>4</x:v>
      </x:c>
      <x:c r="J5109" s="7"/>
      <x:c r="K5109" s="8"/>
      <x:c r="L5109" s="8"/>
      <x:c r="M5109" s="9"/>
      <x:c r="N5109" s="10"/>
      <x:c r="O5109" s="9"/>
      <x:c r="P5109" s="9" t="n">
        <x:v>0</x:v>
      </x:c>
      <x:c r="Q5109" s="9" t="n">
        <x:v>0.479338843</x:v>
      </x:c>
      <x:c r="R5109" s="3" t="b">
        <x:v>0</x:v>
      </x:c>
      <x:c r="S5109" s="3" t="b">
        <x:v>0</x:v>
      </x:c>
      <x:c r="T5109" s="3" t="b">
        <x:v>0</x:v>
      </x:c>
      <x:c r="U5109" s="2" t="str">
        <x:f>IF(T5109=TRUE,"Priority review",IF(R5109=TRUE,"High cost",IF(S5109=TRUE,"Low quality","Benchmark")))</x:f>
        <x:v>Benchmark</x:v>
      </x:c>
    </x:row>
    <x:row r="5110">
      <x:c r="A5110" s="2" t="str">
        <x:v>013003</x:v>
      </x:c>
      <x:c r="B5110" s="2" t="str">
        <x:v>BOISE VA MEDICAL CENTER</x:v>
      </x:c>
      <x:c r="C5110" s="2" t="str">
        <x:v>BOISE</x:v>
      </x:c>
      <x:c r="D5110" s="2" t="str">
        <x:v>ID</x:v>
      </x:c>
      <x:c r="E5110" s="2" t="str">
        <x:v>Acute Care - Veterans Administration</x:v>
      </x:c>
      <x:c r="F5110" s="2" t="str">
        <x:v>Other / unknown</x:v>
      </x:c>
      <x:c r="G5110" s="2" t="str">
        <x:v>Unknown</x:v>
      </x:c>
      <x:c r="H5110" s="7" t="n">
        <x:v>5</x:v>
      </x:c>
      <x:c r="I5110" s="7" t="n">
        <x:v>5</x:v>
      </x:c>
      <x:c r="J5110" s="7"/>
      <x:c r="K5110" s="8"/>
      <x:c r="L5110" s="8"/>
      <x:c r="M5110" s="9"/>
      <x:c r="N5110" s="10"/>
      <x:c r="O5110" s="9"/>
      <x:c r="P5110" s="9" t="n">
        <x:v>0</x:v>
      </x:c>
      <x:c r="Q5110" s="9" t="n">
        <x:v>0.479338843</x:v>
      </x:c>
      <x:c r="R5110" s="3" t="b">
        <x:v>0</x:v>
      </x:c>
      <x:c r="S5110" s="3" t="b">
        <x:v>0</x:v>
      </x:c>
      <x:c r="T5110" s="3" t="b">
        <x:v>0</x:v>
      </x:c>
      <x:c r="U5110" s="2" t="str">
        <x:f>IF(T5110=TRUE,"Priority review",IF(R5110=TRUE,"High cost",IF(S5110=TRUE,"Low quality","Benchmark")))</x:f>
        <x:v>Benchmark</x:v>
      </x:c>
    </x:row>
    <x:row r="5111">
      <x:c r="A5111" s="2" t="str">
        <x:v>027003</x:v>
      </x:c>
      <x:c r="B5111" s="2" t="str">
        <x:v>VA MONTANA HEALTHCARE SYSTEM</x:v>
      </x:c>
      <x:c r="C5111" s="2" t="str">
        <x:v>FORT HARRISON</x:v>
      </x:c>
      <x:c r="D5111" s="2" t="str">
        <x:v>MT</x:v>
      </x:c>
      <x:c r="E5111" s="2" t="str">
        <x:v>Acute Care - Veterans Administration</x:v>
      </x:c>
      <x:c r="F5111" s="2" t="str">
        <x:v>Other / unknown</x:v>
      </x:c>
      <x:c r="G5111" s="2" t="str">
        <x:v>Unknown</x:v>
      </x:c>
      <x:c r="H5111" s="7" t="n">
        <x:v>5</x:v>
      </x:c>
      <x:c r="I5111" s="7" t="n">
        <x:v>5</x:v>
      </x:c>
      <x:c r="J5111" s="7"/>
      <x:c r="K5111" s="8"/>
      <x:c r="L5111" s="8"/>
      <x:c r="M5111" s="9"/>
      <x:c r="N5111" s="10"/>
      <x:c r="O5111" s="9"/>
      <x:c r="P5111" s="9" t="n">
        <x:v>0</x:v>
      </x:c>
      <x:c r="Q5111" s="9" t="n">
        <x:v>0.479338843</x:v>
      </x:c>
      <x:c r="R5111" s="3" t="b">
        <x:v>0</x:v>
      </x:c>
      <x:c r="S5111" s="3" t="b">
        <x:v>0</x:v>
      </x:c>
      <x:c r="T5111" s="3" t="b">
        <x:v>0</x:v>
      </x:c>
      <x:c r="U5111" s="2" t="str">
        <x:f>IF(T5111=TRUE,"Priority review",IF(R5111=TRUE,"High cost",IF(S5111=TRUE,"Low quality","Benchmark")))</x:f>
        <x:v>Benchmark</x:v>
      </x:c>
    </x:row>
    <x:row r="5112">
      <x:c r="A5112" s="2" t="str">
        <x:v>014004</x:v>
      </x:c>
      <x:c r="B5112" s="2" t="str">
        <x:v>VA ILLIANA HEALTHCARE SYSTEM - DANVILLE</x:v>
      </x:c>
      <x:c r="C5112" s="2" t="str">
        <x:v>DANVILLE</x:v>
      </x:c>
      <x:c r="D5112" s="2" t="str">
        <x:v>IL</x:v>
      </x:c>
      <x:c r="E5112" s="2" t="str">
        <x:v>Acute Care - Veterans Administration</x:v>
      </x:c>
      <x:c r="F5112" s="2" t="str">
        <x:v>Other / unknown</x:v>
      </x:c>
      <x:c r="G5112" s="2" t="str">
        <x:v>Unknown</x:v>
      </x:c>
      <x:c r="H5112" s="7"/>
      <x:c r="I5112" s="7"/>
      <x:c r="J5112" s="7"/>
      <x:c r="K5112" s="8"/>
      <x:c r="L5112" s="8"/>
      <x:c r="M5112" s="9"/>
      <x:c r="N5112" s="10"/>
      <x:c r="O5112" s="9"/>
      <x:c r="P5112" s="9" t="n">
        <x:v>0</x:v>
      </x:c>
      <x:c r="Q5112" s="9" t="n">
        <x:v>0.867768595</x:v>
      </x:c>
      <x:c r="R5112" s="3" t="b">
        <x:v>0</x:v>
      </x:c>
      <x:c r="S5112" s="3" t="b">
        <x:v>0</x:v>
      </x:c>
      <x:c r="T5112" s="3" t="b">
        <x:v>0</x:v>
      </x:c>
      <x:c r="U5112" s="2" t="str">
        <x:f>IF(T5112=TRUE,"Priority review",IF(R5112=TRUE,"High cost",IF(S5112=TRUE,"Low quality","Benchmark")))</x:f>
        <x:v>Benchmark</x:v>
      </x:c>
    </x:row>
    <x:row r="5113">
      <x:c r="A5113" s="2" t="str">
        <x:v>019043</x:v>
      </x:c>
      <x:c r="B5113" s="2" t="str">
        <x:v>ALEXANDRIA VA MEDICAL CENTER</x:v>
      </x:c>
      <x:c r="C5113" s="2" t="str">
        <x:v>PINEVILLE</x:v>
      </x:c>
      <x:c r="D5113" s="2" t="str">
        <x:v>LA</x:v>
      </x:c>
      <x:c r="E5113" s="2" t="str">
        <x:v>Acute Care - Veterans Administration</x:v>
      </x:c>
      <x:c r="F5113" s="2" t="str">
        <x:v>Other / unknown</x:v>
      </x:c>
      <x:c r="G5113" s="2" t="str">
        <x:v>Unknown</x:v>
      </x:c>
      <x:c r="H5113" s="7"/>
      <x:c r="I5113" s="7"/>
      <x:c r="J5113" s="7"/>
      <x:c r="K5113" s="8"/>
      <x:c r="L5113" s="8"/>
      <x:c r="M5113" s="9"/>
      <x:c r="N5113" s="10"/>
      <x:c r="O5113" s="9"/>
      <x:c r="P5113" s="9" t="n">
        <x:v>0</x:v>
      </x:c>
      <x:c r="Q5113" s="9" t="n">
        <x:v>0.867768595</x:v>
      </x:c>
      <x:c r="R5113" s="3" t="b">
        <x:v>0</x:v>
      </x:c>
      <x:c r="S5113" s="3" t="b">
        <x:v>0</x:v>
      </x:c>
      <x:c r="T5113" s="3" t="b">
        <x:v>0</x:v>
      </x:c>
      <x:c r="U5113" s="2" t="str">
        <x:f>IF(T5113=TRUE,"Priority review",IF(R5113=TRUE,"High cost",IF(S5113=TRUE,"Low quality","Benchmark")))</x:f>
        <x:v>Benchmark</x:v>
      </x:c>
    </x:row>
    <x:row r="5114">
      <x:c r="A5114" s="2" t="str">
        <x:v>011031</x:v>
      </x:c>
      <x:c r="B5114" s="2" t="str">
        <x:v>DUBLIN VA MEDICAL CENTER</x:v>
      </x:c>
      <x:c r="C5114" s="2" t="str">
        <x:v>DUBLIN</x:v>
      </x:c>
      <x:c r="D5114" s="2" t="str">
        <x:v>GA</x:v>
      </x:c>
      <x:c r="E5114" s="2" t="str">
        <x:v>Acute Care - Veterans Administration</x:v>
      </x:c>
      <x:c r="F5114" s="2" t="str">
        <x:v>Other / unknown</x:v>
      </x:c>
      <x:c r="G5114" s="2" t="str">
        <x:v>Unknown</x:v>
      </x:c>
      <x:c r="H5114" s="7"/>
      <x:c r="I5114" s="7"/>
      <x:c r="J5114" s="7"/>
      <x:c r="K5114" s="8"/>
      <x:c r="L5114" s="8"/>
      <x:c r="M5114" s="9"/>
      <x:c r="N5114" s="10"/>
      <x:c r="O5114" s="9"/>
      <x:c r="P5114" s="9" t="n">
        <x:v>0</x:v>
      </x:c>
      <x:c r="Q5114" s="9" t="n">
        <x:v>0.867768595</x:v>
      </x:c>
      <x:c r="R5114" s="3" t="b">
        <x:v>0</x:v>
      </x:c>
      <x:c r="S5114" s="3" t="b">
        <x:v>0</x:v>
      </x:c>
      <x:c r="T5114" s="3" t="b">
        <x:v>0</x:v>
      </x:c>
      <x:c r="U5114" s="2" t="str">
        <x:f>IF(T5114=TRUE,"Priority review",IF(R5114=TRUE,"High cost",IF(S5114=TRUE,"Low quality","Benchmark")))</x:f>
        <x:v>Benchmark</x:v>
      </x:c>
    </x:row>
    <x:row r="5115">
      <x:c r="A5115" s="2" t="str">
        <x:v>010015</x:v>
      </x:c>
      <x:c r="B5115" s="2" t="str">
        <x:v>VA NORTH FLORIDA/SOUTH GEORGIA HEALTHCARE SYSTEM - LAKE CITY</x:v>
      </x:c>
      <x:c r="C5115" s="2" t="str">
        <x:v>LAKE CITY</x:v>
      </x:c>
      <x:c r="D5115" s="2" t="str">
        <x:v>FL</x:v>
      </x:c>
      <x:c r="E5115" s="2" t="str">
        <x:v>Acute Care - Veterans Administration</x:v>
      </x:c>
      <x:c r="F5115" s="2" t="str">
        <x:v>Other / unknown</x:v>
      </x:c>
      <x:c r="G5115" s="2" t="str">
        <x:v>Unknown</x:v>
      </x:c>
      <x:c r="H5115" s="7"/>
      <x:c r="I5115" s="7"/>
      <x:c r="J5115" s="7"/>
      <x:c r="K5115" s="8"/>
      <x:c r="L5115" s="8"/>
      <x:c r="M5115" s="9"/>
      <x:c r="N5115" s="10"/>
      <x:c r="O5115" s="9"/>
      <x:c r="P5115" s="9" t="n">
        <x:v>0</x:v>
      </x:c>
      <x:c r="Q5115" s="9" t="n">
        <x:v>0.867768595</x:v>
      </x:c>
      <x:c r="R5115" s="3" t="b">
        <x:v>0</x:v>
      </x:c>
      <x:c r="S5115" s="3" t="b">
        <x:v>0</x:v>
      </x:c>
      <x:c r="T5115" s="3" t="b">
        <x:v>0</x:v>
      </x:c>
      <x:c r="U5115" s="2" t="str">
        <x:f>IF(T5115=TRUE,"Priority review",IF(R5115=TRUE,"High cost",IF(S5115=TRUE,"Low quality","Benchmark")))</x:f>
        <x:v>Benchmark</x:v>
      </x:c>
    </x:row>
    <x:row r="5116">
      <x:c r="A5116" s="2" t="str">
        <x:v>021010</x:v>
      </x:c>
      <x:c r="B5116" s="2" t="str">
        <x:v>VA MARYLAND HEALTHCARE SYSTEM - PERRY POINT</x:v>
      </x:c>
      <x:c r="C5116" s="2" t="str">
        <x:v>PERRY POINT</x:v>
      </x:c>
      <x:c r="D5116" s="2" t="str">
        <x:v>MD</x:v>
      </x:c>
      <x:c r="E5116" s="2" t="str">
        <x:v>Acute Care - Veterans Administration</x:v>
      </x:c>
      <x:c r="F5116" s="2" t="str">
        <x:v>Other / unknown</x:v>
      </x:c>
      <x:c r="G5116" s="2" t="str">
        <x:v>Unknown</x:v>
      </x:c>
      <x:c r="H5116" s="7"/>
      <x:c r="I5116" s="7"/>
      <x:c r="J5116" s="7"/>
      <x:c r="K5116" s="8"/>
      <x:c r="L5116" s="8"/>
      <x:c r="M5116" s="9"/>
      <x:c r="N5116" s="10"/>
      <x:c r="O5116" s="9"/>
      <x:c r="P5116" s="9" t="n">
        <x:v>0</x:v>
      </x:c>
      <x:c r="Q5116" s="9" t="n">
        <x:v>0.867768595</x:v>
      </x:c>
      <x:c r="R5116" s="3" t="b">
        <x:v>0</x:v>
      </x:c>
      <x:c r="S5116" s="3" t="b">
        <x:v>0</x:v>
      </x:c>
      <x:c r="T5116" s="3" t="b">
        <x:v>0</x:v>
      </x:c>
      <x:c r="U5116" s="2" t="str">
        <x:f>IF(T5116=TRUE,"Priority review",IF(R5116=TRUE,"High cost",IF(S5116=TRUE,"Low quality","Benchmark")))</x:f>
        <x:v>Benchmark</x:v>
      </x:c>
    </x:row>
    <x:row r="5117">
      <x:c r="A5117" s="2" t="str">
        <x:v>022009</x:v>
      </x:c>
      <x:c r="B5117" s="2" t="str">
        <x:v>NORTHAMPTON VA MEDICAL CENTER</x:v>
      </x:c>
      <x:c r="C5117" s="2" t="str">
        <x:v>LEEDS</x:v>
      </x:c>
      <x:c r="D5117" s="2" t="str">
        <x:v>MA</x:v>
      </x:c>
      <x:c r="E5117" s="2" t="str">
        <x:v>Acute Care - Veterans Administration</x:v>
      </x:c>
      <x:c r="F5117" s="2" t="str">
        <x:v>Other / unknown</x:v>
      </x:c>
      <x:c r="G5117" s="2" t="str">
        <x:v>Unknown</x:v>
      </x:c>
      <x:c r="H5117" s="7"/>
      <x:c r="I5117" s="7"/>
      <x:c r="J5117" s="7"/>
      <x:c r="K5117" s="8"/>
      <x:c r="L5117" s="8"/>
      <x:c r="M5117" s="9"/>
      <x:c r="N5117" s="10"/>
      <x:c r="O5117" s="9"/>
      <x:c r="P5117" s="9" t="n">
        <x:v>0</x:v>
      </x:c>
      <x:c r="Q5117" s="9" t="n">
        <x:v>0.867768595</x:v>
      </x:c>
      <x:c r="R5117" s="3" t="b">
        <x:v>0</x:v>
      </x:c>
      <x:c r="S5117" s="3" t="b">
        <x:v>0</x:v>
      </x:c>
      <x:c r="T5117" s="3" t="b">
        <x:v>0</x:v>
      </x:c>
      <x:c r="U5117" s="2" t="str">
        <x:f>IF(T5117=TRUE,"Priority review",IF(R5117=TRUE,"High cost",IF(S5117=TRUE,"Low quality","Benchmark")))</x:f>
        <x:v>Benchmark</x:v>
      </x:c>
    </x:row>
    <x:row r="5118">
      <x:c r="A5118" s="2" t="str">
        <x:v>039005</x:v>
      </x:c>
      <x:c r="B5118" s="2" t="str">
        <x:v>ERIE VA MEDICAL CENTER</x:v>
      </x:c>
      <x:c r="C5118" s="2" t="str">
        <x:v>ERIE</x:v>
      </x:c>
      <x:c r="D5118" s="2" t="str">
        <x:v>PA</x:v>
      </x:c>
      <x:c r="E5118" s="2" t="str">
        <x:v>Acute Care - Veterans Administration</x:v>
      </x:c>
      <x:c r="F5118" s="2" t="str">
        <x:v>Other / unknown</x:v>
      </x:c>
      <x:c r="G5118" s="2" t="str">
        <x:v>Unknown</x:v>
      </x:c>
      <x:c r="H5118" s="7"/>
      <x:c r="I5118" s="7"/>
      <x:c r="J5118" s="7"/>
      <x:c r="K5118" s="8"/>
      <x:c r="L5118" s="8"/>
      <x:c r="M5118" s="9"/>
      <x:c r="N5118" s="10"/>
      <x:c r="O5118" s="9"/>
      <x:c r="P5118" s="9" t="n">
        <x:v>0</x:v>
      </x:c>
      <x:c r="Q5118" s="9" t="n">
        <x:v>0.867768595</x:v>
      </x:c>
      <x:c r="R5118" s="3" t="b">
        <x:v>0</x:v>
      </x:c>
      <x:c r="S5118" s="3" t="b">
        <x:v>0</x:v>
      </x:c>
      <x:c r="T5118" s="3" t="b">
        <x:v>0</x:v>
      </x:c>
      <x:c r="U5118" s="2" t="str">
        <x:f>IF(T5118=TRUE,"Priority review",IF(R5118=TRUE,"High cost",IF(S5118=TRUE,"Low quality","Benchmark")))</x:f>
        <x:v>Benchmark</x:v>
      </x:c>
    </x:row>
    <x:row r="5119">
      <x:c r="A5119" s="2" t="str">
        <x:v>039004</x:v>
      </x:c>
      <x:c r="B5119" s="2" t="str">
        <x:v>COATESVILLE VA MEDICAL CENTER</x:v>
      </x:c>
      <x:c r="C5119" s="2" t="str">
        <x:v>COATESVILLE</x:v>
      </x:c>
      <x:c r="D5119" s="2" t="str">
        <x:v>PA</x:v>
      </x:c>
      <x:c r="E5119" s="2" t="str">
        <x:v>Acute Care - Veterans Administration</x:v>
      </x:c>
      <x:c r="F5119" s="2" t="str">
        <x:v>Other / unknown</x:v>
      </x:c>
      <x:c r="G5119" s="2" t="str">
        <x:v>Unknown</x:v>
      </x:c>
      <x:c r="H5119" s="7"/>
      <x:c r="I5119" s="7"/>
      <x:c r="J5119" s="7"/>
      <x:c r="K5119" s="8"/>
      <x:c r="L5119" s="8"/>
      <x:c r="M5119" s="9"/>
      <x:c r="N5119" s="10"/>
      <x:c r="O5119" s="9"/>
      <x:c r="P5119" s="9" t="n">
        <x:v>0</x:v>
      </x:c>
      <x:c r="Q5119" s="9" t="n">
        <x:v>0.867768595</x:v>
      </x:c>
      <x:c r="R5119" s="3" t="b">
        <x:v>0</x:v>
      </x:c>
      <x:c r="S5119" s="3" t="b">
        <x:v>0</x:v>
      </x:c>
      <x:c r="T5119" s="3" t="b">
        <x:v>0</x:v>
      </x:c>
      <x:c r="U5119" s="2" t="str">
        <x:f>IF(T5119=TRUE,"Priority review",IF(R5119=TRUE,"High cost",IF(S5119=TRUE,"Low quality","Benchmark")))</x:f>
        <x:v>Benchmark</x:v>
      </x:c>
    </x:row>
    <x:row r="5120">
      <x:c r="A5120" s="2" t="str">
        <x:v>052002</x:v>
      </x:c>
      <x:c r="B5120" s="2" t="str">
        <x:v>TOMAH VA MEDICAL CENTER</x:v>
      </x:c>
      <x:c r="C5120" s="2" t="str">
        <x:v>TOMAH</x:v>
      </x:c>
      <x:c r="D5120" s="2" t="str">
        <x:v>WI</x:v>
      </x:c>
      <x:c r="E5120" s="2" t="str">
        <x:v>Acute Care - Veterans Administration</x:v>
      </x:c>
      <x:c r="F5120" s="2" t="str">
        <x:v>Other / unknown</x:v>
      </x:c>
      <x:c r="G5120" s="2" t="str">
        <x:v>Unknown</x:v>
      </x:c>
      <x:c r="H5120" s="7"/>
      <x:c r="I5120" s="7"/>
      <x:c r="J5120" s="7"/>
      <x:c r="K5120" s="8"/>
      <x:c r="L5120" s="8"/>
      <x:c r="M5120" s="9"/>
      <x:c r="N5120" s="10"/>
      <x:c r="O5120" s="9"/>
      <x:c r="P5120" s="9" t="n">
        <x:v>0</x:v>
      </x:c>
      <x:c r="Q5120" s="9" t="n">
        <x:v>0.867768595</x:v>
      </x:c>
      <x:c r="R5120" s="3" t="b">
        <x:v>0</x:v>
      </x:c>
      <x:c r="S5120" s="3" t="b">
        <x:v>0</x:v>
      </x:c>
      <x:c r="T5120" s="3" t="b">
        <x:v>0</x:v>
      </x:c>
      <x:c r="U5120" s="2" t="str">
        <x:f>IF(T5120=TRUE,"Priority review",IF(R5120=TRUE,"High cost",IF(S5120=TRUE,"Low quality","Benchmark")))</x:f>
        <x:v>Benchmark</x:v>
      </x:c>
    </x:row>
    <x:row r="5121">
      <x:c r="A5121" s="2" t="str">
        <x:v>038004</x:v>
      </x:c>
      <x:c r="B5121" s="2" t="str">
        <x:v>VA ROSEBURG HEALTHCARE SYSTEM</x:v>
      </x:c>
      <x:c r="C5121" s="2" t="str">
        <x:v>ROSEBURG</x:v>
      </x:c>
      <x:c r="D5121" s="2" t="str">
        <x:v>OR</x:v>
      </x:c>
      <x:c r="E5121" s="2" t="str">
        <x:v>Acute Care - Veterans Administration</x:v>
      </x:c>
      <x:c r="F5121" s="2" t="str">
        <x:v>Other / unknown</x:v>
      </x:c>
      <x:c r="G5121" s="2" t="str">
        <x:v>Unknown</x:v>
      </x:c>
      <x:c r="H5121" s="7"/>
      <x:c r="I5121" s="7"/>
      <x:c r="J5121" s="7"/>
      <x:c r="K5121" s="8"/>
      <x:c r="L5121" s="8"/>
      <x:c r="M5121" s="9"/>
      <x:c r="N5121" s="10"/>
      <x:c r="O5121" s="9"/>
      <x:c r="P5121" s="9" t="n">
        <x:v>0</x:v>
      </x:c>
      <x:c r="Q5121" s="9" t="n">
        <x:v>0.867768595</x:v>
      </x:c>
      <x:c r="R5121" s="3" t="b">
        <x:v>0</x:v>
      </x:c>
      <x:c r="S5121" s="3" t="b">
        <x:v>0</x:v>
      </x:c>
      <x:c r="T5121" s="3" t="b">
        <x:v>0</x:v>
      </x:c>
      <x:c r="U5121" s="2" t="str">
        <x:f>IF(T5121=TRUE,"Priority review",IF(R5121=TRUE,"High cost",IF(S5121=TRUE,"Low quality","Benchmark")))</x:f>
        <x:v>Benchmark</x:v>
      </x:c>
    </x:row>
    <x:row r="5122">
      <x:c r="A5122" s="2" t="str">
        <x:v>036008</x:v>
      </x:c>
      <x:c r="B5122" s="2" t="str">
        <x:v>CHILLICOTHE VA MEDICAL CENTER</x:v>
      </x:c>
      <x:c r="C5122" s="2" t="str">
        <x:v>CHILLICOTHE</x:v>
      </x:c>
      <x:c r="D5122" s="2" t="str">
        <x:v>OH</x:v>
      </x:c>
      <x:c r="E5122" s="2" t="str">
        <x:v>Acute Care - Veterans Administration</x:v>
      </x:c>
      <x:c r="F5122" s="2" t="str">
        <x:v>Other / unknown</x:v>
      </x:c>
      <x:c r="G5122" s="2" t="str">
        <x:v>Unknown</x:v>
      </x:c>
      <x:c r="H5122" s="7"/>
      <x:c r="I5122" s="7"/>
      <x:c r="J5122" s="7"/>
      <x:c r="K5122" s="8"/>
      <x:c r="L5122" s="8"/>
      <x:c r="M5122" s="9"/>
      <x:c r="N5122" s="10"/>
      <x:c r="O5122" s="9"/>
      <x:c r="P5122" s="9" t="n">
        <x:v>0</x:v>
      </x:c>
      <x:c r="Q5122" s="9" t="n">
        <x:v>0.867768595</x:v>
      </x:c>
      <x:c r="R5122" s="3" t="b">
        <x:v>0</x:v>
      </x:c>
      <x:c r="S5122" s="3" t="b">
        <x:v>0</x:v>
      </x:c>
      <x:c r="T5122" s="3" t="b">
        <x:v>0</x:v>
      </x:c>
      <x:c r="U5122" s="2" t="str">
        <x:f>IF(T5122=TRUE,"Priority review",IF(R5122=TRUE,"High cost",IF(S5122=TRUE,"Low quality","Benchmark")))</x:f>
        <x:v>Benchmark</x:v>
      </x:c>
    </x:row>
    <x:row r="5123">
      <x:c r="A5123" s="2" t="str">
        <x:v>023005</x:v>
      </x:c>
      <x:c r="B5123" s="2" t="str">
        <x:v>IRON MOUNTAIN MI VA MEDICAL CENTER</x:v>
      </x:c>
      <x:c r="C5123" s="2" t="str">
        <x:v>IRON MOUNTAIN</x:v>
      </x:c>
      <x:c r="D5123" s="2" t="str">
        <x:v>MI</x:v>
      </x:c>
      <x:c r="E5123" s="2" t="str">
        <x:v>Acute Care - Veterans Administration</x:v>
      </x:c>
      <x:c r="F5123" s="2" t="str">
        <x:v>Other / unknown</x:v>
      </x:c>
      <x:c r="G5123" s="2" t="str">
        <x:v>Unknown</x:v>
      </x:c>
      <x:c r="H5123" s="7"/>
      <x:c r="I5123" s="7"/>
      <x:c r="J5123" s="7"/>
      <x:c r="K5123" s="8"/>
      <x:c r="L5123" s="8"/>
      <x:c r="M5123" s="9"/>
      <x:c r="N5123" s="10"/>
      <x:c r="O5123" s="9"/>
      <x:c r="P5123" s="9" t="n">
        <x:v>0</x:v>
      </x:c>
      <x:c r="Q5123" s="9" t="n">
        <x:v>0.867768595</x:v>
      </x:c>
      <x:c r="R5123" s="3" t="b">
        <x:v>0</x:v>
      </x:c>
      <x:c r="S5123" s="3" t="b">
        <x:v>0</x:v>
      </x:c>
      <x:c r="T5123" s="3" t="b">
        <x:v>0</x:v>
      </x:c>
      <x:c r="U5123" s="2" t="str">
        <x:f>IF(T5123=TRUE,"Priority review",IF(R5123=TRUE,"High cost",IF(S5123=TRUE,"Low quality","Benchmark")))</x:f>
        <x:v>Benchmark</x:v>
      </x:c>
    </x:row>
    <x:row r="5124">
      <x:c r="A5124" s="2" t="str">
        <x:v>053005</x:v>
      </x:c>
      <x:c r="B5124" s="2" t="str">
        <x:v>SHERIDAN VA MEDICAL CENTER</x:v>
      </x:c>
      <x:c r="C5124" s="2" t="str">
        <x:v>SHERIDAN</x:v>
      </x:c>
      <x:c r="D5124" s="2" t="str">
        <x:v>WY</x:v>
      </x:c>
      <x:c r="E5124" s="2" t="str">
        <x:v>Acute Care - Veterans Administration</x:v>
      </x:c>
      <x:c r="F5124" s="2" t="str">
        <x:v>Other / unknown</x:v>
      </x:c>
      <x:c r="G5124" s="2" t="str">
        <x:v>Unknown</x:v>
      </x:c>
      <x:c r="H5124" s="7"/>
      <x:c r="I5124" s="7"/>
      <x:c r="J5124" s="7"/>
      <x:c r="K5124" s="8"/>
      <x:c r="L5124" s="8"/>
      <x:c r="M5124" s="9"/>
      <x:c r="N5124" s="10"/>
      <x:c r="O5124" s="9"/>
      <x:c r="P5124" s="9" t="n">
        <x:v>0</x:v>
      </x:c>
      <x:c r="Q5124" s="9" t="n">
        <x:v>0.867768595</x:v>
      </x:c>
      <x:c r="R5124" s="3" t="b">
        <x:v>0</x:v>
      </x:c>
      <x:c r="S5124" s="3" t="b">
        <x:v>0</x:v>
      </x:c>
      <x:c r="T5124" s="3" t="b">
        <x:v>0</x:v>
      </x:c>
      <x:c r="U5124" s="2" t="str">
        <x:f>IF(T5124=TRUE,"Priority review",IF(R5124=TRUE,"High cost",IF(S5124=TRUE,"Low quality","Benchmark")))</x:f>
        <x:v>Benchmark</x:v>
      </x:c>
    </x:row>
    <x:row r="5125">
      <x:c r="A5125" s="2" t="str">
        <x:v>001021</x:v>
      </x:c>
      <x:c r="B5125" s="2" t="str">
        <x:v>TUSCALOOSA VA MEDICAL CENTER</x:v>
      </x:c>
      <x:c r="C5125" s="2" t="str">
        <x:v>TUSCALOOSA</x:v>
      </x:c>
      <x:c r="D5125" s="2" t="str">
        <x:v>AL</x:v>
      </x:c>
      <x:c r="E5125" s="2" t="str">
        <x:v>Acute Care - Veterans Administration</x:v>
      </x:c>
      <x:c r="F5125" s="2" t="str">
        <x:v>Other / unknown</x:v>
      </x:c>
      <x:c r="G5125" s="2" t="str">
        <x:v>Unknown</x:v>
      </x:c>
      <x:c r="H5125" s="7"/>
      <x:c r="I5125" s="7"/>
      <x:c r="J5125" s="7"/>
      <x:c r="K5125" s="8"/>
      <x:c r="L5125" s="8"/>
      <x:c r="M5125" s="9"/>
      <x:c r="N5125" s="10"/>
      <x:c r="O5125" s="9"/>
      <x:c r="P5125" s="9" t="n">
        <x:v>0</x:v>
      </x:c>
      <x:c r="Q5125" s="9" t="n">
        <x:v>0.867768595</x:v>
      </x:c>
      <x:c r="R5125" s="3" t="b">
        <x:v>0</x:v>
      </x:c>
      <x:c r="S5125" s="3" t="b">
        <x:v>0</x:v>
      </x:c>
      <x:c r="T5125" s="3" t="b">
        <x:v>0</x:v>
      </x:c>
      <x:c r="U5125" s="2" t="str">
        <x:f>IF(T5125=TRUE,"Priority review",IF(R5125=TRUE,"High cost",IF(S5125=TRUE,"Low quality","Benchmark")))</x:f>
        <x:v>Benchmark</x:v>
      </x:c>
    </x:row>
    <x:row r="5126">
      <x:c r="A5126" s="2" t="str">
        <x:v>023012</x:v>
      </x:c>
      <x:c r="B5126" s="2" t="str">
        <x:v>BATTLE CREEK VA MEDICAL CENTER</x:v>
      </x:c>
      <x:c r="C5126" s="2" t="str">
        <x:v>BATTLE CREEK</x:v>
      </x:c>
      <x:c r="D5126" s="2" t="str">
        <x:v>MI</x:v>
      </x:c>
      <x:c r="E5126" s="2" t="str">
        <x:v>Acute Care - Veterans Administration</x:v>
      </x:c>
      <x:c r="F5126" s="2" t="str">
        <x:v>Other / unknown</x:v>
      </x:c>
      <x:c r="G5126" s="2" t="str">
        <x:v>Unknown</x:v>
      </x:c>
      <x:c r="H5126" s="7"/>
      <x:c r="I5126" s="7"/>
      <x:c r="J5126" s="7"/>
      <x:c r="K5126" s="8"/>
      <x:c r="L5126" s="8"/>
      <x:c r="M5126" s="9"/>
      <x:c r="N5126" s="10"/>
      <x:c r="O5126" s="9"/>
      <x:c r="P5126" s="9" t="n">
        <x:v>0</x:v>
      </x:c>
      <x:c r="Q5126" s="9" t="n">
        <x:v>0.867768595</x:v>
      </x:c>
      <x:c r="R5126" s="3" t="b">
        <x:v>0</x:v>
      </x:c>
      <x:c r="S5126" s="3" t="b">
        <x:v>0</x:v>
      </x:c>
      <x:c r="T5126" s="3" t="b">
        <x:v>0</x:v>
      </x:c>
      <x:c r="U5126" s="2" t="str">
        <x:f>IF(T5126=TRUE,"Priority review",IF(R5126=TRUE,"High cost",IF(S5126=TRUE,"Low quality","Benchmark")))</x:f>
        <x:v>Benchmark</x:v>
      </x:c>
    </x:row>
    <x:row r="5127">
      <x:c r="A5127" s="2" t="str">
        <x:v>026007</x:v>
      </x:c>
      <x:c r="B5127" s="2" t="str">
        <x:v>POPLAR BLUFF VA MEDICAL CENTER</x:v>
      </x:c>
      <x:c r="C5127" s="2" t="str">
        <x:v>POPLAR BLUFF</x:v>
      </x:c>
      <x:c r="D5127" s="2" t="str">
        <x:v>MO</x:v>
      </x:c>
      <x:c r="E5127" s="2" t="str">
        <x:v>Acute Care - Veterans Administration</x:v>
      </x:c>
      <x:c r="F5127" s="2" t="str">
        <x:v>Other / unknown</x:v>
      </x:c>
      <x:c r="G5127" s="2" t="str">
        <x:v>Unknown</x:v>
      </x:c>
      <x:c r="H5127" s="7"/>
      <x:c r="I5127" s="7"/>
      <x:c r="J5127" s="7"/>
      <x:c r="K5127" s="8"/>
      <x:c r="L5127" s="8"/>
      <x:c r="M5127" s="9"/>
      <x:c r="N5127" s="10"/>
      <x:c r="O5127" s="9"/>
      <x:c r="P5127" s="9" t="n">
        <x:v>0</x:v>
      </x:c>
      <x:c r="Q5127" s="9" t="n">
        <x:v>0.867768595</x:v>
      </x:c>
      <x:c r="R5127" s="3" t="b">
        <x:v>0</x:v>
      </x:c>
      <x:c r="S5127" s="3" t="b">
        <x:v>0</x:v>
      </x:c>
      <x:c r="T5127" s="3" t="b">
        <x:v>0</x:v>
      </x:c>
      <x:c r="U5127" s="2" t="str">
        <x:f>IF(T5127=TRUE,"Priority review",IF(R5127=TRUE,"High cost",IF(S5127=TRUE,"Low quality","Benchmark")))</x:f>
        <x:v>Benchmark</x:v>
      </x:c>
    </x:row>
    <x:row r="5128">
      <x:c r="A5128" s="2" t="str">
        <x:v>033011</x:v>
      </x:c>
      <x:c r="B5128" s="2" t="str">
        <x:v>BATH VA MEDICAL CENTER</x:v>
      </x:c>
      <x:c r="C5128" s="2" t="str">
        <x:v>BATH</x:v>
      </x:c>
      <x:c r="D5128" s="2" t="str">
        <x:v>NY</x:v>
      </x:c>
      <x:c r="E5128" s="2" t="str">
        <x:v>Acute Care - Veterans Administration</x:v>
      </x:c>
      <x:c r="F5128" s="2" t="str">
        <x:v>Other / unknown</x:v>
      </x:c>
      <x:c r="G5128" s="2" t="str">
        <x:v>Unknown</x:v>
      </x:c>
      <x:c r="H5128" s="7"/>
      <x:c r="I5128" s="7"/>
      <x:c r="J5128" s="7"/>
      <x:c r="K5128" s="8"/>
      <x:c r="L5128" s="8"/>
      <x:c r="M5128" s="9"/>
      <x:c r="N5128" s="10"/>
      <x:c r="O5128" s="9"/>
      <x:c r="P5128" s="9" t="n">
        <x:v>0</x:v>
      </x:c>
      <x:c r="Q5128" s="9" t="n">
        <x:v>0.867768595</x:v>
      </x:c>
      <x:c r="R5128" s="3" t="b">
        <x:v>0</x:v>
      </x:c>
      <x:c r="S5128" s="3" t="b">
        <x:v>0</x:v>
      </x:c>
      <x:c r="T5128" s="3" t="b">
        <x:v>0</x:v>
      </x:c>
      <x:c r="U5128" s="2" t="str">
        <x:f>IF(T5128=TRUE,"Priority review",IF(R5128=TRUE,"High cost",IF(S5128=TRUE,"Low quality","Benchmark")))</x:f>
        <x:v>Benchmark</x:v>
      </x:c>
    </x:row>
    <x:row r="5129">
      <x:c r="A5129" s="2" t="str">
        <x:v>011307</x:v>
      </x:c>
      <x:c r="B5129" s="2" t="str">
        <x:v>MEDICAL CENTER BARBOUR</x:v>
      </x:c>
      <x:c r="C5129" s="2" t="str">
        <x:v>EUFAULA</x:v>
      </x:c>
      <x:c r="D5129" s="2" t="str">
        <x:v>AL</x:v>
      </x:c>
      <x:c r="E5129" s="2" t="str">
        <x:v>Critical Access Hospitals</x:v>
      </x:c>
      <x:c r="F5129" s="2" t="str">
        <x:v>Government</x:v>
      </x:c>
      <x:c r="G5129" s="2" t="str">
        <x:v>Small (&lt;100 beds)</x:v>
      </x:c>
      <x:c r="H5129" s="7"/>
      <x:c r="I5129" s="7"/>
      <x:c r="J5129" s="7"/>
      <x:c r="K5129" s="8" t="n">
        <x:v>30</x:v>
      </x:c>
      <x:c r="L5129" s="8" t="n">
        <x:v>652</x:v>
      </x:c>
      <x:c r="M5129" s="9" t="n">
        <x:v>0.4390740741</x:v>
      </x:c>
      <x:c r="N5129" s="10" t="n">
        <x:v>20748.0797546012</x:v>
      </x:c>
      <x:c r="O5129" s="9" t="n">
        <x:v>-0.2518057736</x:v>
      </x:c>
      <x:c r="P5129" s="9" t="n">
        <x:v>0</x:v>
      </x:c>
      <x:c r="Q5129" s="9" t="n">
        <x:v>0.292936803</x:v>
      </x:c>
      <x:c r="R5129" s="3" t="b">
        <x:v>0</x:v>
      </x:c>
      <x:c r="S5129" s="3" t="b">
        <x:v>0</x:v>
      </x:c>
      <x:c r="T5129" s="3" t="b">
        <x:v>0</x:v>
      </x:c>
      <x:c r="U5129" s="2" t="str">
        <x:f>IF(T5129=TRUE,"Priority review",IF(R5129=TRUE,"High cost",IF(S5129=TRUE,"Low quality","Benchmark")))</x:f>
        <x:v>Benchmark</x:v>
      </x:c>
    </x:row>
    <x:row r="5130">
      <x:c r="A5130" s="2" t="str">
        <x:v>291307</x:v>
      </x:c>
      <x:c r="B5130" s="2" t="str">
        <x:v>MESA VIEW REGIONAL HOSPITAL</x:v>
      </x:c>
      <x:c r="C5130" s="2" t="str">
        <x:v>MESQUITE</x:v>
      </x:c>
      <x:c r="D5130" s="2" t="str">
        <x:v>NV</x:v>
      </x:c>
      <x:c r="E5130" s="2" t="str">
        <x:v>Critical Access Hospitals</x:v>
      </x:c>
      <x:c r="F5130" s="2" t="str">
        <x:v>Proprietary</x:v>
      </x:c>
      <x:c r="G5130" s="2" t="str">
        <x:v>Unknown</x:v>
      </x:c>
      <x:c r="H5130" s="7" t="n">
        <x:v>2</x:v>
      </x:c>
      <x:c r="I5130" s="7" t="n">
        <x:v>3</x:v>
      </x:c>
      <x:c r="J5130" s="7"/>
      <x:c r="K5130" s="8"/>
      <x:c r="L5130" s="8"/>
      <x:c r="M5130" s="9"/>
      <x:c r="N5130" s="10"/>
      <x:c r="O5130" s="9"/>
      <x:c r="P5130" s="9" t="n">
        <x:v>0</x:v>
      </x:c>
      <x:c r="Q5130" s="9" t="n">
        <x:v>0</x:v>
      </x:c>
      <x:c r="R5130" s="3" t="b">
        <x:v>0</x:v>
      </x:c>
      <x:c r="S5130" s="3" t="b">
        <x:v>0</x:v>
      </x:c>
      <x:c r="T5130" s="3" t="b">
        <x:v>0</x:v>
      </x:c>
      <x:c r="U5130" s="2" t="str">
        <x:f>IF(T5130=TRUE,"Priority review",IF(R5130=TRUE,"High cost",IF(S5130=TRUE,"Low quality","Benchmark")))</x:f>
        <x:v>Benchmark</x:v>
      </x:c>
    </x:row>
    <x:row r="5131">
      <x:c r="A5131" s="2" t="str">
        <x:v>141347</x:v>
      </x:c>
      <x:c r="B5131" s="2" t="str">
        <x:v>CARLINVILLE AREA HOSPITAL</x:v>
      </x:c>
      <x:c r="C5131" s="2" t="str">
        <x:v>CARLINVILLE</x:v>
      </x:c>
      <x:c r="D5131" s="2" t="str">
        <x:v>IL</x:v>
      </x:c>
      <x:c r="E5131" s="2" t="str">
        <x:v>Critical Access Hospitals</x:v>
      </x:c>
      <x:c r="F5131" s="2" t="str">
        <x:v>Voluntary non-profit</x:v>
      </x:c>
      <x:c r="G5131" s="2" t="str">
        <x:v>Unknown</x:v>
      </x:c>
      <x:c r="H5131" s="7" t="n">
        <x:v>2</x:v>
      </x:c>
      <x:c r="I5131" s="7"/>
      <x:c r="J5131" s="7"/>
      <x:c r="K5131" s="8"/>
      <x:c r="L5131" s="8"/>
      <x:c r="M5131" s="9"/>
      <x:c r="N5131" s="10"/>
      <x:c r="O5131" s="9"/>
      <x:c r="P5131" s="9" t="n">
        <x:v>0</x:v>
      </x:c>
      <x:c r="Q5131" s="9" t="n">
        <x:v>0</x:v>
      </x:c>
      <x:c r="R5131" s="3" t="b">
        <x:v>0</x:v>
      </x:c>
      <x:c r="S5131" s="3" t="b">
        <x:v>0</x:v>
      </x:c>
      <x:c r="T5131" s="3" t="b">
        <x:v>0</x:v>
      </x:c>
      <x:c r="U5131" s="2" t="str">
        <x:f>IF(T5131=TRUE,"Priority review",IF(R5131=TRUE,"High cost",IF(S5131=TRUE,"Low quality","Benchmark")))</x:f>
        <x:v>Benchmark</x:v>
      </x:c>
    </x:row>
    <x:row r="5132">
      <x:c r="A5132" s="2" t="str">
        <x:v>171350</x:v>
      </x:c>
      <x:c r="B5132" s="2" t="str">
        <x:v>RUSSELL REGIONAL HOSPITAL</x:v>
      </x:c>
      <x:c r="C5132" s="2" t="str">
        <x:v>RUSSELL</x:v>
      </x:c>
      <x:c r="D5132" s="2" t="str">
        <x:v>KS</x:v>
      </x:c>
      <x:c r="E5132" s="2" t="str">
        <x:v>Critical Access Hospitals</x:v>
      </x:c>
      <x:c r="F5132" s="2" t="str">
        <x:v>Voluntary non-profit</x:v>
      </x:c>
      <x:c r="G5132" s="2" t="str">
        <x:v>Unknown</x:v>
      </x:c>
      <x:c r="H5132" s="7" t="n">
        <x:v>3</x:v>
      </x:c>
      <x:c r="I5132" s="7"/>
      <x:c r="J5132" s="7"/>
      <x:c r="K5132" s="8"/>
      <x:c r="L5132" s="8"/>
      <x:c r="M5132" s="9"/>
      <x:c r="N5132" s="10"/>
      <x:c r="O5132" s="9"/>
      <x:c r="P5132" s="9" t="n">
        <x:v>0</x:v>
      </x:c>
      <x:c r="Q5132" s="9" t="n">
        <x:v>0.0588235294</x:v>
      </x:c>
      <x:c r="R5132" s="3" t="b">
        <x:v>0</x:v>
      </x:c>
      <x:c r="S5132" s="3" t="b">
        <x:v>0</x:v>
      </x:c>
      <x:c r="T5132" s="3" t="b">
        <x:v>0</x:v>
      </x:c>
      <x:c r="U5132" s="2" t="str">
        <x:f>IF(T5132=TRUE,"Priority review",IF(R5132=TRUE,"High cost",IF(S5132=TRUE,"Low quality","Benchmark")))</x:f>
        <x:v>Benchmark</x:v>
      </x:c>
    </x:row>
    <x:row r="5133">
      <x:c r="A5133" s="2" t="str">
        <x:v>441307</x:v>
      </x:c>
      <x:c r="B5133" s="2" t="str">
        <x:v>HIGHPOINT HEALTH-RIVERVIEW WITH ASCENSION SAINT TH</x:v>
      </x:c>
      <x:c r="C5133" s="2" t="str">
        <x:v>CARTHAGE</x:v>
      </x:c>
      <x:c r="D5133" s="2" t="str">
        <x:v>TN</x:v>
      </x:c>
      <x:c r="E5133" s="2" t="str">
        <x:v>Critical Access Hospitals</x:v>
      </x:c>
      <x:c r="F5133" s="2" t="str">
        <x:v>Proprietary</x:v>
      </x:c>
      <x:c r="G5133" s="2" t="str">
        <x:v>Unknown</x:v>
      </x:c>
      <x:c r="H5133" s="7" t="n">
        <x:v>4</x:v>
      </x:c>
      <x:c r="I5133" s="7" t="n">
        <x:v>4</x:v>
      </x:c>
      <x:c r="J5133" s="7"/>
      <x:c r="K5133" s="8"/>
      <x:c r="L5133" s="8"/>
      <x:c r="M5133" s="9"/>
      <x:c r="N5133" s="10"/>
      <x:c r="O5133" s="9"/>
      <x:c r="P5133" s="9" t="n">
        <x:v>0</x:v>
      </x:c>
      <x:c r="Q5133" s="9" t="n">
        <x:v>0.0882352941</x:v>
      </x:c>
      <x:c r="R5133" s="3" t="b">
        <x:v>0</x:v>
      </x:c>
      <x:c r="S5133" s="3" t="b">
        <x:v>0</x:v>
      </x:c>
      <x:c r="T5133" s="3" t="b">
        <x:v>0</x:v>
      </x:c>
      <x:c r="U5133" s="2" t="str">
        <x:f>IF(T5133=TRUE,"Priority review",IF(R5133=TRUE,"High cost",IF(S5133=TRUE,"Low quality","Benchmark")))</x:f>
        <x:v>Benchmark</x:v>
      </x:c>
    </x:row>
    <x:row r="5134">
      <x:c r="A5134" s="2" t="str">
        <x:v>141340</x:v>
      </x:c>
      <x:c r="B5134" s="2" t="str">
        <x:v>VALLEY WEST COMMUNITY HOSPITAL</x:v>
      </x:c>
      <x:c r="C5134" s="2" t="str">
        <x:v>SANDWICH</x:v>
      </x:c>
      <x:c r="D5134" s="2" t="str">
        <x:v>IL</x:v>
      </x:c>
      <x:c r="E5134" s="2" t="str">
        <x:v>Critical Access Hospitals</x:v>
      </x:c>
      <x:c r="F5134" s="2" t="str">
        <x:v>Voluntary non-profit</x:v>
      </x:c>
      <x:c r="G5134" s="2" t="str">
        <x:v>Unknown</x:v>
      </x:c>
      <x:c r="H5134" s="7" t="n">
        <x:v>4</x:v>
      </x:c>
      <x:c r="I5134" s="7" t="n">
        <x:v>4</x:v>
      </x:c>
      <x:c r="J5134" s="7"/>
      <x:c r="K5134" s="8"/>
      <x:c r="L5134" s="8"/>
      <x:c r="M5134" s="9"/>
      <x:c r="N5134" s="10"/>
      <x:c r="O5134" s="9"/>
      <x:c r="P5134" s="9" t="n">
        <x:v>0</x:v>
      </x:c>
      <x:c r="Q5134" s="9" t="n">
        <x:v>0.0882352941</x:v>
      </x:c>
      <x:c r="R5134" s="3" t="b">
        <x:v>0</x:v>
      </x:c>
      <x:c r="S5134" s="3" t="b">
        <x:v>0</x:v>
      </x:c>
      <x:c r="T5134" s="3" t="b">
        <x:v>0</x:v>
      </x:c>
      <x:c r="U5134" s="2" t="str">
        <x:f>IF(T5134=TRUE,"Priority review",IF(R5134=TRUE,"High cost",IF(S5134=TRUE,"Low quality","Benchmark")))</x:f>
        <x:v>Benchmark</x:v>
      </x:c>
    </x:row>
    <x:row r="5135">
      <x:c r="A5135" s="2" t="str">
        <x:v>671302</x:v>
      </x:c>
      <x:c r="B5135" s="2" t="str">
        <x:v>STEPHENS MEMORIAL HOSPITAL</x:v>
      </x:c>
      <x:c r="C5135" s="2" t="str">
        <x:v>BRECKENRIDGE</x:v>
      </x:c>
      <x:c r="D5135" s="2" t="str">
        <x:v>TX</x:v>
      </x:c>
      <x:c r="E5135" s="2" t="str">
        <x:v>Critical Access Hospitals</x:v>
      </x:c>
      <x:c r="F5135" s="2" t="str">
        <x:v>Government</x:v>
      </x:c>
      <x:c r="G5135" s="2" t="str">
        <x:v>Unknown</x:v>
      </x:c>
      <x:c r="H5135" s="7"/>
      <x:c r="I5135" s="7"/>
      <x:c r="J5135" s="7"/>
      <x:c r="K5135" s="8"/>
      <x:c r="L5135" s="8"/>
      <x:c r="M5135" s="9"/>
      <x:c r="N5135" s="10"/>
      <x:c r="O5135" s="9"/>
      <x:c r="P5135" s="9" t="n">
        <x:v>0</x:v>
      </x:c>
      <x:c r="Q5135" s="9" t="n">
        <x:v>0.1470588235</x:v>
      </x:c>
      <x:c r="R5135" s="3" t="b">
        <x:v>0</x:v>
      </x:c>
      <x:c r="S5135" s="3" t="b">
        <x:v>0</x:v>
      </x:c>
      <x:c r="T5135" s="3" t="b">
        <x:v>0</x:v>
      </x:c>
      <x:c r="U5135" s="2" t="str">
        <x:f>IF(T5135=TRUE,"Priority review",IF(R5135=TRUE,"High cost",IF(S5135=TRUE,"Low quality","Benchmark")))</x:f>
        <x:v>Benchmark</x:v>
      </x:c>
    </x:row>
    <x:row r="5136">
      <x:c r="A5136" s="2" t="str">
        <x:v>441309</x:v>
      </x:c>
      <x:c r="B5136" s="2" t="str">
        <x:v>MARSHALL MEDICAL CENTER</x:v>
      </x:c>
      <x:c r="C5136" s="2" t="str">
        <x:v>LEWISBURG</x:v>
      </x:c>
      <x:c r="D5136" s="2" t="str">
        <x:v>TN</x:v>
      </x:c>
      <x:c r="E5136" s="2" t="str">
        <x:v>Critical Access Hospitals</x:v>
      </x:c>
      <x:c r="F5136" s="2" t="str">
        <x:v>Government</x:v>
      </x:c>
      <x:c r="G5136" s="2" t="str">
        <x:v>Unknown</x:v>
      </x:c>
      <x:c r="H5136" s="7"/>
      <x:c r="I5136" s="7"/>
      <x:c r="J5136" s="7"/>
      <x:c r="K5136" s="8"/>
      <x:c r="L5136" s="8"/>
      <x:c r="M5136" s="9"/>
      <x:c r="N5136" s="10"/>
      <x:c r="O5136" s="9"/>
      <x:c r="P5136" s="9" t="n">
        <x:v>0</x:v>
      </x:c>
      <x:c r="Q5136" s="9" t="n">
        <x:v>0.1470588235</x:v>
      </x:c>
      <x:c r="R5136" s="3" t="b">
        <x:v>0</x:v>
      </x:c>
      <x:c r="S5136" s="3" t="b">
        <x:v>0</x:v>
      </x:c>
      <x:c r="T5136" s="3" t="b">
        <x:v>0</x:v>
      </x:c>
      <x:c r="U5136" s="2" t="str">
        <x:f>IF(T5136=TRUE,"Priority review",IF(R5136=TRUE,"High cost",IF(S5136=TRUE,"Low quality","Benchmark")))</x:f>
        <x:v>Benchmark</x:v>
      </x:c>
    </x:row>
    <x:row r="5137">
      <x:c r="A5137" s="2" t="str">
        <x:v>331324</x:v>
      </x:c>
      <x:c r="B5137" s="2" t="str">
        <x:v>CARTHAGE AREA HOSPITAL, INC</x:v>
      </x:c>
      <x:c r="C5137" s="2" t="str">
        <x:v>OGDENSBURG</x:v>
      </x:c>
      <x:c r="D5137" s="2" t="str">
        <x:v>NY</x:v>
      </x:c>
      <x:c r="E5137" s="2" t="str">
        <x:v>Critical Access Hospitals</x:v>
      </x:c>
      <x:c r="F5137" s="2" t="str">
        <x:v>Voluntary non-profit</x:v>
      </x:c>
      <x:c r="G5137" s="2" t="str">
        <x:v>Unknown</x:v>
      </x:c>
      <x:c r="H5137" s="7"/>
      <x:c r="I5137" s="7"/>
      <x:c r="J5137" s="7"/>
      <x:c r="K5137" s="8"/>
      <x:c r="L5137" s="8"/>
      <x:c r="M5137" s="9"/>
      <x:c r="N5137" s="10"/>
      <x:c r="O5137" s="9"/>
      <x:c r="P5137" s="9" t="n">
        <x:v>0</x:v>
      </x:c>
      <x:c r="Q5137" s="9" t="n">
        <x:v>0.1470588235</x:v>
      </x:c>
      <x:c r="R5137" s="3" t="b">
        <x:v>0</x:v>
      </x:c>
      <x:c r="S5137" s="3" t="b">
        <x:v>0</x:v>
      </x:c>
      <x:c r="T5137" s="3" t="b">
        <x:v>0</x:v>
      </x:c>
      <x:c r="U5137" s="2" t="str">
        <x:f>IF(T5137=TRUE,"Priority review",IF(R5137=TRUE,"High cost",IF(S5137=TRUE,"Low quality","Benchmark")))</x:f>
        <x:v>Benchmark</x:v>
      </x:c>
    </x:row>
    <x:row r="5138">
      <x:c r="A5138" s="2" t="str">
        <x:v>321312</x:v>
      </x:c>
      <x:c r="B5138" s="2" t="str">
        <x:v>ALTA VISTA REGIONAL HOSPITAL</x:v>
      </x:c>
      <x:c r="C5138" s="2" t="str">
        <x:v>LAS VEGAS</x:v>
      </x:c>
      <x:c r="D5138" s="2" t="str">
        <x:v>NM</x:v>
      </x:c>
      <x:c r="E5138" s="2" t="str">
        <x:v>Critical Access Hospitals</x:v>
      </x:c>
      <x:c r="F5138" s="2" t="str">
        <x:v>Proprietary</x:v>
      </x:c>
      <x:c r="G5138" s="2" t="str">
        <x:v>Unknown</x:v>
      </x:c>
      <x:c r="H5138" s="7"/>
      <x:c r="I5138" s="7"/>
      <x:c r="J5138" s="7"/>
      <x:c r="K5138" s="8"/>
      <x:c r="L5138" s="8"/>
      <x:c r="M5138" s="9"/>
      <x:c r="N5138" s="10"/>
      <x:c r="O5138" s="9"/>
      <x:c r="P5138" s="9" t="n">
        <x:v>0</x:v>
      </x:c>
      <x:c r="Q5138" s="9" t="n">
        <x:v>0.1470588235</x:v>
      </x:c>
      <x:c r="R5138" s="3" t="b">
        <x:v>0</x:v>
      </x:c>
      <x:c r="S5138" s="3" t="b">
        <x:v>0</x:v>
      </x:c>
      <x:c r="T5138" s="3" t="b">
        <x:v>0</x:v>
      </x:c>
      <x:c r="U5138" s="2" t="str">
        <x:f>IF(T5138=TRUE,"Priority review",IF(R5138=TRUE,"High cost",IF(S5138=TRUE,"Low quality","Benchmark")))</x:f>
        <x:v>Benchmark</x:v>
      </x:c>
    </x:row>
    <x:row r="5139">
      <x:c r="A5139" s="2" t="str">
        <x:v>261308</x:v>
      </x:c>
      <x:c r="B5139" s="2" t="str">
        <x:v>WASHINGTON COUNTY MEMORIAL HOSPITAL</x:v>
      </x:c>
      <x:c r="C5139" s="2" t="str">
        <x:v>POTOSI</x:v>
      </x:c>
      <x:c r="D5139" s="2" t="str">
        <x:v>MO</x:v>
      </x:c>
      <x:c r="E5139" s="2" t="str">
        <x:v>Critical Access Hospitals</x:v>
      </x:c>
      <x:c r="F5139" s="2" t="str">
        <x:v>Government</x:v>
      </x:c>
      <x:c r="G5139" s="2" t="str">
        <x:v>Unknown</x:v>
      </x:c>
      <x:c r="H5139" s="7"/>
      <x:c r="I5139" s="7"/>
      <x:c r="J5139" s="7"/>
      <x:c r="K5139" s="8"/>
      <x:c r="L5139" s="8"/>
      <x:c r="M5139" s="9"/>
      <x:c r="N5139" s="10"/>
      <x:c r="O5139" s="9"/>
      <x:c r="P5139" s="9" t="n">
        <x:v>0</x:v>
      </x:c>
      <x:c r="Q5139" s="9" t="n">
        <x:v>0.1470588235</x:v>
      </x:c>
      <x:c r="R5139" s="3" t="b">
        <x:v>0</x:v>
      </x:c>
      <x:c r="S5139" s="3" t="b">
        <x:v>0</x:v>
      </x:c>
      <x:c r="T5139" s="3" t="b">
        <x:v>0</x:v>
      </x:c>
      <x:c r="U5139" s="2" t="str">
        <x:f>IF(T5139=TRUE,"Priority review",IF(R5139=TRUE,"High cost",IF(S5139=TRUE,"Low quality","Benchmark")))</x:f>
        <x:v>Benchmark</x:v>
      </x:c>
    </x:row>
    <x:row r="5140">
      <x:c r="A5140" s="2" t="str">
        <x:v>251340</x:v>
      </x:c>
      <x:c r="B5140" s="2" t="str">
        <x:v>NESHOBA COUNTY GENERAL HOSPITAL</x:v>
      </x:c>
      <x:c r="C5140" s="2" t="str">
        <x:v>PHILADELPHIA</x:v>
      </x:c>
      <x:c r="D5140" s="2" t="str">
        <x:v>MS</x:v>
      </x:c>
      <x:c r="E5140" s="2" t="str">
        <x:v>Critical Access Hospitals</x:v>
      </x:c>
      <x:c r="F5140" s="2" t="str">
        <x:v>Government</x:v>
      </x:c>
      <x:c r="G5140" s="2" t="str">
        <x:v>Unknown</x:v>
      </x:c>
      <x:c r="H5140" s="7"/>
      <x:c r="I5140" s="7"/>
      <x:c r="J5140" s="7"/>
      <x:c r="K5140" s="8"/>
      <x:c r="L5140" s="8"/>
      <x:c r="M5140" s="9"/>
      <x:c r="N5140" s="10"/>
      <x:c r="O5140" s="9"/>
      <x:c r="P5140" s="9" t="n">
        <x:v>0</x:v>
      </x:c>
      <x:c r="Q5140" s="9" t="n">
        <x:v>0.1470588235</x:v>
      </x:c>
      <x:c r="R5140" s="3" t="b">
        <x:v>0</x:v>
      </x:c>
      <x:c r="S5140" s="3" t="b">
        <x:v>0</x:v>
      </x:c>
      <x:c r="T5140" s="3" t="b">
        <x:v>0</x:v>
      </x:c>
      <x:c r="U5140" s="2" t="str">
        <x:f>IF(T5140=TRUE,"Priority review",IF(R5140=TRUE,"High cost",IF(S5140=TRUE,"Low quality","Benchmark")))</x:f>
        <x:v>Benchmark</x:v>
      </x:c>
    </x:row>
    <x:row r="5141">
      <x:c r="A5141" s="2" t="str">
        <x:v>181334</x:v>
      </x:c>
      <x:c r="B5141" s="2" t="str">
        <x:v>KENTUCKY RIVER MEDICAL CENTER</x:v>
      </x:c>
      <x:c r="C5141" s="2" t="str">
        <x:v>JACKSON</x:v>
      </x:c>
      <x:c r="D5141" s="2" t="str">
        <x:v>KY</x:v>
      </x:c>
      <x:c r="E5141" s="2" t="str">
        <x:v>Critical Access Hospitals</x:v>
      </x:c>
      <x:c r="F5141" s="2" t="str">
        <x:v>Proprietary</x:v>
      </x:c>
      <x:c r="G5141" s="2" t="str">
        <x:v>Unknown</x:v>
      </x:c>
      <x:c r="H5141" s="7"/>
      <x:c r="I5141" s="7"/>
      <x:c r="J5141" s="7"/>
      <x:c r="K5141" s="8"/>
      <x:c r="L5141" s="8"/>
      <x:c r="M5141" s="9"/>
      <x:c r="N5141" s="10"/>
      <x:c r="O5141" s="9"/>
      <x:c r="P5141" s="9" t="n">
        <x:v>0</x:v>
      </x:c>
      <x:c r="Q5141" s="9" t="n">
        <x:v>0.1470588235</x:v>
      </x:c>
      <x:c r="R5141" s="3" t="b">
        <x:v>0</x:v>
      </x:c>
      <x:c r="S5141" s="3" t="b">
        <x:v>0</x:v>
      </x:c>
      <x:c r="T5141" s="3" t="b">
        <x:v>0</x:v>
      </x:c>
      <x:c r="U5141" s="2" t="str">
        <x:f>IF(T5141=TRUE,"Priority review",IF(R5141=TRUE,"High cost",IF(S5141=TRUE,"Low quality","Benchmark")))</x:f>
        <x:v>Benchmark</x:v>
      </x:c>
    </x:row>
    <x:row r="5142">
      <x:c r="A5142" s="2" t="str">
        <x:v>111328</x:v>
      </x:c>
      <x:c r="B5142" s="2" t="str">
        <x:v>PHOEBE WORTH MEDICAL CENTER</x:v>
      </x:c>
      <x:c r="C5142" s="2" t="str">
        <x:v>SYLVESTER</x:v>
      </x:c>
      <x:c r="D5142" s="2" t="str">
        <x:v>GA</x:v>
      </x:c>
      <x:c r="E5142" s="2" t="str">
        <x:v>Critical Access Hospitals</x:v>
      </x:c>
      <x:c r="F5142" s="2" t="str">
        <x:v>Voluntary non-profit</x:v>
      </x:c>
      <x:c r="G5142" s="2" t="str">
        <x:v>Unknown</x:v>
      </x:c>
      <x:c r="H5142" s="7"/>
      <x:c r="I5142" s="7"/>
      <x:c r="J5142" s="7"/>
      <x:c r="K5142" s="8"/>
      <x:c r="L5142" s="8"/>
      <x:c r="M5142" s="9"/>
      <x:c r="N5142" s="10"/>
      <x:c r="O5142" s="9"/>
      <x:c r="P5142" s="9" t="n">
        <x:v>0</x:v>
      </x:c>
      <x:c r="Q5142" s="9" t="n">
        <x:v>0.1470588235</x:v>
      </x:c>
      <x:c r="R5142" s="3" t="b">
        <x:v>0</x:v>
      </x:c>
      <x:c r="S5142" s="3" t="b">
        <x:v>0</x:v>
      </x:c>
      <x:c r="T5142" s="3" t="b">
        <x:v>0</x:v>
      </x:c>
      <x:c r="U5142" s="2" t="str">
        <x:f>IF(T5142=TRUE,"Priority review",IF(R5142=TRUE,"High cost",IF(S5142=TRUE,"Low quality","Benchmark")))</x:f>
        <x:v>Benchmark</x:v>
      </x:c>
    </x:row>
    <x:row r="5143">
      <x:c r="A5143" s="2" t="str">
        <x:v>201317</x:v>
      </x:c>
      <x:c r="B5143" s="2" t="str">
        <x:v>NORTHERN MAINE MEDICAL CENTER</x:v>
      </x:c>
      <x:c r="C5143" s="2" t="str">
        <x:v>FORT KENT</x:v>
      </x:c>
      <x:c r="D5143" s="2" t="str">
        <x:v>ME</x:v>
      </x:c>
      <x:c r="E5143" s="2" t="str">
        <x:v>Critical Access Hospitals</x:v>
      </x:c>
      <x:c r="F5143" s="2" t="str">
        <x:v>Voluntary non-profit</x:v>
      </x:c>
      <x:c r="G5143" s="2" t="str">
        <x:v>Unknown</x:v>
      </x:c>
      <x:c r="H5143" s="7"/>
      <x:c r="I5143" s="7" t="n">
        <x:v>5</x:v>
      </x:c>
      <x:c r="J5143" s="7"/>
      <x:c r="K5143" s="8"/>
      <x:c r="L5143" s="8"/>
      <x:c r="M5143" s="9"/>
      <x:c r="N5143" s="10"/>
      <x:c r="O5143" s="9"/>
      <x:c r="P5143" s="9" t="n">
        <x:v>0</x:v>
      </x:c>
      <x:c r="Q5143" s="9" t="n">
        <x:v>0.1470588235</x:v>
      </x:c>
      <x:c r="R5143" s="3" t="b">
        <x:v>0</x:v>
      </x:c>
      <x:c r="S5143" s="3" t="b">
        <x:v>0</x:v>
      </x:c>
      <x:c r="T5143" s="3" t="b">
        <x:v>0</x:v>
      </x:c>
      <x:c r="U5143" s="2" t="str">
        <x:f>IF(T5143=TRUE,"Priority review",IF(R5143=TRUE,"High cost",IF(S5143=TRUE,"Low quality","Benchmark")))</x:f>
        <x:v>Benchmark</x:v>
      </x:c>
    </x:row>
    <x:row r="5144">
      <x:c r="A5144" s="2" t="str">
        <x:v>191308</x:v>
      </x:c>
      <x:c r="B5144" s="2" t="str">
        <x:v>PREVOST MEMORIAL HOSPITAL</x:v>
      </x:c>
      <x:c r="C5144" s="2" t="str">
        <x:v>DONALDSONVILLE</x:v>
      </x:c>
      <x:c r="D5144" s="2" t="str">
        <x:v>LA</x:v>
      </x:c>
      <x:c r="E5144" s="2" t="str">
        <x:v>Critical Access Hospitals</x:v>
      </x:c>
      <x:c r="F5144" s="2" t="str">
        <x:v>Government</x:v>
      </x:c>
      <x:c r="G5144" s="2" t="str">
        <x:v>Unknown</x:v>
      </x:c>
      <x:c r="H5144" s="7"/>
      <x:c r="I5144" s="7"/>
      <x:c r="J5144" s="7"/>
      <x:c r="K5144" s="8"/>
      <x:c r="L5144" s="8"/>
      <x:c r="M5144" s="9"/>
      <x:c r="N5144" s="10"/>
      <x:c r="O5144" s="9"/>
      <x:c r="P5144" s="9" t="n">
        <x:v>0</x:v>
      </x:c>
      <x:c r="Q5144" s="9" t="n">
        <x:v>0.1470588235</x:v>
      </x:c>
      <x:c r="R5144" s="3" t="b">
        <x:v>0</x:v>
      </x:c>
      <x:c r="S5144" s="3" t="b">
        <x:v>0</x:v>
      </x:c>
      <x:c r="T5144" s="3" t="b">
        <x:v>0</x:v>
      </x:c>
      <x:c r="U5144" s="2" t="str">
        <x:f>IF(T5144=TRUE,"Priority review",IF(R5144=TRUE,"High cost",IF(S5144=TRUE,"Low quality","Benchmark")))</x:f>
        <x:v>Benchmark</x:v>
      </x:c>
    </x:row>
    <x:row r="5145">
      <x:c r="A5145" s="2" t="str">
        <x:v>671304</x:v>
      </x:c>
      <x:c r="B5145" s="2" t="str">
        <x:v>ASCENSION SETON SMITHVILLE</x:v>
      </x:c>
      <x:c r="C5145" s="2" t="str">
        <x:v>SMITHVILLE</x:v>
      </x:c>
      <x:c r="D5145" s="2" t="str">
        <x:v>TX</x:v>
      </x:c>
      <x:c r="E5145" s="2" t="str">
        <x:v>Critical Access Hospitals</x:v>
      </x:c>
      <x:c r="F5145" s="2" t="str">
        <x:v>Voluntary non-profit</x:v>
      </x:c>
      <x:c r="G5145" s="2" t="str">
        <x:v>Unknown</x:v>
      </x:c>
      <x:c r="H5145" s="7"/>
      <x:c r="I5145" s="7"/>
      <x:c r="J5145" s="7"/>
      <x:c r="K5145" s="8"/>
      <x:c r="L5145" s="8"/>
      <x:c r="M5145" s="9"/>
      <x:c r="N5145" s="10"/>
      <x:c r="O5145" s="9"/>
      <x:c r="P5145" s="9" t="n">
        <x:v>0</x:v>
      </x:c>
      <x:c r="Q5145" s="9" t="n">
        <x:v>0.1470588235</x:v>
      </x:c>
      <x:c r="R5145" s="3" t="b">
        <x:v>0</x:v>
      </x:c>
      <x:c r="S5145" s="3" t="b">
        <x:v>0</x:v>
      </x:c>
      <x:c r="T5145" s="3" t="b">
        <x:v>0</x:v>
      </x:c>
      <x:c r="U5145" s="2" t="str">
        <x:f>IF(T5145=TRUE,"Priority review",IF(R5145=TRUE,"High cost",IF(S5145=TRUE,"Low quality","Benchmark")))</x:f>
        <x:v>Benchmark</x:v>
      </x:c>
    </x:row>
    <x:row r="5146">
      <x:c r="A5146" s="2" t="str">
        <x:v>391318</x:v>
      </x:c>
      <x:c r="B5146" s="2" t="str">
        <x:v>UPMC KANE</x:v>
      </x:c>
      <x:c r="C5146" s="2" t="str">
        <x:v>KANE</x:v>
      </x:c>
      <x:c r="D5146" s="2" t="str">
        <x:v>PA</x:v>
      </x:c>
      <x:c r="E5146" s="2" t="str">
        <x:v>Critical Access Hospitals</x:v>
      </x:c>
      <x:c r="F5146" s="2" t="str">
        <x:v>Voluntary non-profit</x:v>
      </x:c>
      <x:c r="G5146" s="2" t="str">
        <x:v>Unknown</x:v>
      </x:c>
      <x:c r="H5146" s="7"/>
      <x:c r="I5146" s="7"/>
      <x:c r="J5146" s="7"/>
      <x:c r="K5146" s="8"/>
      <x:c r="L5146" s="8"/>
      <x:c r="M5146" s="9"/>
      <x:c r="N5146" s="10"/>
      <x:c r="O5146" s="9"/>
      <x:c r="P5146" s="9" t="n">
        <x:v>0</x:v>
      </x:c>
      <x:c r="Q5146" s="9" t="n">
        <x:v>0.1470588235</x:v>
      </x:c>
      <x:c r="R5146" s="3" t="b">
        <x:v>0</x:v>
      </x:c>
      <x:c r="S5146" s="3" t="b">
        <x:v>0</x:v>
      </x:c>
      <x:c r="T5146" s="3" t="b">
        <x:v>0</x:v>
      </x:c>
      <x:c r="U5146" s="2" t="str">
        <x:f>IF(T5146=TRUE,"Priority review",IF(R5146=TRUE,"High cost",IF(S5146=TRUE,"Low quality","Benchmark")))</x:f>
        <x:v>Benchmark</x:v>
      </x:c>
    </x:row>
    <x:row r="5147">
      <x:c r="A5147" s="2" t="str">
        <x:v>671303</x:v>
      </x:c>
      <x:c r="B5147" s="2" t="str">
        <x:v>EASTLAND MEMORIAL HOSPITAL</x:v>
      </x:c>
      <x:c r="C5147" s="2" t="str">
        <x:v>EASTLAND</x:v>
      </x:c>
      <x:c r="D5147" s="2" t="str">
        <x:v>TX</x:v>
      </x:c>
      <x:c r="E5147" s="2" t="str">
        <x:v>Critical Access Hospitals</x:v>
      </x:c>
      <x:c r="F5147" s="2" t="str">
        <x:v>Government</x:v>
      </x:c>
      <x:c r="G5147" s="2" t="str">
        <x:v>Unknown</x:v>
      </x:c>
      <x:c r="H5147" s="7"/>
      <x:c r="I5147" s="7"/>
      <x:c r="J5147" s="7"/>
      <x:c r="K5147" s="8"/>
      <x:c r="L5147" s="8"/>
      <x:c r="M5147" s="9"/>
      <x:c r="N5147" s="10"/>
      <x:c r="O5147" s="9"/>
      <x:c r="P5147" s="9" t="n">
        <x:v>0</x:v>
      </x:c>
      <x:c r="Q5147" s="9" t="n">
        <x:v>0.1470588235</x:v>
      </x:c>
      <x:c r="R5147" s="3" t="b">
        <x:v>0</x:v>
      </x:c>
      <x:c r="S5147" s="3" t="b">
        <x:v>0</x:v>
      </x:c>
      <x:c r="T5147" s="3" t="b">
        <x:v>0</x:v>
      </x:c>
      <x:c r="U5147" s="2" t="str">
        <x:f>IF(T5147=TRUE,"Priority review",IF(R5147=TRUE,"High cost",IF(S5147=TRUE,"Low quality","Benchmark")))</x:f>
        <x:v>Benchmark</x:v>
      </x:c>
    </x:row>
    <x:row r="5148">
      <x:c r="A5148" s="2" t="str">
        <x:v>671301</x:v>
      </x:c>
      <x:c r="B5148" s="2" t="str">
        <x:v>HEMPHILL COUNTY HOSPITAL</x:v>
      </x:c>
      <x:c r="C5148" s="2" t="str">
        <x:v>CANADIAN</x:v>
      </x:c>
      <x:c r="D5148" s="2" t="str">
        <x:v>TX</x:v>
      </x:c>
      <x:c r="E5148" s="2" t="str">
        <x:v>Critical Access Hospitals</x:v>
      </x:c>
      <x:c r="F5148" s="2" t="str">
        <x:v>Government</x:v>
      </x:c>
      <x:c r="G5148" s="2" t="str">
        <x:v>Unknown</x:v>
      </x:c>
      <x:c r="H5148" s="7"/>
      <x:c r="I5148" s="7"/>
      <x:c r="J5148" s="7"/>
      <x:c r="K5148" s="8"/>
      <x:c r="L5148" s="8"/>
      <x:c r="M5148" s="9"/>
      <x:c r="N5148" s="10"/>
      <x:c r="O5148" s="9"/>
      <x:c r="P5148" s="9" t="n">
        <x:v>0</x:v>
      </x:c>
      <x:c r="Q5148" s="9" t="n">
        <x:v>0.1470588235</x:v>
      </x:c>
      <x:c r="R5148" s="3" t="b">
        <x:v>0</x:v>
      </x:c>
      <x:c r="S5148" s="3" t="b">
        <x:v>0</x:v>
      </x:c>
      <x:c r="T5148" s="3" t="b">
        <x:v>0</x:v>
      </x:c>
      <x:c r="U5148" s="2" t="str">
        <x:f>IF(T5148=TRUE,"Priority review",IF(R5148=TRUE,"High cost",IF(S5148=TRUE,"Low quality","Benchmark")))</x:f>
        <x:v>Benchmark</x:v>
      </x:c>
    </x:row>
    <x:row r="5149">
      <x:c r="A5149" s="2" t="str">
        <x:v>531319</x:v>
      </x:c>
      <x:c r="B5149" s="2" t="str">
        <x:v>EVANSTON REGIONAL HOSPITAL</x:v>
      </x:c>
      <x:c r="C5149" s="2" t="str">
        <x:v>EVANSTON</x:v>
      </x:c>
      <x:c r="D5149" s="2" t="str">
        <x:v>WY</x:v>
      </x:c>
      <x:c r="E5149" s="2" t="str">
        <x:v>Critical Access Hospitals</x:v>
      </x:c>
      <x:c r="F5149" s="2" t="str">
        <x:v>Proprietary</x:v>
      </x:c>
      <x:c r="G5149" s="2" t="str">
        <x:v>Unknown</x:v>
      </x:c>
      <x:c r="H5149" s="7"/>
      <x:c r="I5149" s="7"/>
      <x:c r="J5149" s="7"/>
      <x:c r="K5149" s="8"/>
      <x:c r="L5149" s="8"/>
      <x:c r="M5149" s="9"/>
      <x:c r="N5149" s="10"/>
      <x:c r="O5149" s="9"/>
      <x:c r="P5149" s="9" t="n">
        <x:v>0</x:v>
      </x:c>
      <x:c r="Q5149" s="9" t="n">
        <x:v>0.1470588235</x:v>
      </x:c>
      <x:c r="R5149" s="3" t="b">
        <x:v>0</x:v>
      </x:c>
      <x:c r="S5149" s="3" t="b">
        <x:v>0</x:v>
      </x:c>
      <x:c r="T5149" s="3" t="b">
        <x:v>0</x:v>
      </x:c>
      <x:c r="U5149" s="2" t="str">
        <x:f>IF(T5149=TRUE,"Priority review",IF(R5149=TRUE,"High cost",IF(S5149=TRUE,"Low quality","Benchmark")))</x:f>
        <x:v>Benchmark</x:v>
      </x:c>
    </x:row>
    <x:row r="5150">
      <x:c r="A5150" s="2" t="str">
        <x:v>371306</x:v>
      </x:c>
      <x:c r="B5150" s="2" t="str">
        <x:v>MERCY HOSPITAL MARIETTA</x:v>
      </x:c>
      <x:c r="C5150" s="2" t="str">
        <x:v>MARIETTA</x:v>
      </x:c>
      <x:c r="D5150" s="2" t="str">
        <x:v>OK</x:v>
      </x:c>
      <x:c r="E5150" s="2" t="str">
        <x:v>Critical Access Hospitals</x:v>
      </x:c>
      <x:c r="F5150" s="2" t="str">
        <x:v>Government</x:v>
      </x:c>
      <x:c r="G5150" s="2" t="str">
        <x:v>Unknown</x:v>
      </x:c>
      <x:c r="H5150" s="7"/>
      <x:c r="I5150" s="7"/>
      <x:c r="J5150" s="7"/>
      <x:c r="K5150" s="8"/>
      <x:c r="L5150" s="8"/>
      <x:c r="M5150" s="9"/>
      <x:c r="N5150" s="10"/>
      <x:c r="O5150" s="9" t="n">
        <x:v>-1.6368007026</x:v>
      </x:c>
      <x:c r="P5150" s="9" t="n">
        <x:v>0</x:v>
      </x:c>
      <x:c r="Q5150" s="9" t="n">
        <x:v>0.1470588235</x:v>
      </x:c>
      <x:c r="R5150" s="3" t="b">
        <x:v>0</x:v>
      </x:c>
      <x:c r="S5150" s="3" t="b">
        <x:v>0</x:v>
      </x:c>
      <x:c r="T5150" s="3" t="b">
        <x:v>0</x:v>
      </x:c>
      <x:c r="U5150" s="2" t="str">
        <x:f>IF(T5150=TRUE,"Priority review",IF(R5150=TRUE,"High cost",IF(S5150=TRUE,"Low quality","Benchmark")))</x:f>
        <x:v>Benchmark</x:v>
      </x:c>
    </x:row>
    <x:row r="5151">
      <x:c r="A5151" s="2" t="str">
        <x:v>531318</x:v>
      </x:c>
      <x:c r="B5151" s="2" t="str">
        <x:v>MEMORIAL HOSPITAL SWEETWATER COUNTY</x:v>
      </x:c>
      <x:c r="C5151" s="2" t="str">
        <x:v>ROCK SPRINGS</x:v>
      </x:c>
      <x:c r="D5151" s="2" t="str">
        <x:v>WY</x:v>
      </x:c>
      <x:c r="E5151" s="2" t="str">
        <x:v>Critical Access Hospitals</x:v>
      </x:c>
      <x:c r="F5151" s="2" t="str">
        <x:v>Government</x:v>
      </x:c>
      <x:c r="G5151" s="2" t="str">
        <x:v>Unknown</x:v>
      </x:c>
      <x:c r="H5151" s="7"/>
      <x:c r="I5151" s="7" t="n">
        <x:v>4</x:v>
      </x:c>
      <x:c r="J5151" s="7"/>
      <x:c r="K5151" s="8"/>
      <x:c r="L5151" s="8"/>
      <x:c r="M5151" s="9"/>
      <x:c r="N5151" s="10"/>
      <x:c r="O5151" s="9"/>
      <x:c r="P5151" s="9" t="n">
        <x:v>0</x:v>
      </x:c>
      <x:c r="Q5151" s="9" t="n">
        <x:v>0.1470588235</x:v>
      </x:c>
      <x:c r="R5151" s="3" t="b">
        <x:v>0</x:v>
      </x:c>
      <x:c r="S5151" s="3" t="b">
        <x:v>0</x:v>
      </x:c>
      <x:c r="T5151" s="3" t="b">
        <x:v>0</x:v>
      </x:c>
      <x:c r="U5151" s="2" t="str">
        <x:f>IF(T5151=TRUE,"Priority review",IF(R5151=TRUE,"High cost",IF(S5151=TRUE,"Low quality","Benchmark")))</x:f>
        <x:v>Benchmark</x:v>
      </x:c>
    </x:row>
    <x:row r="5152">
      <x:c r="A5152" s="2" t="str">
        <x:v>011308</x:v>
      </x:c>
      <x:c r="B5152" s="2" t="str">
        <x:v>CRENSHAW COMMUNITY HOSPITAL</x:v>
      </x:c>
      <x:c r="C5152" s="2" t="str">
        <x:v>LUVERNE</x:v>
      </x:c>
      <x:c r="D5152" s="2" t="str">
        <x:v>AL</x:v>
      </x:c>
      <x:c r="E5152" s="2" t="str">
        <x:v>Critical Access Hospitals</x:v>
      </x:c>
      <x:c r="F5152" s="2" t="str">
        <x:v>Government</x:v>
      </x:c>
      <x:c r="G5152" s="2" t="str">
        <x:v>Unknown</x:v>
      </x:c>
      <x:c r="H5152" s="7"/>
      <x:c r="I5152" s="7"/>
      <x:c r="J5152" s="7"/>
      <x:c r="K5152" s="8"/>
      <x:c r="L5152" s="8"/>
      <x:c r="M5152" s="9"/>
      <x:c r="N5152" s="10"/>
      <x:c r="O5152" s="9"/>
      <x:c r="P5152" s="9" t="n">
        <x:v>0</x:v>
      </x:c>
      <x:c r="Q5152" s="9" t="n">
        <x:v>0.1470588235</x:v>
      </x:c>
      <x:c r="R5152" s="3" t="b">
        <x:v>0</x:v>
      </x:c>
      <x:c r="S5152" s="3" t="b">
        <x:v>0</x:v>
      </x:c>
      <x:c r="T5152" s="3" t="b">
        <x:v>0</x:v>
      </x:c>
      <x:c r="U5152" s="2" t="str">
        <x:f>IF(T5152=TRUE,"Priority review",IF(R5152=TRUE,"High cost",IF(S5152=TRUE,"Low quality","Benchmark")))</x:f>
        <x:v>Benchmark</x:v>
      </x:c>
    </x:row>
    <x:row r="5153">
      <x:c r="A5153" s="2" t="str">
        <x:v>011309</x:v>
      </x:c>
      <x:c r="B5153" s="2" t="str">
        <x:v>WIREGRASS MEDICAL CENTER</x:v>
      </x:c>
      <x:c r="C5153" s="2" t="str">
        <x:v>GENEVA</x:v>
      </x:c>
      <x:c r="D5153" s="2" t="str">
        <x:v>AL</x:v>
      </x:c>
      <x:c r="E5153" s="2" t="str">
        <x:v>Critical Access Hospitals</x:v>
      </x:c>
      <x:c r="F5153" s="2" t="str">
        <x:v>Government</x:v>
      </x:c>
      <x:c r="G5153" s="2" t="str">
        <x:v>Unknown</x:v>
      </x:c>
      <x:c r="H5153" s="7"/>
      <x:c r="I5153" s="7"/>
      <x:c r="J5153" s="7"/>
      <x:c r="K5153" s="8"/>
      <x:c r="L5153" s="8"/>
      <x:c r="M5153" s="9"/>
      <x:c r="N5153" s="10"/>
      <x:c r="O5153" s="9"/>
      <x:c r="P5153" s="9" t="n">
        <x:v>0</x:v>
      </x:c>
      <x:c r="Q5153" s="9" t="n">
        <x:v>0.1470588235</x:v>
      </x:c>
      <x:c r="R5153" s="3" t="b">
        <x:v>0</x:v>
      </x:c>
      <x:c r="S5153" s="3" t="b">
        <x:v>0</x:v>
      </x:c>
      <x:c r="T5153" s="3" t="b">
        <x:v>0</x:v>
      </x:c>
      <x:c r="U5153" s="2" t="str">
        <x:f>IF(T5153=TRUE,"Priority review",IF(R5153=TRUE,"High cost",IF(S5153=TRUE,"Low quality","Benchmark")))</x:f>
        <x:v>Benchmark</x:v>
      </x:c>
    </x:row>
    <x:row r="5154">
      <x:c r="A5154" s="2" t="str">
        <x:v>011311</x:v>
      </x:c>
      <x:c r="B5154" s="2" t="str">
        <x:v>LAKELAND COMMUNITY HOSPITAL</x:v>
      </x:c>
      <x:c r="C5154" s="2" t="str">
        <x:v>HALEYVILLE</x:v>
      </x:c>
      <x:c r="D5154" s="2" t="str">
        <x:v>AL</x:v>
      </x:c>
      <x:c r="E5154" s="2" t="str">
        <x:v>Critical Access Hospitals</x:v>
      </x:c>
      <x:c r="F5154" s="2" t="str">
        <x:v>Proprietary</x:v>
      </x:c>
      <x:c r="G5154" s="2" t="str">
        <x:v>Unknown</x:v>
      </x:c>
      <x:c r="H5154" s="7"/>
      <x:c r="I5154" s="7"/>
      <x:c r="J5154" s="7"/>
      <x:c r="K5154" s="8"/>
      <x:c r="L5154" s="8"/>
      <x:c r="M5154" s="9"/>
      <x:c r="N5154" s="10"/>
      <x:c r="O5154" s="9"/>
      <x:c r="P5154" s="9" t="n">
        <x:v>0</x:v>
      </x:c>
      <x:c r="Q5154" s="9" t="n">
        <x:v>0.1470588235</x:v>
      </x:c>
      <x:c r="R5154" s="3" t="b">
        <x:v>0</x:v>
      </x:c>
      <x:c r="S5154" s="3" t="b">
        <x:v>0</x:v>
      </x:c>
      <x:c r="T5154" s="3" t="b">
        <x:v>0</x:v>
      </x:c>
      <x:c r="U5154" s="2" t="str">
        <x:f>IF(T5154=TRUE,"Priority review",IF(R5154=TRUE,"High cost",IF(S5154=TRUE,"Low quality","Benchmark")))</x:f>
        <x:v>Benchmark</x:v>
      </x:c>
    </x:row>
    <x:row r="5155">
      <x:c r="A5155" s="2" t="str">
        <x:v>041334</x:v>
      </x:c>
      <x:c r="B5155" s="2" t="str">
        <x:v>MENA REGIONAL HEALTH SYSTEM</x:v>
      </x:c>
      <x:c r="C5155" s="2" t="str">
        <x:v>MENA</x:v>
      </x:c>
      <x:c r="D5155" s="2" t="str">
        <x:v>AR</x:v>
      </x:c>
      <x:c r="E5155" s="2" t="str">
        <x:v>Critical Access Hospitals</x:v>
      </x:c>
      <x:c r="F5155" s="2" t="str">
        <x:v>Voluntary non-profit</x:v>
      </x:c>
      <x:c r="G5155" s="2" t="str">
        <x:v>Unknown</x:v>
      </x:c>
      <x:c r="H5155" s="7"/>
      <x:c r="I5155" s="7"/>
      <x:c r="J5155" s="7"/>
      <x:c r="K5155" s="8"/>
      <x:c r="L5155" s="8"/>
      <x:c r="M5155" s="9"/>
      <x:c r="N5155" s="10"/>
      <x:c r="O5155" s="9"/>
      <x:c r="P5155" s="9" t="n">
        <x:v>0</x:v>
      </x:c>
      <x:c r="Q5155" s="9" t="n">
        <x:v>0.1470588235</x:v>
      </x:c>
      <x:c r="R5155" s="3" t="b">
        <x:v>0</x:v>
      </x:c>
      <x:c r="S5155" s="3" t="b">
        <x:v>0</x:v>
      </x:c>
      <x:c r="T5155" s="3" t="b">
        <x:v>0</x:v>
      </x:c>
      <x:c r="U5155" s="2" t="str">
        <x:f>IF(T5155=TRUE,"Priority review",IF(R5155=TRUE,"High cost",IF(S5155=TRUE,"Low quality","Benchmark")))</x:f>
        <x:v>Benchmark</x:v>
      </x:c>
    </x:row>
    <x:row r="5156">
      <x:c r="A5156" s="2" t="str">
        <x:v>041335</x:v>
      </x:c>
      <x:c r="B5156" s="2" t="str">
        <x:v>SOUTHWEST REGIONAL MEDICAL CENTER LLC</x:v>
      </x:c>
      <x:c r="C5156" s="2" t="str">
        <x:v>HOPE</x:v>
      </x:c>
      <x:c r="D5156" s="2" t="str">
        <x:v>AR</x:v>
      </x:c>
      <x:c r="E5156" s="2" t="str">
        <x:v>Critical Access Hospitals</x:v>
      </x:c>
      <x:c r="F5156" s="2" t="str">
        <x:v>Proprietary</x:v>
      </x:c>
      <x:c r="G5156" s="2" t="str">
        <x:v>Unknown</x:v>
      </x:c>
      <x:c r="H5156" s="7"/>
      <x:c r="I5156" s="7"/>
      <x:c r="J5156" s="7"/>
      <x:c r="K5156" s="8"/>
      <x:c r="L5156" s="8"/>
      <x:c r="M5156" s="9"/>
      <x:c r="N5156" s="10"/>
      <x:c r="O5156" s="9"/>
      <x:c r="P5156" s="9" t="n">
        <x:v>0</x:v>
      </x:c>
      <x:c r="Q5156" s="9" t="n">
        <x:v>0.1470588235</x:v>
      </x:c>
      <x:c r="R5156" s="3" t="b">
        <x:v>0</x:v>
      </x:c>
      <x:c r="S5156" s="3" t="b">
        <x:v>0</x:v>
      </x:c>
      <x:c r="T5156" s="3" t="b">
        <x:v>0</x:v>
      </x:c>
      <x:c r="U5156" s="2" t="str">
        <x:f>IF(T5156=TRUE,"Priority review",IF(R5156=TRUE,"High cost",IF(S5156=TRUE,"Low quality","Benchmark")))</x:f>
        <x:v>Benchmark</x:v>
      </x:c>
    </x:row>
    <x:row r="5157">
      <x:c r="A5157" s="2" t="str">
        <x:v>051339</x:v>
      </x:c>
      <x:c r="B5157" s="2" t="str">
        <x:v>PALO VERDE HOSPITAL</x:v>
      </x:c>
      <x:c r="C5157" s="2" t="str">
        <x:v>BLYTHE</x:v>
      </x:c>
      <x:c r="D5157" s="2" t="str">
        <x:v>CA</x:v>
      </x:c>
      <x:c r="E5157" s="2" t="str">
        <x:v>Critical Access Hospitals</x:v>
      </x:c>
      <x:c r="F5157" s="2" t="str">
        <x:v>Government</x:v>
      </x:c>
      <x:c r="G5157" s="2" t="str">
        <x:v>Unknown</x:v>
      </x:c>
      <x:c r="H5157" s="7"/>
      <x:c r="I5157" s="7"/>
      <x:c r="J5157" s="7"/>
      <x:c r="K5157" s="8"/>
      <x:c r="L5157" s="8"/>
      <x:c r="M5157" s="9"/>
      <x:c r="N5157" s="10"/>
      <x:c r="O5157" s="9"/>
      <x:c r="P5157" s="9" t="n">
        <x:v>0</x:v>
      </x:c>
      <x:c r="Q5157" s="9" t="n">
        <x:v>0.1470588235</x:v>
      </x:c>
      <x:c r="R5157" s="3" t="b">
        <x:v>0</x:v>
      </x:c>
      <x:c r="S5157" s="3" t="b">
        <x:v>0</x:v>
      </x:c>
      <x:c r="T5157" s="3" t="b">
        <x:v>0</x:v>
      </x:c>
      <x:c r="U5157" s="2" t="str">
        <x:f>IF(T5157=TRUE,"Priority review",IF(R5157=TRUE,"High cost",IF(S5157=TRUE,"Low quality","Benchmark")))</x:f>
        <x:v>Benchmark</x:v>
      </x:c>
    </x:row>
    <x:row r="5158">
      <x:c r="A5158" s="2" t="str">
        <x:v>531317</x:v>
      </x:c>
      <x:c r="B5158" s="2" t="str">
        <x:v>NORTH PLATTE VALLEY MEDICAL CENTER</x:v>
      </x:c>
      <x:c r="C5158" s="2" t="str">
        <x:v>SARATOGA</x:v>
      </x:c>
      <x:c r="D5158" s="2" t="str">
        <x:v>WY</x:v>
      </x:c>
      <x:c r="E5158" s="2" t="str">
        <x:v>Critical Access Hospitals</x:v>
      </x:c>
      <x:c r="F5158" s="2" t="str">
        <x:v>Voluntary non-profit</x:v>
      </x:c>
      <x:c r="G5158" s="2" t="str">
        <x:v>Unknown</x:v>
      </x:c>
      <x:c r="H5158" s="7"/>
      <x:c r="I5158" s="7"/>
      <x:c r="J5158" s="7"/>
      <x:c r="K5158" s="8"/>
      <x:c r="L5158" s="8"/>
      <x:c r="M5158" s="9"/>
      <x:c r="N5158" s="10"/>
      <x:c r="O5158" s="9"/>
      <x:c r="P5158" s="9" t="n">
        <x:v>0</x:v>
      </x:c>
      <x:c r="Q5158" s="9" t="n">
        <x:v>0.1470588235</x:v>
      </x:c>
      <x:c r="R5158" s="3" t="b">
        <x:v>0</x:v>
      </x:c>
      <x:c r="S5158" s="3" t="b">
        <x:v>0</x:v>
      </x:c>
      <x:c r="T5158" s="3" t="b">
        <x:v>0</x:v>
      </x:c>
      <x:c r="U5158" s="2" t="str">
        <x:f>IF(T5158=TRUE,"Priority review",IF(R5158=TRUE,"High cost",IF(S5158=TRUE,"Low quality","Benchmark")))</x:f>
        <x:v>Benchmark</x:v>
      </x:c>
    </x:row>
    <x:row r="5159">
      <x:c r="A5159" s="2" t="str">
        <x:v>451379</x:v>
      </x:c>
      <x:c r="B5159" s="2" t="str">
        <x:v>CORYELL MEMORIAL HOSPITAL</x:v>
      </x:c>
      <x:c r="C5159" s="2" t="str">
        <x:v>GATESVILLE</x:v>
      </x:c>
      <x:c r="D5159" s="2" t="str">
        <x:v>TX</x:v>
      </x:c>
      <x:c r="E5159" s="2" t="str">
        <x:v>Critical Access Hospitals</x:v>
      </x:c>
      <x:c r="F5159" s="2" t="str">
        <x:v>Government</x:v>
      </x:c>
      <x:c r="G5159" s="2" t="str">
        <x:v>Unknown</x:v>
      </x:c>
      <x:c r="H5159" s="7"/>
      <x:c r="I5159" s="7" t="n">
        <x:v>5</x:v>
      </x:c>
      <x:c r="J5159" s="7"/>
      <x:c r="K5159" s="8"/>
      <x:c r="L5159" s="8"/>
      <x:c r="M5159" s="9"/>
      <x:c r="N5159" s="10"/>
      <x:c r="O5159" s="9"/>
      <x:c r="P5159" s="9" t="n">
        <x:v>0</x:v>
      </x:c>
      <x:c r="Q5159" s="9" t="n">
        <x:v>0.1470588235</x:v>
      </x:c>
      <x:c r="R5159" s="3" t="b">
        <x:v>0</x:v>
      </x:c>
      <x:c r="S5159" s="3" t="b">
        <x:v>0</x:v>
      </x:c>
      <x:c r="T5159" s="3" t="b">
        <x:v>0</x:v>
      </x:c>
      <x:c r="U5159" s="2" t="str">
        <x:f>IF(T5159=TRUE,"Priority review",IF(R5159=TRUE,"High cost",IF(S5159=TRUE,"Low quality","Benchmark")))</x:f>
        <x:v>Benchmark</x:v>
      </x:c>
    </x:row>
    <x:row r="5160">
      <x:c r="A5160" s="2" t="str">
        <x:v>111338</x:v>
      </x:c>
      <x:c r="B5160" s="2" t="str">
        <x:v>BLUE RIDGE MEDICAL CENTER</x:v>
      </x:c>
      <x:c r="C5160" s="2" t="str">
        <x:v>BLUE RIDGE</x:v>
      </x:c>
      <x:c r="D5160" s="2" t="str">
        <x:v>GA</x:v>
      </x:c>
      <x:c r="E5160" s="2" t="str">
        <x:v>Critical Access Hospitals</x:v>
      </x:c>
      <x:c r="F5160" s="2" t="str">
        <x:v>Voluntary non-profit</x:v>
      </x:c>
      <x:c r="G5160" s="2" t="str">
        <x:v>Unknown</x:v>
      </x:c>
      <x:c r="H5160" s="7"/>
      <x:c r="I5160" s="7"/>
      <x:c r="J5160" s="7"/>
      <x:c r="K5160" s="8"/>
      <x:c r="L5160" s="8"/>
      <x:c r="M5160" s="9"/>
      <x:c r="N5160" s="10"/>
      <x:c r="O5160" s="9"/>
      <x:c r="P5160" s="9" t="n">
        <x:v>0</x:v>
      </x:c>
      <x:c r="Q5160" s="9" t="n">
        <x:v>0.1470588235</x:v>
      </x:c>
      <x:c r="R5160" s="3" t="b">
        <x:v>0</x:v>
      </x:c>
      <x:c r="S5160" s="3" t="b">
        <x:v>0</x:v>
      </x:c>
      <x:c r="T5160" s="3" t="b">
        <x:v>0</x:v>
      </x:c>
      <x:c r="U5160" s="2" t="str">
        <x:f>IF(T5160=TRUE,"Priority review",IF(R5160=TRUE,"High cost",IF(S5160=TRUE,"Low quality","Benchmark")))</x:f>
        <x:v>Benchmark</x:v>
      </x:c>
    </x:row>
    <x:row r="5161">
      <x:c r="A5161" s="2" t="str">
        <x:v>451331</x:v>
      </x:c>
      <x:c r="B5161" s="2" t="str">
        <x:v>COON MEMORIAL HOSPITAL</x:v>
      </x:c>
      <x:c r="C5161" s="2" t="str">
        <x:v>DALHART</x:v>
      </x:c>
      <x:c r="D5161" s="2" t="str">
        <x:v>TX</x:v>
      </x:c>
      <x:c r="E5161" s="2" t="str">
        <x:v>Critical Access Hospitals</x:v>
      </x:c>
      <x:c r="F5161" s="2" t="str">
        <x:v>Government</x:v>
      </x:c>
      <x:c r="G5161" s="2" t="str">
        <x:v>Unknown</x:v>
      </x:c>
      <x:c r="H5161" s="7"/>
      <x:c r="I5161" s="7"/>
      <x:c r="J5161" s="7"/>
      <x:c r="K5161" s="8"/>
      <x:c r="L5161" s="8"/>
      <x:c r="M5161" s="9"/>
      <x:c r="N5161" s="10"/>
      <x:c r="O5161" s="9"/>
      <x:c r="P5161" s="9" t="n">
        <x:v>0</x:v>
      </x:c>
      <x:c r="Q5161" s="9" t="n">
        <x:v>0.1470588235</x:v>
      </x:c>
      <x:c r="R5161" s="3" t="b">
        <x:v>0</x:v>
      </x:c>
      <x:c r="S5161" s="3" t="b">
        <x:v>0</x:v>
      </x:c>
      <x:c r="T5161" s="3" t="b">
        <x:v>0</x:v>
      </x:c>
      <x:c r="U5161" s="2" t="str">
        <x:f>IF(T5161=TRUE,"Priority review",IF(R5161=TRUE,"High cost",IF(S5161=TRUE,"Low quality","Benchmark")))</x:f>
        <x:v>Benchmark</x:v>
      </x:c>
    </x:row>
    <x:row r="5162">
      <x:c r="A5162" s="2" t="str">
        <x:v>141300</x:v>
      </x:c>
      <x:c r="B5162" s="2" t="str">
        <x:v>THOMAS H BOYD MEMORIAL HOSPITAL</x:v>
      </x:c>
      <x:c r="C5162" s="2" t="str">
        <x:v>CARROLLTON</x:v>
      </x:c>
      <x:c r="D5162" s="2" t="str">
        <x:v>IL</x:v>
      </x:c>
      <x:c r="E5162" s="2" t="str">
        <x:v>Critical Access Hospitals</x:v>
      </x:c>
      <x:c r="F5162" s="2" t="str">
        <x:v>Government</x:v>
      </x:c>
      <x:c r="G5162" s="2" t="str">
        <x:v>Unknown</x:v>
      </x:c>
      <x:c r="H5162" s="7"/>
      <x:c r="I5162" s="7"/>
      <x:c r="J5162" s="7"/>
      <x:c r="K5162" s="8"/>
      <x:c r="L5162" s="8"/>
      <x:c r="M5162" s="9"/>
      <x:c r="N5162" s="10"/>
      <x:c r="O5162" s="9"/>
      <x:c r="P5162" s="9" t="n">
        <x:v>0</x:v>
      </x:c>
      <x:c r="Q5162" s="9" t="n">
        <x:v>0.1470588235</x:v>
      </x:c>
      <x:c r="R5162" s="3" t="b">
        <x:v>0</x:v>
      </x:c>
      <x:c r="S5162" s="3" t="b">
        <x:v>0</x:v>
      </x:c>
      <x:c r="T5162" s="3" t="b">
        <x:v>0</x:v>
      </x:c>
      <x:c r="U5162" s="2" t="str">
        <x:f>IF(T5162=TRUE,"Priority review",IF(R5162=TRUE,"High cost",IF(S5162=TRUE,"Low quality","Benchmark")))</x:f>
        <x:v>Benchmark</x:v>
      </x:c>
    </x:row>
    <x:row r="5163">
      <x:c r="A5163" s="2" t="str">
        <x:v>241358</x:v>
      </x:c>
      <x:c r="B5163" s="2" t="str">
        <x:v>CASS LAKE INDIAN HEALTH SERVICES HOSPITAL</x:v>
      </x:c>
      <x:c r="C5163" s="2" t="str">
        <x:v>CASS LAKE</x:v>
      </x:c>
      <x:c r="D5163" s="2" t="str">
        <x:v>MN</x:v>
      </x:c>
      <x:c r="E5163" s="2" t="str">
        <x:v>Critical Access Hospitals</x:v>
      </x:c>
      <x:c r="F5163" s="2" t="str">
        <x:v>Government</x:v>
      </x:c>
      <x:c r="G5163" s="2" t="str">
        <x:v>Unknown</x:v>
      </x:c>
      <x:c r="H5163" s="7"/>
      <x:c r="I5163" s="7"/>
      <x:c r="J5163" s="7"/>
      <x:c r="K5163" s="8"/>
      <x:c r="L5163" s="8"/>
      <x:c r="M5163" s="9"/>
      <x:c r="N5163" s="10"/>
      <x:c r="O5163" s="9"/>
      <x:c r="P5163" s="9" t="n">
        <x:v>0</x:v>
      </x:c>
      <x:c r="Q5163" s="9" t="n">
        <x:v>0.1470588235</x:v>
      </x:c>
      <x:c r="R5163" s="3" t="b">
        <x:v>0</x:v>
      </x:c>
      <x:c r="S5163" s="3" t="b">
        <x:v>0</x:v>
      </x:c>
      <x:c r="T5163" s="3" t="b">
        <x:v>0</x:v>
      </x:c>
      <x:c r="U5163" s="2" t="str">
        <x:f>IF(T5163=TRUE,"Priority review",IF(R5163=TRUE,"High cost",IF(S5163=TRUE,"Low quality","Benchmark")))</x:f>
        <x:v>Benchmark</x:v>
      </x:c>
    </x:row>
    <x:row r="5164">
      <x:c r="A5164" s="2" t="str">
        <x:v>341305</x:v>
      </x:c>
      <x:c r="B5164" s="2" t="str">
        <x:v>DLP SWAIN COUNTY HOSPITAL LLC</x:v>
      </x:c>
      <x:c r="C5164" s="2" t="str">
        <x:v>BRYSON CITY</x:v>
      </x:c>
      <x:c r="D5164" s="2" t="str">
        <x:v>NC</x:v>
      </x:c>
      <x:c r="E5164" s="2" t="str">
        <x:v>Critical Access Hospitals</x:v>
      </x:c>
      <x:c r="F5164" s="2" t="str">
        <x:v>Voluntary non-profit</x:v>
      </x:c>
      <x:c r="G5164" s="2" t="str">
        <x:v>Unknown</x:v>
      </x:c>
      <x:c r="H5164" s="7"/>
      <x:c r="I5164" s="7"/>
      <x:c r="J5164" s="7"/>
      <x:c r="K5164" s="8"/>
      <x:c r="L5164" s="8"/>
      <x:c r="M5164" s="9"/>
      <x:c r="N5164" s="10"/>
      <x:c r="O5164" s="9"/>
      <x:c r="P5164" s="9" t="n">
        <x:v>0</x:v>
      </x:c>
      <x:c r="Q5164" s="9" t="n">
        <x:v>0.1470588235</x:v>
      </x:c>
      <x:c r="R5164" s="3" t="b">
        <x:v>0</x:v>
      </x:c>
      <x:c r="S5164" s="3" t="b">
        <x:v>0</x:v>
      </x:c>
      <x:c r="T5164" s="3" t="b">
        <x:v>0</x:v>
      </x:c>
      <x:c r="U5164" s="2" t="str">
        <x:f>IF(T5164=TRUE,"Priority review",IF(R5164=TRUE,"High cost",IF(S5164=TRUE,"Low quality","Benchmark")))</x:f>
        <x:v>Benchmark</x:v>
      </x:c>
    </x:row>
    <x:row r="5165">
      <x:c r="A5165" s="2" t="str">
        <x:v>140191</x:v>
      </x:c>
      <x:c r="B5165" s="2" t="str">
        <x:v>INGALLS MEMORIAL HOSPITAL</x:v>
      </x:c>
      <x:c r="C5165" s="2" t="str">
        <x:v>HARVEY</x:v>
      </x:c>
      <x:c r="D5165" s="2" t="str">
        <x:v>IL</x:v>
      </x:c>
      <x:c r="E5165" s="2" t="str">
        <x:v>Acute Care Hospitals</x:v>
      </x:c>
      <x:c r="F5165" s="2" t="str">
        <x:v>Other / unknown</x:v>
      </x:c>
      <x:c r="G5165" s="2" t="str">
        <x:v>Medium (100-299 beds)</x:v>
      </x:c>
      <x:c r="H5165" s="7" t="n">
        <x:v>2</x:v>
      </x:c>
      <x:c r="I5165" s="7" t="n">
        <x:v>2</x:v>
      </x:c>
      <x:c r="J5165" s="7" t="n">
        <x:v>1.03</x:v>
      </x:c>
      <x:c r="K5165" s="8" t="n">
        <x:v>189</x:v>
      </x:c>
      <x:c r="L5165" s="8" t="n">
        <x:v>93444</x:v>
      </x:c>
      <x:c r="M5165" s="9" t="n">
        <x:v>0.7813727622</x:v>
      </x:c>
      <x:c r="N5165" s="10" t="n">
        <x:v>4244.5642202817</x:v>
      </x:c>
      <x:c r="O5165" s="9" t="n">
        <x:v>0.0346376968</x:v>
      </x:c>
      <x:c r="P5165" s="9" t="n">
        <x:v>0</x:v>
      </x:c>
      <x:c r="Q5165" s="9" t="n">
        <x:v>0.0782396088</x:v>
      </x:c>
      <x:c r="R5165" s="3" t="b">
        <x:v>0</x:v>
      </x:c>
      <x:c r="S5165" s="3" t="b">
        <x:v>1</x:v>
      </x:c>
      <x:c r="T5165" s="3" t="b">
        <x:v>0</x:v>
      </x:c>
      <x:c r="U5165" s="2" t="str">
        <x:f>IF(T5165=TRUE,"Priority review",IF(R5165=TRUE,"High cost",IF(S5165=TRUE,"Low quality","Benchmark")))</x:f>
        <x:v>Low quality</x:v>
      </x:c>
    </x:row>
    <x:row r="5166">
      <x:c r="A5166" s="2" t="str">
        <x:v>452114</x:v>
      </x:c>
      <x:c r="B5166" s="2" t="str">
        <x:v>ATRIUM MEDICAL CENTER</x:v>
      </x:c>
      <x:c r="C5166" s="2" t="str">
        <x:v>STAFFORD</x:v>
      </x:c>
      <x:c r="D5166" s="2" t="str">
        <x:v>TX</x:v>
      </x:c>
      <x:c r="E5166" s="2" t="str">
        <x:v>Long-term</x:v>
      </x:c>
      <x:c r="F5166" s="2" t="str">
        <x:v>Other / unknown</x:v>
      </x:c>
      <x:c r="G5166" s="2" t="str">
        <x:v>Small (&lt;100 beds)</x:v>
      </x:c>
      <x:c r="H5166" s="7"/>
      <x:c r="I5166" s="7"/>
      <x:c r="J5166" s="7"/>
      <x:c r="K5166" s="8" t="n">
        <x:v>49</x:v>
      </x:c>
      <x:c r="L5166" s="8" t="n">
        <x:v>239</x:v>
      </x:c>
      <x:c r="M5166" s="9" t="n">
        <x:v>0.1905943264</x:v>
      </x:c>
      <x:c r="N5166" s="10" t="n">
        <x:v>47065.5062761506</x:v>
      </x:c>
      <x:c r="O5166" s="9" t="n">
        <x:v>-0.3184894705</x:v>
      </x:c>
      <x:c r="P5166" s="9" t="n">
        <x:v>0</x:v>
      </x:c>
      <x:c r="Q5166" s="9" t="n">
        <x:v>0</x:v>
      </x:c>
      <x:c r="R5166" s="3" t="b">
        <x:v>0</x:v>
      </x:c>
      <x:c r="S5166" s="3" t="b">
        <x:v>0</x:v>
      </x:c>
      <x:c r="T5166" s="3" t="b">
        <x:v>0</x:v>
      </x:c>
      <x:c r="U5166" s="2" t="str">
        <x:f>IF(T5166=TRUE,"Priority review",IF(R5166=TRUE,"High cost",IF(S5166=TRUE,"Low quality","Benchmark")))</x:f>
        <x:v>Benchmark</x:v>
      </x:c>
    </x:row>
    <x:row r="5167">
      <x:c r="A5167" s="2" t="str">
        <x:v>192008</x:v>
      </x:c>
      <x:c r="B5167" s="2" t="str">
        <x:v>SAGE SPECIALTY HOSPITAL</x:v>
      </x:c>
      <x:c r="C5167" s="2" t="str">
        <x:v>DENHAM SPRINGS</x:v>
      </x:c>
      <x:c r="D5167" s="2" t="str">
        <x:v>LA</x:v>
      </x:c>
      <x:c r="E5167" s="2" t="str">
        <x:v>Long-term</x:v>
      </x:c>
      <x:c r="F5167" s="2" t="str">
        <x:v>Proprietary</x:v>
      </x:c>
      <x:c r="G5167" s="2" t="str">
        <x:v>Unknown</x:v>
      </x:c>
      <x:c r="H5167" s="7"/>
      <x:c r="I5167" s="7"/>
      <x:c r="J5167" s="7"/>
      <x:c r="K5167" s="8"/>
      <x:c r="L5167" s="8"/>
      <x:c r="M5167" s="9"/>
      <x:c r="N5167" s="10"/>
      <x:c r="O5167" s="9"/>
      <x:c r="P5167" s="9" t="n">
        <x:v>0</x:v>
      </x:c>
      <x:c r="Q5167" s="9" t="n">
        <x:v>0</x:v>
      </x:c>
      <x:c r="R5167" s="3" t="b">
        <x:v>0</x:v>
      </x:c>
      <x:c r="S5167" s="3" t="b">
        <x:v>0</x:v>
      </x:c>
      <x:c r="T5167" s="3" t="b">
        <x:v>0</x:v>
      </x:c>
      <x:c r="U5167" s="2" t="str">
        <x:f>IF(T5167=TRUE,"Priority review",IF(R5167=TRUE,"High cost",IF(S5167=TRUE,"Low quality","Benchmark")))</x:f>
        <x:v>Benchmark</x:v>
      </x:c>
    </x:row>
    <x:row r="5168">
      <x:c r="A5168" s="2" t="str">
        <x:v>192010</x:v>
      </x:c>
      <x:c r="B5168" s="2" t="str">
        <x:v>INTENSIVE SPECIALTY HOSPITAL</x:v>
      </x:c>
      <x:c r="C5168" s="2" t="str">
        <x:v>SHREVEPORT</x:v>
      </x:c>
      <x:c r="D5168" s="2" t="str">
        <x:v>LA</x:v>
      </x:c>
      <x:c r="E5168" s="2" t="str">
        <x:v>Long-term</x:v>
      </x:c>
      <x:c r="F5168" s="2" t="str">
        <x:v>Voluntary non-profit</x:v>
      </x:c>
      <x:c r="G5168" s="2" t="str">
        <x:v>Unknown</x:v>
      </x:c>
      <x:c r="H5168" s="7"/>
      <x:c r="I5168" s="7"/>
      <x:c r="J5168" s="7"/>
      <x:c r="K5168" s="8"/>
      <x:c r="L5168" s="8"/>
      <x:c r="M5168" s="9"/>
      <x:c r="N5168" s="10"/>
      <x:c r="O5168" s="9"/>
      <x:c r="P5168" s="9" t="n">
        <x:v>0</x:v>
      </x:c>
      <x:c r="Q5168" s="9" t="n">
        <x:v>0</x:v>
      </x:c>
      <x:c r="R5168" s="3" t="b">
        <x:v>0</x:v>
      </x:c>
      <x:c r="S5168" s="3" t="b">
        <x:v>0</x:v>
      </x:c>
      <x:c r="T5168" s="3" t="b">
        <x:v>0</x:v>
      </x:c>
      <x:c r="U5168" s="2" t="str">
        <x:f>IF(T5168=TRUE,"Priority review",IF(R5168=TRUE,"High cost",IF(S5168=TRUE,"Low quality","Benchmark")))</x:f>
        <x:v>Benchmark</x:v>
      </x:c>
    </x:row>
    <x:row r="5169">
      <x:c r="A5169" s="2" t="str">
        <x:v>361313</x:v>
      </x:c>
      <x:c r="B5169" s="2" t="str">
        <x:v>OHIOHEALTH MORROW COUNTY HOSPITAL</x:v>
      </x:c>
      <x:c r="C5169" s="2" t="str">
        <x:v>MOUNT GILEAD</x:v>
      </x:c>
      <x:c r="D5169" s="2" t="str">
        <x:v>OH</x:v>
      </x:c>
      <x:c r="E5169" s="2" t="str">
        <x:v>Critical Access Hospitals</x:v>
      </x:c>
      <x:c r="F5169" s="2" t="str">
        <x:v>Government</x:v>
      </x:c>
      <x:c r="G5169" s="2" t="str">
        <x:v>Medium (100-299 beds)</x:v>
      </x:c>
      <x:c r="H5169" s="7"/>
      <x:c r="I5169" s="7"/>
      <x:c r="J5169" s="7"/>
      <x:c r="K5169" s="8" t="n">
        <x:v>210</x:v>
      </x:c>
      <x:c r="L5169" s="8" t="n">
        <x:v>169</x:v>
      </x:c>
      <x:c r="M5169" s="9" t="n">
        <x:v>0.1119030649</x:v>
      </x:c>
      <x:c r="N5169" s="10" t="n">
        <x:v>153605.8816568047</x:v>
      </x:c>
      <x:c r="O5169" s="9" t="n">
        <x:v>-0.1314316702</x:v>
      </x:c>
      <x:c r="P5169" s="9" t="n">
        <x:v>0</x:v>
      </x:c>
      <x:c r="Q5169" s="9" t="n">
        <x:v>0</x:v>
      </x:c>
      <x:c r="R5169" s="3" t="b">
        <x:v>0</x:v>
      </x:c>
      <x:c r="S5169" s="3" t="b">
        <x:v>0</x:v>
      </x:c>
      <x:c r="T5169" s="3" t="b">
        <x:v>0</x:v>
      </x:c>
      <x:c r="U5169" s="2" t="str">
        <x:f>IF(T5169=TRUE,"Priority review",IF(R5169=TRUE,"High cost",IF(S5169=TRUE,"Low quality","Benchmark")))</x:f>
        <x:v>Benchmark</x:v>
      </x:c>
    </x:row>
    <x:row r="5170">
      <x:c r="A5170" s="2" t="str">
        <x:v>363309</x:v>
      </x:c>
      <x:c r="B5170" s="2" t="str">
        <x:v>NATIONWIDE CHILDREN'S HOSPITAL TOLEDO, LLC</x:v>
      </x:c>
      <x:c r="C5170" s="2" t="str">
        <x:v>TOLEDO</x:v>
      </x:c>
      <x:c r="D5170" s="2" t="str">
        <x:v>OH</x:v>
      </x:c>
      <x:c r="E5170" s="2" t="str">
        <x:v>Childrens</x:v>
      </x:c>
      <x:c r="F5170" s="2" t="str">
        <x:v>Voluntary non-profit</x:v>
      </x:c>
      <x:c r="G5170" s="2" t="str">
        <x:v>Small (&lt;100 beds)</x:v>
      </x:c>
      <x:c r="H5170" s="7"/>
      <x:c r="I5170" s="7"/>
      <x:c r="J5170" s="7"/>
      <x:c r="K5170" s="8" t="n">
        <x:v>57</x:v>
      </x:c>
      <x:c r="L5170" s="8" t="n">
        <x:v>1781</x:v>
      </x:c>
      <x:c r="M5170" s="9" t="n">
        <x:v>0.4781326536</x:v>
      </x:c>
      <x:c r="N5170" s="10" t="n">
        <x:v>31368.9124087591</x:v>
      </x:c>
      <x:c r="O5170" s="9" t="n">
        <x:v>0.1352093929</x:v>
      </x:c>
      <x:c r="P5170" s="9" t="n">
        <x:v>0</x:v>
      </x:c>
      <x:c r="Q5170" s="9" t="n">
        <x:v>0</x:v>
      </x:c>
      <x:c r="R5170" s="3" t="b">
        <x:v>0</x:v>
      </x:c>
      <x:c r="S5170" s="3" t="b">
        <x:v>0</x:v>
      </x:c>
      <x:c r="T5170" s="3" t="b">
        <x:v>0</x:v>
      </x:c>
      <x:c r="U5170" s="2" t="str">
        <x:f>IF(T5170=TRUE,"Priority review",IF(R5170=TRUE,"High cost",IF(S5170=TRUE,"Low quality","Benchmark")))</x:f>
        <x:v>Benchmark</x:v>
      </x:c>
    </x:row>
    <x:row r="5171">
      <x:c r="A5171" s="2" t="str">
        <x:v>363308</x:v>
      </x:c>
      <x:c r="B5171" s="2" t="str">
        <x:v>SHRINERS HOSPITALS FOR CHILDREN</x:v>
      </x:c>
      <x:c r="C5171" s="2" t="str">
        <x:v>DAYTON</x:v>
      </x:c>
      <x:c r="D5171" s="2" t="str">
        <x:v>OH</x:v>
      </x:c>
      <x:c r="E5171" s="2" t="str">
        <x:v>Childrens</x:v>
      </x:c>
      <x:c r="F5171" s="2" t="str">
        <x:v>Voluntary non-profit</x:v>
      </x:c>
      <x:c r="G5171" s="2" t="str">
        <x:v>Unknown</x:v>
      </x:c>
      <x:c r="H5171" s="7"/>
      <x:c r="I5171" s="7"/>
      <x:c r="J5171" s="7"/>
      <x:c r="K5171" s="8"/>
      <x:c r="L5171" s="8"/>
      <x:c r="M5171" s="9"/>
      <x:c r="N5171" s="10"/>
      <x:c r="O5171" s="9"/>
      <x:c r="P5171" s="9" t="n">
        <x:v>0</x:v>
      </x:c>
      <x:c r="Q5171" s="9" t="n">
        <x:v>0</x:v>
      </x:c>
      <x:c r="R5171" s="3" t="b">
        <x:v>0</x:v>
      </x:c>
      <x:c r="S5171" s="3" t="b">
        <x:v>0</x:v>
      </x:c>
      <x:c r="T5171" s="3" t="b">
        <x:v>0</x:v>
      </x:c>
      <x:c r="U5171" s="2" t="str">
        <x:f>IF(T5171=TRUE,"Priority review",IF(R5171=TRUE,"High cost",IF(S5171=TRUE,"Low quality","Benchmark")))</x:f>
        <x:v>Benchmark</x:v>
      </x:c>
    </x:row>
    <x:row r="5172">
      <x:c r="A5172" s="2" t="str">
        <x:v>453321</x:v>
      </x:c>
      <x:c r="B5172" s="2" t="str">
        <x:v>DRISCOLL CHILDREN'S HOSPITAL RIO GRANDE VALLEY</x:v>
      </x:c>
      <x:c r="C5172" s="2" t="str">
        <x:v>EDINBURG</x:v>
      </x:c>
      <x:c r="D5172" s="2" t="str">
        <x:v>TX</x:v>
      </x:c>
      <x:c r="E5172" s="2" t="str">
        <x:v>Childrens</x:v>
      </x:c>
      <x:c r="F5172" s="2" t="str">
        <x:v>Voluntary non-profit</x:v>
      </x:c>
      <x:c r="G5172" s="2" t="str">
        <x:v>Unknown</x:v>
      </x:c>
      <x:c r="H5172" s="7"/>
      <x:c r="I5172" s="7"/>
      <x:c r="J5172" s="7"/>
      <x:c r="K5172" s="8"/>
      <x:c r="L5172" s="8"/>
      <x:c r="M5172" s="9"/>
      <x:c r="N5172" s="10"/>
      <x:c r="O5172" s="9"/>
      <x:c r="P5172" s="9" t="n">
        <x:v>0</x:v>
      </x:c>
      <x:c r="Q5172" s="9" t="n">
        <x:v>0</x:v>
      </x:c>
      <x:c r="R5172" s="3" t="b">
        <x:v>0</x:v>
      </x:c>
      <x:c r="S5172" s="3" t="b">
        <x:v>0</x:v>
      </x:c>
      <x:c r="T5172" s="3" t="b">
        <x:v>0</x:v>
      </x:c>
      <x:c r="U5172" s="2" t="str">
        <x:f>IF(T5172=TRUE,"Priority review",IF(R5172=TRUE,"High cost",IF(S5172=TRUE,"Low quality","Benchmark")))</x:f>
        <x:v>Benchmark</x:v>
      </x:c>
    </x:row>
    <x:row r="5173">
      <x:c r="A5173" s="2" t="str">
        <x:v>263304</x:v>
      </x:c>
      <x:c r="B5173" s="2" t="str">
        <x:v>SHRINERS HOSPITALS FOR CHILDREN</x:v>
      </x:c>
      <x:c r="C5173" s="2" t="str">
        <x:v>SAINT LOUIS</x:v>
      </x:c>
      <x:c r="D5173" s="2" t="str">
        <x:v>MO</x:v>
      </x:c>
      <x:c r="E5173" s="2" t="str">
        <x:v>Childrens</x:v>
      </x:c>
      <x:c r="F5173" s="2" t="str">
        <x:v>Voluntary non-profit</x:v>
      </x:c>
      <x:c r="G5173" s="2" t="str">
        <x:v>Unknown</x:v>
      </x:c>
      <x:c r="H5173" s="7"/>
      <x:c r="I5173" s="7"/>
      <x:c r="J5173" s="7"/>
      <x:c r="K5173" s="8"/>
      <x:c r="L5173" s="8"/>
      <x:c r="M5173" s="9"/>
      <x:c r="N5173" s="10"/>
      <x:c r="O5173" s="9"/>
      <x:c r="P5173" s="9" t="n">
        <x:v>0</x:v>
      </x:c>
      <x:c r="Q5173" s="9" t="n">
        <x:v>0</x:v>
      </x:c>
      <x:c r="R5173" s="3" t="b">
        <x:v>0</x:v>
      </x:c>
      <x:c r="S5173" s="3" t="b">
        <x:v>0</x:v>
      </x:c>
      <x:c r="T5173" s="3" t="b">
        <x:v>0</x:v>
      </x:c>
      <x:c r="U5173" s="2" t="str">
        <x:f>IF(T5173=TRUE,"Priority review",IF(R5173=TRUE,"High cost",IF(S5173=TRUE,"Low quality","Benchmark")))</x:f>
        <x:v>Benchmark</x:v>
      </x:c>
    </x:row>
    <x:row r="5174">
      <x:c r="A5174" s="2" t="str">
        <x:v>333301</x:v>
      </x:c>
      <x:c r="B5174" s="2" t="str">
        <x:v>BLYTHEDALE CHILDREN'S HOSPITAL</x:v>
      </x:c>
      <x:c r="C5174" s="2" t="str">
        <x:v>VALHALLA</x:v>
      </x:c>
      <x:c r="D5174" s="2" t="str">
        <x:v>NY</x:v>
      </x:c>
      <x:c r="E5174" s="2" t="str">
        <x:v>Childrens</x:v>
      </x:c>
      <x:c r="F5174" s="2" t="str">
        <x:v>Voluntary non-profit</x:v>
      </x:c>
      <x:c r="G5174" s="2" t="str">
        <x:v>Unknown</x:v>
      </x:c>
      <x:c r="H5174" s="7"/>
      <x:c r="I5174" s="7"/>
      <x:c r="J5174" s="7"/>
      <x:c r="K5174" s="8"/>
      <x:c r="L5174" s="8"/>
      <x:c r="M5174" s="9"/>
      <x:c r="N5174" s="10"/>
      <x:c r="O5174" s="9"/>
      <x:c r="P5174" s="9" t="n">
        <x:v>0</x:v>
      </x:c>
      <x:c r="Q5174" s="9" t="n">
        <x:v>0</x:v>
      </x:c>
      <x:c r="R5174" s="3" t="b">
        <x:v>0</x:v>
      </x:c>
      <x:c r="S5174" s="3" t="b">
        <x:v>0</x:v>
      </x:c>
      <x:c r="T5174" s="3" t="b">
        <x:v>0</x:v>
      </x:c>
      <x:c r="U5174" s="2" t="str">
        <x:f>IF(T5174=TRUE,"Priority review",IF(R5174=TRUE,"High cost",IF(S5174=TRUE,"Low quality","Benchmark")))</x:f>
        <x:v>Benchmark</x:v>
      </x:c>
    </x:row>
    <x:row r="5175">
      <x:c r="A5175" s="2" t="str">
        <x:v>123301</x:v>
      </x:c>
      <x:c r="B5175" s="2" t="str">
        <x:v>SHRINERS HOSPITAL FOR CHILDREN</x:v>
      </x:c>
      <x:c r="C5175" s="2" t="str">
        <x:v>HONOLULU</x:v>
      </x:c>
      <x:c r="D5175" s="2" t="str">
        <x:v>HI</x:v>
      </x:c>
      <x:c r="E5175" s="2" t="str">
        <x:v>Childrens</x:v>
      </x:c>
      <x:c r="F5175" s="2" t="str">
        <x:v>Voluntary non-profit</x:v>
      </x:c>
      <x:c r="G5175" s="2" t="str">
        <x:v>Unknown</x:v>
      </x:c>
      <x:c r="H5175" s="7"/>
      <x:c r="I5175" s="7"/>
      <x:c r="J5175" s="7"/>
      <x:c r="K5175" s="8"/>
      <x:c r="L5175" s="8"/>
      <x:c r="M5175" s="9"/>
      <x:c r="N5175" s="10"/>
      <x:c r="O5175" s="9"/>
      <x:c r="P5175" s="9" t="n">
        <x:v>0</x:v>
      </x:c>
      <x:c r="Q5175" s="9" t="n">
        <x:v>0</x:v>
      </x:c>
      <x:c r="R5175" s="3" t="b">
        <x:v>0</x:v>
      </x:c>
      <x:c r="S5175" s="3" t="b">
        <x:v>0</x:v>
      </x:c>
      <x:c r="T5175" s="3" t="b">
        <x:v>0</x:v>
      </x:c>
      <x:c r="U5175" s="2" t="str">
        <x:f>IF(T5175=TRUE,"Priority review",IF(R5175=TRUE,"High cost",IF(S5175=TRUE,"Low quality","Benchmark")))</x:f>
        <x:v>Benchmark</x:v>
      </x:c>
    </x:row>
    <x:row r="5176">
      <x:c r="A5176" s="2" t="str">
        <x:v>223304</x:v>
      </x:c>
      <x:c r="B5176" s="2" t="str">
        <x:v>THE SHRINERS' HOSPITAL FOR CHILDREN - BOSTON</x:v>
      </x:c>
      <x:c r="C5176" s="2" t="str">
        <x:v>BOSTON</x:v>
      </x:c>
      <x:c r="D5176" s="2" t="str">
        <x:v>MA</x:v>
      </x:c>
      <x:c r="E5176" s="2" t="str">
        <x:v>Childrens</x:v>
      </x:c>
      <x:c r="F5176" s="2" t="str">
        <x:v>Proprietary</x:v>
      </x:c>
      <x:c r="G5176" s="2" t="str">
        <x:v>Unknown</x:v>
      </x:c>
      <x:c r="H5176" s="7"/>
      <x:c r="I5176" s="7"/>
      <x:c r="J5176" s="7"/>
      <x:c r="K5176" s="8"/>
      <x:c r="L5176" s="8"/>
      <x:c r="M5176" s="9"/>
      <x:c r="N5176" s="10"/>
      <x:c r="O5176" s="9"/>
      <x:c r="P5176" s="9" t="n">
        <x:v>0</x:v>
      </x:c>
      <x:c r="Q5176" s="9" t="n">
        <x:v>0</x:v>
      </x:c>
      <x:c r="R5176" s="3" t="b">
        <x:v>0</x:v>
      </x:c>
      <x:c r="S5176" s="3" t="b">
        <x:v>0</x:v>
      </x:c>
      <x:c r="T5176" s="3" t="b">
        <x:v>0</x:v>
      </x:c>
      <x:c r="U5176" s="2" t="str">
        <x:f>IF(T5176=TRUE,"Priority review",IF(R5176=TRUE,"High cost",IF(S5176=TRUE,"Low quality","Benchmark")))</x:f>
        <x:v>Benchmark</x:v>
      </x:c>
    </x:row>
    <x:row r="5177">
      <x:c r="A5177" s="2" t="str">
        <x:v>213300</x:v>
      </x:c>
      <x:c r="B5177" s="2" t="str">
        <x:v>MOUNT WASHINGTON PEDIATRIC HOSPITAL</x:v>
      </x:c>
      <x:c r="C5177" s="2" t="str">
        <x:v>BALTIMORE</x:v>
      </x:c>
      <x:c r="D5177" s="2" t="str">
        <x:v>MD</x:v>
      </x:c>
      <x:c r="E5177" s="2" t="str">
        <x:v>Childrens</x:v>
      </x:c>
      <x:c r="F5177" s="2" t="str">
        <x:v>Voluntary non-profit</x:v>
      </x:c>
      <x:c r="G5177" s="2" t="str">
        <x:v>Unknown</x:v>
      </x:c>
      <x:c r="H5177" s="7"/>
      <x:c r="I5177" s="7"/>
      <x:c r="J5177" s="7"/>
      <x:c r="K5177" s="8"/>
      <x:c r="L5177" s="8"/>
      <x:c r="M5177" s="9"/>
      <x:c r="N5177" s="10"/>
      <x:c r="O5177" s="9"/>
      <x:c r="P5177" s="9" t="n">
        <x:v>0</x:v>
      </x:c>
      <x:c r="Q5177" s="9" t="n">
        <x:v>0</x:v>
      </x:c>
      <x:c r="R5177" s="3" t="b">
        <x:v>0</x:v>
      </x:c>
      <x:c r="S5177" s="3" t="b">
        <x:v>0</x:v>
      </x:c>
      <x:c r="T5177" s="3" t="b">
        <x:v>0</x:v>
      </x:c>
      <x:c r="U5177" s="2" t="str">
        <x:f>IF(T5177=TRUE,"Priority review",IF(R5177=TRUE,"High cost",IF(S5177=TRUE,"Low quality","Benchmark")))</x:f>
        <x:v>Benchmark</x:v>
      </x:c>
    </x:row>
    <x:row r="5178">
      <x:c r="A5178" s="2" t="str">
        <x:v>373300</x:v>
      </x:c>
      <x:c r="B5178" s="2" t="str">
        <x:v>J D MCCARTY CENTER FOR CHILDREN</x:v>
      </x:c>
      <x:c r="C5178" s="2" t="str">
        <x:v>NORMAN</x:v>
      </x:c>
      <x:c r="D5178" s="2" t="str">
        <x:v>OK</x:v>
      </x:c>
      <x:c r="E5178" s="2" t="str">
        <x:v>Childrens</x:v>
      </x:c>
      <x:c r="F5178" s="2" t="str">
        <x:v>Government</x:v>
      </x:c>
      <x:c r="G5178" s="2" t="str">
        <x:v>Unknown</x:v>
      </x:c>
      <x:c r="H5178" s="7"/>
      <x:c r="I5178" s="7"/>
      <x:c r="J5178" s="7"/>
      <x:c r="K5178" s="8"/>
      <x:c r="L5178" s="8"/>
      <x:c r="M5178" s="9"/>
      <x:c r="N5178" s="10"/>
      <x:c r="O5178" s="9"/>
      <x:c r="P5178" s="9" t="n">
        <x:v>0</x:v>
      </x:c>
      <x:c r="Q5178" s="9" t="n">
        <x:v>0</x:v>
      </x:c>
      <x:c r="R5178" s="3" t="b">
        <x:v>0</x:v>
      </x:c>
      <x:c r="S5178" s="3" t="b">
        <x:v>0</x:v>
      </x:c>
      <x:c r="T5178" s="3" t="b">
        <x:v>0</x:v>
      </x:c>
      <x:c r="U5178" s="2" t="str">
        <x:f>IF(T5178=TRUE,"Priority review",IF(R5178=TRUE,"High cost",IF(S5178=TRUE,"Low quality","Benchmark")))</x:f>
        <x:v>Benchmark</x:v>
      </x:c>
    </x:row>
    <x:row r="5179">
      <x:c r="A5179" s="2" t="str">
        <x:v>373303</x:v>
      </x:c>
      <x:c r="B5179" s="2" t="str">
        <x:v>THE CHILDREN'S CENTER, INC</x:v>
      </x:c>
      <x:c r="C5179" s="2" t="str">
        <x:v>BETHANY</x:v>
      </x:c>
      <x:c r="D5179" s="2" t="str">
        <x:v>OK</x:v>
      </x:c>
      <x:c r="E5179" s="2" t="str">
        <x:v>Childrens</x:v>
      </x:c>
      <x:c r="F5179" s="2" t="str">
        <x:v>Voluntary non-profit</x:v>
      </x:c>
      <x:c r="G5179" s="2" t="str">
        <x:v>Unknown</x:v>
      </x:c>
      <x:c r="H5179" s="7"/>
      <x:c r="I5179" s="7"/>
      <x:c r="J5179" s="7"/>
      <x:c r="K5179" s="8"/>
      <x:c r="L5179" s="8"/>
      <x:c r="M5179" s="9"/>
      <x:c r="N5179" s="10"/>
      <x:c r="O5179" s="9"/>
      <x:c r="P5179" s="9" t="n">
        <x:v>0</x:v>
      </x:c>
      <x:c r="Q5179" s="9" t="n">
        <x:v>0</x:v>
      </x:c>
      <x:c r="R5179" s="3" t="b">
        <x:v>0</x:v>
      </x:c>
      <x:c r="S5179" s="3" t="b">
        <x:v>0</x:v>
      </x:c>
      <x:c r="T5179" s="3" t="b">
        <x:v>0</x:v>
      </x:c>
      <x:c r="U5179" s="2" t="str">
        <x:f>IF(T5179=TRUE,"Priority review",IF(R5179=TRUE,"High cost",IF(S5179=TRUE,"Low quality","Benchmark")))</x:f>
        <x:v>Benchmark</x:v>
      </x:c>
    </x:row>
    <x:row r="5180">
      <x:c r="A5180" s="2" t="str">
        <x:v>383300</x:v>
      </x:c>
      <x:c r="B5180" s="2" t="str">
        <x:v>SHRINERS HOSPITAL FOR CHILDREN - PORTLAND</x:v>
      </x:c>
      <x:c r="C5180" s="2" t="str">
        <x:v>PORTLAND</x:v>
      </x:c>
      <x:c r="D5180" s="2" t="str">
        <x:v>OR</x:v>
      </x:c>
      <x:c r="E5180" s="2" t="str">
        <x:v>Childrens</x:v>
      </x:c>
      <x:c r="F5180" s="2" t="str">
        <x:v>Voluntary non-profit</x:v>
      </x:c>
      <x:c r="G5180" s="2" t="str">
        <x:v>Unknown</x:v>
      </x:c>
      <x:c r="H5180" s="7"/>
      <x:c r="I5180" s="7"/>
      <x:c r="J5180" s="7"/>
      <x:c r="K5180" s="8"/>
      <x:c r="L5180" s="8"/>
      <x:c r="M5180" s="9"/>
      <x:c r="N5180" s="10"/>
      <x:c r="O5180" s="9"/>
      <x:c r="P5180" s="9" t="n">
        <x:v>0</x:v>
      </x:c>
      <x:c r="Q5180" s="9" t="n">
        <x:v>0</x:v>
      </x:c>
      <x:c r="R5180" s="3" t="b">
        <x:v>0</x:v>
      </x:c>
      <x:c r="S5180" s="3" t="b">
        <x:v>0</x:v>
      </x:c>
      <x:c r="T5180" s="3" t="b">
        <x:v>0</x:v>
      </x:c>
      <x:c r="U5180" s="2" t="str">
        <x:f>IF(T5180=TRUE,"Priority review",IF(R5180=TRUE,"High cost",IF(S5180=TRUE,"Low quality","Benchmark")))</x:f>
        <x:v>Benchmark</x:v>
      </x:c>
    </x:row>
    <x:row r="5181">
      <x:c r="A5181" s="2" t="str">
        <x:v>393309</x:v>
      </x:c>
      <x:c r="B5181" s="2" t="str">
        <x:v>SHRINERS HOSPITALS FOR CHILDREN - PHILADELPHIA</x:v>
      </x:c>
      <x:c r="C5181" s="2" t="str">
        <x:v>PHILADELPHIA</x:v>
      </x:c>
      <x:c r="D5181" s="2" t="str">
        <x:v>PA</x:v>
      </x:c>
      <x:c r="E5181" s="2" t="str">
        <x:v>Childrens</x:v>
      </x:c>
      <x:c r="F5181" s="2" t="str">
        <x:v>Voluntary non-profit</x:v>
      </x:c>
      <x:c r="G5181" s="2" t="str">
        <x:v>Unknown</x:v>
      </x:c>
      <x:c r="H5181" s="7"/>
      <x:c r="I5181" s="7"/>
      <x:c r="J5181" s="7"/>
      <x:c r="K5181" s="8"/>
      <x:c r="L5181" s="8"/>
      <x:c r="M5181" s="9"/>
      <x:c r="N5181" s="10"/>
      <x:c r="O5181" s="9"/>
      <x:c r="P5181" s="9" t="n">
        <x:v>0</x:v>
      </x:c>
      <x:c r="Q5181" s="9" t="n">
        <x:v>0</x:v>
      </x:c>
      <x:c r="R5181" s="3" t="b">
        <x:v>0</x:v>
      </x:c>
      <x:c r="S5181" s="3" t="b">
        <x:v>0</x:v>
      </x:c>
      <x:c r="T5181" s="3" t="b">
        <x:v>0</x:v>
      </x:c>
      <x:c r="U5181" s="2" t="str">
        <x:f>IF(T5181=TRUE,"Priority review",IF(R5181=TRUE,"High cost",IF(S5181=TRUE,"Low quality","Benchmark")))</x:f>
        <x:v>Benchmark</x:v>
      </x:c>
    </x:row>
    <x:row r="5182">
      <x:c r="A5182" s="2" t="str">
        <x:v>423300</x:v>
      </x:c>
      <x:c r="B5182" s="2" t="str">
        <x:v>SHRINERS HOSPITALS FOR CHILDREN</x:v>
      </x:c>
      <x:c r="C5182" s="2" t="str">
        <x:v>GREENVILLE</x:v>
      </x:c>
      <x:c r="D5182" s="2" t="str">
        <x:v>SC</x:v>
      </x:c>
      <x:c r="E5182" s="2" t="str">
        <x:v>Childrens</x:v>
      </x:c>
      <x:c r="F5182" s="2" t="str">
        <x:v>Voluntary non-profit</x:v>
      </x:c>
      <x:c r="G5182" s="2" t="str">
        <x:v>Unknown</x:v>
      </x:c>
      <x:c r="H5182" s="7"/>
      <x:c r="I5182" s="7"/>
      <x:c r="J5182" s="7"/>
      <x:c r="K5182" s="8"/>
      <x:c r="L5182" s="8"/>
      <x:c r="M5182" s="9"/>
      <x:c r="N5182" s="10"/>
      <x:c r="O5182" s="9"/>
      <x:c r="P5182" s="9" t="n">
        <x:v>0</x:v>
      </x:c>
      <x:c r="Q5182" s="9" t="n">
        <x:v>0</x:v>
      </x:c>
      <x:c r="R5182" s="3" t="b">
        <x:v>0</x:v>
      </x:c>
      <x:c r="S5182" s="3" t="b">
        <x:v>0</x:v>
      </x:c>
      <x:c r="T5182" s="3" t="b">
        <x:v>0</x:v>
      </x:c>
      <x:c r="U5182" s="2" t="str">
        <x:f>IF(T5182=TRUE,"Priority review",IF(R5182=TRUE,"High cost",IF(S5182=TRUE,"Low quality","Benchmark")))</x:f>
        <x:v>Benchmark</x:v>
      </x:c>
    </x:row>
    <x:row r="5183">
      <x:c r="A5183" s="2" t="str">
        <x:v>443302</x:v>
      </x:c>
      <x:c r="B5183" s="2" t="str">
        <x:v>ST JUDE CHILDRENS RESEARCH HOSPITAL</x:v>
      </x:c>
      <x:c r="C5183" s="2" t="str">
        <x:v>MEMPHIS</x:v>
      </x:c>
      <x:c r="D5183" s="2" t="str">
        <x:v>TN</x:v>
      </x:c>
      <x:c r="E5183" s="2" t="str">
        <x:v>Childrens</x:v>
      </x:c>
      <x:c r="F5183" s="2" t="str">
        <x:v>Voluntary non-profit</x:v>
      </x:c>
      <x:c r="G5183" s="2" t="str">
        <x:v>Unknown</x:v>
      </x:c>
      <x:c r="H5183" s="7"/>
      <x:c r="I5183" s="7"/>
      <x:c r="J5183" s="7"/>
      <x:c r="K5183" s="8"/>
      <x:c r="L5183" s="8"/>
      <x:c r="M5183" s="9"/>
      <x:c r="N5183" s="10"/>
      <x:c r="O5183" s="9"/>
      <x:c r="P5183" s="9" t="n">
        <x:v>0</x:v>
      </x:c>
      <x:c r="Q5183" s="9" t="n">
        <x:v>0</x:v>
      </x:c>
      <x:c r="R5183" s="3" t="b">
        <x:v>0</x:v>
      </x:c>
      <x:c r="S5183" s="3" t="b">
        <x:v>0</x:v>
      </x:c>
      <x:c r="T5183" s="3" t="b">
        <x:v>0</x:v>
      </x:c>
      <x:c r="U5183" s="2" t="str">
        <x:f>IF(T5183=TRUE,"Priority review",IF(R5183=TRUE,"High cost",IF(S5183=TRUE,"Low quality","Benchmark")))</x:f>
        <x:v>Benchmark</x:v>
      </x:c>
    </x:row>
    <x:row r="5184">
      <x:c r="A5184" s="2" t="str">
        <x:v>453311</x:v>
      </x:c>
      <x:c r="B5184" s="2" t="str">
        <x:v>SHRINERS HOSPITALS FOR CHILDREN</x:v>
      </x:c>
      <x:c r="C5184" s="2" t="str">
        <x:v>GALVESTON</x:v>
      </x:c>
      <x:c r="D5184" s="2" t="str">
        <x:v>TX</x:v>
      </x:c>
      <x:c r="E5184" s="2" t="str">
        <x:v>Childrens</x:v>
      </x:c>
      <x:c r="F5184" s="2" t="str">
        <x:v>Voluntary non-profit</x:v>
      </x:c>
      <x:c r="G5184" s="2" t="str">
        <x:v>Unknown</x:v>
      </x:c>
      <x:c r="H5184" s="7"/>
      <x:c r="I5184" s="7"/>
      <x:c r="J5184" s="7"/>
      <x:c r="K5184" s="8"/>
      <x:c r="L5184" s="8"/>
      <x:c r="M5184" s="9"/>
      <x:c r="N5184" s="10"/>
      <x:c r="O5184" s="9"/>
      <x:c r="P5184" s="9" t="n">
        <x:v>0</x:v>
      </x:c>
      <x:c r="Q5184" s="9" t="n">
        <x:v>0</x:v>
      </x:c>
      <x:c r="R5184" s="3" t="b">
        <x:v>0</x:v>
      </x:c>
      <x:c r="S5184" s="3" t="b">
        <x:v>0</x:v>
      </x:c>
      <x:c r="T5184" s="3" t="b">
        <x:v>0</x:v>
      </x:c>
      <x:c r="U5184" s="2" t="str">
        <x:f>IF(T5184=TRUE,"Priority review",IF(R5184=TRUE,"High cost",IF(S5184=TRUE,"Low quality","Benchmark")))</x:f>
        <x:v>Benchmark</x:v>
      </x:c>
    </x:row>
    <x:row r="5185">
      <x:c r="A5185" s="2" t="str">
        <x:v>453314</x:v>
      </x:c>
      <x:c r="B5185" s="2" t="str">
        <x:v>TEXAS SCOTTISH RITE HOSPITAL FOR CHILDREN</x:v>
      </x:c>
      <x:c r="C5185" s="2" t="str">
        <x:v>DALLAS</x:v>
      </x:c>
      <x:c r="D5185" s="2" t="str">
        <x:v>TX</x:v>
      </x:c>
      <x:c r="E5185" s="2" t="str">
        <x:v>Childrens</x:v>
      </x:c>
      <x:c r="F5185" s="2" t="str">
        <x:v>Voluntary non-profit</x:v>
      </x:c>
      <x:c r="G5185" s="2" t="str">
        <x:v>Unknown</x:v>
      </x:c>
      <x:c r="H5185" s="7"/>
      <x:c r="I5185" s="7"/>
      <x:c r="J5185" s="7"/>
      <x:c r="K5185" s="8"/>
      <x:c r="L5185" s="8"/>
      <x:c r="M5185" s="9"/>
      <x:c r="N5185" s="10"/>
      <x:c r="O5185" s="9"/>
      <x:c r="P5185" s="9" t="n">
        <x:v>0</x:v>
      </x:c>
      <x:c r="Q5185" s="9" t="n">
        <x:v>0</x:v>
      </x:c>
      <x:c r="R5185" s="3" t="b">
        <x:v>0</x:v>
      </x:c>
      <x:c r="S5185" s="3" t="b">
        <x:v>0</x:v>
      </x:c>
      <x:c r="T5185" s="3" t="b">
        <x:v>0</x:v>
      </x:c>
      <x:c r="U5185" s="2" t="str">
        <x:f>IF(T5185=TRUE,"Priority review",IF(R5185=TRUE,"High cost",IF(S5185=TRUE,"Low quality","Benchmark")))</x:f>
        <x:v>Benchmark</x:v>
      </x:c>
    </x:row>
    <x:row r="5186">
      <x:c r="A5186" s="2" t="str">
        <x:v>053308</x:v>
      </x:c>
      <x:c r="B5186" s="2" t="str">
        <x:v>HEALTHBRIDGE CHILDREN'S HOSPITAL - ORANGE</x:v>
      </x:c>
      <x:c r="C5186" s="2" t="str">
        <x:v>ORANGE</x:v>
      </x:c>
      <x:c r="D5186" s="2" t="str">
        <x:v>CA</x:v>
      </x:c>
      <x:c r="E5186" s="2" t="str">
        <x:v>Childrens</x:v>
      </x:c>
      <x:c r="F5186" s="2" t="str">
        <x:v>Proprietary</x:v>
      </x:c>
      <x:c r="G5186" s="2" t="str">
        <x:v>Unknown</x:v>
      </x:c>
      <x:c r="H5186" s="7"/>
      <x:c r="I5186" s="7"/>
      <x:c r="J5186" s="7"/>
      <x:c r="K5186" s="8"/>
      <x:c r="L5186" s="8"/>
      <x:c r="M5186" s="9"/>
      <x:c r="N5186" s="10"/>
      <x:c r="O5186" s="9"/>
      <x:c r="P5186" s="9" t="n">
        <x:v>0</x:v>
      </x:c>
      <x:c r="Q5186" s="9" t="n">
        <x:v>0</x:v>
      </x:c>
      <x:c r="R5186" s="3" t="b">
        <x:v>0</x:v>
      </x:c>
      <x:c r="S5186" s="3" t="b">
        <x:v>0</x:v>
      </x:c>
      <x:c r="T5186" s="3" t="b">
        <x:v>0</x:v>
      </x:c>
      <x:c r="U5186" s="2" t="str">
        <x:f>IF(T5186=TRUE,"Priority review",IF(R5186=TRUE,"High cost",IF(S5186=TRUE,"Low quality","Benchmark")))</x:f>
        <x:v>Benchmark</x:v>
      </x:c>
    </x:row>
    <x:row r="5187">
      <x:c r="A5187" s="2" t="str">
        <x:v>053306</x:v>
      </x:c>
      <x:c r="B5187" s="2" t="str">
        <x:v>CHILDREN'S HOSPITAL AT MISSION</x:v>
      </x:c>
      <x:c r="C5187" s="2" t="str">
        <x:v>MISSION VIEJO</x:v>
      </x:c>
      <x:c r="D5187" s="2" t="str">
        <x:v>CA</x:v>
      </x:c>
      <x:c r="E5187" s="2" t="str">
        <x:v>Childrens</x:v>
      </x:c>
      <x:c r="F5187" s="2" t="str">
        <x:v>Voluntary non-profit</x:v>
      </x:c>
      <x:c r="G5187" s="2" t="str">
        <x:v>Unknown</x:v>
      </x:c>
      <x:c r="H5187" s="7"/>
      <x:c r="I5187" s="7"/>
      <x:c r="J5187" s="7"/>
      <x:c r="K5187" s="8"/>
      <x:c r="L5187" s="8"/>
      <x:c r="M5187" s="9"/>
      <x:c r="N5187" s="10"/>
      <x:c r="O5187" s="9"/>
      <x:c r="P5187" s="9" t="n">
        <x:v>0</x:v>
      </x:c>
      <x:c r="Q5187" s="9" t="n">
        <x:v>0</x:v>
      </x:c>
      <x:c r="R5187" s="3" t="b">
        <x:v>0</x:v>
      </x:c>
      <x:c r="S5187" s="3" t="b">
        <x:v>0</x:v>
      </x:c>
      <x:c r="T5187" s="3" t="b">
        <x:v>0</x:v>
      </x:c>
      <x:c r="U5187" s="2" t="str">
        <x:f>IF(T5187=TRUE,"Priority review",IF(R5187=TRUE,"High cost",IF(S5187=TRUE,"Low quality","Benchmark")))</x:f>
        <x:v>Benchmark</x:v>
      </x:c>
    </x:row>
    <x:row r="5188">
      <x:c r="A5188" s="2" t="str">
        <x:v>053305</x:v>
      </x:c>
      <x:c r="B5188" s="2" t="str">
        <x:v>LUCILE SALTER PACKARD CHILDREN'S HSP AT STANFORD</x:v>
      </x:c>
      <x:c r="C5188" s="2" t="str">
        <x:v>PALO ALTO</x:v>
      </x:c>
      <x:c r="D5188" s="2" t="str">
        <x:v>CA</x:v>
      </x:c>
      <x:c r="E5188" s="2" t="str">
        <x:v>Childrens</x:v>
      </x:c>
      <x:c r="F5188" s="2" t="str">
        <x:v>Voluntary non-profit</x:v>
      </x:c>
      <x:c r="G5188" s="2" t="str">
        <x:v>Unknown</x:v>
      </x:c>
      <x:c r="H5188" s="7"/>
      <x:c r="I5188" s="7"/>
      <x:c r="J5188" s="7"/>
      <x:c r="K5188" s="8"/>
      <x:c r="L5188" s="8"/>
      <x:c r="M5188" s="9"/>
      <x:c r="N5188" s="10"/>
      <x:c r="O5188" s="9"/>
      <x:c r="P5188" s="9" t="n">
        <x:v>0</x:v>
      </x:c>
      <x:c r="Q5188" s="9" t="n">
        <x:v>0</x:v>
      </x:c>
      <x:c r="R5188" s="3" t="b">
        <x:v>0</x:v>
      </x:c>
      <x:c r="S5188" s="3" t="b">
        <x:v>0</x:v>
      </x:c>
      <x:c r="T5188" s="3" t="b">
        <x:v>0</x:v>
      </x:c>
      <x:c r="U5188" s="2" t="str">
        <x:f>IF(T5188=TRUE,"Priority review",IF(R5188=TRUE,"High cost",IF(S5188=TRUE,"Low quality","Benchmark")))</x:f>
        <x:v>Benchmark</x:v>
      </x:c>
    </x:row>
    <x:row r="5189">
      <x:c r="A5189" s="2" t="str">
        <x:v>143302</x:v>
      </x:c>
      <x:c r="B5189" s="2" t="str">
        <x:v>SHRINERS HOSPITAL FOR CHILDREN</x:v>
      </x:c>
      <x:c r="C5189" s="2" t="str">
        <x:v>CHICAGO</x:v>
      </x:c>
      <x:c r="D5189" s="2" t="str">
        <x:v>IL</x:v>
      </x:c>
      <x:c r="E5189" s="2" t="str">
        <x:v>Childrens</x:v>
      </x:c>
      <x:c r="F5189" s="2" t="str">
        <x:v>Voluntary non-profit</x:v>
      </x:c>
      <x:c r="G5189" s="2" t="str">
        <x:v>Unknown</x:v>
      </x:c>
      <x:c r="H5189" s="7"/>
      <x:c r="I5189" s="7"/>
      <x:c r="J5189" s="7"/>
      <x:c r="K5189" s="8"/>
      <x:c r="L5189" s="8"/>
      <x:c r="M5189" s="9"/>
      <x:c r="N5189" s="10"/>
      <x:c r="O5189" s="9"/>
      <x:c r="P5189" s="9" t="n">
        <x:v>0</x:v>
      </x:c>
      <x:c r="Q5189" s="9" t="n">
        <x:v>0</x:v>
      </x:c>
      <x:c r="R5189" s="3" t="b">
        <x:v>0</x:v>
      </x:c>
      <x:c r="S5189" s="3" t="b">
        <x:v>0</x:v>
      </x:c>
      <x:c r="T5189" s="3" t="b">
        <x:v>0</x:v>
      </x:c>
      <x:c r="U5189" s="2" t="str">
        <x:f>IF(T5189=TRUE,"Priority review",IF(R5189=TRUE,"High cost",IF(S5189=TRUE,"Low quality","Benchmark")))</x:f>
        <x:v>Benchmark</x:v>
      </x:c>
    </x:row>
    <x:row r="5190">
      <x:c r="A5190" s="2" t="str">
        <x:v>493300</x:v>
      </x:c>
      <x:c r="B5190" s="2" t="str">
        <x:v>CUMBERLAND HOSPITAL LLC</x:v>
      </x:c>
      <x:c r="C5190" s="2" t="str">
        <x:v>NEW KENT</x:v>
      </x:c>
      <x:c r="D5190" s="2" t="str">
        <x:v>VA</x:v>
      </x:c>
      <x:c r="E5190" s="2" t="str">
        <x:v>Childrens</x:v>
      </x:c>
      <x:c r="F5190" s="2" t="str">
        <x:v>Proprietary</x:v>
      </x:c>
      <x:c r="G5190" s="2" t="str">
        <x:v>Unknown</x:v>
      </x:c>
      <x:c r="H5190" s="7"/>
      <x:c r="I5190" s="7"/>
      <x:c r="J5190" s="7"/>
      <x:c r="K5190" s="8"/>
      <x:c r="L5190" s="8"/>
      <x:c r="M5190" s="9"/>
      <x:c r="N5190" s="10"/>
      <x:c r="O5190" s="9"/>
      <x:c r="P5190" s="9" t="n">
        <x:v>0</x:v>
      </x:c>
      <x:c r="Q5190" s="9" t="n">
        <x:v>0</x:v>
      </x:c>
      <x:c r="R5190" s="3" t="b">
        <x:v>0</x:v>
      </x:c>
      <x:c r="S5190" s="3" t="b">
        <x:v>0</x:v>
      </x:c>
      <x:c r="T5190" s="3" t="b">
        <x:v>0</x:v>
      </x:c>
      <x:c r="U5190" s="2" t="str">
        <x:f>IF(T5190=TRUE,"Priority review",IF(R5190=TRUE,"High cost",IF(S5190=TRUE,"Low quality","Benchmark")))</x:f>
        <x:v>Benchmark</x:v>
      </x:c>
    </x:row>
    <x:row r="5191">
      <x:c r="A5191" s="2" t="str">
        <x:v>503302</x:v>
      </x:c>
      <x:c r="B5191" s="2" t="str">
        <x:v>SHRINERS HOSPITAL FOR CHILDREN</x:v>
      </x:c>
      <x:c r="C5191" s="2" t="str">
        <x:v>SPOKANE</x:v>
      </x:c>
      <x:c r="D5191" s="2" t="str">
        <x:v>WA</x:v>
      </x:c>
      <x:c r="E5191" s="2" t="str">
        <x:v>Childrens</x:v>
      </x:c>
      <x:c r="F5191" s="2" t="str">
        <x:v>Voluntary non-profit</x:v>
      </x:c>
      <x:c r="G5191" s="2" t="str">
        <x:v>Unknown</x:v>
      </x:c>
      <x:c r="H5191" s="7"/>
      <x:c r="I5191" s="7"/>
      <x:c r="J5191" s="7"/>
      <x:c r="K5191" s="8"/>
      <x:c r="L5191" s="8"/>
      <x:c r="M5191" s="9"/>
      <x:c r="N5191" s="10"/>
      <x:c r="O5191" s="9"/>
      <x:c r="P5191" s="9" t="n">
        <x:v>0</x:v>
      </x:c>
      <x:c r="Q5191" s="9" t="n">
        <x:v>0</x:v>
      </x:c>
      <x:c r="R5191" s="3" t="b">
        <x:v>0</x:v>
      </x:c>
      <x:c r="S5191" s="3" t="b">
        <x:v>0</x:v>
      </x:c>
      <x:c r="T5191" s="3" t="b">
        <x:v>0</x:v>
      </x:c>
      <x:c r="U5191" s="2" t="str">
        <x:f>IF(T5191=TRUE,"Priority review",IF(R5191=TRUE,"High cost",IF(S5191=TRUE,"Low quality","Benchmark")))</x:f>
        <x:v>Benchmark</x:v>
      </x:c>
    </x:row>
    <x:row r="5192">
      <x:c r="A5192" s="2" t="str">
        <x:v>053311</x:v>
      </x:c>
      <x:c r="B5192" s="2" t="str">
        <x:v>SHRINERS HOSPITALS FOR CHILDREN NORTHERN CALIF</x:v>
      </x:c>
      <x:c r="C5192" s="2" t="str">
        <x:v>SACRAMENTO</x:v>
      </x:c>
      <x:c r="D5192" s="2" t="str">
        <x:v>CA</x:v>
      </x:c>
      <x:c r="E5192" s="2" t="str">
        <x:v>Childrens</x:v>
      </x:c>
      <x:c r="F5192" s="2" t="str">
        <x:v>Voluntary non-profit</x:v>
      </x:c>
      <x:c r="G5192" s="2" t="str">
        <x:v>Unknown</x:v>
      </x:c>
      <x:c r="H5192" s="7"/>
      <x:c r="I5192" s="7"/>
      <x:c r="J5192" s="7"/>
      <x:c r="K5192" s="8"/>
      <x:c r="L5192" s="8"/>
      <x:c r="M5192" s="9"/>
      <x:c r="N5192" s="10"/>
      <x:c r="O5192" s="9"/>
      <x:c r="P5192" s="9" t="n">
        <x:v>0</x:v>
      </x:c>
      <x:c r="Q5192" s="9" t="n">
        <x:v>0</x:v>
      </x:c>
      <x:c r="R5192" s="3" t="b">
        <x:v>0</x:v>
      </x:c>
      <x:c r="S5192" s="3" t="b">
        <x:v>0</x:v>
      </x:c>
      <x:c r="T5192" s="3" t="b">
        <x:v>0</x:v>
      </x:c>
      <x:c r="U5192" s="2" t="str">
        <x:f>IF(T5192=TRUE,"Priority review",IF(R5192=TRUE,"High cost",IF(S5192=TRUE,"Low quality","Benchmark")))</x:f>
        <x:v>Benchmark</x:v>
      </x:c>
    </x:row>
    <x:row r="5193">
      <x:c r="A5193" s="2" t="str">
        <x:v>393304</x:v>
      </x:c>
      <x:c r="B5193" s="2" t="str">
        <x:v>CHILDREN'S HOME OF PITTSBURGH</x:v>
      </x:c>
      <x:c r="C5193" s="2" t="str">
        <x:v>PITTSBURGH</x:v>
      </x:c>
      <x:c r="D5193" s="2" t="str">
        <x:v>PA</x:v>
      </x:c>
      <x:c r="E5193" s="2" t="str">
        <x:v>Childrens</x:v>
      </x:c>
      <x:c r="F5193" s="2" t="str">
        <x:v>Voluntary non-profit</x:v>
      </x:c>
      <x:c r="G5193" s="2" t="str">
        <x:v>Unknown</x:v>
      </x:c>
      <x:c r="H5193" s="7"/>
      <x:c r="I5193" s="7"/>
      <x:c r="J5193" s="7"/>
      <x:c r="K5193" s="8"/>
      <x:c r="L5193" s="8"/>
      <x:c r="M5193" s="9"/>
      <x:c r="N5193" s="10"/>
      <x:c r="O5193" s="9"/>
      <x:c r="P5193" s="9" t="n">
        <x:v>0</x:v>
      </x:c>
      <x:c r="Q5193" s="9" t="n">
        <x:v>0</x:v>
      </x:c>
      <x:c r="R5193" s="3" t="b">
        <x:v>0</x:v>
      </x:c>
      <x:c r="S5193" s="3" t="b">
        <x:v>0</x:v>
      </x:c>
      <x:c r="T5193" s="3" t="b">
        <x:v>0</x:v>
      </x:c>
      <x:c r="U5193" s="2" t="str">
        <x:f>IF(T5193=TRUE,"Priority review",IF(R5193=TRUE,"High cost",IF(S5193=TRUE,"Low quality","Benchmark")))</x:f>
        <x:v>Benchmark</x:v>
      </x:c>
    </x:row>
    <x:row r="5194">
      <x:c r="A5194" s="2" t="str">
        <x:v>433300</x:v>
      </x:c>
      <x:c r="B5194" s="2" t="str">
        <x:v>LIFESCAPE</x:v>
      </x:c>
      <x:c r="C5194" s="2" t="str">
        <x:v>SIOUX FALLS</x:v>
      </x:c>
      <x:c r="D5194" s="2" t="str">
        <x:v>SD</x:v>
      </x:c>
      <x:c r="E5194" s="2" t="str">
        <x:v>Childrens</x:v>
      </x:c>
      <x:c r="F5194" s="2" t="str">
        <x:v>Voluntary non-profit</x:v>
      </x:c>
      <x:c r="G5194" s="2" t="str">
        <x:v>Unknown</x:v>
      </x:c>
      <x:c r="H5194" s="7"/>
      <x:c r="I5194" s="7"/>
      <x:c r="J5194" s="7"/>
      <x:c r="K5194" s="8"/>
      <x:c r="L5194" s="8"/>
      <x:c r="M5194" s="9"/>
      <x:c r="N5194" s="10"/>
      <x:c r="O5194" s="9"/>
      <x:c r="P5194" s="9" t="n">
        <x:v>0</x:v>
      </x:c>
      <x:c r="Q5194" s="9" t="n">
        <x:v>0</x:v>
      </x:c>
      <x:c r="R5194" s="3" t="b">
        <x:v>0</x:v>
      </x:c>
      <x:c r="S5194" s="3" t="b">
        <x:v>0</x:v>
      </x:c>
      <x:c r="T5194" s="3" t="b">
        <x:v>0</x:v>
      </x:c>
      <x:c r="U5194" s="2" t="str">
        <x:f>IF(T5194=TRUE,"Priority review",IF(R5194=TRUE,"High cost",IF(S5194=TRUE,"Low quality","Benchmark")))</x:f>
        <x:v>Benchmark</x:v>
      </x:c>
    </x:row>
    <x:row r="5195">
      <x:c r="A5195" s="2" t="str">
        <x:v>453301</x:v>
      </x:c>
      <x:c r="B5195" s="2" t="str">
        <x:v>DRISCOLL CHILDRENS HOSPITAL</x:v>
      </x:c>
      <x:c r="C5195" s="2" t="str">
        <x:v>CORPUS CHRISTI</x:v>
      </x:c>
      <x:c r="D5195" s="2" t="str">
        <x:v>TX</x:v>
      </x:c>
      <x:c r="E5195" s="2" t="str">
        <x:v>Childrens</x:v>
      </x:c>
      <x:c r="F5195" s="2" t="str">
        <x:v>Voluntary non-profit</x:v>
      </x:c>
      <x:c r="G5195" s="2" t="str">
        <x:v>Unknown</x:v>
      </x:c>
      <x:c r="H5195" s="7"/>
      <x:c r="I5195" s="7"/>
      <x:c r="J5195" s="7"/>
      <x:c r="K5195" s="8"/>
      <x:c r="L5195" s="8"/>
      <x:c r="M5195" s="9"/>
      <x:c r="N5195" s="10"/>
      <x:c r="O5195" s="9"/>
      <x:c r="P5195" s="9" t="n">
        <x:v>0</x:v>
      </x:c>
      <x:c r="Q5195" s="9" t="n">
        <x:v>0</x:v>
      </x:c>
      <x:c r="R5195" s="3" t="b">
        <x:v>0</x:v>
      </x:c>
      <x:c r="S5195" s="3" t="b">
        <x:v>0</x:v>
      </x:c>
      <x:c r="T5195" s="3" t="b">
        <x:v>0</x:v>
      </x:c>
      <x:c r="U5195" s="2" t="str">
        <x:f>IF(T5195=TRUE,"Priority review",IF(R5195=TRUE,"High cost",IF(S5195=TRUE,"Low quality","Benchmark")))</x:f>
        <x:v>Benchmark</x:v>
      </x:c>
    </x:row>
    <x:row r="5196">
      <x:c r="A5196" s="2" t="str">
        <x:v>263303</x:v>
      </x:c>
      <x:c r="B5196" s="2" t="str">
        <x:v>RANKEN JORDAN PEDIATRIC BRIDGE HOSPITAL</x:v>
      </x:c>
      <x:c r="C5196" s="2" t="str">
        <x:v>MARYLAND HEIGHTS</x:v>
      </x:c>
      <x:c r="D5196" s="2" t="str">
        <x:v>MO</x:v>
      </x:c>
      <x:c r="E5196" s="2" t="str">
        <x:v>Childrens</x:v>
      </x:c>
      <x:c r="F5196" s="2" t="str">
        <x:v>Voluntary non-profit</x:v>
      </x:c>
      <x:c r="G5196" s="2" t="str">
        <x:v>Unknown</x:v>
      </x:c>
      <x:c r="H5196" s="7"/>
      <x:c r="I5196" s="7"/>
      <x:c r="J5196" s="7"/>
      <x:c r="K5196" s="8"/>
      <x:c r="L5196" s="8"/>
      <x:c r="M5196" s="9"/>
      <x:c r="N5196" s="10"/>
      <x:c r="O5196" s="9"/>
      <x:c r="P5196" s="9" t="n">
        <x:v>0</x:v>
      </x:c>
      <x:c r="Q5196" s="9" t="n">
        <x:v>0</x:v>
      </x:c>
      <x:c r="R5196" s="3" t="b">
        <x:v>0</x:v>
      </x:c>
      <x:c r="S5196" s="3" t="b">
        <x:v>0</x:v>
      </x:c>
      <x:c r="T5196" s="3" t="b">
        <x:v>0</x:v>
      </x:c>
      <x:c r="U5196" s="2" t="str">
        <x:f>IF(T5196=TRUE,"Priority review",IF(R5196=TRUE,"High cost",IF(S5196=TRUE,"Low quality","Benchmark")))</x:f>
        <x:v>Benchmark</x:v>
      </x:c>
    </x:row>
    <x:row r="5197">
      <x:c r="A5197" s="2" t="str">
        <x:v>354003</x:v>
      </x:c>
      <x:c r="B5197" s="2" t="str">
        <x:v>NORTH DAKOTA STATE HOSPITAL</x:v>
      </x:c>
      <x:c r="C5197" s="2" t="str">
        <x:v>JAMESTOWN</x:v>
      </x:c>
      <x:c r="D5197" s="2" t="str">
        <x:v>ND</x:v>
      </x:c>
      <x:c r="E5197" s="2" t="str">
        <x:v>Psychiatric</x:v>
      </x:c>
      <x:c r="F5197" s="2" t="str">
        <x:v>Government</x:v>
      </x:c>
      <x:c r="G5197" s="2" t="str">
        <x:v>Small (&lt;100 beds)</x:v>
      </x:c>
      <x:c r="H5197" s="7"/>
      <x:c r="I5197" s="7"/>
      <x:c r="J5197" s="7"/>
      <x:c r="K5197" s="8" t="n">
        <x:v>81</x:v>
      </x:c>
      <x:c r="L5197" s="8" t="n">
        <x:v>26494</x:v>
      </x:c>
      <x:c r="M5197" s="9" t="n">
        <x:v>0.8961271774</x:v>
      </x:c>
      <x:c r="N5197" s="10" t="n">
        <x:v>1684.6128179965</x:v>
      </x:c>
      <x:c r="O5197" s="9" t="n">
        <x:v>-6.7675215115</x:v>
      </x:c>
      <x:c r="P5197" s="9" t="n">
        <x:v>0</x:v>
      </x:c>
      <x:c r="Q5197" s="9" t="n">
        <x:v>0</x:v>
      </x:c>
      <x:c r="R5197" s="3" t="b">
        <x:v>0</x:v>
      </x:c>
      <x:c r="S5197" s="3" t="b">
        <x:v>0</x:v>
      </x:c>
      <x:c r="T5197" s="3" t="b">
        <x:v>0</x:v>
      </x:c>
      <x:c r="U5197" s="2" t="str">
        <x:f>IF(T5197=TRUE,"Priority review",IF(R5197=TRUE,"High cost",IF(S5197=TRUE,"Low quality","Benchmark")))</x:f>
        <x:v>Benchmark</x:v>
      </x:c>
    </x:row>
    <x:row r="5198">
      <x:c r="A5198" s="2" t="str">
        <x:v>454153</x:v>
      </x:c>
      <x:c r="B5198" s="2" t="str">
        <x:v>CARRUS BEHAVIORAL HOSPITAL</x:v>
      </x:c>
      <x:c r="C5198" s="2" t="str">
        <x:v>SHERMAN</x:v>
      </x:c>
      <x:c r="D5198" s="2" t="str">
        <x:v>TX</x:v>
      </x:c>
      <x:c r="E5198" s="2" t="str">
        <x:v>Psychiatric</x:v>
      </x:c>
      <x:c r="F5198" s="2" t="str">
        <x:v>Proprietary</x:v>
      </x:c>
      <x:c r="G5198" s="2" t="str">
        <x:v>Unknown</x:v>
      </x:c>
      <x:c r="H5198" s="7"/>
      <x:c r="I5198" s="7"/>
      <x:c r="J5198" s="7"/>
      <x:c r="K5198" s="8"/>
      <x:c r="L5198" s="8"/>
      <x:c r="M5198" s="9"/>
      <x:c r="N5198" s="10"/>
      <x:c r="O5198" s="9"/>
      <x:c r="P5198" s="9" t="n">
        <x:v>0</x:v>
      </x:c>
      <x:c r="Q5198" s="9" t="n">
        <x:v>0</x:v>
      </x:c>
      <x:c r="R5198" s="3" t="b">
        <x:v>0</x:v>
      </x:c>
      <x:c r="S5198" s="3" t="b">
        <x:v>0</x:v>
      </x:c>
      <x:c r="T5198" s="3" t="b">
        <x:v>0</x:v>
      </x:c>
      <x:c r="U5198" s="2" t="str">
        <x:f>IF(T5198=TRUE,"Priority review",IF(R5198=TRUE,"High cost",IF(S5198=TRUE,"Low quality","Benchmark")))</x:f>
        <x:v>Benchmark</x:v>
      </x:c>
    </x:row>
    <x:row r="5199">
      <x:c r="A5199" s="2" t="str">
        <x:v>444023</x:v>
      </x:c>
      <x:c r="B5199" s="2" t="str">
        <x:v>PERIMETER BEHAVIORAL CENTER OF JACKSON</x:v>
      </x:c>
      <x:c r="C5199" s="2" t="str">
        <x:v>JACKSON</x:v>
      </x:c>
      <x:c r="D5199" s="2" t="str">
        <x:v>TN</x:v>
      </x:c>
      <x:c r="E5199" s="2" t="str">
        <x:v>Psychiatric</x:v>
      </x:c>
      <x:c r="F5199" s="2" t="str">
        <x:v>Proprietary</x:v>
      </x:c>
      <x:c r="G5199" s="2" t="str">
        <x:v>Unknown</x:v>
      </x:c>
      <x:c r="H5199" s="7"/>
      <x:c r="I5199" s="7"/>
      <x:c r="J5199" s="7"/>
      <x:c r="K5199" s="8"/>
      <x:c r="L5199" s="8"/>
      <x:c r="M5199" s="9"/>
      <x:c r="N5199" s="10"/>
      <x:c r="O5199" s="9"/>
      <x:c r="P5199" s="9" t="n">
        <x:v>0</x:v>
      </x:c>
      <x:c r="Q5199" s="9" t="n">
        <x:v>0</x:v>
      </x:c>
      <x:c r="R5199" s="3" t="b">
        <x:v>0</x:v>
      </x:c>
      <x:c r="S5199" s="3" t="b">
        <x:v>0</x:v>
      </x:c>
      <x:c r="T5199" s="3" t="b">
        <x:v>0</x:v>
      </x:c>
      <x:c r="U5199" s="2" t="str">
        <x:f>IF(T5199=TRUE,"Priority review",IF(R5199=TRUE,"High cost",IF(S5199=TRUE,"Low quality","Benchmark")))</x:f>
        <x:v>Benchmark</x:v>
      </x:c>
    </x:row>
    <x:row r="5200">
      <x:c r="A5200" s="2" t="str">
        <x:v>334064</x:v>
      </x:c>
      <x:c r="B5200" s="2" t="str">
        <x:v>SAGAMORE CHILDRENS PSYCHIATRIC CENTER</x:v>
      </x:c>
      <x:c r="C5200" s="2" t="str">
        <x:v>DIX HILLS</x:v>
      </x:c>
      <x:c r="D5200" s="2" t="str">
        <x:v>NY</x:v>
      </x:c>
      <x:c r="E5200" s="2" t="str">
        <x:v>Psychiatric</x:v>
      </x:c>
      <x:c r="F5200" s="2" t="str">
        <x:v>Government</x:v>
      </x:c>
      <x:c r="G5200" s="2" t="str">
        <x:v>Unknown</x:v>
      </x:c>
      <x:c r="H5200" s="7"/>
      <x:c r="I5200" s="7"/>
      <x:c r="J5200" s="7"/>
      <x:c r="K5200" s="8"/>
      <x:c r="L5200" s="8"/>
      <x:c r="M5200" s="9"/>
      <x:c r="N5200" s="10"/>
      <x:c r="O5200" s="9"/>
      <x:c r="P5200" s="9" t="n">
        <x:v>0</x:v>
      </x:c>
      <x:c r="Q5200" s="9" t="n">
        <x:v>0</x:v>
      </x:c>
      <x:c r="R5200" s="3" t="b">
        <x:v>0</x:v>
      </x:c>
      <x:c r="S5200" s="3" t="b">
        <x:v>0</x:v>
      </x:c>
      <x:c r="T5200" s="3" t="b">
        <x:v>0</x:v>
      </x:c>
      <x:c r="U5200" s="2" t="str">
        <x:f>IF(T5200=TRUE,"Priority review",IF(R5200=TRUE,"High cost",IF(S5200=TRUE,"Low quality","Benchmark")))</x:f>
        <x:v>Benchmark</x:v>
      </x:c>
    </x:row>
    <x:row r="5201">
      <x:c r="A5201" s="2" t="str">
        <x:v>264020</x:v>
      </x:c>
      <x:c r="B5201" s="2" t="str">
        <x:v>ROYAL OAKS HOSPITAL</x:v>
      </x:c>
      <x:c r="C5201" s="2" t="str">
        <x:v>WINDSOR</x:v>
      </x:c>
      <x:c r="D5201" s="2" t="str">
        <x:v>MO</x:v>
      </x:c>
      <x:c r="E5201" s="2" t="str">
        <x:v>Psychiatric</x:v>
      </x:c>
      <x:c r="F5201" s="2" t="str">
        <x:v>Voluntary non-profit</x:v>
      </x:c>
      <x:c r="G5201" s="2" t="str">
        <x:v>Unknown</x:v>
      </x:c>
      <x:c r="H5201" s="7"/>
      <x:c r="I5201" s="7"/>
      <x:c r="J5201" s="7"/>
      <x:c r="K5201" s="8"/>
      <x:c r="L5201" s="8"/>
      <x:c r="M5201" s="9"/>
      <x:c r="N5201" s="10"/>
      <x:c r="O5201" s="9"/>
      <x:c r="P5201" s="9" t="n">
        <x:v>0</x:v>
      </x:c>
      <x:c r="Q5201" s="9" t="n">
        <x:v>0</x:v>
      </x:c>
      <x:c r="R5201" s="3" t="b">
        <x:v>0</x:v>
      </x:c>
      <x:c r="S5201" s="3" t="b">
        <x:v>0</x:v>
      </x:c>
      <x:c r="T5201" s="3" t="b">
        <x:v>0</x:v>
      </x:c>
      <x:c r="U5201" s="2" t="str">
        <x:f>IF(T5201=TRUE,"Priority review",IF(R5201=TRUE,"High cost",IF(S5201=TRUE,"Low quality","Benchmark")))</x:f>
        <x:v>Benchmark</x:v>
      </x:c>
    </x:row>
    <x:row r="5202">
      <x:c r="A5202" s="2" t="str">
        <x:v>014014</x:v>
      </x:c>
      <x:c r="B5202" s="2" t="str">
        <x:v>BAYPOINTE BEHAVIORAL HEALTH</x:v>
      </x:c>
      <x:c r="C5202" s="2" t="str">
        <x:v>MOBILE</x:v>
      </x:c>
      <x:c r="D5202" s="2" t="str">
        <x:v>AL</x:v>
      </x:c>
      <x:c r="E5202" s="2" t="str">
        <x:v>Psychiatric</x:v>
      </x:c>
      <x:c r="F5202" s="2" t="str">
        <x:v>Voluntary non-profit</x:v>
      </x:c>
      <x:c r="G5202" s="2" t="str">
        <x:v>Unknown</x:v>
      </x:c>
      <x:c r="H5202" s="7"/>
      <x:c r="I5202" s="7"/>
      <x:c r="J5202" s="7"/>
      <x:c r="K5202" s="8"/>
      <x:c r="L5202" s="8"/>
      <x:c r="M5202" s="9"/>
      <x:c r="N5202" s="10"/>
      <x:c r="O5202" s="9"/>
      <x:c r="P5202" s="9" t="n">
        <x:v>0</x:v>
      </x:c>
      <x:c r="Q5202" s="9" t="n">
        <x:v>0</x:v>
      </x:c>
      <x:c r="R5202" s="3" t="b">
        <x:v>0</x:v>
      </x:c>
      <x:c r="S5202" s="3" t="b">
        <x:v>0</x:v>
      </x:c>
      <x:c r="T5202" s="3" t="b">
        <x:v>0</x:v>
      </x:c>
      <x:c r="U5202" s="2" t="str">
        <x:f>IF(T5202=TRUE,"Priority review",IF(R5202=TRUE,"High cost",IF(S5202=TRUE,"Low quality","Benchmark")))</x:f>
        <x:v>Benchmark</x:v>
      </x:c>
    </x:row>
    <x:row r="5203">
      <x:c r="A5203" s="2" t="str">
        <x:v>414003</x:v>
      </x:c>
      <x:c r="B5203" s="2" t="str">
        <x:v>EMMA PENDLETON BRADLEY HOSPITAL</x:v>
      </x:c>
      <x:c r="C5203" s="2" t="str">
        <x:v>EAST PROVIDENCE</x:v>
      </x:c>
      <x:c r="D5203" s="2" t="str">
        <x:v>RI</x:v>
      </x:c>
      <x:c r="E5203" s="2" t="str">
        <x:v>Psychiatric</x:v>
      </x:c>
      <x:c r="F5203" s="2" t="str">
        <x:v>Voluntary non-profit</x:v>
      </x:c>
      <x:c r="G5203" s="2" t="str">
        <x:v>Unknown</x:v>
      </x:c>
      <x:c r="H5203" s="7"/>
      <x:c r="I5203" s="7"/>
      <x:c r="J5203" s="7"/>
      <x:c r="K5203" s="8"/>
      <x:c r="L5203" s="8"/>
      <x:c r="M5203" s="9"/>
      <x:c r="N5203" s="10"/>
      <x:c r="O5203" s="9"/>
      <x:c r="P5203" s="9" t="n">
        <x:v>0</x:v>
      </x:c>
      <x:c r="Q5203" s="9" t="n">
        <x:v>0</x:v>
      </x:c>
      <x:c r="R5203" s="3" t="b">
        <x:v>0</x:v>
      </x:c>
      <x:c r="S5203" s="3" t="b">
        <x:v>0</x:v>
      </x:c>
      <x:c r="T5203" s="3" t="b">
        <x:v>0</x:v>
      </x:c>
      <x:c r="U5203" s="2" t="str">
        <x:f>IF(T5203=TRUE,"Priority review",IF(R5203=TRUE,"High cost",IF(S5203=TRUE,"Low quality","Benchmark")))</x:f>
        <x:v>Benchmark</x:v>
      </x:c>
    </x:row>
    <x:row r="5204">
      <x:c r="A5204" s="2" t="str">
        <x:v>454148</x:v>
      </x:c>
      <x:c r="B5204" s="2" t="str">
        <x:v>PERIMETER BEHAVIORAL HOSPITAL OF ARLINGTON</x:v>
      </x:c>
      <x:c r="C5204" s="2" t="str">
        <x:v>ARLINGTON</x:v>
      </x:c>
      <x:c r="D5204" s="2" t="str">
        <x:v>TX</x:v>
      </x:c>
      <x:c r="E5204" s="2" t="str">
        <x:v>Psychiatric</x:v>
      </x:c>
      <x:c r="F5204" s="2" t="str">
        <x:v>Proprietary</x:v>
      </x:c>
      <x:c r="G5204" s="2" t="str">
        <x:v>Unknown</x:v>
      </x:c>
      <x:c r="H5204" s="7"/>
      <x:c r="I5204" s="7"/>
      <x:c r="J5204" s="7"/>
      <x:c r="K5204" s="8"/>
      <x:c r="L5204" s="8"/>
      <x:c r="M5204" s="9"/>
      <x:c r="N5204" s="10"/>
      <x:c r="O5204" s="9"/>
      <x:c r="P5204" s="9" t="n">
        <x:v>0</x:v>
      </x:c>
      <x:c r="Q5204" s="9" t="n">
        <x:v>0</x:v>
      </x:c>
      <x:c r="R5204" s="3" t="b">
        <x:v>0</x:v>
      </x:c>
      <x:c r="S5204" s="3" t="b">
        <x:v>0</x:v>
      </x:c>
      <x:c r="T5204" s="3" t="b">
        <x:v>0</x:v>
      </x:c>
      <x:c r="U5204" s="2" t="str">
        <x:f>IF(T5204=TRUE,"Priority review",IF(R5204=TRUE,"High cost",IF(S5204=TRUE,"Low quality","Benchmark")))</x:f>
        <x:v>Benchmark</x:v>
      </x:c>
    </x:row>
    <x:row r="5205">
      <x:c r="A5205" s="2" t="str">
        <x:v>104078</x:v>
      </x:c>
      <x:c r="B5205" s="2" t="str">
        <x:v>SUNCOAST BEHAVIORAL HEALTH CENTER</x:v>
      </x:c>
      <x:c r="C5205" s="2" t="str">
        <x:v>BRADENTON</x:v>
      </x:c>
      <x:c r="D5205" s="2" t="str">
        <x:v>FL</x:v>
      </x:c>
      <x:c r="E5205" s="2" t="str">
        <x:v>Psychiatric</x:v>
      </x:c>
      <x:c r="F5205" s="2" t="str">
        <x:v>Proprietary</x:v>
      </x:c>
      <x:c r="G5205" s="2" t="str">
        <x:v>Unknown</x:v>
      </x:c>
      <x:c r="H5205" s="7"/>
      <x:c r="I5205" s="7"/>
      <x:c r="J5205" s="7"/>
      <x:c r="K5205" s="8"/>
      <x:c r="L5205" s="8"/>
      <x:c r="M5205" s="9"/>
      <x:c r="N5205" s="10"/>
      <x:c r="O5205" s="9"/>
      <x:c r="P5205" s="9" t="n">
        <x:v>0</x:v>
      </x:c>
      <x:c r="Q5205" s="9" t="n">
        <x:v>0</x:v>
      </x:c>
      <x:c r="R5205" s="3" t="b">
        <x:v>0</x:v>
      </x:c>
      <x:c r="S5205" s="3" t="b">
        <x:v>0</x:v>
      </x:c>
      <x:c r="T5205" s="3" t="b">
        <x:v>0</x:v>
      </x:c>
      <x:c r="U5205" s="2" t="str">
        <x:f>IF(T5205=TRUE,"Priority review",IF(R5205=TRUE,"High cost",IF(S5205=TRUE,"Low quality","Benchmark")))</x:f>
        <x:v>Benchmark</x:v>
      </x:c>
    </x:row>
    <x:row r="5206">
      <x:c r="A5206" s="2" t="str">
        <x:v>194118</x:v>
      </x:c>
      <x:c r="B5206" s="2" t="str">
        <x:v>MERCY BEHAVIORAL HOSPITAL</x:v>
      </x:c>
      <x:c r="C5206" s="2" t="str">
        <x:v>LECOMPTE</x:v>
      </x:c>
      <x:c r="D5206" s="2" t="str">
        <x:v>LA</x:v>
      </x:c>
      <x:c r="E5206" s="2" t="str">
        <x:v>Psychiatric</x:v>
      </x:c>
      <x:c r="F5206" s="2" t="str">
        <x:v>Proprietary</x:v>
      </x:c>
      <x:c r="G5206" s="2" t="str">
        <x:v>Unknown</x:v>
      </x:c>
      <x:c r="H5206" s="7"/>
      <x:c r="I5206" s="7"/>
      <x:c r="J5206" s="7"/>
      <x:c r="K5206" s="8"/>
      <x:c r="L5206" s="8"/>
      <x:c r="M5206" s="9"/>
      <x:c r="N5206" s="10"/>
      <x:c r="O5206" s="9"/>
      <x:c r="P5206" s="9" t="n">
        <x:v>0</x:v>
      </x:c>
      <x:c r="Q5206" s="9" t="n">
        <x:v>0</x:v>
      </x:c>
      <x:c r="R5206" s="3" t="b">
        <x:v>0</x:v>
      </x:c>
      <x:c r="S5206" s="3" t="b">
        <x:v>0</x:v>
      </x:c>
      <x:c r="T5206" s="3" t="b">
        <x:v>0</x:v>
      </x:c>
      <x:c r="U5206" s="2" t="str">
        <x:f>IF(T5206=TRUE,"Priority review",IF(R5206=TRUE,"High cost",IF(S5206=TRUE,"Low quality","Benchmark")))</x:f>
        <x:v>Benchmark</x:v>
      </x:c>
    </x:row>
    <x:row r="5207">
      <x:c r="A5207" s="2" t="str">
        <x:v>104084</x:v>
      </x:c>
      <x:c r="B5207" s="2" t="str">
        <x:v>NEUROBEHAVIORAL HOSPITAL OF THE PALM BEACHES-NORTH</x:v>
      </x:c>
      <x:c r="C5207" s="2" t="str">
        <x:v>MAGNONIA PARK</x:v>
      </x:c>
      <x:c r="D5207" s="2" t="str">
        <x:v>FL</x:v>
      </x:c>
      <x:c r="E5207" s="2" t="str">
        <x:v>Psychiatric</x:v>
      </x:c>
      <x:c r="F5207" s="2" t="str">
        <x:v>Voluntary non-profit</x:v>
      </x:c>
      <x:c r="G5207" s="2" t="str">
        <x:v>Unknown</x:v>
      </x:c>
      <x:c r="H5207" s="7"/>
      <x:c r="I5207" s="7"/>
      <x:c r="J5207" s="7"/>
      <x:c r="K5207" s="8"/>
      <x:c r="L5207" s="8"/>
      <x:c r="M5207" s="9"/>
      <x:c r="N5207" s="10"/>
      <x:c r="O5207" s="9"/>
      <x:c r="P5207" s="9" t="n">
        <x:v>0</x:v>
      </x:c>
      <x:c r="Q5207" s="9" t="n">
        <x:v>0</x:v>
      </x:c>
      <x:c r="R5207" s="3" t="b">
        <x:v>0</x:v>
      </x:c>
      <x:c r="S5207" s="3" t="b">
        <x:v>0</x:v>
      </x:c>
      <x:c r="T5207" s="3" t="b">
        <x:v>0</x:v>
      </x:c>
      <x:c r="U5207" s="2" t="str">
        <x:f>IF(T5207=TRUE,"Priority review",IF(R5207=TRUE,"High cost",IF(S5207=TRUE,"Low quality","Benchmark")))</x:f>
        <x:v>Benchmark</x:v>
      </x:c>
    </x:row>
    <x:row r="5208">
      <x:c r="A5208" s="2" t="str">
        <x:v>194119</x:v>
      </x:c>
      <x:c r="B5208" s="2" t="str">
        <x:v>FREEDOM BEHAVIORAL HOSPITAL OF FERRIDAY</x:v>
      </x:c>
      <x:c r="C5208" s="2" t="str">
        <x:v>FERRIDAY</x:v>
      </x:c>
      <x:c r="D5208" s="2" t="str">
        <x:v>LA</x:v>
      </x:c>
      <x:c r="E5208" s="2" t="str">
        <x:v>Psychiatric</x:v>
      </x:c>
      <x:c r="F5208" s="2" t="str">
        <x:v>Proprietary</x:v>
      </x:c>
      <x:c r="G5208" s="2" t="str">
        <x:v>Unknown</x:v>
      </x:c>
      <x:c r="H5208" s="7"/>
      <x:c r="I5208" s="7"/>
      <x:c r="J5208" s="7"/>
      <x:c r="K5208" s="8"/>
      <x:c r="L5208" s="8"/>
      <x:c r="M5208" s="9"/>
      <x:c r="N5208" s="10"/>
      <x:c r="O5208" s="9"/>
      <x:c r="P5208" s="9" t="n">
        <x:v>0</x:v>
      </x:c>
      <x:c r="Q5208" s="9" t="n">
        <x:v>0</x:v>
      </x:c>
      <x:c r="R5208" s="3" t="b">
        <x:v>0</x:v>
      </x:c>
      <x:c r="S5208" s="3" t="b">
        <x:v>0</x:v>
      </x:c>
      <x:c r="T5208" s="3" t="b">
        <x:v>0</x:v>
      </x:c>
      <x:c r="U5208" s="2" t="str">
        <x:f>IF(T5208=TRUE,"Priority review",IF(R5208=TRUE,"High cost",IF(S5208=TRUE,"Low quality","Benchmark")))</x:f>
        <x:v>Benchmark</x:v>
      </x:c>
    </x:row>
    <x:row r="5209">
      <x:c r="A5209" s="2" t="str">
        <x:v>514011</x:v>
      </x:c>
      <x:c r="B5209" s="2" t="str">
        <x:v>HIGHLAND-CLARKSBURG HOSPITAL, INC</x:v>
      </x:c>
      <x:c r="C5209" s="2" t="str">
        <x:v>CLARKSBURG</x:v>
      </x:c>
      <x:c r="D5209" s="2" t="str">
        <x:v>WV</x:v>
      </x:c>
      <x:c r="E5209" s="2" t="str">
        <x:v>Psychiatric</x:v>
      </x:c>
      <x:c r="F5209" s="2" t="str">
        <x:v>Voluntary non-profit</x:v>
      </x:c>
      <x:c r="G5209" s="2" t="str">
        <x:v>Unknown</x:v>
      </x:c>
      <x:c r="H5209" s="7"/>
      <x:c r="I5209" s="7"/>
      <x:c r="J5209" s="7"/>
      <x:c r="K5209" s="8"/>
      <x:c r="L5209" s="8"/>
      <x:c r="M5209" s="9"/>
      <x:c r="N5209" s="10"/>
      <x:c r="O5209" s="9"/>
      <x:c r="P5209" s="9" t="n">
        <x:v>0</x:v>
      </x:c>
      <x:c r="Q5209" s="9" t="n">
        <x:v>0</x:v>
      </x:c>
      <x:c r="R5209" s="3" t="b">
        <x:v>0</x:v>
      </x:c>
      <x:c r="S5209" s="3" t="b">
        <x:v>0</x:v>
      </x:c>
      <x:c r="T5209" s="3" t="b">
        <x:v>0</x:v>
      </x:c>
      <x:c r="U5209" s="2" t="str">
        <x:f>IF(T5209=TRUE,"Priority review",IF(R5209=TRUE,"High cost",IF(S5209=TRUE,"Low quality","Benchmark")))</x:f>
        <x:v>Benchmark</x:v>
      </x:c>
    </x:row>
    <x:row r="5210">
      <x:c r="A5210" s="2" t="str">
        <x:v>054150</x:v>
      </x:c>
      <x:c r="B5210" s="2" t="str">
        <x:v>KAISER PERMANENTE PSYCHIATRIC HEALTH FACILITY-SANT</x:v>
      </x:c>
      <x:c r="C5210" s="2" t="str">
        <x:v>SANTA CLARA</x:v>
      </x:c>
      <x:c r="D5210" s="2" t="str">
        <x:v>CA</x:v>
      </x:c>
      <x:c r="E5210" s="2" t="str">
        <x:v>Psychiatric</x:v>
      </x:c>
      <x:c r="F5210" s="2" t="str">
        <x:v>Proprietary</x:v>
      </x:c>
      <x:c r="G5210" s="2" t="str">
        <x:v>Unknown</x:v>
      </x:c>
      <x:c r="H5210" s="7"/>
      <x:c r="I5210" s="7"/>
      <x:c r="J5210" s="7"/>
      <x:c r="K5210" s="8"/>
      <x:c r="L5210" s="8"/>
      <x:c r="M5210" s="9"/>
      <x:c r="N5210" s="10"/>
      <x:c r="O5210" s="9"/>
      <x:c r="P5210" s="9" t="n">
        <x:v>0</x:v>
      </x:c>
      <x:c r="Q5210" s="9" t="n">
        <x:v>0</x:v>
      </x:c>
      <x:c r="R5210" s="3" t="b">
        <x:v>0</x:v>
      </x:c>
      <x:c r="S5210" s="3" t="b">
        <x:v>0</x:v>
      </x:c>
      <x:c r="T5210" s="3" t="b">
        <x:v>0</x:v>
      </x:c>
      <x:c r="U5210" s="2" t="str">
        <x:f>IF(T5210=TRUE,"Priority review",IF(R5210=TRUE,"High cost",IF(S5210=TRUE,"Low quality","Benchmark")))</x:f>
        <x:v>Benchmark</x:v>
      </x:c>
    </x:row>
    <x:row r="5211">
      <x:c r="A5211" s="2" t="str">
        <x:v>044021</x:v>
      </x:c>
      <x:c r="B5211" s="2" t="str">
        <x:v>PERIMETER BEHAVIORAL HOSPITAL OF WEST MEMPHIS</x:v>
      </x:c>
      <x:c r="C5211" s="2" t="str">
        <x:v>WEST MEMPHIS</x:v>
      </x:c>
      <x:c r="D5211" s="2" t="str">
        <x:v>AR</x:v>
      </x:c>
      <x:c r="E5211" s="2" t="str">
        <x:v>Psychiatric</x:v>
      </x:c>
      <x:c r="F5211" s="2" t="str">
        <x:v>Voluntary non-profit</x:v>
      </x:c>
      <x:c r="G5211" s="2" t="str">
        <x:v>Unknown</x:v>
      </x:c>
      <x:c r="H5211" s="7"/>
      <x:c r="I5211" s="7"/>
      <x:c r="J5211" s="7"/>
      <x:c r="K5211" s="8"/>
      <x:c r="L5211" s="8"/>
      <x:c r="M5211" s="9"/>
      <x:c r="N5211" s="10"/>
      <x:c r="O5211" s="9"/>
      <x:c r="P5211" s="9" t="n">
        <x:v>0</x:v>
      </x:c>
      <x:c r="Q5211" s="9" t="n">
        <x:v>0</x:v>
      </x:c>
      <x:c r="R5211" s="3" t="b">
        <x:v>0</x:v>
      </x:c>
      <x:c r="S5211" s="3" t="b">
        <x:v>0</x:v>
      </x:c>
      <x:c r="T5211" s="3" t="b">
        <x:v>0</x:v>
      </x:c>
      <x:c r="U5211" s="2" t="str">
        <x:f>IF(T5211=TRUE,"Priority review",IF(R5211=TRUE,"High cost",IF(S5211=TRUE,"Low quality","Benchmark")))</x:f>
        <x:v>Benchmark</x:v>
      </x:c>
    </x:row>
    <x:row r="5212">
      <x:c r="A5212" s="2" t="str">
        <x:v>334065</x:v>
      </x:c>
      <x:c r="B5212" s="2" t="str">
        <x:v>WESTERN NY CHILDRENS PSYCHIATRIC CENTER</x:v>
      </x:c>
      <x:c r="C5212" s="2" t="str">
        <x:v>WEST SENECA</x:v>
      </x:c>
      <x:c r="D5212" s="2" t="str">
        <x:v>NY</x:v>
      </x:c>
      <x:c r="E5212" s="2" t="str">
        <x:v>Psychiatric</x:v>
      </x:c>
      <x:c r="F5212" s="2" t="str">
        <x:v>Government</x:v>
      </x:c>
      <x:c r="G5212" s="2" t="str">
        <x:v>Unknown</x:v>
      </x:c>
      <x:c r="H5212" s="7"/>
      <x:c r="I5212" s="7"/>
      <x:c r="J5212" s="7"/>
      <x:c r="K5212" s="8"/>
      <x:c r="L5212" s="8"/>
      <x:c r="M5212" s="9"/>
      <x:c r="N5212" s="10"/>
      <x:c r="O5212" s="9"/>
      <x:c r="P5212" s="9" t="n">
        <x:v>0</x:v>
      </x:c>
      <x:c r="Q5212" s="9" t="n">
        <x:v>0</x:v>
      </x:c>
      <x:c r="R5212" s="3" t="b">
        <x:v>0</x:v>
      </x:c>
      <x:c r="S5212" s="3" t="b">
        <x:v>0</x:v>
      </x:c>
      <x:c r="T5212" s="3" t="b">
        <x:v>0</x:v>
      </x:c>
      <x:c r="U5212" s="2" t="str">
        <x:f>IF(T5212=TRUE,"Priority review",IF(R5212=TRUE,"High cost",IF(S5212=TRUE,"Low quality","Benchmark")))</x:f>
        <x:v>Benchmark</x:v>
      </x:c>
    </x:row>
    <x:row r="5213">
      <x:c r="A5213" s="2" t="str">
        <x:v>014006</x:v>
      </x:c>
      <x:c r="B5213" s="2" t="str">
        <x:v>MOUNTAIN VIEW HOSPITAL</x:v>
      </x:c>
      <x:c r="C5213" s="2" t="str">
        <x:v>GADSDEN</x:v>
      </x:c>
      <x:c r="D5213" s="2" t="str">
        <x:v>AL</x:v>
      </x:c>
      <x:c r="E5213" s="2" t="str">
        <x:v>Psychiatric</x:v>
      </x:c>
      <x:c r="F5213" s="2" t="str">
        <x:v>Proprietary</x:v>
      </x:c>
      <x:c r="G5213" s="2" t="str">
        <x:v>Unknown</x:v>
      </x:c>
      <x:c r="H5213" s="7"/>
      <x:c r="I5213" s="7"/>
      <x:c r="J5213" s="7"/>
      <x:c r="K5213" s="8"/>
      <x:c r="L5213" s="8"/>
      <x:c r="M5213" s="9"/>
      <x:c r="N5213" s="10"/>
      <x:c r="O5213" s="9"/>
      <x:c r="P5213" s="9" t="n">
        <x:v>0</x:v>
      </x:c>
      <x:c r="Q5213" s="9" t="n">
        <x:v>0</x:v>
      </x:c>
      <x:c r="R5213" s="3" t="b">
        <x:v>0</x:v>
      </x:c>
      <x:c r="S5213" s="3" t="b">
        <x:v>0</x:v>
      </x:c>
      <x:c r="T5213" s="3" t="b">
        <x:v>0</x:v>
      </x:c>
      <x:c r="U5213" s="2" t="str">
        <x:f>IF(T5213=TRUE,"Priority review",IF(R5213=TRUE,"High cost",IF(S5213=TRUE,"Low quality","Benchmark")))</x:f>
        <x:v>Benchmark</x:v>
      </x:c>
    </x:row>
    <x:row r="5214">
      <x:c r="A5214" s="2" t="str">
        <x:v>334066</x:v>
      </x:c>
      <x:c r="B5214" s="2" t="str">
        <x:v>ROCKLAND CHILDREN'S PSYCHIATRIC CENTER</x:v>
      </x:c>
      <x:c r="C5214" s="2" t="str">
        <x:v>ORANGEBURG</x:v>
      </x:c>
      <x:c r="D5214" s="2" t="str">
        <x:v>NY</x:v>
      </x:c>
      <x:c r="E5214" s="2" t="str">
        <x:v>Psychiatric</x:v>
      </x:c>
      <x:c r="F5214" s="2" t="str">
        <x:v>Government</x:v>
      </x:c>
      <x:c r="G5214" s="2" t="str">
        <x:v>Unknown</x:v>
      </x:c>
      <x:c r="H5214" s="7"/>
      <x:c r="I5214" s="7"/>
      <x:c r="J5214" s="7"/>
      <x:c r="K5214" s="8"/>
      <x:c r="L5214" s="8"/>
      <x:c r="M5214" s="9"/>
      <x:c r="N5214" s="10"/>
      <x:c r="O5214" s="9"/>
      <x:c r="P5214" s="9" t="n">
        <x:v>0</x:v>
      </x:c>
      <x:c r="Q5214" s="9" t="n">
        <x:v>0</x:v>
      </x:c>
      <x:c r="R5214" s="3" t="b">
        <x:v>0</x:v>
      </x:c>
      <x:c r="S5214" s="3" t="b">
        <x:v>0</x:v>
      </x:c>
      <x:c r="T5214" s="3" t="b">
        <x:v>0</x:v>
      </x:c>
      <x:c r="U5214" s="2" t="str">
        <x:f>IF(T5214=TRUE,"Priority review",IF(R5214=TRUE,"High cost",IF(S5214=TRUE,"Low quality","Benchmark")))</x:f>
        <x:v>Benchmark</x:v>
      </x:c>
    </x:row>
    <x:row r="5215">
      <x:c r="A5215" s="2" t="str">
        <x:v>374012</x:v>
      </x:c>
      <x:c r="B5215" s="2" t="str">
        <x:v>BROOKHAVEN HOSPITAL, LLC</x:v>
      </x:c>
      <x:c r="C5215" s="2" t="str">
        <x:v>TULSA</x:v>
      </x:c>
      <x:c r="D5215" s="2" t="str">
        <x:v>OK</x:v>
      </x:c>
      <x:c r="E5215" s="2" t="str">
        <x:v>Psychiatric</x:v>
      </x:c>
      <x:c r="F5215" s="2" t="str">
        <x:v>Proprietary</x:v>
      </x:c>
      <x:c r="G5215" s="2" t="str">
        <x:v>Unknown</x:v>
      </x:c>
      <x:c r="H5215" s="7"/>
      <x:c r="I5215" s="7"/>
      <x:c r="J5215" s="7"/>
      <x:c r="K5215" s="8"/>
      <x:c r="L5215" s="8"/>
      <x:c r="M5215" s="9"/>
      <x:c r="N5215" s="10"/>
      <x:c r="O5215" s="9"/>
      <x:c r="P5215" s="9" t="n">
        <x:v>0</x:v>
      </x:c>
      <x:c r="Q5215" s="9" t="n">
        <x:v>0</x:v>
      </x:c>
      <x:c r="R5215" s="3" t="b">
        <x:v>0</x:v>
      </x:c>
      <x:c r="S5215" s="3" t="b">
        <x:v>0</x:v>
      </x:c>
      <x:c r="T5215" s="3" t="b">
        <x:v>0</x:v>
      </x:c>
      <x:c r="U5215" s="2" t="str">
        <x:f>IF(T5215=TRUE,"Priority review",IF(R5215=TRUE,"High cost",IF(S5215=TRUE,"Low quality","Benchmark")))</x:f>
        <x:v>Benchmark</x:v>
      </x:c>
    </x:row>
    <x:row r="5216">
      <x:c r="A5216" s="2" t="str">
        <x:v>334067</x:v>
      </x:c>
      <x:c r="B5216" s="2" t="str">
        <x:v>NEW YORK CITY CHILDRENS PSYCH CENTER</x:v>
      </x:c>
      <x:c r="C5216" s="2" t="str">
        <x:v>BELLEROSE</x:v>
      </x:c>
      <x:c r="D5216" s="2" t="str">
        <x:v>NY</x:v>
      </x:c>
      <x:c r="E5216" s="2" t="str">
        <x:v>Psychiatric</x:v>
      </x:c>
      <x:c r="F5216" s="2" t="str">
        <x:v>Government</x:v>
      </x:c>
      <x:c r="G5216" s="2" t="str">
        <x:v>Unknown</x:v>
      </x:c>
      <x:c r="H5216" s="7"/>
      <x:c r="I5216" s="7"/>
      <x:c r="J5216" s="7"/>
      <x:c r="K5216" s="8"/>
      <x:c r="L5216" s="8"/>
      <x:c r="M5216" s="9"/>
      <x:c r="N5216" s="10"/>
      <x:c r="O5216" s="9"/>
      <x:c r="P5216" s="9" t="n">
        <x:v>0</x:v>
      </x:c>
      <x:c r="Q5216" s="9" t="n">
        <x:v>0</x:v>
      </x:c>
      <x:c r="R5216" s="3" t="b">
        <x:v>0</x:v>
      </x:c>
      <x:c r="S5216" s="3" t="b">
        <x:v>0</x:v>
      </x:c>
      <x:c r="T5216" s="3" t="b">
        <x:v>0</x:v>
      </x:c>
      <x:c r="U5216" s="2" t="str">
        <x:f>IF(T5216=TRUE,"Priority review",IF(R5216=TRUE,"High cost",IF(S5216=TRUE,"Low quality","Benchmark")))</x:f>
        <x:v>Benchmark</x:v>
      </x:c>
    </x:row>
    <x:row r="5217">
      <x:c r="A5217" s="2" t="str">
        <x:v>074015</x:v>
      </x:c>
      <x:c r="B5217" s="2" t="str">
        <x:v>ALBERT J SOLNIT CHILDREN'S CENTER - SOUTH CAMPUS</x:v>
      </x:c>
      <x:c r="C5217" s="2" t="str">
        <x:v>MIDDLETOWN</x:v>
      </x:c>
      <x:c r="D5217" s="2" t="str">
        <x:v>CT</x:v>
      </x:c>
      <x:c r="E5217" s="2" t="str">
        <x:v>Psychiatric</x:v>
      </x:c>
      <x:c r="F5217" s="2" t="str">
        <x:v>Government</x:v>
      </x:c>
      <x:c r="G5217" s="2" t="str">
        <x:v>Unknown</x:v>
      </x:c>
      <x:c r="H5217" s="7"/>
      <x:c r="I5217" s="7"/>
      <x:c r="J5217" s="7"/>
      <x:c r="K5217" s="8"/>
      <x:c r="L5217" s="8"/>
      <x:c r="M5217" s="9"/>
      <x:c r="N5217" s="10"/>
      <x:c r="O5217" s="9"/>
      <x:c r="P5217" s="9" t="n">
        <x:v>0</x:v>
      </x:c>
      <x:c r="Q5217" s="9" t="n">
        <x:v>0</x:v>
      </x:c>
      <x:c r="R5217" s="3" t="b">
        <x:v>0</x:v>
      </x:c>
      <x:c r="S5217" s="3" t="b">
        <x:v>0</x:v>
      </x:c>
      <x:c r="T5217" s="3" t="b">
        <x:v>0</x:v>
      </x:c>
      <x:c r="U5217" s="2" t="str">
        <x:f>IF(T5217=TRUE,"Priority review",IF(R5217=TRUE,"High cost",IF(S5217=TRUE,"Low quality","Benchmark")))</x:f>
        <x:v>Benchmark</x:v>
      </x:c>
    </x:row>
    <x:row r="5218">
      <x:c r="A5218" s="2" t="str">
        <x:v>014015</x:v>
      </x:c>
      <x:c r="B5218" s="2" t="str">
        <x:v>BEACON CHILDREN'S HOSPITAL</x:v>
      </x:c>
      <x:c r="C5218" s="2" t="str">
        <x:v>LUVERNE</x:v>
      </x:c>
      <x:c r="D5218" s="2" t="str">
        <x:v>AL</x:v>
      </x:c>
      <x:c r="E5218" s="2" t="str">
        <x:v>Psychiatric</x:v>
      </x:c>
      <x:c r="F5218" s="2" t="str">
        <x:v>Proprietary</x:v>
      </x:c>
      <x:c r="G5218" s="2" t="str">
        <x:v>Unknown</x:v>
      </x:c>
      <x:c r="H5218" s="7"/>
      <x:c r="I5218" s="7"/>
      <x:c r="J5218" s="7"/>
      <x:c r="K5218" s="8"/>
      <x:c r="L5218" s="8"/>
      <x:c r="M5218" s="9"/>
      <x:c r="N5218" s="10"/>
      <x:c r="O5218" s="9"/>
      <x:c r="P5218" s="9" t="n">
        <x:v>0</x:v>
      </x:c>
      <x:c r="Q5218" s="9" t="n">
        <x:v>0</x:v>
      </x:c>
      <x:c r="R5218" s="3" t="b">
        <x:v>0</x:v>
      </x:c>
      <x:c r="S5218" s="3" t="b">
        <x:v>0</x:v>
      </x:c>
      <x:c r="T5218" s="3" t="b">
        <x:v>0</x:v>
      </x:c>
      <x:c r="U5218" s="2" t="str">
        <x:f>IF(T5218=TRUE,"Priority review",IF(R5218=TRUE,"High cost",IF(S5218=TRUE,"Low quality","Benchmark")))</x:f>
        <x:v>Benchmark</x:v>
      </x:c>
    </x:row>
    <x:row r="5219">
      <x:c r="A5219" s="2" t="str">
        <x:v>014000</x:v>
      </x:c>
      <x:c r="B5219" s="2" t="str">
        <x:v>HILL CREST BEHAVIORAL HEALTH SERVICES</x:v>
      </x:c>
      <x:c r="C5219" s="2" t="str">
        <x:v>BIRMINGHAM</x:v>
      </x:c>
      <x:c r="D5219" s="2" t="str">
        <x:v>AL</x:v>
      </x:c>
      <x:c r="E5219" s="2" t="str">
        <x:v>Psychiatric</x:v>
      </x:c>
      <x:c r="F5219" s="2" t="str">
        <x:v>Proprietary</x:v>
      </x:c>
      <x:c r="G5219" s="2" t="str">
        <x:v>Unknown</x:v>
      </x:c>
      <x:c r="H5219" s="7"/>
      <x:c r="I5219" s="7"/>
      <x:c r="J5219" s="7"/>
      <x:c r="K5219" s="8"/>
      <x:c r="L5219" s="8"/>
      <x:c r="M5219" s="9"/>
      <x:c r="N5219" s="10"/>
      <x:c r="O5219" s="9"/>
      <x:c r="P5219" s="9" t="n">
        <x:v>0</x:v>
      </x:c>
      <x:c r="Q5219" s="9" t="n">
        <x:v>0</x:v>
      </x:c>
      <x:c r="R5219" s="3" t="b">
        <x:v>0</x:v>
      </x:c>
      <x:c r="S5219" s="3" t="b">
        <x:v>0</x:v>
      </x:c>
      <x:c r="T5219" s="3" t="b">
        <x:v>0</x:v>
      </x:c>
      <x:c r="U5219" s="2" t="str">
        <x:f>IF(T5219=TRUE,"Priority review",IF(R5219=TRUE,"High cost",IF(S5219=TRUE,"Low quality","Benchmark")))</x:f>
        <x:v>Benchmark</x:v>
      </x:c>
    </x:row>
    <x:row r="5220">
      <x:c r="A5220" s="2" t="str">
        <x:v>024002</x:v>
      </x:c>
      <x:c r="B5220" s="2" t="str">
        <x:v>ALASKA PSYCHIATRIC INSTITUTE</x:v>
      </x:c>
      <x:c r="C5220" s="2" t="str">
        <x:v>ANCHORAGE</x:v>
      </x:c>
      <x:c r="D5220" s="2" t="str">
        <x:v>AK</x:v>
      </x:c>
      <x:c r="E5220" s="2" t="str">
        <x:v>Psychiatric</x:v>
      </x:c>
      <x:c r="F5220" s="2" t="str">
        <x:v>Government</x:v>
      </x:c>
      <x:c r="G5220" s="2" t="str">
        <x:v>Unknown</x:v>
      </x:c>
      <x:c r="H5220" s="7"/>
      <x:c r="I5220" s="7"/>
      <x:c r="J5220" s="7"/>
      <x:c r="K5220" s="8"/>
      <x:c r="L5220" s="8"/>
      <x:c r="M5220" s="9"/>
      <x:c r="N5220" s="10"/>
      <x:c r="O5220" s="9"/>
      <x:c r="P5220" s="9" t="n">
        <x:v>0</x:v>
      </x:c>
      <x:c r="Q5220" s="9" t="n">
        <x:v>0</x:v>
      </x:c>
      <x:c r="R5220" s="3" t="b">
        <x:v>0</x:v>
      </x:c>
      <x:c r="S5220" s="3" t="b">
        <x:v>0</x:v>
      </x:c>
      <x:c r="T5220" s="3" t="b">
        <x:v>0</x:v>
      </x:c>
      <x:c r="U5220" s="2" t="str">
        <x:f>IF(T5220=TRUE,"Priority review",IF(R5220=TRUE,"High cost",IF(S5220=TRUE,"Low quality","Benchmark")))</x:f>
        <x:v>Benchmark</x:v>
      </x:c>
    </x:row>
    <x:row r="5221">
      <x:c r="A5221" s="2" t="str">
        <x:v>044017</x:v>
      </x:c>
      <x:c r="B5221" s="2" t="str">
        <x:v>UNITED METHODIST BEHAVIORAL HOSPITAL</x:v>
      </x:c>
      <x:c r="C5221" s="2" t="str">
        <x:v>MAUMELLE</x:v>
      </x:c>
      <x:c r="D5221" s="2" t="str">
        <x:v>AR</x:v>
      </x:c>
      <x:c r="E5221" s="2" t="str">
        <x:v>Psychiatric</x:v>
      </x:c>
      <x:c r="F5221" s="2" t="str">
        <x:v>Voluntary non-profit</x:v>
      </x:c>
      <x:c r="G5221" s="2" t="str">
        <x:v>Unknown</x:v>
      </x:c>
      <x:c r="H5221" s="7"/>
      <x:c r="I5221" s="7"/>
      <x:c r="J5221" s="7"/>
      <x:c r="K5221" s="8"/>
      <x:c r="L5221" s="8"/>
      <x:c r="M5221" s="9"/>
      <x:c r="N5221" s="10"/>
      <x:c r="O5221" s="9"/>
      <x:c r="P5221" s="9" t="n">
        <x:v>0</x:v>
      </x:c>
      <x:c r="Q5221" s="9" t="n">
        <x:v>0</x:v>
      </x:c>
      <x:c r="R5221" s="3" t="b">
        <x:v>0</x:v>
      </x:c>
      <x:c r="S5221" s="3" t="b">
        <x:v>0</x:v>
      </x:c>
      <x:c r="T5221" s="3" t="b">
        <x:v>0</x:v>
      </x:c>
      <x:c r="U5221" s="2" t="str">
        <x:f>IF(T5221=TRUE,"Priority review",IF(R5221=TRUE,"High cost",IF(S5221=TRUE,"Low quality","Benchmark")))</x:f>
        <x:v>Benchmark</x:v>
      </x:c>
    </x:row>
    <x:row r="5222">
      <x:c r="A5222" s="2" t="str">
        <x:v>034021</x:v>
      </x:c>
      <x:c r="B5222" s="2" t="str">
        <x:v>ARIZONA STATE HOSPITAL</x:v>
      </x:c>
      <x:c r="C5222" s="2" t="str">
        <x:v>PHOENIX</x:v>
      </x:c>
      <x:c r="D5222" s="2" t="str">
        <x:v>AZ</x:v>
      </x:c>
      <x:c r="E5222" s="2" t="str">
        <x:v>Psychiatric</x:v>
      </x:c>
      <x:c r="F5222" s="2" t="str">
        <x:v>Government</x:v>
      </x:c>
      <x:c r="G5222" s="2" t="str">
        <x:v>Unknown</x:v>
      </x:c>
      <x:c r="H5222" s="7"/>
      <x:c r="I5222" s="7"/>
      <x:c r="J5222" s="7"/>
      <x:c r="K5222" s="8"/>
      <x:c r="L5222" s="8"/>
      <x:c r="M5222" s="9"/>
      <x:c r="N5222" s="10"/>
      <x:c r="O5222" s="9"/>
      <x:c r="P5222" s="9" t="n">
        <x:v>0</x:v>
      </x:c>
      <x:c r="Q5222" s="9" t="n">
        <x:v>0</x:v>
      </x:c>
      <x:c r="R5222" s="3" t="b">
        <x:v>0</x:v>
      </x:c>
      <x:c r="S5222" s="3" t="b">
        <x:v>0</x:v>
      </x:c>
      <x:c r="T5222" s="3" t="b">
        <x:v>0</x:v>
      </x:c>
      <x:c r="U5222" s="2" t="str">
        <x:f>IF(T5222=TRUE,"Priority review",IF(R5222=TRUE,"High cost",IF(S5222=TRUE,"Low quality","Benchmark")))</x:f>
        <x:v>Benchmark</x:v>
      </x:c>
    </x:row>
    <x:row r="5223">
      <x:c r="A5223" s="2" t="str">
        <x:v>034025</x:v>
      </x:c>
      <x:c r="B5223" s="2" t="str">
        <x:v>THE HEALING PLACE</x:v>
      </x:c>
      <x:c r="C5223" s="2" t="str">
        <x:v>PRESCOTT</x:v>
      </x:c>
      <x:c r="D5223" s="2" t="str">
        <x:v>AZ</x:v>
      </x:c>
      <x:c r="E5223" s="2" t="str">
        <x:v>Psychiatric</x:v>
      </x:c>
      <x:c r="F5223" s="2" t="str">
        <x:v>Proprietary</x:v>
      </x:c>
      <x:c r="G5223" s="2" t="str">
        <x:v>Unknown</x:v>
      </x:c>
      <x:c r="H5223" s="7"/>
      <x:c r="I5223" s="7"/>
      <x:c r="J5223" s="7"/>
      <x:c r="K5223" s="8"/>
      <x:c r="L5223" s="8"/>
      <x:c r="M5223" s="9"/>
      <x:c r="N5223" s="10"/>
      <x:c r="O5223" s="9"/>
      <x:c r="P5223" s="9" t="n">
        <x:v>0</x:v>
      </x:c>
      <x:c r="Q5223" s="9" t="n">
        <x:v>0</x:v>
      </x:c>
      <x:c r="R5223" s="3" t="b">
        <x:v>0</x:v>
      </x:c>
      <x:c r="S5223" s="3" t="b">
        <x:v>0</x:v>
      </x:c>
      <x:c r="T5223" s="3" t="b">
        <x:v>0</x:v>
      </x:c>
      <x:c r="U5223" s="2" t="str">
        <x:f>IF(T5223=TRUE,"Priority review",IF(R5223=TRUE,"High cost",IF(S5223=TRUE,"Low quality","Benchmark")))</x:f>
        <x:v>Benchmark</x:v>
      </x:c>
    </x:row>
    <x:row r="5224">
      <x:c r="A5224" s="2" t="str">
        <x:v>034027</x:v>
      </x:c>
      <x:c r="B5224" s="2" t="str">
        <x:v>CHANGEPOINT PSYCHIATRIC HOSPITAL</x:v>
      </x:c>
      <x:c r="C5224" s="2" t="str">
        <x:v>LAKESIDE</x:v>
      </x:c>
      <x:c r="D5224" s="2" t="str">
        <x:v>AZ</x:v>
      </x:c>
      <x:c r="E5224" s="2" t="str">
        <x:v>Psychiatric</x:v>
      </x:c>
      <x:c r="F5224" s="2" t="str">
        <x:v>Voluntary non-profit</x:v>
      </x:c>
      <x:c r="G5224" s="2" t="str">
        <x:v>Unknown</x:v>
      </x:c>
      <x:c r="H5224" s="7"/>
      <x:c r="I5224" s="7"/>
      <x:c r="J5224" s="7"/>
      <x:c r="K5224" s="8"/>
      <x:c r="L5224" s="8"/>
      <x:c r="M5224" s="9"/>
      <x:c r="N5224" s="10"/>
      <x:c r="O5224" s="9"/>
      <x:c r="P5224" s="9" t="n">
        <x:v>0</x:v>
      </x:c>
      <x:c r="Q5224" s="9" t="n">
        <x:v>0</x:v>
      </x:c>
      <x:c r="R5224" s="3" t="b">
        <x:v>0</x:v>
      </x:c>
      <x:c r="S5224" s="3" t="b">
        <x:v>0</x:v>
      </x:c>
      <x:c r="T5224" s="3" t="b">
        <x:v>0</x:v>
      </x:c>
      <x:c r="U5224" s="2" t="str">
        <x:f>IF(T5224=TRUE,"Priority review",IF(R5224=TRUE,"High cost",IF(S5224=TRUE,"Low quality","Benchmark")))</x:f>
        <x:v>Benchmark</x:v>
      </x:c>
    </x:row>
    <x:row r="5225">
      <x:c r="A5225" s="2" t="str">
        <x:v>034030</x:v>
      </x:c>
      <x:c r="B5225" s="2" t="str">
        <x:v>PALO VERDE BEHAVIORAL HEALTH</x:v>
      </x:c>
      <x:c r="C5225" s="2" t="str">
        <x:v>TUCSON</x:v>
      </x:c>
      <x:c r="D5225" s="2" t="str">
        <x:v>AZ</x:v>
      </x:c>
      <x:c r="E5225" s="2" t="str">
        <x:v>Psychiatric</x:v>
      </x:c>
      <x:c r="F5225" s="2" t="str">
        <x:v>Voluntary non-profit</x:v>
      </x:c>
      <x:c r="G5225" s="2" t="str">
        <x:v>Unknown</x:v>
      </x:c>
      <x:c r="H5225" s="7"/>
      <x:c r="I5225" s="7"/>
      <x:c r="J5225" s="7"/>
      <x:c r="K5225" s="8"/>
      <x:c r="L5225" s="8"/>
      <x:c r="M5225" s="9"/>
      <x:c r="N5225" s="10"/>
      <x:c r="O5225" s="9"/>
      <x:c r="P5225" s="9" t="n">
        <x:v>0</x:v>
      </x:c>
      <x:c r="Q5225" s="9" t="n">
        <x:v>0</x:v>
      </x:c>
      <x:c r="R5225" s="3" t="b">
        <x:v>0</x:v>
      </x:c>
      <x:c r="S5225" s="3" t="b">
        <x:v>0</x:v>
      </x:c>
      <x:c r="T5225" s="3" t="b">
        <x:v>0</x:v>
      </x:c>
      <x:c r="U5225" s="2" t="str">
        <x:f>IF(T5225=TRUE,"Priority review",IF(R5225=TRUE,"High cost",IF(S5225=TRUE,"Low quality","Benchmark")))</x:f>
        <x:v>Benchmark</x:v>
      </x:c>
    </x:row>
    <x:row r="5226">
      <x:c r="A5226" s="2" t="str">
        <x:v>044011</x:v>
      </x:c>
      <x:c r="B5226" s="2" t="str">
        <x:v>ARKANSAS STATE HOSPITAL</x:v>
      </x:c>
      <x:c r="C5226" s="2" t="str">
        <x:v>LITTLE ROCK</x:v>
      </x:c>
      <x:c r="D5226" s="2" t="str">
        <x:v>AR</x:v>
      </x:c>
      <x:c r="E5226" s="2" t="str">
        <x:v>Psychiatric</x:v>
      </x:c>
      <x:c r="F5226" s="2" t="str">
        <x:v>Government</x:v>
      </x:c>
      <x:c r="G5226" s="2" t="str">
        <x:v>Unknown</x:v>
      </x:c>
      <x:c r="H5226" s="7"/>
      <x:c r="I5226" s="7"/>
      <x:c r="J5226" s="7"/>
      <x:c r="K5226" s="8"/>
      <x:c r="L5226" s="8"/>
      <x:c r="M5226" s="9"/>
      <x:c r="N5226" s="10"/>
      <x:c r="O5226" s="9"/>
      <x:c r="P5226" s="9" t="n">
        <x:v>0</x:v>
      </x:c>
      <x:c r="Q5226" s="9" t="n">
        <x:v>0</x:v>
      </x:c>
      <x:c r="R5226" s="3" t="b">
        <x:v>0</x:v>
      </x:c>
      <x:c r="S5226" s="3" t="b">
        <x:v>0</x:v>
      </x:c>
      <x:c r="T5226" s="3" t="b">
        <x:v>0</x:v>
      </x:c>
      <x:c r="U5226" s="2" t="str">
        <x:f>IF(T5226=TRUE,"Priority review",IF(R5226=TRUE,"High cost",IF(S5226=TRUE,"Low quality","Benchmark")))</x:f>
        <x:v>Benchmark</x:v>
      </x:c>
    </x:row>
    <x:row r="5227">
      <x:c r="A5227" s="2" t="str">
        <x:v>054028</x:v>
      </x:c>
      <x:c r="B5227" s="2" t="str">
        <x:v>GATEWAYS HOSP  MENTAL HEALTH CTR</x:v>
      </x:c>
      <x:c r="C5227" s="2" t="str">
        <x:v>LOS ANGELES</x:v>
      </x:c>
      <x:c r="D5227" s="2" t="str">
        <x:v>CA</x:v>
      </x:c>
      <x:c r="E5227" s="2" t="str">
        <x:v>Psychiatric</x:v>
      </x:c>
      <x:c r="F5227" s="2" t="str">
        <x:v>Proprietary</x:v>
      </x:c>
      <x:c r="G5227" s="2" t="str">
        <x:v>Unknown</x:v>
      </x:c>
      <x:c r="H5227" s="7"/>
      <x:c r="I5227" s="7"/>
      <x:c r="J5227" s="7"/>
      <x:c r="K5227" s="8"/>
      <x:c r="L5227" s="8"/>
      <x:c r="M5227" s="9"/>
      <x:c r="N5227" s="10"/>
      <x:c r="O5227" s="9"/>
      <x:c r="P5227" s="9" t="n">
        <x:v>0</x:v>
      </x:c>
      <x:c r="Q5227" s="9" t="n">
        <x:v>0</x:v>
      </x:c>
      <x:c r="R5227" s="3" t="b">
        <x:v>0</x:v>
      </x:c>
      <x:c r="S5227" s="3" t="b">
        <x:v>0</x:v>
      </x:c>
      <x:c r="T5227" s="3" t="b">
        <x:v>0</x:v>
      </x:c>
      <x:c r="U5227" s="2" t="str">
        <x:f>IF(T5227=TRUE,"Priority review",IF(R5227=TRUE,"High cost",IF(S5227=TRUE,"Low quality","Benchmark")))</x:f>
        <x:v>Benchmark</x:v>
      </x:c>
    </x:row>
    <x:row r="5228">
      <x:c r="A5228" s="2" t="str">
        <x:v>054110</x:v>
      </x:c>
      <x:c r="B5228" s="2" t="str">
        <x:v>BHC FREMONT HOSPITAL INC</x:v>
      </x:c>
      <x:c r="C5228" s="2" t="str">
        <x:v>FREMONT</x:v>
      </x:c>
      <x:c r="D5228" s="2" t="str">
        <x:v>CA</x:v>
      </x:c>
      <x:c r="E5228" s="2" t="str">
        <x:v>Psychiatric</x:v>
      </x:c>
      <x:c r="F5228" s="2" t="str">
        <x:v>Proprietary</x:v>
      </x:c>
      <x:c r="G5228" s="2" t="str">
        <x:v>Unknown</x:v>
      </x:c>
      <x:c r="H5228" s="7"/>
      <x:c r="I5228" s="7"/>
      <x:c r="J5228" s="7"/>
      <x:c r="K5228" s="8"/>
      <x:c r="L5228" s="8"/>
      <x:c r="M5228" s="9"/>
      <x:c r="N5228" s="10"/>
      <x:c r="O5228" s="9"/>
      <x:c r="P5228" s="9" t="n">
        <x:v>0</x:v>
      </x:c>
      <x:c r="Q5228" s="9" t="n">
        <x:v>0</x:v>
      </x:c>
      <x:c r="R5228" s="3" t="b">
        <x:v>0</x:v>
      </x:c>
      <x:c r="S5228" s="3" t="b">
        <x:v>0</x:v>
      </x:c>
      <x:c r="T5228" s="3" t="b">
        <x:v>0</x:v>
      </x:c>
      <x:c r="U5228" s="2" t="str">
        <x:f>IF(T5228=TRUE,"Priority review",IF(R5228=TRUE,"High cost",IF(S5228=TRUE,"Low quality","Benchmark")))</x:f>
        <x:v>Benchmark</x:v>
      </x:c>
    </x:row>
    <x:row r="5229">
      <x:c r="A5229" s="2" t="str">
        <x:v>054147</x:v>
      </x:c>
      <x:c r="B5229" s="2" t="str">
        <x:v>JOYCE EISENBERG KEEFER MEDICAL CENTER</x:v>
      </x:c>
      <x:c r="C5229" s="2" t="str">
        <x:v>RESEDA</x:v>
      </x:c>
      <x:c r="D5229" s="2" t="str">
        <x:v>CA</x:v>
      </x:c>
      <x:c r="E5229" s="2" t="str">
        <x:v>Psychiatric</x:v>
      </x:c>
      <x:c r="F5229" s="2" t="str">
        <x:v>Voluntary non-profit</x:v>
      </x:c>
      <x:c r="G5229" s="2" t="str">
        <x:v>Unknown</x:v>
      </x:c>
      <x:c r="H5229" s="7"/>
      <x:c r="I5229" s="7"/>
      <x:c r="J5229" s="7"/>
      <x:c r="K5229" s="8"/>
      <x:c r="L5229" s="8"/>
      <x:c r="M5229" s="9"/>
      <x:c r="N5229" s="10"/>
      <x:c r="O5229" s="9"/>
      <x:c r="P5229" s="9" t="n">
        <x:v>0</x:v>
      </x:c>
      <x:c r="Q5229" s="9" t="n">
        <x:v>0</x:v>
      </x:c>
      <x:c r="R5229" s="3" t="b">
        <x:v>0</x:v>
      </x:c>
      <x:c r="S5229" s="3" t="b">
        <x:v>0</x:v>
      </x:c>
      <x:c r="T5229" s="3" t="b">
        <x:v>0</x:v>
      </x:c>
      <x:c r="U5229" s="2" t="str">
        <x:f>IF(T5229=TRUE,"Priority review",IF(R5229=TRUE,"High cost",IF(S5229=TRUE,"Low quality","Benchmark")))</x:f>
        <x:v>Benchmark</x:v>
      </x:c>
    </x:row>
    <x:row r="5230">
      <x:c r="A5230" s="2" t="str">
        <x:v>054149</x:v>
      </x:c>
      <x:c r="B5230" s="2" t="str">
        <x:v>WILLOW ROCK CENTER</x:v>
      </x:c>
      <x:c r="C5230" s="2" t="str">
        <x:v>SAN LEANDRO</x:v>
      </x:c>
      <x:c r="D5230" s="2" t="str">
        <x:v>CA</x:v>
      </x:c>
      <x:c r="E5230" s="2" t="str">
        <x:v>Psychiatric</x:v>
      </x:c>
      <x:c r="F5230" s="2" t="str">
        <x:v>Proprietary</x:v>
      </x:c>
      <x:c r="G5230" s="2" t="str">
        <x:v>Unknown</x:v>
      </x:c>
      <x:c r="H5230" s="7"/>
      <x:c r="I5230" s="7"/>
      <x:c r="J5230" s="7"/>
      <x:c r="K5230" s="8"/>
      <x:c r="L5230" s="8"/>
      <x:c r="M5230" s="9"/>
      <x:c r="N5230" s="10"/>
      <x:c r="O5230" s="9"/>
      <x:c r="P5230" s="9" t="n">
        <x:v>0</x:v>
      </x:c>
      <x:c r="Q5230" s="9" t="n">
        <x:v>0</x:v>
      </x:c>
      <x:c r="R5230" s="3" t="b">
        <x:v>0</x:v>
      </x:c>
      <x:c r="S5230" s="3" t="b">
        <x:v>0</x:v>
      </x:c>
      <x:c r="T5230" s="3" t="b">
        <x:v>0</x:v>
      </x:c>
      <x:c r="U5230" s="2" t="str">
        <x:f>IF(T5230=TRUE,"Priority review",IF(R5230=TRUE,"High cost",IF(S5230=TRUE,"Low quality","Benchmark")))</x:f>
        <x:v>Benchmark</x:v>
      </x:c>
    </x:row>
    <x:row r="5231">
      <x:c r="A5231" s="2" t="str">
        <x:v>064030</x:v>
      </x:c>
      <x:c r="B5231" s="2" t="str">
        <x:v>WEST PINES BEHAVIORAL HOSPITAL</x:v>
      </x:c>
      <x:c r="C5231" s="2" t="str">
        <x:v>WESTMINSTER</x:v>
      </x:c>
      <x:c r="D5231" s="2" t="str">
        <x:v>CO</x:v>
      </x:c>
      <x:c r="E5231" s="2" t="str">
        <x:v>Psychiatric</x:v>
      </x:c>
      <x:c r="F5231" s="2" t="str">
        <x:v>Proprietary</x:v>
      </x:c>
      <x:c r="G5231" s="2" t="str">
        <x:v>Unknown</x:v>
      </x:c>
      <x:c r="H5231" s="7"/>
      <x:c r="I5231" s="7"/>
      <x:c r="J5231" s="7"/>
      <x:c r="K5231" s="8"/>
      <x:c r="L5231" s="8"/>
      <x:c r="M5231" s="9"/>
      <x:c r="N5231" s="10"/>
      <x:c r="O5231" s="9"/>
      <x:c r="P5231" s="9" t="n">
        <x:v>0</x:v>
      </x:c>
      <x:c r="Q5231" s="9" t="n">
        <x:v>0</x:v>
      </x:c>
      <x:c r="R5231" s="3" t="b">
        <x:v>0</x:v>
      </x:c>
      <x:c r="S5231" s="3" t="b">
        <x:v>0</x:v>
      </x:c>
      <x:c r="T5231" s="3" t="b">
        <x:v>0</x:v>
      </x:c>
      <x:c r="U5231" s="2" t="str">
        <x:f>IF(T5231=TRUE,"Priority review",IF(R5231=TRUE,"High cost",IF(S5231=TRUE,"Low quality","Benchmark")))</x:f>
        <x:v>Benchmark</x:v>
      </x:c>
    </x:row>
    <x:row r="5232">
      <x:c r="A5232" s="2" t="str">
        <x:v>084001</x:v>
      </x:c>
      <x:c r="B5232" s="2" t="str">
        <x:v>DELAWARE PSYCHIATRIC CENTER</x:v>
      </x:c>
      <x:c r="C5232" s="2" t="str">
        <x:v>NEW CASTLE</x:v>
      </x:c>
      <x:c r="D5232" s="2" t="str">
        <x:v>DE</x:v>
      </x:c>
      <x:c r="E5232" s="2" t="str">
        <x:v>Psychiatric</x:v>
      </x:c>
      <x:c r="F5232" s="2" t="str">
        <x:v>Government</x:v>
      </x:c>
      <x:c r="G5232" s="2" t="str">
        <x:v>Unknown</x:v>
      </x:c>
      <x:c r="H5232" s="7"/>
      <x:c r="I5232" s="7"/>
      <x:c r="J5232" s="7"/>
      <x:c r="K5232" s="8"/>
      <x:c r="L5232" s="8"/>
      <x:c r="M5232" s="9"/>
      <x:c r="N5232" s="10"/>
      <x:c r="O5232" s="9"/>
      <x:c r="P5232" s="9" t="n">
        <x:v>0</x:v>
      </x:c>
      <x:c r="Q5232" s="9" t="n">
        <x:v>0</x:v>
      </x:c>
      <x:c r="R5232" s="3" t="b">
        <x:v>0</x:v>
      </x:c>
      <x:c r="S5232" s="3" t="b">
        <x:v>0</x:v>
      </x:c>
      <x:c r="T5232" s="3" t="b">
        <x:v>0</x:v>
      </x:c>
      <x:c r="U5232" s="2" t="str">
        <x:f>IF(T5232=TRUE,"Priority review",IF(R5232=TRUE,"High cost",IF(S5232=TRUE,"Low quality","Benchmark")))</x:f>
        <x:v>Benchmark</x:v>
      </x:c>
    </x:row>
    <x:row r="5233">
      <x:c r="A5233" s="2" t="str">
        <x:v>104000</x:v>
      </x:c>
      <x:c r="B5233" s="2" t="str">
        <x:v>FLORIDA STATE HOSPITAL UNIT 14 PSYCH</x:v>
      </x:c>
      <x:c r="C5233" s="2" t="str">
        <x:v>CHATTAHOOCHEE</x:v>
      </x:c>
      <x:c r="D5233" s="2" t="str">
        <x:v>FL</x:v>
      </x:c>
      <x:c r="E5233" s="2" t="str">
        <x:v>Psychiatric</x:v>
      </x:c>
      <x:c r="F5233" s="2" t="str">
        <x:v>Government</x:v>
      </x:c>
      <x:c r="G5233" s="2" t="str">
        <x:v>Unknown</x:v>
      </x:c>
      <x:c r="H5233" s="7"/>
      <x:c r="I5233" s="7"/>
      <x:c r="J5233" s="7"/>
      <x:c r="K5233" s="8"/>
      <x:c r="L5233" s="8"/>
      <x:c r="M5233" s="9"/>
      <x:c r="N5233" s="10"/>
      <x:c r="O5233" s="9"/>
      <x:c r="P5233" s="9" t="n">
        <x:v>0</x:v>
      </x:c>
      <x:c r="Q5233" s="9" t="n">
        <x:v>0</x:v>
      </x:c>
      <x:c r="R5233" s="3" t="b">
        <x:v>0</x:v>
      </x:c>
      <x:c r="S5233" s="3" t="b">
        <x:v>0</x:v>
      </x:c>
      <x:c r="T5233" s="3" t="b">
        <x:v>0</x:v>
      </x:c>
      <x:c r="U5233" s="2" t="str">
        <x:f>IF(T5233=TRUE,"Priority review",IF(R5233=TRUE,"High cost",IF(S5233=TRUE,"Low quality","Benchmark")))</x:f>
        <x:v>Benchmark</x:v>
      </x:c>
    </x:row>
    <x:row r="5234">
      <x:c r="A5234" s="2" t="str">
        <x:v>104059</x:v>
      </x:c>
      <x:c r="B5234" s="2" t="str">
        <x:v>EASTSIDE PSYCHIATRIC HOSPITAL</x:v>
      </x:c>
      <x:c r="C5234" s="2" t="str">
        <x:v>TALLAHASSEE</x:v>
      </x:c>
      <x:c r="D5234" s="2" t="str">
        <x:v>FL</x:v>
      </x:c>
      <x:c r="E5234" s="2" t="str">
        <x:v>Psychiatric</x:v>
      </x:c>
      <x:c r="F5234" s="2" t="str">
        <x:v>Voluntary non-profit</x:v>
      </x:c>
      <x:c r="G5234" s="2" t="str">
        <x:v>Unknown</x:v>
      </x:c>
      <x:c r="H5234" s="7"/>
      <x:c r="I5234" s="7"/>
      <x:c r="J5234" s="7"/>
      <x:c r="K5234" s="8"/>
      <x:c r="L5234" s="8"/>
      <x:c r="M5234" s="9"/>
      <x:c r="N5234" s="10"/>
      <x:c r="O5234" s="9"/>
      <x:c r="P5234" s="9" t="n">
        <x:v>0</x:v>
      </x:c>
      <x:c r="Q5234" s="9" t="n">
        <x:v>0</x:v>
      </x:c>
      <x:c r="R5234" s="3" t="b">
        <x:v>0</x:v>
      </x:c>
      <x:c r="S5234" s="3" t="b">
        <x:v>0</x:v>
      </x:c>
      <x:c r="T5234" s="3" t="b">
        <x:v>0</x:v>
      </x:c>
      <x:c r="U5234" s="2" t="str">
        <x:f>IF(T5234=TRUE,"Priority review",IF(R5234=TRUE,"High cost",IF(S5234=TRUE,"Low quality","Benchmark")))</x:f>
        <x:v>Benchmark</x:v>
      </x:c>
    </x:row>
    <x:row r="5235">
      <x:c r="A5235" s="2" t="str">
        <x:v>104087</x:v>
      </x:c>
      <x:c r="B5235" s="2" t="str">
        <x:v>NORTH PORT BEHAVIORAL HEALTH</x:v>
      </x:c>
      <x:c r="C5235" s="2" t="str">
        <x:v>NORTH PORT</x:v>
      </x:c>
      <x:c r="D5235" s="2" t="str">
        <x:v>FL</x:v>
      </x:c>
      <x:c r="E5235" s="2" t="str">
        <x:v>Psychiatric</x:v>
      </x:c>
      <x:c r="F5235" s="2" t="str">
        <x:v>Proprietary</x:v>
      </x:c>
      <x:c r="G5235" s="2" t="str">
        <x:v>Unknown</x:v>
      </x:c>
      <x:c r="H5235" s="7"/>
      <x:c r="I5235" s="7"/>
      <x:c r="J5235" s="7"/>
      <x:c r="K5235" s="8"/>
      <x:c r="L5235" s="8"/>
      <x:c r="M5235" s="9"/>
      <x:c r="N5235" s="10"/>
      <x:c r="O5235" s="9"/>
      <x:c r="P5235" s="9" t="n">
        <x:v>0</x:v>
      </x:c>
      <x:c r="Q5235" s="9" t="n">
        <x:v>0</x:v>
      </x:c>
      <x:c r="R5235" s="3" t="b">
        <x:v>0</x:v>
      </x:c>
      <x:c r="S5235" s="3" t="b">
        <x:v>0</x:v>
      </x:c>
      <x:c r="T5235" s="3" t="b">
        <x:v>0</x:v>
      </x:c>
      <x:c r="U5235" s="2" t="str">
        <x:f>IF(T5235=TRUE,"Priority review",IF(R5235=TRUE,"High cost",IF(S5235=TRUE,"Low quality","Benchmark")))</x:f>
        <x:v>Benchmark</x:v>
      </x:c>
    </x:row>
    <x:row r="5236">
      <x:c r="A5236" s="2" t="str">
        <x:v>154047</x:v>
      </x:c>
      <x:c r="B5236" s="2" t="str">
        <x:v>MICHIANA BEHAVIORAL HEALTH CENTER</x:v>
      </x:c>
      <x:c r="C5236" s="2" t="str">
        <x:v>PLYMOUTH</x:v>
      </x:c>
      <x:c r="D5236" s="2" t="str">
        <x:v>IN</x:v>
      </x:c>
      <x:c r="E5236" s="2" t="str">
        <x:v>Psychiatric</x:v>
      </x:c>
      <x:c r="F5236" s="2" t="str">
        <x:v>Voluntary non-profit</x:v>
      </x:c>
      <x:c r="G5236" s="2" t="str">
        <x:v>Unknown</x:v>
      </x:c>
      <x:c r="H5236" s="7"/>
      <x:c r="I5236" s="7"/>
      <x:c r="J5236" s="7"/>
      <x:c r="K5236" s="8"/>
      <x:c r="L5236" s="8"/>
      <x:c r="M5236" s="9"/>
      <x:c r="N5236" s="10"/>
      <x:c r="O5236" s="9"/>
      <x:c r="P5236" s="9" t="n">
        <x:v>0</x:v>
      </x:c>
      <x:c r="Q5236" s="9" t="n">
        <x:v>0</x:v>
      </x:c>
      <x:c r="R5236" s="3" t="b">
        <x:v>0</x:v>
      </x:c>
      <x:c r="S5236" s="3" t="b">
        <x:v>0</x:v>
      </x:c>
      <x:c r="T5236" s="3" t="b">
        <x:v>0</x:v>
      </x:c>
      <x:c r="U5236" s="2" t="str">
        <x:f>IF(T5236=TRUE,"Priority review",IF(R5236=TRUE,"High cost",IF(S5236=TRUE,"Low quality","Benchmark")))</x:f>
        <x:v>Benchmark</x:v>
      </x:c>
    </x:row>
    <x:row r="5237">
      <x:c r="A5237" s="2" t="str">
        <x:v>154072</x:v>
      </x:c>
      <x:c r="B5237" s="2" t="str">
        <x:v>MISSION BEHAVIORAL HEALTH HOSPITAL</x:v>
      </x:c>
      <x:c r="C5237" s="2" t="str">
        <x:v>HUNTINGBURG</x:v>
      </x:c>
      <x:c r="D5237" s="2" t="str">
        <x:v>IN</x:v>
      </x:c>
      <x:c r="E5237" s="2" t="str">
        <x:v>Psychiatric</x:v>
      </x:c>
      <x:c r="F5237" s="2" t="str">
        <x:v>Proprietary</x:v>
      </x:c>
      <x:c r="G5237" s="2" t="str">
        <x:v>Unknown</x:v>
      </x:c>
      <x:c r="H5237" s="7"/>
      <x:c r="I5237" s="7"/>
      <x:c r="J5237" s="7"/>
      <x:c r="K5237" s="8"/>
      <x:c r="L5237" s="8"/>
      <x:c r="M5237" s="9"/>
      <x:c r="N5237" s="10"/>
      <x:c r="O5237" s="9"/>
      <x:c r="P5237" s="9" t="n">
        <x:v>0</x:v>
      </x:c>
      <x:c r="Q5237" s="9" t="n">
        <x:v>0</x:v>
      </x:c>
      <x:c r="R5237" s="3" t="b">
        <x:v>0</x:v>
      </x:c>
      <x:c r="S5237" s="3" t="b">
        <x:v>0</x:v>
      </x:c>
      <x:c r="T5237" s="3" t="b">
        <x:v>0</x:v>
      </x:c>
      <x:c r="U5237" s="2" t="str">
        <x:f>IF(T5237=TRUE,"Priority review",IF(R5237=TRUE,"High cost",IF(S5237=TRUE,"Low quality","Benchmark")))</x:f>
        <x:v>Benchmark</x:v>
      </x:c>
    </x:row>
    <x:row r="5238">
      <x:c r="A5238" s="2" t="str">
        <x:v>194025</x:v>
      </x:c>
      <x:c r="B5238" s="2" t="str">
        <x:v>CENTRAL LOUISIANA STATE HOSPITAL</x:v>
      </x:c>
      <x:c r="C5238" s="2" t="str">
        <x:v>PINEVILLE</x:v>
      </x:c>
      <x:c r="D5238" s="2" t="str">
        <x:v>LA</x:v>
      </x:c>
      <x:c r="E5238" s="2" t="str">
        <x:v>Psychiatric</x:v>
      </x:c>
      <x:c r="F5238" s="2" t="str">
        <x:v>Government</x:v>
      </x:c>
      <x:c r="G5238" s="2" t="str">
        <x:v>Unknown</x:v>
      </x:c>
      <x:c r="H5238" s="7"/>
      <x:c r="I5238" s="7"/>
      <x:c r="J5238" s="7"/>
      <x:c r="K5238" s="8"/>
      <x:c r="L5238" s="8"/>
      <x:c r="M5238" s="9"/>
      <x:c r="N5238" s="10"/>
      <x:c r="O5238" s="9"/>
      <x:c r="P5238" s="9" t="n">
        <x:v>0</x:v>
      </x:c>
      <x:c r="Q5238" s="9" t="n">
        <x:v>0</x:v>
      </x:c>
      <x:c r="R5238" s="3" t="b">
        <x:v>0</x:v>
      </x:c>
      <x:c r="S5238" s="3" t="b">
        <x:v>0</x:v>
      </x:c>
      <x:c r="T5238" s="3" t="b">
        <x:v>0</x:v>
      </x:c>
      <x:c r="U5238" s="2" t="str">
        <x:f>IF(T5238=TRUE,"Priority review",IF(R5238=TRUE,"High cost",IF(S5238=TRUE,"Low quality","Benchmark")))</x:f>
        <x:v>Benchmark</x:v>
      </x:c>
    </x:row>
    <x:row r="5239">
      <x:c r="A5239" s="2" t="str">
        <x:v>234043</x:v>
      </x:c>
      <x:c r="B5239" s="2" t="str">
        <x:v>CEDAR CREEK HOSPITAL</x:v>
      </x:c>
      <x:c r="C5239" s="2" t="str">
        <x:v>SAINT JOHNS</x:v>
      </x:c>
      <x:c r="D5239" s="2" t="str">
        <x:v>MI</x:v>
      </x:c>
      <x:c r="E5239" s="2" t="str">
        <x:v>Psychiatric</x:v>
      </x:c>
      <x:c r="F5239" s="2" t="str">
        <x:v>Proprietary</x:v>
      </x:c>
      <x:c r="G5239" s="2" t="str">
        <x:v>Unknown</x:v>
      </x:c>
      <x:c r="H5239" s="7"/>
      <x:c r="I5239" s="7"/>
      <x:c r="J5239" s="7"/>
      <x:c r="K5239" s="8"/>
      <x:c r="L5239" s="8"/>
      <x:c r="M5239" s="9"/>
      <x:c r="N5239" s="10"/>
      <x:c r="O5239" s="9"/>
      <x:c r="P5239" s="9" t="n">
        <x:v>0</x:v>
      </x:c>
      <x:c r="Q5239" s="9" t="n">
        <x:v>0</x:v>
      </x:c>
      <x:c r="R5239" s="3" t="b">
        <x:v>0</x:v>
      </x:c>
      <x:c r="S5239" s="3" t="b">
        <x:v>0</x:v>
      </x:c>
      <x:c r="T5239" s="3" t="b">
        <x:v>0</x:v>
      </x:c>
      <x:c r="U5239" s="2" t="str">
        <x:f>IF(T5239=TRUE,"Priority review",IF(R5239=TRUE,"High cost",IF(S5239=TRUE,"Low quality","Benchmark")))</x:f>
        <x:v>Benchmark</x:v>
      </x:c>
    </x:row>
    <x:row r="5240">
      <x:c r="A5240" s="2" t="str">
        <x:v>234045</x:v>
      </x:c>
      <x:c r="B5240" s="2" t="str">
        <x:v>METROPOLITAN BEHAVIORAL HEALTH</x:v>
      </x:c>
      <x:c r="C5240" s="2" t="str">
        <x:v>DEARBORN</x:v>
      </x:c>
      <x:c r="D5240" s="2" t="str">
        <x:v>MI</x:v>
      </x:c>
      <x:c r="E5240" s="2" t="str">
        <x:v>Psychiatric</x:v>
      </x:c>
      <x:c r="F5240" s="2" t="str">
        <x:v>Proprietary</x:v>
      </x:c>
      <x:c r="G5240" s="2" t="str">
        <x:v>Unknown</x:v>
      </x:c>
      <x:c r="H5240" s="7"/>
      <x:c r="I5240" s="7"/>
      <x:c r="J5240" s="7"/>
      <x:c r="K5240" s="8"/>
      <x:c r="L5240" s="8"/>
      <x:c r="M5240" s="9"/>
      <x:c r="N5240" s="10"/>
      <x:c r="O5240" s="9"/>
      <x:c r="P5240" s="9" t="n">
        <x:v>0</x:v>
      </x:c>
      <x:c r="Q5240" s="9" t="n">
        <x:v>0</x:v>
      </x:c>
      <x:c r="R5240" s="3" t="b">
        <x:v>0</x:v>
      </x:c>
      <x:c r="S5240" s="3" t="b">
        <x:v>0</x:v>
      </x:c>
      <x:c r="T5240" s="3" t="b">
        <x:v>0</x:v>
      </x:c>
      <x:c r="U5240" s="2" t="str">
        <x:f>IF(T5240=TRUE,"Priority review",IF(R5240=TRUE,"High cost",IF(S5240=TRUE,"Low quality","Benchmark")))</x:f>
        <x:v>Benchmark</x:v>
      </x:c>
    </x:row>
    <x:row r="5241">
      <x:c r="A5241" s="2" t="str">
        <x:v>234047</x:v>
      </x:c>
      <x:c r="B5241" s="2" t="str">
        <x:v>KALAMAZOO BEHAVIORAL HEALTH HOSPITAL</x:v>
      </x:c>
      <x:c r="C5241" s="2" t="str">
        <x:v>KALAMAZOO</x:v>
      </x:c>
      <x:c r="D5241" s="2" t="str">
        <x:v>MI</x:v>
      </x:c>
      <x:c r="E5241" s="2" t="str">
        <x:v>Psychiatric</x:v>
      </x:c>
      <x:c r="F5241" s="2" t="str">
        <x:v>Proprietary</x:v>
      </x:c>
      <x:c r="G5241" s="2" t="str">
        <x:v>Unknown</x:v>
      </x:c>
      <x:c r="H5241" s="7"/>
      <x:c r="I5241" s="7"/>
      <x:c r="J5241" s="7"/>
      <x:c r="K5241" s="8"/>
      <x:c r="L5241" s="8"/>
      <x:c r="M5241" s="9"/>
      <x:c r="N5241" s="10"/>
      <x:c r="O5241" s="9"/>
      <x:c r="P5241" s="9" t="n">
        <x:v>0</x:v>
      </x:c>
      <x:c r="Q5241" s="9" t="n">
        <x:v>0</x:v>
      </x:c>
      <x:c r="R5241" s="3" t="b">
        <x:v>0</x:v>
      </x:c>
      <x:c r="S5241" s="3" t="b">
        <x:v>0</x:v>
      </x:c>
      <x:c r="T5241" s="3" t="b">
        <x:v>0</x:v>
      </x:c>
      <x:c r="U5241" s="2" t="str">
        <x:f>IF(T5241=TRUE,"Priority review",IF(R5241=TRUE,"High cost",IF(S5241=TRUE,"Low quality","Benchmark")))</x:f>
        <x:v>Benchmark</x:v>
      </x:c>
    </x:row>
    <x:row r="5242">
      <x:c r="A5242" s="2" t="str">
        <x:v>234048</x:v>
      </x:c>
      <x:c r="B5242" s="2" t="str">
        <x:v>PONTIAC GENERAL HOSPITAL</x:v>
      </x:c>
      <x:c r="C5242" s="2" t="str">
        <x:v>PONTIAC</x:v>
      </x:c>
      <x:c r="D5242" s="2" t="str">
        <x:v>MI</x:v>
      </x:c>
      <x:c r="E5242" s="2" t="str">
        <x:v>Psychiatric</x:v>
      </x:c>
      <x:c r="F5242" s="2" t="str">
        <x:v>Proprietary</x:v>
      </x:c>
      <x:c r="G5242" s="2" t="str">
        <x:v>Unknown</x:v>
      </x:c>
      <x:c r="H5242" s="7"/>
      <x:c r="I5242" s="7"/>
      <x:c r="J5242" s="7"/>
      <x:c r="K5242" s="8"/>
      <x:c r="L5242" s="8"/>
      <x:c r="M5242" s="9"/>
      <x:c r="N5242" s="10"/>
      <x:c r="O5242" s="9"/>
      <x:c r="P5242" s="9" t="n">
        <x:v>0</x:v>
      </x:c>
      <x:c r="Q5242" s="9" t="n">
        <x:v>0</x:v>
      </x:c>
      <x:c r="R5242" s="3" t="b">
        <x:v>0</x:v>
      </x:c>
      <x:c r="S5242" s="3" t="b">
        <x:v>0</x:v>
      </x:c>
      <x:c r="T5242" s="3" t="b">
        <x:v>0</x:v>
      </x:c>
      <x:c r="U5242" s="2" t="str">
        <x:f>IF(T5242=TRUE,"Priority review",IF(R5242=TRUE,"High cost",IF(S5242=TRUE,"Low quality","Benchmark")))</x:f>
        <x:v>Benchmark</x:v>
      </x:c>
    </x:row>
    <x:row r="5243">
      <x:c r="A5243" s="2" t="str">
        <x:v>244019</x:v>
      </x:c>
      <x:c r="B5243" s="2" t="str">
        <x:v>CAPITOL PARK MENTAL HEALTH HOSPITAL</x:v>
      </x:c>
      <x:c r="C5243" s="2" t="str">
        <x:v>SAINT PAUL</x:v>
      </x:c>
      <x:c r="D5243" s="2" t="str">
        <x:v>MN</x:v>
      </x:c>
      <x:c r="E5243" s="2" t="str">
        <x:v>Psychiatric</x:v>
      </x:c>
      <x:c r="F5243" s="2" t="str">
        <x:v>Proprietary</x:v>
      </x:c>
      <x:c r="G5243" s="2" t="str">
        <x:v>Unknown</x:v>
      </x:c>
      <x:c r="H5243" s="7"/>
      <x:c r="I5243" s="7"/>
      <x:c r="J5243" s="7"/>
      <x:c r="K5243" s="8"/>
      <x:c r="L5243" s="8"/>
      <x:c r="M5243" s="9"/>
      <x:c r="N5243" s="10"/>
      <x:c r="O5243" s="9"/>
      <x:c r="P5243" s="9" t="n">
        <x:v>0</x:v>
      </x:c>
      <x:c r="Q5243" s="9" t="n">
        <x:v>0</x:v>
      </x:c>
      <x:c r="R5243" s="3" t="b">
        <x:v>0</x:v>
      </x:c>
      <x:c r="S5243" s="3" t="b">
        <x:v>0</x:v>
      </x:c>
      <x:c r="T5243" s="3" t="b">
        <x:v>0</x:v>
      </x:c>
      <x:c r="U5243" s="2" t="str">
        <x:f>IF(T5243=TRUE,"Priority review",IF(R5243=TRUE,"High cost",IF(S5243=TRUE,"Low quality","Benchmark")))</x:f>
        <x:v>Benchmark</x:v>
      </x:c>
    </x:row>
    <x:row r="5244">
      <x:c r="A5244" s="2" t="str">
        <x:v>254014</x:v>
      </x:c>
      <x:c r="B5244" s="2" t="str">
        <x:v>OCEANS BEHAVIORAL HOSPITAL OF JACKSON</x:v>
      </x:c>
      <x:c r="C5244" s="2" t="str">
        <x:v>JACKSON</x:v>
      </x:c>
      <x:c r="D5244" s="2" t="str">
        <x:v>MS</x:v>
      </x:c>
      <x:c r="E5244" s="2" t="str">
        <x:v>Psychiatric</x:v>
      </x:c>
      <x:c r="F5244" s="2" t="str">
        <x:v>Proprietary</x:v>
      </x:c>
      <x:c r="G5244" s="2" t="str">
        <x:v>Unknown</x:v>
      </x:c>
      <x:c r="H5244" s="7"/>
      <x:c r="I5244" s="7"/>
      <x:c r="J5244" s="7"/>
      <x:c r="K5244" s="8"/>
      <x:c r="L5244" s="8"/>
      <x:c r="M5244" s="9"/>
      <x:c r="N5244" s="10"/>
      <x:c r="O5244" s="9"/>
      <x:c r="P5244" s="9" t="n">
        <x:v>0</x:v>
      </x:c>
      <x:c r="Q5244" s="9" t="n">
        <x:v>0</x:v>
      </x:c>
      <x:c r="R5244" s="3" t="b">
        <x:v>0</x:v>
      </x:c>
      <x:c r="S5244" s="3" t="b">
        <x:v>0</x:v>
      </x:c>
      <x:c r="T5244" s="3" t="b">
        <x:v>0</x:v>
      </x:c>
      <x:c r="U5244" s="2" t="str">
        <x:f>IF(T5244=TRUE,"Priority review",IF(R5244=TRUE,"High cost",IF(S5244=TRUE,"Low quality","Benchmark")))</x:f>
        <x:v>Benchmark</x:v>
      </x:c>
    </x:row>
    <x:row r="5245">
      <x:c r="A5245" s="2" t="str">
        <x:v>284003</x:v>
      </x:c>
      <x:c r="B5245" s="2" t="str">
        <x:v>LINCOLN REGIONAL CENTER</x:v>
      </x:c>
      <x:c r="C5245" s="2" t="str">
        <x:v>LINCOLN</x:v>
      </x:c>
      <x:c r="D5245" s="2" t="str">
        <x:v>NE</x:v>
      </x:c>
      <x:c r="E5245" s="2" t="str">
        <x:v>Psychiatric</x:v>
      </x:c>
      <x:c r="F5245" s="2" t="str">
        <x:v>Government</x:v>
      </x:c>
      <x:c r="G5245" s="2" t="str">
        <x:v>Unknown</x:v>
      </x:c>
      <x:c r="H5245" s="7"/>
      <x:c r="I5245" s="7"/>
      <x:c r="J5245" s="7"/>
      <x:c r="K5245" s="8"/>
      <x:c r="L5245" s="8"/>
      <x:c r="M5245" s="9"/>
      <x:c r="N5245" s="10"/>
      <x:c r="O5245" s="9"/>
      <x:c r="P5245" s="9" t="n">
        <x:v>0</x:v>
      </x:c>
      <x:c r="Q5245" s="9" t="n">
        <x:v>0</x:v>
      </x:c>
      <x:c r="R5245" s="3" t="b">
        <x:v>0</x:v>
      </x:c>
      <x:c r="S5245" s="3" t="b">
        <x:v>0</x:v>
      </x:c>
      <x:c r="T5245" s="3" t="b">
        <x:v>0</x:v>
      </x:c>
      <x:c r="U5245" s="2" t="str">
        <x:f>IF(T5245=TRUE,"Priority review",IF(R5245=TRUE,"High cost",IF(S5245=TRUE,"Low quality","Benchmark")))</x:f>
        <x:v>Benchmark</x:v>
      </x:c>
    </x:row>
    <x:row r="5246">
      <x:c r="A5246" s="2" t="str">
        <x:v>284009</x:v>
      </x:c>
      <x:c r="B5246" s="2" t="str">
        <x:v>DOUGLAS COUNTY COMMUNITY MENTAL HEALTH CENTER</x:v>
      </x:c>
      <x:c r="C5246" s="2" t="str">
        <x:v>OMAHA</x:v>
      </x:c>
      <x:c r="D5246" s="2" t="str">
        <x:v>NE</x:v>
      </x:c>
      <x:c r="E5246" s="2" t="str">
        <x:v>Psychiatric</x:v>
      </x:c>
      <x:c r="F5246" s="2" t="str">
        <x:v>Government</x:v>
      </x:c>
      <x:c r="G5246" s="2" t="str">
        <x:v>Unknown</x:v>
      </x:c>
      <x:c r="H5246" s="7"/>
      <x:c r="I5246" s="7"/>
      <x:c r="J5246" s="7"/>
      <x:c r="K5246" s="8"/>
      <x:c r="L5246" s="8"/>
      <x:c r="M5246" s="9"/>
      <x:c r="N5246" s="10"/>
      <x:c r="O5246" s="9"/>
      <x:c r="P5246" s="9" t="n">
        <x:v>0</x:v>
      </x:c>
      <x:c r="Q5246" s="9" t="n">
        <x:v>0</x:v>
      </x:c>
      <x:c r="R5246" s="3" t="b">
        <x:v>0</x:v>
      </x:c>
      <x:c r="S5246" s="3" t="b">
        <x:v>0</x:v>
      </x:c>
      <x:c r="T5246" s="3" t="b">
        <x:v>0</x:v>
      </x:c>
      <x:c r="U5246" s="2" t="str">
        <x:f>IF(T5246=TRUE,"Priority review",IF(R5246=TRUE,"High cost",IF(S5246=TRUE,"Low quality","Benchmark")))</x:f>
        <x:v>Benchmark</x:v>
      </x:c>
    </x:row>
    <x:row r="5247">
      <x:c r="A5247" s="2" t="str">
        <x:v>324014</x:v>
      </x:c>
      <x:c r="B5247" s="2" t="str">
        <x:v>CENTRAL DESERT BEHAVIORAL HEALTH HOSPITAL</x:v>
      </x:c>
      <x:c r="C5247" s="2" t="str">
        <x:v>ALBUQUERQUE</x:v>
      </x:c>
      <x:c r="D5247" s="2" t="str">
        <x:v>NM</x:v>
      </x:c>
      <x:c r="E5247" s="2" t="str">
        <x:v>Psychiatric</x:v>
      </x:c>
      <x:c r="F5247" s="2" t="str">
        <x:v>Proprietary</x:v>
      </x:c>
      <x:c r="G5247" s="2" t="str">
        <x:v>Unknown</x:v>
      </x:c>
      <x:c r="H5247" s="7"/>
      <x:c r="I5247" s="7"/>
      <x:c r="J5247" s="7"/>
      <x:c r="K5247" s="8"/>
      <x:c r="L5247" s="8"/>
      <x:c r="M5247" s="9"/>
      <x:c r="N5247" s="10"/>
      <x:c r="O5247" s="9"/>
      <x:c r="P5247" s="9" t="n">
        <x:v>0</x:v>
      </x:c>
      <x:c r="Q5247" s="9" t="n">
        <x:v>0</x:v>
      </x:c>
      <x:c r="R5247" s="3" t="b">
        <x:v>0</x:v>
      </x:c>
      <x:c r="S5247" s="3" t="b">
        <x:v>0</x:v>
      </x:c>
      <x:c r="T5247" s="3" t="b">
        <x:v>0</x:v>
      </x:c>
      <x:c r="U5247" s="2" t="str">
        <x:f>IF(T5247=TRUE,"Priority review",IF(R5247=TRUE,"High cost",IF(S5247=TRUE,"Low quality","Benchmark")))</x:f>
        <x:v>Benchmark</x:v>
      </x:c>
    </x:row>
    <x:row r="5248">
      <x:c r="A5248" s="2" t="str">
        <x:v>334001</x:v>
      </x:c>
      <x:c r="B5248" s="2" t="str">
        <x:v>HUTCHINGS PSYCHIATRIC CTR</x:v>
      </x:c>
      <x:c r="C5248" s="2" t="str">
        <x:v>SYRACUSE</x:v>
      </x:c>
      <x:c r="D5248" s="2" t="str">
        <x:v>NY</x:v>
      </x:c>
      <x:c r="E5248" s="2" t="str">
        <x:v>Psychiatric</x:v>
      </x:c>
      <x:c r="F5248" s="2" t="str">
        <x:v>Government</x:v>
      </x:c>
      <x:c r="G5248" s="2" t="str">
        <x:v>Unknown</x:v>
      </x:c>
      <x:c r="H5248" s="7"/>
      <x:c r="I5248" s="7"/>
      <x:c r="J5248" s="7"/>
      <x:c r="K5248" s="8"/>
      <x:c r="L5248" s="8"/>
      <x:c r="M5248" s="9"/>
      <x:c r="N5248" s="10"/>
      <x:c r="O5248" s="9"/>
      <x:c r="P5248" s="9" t="n">
        <x:v>0</x:v>
      </x:c>
      <x:c r="Q5248" s="9" t="n">
        <x:v>0</x:v>
      </x:c>
      <x:c r="R5248" s="3" t="b">
        <x:v>0</x:v>
      </x:c>
      <x:c r="S5248" s="3" t="b">
        <x:v>0</x:v>
      </x:c>
      <x:c r="T5248" s="3" t="b">
        <x:v>0</x:v>
      </x:c>
      <x:c r="U5248" s="2" t="str">
        <x:f>IF(T5248=TRUE,"Priority review",IF(R5248=TRUE,"High cost",IF(S5248=TRUE,"Low quality","Benchmark")))</x:f>
        <x:v>Benchmark</x:v>
      </x:c>
    </x:row>
    <x:row r="5249">
      <x:c r="A5249" s="2" t="str">
        <x:v>334003</x:v>
      </x:c>
      <x:c r="B5249" s="2" t="str">
        <x:v>ST LAWRENCE PSYCHIATRIC CENTER</x:v>
      </x:c>
      <x:c r="C5249" s="2" t="str">
        <x:v>OGDENSBURG</x:v>
      </x:c>
      <x:c r="D5249" s="2" t="str">
        <x:v>NY</x:v>
      </x:c>
      <x:c r="E5249" s="2" t="str">
        <x:v>Psychiatric</x:v>
      </x:c>
      <x:c r="F5249" s="2" t="str">
        <x:v>Government</x:v>
      </x:c>
      <x:c r="G5249" s="2" t="str">
        <x:v>Unknown</x:v>
      </x:c>
      <x:c r="H5249" s="7"/>
      <x:c r="I5249" s="7"/>
      <x:c r="J5249" s="7"/>
      <x:c r="K5249" s="8"/>
      <x:c r="L5249" s="8"/>
      <x:c r="M5249" s="9"/>
      <x:c r="N5249" s="10"/>
      <x:c r="O5249" s="9"/>
      <x:c r="P5249" s="9" t="n">
        <x:v>0</x:v>
      </x:c>
      <x:c r="Q5249" s="9" t="n">
        <x:v>0</x:v>
      </x:c>
      <x:c r="R5249" s="3" t="b">
        <x:v>0</x:v>
      </x:c>
      <x:c r="S5249" s="3" t="b">
        <x:v>0</x:v>
      </x:c>
      <x:c r="T5249" s="3" t="b">
        <x:v>0</x:v>
      </x:c>
      <x:c r="U5249" s="2" t="str">
        <x:f>IF(T5249=TRUE,"Priority review",IF(R5249=TRUE,"High cost",IF(S5249=TRUE,"Low quality","Benchmark")))</x:f>
        <x:v>Benchmark</x:v>
      </x:c>
    </x:row>
    <x:row r="5250">
      <x:c r="A5250" s="2" t="str">
        <x:v>334004</x:v>
      </x:c>
      <x:c r="B5250" s="2" t="str">
        <x:v>CREEDMOOR PSYCHIATRIC CENTER</x:v>
      </x:c>
      <x:c r="C5250" s="2" t="str">
        <x:v>QUEENS VILLAGE</x:v>
      </x:c>
      <x:c r="D5250" s="2" t="str">
        <x:v>NY</x:v>
      </x:c>
      <x:c r="E5250" s="2" t="str">
        <x:v>Psychiatric</x:v>
      </x:c>
      <x:c r="F5250" s="2" t="str">
        <x:v>Government</x:v>
      </x:c>
      <x:c r="G5250" s="2" t="str">
        <x:v>Unknown</x:v>
      </x:c>
      <x:c r="H5250" s="7"/>
      <x:c r="I5250" s="7"/>
      <x:c r="J5250" s="7"/>
      <x:c r="K5250" s="8"/>
      <x:c r="L5250" s="8"/>
      <x:c r="M5250" s="9"/>
      <x:c r="N5250" s="10"/>
      <x:c r="O5250" s="9"/>
      <x:c r="P5250" s="9" t="n">
        <x:v>0</x:v>
      </x:c>
      <x:c r="Q5250" s="9" t="n">
        <x:v>0</x:v>
      </x:c>
      <x:c r="R5250" s="3" t="b">
        <x:v>0</x:v>
      </x:c>
      <x:c r="S5250" s="3" t="b">
        <x:v>0</x:v>
      </x:c>
      <x:c r="T5250" s="3" t="b">
        <x:v>0</x:v>
      </x:c>
      <x:c r="U5250" s="2" t="str">
        <x:f>IF(T5250=TRUE,"Priority review",IF(R5250=TRUE,"High cost",IF(S5250=TRUE,"Low quality","Benchmark")))</x:f>
        <x:v>Benchmark</x:v>
      </x:c>
    </x:row>
    <x:row r="5251">
      <x:c r="A5251" s="2" t="str">
        <x:v>334009</x:v>
      </x:c>
      <x:c r="B5251" s="2" t="str">
        <x:v>NEW YORK STATE PSYCHIATRIC INSTITUTE</x:v>
      </x:c>
      <x:c r="C5251" s="2" t="str">
        <x:v>NEW YORK</x:v>
      </x:c>
      <x:c r="D5251" s="2" t="str">
        <x:v>NY</x:v>
      </x:c>
      <x:c r="E5251" s="2" t="str">
        <x:v>Psychiatric</x:v>
      </x:c>
      <x:c r="F5251" s="2" t="str">
        <x:v>Government</x:v>
      </x:c>
      <x:c r="G5251" s="2" t="str">
        <x:v>Unknown</x:v>
      </x:c>
      <x:c r="H5251" s="7"/>
      <x:c r="I5251" s="7"/>
      <x:c r="J5251" s="7"/>
      <x:c r="K5251" s="8"/>
      <x:c r="L5251" s="8"/>
      <x:c r="M5251" s="9"/>
      <x:c r="N5251" s="10"/>
      <x:c r="O5251" s="9"/>
      <x:c r="P5251" s="9" t="n">
        <x:v>0</x:v>
      </x:c>
      <x:c r="Q5251" s="9" t="n">
        <x:v>0</x:v>
      </x:c>
      <x:c r="R5251" s="3" t="b">
        <x:v>0</x:v>
      </x:c>
      <x:c r="S5251" s="3" t="b">
        <x:v>0</x:v>
      </x:c>
      <x:c r="T5251" s="3" t="b">
        <x:v>0</x:v>
      </x:c>
      <x:c r="U5251" s="2" t="str">
        <x:f>IF(T5251=TRUE,"Priority review",IF(R5251=TRUE,"High cost",IF(S5251=TRUE,"Low quality","Benchmark")))</x:f>
        <x:v>Benchmark</x:v>
      </x:c>
    </x:row>
    <x:row r="5252">
      <x:c r="A5252" s="2" t="str">
        <x:v>334012</x:v>
      </x:c>
      <x:c r="B5252" s="2" t="str">
        <x:v>GREATER BINGHAMTON HEALTH CENTER</x:v>
      </x:c>
      <x:c r="C5252" s="2" t="str">
        <x:v>BINGHAMTON</x:v>
      </x:c>
      <x:c r="D5252" s="2" t="str">
        <x:v>NY</x:v>
      </x:c>
      <x:c r="E5252" s="2" t="str">
        <x:v>Psychiatric</x:v>
      </x:c>
      <x:c r="F5252" s="2" t="str">
        <x:v>Government</x:v>
      </x:c>
      <x:c r="G5252" s="2" t="str">
        <x:v>Unknown</x:v>
      </x:c>
      <x:c r="H5252" s="7"/>
      <x:c r="I5252" s="7"/>
      <x:c r="J5252" s="7"/>
      <x:c r="K5252" s="8"/>
      <x:c r="L5252" s="8"/>
      <x:c r="M5252" s="9"/>
      <x:c r="N5252" s="10"/>
      <x:c r="O5252" s="9"/>
      <x:c r="P5252" s="9" t="n">
        <x:v>0</x:v>
      </x:c>
      <x:c r="Q5252" s="9" t="n">
        <x:v>0</x:v>
      </x:c>
      <x:c r="R5252" s="3" t="b">
        <x:v>0</x:v>
      </x:c>
      <x:c r="S5252" s="3" t="b">
        <x:v>0</x:v>
      </x:c>
      <x:c r="T5252" s="3" t="b">
        <x:v>0</x:v>
      </x:c>
      <x:c r="U5252" s="2" t="str">
        <x:f>IF(T5252=TRUE,"Priority review",IF(R5252=TRUE,"High cost",IF(S5252=TRUE,"Low quality","Benchmark")))</x:f>
        <x:v>Benchmark</x:v>
      </x:c>
    </x:row>
    <x:row r="5253">
      <x:c r="A5253" s="2" t="str">
        <x:v>334013</x:v>
      </x:c>
      <x:c r="B5253" s="2" t="str">
        <x:v>PILGRIM PSYCHIATRIC CENTER</x:v>
      </x:c>
      <x:c r="C5253" s="2" t="str">
        <x:v>WEST BRENTWOOD</x:v>
      </x:c>
      <x:c r="D5253" s="2" t="str">
        <x:v>NY</x:v>
      </x:c>
      <x:c r="E5253" s="2" t="str">
        <x:v>Psychiatric</x:v>
      </x:c>
      <x:c r="F5253" s="2" t="str">
        <x:v>Government</x:v>
      </x:c>
      <x:c r="G5253" s="2" t="str">
        <x:v>Unknown</x:v>
      </x:c>
      <x:c r="H5253" s="7"/>
      <x:c r="I5253" s="7"/>
      <x:c r="J5253" s="7"/>
      <x:c r="K5253" s="8"/>
      <x:c r="L5253" s="8"/>
      <x:c r="M5253" s="9"/>
      <x:c r="N5253" s="10"/>
      <x:c r="O5253" s="9"/>
      <x:c r="P5253" s="9" t="n">
        <x:v>0</x:v>
      </x:c>
      <x:c r="Q5253" s="9" t="n">
        <x:v>0</x:v>
      </x:c>
      <x:c r="R5253" s="3" t="b">
        <x:v>0</x:v>
      </x:c>
      <x:c r="S5253" s="3" t="b">
        <x:v>0</x:v>
      </x:c>
      <x:c r="T5253" s="3" t="b">
        <x:v>0</x:v>
      </x:c>
      <x:c r="U5253" s="2" t="str">
        <x:f>IF(T5253=TRUE,"Priority review",IF(R5253=TRUE,"High cost",IF(S5253=TRUE,"Low quality","Benchmark")))</x:f>
        <x:v>Benchmark</x:v>
      </x:c>
    </x:row>
    <x:row r="5254">
      <x:c r="A5254" s="2" t="str">
        <x:v>334015</x:v>
      </x:c>
      <x:c r="B5254" s="2" t="str">
        <x:v>ROCKLAND PSYCH CTR</x:v>
      </x:c>
      <x:c r="C5254" s="2" t="str">
        <x:v>ORANGEBURG</x:v>
      </x:c>
      <x:c r="D5254" s="2" t="str">
        <x:v>NY</x:v>
      </x:c>
      <x:c r="E5254" s="2" t="str">
        <x:v>Psychiatric</x:v>
      </x:c>
      <x:c r="F5254" s="2" t="str">
        <x:v>Government</x:v>
      </x:c>
      <x:c r="G5254" s="2" t="str">
        <x:v>Unknown</x:v>
      </x:c>
      <x:c r="H5254" s="7"/>
      <x:c r="I5254" s="7"/>
      <x:c r="J5254" s="7"/>
      <x:c r="K5254" s="8"/>
      <x:c r="L5254" s="8"/>
      <x:c r="M5254" s="9"/>
      <x:c r="N5254" s="10"/>
      <x:c r="O5254" s="9"/>
      <x:c r="P5254" s="9" t="n">
        <x:v>0</x:v>
      </x:c>
      <x:c r="Q5254" s="9" t="n">
        <x:v>0</x:v>
      </x:c>
      <x:c r="R5254" s="3" t="b">
        <x:v>0</x:v>
      </x:c>
      <x:c r="S5254" s="3" t="b">
        <x:v>0</x:v>
      </x:c>
      <x:c r="T5254" s="3" t="b">
        <x:v>0</x:v>
      </x:c>
      <x:c r="U5254" s="2" t="str">
        <x:f>IF(T5254=TRUE,"Priority review",IF(R5254=TRUE,"High cost",IF(S5254=TRUE,"Low quality","Benchmark")))</x:f>
        <x:v>Benchmark</x:v>
      </x:c>
    </x:row>
    <x:row r="5255">
      <x:c r="A5255" s="2" t="str">
        <x:v>334020</x:v>
      </x:c>
      <x:c r="B5255" s="2" t="str">
        <x:v>ROCHESTER PSYCHIATRIC CENTER</x:v>
      </x:c>
      <x:c r="C5255" s="2" t="str">
        <x:v>ROCHESTER</x:v>
      </x:c>
      <x:c r="D5255" s="2" t="str">
        <x:v>NY</x:v>
      </x:c>
      <x:c r="E5255" s="2" t="str">
        <x:v>Psychiatric</x:v>
      </x:c>
      <x:c r="F5255" s="2" t="str">
        <x:v>Government</x:v>
      </x:c>
      <x:c r="G5255" s="2" t="str">
        <x:v>Unknown</x:v>
      </x:c>
      <x:c r="H5255" s="7"/>
      <x:c r="I5255" s="7"/>
      <x:c r="J5255" s="7"/>
      <x:c r="K5255" s="8"/>
      <x:c r="L5255" s="8"/>
      <x:c r="M5255" s="9"/>
      <x:c r="N5255" s="10"/>
      <x:c r="O5255" s="9"/>
      <x:c r="P5255" s="9" t="n">
        <x:v>0</x:v>
      </x:c>
      <x:c r="Q5255" s="9" t="n">
        <x:v>0</x:v>
      </x:c>
      <x:c r="R5255" s="3" t="b">
        <x:v>0</x:v>
      </x:c>
      <x:c r="S5255" s="3" t="b">
        <x:v>0</x:v>
      </x:c>
      <x:c r="T5255" s="3" t="b">
        <x:v>0</x:v>
      </x:c>
      <x:c r="U5255" s="2" t="str">
        <x:f>IF(T5255=TRUE,"Priority review",IF(R5255=TRUE,"High cost",IF(S5255=TRUE,"Low quality","Benchmark")))</x:f>
        <x:v>Benchmark</x:v>
      </x:c>
    </x:row>
    <x:row r="5256">
      <x:c r="A5256" s="2" t="str">
        <x:v>334021</x:v>
      </x:c>
      <x:c r="B5256" s="2" t="str">
        <x:v>MOHAWK VALLEY PSYCHIATRIC CENTER</x:v>
      </x:c>
      <x:c r="C5256" s="2" t="str">
        <x:v>UTICA</x:v>
      </x:c>
      <x:c r="D5256" s="2" t="str">
        <x:v>NY</x:v>
      </x:c>
      <x:c r="E5256" s="2" t="str">
        <x:v>Psychiatric</x:v>
      </x:c>
      <x:c r="F5256" s="2" t="str">
        <x:v>Government</x:v>
      </x:c>
      <x:c r="G5256" s="2" t="str">
        <x:v>Unknown</x:v>
      </x:c>
      <x:c r="H5256" s="7"/>
      <x:c r="I5256" s="7"/>
      <x:c r="J5256" s="7"/>
      <x:c r="K5256" s="8"/>
      <x:c r="L5256" s="8"/>
      <x:c r="M5256" s="9"/>
      <x:c r="N5256" s="10"/>
      <x:c r="O5256" s="9"/>
      <x:c r="P5256" s="9" t="n">
        <x:v>0</x:v>
      </x:c>
      <x:c r="Q5256" s="9" t="n">
        <x:v>0</x:v>
      </x:c>
      <x:c r="R5256" s="3" t="b">
        <x:v>0</x:v>
      </x:c>
      <x:c r="S5256" s="3" t="b">
        <x:v>0</x:v>
      </x:c>
      <x:c r="T5256" s="3" t="b">
        <x:v>0</x:v>
      </x:c>
      <x:c r="U5256" s="2" t="str">
        <x:f>IF(T5256=TRUE,"Priority review",IF(R5256=TRUE,"High cost",IF(S5256=TRUE,"Low quality","Benchmark")))</x:f>
        <x:v>Benchmark</x:v>
      </x:c>
    </x:row>
    <x:row r="5257">
      <x:c r="A5257" s="2" t="str">
        <x:v>334043</x:v>
      </x:c>
      <x:c r="B5257" s="2" t="str">
        <x:v>SOUTH BEACH PSYCHIATRIC CENTER</x:v>
      </x:c>
      <x:c r="C5257" s="2" t="str">
        <x:v>STATEN ISLAND</x:v>
      </x:c>
      <x:c r="D5257" s="2" t="str">
        <x:v>NY</x:v>
      </x:c>
      <x:c r="E5257" s="2" t="str">
        <x:v>Psychiatric</x:v>
      </x:c>
      <x:c r="F5257" s="2" t="str">
        <x:v>Government</x:v>
      </x:c>
      <x:c r="G5257" s="2" t="str">
        <x:v>Unknown</x:v>
      </x:c>
      <x:c r="H5257" s="7"/>
      <x:c r="I5257" s="7"/>
      <x:c r="J5257" s="7"/>
      <x:c r="K5257" s="8"/>
      <x:c r="L5257" s="8"/>
      <x:c r="M5257" s="9"/>
      <x:c r="N5257" s="10"/>
      <x:c r="O5257" s="9"/>
      <x:c r="P5257" s="9" t="n">
        <x:v>0</x:v>
      </x:c>
      <x:c r="Q5257" s="9" t="n">
        <x:v>0</x:v>
      </x:c>
      <x:c r="R5257" s="3" t="b">
        <x:v>0</x:v>
      </x:c>
      <x:c r="S5257" s="3" t="b">
        <x:v>0</x:v>
      </x:c>
      <x:c r="T5257" s="3" t="b">
        <x:v>0</x:v>
      </x:c>
      <x:c r="U5257" s="2" t="str">
        <x:f>IF(T5257=TRUE,"Priority review",IF(R5257=TRUE,"High cost",IF(S5257=TRUE,"Low quality","Benchmark")))</x:f>
        <x:v>Benchmark</x:v>
      </x:c>
    </x:row>
    <x:row r="5258">
      <x:c r="A5258" s="2" t="str">
        <x:v>334045</x:v>
      </x:c>
      <x:c r="B5258" s="2" t="str">
        <x:v>ELMIRA PSYCH CENTER</x:v>
      </x:c>
      <x:c r="C5258" s="2" t="str">
        <x:v>ELMIRA</x:v>
      </x:c>
      <x:c r="D5258" s="2" t="str">
        <x:v>NY</x:v>
      </x:c>
      <x:c r="E5258" s="2" t="str">
        <x:v>Psychiatric</x:v>
      </x:c>
      <x:c r="F5258" s="2" t="str">
        <x:v>Government</x:v>
      </x:c>
      <x:c r="G5258" s="2" t="str">
        <x:v>Unknown</x:v>
      </x:c>
      <x:c r="H5258" s="7"/>
      <x:c r="I5258" s="7"/>
      <x:c r="J5258" s="7"/>
      <x:c r="K5258" s="8"/>
      <x:c r="L5258" s="8"/>
      <x:c r="M5258" s="9"/>
      <x:c r="N5258" s="10"/>
      <x:c r="O5258" s="9"/>
      <x:c r="P5258" s="9" t="n">
        <x:v>0</x:v>
      </x:c>
      <x:c r="Q5258" s="9" t="n">
        <x:v>0</x:v>
      </x:c>
      <x:c r="R5258" s="3" t="b">
        <x:v>0</x:v>
      </x:c>
      <x:c r="S5258" s="3" t="b">
        <x:v>0</x:v>
      </x:c>
      <x:c r="T5258" s="3" t="b">
        <x:v>0</x:v>
      </x:c>
      <x:c r="U5258" s="2" t="str">
        <x:f>IF(T5258=TRUE,"Priority review",IF(R5258=TRUE,"High cost",IF(S5258=TRUE,"Low quality","Benchmark")))</x:f>
        <x:v>Benchmark</x:v>
      </x:c>
    </x:row>
    <x:row r="5259">
      <x:c r="A5259" s="2" t="str">
        <x:v>334046</x:v>
      </x:c>
      <x:c r="B5259" s="2" t="str">
        <x:v>CAPITAL DISTRICT PSYCH CENTER</x:v>
      </x:c>
      <x:c r="C5259" s="2" t="str">
        <x:v>ALBANY</x:v>
      </x:c>
      <x:c r="D5259" s="2" t="str">
        <x:v>NY</x:v>
      </x:c>
      <x:c r="E5259" s="2" t="str">
        <x:v>Psychiatric</x:v>
      </x:c>
      <x:c r="F5259" s="2" t="str">
        <x:v>Government</x:v>
      </x:c>
      <x:c r="G5259" s="2" t="str">
        <x:v>Unknown</x:v>
      </x:c>
      <x:c r="H5259" s="7"/>
      <x:c r="I5259" s="7"/>
      <x:c r="J5259" s="7"/>
      <x:c r="K5259" s="8"/>
      <x:c r="L5259" s="8"/>
      <x:c r="M5259" s="9"/>
      <x:c r="N5259" s="10"/>
      <x:c r="O5259" s="9"/>
      <x:c r="P5259" s="9" t="n">
        <x:v>0</x:v>
      </x:c>
      <x:c r="Q5259" s="9" t="n">
        <x:v>0</x:v>
      </x:c>
      <x:c r="R5259" s="3" t="b">
        <x:v>0</x:v>
      </x:c>
      <x:c r="S5259" s="3" t="b">
        <x:v>0</x:v>
      </x:c>
      <x:c r="T5259" s="3" t="b">
        <x:v>0</x:v>
      </x:c>
      <x:c r="U5259" s="2" t="str">
        <x:f>IF(T5259=TRUE,"Priority review",IF(R5259=TRUE,"High cost",IF(S5259=TRUE,"Low quality","Benchmark")))</x:f>
        <x:v>Benchmark</x:v>
      </x:c>
    </x:row>
    <x:row r="5260">
      <x:c r="A5260" s="2" t="str">
        <x:v>334052</x:v>
      </x:c>
      <x:c r="B5260" s="2" t="str">
        <x:v>BUFFALO PSYCHIATRIC CENTER</x:v>
      </x:c>
      <x:c r="C5260" s="2" t="str">
        <x:v>BUFFALO</x:v>
      </x:c>
      <x:c r="D5260" s="2" t="str">
        <x:v>NY</x:v>
      </x:c>
      <x:c r="E5260" s="2" t="str">
        <x:v>Psychiatric</x:v>
      </x:c>
      <x:c r="F5260" s="2" t="str">
        <x:v>Government</x:v>
      </x:c>
      <x:c r="G5260" s="2" t="str">
        <x:v>Unknown</x:v>
      </x:c>
      <x:c r="H5260" s="7"/>
      <x:c r="I5260" s="7"/>
      <x:c r="J5260" s="7"/>
      <x:c r="K5260" s="8"/>
      <x:c r="L5260" s="8"/>
      <x:c r="M5260" s="9"/>
      <x:c r="N5260" s="10"/>
      <x:c r="O5260" s="9"/>
      <x:c r="P5260" s="9" t="n">
        <x:v>0</x:v>
      </x:c>
      <x:c r="Q5260" s="9" t="n">
        <x:v>0</x:v>
      </x:c>
      <x:c r="R5260" s="3" t="b">
        <x:v>0</x:v>
      </x:c>
      <x:c r="S5260" s="3" t="b">
        <x:v>0</x:v>
      </x:c>
      <x:c r="T5260" s="3" t="b">
        <x:v>0</x:v>
      </x:c>
      <x:c r="U5260" s="2" t="str">
        <x:f>IF(T5260=TRUE,"Priority review",IF(R5260=TRUE,"High cost",IF(S5260=TRUE,"Low quality","Benchmark")))</x:f>
        <x:v>Benchmark</x:v>
      </x:c>
    </x:row>
    <x:row r="5261">
      <x:c r="A5261" s="2" t="str">
        <x:v>334053</x:v>
      </x:c>
      <x:c r="B5261" s="2" t="str">
        <x:v>BRONX PSYCHIATRIC CENTER</x:v>
      </x:c>
      <x:c r="C5261" s="2" t="str">
        <x:v>BRONX</x:v>
      </x:c>
      <x:c r="D5261" s="2" t="str">
        <x:v>NY</x:v>
      </x:c>
      <x:c r="E5261" s="2" t="str">
        <x:v>Psychiatric</x:v>
      </x:c>
      <x:c r="F5261" s="2" t="str">
        <x:v>Government</x:v>
      </x:c>
      <x:c r="G5261" s="2" t="str">
        <x:v>Unknown</x:v>
      </x:c>
      <x:c r="H5261" s="7"/>
      <x:c r="I5261" s="7"/>
      <x:c r="J5261" s="7"/>
      <x:c r="K5261" s="8"/>
      <x:c r="L5261" s="8"/>
      <x:c r="M5261" s="9"/>
      <x:c r="N5261" s="10"/>
      <x:c r="O5261" s="9"/>
      <x:c r="P5261" s="9" t="n">
        <x:v>0</x:v>
      </x:c>
      <x:c r="Q5261" s="9" t="n">
        <x:v>0</x:v>
      </x:c>
      <x:c r="R5261" s="3" t="b">
        <x:v>0</x:v>
      </x:c>
      <x:c r="S5261" s="3" t="b">
        <x:v>0</x:v>
      </x:c>
      <x:c r="T5261" s="3" t="b">
        <x:v>0</x:v>
      </x:c>
      <x:c r="U5261" s="2" t="str">
        <x:f>IF(T5261=TRUE,"Priority review",IF(R5261=TRUE,"High cost",IF(S5261=TRUE,"Low quality","Benchmark")))</x:f>
        <x:v>Benchmark</x:v>
      </x:c>
    </x:row>
    <x:row r="5262">
      <x:c r="A5262" s="2" t="str">
        <x:v>334054</x:v>
      </x:c>
      <x:c r="B5262" s="2" t="str">
        <x:v>MANHATTAN PSYCHIATRIC CENTER</x:v>
      </x:c>
      <x:c r="C5262" s="2" t="str">
        <x:v>NEW YORK</x:v>
      </x:c>
      <x:c r="D5262" s="2" t="str">
        <x:v>NY</x:v>
      </x:c>
      <x:c r="E5262" s="2" t="str">
        <x:v>Psychiatric</x:v>
      </x:c>
      <x:c r="F5262" s="2" t="str">
        <x:v>Government</x:v>
      </x:c>
      <x:c r="G5262" s="2" t="str">
        <x:v>Unknown</x:v>
      </x:c>
      <x:c r="H5262" s="7"/>
      <x:c r="I5262" s="7"/>
      <x:c r="J5262" s="7"/>
      <x:c r="K5262" s="8"/>
      <x:c r="L5262" s="8"/>
      <x:c r="M5262" s="9"/>
      <x:c r="N5262" s="10"/>
      <x:c r="O5262" s="9"/>
      <x:c r="P5262" s="9" t="n">
        <x:v>0</x:v>
      </x:c>
      <x:c r="Q5262" s="9" t="n">
        <x:v>0</x:v>
      </x:c>
      <x:c r="R5262" s="3" t="b">
        <x:v>0</x:v>
      </x:c>
      <x:c r="S5262" s="3" t="b">
        <x:v>0</x:v>
      </x:c>
      <x:c r="T5262" s="3" t="b">
        <x:v>0</x:v>
      </x:c>
      <x:c r="U5262" s="2" t="str">
        <x:f>IF(T5262=TRUE,"Priority review",IF(R5262=TRUE,"High cost",IF(S5262=TRUE,"Low quality","Benchmark")))</x:f>
        <x:v>Benchmark</x:v>
      </x:c>
    </x:row>
    <x:row r="5263">
      <x:c r="A5263" s="2" t="str">
        <x:v>334060</x:v>
      </x:c>
      <x:c r="B5263" s="2" t="str">
        <x:v>KIRBY FORENSIC PSYCHIATRIC CENTER</x:v>
      </x:c>
      <x:c r="C5263" s="2" t="str">
        <x:v>NEW YORK</x:v>
      </x:c>
      <x:c r="D5263" s="2" t="str">
        <x:v>NY</x:v>
      </x:c>
      <x:c r="E5263" s="2" t="str">
        <x:v>Psychiatric</x:v>
      </x:c>
      <x:c r="F5263" s="2" t="str">
        <x:v>Government</x:v>
      </x:c>
      <x:c r="G5263" s="2" t="str">
        <x:v>Unknown</x:v>
      </x:c>
      <x:c r="H5263" s="7"/>
      <x:c r="I5263" s="7"/>
      <x:c r="J5263" s="7"/>
      <x:c r="K5263" s="8"/>
      <x:c r="L5263" s="8"/>
      <x:c r="M5263" s="9"/>
      <x:c r="N5263" s="10"/>
      <x:c r="O5263" s="9"/>
      <x:c r="P5263" s="9" t="n">
        <x:v>0</x:v>
      </x:c>
      <x:c r="Q5263" s="9" t="n">
        <x:v>0</x:v>
      </x:c>
      <x:c r="R5263" s="3" t="b">
        <x:v>0</x:v>
      </x:c>
      <x:c r="S5263" s="3" t="b">
        <x:v>0</x:v>
      </x:c>
      <x:c r="T5263" s="3" t="b">
        <x:v>0</x:v>
      </x:c>
      <x:c r="U5263" s="2" t="str">
        <x:f>IF(T5263=TRUE,"Priority review",IF(R5263=TRUE,"High cost",IF(S5263=TRUE,"Low quality","Benchmark")))</x:f>
        <x:v>Benchmark</x:v>
      </x:c>
    </x:row>
    <x:row r="5264">
      <x:c r="A5264" s="2" t="str">
        <x:v>334061</x:v>
      </x:c>
      <x:c r="B5264" s="2" t="str">
        <x:v>MID HUDSON FORENSIC PSYCHIATRIC CTR</x:v>
      </x:c>
      <x:c r="C5264" s="2" t="str">
        <x:v>NEW HAMPTON</x:v>
      </x:c>
      <x:c r="D5264" s="2" t="str">
        <x:v>NY</x:v>
      </x:c>
      <x:c r="E5264" s="2" t="str">
        <x:v>Psychiatric</x:v>
      </x:c>
      <x:c r="F5264" s="2" t="str">
        <x:v>Government</x:v>
      </x:c>
      <x:c r="G5264" s="2" t="str">
        <x:v>Unknown</x:v>
      </x:c>
      <x:c r="H5264" s="7"/>
      <x:c r="I5264" s="7"/>
      <x:c r="J5264" s="7"/>
      <x:c r="K5264" s="8"/>
      <x:c r="L5264" s="8"/>
      <x:c r="M5264" s="9"/>
      <x:c r="N5264" s="10"/>
      <x:c r="O5264" s="9"/>
      <x:c r="P5264" s="9" t="n">
        <x:v>0</x:v>
      </x:c>
      <x:c r="Q5264" s="9" t="n">
        <x:v>0</x:v>
      </x:c>
      <x:c r="R5264" s="3" t="b">
        <x:v>0</x:v>
      </x:c>
      <x:c r="S5264" s="3" t="b">
        <x:v>0</x:v>
      </x:c>
      <x:c r="T5264" s="3" t="b">
        <x:v>0</x:v>
      </x:c>
      <x:c r="U5264" s="2" t="str">
        <x:f>IF(T5264=TRUE,"Priority review",IF(R5264=TRUE,"High cost",IF(S5264=TRUE,"Low quality","Benchmark")))</x:f>
        <x:v>Benchmark</x:v>
      </x:c>
    </x:row>
    <x:row r="5265">
      <x:c r="A5265" s="2" t="str">
        <x:v>334063</x:v>
      </x:c>
      <x:c r="B5265" s="2" t="str">
        <x:v>KINGSBORO PSYCHIATRIC HOSPITAL</x:v>
      </x:c>
      <x:c r="C5265" s="2" t="str">
        <x:v>BROOKLYN</x:v>
      </x:c>
      <x:c r="D5265" s="2" t="str">
        <x:v>NY</x:v>
      </x:c>
      <x:c r="E5265" s="2" t="str">
        <x:v>Psychiatric</x:v>
      </x:c>
      <x:c r="F5265" s="2" t="str">
        <x:v>Government</x:v>
      </x:c>
      <x:c r="G5265" s="2" t="str">
        <x:v>Unknown</x:v>
      </x:c>
      <x:c r="H5265" s="7"/>
      <x:c r="I5265" s="7"/>
      <x:c r="J5265" s="7"/>
      <x:c r="K5265" s="8"/>
      <x:c r="L5265" s="8"/>
      <x:c r="M5265" s="9"/>
      <x:c r="N5265" s="10"/>
      <x:c r="O5265" s="9"/>
      <x:c r="P5265" s="9" t="n">
        <x:v>0</x:v>
      </x:c>
      <x:c r="Q5265" s="9" t="n">
        <x:v>0</x:v>
      </x:c>
      <x:c r="R5265" s="3" t="b">
        <x:v>0</x:v>
      </x:c>
      <x:c r="S5265" s="3" t="b">
        <x:v>0</x:v>
      </x:c>
      <x:c r="T5265" s="3" t="b">
        <x:v>0</x:v>
      </x:c>
      <x:c r="U5265" s="2" t="str">
        <x:f>IF(T5265=TRUE,"Priority review",IF(R5265=TRUE,"High cost",IF(S5265=TRUE,"Low quality","Benchmark")))</x:f>
        <x:v>Benchmark</x:v>
      </x:c>
    </x:row>
    <x:row r="5266">
      <x:c r="A5266" s="2" t="str">
        <x:v>334068</x:v>
      </x:c>
      <x:c r="B5266" s="2" t="str">
        <x:v>CLAXTON-HEPBURN MEDICAL CENTER</x:v>
      </x:c>
      <x:c r="C5266" s="2" t="str">
        <x:v>OGDENSBURG</x:v>
      </x:c>
      <x:c r="D5266" s="2" t="str">
        <x:v>NY</x:v>
      </x:c>
      <x:c r="E5266" s="2" t="str">
        <x:v>Psychiatric</x:v>
      </x:c>
      <x:c r="F5266" s="2" t="str">
        <x:v>Voluntary non-profit</x:v>
      </x:c>
      <x:c r="G5266" s="2" t="str">
        <x:v>Unknown</x:v>
      </x:c>
      <x:c r="H5266" s="7"/>
      <x:c r="I5266" s="7"/>
      <x:c r="J5266" s="7"/>
      <x:c r="K5266" s="8"/>
      <x:c r="L5266" s="8"/>
      <x:c r="M5266" s="9"/>
      <x:c r="N5266" s="10"/>
      <x:c r="O5266" s="9"/>
      <x:c r="P5266" s="9" t="n">
        <x:v>0</x:v>
      </x:c>
      <x:c r="Q5266" s="9" t="n">
        <x:v>0</x:v>
      </x:c>
      <x:c r="R5266" s="3" t="b">
        <x:v>0</x:v>
      </x:c>
      <x:c r="S5266" s="3" t="b">
        <x:v>0</x:v>
      </x:c>
      <x:c r="T5266" s="3" t="b">
        <x:v>0</x:v>
      </x:c>
      <x:c r="U5266" s="2" t="str">
        <x:f>IF(T5266=TRUE,"Priority review",IF(R5266=TRUE,"High cost",IF(S5266=TRUE,"Low quality","Benchmark")))</x:f>
        <x:v>Benchmark</x:v>
      </x:c>
    </x:row>
    <x:row r="5267">
      <x:c r="A5267" s="2" t="str">
        <x:v>394063</x:v>
      </x:c>
      <x:c r="B5267" s="2" t="str">
        <x:v>GEISINGER BEHAVIORAL HEALTH CENTER DANVILLE</x:v>
      </x:c>
      <x:c r="C5267" s="2" t="str">
        <x:v>DANVILLE</x:v>
      </x:c>
      <x:c r="D5267" s="2" t="str">
        <x:v>PA</x:v>
      </x:c>
      <x:c r="E5267" s="2" t="str">
        <x:v>Psychiatric</x:v>
      </x:c>
      <x:c r="F5267" s="2" t="str">
        <x:v>Proprietary</x:v>
      </x:c>
      <x:c r="G5267" s="2" t="str">
        <x:v>Unknown</x:v>
      </x:c>
      <x:c r="H5267" s="7"/>
      <x:c r="I5267" s="7"/>
      <x:c r="J5267" s="7"/>
      <x:c r="K5267" s="8"/>
      <x:c r="L5267" s="8"/>
      <x:c r="M5267" s="9"/>
      <x:c r="N5267" s="10"/>
      <x:c r="O5267" s="9"/>
      <x:c r="P5267" s="9" t="n">
        <x:v>0</x:v>
      </x:c>
      <x:c r="Q5267" s="9" t="n">
        <x:v>0</x:v>
      </x:c>
      <x:c r="R5267" s="3" t="b">
        <x:v>0</x:v>
      </x:c>
      <x:c r="S5267" s="3" t="b">
        <x:v>0</x:v>
      </x:c>
      <x:c r="T5267" s="3" t="b">
        <x:v>0</x:v>
      </x:c>
      <x:c r="U5267" s="2" t="str">
        <x:f>IF(T5267=TRUE,"Priority review",IF(R5267=TRUE,"High cost",IF(S5267=TRUE,"Low quality","Benchmark")))</x:f>
        <x:v>Benchmark</x:v>
      </x:c>
    </x:row>
    <x:row r="5268">
      <x:c r="A5268" s="2" t="str">
        <x:v>454000</x:v>
      </x:c>
      <x:c r="B5268" s="2" t="str">
        <x:v>BIG SPRING STATE HOSPITAL</x:v>
      </x:c>
      <x:c r="C5268" s="2" t="str">
        <x:v>BIG SPRING</x:v>
      </x:c>
      <x:c r="D5268" s="2" t="str">
        <x:v>TX</x:v>
      </x:c>
      <x:c r="E5268" s="2" t="str">
        <x:v>Psychiatric</x:v>
      </x:c>
      <x:c r="F5268" s="2" t="str">
        <x:v>Government</x:v>
      </x:c>
      <x:c r="G5268" s="2" t="str">
        <x:v>Unknown</x:v>
      </x:c>
      <x:c r="H5268" s="7"/>
      <x:c r="I5268" s="7"/>
      <x:c r="J5268" s="7"/>
      <x:c r="K5268" s="8"/>
      <x:c r="L5268" s="8"/>
      <x:c r="M5268" s="9"/>
      <x:c r="N5268" s="10"/>
      <x:c r="O5268" s="9"/>
      <x:c r="P5268" s="9" t="n">
        <x:v>0</x:v>
      </x:c>
      <x:c r="Q5268" s="9" t="n">
        <x:v>0</x:v>
      </x:c>
      <x:c r="R5268" s="3" t="b">
        <x:v>0</x:v>
      </x:c>
      <x:c r="S5268" s="3" t="b">
        <x:v>0</x:v>
      </x:c>
      <x:c r="T5268" s="3" t="b">
        <x:v>0</x:v>
      </x:c>
      <x:c r="U5268" s="2" t="str">
        <x:f>IF(T5268=TRUE,"Priority review",IF(R5268=TRUE,"High cost",IF(S5268=TRUE,"Low quality","Benchmark")))</x:f>
        <x:v>Benchmark</x:v>
      </x:c>
    </x:row>
    <x:row r="5269">
      <x:c r="A5269" s="2" t="str">
        <x:v>454006</x:v>
      </x:c>
      <x:c r="B5269" s="2" t="str">
        <x:v>TERRELL STATE HOSPITAL</x:v>
      </x:c>
      <x:c r="C5269" s="2" t="str">
        <x:v>TERRELL</x:v>
      </x:c>
      <x:c r="D5269" s="2" t="str">
        <x:v>TX</x:v>
      </x:c>
      <x:c r="E5269" s="2" t="str">
        <x:v>Psychiatric</x:v>
      </x:c>
      <x:c r="F5269" s="2" t="str">
        <x:v>Government</x:v>
      </x:c>
      <x:c r="G5269" s="2" t="str">
        <x:v>Unknown</x:v>
      </x:c>
      <x:c r="H5269" s="7"/>
      <x:c r="I5269" s="7"/>
      <x:c r="J5269" s="7"/>
      <x:c r="K5269" s="8"/>
      <x:c r="L5269" s="8"/>
      <x:c r="M5269" s="9"/>
      <x:c r="N5269" s="10"/>
      <x:c r="O5269" s="9"/>
      <x:c r="P5269" s="9" t="n">
        <x:v>0</x:v>
      </x:c>
      <x:c r="Q5269" s="9" t="n">
        <x:v>0</x:v>
      </x:c>
      <x:c r="R5269" s="3" t="b">
        <x:v>0</x:v>
      </x:c>
      <x:c r="S5269" s="3" t="b">
        <x:v>0</x:v>
      </x:c>
      <x:c r="T5269" s="3" t="b">
        <x:v>0</x:v>
      </x:c>
      <x:c r="U5269" s="2" t="str">
        <x:f>IF(T5269=TRUE,"Priority review",IF(R5269=TRUE,"High cost",IF(S5269=TRUE,"Low quality","Benchmark")))</x:f>
        <x:v>Benchmark</x:v>
      </x:c>
    </x:row>
    <x:row r="5270">
      <x:c r="A5270" s="2" t="str">
        <x:v>454008</x:v>
      </x:c>
      <x:c r="B5270" s="2" t="str">
        <x:v>NORTH TEXAS STATE HOSPITAL</x:v>
      </x:c>
      <x:c r="C5270" s="2" t="str">
        <x:v>WICHITA FALLS</x:v>
      </x:c>
      <x:c r="D5270" s="2" t="str">
        <x:v>TX</x:v>
      </x:c>
      <x:c r="E5270" s="2" t="str">
        <x:v>Psychiatric</x:v>
      </x:c>
      <x:c r="F5270" s="2" t="str">
        <x:v>Government</x:v>
      </x:c>
      <x:c r="G5270" s="2" t="str">
        <x:v>Unknown</x:v>
      </x:c>
      <x:c r="H5270" s="7"/>
      <x:c r="I5270" s="7"/>
      <x:c r="J5270" s="7"/>
      <x:c r="K5270" s="8"/>
      <x:c r="L5270" s="8"/>
      <x:c r="M5270" s="9"/>
      <x:c r="N5270" s="10"/>
      <x:c r="O5270" s="9"/>
      <x:c r="P5270" s="9" t="n">
        <x:v>0</x:v>
      </x:c>
      <x:c r="Q5270" s="9" t="n">
        <x:v>0</x:v>
      </x:c>
      <x:c r="R5270" s="3" t="b">
        <x:v>0</x:v>
      </x:c>
      <x:c r="S5270" s="3" t="b">
        <x:v>0</x:v>
      </x:c>
      <x:c r="T5270" s="3" t="b">
        <x:v>0</x:v>
      </x:c>
      <x:c r="U5270" s="2" t="str">
        <x:f>IF(T5270=TRUE,"Priority review",IF(R5270=TRUE,"High cost",IF(S5270=TRUE,"Low quality","Benchmark")))</x:f>
        <x:v>Benchmark</x:v>
      </x:c>
    </x:row>
    <x:row r="5271">
      <x:c r="A5271" s="2" t="str">
        <x:v>454009</x:v>
      </x:c>
      <x:c r="B5271" s="2" t="str">
        <x:v>RUSK STATE HOSP</x:v>
      </x:c>
      <x:c r="C5271" s="2" t="str">
        <x:v>RUSK</x:v>
      </x:c>
      <x:c r="D5271" s="2" t="str">
        <x:v>TX</x:v>
      </x:c>
      <x:c r="E5271" s="2" t="str">
        <x:v>Psychiatric</x:v>
      </x:c>
      <x:c r="F5271" s="2" t="str">
        <x:v>Government</x:v>
      </x:c>
      <x:c r="G5271" s="2" t="str">
        <x:v>Unknown</x:v>
      </x:c>
      <x:c r="H5271" s="7"/>
      <x:c r="I5271" s="7"/>
      <x:c r="J5271" s="7"/>
      <x:c r="K5271" s="8"/>
      <x:c r="L5271" s="8"/>
      <x:c r="M5271" s="9"/>
      <x:c r="N5271" s="10"/>
      <x:c r="O5271" s="9"/>
      <x:c r="P5271" s="9" t="n">
        <x:v>0</x:v>
      </x:c>
      <x:c r="Q5271" s="9" t="n">
        <x:v>0</x:v>
      </x:c>
      <x:c r="R5271" s="3" t="b">
        <x:v>0</x:v>
      </x:c>
      <x:c r="S5271" s="3" t="b">
        <x:v>0</x:v>
      </x:c>
      <x:c r="T5271" s="3" t="b">
        <x:v>0</x:v>
      </x:c>
      <x:c r="U5271" s="2" t="str">
        <x:f>IF(T5271=TRUE,"Priority review",IF(R5271=TRUE,"High cost",IF(S5271=TRUE,"Low quality","Benchmark")))</x:f>
        <x:v>Benchmark</x:v>
      </x:c>
    </x:row>
    <x:row r="5272">
      <x:c r="A5272" s="2" t="str">
        <x:v>454011</x:v>
      </x:c>
      <x:c r="B5272" s="2" t="str">
        <x:v>SAN ANTONIO STATE HOSP  STATE SCHOOL</x:v>
      </x:c>
      <x:c r="C5272" s="2" t="str">
        <x:v>SAN ANTONIO</x:v>
      </x:c>
      <x:c r="D5272" s="2" t="str">
        <x:v>TX</x:v>
      </x:c>
      <x:c r="E5272" s="2" t="str">
        <x:v>Psychiatric</x:v>
      </x:c>
      <x:c r="F5272" s="2" t="str">
        <x:v>Government</x:v>
      </x:c>
      <x:c r="G5272" s="2" t="str">
        <x:v>Unknown</x:v>
      </x:c>
      <x:c r="H5272" s="7"/>
      <x:c r="I5272" s="7"/>
      <x:c r="J5272" s="7"/>
      <x:c r="K5272" s="8"/>
      <x:c r="L5272" s="8"/>
      <x:c r="M5272" s="9"/>
      <x:c r="N5272" s="10"/>
      <x:c r="O5272" s="9"/>
      <x:c r="P5272" s="9" t="n">
        <x:v>0</x:v>
      </x:c>
      <x:c r="Q5272" s="9" t="n">
        <x:v>0</x:v>
      </x:c>
      <x:c r="R5272" s="3" t="b">
        <x:v>0</x:v>
      </x:c>
      <x:c r="S5272" s="3" t="b">
        <x:v>0</x:v>
      </x:c>
      <x:c r="T5272" s="3" t="b">
        <x:v>0</x:v>
      </x:c>
      <x:c r="U5272" s="2" t="str">
        <x:f>IF(T5272=TRUE,"Priority review",IF(R5272=TRUE,"High cost",IF(S5272=TRUE,"Low quality","Benchmark")))</x:f>
        <x:v>Benchmark</x:v>
      </x:c>
    </x:row>
    <x:row r="5273">
      <x:c r="A5273" s="2" t="str">
        <x:v>454076</x:v>
      </x:c>
      <x:c r="B5273" s="2" t="str">
        <x:v>HARRIS COUNTY PSYCHIATRIC CENTER</x:v>
      </x:c>
      <x:c r="C5273" s="2" t="str">
        <x:v>HOUSTON</x:v>
      </x:c>
      <x:c r="D5273" s="2" t="str">
        <x:v>TX</x:v>
      </x:c>
      <x:c r="E5273" s="2" t="str">
        <x:v>Psychiatric</x:v>
      </x:c>
      <x:c r="F5273" s="2" t="str">
        <x:v>Government</x:v>
      </x:c>
      <x:c r="G5273" s="2" t="str">
        <x:v>Unknown</x:v>
      </x:c>
      <x:c r="H5273" s="7"/>
      <x:c r="I5273" s="7"/>
      <x:c r="J5273" s="7"/>
      <x:c r="K5273" s="8"/>
      <x:c r="L5273" s="8"/>
      <x:c r="M5273" s="9"/>
      <x:c r="N5273" s="10"/>
      <x:c r="O5273" s="9"/>
      <x:c r="P5273" s="9" t="n">
        <x:v>0</x:v>
      </x:c>
      <x:c r="Q5273" s="9" t="n">
        <x:v>0</x:v>
      </x:c>
      <x:c r="R5273" s="3" t="b">
        <x:v>0</x:v>
      </x:c>
      <x:c r="S5273" s="3" t="b">
        <x:v>0</x:v>
      </x:c>
      <x:c r="T5273" s="3" t="b">
        <x:v>0</x:v>
      </x:c>
      <x:c r="U5273" s="2" t="str">
        <x:f>IF(T5273=TRUE,"Priority review",IF(R5273=TRUE,"High cost",IF(S5273=TRUE,"Low quality","Benchmark")))</x:f>
        <x:v>Benchmark</x:v>
      </x:c>
    </x:row>
    <x:row r="5274">
      <x:c r="A5274" s="2" t="str">
        <x:v>454079</x:v>
      </x:c>
      <x:c r="B5274" s="2" t="str">
        <x:v>MEDICAL CITY MENTAL HEALTH AND WELLNESS CENTER</x:v>
      </x:c>
      <x:c r="C5274" s="2" t="str">
        <x:v>FORT WORTH</x:v>
      </x:c>
      <x:c r="D5274" s="2" t="str">
        <x:v>TX</x:v>
      </x:c>
      <x:c r="E5274" s="2" t="str">
        <x:v>Psychiatric</x:v>
      </x:c>
      <x:c r="F5274" s="2" t="str">
        <x:v>Proprietary</x:v>
      </x:c>
      <x:c r="G5274" s="2" t="str">
        <x:v>Unknown</x:v>
      </x:c>
      <x:c r="H5274" s="7"/>
      <x:c r="I5274" s="7"/>
      <x:c r="J5274" s="7"/>
      <x:c r="K5274" s="8"/>
      <x:c r="L5274" s="8"/>
      <x:c r="M5274" s="9"/>
      <x:c r="N5274" s="10"/>
      <x:c r="O5274" s="9"/>
      <x:c r="P5274" s="9" t="n">
        <x:v>0</x:v>
      </x:c>
      <x:c r="Q5274" s="9" t="n">
        <x:v>0</x:v>
      </x:c>
      <x:c r="R5274" s="3" t="b">
        <x:v>0</x:v>
      </x:c>
      <x:c r="S5274" s="3" t="b">
        <x:v>0</x:v>
      </x:c>
      <x:c r="T5274" s="3" t="b">
        <x:v>0</x:v>
      </x:c>
      <x:c r="U5274" s="2" t="str">
        <x:f>IF(T5274=TRUE,"Priority review",IF(R5274=TRUE,"High cost",IF(S5274=TRUE,"Low quality","Benchmark")))</x:f>
        <x:v>Benchmark</x:v>
      </x:c>
    </x:row>
    <x:row r="5275">
      <x:c r="A5275" s="2" t="str">
        <x:v>454084</x:v>
      </x:c>
      <x:c r="B5275" s="2" t="str">
        <x:v>AUSTIN STATE HOSPITAL</x:v>
      </x:c>
      <x:c r="C5275" s="2" t="str">
        <x:v>AUSTIN</x:v>
      </x:c>
      <x:c r="D5275" s="2" t="str">
        <x:v>TX</x:v>
      </x:c>
      <x:c r="E5275" s="2" t="str">
        <x:v>Psychiatric</x:v>
      </x:c>
      <x:c r="F5275" s="2" t="str">
        <x:v>Government</x:v>
      </x:c>
      <x:c r="G5275" s="2" t="str">
        <x:v>Unknown</x:v>
      </x:c>
      <x:c r="H5275" s="7"/>
      <x:c r="I5275" s="7"/>
      <x:c r="J5275" s="7"/>
      <x:c r="K5275" s="8"/>
      <x:c r="L5275" s="8"/>
      <x:c r="M5275" s="9"/>
      <x:c r="N5275" s="10"/>
      <x:c r="O5275" s="9"/>
      <x:c r="P5275" s="9" t="n">
        <x:v>0</x:v>
      </x:c>
      <x:c r="Q5275" s="9" t="n">
        <x:v>0</x:v>
      </x:c>
      <x:c r="R5275" s="3" t="b">
        <x:v>0</x:v>
      </x:c>
      <x:c r="S5275" s="3" t="b">
        <x:v>0</x:v>
      </x:c>
      <x:c r="T5275" s="3" t="b">
        <x:v>0</x:v>
      </x:c>
      <x:c r="U5275" s="2" t="str">
        <x:f>IF(T5275=TRUE,"Priority review",IF(R5275=TRUE,"High cost",IF(S5275=TRUE,"Low quality","Benchmark")))</x:f>
        <x:v>Benchmark</x:v>
      </x:c>
    </x:row>
    <x:row r="5276">
      <x:c r="A5276" s="2" t="str">
        <x:v>454088</x:v>
      </x:c>
      <x:c r="B5276" s="2" t="str">
        <x:v>RIO GRANDE STATE CENTER</x:v>
      </x:c>
      <x:c r="C5276" s="2" t="str">
        <x:v>HARLINGEN</x:v>
      </x:c>
      <x:c r="D5276" s="2" t="str">
        <x:v>TX</x:v>
      </x:c>
      <x:c r="E5276" s="2" t="str">
        <x:v>Psychiatric</x:v>
      </x:c>
      <x:c r="F5276" s="2" t="str">
        <x:v>Government</x:v>
      </x:c>
      <x:c r="G5276" s="2" t="str">
        <x:v>Unknown</x:v>
      </x:c>
      <x:c r="H5276" s="7"/>
      <x:c r="I5276" s="7"/>
      <x:c r="J5276" s="7"/>
      <x:c r="K5276" s="8"/>
      <x:c r="L5276" s="8"/>
      <x:c r="M5276" s="9"/>
      <x:c r="N5276" s="10"/>
      <x:c r="O5276" s="9"/>
      <x:c r="P5276" s="9" t="n">
        <x:v>0</x:v>
      </x:c>
      <x:c r="Q5276" s="9" t="n">
        <x:v>0</x:v>
      </x:c>
      <x:c r="R5276" s="3" t="b">
        <x:v>0</x:v>
      </x:c>
      <x:c r="S5276" s="3" t="b">
        <x:v>0</x:v>
      </x:c>
      <x:c r="T5276" s="3" t="b">
        <x:v>0</x:v>
      </x:c>
      <x:c r="U5276" s="2" t="str">
        <x:f>IF(T5276=TRUE,"Priority review",IF(R5276=TRUE,"High cost",IF(S5276=TRUE,"Low quality","Benchmark")))</x:f>
        <x:v>Benchmark</x:v>
      </x:c>
    </x:row>
    <x:row r="5277">
      <x:c r="A5277" s="2" t="str">
        <x:v>454093</x:v>
      </x:c>
      <x:c r="B5277" s="2" t="str">
        <x:v>STARCARE SPECIALTY HEALTH /SUNRISE CANYON HOSPITAL</x:v>
      </x:c>
      <x:c r="C5277" s="2" t="str">
        <x:v>LUBBOCK</x:v>
      </x:c>
      <x:c r="D5277" s="2" t="str">
        <x:v>TX</x:v>
      </x:c>
      <x:c r="E5277" s="2" t="str">
        <x:v>Psychiatric</x:v>
      </x:c>
      <x:c r="F5277" s="2" t="str">
        <x:v>Voluntary non-profit</x:v>
      </x:c>
      <x:c r="G5277" s="2" t="str">
        <x:v>Unknown</x:v>
      </x:c>
      <x:c r="H5277" s="7"/>
      <x:c r="I5277" s="7"/>
      <x:c r="J5277" s="7"/>
      <x:c r="K5277" s="8"/>
      <x:c r="L5277" s="8"/>
      <x:c r="M5277" s="9"/>
      <x:c r="N5277" s="10"/>
      <x:c r="O5277" s="9"/>
      <x:c r="P5277" s="9" t="n">
        <x:v>0</x:v>
      </x:c>
      <x:c r="Q5277" s="9" t="n">
        <x:v>0</x:v>
      </x:c>
      <x:c r="R5277" s="3" t="b">
        <x:v>0</x:v>
      </x:c>
      <x:c r="S5277" s="3" t="b">
        <x:v>0</x:v>
      </x:c>
      <x:c r="T5277" s="3" t="b">
        <x:v>0</x:v>
      </x:c>
      <x:c r="U5277" s="2" t="str">
        <x:f>IF(T5277=TRUE,"Priority review",IF(R5277=TRUE,"High cost",IF(S5277=TRUE,"Low quality","Benchmark")))</x:f>
        <x:v>Benchmark</x:v>
      </x:c>
    </x:row>
    <x:row r="5278">
      <x:c r="A5278" s="2" t="str">
        <x:v>454094</x:v>
      </x:c>
      <x:c r="B5278" s="2" t="str">
        <x:v>MEDICAL CITY GREEN OAKS HOSPITAL</x:v>
      </x:c>
      <x:c r="C5278" s="2" t="str">
        <x:v>DALLAS</x:v>
      </x:c>
      <x:c r="D5278" s="2" t="str">
        <x:v>TX</x:v>
      </x:c>
      <x:c r="E5278" s="2" t="str">
        <x:v>Psychiatric</x:v>
      </x:c>
      <x:c r="F5278" s="2" t="str">
        <x:v>Voluntary non-profit</x:v>
      </x:c>
      <x:c r="G5278" s="2" t="str">
        <x:v>Unknown</x:v>
      </x:c>
      <x:c r="H5278" s="7"/>
      <x:c r="I5278" s="7"/>
      <x:c r="J5278" s="7"/>
      <x:c r="K5278" s="8"/>
      <x:c r="L5278" s="8"/>
      <x:c r="M5278" s="9"/>
      <x:c r="N5278" s="10"/>
      <x:c r="O5278" s="9"/>
      <x:c r="P5278" s="9" t="n">
        <x:v>0</x:v>
      </x:c>
      <x:c r="Q5278" s="9" t="n">
        <x:v>0</x:v>
      </x:c>
      <x:c r="R5278" s="3" t="b">
        <x:v>0</x:v>
      </x:c>
      <x:c r="S5278" s="3" t="b">
        <x:v>0</x:v>
      </x:c>
      <x:c r="T5278" s="3" t="b">
        <x:v>0</x:v>
      </x:c>
      <x:c r="U5278" s="2" t="str">
        <x:f>IF(T5278=TRUE,"Priority review",IF(R5278=TRUE,"High cost",IF(S5278=TRUE,"Low quality","Benchmark")))</x:f>
        <x:v>Benchmark</x:v>
      </x:c>
    </x:row>
    <x:row r="5279">
      <x:c r="A5279" s="2" t="str">
        <x:v>454100</x:v>
      </x:c>
      <x:c r="B5279" s="2" t="str">
        <x:v>EL PASO PSYCHIATRIC CENTER</x:v>
      </x:c>
      <x:c r="C5279" s="2" t="str">
        <x:v>EL PASO</x:v>
      </x:c>
      <x:c r="D5279" s="2" t="str">
        <x:v>TX</x:v>
      </x:c>
      <x:c r="E5279" s="2" t="str">
        <x:v>Psychiatric</x:v>
      </x:c>
      <x:c r="F5279" s="2" t="str">
        <x:v>Government</x:v>
      </x:c>
      <x:c r="G5279" s="2" t="str">
        <x:v>Unknown</x:v>
      </x:c>
      <x:c r="H5279" s="7"/>
      <x:c r="I5279" s="7"/>
      <x:c r="J5279" s="7"/>
      <x:c r="K5279" s="8"/>
      <x:c r="L5279" s="8"/>
      <x:c r="M5279" s="9"/>
      <x:c r="N5279" s="10"/>
      <x:c r="O5279" s="9"/>
      <x:c r="P5279" s="9" t="n">
        <x:v>0</x:v>
      </x:c>
      <x:c r="Q5279" s="9" t="n">
        <x:v>0</x:v>
      </x:c>
      <x:c r="R5279" s="3" t="b">
        <x:v>0</x:v>
      </x:c>
      <x:c r="S5279" s="3" t="b">
        <x:v>0</x:v>
      </x:c>
      <x:c r="T5279" s="3" t="b">
        <x:v>0</x:v>
      </x:c>
      <x:c r="U5279" s="2" t="str">
        <x:f>IF(T5279=TRUE,"Priority review",IF(R5279=TRUE,"High cost",IF(S5279=TRUE,"Low quality","Benchmark")))</x:f>
        <x:v>Benchmark</x:v>
      </x:c>
    </x:row>
    <x:row r="5280">
      <x:c r="A5280" s="2" t="str">
        <x:v>494022</x:v>
      </x:c>
      <x:c r="B5280" s="2" t="str">
        <x:v>POPLAR SPRINGS HOSPITAL</x:v>
      </x:c>
      <x:c r="C5280" s="2" t="str">
        <x:v>PETERSBURG</x:v>
      </x:c>
      <x:c r="D5280" s="2" t="str">
        <x:v>VA</x:v>
      </x:c>
      <x:c r="E5280" s="2" t="str">
        <x:v>Psychiatric</x:v>
      </x:c>
      <x:c r="F5280" s="2" t="str">
        <x:v>Proprietary</x:v>
      </x:c>
      <x:c r="G5280" s="2" t="str">
        <x:v>Unknown</x:v>
      </x:c>
      <x:c r="H5280" s="7"/>
      <x:c r="I5280" s="7"/>
      <x:c r="J5280" s="7"/>
      <x:c r="K5280" s="8"/>
      <x:c r="L5280" s="8"/>
      <x:c r="M5280" s="9"/>
      <x:c r="N5280" s="10"/>
      <x:c r="O5280" s="9"/>
      <x:c r="P5280" s="9" t="n">
        <x:v>0</x:v>
      </x:c>
      <x:c r="Q5280" s="9" t="n">
        <x:v>0</x:v>
      </x:c>
      <x:c r="R5280" s="3" t="b">
        <x:v>0</x:v>
      </x:c>
      <x:c r="S5280" s="3" t="b">
        <x:v>0</x:v>
      </x:c>
      <x:c r="T5280" s="3" t="b">
        <x:v>0</x:v>
      </x:c>
      <x:c r="U5280" s="2" t="str">
        <x:f>IF(T5280=TRUE,"Priority review",IF(R5280=TRUE,"High cost",IF(S5280=TRUE,"Low quality","Benchmark")))</x:f>
        <x:v>Benchmark</x:v>
      </x:c>
    </x:row>
    <x:row r="5281">
      <x:c r="A5281" s="2" t="str">
        <x:v>504002</x:v>
      </x:c>
      <x:c r="B5281" s="2" t="str">
        <x:v>BHC FAIRFAX HOSPITAL</x:v>
      </x:c>
      <x:c r="C5281" s="2" t="str">
        <x:v>KIRKLAND</x:v>
      </x:c>
      <x:c r="D5281" s="2" t="str">
        <x:v>WA</x:v>
      </x:c>
      <x:c r="E5281" s="2" t="str">
        <x:v>Psychiatric</x:v>
      </x:c>
      <x:c r="F5281" s="2" t="str">
        <x:v>Proprietary</x:v>
      </x:c>
      <x:c r="G5281" s="2" t="str">
        <x:v>Unknown</x:v>
      </x:c>
      <x:c r="H5281" s="7"/>
      <x:c r="I5281" s="7"/>
      <x:c r="J5281" s="7"/>
      <x:c r="K5281" s="8"/>
      <x:c r="L5281" s="8"/>
      <x:c r="M5281" s="9"/>
      <x:c r="N5281" s="10"/>
      <x:c r="O5281" s="9"/>
      <x:c r="P5281" s="9" t="n">
        <x:v>0</x:v>
      </x:c>
      <x:c r="Q5281" s="9" t="n">
        <x:v>0</x:v>
      </x:c>
      <x:c r="R5281" s="3" t="b">
        <x:v>0</x:v>
      </x:c>
      <x:c r="S5281" s="3" t="b">
        <x:v>0</x:v>
      </x:c>
      <x:c r="T5281" s="3" t="b">
        <x:v>0</x:v>
      </x:c>
      <x:c r="U5281" s="2" t="str">
        <x:f>IF(T5281=TRUE,"Priority review",IF(R5281=TRUE,"High cost",IF(S5281=TRUE,"Low quality","Benchmark")))</x:f>
        <x:v>Benchmark</x:v>
      </x:c>
    </x:row>
    <x:row r="5282">
      <x:c r="A5282" s="2" t="str">
        <x:v>524002</x:v>
      </x:c>
      <x:c r="B5282" s="2" t="str">
        <x:v>WINNEBAGO MENTAL HEALTH INSTITUTE</x:v>
      </x:c>
      <x:c r="C5282" s="2" t="str">
        <x:v>WINNEBAGO</x:v>
      </x:c>
      <x:c r="D5282" s="2" t="str">
        <x:v>WI</x:v>
      </x:c>
      <x:c r="E5282" s="2" t="str">
        <x:v>Psychiatric</x:v>
      </x:c>
      <x:c r="F5282" s="2" t="str">
        <x:v>Government</x:v>
      </x:c>
      <x:c r="G5282" s="2" t="str">
        <x:v>Unknown</x:v>
      </x:c>
      <x:c r="H5282" s="7"/>
      <x:c r="I5282" s="7"/>
      <x:c r="J5282" s="7"/>
      <x:c r="K5282" s="8"/>
      <x:c r="L5282" s="8"/>
      <x:c r="M5282" s="9"/>
      <x:c r="N5282" s="10"/>
      <x:c r="O5282" s="9"/>
      <x:c r="P5282" s="9" t="n">
        <x:v>0</x:v>
      </x:c>
      <x:c r="Q5282" s="9" t="n">
        <x:v>0</x:v>
      </x:c>
      <x:c r="R5282" s="3" t="b">
        <x:v>0</x:v>
      </x:c>
      <x:c r="S5282" s="3" t="b">
        <x:v>0</x:v>
      </x:c>
      <x:c r="T5282" s="3" t="b">
        <x:v>0</x:v>
      </x:c>
      <x:c r="U5282" s="2" t="str">
        <x:f>IF(T5282=TRUE,"Priority review",IF(R5282=TRUE,"High cost",IF(S5282=TRUE,"Low quality","Benchmark")))</x:f>
        <x:v>Benchmark</x:v>
      </x:c>
    </x:row>
    <x:row r="5283">
      <x:c r="A5283" s="2" t="str">
        <x:v>524008</x:v>
      </x:c>
      <x:c r="B5283" s="2" t="str">
        <x:v>MENDOTA MENTAL HEALTH INSTITUTE</x:v>
      </x:c>
      <x:c r="C5283" s="2" t="str">
        <x:v>MADISON</x:v>
      </x:c>
      <x:c r="D5283" s="2" t="str">
        <x:v>WI</x:v>
      </x:c>
      <x:c r="E5283" s="2" t="str">
        <x:v>Psychiatric</x:v>
      </x:c>
      <x:c r="F5283" s="2" t="str">
        <x:v>Government</x:v>
      </x:c>
      <x:c r="G5283" s="2" t="str">
        <x:v>Unknown</x:v>
      </x:c>
      <x:c r="H5283" s="7"/>
      <x:c r="I5283" s="7"/>
      <x:c r="J5283" s="7"/>
      <x:c r="K5283" s="8"/>
      <x:c r="L5283" s="8"/>
      <x:c r="M5283" s="9"/>
      <x:c r="N5283" s="10"/>
      <x:c r="O5283" s="9"/>
      <x:c r="P5283" s="9" t="n">
        <x:v>0</x:v>
      </x:c>
      <x:c r="Q5283" s="9" t="n">
        <x:v>0</x:v>
      </x:c>
      <x:c r="R5283" s="3" t="b">
        <x:v>0</x:v>
      </x:c>
      <x:c r="S5283" s="3" t="b">
        <x:v>0</x:v>
      </x:c>
      <x:c r="T5283" s="3" t="b">
        <x:v>0</x:v>
      </x:c>
      <x:c r="U5283" s="2" t="str">
        <x:f>IF(T5283=TRUE,"Priority review",IF(R5283=TRUE,"High cost",IF(S5283=TRUE,"Low quality","Benchmark")))</x:f>
        <x:v>Benchmark</x:v>
      </x:c>
    </x:row>
    <x:row r="5284">
      <x:c r="A5284" s="2" t="str">
        <x:v>400131</x:v>
      </x:c>
      <x:c r="B5284" s="2" t="str">
        <x:v>CARIBBEAN MEDICAL CENTER</x:v>
      </x:c>
      <x:c r="C5284" s="2" t="str">
        <x:v>FAJARDO</x:v>
      </x:c>
      <x:c r="D5284" s="2" t="str">
        <x:v>PR</x:v>
      </x:c>
      <x:c r="E5284" s="2" t="str">
        <x:v>Acute Care Hospitals</x:v>
      </x:c>
      <x:c r="F5284" s="2" t="str">
        <x:v>Proprietary</x:v>
      </x:c>
      <x:c r="G5284" s="2" t="str">
        <x:v>Small (&lt;100 beds)</x:v>
      </x:c>
      <x:c r="H5284" s="7"/>
      <x:c r="I5284" s="7"/>
      <x:c r="J5284" s="7"/>
      <x:c r="K5284" s="8" t="n">
        <x:v>44</x:v>
      </x:c>
      <x:c r="L5284" s="8" t="n">
        <x:v>3526</x:v>
      </x:c>
      <x:c r="M5284" s="9" t="n">
        <x:v>0.9493914555</x:v>
      </x:c>
      <x:c r="N5284" s="10" t="n">
        <x:v>7724.0876347136</x:v>
      </x:c>
      <x:c r="O5284" s="9" t="n">
        <x:v>0.1065093991</x:v>
      </x:c>
      <x:c r="P5284" s="9" t="n">
        <x:v>0</x:v>
      </x:c>
      <x:c r="Q5284" s="9" t="n">
        <x:v>0.697486535</x:v>
      </x:c>
      <x:c r="R5284" s="3" t="b">
        <x:v>0</x:v>
      </x:c>
      <x:c r="S5284" s="3" t="b">
        <x:v>0</x:v>
      </x:c>
      <x:c r="T5284" s="3" t="b">
        <x:v>0</x:v>
      </x:c>
      <x:c r="U5284" s="2" t="str">
        <x:f>IF(T5284=TRUE,"Priority review",IF(R5284=TRUE,"High cost",IF(S5284=TRUE,"Low quality","Benchmark")))</x:f>
        <x:v>Benchmark</x:v>
      </x:c>
    </x:row>
    <x:row r="5285">
      <x:c r="A5285" s="2" t="str">
        <x:v>320063</x:v>
      </x:c>
      <x:c r="B5285" s="2" t="str">
        <x:v>CARLSBAD MEDICAL CENTER</x:v>
      </x:c>
      <x:c r="C5285" s="2" t="str">
        <x:v>CARLSBAD</x:v>
      </x:c>
      <x:c r="D5285" s="2" t="str">
        <x:v>NM</x:v>
      </x:c>
      <x:c r="E5285" s="2" t="str">
        <x:v>Acute Care Hospitals</x:v>
      </x:c>
      <x:c r="F5285" s="2" t="str">
        <x:v>Voluntary non-profit</x:v>
      </x:c>
      <x:c r="G5285" s="2" t="str">
        <x:v>Unknown</x:v>
      </x:c>
      <x:c r="H5285" s="7" t="n">
        <x:v>1</x:v>
      </x:c>
      <x:c r="I5285" s="7" t="n">
        <x:v>2</x:v>
      </x:c>
      <x:c r="J5285" s="7" t="n">
        <x:v>1.08</x:v>
      </x:c>
      <x:c r="K5285" s="8"/>
      <x:c r="L5285" s="8"/>
      <x:c r="M5285" s="9"/>
      <x:c r="N5285" s="10"/>
      <x:c r="O5285" s="9"/>
      <x:c r="P5285" s="9" t="n">
        <x:v>0</x:v>
      </x:c>
      <x:c r="Q5285" s="9" t="n">
        <x:v>0</x:v>
      </x:c>
      <x:c r="R5285" s="3" t="b">
        <x:v>0</x:v>
      </x:c>
      <x:c r="S5285" s="3" t="b">
        <x:v>1</x:v>
      </x:c>
      <x:c r="T5285" s="3" t="b">
        <x:v>0</x:v>
      </x:c>
      <x:c r="U5285" s="2" t="str">
        <x:f>IF(T5285=TRUE,"Priority review",IF(R5285=TRUE,"High cost",IF(S5285=TRUE,"Low quality","Benchmark")))</x:f>
        <x:v>Low quality</x:v>
      </x:c>
    </x:row>
    <x:row r="5286">
      <x:c r="A5286" s="2" t="str">
        <x:v>100212</x:v>
      </x:c>
      <x:c r="B5286" s="2" t="str">
        <x:v>MARION COMMUNTIY HOSPITAL</x:v>
      </x:c>
      <x:c r="C5286" s="2" t="str">
        <x:v>OCALA</x:v>
      </x:c>
      <x:c r="D5286" s="2" t="str">
        <x:v>FL</x:v>
      </x:c>
      <x:c r="E5286" s="2" t="str">
        <x:v>Acute Care Hospitals</x:v>
      </x:c>
      <x:c r="F5286" s="2" t="str">
        <x:v>Proprietary</x:v>
      </x:c>
      <x:c r="G5286" s="2" t="str">
        <x:v>Unknown</x:v>
      </x:c>
      <x:c r="H5286" s="7" t="n">
        <x:v>1</x:v>
      </x:c>
      <x:c r="I5286" s="7" t="n">
        <x:v>2</x:v>
      </x:c>
      <x:c r="J5286" s="7" t="n">
        <x:v>1.03</x:v>
      </x:c>
      <x:c r="K5286" s="8"/>
      <x:c r="L5286" s="8"/>
      <x:c r="M5286" s="9"/>
      <x:c r="N5286" s="10"/>
      <x:c r="O5286" s="9"/>
      <x:c r="P5286" s="9" t="n">
        <x:v>0</x:v>
      </x:c>
      <x:c r="Q5286" s="9" t="n">
        <x:v>0</x:v>
      </x:c>
      <x:c r="R5286" s="3" t="b">
        <x:v>0</x:v>
      </x:c>
      <x:c r="S5286" s="3" t="b">
        <x:v>1</x:v>
      </x:c>
      <x:c r="T5286" s="3" t="b">
        <x:v>0</x:v>
      </x:c>
      <x:c r="U5286" s="2" t="str">
        <x:f>IF(T5286=TRUE,"Priority review",IF(R5286=TRUE,"High cost",IF(S5286=TRUE,"Low quality","Benchmark")))</x:f>
        <x:v>Low quality</x:v>
      </x:c>
    </x:row>
    <x:row r="5287">
      <x:c r="A5287" s="2" t="str">
        <x:v>050060</x:v>
      </x:c>
      <x:c r="B5287" s="2" t="str">
        <x:v>COMMUNITY REGIONAL MEDICAL CENTER</x:v>
      </x:c>
      <x:c r="C5287" s="2" t="str">
        <x:v>FRESNO</x:v>
      </x:c>
      <x:c r="D5287" s="2" t="str">
        <x:v>CA</x:v>
      </x:c>
      <x:c r="E5287" s="2" t="str">
        <x:v>Acute Care Hospitals</x:v>
      </x:c>
      <x:c r="F5287" s="2" t="str">
        <x:v>Voluntary non-profit</x:v>
      </x:c>
      <x:c r="G5287" s="2" t="str">
        <x:v>Unknown</x:v>
      </x:c>
      <x:c r="H5287" s="7" t="n">
        <x:v>1</x:v>
      </x:c>
      <x:c r="I5287" s="7" t="n">
        <x:v>3</x:v>
      </x:c>
      <x:c r="J5287" s="7" t="n">
        <x:v>1.01</x:v>
      </x:c>
      <x:c r="K5287" s="8"/>
      <x:c r="L5287" s="8"/>
      <x:c r="M5287" s="9"/>
      <x:c r="N5287" s="10"/>
      <x:c r="O5287" s="9"/>
      <x:c r="P5287" s="9" t="n">
        <x:v>0</x:v>
      </x:c>
      <x:c r="Q5287" s="9" t="n">
        <x:v>0</x:v>
      </x:c>
      <x:c r="R5287" s="3" t="b">
        <x:v>0</x:v>
      </x:c>
      <x:c r="S5287" s="3" t="b">
        <x:v>1</x:v>
      </x:c>
      <x:c r="T5287" s="3" t="b">
        <x:v>0</x:v>
      </x:c>
      <x:c r="U5287" s="2" t="str">
        <x:f>IF(T5287=TRUE,"Priority review",IF(R5287=TRUE,"High cost",IF(S5287=TRUE,"Low quality","Benchmark")))</x:f>
        <x:v>Low quality</x:v>
      </x:c>
    </x:row>
    <x:row r="5288">
      <x:c r="A5288" s="2" t="str">
        <x:v>180154</x:v>
      </x:c>
      <x:c r="B5288" s="2" t="str">
        <x:v>PINEVILLE COMMUNITY HEALTH CENTER, INC</x:v>
      </x:c>
      <x:c r="C5288" s="2" t="str">
        <x:v>PINEVILLE</x:v>
      </x:c>
      <x:c r="D5288" s="2" t="str">
        <x:v>KY</x:v>
      </x:c>
      <x:c r="E5288" s="2" t="str">
        <x:v>Acute Care Hospitals</x:v>
      </x:c>
      <x:c r="F5288" s="2" t="str">
        <x:v>Voluntary non-profit</x:v>
      </x:c>
      <x:c r="G5288" s="2" t="str">
        <x:v>Unknown</x:v>
      </x:c>
      <x:c r="H5288" s="7" t="n">
        <x:v>1</x:v>
      </x:c>
      <x:c r="I5288" s="7"/>
      <x:c r="J5288" s="7" t="n">
        <x:v>1.33</x:v>
      </x:c>
      <x:c r="K5288" s="8"/>
      <x:c r="L5288" s="8"/>
      <x:c r="M5288" s="9"/>
      <x:c r="N5288" s="10"/>
      <x:c r="O5288" s="9"/>
      <x:c r="P5288" s="9" t="n">
        <x:v>0</x:v>
      </x:c>
      <x:c r="Q5288" s="9" t="n">
        <x:v>0</x:v>
      </x:c>
      <x:c r="R5288" s="3" t="b">
        <x:v>0</x:v>
      </x:c>
      <x:c r="S5288" s="3" t="b">
        <x:v>1</x:v>
      </x:c>
      <x:c r="T5288" s="3" t="b">
        <x:v>0</x:v>
      </x:c>
      <x:c r="U5288" s="2" t="str">
        <x:f>IF(T5288=TRUE,"Priority review",IF(R5288=TRUE,"High cost",IF(S5288=TRUE,"Low quality","Benchmark")))</x:f>
        <x:v>Low quality</x:v>
      </x:c>
    </x:row>
    <x:row r="5289">
      <x:c r="A5289" s="2" t="str">
        <x:v>110226</x:v>
      </x:c>
      <x:c r="B5289" s="2" t="str">
        <x:v>EMORY HILLANDALE HOSPITAL</x:v>
      </x:c>
      <x:c r="C5289" s="2" t="str">
        <x:v>LITHONIA</x:v>
      </x:c>
      <x:c r="D5289" s="2" t="str">
        <x:v>GA</x:v>
      </x:c>
      <x:c r="E5289" s="2" t="str">
        <x:v>Acute Care Hospitals</x:v>
      </x:c>
      <x:c r="F5289" s="2" t="str">
        <x:v>Government</x:v>
      </x:c>
      <x:c r="G5289" s="2" t="str">
        <x:v>Unknown</x:v>
      </x:c>
      <x:c r="H5289" s="7" t="n">
        <x:v>1</x:v>
      </x:c>
      <x:c r="I5289" s="7" t="n">
        <x:v>3</x:v>
      </x:c>
      <x:c r="J5289" s="7" t="n">
        <x:v>0.9</x:v>
      </x:c>
      <x:c r="K5289" s="8"/>
      <x:c r="L5289" s="8"/>
      <x:c r="M5289" s="9"/>
      <x:c r="N5289" s="10"/>
      <x:c r="O5289" s="9"/>
      <x:c r="P5289" s="9" t="n">
        <x:v>0</x:v>
      </x:c>
      <x:c r="Q5289" s="9" t="n">
        <x:v>0</x:v>
      </x:c>
      <x:c r="R5289" s="3" t="b">
        <x:v>0</x:v>
      </x:c>
      <x:c r="S5289" s="3" t="b">
        <x:v>1</x:v>
      </x:c>
      <x:c r="T5289" s="3" t="b">
        <x:v>0</x:v>
      </x:c>
      <x:c r="U5289" s="2" t="str">
        <x:f>IF(T5289=TRUE,"Priority review",IF(R5289=TRUE,"High cost",IF(S5289=TRUE,"Low quality","Benchmark")))</x:f>
        <x:v>Low quality</x:v>
      </x:c>
    </x:row>
    <x:row r="5290">
      <x:c r="A5290" s="2" t="str">
        <x:v>450587</x:v>
      </x:c>
      <x:c r="B5290" s="2" t="str">
        <x:v>HENDRICK MEDICAL CENTER BROWNWOOD</x:v>
      </x:c>
      <x:c r="C5290" s="2" t="str">
        <x:v>BROWNWOOD</x:v>
      </x:c>
      <x:c r="D5290" s="2" t="str">
        <x:v>TX</x:v>
      </x:c>
      <x:c r="E5290" s="2" t="str">
        <x:v>Acute Care Hospitals</x:v>
      </x:c>
      <x:c r="F5290" s="2" t="str">
        <x:v>Voluntary non-profit</x:v>
      </x:c>
      <x:c r="G5290" s="2" t="str">
        <x:v>Unknown</x:v>
      </x:c>
      <x:c r="H5290" s="7" t="n">
        <x:v>1</x:v>
      </x:c>
      <x:c r="I5290" s="7" t="n">
        <x:v>2</x:v>
      </x:c>
      <x:c r="J5290" s="7" t="n">
        <x:v>1.1</x:v>
      </x:c>
      <x:c r="K5290" s="8"/>
      <x:c r="L5290" s="8"/>
      <x:c r="M5290" s="9"/>
      <x:c r="N5290" s="10"/>
      <x:c r="O5290" s="9"/>
      <x:c r="P5290" s="9" t="n">
        <x:v>0</x:v>
      </x:c>
      <x:c r="Q5290" s="9" t="n">
        <x:v>0</x:v>
      </x:c>
      <x:c r="R5290" s="3" t="b">
        <x:v>0</x:v>
      </x:c>
      <x:c r="S5290" s="3" t="b">
        <x:v>1</x:v>
      </x:c>
      <x:c r="T5290" s="3" t="b">
        <x:v>0</x:v>
      </x:c>
      <x:c r="U5290" s="2" t="str">
        <x:f>IF(T5290=TRUE,"Priority review",IF(R5290=TRUE,"High cost",IF(S5290=TRUE,"Low quality","Benchmark")))</x:f>
        <x:v>Low quality</x:v>
      </x:c>
    </x:row>
    <x:row r="5291">
      <x:c r="A5291" s="2" t="str">
        <x:v>050492</x:v>
      </x:c>
      <x:c r="B5291" s="2" t="str">
        <x:v>CLOVIS COMMUNITY MEDICAL CENTER</x:v>
      </x:c>
      <x:c r="C5291" s="2" t="str">
        <x:v>CLOVIS</x:v>
      </x:c>
      <x:c r="D5291" s="2" t="str">
        <x:v>CA</x:v>
      </x:c>
      <x:c r="E5291" s="2" t="str">
        <x:v>Acute Care Hospitals</x:v>
      </x:c>
      <x:c r="F5291" s="2" t="str">
        <x:v>Voluntary non-profit</x:v>
      </x:c>
      <x:c r="G5291" s="2" t="str">
        <x:v>Unknown</x:v>
      </x:c>
      <x:c r="H5291" s="7" t="n">
        <x:v>2</x:v>
      </x:c>
      <x:c r="I5291" s="7" t="n">
        <x:v>3</x:v>
      </x:c>
      <x:c r="J5291" s="7" t="n">
        <x:v>1.05</x:v>
      </x:c>
      <x:c r="K5291" s="8"/>
      <x:c r="L5291" s="8"/>
      <x:c r="M5291" s="9"/>
      <x:c r="N5291" s="10"/>
      <x:c r="O5291" s="9"/>
      <x:c r="P5291" s="9" t="n">
        <x:v>0</x:v>
      </x:c>
      <x:c r="Q5291" s="9" t="n">
        <x:v>0.0472440945</x:v>
      </x:c>
      <x:c r="R5291" s="3" t="b">
        <x:v>0</x:v>
      </x:c>
      <x:c r="S5291" s="3" t="b">
        <x:v>1</x:v>
      </x:c>
      <x:c r="T5291" s="3" t="b">
        <x:v>0</x:v>
      </x:c>
      <x:c r="U5291" s="2" t="str">
        <x:f>IF(T5291=TRUE,"Priority review",IF(R5291=TRUE,"High cost",IF(S5291=TRUE,"Low quality","Benchmark")))</x:f>
        <x:v>Low quality</x:v>
      </x:c>
    </x:row>
    <x:row r="5292">
      <x:c r="A5292" s="2" t="str">
        <x:v>110076</x:v>
      </x:c>
      <x:c r="B5292" s="2" t="str">
        <x:v>EMORY DECATUR HOSPITAL</x:v>
      </x:c>
      <x:c r="C5292" s="2" t="str">
        <x:v>DECATUR</x:v>
      </x:c>
      <x:c r="D5292" s="2" t="str">
        <x:v>GA</x:v>
      </x:c>
      <x:c r="E5292" s="2" t="str">
        <x:v>Acute Care Hospitals</x:v>
      </x:c>
      <x:c r="F5292" s="2" t="str">
        <x:v>Voluntary non-profit</x:v>
      </x:c>
      <x:c r="G5292" s="2" t="str">
        <x:v>Unknown</x:v>
      </x:c>
      <x:c r="H5292" s="7" t="n">
        <x:v>2</x:v>
      </x:c>
      <x:c r="I5292" s="7" t="n">
        <x:v>3</x:v>
      </x:c>
      <x:c r="J5292" s="7" t="n">
        <x:v>0.97</x:v>
      </x:c>
      <x:c r="K5292" s="8"/>
      <x:c r="L5292" s="8"/>
      <x:c r="M5292" s="9"/>
      <x:c r="N5292" s="10"/>
      <x:c r="O5292" s="9"/>
      <x:c r="P5292" s="9" t="n">
        <x:v>0</x:v>
      </x:c>
      <x:c r="Q5292" s="9" t="n">
        <x:v>0.0472440945</x:v>
      </x:c>
      <x:c r="R5292" s="3" t="b">
        <x:v>0</x:v>
      </x:c>
      <x:c r="S5292" s="3" t="b">
        <x:v>1</x:v>
      </x:c>
      <x:c r="T5292" s="3" t="b">
        <x:v>0</x:v>
      </x:c>
      <x:c r="U5292" s="2" t="str">
        <x:f>IF(T5292=TRUE,"Priority review",IF(R5292=TRUE,"High cost",IF(S5292=TRUE,"Low quality","Benchmark")))</x:f>
        <x:v>Low quality</x:v>
      </x:c>
    </x:row>
    <x:row r="5293">
      <x:c r="A5293" s="2" t="str">
        <x:v>180018</x:v>
      </x:c>
      <x:c r="B5293" s="2" t="str">
        <x:v>ST CLAIRE REGIONAL MEDICAL CENTER</x:v>
      </x:c>
      <x:c r="C5293" s="2" t="str">
        <x:v>MOREHEAD</x:v>
      </x:c>
      <x:c r="D5293" s="2" t="str">
        <x:v>KY</x:v>
      </x:c>
      <x:c r="E5293" s="2" t="str">
        <x:v>Acute Care Hospitals</x:v>
      </x:c>
      <x:c r="F5293" s="2" t="str">
        <x:v>Government</x:v>
      </x:c>
      <x:c r="G5293" s="2" t="str">
        <x:v>Unknown</x:v>
      </x:c>
      <x:c r="H5293" s="7" t="n">
        <x:v>2</x:v>
      </x:c>
      <x:c r="I5293" s="7" t="n">
        <x:v>4</x:v>
      </x:c>
      <x:c r="J5293" s="7" t="n">
        <x:v>0.92</x:v>
      </x:c>
      <x:c r="K5293" s="8"/>
      <x:c r="L5293" s="8"/>
      <x:c r="M5293" s="9"/>
      <x:c r="N5293" s="10"/>
      <x:c r="O5293" s="9"/>
      <x:c r="P5293" s="9" t="n">
        <x:v>0</x:v>
      </x:c>
      <x:c r="Q5293" s="9" t="n">
        <x:v>0.0472440945</x:v>
      </x:c>
      <x:c r="R5293" s="3" t="b">
        <x:v>0</x:v>
      </x:c>
      <x:c r="S5293" s="3" t="b">
        <x:v>1</x:v>
      </x:c>
      <x:c r="T5293" s="3" t="b">
        <x:v>0</x:v>
      </x:c>
      <x:c r="U5293" s="2" t="str">
        <x:f>IF(T5293=TRUE,"Priority review",IF(R5293=TRUE,"High cost",IF(S5293=TRUE,"Low quality","Benchmark")))</x:f>
        <x:v>Low quality</x:v>
      </x:c>
    </x:row>
    <x:row r="5294">
      <x:c r="A5294" s="2" t="str">
        <x:v>110007</x:v>
      </x:c>
      <x:c r="B5294" s="2" t="str">
        <x:v>PHOEBE PUTNEY MEMORIAL HOSPITAL</x:v>
      </x:c>
      <x:c r="C5294" s="2" t="str">
        <x:v>ALBANY</x:v>
      </x:c>
      <x:c r="D5294" s="2" t="str">
        <x:v>GA</x:v>
      </x:c>
      <x:c r="E5294" s="2" t="str">
        <x:v>Acute Care Hospitals</x:v>
      </x:c>
      <x:c r="F5294" s="2" t="str">
        <x:v>Government</x:v>
      </x:c>
      <x:c r="G5294" s="2" t="str">
        <x:v>Unknown</x:v>
      </x:c>
      <x:c r="H5294" s="7" t="n">
        <x:v>2</x:v>
      </x:c>
      <x:c r="I5294" s="7" t="n">
        <x:v>2</x:v>
      </x:c>
      <x:c r="J5294" s="7" t="n">
        <x:v>0.93</x:v>
      </x:c>
      <x:c r="K5294" s="8"/>
      <x:c r="L5294" s="8"/>
      <x:c r="M5294" s="9"/>
      <x:c r="N5294" s="10"/>
      <x:c r="O5294" s="9"/>
      <x:c r="P5294" s="9" t="n">
        <x:v>0</x:v>
      </x:c>
      <x:c r="Q5294" s="9" t="n">
        <x:v>0.0472440945</x:v>
      </x:c>
      <x:c r="R5294" s="3" t="b">
        <x:v>0</x:v>
      </x:c>
      <x:c r="S5294" s="3" t="b">
        <x:v>1</x:v>
      </x:c>
      <x:c r="T5294" s="3" t="b">
        <x:v>0</x:v>
      </x:c>
      <x:c r="U5294" s="2" t="str">
        <x:f>IF(T5294=TRUE,"Priority review",IF(R5294=TRUE,"High cost",IF(S5294=TRUE,"Low quality","Benchmark")))</x:f>
        <x:v>Low quality</x:v>
      </x:c>
    </x:row>
    <x:row r="5295">
      <x:c r="A5295" s="2" t="str">
        <x:v>190164</x:v>
      </x:c>
      <x:c r="B5295" s="2" t="str">
        <x:v>BYRD REGIONAL HOSPITAL</x:v>
      </x:c>
      <x:c r="C5295" s="2" t="str">
        <x:v>LEESVILLE</x:v>
      </x:c>
      <x:c r="D5295" s="2" t="str">
        <x:v>LA</x:v>
      </x:c>
      <x:c r="E5295" s="2" t="str">
        <x:v>Acute Care Hospitals</x:v>
      </x:c>
      <x:c r="F5295" s="2" t="str">
        <x:v>Proprietary</x:v>
      </x:c>
      <x:c r="G5295" s="2" t="str">
        <x:v>Unknown</x:v>
      </x:c>
      <x:c r="H5295" s="7" t="n">
        <x:v>2</x:v>
      </x:c>
      <x:c r="I5295" s="7" t="n">
        <x:v>3</x:v>
      </x:c>
      <x:c r="J5295" s="7" t="n">
        <x:v>1.26</x:v>
      </x:c>
      <x:c r="K5295" s="8"/>
      <x:c r="L5295" s="8"/>
      <x:c r="M5295" s="9"/>
      <x:c r="N5295" s="10"/>
      <x:c r="O5295" s="9"/>
      <x:c r="P5295" s="9" t="n">
        <x:v>0</x:v>
      </x:c>
      <x:c r="Q5295" s="9" t="n">
        <x:v>0.0472440945</x:v>
      </x:c>
      <x:c r="R5295" s="3" t="b">
        <x:v>0</x:v>
      </x:c>
      <x:c r="S5295" s="3" t="b">
        <x:v>1</x:v>
      </x:c>
      <x:c r="T5295" s="3" t="b">
        <x:v>0</x:v>
      </x:c>
      <x:c r="U5295" s="2" t="str">
        <x:f>IF(T5295=TRUE,"Priority review",IF(R5295=TRUE,"High cost",IF(S5295=TRUE,"Low quality","Benchmark")))</x:f>
        <x:v>Low quality</x:v>
      </x:c>
    </x:row>
    <x:row r="5296">
      <x:c r="A5296" s="2" t="str">
        <x:v>150046</x:v>
      </x:c>
      <x:c r="B5296" s="2" t="str">
        <x:v>TERRE HAUTE REGIONAL HOSPITAL</x:v>
      </x:c>
      <x:c r="C5296" s="2" t="str">
        <x:v>TERRE HAUTE</x:v>
      </x:c>
      <x:c r="D5296" s="2" t="str">
        <x:v>IN</x:v>
      </x:c>
      <x:c r="E5296" s="2" t="str">
        <x:v>Acute Care Hospitals</x:v>
      </x:c>
      <x:c r="F5296" s="2" t="str">
        <x:v>Proprietary</x:v>
      </x:c>
      <x:c r="G5296" s="2" t="str">
        <x:v>Unknown</x:v>
      </x:c>
      <x:c r="H5296" s="7" t="n">
        <x:v>2</x:v>
      </x:c>
      <x:c r="I5296" s="7" t="n">
        <x:v>3</x:v>
      </x:c>
      <x:c r="J5296" s="7" t="n">
        <x:v>1.02</x:v>
      </x:c>
      <x:c r="K5296" s="8"/>
      <x:c r="L5296" s="8"/>
      <x:c r="M5296" s="9"/>
      <x:c r="N5296" s="10"/>
      <x:c r="O5296" s="9"/>
      <x:c r="P5296" s="9" t="n">
        <x:v>0</x:v>
      </x:c>
      <x:c r="Q5296" s="9" t="n">
        <x:v>0.0472440945</x:v>
      </x:c>
      <x:c r="R5296" s="3" t="b">
        <x:v>0</x:v>
      </x:c>
      <x:c r="S5296" s="3" t="b">
        <x:v>1</x:v>
      </x:c>
      <x:c r="T5296" s="3" t="b">
        <x:v>0</x:v>
      </x:c>
      <x:c r="U5296" s="2" t="str">
        <x:f>IF(T5296=TRUE,"Priority review",IF(R5296=TRUE,"High cost",IF(S5296=TRUE,"Low quality","Benchmark")))</x:f>
        <x:v>Low quality</x:v>
      </x:c>
    </x:row>
    <x:row r="5297">
      <x:c r="A5297" s="2" t="str">
        <x:v>360080</x:v>
      </x:c>
      <x:c r="B5297" s="2" t="str">
        <x:v>EAST OHIO REGIONAL HOSPITAL</x:v>
      </x:c>
      <x:c r="C5297" s="2" t="str">
        <x:v>MARTINS FERRY</x:v>
      </x:c>
      <x:c r="D5297" s="2" t="str">
        <x:v>OH</x:v>
      </x:c>
      <x:c r="E5297" s="2" t="str">
        <x:v>Acute Care Hospitals</x:v>
      </x:c>
      <x:c r="F5297" s="2" t="str">
        <x:v>Voluntary non-profit</x:v>
      </x:c>
      <x:c r="G5297" s="2" t="str">
        <x:v>Unknown</x:v>
      </x:c>
      <x:c r="H5297" s="7" t="n">
        <x:v>2</x:v>
      </x:c>
      <x:c r="I5297" s="7"/>
      <x:c r="J5297" s="7" t="n">
        <x:v>0.94</x:v>
      </x:c>
      <x:c r="K5297" s="8"/>
      <x:c r="L5297" s="8"/>
      <x:c r="M5297" s="9"/>
      <x:c r="N5297" s="10"/>
      <x:c r="O5297" s="9"/>
      <x:c r="P5297" s="9" t="n">
        <x:v>0</x:v>
      </x:c>
      <x:c r="Q5297" s="9" t="n">
        <x:v>0.0472440945</x:v>
      </x:c>
      <x:c r="R5297" s="3" t="b">
        <x:v>0</x:v>
      </x:c>
      <x:c r="S5297" s="3" t="b">
        <x:v>1</x:v>
      </x:c>
      <x:c r="T5297" s="3" t="b">
        <x:v>0</x:v>
      </x:c>
      <x:c r="U5297" s="2" t="str">
        <x:f>IF(T5297=TRUE,"Priority review",IF(R5297=TRUE,"High cost",IF(S5297=TRUE,"Low quality","Benchmark")))</x:f>
        <x:v>Low quality</x:v>
      </x:c>
    </x:row>
    <x:row r="5298">
      <x:c r="A5298" s="2" t="str">
        <x:v>030101</x:v>
      </x:c>
      <x:c r="B5298" s="2" t="str">
        <x:v>WESTERN ARIZONA REGIONAL MEDICAL CENTER</x:v>
      </x:c>
      <x:c r="C5298" s="2" t="str">
        <x:v>BULLHEAD CITY</x:v>
      </x:c>
      <x:c r="D5298" s="2" t="str">
        <x:v>AZ</x:v>
      </x:c>
      <x:c r="E5298" s="2" t="str">
        <x:v>Acute Care Hospitals</x:v>
      </x:c>
      <x:c r="F5298" s="2" t="str">
        <x:v>Proprietary</x:v>
      </x:c>
      <x:c r="G5298" s="2" t="str">
        <x:v>Unknown</x:v>
      </x:c>
      <x:c r="H5298" s="7" t="n">
        <x:v>2</x:v>
      </x:c>
      <x:c r="I5298" s="7" t="n">
        <x:v>2</x:v>
      </x:c>
      <x:c r="J5298" s="7" t="n">
        <x:v>0.9</x:v>
      </x:c>
      <x:c r="K5298" s="8"/>
      <x:c r="L5298" s="8"/>
      <x:c r="M5298" s="9"/>
      <x:c r="N5298" s="10"/>
      <x:c r="O5298" s="9"/>
      <x:c r="P5298" s="9" t="n">
        <x:v>0</x:v>
      </x:c>
      <x:c r="Q5298" s="9" t="n">
        <x:v>0.0472440945</x:v>
      </x:c>
      <x:c r="R5298" s="3" t="b">
        <x:v>0</x:v>
      </x:c>
      <x:c r="S5298" s="3" t="b">
        <x:v>1</x:v>
      </x:c>
      <x:c r="T5298" s="3" t="b">
        <x:v>0</x:v>
      </x:c>
      <x:c r="U5298" s="2" t="str">
        <x:f>IF(T5298=TRUE,"Priority review",IF(R5298=TRUE,"High cost",IF(S5298=TRUE,"Low quality","Benchmark")))</x:f>
        <x:v>Low quality</x:v>
      </x:c>
    </x:row>
    <x:row r="5299">
      <x:c r="A5299" s="2" t="str">
        <x:v>450107</x:v>
      </x:c>
      <x:c r="B5299" s="2" t="str">
        <x:v>LAS PALMAS MEDICAL CENTER A CAMPUS OF LPDS HEALTHC</x:v>
      </x:c>
      <x:c r="C5299" s="2" t="str">
        <x:v>EL PASO</x:v>
      </x:c>
      <x:c r="D5299" s="2" t="str">
        <x:v>TX</x:v>
      </x:c>
      <x:c r="E5299" s="2" t="str">
        <x:v>Acute Care Hospitals</x:v>
      </x:c>
      <x:c r="F5299" s="2" t="str">
        <x:v>Proprietary</x:v>
      </x:c>
      <x:c r="G5299" s="2" t="str">
        <x:v>Unknown</x:v>
      </x:c>
      <x:c r="H5299" s="7" t="n">
        <x:v>2</x:v>
      </x:c>
      <x:c r="I5299" s="7" t="n">
        <x:v>2</x:v>
      </x:c>
      <x:c r="J5299" s="7" t="n">
        <x:v>1.07</x:v>
      </x:c>
      <x:c r="K5299" s="8"/>
      <x:c r="L5299" s="8"/>
      <x:c r="M5299" s="9"/>
      <x:c r="N5299" s="10"/>
      <x:c r="O5299" s="9"/>
      <x:c r="P5299" s="9" t="n">
        <x:v>0</x:v>
      </x:c>
      <x:c r="Q5299" s="9" t="n">
        <x:v>0.0472440945</x:v>
      </x:c>
      <x:c r="R5299" s="3" t="b">
        <x:v>0</x:v>
      </x:c>
      <x:c r="S5299" s="3" t="b">
        <x:v>1</x:v>
      </x:c>
      <x:c r="T5299" s="3" t="b">
        <x:v>0</x:v>
      </x:c>
      <x:c r="U5299" s="2" t="str">
        <x:f>IF(T5299=TRUE,"Priority review",IF(R5299=TRUE,"High cost",IF(S5299=TRUE,"Low quality","Benchmark")))</x:f>
        <x:v>Low quality</x:v>
      </x:c>
    </x:row>
    <x:row r="5300">
      <x:c r="A5300" s="2" t="str">
        <x:v>450033</x:v>
      </x:c>
      <x:c r="B5300" s="2" t="str">
        <x:v>VHS HARLINGEN HOSPITAL COMPANY LLC</x:v>
      </x:c>
      <x:c r="C5300" s="2" t="str">
        <x:v>HARLINGEN</x:v>
      </x:c>
      <x:c r="D5300" s="2" t="str">
        <x:v>TX</x:v>
      </x:c>
      <x:c r="E5300" s="2" t="str">
        <x:v>Acute Care Hospitals</x:v>
      </x:c>
      <x:c r="F5300" s="2" t="str">
        <x:v>Proprietary</x:v>
      </x:c>
      <x:c r="G5300" s="2" t="str">
        <x:v>Unknown</x:v>
      </x:c>
      <x:c r="H5300" s="7" t="n">
        <x:v>2</x:v>
      </x:c>
      <x:c r="I5300" s="7" t="n">
        <x:v>2</x:v>
      </x:c>
      <x:c r="J5300" s="7" t="n">
        <x:v>1.04</x:v>
      </x:c>
      <x:c r="K5300" s="8"/>
      <x:c r="L5300" s="8"/>
      <x:c r="M5300" s="9"/>
      <x:c r="N5300" s="10"/>
      <x:c r="O5300" s="9"/>
      <x:c r="P5300" s="9" t="n">
        <x:v>0</x:v>
      </x:c>
      <x:c r="Q5300" s="9" t="n">
        <x:v>0.0472440945</x:v>
      </x:c>
      <x:c r="R5300" s="3" t="b">
        <x:v>0</x:v>
      </x:c>
      <x:c r="S5300" s="3" t="b">
        <x:v>1</x:v>
      </x:c>
      <x:c r="T5300" s="3" t="b">
        <x:v>0</x:v>
      </x:c>
      <x:c r="U5300" s="2" t="str">
        <x:f>IF(T5300=TRUE,"Priority review",IF(R5300=TRUE,"High cost",IF(S5300=TRUE,"Low quality","Benchmark")))</x:f>
        <x:v>Low quality</x:v>
      </x:c>
    </x:row>
    <x:row r="5301">
      <x:c r="A5301" s="2" t="str">
        <x:v>100259</x:v>
      </x:c>
      <x:c r="B5301" s="2" t="str">
        <x:v>HCA FLORIDA SOUTH SHORE HOSPITAL</x:v>
      </x:c>
      <x:c r="C5301" s="2" t="str">
        <x:v>SUN CITY CENTER</x:v>
      </x:c>
      <x:c r="D5301" s="2" t="str">
        <x:v>FL</x:v>
      </x:c>
      <x:c r="E5301" s="2" t="str">
        <x:v>Acute Care Hospitals</x:v>
      </x:c>
      <x:c r="F5301" s="2" t="str">
        <x:v>Proprietary</x:v>
      </x:c>
      <x:c r="G5301" s="2" t="str">
        <x:v>Unknown</x:v>
      </x:c>
      <x:c r="H5301" s="7" t="n">
        <x:v>2</x:v>
      </x:c>
      <x:c r="I5301" s="7" t="n">
        <x:v>2</x:v>
      </x:c>
      <x:c r="J5301" s="7" t="n">
        <x:v>0.98</x:v>
      </x:c>
      <x:c r="K5301" s="8"/>
      <x:c r="L5301" s="8"/>
      <x:c r="M5301" s="9"/>
      <x:c r="N5301" s="10"/>
      <x:c r="O5301" s="9"/>
      <x:c r="P5301" s="9" t="n">
        <x:v>0</x:v>
      </x:c>
      <x:c r="Q5301" s="9" t="n">
        <x:v>0.0472440945</x:v>
      </x:c>
      <x:c r="R5301" s="3" t="b">
        <x:v>0</x:v>
      </x:c>
      <x:c r="S5301" s="3" t="b">
        <x:v>1</x:v>
      </x:c>
      <x:c r="T5301" s="3" t="b">
        <x:v>0</x:v>
      </x:c>
      <x:c r="U5301" s="2" t="str">
        <x:f>IF(T5301=TRUE,"Priority review",IF(R5301=TRUE,"High cost",IF(S5301=TRUE,"Low quality","Benchmark")))</x:f>
        <x:v>Low quality</x:v>
      </x:c>
    </x:row>
    <x:row r="5302">
      <x:c r="A5302" s="2" t="str">
        <x:v>100232</x:v>
      </x:c>
      <x:c r="B5302" s="2" t="str">
        <x:v>HCA FLORIDA PUTNAM HOSPITAL</x:v>
      </x:c>
      <x:c r="C5302" s="2" t="str">
        <x:v>PALATKA</x:v>
      </x:c>
      <x:c r="D5302" s="2" t="str">
        <x:v>FL</x:v>
      </x:c>
      <x:c r="E5302" s="2" t="str">
        <x:v>Acute Care Hospitals</x:v>
      </x:c>
      <x:c r="F5302" s="2" t="str">
        <x:v>Proprietary</x:v>
      </x:c>
      <x:c r="G5302" s="2" t="str">
        <x:v>Unknown</x:v>
      </x:c>
      <x:c r="H5302" s="7" t="n">
        <x:v>2</x:v>
      </x:c>
      <x:c r="I5302" s="7" t="n">
        <x:v>3</x:v>
      </x:c>
      <x:c r="J5302" s="7" t="n">
        <x:v>1</x:v>
      </x:c>
      <x:c r="K5302" s="8"/>
      <x:c r="L5302" s="8"/>
      <x:c r="M5302" s="9"/>
      <x:c r="N5302" s="10"/>
      <x:c r="O5302" s="9"/>
      <x:c r="P5302" s="9" t="n">
        <x:v>0</x:v>
      </x:c>
      <x:c r="Q5302" s="9" t="n">
        <x:v>0.0472440945</x:v>
      </x:c>
      <x:c r="R5302" s="3" t="b">
        <x:v>0</x:v>
      </x:c>
      <x:c r="S5302" s="3" t="b">
        <x:v>1</x:v>
      </x:c>
      <x:c r="T5302" s="3" t="b">
        <x:v>0</x:v>
      </x:c>
      <x:c r="U5302" s="2" t="str">
        <x:f>IF(T5302=TRUE,"Priority review",IF(R5302=TRUE,"High cost",IF(S5302=TRUE,"Low quality","Benchmark")))</x:f>
        <x:v>Low quality</x:v>
      </x:c>
    </x:row>
    <x:row r="5303">
      <x:c r="A5303" s="2" t="str">
        <x:v>040078</x:v>
      </x:c>
      <x:c r="B5303" s="2" t="str">
        <x:v>NATIONAL PARK MEDICAL CENTER</x:v>
      </x:c>
      <x:c r="C5303" s="2" t="str">
        <x:v>HOT SPRINGS</x:v>
      </x:c>
      <x:c r="D5303" s="2" t="str">
        <x:v>AR</x:v>
      </x:c>
      <x:c r="E5303" s="2" t="str">
        <x:v>Acute Care Hospitals</x:v>
      </x:c>
      <x:c r="F5303" s="2" t="str">
        <x:v>Proprietary</x:v>
      </x:c>
      <x:c r="G5303" s="2" t="str">
        <x:v>Unknown</x:v>
      </x:c>
      <x:c r="H5303" s="7" t="n">
        <x:v>2</x:v>
      </x:c>
      <x:c r="I5303" s="7" t="n">
        <x:v>2</x:v>
      </x:c>
      <x:c r="J5303" s="7" t="n">
        <x:v>1.18</x:v>
      </x:c>
      <x:c r="K5303" s="8"/>
      <x:c r="L5303" s="8"/>
      <x:c r="M5303" s="9"/>
      <x:c r="N5303" s="10"/>
      <x:c r="O5303" s="9"/>
      <x:c r="P5303" s="9" t="n">
        <x:v>0</x:v>
      </x:c>
      <x:c r="Q5303" s="9" t="n">
        <x:v>0.0472440945</x:v>
      </x:c>
      <x:c r="R5303" s="3" t="b">
        <x:v>0</x:v>
      </x:c>
      <x:c r="S5303" s="3" t="b">
        <x:v>1</x:v>
      </x:c>
      <x:c r="T5303" s="3" t="b">
        <x:v>0</x:v>
      </x:c>
      <x:c r="U5303" s="2" t="str">
        <x:f>IF(T5303=TRUE,"Priority review",IF(R5303=TRUE,"High cost",IF(S5303=TRUE,"Low quality","Benchmark")))</x:f>
        <x:v>Low quality</x:v>
      </x:c>
    </x:row>
    <x:row r="5304">
      <x:c r="A5304" s="2" t="str">
        <x:v>360055</x:v>
      </x:c>
      <x:c r="B5304" s="2" t="str">
        <x:v>INSIGHT HOSPITAL AND MEDICAL CENTER TRUMBULL</x:v>
      </x:c>
      <x:c r="C5304" s="2" t="str">
        <x:v>WARREN</x:v>
      </x:c>
      <x:c r="D5304" s="2" t="str">
        <x:v>OH</x:v>
      </x:c>
      <x:c r="E5304" s="2" t="str">
        <x:v>Acute Care Hospitals</x:v>
      </x:c>
      <x:c r="F5304" s="2" t="str">
        <x:v>Proprietary</x:v>
      </x:c>
      <x:c r="G5304" s="2" t="str">
        <x:v>Unknown</x:v>
      </x:c>
      <x:c r="H5304" s="7" t="n">
        <x:v>2</x:v>
      </x:c>
      <x:c r="I5304" s="7"/>
      <x:c r="J5304" s="7" t="n">
        <x:v>1.04</x:v>
      </x:c>
      <x:c r="K5304" s="8"/>
      <x:c r="L5304" s="8"/>
      <x:c r="M5304" s="9"/>
      <x:c r="N5304" s="10"/>
      <x:c r="O5304" s="9"/>
      <x:c r="P5304" s="9" t="n">
        <x:v>0</x:v>
      </x:c>
      <x:c r="Q5304" s="9" t="n">
        <x:v>0.0472440945</x:v>
      </x:c>
      <x:c r="R5304" s="3" t="b">
        <x:v>0</x:v>
      </x:c>
      <x:c r="S5304" s="3" t="b">
        <x:v>1</x:v>
      </x:c>
      <x:c r="T5304" s="3" t="b">
        <x:v>0</x:v>
      </x:c>
      <x:c r="U5304" s="2" t="str">
        <x:f>IF(T5304=TRUE,"Priority review",IF(R5304=TRUE,"High cost",IF(S5304=TRUE,"Low quality","Benchmark")))</x:f>
        <x:v>Low quality</x:v>
      </x:c>
    </x:row>
    <x:row r="5305">
      <x:c r="A5305" s="2" t="str">
        <x:v>180093</x:v>
      </x:c>
      <x:c r="B5305" s="2" t="str">
        <x:v>BAPTIST HEALTH DEACONESS MADISONVILLE</x:v>
      </x:c>
      <x:c r="C5305" s="2" t="str">
        <x:v>MADISONVILLE</x:v>
      </x:c>
      <x:c r="D5305" s="2" t="str">
        <x:v>KY</x:v>
      </x:c>
      <x:c r="E5305" s="2" t="str">
        <x:v>Acute Care Hospitals</x:v>
      </x:c>
      <x:c r="F5305" s="2" t="str">
        <x:v>Voluntary non-profit</x:v>
      </x:c>
      <x:c r="G5305" s="2" t="str">
        <x:v>Unknown</x:v>
      </x:c>
      <x:c r="H5305" s="7" t="n">
        <x:v>2</x:v>
      </x:c>
      <x:c r="I5305" s="7" t="n">
        <x:v>3</x:v>
      </x:c>
      <x:c r="J5305" s="7" t="n">
        <x:v>1.04</x:v>
      </x:c>
      <x:c r="K5305" s="8"/>
      <x:c r="L5305" s="8"/>
      <x:c r="M5305" s="9"/>
      <x:c r="N5305" s="10"/>
      <x:c r="O5305" s="9"/>
      <x:c r="P5305" s="9" t="n">
        <x:v>0</x:v>
      </x:c>
      <x:c r="Q5305" s="9" t="n">
        <x:v>0.0472440945</x:v>
      </x:c>
      <x:c r="R5305" s="3" t="b">
        <x:v>0</x:v>
      </x:c>
      <x:c r="S5305" s="3" t="b">
        <x:v>1</x:v>
      </x:c>
      <x:c r="T5305" s="3" t="b">
        <x:v>0</x:v>
      </x:c>
      <x:c r="U5305" s="2" t="str">
        <x:f>IF(T5305=TRUE,"Priority review",IF(R5305=TRUE,"High cost",IF(S5305=TRUE,"Low quality","Benchmark")))</x:f>
        <x:v>Low quality</x:v>
      </x:c>
    </x:row>
    <x:row r="5306">
      <x:c r="A5306" s="2" t="str">
        <x:v>100167</x:v>
      </x:c>
      <x:c r="B5306" s="2" t="str">
        <x:v>HCA FLORIDA MERCY HOSPITAL</x:v>
      </x:c>
      <x:c r="C5306" s="2" t="str">
        <x:v>PLANTATION</x:v>
      </x:c>
      <x:c r="D5306" s="2" t="str">
        <x:v>FL</x:v>
      </x:c>
      <x:c r="E5306" s="2" t="str">
        <x:v>Acute Care Hospitals</x:v>
      </x:c>
      <x:c r="F5306" s="2" t="str">
        <x:v>Voluntary non-profit</x:v>
      </x:c>
      <x:c r="G5306" s="2" t="str">
        <x:v>Unknown</x:v>
      </x:c>
      <x:c r="H5306" s="7" t="n">
        <x:v>2</x:v>
      </x:c>
      <x:c r="I5306" s="7" t="n">
        <x:v>2</x:v>
      </x:c>
      <x:c r="J5306" s="7" t="n">
        <x:v>1.1</x:v>
      </x:c>
      <x:c r="K5306" s="8"/>
      <x:c r="L5306" s="8"/>
      <x:c r="M5306" s="9"/>
      <x:c r="N5306" s="10"/>
      <x:c r="O5306" s="9"/>
      <x:c r="P5306" s="9" t="n">
        <x:v>0</x:v>
      </x:c>
      <x:c r="Q5306" s="9" t="n">
        <x:v>0.0472440945</x:v>
      </x:c>
      <x:c r="R5306" s="3" t="b">
        <x:v>0</x:v>
      </x:c>
      <x:c r="S5306" s="3" t="b">
        <x:v>1</x:v>
      </x:c>
      <x:c r="T5306" s="3" t="b">
        <x:v>0</x:v>
      </x:c>
      <x:c r="U5306" s="2" t="str">
        <x:f>IF(T5306=TRUE,"Priority review",IF(R5306=TRUE,"High cost",IF(S5306=TRUE,"Low quality","Benchmark")))</x:f>
        <x:v>Low quality</x:v>
      </x:c>
    </x:row>
    <x:row r="5307">
      <x:c r="A5307" s="2" t="str">
        <x:v>190144</x:v>
      </x:c>
      <x:c r="B5307" s="2" t="str">
        <x:v>MINDEN MEDICAL CENTER</x:v>
      </x:c>
      <x:c r="C5307" s="2" t="str">
        <x:v>MINDEN</x:v>
      </x:c>
      <x:c r="D5307" s="2" t="str">
        <x:v>LA</x:v>
      </x:c>
      <x:c r="E5307" s="2" t="str">
        <x:v>Acute Care Hospitals</x:v>
      </x:c>
      <x:c r="F5307" s="2" t="str">
        <x:v>Proprietary</x:v>
      </x:c>
      <x:c r="G5307" s="2" t="str">
        <x:v>Unknown</x:v>
      </x:c>
      <x:c r="H5307" s="7" t="n">
        <x:v>2</x:v>
      </x:c>
      <x:c r="I5307" s="7" t="n">
        <x:v>3</x:v>
      </x:c>
      <x:c r="J5307" s="7" t="n">
        <x:v>1.14</x:v>
      </x:c>
      <x:c r="K5307" s="8"/>
      <x:c r="L5307" s="8"/>
      <x:c r="M5307" s="9"/>
      <x:c r="N5307" s="10"/>
      <x:c r="O5307" s="9"/>
      <x:c r="P5307" s="9" t="n">
        <x:v>0</x:v>
      </x:c>
      <x:c r="Q5307" s="9" t="n">
        <x:v>0.0472440945</x:v>
      </x:c>
      <x:c r="R5307" s="3" t="b">
        <x:v>0</x:v>
      </x:c>
      <x:c r="S5307" s="3" t="b">
        <x:v>1</x:v>
      </x:c>
      <x:c r="T5307" s="3" t="b">
        <x:v>0</x:v>
      </x:c>
      <x:c r="U5307" s="2" t="str">
        <x:f>IF(T5307=TRUE,"Priority review",IF(R5307=TRUE,"High cost",IF(S5307=TRUE,"Low quality","Benchmark")))</x:f>
        <x:v>Low quality</x:v>
      </x:c>
    </x:row>
    <x:row r="5308">
      <x:c r="A5308" s="2" t="str">
        <x:v>420080</x:v>
      </x:c>
      <x:c r="B5308" s="2" t="str">
        <x:v>NOVANT HEALTH HILTON HEAD MEDICAL CENTER</x:v>
      </x:c>
      <x:c r="C5308" s="2" t="str">
        <x:v>HILTON HEAD ISLAND</x:v>
      </x:c>
      <x:c r="D5308" s="2" t="str">
        <x:v>SC</x:v>
      </x:c>
      <x:c r="E5308" s="2" t="str">
        <x:v>Acute Care Hospitals</x:v>
      </x:c>
      <x:c r="F5308" s="2" t="str">
        <x:v>Voluntary non-profit</x:v>
      </x:c>
      <x:c r="G5308" s="2" t="str">
        <x:v>Unknown</x:v>
      </x:c>
      <x:c r="H5308" s="7" t="n">
        <x:v>2</x:v>
      </x:c>
      <x:c r="I5308" s="7" t="n">
        <x:v>2</x:v>
      </x:c>
      <x:c r="J5308" s="7" t="n">
        <x:v>1.02</x:v>
      </x:c>
      <x:c r="K5308" s="8"/>
      <x:c r="L5308" s="8"/>
      <x:c r="M5308" s="9"/>
      <x:c r="N5308" s="10"/>
      <x:c r="O5308" s="9"/>
      <x:c r="P5308" s="9" t="n">
        <x:v>0</x:v>
      </x:c>
      <x:c r="Q5308" s="9" t="n">
        <x:v>0.0472440945</x:v>
      </x:c>
      <x:c r="R5308" s="3" t="b">
        <x:v>0</x:v>
      </x:c>
      <x:c r="S5308" s="3" t="b">
        <x:v>1</x:v>
      </x:c>
      <x:c r="T5308" s="3" t="b">
        <x:v>0</x:v>
      </x:c>
      <x:c r="U5308" s="2" t="str">
        <x:f>IF(T5308=TRUE,"Priority review",IF(R5308=TRUE,"High cost",IF(S5308=TRUE,"Low quality","Benchmark")))</x:f>
        <x:v>Low quality</x:v>
      </x:c>
    </x:row>
    <x:row r="5309">
      <x:c r="A5309" s="2" t="str">
        <x:v>060014</x:v>
      </x:c>
      <x:c r="B5309" s="2" t="str">
        <x:v>HCA HealthOne Presbyterian St. Lukes</x:v>
      </x:c>
      <x:c r="C5309" s="2" t="str">
        <x:v>DENVER</x:v>
      </x:c>
      <x:c r="D5309" s="2" t="str">
        <x:v>CO</x:v>
      </x:c>
      <x:c r="E5309" s="2" t="str">
        <x:v>Acute Care Hospitals</x:v>
      </x:c>
      <x:c r="F5309" s="2" t="str">
        <x:v>Government</x:v>
      </x:c>
      <x:c r="G5309" s="2" t="str">
        <x:v>Unknown</x:v>
      </x:c>
      <x:c r="H5309" s="7" t="n">
        <x:v>2</x:v>
      </x:c>
      <x:c r="I5309" s="7" t="n">
        <x:v>3</x:v>
      </x:c>
      <x:c r="J5309" s="7" t="n">
        <x:v>1.01</x:v>
      </x:c>
      <x:c r="K5309" s="8"/>
      <x:c r="L5309" s="8"/>
      <x:c r="M5309" s="9"/>
      <x:c r="N5309" s="10"/>
      <x:c r="O5309" s="9"/>
      <x:c r="P5309" s="9" t="n">
        <x:v>0</x:v>
      </x:c>
      <x:c r="Q5309" s="9" t="n">
        <x:v>0.0472440945</x:v>
      </x:c>
      <x:c r="R5309" s="3" t="b">
        <x:v>0</x:v>
      </x:c>
      <x:c r="S5309" s="3" t="b">
        <x:v>1</x:v>
      </x:c>
      <x:c r="T5309" s="3" t="b">
        <x:v>0</x:v>
      </x:c>
      <x:c r="U5309" s="2" t="str">
        <x:f>IF(T5309=TRUE,"Priority review",IF(R5309=TRUE,"High cost",IF(S5309=TRUE,"Low quality","Benchmark")))</x:f>
        <x:v>Low quality</x:v>
      </x:c>
    </x:row>
    <x:row r="5310">
      <x:c r="A5310" s="2" t="str">
        <x:v>440132</x:v>
      </x:c>
      <x:c r="B5310" s="2" t="str">
        <x:v>WEST TENNESSEE HEALTHCARE HENRY COUNTY HOSPITAL</x:v>
      </x:c>
      <x:c r="C5310" s="2" t="str">
        <x:v>PARIS</x:v>
      </x:c>
      <x:c r="D5310" s="2" t="str">
        <x:v>TN</x:v>
      </x:c>
      <x:c r="E5310" s="2" t="str">
        <x:v>Acute Care Hospitals</x:v>
      </x:c>
      <x:c r="F5310" s="2" t="str">
        <x:v>Government</x:v>
      </x:c>
      <x:c r="G5310" s="2" t="str">
        <x:v>Unknown</x:v>
      </x:c>
      <x:c r="H5310" s="7" t="n">
        <x:v>3</x:v>
      </x:c>
      <x:c r="I5310" s="7" t="n">
        <x:v>4</x:v>
      </x:c>
      <x:c r="J5310" s="7" t="n">
        <x:v>1.01</x:v>
      </x:c>
      <x:c r="K5310" s="8"/>
      <x:c r="L5310" s="8"/>
      <x:c r="M5310" s="9"/>
      <x:c r="N5310" s="10"/>
      <x:c r="O5310" s="9"/>
      <x:c r="P5310" s="9" t="n">
        <x:v>0</x:v>
      </x:c>
      <x:c r="Q5310" s="9" t="n">
        <x:v>0.1968503937</x:v>
      </x:c>
      <x:c r="R5310" s="3" t="b">
        <x:v>0</x:v>
      </x:c>
      <x:c r="S5310" s="3" t="b">
        <x:v>0</x:v>
      </x:c>
      <x:c r="T5310" s="3" t="b">
        <x:v>0</x:v>
      </x:c>
      <x:c r="U5310" s="2" t="str">
        <x:f>IF(T5310=TRUE,"Priority review",IF(R5310=TRUE,"High cost",IF(S5310=TRUE,"Low quality","Benchmark")))</x:f>
        <x:v>Benchmark</x:v>
      </x:c>
    </x:row>
    <x:row r="5311">
      <x:c r="A5311" s="2" t="str">
        <x:v>440073</x:v>
      </x:c>
      <x:c r="B5311" s="2" t="str">
        <x:v>MAURY REGIONAL HOSPITAL</x:v>
      </x:c>
      <x:c r="C5311" s="2" t="str">
        <x:v>COLUMBIA</x:v>
      </x:c>
      <x:c r="D5311" s="2" t="str">
        <x:v>TN</x:v>
      </x:c>
      <x:c r="E5311" s="2" t="str">
        <x:v>Acute Care Hospitals</x:v>
      </x:c>
      <x:c r="F5311" s="2" t="str">
        <x:v>Government</x:v>
      </x:c>
      <x:c r="G5311" s="2" t="str">
        <x:v>Unknown</x:v>
      </x:c>
      <x:c r="H5311" s="7" t="n">
        <x:v>3</x:v>
      </x:c>
      <x:c r="I5311" s="7" t="n">
        <x:v>4</x:v>
      </x:c>
      <x:c r="J5311" s="7" t="n">
        <x:v>1.06</x:v>
      </x:c>
      <x:c r="K5311" s="8"/>
      <x:c r="L5311" s="8"/>
      <x:c r="M5311" s="9"/>
      <x:c r="N5311" s="10"/>
      <x:c r="O5311" s="9"/>
      <x:c r="P5311" s="9" t="n">
        <x:v>0</x:v>
      </x:c>
      <x:c r="Q5311" s="9" t="n">
        <x:v>0.1968503937</x:v>
      </x:c>
      <x:c r="R5311" s="3" t="b">
        <x:v>0</x:v>
      </x:c>
      <x:c r="S5311" s="3" t="b">
        <x:v>0</x:v>
      </x:c>
      <x:c r="T5311" s="3" t="b">
        <x:v>0</x:v>
      </x:c>
      <x:c r="U5311" s="2" t="str">
        <x:f>IF(T5311=TRUE,"Priority review",IF(R5311=TRUE,"High cost",IF(S5311=TRUE,"Low quality","Benchmark")))</x:f>
        <x:v>Benchmark</x:v>
      </x:c>
    </x:row>
    <x:row r="5312">
      <x:c r="A5312" s="2" t="str">
        <x:v>340184</x:v>
      </x:c>
      <x:c r="B5312" s="2" t="str">
        <x:v>HAYWOOD REGIONAL MEDICAL CENTER</x:v>
      </x:c>
      <x:c r="C5312" s="2" t="str">
        <x:v>CLYDE</x:v>
      </x:c>
      <x:c r="D5312" s="2" t="str">
        <x:v>NC</x:v>
      </x:c>
      <x:c r="E5312" s="2" t="str">
        <x:v>Acute Care Hospitals</x:v>
      </x:c>
      <x:c r="F5312" s="2" t="str">
        <x:v>Government</x:v>
      </x:c>
      <x:c r="G5312" s="2" t="str">
        <x:v>Unknown</x:v>
      </x:c>
      <x:c r="H5312" s="7" t="n">
        <x:v>3</x:v>
      </x:c>
      <x:c r="I5312" s="7" t="n">
        <x:v>3</x:v>
      </x:c>
      <x:c r="J5312" s="7" t="n">
        <x:v>0.98</x:v>
      </x:c>
      <x:c r="K5312" s="8"/>
      <x:c r="L5312" s="8"/>
      <x:c r="M5312" s="9"/>
      <x:c r="N5312" s="10"/>
      <x:c r="O5312" s="9"/>
      <x:c r="P5312" s="9" t="n">
        <x:v>0</x:v>
      </x:c>
      <x:c r="Q5312" s="9" t="n">
        <x:v>0.1968503937</x:v>
      </x:c>
      <x:c r="R5312" s="3" t="b">
        <x:v>0</x:v>
      </x:c>
      <x:c r="S5312" s="3" t="b">
        <x:v>0</x:v>
      </x:c>
      <x:c r="T5312" s="3" t="b">
        <x:v>0</x:v>
      </x:c>
      <x:c r="U5312" s="2" t="str">
        <x:f>IF(T5312=TRUE,"Priority review",IF(R5312=TRUE,"High cost",IF(S5312=TRUE,"Low quality","Benchmark")))</x:f>
        <x:v>Benchmark</x:v>
      </x:c>
    </x:row>
    <x:row r="5313">
      <x:c r="A5313" s="2" t="str">
        <x:v>050350</x:v>
      </x:c>
      <x:c r="B5313" s="2" t="str">
        <x:v>ADVENTIST HEALTH WHITE MEMORIAL MONTEBELLO</x:v>
      </x:c>
      <x:c r="C5313" s="2" t="str">
        <x:v>MONTEBELLO</x:v>
      </x:c>
      <x:c r="D5313" s="2" t="str">
        <x:v>CA</x:v>
      </x:c>
      <x:c r="E5313" s="2" t="str">
        <x:v>Acute Care Hospitals</x:v>
      </x:c>
      <x:c r="F5313" s="2" t="str">
        <x:v>Voluntary non-profit</x:v>
      </x:c>
      <x:c r="G5313" s="2" t="str">
        <x:v>Unknown</x:v>
      </x:c>
      <x:c r="H5313" s="7" t="n">
        <x:v>3</x:v>
      </x:c>
      <x:c r="I5313" s="7"/>
      <x:c r="J5313" s="7"/>
      <x:c r="K5313" s="8"/>
      <x:c r="L5313" s="8"/>
      <x:c r="M5313" s="9"/>
      <x:c r="N5313" s="10"/>
      <x:c r="O5313" s="9"/>
      <x:c r="P5313" s="9" t="n">
        <x:v>0</x:v>
      </x:c>
      <x:c r="Q5313" s="9" t="n">
        <x:v>0.1968503937</x:v>
      </x:c>
      <x:c r="R5313" s="3" t="b">
        <x:v>0</x:v>
      </x:c>
      <x:c r="S5313" s="3" t="b">
        <x:v>0</x:v>
      </x:c>
      <x:c r="T5313" s="3" t="b">
        <x:v>0</x:v>
      </x:c>
      <x:c r="U5313" s="2" t="str">
        <x:f>IF(T5313=TRUE,"Priority review",IF(R5313=TRUE,"High cost",IF(S5313=TRUE,"Low quality","Benchmark")))</x:f>
        <x:v>Benchmark</x:v>
      </x:c>
    </x:row>
    <x:row r="5314">
      <x:c r="A5314" s="2" t="str">
        <x:v>440173</x:v>
      </x:c>
      <x:c r="B5314" s="2" t="str">
        <x:v>PARKWEST MEDICAL CENTER</x:v>
      </x:c>
      <x:c r="C5314" s="2" t="str">
        <x:v>KNOXVILLE</x:v>
      </x:c>
      <x:c r="D5314" s="2" t="str">
        <x:v>TN</x:v>
      </x:c>
      <x:c r="E5314" s="2" t="str">
        <x:v>Acute Care Hospitals</x:v>
      </x:c>
      <x:c r="F5314" s="2" t="str">
        <x:v>Voluntary non-profit</x:v>
      </x:c>
      <x:c r="G5314" s="2" t="str">
        <x:v>Unknown</x:v>
      </x:c>
      <x:c r="H5314" s="7" t="n">
        <x:v>3</x:v>
      </x:c>
      <x:c r="I5314" s="7" t="n">
        <x:v>3</x:v>
      </x:c>
      <x:c r="J5314" s="7" t="n">
        <x:v>0.97</x:v>
      </x:c>
      <x:c r="K5314" s="8"/>
      <x:c r="L5314" s="8"/>
      <x:c r="M5314" s="9"/>
      <x:c r="N5314" s="10"/>
      <x:c r="O5314" s="9"/>
      <x:c r="P5314" s="9" t="n">
        <x:v>0</x:v>
      </x:c>
      <x:c r="Q5314" s="9" t="n">
        <x:v>0.1968503937</x:v>
      </x:c>
      <x:c r="R5314" s="3" t="b">
        <x:v>0</x:v>
      </x:c>
      <x:c r="S5314" s="3" t="b">
        <x:v>0</x:v>
      </x:c>
      <x:c r="T5314" s="3" t="b">
        <x:v>0</x:v>
      </x:c>
      <x:c r="U5314" s="2" t="str">
        <x:f>IF(T5314=TRUE,"Priority review",IF(R5314=TRUE,"High cost",IF(S5314=TRUE,"Low quality","Benchmark")))</x:f>
        <x:v>Benchmark</x:v>
      </x:c>
    </x:row>
    <x:row r="5315">
      <x:c r="A5315" s="2" t="str">
        <x:v>450018</x:v>
      </x:c>
      <x:c r="B5315" s="2" t="str">
        <x:v>UNIVERSITY OF TEXAS MEDICAL BRANCH GALVESTON</x:v>
      </x:c>
      <x:c r="C5315" s="2" t="str">
        <x:v>GALVESTON</x:v>
      </x:c>
      <x:c r="D5315" s="2" t="str">
        <x:v>TX</x:v>
      </x:c>
      <x:c r="E5315" s="2" t="str">
        <x:v>Acute Care Hospitals</x:v>
      </x:c>
      <x:c r="F5315" s="2" t="str">
        <x:v>Government</x:v>
      </x:c>
      <x:c r="G5315" s="2" t="str">
        <x:v>Unknown</x:v>
      </x:c>
      <x:c r="H5315" s="7" t="n">
        <x:v>3</x:v>
      </x:c>
      <x:c r="I5315" s="7" t="n">
        <x:v>3</x:v>
      </x:c>
      <x:c r="J5315" s="7" t="n">
        <x:v>1.06</x:v>
      </x:c>
      <x:c r="K5315" s="8"/>
      <x:c r="L5315" s="8"/>
      <x:c r="M5315" s="9"/>
      <x:c r="N5315" s="10"/>
      <x:c r="O5315" s="9"/>
      <x:c r="P5315" s="9" t="n">
        <x:v>0</x:v>
      </x:c>
      <x:c r="Q5315" s="9" t="n">
        <x:v>0.1968503937</x:v>
      </x:c>
      <x:c r="R5315" s="3" t="b">
        <x:v>0</x:v>
      </x:c>
      <x:c r="S5315" s="3" t="b">
        <x:v>0</x:v>
      </x:c>
      <x:c r="T5315" s="3" t="b">
        <x:v>0</x:v>
      </x:c>
      <x:c r="U5315" s="2" t="str">
        <x:f>IF(T5315=TRUE,"Priority review",IF(R5315=TRUE,"High cost",IF(S5315=TRUE,"Low quality","Benchmark")))</x:f>
        <x:v>Benchmark</x:v>
      </x:c>
    </x:row>
    <x:row r="5316">
      <x:c r="A5316" s="2" t="str">
        <x:v>040026</x:v>
      </x:c>
      <x:c r="B5316" s="2" t="str">
        <x:v>CHI ST. VINCENT HOSPITAL HOT SPRINGS</x:v>
      </x:c>
      <x:c r="C5316" s="2" t="str">
        <x:v>HOT SPRINGS</x:v>
      </x:c>
      <x:c r="D5316" s="2" t="str">
        <x:v>AR</x:v>
      </x:c>
      <x:c r="E5316" s="2" t="str">
        <x:v>Acute Care Hospitals</x:v>
      </x:c>
      <x:c r="F5316" s="2" t="str">
        <x:v>Voluntary non-profit</x:v>
      </x:c>
      <x:c r="G5316" s="2" t="str">
        <x:v>Unknown</x:v>
      </x:c>
      <x:c r="H5316" s="7" t="n">
        <x:v>3</x:v>
      </x:c>
      <x:c r="I5316" s="7" t="n">
        <x:v>3</x:v>
      </x:c>
      <x:c r="J5316" s="7" t="n">
        <x:v>1.11</x:v>
      </x:c>
      <x:c r="K5316" s="8"/>
      <x:c r="L5316" s="8"/>
      <x:c r="M5316" s="9"/>
      <x:c r="N5316" s="10"/>
      <x:c r="O5316" s="9"/>
      <x:c r="P5316" s="9" t="n">
        <x:v>0</x:v>
      </x:c>
      <x:c r="Q5316" s="9" t="n">
        <x:v>0.1968503937</x:v>
      </x:c>
      <x:c r="R5316" s="3" t="b">
        <x:v>0</x:v>
      </x:c>
      <x:c r="S5316" s="3" t="b">
        <x:v>0</x:v>
      </x:c>
      <x:c r="T5316" s="3" t="b">
        <x:v>0</x:v>
      </x:c>
      <x:c r="U5316" s="2" t="str">
        <x:f>IF(T5316=TRUE,"Priority review",IF(R5316=TRUE,"High cost",IF(S5316=TRUE,"Low quality","Benchmark")))</x:f>
        <x:v>Benchmark</x:v>
      </x:c>
    </x:row>
    <x:row r="5317">
      <x:c r="A5317" s="2" t="str">
        <x:v>450229</x:v>
      </x:c>
      <x:c r="B5317" s="2" t="str">
        <x:v>HENDRICK MEDICAL CENTER</x:v>
      </x:c>
      <x:c r="C5317" s="2" t="str">
        <x:v>ABILENE</x:v>
      </x:c>
      <x:c r="D5317" s="2" t="str">
        <x:v>TX</x:v>
      </x:c>
      <x:c r="E5317" s="2" t="str">
        <x:v>Acute Care Hospitals</x:v>
      </x:c>
      <x:c r="F5317" s="2" t="str">
        <x:v>Voluntary non-profit</x:v>
      </x:c>
      <x:c r="G5317" s="2" t="str">
        <x:v>Unknown</x:v>
      </x:c>
      <x:c r="H5317" s="7" t="n">
        <x:v>3</x:v>
      </x:c>
      <x:c r="I5317" s="7" t="n">
        <x:v>3</x:v>
      </x:c>
      <x:c r="J5317" s="7" t="n">
        <x:v>1.1</x:v>
      </x:c>
      <x:c r="K5317" s="8"/>
      <x:c r="L5317" s="8"/>
      <x:c r="M5317" s="9"/>
      <x:c r="N5317" s="10"/>
      <x:c r="O5317" s="9"/>
      <x:c r="P5317" s="9" t="n">
        <x:v>0</x:v>
      </x:c>
      <x:c r="Q5317" s="9" t="n">
        <x:v>0.1968503937</x:v>
      </x:c>
      <x:c r="R5317" s="3" t="b">
        <x:v>0</x:v>
      </x:c>
      <x:c r="S5317" s="3" t="b">
        <x:v>0</x:v>
      </x:c>
      <x:c r="T5317" s="3" t="b">
        <x:v>0</x:v>
      </x:c>
      <x:c r="U5317" s="2" t="str">
        <x:f>IF(T5317=TRUE,"Priority review",IF(R5317=TRUE,"High cost",IF(S5317=TRUE,"Low quality","Benchmark")))</x:f>
        <x:v>Benchmark</x:v>
      </x:c>
    </x:row>
    <x:row r="5318">
      <x:c r="A5318" s="2" t="str">
        <x:v>030069</x:v>
      </x:c>
      <x:c r="B5318" s="2" t="str">
        <x:v>HAVASU REGIONAL MEDICAL CENTER</x:v>
      </x:c>
      <x:c r="C5318" s="2" t="str">
        <x:v>LAKE HAVASU CITY</x:v>
      </x:c>
      <x:c r="D5318" s="2" t="str">
        <x:v>AZ</x:v>
      </x:c>
      <x:c r="E5318" s="2" t="str">
        <x:v>Acute Care Hospitals</x:v>
      </x:c>
      <x:c r="F5318" s="2" t="str">
        <x:v>Proprietary</x:v>
      </x:c>
      <x:c r="G5318" s="2" t="str">
        <x:v>Unknown</x:v>
      </x:c>
      <x:c r="H5318" s="7" t="n">
        <x:v>3</x:v>
      </x:c>
      <x:c r="I5318" s="7" t="n">
        <x:v>2</x:v>
      </x:c>
      <x:c r="J5318" s="7" t="n">
        <x:v>0.95</x:v>
      </x:c>
      <x:c r="K5318" s="8"/>
      <x:c r="L5318" s="8"/>
      <x:c r="M5318" s="9"/>
      <x:c r="N5318" s="10"/>
      <x:c r="O5318" s="9"/>
      <x:c r="P5318" s="9" t="n">
        <x:v>0</x:v>
      </x:c>
      <x:c r="Q5318" s="9" t="n">
        <x:v>0.1968503937</x:v>
      </x:c>
      <x:c r="R5318" s="3" t="b">
        <x:v>0</x:v>
      </x:c>
      <x:c r="S5318" s="3" t="b">
        <x:v>0</x:v>
      </x:c>
      <x:c r="T5318" s="3" t="b">
        <x:v>0</x:v>
      </x:c>
      <x:c r="U5318" s="2" t="str">
        <x:f>IF(T5318=TRUE,"Priority review",IF(R5318=TRUE,"High cost",IF(S5318=TRUE,"Low quality","Benchmark")))</x:f>
        <x:v>Benchmark</x:v>
      </x:c>
    </x:row>
    <x:row r="5319">
      <x:c r="A5319" s="2" t="str">
        <x:v>450346</x:v>
      </x:c>
      <x:c r="B5319" s="2" t="str">
        <x:v>BAPTIST BEAUMONT HOSPITAL</x:v>
      </x:c>
      <x:c r="C5319" s="2" t="str">
        <x:v>BEAUMONT</x:v>
      </x:c>
      <x:c r="D5319" s="2" t="str">
        <x:v>TX</x:v>
      </x:c>
      <x:c r="E5319" s="2" t="str">
        <x:v>Acute Care Hospitals</x:v>
      </x:c>
      <x:c r="F5319" s="2" t="str">
        <x:v>Voluntary non-profit</x:v>
      </x:c>
      <x:c r="G5319" s="2" t="str">
        <x:v>Unknown</x:v>
      </x:c>
      <x:c r="H5319" s="7" t="n">
        <x:v>3</x:v>
      </x:c>
      <x:c r="I5319" s="7" t="n">
        <x:v>3</x:v>
      </x:c>
      <x:c r="J5319" s="7" t="n">
        <x:v>1.03</x:v>
      </x:c>
      <x:c r="K5319" s="8"/>
      <x:c r="L5319" s="8"/>
      <x:c r="M5319" s="9"/>
      <x:c r="N5319" s="10"/>
      <x:c r="O5319" s="9"/>
      <x:c r="P5319" s="9" t="n">
        <x:v>0</x:v>
      </x:c>
      <x:c r="Q5319" s="9" t="n">
        <x:v>0.1968503937</x:v>
      </x:c>
      <x:c r="R5319" s="3" t="b">
        <x:v>0</x:v>
      </x:c>
      <x:c r="S5319" s="3" t="b">
        <x:v>0</x:v>
      </x:c>
      <x:c r="T5319" s="3" t="b">
        <x:v>0</x:v>
      </x:c>
      <x:c r="U5319" s="2" t="str">
        <x:f>IF(T5319=TRUE,"Priority review",IF(R5319=TRUE,"High cost",IF(S5319=TRUE,"Low quality","Benchmark")))</x:f>
        <x:v>Benchmark</x:v>
      </x:c>
    </x:row>
    <x:row r="5320">
      <x:c r="A5320" s="2" t="str">
        <x:v>110044</x:v>
      </x:c>
      <x:c r="B5320" s="2" t="str">
        <x:v>PHOEBE SUMTER MEDICAL CENTER</x:v>
      </x:c>
      <x:c r="C5320" s="2" t="str">
        <x:v>AMERICUS</x:v>
      </x:c>
      <x:c r="D5320" s="2" t="str">
        <x:v>GA</x:v>
      </x:c>
      <x:c r="E5320" s="2" t="str">
        <x:v>Acute Care Hospitals</x:v>
      </x:c>
      <x:c r="F5320" s="2" t="str">
        <x:v>Government</x:v>
      </x:c>
      <x:c r="G5320" s="2" t="str">
        <x:v>Unknown</x:v>
      </x:c>
      <x:c r="H5320" s="7" t="n">
        <x:v>3</x:v>
      </x:c>
      <x:c r="I5320" s="7" t="n">
        <x:v>3</x:v>
      </x:c>
      <x:c r="J5320" s="7" t="n">
        <x:v>0.88</x:v>
      </x:c>
      <x:c r="K5320" s="8"/>
      <x:c r="L5320" s="8"/>
      <x:c r="M5320" s="9"/>
      <x:c r="N5320" s="10"/>
      <x:c r="O5320" s="9"/>
      <x:c r="P5320" s="9" t="n">
        <x:v>0</x:v>
      </x:c>
      <x:c r="Q5320" s="9" t="n">
        <x:v>0.1968503937</x:v>
      </x:c>
      <x:c r="R5320" s="3" t="b">
        <x:v>0</x:v>
      </x:c>
      <x:c r="S5320" s="3" t="b">
        <x:v>0</x:v>
      </x:c>
      <x:c r="T5320" s="3" t="b">
        <x:v>0</x:v>
      </x:c>
      <x:c r="U5320" s="2" t="str">
        <x:f>IF(T5320=TRUE,"Priority review",IF(R5320=TRUE,"High cost",IF(S5320=TRUE,"Low quality","Benchmark")))</x:f>
        <x:v>Benchmark</x:v>
      </x:c>
    </x:row>
    <x:row r="5321">
      <x:c r="A5321" s="2" t="str">
        <x:v>180012</x:v>
      </x:c>
      <x:c r="B5321" s="2" t="str">
        <x:v>BAPTIST HEALTH HARDIN</x:v>
      </x:c>
      <x:c r="C5321" s="2" t="str">
        <x:v>ELIZABETHTOWN</x:v>
      </x:c>
      <x:c r="D5321" s="2" t="str">
        <x:v>KY</x:v>
      </x:c>
      <x:c r="E5321" s="2" t="str">
        <x:v>Acute Care Hospitals</x:v>
      </x:c>
      <x:c r="F5321" s="2" t="str">
        <x:v>Government</x:v>
      </x:c>
      <x:c r="G5321" s="2" t="str">
        <x:v>Unknown</x:v>
      </x:c>
      <x:c r="H5321" s="7" t="n">
        <x:v>3</x:v>
      </x:c>
      <x:c r="I5321" s="7" t="n">
        <x:v>3</x:v>
      </x:c>
      <x:c r="J5321" s="7" t="n">
        <x:v>1.03</x:v>
      </x:c>
      <x:c r="K5321" s="8"/>
      <x:c r="L5321" s="8"/>
      <x:c r="M5321" s="9"/>
      <x:c r="N5321" s="10"/>
      <x:c r="O5321" s="9"/>
      <x:c r="P5321" s="9" t="n">
        <x:v>0</x:v>
      </x:c>
      <x:c r="Q5321" s="9" t="n">
        <x:v>0.1968503937</x:v>
      </x:c>
      <x:c r="R5321" s="3" t="b">
        <x:v>0</x:v>
      </x:c>
      <x:c r="S5321" s="3" t="b">
        <x:v>0</x:v>
      </x:c>
      <x:c r="T5321" s="3" t="b">
        <x:v>0</x:v>
      </x:c>
      <x:c r="U5321" s="2" t="str">
        <x:f>IF(T5321=TRUE,"Priority review",IF(R5321=TRUE,"High cost",IF(S5321=TRUE,"Low quality","Benchmark")))</x:f>
        <x:v>Benchmark</x:v>
      </x:c>
    </x:row>
    <x:row r="5322">
      <x:c r="A5322" s="2" t="str">
        <x:v>450403</x:v>
      </x:c>
      <x:c r="B5322" s="2" t="str">
        <x:v>MEDICAL CENTER OF MCKINNEY</x:v>
      </x:c>
      <x:c r="C5322" s="2" t="str">
        <x:v>MCKINNEY</x:v>
      </x:c>
      <x:c r="D5322" s="2" t="str">
        <x:v>TX</x:v>
      </x:c>
      <x:c r="E5322" s="2" t="str">
        <x:v>Acute Care Hospitals</x:v>
      </x:c>
      <x:c r="F5322" s="2" t="str">
        <x:v>Proprietary</x:v>
      </x:c>
      <x:c r="G5322" s="2" t="str">
        <x:v>Unknown</x:v>
      </x:c>
      <x:c r="H5322" s="7" t="n">
        <x:v>3</x:v>
      </x:c>
      <x:c r="I5322" s="7" t="n">
        <x:v>3</x:v>
      </x:c>
      <x:c r="J5322" s="7" t="n">
        <x:v>1.08</x:v>
      </x:c>
      <x:c r="K5322" s="8"/>
      <x:c r="L5322" s="8"/>
      <x:c r="M5322" s="9"/>
      <x:c r="N5322" s="10"/>
      <x:c r="O5322" s="9"/>
      <x:c r="P5322" s="9" t="n">
        <x:v>0</x:v>
      </x:c>
      <x:c r="Q5322" s="9" t="n">
        <x:v>0.1968503937</x:v>
      </x:c>
      <x:c r="R5322" s="3" t="b">
        <x:v>0</x:v>
      </x:c>
      <x:c r="S5322" s="3" t="b">
        <x:v>0</x:v>
      </x:c>
      <x:c r="T5322" s="3" t="b">
        <x:v>0</x:v>
      </x:c>
      <x:c r="U5322" s="2" t="str">
        <x:f>IF(T5322=TRUE,"Priority review",IF(R5322=TRUE,"High cost",IF(S5322=TRUE,"Low quality","Benchmark")))</x:f>
        <x:v>Benchmark</x:v>
      </x:c>
    </x:row>
    <x:row r="5323">
      <x:c r="A5323" s="2" t="str">
        <x:v>520116</x:v>
      </x:c>
      <x:c r="B5323" s="2" t="str">
        <x:v>WATERTOWN MEMORIAL HOSPITAL</x:v>
      </x:c>
      <x:c r="C5323" s="2" t="str">
        <x:v>WATERTOWN</x:v>
      </x:c>
      <x:c r="D5323" s="2" t="str">
        <x:v>WI</x:v>
      </x:c>
      <x:c r="E5323" s="2" t="str">
        <x:v>Acute Care Hospitals</x:v>
      </x:c>
      <x:c r="F5323" s="2" t="str">
        <x:v>Voluntary non-profit</x:v>
      </x:c>
      <x:c r="G5323" s="2" t="str">
        <x:v>Unknown</x:v>
      </x:c>
      <x:c r="H5323" s="7" t="n">
        <x:v>3</x:v>
      </x:c>
      <x:c r="I5323" s="7" t="n">
        <x:v>4</x:v>
      </x:c>
      <x:c r="J5323" s="7" t="n">
        <x:v>0.97</x:v>
      </x:c>
      <x:c r="K5323" s="8"/>
      <x:c r="L5323" s="8"/>
      <x:c r="M5323" s="9"/>
      <x:c r="N5323" s="10"/>
      <x:c r="O5323" s="9"/>
      <x:c r="P5323" s="9" t="n">
        <x:v>0</x:v>
      </x:c>
      <x:c r="Q5323" s="9" t="n">
        <x:v>0.1968503937</x:v>
      </x:c>
      <x:c r="R5323" s="3" t="b">
        <x:v>0</x:v>
      </x:c>
      <x:c r="S5323" s="3" t="b">
        <x:v>0</x:v>
      </x:c>
      <x:c r="T5323" s="3" t="b">
        <x:v>0</x:v>
      </x:c>
      <x:c r="U5323" s="2" t="str">
        <x:f>IF(T5323=TRUE,"Priority review",IF(R5323=TRUE,"High cost",IF(S5323=TRUE,"Low quality","Benchmark")))</x:f>
        <x:v>Benchmark</x:v>
      </x:c>
    </x:row>
    <x:row r="5324">
      <x:c r="A5324" s="2" t="str">
        <x:v>110082</x:v>
      </x:c>
      <x:c r="B5324" s="2" t="str">
        <x:v>SAINT JOSEPH'S HOSPITAL OF ATLANTA, INC</x:v>
      </x:c>
      <x:c r="C5324" s="2" t="str">
        <x:v>ATLANTA</x:v>
      </x:c>
      <x:c r="D5324" s="2" t="str">
        <x:v>GA</x:v>
      </x:c>
      <x:c r="E5324" s="2" t="str">
        <x:v>Acute Care Hospitals</x:v>
      </x:c>
      <x:c r="F5324" s="2" t="str">
        <x:v>Voluntary non-profit</x:v>
      </x:c>
      <x:c r="G5324" s="2" t="str">
        <x:v>Unknown</x:v>
      </x:c>
      <x:c r="H5324" s="7" t="n">
        <x:v>3</x:v>
      </x:c>
      <x:c r="I5324" s="7" t="n">
        <x:v>3</x:v>
      </x:c>
      <x:c r="J5324" s="7" t="n">
        <x:v>0.93</x:v>
      </x:c>
      <x:c r="K5324" s="8"/>
      <x:c r="L5324" s="8"/>
      <x:c r="M5324" s="9"/>
      <x:c r="N5324" s="10"/>
      <x:c r="O5324" s="9"/>
      <x:c r="P5324" s="9" t="n">
        <x:v>0</x:v>
      </x:c>
      <x:c r="Q5324" s="9" t="n">
        <x:v>0.1968503937</x:v>
      </x:c>
      <x:c r="R5324" s="3" t="b">
        <x:v>0</x:v>
      </x:c>
      <x:c r="S5324" s="3" t="b">
        <x:v>0</x:v>
      </x:c>
      <x:c r="T5324" s="3" t="b">
        <x:v>0</x:v>
      </x:c>
      <x:c r="U5324" s="2" t="str">
        <x:f>IF(T5324=TRUE,"Priority review",IF(R5324=TRUE,"High cost",IF(S5324=TRUE,"Low quality","Benchmark")))</x:f>
        <x:v>Benchmark</x:v>
      </x:c>
    </x:row>
    <x:row r="5325">
      <x:c r="A5325" s="2" t="str">
        <x:v>190020</x:v>
      </x:c>
      <x:c r="B5325" s="2" t="str">
        <x:v>LANE REGIONAL MEDICAL CENTER</x:v>
      </x:c>
      <x:c r="C5325" s="2" t="str">
        <x:v>ZACHARY</x:v>
      </x:c>
      <x:c r="D5325" s="2" t="str">
        <x:v>LA</x:v>
      </x:c>
      <x:c r="E5325" s="2" t="str">
        <x:v>Acute Care Hospitals</x:v>
      </x:c>
      <x:c r="F5325" s="2" t="str">
        <x:v>Government</x:v>
      </x:c>
      <x:c r="G5325" s="2" t="str">
        <x:v>Unknown</x:v>
      </x:c>
      <x:c r="H5325" s="7" t="n">
        <x:v>3</x:v>
      </x:c>
      <x:c r="I5325" s="7" t="n">
        <x:v>4</x:v>
      </x:c>
      <x:c r="J5325" s="7" t="n">
        <x:v>1.1</x:v>
      </x:c>
      <x:c r="K5325" s="8"/>
      <x:c r="L5325" s="8"/>
      <x:c r="M5325" s="9"/>
      <x:c r="N5325" s="10"/>
      <x:c r="O5325" s="9"/>
      <x:c r="P5325" s="9" t="n">
        <x:v>0</x:v>
      </x:c>
      <x:c r="Q5325" s="9" t="n">
        <x:v>0.1968503937</x:v>
      </x:c>
      <x:c r="R5325" s="3" t="b">
        <x:v>0</x:v>
      </x:c>
      <x:c r="S5325" s="3" t="b">
        <x:v>0</x:v>
      </x:c>
      <x:c r="T5325" s="3" t="b">
        <x:v>0</x:v>
      </x:c>
      <x:c r="U5325" s="2" t="str">
        <x:f>IF(T5325=TRUE,"Priority review",IF(R5325=TRUE,"High cost",IF(S5325=TRUE,"Low quality","Benchmark")))</x:f>
        <x:v>Benchmark</x:v>
      </x:c>
    </x:row>
    <x:row r="5326">
      <x:c r="A5326" s="2" t="str">
        <x:v>340016</x:v>
      </x:c>
      <x:c r="B5326" s="2" t="str">
        <x:v>HARRIS REGIONAL HOSPITAL</x:v>
      </x:c>
      <x:c r="C5326" s="2" t="str">
        <x:v>SYLVA</x:v>
      </x:c>
      <x:c r="D5326" s="2" t="str">
        <x:v>NC</x:v>
      </x:c>
      <x:c r="E5326" s="2" t="str">
        <x:v>Acute Care Hospitals</x:v>
      </x:c>
      <x:c r="F5326" s="2" t="str">
        <x:v>Proprietary</x:v>
      </x:c>
      <x:c r="G5326" s="2" t="str">
        <x:v>Unknown</x:v>
      </x:c>
      <x:c r="H5326" s="7" t="n">
        <x:v>3</x:v>
      </x:c>
      <x:c r="I5326" s="7" t="n">
        <x:v>3</x:v>
      </x:c>
      <x:c r="J5326" s="7" t="n">
        <x:v>1.06</x:v>
      </x:c>
      <x:c r="K5326" s="8"/>
      <x:c r="L5326" s="8"/>
      <x:c r="M5326" s="9"/>
      <x:c r="N5326" s="10"/>
      <x:c r="O5326" s="9"/>
      <x:c r="P5326" s="9" t="n">
        <x:v>0</x:v>
      </x:c>
      <x:c r="Q5326" s="9" t="n">
        <x:v>0.1968503937</x:v>
      </x:c>
      <x:c r="R5326" s="3" t="b">
        <x:v>0</x:v>
      </x:c>
      <x:c r="S5326" s="3" t="b">
        <x:v>0</x:v>
      </x:c>
      <x:c r="T5326" s="3" t="b">
        <x:v>0</x:v>
      </x:c>
      <x:c r="U5326" s="2" t="str">
        <x:f>IF(T5326=TRUE,"Priority review",IF(R5326=TRUE,"High cost",IF(S5326=TRUE,"Low quality","Benchmark")))</x:f>
        <x:v>Benchmark</x:v>
      </x:c>
    </x:row>
    <x:row r="5327">
      <x:c r="A5327" s="2" t="str">
        <x:v>370112</x:v>
      </x:c>
      <x:c r="B5327" s="2" t="str">
        <x:v>SEQUOYAH COUNTY-CITY OF SALLISAW HOSPITAL AUTHORIT</x:v>
      </x:c>
      <x:c r="C5327" s="2" t="str">
        <x:v>SALLISAW</x:v>
      </x:c>
      <x:c r="D5327" s="2" t="str">
        <x:v>OK</x:v>
      </x:c>
      <x:c r="E5327" s="2" t="str">
        <x:v>Acute Care Hospitals</x:v>
      </x:c>
      <x:c r="F5327" s="2" t="str">
        <x:v>Government</x:v>
      </x:c>
      <x:c r="G5327" s="2" t="str">
        <x:v>Unknown</x:v>
      </x:c>
      <x:c r="H5327" s="7" t="n">
        <x:v>3</x:v>
      </x:c>
      <x:c r="I5327" s="7"/>
      <x:c r="J5327" s="7" t="n">
        <x:v>1.05</x:v>
      </x:c>
      <x:c r="K5327" s="8"/>
      <x:c r="L5327" s="8"/>
      <x:c r="M5327" s="9"/>
      <x:c r="N5327" s="10"/>
      <x:c r="O5327" s="9"/>
      <x:c r="P5327" s="9" t="n">
        <x:v>0</x:v>
      </x:c>
      <x:c r="Q5327" s="9" t="n">
        <x:v>0.1968503937</x:v>
      </x:c>
      <x:c r="R5327" s="3" t="b">
        <x:v>0</x:v>
      </x:c>
      <x:c r="S5327" s="3" t="b">
        <x:v>0</x:v>
      </x:c>
      <x:c r="T5327" s="3" t="b">
        <x:v>0</x:v>
      </x:c>
      <x:c r="U5327" s="2" t="str">
        <x:f>IF(T5327=TRUE,"Priority review",IF(R5327=TRUE,"High cost",IF(S5327=TRUE,"Low quality","Benchmark")))</x:f>
        <x:v>Benchmark</x:v>
      </x:c>
    </x:row>
    <x:row r="5328">
      <x:c r="A5328" s="2" t="str">
        <x:v>150044</x:v>
      </x:c>
      <x:c r="B5328" s="2" t="str">
        <x:v>BAPTIST HEALTH FLOYD</x:v>
      </x:c>
      <x:c r="C5328" s="2" t="str">
        <x:v>NEW ALBANY</x:v>
      </x:c>
      <x:c r="D5328" s="2" t="str">
        <x:v>IN</x:v>
      </x:c>
      <x:c r="E5328" s="2" t="str">
        <x:v>Acute Care Hospitals</x:v>
      </x:c>
      <x:c r="F5328" s="2" t="str">
        <x:v>Voluntary non-profit</x:v>
      </x:c>
      <x:c r="G5328" s="2" t="str">
        <x:v>Unknown</x:v>
      </x:c>
      <x:c r="H5328" s="7" t="n">
        <x:v>3</x:v>
      </x:c>
      <x:c r="I5328" s="7" t="n">
        <x:v>3</x:v>
      </x:c>
      <x:c r="J5328" s="7" t="n">
        <x:v>1.13</x:v>
      </x:c>
      <x:c r="K5328" s="8"/>
      <x:c r="L5328" s="8"/>
      <x:c r="M5328" s="9"/>
      <x:c r="N5328" s="10"/>
      <x:c r="O5328" s="9"/>
      <x:c r="P5328" s="9" t="n">
        <x:v>0</x:v>
      </x:c>
      <x:c r="Q5328" s="9" t="n">
        <x:v>0.1968503937</x:v>
      </x:c>
      <x:c r="R5328" s="3" t="b">
        <x:v>0</x:v>
      </x:c>
      <x:c r="S5328" s="3" t="b">
        <x:v>0</x:v>
      </x:c>
      <x:c r="T5328" s="3" t="b">
        <x:v>0</x:v>
      </x:c>
      <x:c r="U5328" s="2" t="str">
        <x:f>IF(T5328=TRUE,"Priority review",IF(R5328=TRUE,"High cost",IF(S5328=TRUE,"Low quality","Benchmark")))</x:f>
        <x:v>Benchmark</x:v>
      </x:c>
    </x:row>
    <x:row r="5329">
      <x:c r="A5329" s="2" t="str">
        <x:v>180103</x:v>
      </x:c>
      <x:c r="B5329" s="2" t="str">
        <x:v>BAPTIST HEALTH LEXINGTON</x:v>
      </x:c>
      <x:c r="C5329" s="2" t="str">
        <x:v>LEXINGTON</x:v>
      </x:c>
      <x:c r="D5329" s="2" t="str">
        <x:v>KY</x:v>
      </x:c>
      <x:c r="E5329" s="2" t="str">
        <x:v>Acute Care Hospitals</x:v>
      </x:c>
      <x:c r="F5329" s="2" t="str">
        <x:v>Voluntary non-profit</x:v>
      </x:c>
      <x:c r="G5329" s="2" t="str">
        <x:v>Unknown</x:v>
      </x:c>
      <x:c r="H5329" s="7" t="n">
        <x:v>4</x:v>
      </x:c>
      <x:c r="I5329" s="7" t="n">
        <x:v>4</x:v>
      </x:c>
      <x:c r="J5329" s="7" t="n">
        <x:v>1.09</x:v>
      </x:c>
      <x:c r="K5329" s="8"/>
      <x:c r="L5329" s="8"/>
      <x:c r="M5329" s="9"/>
      <x:c r="N5329" s="10"/>
      <x:c r="O5329" s="9"/>
      <x:c r="P5329" s="9" t="n">
        <x:v>0</x:v>
      </x:c>
      <x:c r="Q5329" s="9" t="n">
        <x:v>0.3464566929</x:v>
      </x:c>
      <x:c r="R5329" s="3" t="b">
        <x:v>0</x:v>
      </x:c>
      <x:c r="S5329" s="3" t="b">
        <x:v>0</x:v>
      </x:c>
      <x:c r="T5329" s="3" t="b">
        <x:v>0</x:v>
      </x:c>
      <x:c r="U5329" s="2" t="str">
        <x:f>IF(T5329=TRUE,"Priority review",IF(R5329=TRUE,"High cost",IF(S5329=TRUE,"Low quality","Benchmark")))</x:f>
        <x:v>Benchmark</x:v>
      </x:c>
    </x:row>
    <x:row r="5330">
      <x:c r="A5330" s="2" t="str">
        <x:v>450788</x:v>
      </x:c>
      <x:c r="B5330" s="2" t="str">
        <x:v>CORPUS CHRISTI MEDICAL CENTER,THE</x:v>
      </x:c>
      <x:c r="C5330" s="2" t="str">
        <x:v>CORPUS CHRISTI</x:v>
      </x:c>
      <x:c r="D5330" s="2" t="str">
        <x:v>TX</x:v>
      </x:c>
      <x:c r="E5330" s="2" t="str">
        <x:v>Acute Care Hospitals</x:v>
      </x:c>
      <x:c r="F5330" s="2" t="str">
        <x:v>Voluntary non-profit</x:v>
      </x:c>
      <x:c r="G5330" s="2" t="str">
        <x:v>Unknown</x:v>
      </x:c>
      <x:c r="H5330" s="7" t="n">
        <x:v>4</x:v>
      </x:c>
      <x:c r="I5330" s="7" t="n">
        <x:v>3</x:v>
      </x:c>
      <x:c r="J5330" s="7" t="n">
        <x:v>1.04</x:v>
      </x:c>
      <x:c r="K5330" s="8"/>
      <x:c r="L5330" s="8"/>
      <x:c r="M5330" s="9"/>
      <x:c r="N5330" s="10"/>
      <x:c r="O5330" s="9"/>
      <x:c r="P5330" s="9" t="n">
        <x:v>0</x:v>
      </x:c>
      <x:c r="Q5330" s="9" t="n">
        <x:v>0.3464566929</x:v>
      </x:c>
      <x:c r="R5330" s="3" t="b">
        <x:v>0</x:v>
      </x:c>
      <x:c r="S5330" s="3" t="b">
        <x:v>0</x:v>
      </x:c>
      <x:c r="T5330" s="3" t="b">
        <x:v>0</x:v>
      </x:c>
      <x:c r="U5330" s="2" t="str">
        <x:f>IF(T5330=TRUE,"Priority review",IF(R5330=TRUE,"High cost",IF(S5330=TRUE,"Low quality","Benchmark")))</x:f>
        <x:v>Benchmark</x:v>
      </x:c>
    </x:row>
    <x:row r="5331">
      <x:c r="A5331" s="2" t="str">
        <x:v>040041</x:v>
      </x:c>
      <x:c r="B5331" s="2" t="str">
        <x:v>ST MARYS REGIONAL MEDICAL CENTER</x:v>
      </x:c>
      <x:c r="C5331" s="2" t="str">
        <x:v>RUSSELLVILLE</x:v>
      </x:c>
      <x:c r="D5331" s="2" t="str">
        <x:v>AR</x:v>
      </x:c>
      <x:c r="E5331" s="2" t="str">
        <x:v>Acute Care Hospitals</x:v>
      </x:c>
      <x:c r="F5331" s="2" t="str">
        <x:v>Proprietary</x:v>
      </x:c>
      <x:c r="G5331" s="2" t="str">
        <x:v>Unknown</x:v>
      </x:c>
      <x:c r="H5331" s="7" t="n">
        <x:v>4</x:v>
      </x:c>
      <x:c r="I5331" s="7" t="n">
        <x:v>3</x:v>
      </x:c>
      <x:c r="J5331" s="7" t="n">
        <x:v>1.04</x:v>
      </x:c>
      <x:c r="K5331" s="8"/>
      <x:c r="L5331" s="8"/>
      <x:c r="M5331" s="9"/>
      <x:c r="N5331" s="10"/>
      <x:c r="O5331" s="9"/>
      <x:c r="P5331" s="9" t="n">
        <x:v>0</x:v>
      </x:c>
      <x:c r="Q5331" s="9" t="n">
        <x:v>0.3464566929</x:v>
      </x:c>
      <x:c r="R5331" s="3" t="b">
        <x:v>0</x:v>
      </x:c>
      <x:c r="S5331" s="3" t="b">
        <x:v>0</x:v>
      </x:c>
      <x:c r="T5331" s="3" t="b">
        <x:v>0</x:v>
      </x:c>
      <x:c r="U5331" s="2" t="str">
        <x:f>IF(T5331=TRUE,"Priority review",IF(R5331=TRUE,"High cost",IF(S5331=TRUE,"Low quality","Benchmark")))</x:f>
        <x:v>Benchmark</x:v>
      </x:c>
    </x:row>
    <x:row r="5332">
      <x:c r="A5332" s="2" t="str">
        <x:v>110010</x:v>
      </x:c>
      <x:c r="B5332" s="2" t="str">
        <x:v>EMORY UNIVERSITY HOSPITAL</x:v>
      </x:c>
      <x:c r="C5332" s="2" t="str">
        <x:v>ATLANTA</x:v>
      </x:c>
      <x:c r="D5332" s="2" t="str">
        <x:v>GA</x:v>
      </x:c>
      <x:c r="E5332" s="2" t="str">
        <x:v>Acute Care Hospitals</x:v>
      </x:c>
      <x:c r="F5332" s="2" t="str">
        <x:v>Voluntary non-profit</x:v>
      </x:c>
      <x:c r="G5332" s="2" t="str">
        <x:v>Unknown</x:v>
      </x:c>
      <x:c r="H5332" s="7" t="n">
        <x:v>4</x:v>
      </x:c>
      <x:c r="I5332" s="7" t="n">
        <x:v>3</x:v>
      </x:c>
      <x:c r="J5332" s="7" t="n">
        <x:v>0.94</x:v>
      </x:c>
      <x:c r="K5332" s="8"/>
      <x:c r="L5332" s="8"/>
      <x:c r="M5332" s="9"/>
      <x:c r="N5332" s="10"/>
      <x:c r="O5332" s="9"/>
      <x:c r="P5332" s="9" t="n">
        <x:v>0</x:v>
      </x:c>
      <x:c r="Q5332" s="9" t="n">
        <x:v>0.3464566929</x:v>
      </x:c>
      <x:c r="R5332" s="3" t="b">
        <x:v>0</x:v>
      </x:c>
      <x:c r="S5332" s="3" t="b">
        <x:v>0</x:v>
      </x:c>
      <x:c r="T5332" s="3" t="b">
        <x:v>0</x:v>
      </x:c>
      <x:c r="U5332" s="2" t="str">
        <x:f>IF(T5332=TRUE,"Priority review",IF(R5332=TRUE,"High cost",IF(S5332=TRUE,"Low quality","Benchmark")))</x:f>
        <x:v>Benchmark</x:v>
      </x:c>
    </x:row>
    <x:row r="5333">
      <x:c r="A5333" s="2" t="str">
        <x:v>330141</x:v>
      </x:c>
      <x:c r="B5333" s="2" t="str">
        <x:v>LONG ISLAND COMMUNITY HOSPITAL</x:v>
      </x:c>
      <x:c r="C5333" s="2" t="str">
        <x:v>PATCHOGUE</x:v>
      </x:c>
      <x:c r="D5333" s="2" t="str">
        <x:v>NY</x:v>
      </x:c>
      <x:c r="E5333" s="2" t="str">
        <x:v>Acute Care Hospitals</x:v>
      </x:c>
      <x:c r="F5333" s="2" t="str">
        <x:v>Voluntary non-profit</x:v>
      </x:c>
      <x:c r="G5333" s="2" t="str">
        <x:v>Unknown</x:v>
      </x:c>
      <x:c r="H5333" s="7" t="n">
        <x:v>4</x:v>
      </x:c>
      <x:c r="I5333" s="7" t="n">
        <x:v>2</x:v>
      </x:c>
      <x:c r="J5333" s="7" t="n">
        <x:v>1.09</x:v>
      </x:c>
      <x:c r="K5333" s="8"/>
      <x:c r="L5333" s="8"/>
      <x:c r="M5333" s="9"/>
      <x:c r="N5333" s="10"/>
      <x:c r="O5333" s="9"/>
      <x:c r="P5333" s="9" t="n">
        <x:v>0</x:v>
      </x:c>
      <x:c r="Q5333" s="9" t="n">
        <x:v>0.3464566929</x:v>
      </x:c>
      <x:c r="R5333" s="3" t="b">
        <x:v>0</x:v>
      </x:c>
      <x:c r="S5333" s="3" t="b">
        <x:v>0</x:v>
      </x:c>
      <x:c r="T5333" s="3" t="b">
        <x:v>0</x:v>
      </x:c>
      <x:c r="U5333" s="2" t="str">
        <x:f>IF(T5333=TRUE,"Priority review",IF(R5333=TRUE,"High cost",IF(S5333=TRUE,"Low quality","Benchmark")))</x:f>
        <x:v>Benchmark</x:v>
      </x:c>
    </x:row>
    <x:row r="5334">
      <x:c r="A5334" s="2" t="str">
        <x:v>180130</x:v>
      </x:c>
      <x:c r="B5334" s="2" t="str">
        <x:v>BAPTIST HEALTH LOUISVILLE</x:v>
      </x:c>
      <x:c r="C5334" s="2" t="str">
        <x:v>LOUISVILLE</x:v>
      </x:c>
      <x:c r="D5334" s="2" t="str">
        <x:v>KY</x:v>
      </x:c>
      <x:c r="E5334" s="2" t="str">
        <x:v>Acute Care Hospitals</x:v>
      </x:c>
      <x:c r="F5334" s="2" t="str">
        <x:v>Voluntary non-profit</x:v>
      </x:c>
      <x:c r="G5334" s="2" t="str">
        <x:v>Unknown</x:v>
      </x:c>
      <x:c r="H5334" s="7" t="n">
        <x:v>4</x:v>
      </x:c>
      <x:c r="I5334" s="7" t="n">
        <x:v>3</x:v>
      </x:c>
      <x:c r="J5334" s="7" t="n">
        <x:v>1.02</x:v>
      </x:c>
      <x:c r="K5334" s="8"/>
      <x:c r="L5334" s="8"/>
      <x:c r="M5334" s="9"/>
      <x:c r="N5334" s="10"/>
      <x:c r="O5334" s="9"/>
      <x:c r="P5334" s="9" t="n">
        <x:v>0</x:v>
      </x:c>
      <x:c r="Q5334" s="9" t="n">
        <x:v>0.3464566929</x:v>
      </x:c>
      <x:c r="R5334" s="3" t="b">
        <x:v>0</x:v>
      </x:c>
      <x:c r="S5334" s="3" t="b">
        <x:v>0</x:v>
      </x:c>
      <x:c r="T5334" s="3" t="b">
        <x:v>0</x:v>
      </x:c>
      <x:c r="U5334" s="2" t="str">
        <x:f>IF(T5334=TRUE,"Priority review",IF(R5334=TRUE,"High cost",IF(S5334=TRUE,"Low quality","Benchmark")))</x:f>
        <x:v>Benchmark</x:v>
      </x:c>
    </x:row>
    <x:row r="5335">
      <x:c r="A5335" s="2" t="str">
        <x:v>110230</x:v>
      </x:c>
      <x:c r="B5335" s="2" t="str">
        <x:v>EMORY JOHNS CREEK HOSPITAL</x:v>
      </x:c>
      <x:c r="C5335" s="2" t="str">
        <x:v>JOHNS CREEK</x:v>
      </x:c>
      <x:c r="D5335" s="2" t="str">
        <x:v>GA</x:v>
      </x:c>
      <x:c r="E5335" s="2" t="str">
        <x:v>Acute Care Hospitals</x:v>
      </x:c>
      <x:c r="F5335" s="2" t="str">
        <x:v>Proprietary</x:v>
      </x:c>
      <x:c r="G5335" s="2" t="str">
        <x:v>Unknown</x:v>
      </x:c>
      <x:c r="H5335" s="7" t="n">
        <x:v>4</x:v>
      </x:c>
      <x:c r="I5335" s="7" t="n">
        <x:v>3</x:v>
      </x:c>
      <x:c r="J5335" s="7" t="n">
        <x:v>0.9</x:v>
      </x:c>
      <x:c r="K5335" s="8"/>
      <x:c r="L5335" s="8"/>
      <x:c r="M5335" s="9"/>
      <x:c r="N5335" s="10"/>
      <x:c r="O5335" s="9"/>
      <x:c r="P5335" s="9" t="n">
        <x:v>0</x:v>
      </x:c>
      <x:c r="Q5335" s="9" t="n">
        <x:v>0.3464566929</x:v>
      </x:c>
      <x:c r="R5335" s="3" t="b">
        <x:v>0</x:v>
      </x:c>
      <x:c r="S5335" s="3" t="b">
        <x:v>0</x:v>
      </x:c>
      <x:c r="T5335" s="3" t="b">
        <x:v>0</x:v>
      </x:c>
      <x:c r="U5335" s="2" t="str">
        <x:f>IF(T5335=TRUE,"Priority review",IF(R5335=TRUE,"High cost",IF(S5335=TRUE,"Low quality","Benchmark")))</x:f>
        <x:v>Benchmark</x:v>
      </x:c>
    </x:row>
    <x:row r="5336">
      <x:c r="A5336" s="2" t="str">
        <x:v>300017</x:v>
      </x:c>
      <x:c r="B5336" s="2" t="str">
        <x:v>PARKLAND MEDICAL CENTER</x:v>
      </x:c>
      <x:c r="C5336" s="2" t="str">
        <x:v>DERRY</x:v>
      </x:c>
      <x:c r="D5336" s="2" t="str">
        <x:v>NH</x:v>
      </x:c>
      <x:c r="E5336" s="2" t="str">
        <x:v>Acute Care Hospitals</x:v>
      </x:c>
      <x:c r="F5336" s="2" t="str">
        <x:v>Proprietary</x:v>
      </x:c>
      <x:c r="G5336" s="2" t="str">
        <x:v>Unknown</x:v>
      </x:c>
      <x:c r="H5336" s="7" t="n">
        <x:v>4</x:v>
      </x:c>
      <x:c r="I5336" s="7" t="n">
        <x:v>3</x:v>
      </x:c>
      <x:c r="J5336" s="7" t="n">
        <x:v>0.94</x:v>
      </x:c>
      <x:c r="K5336" s="8"/>
      <x:c r="L5336" s="8"/>
      <x:c r="M5336" s="9"/>
      <x:c r="N5336" s="10"/>
      <x:c r="O5336" s="9"/>
      <x:c r="P5336" s="9" t="n">
        <x:v>0</x:v>
      </x:c>
      <x:c r="Q5336" s="9" t="n">
        <x:v>0.3464566929</x:v>
      </x:c>
      <x:c r="R5336" s="3" t="b">
        <x:v>0</x:v>
      </x:c>
      <x:c r="S5336" s="3" t="b">
        <x:v>0</x:v>
      </x:c>
      <x:c r="T5336" s="3" t="b">
        <x:v>0</x:v>
      </x:c>
      <x:c r="U5336" s="2" t="str">
        <x:f>IF(T5336=TRUE,"Priority review",IF(R5336=TRUE,"High cost",IF(S5336=TRUE,"Low quality","Benchmark")))</x:f>
        <x:v>Benchmark</x:v>
      </x:c>
    </x:row>
    <x:row r="5337">
      <x:c r="A5337" s="2" t="str">
        <x:v>490116</x:v>
      </x:c>
      <x:c r="B5337" s="2" t="str">
        <x:v>LEWISGALE HOSPITAL PULASKI</x:v>
      </x:c>
      <x:c r="C5337" s="2" t="str">
        <x:v>PULASKI</x:v>
      </x:c>
      <x:c r="D5337" s="2" t="str">
        <x:v>VA</x:v>
      </x:c>
      <x:c r="E5337" s="2" t="str">
        <x:v>Acute Care Hospitals</x:v>
      </x:c>
      <x:c r="F5337" s="2" t="str">
        <x:v>Proprietary</x:v>
      </x:c>
      <x:c r="G5337" s="2" t="str">
        <x:v>Unknown</x:v>
      </x:c>
      <x:c r="H5337" s="7" t="n">
        <x:v>4</x:v>
      </x:c>
      <x:c r="I5337" s="7" t="n">
        <x:v>5</x:v>
      </x:c>
      <x:c r="J5337" s="7" t="n">
        <x:v>1</x:v>
      </x:c>
      <x:c r="K5337" s="8"/>
      <x:c r="L5337" s="8"/>
      <x:c r="M5337" s="9"/>
      <x:c r="N5337" s="10"/>
      <x:c r="O5337" s="9"/>
      <x:c r="P5337" s="9" t="n">
        <x:v>0</x:v>
      </x:c>
      <x:c r="Q5337" s="9" t="n">
        <x:v>0.3464566929</x:v>
      </x:c>
      <x:c r="R5337" s="3" t="b">
        <x:v>0</x:v>
      </x:c>
      <x:c r="S5337" s="3" t="b">
        <x:v>0</x:v>
      </x:c>
      <x:c r="T5337" s="3" t="b">
        <x:v>0</x:v>
      </x:c>
      <x:c r="U5337" s="2" t="str">
        <x:f>IF(T5337=TRUE,"Priority review",IF(R5337=TRUE,"High cost",IF(S5337=TRUE,"Low quality","Benchmark")))</x:f>
        <x:v>Benchmark</x:v>
      </x:c>
    </x:row>
    <x:row r="5338">
      <x:c r="A5338" s="2" t="str">
        <x:v>140062</x:v>
      </x:c>
      <x:c r="B5338" s="2" t="str">
        <x:v>PALOS COMMUNITY HOSPITAL</x:v>
      </x:c>
      <x:c r="C5338" s="2" t="str">
        <x:v>PALOS HEIGHTS</x:v>
      </x:c>
      <x:c r="D5338" s="2" t="str">
        <x:v>IL</x:v>
      </x:c>
      <x:c r="E5338" s="2" t="str">
        <x:v>Acute Care Hospitals</x:v>
      </x:c>
      <x:c r="F5338" s="2" t="str">
        <x:v>Voluntary non-profit</x:v>
      </x:c>
      <x:c r="G5338" s="2" t="str">
        <x:v>Unknown</x:v>
      </x:c>
      <x:c r="H5338" s="7" t="n">
        <x:v>4</x:v>
      </x:c>
      <x:c r="I5338" s="7" t="n">
        <x:v>3</x:v>
      </x:c>
      <x:c r="J5338" s="7" t="n">
        <x:v>0.99</x:v>
      </x:c>
      <x:c r="K5338" s="8"/>
      <x:c r="L5338" s="8"/>
      <x:c r="M5338" s="9"/>
      <x:c r="N5338" s="10"/>
      <x:c r="O5338" s="9"/>
      <x:c r="P5338" s="9" t="n">
        <x:v>0</x:v>
      </x:c>
      <x:c r="Q5338" s="9" t="n">
        <x:v>0.3464566929</x:v>
      </x:c>
      <x:c r="R5338" s="3" t="b">
        <x:v>0</x:v>
      </x:c>
      <x:c r="S5338" s="3" t="b">
        <x:v>0</x:v>
      </x:c>
      <x:c r="T5338" s="3" t="b">
        <x:v>0</x:v>
      </x:c>
      <x:c r="U5338" s="2" t="str">
        <x:f>IF(T5338=TRUE,"Priority review",IF(R5338=TRUE,"High cost",IF(S5338=TRUE,"Low quality","Benchmark")))</x:f>
        <x:v>Benchmark</x:v>
      </x:c>
    </x:row>
    <x:row r="5339">
      <x:c r="A5339" s="2" t="str">
        <x:v>440194</x:v>
      </x:c>
      <x:c r="B5339" s="2" t="str">
        <x:v>TRISTAR HENDERSONVILLE MEDICAL CENTER</x:v>
      </x:c>
      <x:c r="C5339" s="2" t="str">
        <x:v>HENDERSONVILLE</x:v>
      </x:c>
      <x:c r="D5339" s="2" t="str">
        <x:v>TN</x:v>
      </x:c>
      <x:c r="E5339" s="2" t="str">
        <x:v>Acute Care Hospitals</x:v>
      </x:c>
      <x:c r="F5339" s="2" t="str">
        <x:v>Proprietary</x:v>
      </x:c>
      <x:c r="G5339" s="2" t="str">
        <x:v>Unknown</x:v>
      </x:c>
      <x:c r="H5339" s="7" t="n">
        <x:v>4</x:v>
      </x:c>
      <x:c r="I5339" s="7" t="n">
        <x:v>3</x:v>
      </x:c>
      <x:c r="J5339" s="7" t="n">
        <x:v>0.95</x:v>
      </x:c>
      <x:c r="K5339" s="8"/>
      <x:c r="L5339" s="8"/>
      <x:c r="M5339" s="9"/>
      <x:c r="N5339" s="10"/>
      <x:c r="O5339" s="9"/>
      <x:c r="P5339" s="9" t="n">
        <x:v>0</x:v>
      </x:c>
      <x:c r="Q5339" s="9" t="n">
        <x:v>0.3464566929</x:v>
      </x:c>
      <x:c r="R5339" s="3" t="b">
        <x:v>0</x:v>
      </x:c>
      <x:c r="S5339" s="3" t="b">
        <x:v>0</x:v>
      </x:c>
      <x:c r="T5339" s="3" t="b">
        <x:v>0</x:v>
      </x:c>
      <x:c r="U5339" s="2" t="str">
        <x:f>IF(T5339=TRUE,"Priority review",IF(R5339=TRUE,"High cost",IF(S5339=TRUE,"Low quality","Benchmark")))</x:f>
        <x:v>Benchmark</x:v>
      </x:c>
    </x:row>
    <x:row r="5340">
      <x:c r="A5340" s="2" t="str">
        <x:v>490112</x:v>
      </x:c>
      <x:c r="B5340" s="2" t="str">
        <x:v>CJW MEDICAL CENTER</x:v>
      </x:c>
      <x:c r="C5340" s="2" t="str">
        <x:v>RICHMOND</x:v>
      </x:c>
      <x:c r="D5340" s="2" t="str">
        <x:v>VA</x:v>
      </x:c>
      <x:c r="E5340" s="2" t="str">
        <x:v>Acute Care Hospitals</x:v>
      </x:c>
      <x:c r="F5340" s="2" t="str">
        <x:v>Proprietary</x:v>
      </x:c>
      <x:c r="G5340" s="2" t="str">
        <x:v>Unknown</x:v>
      </x:c>
      <x:c r="H5340" s="7" t="n">
        <x:v>4</x:v>
      </x:c>
      <x:c r="I5340" s="7" t="n">
        <x:v>2</x:v>
      </x:c>
      <x:c r="J5340" s="7" t="n">
        <x:v>1.01</x:v>
      </x:c>
      <x:c r="K5340" s="8"/>
      <x:c r="L5340" s="8"/>
      <x:c r="M5340" s="9"/>
      <x:c r="N5340" s="10"/>
      <x:c r="O5340" s="9"/>
      <x:c r="P5340" s="9" t="n">
        <x:v>0</x:v>
      </x:c>
      <x:c r="Q5340" s="9" t="n">
        <x:v>0.3464566929</x:v>
      </x:c>
      <x:c r="R5340" s="3" t="b">
        <x:v>0</x:v>
      </x:c>
      <x:c r="S5340" s="3" t="b">
        <x:v>0</x:v>
      </x:c>
      <x:c r="T5340" s="3" t="b">
        <x:v>0</x:v>
      </x:c>
      <x:c r="U5340" s="2" t="str">
        <x:f>IF(T5340=TRUE,"Priority review",IF(R5340=TRUE,"High cost",IF(S5340=TRUE,"Low quality","Benchmark")))</x:f>
        <x:v>Benchmark</x:v>
      </x:c>
    </x:row>
    <x:row r="5341">
      <x:c r="A5341" s="2" t="str">
        <x:v>450101</x:v>
      </x:c>
      <x:c r="B5341" s="2" t="str">
        <x:v>BAYLOR SCOTT &amp; WHITE MEDICAL CENTER HILLCREST</x:v>
      </x:c>
      <x:c r="C5341" s="2" t="str">
        <x:v>WACO</x:v>
      </x:c>
      <x:c r="D5341" s="2" t="str">
        <x:v>TX</x:v>
      </x:c>
      <x:c r="E5341" s="2" t="str">
        <x:v>Acute Care Hospitals</x:v>
      </x:c>
      <x:c r="F5341" s="2" t="str">
        <x:v>Voluntary non-profit</x:v>
      </x:c>
      <x:c r="G5341" s="2" t="str">
        <x:v>Unknown</x:v>
      </x:c>
      <x:c r="H5341" s="7" t="n">
        <x:v>4</x:v>
      </x:c>
      <x:c r="I5341" s="7" t="n">
        <x:v>4</x:v>
      </x:c>
      <x:c r="J5341" s="7" t="n">
        <x:v>1.04</x:v>
      </x:c>
      <x:c r="K5341" s="8"/>
      <x:c r="L5341" s="8"/>
      <x:c r="M5341" s="9"/>
      <x:c r="N5341" s="10"/>
      <x:c r="O5341" s="9"/>
      <x:c r="P5341" s="9" t="n">
        <x:v>0</x:v>
      </x:c>
      <x:c r="Q5341" s="9" t="n">
        <x:v>0.3464566929</x:v>
      </x:c>
      <x:c r="R5341" s="3" t="b">
        <x:v>0</x:v>
      </x:c>
      <x:c r="S5341" s="3" t="b">
        <x:v>0</x:v>
      </x:c>
      <x:c r="T5341" s="3" t="b">
        <x:v>0</x:v>
      </x:c>
      <x:c r="U5341" s="2" t="str">
        <x:f>IF(T5341=TRUE,"Priority review",IF(R5341=TRUE,"High cost",IF(S5341=TRUE,"Low quality","Benchmark")))</x:f>
        <x:v>Benchmark</x:v>
      </x:c>
    </x:row>
    <x:row r="5342">
      <x:c r="A5342" s="2" t="str">
        <x:v>420101</x:v>
      </x:c>
      <x:c r="B5342" s="2" t="str">
        <x:v>COASTAL CAROLINA HOSPITAL</x:v>
      </x:c>
      <x:c r="C5342" s="2" t="str">
        <x:v>HARDEEVILLE</x:v>
      </x:c>
      <x:c r="D5342" s="2" t="str">
        <x:v>SC</x:v>
      </x:c>
      <x:c r="E5342" s="2" t="str">
        <x:v>Acute Care Hospitals</x:v>
      </x:c>
      <x:c r="F5342" s="2" t="str">
        <x:v>Proprietary</x:v>
      </x:c>
      <x:c r="G5342" s="2" t="str">
        <x:v>Unknown</x:v>
      </x:c>
      <x:c r="H5342" s="7" t="n">
        <x:v>4</x:v>
      </x:c>
      <x:c r="I5342" s="7" t="n">
        <x:v>3</x:v>
      </x:c>
      <x:c r="J5342" s="7" t="n">
        <x:v>1.03</x:v>
      </x:c>
      <x:c r="K5342" s="8"/>
      <x:c r="L5342" s="8"/>
      <x:c r="M5342" s="9"/>
      <x:c r="N5342" s="10"/>
      <x:c r="O5342" s="9"/>
      <x:c r="P5342" s="9" t="n">
        <x:v>0</x:v>
      </x:c>
      <x:c r="Q5342" s="9" t="n">
        <x:v>0.3464566929</x:v>
      </x:c>
      <x:c r="R5342" s="3" t="b">
        <x:v>0</x:v>
      </x:c>
      <x:c r="S5342" s="3" t="b">
        <x:v>0</x:v>
      </x:c>
      <x:c r="T5342" s="3" t="b">
        <x:v>0</x:v>
      </x:c>
      <x:c r="U5342" s="2" t="str">
        <x:f>IF(T5342=TRUE,"Priority review",IF(R5342=TRUE,"High cost",IF(S5342=TRUE,"Low quality","Benchmark")))</x:f>
        <x:v>Benchmark</x:v>
      </x:c>
    </x:row>
    <x:row r="5343">
      <x:c r="A5343" s="2" t="str">
        <x:v>450659</x:v>
      </x:c>
      <x:c r="B5343" s="2" t="str">
        <x:v>HCA HOUSTON HEALTHCARE MEDICAL CENTER</x:v>
      </x:c>
      <x:c r="C5343" s="2" t="str">
        <x:v>HOUSTON</x:v>
      </x:c>
      <x:c r="D5343" s="2" t="str">
        <x:v>TX</x:v>
      </x:c>
      <x:c r="E5343" s="2" t="str">
        <x:v>Acute Care Hospitals</x:v>
      </x:c>
      <x:c r="F5343" s="2" t="str">
        <x:v>Proprietary</x:v>
      </x:c>
      <x:c r="G5343" s="2" t="str">
        <x:v>Unknown</x:v>
      </x:c>
      <x:c r="H5343" s="7" t="n">
        <x:v>4</x:v>
      </x:c>
      <x:c r="I5343" s="7" t="n">
        <x:v>2</x:v>
      </x:c>
      <x:c r="J5343" s="7" t="n">
        <x:v>1.02</x:v>
      </x:c>
      <x:c r="K5343" s="8"/>
      <x:c r="L5343" s="8"/>
      <x:c r="M5343" s="9"/>
      <x:c r="N5343" s="10"/>
      <x:c r="O5343" s="9"/>
      <x:c r="P5343" s="9" t="n">
        <x:v>0</x:v>
      </x:c>
      <x:c r="Q5343" s="9" t="n">
        <x:v>0.3464566929</x:v>
      </x:c>
      <x:c r="R5343" s="3" t="b">
        <x:v>0</x:v>
      </x:c>
      <x:c r="S5343" s="3" t="b">
        <x:v>0</x:v>
      </x:c>
      <x:c r="T5343" s="3" t="b">
        <x:v>0</x:v>
      </x:c>
      <x:c r="U5343" s="2" t="str">
        <x:f>IF(T5343=TRUE,"Priority review",IF(R5343=TRUE,"High cost",IF(S5343=TRUE,"Low quality","Benchmark")))</x:f>
        <x:v>Benchmark</x:v>
      </x:c>
    </x:row>
    <x:row r="5344">
      <x:c r="A5344" s="2" t="str">
        <x:v>450690</x:v>
      </x:c>
      <x:c r="B5344" s="2" t="str">
        <x:v>UNIVERSITY OF TEXAS HEALTH SCIENCE CENTER AT TYLER</x:v>
      </x:c>
      <x:c r="C5344" s="2" t="str">
        <x:v>TYLER</x:v>
      </x:c>
      <x:c r="D5344" s="2" t="str">
        <x:v>TX</x:v>
      </x:c>
      <x:c r="E5344" s="2" t="str">
        <x:v>Acute Care Hospitals</x:v>
      </x:c>
      <x:c r="F5344" s="2" t="str">
        <x:v>Government</x:v>
      </x:c>
      <x:c r="G5344" s="2" t="str">
        <x:v>Unknown</x:v>
      </x:c>
      <x:c r="H5344" s="7" t="n">
        <x:v>4</x:v>
      </x:c>
      <x:c r="I5344" s="7" t="n">
        <x:v>5</x:v>
      </x:c>
      <x:c r="J5344" s="7" t="n">
        <x:v>1.05</x:v>
      </x:c>
      <x:c r="K5344" s="8"/>
      <x:c r="L5344" s="8"/>
      <x:c r="M5344" s="9"/>
      <x:c r="N5344" s="10"/>
      <x:c r="O5344" s="9"/>
      <x:c r="P5344" s="9" t="n">
        <x:v>0</x:v>
      </x:c>
      <x:c r="Q5344" s="9" t="n">
        <x:v>0.3464566929</x:v>
      </x:c>
      <x:c r="R5344" s="3" t="b">
        <x:v>0</x:v>
      </x:c>
      <x:c r="S5344" s="3" t="b">
        <x:v>0</x:v>
      </x:c>
      <x:c r="T5344" s="3" t="b">
        <x:v>0</x:v>
      </x:c>
      <x:c r="U5344" s="2" t="str">
        <x:f>IF(T5344=TRUE,"Priority review",IF(R5344=TRUE,"High cost",IF(S5344=TRUE,"Low quality","Benchmark")))</x:f>
        <x:v>Benchmark</x:v>
      </x:c>
    </x:row>
    <x:row r="5345">
      <x:c r="A5345" s="2" t="str">
        <x:v>160067</x:v>
      </x:c>
      <x:c r="B5345" s="2" t="str">
        <x:v>MERCYONE WATERLOO MEDICAL CENTER</x:v>
      </x:c>
      <x:c r="C5345" s="2" t="str">
        <x:v>WATERLOO</x:v>
      </x:c>
      <x:c r="D5345" s="2" t="str">
        <x:v>IA</x:v>
      </x:c>
      <x:c r="E5345" s="2" t="str">
        <x:v>Acute Care Hospitals</x:v>
      </x:c>
      <x:c r="F5345" s="2" t="str">
        <x:v>Voluntary non-profit</x:v>
      </x:c>
      <x:c r="G5345" s="2" t="str">
        <x:v>Unknown</x:v>
      </x:c>
      <x:c r="H5345" s="7" t="n">
        <x:v>4</x:v>
      </x:c>
      <x:c r="I5345" s="7" t="n">
        <x:v>3</x:v>
      </x:c>
      <x:c r="J5345" s="7" t="n">
        <x:v>0.89</x:v>
      </x:c>
      <x:c r="K5345" s="8"/>
      <x:c r="L5345" s="8"/>
      <x:c r="M5345" s="9"/>
      <x:c r="N5345" s="10"/>
      <x:c r="O5345" s="9"/>
      <x:c r="P5345" s="9" t="n">
        <x:v>0</x:v>
      </x:c>
      <x:c r="Q5345" s="9" t="n">
        <x:v>0.3464566929</x:v>
      </x:c>
      <x:c r="R5345" s="3" t="b">
        <x:v>0</x:v>
      </x:c>
      <x:c r="S5345" s="3" t="b">
        <x:v>0</x:v>
      </x:c>
      <x:c r="T5345" s="3" t="b">
        <x:v>0</x:v>
      </x:c>
      <x:c r="U5345" s="2" t="str">
        <x:f>IF(T5345=TRUE,"Priority review",IF(R5345=TRUE,"High cost",IF(S5345=TRUE,"Low quality","Benchmark")))</x:f>
        <x:v>Benchmark</x:v>
      </x:c>
    </x:row>
    <x:row r="5346">
      <x:c r="A5346" s="2" t="str">
        <x:v>170200</x:v>
      </x:c>
      <x:c r="B5346" s="2" t="str">
        <x:v>VIA CHRISTI HOSPITAL WICHITA ST TERESA, INC</x:v>
      </x:c>
      <x:c r="C5346" s="2" t="str">
        <x:v>WICHITA</x:v>
      </x:c>
      <x:c r="D5346" s="2" t="str">
        <x:v>KS</x:v>
      </x:c>
      <x:c r="E5346" s="2" t="str">
        <x:v>Acute Care Hospitals</x:v>
      </x:c>
      <x:c r="F5346" s="2" t="str">
        <x:v>Voluntary non-profit</x:v>
      </x:c>
      <x:c r="G5346" s="2" t="str">
        <x:v>Unknown</x:v>
      </x:c>
      <x:c r="H5346" s="7" t="n">
        <x:v>4</x:v>
      </x:c>
      <x:c r="I5346" s="7" t="n">
        <x:v>4</x:v>
      </x:c>
      <x:c r="J5346" s="7" t="n">
        <x:v>0.99</x:v>
      </x:c>
      <x:c r="K5346" s="8"/>
      <x:c r="L5346" s="8"/>
      <x:c r="M5346" s="9"/>
      <x:c r="N5346" s="10"/>
      <x:c r="O5346" s="9"/>
      <x:c r="P5346" s="9" t="n">
        <x:v>0</x:v>
      </x:c>
      <x:c r="Q5346" s="9" t="n">
        <x:v>0.3464566929</x:v>
      </x:c>
      <x:c r="R5346" s="3" t="b">
        <x:v>0</x:v>
      </x:c>
      <x:c r="S5346" s="3" t="b">
        <x:v>0</x:v>
      </x:c>
      <x:c r="T5346" s="3" t="b">
        <x:v>0</x:v>
      </x:c>
      <x:c r="U5346" s="2" t="str">
        <x:f>IF(T5346=TRUE,"Priority review",IF(R5346=TRUE,"High cost",IF(S5346=TRUE,"Low quality","Benchmark")))</x:f>
        <x:v>Benchmark</x:v>
      </x:c>
    </x:row>
    <x:row r="5347">
      <x:c r="A5347" s="2" t="str">
        <x:v>180104</x:v>
      </x:c>
      <x:c r="B5347" s="2" t="str">
        <x:v>BAPTIST HEALTH PADUCAH</x:v>
      </x:c>
      <x:c r="C5347" s="2" t="str">
        <x:v>PADUCAH</x:v>
      </x:c>
      <x:c r="D5347" s="2" t="str">
        <x:v>KY</x:v>
      </x:c>
      <x:c r="E5347" s="2" t="str">
        <x:v>Acute Care Hospitals</x:v>
      </x:c>
      <x:c r="F5347" s="2" t="str">
        <x:v>Voluntary non-profit</x:v>
      </x:c>
      <x:c r="G5347" s="2" t="str">
        <x:v>Unknown</x:v>
      </x:c>
      <x:c r="H5347" s="7" t="n">
        <x:v>4</x:v>
      </x:c>
      <x:c r="I5347" s="7" t="n">
        <x:v>4</x:v>
      </x:c>
      <x:c r="J5347" s="7" t="n">
        <x:v>1.02</x:v>
      </x:c>
      <x:c r="K5347" s="8"/>
      <x:c r="L5347" s="8"/>
      <x:c r="M5347" s="9"/>
      <x:c r="N5347" s="10"/>
      <x:c r="O5347" s="9"/>
      <x:c r="P5347" s="9" t="n">
        <x:v>0</x:v>
      </x:c>
      <x:c r="Q5347" s="9" t="n">
        <x:v>0.3464566929</x:v>
      </x:c>
      <x:c r="R5347" s="3" t="b">
        <x:v>0</x:v>
      </x:c>
      <x:c r="S5347" s="3" t="b">
        <x:v>0</x:v>
      </x:c>
      <x:c r="T5347" s="3" t="b">
        <x:v>0</x:v>
      </x:c>
      <x:c r="U5347" s="2" t="str">
        <x:f>IF(T5347=TRUE,"Priority review",IF(R5347=TRUE,"High cost",IF(S5347=TRUE,"Low quality","Benchmark")))</x:f>
        <x:v>Benchmark</x:v>
      </x:c>
    </x:row>
    <x:row r="5348">
      <x:c r="A5348" s="2" t="str">
        <x:v>450044</x:v>
      </x:c>
      <x:c r="B5348" s="2" t="str">
        <x:v>UT OF TEXAS  SOUTHWESTERN UNIVERSITY HOSPITAL - WILLIAM P. CLEMENTS JR.</x:v>
      </x:c>
      <x:c r="C5348" s="2" t="str">
        <x:v>DALLAS</x:v>
      </x:c>
      <x:c r="D5348" s="2" t="str">
        <x:v>TX</x:v>
      </x:c>
      <x:c r="E5348" s="2" t="str">
        <x:v>Acute Care Hospitals</x:v>
      </x:c>
      <x:c r="F5348" s="2" t="str">
        <x:v>Government</x:v>
      </x:c>
      <x:c r="G5348" s="2" t="str">
        <x:v>Unknown</x:v>
      </x:c>
      <x:c r="H5348" s="7" t="n">
        <x:v>4</x:v>
      </x:c>
      <x:c r="I5348" s="7" t="n">
        <x:v>4</x:v>
      </x:c>
      <x:c r="J5348" s="7" t="n">
        <x:v>0.98</x:v>
      </x:c>
      <x:c r="K5348" s="8"/>
      <x:c r="L5348" s="8"/>
      <x:c r="M5348" s="9"/>
      <x:c r="N5348" s="10"/>
      <x:c r="O5348" s="9"/>
      <x:c r="P5348" s="9" t="n">
        <x:v>0</x:v>
      </x:c>
      <x:c r="Q5348" s="9" t="n">
        <x:v>0.3464566929</x:v>
      </x:c>
      <x:c r="R5348" s="3" t="b">
        <x:v>0</x:v>
      </x:c>
      <x:c r="S5348" s="3" t="b">
        <x:v>0</x:v>
      </x:c>
      <x:c r="T5348" s="3" t="b">
        <x:v>0</x:v>
      </x:c>
      <x:c r="U5348" s="2" t="str">
        <x:f>IF(T5348=TRUE,"Priority review",IF(R5348=TRUE,"High cost",IF(S5348=TRUE,"Low quality","Benchmark")))</x:f>
        <x:v>Benchmark</x:v>
      </x:c>
    </x:row>
    <x:row r="5349">
      <x:c r="A5349" s="2" t="str">
        <x:v>460013</x:v>
      </x:c>
      <x:c r="B5349" s="2" t="str">
        <x:v>MOUNTAIN VIEW HOSPITAL</x:v>
      </x:c>
      <x:c r="C5349" s="2" t="str">
        <x:v>PAYSON</x:v>
      </x:c>
      <x:c r="D5349" s="2" t="str">
        <x:v>UT</x:v>
      </x:c>
      <x:c r="E5349" s="2" t="str">
        <x:v>Acute Care Hospitals</x:v>
      </x:c>
      <x:c r="F5349" s="2" t="str">
        <x:v>Proprietary</x:v>
      </x:c>
      <x:c r="G5349" s="2" t="str">
        <x:v>Unknown</x:v>
      </x:c>
      <x:c r="H5349" s="7" t="n">
        <x:v>5</x:v>
      </x:c>
      <x:c r="I5349" s="7" t="n">
        <x:v>4</x:v>
      </x:c>
      <x:c r="J5349" s="7" t="n">
        <x:v>1.02</x:v>
      </x:c>
      <x:c r="K5349" s="8"/>
      <x:c r="L5349" s="8"/>
      <x:c r="M5349" s="9"/>
      <x:c r="N5349" s="10"/>
      <x:c r="O5349" s="9"/>
      <x:c r="P5349" s="9" t="n">
        <x:v>0</x:v>
      </x:c>
      <x:c r="Q5349" s="9" t="n">
        <x:v>0.5039370079</x:v>
      </x:c>
      <x:c r="R5349" s="3" t="b">
        <x:v>0</x:v>
      </x:c>
      <x:c r="S5349" s="3" t="b">
        <x:v>0</x:v>
      </x:c>
      <x:c r="T5349" s="3" t="b">
        <x:v>0</x:v>
      </x:c>
      <x:c r="U5349" s="2" t="str">
        <x:f>IF(T5349=TRUE,"Priority review",IF(R5349=TRUE,"High cost",IF(S5349=TRUE,"Low quality","Benchmark")))</x:f>
        <x:v>Benchmark</x:v>
      </x:c>
    </x:row>
    <x:row r="5350">
      <x:c r="A5350" s="2" t="str">
        <x:v>140286</x:v>
      </x:c>
      <x:c r="B5350" s="2" t="str">
        <x:v>NORTHWESTERN MEDICINE KISHWAUKEE HOSPITAL</x:v>
      </x:c>
      <x:c r="C5350" s="2" t="str">
        <x:v>DEKALB</x:v>
      </x:c>
      <x:c r="D5350" s="2" t="str">
        <x:v>IL</x:v>
      </x:c>
      <x:c r="E5350" s="2" t="str">
        <x:v>Acute Care Hospitals</x:v>
      </x:c>
      <x:c r="F5350" s="2" t="str">
        <x:v>Voluntary non-profit</x:v>
      </x:c>
      <x:c r="G5350" s="2" t="str">
        <x:v>Unknown</x:v>
      </x:c>
      <x:c r="H5350" s="7" t="n">
        <x:v>5</x:v>
      </x:c>
      <x:c r="I5350" s="7" t="n">
        <x:v>3</x:v>
      </x:c>
      <x:c r="J5350" s="7" t="n">
        <x:v>1</x:v>
      </x:c>
      <x:c r="K5350" s="8"/>
      <x:c r="L5350" s="8"/>
      <x:c r="M5350" s="9"/>
      <x:c r="N5350" s="10"/>
      <x:c r="O5350" s="9"/>
      <x:c r="P5350" s="9" t="n">
        <x:v>0</x:v>
      </x:c>
      <x:c r="Q5350" s="9" t="n">
        <x:v>0.5039370079</x:v>
      </x:c>
      <x:c r="R5350" s="3" t="b">
        <x:v>0</x:v>
      </x:c>
      <x:c r="S5350" s="3" t="b">
        <x:v>0</x:v>
      </x:c>
      <x:c r="T5350" s="3" t="b">
        <x:v>0</x:v>
      </x:c>
      <x:c r="U5350" s="2" t="str">
        <x:f>IF(T5350=TRUE,"Priority review",IF(R5350=TRUE,"High cost",IF(S5350=TRUE,"Low quality","Benchmark")))</x:f>
        <x:v>Benchmark</x:v>
      </x:c>
    </x:row>
    <x:row r="5351">
      <x:c r="A5351" s="2" t="str">
        <x:v>140242</x:v>
      </x:c>
      <x:c r="B5351" s="2" t="str">
        <x:v>NORTHWESTERN MEDICINE CENTRAL DUPAGE HOSPITAL</x:v>
      </x:c>
      <x:c r="C5351" s="2" t="str">
        <x:v>WINFIELD</x:v>
      </x:c>
      <x:c r="D5351" s="2" t="str">
        <x:v>IL</x:v>
      </x:c>
      <x:c r="E5351" s="2" t="str">
        <x:v>Acute Care Hospitals</x:v>
      </x:c>
      <x:c r="F5351" s="2" t="str">
        <x:v>Voluntary non-profit</x:v>
      </x:c>
      <x:c r="G5351" s="2" t="str">
        <x:v>Unknown</x:v>
      </x:c>
      <x:c r="H5351" s="7" t="n">
        <x:v>5</x:v>
      </x:c>
      <x:c r="I5351" s="7" t="n">
        <x:v>4</x:v>
      </x:c>
      <x:c r="J5351" s="7" t="n">
        <x:v>1</x:v>
      </x:c>
      <x:c r="K5351" s="8"/>
      <x:c r="L5351" s="8"/>
      <x:c r="M5351" s="9"/>
      <x:c r="N5351" s="10"/>
      <x:c r="O5351" s="9"/>
      <x:c r="P5351" s="9" t="n">
        <x:v>0</x:v>
      </x:c>
      <x:c r="Q5351" s="9" t="n">
        <x:v>0.5039370079</x:v>
      </x:c>
      <x:c r="R5351" s="3" t="b">
        <x:v>0</x:v>
      </x:c>
      <x:c r="S5351" s="3" t="b">
        <x:v>0</x:v>
      </x:c>
      <x:c r="T5351" s="3" t="b">
        <x:v>0</x:v>
      </x:c>
      <x:c r="U5351" s="2" t="str">
        <x:f>IF(T5351=TRUE,"Priority review",IF(R5351=TRUE,"High cost",IF(S5351=TRUE,"Low quality","Benchmark")))</x:f>
        <x:v>Benchmark</x:v>
      </x:c>
    </x:row>
    <x:row r="5352">
      <x:c r="A5352" s="2" t="str">
        <x:v>450054</x:v>
      </x:c>
      <x:c r="B5352" s="2" t="str">
        <x:v>BAYLOR SCOTT &amp; WHITE MEDICAL CENTER - TEMPLE</x:v>
      </x:c>
      <x:c r="C5352" s="2" t="str">
        <x:v>TEMPLE</x:v>
      </x:c>
      <x:c r="D5352" s="2" t="str">
        <x:v>TX</x:v>
      </x:c>
      <x:c r="E5352" s="2" t="str">
        <x:v>Acute Care Hospitals</x:v>
      </x:c>
      <x:c r="F5352" s="2" t="str">
        <x:v>Voluntary non-profit</x:v>
      </x:c>
      <x:c r="G5352" s="2" t="str">
        <x:v>Unknown</x:v>
      </x:c>
      <x:c r="H5352" s="7" t="n">
        <x:v>5</x:v>
      </x:c>
      <x:c r="I5352" s="7" t="n">
        <x:v>3</x:v>
      </x:c>
      <x:c r="J5352" s="7" t="n">
        <x:v>0.98</x:v>
      </x:c>
      <x:c r="K5352" s="8"/>
      <x:c r="L5352" s="8"/>
      <x:c r="M5352" s="9"/>
      <x:c r="N5352" s="10"/>
      <x:c r="O5352" s="9"/>
      <x:c r="P5352" s="9" t="n">
        <x:v>0</x:v>
      </x:c>
      <x:c r="Q5352" s="9" t="n">
        <x:v>0.5039370079</x:v>
      </x:c>
      <x:c r="R5352" s="3" t="b">
        <x:v>0</x:v>
      </x:c>
      <x:c r="S5352" s="3" t="b">
        <x:v>0</x:v>
      </x:c>
      <x:c r="T5352" s="3" t="b">
        <x:v>0</x:v>
      </x:c>
      <x:c r="U5352" s="2" t="str">
        <x:f>IF(T5352=TRUE,"Priority review",IF(R5352=TRUE,"High cost",IF(S5352=TRUE,"Low quality","Benchmark")))</x:f>
        <x:v>Benchmark</x:v>
      </x:c>
    </x:row>
    <x:row r="5353">
      <x:c r="A5353" s="2" t="str">
        <x:v>140211</x:v>
      </x:c>
      <x:c r="B5353" s="2" t="str">
        <x:v>NORTHWESTERN MEDICINE DELNOR COMMUNITY HOSPITAL</x:v>
      </x:c>
      <x:c r="C5353" s="2" t="str">
        <x:v>GENEVA</x:v>
      </x:c>
      <x:c r="D5353" s="2" t="str">
        <x:v>IL</x:v>
      </x:c>
      <x:c r="E5353" s="2" t="str">
        <x:v>Acute Care Hospitals</x:v>
      </x:c>
      <x:c r="F5353" s="2" t="str">
        <x:v>Voluntary non-profit</x:v>
      </x:c>
      <x:c r="G5353" s="2" t="str">
        <x:v>Unknown</x:v>
      </x:c>
      <x:c r="H5353" s="7" t="n">
        <x:v>5</x:v>
      </x:c>
      <x:c r="I5353" s="7" t="n">
        <x:v>4</x:v>
      </x:c>
      <x:c r="J5353" s="7" t="n">
        <x:v>0.98</x:v>
      </x:c>
      <x:c r="K5353" s="8"/>
      <x:c r="L5353" s="8"/>
      <x:c r="M5353" s="9"/>
      <x:c r="N5353" s="10"/>
      <x:c r="O5353" s="9"/>
      <x:c r="P5353" s="9" t="n">
        <x:v>0</x:v>
      </x:c>
      <x:c r="Q5353" s="9" t="n">
        <x:v>0.5039370079</x:v>
      </x:c>
      <x:c r="R5353" s="3" t="b">
        <x:v>0</x:v>
      </x:c>
      <x:c r="S5353" s="3" t="b">
        <x:v>0</x:v>
      </x:c>
      <x:c r="T5353" s="3" t="b">
        <x:v>0</x:v>
      </x:c>
      <x:c r="U5353" s="2" t="str">
        <x:f>IF(T5353=TRUE,"Priority review",IF(R5353=TRUE,"High cost",IF(S5353=TRUE,"Low quality","Benchmark")))</x:f>
        <x:v>Benchmark</x:v>
      </x:c>
    </x:row>
    <x:row r="5354">
      <x:c r="A5354" s="2" t="str">
        <x:v>140130</x:v>
      </x:c>
      <x:c r="B5354" s="2" t="str">
        <x:v>NORTHWESTERN LAKE FOREST HOSPITAL</x:v>
      </x:c>
      <x:c r="C5354" s="2" t="str">
        <x:v>LAKE FOREST</x:v>
      </x:c>
      <x:c r="D5354" s="2" t="str">
        <x:v>IL</x:v>
      </x:c>
      <x:c r="E5354" s="2" t="str">
        <x:v>Acute Care Hospitals</x:v>
      </x:c>
      <x:c r="F5354" s="2" t="str">
        <x:v>Voluntary non-profit</x:v>
      </x:c>
      <x:c r="G5354" s="2" t="str">
        <x:v>Unknown</x:v>
      </x:c>
      <x:c r="H5354" s="7" t="n">
        <x:v>5</x:v>
      </x:c>
      <x:c r="I5354" s="7" t="n">
        <x:v>4</x:v>
      </x:c>
      <x:c r="J5354" s="7" t="n">
        <x:v>0.95</x:v>
      </x:c>
      <x:c r="K5354" s="8"/>
      <x:c r="L5354" s="8"/>
      <x:c r="M5354" s="9"/>
      <x:c r="N5354" s="10"/>
      <x:c r="O5354" s="9"/>
      <x:c r="P5354" s="9" t="n">
        <x:v>0</x:v>
      </x:c>
      <x:c r="Q5354" s="9" t="n">
        <x:v>0.5039370079</x:v>
      </x:c>
      <x:c r="R5354" s="3" t="b">
        <x:v>0</x:v>
      </x:c>
      <x:c r="S5354" s="3" t="b">
        <x:v>0</x:v>
      </x:c>
      <x:c r="T5354" s="3" t="b">
        <x:v>0</x:v>
      </x:c>
      <x:c r="U5354" s="2" t="str">
        <x:f>IF(T5354=TRUE,"Priority review",IF(R5354=TRUE,"High cost",IF(S5354=TRUE,"Low quality","Benchmark")))</x:f>
        <x:v>Benchmark</x:v>
      </x:c>
    </x:row>
    <x:row r="5355">
      <x:c r="A5355" s="2" t="str">
        <x:v>450210</x:v>
      </x:c>
      <x:c r="B5355" s="2" t="str">
        <x:v>UT HEALTH EAST TEXAS CARTHAGE HOSPITAL</x:v>
      </x:c>
      <x:c r="C5355" s="2" t="str">
        <x:v>CARTHAGE</x:v>
      </x:c>
      <x:c r="D5355" s="2" t="str">
        <x:v>TX</x:v>
      </x:c>
      <x:c r="E5355" s="2" t="str">
        <x:v>Acute Care Hospitals</x:v>
      </x:c>
      <x:c r="F5355" s="2" t="str">
        <x:v>Proprietary</x:v>
      </x:c>
      <x:c r="G5355" s="2" t="str">
        <x:v>Unknown</x:v>
      </x:c>
      <x:c r="H5355" s="7" t="n">
        <x:v>5</x:v>
      </x:c>
      <x:c r="I5355" s="7"/>
      <x:c r="J5355" s="7" t="n">
        <x:v>0.86</x:v>
      </x:c>
      <x:c r="K5355" s="8"/>
      <x:c r="L5355" s="8"/>
      <x:c r="M5355" s="9"/>
      <x:c r="N5355" s="10"/>
      <x:c r="O5355" s="9"/>
      <x:c r="P5355" s="9" t="n">
        <x:v>0</x:v>
      </x:c>
      <x:c r="Q5355" s="9" t="n">
        <x:v>0.5039370079</x:v>
      </x:c>
      <x:c r="R5355" s="3" t="b">
        <x:v>0</x:v>
      </x:c>
      <x:c r="S5355" s="3" t="b">
        <x:v>0</x:v>
      </x:c>
      <x:c r="T5355" s="3" t="b">
        <x:v>0</x:v>
      </x:c>
      <x:c r="U5355" s="2" t="str">
        <x:f>IF(T5355=TRUE,"Priority review",IF(R5355=TRUE,"High cost",IF(S5355=TRUE,"Low quality","Benchmark")))</x:f>
        <x:v>Benchmark</x:v>
      </x:c>
    </x:row>
    <x:row r="5356">
      <x:c r="A5356" s="2" t="str">
        <x:v>050441</x:v>
      </x:c>
      <x:c r="B5356" s="2" t="str">
        <x:v>STANFORD HEALTH CARE</x:v>
      </x:c>
      <x:c r="C5356" s="2" t="str">
        <x:v>STANFORD</x:v>
      </x:c>
      <x:c r="D5356" s="2" t="str">
        <x:v>CA</x:v>
      </x:c>
      <x:c r="E5356" s="2" t="str">
        <x:v>Acute Care Hospitals</x:v>
      </x:c>
      <x:c r="F5356" s="2" t="str">
        <x:v>Voluntary non-profit</x:v>
      </x:c>
      <x:c r="G5356" s="2" t="str">
        <x:v>Unknown</x:v>
      </x:c>
      <x:c r="H5356" s="7" t="n">
        <x:v>5</x:v>
      </x:c>
      <x:c r="I5356" s="7" t="n">
        <x:v>4</x:v>
      </x:c>
      <x:c r="J5356" s="7" t="n">
        <x:v>0.98</x:v>
      </x:c>
      <x:c r="K5356" s="8"/>
      <x:c r="L5356" s="8"/>
      <x:c r="M5356" s="9"/>
      <x:c r="N5356" s="10"/>
      <x:c r="O5356" s="9"/>
      <x:c r="P5356" s="9" t="n">
        <x:v>0</x:v>
      </x:c>
      <x:c r="Q5356" s="9" t="n">
        <x:v>0.5039370079</x:v>
      </x:c>
      <x:c r="R5356" s="3" t="b">
        <x:v>0</x:v>
      </x:c>
      <x:c r="S5356" s="3" t="b">
        <x:v>0</x:v>
      </x:c>
      <x:c r="T5356" s="3" t="b">
        <x:v>0</x:v>
      </x:c>
      <x:c r="U5356" s="2" t="str">
        <x:f>IF(T5356=TRUE,"Priority review",IF(R5356=TRUE,"High cost",IF(S5356=TRUE,"Low quality","Benchmark")))</x:f>
        <x:v>Benchmark</x:v>
      </x:c>
    </x:row>
    <x:row r="5357">
      <x:c r="A5357" s="2" t="str">
        <x:v>140116</x:v>
      </x:c>
      <x:c r="B5357" s="2" t="str">
        <x:v>NORTHWESTERN MEDICINE MCHENRY</x:v>
      </x:c>
      <x:c r="C5357" s="2" t="str">
        <x:v>MCHENRY</x:v>
      </x:c>
      <x:c r="D5357" s="2" t="str">
        <x:v>IL</x:v>
      </x:c>
      <x:c r="E5357" s="2" t="str">
        <x:v>Acute Care Hospitals</x:v>
      </x:c>
      <x:c r="F5357" s="2" t="str">
        <x:v>Voluntary non-profit</x:v>
      </x:c>
      <x:c r="G5357" s="2" t="str">
        <x:v>Unknown</x:v>
      </x:c>
      <x:c r="H5357" s="7" t="n">
        <x:v>5</x:v>
      </x:c>
      <x:c r="I5357" s="7" t="n">
        <x:v>4</x:v>
      </x:c>
      <x:c r="J5357" s="7" t="n">
        <x:v>1</x:v>
      </x:c>
      <x:c r="K5357" s="8"/>
      <x:c r="L5357" s="8"/>
      <x:c r="M5357" s="9"/>
      <x:c r="N5357" s="10"/>
      <x:c r="O5357" s="9"/>
      <x:c r="P5357" s="9" t="n">
        <x:v>0</x:v>
      </x:c>
      <x:c r="Q5357" s="9" t="n">
        <x:v>0.5039370079</x:v>
      </x:c>
      <x:c r="R5357" s="3" t="b">
        <x:v>0</x:v>
      </x:c>
      <x:c r="S5357" s="3" t="b">
        <x:v>0</x:v>
      </x:c>
      <x:c r="T5357" s="3" t="b">
        <x:v>0</x:v>
      </x:c>
      <x:c r="U5357" s="2" t="str">
        <x:f>IF(T5357=TRUE,"Priority review",IF(R5357=TRUE,"High cost",IF(S5357=TRUE,"Low quality","Benchmark")))</x:f>
        <x:v>Benchmark</x:v>
      </x:c>
    </x:row>
    <x:row r="5358">
      <x:c r="A5358" s="2" t="str">
        <x:v>050283</x:v>
      </x:c>
      <x:c r="B5358" s="2" t="str">
        <x:v>STANFORD HEALTH CARE TRI-VALLEY</x:v>
      </x:c>
      <x:c r="C5358" s="2" t="str">
        <x:v>PLEASANTON</x:v>
      </x:c>
      <x:c r="D5358" s="2" t="str">
        <x:v>CA</x:v>
      </x:c>
      <x:c r="E5358" s="2" t="str">
        <x:v>Acute Care Hospitals</x:v>
      </x:c>
      <x:c r="F5358" s="2" t="str">
        <x:v>Voluntary non-profit</x:v>
      </x:c>
      <x:c r="G5358" s="2" t="str">
        <x:v>Unknown</x:v>
      </x:c>
      <x:c r="H5358" s="7" t="n">
        <x:v>5</x:v>
      </x:c>
      <x:c r="I5358" s="7" t="n">
        <x:v>3</x:v>
      </x:c>
      <x:c r="J5358" s="7" t="n">
        <x:v>1.01</x:v>
      </x:c>
      <x:c r="K5358" s="8"/>
      <x:c r="L5358" s="8"/>
      <x:c r="M5358" s="9"/>
      <x:c r="N5358" s="10"/>
      <x:c r="O5358" s="9"/>
      <x:c r="P5358" s="9" t="n">
        <x:v>0</x:v>
      </x:c>
      <x:c r="Q5358" s="9" t="n">
        <x:v>0.5039370079</x:v>
      </x:c>
      <x:c r="R5358" s="3" t="b">
        <x:v>0</x:v>
      </x:c>
      <x:c r="S5358" s="3" t="b">
        <x:v>0</x:v>
      </x:c>
      <x:c r="T5358" s="3" t="b">
        <x:v>0</x:v>
      </x:c>
      <x:c r="U5358" s="2" t="str">
        <x:f>IF(T5358=TRUE,"Priority review",IF(R5358=TRUE,"High cost",IF(S5358=TRUE,"Low quality","Benchmark")))</x:f>
        <x:v>Benchmark</x:v>
      </x:c>
    </x:row>
    <x:row r="5359">
      <x:c r="A5359" s="2" t="str">
        <x:v>330214</x:v>
      </x:c>
      <x:c r="B5359" s="2" t="str">
        <x:v>NYU LANGONE HOSPITALS</x:v>
      </x:c>
      <x:c r="C5359" s="2" t="str">
        <x:v>NEW YORK</x:v>
      </x:c>
      <x:c r="D5359" s="2" t="str">
        <x:v>NY</x:v>
      </x:c>
      <x:c r="E5359" s="2" t="str">
        <x:v>Acute Care Hospitals</x:v>
      </x:c>
      <x:c r="F5359" s="2" t="str">
        <x:v>Voluntary non-profit</x:v>
      </x:c>
      <x:c r="G5359" s="2" t="str">
        <x:v>Unknown</x:v>
      </x:c>
      <x:c r="H5359" s="7" t="n">
        <x:v>5</x:v>
      </x:c>
      <x:c r="I5359" s="7" t="n">
        <x:v>3</x:v>
      </x:c>
      <x:c r="J5359" s="7" t="n">
        <x:v>0.99</x:v>
      </x:c>
      <x:c r="K5359" s="8"/>
      <x:c r="L5359" s="8"/>
      <x:c r="M5359" s="9"/>
      <x:c r="N5359" s="10"/>
      <x:c r="O5359" s="9"/>
      <x:c r="P5359" s="9" t="n">
        <x:v>0</x:v>
      </x:c>
      <x:c r="Q5359" s="9" t="n">
        <x:v>0.5039370079</x:v>
      </x:c>
      <x:c r="R5359" s="3" t="b">
        <x:v>0</x:v>
      </x:c>
      <x:c r="S5359" s="3" t="b">
        <x:v>0</x:v>
      </x:c>
      <x:c r="T5359" s="3" t="b">
        <x:v>0</x:v>
      </x:c>
      <x:c r="U5359" s="2" t="str">
        <x:f>IF(T5359=TRUE,"Priority review",IF(R5359=TRUE,"High cost",IF(S5359=TRUE,"Low quality","Benchmark")))</x:f>
        <x:v>Benchmark</x:v>
      </x:c>
    </x:row>
    <x:row r="5360">
      <x:c r="A5360" s="2" t="str">
        <x:v>100364</x:v>
      </x:c>
      <x:c r="B5360" s="2" t="str">
        <x:v>ADVENTHEALTH RIVERVIEW</x:v>
      </x:c>
      <x:c r="C5360" s="2" t="str">
        <x:v>RIVERVIEW</x:v>
      </x:c>
      <x:c r="D5360" s="2" t="str">
        <x:v>FL</x:v>
      </x:c>
      <x:c r="E5360" s="2" t="str">
        <x:v>Acute Care Hospitals</x:v>
      </x:c>
      <x:c r="F5360" s="2" t="str">
        <x:v>Voluntary non-profit</x:v>
      </x:c>
      <x:c r="G5360" s="2" t="str">
        <x:v>Unknown</x:v>
      </x:c>
      <x:c r="H5360" s="7"/>
      <x:c r="I5360" s="7"/>
      <x:c r="J5360" s="7"/>
      <x:c r="K5360" s="8"/>
      <x:c r="L5360" s="8"/>
      <x:c r="M5360" s="9"/>
      <x:c r="N5360" s="10"/>
      <x:c r="O5360" s="9"/>
      <x:c r="P5360" s="9" t="n">
        <x:v>0</x:v>
      </x:c>
      <x:c r="Q5360" s="9" t="n">
        <x:v>0.5905511811</x:v>
      </x:c>
      <x:c r="R5360" s="3" t="b">
        <x:v>0</x:v>
      </x:c>
      <x:c r="S5360" s="3" t="b">
        <x:v>0</x:v>
      </x:c>
      <x:c r="T5360" s="3" t="b">
        <x:v>0</x:v>
      </x:c>
      <x:c r="U5360" s="2" t="str">
        <x:f>IF(T5360=TRUE,"Priority review",IF(R5360=TRUE,"High cost",IF(S5360=TRUE,"Low quality","Benchmark")))</x:f>
        <x:v>Benchmark</x:v>
      </x:c>
    </x:row>
    <x:row r="5361">
      <x:c r="A5361" s="2" t="str">
        <x:v>510094</x:v>
      </x:c>
      <x:c r="B5361" s="2" t="str">
        <x:v>WILLIAMSON MEMORIAL INC</x:v>
      </x:c>
      <x:c r="C5361" s="2" t="str">
        <x:v>WILLIAMSON</x:v>
      </x:c>
      <x:c r="D5361" s="2" t="str">
        <x:v>WV</x:v>
      </x:c>
      <x:c r="E5361" s="2" t="str">
        <x:v>Acute Care Hospitals</x:v>
      </x:c>
      <x:c r="F5361" s="2" t="str">
        <x:v>Voluntary non-profit</x:v>
      </x:c>
      <x:c r="G5361" s="2" t="str">
        <x:v>Unknown</x:v>
      </x:c>
      <x:c r="H5361" s="7"/>
      <x:c r="I5361" s="7"/>
      <x:c r="J5361" s="7"/>
      <x:c r="K5361" s="8"/>
      <x:c r="L5361" s="8"/>
      <x:c r="M5361" s="9"/>
      <x:c r="N5361" s="10"/>
      <x:c r="O5361" s="9"/>
      <x:c r="P5361" s="9" t="n">
        <x:v>0</x:v>
      </x:c>
      <x:c r="Q5361" s="9" t="n">
        <x:v>0.5905511811</x:v>
      </x:c>
      <x:c r="R5361" s="3" t="b">
        <x:v>0</x:v>
      </x:c>
      <x:c r="S5361" s="3" t="b">
        <x:v>0</x:v>
      </x:c>
      <x:c r="T5361" s="3" t="b">
        <x:v>0</x:v>
      </x:c>
      <x:c r="U5361" s="2" t="str">
        <x:f>IF(T5361=TRUE,"Priority review",IF(R5361=TRUE,"High cost",IF(S5361=TRUE,"Low quality","Benchmark")))</x:f>
        <x:v>Benchmark</x:v>
      </x:c>
    </x:row>
    <x:row r="5362">
      <x:c r="A5362" s="2" t="str">
        <x:v>050546</x:v>
      </x:c>
      <x:c r="B5362" s="2" t="str">
        <x:v>PORTERVILLE DEVELOPMENTAL CENTER</x:v>
      </x:c>
      <x:c r="C5362" s="2" t="str">
        <x:v>PORTERVILLE</x:v>
      </x:c>
      <x:c r="D5362" s="2" t="str">
        <x:v>CA</x:v>
      </x:c>
      <x:c r="E5362" s="2" t="str">
        <x:v>Acute Care Hospitals</x:v>
      </x:c>
      <x:c r="F5362" s="2" t="str">
        <x:v>Government</x:v>
      </x:c>
      <x:c r="G5362" s="2" t="str">
        <x:v>Unknown</x:v>
      </x:c>
      <x:c r="H5362" s="7"/>
      <x:c r="I5362" s="7"/>
      <x:c r="J5362" s="7"/>
      <x:c r="K5362" s="8"/>
      <x:c r="L5362" s="8"/>
      <x:c r="M5362" s="9"/>
      <x:c r="N5362" s="10"/>
      <x:c r="O5362" s="9"/>
      <x:c r="P5362" s="9" t="n">
        <x:v>0</x:v>
      </x:c>
      <x:c r="Q5362" s="9" t="n">
        <x:v>0.5905511811</x:v>
      </x:c>
      <x:c r="R5362" s="3" t="b">
        <x:v>0</x:v>
      </x:c>
      <x:c r="S5362" s="3" t="b">
        <x:v>0</x:v>
      </x:c>
      <x:c r="T5362" s="3" t="b">
        <x:v>0</x:v>
      </x:c>
      <x:c r="U5362" s="2" t="str">
        <x:f>IF(T5362=TRUE,"Priority review",IF(R5362=TRUE,"High cost",IF(S5362=TRUE,"Low quality","Benchmark")))</x:f>
        <x:v>Benchmark</x:v>
      </x:c>
    </x:row>
    <x:row r="5363">
      <x:c r="A5363" s="2" t="str">
        <x:v>110086</x:v>
      </x:c>
      <x:c r="B5363" s="2" t="str">
        <x:v>WASHINGTON COUNTY REGIONAL MEDICAL CENTER</x:v>
      </x:c>
      <x:c r="C5363" s="2" t="str">
        <x:v>SANDERSVILLE</x:v>
      </x:c>
      <x:c r="D5363" s="2" t="str">
        <x:v>GA</x:v>
      </x:c>
      <x:c r="E5363" s="2" t="str">
        <x:v>Acute Care Hospitals</x:v>
      </x:c>
      <x:c r="F5363" s="2" t="str">
        <x:v>Government</x:v>
      </x:c>
      <x:c r="G5363" s="2" t="str">
        <x:v>Unknown</x:v>
      </x:c>
      <x:c r="H5363" s="7"/>
      <x:c r="I5363" s="7"/>
      <x:c r="J5363" s="7" t="n">
        <x:v>1.03</x:v>
      </x:c>
      <x:c r="K5363" s="8"/>
      <x:c r="L5363" s="8"/>
      <x:c r="M5363" s="9"/>
      <x:c r="N5363" s="10"/>
      <x:c r="O5363" s="9"/>
      <x:c r="P5363" s="9" t="n">
        <x:v>0</x:v>
      </x:c>
      <x:c r="Q5363" s="9" t="n">
        <x:v>0.5905511811</x:v>
      </x:c>
      <x:c r="R5363" s="3" t="b">
        <x:v>0</x:v>
      </x:c>
      <x:c r="S5363" s="3" t="b">
        <x:v>0</x:v>
      </x:c>
      <x:c r="T5363" s="3" t="b">
        <x:v>0</x:v>
      </x:c>
      <x:c r="U5363" s="2" t="str">
        <x:f>IF(T5363=TRUE,"Priority review",IF(R5363=TRUE,"High cost",IF(S5363=TRUE,"Low quality","Benchmark")))</x:f>
        <x:v>Benchmark</x:v>
      </x:c>
    </x:row>
    <x:row r="5364">
      <x:c r="A5364" s="2" t="str">
        <x:v>030196</x:v>
      </x:c>
      <x:c r="B5364" s="2" t="str">
        <x:v>EXCEPTIONAL COMMUNITY HOSPITAL PRESCOTT</x:v>
      </x:c>
      <x:c r="C5364" s="2" t="str">
        <x:v>PRESCOTT</x:v>
      </x:c>
      <x:c r="D5364" s="2" t="str">
        <x:v>AZ</x:v>
      </x:c>
      <x:c r="E5364" s="2" t="str">
        <x:v>Acute Care Hospitals</x:v>
      </x:c>
      <x:c r="F5364" s="2" t="str">
        <x:v>Proprietary</x:v>
      </x:c>
      <x:c r="G5364" s="2" t="str">
        <x:v>Unknown</x:v>
      </x:c>
      <x:c r="H5364" s="7"/>
      <x:c r="I5364" s="7"/>
      <x:c r="J5364" s="7"/>
      <x:c r="K5364" s="8"/>
      <x:c r="L5364" s="8"/>
      <x:c r="M5364" s="9"/>
      <x:c r="N5364" s="10"/>
      <x:c r="O5364" s="9"/>
      <x:c r="P5364" s="9" t="n">
        <x:v>0</x:v>
      </x:c>
      <x:c r="Q5364" s="9" t="n">
        <x:v>0.5905511811</x:v>
      </x:c>
      <x:c r="R5364" s="3" t="b">
        <x:v>0</x:v>
      </x:c>
      <x:c r="S5364" s="3" t="b">
        <x:v>0</x:v>
      </x:c>
      <x:c r="T5364" s="3" t="b">
        <x:v>0</x:v>
      </x:c>
      <x:c r="U5364" s="2" t="str">
        <x:f>IF(T5364=TRUE,"Priority review",IF(R5364=TRUE,"High cost",IF(S5364=TRUE,"Low quality","Benchmark")))</x:f>
        <x:v>Benchmark</x:v>
      </x:c>
    </x:row>
    <x:row r="5365">
      <x:c r="A5365" s="2" t="str">
        <x:v>030195</x:v>
      </x:c>
      <x:c r="B5365" s="2" t="str">
        <x:v>KAYENTA ALTERNATIVE RURAL HOSPITAL</x:v>
      </x:c>
      <x:c r="C5365" s="2" t="str">
        <x:v>KAYENTA</x:v>
      </x:c>
      <x:c r="D5365" s="2" t="str">
        <x:v>AZ</x:v>
      </x:c>
      <x:c r="E5365" s="2" t="str">
        <x:v>Acute Care Hospitals</x:v>
      </x:c>
      <x:c r="F5365" s="2" t="str">
        <x:v>Government</x:v>
      </x:c>
      <x:c r="G5365" s="2" t="str">
        <x:v>Unknown</x:v>
      </x:c>
      <x:c r="H5365" s="7"/>
      <x:c r="I5365" s="7"/>
      <x:c r="J5365" s="7"/>
      <x:c r="K5365" s="8"/>
      <x:c r="L5365" s="8"/>
      <x:c r="M5365" s="9"/>
      <x:c r="N5365" s="10"/>
      <x:c r="O5365" s="9"/>
      <x:c r="P5365" s="9" t="n">
        <x:v>0</x:v>
      </x:c>
      <x:c r="Q5365" s="9" t="n">
        <x:v>0.5905511811</x:v>
      </x:c>
      <x:c r="R5365" s="3" t="b">
        <x:v>0</x:v>
      </x:c>
      <x:c r="S5365" s="3" t="b">
        <x:v>0</x:v>
      </x:c>
      <x:c r="T5365" s="3" t="b">
        <x:v>0</x:v>
      </x:c>
      <x:c r="U5365" s="2" t="str">
        <x:f>IF(T5365=TRUE,"Priority review",IF(R5365=TRUE,"High cost",IF(S5365=TRUE,"Low quality","Benchmark")))</x:f>
        <x:v>Benchmark</x:v>
      </x:c>
    </x:row>
    <x:row r="5366">
      <x:c r="A5366" s="2" t="str">
        <x:v>330405</x:v>
      </x:c>
      <x:c r="B5366" s="2" t="str">
        <x:v>HELEN HAYES HOSPITAL</x:v>
      </x:c>
      <x:c r="C5366" s="2" t="str">
        <x:v>WEST HAVERSTRAW</x:v>
      </x:c>
      <x:c r="D5366" s="2" t="str">
        <x:v>NY</x:v>
      </x:c>
      <x:c r="E5366" s="2" t="str">
        <x:v>Acute Care Hospitals</x:v>
      </x:c>
      <x:c r="F5366" s="2" t="str">
        <x:v>Government</x:v>
      </x:c>
      <x:c r="G5366" s="2" t="str">
        <x:v>Unknown</x:v>
      </x:c>
      <x:c r="H5366" s="7"/>
      <x:c r="I5366" s="7"/>
      <x:c r="J5366" s="7"/>
      <x:c r="K5366" s="8"/>
      <x:c r="L5366" s="8"/>
      <x:c r="M5366" s="9"/>
      <x:c r="N5366" s="10"/>
      <x:c r="O5366" s="9" t="n">
        <x:v>-0.2590860449</x:v>
      </x:c>
      <x:c r="P5366" s="9" t="n">
        <x:v>0</x:v>
      </x:c>
      <x:c r="Q5366" s="9" t="n">
        <x:v>0.5905511811</x:v>
      </x:c>
      <x:c r="R5366" s="3" t="b">
        <x:v>0</x:v>
      </x:c>
      <x:c r="S5366" s="3" t="b">
        <x:v>0</x:v>
      </x:c>
      <x:c r="T5366" s="3" t="b">
        <x:v>0</x:v>
      </x:c>
      <x:c r="U5366" s="2" t="str">
        <x:f>IF(T5366=TRUE,"Priority review",IF(R5366=TRUE,"High cost",IF(S5366=TRUE,"Low quality","Benchmark")))</x:f>
        <x:v>Benchmark</x:v>
      </x:c>
    </x:row>
    <x:row r="5367">
      <x:c r="A5367" s="2" t="str">
        <x:v>320057</x:v>
      </x:c>
      <x:c r="B5367" s="2" t="str">
        <x:v>SANTA FE PHS INDIAN HOSPITAL</x:v>
      </x:c>
      <x:c r="C5367" s="2" t="str">
        <x:v>SANTA FE</x:v>
      </x:c>
      <x:c r="D5367" s="2" t="str">
        <x:v>NM</x:v>
      </x:c>
      <x:c r="E5367" s="2" t="str">
        <x:v>Acute Care Hospitals</x:v>
      </x:c>
      <x:c r="F5367" s="2" t="str">
        <x:v>Government</x:v>
      </x:c>
      <x:c r="G5367" s="2" t="str">
        <x:v>Unknown</x:v>
      </x:c>
      <x:c r="H5367" s="7"/>
      <x:c r="I5367" s="7"/>
      <x:c r="J5367" s="7"/>
      <x:c r="K5367" s="8"/>
      <x:c r="L5367" s="8"/>
      <x:c r="M5367" s="9"/>
      <x:c r="N5367" s="10"/>
      <x:c r="O5367" s="9"/>
      <x:c r="P5367" s="9" t="n">
        <x:v>0</x:v>
      </x:c>
      <x:c r="Q5367" s="9" t="n">
        <x:v>0.5905511811</x:v>
      </x:c>
      <x:c r="R5367" s="3" t="b">
        <x:v>0</x:v>
      </x:c>
      <x:c r="S5367" s="3" t="b">
        <x:v>0</x:v>
      </x:c>
      <x:c r="T5367" s="3" t="b">
        <x:v>0</x:v>
      </x:c>
      <x:c r="U5367" s="2" t="str">
        <x:f>IF(T5367=TRUE,"Priority review",IF(R5367=TRUE,"High cost",IF(S5367=TRUE,"Low quality","Benchmark")))</x:f>
        <x:v>Benchmark</x:v>
      </x:c>
    </x:row>
    <x:row r="5368">
      <x:c r="A5368" s="2" t="str">
        <x:v>390025</x:v>
      </x:c>
      <x:c r="B5368" s="2" t="str">
        <x:v>KENSINGTON HOSPITAL</x:v>
      </x:c>
      <x:c r="C5368" s="2" t="str">
        <x:v>PHILADELPHIA</x:v>
      </x:c>
      <x:c r="D5368" s="2" t="str">
        <x:v>PA</x:v>
      </x:c>
      <x:c r="E5368" s="2" t="str">
        <x:v>Acute Care Hospitals</x:v>
      </x:c>
      <x:c r="F5368" s="2" t="str">
        <x:v>Voluntary non-profit</x:v>
      </x:c>
      <x:c r="G5368" s="2" t="str">
        <x:v>Unknown</x:v>
      </x:c>
      <x:c r="H5368" s="7"/>
      <x:c r="I5368" s="7"/>
      <x:c r="J5368" s="7"/>
      <x:c r="K5368" s="8"/>
      <x:c r="L5368" s="8"/>
      <x:c r="M5368" s="9"/>
      <x:c r="N5368" s="10"/>
      <x:c r="O5368" s="9"/>
      <x:c r="P5368" s="9" t="n">
        <x:v>0</x:v>
      </x:c>
      <x:c r="Q5368" s="9" t="n">
        <x:v>0.5905511811</x:v>
      </x:c>
      <x:c r="R5368" s="3" t="b">
        <x:v>0</x:v>
      </x:c>
      <x:c r="S5368" s="3" t="b">
        <x:v>0</x:v>
      </x:c>
      <x:c r="T5368" s="3" t="b">
        <x:v>0</x:v>
      </x:c>
      <x:c r="U5368" s="2" t="str">
        <x:f>IF(T5368=TRUE,"Priority review",IF(R5368=TRUE,"High cost",IF(S5368=TRUE,"Low quality","Benchmark")))</x:f>
        <x:v>Benchmark</x:v>
      </x:c>
    </x:row>
    <x:row r="5369">
      <x:c r="A5369" s="2" t="str">
        <x:v>110071</x:v>
      </x:c>
      <x:c r="B5369" s="2" t="str">
        <x:v>APPLING HEALTHCARE</x:v>
      </x:c>
      <x:c r="C5369" s="2" t="str">
        <x:v>BAXLEY</x:v>
      </x:c>
      <x:c r="D5369" s="2" t="str">
        <x:v>GA</x:v>
      </x:c>
      <x:c r="E5369" s="2" t="str">
        <x:v>Acute Care Hospitals</x:v>
      </x:c>
      <x:c r="F5369" s="2" t="str">
        <x:v>Government</x:v>
      </x:c>
      <x:c r="G5369" s="2" t="str">
        <x:v>Unknown</x:v>
      </x:c>
      <x:c r="H5369" s="7"/>
      <x:c r="I5369" s="7"/>
      <x:c r="J5369" s="7" t="n">
        <x:v>0.9</x:v>
      </x:c>
      <x:c r="K5369" s="8"/>
      <x:c r="L5369" s="8"/>
      <x:c r="M5369" s="9"/>
      <x:c r="N5369" s="10"/>
      <x:c r="O5369" s="9"/>
      <x:c r="P5369" s="9" t="n">
        <x:v>0</x:v>
      </x:c>
      <x:c r="Q5369" s="9" t="n">
        <x:v>0.5905511811</x:v>
      </x:c>
      <x:c r="R5369" s="3" t="b">
        <x:v>0</x:v>
      </x:c>
      <x:c r="S5369" s="3" t="b">
        <x:v>0</x:v>
      </x:c>
      <x:c r="T5369" s="3" t="b">
        <x:v>0</x:v>
      </x:c>
      <x:c r="U5369" s="2" t="str">
        <x:f>IF(T5369=TRUE,"Priority review",IF(R5369=TRUE,"High cost",IF(S5369=TRUE,"Low quality","Benchmark")))</x:f>
        <x:v>Benchmark</x:v>
      </x:c>
    </x:row>
    <x:row r="5370">
      <x:c r="A5370" s="2" t="str">
        <x:v>400141</x:v>
      </x:c>
      <x:c r="B5370" s="2" t="str">
        <x:v>CENTRO MEDICO DEL NORESTE</x:v>
      </x:c>
      <x:c r="C5370" s="2" t="str">
        <x:v>FAJARDO</x:v>
      </x:c>
      <x:c r="D5370" s="2" t="str">
        <x:v>PR</x:v>
      </x:c>
      <x:c r="E5370" s="2" t="str">
        <x:v>Acute Care Hospitals</x:v>
      </x:c>
      <x:c r="F5370" s="2" t="str">
        <x:v>Proprietary</x:v>
      </x:c>
      <x:c r="G5370" s="2" t="str">
        <x:v>Unknown</x:v>
      </x:c>
      <x:c r="H5370" s="7"/>
      <x:c r="I5370" s="7"/>
      <x:c r="J5370" s="7"/>
      <x:c r="K5370" s="8"/>
      <x:c r="L5370" s="8"/>
      <x:c r="M5370" s="9"/>
      <x:c r="N5370" s="10"/>
      <x:c r="O5370" s="9"/>
      <x:c r="P5370" s="9" t="n">
        <x:v>0</x:v>
      </x:c>
      <x:c r="Q5370" s="9" t="n">
        <x:v>0.5905511811</x:v>
      </x:c>
      <x:c r="R5370" s="3" t="b">
        <x:v>0</x:v>
      </x:c>
      <x:c r="S5370" s="3" t="b">
        <x:v>0</x:v>
      </x:c>
      <x:c r="T5370" s="3" t="b">
        <x:v>0</x:v>
      </x:c>
      <x:c r="U5370" s="2" t="str">
        <x:f>IF(T5370=TRUE,"Priority review",IF(R5370=TRUE,"High cost",IF(S5370=TRUE,"Low quality","Benchmark")))</x:f>
        <x:v>Benchmark</x:v>
      </x:c>
    </x:row>
    <x:row r="5371">
      <x:c r="A5371" s="2" t="str">
        <x:v>400004</x:v>
      </x:c>
      <x:c r="B5371" s="2" t="str">
        <x:v>ASOCIACION HOSPITAL DEL MAESTRO, INC</x:v>
      </x:c>
      <x:c r="C5371" s="2" t="str">
        <x:v>SAN JUAN</x:v>
      </x:c>
      <x:c r="D5371" s="2" t="str">
        <x:v>PR</x:v>
      </x:c>
      <x:c r="E5371" s="2" t="str">
        <x:v>Acute Care Hospitals</x:v>
      </x:c>
      <x:c r="F5371" s="2" t="str">
        <x:v>Voluntary non-profit</x:v>
      </x:c>
      <x:c r="G5371" s="2" t="str">
        <x:v>Unknown</x:v>
      </x:c>
      <x:c r="H5371" s="7"/>
      <x:c r="I5371" s="7"/>
      <x:c r="J5371" s="7"/>
      <x:c r="K5371" s="8"/>
      <x:c r="L5371" s="8"/>
      <x:c r="M5371" s="9"/>
      <x:c r="N5371" s="10"/>
      <x:c r="O5371" s="9"/>
      <x:c r="P5371" s="9" t="n">
        <x:v>0</x:v>
      </x:c>
      <x:c r="Q5371" s="9" t="n">
        <x:v>0.5905511811</x:v>
      </x:c>
      <x:c r="R5371" s="3" t="b">
        <x:v>0</x:v>
      </x:c>
      <x:c r="S5371" s="3" t="b">
        <x:v>0</x:v>
      </x:c>
      <x:c r="T5371" s="3" t="b">
        <x:v>0</x:v>
      </x:c>
      <x:c r="U5371" s="2" t="str">
        <x:f>IF(T5371=TRUE,"Priority review",IF(R5371=TRUE,"High cost",IF(S5371=TRUE,"Low quality","Benchmark")))</x:f>
        <x:v>Benchmark</x:v>
      </x:c>
    </x:row>
    <x:row r="5372">
      <x:c r="A5372" s="2" t="str">
        <x:v>450831</x:v>
      </x:c>
      <x:c r="B5372" s="2" t="str">
        <x:v>SURGERY SPECIALTY HOSPITALS OF AMERICA SE HOUSTON</x:v>
      </x:c>
      <x:c r="C5372" s="2" t="str">
        <x:v>PASADENA</x:v>
      </x:c>
      <x:c r="D5372" s="2" t="str">
        <x:v>TX</x:v>
      </x:c>
      <x:c r="E5372" s="2" t="str">
        <x:v>Acute Care Hospitals</x:v>
      </x:c>
      <x:c r="F5372" s="2" t="str">
        <x:v>Proprietary</x:v>
      </x:c>
      <x:c r="G5372" s="2" t="str">
        <x:v>Unknown</x:v>
      </x:c>
      <x:c r="H5372" s="7"/>
      <x:c r="I5372" s="7"/>
      <x:c r="J5372" s="7"/>
      <x:c r="K5372" s="8"/>
      <x:c r="L5372" s="8"/>
      <x:c r="M5372" s="9"/>
      <x:c r="N5372" s="10"/>
      <x:c r="O5372" s="9"/>
      <x:c r="P5372" s="9" t="n">
        <x:v>0</x:v>
      </x:c>
      <x:c r="Q5372" s="9" t="n">
        <x:v>0.5905511811</x:v>
      </x:c>
      <x:c r="R5372" s="3" t="b">
        <x:v>0</x:v>
      </x:c>
      <x:c r="S5372" s="3" t="b">
        <x:v>0</x:v>
      </x:c>
      <x:c r="T5372" s="3" t="b">
        <x:v>0</x:v>
      </x:c>
      <x:c r="U5372" s="2" t="str">
        <x:f>IF(T5372=TRUE,"Priority review",IF(R5372=TRUE,"High cost",IF(S5372=TRUE,"Low quality","Benchmark")))</x:f>
        <x:v>Benchmark</x:v>
      </x:c>
    </x:row>
    <x:row r="5373">
      <x:c r="A5373" s="2" t="str">
        <x:v>450895</x:v>
      </x:c>
      <x:c r="B5373" s="2" t="str">
        <x:v>BAYLOR SCOTT WHITE THE HEART HOSPITAL CORINTH</x:v>
      </x:c>
      <x:c r="C5373" s="2" t="str">
        <x:v>DENTON</x:v>
      </x:c>
      <x:c r="D5373" s="2" t="str">
        <x:v>TX</x:v>
      </x:c>
      <x:c r="E5373" s="2" t="str">
        <x:v>Acute Care Hospitals</x:v>
      </x:c>
      <x:c r="F5373" s="2" t="str">
        <x:v>Proprietary</x:v>
      </x:c>
      <x:c r="G5373" s="2" t="str">
        <x:v>Unknown</x:v>
      </x:c>
      <x:c r="H5373" s="7"/>
      <x:c r="I5373" s="7"/>
      <x:c r="J5373" s="7"/>
      <x:c r="K5373" s="8"/>
      <x:c r="L5373" s="8"/>
      <x:c r="M5373" s="9"/>
      <x:c r="N5373" s="10"/>
      <x:c r="O5373" s="9"/>
      <x:c r="P5373" s="9" t="n">
        <x:v>0</x:v>
      </x:c>
      <x:c r="Q5373" s="9" t="n">
        <x:v>0.5905511811</x:v>
      </x:c>
      <x:c r="R5373" s="3" t="b">
        <x:v>0</x:v>
      </x:c>
      <x:c r="S5373" s="3" t="b">
        <x:v>0</x:v>
      </x:c>
      <x:c r="T5373" s="3" t="b">
        <x:v>0</x:v>
      </x:c>
      <x:c r="U5373" s="2" t="str">
        <x:f>IF(T5373=TRUE,"Priority review",IF(R5373=TRUE,"High cost",IF(S5373=TRUE,"Low quality","Benchmark")))</x:f>
        <x:v>Benchmark</x:v>
      </x:c>
    </x:row>
    <x:row r="5374">
      <x:c r="A5374" s="2" t="str">
        <x:v>670331</x:v>
      </x:c>
      <x:c r="B5374" s="2" t="str">
        <x:v>MID COAST MEDICAL CENTER-TRINITY</x:v>
      </x:c>
      <x:c r="C5374" s="2" t="str">
        <x:v>TRINITY</x:v>
      </x:c>
      <x:c r="D5374" s="2" t="str">
        <x:v>TX</x:v>
      </x:c>
      <x:c r="E5374" s="2" t="str">
        <x:v>Acute Care Hospitals</x:v>
      </x:c>
      <x:c r="F5374" s="2" t="str">
        <x:v>Voluntary non-profit</x:v>
      </x:c>
      <x:c r="G5374" s="2" t="str">
        <x:v>Unknown</x:v>
      </x:c>
      <x:c r="H5374" s="7"/>
      <x:c r="I5374" s="7"/>
      <x:c r="J5374" s="7"/>
      <x:c r="K5374" s="8"/>
      <x:c r="L5374" s="8"/>
      <x:c r="M5374" s="9"/>
      <x:c r="N5374" s="10"/>
      <x:c r="O5374" s="9"/>
      <x:c r="P5374" s="9" t="n">
        <x:v>0</x:v>
      </x:c>
      <x:c r="Q5374" s="9" t="n">
        <x:v>0.5905511811</x:v>
      </x:c>
      <x:c r="R5374" s="3" t="b">
        <x:v>0</x:v>
      </x:c>
      <x:c r="S5374" s="3" t="b">
        <x:v>0</x:v>
      </x:c>
      <x:c r="T5374" s="3" t="b">
        <x:v>0</x:v>
      </x:c>
      <x:c r="U5374" s="2" t="str">
        <x:f>IF(T5374=TRUE,"Priority review",IF(R5374=TRUE,"High cost",IF(S5374=TRUE,"Low quality","Benchmark")))</x:f>
        <x:v>Benchmark</x:v>
      </x:c>
    </x:row>
    <x:row r="5375">
      <x:c r="A5375" s="2" t="str">
        <x:v>460017</x:v>
      </x:c>
      <x:c r="B5375" s="2" t="str">
        <x:v>BRIGHAM CITY COMMUNITY HOSPITAL</x:v>
      </x:c>
      <x:c r="C5375" s="2" t="str">
        <x:v>BRIGHAM CITY</x:v>
      </x:c>
      <x:c r="D5375" s="2" t="str">
        <x:v>UT</x:v>
      </x:c>
      <x:c r="E5375" s="2" t="str">
        <x:v>Acute Care Hospitals</x:v>
      </x:c>
      <x:c r="F5375" s="2" t="str">
        <x:v>Proprietary</x:v>
      </x:c>
      <x:c r="G5375" s="2" t="str">
        <x:v>Unknown</x:v>
      </x:c>
      <x:c r="H5375" s="7"/>
      <x:c r="I5375" s="7" t="n">
        <x:v>3</x:v>
      </x:c>
      <x:c r="J5375" s="7" t="n">
        <x:v>0.97</x:v>
      </x:c>
      <x:c r="K5375" s="8"/>
      <x:c r="L5375" s="8"/>
      <x:c r="M5375" s="9"/>
      <x:c r="N5375" s="10"/>
      <x:c r="O5375" s="9"/>
      <x:c r="P5375" s="9" t="n">
        <x:v>0</x:v>
      </x:c>
      <x:c r="Q5375" s="9" t="n">
        <x:v>0.5905511811</x:v>
      </x:c>
      <x:c r="R5375" s="3" t="b">
        <x:v>0</x:v>
      </x:c>
      <x:c r="S5375" s="3" t="b">
        <x:v>0</x:v>
      </x:c>
      <x:c r="T5375" s="3" t="b">
        <x:v>0</x:v>
      </x:c>
      <x:c r="U5375" s="2" t="str">
        <x:f>IF(T5375=TRUE,"Priority review",IF(R5375=TRUE,"High cost",IF(S5375=TRUE,"Low quality","Benchmark")))</x:f>
        <x:v>Benchmark</x:v>
      </x:c>
    </x:row>
    <x:row r="5376">
      <x:c r="A5376" s="2" t="str">
        <x:v>460063</x:v>
      </x:c>
      <x:c r="B5376" s="2" t="str">
        <x:v>WESTERN PEAKS SPECIALTY HOSPITAL</x:v>
      </x:c>
      <x:c r="C5376" s="2" t="str">
        <x:v>BOUNTIFUL</x:v>
      </x:c>
      <x:c r="D5376" s="2" t="str">
        <x:v>UT</x:v>
      </x:c>
      <x:c r="E5376" s="2" t="str">
        <x:v>Acute Care Hospitals</x:v>
      </x:c>
      <x:c r="F5376" s="2" t="str">
        <x:v>Proprietary</x:v>
      </x:c>
      <x:c r="G5376" s="2" t="str">
        <x:v>Unknown</x:v>
      </x:c>
      <x:c r="H5376" s="7"/>
      <x:c r="I5376" s="7"/>
      <x:c r="J5376" s="7"/>
      <x:c r="K5376" s="8"/>
      <x:c r="L5376" s="8"/>
      <x:c r="M5376" s="9"/>
      <x:c r="N5376" s="10"/>
      <x:c r="O5376" s="9"/>
      <x:c r="P5376" s="9" t="n">
        <x:v>0</x:v>
      </x:c>
      <x:c r="Q5376" s="9" t="n">
        <x:v>0.5905511811</x:v>
      </x:c>
      <x:c r="R5376" s="3" t="b">
        <x:v>0</x:v>
      </x:c>
      <x:c r="S5376" s="3" t="b">
        <x:v>0</x:v>
      </x:c>
      <x:c r="T5376" s="3" t="b">
        <x:v>0</x:v>
      </x:c>
      <x:c r="U5376" s="2" t="str">
        <x:f>IF(T5376=TRUE,"Priority review",IF(R5376=TRUE,"High cost",IF(S5376=TRUE,"Low quality","Benchmark")))</x:f>
        <x:v>Benchmark</x:v>
      </x:c>
    </x:row>
    <x:row r="5377">
      <x:c r="A5377" s="2" t="str">
        <x:v>670327</x:v>
      </x:c>
      <x:c r="B5377" s="2" t="str">
        <x:v>EXCEPTIONAL COMMUNITY HOSPITAL LUBBOCK</x:v>
      </x:c>
      <x:c r="C5377" s="2" t="str">
        <x:v>LUBBOCK</x:v>
      </x:c>
      <x:c r="D5377" s="2" t="str">
        <x:v>TX</x:v>
      </x:c>
      <x:c r="E5377" s="2" t="str">
        <x:v>Acute Care Hospitals</x:v>
      </x:c>
      <x:c r="F5377" s="2" t="str">
        <x:v>Proprietary</x:v>
      </x:c>
      <x:c r="G5377" s="2" t="str">
        <x:v>Unknown</x:v>
      </x:c>
      <x:c r="H5377" s="7"/>
      <x:c r="I5377" s="7"/>
      <x:c r="J5377" s="7"/>
      <x:c r="K5377" s="8"/>
      <x:c r="L5377" s="8"/>
      <x:c r="M5377" s="9"/>
      <x:c r="N5377" s="10"/>
      <x:c r="O5377" s="9"/>
      <x:c r="P5377" s="9" t="n">
        <x:v>0</x:v>
      </x:c>
      <x:c r="Q5377" s="9" t="n">
        <x:v>0.5905511811</x:v>
      </x:c>
      <x:c r="R5377" s="3" t="b">
        <x:v>0</x:v>
      </x:c>
      <x:c r="S5377" s="3" t="b">
        <x:v>0</x:v>
      </x:c>
      <x:c r="T5377" s="3" t="b">
        <x:v>0</x:v>
      </x:c>
      <x:c r="U5377" s="2" t="str">
        <x:f>IF(T5377=TRUE,"Priority review",IF(R5377=TRUE,"High cost",IF(S5377=TRUE,"Low quality","Benchmark")))</x:f>
        <x:v>Benchmark</x:v>
      </x:c>
    </x:row>
    <x:row r="5378">
      <x:c r="A5378" s="2" t="str">
        <x:v>220126</x:v>
      </x:c>
      <x:c r="B5378" s="2" t="str">
        <x:v>NORWOOD HOSPITAL</x:v>
      </x:c>
      <x:c r="C5378" s="2" t="str">
        <x:v>NORWOOD</x:v>
      </x:c>
      <x:c r="D5378" s="2" t="str">
        <x:v>MA</x:v>
      </x:c>
      <x:c r="E5378" s="2" t="str">
        <x:v>Acute Care Hospitals</x:v>
      </x:c>
      <x:c r="F5378" s="2" t="str">
        <x:v>Proprietary</x:v>
      </x:c>
      <x:c r="G5378" s="2" t="str">
        <x:v>Unknown</x:v>
      </x:c>
      <x:c r="H5378" s="7"/>
      <x:c r="I5378" s="7"/>
      <x:c r="J5378" s="7"/>
      <x:c r="K5378" s="8"/>
      <x:c r="L5378" s="8"/>
      <x:c r="M5378" s="9"/>
      <x:c r="N5378" s="10"/>
      <x:c r="O5378" s="9" t="n">
        <x:v>-0.8902273408</x:v>
      </x:c>
      <x:c r="P5378" s="9" t="n">
        <x:v>0</x:v>
      </x:c>
      <x:c r="Q5378" s="9" t="n">
        <x:v>0.5905511811</x:v>
      </x:c>
      <x:c r="R5378" s="3" t="b">
        <x:v>0</x:v>
      </x:c>
      <x:c r="S5378" s="3" t="b">
        <x:v>0</x:v>
      </x:c>
      <x:c r="T5378" s="3" t="b">
        <x:v>0</x:v>
      </x:c>
      <x:c r="U5378" s="2" t="str">
        <x:f>IF(T5378=TRUE,"Priority review",IF(R5378=TRUE,"High cost",IF(S5378=TRUE,"Low quality","Benchmark")))</x:f>
        <x:v>Benchmark</x:v>
      </x:c>
    </x:row>
    <x:row r="5379">
      <x:c r="A5379" s="2" t="str">
        <x:v>490148</x:v>
      </x:c>
      <x:c r="B5379" s="2" t="str">
        <x:v>BON SECOURS HARBOUR VIEW MEDICAL CENTER</x:v>
      </x:c>
      <x:c r="C5379" s="2" t="str">
        <x:v>SUFFOLK</x:v>
      </x:c>
      <x:c r="D5379" s="2" t="str">
        <x:v>VA</x:v>
      </x:c>
      <x:c r="E5379" s="2" t="str">
        <x:v>Acute Care Hospitals</x:v>
      </x:c>
      <x:c r="F5379" s="2" t="str">
        <x:v>Voluntary non-profit</x:v>
      </x:c>
      <x:c r="G5379" s="2" t="str">
        <x:v>Unknown</x:v>
      </x:c>
      <x:c r="H5379" s="7"/>
      <x:c r="I5379" s="7"/>
      <x:c r="J5379" s="7"/>
      <x:c r="K5379" s="8"/>
      <x:c r="L5379" s="8"/>
      <x:c r="M5379" s="9"/>
      <x:c r="N5379" s="10"/>
      <x:c r="O5379" s="9"/>
      <x:c r="P5379" s="9" t="n">
        <x:v>0</x:v>
      </x:c>
      <x:c r="Q5379" s="9" t="n">
        <x:v>0.5905511811</x:v>
      </x:c>
      <x:c r="R5379" s="3" t="b">
        <x:v>0</x:v>
      </x:c>
      <x:c r="S5379" s="3" t="b">
        <x:v>0</x:v>
      </x:c>
      <x:c r="T5379" s="3" t="b">
        <x:v>0</x:v>
      </x:c>
      <x:c r="U5379" s="2" t="str">
        <x:f>IF(T5379=TRUE,"Priority review",IF(R5379=TRUE,"High cost",IF(S5379=TRUE,"Low quality","Benchmark")))</x:f>
        <x:v>Benchmark</x:v>
      </x:c>
    </x:row>
    <x:row r="5380">
      <x:c r="A5380" s="2" t="str">
        <x:v>370246</x:v>
      </x:c>
      <x:c r="B5380" s="2" t="str">
        <x:v>CARRUS LAKESIDE HOSPITAL</x:v>
      </x:c>
      <x:c r="C5380" s="2" t="str">
        <x:v>BRISTOW</x:v>
      </x:c>
      <x:c r="D5380" s="2" t="str">
        <x:v>OK</x:v>
      </x:c>
      <x:c r="E5380" s="2" t="str">
        <x:v>Acute Care Hospitals</x:v>
      </x:c>
      <x:c r="F5380" s="2" t="str">
        <x:v>Proprietary</x:v>
      </x:c>
      <x:c r="G5380" s="2" t="str">
        <x:v>Unknown</x:v>
      </x:c>
      <x:c r="H5380" s="7"/>
      <x:c r="I5380" s="7"/>
      <x:c r="J5380" s="7"/>
      <x:c r="K5380" s="8"/>
      <x:c r="L5380" s="8"/>
      <x:c r="M5380" s="9"/>
      <x:c r="N5380" s="10"/>
      <x:c r="O5380" s="9"/>
      <x:c r="P5380" s="9" t="n">
        <x:v>0</x:v>
      </x:c>
      <x:c r="Q5380" s="9" t="n">
        <x:v>0.5905511811</x:v>
      </x:c>
      <x:c r="R5380" s="3" t="b">
        <x:v>0</x:v>
      </x:c>
      <x:c r="S5380" s="3" t="b">
        <x:v>0</x:v>
      </x:c>
      <x:c r="T5380" s="3" t="b">
        <x:v>0</x:v>
      </x:c>
      <x:c r="U5380" s="2" t="str">
        <x:f>IF(T5380=TRUE,"Priority review",IF(R5380=TRUE,"High cost",IF(S5380=TRUE,"Low quality","Benchmark")))</x:f>
        <x:v>Benchmark</x:v>
      </x:c>
    </x:row>
    <x:row r="5381">
      <x:c r="A5381" s="2" t="str">
        <x:v>530038</x:v>
      </x:c>
      <x:c r="B5381" s="2" t="str">
        <x:v>SUBLETTE COUNTY HEALTH</x:v>
      </x:c>
      <x:c r="C5381" s="2" t="str">
        <x:v>PINEDALE</x:v>
      </x:c>
      <x:c r="D5381" s="2" t="str">
        <x:v>WY</x:v>
      </x:c>
      <x:c r="E5381" s="2" t="str">
        <x:v>Acute Care Hospitals</x:v>
      </x:c>
      <x:c r="F5381" s="2" t="str">
        <x:v>Government</x:v>
      </x:c>
      <x:c r="G5381" s="2" t="str">
        <x:v>Unknown</x:v>
      </x:c>
      <x:c r="H5381" s="7"/>
      <x:c r="I5381" s="7"/>
      <x:c r="J5381" s="7"/>
      <x:c r="K5381" s="8"/>
      <x:c r="L5381" s="8"/>
      <x:c r="M5381" s="9"/>
      <x:c r="N5381" s="10"/>
      <x:c r="O5381" s="9"/>
      <x:c r="P5381" s="9" t="n">
        <x:v>0</x:v>
      </x:c>
      <x:c r="Q5381" s="9" t="n">
        <x:v>0.5905511811</x:v>
      </x:c>
      <x:c r="R5381" s="3" t="b">
        <x:v>0</x:v>
      </x:c>
      <x:c r="S5381" s="3" t="b">
        <x:v>0</x:v>
      </x:c>
      <x:c r="T5381" s="3" t="b">
        <x:v>0</x:v>
      </x:c>
      <x:c r="U5381" s="2" t="str">
        <x:f>IF(T5381=TRUE,"Priority review",IF(R5381=TRUE,"High cost",IF(S5381=TRUE,"Low quality","Benchmark")))</x:f>
        <x:v>Benchmark</x:v>
      </x:c>
    </x:row>
    <x:row r="5382">
      <x:c r="A5382" s="2" t="str">
        <x:v>640001</x:v>
      </x:c>
      <x:c r="B5382" s="2" t="str">
        <x:v>LBJ TROPICAL MEDICAL CENTER</x:v>
      </x:c>
      <x:c r="C5382" s="2" t="str">
        <x:v>PAGO PAGO</x:v>
      </x:c>
      <x:c r="D5382" s="2" t="str">
        <x:v>AS</x:v>
      </x:c>
      <x:c r="E5382" s="2" t="str">
        <x:v>Acute Care Hospitals</x:v>
      </x:c>
      <x:c r="F5382" s="2" t="str">
        <x:v>Government</x:v>
      </x:c>
      <x:c r="G5382" s="2" t="str">
        <x:v>Unknown</x:v>
      </x:c>
      <x:c r="H5382" s="7"/>
      <x:c r="I5382" s="7"/>
      <x:c r="J5382" s="7"/>
      <x:c r="K5382" s="8"/>
      <x:c r="L5382" s="8"/>
      <x:c r="M5382" s="9"/>
      <x:c r="N5382" s="10"/>
      <x:c r="O5382" s="9"/>
      <x:c r="P5382" s="9" t="n">
        <x:v>0</x:v>
      </x:c>
      <x:c r="Q5382" s="9" t="n">
        <x:v>0.5905511811</x:v>
      </x:c>
      <x:c r="R5382" s="3" t="b">
        <x:v>0</x:v>
      </x:c>
      <x:c r="S5382" s="3" t="b">
        <x:v>0</x:v>
      </x:c>
      <x:c r="T5382" s="3" t="b">
        <x:v>0</x:v>
      </x:c>
      <x:c r="U5382" s="2" t="str">
        <x:f>IF(T5382=TRUE,"Priority review",IF(R5382=TRUE,"High cost",IF(S5382=TRUE,"Low quality","Benchmark")))</x:f>
        <x:v>Benchmark</x:v>
      </x:c>
    </x:row>
    <x:row r="5383">
      <x:c r="A5383" s="2" t="str">
        <x:v>670112</x:v>
      </x:c>
      <x:c r="B5383" s="2" t="str">
        <x:v>LEGENT ORTHOPEDIC + SPINE</x:v>
      </x:c>
      <x:c r="C5383" s="2" t="str">
        <x:v>SAN ANTONIO</x:v>
      </x:c>
      <x:c r="D5383" s="2" t="str">
        <x:v>TX</x:v>
      </x:c>
      <x:c r="E5383" s="2" t="str">
        <x:v>Acute Care Hospitals</x:v>
      </x:c>
      <x:c r="F5383" s="2" t="str">
        <x:v>Proprietary</x:v>
      </x:c>
      <x:c r="G5383" s="2" t="str">
        <x:v>Unknown</x:v>
      </x:c>
      <x:c r="H5383" s="7"/>
      <x:c r="I5383" s="7" t="n">
        <x:v>5</x:v>
      </x:c>
      <x:c r="J5383" s="7" t="n">
        <x:v>0.98</x:v>
      </x:c>
      <x:c r="K5383" s="8"/>
      <x:c r="L5383" s="8"/>
      <x:c r="M5383" s="9"/>
      <x:c r="N5383" s="10"/>
      <x:c r="O5383" s="9"/>
      <x:c r="P5383" s="9" t="n">
        <x:v>0</x:v>
      </x:c>
      <x:c r="Q5383" s="9" t="n">
        <x:v>0.5905511811</x:v>
      </x:c>
      <x:c r="R5383" s="3" t="b">
        <x:v>0</x:v>
      </x:c>
      <x:c r="S5383" s="3" t="b">
        <x:v>0</x:v>
      </x:c>
      <x:c r="T5383" s="3" t="b">
        <x:v>0</x:v>
      </x:c>
      <x:c r="U5383" s="2" t="str">
        <x:f>IF(T5383=TRUE,"Priority review",IF(R5383=TRUE,"High cost",IF(S5383=TRUE,"Low quality","Benchmark")))</x:f>
        <x:v>Benchmark</x:v>
      </x:c>
    </x:row>
    <x:row r="5384">
      <x:c r="A5384" s="2" t="str">
        <x:v>670121</x:v>
      </x:c>
      <x:c r="B5384" s="2" t="str">
        <x:v>SAINT CAMILLUS MEDICAL CENTER</x:v>
      </x:c>
      <x:c r="C5384" s="2" t="str">
        <x:v>HURST</x:v>
      </x:c>
      <x:c r="D5384" s="2" t="str">
        <x:v>TX</x:v>
      </x:c>
      <x:c r="E5384" s="2" t="str">
        <x:v>Acute Care Hospitals</x:v>
      </x:c>
      <x:c r="F5384" s="2" t="str">
        <x:v>Proprietary</x:v>
      </x:c>
      <x:c r="G5384" s="2" t="str">
        <x:v>Unknown</x:v>
      </x:c>
      <x:c r="H5384" s="7"/>
      <x:c r="I5384" s="7"/>
      <x:c r="J5384" s="7"/>
      <x:c r="K5384" s="8"/>
      <x:c r="L5384" s="8"/>
      <x:c r="M5384" s="9"/>
      <x:c r="N5384" s="10"/>
      <x:c r="O5384" s="9"/>
      <x:c r="P5384" s="9" t="n">
        <x:v>0</x:v>
      </x:c>
      <x:c r="Q5384" s="9" t="n">
        <x:v>0.5905511811</x:v>
      </x:c>
      <x:c r="R5384" s="3" t="b">
        <x:v>0</x:v>
      </x:c>
      <x:c r="S5384" s="3" t="b">
        <x:v>0</x:v>
      </x:c>
      <x:c r="T5384" s="3" t="b">
        <x:v>0</x:v>
      </x:c>
      <x:c r="U5384" s="2" t="str">
        <x:f>IF(T5384=TRUE,"Priority review",IF(R5384=TRUE,"High cost",IF(S5384=TRUE,"Low quality","Benchmark")))</x:f>
        <x:v>Benchmark</x:v>
      </x:c>
    </x:row>
    <x:row r="5385">
      <x:c r="A5385" s="2" t="str">
        <x:v>670125</x:v>
      </x:c>
      <x:c r="B5385" s="2" t="str">
        <x:v>TEXAS CENTER FOR INFECTIOUS DISEASE</x:v>
      </x:c>
      <x:c r="C5385" s="2" t="str">
        <x:v>SAN ANTONIO</x:v>
      </x:c>
      <x:c r="D5385" s="2" t="str">
        <x:v>TX</x:v>
      </x:c>
      <x:c r="E5385" s="2" t="str">
        <x:v>Acute Care Hospitals</x:v>
      </x:c>
      <x:c r="F5385" s="2" t="str">
        <x:v>Government</x:v>
      </x:c>
      <x:c r="G5385" s="2" t="str">
        <x:v>Unknown</x:v>
      </x:c>
      <x:c r="H5385" s="7"/>
      <x:c r="I5385" s="7"/>
      <x:c r="J5385" s="7"/>
      <x:c r="K5385" s="8"/>
      <x:c r="L5385" s="8"/>
      <x:c r="M5385" s="9"/>
      <x:c r="N5385" s="10"/>
      <x:c r="O5385" s="9"/>
      <x:c r="P5385" s="9" t="n">
        <x:v>0</x:v>
      </x:c>
      <x:c r="Q5385" s="9" t="n">
        <x:v>0.5905511811</x:v>
      </x:c>
      <x:c r="R5385" s="3" t="b">
        <x:v>0</x:v>
      </x:c>
      <x:c r="S5385" s="3" t="b">
        <x:v>0</x:v>
      </x:c>
      <x:c r="T5385" s="3" t="b">
        <x:v>0</x:v>
      </x:c>
      <x:c r="U5385" s="2" t="str">
        <x:f>IF(T5385=TRUE,"Priority review",IF(R5385=TRUE,"High cost",IF(S5385=TRUE,"Low quality","Benchmark")))</x:f>
        <x:v>Benchmark</x:v>
      </x:c>
    </x:row>
    <x:row r="5386">
      <x:c r="A5386" s="2" t="str">
        <x:v>670131</x:v>
      </x:c>
      <x:c r="B5386" s="2" t="str">
        <x:v>BAYLOR SCOTT &amp; WHITE MEDICAL CENTER - BUDA</x:v>
      </x:c>
      <x:c r="C5386" s="2" t="str">
        <x:v>BUDA</x:v>
      </x:c>
      <x:c r="D5386" s="2" t="str">
        <x:v>TX</x:v>
      </x:c>
      <x:c r="E5386" s="2" t="str">
        <x:v>Acute Care Hospitals</x:v>
      </x:c>
      <x:c r="F5386" s="2" t="str">
        <x:v>Voluntary non-profit</x:v>
      </x:c>
      <x:c r="G5386" s="2" t="str">
        <x:v>Unknown</x:v>
      </x:c>
      <x:c r="H5386" s="7"/>
      <x:c r="I5386" s="7"/>
      <x:c r="J5386" s="7" t="n">
        <x:v>0.85</x:v>
      </x:c>
      <x:c r="K5386" s="8"/>
      <x:c r="L5386" s="8"/>
      <x:c r="M5386" s="9"/>
      <x:c r="N5386" s="10"/>
      <x:c r="O5386" s="9"/>
      <x:c r="P5386" s="9" t="n">
        <x:v>0</x:v>
      </x:c>
      <x:c r="Q5386" s="9" t="n">
        <x:v>0.5905511811</x:v>
      </x:c>
      <x:c r="R5386" s="3" t="b">
        <x:v>0</x:v>
      </x:c>
      <x:c r="S5386" s="3" t="b">
        <x:v>0</x:v>
      </x:c>
      <x:c r="T5386" s="3" t="b">
        <x:v>0</x:v>
      </x:c>
      <x:c r="U5386" s="2" t="str">
        <x:f>IF(T5386=TRUE,"Priority review",IF(R5386=TRUE,"High cost",IF(S5386=TRUE,"Low quality","Benchmark")))</x:f>
        <x:v>Benchmark</x:v>
      </x:c>
    </x:row>
    <x:row r="5387">
      <x:c r="A5387" s="2" t="str">
        <x:v>670134</x:v>
      </x:c>
      <x:c r="B5387" s="2" t="str">
        <x:v>ALTUS LUMBERTON HOSPITAL</x:v>
      </x:c>
      <x:c r="C5387" s="2" t="str">
        <x:v>LUMBERTON</x:v>
      </x:c>
      <x:c r="D5387" s="2" t="str">
        <x:v>TX</x:v>
      </x:c>
      <x:c r="E5387" s="2" t="str">
        <x:v>Acute Care Hospitals</x:v>
      </x:c>
      <x:c r="F5387" s="2" t="str">
        <x:v>Proprietary</x:v>
      </x:c>
      <x:c r="G5387" s="2" t="str">
        <x:v>Unknown</x:v>
      </x:c>
      <x:c r="H5387" s="7"/>
      <x:c r="I5387" s="7"/>
      <x:c r="J5387" s="7" t="n">
        <x:v>0.59</x:v>
      </x:c>
      <x:c r="K5387" s="8"/>
      <x:c r="L5387" s="8"/>
      <x:c r="M5387" s="9"/>
      <x:c r="N5387" s="10"/>
      <x:c r="O5387" s="9"/>
      <x:c r="P5387" s="9" t="n">
        <x:v>0</x:v>
      </x:c>
      <x:c r="Q5387" s="9" t="n">
        <x:v>0.5905511811</x:v>
      </x:c>
      <x:c r="R5387" s="3" t="b">
        <x:v>0</x:v>
      </x:c>
      <x:c r="S5387" s="3" t="b">
        <x:v>0</x:v>
      </x:c>
      <x:c r="T5387" s="3" t="b">
        <x:v>0</x:v>
      </x:c>
      <x:c r="U5387" s="2" t="str">
        <x:f>IF(T5387=TRUE,"Priority review",IF(R5387=TRUE,"High cost",IF(S5387=TRUE,"Low quality","Benchmark")))</x:f>
        <x:v>Benchmark</x:v>
      </x:c>
    </x:row>
    <x:row r="5388">
      <x:c r="A5388" s="2" t="str">
        <x:v>670265</x:v>
      </x:c>
      <x:c r="B5388" s="2" t="str">
        <x:v>LEGENT ORTHOPEDIC HOSPITAL</x:v>
      </x:c>
      <x:c r="C5388" s="2" t="str">
        <x:v>GRAPEVINE</x:v>
      </x:c>
      <x:c r="D5388" s="2" t="str">
        <x:v>TX</x:v>
      </x:c>
      <x:c r="E5388" s="2" t="str">
        <x:v>Acute Care Hospitals</x:v>
      </x:c>
      <x:c r="F5388" s="2" t="str">
        <x:v>Proprietary</x:v>
      </x:c>
      <x:c r="G5388" s="2" t="str">
        <x:v>Unknown</x:v>
      </x:c>
      <x:c r="H5388" s="7"/>
      <x:c r="I5388" s="7" t="n">
        <x:v>3</x:v>
      </x:c>
      <x:c r="J5388" s="7" t="n">
        <x:v>1.05</x:v>
      </x:c>
      <x:c r="K5388" s="8"/>
      <x:c r="L5388" s="8"/>
      <x:c r="M5388" s="9"/>
      <x:c r="N5388" s="10"/>
      <x:c r="O5388" s="9"/>
      <x:c r="P5388" s="9" t="n">
        <x:v>0</x:v>
      </x:c>
      <x:c r="Q5388" s="9" t="n">
        <x:v>0.5905511811</x:v>
      </x:c>
      <x:c r="R5388" s="3" t="b">
        <x:v>0</x:v>
      </x:c>
      <x:c r="S5388" s="3" t="b">
        <x:v>0</x:v>
      </x:c>
      <x:c r="T5388" s="3" t="b">
        <x:v>0</x:v>
      </x:c>
      <x:c r="U5388" s="2" t="str">
        <x:f>IF(T5388=TRUE,"Priority review",IF(R5388=TRUE,"High cost",IF(S5388=TRUE,"Low quality","Benchmark")))</x:f>
        <x:v>Benchmark</x:v>
      </x:c>
    </x:row>
    <x:row r="5389">
      <x:c r="A5389" s="2" t="str">
        <x:v>670322</x:v>
      </x:c>
      <x:c r="B5389" s="2" t="str">
        <x:v>LEGENT SURGICAL HOSPITAL PLANO</x:v>
      </x:c>
      <x:c r="C5389" s="2" t="str">
        <x:v>PLANO</x:v>
      </x:c>
      <x:c r="D5389" s="2" t="str">
        <x:v>TX</x:v>
      </x:c>
      <x:c r="E5389" s="2" t="str">
        <x:v>Acute Care Hospitals</x:v>
      </x:c>
      <x:c r="F5389" s="2" t="str">
        <x:v>Proprietary</x:v>
      </x:c>
      <x:c r="G5389" s="2" t="str">
        <x:v>Unknown</x:v>
      </x:c>
      <x:c r="H5389" s="7"/>
      <x:c r="I5389" s="7"/>
      <x:c r="J5389" s="7"/>
      <x:c r="K5389" s="8"/>
      <x:c r="L5389" s="8"/>
      <x:c r="M5389" s="9"/>
      <x:c r="N5389" s="10"/>
      <x:c r="O5389" s="9"/>
      <x:c r="P5389" s="9" t="n">
        <x:v>0</x:v>
      </x:c>
      <x:c r="Q5389" s="9" t="n">
        <x:v>0.5905511811</x:v>
      </x:c>
      <x:c r="R5389" s="3" t="b">
        <x:v>0</x:v>
      </x:c>
      <x:c r="S5389" s="3" t="b">
        <x:v>0</x:v>
      </x:c>
      <x:c r="T5389" s="3" t="b">
        <x:v>0</x:v>
      </x:c>
      <x:c r="U5389" s="2" t="str">
        <x:f>IF(T5389=TRUE,"Priority review",IF(R5389=TRUE,"High cost",IF(S5389=TRUE,"Low quality","Benchmark")))</x:f>
        <x:v>Benchmark</x:v>
      </x:c>
    </x:row>
    <x:row r="5390">
      <x:c r="A5390" s="2" t="str">
        <x:v>670335</x:v>
      </x:c>
      <x:c r="B5390" s="2" t="str">
        <x:v>UT HEALTH SAN ANTONIO MULTISPECIALTY &amp; RESEARCH HO</x:v>
      </x:c>
      <x:c r="C5390" s="2" t="str">
        <x:v>SAN ANTONIO</x:v>
      </x:c>
      <x:c r="D5390" s="2" t="str">
        <x:v>TX</x:v>
      </x:c>
      <x:c r="E5390" s="2" t="str">
        <x:v>Acute Care Hospitals</x:v>
      </x:c>
      <x:c r="F5390" s="2" t="str">
        <x:v>Government</x:v>
      </x:c>
      <x:c r="G5390" s="2" t="str">
        <x:v>Unknown</x:v>
      </x:c>
      <x:c r="H5390" s="7"/>
      <x:c r="I5390" s="7"/>
      <x:c r="J5390" s="7"/>
      <x:c r="K5390" s="8"/>
      <x:c r="L5390" s="8"/>
      <x:c r="M5390" s="9"/>
      <x:c r="N5390" s="10"/>
      <x:c r="O5390" s="9"/>
      <x:c r="P5390" s="9" t="n">
        <x:v>0</x:v>
      </x:c>
      <x:c r="Q5390" s="9" t="n">
        <x:v>0.5905511811</x:v>
      </x:c>
      <x:c r="R5390" s="3" t="b">
        <x:v>0</x:v>
      </x:c>
      <x:c r="S5390" s="3" t="b">
        <x:v>0</x:v>
      </x:c>
      <x:c r="T5390" s="3" t="b">
        <x:v>0</x:v>
      </x:c>
      <x:c r="U5390" s="2" t="str">
        <x:f>IF(T5390=TRUE,"Priority review",IF(R5390=TRUE,"High cost",IF(S5390=TRUE,"Low quality","Benchmark")))</x:f>
        <x:v>Benchmark</x:v>
      </x:c>
    </x:row>
    <x:row r="5391">
      <x:c r="A5391" s="2" t="str">
        <x:v>670336</x:v>
      </x:c>
      <x:c r="B5391" s="2" t="str">
        <x:v>BANDERA FAMILY HOSPITAL</x:v>
      </x:c>
      <x:c r="C5391" s="2" t="str">
        <x:v>SAN ANTONIO</x:v>
      </x:c>
      <x:c r="D5391" s="2" t="str">
        <x:v>TX</x:v>
      </x:c>
      <x:c r="E5391" s="2" t="str">
        <x:v>Acute Care Hospitals</x:v>
      </x:c>
      <x:c r="F5391" s="2" t="str">
        <x:v>Proprietary</x:v>
      </x:c>
      <x:c r="G5391" s="2" t="str">
        <x:v>Unknown</x:v>
      </x:c>
      <x:c r="H5391" s="7"/>
      <x:c r="I5391" s="7"/>
      <x:c r="J5391" s="7"/>
      <x:c r="K5391" s="8"/>
      <x:c r="L5391" s="8"/>
      <x:c r="M5391" s="9"/>
      <x:c r="N5391" s="10"/>
      <x:c r="O5391" s="9"/>
      <x:c r="P5391" s="9" t="n">
        <x:v>0</x:v>
      </x:c>
      <x:c r="Q5391" s="9" t="n">
        <x:v>0.5905511811</x:v>
      </x:c>
      <x:c r="R5391" s="3" t="b">
        <x:v>0</x:v>
      </x:c>
      <x:c r="S5391" s="3" t="b">
        <x:v>0</x:v>
      </x:c>
      <x:c r="T5391" s="3" t="b">
        <x:v>0</x:v>
      </x:c>
      <x:c r="U5391" s="2" t="str">
        <x:f>IF(T5391=TRUE,"Priority review",IF(R5391=TRUE,"High cost",IF(S5391=TRUE,"Low quality","Benchmark")))</x:f>
        <x:v>Benchmark</x:v>
      </x:c>
    </x:row>
    <x:row r="5392">
      <x:c r="A5392" s="2" t="str">
        <x:v>670340</x:v>
      </x:c>
      <x:c r="B5392" s="2" t="str">
        <x:v>METHODIST CELINA MEDICAL CENTER</x:v>
      </x:c>
      <x:c r="C5392" s="2" t="str">
        <x:v>CELINA</x:v>
      </x:c>
      <x:c r="D5392" s="2" t="str">
        <x:v>TX</x:v>
      </x:c>
      <x:c r="E5392" s="2" t="str">
        <x:v>Acute Care Hospitals</x:v>
      </x:c>
      <x:c r="F5392" s="2" t="str">
        <x:v>Voluntary non-profit</x:v>
      </x:c>
      <x:c r="G5392" s="2" t="str">
        <x:v>Unknown</x:v>
      </x:c>
      <x:c r="H5392" s="7"/>
      <x:c r="I5392" s="7"/>
      <x:c r="J5392" s="7"/>
      <x:c r="K5392" s="8"/>
      <x:c r="L5392" s="8"/>
      <x:c r="M5392" s="9"/>
      <x:c r="N5392" s="10"/>
      <x:c r="O5392" s="9"/>
      <x:c r="P5392" s="9" t="n">
        <x:v>0</x:v>
      </x:c>
      <x:c r="Q5392" s="9" t="n">
        <x:v>0.5905511811</x:v>
      </x:c>
      <x:c r="R5392" s="3" t="b">
        <x:v>0</x:v>
      </x:c>
      <x:c r="S5392" s="3" t="b">
        <x:v>0</x:v>
      </x:c>
      <x:c r="T5392" s="3" t="b">
        <x:v>0</x:v>
      </x:c>
      <x:c r="U5392" s="2" t="str">
        <x:f>IF(T5392=TRUE,"Priority review",IF(R5392=TRUE,"High cost",IF(S5392=TRUE,"Low quality","Benchmark")))</x:f>
        <x:v>Benchmark</x:v>
      </x:c>
    </x:row>
    <x:row r="5393">
      <x:c r="A5393" s="2" t="str">
        <x:v>670342</x:v>
      </x:c>
      <x:c r="B5393" s="2" t="str">
        <x:v>HOUSTON METHODIST CYPRESS HOSPITAL</x:v>
      </x:c>
      <x:c r="C5393" s="2" t="str">
        <x:v>CYPRESS</x:v>
      </x:c>
      <x:c r="D5393" s="2" t="str">
        <x:v>TX</x:v>
      </x:c>
      <x:c r="E5393" s="2" t="str">
        <x:v>Acute Care Hospitals</x:v>
      </x:c>
      <x:c r="F5393" s="2" t="str">
        <x:v>Voluntary non-profit</x:v>
      </x:c>
      <x:c r="G5393" s="2" t="str">
        <x:v>Unknown</x:v>
      </x:c>
      <x:c r="H5393" s="7"/>
      <x:c r="I5393" s="7"/>
      <x:c r="J5393" s="7"/>
      <x:c r="K5393" s="8"/>
      <x:c r="L5393" s="8"/>
      <x:c r="M5393" s="9"/>
      <x:c r="N5393" s="10"/>
      <x:c r="O5393" s="9"/>
      <x:c r="P5393" s="9" t="n">
        <x:v>0</x:v>
      </x:c>
      <x:c r="Q5393" s="9" t="n">
        <x:v>0.5905511811</x:v>
      </x:c>
      <x:c r="R5393" s="3" t="b">
        <x:v>0</x:v>
      </x:c>
      <x:c r="S5393" s="3" t="b">
        <x:v>0</x:v>
      </x:c>
      <x:c r="T5393" s="3" t="b">
        <x:v>0</x:v>
      </x:c>
      <x:c r="U5393" s="2" t="str">
        <x:f>IF(T5393=TRUE,"Priority review",IF(R5393=TRUE,"High cost",IF(S5393=TRUE,"Low quality","Benchmark")))</x:f>
        <x:v>Benchmark</x:v>
      </x:c>
    </x:row>
    <x:row r="5394">
      <x:c r="A5394" s="2" t="str">
        <x:v>670343</x:v>
      </x:c>
      <x:c r="B5394" s="2" t="str">
        <x:v>BAYLOR SCOTT &amp; WHITE HOSPITAL BRENHAM</x:v>
      </x:c>
      <x:c r="C5394" s="2" t="str">
        <x:v>BRENHAM</x:v>
      </x:c>
      <x:c r="D5394" s="2" t="str">
        <x:v>TX</x:v>
      </x:c>
      <x:c r="E5394" s="2" t="str">
        <x:v>Acute Care Hospitals</x:v>
      </x:c>
      <x:c r="F5394" s="2" t="str">
        <x:v>Voluntary non-profit</x:v>
      </x:c>
      <x:c r="G5394" s="2" t="str">
        <x:v>Unknown</x:v>
      </x:c>
      <x:c r="H5394" s="7"/>
      <x:c r="I5394" s="7"/>
      <x:c r="J5394" s="7"/>
      <x:c r="K5394" s="8"/>
      <x:c r="L5394" s="8"/>
      <x:c r="M5394" s="9"/>
      <x:c r="N5394" s="10"/>
      <x:c r="O5394" s="9"/>
      <x:c r="P5394" s="9" t="n">
        <x:v>0</x:v>
      </x:c>
      <x:c r="Q5394" s="9" t="n">
        <x:v>0.5905511811</x:v>
      </x:c>
      <x:c r="R5394" s="3" t="b">
        <x:v>0</x:v>
      </x:c>
      <x:c r="S5394" s="3" t="b">
        <x:v>0</x:v>
      </x:c>
      <x:c r="T5394" s="3" t="b">
        <x:v>0</x:v>
      </x:c>
      <x:c r="U5394" s="2" t="str">
        <x:f>IF(T5394=TRUE,"Priority review",IF(R5394=TRUE,"High cost",IF(S5394=TRUE,"Low quality","Benchmark")))</x:f>
        <x:v>Benchmark</x:v>
      </x:c>
    </x:row>
    <x:row r="5395">
      <x:c r="A5395" s="2" t="str">
        <x:v>670345</x:v>
      </x:c>
      <x:c r="B5395" s="2" t="str">
        <x:v>LEGENT NORTH HOUSTON SURGICAL HOSPITAL</x:v>
      </x:c>
      <x:c r="C5395" s="2" t="str">
        <x:v>BELLAIRE</x:v>
      </x:c>
      <x:c r="D5395" s="2" t="str">
        <x:v>TX</x:v>
      </x:c>
      <x:c r="E5395" s="2" t="str">
        <x:v>Acute Care Hospitals</x:v>
      </x:c>
      <x:c r="F5395" s="2" t="str">
        <x:v>Other / unknown</x:v>
      </x:c>
      <x:c r="G5395" s="2" t="str">
        <x:v>Unknown</x:v>
      </x:c>
      <x:c r="H5395" s="7"/>
      <x:c r="I5395" s="7"/>
      <x:c r="J5395" s="7"/>
      <x:c r="K5395" s="8"/>
      <x:c r="L5395" s="8"/>
      <x:c r="M5395" s="9"/>
      <x:c r="N5395" s="10"/>
      <x:c r="O5395" s="9"/>
      <x:c r="P5395" s="9" t="n">
        <x:v>0</x:v>
      </x:c>
      <x:c r="Q5395" s="9" t="n">
        <x:v>0.5905511811</x:v>
      </x:c>
      <x:c r="R5395" s="3" t="b">
        <x:v>0</x:v>
      </x:c>
      <x:c r="S5395" s="3" t="b">
        <x:v>0</x:v>
      </x:c>
      <x:c r="T5395" s="3" t="b">
        <x:v>0</x:v>
      </x:c>
      <x:c r="U5395" s="2" t="str">
        <x:f>IF(T5395=TRUE,"Priority review",IF(R5395=TRUE,"High cost",IF(S5395=TRUE,"Low quality","Benchmark")))</x:f>
        <x:v>Benchmark</x:v>
      </x:c>
    </x:row>
    <x:row r="5396">
      <x:c r="A5396" s="2" t="str">
        <x:v>670346</x:v>
      </x:c>
      <x:c r="B5396" s="2" t="str">
        <x:v>BAYLOR SCOTT AND WHITE MEDICAL CENTER FRISCO AT PG</x:v>
      </x:c>
      <x:c r="C5396" s="2" t="str">
        <x:v>FRISCO</x:v>
      </x:c>
      <x:c r="D5396" s="2" t="str">
        <x:v>TX</x:v>
      </x:c>
      <x:c r="E5396" s="2" t="str">
        <x:v>Acute Care Hospitals</x:v>
      </x:c>
      <x:c r="F5396" s="2" t="str">
        <x:v>Voluntary non-profit</x:v>
      </x:c>
      <x:c r="G5396" s="2" t="str">
        <x:v>Unknown</x:v>
      </x:c>
      <x:c r="H5396" s="7"/>
      <x:c r="I5396" s="7"/>
      <x:c r="J5396" s="7"/>
      <x:c r="K5396" s="8"/>
      <x:c r="L5396" s="8"/>
      <x:c r="M5396" s="9"/>
      <x:c r="N5396" s="10"/>
      <x:c r="O5396" s="9"/>
      <x:c r="P5396" s="9" t="n">
        <x:v>0</x:v>
      </x:c>
      <x:c r="Q5396" s="9" t="n">
        <x:v>0.5905511811</x:v>
      </x:c>
      <x:c r="R5396" s="3" t="b">
        <x:v>0</x:v>
      </x:c>
      <x:c r="S5396" s="3" t="b">
        <x:v>0</x:v>
      </x:c>
      <x:c r="T5396" s="3" t="b">
        <x:v>0</x:v>
      </x:c>
      <x:c r="U5396" s="2" t="str">
        <x:f>IF(T5396=TRUE,"Priority review",IF(R5396=TRUE,"High cost",IF(S5396=TRUE,"Low quality","Benchmark")))</x:f>
        <x:v>Benchmark</x:v>
      </x:c>
    </x:row>
    <x:row r="5397">
      <x:c r="A5397" s="2" t="str">
        <x:v>670347</x:v>
      </x:c>
      <x:c r="B5397" s="2" t="str">
        <x:v>BAYLOR SCOTT AND WHITE THE HEART HOSPITAL CORINTH</x:v>
      </x:c>
      <x:c r="C5397" s="2" t="str">
        <x:v>DENTON</x:v>
      </x:c>
      <x:c r="D5397" s="2" t="str">
        <x:v>TX</x:v>
      </x:c>
      <x:c r="E5397" s="2" t="str">
        <x:v>Acute Care Hospitals</x:v>
      </x:c>
      <x:c r="F5397" s="2" t="str">
        <x:v>Other / unknown</x:v>
      </x:c>
      <x:c r="G5397" s="2" t="str">
        <x:v>Unknown</x:v>
      </x:c>
      <x:c r="H5397" s="7"/>
      <x:c r="I5397" s="7"/>
      <x:c r="J5397" s="7"/>
      <x:c r="K5397" s="8"/>
      <x:c r="L5397" s="8"/>
      <x:c r="M5397" s="9"/>
      <x:c r="N5397" s="10"/>
      <x:c r="O5397" s="9"/>
      <x:c r="P5397" s="9" t="n">
        <x:v>0</x:v>
      </x:c>
      <x:c r="Q5397" s="9" t="n">
        <x:v>0.5905511811</x:v>
      </x:c>
      <x:c r="R5397" s="3" t="b">
        <x:v>0</x:v>
      </x:c>
      <x:c r="S5397" s="3" t="b">
        <x:v>0</x:v>
      </x:c>
      <x:c r="T5397" s="3" t="b">
        <x:v>0</x:v>
      </x:c>
      <x:c r="U5397" s="2" t="str">
        <x:f>IF(T5397=TRUE,"Priority review",IF(R5397=TRUE,"High cost",IF(S5397=TRUE,"Low quality","Benchmark")))</x:f>
        <x:v>Benchmark</x:v>
      </x:c>
    </x:row>
    <x:row r="5398">
      <x:c r="A5398" s="2" t="str">
        <x:v>250017</x:v>
      </x:c>
      <x:c r="B5398" s="2" t="str">
        <x:v>PROGRESSIVE HEALTH GROUP OF HOUSTON</x:v>
      </x:c>
      <x:c r="C5398" s="2" t="str">
        <x:v>HOUSTON</x:v>
      </x:c>
      <x:c r="D5398" s="2" t="str">
        <x:v>MS</x:v>
      </x:c>
      <x:c r="E5398" s="2" t="str">
        <x:v>Acute Care Hospitals</x:v>
      </x:c>
      <x:c r="F5398" s="2" t="str">
        <x:v>Proprietary</x:v>
      </x:c>
      <x:c r="G5398" s="2" t="str">
        <x:v>Unknown</x:v>
      </x:c>
      <x:c r="H5398" s="7"/>
      <x:c r="I5398" s="7"/>
      <x:c r="J5398" s="7"/>
      <x:c r="K5398" s="8"/>
      <x:c r="L5398" s="8"/>
      <x:c r="M5398" s="9"/>
      <x:c r="N5398" s="10"/>
      <x:c r="O5398" s="9"/>
      <x:c r="P5398" s="9" t="n">
        <x:v>0</x:v>
      </x:c>
      <x:c r="Q5398" s="9" t="n">
        <x:v>0.5905511811</x:v>
      </x:c>
      <x:c r="R5398" s="3" t="b">
        <x:v>0</x:v>
      </x:c>
      <x:c r="S5398" s="3" t="b">
        <x:v>0</x:v>
      </x:c>
      <x:c r="T5398" s="3" t="b">
        <x:v>0</x:v>
      </x:c>
      <x:c r="U5398" s="2" t="str">
        <x:f>IF(T5398=TRUE,"Priority review",IF(R5398=TRUE,"High cost",IF(S5398=TRUE,"Low quality","Benchmark")))</x:f>
        <x:v>Benchmark</x:v>
      </x:c>
    </x:row>
    <x:row r="5399">
      <x:c r="A5399" s="2" t="str">
        <x:v>250174</x:v>
      </x:c>
      <x:c r="B5399" s="2" t="str">
        <x:v>ALLIANCE HEALTHCARE SYSTEM, INC</x:v>
      </x:c>
      <x:c r="C5399" s="2" t="str">
        <x:v>HOLLY SPRINGS</x:v>
      </x:c>
      <x:c r="D5399" s="2" t="str">
        <x:v>MS</x:v>
      </x:c>
      <x:c r="E5399" s="2" t="str">
        <x:v>Acute Care Hospitals</x:v>
      </x:c>
      <x:c r="F5399" s="2" t="str">
        <x:v>Proprietary</x:v>
      </x:c>
      <x:c r="G5399" s="2" t="str">
        <x:v>Unknown</x:v>
      </x:c>
      <x:c r="H5399" s="7"/>
      <x:c r="I5399" s="7"/>
      <x:c r="J5399" s="7"/>
      <x:c r="K5399" s="8"/>
      <x:c r="L5399" s="8"/>
      <x:c r="M5399" s="9"/>
      <x:c r="N5399" s="10"/>
      <x:c r="O5399" s="9"/>
      <x:c r="P5399" s="9" t="n">
        <x:v>0</x:v>
      </x:c>
      <x:c r="Q5399" s="9" t="n">
        <x:v>0.5905511811</x:v>
      </x:c>
      <x:c r="R5399" s="3" t="b">
        <x:v>0</x:v>
      </x:c>
      <x:c r="S5399" s="3" t="b">
        <x:v>0</x:v>
      </x:c>
      <x:c r="T5399" s="3" t="b">
        <x:v>0</x:v>
      </x:c>
      <x:c r="U5399" s="2" t="str">
        <x:f>IF(T5399=TRUE,"Priority review",IF(R5399=TRUE,"High cost",IF(S5399=TRUE,"Low quality","Benchmark")))</x:f>
        <x:v>Benchmark</x:v>
      </x:c>
    </x:row>
    <x:row r="5400">
      <x:c r="A5400" s="2" t="str">
        <x:v>290062</x:v>
      </x:c>
      <x:c r="B5400" s="2" t="str">
        <x:v>WEST HENDERSON HOSPITAL</x:v>
      </x:c>
      <x:c r="C5400" s="2" t="str">
        <x:v>HENDERSON</x:v>
      </x:c>
      <x:c r="D5400" s="2" t="str">
        <x:v>NV</x:v>
      </x:c>
      <x:c r="E5400" s="2" t="str">
        <x:v>Acute Care Hospitals</x:v>
      </x:c>
      <x:c r="F5400" s="2" t="str">
        <x:v>Proprietary</x:v>
      </x:c>
      <x:c r="G5400" s="2" t="str">
        <x:v>Unknown</x:v>
      </x:c>
      <x:c r="H5400" s="7"/>
      <x:c r="I5400" s="7"/>
      <x:c r="J5400" s="7"/>
      <x:c r="K5400" s="8"/>
      <x:c r="L5400" s="8"/>
      <x:c r="M5400" s="9"/>
      <x:c r="N5400" s="10"/>
      <x:c r="O5400" s="9"/>
      <x:c r="P5400" s="9" t="n">
        <x:v>0</x:v>
      </x:c>
      <x:c r="Q5400" s="9" t="n">
        <x:v>0.5905511811</x:v>
      </x:c>
      <x:c r="R5400" s="3" t="b">
        <x:v>0</x:v>
      </x:c>
      <x:c r="S5400" s="3" t="b">
        <x:v>0</x:v>
      </x:c>
      <x:c r="T5400" s="3" t="b">
        <x:v>0</x:v>
      </x:c>
      <x:c r="U5400" s="2" t="str">
        <x:f>IF(T5400=TRUE,"Priority review",IF(R5400=TRUE,"High cost",IF(S5400=TRUE,"Low quality","Benchmark")))</x:f>
        <x:v>Benchmark</x:v>
      </x:c>
    </x:row>
    <x:row r="5401">
      <x:c r="A5401" s="2" t="str">
        <x:v>110256</x:v>
      </x:c>
      <x:c r="B5401" s="2" t="str">
        <x:v>TAYLOR REGIONAL HOSPITAL</x:v>
      </x:c>
      <x:c r="C5401" s="2" t="str">
        <x:v>HAWKINSVILLE</x:v>
      </x:c>
      <x:c r="D5401" s="2" t="str">
        <x:v>GA</x:v>
      </x:c>
      <x:c r="E5401" s="2" t="str">
        <x:v>Acute Care Hospitals</x:v>
      </x:c>
      <x:c r="F5401" s="2" t="str">
        <x:v>Voluntary non-profit</x:v>
      </x:c>
      <x:c r="G5401" s="2" t="str">
        <x:v>Unknown</x:v>
      </x:c>
      <x:c r="H5401" s="7"/>
      <x:c r="I5401" s="7"/>
      <x:c r="J5401" s="7"/>
      <x:c r="K5401" s="8"/>
      <x:c r="L5401" s="8"/>
      <x:c r="M5401" s="9"/>
      <x:c r="N5401" s="10"/>
      <x:c r="O5401" s="9"/>
      <x:c r="P5401" s="9" t="n">
        <x:v>0</x:v>
      </x:c>
      <x:c r="Q5401" s="9" t="n">
        <x:v>0.5905511811</x:v>
      </x:c>
      <x:c r="R5401" s="3" t="b">
        <x:v>0</x:v>
      </x:c>
      <x:c r="S5401" s="3" t="b">
        <x:v>0</x:v>
      </x:c>
      <x:c r="T5401" s="3" t="b">
        <x:v>0</x:v>
      </x:c>
      <x:c r="U5401" s="2" t="str">
        <x:f>IF(T5401=TRUE,"Priority review",IF(R5401=TRUE,"High cost",IF(S5401=TRUE,"Low quality","Benchmark")))</x:f>
        <x:v>Benchmark</x:v>
      </x:c>
    </x:row>
    <x:row r="5402">
      <x:c r="A5402" s="2" t="str">
        <x:v>110253</x:v>
      </x:c>
      <x:c r="B5402" s="2" t="str">
        <x:v>SOUTH GEORGIA SPECIALTY HOSPITAL</x:v>
      </x:c>
      <x:c r="C5402" s="2" t="str">
        <x:v>ALBANY</x:v>
      </x:c>
      <x:c r="D5402" s="2" t="str">
        <x:v>GA</x:v>
      </x:c>
      <x:c r="E5402" s="2" t="str">
        <x:v>Acute Care Hospitals</x:v>
      </x:c>
      <x:c r="F5402" s="2" t="str">
        <x:v>Proprietary</x:v>
      </x:c>
      <x:c r="G5402" s="2" t="str">
        <x:v>Unknown</x:v>
      </x:c>
      <x:c r="H5402" s="7"/>
      <x:c r="I5402" s="7"/>
      <x:c r="J5402" s="7"/>
      <x:c r="K5402" s="8"/>
      <x:c r="L5402" s="8"/>
      <x:c r="M5402" s="9"/>
      <x:c r="N5402" s="10"/>
      <x:c r="O5402" s="9"/>
      <x:c r="P5402" s="9" t="n">
        <x:v>0</x:v>
      </x:c>
      <x:c r="Q5402" s="9" t="n">
        <x:v>0.5905511811</x:v>
      </x:c>
      <x:c r="R5402" s="3" t="b">
        <x:v>0</x:v>
      </x:c>
      <x:c r="S5402" s="3" t="b">
        <x:v>0</x:v>
      </x:c>
      <x:c r="T5402" s="3" t="b">
        <x:v>0</x:v>
      </x:c>
      <x:c r="U5402" s="2" t="str">
        <x:f>IF(T5402=TRUE,"Priority review",IF(R5402=TRUE,"High cost",IF(S5402=TRUE,"Low quality","Benchmark")))</x:f>
        <x:v>Benchmark</x:v>
      </x:c>
    </x:row>
    <x:row r="5403">
      <x:c r="A5403" s="2" t="str">
        <x:v>110073</x:v>
      </x:c>
      <x:c r="B5403" s="2" t="str">
        <x:v>DORMINY MEDICAL CENTER</x:v>
      </x:c>
      <x:c r="C5403" s="2" t="str">
        <x:v>FITZGERALD</x:v>
      </x:c>
      <x:c r="D5403" s="2" t="str">
        <x:v>GA</x:v>
      </x:c>
      <x:c r="E5403" s="2" t="str">
        <x:v>Acute Care Hospitals</x:v>
      </x:c>
      <x:c r="F5403" s="2" t="str">
        <x:v>Government</x:v>
      </x:c>
      <x:c r="G5403" s="2" t="str">
        <x:v>Unknown</x:v>
      </x:c>
      <x:c r="H5403" s="7"/>
      <x:c r="I5403" s="7"/>
      <x:c r="J5403" s="7" t="n">
        <x:v>0.88</x:v>
      </x:c>
      <x:c r="K5403" s="8"/>
      <x:c r="L5403" s="8"/>
      <x:c r="M5403" s="9"/>
      <x:c r="N5403" s="10"/>
      <x:c r="O5403" s="9"/>
      <x:c r="P5403" s="9" t="n">
        <x:v>0</x:v>
      </x:c>
      <x:c r="Q5403" s="9" t="n">
        <x:v>0.5905511811</x:v>
      </x:c>
      <x:c r="R5403" s="3" t="b">
        <x:v>0</x:v>
      </x:c>
      <x:c r="S5403" s="3" t="b">
        <x:v>0</x:v>
      </x:c>
      <x:c r="T5403" s="3" t="b">
        <x:v>0</x:v>
      </x:c>
      <x:c r="U5403" s="2" t="str">
        <x:f>IF(T5403=TRUE,"Priority review",IF(R5403=TRUE,"High cost",IF(S5403=TRUE,"Low quality","Benchmark")))</x:f>
        <x:v>Benchmark</x:v>
      </x:c>
    </x:row>
    <x:row r="5404">
      <x:c r="A5404" s="2" t="str">
        <x:v>100365</x:v>
      </x:c>
      <x:c r="B5404" s="2" t="str">
        <x:v>NORTH WALTON DOCTORS HOSPITAL</x:v>
      </x:c>
      <x:c r="C5404" s="2" t="str">
        <x:v>DEFUNIAK SPRINGS</x:v>
      </x:c>
      <x:c r="D5404" s="2" t="str">
        <x:v>FL</x:v>
      </x:c>
      <x:c r="E5404" s="2" t="str">
        <x:v>Acute Care Hospitals</x:v>
      </x:c>
      <x:c r="F5404" s="2" t="str">
        <x:v>Other / unknown</x:v>
      </x:c>
      <x:c r="G5404" s="2" t="str">
        <x:v>Unknown</x:v>
      </x:c>
      <x:c r="H5404" s="7"/>
      <x:c r="I5404" s="7"/>
      <x:c r="J5404" s="7"/>
      <x:c r="K5404" s="8"/>
      <x:c r="L5404" s="8"/>
      <x:c r="M5404" s="9"/>
      <x:c r="N5404" s="10"/>
      <x:c r="O5404" s="9"/>
      <x:c r="P5404" s="9" t="n">
        <x:v>0</x:v>
      </x:c>
      <x:c r="Q5404" s="9" t="n">
        <x:v>0.5905511811</x:v>
      </x:c>
      <x:c r="R5404" s="3" t="b">
        <x:v>0</x:v>
      </x:c>
      <x:c r="S5404" s="3" t="b">
        <x:v>0</x:v>
      </x:c>
      <x:c r="T5404" s="3" t="b">
        <x:v>0</x:v>
      </x:c>
      <x:c r="U5404" s="2" t="str">
        <x:f>IF(T5404=TRUE,"Priority review",IF(R5404=TRUE,"High cost",IF(S5404=TRUE,"Low quality","Benchmark")))</x:f>
        <x:v>Benchmark</x:v>
      </x:c>
    </x:row>
    <x:row r="5405">
      <x:c r="A5405" s="2" t="str">
        <x:v>400010</x:v>
      </x:c>
      <x:c r="B5405" s="2" t="str">
        <x:v>HOSPITAL GENERAL DE CASTANER</x:v>
      </x:c>
      <x:c r="C5405" s="2" t="str">
        <x:v>CASTANER</x:v>
      </x:c>
      <x:c r="D5405" s="2" t="str">
        <x:v>PR</x:v>
      </x:c>
      <x:c r="E5405" s="2" t="str">
        <x:v>Acute Care Hospitals</x:v>
      </x:c>
      <x:c r="F5405" s="2" t="str">
        <x:v>Voluntary non-profit</x:v>
      </x:c>
      <x:c r="G5405" s="2" t="str">
        <x:v>Unknown</x:v>
      </x:c>
      <x:c r="H5405" s="7"/>
      <x:c r="I5405" s="7"/>
      <x:c r="J5405" s="7"/>
      <x:c r="K5405" s="8"/>
      <x:c r="L5405" s="8"/>
      <x:c r="M5405" s="9"/>
      <x:c r="N5405" s="10"/>
      <x:c r="O5405" s="9"/>
      <x:c r="P5405" s="9" t="n">
        <x:v>0</x:v>
      </x:c>
      <x:c r="Q5405" s="9" t="n">
        <x:v>0.5905511811</x:v>
      </x:c>
      <x:c r="R5405" s="3" t="b">
        <x:v>0</x:v>
      </x:c>
      <x:c r="S5405" s="3" t="b">
        <x:v>0</x:v>
      </x:c>
      <x:c r="T5405" s="3" t="b">
        <x:v>0</x:v>
      </x:c>
      <x:c r="U5405" s="2" t="str">
        <x:f>IF(T5405=TRUE,"Priority review",IF(R5405=TRUE,"High cost",IF(S5405=TRUE,"Low quality","Benchmark")))</x:f>
        <x:v>Benchmark</x:v>
      </x:c>
    </x:row>
    <x:row r="5406">
      <x:c r="A5406" s="2" t="str">
        <x:v>400130</x:v>
      </x:c>
      <x:c r="B5406" s="2" t="str">
        <x:v>HOSPITAL METROPOLITANO DE LA MONTANA</x:v>
      </x:c>
      <x:c r="C5406" s="2" t="str">
        <x:v>BDA NUEVA</x:v>
      </x:c>
      <x:c r="D5406" s="2" t="str">
        <x:v>PR</x:v>
      </x:c>
      <x:c r="E5406" s="2" t="str">
        <x:v>Acute Care Hospitals</x:v>
      </x:c>
      <x:c r="F5406" s="2" t="str">
        <x:v>Proprietary</x:v>
      </x:c>
      <x:c r="G5406" s="2" t="str">
        <x:v>Unknown</x:v>
      </x:c>
      <x:c r="H5406" s="7"/>
      <x:c r="I5406" s="7"/>
      <x:c r="J5406" s="7"/>
      <x:c r="K5406" s="8"/>
      <x:c r="L5406" s="8"/>
      <x:c r="M5406" s="9"/>
      <x:c r="N5406" s="10"/>
      <x:c r="O5406" s="9" t="n">
        <x:v>-0.3145404092</x:v>
      </x:c>
      <x:c r="P5406" s="9" t="n">
        <x:v>0</x:v>
      </x:c>
      <x:c r="Q5406" s="9" t="n">
        <x:v>0.5905511811</x:v>
      </x:c>
      <x:c r="R5406" s="3" t="b">
        <x:v>0</x:v>
      </x:c>
      <x:c r="S5406" s="3" t="b">
        <x:v>0</x:v>
      </x:c>
      <x:c r="T5406" s="3" t="b">
        <x:v>0</x:v>
      </x:c>
      <x:c r="U5406" s="2" t="str">
        <x:f>IF(T5406=TRUE,"Priority review",IF(R5406=TRUE,"High cost",IF(S5406=TRUE,"Low quality","Benchmark")))</x:f>
        <x:v>Benchmark</x:v>
      </x:c>
    </x:row>
    <x:row r="5407">
      <x:c r="A5407" s="2" t="str">
        <x:v>400134</x:v>
      </x:c>
      <x:c r="B5407" s="2" t="str">
        <x:v>THE SAN JORGE HOSPITAL INC</x:v>
      </x:c>
      <x:c r="C5407" s="2" t="str">
        <x:v>SAN JUAN</x:v>
      </x:c>
      <x:c r="D5407" s="2" t="str">
        <x:v>PR</x:v>
      </x:c>
      <x:c r="E5407" s="2" t="str">
        <x:v>Acute Care Hospitals</x:v>
      </x:c>
      <x:c r="F5407" s="2" t="str">
        <x:v>Proprietary</x:v>
      </x:c>
      <x:c r="G5407" s="2" t="str">
        <x:v>Unknown</x:v>
      </x:c>
      <x:c r="H5407" s="7"/>
      <x:c r="I5407" s="7"/>
      <x:c r="J5407" s="7"/>
      <x:c r="K5407" s="8"/>
      <x:c r="L5407" s="8"/>
      <x:c r="M5407" s="9"/>
      <x:c r="N5407" s="10"/>
      <x:c r="O5407" s="9"/>
      <x:c r="P5407" s="9" t="n">
        <x:v>0</x:v>
      </x:c>
      <x:c r="Q5407" s="9" t="n">
        <x:v>0.5905511811</x:v>
      </x:c>
      <x:c r="R5407" s="3" t="b">
        <x:v>0</x:v>
      </x:c>
      <x:c r="S5407" s="3" t="b">
        <x:v>0</x:v>
      </x:c>
      <x:c r="T5407" s="3" t="b">
        <x:v>0</x:v>
      </x:c>
      <x:c r="U5407" s="2" t="str">
        <x:f>IF(T5407=TRUE,"Priority review",IF(R5407=TRUE,"High cost",IF(S5407=TRUE,"Low quality","Benchmark")))</x:f>
        <x:v>Benchmark</x:v>
      </x:c>
    </x:row>
    <x:row r="5408">
      <x:c r="A5408" s="2" t="str">
        <x:v>400139</x:v>
      </x:c>
      <x:c r="B5408" s="2" t="str">
        <x:v>HOSPITAL EPISCOPAL  SAN LUCAS METRO</x:v>
      </x:c>
      <x:c r="C5408" s="2" t="str">
        <x:v>SAN JUAN</x:v>
      </x:c>
      <x:c r="D5408" s="2" t="str">
        <x:v>PR</x:v>
      </x:c>
      <x:c r="E5408" s="2" t="str">
        <x:v>Acute Care Hospitals</x:v>
      </x:c>
      <x:c r="F5408" s="2" t="str">
        <x:v>Voluntary non-profit</x:v>
      </x:c>
      <x:c r="G5408" s="2" t="str">
        <x:v>Unknown</x:v>
      </x:c>
      <x:c r="H5408" s="7"/>
      <x:c r="I5408" s="7"/>
      <x:c r="J5408" s="7"/>
      <x:c r="K5408" s="8"/>
      <x:c r="L5408" s="8"/>
      <x:c r="M5408" s="9"/>
      <x:c r="N5408" s="10"/>
      <x:c r="O5408" s="9"/>
      <x:c r="P5408" s="9" t="n">
        <x:v>0</x:v>
      </x:c>
      <x:c r="Q5408" s="9" t="n">
        <x:v>0.5905511811</x:v>
      </x:c>
      <x:c r="R5408" s="3" t="b">
        <x:v>0</x:v>
      </x:c>
      <x:c r="S5408" s="3" t="b">
        <x:v>0</x:v>
      </x:c>
      <x:c r="T5408" s="3" t="b">
        <x:v>0</x:v>
      </x:c>
      <x:c r="U5408" s="2" t="str">
        <x:f>IF(T5408=TRUE,"Priority review",IF(R5408=TRUE,"High cost",IF(S5408=TRUE,"Low quality","Benchmark")))</x:f>
        <x:v>Benchmark</x:v>
      </x:c>
    </x:row>
    <x:row r="5409">
      <x:c r="A5409" s="2" t="str">
        <x:v>360375</x:v>
      </x:c>
      <x:c r="B5409" s="2" t="str">
        <x:v>MOUNT CARMEL DUBLIN</x:v>
      </x:c>
      <x:c r="C5409" s="2" t="str">
        <x:v>DUBLIN</x:v>
      </x:c>
      <x:c r="D5409" s="2" t="str">
        <x:v>OH</x:v>
      </x:c>
      <x:c r="E5409" s="2" t="str">
        <x:v>Acute Care Hospitals</x:v>
      </x:c>
      <x:c r="F5409" s="2" t="str">
        <x:v>Voluntary non-profit</x:v>
      </x:c>
      <x:c r="G5409" s="2" t="str">
        <x:v>Unknown</x:v>
      </x:c>
      <x:c r="H5409" s="7"/>
      <x:c r="I5409" s="7"/>
      <x:c r="J5409" s="7"/>
      <x:c r="K5409" s="8"/>
      <x:c r="L5409" s="8"/>
      <x:c r="M5409" s="9"/>
      <x:c r="N5409" s="10"/>
      <x:c r="O5409" s="9"/>
      <x:c r="P5409" s="9" t="n">
        <x:v>0</x:v>
      </x:c>
      <x:c r="Q5409" s="9" t="n">
        <x:v>0.5905511811</x:v>
      </x:c>
      <x:c r="R5409" s="3" t="b">
        <x:v>0</x:v>
      </x:c>
      <x:c r="S5409" s="3" t="b">
        <x:v>0</x:v>
      </x:c>
      <x:c r="T5409" s="3" t="b">
        <x:v>0</x:v>
      </x:c>
      <x:c r="U5409" s="2" t="str">
        <x:f>IF(T5409=TRUE,"Priority review",IF(R5409=TRUE,"High cost",IF(S5409=TRUE,"Low quality","Benchmark")))</x:f>
        <x:v>Benchmark</x:v>
      </x:c>
    </x:row>
    <x:row r="5410">
      <x:c r="A5410" s="2" t="str">
        <x:v>370247</x:v>
      </x:c>
      <x:c r="B5410" s="2" t="str">
        <x:v>EXCEPTIONAL COMMUNITY HOSPITAL ARDMORE</x:v>
      </x:c>
      <x:c r="C5410" s="2" t="str">
        <x:v>ARDMORE</x:v>
      </x:c>
      <x:c r="D5410" s="2" t="str">
        <x:v>OK</x:v>
      </x:c>
      <x:c r="E5410" s="2" t="str">
        <x:v>Acute Care Hospitals</x:v>
      </x:c>
      <x:c r="F5410" s="2" t="str">
        <x:v>Proprietary</x:v>
      </x:c>
      <x:c r="G5410" s="2" t="str">
        <x:v>Unknown</x:v>
      </x:c>
      <x:c r="H5410" s="7"/>
      <x:c r="I5410" s="7"/>
      <x:c r="J5410" s="7"/>
      <x:c r="K5410" s="8"/>
      <x:c r="L5410" s="8"/>
      <x:c r="M5410" s="9"/>
      <x:c r="N5410" s="10"/>
      <x:c r="O5410" s="9"/>
      <x:c r="P5410" s="9" t="n">
        <x:v>0</x:v>
      </x:c>
      <x:c r="Q5410" s="9" t="n">
        <x:v>0.5905511811</x:v>
      </x:c>
      <x:c r="R5410" s="3" t="b">
        <x:v>0</x:v>
      </x:c>
      <x:c r="S5410" s="3" t="b">
        <x:v>0</x:v>
      </x:c>
      <x:c r="T5410" s="3" t="b">
        <x:v>0</x:v>
      </x:c>
      <x:c r="U5410" s="2" t="str">
        <x:f>IF(T5410=TRUE,"Priority review",IF(R5410=TRUE,"High cost",IF(S5410=TRUE,"Low quality","Benchmark")))</x:f>
        <x:v>Benchmark</x:v>
      </x:c>
    </x:row>
    <x:row r="5411">
      <x:c r="A5411" s="2" t="str">
        <x:v>370243</x:v>
      </x:c>
      <x:c r="B5411" s="2" t="str">
        <x:v>VALLEY COMMUNITY HOSPITAL</x:v>
      </x:c>
      <x:c r="C5411" s="2" t="str">
        <x:v>PAULS VALLEY</x:v>
      </x:c>
      <x:c r="D5411" s="2" t="str">
        <x:v>OK</x:v>
      </x:c>
      <x:c r="E5411" s="2" t="str">
        <x:v>Acute Care Hospitals</x:v>
      </x:c>
      <x:c r="F5411" s="2" t="str">
        <x:v>Proprietary</x:v>
      </x:c>
      <x:c r="G5411" s="2" t="str">
        <x:v>Unknown</x:v>
      </x:c>
      <x:c r="H5411" s="7"/>
      <x:c r="I5411" s="7"/>
      <x:c r="J5411" s="7"/>
      <x:c r="K5411" s="8"/>
      <x:c r="L5411" s="8"/>
      <x:c r="M5411" s="9"/>
      <x:c r="N5411" s="10"/>
      <x:c r="O5411" s="9"/>
      <x:c r="P5411" s="9" t="n">
        <x:v>0</x:v>
      </x:c>
      <x:c r="Q5411" s="9" t="n">
        <x:v>0.5905511811</x:v>
      </x:c>
      <x:c r="R5411" s="3" t="b">
        <x:v>0</x:v>
      </x:c>
      <x:c r="S5411" s="3" t="b">
        <x:v>0</x:v>
      </x:c>
      <x:c r="T5411" s="3" t="b">
        <x:v>0</x:v>
      </x:c>
      <x:c r="U5411" s="2" t="str">
        <x:f>IF(T5411=TRUE,"Priority review",IF(R5411=TRUE,"High cost",IF(S5411=TRUE,"Low quality","Benchmark")))</x:f>
        <x:v>Benchmark</x:v>
      </x:c>
    </x:row>
    <x:row r="5412">
      <x:c r="A5412" s="2" t="str">
        <x:v>050856</x:v>
      </x:c>
      <x:c r="B5412" s="2" t="str">
        <x:v>MADERA COMMUNITY HOSPITAL</x:v>
      </x:c>
      <x:c r="C5412" s="2" t="str">
        <x:v>MADERA</x:v>
      </x:c>
      <x:c r="D5412" s="2" t="str">
        <x:v>CA</x:v>
      </x:c>
      <x:c r="E5412" s="2" t="str">
        <x:v>Acute Care Hospitals</x:v>
      </x:c>
      <x:c r="F5412" s="2" t="str">
        <x:v>Voluntary non-profit</x:v>
      </x:c>
      <x:c r="G5412" s="2" t="str">
        <x:v>Unknown</x:v>
      </x:c>
      <x:c r="H5412" s="7"/>
      <x:c r="I5412" s="7"/>
      <x:c r="J5412" s="7"/>
      <x:c r="K5412" s="8"/>
      <x:c r="L5412" s="8"/>
      <x:c r="M5412" s="9"/>
      <x:c r="N5412" s="10"/>
      <x:c r="O5412" s="9"/>
      <x:c r="P5412" s="9" t="n">
        <x:v>0</x:v>
      </x:c>
      <x:c r="Q5412" s="9" t="n">
        <x:v>0.5905511811</x:v>
      </x:c>
      <x:c r="R5412" s="3" t="b">
        <x:v>0</x:v>
      </x:c>
      <x:c r="S5412" s="3" t="b">
        <x:v>0</x:v>
      </x:c>
      <x:c r="T5412" s="3" t="b">
        <x:v>0</x:v>
      </x:c>
      <x:c r="U5412" s="2" t="str">
        <x:f>IF(T5412=TRUE,"Priority review",IF(R5412=TRUE,"High cost",IF(S5412=TRUE,"Low quality","Benchmark")))</x:f>
        <x:v>Benchmark</x:v>
      </x:c>
    </x:row>
  </x:sheetData>
  <x:conditionalFormatting sqref="A2:U5412">
    <x:cfRule type="expression" dxfId="0" priority="1">
      <x:formula>$T2=TRUE</x:formula>
    </x:cfRule>
    <x:cfRule type="expression" dxfId="1" priority="2">
      <x:formula>AND($T2&lt;&gt;TRUE,OR($R2=TRUE,$S2=TRUE))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30fe8b69454a48"/>
  </x:tableParts>
</x:worksheet>
</file>

<file path=xl/worksheets/sheet3.xml><?xml version="1.0" encoding="utf-8"?>
<x:worksheet xmlns:x="http://schemas.openxmlformats.org/spreadsheetml/2006/main">
  <x:sheetPr>
    <x:tabColor rgb="FF2A9D8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130000114440918" hidden="0" customWidth="1"/>
    <x:col min="2" max="2" width="10.630000114440918" hidden="0" customWidth="1"/>
    <x:col min="3" max="3" width="19.5" hidden="0" customWidth="1"/>
    <x:col min="4" max="4" width="19.75" hidden="0" customWidth="1"/>
    <x:col min="5" max="5" width="19.8799991607666" hidden="0" customWidth="1"/>
    <x:col min="6" max="6" width="18.1299991607666" hidden="0" customWidth="1"/>
    <x:col min="7" max="7" width="25" hidden="0" customWidth="1"/>
    <x:col min="8" max="8" width="17.75" hidden="0" customWidth="1"/>
    <x:col min="9" max="9" width="19.25" hidden="0" customWidth="1"/>
    <x:col min="10" max="10" width="16.6299991607666" hidden="0" customWidth="1"/>
  </x:cols>
  <x:sheetData>
    <x:row r="1" ht="15" hidden="0" customHeight="1">
      <x:c r="A1" s="14" t="str">
        <x:v>State</x:v>
      </x:c>
      <x:c r="B1" s="14" t="str">
        <x:v>Hospitals</x:v>
      </x:c>
      <x:c r="C1" s="14" t="str">
        <x:v>Hospitals with rating</x:v>
      </x:c>
      <x:c r="D1" s="14" t="str">
        <x:v>Median overall rating</x:v>
      </x:c>
      <x:c r="E1" s="14" t="str">
        <x:v>Median HCAHPS star</x:v>
      </x:c>
      <x:c r="F1" s="14" t="str">
        <x:v>Median MSPB ratio</x:v>
      </x:c>
      <x:c r="G1" s="14" t="str">
        <x:v>Median expense / discharge</x:v>
      </x:c>
      <x:c r="H1" s="14" t="str">
        <x:v>High-cost flag rate</x:v>
      </x:c>
      <x:c r="I1" s="14" t="str">
        <x:v>Low-quality flag rate</x:v>
      </x:c>
      <x:c r="J1" s="14" t="str">
        <x:v>Priority hospitals</x:v>
      </x:c>
    </x:row>
    <x:row r="2">
      <x:c r="A2" s="11" t="str">
        <x:v>AK</x:v>
      </x:c>
      <x:c r="B2" s="15" t="n">
        <x:v>25</x:v>
      </x:c>
      <x:c r="C2" s="15" t="n">
        <x:v>10</x:v>
      </x:c>
      <x:c r="D2" s="16" t="n">
        <x:v>3</x:v>
      </x:c>
      <x:c r="E2" s="16" t="n">
        <x:v>4</x:v>
      </x:c>
      <x:c r="F2" s="16" t="n">
        <x:v>0.825</x:v>
      </x:c>
      <x:c r="G2" s="17" t="n">
        <x:v>185576.1861545988</x:v>
      </x:c>
      <x:c r="H2" s="18" t="n">
        <x:v>0.2</x:v>
      </x:c>
      <x:c r="I2" s="18" t="n">
        <x:v>0.2</x:v>
      </x:c>
      <x:c r="J2" s="15" t="n">
        <x:v>2</x:v>
      </x:c>
    </x:row>
    <x:row r="3">
      <x:c r="A3" s="11" t="str">
        <x:v>AL</x:v>
      </x:c>
      <x:c r="B3" s="15" t="n">
        <x:v>98</x:v>
      </x:c>
      <x:c r="C3" s="15" t="n">
        <x:v>58</x:v>
      </x:c>
      <x:c r="D3" s="16" t="n">
        <x:v>3</x:v>
      </x:c>
      <x:c r="E3" s="16" t="n">
        <x:v>3</x:v>
      </x:c>
      <x:c r="F3" s="16" t="n">
        <x:v>0.98</x:v>
      </x:c>
      <x:c r="G3" s="17" t="n">
        <x:v>28064.0008664936</x:v>
      </x:c>
      <x:c r="H3" s="18" t="n">
        <x:v>0.0408163265</x:v>
      </x:c>
      <x:c r="I3" s="18" t="n">
        <x:v>0.2244897959</x:v>
      </x:c>
      <x:c r="J3" s="15" t="n">
        <x:v>0</x:v>
      </x:c>
    </x:row>
    <x:row r="4">
      <x:c r="A4" s="11" t="str">
        <x:v>AR</x:v>
      </x:c>
      <x:c r="B4" s="15" t="n">
        <x:v>90</x:v>
      </x:c>
      <x:c r="C4" s="15" t="n">
        <x:v>43</x:v>
      </x:c>
      <x:c r="D4" s="16" t="n">
        <x:v>3</x:v>
      </x:c>
      <x:c r="E4" s="16" t="n">
        <x:v>3</x:v>
      </x:c>
      <x:c r="F4" s="16" t="n">
        <x:v>1.03</x:v>
      </x:c>
      <x:c r="G4" s="17" t="n">
        <x:v>36334.1647727273</x:v>
      </x:c>
      <x:c r="H4" s="18" t="n">
        <x:v>0.0111111111</x:v>
      </x:c>
      <x:c r="I4" s="18" t="n">
        <x:v>0.2222222222</x:v>
      </x:c>
      <x:c r="J4" s="15" t="n">
        <x:v>0</x:v>
      </x:c>
    </x:row>
    <x:row r="5">
      <x:c r="A5" s="11" t="str">
        <x:v>AS</x:v>
      </x:c>
      <x:c r="B5" s="15" t="n">
        <x:v>1</x:v>
      </x:c>
      <x:c r="C5" s="15" t="n">
        <x:v>0</x:v>
      </x:c>
      <x:c r="D5" s="16"/>
      <x:c r="E5" s="16"/>
      <x:c r="F5" s="16"/>
      <x:c r="G5" s="17"/>
      <x:c r="H5" s="18" t="n">
        <x:v>0</x:v>
      </x:c>
      <x:c r="I5" s="18" t="n">
        <x:v>0</x:v>
      </x:c>
      <x:c r="J5" s="15" t="n">
        <x:v>0</x:v>
      </x:c>
    </x:row>
    <x:row r="6">
      <x:c r="A6" s="11" t="str">
        <x:v>AZ</x:v>
      </x:c>
      <x:c r="B6" s="15" t="n">
        <x:v>108</x:v>
      </x:c>
      <x:c r="C6" s="15" t="n">
        <x:v>55</x:v>
      </x:c>
      <x:c r="D6" s="16" t="n">
        <x:v>3</x:v>
      </x:c>
      <x:c r="E6" s="16" t="n">
        <x:v>3</x:v>
      </x:c>
      <x:c r="F6" s="16" t="n">
        <x:v>0.98</x:v>
      </x:c>
      <x:c r="G6" s="17" t="n">
        <x:v>39490.1099041534</x:v>
      </x:c>
      <x:c r="H6" s="18" t="n">
        <x:v>0.0925925926</x:v>
      </x:c>
      <x:c r="I6" s="18" t="n">
        <x:v>0.1759259259</x:v>
      </x:c>
      <x:c r="J6" s="15" t="n">
        <x:v>1</x:v>
      </x:c>
    </x:row>
    <x:row r="7">
      <x:c r="A7" s="11" t="str">
        <x:v>CA</x:v>
      </x:c>
      <x:c r="B7" s="15" t="n">
        <x:v>377</x:v>
      </x:c>
      <x:c r="C7" s="15" t="n">
        <x:v>279</x:v>
      </x:c>
      <x:c r="D7" s="16" t="n">
        <x:v>3</x:v>
      </x:c>
      <x:c r="E7" s="16" t="n">
        <x:v>3</x:v>
      </x:c>
      <x:c r="F7" s="16" t="n">
        <x:v>1</x:v>
      </x:c>
      <x:c r="G7" s="17" t="n">
        <x:v>48426.9157927205</x:v>
      </x:c>
      <x:c r="H7" s="18" t="n">
        <x:v>0.1458885942</x:v>
      </x:c>
      <x:c r="I7" s="18" t="n">
        <x:v>0.2572944297</x:v>
      </x:c>
      <x:c r="J7" s="15" t="n">
        <x:v>12</x:v>
      </x:c>
    </x:row>
    <x:row r="8">
      <x:c r="A8" s="11" t="str">
        <x:v>CO</x:v>
      </x:c>
      <x:c r="B8" s="15" t="n">
        <x:v>96</x:v>
      </x:c>
      <x:c r="C8" s="15" t="n">
        <x:v>49</x:v>
      </x:c>
      <x:c r="D8" s="16" t="n">
        <x:v>4</x:v>
      </x:c>
      <x:c r="E8" s="16" t="n">
        <x:v>4</x:v>
      </x:c>
      <x:c r="F8" s="16" t="n">
        <x:v>0.975</x:v>
      </x:c>
      <x:c r="G8" s="17" t="n">
        <x:v>78920.5805168986</x:v>
      </x:c>
      <x:c r="H8" s="18" t="n">
        <x:v>0.1770833333</x:v>
      </x:c>
      <x:c r="I8" s="18" t="n">
        <x:v>0.0208333333</x:v>
      </x:c>
      <x:c r="J8" s="15" t="n">
        <x:v>0</x:v>
      </x:c>
    </x:row>
    <x:row r="9">
      <x:c r="A9" s="11" t="str">
        <x:v>CT</x:v>
      </x:c>
      <x:c r="B9" s="15" t="n">
        <x:v>36</x:v>
      </x:c>
      <x:c r="C9" s="15" t="n">
        <x:v>26</x:v>
      </x:c>
      <x:c r="D9" s="16" t="n">
        <x:v>3</x:v>
      </x:c>
      <x:c r="E9" s="16" t="n">
        <x:v>3</x:v>
      </x:c>
      <x:c r="F9" s="16" t="n">
        <x:v>0.99</x:v>
      </x:c>
      <x:c r="G9" s="17" t="n">
        <x:v>50976.5267692221</x:v>
      </x:c>
      <x:c r="H9" s="18" t="n">
        <x:v>0.1388888889</x:v>
      </x:c>
      <x:c r="I9" s="18" t="n">
        <x:v>0.1666666667</x:v>
      </x:c>
      <x:c r="J9" s="15" t="n">
        <x:v>0</x:v>
      </x:c>
    </x:row>
    <x:row r="10">
      <x:c r="A10" s="11" t="str">
        <x:v>DC</x:v>
      </x:c>
      <x:c r="B10" s="15" t="n">
        <x:v>10</x:v>
      </x:c>
      <x:c r="C10" s="15" t="n">
        <x:v>7</x:v>
      </x:c>
      <x:c r="D10" s="16" t="n">
        <x:v>3</x:v>
      </x:c>
      <x:c r="E10" s="16" t="n">
        <x:v>2.5</x:v>
      </x:c>
      <x:c r="F10" s="16" t="n">
        <x:v>0.99</x:v>
      </x:c>
      <x:c r="G10" s="17" t="n">
        <x:v>52900.7921856339</x:v>
      </x:c>
      <x:c r="H10" s="18" t="n">
        <x:v>0.1</x:v>
      </x:c>
      <x:c r="I10" s="18" t="n">
        <x:v>0.3</x:v>
      </x:c>
      <x:c r="J10" s="15" t="n">
        <x:v>0</x:v>
      </x:c>
    </x:row>
    <x:row r="11">
      <x:c r="A11" s="11" t="str">
        <x:v>DE</x:v>
      </x:c>
      <x:c r="B11" s="15" t="n">
        <x:v>13</x:v>
      </x:c>
      <x:c r="C11" s="15" t="n">
        <x:v>7</x:v>
      </x:c>
      <x:c r="D11" s="16" t="n">
        <x:v>3</x:v>
      </x:c>
      <x:c r="E11" s="16" t="n">
        <x:v>2</x:v>
      </x:c>
      <x:c r="F11" s="16" t="n">
        <x:v>1.015</x:v>
      </x:c>
      <x:c r="G11" s="17" t="n">
        <x:v>44139.5943735036</x:v>
      </x:c>
      <x:c r="H11" s="18" t="n">
        <x:v>0</x:v>
      </x:c>
      <x:c r="I11" s="18" t="n">
        <x:v>0.0769230769</x:v>
      </x:c>
      <x:c r="J11" s="15" t="n">
        <x:v>0</x:v>
      </x:c>
    </x:row>
    <x:row r="12">
      <x:c r="A12" s="11" t="str">
        <x:v>FL</x:v>
      </x:c>
      <x:c r="B12" s="15" t="n">
        <x:v>219</x:v>
      </x:c>
      <x:c r="C12" s="15" t="n">
        <x:v>166</x:v>
      </x:c>
      <x:c r="D12" s="16" t="n">
        <x:v>3</x:v>
      </x:c>
      <x:c r="E12" s="16" t="n">
        <x:v>3</x:v>
      </x:c>
      <x:c r="F12" s="16" t="n">
        <x:v>1.01</x:v>
      </x:c>
      <x:c r="G12" s="17" t="n">
        <x:v>24102.5486138227</x:v>
      </x:c>
      <x:c r="H12" s="18" t="n">
        <x:v>0.0365296804</x:v>
      </x:c>
      <x:c r="I12" s="18" t="n">
        <x:v>0.2511415525</x:v>
      </x:c>
      <x:c r="J12" s="15" t="n">
        <x:v>0</x:v>
      </x:c>
    </x:row>
    <x:row r="13">
      <x:c r="A13" s="11" t="str">
        <x:v>GA</x:v>
      </x:c>
      <x:c r="B13" s="15" t="n">
        <x:v>149</x:v>
      </x:c>
      <x:c r="C13" s="15" t="n">
        <x:v>84</x:v>
      </x:c>
      <x:c r="D13" s="16" t="n">
        <x:v>3</x:v>
      </x:c>
      <x:c r="E13" s="16" t="n">
        <x:v>3</x:v>
      </x:c>
      <x:c r="F13" s="16" t="n">
        <x:v>0.96</x:v>
      </x:c>
      <x:c r="G13" s="17" t="n">
        <x:v>41766.6682478441</x:v>
      </x:c>
      <x:c r="H13" s="18" t="n">
        <x:v>0.0939597315</x:v>
      </x:c>
      <x:c r="I13" s="18" t="n">
        <x:v>0.2080536913</x:v>
      </x:c>
      <x:c r="J13" s="15" t="n">
        <x:v>1</x:v>
      </x:c>
    </x:row>
    <x:row r="14">
      <x:c r="A14" s="11" t="str">
        <x:v>GU</x:v>
      </x:c>
      <x:c r="B14" s="15" t="n">
        <x:v>2</x:v>
      </x:c>
      <x:c r="C14" s="15" t="n">
        <x:v>1</x:v>
      </x:c>
      <x:c r="D14" s="16" t="n">
        <x:v>2</x:v>
      </x:c>
      <x:c r="E14" s="16"/>
      <x:c r="F14" s="16"/>
      <x:c r="G14" s="17" t="n">
        <x:v>34842.4176724327</x:v>
      </x:c>
      <x:c r="H14" s="18" t="n">
        <x:v>0</x:v>
      </x:c>
      <x:c r="I14" s="18" t="n">
        <x:v>0.5</x:v>
      </x:c>
      <x:c r="J14" s="15" t="n">
        <x:v>0</x:v>
      </x:c>
    </x:row>
    <x:row r="15">
      <x:c r="A15" s="11" t="str">
        <x:v>HI</x:v>
      </x:c>
      <x:c r="B15" s="15" t="n">
        <x:v>23</x:v>
      </x:c>
      <x:c r="C15" s="15" t="n">
        <x:v>11</x:v>
      </x:c>
      <x:c r="D15" s="16" t="n">
        <x:v>3</x:v>
      </x:c>
      <x:c r="E15" s="16" t="n">
        <x:v>4</x:v>
      </x:c>
      <x:c r="F15" s="16" t="n">
        <x:v>0.89</x:v>
      </x:c>
      <x:c r="G15" s="17" t="n">
        <x:v>58805.1218907876</x:v>
      </x:c>
      <x:c r="H15" s="18" t="n">
        <x:v>0.347826087</x:v>
      </x:c>
      <x:c r="I15" s="18" t="n">
        <x:v>0.1304347826</x:v>
      </x:c>
      <x:c r="J15" s="15" t="n">
        <x:v>0</x:v>
      </x:c>
    </x:row>
    <x:row r="16">
      <x:c r="A16" s="11" t="str">
        <x:v>IA</x:v>
      </x:c>
      <x:c r="B16" s="15" t="n">
        <x:v>118</x:v>
      </x:c>
      <x:c r="C16" s="15" t="n">
        <x:v>62</x:v>
      </x:c>
      <x:c r="D16" s="16" t="n">
        <x:v>3</x:v>
      </x:c>
      <x:c r="E16" s="16" t="n">
        <x:v>4</x:v>
      </x:c>
      <x:c r="F16" s="16" t="n">
        <x:v>0.95</x:v>
      </x:c>
      <x:c r="G16" s="17" t="n">
        <x:v>130705.3120567376</x:v>
      </x:c>
      <x:c r="H16" s="18" t="n">
        <x:v>0.093220339</x:v>
      </x:c>
      <x:c r="I16" s="18" t="n">
        <x:v>0.2203389831</x:v>
      </x:c>
      <x:c r="J16" s="15" t="n">
        <x:v>2</x:v>
      </x:c>
    </x:row>
    <x:row r="17">
      <x:c r="A17" s="11" t="str">
        <x:v>ID</x:v>
      </x:c>
      <x:c r="B17" s="15" t="n">
        <x:v>48</x:v>
      </x:c>
      <x:c r="C17" s="15" t="n">
        <x:v>22</x:v>
      </x:c>
      <x:c r="D17" s="16" t="n">
        <x:v>3</x:v>
      </x:c>
      <x:c r="E17" s="16" t="n">
        <x:v>4</x:v>
      </x:c>
      <x:c r="F17" s="16" t="n">
        <x:v>0.98</x:v>
      </x:c>
      <x:c r="G17" s="17" t="n">
        <x:v>100115.9468354356</x:v>
      </x:c>
      <x:c r="H17" s="18" t="n">
        <x:v>0.1041666667</x:v>
      </x:c>
      <x:c r="I17" s="18" t="n">
        <x:v>0.1666666667</x:v>
      </x:c>
      <x:c r="J17" s="15" t="n">
        <x:v>0</x:v>
      </x:c>
    </x:row>
    <x:row r="18">
      <x:c r="A18" s="11" t="str">
        <x:v>IL</x:v>
      </x:c>
      <x:c r="B18" s="15" t="n">
        <x:v>192</x:v>
      </x:c>
      <x:c r="C18" s="15" t="n">
        <x:v>135</x:v>
      </x:c>
      <x:c r="D18" s="16" t="n">
        <x:v>3</x:v>
      </x:c>
      <x:c r="E18" s="16" t="n">
        <x:v>3</x:v>
      </x:c>
      <x:c r="F18" s="16" t="n">
        <x:v>1</x:v>
      </x:c>
      <x:c r="G18" s="17" t="n">
        <x:v>53206.5964166857</x:v>
      </x:c>
      <x:c r="H18" s="18" t="n">
        <x:v>0.0833333333</x:v>
      </x:c>
      <x:c r="I18" s="18" t="n">
        <x:v>0.2708333333</x:v>
      </x:c>
      <x:c r="J18" s="15" t="n">
        <x:v>3</x:v>
      </x:c>
    </x:row>
    <x:row r="19">
      <x:c r="A19" s="11" t="str">
        <x:v>IN</x:v>
      </x:c>
      <x:c r="B19" s="15" t="n">
        <x:v>148</x:v>
      </x:c>
      <x:c r="C19" s="15" t="n">
        <x:v>91</x:v>
      </x:c>
      <x:c r="D19" s="16" t="n">
        <x:v>3</x:v>
      </x:c>
      <x:c r="E19" s="16" t="n">
        <x:v>3</x:v>
      </x:c>
      <x:c r="F19" s="16" t="n">
        <x:v>1.005</x:v>
      </x:c>
      <x:c r="G19" s="17" t="n">
        <x:v>54109.4967565479</x:v>
      </x:c>
      <x:c r="H19" s="18" t="n">
        <x:v>0.0945945946</x:v>
      </x:c>
      <x:c r="I19" s="18" t="n">
        <x:v>0.1689189189</x:v>
      </x:c>
      <x:c r="J19" s="15" t="n">
        <x:v>0</x:v>
      </x:c>
    </x:row>
    <x:row r="20">
      <x:c r="A20" s="11" t="str">
        <x:v>KS</x:v>
      </x:c>
      <x:c r="B20" s="15" t="n">
        <x:v>139</x:v>
      </x:c>
      <x:c r="C20" s="15" t="n">
        <x:v>55</x:v>
      </x:c>
      <x:c r="D20" s="16" t="n">
        <x:v>3</x:v>
      </x:c>
      <x:c r="E20" s="16" t="n">
        <x:v>4</x:v>
      </x:c>
      <x:c r="F20" s="16" t="n">
        <x:v>0.97</x:v>
      </x:c>
      <x:c r="G20" s="17" t="n">
        <x:v>96443.2050919378</x:v>
      </x:c>
      <x:c r="H20" s="18" t="n">
        <x:v>0.0647482014</x:v>
      </x:c>
      <x:c r="I20" s="18" t="n">
        <x:v>0.1438848921</x:v>
      </x:c>
      <x:c r="J20" s="15" t="n">
        <x:v>0</x:v>
      </x:c>
    </x:row>
    <x:row r="21">
      <x:c r="A21" s="11" t="str">
        <x:v>KY</x:v>
      </x:c>
      <x:c r="B21" s="15" t="n">
        <x:v>103</x:v>
      </x:c>
      <x:c r="C21" s="15" t="n">
        <x:v>67</x:v>
      </x:c>
      <x:c r="D21" s="16" t="n">
        <x:v>3</x:v>
      </x:c>
      <x:c r="E21" s="16" t="n">
        <x:v>3</x:v>
      </x:c>
      <x:c r="F21" s="16" t="n">
        <x:v>1.02</x:v>
      </x:c>
      <x:c r="G21" s="17" t="n">
        <x:v>47062.3480719196</x:v>
      </x:c>
      <x:c r="H21" s="18" t="n">
        <x:v>0.0291262136</x:v>
      </x:c>
      <x:c r="I21" s="18" t="n">
        <x:v>0.3009708738</x:v>
      </x:c>
      <x:c r="J21" s="15" t="n">
        <x:v>1</x:v>
      </x:c>
    </x:row>
    <x:row r="22">
      <x:c r="A22" s="11" t="str">
        <x:v>LA</x:v>
      </x:c>
      <x:c r="B22" s="15" t="n">
        <x:v>161</x:v>
      </x:c>
      <x:c r="C22" s="15" t="n">
        <x:v>59</x:v>
      </x:c>
      <x:c r="D22" s="16" t="n">
        <x:v>3</x:v>
      </x:c>
      <x:c r="E22" s="16" t="n">
        <x:v>4</x:v>
      </x:c>
      <x:c r="F22" s="16" t="n">
        <x:v>1.04</x:v>
      </x:c>
      <x:c r="G22" s="17" t="n">
        <x:v>46902.3877263935</x:v>
      </x:c>
      <x:c r="H22" s="18" t="n">
        <x:v>0.0807453416</x:v>
      </x:c>
      <x:c r="I22" s="18" t="n">
        <x:v>0.1366459627</x:v>
      </x:c>
      <x:c r="J22" s="15" t="n">
        <x:v>1</x:v>
      </x:c>
    </x:row>
    <x:row r="23">
      <x:c r="A23" s="11" t="str">
        <x:v>MA</x:v>
      </x:c>
      <x:c r="B23" s="15" t="n">
        <x:v>84</x:v>
      </x:c>
      <x:c r="C23" s="15" t="n">
        <x:v>54</x:v>
      </x:c>
      <x:c r="D23" s="16" t="n">
        <x:v>3</x:v>
      </x:c>
      <x:c r="E23" s="16" t="n">
        <x:v>3</x:v>
      </x:c>
      <x:c r="F23" s="16" t="n">
        <x:v>0.98</x:v>
      </x:c>
      <x:c r="G23" s="17" t="n">
        <x:v>39049.3507439698</x:v>
      </x:c>
      <x:c r="H23" s="18" t="n">
        <x:v>0.1428571429</x:v>
      </x:c>
      <x:c r="I23" s="18" t="n">
        <x:v>0.2023809524</x:v>
      </x:c>
      <x:c r="J23" s="15" t="n">
        <x:v>0</x:v>
      </x:c>
    </x:row>
    <x:row r="24">
      <x:c r="A24" s="11" t="str">
        <x:v>MD</x:v>
      </x:c>
      <x:c r="B24" s="15" t="n">
        <x:v>56</x:v>
      </x:c>
      <x:c r="C24" s="15" t="n">
        <x:v>42</x:v>
      </x:c>
      <x:c r="D24" s="16" t="n">
        <x:v>3</x:v>
      </x:c>
      <x:c r="E24" s="16" t="n">
        <x:v>3</x:v>
      </x:c>
      <x:c r="F24" s="16"/>
      <x:c r="G24" s="17" t="n">
        <x:v>36382.1514217308</x:v>
      </x:c>
      <x:c r="H24" s="18" t="n">
        <x:v>0.1428571429</x:v>
      </x:c>
      <x:c r="I24" s="18" t="n">
        <x:v>0.1428571429</x:v>
      </x:c>
      <x:c r="J24" s="15" t="n">
        <x:v>0</x:v>
      </x:c>
    </x:row>
    <x:row r="25">
      <x:c r="A25" s="11" t="str">
        <x:v>ME</x:v>
      </x:c>
      <x:c r="B25" s="15" t="n">
        <x:v>36</x:v>
      </x:c>
      <x:c r="C25" s="15" t="n">
        <x:v>24</x:v>
      </x:c>
      <x:c r="D25" s="16" t="n">
        <x:v>3</x:v>
      </x:c>
      <x:c r="E25" s="16" t="n">
        <x:v>4</x:v>
      </x:c>
      <x:c r="F25" s="16" t="n">
        <x:v>0.92</x:v>
      </x:c>
      <x:c r="G25" s="17" t="n">
        <x:v>76825.0557326152</x:v>
      </x:c>
      <x:c r="H25" s="18" t="n">
        <x:v>0.1388888889</x:v>
      </x:c>
      <x:c r="I25" s="18" t="n">
        <x:v>0.2777777778</x:v>
      </x:c>
      <x:c r="J25" s="15" t="n">
        <x:v>0</x:v>
      </x:c>
    </x:row>
    <x:row r="26">
      <x:c r="A26" s="11" t="str">
        <x:v>MI</x:v>
      </x:c>
      <x:c r="B26" s="15" t="n">
        <x:v>149</x:v>
      </x:c>
      <x:c r="C26" s="15" t="n">
        <x:v>94</x:v>
      </x:c>
      <x:c r="D26" s="16" t="n">
        <x:v>3</x:v>
      </x:c>
      <x:c r="E26" s="16" t="n">
        <x:v>3</x:v>
      </x:c>
      <x:c r="F26" s="16" t="n">
        <x:v>0.94</x:v>
      </x:c>
      <x:c r="G26" s="17" t="n">
        <x:v>55624.2653826534</x:v>
      </x:c>
      <x:c r="H26" s="18" t="n">
        <x:v>0.1476510067</x:v>
      </x:c>
      <x:c r="I26" s="18" t="n">
        <x:v>0.1946308725</x:v>
      </x:c>
      <x:c r="J26" s="15" t="n">
        <x:v>0</x:v>
      </x:c>
    </x:row>
    <x:row r="27">
      <x:c r="A27" s="11" t="str">
        <x:v>MN</x:v>
      </x:c>
      <x:c r="B27" s="15" t="n">
        <x:v>135</x:v>
      </x:c>
      <x:c r="C27" s="15" t="n">
        <x:v>56</x:v>
      </x:c>
      <x:c r="D27" s="16" t="n">
        <x:v>4</x:v>
      </x:c>
      <x:c r="E27" s="16" t="n">
        <x:v>4</x:v>
      </x:c>
      <x:c r="F27" s="16" t="n">
        <x:v>0.905</x:v>
      </x:c>
      <x:c r="G27" s="17" t="n">
        <x:v>108190.4914089347</x:v>
      </x:c>
      <x:c r="H27" s="18" t="n">
        <x:v>0.1259259259</x:v>
      </x:c>
      <x:c r="I27" s="18" t="n">
        <x:v>0.0666666667</x:v>
      </x:c>
      <x:c r="J27" s="15" t="n">
        <x:v>0</x:v>
      </x:c>
    </x:row>
    <x:row r="28">
      <x:c r="A28" s="11" t="str">
        <x:v>MO</x:v>
      </x:c>
      <x:c r="B28" s="15" t="n">
        <x:v>120</x:v>
      </x:c>
      <x:c r="C28" s="15" t="n">
        <x:v>79</x:v>
      </x:c>
      <x:c r="D28" s="16" t="n">
        <x:v>3</x:v>
      </x:c>
      <x:c r="E28" s="16" t="n">
        <x:v>3</x:v>
      </x:c>
      <x:c r="F28" s="16" t="n">
        <x:v>0.98</x:v>
      </x:c>
      <x:c r="G28" s="17" t="n">
        <x:v>55010.2658985455</x:v>
      </x:c>
      <x:c r="H28" s="18" t="n">
        <x:v>0.075</x:v>
      </x:c>
      <x:c r="I28" s="18" t="n">
        <x:v>0.2333333333</x:v>
      </x:c>
      <x:c r="J28" s="15" t="n">
        <x:v>0</x:v>
      </x:c>
    </x:row>
    <x:row r="29">
      <x:c r="A29" s="11" t="str">
        <x:v>MP</x:v>
      </x:c>
      <x:c r="B29" s="15" t="n">
        <x:v>1</x:v>
      </x:c>
      <x:c r="C29" s="15" t="n">
        <x:v>0</x:v>
      </x:c>
      <x:c r="D29" s="16"/>
      <x:c r="E29" s="16"/>
      <x:c r="F29" s="16"/>
      <x:c r="G29" s="17" t="n">
        <x:v>32405.2345286293</x:v>
      </x:c>
      <x:c r="H29" s="18" t="n">
        <x:v>0</x:v>
      </x:c>
      <x:c r="I29" s="18" t="n">
        <x:v>0</x:v>
      </x:c>
      <x:c r="J29" s="15" t="n">
        <x:v>0</x:v>
      </x:c>
    </x:row>
    <x:row r="30">
      <x:c r="A30" s="11" t="str">
        <x:v>MS</x:v>
      </x:c>
      <x:c r="B30" s="15" t="n">
        <x:v>109</x:v>
      </x:c>
      <x:c r="C30" s="15" t="n">
        <x:v>52</x:v>
      </x:c>
      <x:c r="D30" s="16" t="n">
        <x:v>2</x:v>
      </x:c>
      <x:c r="E30" s="16" t="n">
        <x:v>3</x:v>
      </x:c>
      <x:c r="F30" s="16" t="n">
        <x:v>1</x:v>
      </x:c>
      <x:c r="G30" s="17" t="n">
        <x:v>48391.9473955647</x:v>
      </x:c>
      <x:c r="H30" s="18" t="n">
        <x:v>0.1009174312</x:v>
      </x:c>
      <x:c r="I30" s="18" t="n">
        <x:v>0.2844036697</x:v>
      </x:c>
      <x:c r="J30" s="15" t="n">
        <x:v>0</x:v>
      </x:c>
    </x:row>
    <x:row r="31">
      <x:c r="A31" s="11" t="str">
        <x:v>MT</x:v>
      </x:c>
      <x:c r="B31" s="15" t="n">
        <x:v>63</x:v>
      </x:c>
      <x:c r="C31" s="15" t="n">
        <x:v>20</x:v>
      </x:c>
      <x:c r="D31" s="16" t="n">
        <x:v>3</x:v>
      </x:c>
      <x:c r="E31" s="16" t="n">
        <x:v>4</x:v>
      </x:c>
      <x:c r="F31" s="16" t="n">
        <x:v>0.92</x:v>
      </x:c>
      <x:c r="G31" s="17" t="n">
        <x:v>161619.1787545788</x:v>
      </x:c>
      <x:c r="H31" s="18" t="n">
        <x:v>0.1904761905</x:v>
      </x:c>
      <x:c r="I31" s="18" t="n">
        <x:v>0.1428571429</x:v>
      </x:c>
      <x:c r="J31" s="15" t="n">
        <x:v>0</x:v>
      </x:c>
    </x:row>
    <x:row r="32">
      <x:c r="A32" s="11" t="str">
        <x:v>NC</x:v>
      </x:c>
      <x:c r="B32" s="15" t="n">
        <x:v>119</x:v>
      </x:c>
      <x:c r="C32" s="15" t="n">
        <x:v>89</x:v>
      </x:c>
      <x:c r="D32" s="16" t="n">
        <x:v>3</x:v>
      </x:c>
      <x:c r="E32" s="16" t="n">
        <x:v>3</x:v>
      </x:c>
      <x:c r="F32" s="16" t="n">
        <x:v>0.95</x:v>
      </x:c>
      <x:c r="G32" s="17" t="n">
        <x:v>38412.3541162228</x:v>
      </x:c>
      <x:c r="H32" s="18" t="n">
        <x:v>0.0336134454</x:v>
      </x:c>
      <x:c r="I32" s="18" t="n">
        <x:v>0.2100840336</x:v>
      </x:c>
      <x:c r="J32" s="15" t="n">
        <x:v>0</x:v>
      </x:c>
    </x:row>
    <x:row r="33">
      <x:c r="A33" s="11" t="str">
        <x:v>ND</x:v>
      </x:c>
      <x:c r="B33" s="15" t="n">
        <x:v>47</x:v>
      </x:c>
      <x:c r="C33" s="15" t="n">
        <x:v>16</x:v>
      </x:c>
      <x:c r="D33" s="16" t="n">
        <x:v>3</x:v>
      </x:c>
      <x:c r="E33" s="16" t="n">
        <x:v>3</x:v>
      </x:c>
      <x:c r="F33" s="16" t="n">
        <x:v>0.94</x:v>
      </x:c>
      <x:c r="G33" s="17" t="n">
        <x:v>111551.1988772097</x:v>
      </x:c>
      <x:c r="H33" s="18" t="n">
        <x:v>0.170212766</x:v>
      </x:c>
      <x:c r="I33" s="18" t="n">
        <x:v>0.1063829787</x:v>
      </x:c>
      <x:c r="J33" s="15" t="n">
        <x:v>0</x:v>
      </x:c>
    </x:row>
    <x:row r="34">
      <x:c r="A34" s="11" t="str">
        <x:v>NE</x:v>
      </x:c>
      <x:c r="B34" s="15" t="n">
        <x:v>93</x:v>
      </x:c>
      <x:c r="C34" s="15" t="n">
        <x:v>36</x:v>
      </x:c>
      <x:c r="D34" s="16" t="n">
        <x:v>4</x:v>
      </x:c>
      <x:c r="E34" s="16" t="n">
        <x:v>4</x:v>
      </x:c>
      <x:c r="F34" s="16" t="n">
        <x:v>0.99</x:v>
      </x:c>
      <x:c r="G34" s="17" t="n">
        <x:v>134660.0833333333</x:v>
      </x:c>
      <x:c r="H34" s="18" t="n">
        <x:v>0.0967741935</x:v>
      </x:c>
      <x:c r="I34" s="18" t="n">
        <x:v>0.0860215054</x:v>
      </x:c>
      <x:c r="J34" s="15" t="n">
        <x:v>0</x:v>
      </x:c>
    </x:row>
    <x:row r="35">
      <x:c r="A35" s="11" t="str">
        <x:v>NH</x:v>
      </x:c>
      <x:c r="B35" s="15" t="n">
        <x:v>27</x:v>
      </x:c>
      <x:c r="C35" s="15" t="n">
        <x:v>23</x:v>
      </x:c>
      <x:c r="D35" s="16" t="n">
        <x:v>3</x:v>
      </x:c>
      <x:c r="E35" s="16" t="n">
        <x:v>4</x:v>
      </x:c>
      <x:c r="F35" s="16" t="n">
        <x:v>0.97</x:v>
      </x:c>
      <x:c r="G35" s="17" t="n">
        <x:v>88295.9723377829</x:v>
      </x:c>
      <x:c r="H35" s="18" t="n">
        <x:v>0.0740740741</x:v>
      </x:c>
      <x:c r="I35" s="18" t="n">
        <x:v>0.2962962963</x:v>
      </x:c>
      <x:c r="J35" s="15" t="n">
        <x:v>0</x:v>
      </x:c>
    </x:row>
    <x:row r="36">
      <x:c r="A36" s="11" t="str">
        <x:v>NJ</x:v>
      </x:c>
      <x:c r="B36" s="15" t="n">
        <x:v>78</x:v>
      </x:c>
      <x:c r="C36" s="15" t="n">
        <x:v>61</x:v>
      </x:c>
      <x:c r="D36" s="16" t="n">
        <x:v>3</x:v>
      </x:c>
      <x:c r="E36" s="16" t="n">
        <x:v>3</x:v>
      </x:c>
      <x:c r="F36" s="16" t="n">
        <x:v>1.07</x:v>
      </x:c>
      <x:c r="G36" s="17" t="n">
        <x:v>40718.226468222</x:v>
      </x:c>
      <x:c r="H36" s="18" t="n">
        <x:v>0.0897435897</x:v>
      </x:c>
      <x:c r="I36" s="18" t="n">
        <x:v>0.2179487179</x:v>
      </x:c>
      <x:c r="J36" s="15" t="n">
        <x:v>1</x:v>
      </x:c>
    </x:row>
    <x:row r="37">
      <x:c r="A37" s="11" t="str">
        <x:v>NM</x:v>
      </x:c>
      <x:c r="B37" s="15" t="n">
        <x:v>45</x:v>
      </x:c>
      <x:c r="C37" s="15" t="n">
        <x:v>23</x:v>
      </x:c>
      <x:c r="D37" s="16" t="n">
        <x:v>2</x:v>
      </x:c>
      <x:c r="E37" s="16" t="n">
        <x:v>3</x:v>
      </x:c>
      <x:c r="F37" s="16" t="n">
        <x:v>0.95</x:v>
      </x:c>
      <x:c r="G37" s="17" t="n">
        <x:v>56694.7884710091</x:v>
      </x:c>
      <x:c r="H37" s="18" t="n">
        <x:v>0.1111111111</x:v>
      </x:c>
      <x:c r="I37" s="18" t="n">
        <x:v>0.3111111111</x:v>
      </x:c>
      <x:c r="J37" s="15" t="n">
        <x:v>0</x:v>
      </x:c>
    </x:row>
    <x:row r="38">
      <x:c r="A38" s="11" t="str">
        <x:v>NV</x:v>
      </x:c>
      <x:c r="B38" s="15" t="n">
        <x:v>46</x:v>
      </x:c>
      <x:c r="C38" s="15" t="n">
        <x:v>25</x:v>
      </x:c>
      <x:c r="D38" s="16" t="n">
        <x:v>3</x:v>
      </x:c>
      <x:c r="E38" s="16" t="n">
        <x:v>3</x:v>
      </x:c>
      <x:c r="F38" s="16" t="n">
        <x:v>1.08</x:v>
      </x:c>
      <x:c r="G38" s="17" t="n">
        <x:v>32809.2236360977</x:v>
      </x:c>
      <x:c r="H38" s="18" t="n">
        <x:v>0.0652173913</x:v>
      </x:c>
      <x:c r="I38" s="18" t="n">
        <x:v>0.1956521739</x:v>
      </x:c>
      <x:c r="J38" s="15" t="n">
        <x:v>0</x:v>
      </x:c>
    </x:row>
    <x:row r="39">
      <x:c r="A39" s="11" t="str">
        <x:v>NY</x:v>
      </x:c>
      <x:c r="B39" s="15" t="n">
        <x:v>192</x:v>
      </x:c>
      <x:c r="C39" s="15" t="n">
        <x:v>136</x:v>
      </x:c>
      <x:c r="D39" s="16" t="n">
        <x:v>3</x:v>
      </x:c>
      <x:c r="E39" s="16" t="n">
        <x:v>3</x:v>
      </x:c>
      <x:c r="F39" s="16" t="n">
        <x:v>0.99</x:v>
      </x:c>
      <x:c r="G39" s="17" t="n">
        <x:v>55732.1727025557</x:v>
      </x:c>
      <x:c r="H39" s="18" t="n">
        <x:v>0.1302083333</x:v>
      </x:c>
      <x:c r="I39" s="18" t="n">
        <x:v>0.3541666667</x:v>
      </x:c>
      <x:c r="J39" s="15" t="n">
        <x:v>14</x:v>
      </x:c>
    </x:row>
    <x:row r="40">
      <x:c r="A40" s="11" t="str">
        <x:v>OH</x:v>
      </x:c>
      <x:c r="B40" s="15" t="n">
        <x:v>193</x:v>
      </x:c>
      <x:c r="C40" s="15" t="n">
        <x:v>128</x:v>
      </x:c>
      <x:c r="D40" s="16" t="n">
        <x:v>4</x:v>
      </x:c>
      <x:c r="E40" s="16" t="n">
        <x:v>3</x:v>
      </x:c>
      <x:c r="F40" s="16" t="n">
        <x:v>0.98</x:v>
      </x:c>
      <x:c r="G40" s="17" t="n">
        <x:v>40275.7693673671</x:v>
      </x:c>
      <x:c r="H40" s="18" t="n">
        <x:v>0.067357513</x:v>
      </x:c>
      <x:c r="I40" s="18" t="n">
        <x:v>0.0984455959</x:v>
      </x:c>
      <x:c r="J40" s="15" t="n">
        <x:v>0</x:v>
      </x:c>
    </x:row>
    <x:row r="41">
      <x:c r="A41" s="11" t="str">
        <x:v>OK</x:v>
      </x:c>
      <x:c r="B41" s="15" t="n">
        <x:v>136</x:v>
      </x:c>
      <x:c r="C41" s="15" t="n">
        <x:v>62</x:v>
      </x:c>
      <x:c r="D41" s="16" t="n">
        <x:v>3</x:v>
      </x:c>
      <x:c r="E41" s="16" t="n">
        <x:v>3</x:v>
      </x:c>
      <x:c r="F41" s="16" t="n">
        <x:v>0.995</x:v>
      </x:c>
      <x:c r="G41" s="17" t="n">
        <x:v>50454.9308333884</x:v>
      </x:c>
      <x:c r="H41" s="18" t="n">
        <x:v>0.1102941176</x:v>
      </x:c>
      <x:c r="I41" s="18" t="n">
        <x:v>0.1176470588</x:v>
      </x:c>
      <x:c r="J41" s="15" t="n">
        <x:v>0</x:v>
      </x:c>
    </x:row>
    <x:row r="42">
      <x:c r="A42" s="11" t="str">
        <x:v>OR</x:v>
      </x:c>
      <x:c r="B42" s="15" t="n">
        <x:v>62</x:v>
      </x:c>
      <x:c r="C42" s="15" t="n">
        <x:v>44</x:v>
      </x:c>
      <x:c r="D42" s="16" t="n">
        <x:v>3</x:v>
      </x:c>
      <x:c r="E42" s="16" t="n">
        <x:v>4</x:v>
      </x:c>
      <x:c r="F42" s="16" t="n">
        <x:v>0.89</x:v>
      </x:c>
      <x:c r="G42" s="17" t="n">
        <x:v>76933.1654054054</x:v>
      </x:c>
      <x:c r="H42" s="18" t="n">
        <x:v>0.1129032258</x:v>
      </x:c>
      <x:c r="I42" s="18" t="n">
        <x:v>0.2580645161</x:v>
      </x:c>
      <x:c r="J42" s="15" t="n">
        <x:v>0</x:v>
      </x:c>
    </x:row>
    <x:row r="43">
      <x:c r="A43" s="11" t="str">
        <x:v>PA</x:v>
      </x:c>
      <x:c r="B43" s="15" t="n">
        <x:v>186</x:v>
      </x:c>
      <x:c r="C43" s="15" t="n">
        <x:v>131</x:v>
      </x:c>
      <x:c r="D43" s="16" t="n">
        <x:v>4</x:v>
      </x:c>
      <x:c r="E43" s="16" t="n">
        <x:v>3</x:v>
      </x:c>
      <x:c r="F43" s="16" t="n">
        <x:v>0.99</x:v>
      </x:c>
      <x:c r="G43" s="17" t="n">
        <x:v>38852.6488740918</x:v>
      </x:c>
      <x:c r="H43" s="18" t="n">
        <x:v>0.0806451613</x:v>
      </x:c>
      <x:c r="I43" s="18" t="n">
        <x:v>0.1559139785</x:v>
      </x:c>
      <x:c r="J43" s="15" t="n">
        <x:v>0</x:v>
      </x:c>
    </x:row>
    <x:row r="44">
      <x:c r="A44" s="11" t="str">
        <x:v>PR</x:v>
      </x:c>
      <x:c r="B44" s="15" t="n">
        <x:v>59</x:v>
      </x:c>
      <x:c r="C44" s="15" t="n">
        <x:v>7</x:v>
      </x:c>
      <x:c r="D44" s="16" t="n">
        <x:v>1</x:v>
      </x:c>
      <x:c r="E44" s="16" t="n">
        <x:v>2</x:v>
      </x:c>
      <x:c r="F44" s="16"/>
      <x:c r="G44" s="17" t="n">
        <x:v>10353.0396050746</x:v>
      </x:c>
      <x:c r="H44" s="18" t="n">
        <x:v>0.0169491525</x:v>
      </x:c>
      <x:c r="I44" s="18" t="n">
        <x:v>0.1016949153</x:v>
      </x:c>
      <x:c r="J44" s="15" t="n">
        <x:v>0</x:v>
      </x:c>
    </x:row>
    <x:row r="45">
      <x:c r="A45" s="11" t="str">
        <x:v>RI</x:v>
      </x:c>
      <x:c r="B45" s="15" t="n">
        <x:v>13</x:v>
      </x:c>
      <x:c r="C45" s="15" t="n">
        <x:v>11</x:v>
      </x:c>
      <x:c r="D45" s="16" t="n">
        <x:v>4</x:v>
      </x:c>
      <x:c r="E45" s="16" t="n">
        <x:v>3</x:v>
      </x:c>
      <x:c r="F45" s="16" t="n">
        <x:v>1.005</x:v>
      </x:c>
      <x:c r="G45" s="17" t="n">
        <x:v>41188.6930574555</x:v>
      </x:c>
      <x:c r="H45" s="18" t="n">
        <x:v>0</x:v>
      </x:c>
      <x:c r="I45" s="18" t="n">
        <x:v>0.0769230769</x:v>
      </x:c>
      <x:c r="J45" s="15" t="n">
        <x:v>0</x:v>
      </x:c>
    </x:row>
    <x:row r="46">
      <x:c r="A46" s="11" t="str">
        <x:v>SC</x:v>
      </x:c>
      <x:c r="B46" s="15" t="n">
        <x:v>66</x:v>
      </x:c>
      <x:c r="C46" s="15" t="n">
        <x:v>49</x:v>
      </x:c>
      <x:c r="D46" s="16" t="n">
        <x:v>3</x:v>
      </x:c>
      <x:c r="E46" s="16" t="n">
        <x:v>3</x:v>
      </x:c>
      <x:c r="F46" s="16" t="n">
        <x:v>1</x:v>
      </x:c>
      <x:c r="G46" s="17" t="n">
        <x:v>35138.4514328542</x:v>
      </x:c>
      <x:c r="H46" s="18" t="n">
        <x:v>0.0303030303</x:v>
      </x:c>
      <x:c r="I46" s="18" t="n">
        <x:v>0.1515151515</x:v>
      </x:c>
      <x:c r="J46" s="15" t="n">
        <x:v>1</x:v>
      </x:c>
    </x:row>
    <x:row r="47">
      <x:c r="A47" s="11" t="str">
        <x:v>SD</x:v>
      </x:c>
      <x:c r="B47" s="15" t="n">
        <x:v>61</x:v>
      </x:c>
      <x:c r="C47" s="15" t="n">
        <x:v>18</x:v>
      </x:c>
      <x:c r="D47" s="16" t="n">
        <x:v>4</x:v>
      </x:c>
      <x:c r="E47" s="16" t="n">
        <x:v>4</x:v>
      </x:c>
      <x:c r="F47" s="16" t="n">
        <x:v>0.94</x:v>
      </x:c>
      <x:c r="G47" s="17" t="n">
        <x:v>95580.8671328671</x:v>
      </x:c>
      <x:c r="H47" s="18" t="n">
        <x:v>0.0819672131</x:v>
      </x:c>
      <x:c r="I47" s="18" t="n">
        <x:v>0.0327868852</x:v>
      </x:c>
      <x:c r="J47" s="15" t="n">
        <x:v>0</x:v>
      </x:c>
    </x:row>
    <x:row r="48">
      <x:c r="A48" s="11" t="str">
        <x:v>TN</x:v>
      </x:c>
      <x:c r="B48" s="15" t="n">
        <x:v>120</x:v>
      </x:c>
      <x:c r="C48" s="15" t="n">
        <x:v>72</x:v>
      </x:c>
      <x:c r="D48" s="16" t="n">
        <x:v>3</x:v>
      </x:c>
      <x:c r="E48" s="16" t="n">
        <x:v>3</x:v>
      </x:c>
      <x:c r="F48" s="16" t="n">
        <x:v>1.01</x:v>
      </x:c>
      <x:c r="G48" s="17" t="n">
        <x:v>29296.3968853946</x:v>
      </x:c>
      <x:c r="H48" s="18" t="n">
        <x:v>0.0333333333</x:v>
      </x:c>
      <x:c r="I48" s="18" t="n">
        <x:v>0.1833333333</x:v>
      </x:c>
      <x:c r="J48" s="15" t="n">
        <x:v>0</x:v>
      </x:c>
    </x:row>
    <x:row r="49">
      <x:c r="A49" s="11" t="str">
        <x:v>TX</x:v>
      </x:c>
      <x:c r="B49" s="15" t="n">
        <x:v>467</x:v>
      </x:c>
      <x:c r="C49" s="15" t="n">
        <x:v>216</x:v>
      </x:c>
      <x:c r="D49" s="16" t="n">
        <x:v>3</x:v>
      </x:c>
      <x:c r="E49" s="16" t="n">
        <x:v>3</x:v>
      </x:c>
      <x:c r="F49" s="16" t="n">
        <x:v>1.04</x:v>
      </x:c>
      <x:c r="G49" s="17" t="n">
        <x:v>39518.6510818172</x:v>
      </x:c>
      <x:c r="H49" s="18" t="n">
        <x:v>0.0856531049</x:v>
      </x:c>
      <x:c r="I49" s="18" t="n">
        <x:v>0.1049250535</x:v>
      </x:c>
      <x:c r="J49" s="15" t="n">
        <x:v>0</x:v>
      </x:c>
    </x:row>
    <x:row r="50">
      <x:c r="A50" s="11" t="str">
        <x:v>UT</x:v>
      </x:c>
      <x:c r="B50" s="15" t="n">
        <x:v>52</x:v>
      </x:c>
      <x:c r="C50" s="15" t="n">
        <x:v>29</x:v>
      </x:c>
      <x:c r="D50" s="16" t="n">
        <x:v>5</x:v>
      </x:c>
      <x:c r="E50" s="16" t="n">
        <x:v>4</x:v>
      </x:c>
      <x:c r="F50" s="16" t="n">
        <x:v>0.97</x:v>
      </x:c>
      <x:c r="G50" s="17" t="n">
        <x:v>56735.1142703511</x:v>
      </x:c>
      <x:c r="H50" s="18" t="n">
        <x:v>0.0192307692</x:v>
      </x:c>
      <x:c r="I50" s="18" t="n">
        <x:v>0.0576923077</x:v>
      </x:c>
      <x:c r="J50" s="15" t="n">
        <x:v>0</x:v>
      </x:c>
    </x:row>
    <x:row r="51">
      <x:c r="A51" s="11" t="str">
        <x:v>VA</x:v>
      </x:c>
      <x:c r="B51" s="15" t="n">
        <x:v>96</x:v>
      </x:c>
      <x:c r="C51" s="15" t="n">
        <x:v>76</x:v>
      </x:c>
      <x:c r="D51" s="16" t="n">
        <x:v>4</x:v>
      </x:c>
      <x:c r="E51" s="16" t="n">
        <x:v>4</x:v>
      </x:c>
      <x:c r="F51" s="16" t="n">
        <x:v>0.965</x:v>
      </x:c>
      <x:c r="G51" s="17" t="n">
        <x:v>39144.7300476277</x:v>
      </x:c>
      <x:c r="H51" s="18" t="n">
        <x:v>0.0416666667</x:v>
      </x:c>
      <x:c r="I51" s="18" t="n">
        <x:v>0.0833333333</x:v>
      </x:c>
      <x:c r="J51" s="15" t="n">
        <x:v>0</x:v>
      </x:c>
    </x:row>
    <x:row r="52">
      <x:c r="A52" s="11" t="str">
        <x:v>VI</x:v>
      </x:c>
      <x:c r="B52" s="15" t="n">
        <x:v>2</x:v>
      </x:c>
      <x:c r="C52" s="15" t="n">
        <x:v>2</x:v>
      </x:c>
      <x:c r="D52" s="16" t="n">
        <x:v>1.5</x:v>
      </x:c>
      <x:c r="E52" s="16"/>
      <x:c r="F52" s="16"/>
      <x:c r="G52" s="17" t="n">
        <x:v>53925.9014208385</x:v>
      </x:c>
      <x:c r="H52" s="18" t="n">
        <x:v>0</x:v>
      </x:c>
      <x:c r="I52" s="18" t="n">
        <x:v>1</x:v>
      </x:c>
      <x:c r="J52" s="15" t="n">
        <x:v>0</x:v>
      </x:c>
    </x:row>
    <x:row r="53">
      <x:c r="A53" s="11" t="str">
        <x:v>VT</x:v>
      </x:c>
      <x:c r="B53" s="15" t="n">
        <x:v>17</x:v>
      </x:c>
      <x:c r="C53" s="15" t="n">
        <x:v>12</x:v>
      </x:c>
      <x:c r="D53" s="16" t="n">
        <x:v>3</x:v>
      </x:c>
      <x:c r="E53" s="16" t="n">
        <x:v>4</x:v>
      </x:c>
      <x:c r="F53" s="16" t="n">
        <x:v>0.955</x:v>
      </x:c>
      <x:c r="G53" s="17" t="n">
        <x:v>86509.8716182417</x:v>
      </x:c>
      <x:c r="H53" s="18" t="n">
        <x:v>0.0588235294</x:v>
      </x:c>
      <x:c r="I53" s="18" t="n">
        <x:v>0.2352941176</x:v>
      </x:c>
      <x:c r="J53" s="15" t="n">
        <x:v>0</x:v>
      </x:c>
    </x:row>
    <x:row r="54">
      <x:c r="A54" s="11" t="str">
        <x:v>WA</x:v>
      </x:c>
      <x:c r="B54" s="15" t="n">
        <x:v>99</x:v>
      </x:c>
      <x:c r="C54" s="15" t="n">
        <x:v>59</x:v>
      </x:c>
      <x:c r="D54" s="16" t="n">
        <x:v>3</x:v>
      </x:c>
      <x:c r="E54" s="16" t="n">
        <x:v>3</x:v>
      </x:c>
      <x:c r="F54" s="16" t="n">
        <x:v>0.94</x:v>
      </x:c>
      <x:c r="G54" s="17" t="n">
        <x:v>77245.2503703704</x:v>
      </x:c>
      <x:c r="H54" s="18" t="n">
        <x:v>0.1313131313</x:v>
      </x:c>
      <x:c r="I54" s="18" t="n">
        <x:v>0.202020202</x:v>
      </x:c>
      <x:c r="J54" s="15" t="n">
        <x:v>2</x:v>
      </x:c>
    </x:row>
    <x:row r="55">
      <x:c r="A55" s="11" t="str">
        <x:v>WI</x:v>
      </x:c>
      <x:c r="B55" s="15" t="n">
        <x:v>140</x:v>
      </x:c>
      <x:c r="C55" s="15" t="n">
        <x:v>86</x:v>
      </x:c>
      <x:c r="D55" s="16" t="n">
        <x:v>4</x:v>
      </x:c>
      <x:c r="E55" s="16" t="n">
        <x:v>4</x:v>
      </x:c>
      <x:c r="F55" s="16" t="n">
        <x:v>0.92</x:v>
      </x:c>
      <x:c r="G55" s="17" t="n">
        <x:v>74137.4080104398</x:v>
      </x:c>
      <x:c r="H55" s="18" t="n">
        <x:v>0.0857142857</x:v>
      </x:c>
      <x:c r="I55" s="18" t="n">
        <x:v>0.1214285714</x:v>
      </x:c>
      <x:c r="J55" s="15" t="n">
        <x:v>1</x:v>
      </x:c>
    </x:row>
    <x:row r="56">
      <x:c r="A56" s="11" t="str">
        <x:v>WV</x:v>
      </x:c>
      <x:c r="B56" s="15" t="n">
        <x:v>55</x:v>
      </x:c>
      <x:c r="C56" s="15" t="n">
        <x:v>34</x:v>
      </x:c>
      <x:c r="D56" s="16" t="n">
        <x:v>3</x:v>
      </x:c>
      <x:c r="E56" s="16" t="n">
        <x:v>4</x:v>
      </x:c>
      <x:c r="F56" s="16" t="n">
        <x:v>0.99</x:v>
      </x:c>
      <x:c r="G56" s="17" t="n">
        <x:v>67671.4891846922</x:v>
      </x:c>
      <x:c r="H56" s="18" t="n">
        <x:v>0.0909090909</x:v>
      </x:c>
      <x:c r="I56" s="18" t="n">
        <x:v>0.3454545455</x:v>
      </x:c>
      <x:c r="J56" s="15" t="n">
        <x:v>0</x:v>
      </x:c>
    </x:row>
    <x:row r="57">
      <x:c r="A57" s="11" t="str">
        <x:v>WY</x:v>
      </x:c>
      <x:c r="B57" s="15" t="n">
        <x:v>31</x:v>
      </x:c>
      <x:c r="C57" s="15" t="n">
        <x:v>16</x:v>
      </x:c>
      <x:c r="D57" s="16" t="n">
        <x:v>3</x:v>
      </x:c>
      <x:c r="E57" s="16" t="n">
        <x:v>4</x:v>
      </x:c>
      <x:c r="F57" s="16" t="n">
        <x:v>0.96</x:v>
      </x:c>
      <x:c r="G57" s="17" t="n">
        <x:v>107412</x:v>
      </x:c>
      <x:c r="H57" s="18" t="n">
        <x:v>0.0322580645</x:v>
      </x:c>
      <x:c r="I57" s="18" t="n">
        <x:v>0.1612903226</x:v>
      </x:c>
      <x:c r="J57" s="1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c46519f9da4d07"/>
  </x:tableParts>
</x:worksheet>
</file>

<file path=xl/worksheets/sheet4.xml><?xml version="1.0" encoding="utf-8"?>
<x:worksheet xmlns:x="http://schemas.openxmlformats.org/spreadsheetml/2006/main">
  <x:sheetPr>
    <x:tabColor rgb="FFF4A261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72" hidden="0" customWidth="1"/>
  </x:cols>
  <x:sheetData>
    <x:row r="1" ht="15" hidden="0" customHeight="1">
      <x:c r="A1" s="33" t="str">
        <x:v>Data Quality Results</x:v>
      </x:c>
      <x:c r="B1" s="11"/>
      <x:c r="C1" s="11"/>
      <x:c r="D1" s="11"/>
      <x:c r="E1" s="50"/>
    </x:row>
    <x:row r="2">
      <x:c r="A2" s="13" t="str">
        <x:v>Check</x:v>
      </x:c>
      <x:c r="B2" s="13" t="str">
        <x:v>Severity</x:v>
      </x:c>
      <x:c r="C2" s="13" t="str">
        <x:v>Failed rows</x:v>
      </x:c>
      <x:c r="D2" s="13" t="str">
        <x:v>Status</x:v>
      </x:c>
      <x:c r="E2" s="13" t="str">
        <x:v>Definition</x:v>
      </x:c>
    </x:row>
    <x:row r="3">
      <x:c r="A3" s="11" t="str">
        <x:v>dim_hospital_unique_ccn</x:v>
      </x:c>
      <x:c r="B3" s="11" t="str">
        <x:v>critical</x:v>
      </x:c>
      <x:c r="C3" s="11" t="n">
        <x:v>0</x:v>
      </x:c>
      <x:c r="D3" s="11" t="str">
        <x:v>PASS</x:v>
      </x:c>
      <x:c r="E3" s="11" t="str">
        <x:v>Hospital dimension must contain one row per CCN.</x:v>
      </x:c>
    </x:row>
    <x:row r="4">
      <x:c r="A4" s="11" t="str">
        <x:v>valid_six_character_ccn</x:v>
      </x:c>
      <x:c r="B4" s="11" t="str">
        <x:v>critical</x:v>
      </x:c>
      <x:c r="C4" s="11" t="n">
        <x:v>0</x:v>
      </x:c>
      <x:c r="D4" s="11" t="str">
        <x:v>PASS</x:v>
      </x:c>
      <x:c r="E4" s="11" t="str">
        <x:v>CCN must remain a six-digit text identifier.</x:v>
      </x:c>
    </x:row>
    <x:row r="5">
      <x:c r="A5" s="11" t="str">
        <x:v>cost_report_unique_ccn</x:v>
      </x:c>
      <x:c r="B5" s="11" t="str">
        <x:v>critical</x:v>
      </x:c>
      <x:c r="C5" s="11" t="n">
        <x:v>0</x:v>
      </x:c>
      <x:c r="D5" s="11" t="str">
        <x:v>PASS</x:v>
      </x:c>
      <x:c r="E5" s="11" t="str">
        <x:v>Latest cost report selection must be unique by CCN.</x:v>
      </x:c>
    </x:row>
    <x:row r="6">
      <x:c r="A6" s="11" t="str">
        <x:v>cost_report_financial_reconciliation</x:v>
      </x:c>
      <x:c r="B6" s="11" t="str">
        <x:v>warning</x:v>
      </x:c>
      <x:c r="C6" s="11" t="n">
        <x:v>45</x:v>
      </x:c>
      <x:c r="D6" s="11" t="str">
        <x:v>PASS</x:v>
      </x:c>
      <x:c r="E6" s="11" t="str">
        <x:v>Assets should reconcile to liabilities and fund balances within $1,000 or 1%.</x:v>
      </x:c>
    </x:row>
    <x:row r="7">
      <x:c r="A7" s="11" t="str">
        <x:v>nonnegative_beds_and_discharges</x:v>
      </x:c>
      <x:c r="B7" s="11" t="str">
        <x:v>critical</x:v>
      </x:c>
      <x:c r="C7" s="11" t="n">
        <x:v>0</x:v>
      </x:c>
      <x:c r="D7" s="11" t="str">
        <x:v>PASS</x:v>
      </x:c>
      <x:c r="E7" s="11" t="str">
        <x:v>Beds and discharges cannot be negative.</x:v>
      </x:c>
    </x:row>
    <x:row r="8">
      <x:c r="A8" s="11" t="str">
        <x:v>overall_rating_domain</x:v>
      </x:c>
      <x:c r="B8" s="11" t="str">
        <x:v>critical</x:v>
      </x:c>
      <x:c r="C8" s="11" t="n">
        <x:v>0</x:v>
      </x:c>
      <x:c r="D8" s="11" t="str">
        <x:v>PASS</x:v>
      </x:c>
      <x:c r="E8" s="11" t="str">
        <x:v>Reported overall ratings must be between one and five stars.</x:v>
      </x:c>
    </x:row>
    <x:row r="9">
      <x:c r="A9" s="11" t="str">
        <x:v>cost_join_coverage</x:v>
      </x:c>
      <x:c r="B9" s="11" t="str">
        <x:v>information</x:v>
      </x:c>
      <x:c r="C9" s="11" t="n">
        <x:v>385</x:v>
      </x:c>
      <x:c r="D9" s="11" t="str">
        <x:v>PASS</x:v>
      </x:c>
      <x:c r="E9" s="11" t="str">
        <x:v>Hospitals without a matched 2023 cost report; this is coverage, not necessarily an error.</x:v>
      </x:c>
    </x:row>
    <x:row r="10">
      <x:c r="A10" s="11" t="str">
        <x:v>quality_join_coverage</x:v>
      </x:c>
      <x:c r="B10" s="11" t="str">
        <x:v>information</x:v>
      </x:c>
      <x:c r="C10" s="11" t="n">
        <x:v>2242</x:v>
      </x:c>
      <x:c r="D10" s="11" t="str">
        <x:v>PASS</x:v>
      </x:c>
      <x:c r="E10" s="11" t="str">
        <x:v>Hospitals without a reported overall rating; CMS suppression and eligibility can apply.</x:v>
      </x:c>
    </x:row>
  </x:sheetData>
  <x:mergeCells>
    <x:mergeCell ref="A1:E1"/>
  </x:mergeCells>
  <x:conditionalFormatting sqref="A3:E10">
    <x:cfRule type="expression" dxfId="2" priority="1">
      <x:formula>$D3="FAIL"</x:formula>
    </x:cfRule>
    <x:cfRule type="expression" dxfId="3" priority="2">
      <x:formula>$B3="warning"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A8791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52" hidden="0" customWidth="1"/>
    <x:col min="3" max="3" width="28" hidden="0" customWidth="1"/>
    <x:col min="4" max="4" width="28" hidden="0" customWidth="1"/>
    <x:col min="5" max="5" width="48" hidden="0" customWidth="1"/>
  </x:cols>
  <x:sheetData>
    <x:row r="1" ht="15" hidden="0" customHeight="1">
      <x:c r="A1" s="33" t="str">
        <x:v>KPI Definitions and Official Sources</x:v>
      </x:c>
      <x:c r="B1" s="50"/>
      <x:c r="C1" s="50"/>
      <x:c r="D1" s="50"/>
      <x:c r="E1" s="50"/>
    </x:row>
    <x:row r="2">
      <x:c r="A2" s="11"/>
      <x:c r="B2" s="11"/>
      <x:c r="C2" s="11"/>
      <x:c r="D2" s="11"/>
      <x:c r="E2" s="11"/>
    </x:row>
    <x:row r="3">
      <x:c r="A3" s="13" t="str">
        <x:v>KPI</x:v>
      </x:c>
      <x:c r="B3" s="13" t="str">
        <x:v>Formula / selection</x:v>
      </x:c>
      <x:c r="C3" s="13" t="str">
        <x:v>Unit</x:v>
      </x:c>
      <x:c r="D3" s="13" t="str">
        <x:v>Source</x:v>
      </x:c>
      <x:c r="E3" s="13" t="str">
        <x:v>Interpretation limit</x:v>
      </x:c>
    </x:row>
    <x:row r="4">
      <x:c r="A4" s="35" t="str">
        <x:v>Overall rating</x:v>
      </x:c>
      <x:c r="B4" s="11" t="str">
        <x:v>CMS reported hospital overall rating</x:v>
      </x:c>
      <x:c r="C4" s="11" t="str">
        <x:v>1–5 stars</x:v>
      </x:c>
      <x:c r="D4" s="11" t="str">
        <x:v>Hospital General Information</x:v>
      </x:c>
      <x:c r="E4" s="11" t="str">
        <x:v>Eligibility and suppression apply.</x:v>
      </x:c>
    </x:row>
    <x:row r="5">
      <x:c r="A5" s="35" t="str">
        <x:v>HCAHPS summary star</x:v>
      </x:c>
      <x:c r="B5" s="11" t="str">
        <x:v>CMS measure H_STAR_RATING</x:v>
      </x:c>
      <x:c r="C5" s="11" t="str">
        <x:v>1–5 stars</x:v>
      </x:c>
      <x:c r="D5" s="11" t="str">
        <x:v>HCAHPS</x:v>
      </x:c>
      <x:c r="E5" s="11" t="str">
        <x:v>Patient experience, not clinical outcome.</x:v>
      </x:c>
    </x:row>
    <x:row r="6">
      <x:c r="A6" s="35" t="str">
        <x:v>MSPB ratio</x:v>
      </x:c>
      <x:c r="B6" s="11" t="str">
        <x:v>CMS episode-spending score</x:v>
      </x:c>
      <x:c r="C6" s="11" t="str">
        <x:v>ratio</x:v>
      </x:c>
      <x:c r="D6" s="11" t="str">
        <x:v>Medicare Spending per Beneficiary</x:v>
      </x:c>
      <x:c r="E6" s="11" t="str">
        <x:v>Relative episode spending; not total cost.</x:v>
      </x:c>
    </x:row>
    <x:row r="7">
      <x:c r="A7" s="35" t="str">
        <x:v>Bed occupancy proxy</x:v>
      </x:c>
      <x:c r="B7" s="11" t="str">
        <x:v>Total inpatient days / available bed days</x:v>
      </x:c>
      <x:c r="C7" s="11" t="str">
        <x:v>%</x:v>
      </x:c>
      <x:c r="D7" s="11" t="str">
        <x:v>2023 Hospital Cost Report</x:v>
      </x:c>
      <x:c r="E7" s="11" t="str">
        <x:v>Not real-time staffed-bed occupancy.</x:v>
      </x:c>
    </x:row>
    <x:row r="8">
      <x:c r="A8" s="35" t="str">
        <x:v>Expense per discharge</x:v>
      </x:c>
      <x:c r="B8" s="11" t="str">
        <x:v>Operating expense / total discharges</x:v>
      </x:c>
      <x:c r="C8" s="11" t="str">
        <x:v>USD/discharge</x:v>
      </x:c>
      <x:c r="D8" s="11" t="str">
        <x:v>2023 Hospital Cost Report</x:v>
      </x:c>
      <x:c r="E8" s="11" t="str">
        <x:v>Not adjusted for case mix.</x:v>
      </x:c>
    </x:row>
    <x:row r="9">
      <x:c r="A9" s="35" t="str">
        <x:v>Operating margin proxy</x:v>
      </x:c>
      <x:c r="B9" s="11" t="str">
        <x:v>Net income from service / net patient revenue</x:v>
      </x:c>
      <x:c r="C9" s="11" t="str">
        <x:v>%</x:v>
      </x:c>
      <x:c r="D9" s="11" t="str">
        <x:v>2023 Hospital Cost Report</x:v>
      </x:c>
      <x:c r="E9" s="11" t="str">
        <x:v>Uses submitted accounting fields.</x:v>
      </x:c>
    </x:row>
    <x:row r="10">
      <x:c r="A10" s="35" t="str">
        <x:v>High-cost peer flag</x:v>
      </x:c>
      <x:c r="B10" s="11" t="str">
        <x:v>Cost peer percentile &gt;= 90th with &gt;=10 peers</x:v>
      </x:c>
      <x:c r="C10" s="11" t="str">
        <x:v>Boolean</x:v>
      </x:c>
      <x:c r="D10" s="11" t="str">
        <x:v>Derived</x:v>
      </x:c>
      <x:c r="E10" s="11" t="str">
        <x:v>Descriptive review signal.</x:v>
      </x:c>
    </x:row>
    <x:row r="11">
      <x:c r="A11" s="35" t="str">
        <x:v>Low-quality peer flag</x:v>
      </x:c>
      <x:c r="B11" s="11" t="str">
        <x:v>Rating peer percentile &lt;= 10th with &gt;=10 peers</x:v>
      </x:c>
      <x:c r="C11" s="11" t="str">
        <x:v>Boolean</x:v>
      </x:c>
      <x:c r="D11" s="11" t="str">
        <x:v>Derived</x:v>
      </x:c>
      <x:c r="E11" s="11" t="str">
        <x:v>Descriptive review signal.</x:v>
      </x:c>
    </x:row>
    <x:row r="12">
      <x:c r="A12" s="35" t="str">
        <x:v>Priority flag</x:v>
      </x:c>
      <x:c r="B12" s="11" t="str">
        <x:v>Both high-cost and low-quality flags</x:v>
      </x:c>
      <x:c r="C12" s="11" t="str">
        <x:v>Boolean</x:v>
      </x:c>
      <x:c r="D12" s="11" t="str">
        <x:v>Derived</x:v>
      </x:c>
      <x:c r="E12" s="11" t="str">
        <x:v>No causal or clinical interpretation.</x:v>
      </x:c>
    </x:row>
    <x:row r="13">
      <x:c r="A13" s="11"/>
      <x:c r="B13" s="11"/>
      <x:c r="C13" s="11"/>
      <x:c r="D13" s="11"/>
      <x:c r="E13" s="11"/>
    </x:row>
    <x:row r="14">
      <x:c r="A14" s="34" t="str">
        <x:v>Official source</x:v>
      </x:c>
      <x:c r="B14" s="34" t="str">
        <x:v>URL</x:v>
      </x:c>
      <x:c r="C14" s="11"/>
      <x:c r="D14" s="11"/>
      <x:c r="E14" s="11"/>
    </x:row>
    <x:row r="15">
      <x:c r="A15" s="11" t="str">
        <x:v>Hospital General Information</x:v>
      </x:c>
      <x:c r="B15" s="11" t="str">
        <x:v>https://data.cms.gov/provider-data/dataset/xubh-q36u</x:v>
      </x:c>
      <x:c r="C15" s="11"/>
      <x:c r="D15" s="11"/>
      <x:c r="E15" s="11"/>
    </x:row>
    <x:row r="16">
      <x:c r="A16" s="11" t="str">
        <x:v>HCAHPS</x:v>
      </x:c>
      <x:c r="B16" s="11" t="str">
        <x:v>https://data.cms.gov/provider-data/dataset/dgck-syfz</x:v>
      </x:c>
      <x:c r="C16" s="11"/>
      <x:c r="D16" s="11"/>
      <x:c r="E16" s="11"/>
    </x:row>
    <x:row r="17">
      <x:c r="A17" s="11" t="str">
        <x:v>Complications and Deaths</x:v>
      </x:c>
      <x:c r="B17" s="11" t="str">
        <x:v>https://data.cms.gov/provider-data/dataset/ynj2-r877</x:v>
      </x:c>
      <x:c r="C17" s="11"/>
      <x:c r="D17" s="11"/>
      <x:c r="E17" s="11"/>
    </x:row>
    <x:row r="18">
      <x:c r="A18" s="11" t="str">
        <x:v>Unplanned Hospital Visits</x:v>
      </x:c>
      <x:c r="B18" s="11" t="str">
        <x:v>https://data.cms.gov/provider-data/dataset/632h-zaca</x:v>
      </x:c>
      <x:c r="C18" s="11"/>
      <x:c r="D18" s="11"/>
      <x:c r="E18" s="11"/>
    </x:row>
    <x:row r="19">
      <x:c r="A19" s="11" t="str">
        <x:v>Medicare Spending per Beneficiary</x:v>
      </x:c>
      <x:c r="B19" s="11" t="str">
        <x:v>https://data.cms.gov/provider-data/dataset/rrqw-56er</x:v>
      </x:c>
      <x:c r="C19" s="11"/>
      <x:c r="D19" s="11"/>
      <x:c r="E19" s="11"/>
    </x:row>
    <x:row r="20">
      <x:c r="A20" s="11" t="str">
        <x:v>Hospital Cost Report</x:v>
      </x:c>
      <x:c r="B20" s="11" t="str">
        <x:v>https://data.cms.gov/provider-compliance/cost-reports/hospital-provider-cost-report</x:v>
      </x:c>
      <x:c r="C20" s="11"/>
      <x:c r="D20" s="11"/>
      <x:c r="E20" s="11"/>
    </x:row>
  </x:sheetData>
  <x:mergeCells>
    <x:mergeCell ref="A1:E1"/>
  </x:mergeCells>
  <x:pageMargins left="0.7" right="0.7" top="0.75" bottom="0.75" header="0.3" footer="0.3"/>
</x:worksheet>
</file>